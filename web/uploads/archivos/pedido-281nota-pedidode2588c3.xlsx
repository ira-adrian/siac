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esktop\Nair\PEDIDOS 2025\3 TRIMESTRE\MP 25 MAYO\reactivos\"/>
    </mc:Choice>
  </mc:AlternateContent>
  <xr:revisionPtr revIDLastSave="0" documentId="13_ncr:1_{52F37328-BEB3-4924-B96F-04FE8C676A20}" xr6:coauthVersionLast="47" xr6:coauthVersionMax="47" xr10:uidLastSave="{00000000-0000-0000-0000-000000000000}"/>
  <bookViews>
    <workbookView xWindow="-120" yWindow="-120" windowWidth="29040" windowHeight="15840" tabRatio="470" activeTab="1" xr2:uid="{00000000-000D-0000-FFFF-FFFF00000000}"/>
  </bookViews>
  <sheets>
    <sheet name="Necesidades Trimestrales" sheetId="1" r:id="rId1"/>
    <sheet name="CANTIDADES" sheetId="5" r:id="rId2"/>
  </sheets>
  <externalReferences>
    <externalReference r:id="rId3"/>
  </externalReferences>
  <definedNames>
    <definedName name="_xlnm._FilterDatabase" localSheetId="0" hidden="1">'Necesidades Trimestrales'!$A$4:$E$7</definedName>
    <definedName name="A">'Necesidades Trimestrales'!#REF!</definedName>
  </definedNames>
  <calcPr calcId="181029"/>
</workbook>
</file>

<file path=xl/calcChain.xml><?xml version="1.0" encoding="utf-8"?>
<calcChain xmlns="http://schemas.openxmlformats.org/spreadsheetml/2006/main">
  <c r="D5" i="5" l="1"/>
  <c r="I12" i="1"/>
  <c r="I11" i="1"/>
  <c r="N11" i="1"/>
  <c r="N109" i="1" s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" i="1"/>
  <c r="I34" i="1"/>
  <c r="I74" i="1"/>
  <c r="I96" i="1"/>
  <c r="I103" i="1"/>
  <c r="I102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6" i="1"/>
  <c r="I75" i="1"/>
  <c r="I73" i="1"/>
  <c r="I72" i="1"/>
  <c r="I71" i="1"/>
  <c r="I70" i="1"/>
  <c r="I69" i="1"/>
  <c r="I68" i="1"/>
  <c r="I67" i="1"/>
  <c r="I77" i="1"/>
  <c r="I105" i="1"/>
  <c r="I21" i="1"/>
  <c r="I18" i="1"/>
  <c r="I15" i="1"/>
  <c r="I47" i="1"/>
  <c r="I24" i="1"/>
  <c r="I32" i="1"/>
  <c r="I97" i="1"/>
  <c r="I78" i="1"/>
  <c r="I49" i="1"/>
  <c r="I22" i="1"/>
  <c r="I13" i="1"/>
  <c r="I35" i="1"/>
  <c r="I30" i="1"/>
  <c r="I100" i="1"/>
  <c r="I99" i="1"/>
  <c r="I98" i="1"/>
  <c r="I63" i="1"/>
  <c r="I38" i="1"/>
  <c r="I37" i="1"/>
  <c r="I36" i="1"/>
  <c r="I33" i="1"/>
  <c r="I31" i="1"/>
  <c r="I29" i="1"/>
  <c r="I28" i="1"/>
  <c r="I25" i="1"/>
  <c r="I23" i="1"/>
  <c r="I20" i="1"/>
  <c r="I19" i="1"/>
  <c r="I17" i="1"/>
  <c r="I27" i="1"/>
  <c r="I26" i="1"/>
  <c r="I54" i="1"/>
  <c r="I16" i="1"/>
  <c r="I48" i="1"/>
  <c r="I108" i="1"/>
  <c r="I107" i="1"/>
  <c r="I106" i="1"/>
  <c r="I39" i="1"/>
  <c r="I40" i="1"/>
  <c r="I41" i="1"/>
  <c r="I42" i="1"/>
  <c r="I43" i="1"/>
  <c r="I44" i="1"/>
  <c r="I45" i="1"/>
  <c r="I46" i="1"/>
  <c r="I50" i="1"/>
  <c r="I51" i="1"/>
  <c r="I52" i="1"/>
  <c r="I53" i="1"/>
  <c r="I55" i="1"/>
  <c r="I56" i="1"/>
  <c r="I57" i="1"/>
  <c r="I58" i="1"/>
  <c r="I59" i="1"/>
  <c r="I60" i="1"/>
  <c r="I61" i="1"/>
  <c r="I62" i="1"/>
  <c r="I64" i="1"/>
  <c r="I65" i="1"/>
  <c r="I66" i="1"/>
  <c r="I101" i="1"/>
  <c r="I104" i="1"/>
  <c r="I14" i="1"/>
  <c r="C108" i="1" l="1"/>
  <c r="C107" i="1"/>
</calcChain>
</file>

<file path=xl/sharedStrings.xml><?xml version="1.0" encoding="utf-8"?>
<sst xmlns="http://schemas.openxmlformats.org/spreadsheetml/2006/main" count="550" uniqueCount="260">
  <si>
    <t xml:space="preserve">Pedido de Necesidades Trimestrales
</t>
  </si>
  <si>
    <t>JURISDICCION:</t>
  </si>
  <si>
    <t>40 - Ministerio de Salud</t>
  </si>
  <si>
    <t xml:space="preserve">SAF N°: </t>
  </si>
  <si>
    <t>28 - MATERNIDAD PROVINCIAL 25 DE MAYO</t>
  </si>
  <si>
    <t>EJERCICIO:</t>
  </si>
  <si>
    <t>TRIMESTRE:</t>
  </si>
  <si>
    <t>ID</t>
  </si>
  <si>
    <t>CODIGO DE ITEMS</t>
  </si>
  <si>
    <t>RUBRO DE COMPRA</t>
  </si>
  <si>
    <t>I.P.P</t>
  </si>
  <si>
    <t>DESCRIPCION</t>
  </si>
  <si>
    <t>UNIDAD DE MEDIDA</t>
  </si>
  <si>
    <t>CANTIDAD</t>
  </si>
  <si>
    <t>PRECIO UNITARIO ESTIMADO</t>
  </si>
  <si>
    <t xml:space="preserve">IMPORTE TOTAL ESTIMADO </t>
  </si>
  <si>
    <t>ESPECIFICACIONES</t>
  </si>
  <si>
    <t>2.5.1</t>
  </si>
  <si>
    <t>UNIDAD</t>
  </si>
  <si>
    <t>QUIMICOS</t>
  </si>
  <si>
    <t>CAJA</t>
  </si>
  <si>
    <t>2.5.1-8988.930</t>
  </si>
  <si>
    <t>REACTIVOS P/EQUIPO; EQUIPO: AUTOANA. QUIMICA CLINICA, MARCA EQUIPO: COBAS ROCHE, NOMBRE DEL PRODUCTO: ALBUMINA, PRESENTACION: ENVASE X 300 DETERM.</t>
  </si>
  <si>
    <t>CASETTE</t>
  </si>
  <si>
    <t>2.5.1-8988.2438</t>
  </si>
  <si>
    <t>REACTIVOS P/EQUIPO; EQUIPO: AUTOANA. X QUIMIOLUMINISCENCIA, MARCA EQUIPO: ROCHE, NOMBRE DEL PRODUCTO: CLEAN CELL M, PRESENTACION: 6 X380ML</t>
  </si>
  <si>
    <t>CASSETTE</t>
  </si>
  <si>
    <t>2.5.1-8988.2472</t>
  </si>
  <si>
    <t>REACTIVOS P/EQUIPO; EQUIPO: AUTOANA. X QUIMIOLUMINISCENCIA, MARCA EQUIPO: ROCHE, NOMBRE DEL PRODUCTO: PRO CELL, PRESENTACION: 6 X 380 ML</t>
  </si>
  <si>
    <t>2.5.1-8988.969</t>
  </si>
  <si>
    <t>REACTIVOS P/EQUIPO; EQUIPO: AUTOANA. QUIMICA CLINICA, MARCA EQUIPO: COBAS ROCHE, NOMBRE DEL PRODUCTO: GLUCOSA, PRESENTACION: ENVASE X 800 DETERM.</t>
  </si>
  <si>
    <t>2.5.1-8988.2496</t>
  </si>
  <si>
    <t>REACTIVOS P/EQUIPO; EQUIPO: PARA GASES EN SANGRE, MARCA EQUIPO: ROCHE, NOMBRE DEL PRODUCTO: FLUID PACK S2 , PRESENTACION: UNIDAD</t>
  </si>
  <si>
    <t>2.5.1-9019.119</t>
  </si>
  <si>
    <t>HIDRATOS DE CARBONO; COMPUESTO QUIMICO: GLUCOCURVE 75 GR, ESTADO: SOLIDO, CALIDAD: PRO ANALISIS, CONCENTRACION/PUREZA: SIN VALOR, PRESENTACION: ENVASE X 10 SOBRES</t>
  </si>
  <si>
    <t>2.5.1-8988.472</t>
  </si>
  <si>
    <t>REACTIVOS P/EQUIPO; EQUIPO: AUTOANA. X QUIMIOLUMINISCENCIA, MARCA EQUIPO: ROCHE, NOMBRE DEL PRODUCTO: DET. ANTIC. ANTIPEROXIDASA, PRESENTACION: ENVASE X 100 DETERM.</t>
  </si>
  <si>
    <t>2.5.1-8988.1097</t>
  </si>
  <si>
    <t>REACTIVOS P/EQUIPO; EQUIPO: ELECTROQUIMIOLUMINISCENCIA, MARCA EQUIPO: ELECSYS ROCHE, NOMBRE DEL PRODUCTO: ATG SUPERFICIE HEPATITIS B, PRESENTACION: ENVASE X 100 DETERM.</t>
  </si>
  <si>
    <t>2.5.1-8988.953</t>
  </si>
  <si>
    <t>REACTIVOS P/EQUIPO; EQUIPO: AUTOANA. QUIMICA CLINICA, MARCA EQUIPO: COBAS ROCHE, NOMBRE DEL PRODUCTO: AC. URICO, PRESENTACION: ENVASE X 400 DETERM.</t>
  </si>
  <si>
    <t>2.5.1-8988.943</t>
  </si>
  <si>
    <t>REACTIVOS P/EQUIPO; EQUIPO: AUTOANA. QUIMICA CLINICA, MARCA EQUIPO: COBAS ROCHE, NOMBRE DEL PRODUCTO: ALP2L (IFCC), PRESENTACION: ENVASE X 400 DETERM.</t>
  </si>
  <si>
    <t>2.5.1-8988.971</t>
  </si>
  <si>
    <t>REACTIVOS P/EQUIPO; EQUIPO: AUTOANA. QUIMICA CLINICA, MARCA EQUIPO: COBAS ROCHE, NOMBRE DEL PRODUCTO: LDH OPTIMIZADA, PRESENTACION: ENVASE X 300 DETERM.</t>
  </si>
  <si>
    <t>2.5.1-8988.444</t>
  </si>
  <si>
    <t>REACTIVOS P/EQUIPO; EQUIPO: AUTOANA. X QUIMIOLUMINISCENCIA, MARCA EQUIPO: ROCHE, NOMBRE DEL PRODUCTO: KIT P/CUANT. TIROIDE T4 LIBRE, PRESENTACION: ENVASE X 200 DETERM.</t>
  </si>
  <si>
    <t>2.5.1-8988.1103</t>
  </si>
  <si>
    <t>REACTIVOS P/EQUIPO; EQUIPO: ELECTROQUIMIOLUMINISCENCIA, MARCA EQUIPO: ELECSYS ROCHE, NOMBRE DEL PRODUCTO: ANTI TOXOPLASMA IG G, PRESENTACION: ENVASE X 100 DETERM.</t>
  </si>
  <si>
    <t>2.5.1-8988.440</t>
  </si>
  <si>
    <t>REACTIVOS P/EQUIPO; EQUIPO: AUTOANA. X QUIMIOLUMINISCENCIA, MARCA EQUIPO: ROCHE, NOMBRE DEL PRODUCTO: KIT P/CUANT. TIROTROFICA TSH, PRESENTACION: ENVASE X 200 DETERM.</t>
  </si>
  <si>
    <t>Tipo Wiener Lab</t>
  </si>
  <si>
    <t>2.5.1-9052.648</t>
  </si>
  <si>
    <t>REACTIVOS P/LAB. TEC. MANUAL ; NOMBRE: HEMAGLUTINACION P/CHAGAS, USO: DETERMINACION, PRESENTACION: ENVASE X 96 DETERM.</t>
  </si>
  <si>
    <t>2.5.1-8988.2459</t>
  </si>
  <si>
    <t>REACTIVOS P/EQUIPO; EQUIPO: AUTOANALIZADOR, MARCA EQUIPO: ROCHE, NOMBRE DEL PRODUCTO: ECODETERGENTE, PRESENTACION:CASSETTE</t>
  </si>
  <si>
    <t>2.5.1-8988.1602</t>
  </si>
  <si>
    <t>REACTIVOS P/EQUIPO; EQUIPO: AUTOANA. QUIMICA CLINICA, MARCA EQUIPO: COBAS ROCHE, NOMBRE DEL PRODUCTO: PCR, PRESENTACION: ENVASE X 100 DETERM.</t>
  </si>
  <si>
    <t>2.5.1-8988.952</t>
  </si>
  <si>
    <t>REACTIVOS P/EQUIPO; EQUIPO: AUTOANA. QUIMICA CLINICA, MARCA EQUIPO: COBAS ROCHE, NOMBRE DEL PRODUCTO: UREA (BUN), PRESENTACION: ENVASE X 500 DETERM.</t>
  </si>
  <si>
    <t>2.5.1-8988.2528</t>
  </si>
  <si>
    <t>REACTIVOS P/EQUIPO; EQUIPO: COAGULOMETRO, MARCA EQUIPO: ERBA ECL 412, NOMBRE DEL PRODUCTO: ERBA ACTIME 30, PRESENTACION: 6 X 5 ML</t>
  </si>
  <si>
    <t>2.5.1-8988.2529</t>
  </si>
  <si>
    <t>REACTIVOS P/EQUIPO; EQUIPO: COAGULOMETRO, MARCA EQUIPO: ERBA ECL 412, NOMBRE DEL PRODUCTO: ERBA CALCIUM CHLORIDE, PRESENTACION: 10 X 10 ML</t>
  </si>
  <si>
    <t>REACTIVOS P/EQUIPO; EQUIPO: COAGULOMETRO, MARCA EQUIPO: ERBA ECL 412, NOMBRE DEL PRODUCTO: ERBA PROTIME 24, PRESENTACION: 6 X 4 ML</t>
  </si>
  <si>
    <t>2.5.1-8988.2530</t>
  </si>
  <si>
    <t>2.5.1-8988.2531</t>
  </si>
  <si>
    <t>REACTIVOS P/EQUIPO; EQUIPO: COAGULOMETRO, MARCA EQUIPO: ERBA ECL 412, NOMBRE DEL PRODUCTO: CUVETTES 1000 ECL105/412, PRESENTACION: 500 UNIDADES</t>
  </si>
  <si>
    <t>2.5.1-8988.1356</t>
  </si>
  <si>
    <t>REACTIVOS P/EQUIPO; EQUIPO: ANALIZADOR MULTIPARAMETRICO, MARCA EQUIPO: COBAS ROCHE, NOMBRE DEL PRODUCTO: DET. DE AST/TGO, PRESENTACION: UNIDAD</t>
  </si>
  <si>
    <t>2.5.1-8988.1357</t>
  </si>
  <si>
    <t>REACTIVOS P/EQUIPO; EQUIPO: ANALIZADOR MULTIPARAMETRICO, MARCA EQUIPO: COBAS ROCHE, NOMBRE DEL PRODUCTO: DET. DE ALT/TGP, PRESENTACION: UNIDAD</t>
  </si>
  <si>
    <t>2.5.1-8988.1335</t>
  </si>
  <si>
    <t>REACTIVOS P/EQUIPO; EQUIPO: ANALIZADOR MULTIPARAMETRICO, MARCA EQUIPO: COBAS ROCHE, NOMBRE DEL PRODUCTO: DET. DE BILIRUBINA TOTAL, PRESENTACION: UNIDAD</t>
  </si>
  <si>
    <t>2.5.1-8988.1334</t>
  </si>
  <si>
    <t>REACTIVOS P/EQUIPO; EQUIPO: ANALIZADOR MULTIPARAMETRICO, MARCA EQUIPO: COBAS ROCHE, NOMBRE DEL PRODUCTO: DET. DE BILIRUBINA DIRECTA, PRESENTACION: UNIDAD</t>
  </si>
  <si>
    <t>REACTIVOS P/EQUIPO; EQUIPO: ANALIZADOR MULTIPARAMETRICO, MARCA EQUIPO: COBAS ROCHE, NOMBRE DEL PRODUCTO: PROTEINAS TOTALES, PRESENTACION: UNIDAD</t>
  </si>
  <si>
    <t>2.5.1-9052.1136</t>
  </si>
  <si>
    <t>REACTIVOS P/LAB. TEC. MANUAL ; NOMBRE: VDRL, USO: DETECCION DE SIFILIS, PRESENTACION: ENVASE X 5,5 mL</t>
  </si>
  <si>
    <t>2.5.1-8988.2480</t>
  </si>
  <si>
    <t>REACTIVOS P/EQUIPO; EQUIPO: SYSMEX XN-L, MARCA EQUIPO: SYSMEX, NOMBRE DEL PRODUCTO: CELL PACK DCL , PRESENTACION: 20 LITROS</t>
  </si>
  <si>
    <t>2.5.1-8988.2490</t>
  </si>
  <si>
    <t>REACTIVOS P/EQUIPO; EQUIPO: SYSMEX XN-L, MARCA EQUIPO: SYSMEX, NOMBRE DEL PRODUCTO: LYSERCELL WDF , PRESENTACION: 5 L</t>
  </si>
  <si>
    <t>INFORMACION ADICIONAL:</t>
  </si>
  <si>
    <t>1-Para oferentes de la Provincia de Catamarca deberán presentar Habilitación Provincial para comercializar el producto que cotizan.</t>
  </si>
  <si>
    <t>2-Para el resto de oferentes deberán presentar Certificado de Inscripción de ANMAT vigente al momento de la oferta, el mismo deberá ser correspondiente al objeto de la contratación y de encontrarse vencido adjuntar la solicitud de renovación.</t>
  </si>
  <si>
    <t>3-No se aceptarán ofertas de productos no registrados y autorizada su venta por ANMAT. Se deberá especificar en cada ítem de la propuesta, marca y número de certificado otorgado por dicho ente regulador.</t>
  </si>
  <si>
    <t>4-Los productos deberán tener un vencimiento posterior a doce (12) meses a partir de la fecha de su recepción.</t>
  </si>
  <si>
    <t>2.5.1-9052.652</t>
  </si>
  <si>
    <t>2.5.1-8988.2387</t>
  </si>
  <si>
    <t>2.5.1-8988.2485</t>
  </si>
  <si>
    <t>REACTIVOS P/LAB. TEC. MANUAL ; NOMBRE: TIRAS REACTIVAS ANALISIS ORINA, USO: LABORATORIO, PRESENTACION: ENVASE X 100 DETERM.</t>
  </si>
  <si>
    <t>2.5.1-8988.1355</t>
  </si>
  <si>
    <t>REACTIVOS P/EQUIPO; EQUIPO: COBAS C311, MARCA EQUIPO: COBAS ROCHE, NOMBRE DEL PRODUCTO: NAOH-D, PRESENTACION: CASSETTE</t>
  </si>
  <si>
    <t>REACTIVOS P/EQUIPO; EQUIPO: AUTOANALIZADOR, MARCA EQUIPO: COBAS E411, NOMBRE DEL PRODUCTO: SYSWASH, PRESENTACION: ENVASE X 500 ML</t>
  </si>
  <si>
    <t>2.5.1-8988.950</t>
  </si>
  <si>
    <t>REACTIVOS P/EQUIPO; EQUIPO: AUTOANA. QUIMICA CLINICA, MARCA EQUIPO: COBAS ROCHE, NOMBRE DEL PRODUCTO: TRIGLICERIDOS, PRESENTACION: ENVASE X 250 DETERM.</t>
  </si>
  <si>
    <t>Plazos y lugares de entrega:</t>
  </si>
  <si>
    <t>2.5.1-8988.944</t>
  </si>
  <si>
    <t>REACTIVOS P/EQUIPO; EQUIPO: AUTOANA. QUIMICA CLINICA, MARCA EQUIPO: COBAS ROCHE, NOMBRE DEL PRODUCTO: FRUCTOSAMINA, PRESENTACION: ENVASE X 150 DETERM.</t>
  </si>
  <si>
    <t>2.5.1-8988.2406</t>
  </si>
  <si>
    <t>2.5.1-8988.2495</t>
  </si>
  <si>
    <t>REACTIVOS P/EQUIPO; EQUIPO: PARA GASES EN SANGRE, MARCA EQUIPO: ROCHE, NOMBRE DEL PRODUCTO: RINSE SOLUTION S1 , PRESENTACION: 2 ENVASE X 1850 ML</t>
  </si>
  <si>
    <t>2.5.1-8988.2441</t>
  </si>
  <si>
    <t>REACTIVOS P/EQUIPO; EQUIPO: ELECTROQUIMIOLUMINISCENCIA, MARCA EQUIPO: ROCHE, NOMBRE DEL PRODUCTO: HIV COMBI PT -CALIBRADOR INCLUIDO-, PRESENTACION: 100 DET</t>
  </si>
  <si>
    <t>2.5.1-9052.2060</t>
  </si>
  <si>
    <t>REACTIVOS P/LAB. TEC. MANUAL ; NOMBRE: TR HIV (AC), USO: SEROLOGIA, PRESENTACION: KIT</t>
  </si>
  <si>
    <t>2.5.1-9052.500</t>
  </si>
  <si>
    <t>REACTIVOS P/LAB. TEC. MANUAL ; NOMBRE: TEST EMBARAZO, USO: DIAGNOSTICO, PRESENTACION: ENVASE X 50 DETERM.</t>
  </si>
  <si>
    <t>2.5.1-8988.2513</t>
  </si>
  <si>
    <t>REACTIVOS P/EQUIPO; EQUIPO: METROLAB, MARCA EQUIPO: ABBOTT ALERE DETERMINE, NOMBRE DEL PRODUCTO: TEST RAPIDO PARA SIFILIS ANTIGENOS TREPONEMICOS, PRESENTACION: 30 UNIDADES</t>
  </si>
  <si>
    <t>2.5.1-8988.949</t>
  </si>
  <si>
    <t>REACTIVOS P/EQUIPO; EQUIPO: AUTOANA. QUIMICA CLINICA, MARCA EQUIPO: COBAS ROCHE, NOMBRE DEL PRODUCTO: PROTEINAS TOTALES, PRESENTACION: ENVASE X 300 DETERM.</t>
  </si>
  <si>
    <t>2.5.1-8988.972</t>
  </si>
  <si>
    <t>REACTIVOS P/EQUIPO; EQUIPO: AUTOANA. QUIMICA CLINICA, MARCA EQUIPO: COBAS ROCHE, NOMBRE DEL PRODUCTO: ALBUMINA P/MICROALBUMINURIA, PRESENTACION: ENVASE X 100 DETERM.</t>
  </si>
  <si>
    <t>FRASCO</t>
  </si>
  <si>
    <t>Año 2025</t>
  </si>
  <si>
    <t>REACTIVOS P/EQUIPO; EQUIPO: ELECTROLUMINISCENCIA, MARCA EQUIPO: COBAS ROCHE, NOMBRE DEL PRODUCTO: REACTIVO CHAGAS, PRESENTACION: ENVASE X 100 DETERM.</t>
  </si>
  <si>
    <t>2.5.1-8988.465</t>
  </si>
  <si>
    <t>REACTIVOS P/EQUIPO; EQUIPO: AUTOANA. X QUIMIOLUMINISCENCIA, MARCA EQUIPO: ROCHE, NOMBRE DEL PRODUCTO: DILUYENTE UNIVERSAL, PRESENTACION: 2 X ENVASE X 40 mL</t>
  </si>
  <si>
    <t>2.5.1-8988.1792</t>
  </si>
  <si>
    <t>REACTIVOS P/EQUIPO; EQUIPO: AUTOANA. X QUIMIOLUMINISCENCIA, MARCA EQUIPO: ROCHE, NOMBRE DEL PRODUCTO: FERRITINA, PRESENTACION: ENVASE X 250 DETERM.</t>
  </si>
  <si>
    <t>2.5.1-8988.582</t>
  </si>
  <si>
    <t>REACTIVOS P/EQUIPO; EQUIPO: AUTOANA. X QUIMIOLUMINISCENCIA, MARCA EQUIPO: ROCHE, NOMBRE DEL PRODUCTO: KIT P/CUANT. VITAMINA D, PRESENTACION: ENVASE X 100 DETERM.</t>
  </si>
  <si>
    <t>2.5.1-8937.910</t>
  </si>
  <si>
    <t>PATRON/ESTANDAR P/CALIBRACION; EQUIPO: AUTOANALIZADOR, MARCA EQUIPO: ROCHE, NOMBRE DEL PRODUCTO:CALIBRADOR DIMERO GEN 2, PRESENTACION:6 X 0,5 ML</t>
  </si>
  <si>
    <t>2.5.1-8937.918</t>
  </si>
  <si>
    <t>2.5.1-8937.919</t>
  </si>
  <si>
    <t>2.5.1-8988.2443</t>
  </si>
  <si>
    <t>2.5.1-8988.937</t>
  </si>
  <si>
    <t>REACTIVOS P/EQUIPO; EQUIPO: AUTOANA. QUIMICA CLINICA, MARCA EQUIPO: COBAS ROCHE, NOMBRE DEL PRODUCTO: COLESTEROL TOTAL, PRESENTACION: ENVASE X 400 DETERM.</t>
  </si>
  <si>
    <t>2.5.1-8988.942</t>
  </si>
  <si>
    <t>REACTIVOS P/EQUIPO; EQUIPO: AUTOANA. QUIMICA CLINICA, MARCA EQUIPO: COBAS ROCHE, NOMBRE DEL PRODUCTO: CREATININA JAFFE, PRESENTACION: ENVASE X 700 DETERM.</t>
  </si>
  <si>
    <t>2.5.1-8988.948</t>
  </si>
  <si>
    <t>REACTIVOS P/EQUIPO; EQUIPO: AUTOANA. QUIMICA CLINICA, MARCA EQUIPO: COBAS ROCHE, NOMBRE DEL PRODUCTO: FOSFORO, PRESENTACION: ENVASE X 250 DETERM.</t>
  </si>
  <si>
    <t>2.5.1-8988.956</t>
  </si>
  <si>
    <t>REACTIVOS P/EQUIPO; EQUIPO: AUTOANA. QUIMICA CLINICA, MARCA EQUIPO: COBAS ROCHE, NOMBRE DEL PRODUCTO: U/CSF, PRESENTACION: ENVASE X 150 DETERM.</t>
  </si>
  <si>
    <t>2.5.1-8937.666</t>
  </si>
  <si>
    <t>PATRON/ESTANDAR P/CALIBRACION; EQUIPO: AUTOANALIZADOR, MARCA EQUIPO: ACCESS, NOMBRE DEL PRODUCTO: CALIBRADOR LH, PRESENTACION: 6 X ENVASE X 4 mL</t>
  </si>
  <si>
    <t>2.5.1-9052.294</t>
  </si>
  <si>
    <t>REACTIVOS P/LAB. TEC. MANUAL ; NOMBRE: REACTIVO HUDDLESON, USO: DIAGNOSTICO DE BRUCELOSIS, PRESENTACION: ENVASE X 5 mL</t>
  </si>
  <si>
    <t>2.5.1-8937.225</t>
  </si>
  <si>
    <t>PATRON/ESTANDAR P/CALIBRACION; EQUIPO: AUTOANA. X QUIMIOLUMINISCENCIA, MARCA EQUIPO: ROCHE, NOMBRE DEL PRODUCTO: CALIBRADOR HORMONA PROLACTINA, PRESENTACION: ENVASE X 10 DETERM.</t>
  </si>
  <si>
    <t>PATRON/ESTANDAR P/CALIBRACION; EQUIPO: AUTOANA. X QUIMIOLUMINISCENCIA, MARCA EQUIPO: ACCESS, NOMBRE DEL PRODUCTO: CALIBRADOR T4 TOTAL, PRESENTACION: 6 X ENVASE X 4 mL</t>
  </si>
  <si>
    <t>2.5.1-8937.280</t>
  </si>
  <si>
    <t>2.5.1-8988.1608</t>
  </si>
  <si>
    <t>REACTIVOS P/EQUIPO; EQUIPO: AUTOANALIZADOR, MARCA EQUIPO: COBAS ROCHE, NOMBRE DEL PRODUCTO: BETA HCG, PRESENTACION: ENVASE X 100 DETERM.</t>
  </si>
  <si>
    <t>2.5.1-8988.20</t>
  </si>
  <si>
    <t>REACTIVOS P/EQUIPO; EQUIPO: AUTOANA. X QUIMIOLUMINISCENCIA, MARCA EQUIPO: ROCHE, NOMBRE DEL PRODUCTO: CONTROL UNIVERSAL, PRESENTACION: 4 X ENVASE X 3 ML</t>
  </si>
  <si>
    <t>PATRON/ESTANDAR P/CALIBRACION; EQUIPO: AUTOANA. X QUIMIOLUMINISCENCIA, MARCA EQUIPO: ROCHE, NOMBRE DEL PRODUCTO: CALIBRADOR HORMONA ESTRADIOL, PRESENTACION: ENVASE X 10 DETERM.</t>
  </si>
  <si>
    <t>2.5.1-8937.220</t>
  </si>
  <si>
    <t>REACTIVOS P/EQUIPO; EQUIPO: AUTOANA. X QUIMIOLUMINISCENCIA, MARCA EQUIPO: ROCHE, NOMBRE DEL PRODUCTO: KIT P/CUANT. HORMONA ESTRADIOL, PRESENTACION: ENVASE X 100 DETERM.</t>
  </si>
  <si>
    <t>2.5.1-8988.432</t>
  </si>
  <si>
    <t>PATRON/ESTANDAR P/CALIBRACION; EQUIPO: AUTOANA. X QUIMIOLUMINISCENCIA, MARCA EQUIPO: ROCHE, NOMBRE DEL PRODUCTO: CALIBRADOR HORMONA INSULINA, PRESENTACION: ENVASE X 10 DETERM.</t>
  </si>
  <si>
    <t>2.5.1-8937.223</t>
  </si>
  <si>
    <t>1</t>
  </si>
  <si>
    <t>$ 278.879,00</t>
  </si>
  <si>
    <t>4° TRIMESTRE</t>
  </si>
  <si>
    <t>2.5.1-8988.1624</t>
  </si>
  <si>
    <t>REACTIVOS P/EQUIPO; EQUIPO: SISTEMA AUTOMATIZADO HEMOCULTI, MARCA EQUIPO: BACT ALERT, NOMBRE DEL PRODUCTO: HEMOCULTIVO PEDIATRICO, PRESENTACION: ENVASE X 100 UN</t>
  </si>
  <si>
    <t>2.5.1-9052.2195</t>
  </si>
  <si>
    <t>REACTIVOS P/LAB. TEC. MANUAL; NOMBRE: EQUIPO PARA INMUNOCROMATOGRAFIA DE CHLAMYDIA, USO: INMUNOCROMATOGRAFIA, ESTADO: SOLIDO, PRESENTACION: ENVASE X 20 DETERMINACIONES, TIPO: CHLAMY-CHEK 1 STRIP VEDA LAB</t>
  </si>
  <si>
    <t>2.5.1-9016.1021</t>
  </si>
  <si>
    <t>MEDIOS DE CULTIVO Y SUPLEMENTO; NOMBRE DEL PRODUCTO: EQUIPO DE DIAGNOSTICO DE MYCOPLASMA DE UROGENITALES, ESTADO: LÍQUIDO, PRESENTACION: ENVASE X 20 DETERMINACIONES, TIPO: MYCOFAST REVOLUTION 2</t>
  </si>
  <si>
    <t>2.5.1-9016.200</t>
  </si>
  <si>
    <t>MEDIOS DE CULTIVO Y SUPLEMENTO; NOMBRE DEL PRODUCTO: AGAR BASE SANGRE, ESTADO: SOLIDO, PRESENTACION: ENVASE X 500 mL</t>
  </si>
  <si>
    <t>2.5.1-9016.222</t>
  </si>
  <si>
    <t>MEDIOS DE CULTIVO Y SUPLEMENTO; NOMBRE DEL PRODUCTO: AGAR MULLER HILTON, ESTADO: SOLIDO, PRESENTACION: ENVASE X 500 GR</t>
  </si>
  <si>
    <t>2.5.1-9016.262</t>
  </si>
  <si>
    <t>MEDIOS DE CULTIVO Y SUPLEMENTO; NOMBRE DEL PRODUCTO: AGAR SALMONELLA- SHIGELLA, ESTADO: SOLIDO, PRESENTACION: ENVASE X 100 GR</t>
  </si>
  <si>
    <t>2.5.1-9016.383</t>
  </si>
  <si>
    <t>MEDIOS DE CULTIVO Y SUPLEMENTO; NOMBRE DEL PRODUCTO: AGAR C.L.D.E, ESTADO: SOLIDO, PRESENTACION: ENVASE X 500 GR</t>
  </si>
  <si>
    <t>2.5.1-9016.429</t>
  </si>
  <si>
    <t>MEDIOS DE CULTIVO Y SUPLEMENTO; NOMBRE DEL PRODUCTO: CROMAGAR ESTREPTO B, ESTADO: SOLIDO EN PLACA, PRESENTACION: ENVASE X 20 UN</t>
  </si>
  <si>
    <t>2.5.1-9016.546</t>
  </si>
  <si>
    <t>MEDIOS DE CULTIVO Y SUPLEMENTO; NOMBRE DEL PRODUCTO: AGAR MUELLER HINTON SANGRE OVI, ESTADO: SOLIDO EN PLACA, PRESENTACION: ENVASE X 10 UN</t>
  </si>
  <si>
    <t>2.5.1-9016.621</t>
  </si>
  <si>
    <t>MEDIOS DE CULTIVO Y SUPLEMENTO; NOMBRE DEL PRODUCTO: PYR-A-ENTEROCOCOS C/REVELADOR, ESTADO: DISCO, PRESENTACION: ENVASE X 25 UN</t>
  </si>
  <si>
    <t>2.5.1-9016.704</t>
  </si>
  <si>
    <t>MEDIOS DE CULTIVO Y SUPLEMENTO; NOMBRE DEL PRODUCTO: CIM VANCOMICINA, ESTADO: TIRA, PRESENTACION: ENVASE X 10 UN</t>
  </si>
  <si>
    <t>2.5.1-9016.713</t>
  </si>
  <si>
    <t>MEDIOS DE CULTIVO Y SUPLEMENTO; NOMBRE DEL PRODUCTO: AGAR LEVINE, ESTADO: SOLIDO, PRESENTACION: ENVASE X 500 GR</t>
  </si>
  <si>
    <t>2.5.1-9022.47</t>
  </si>
  <si>
    <t>ANTIBIOTICOS; COMPUESTO QUIMICO: CEFOTAXINA 30 µGr, ESTADO: DISCO, CALIDAD: PRO ANALISIS, PRESENTACION: ENVASE X 50 UN</t>
  </si>
  <si>
    <t>2.5.1-9022.48</t>
  </si>
  <si>
    <t>ANTIBIOTICOS; COMPUESTO QUIMICO: CEFOXITINA 30 µGr, ESTADO: DISCO, CALIDAD: PRO ANALISIS, PRESENTACION: ENVASE X 50 UN</t>
  </si>
  <si>
    <t>2.5.1-9022.57</t>
  </si>
  <si>
    <t>2.5.1-9022.59</t>
  </si>
  <si>
    <t>ANTIBIOTICOS; COMPUESTO QUIMICO: CLINDAMICINA 2 µGr, ESTADO: DISCO, CALIDAD: PRO ANALISIS, PRESENTACION: ENVASE X 50 UN</t>
  </si>
  <si>
    <t>2.5.1-9022.60</t>
  </si>
  <si>
    <t>ANTIBIOTICOS; COMPUESTO QUIMICO: ERITROMICINA 15 µGr, ESTADO: DISCO, CALIDAD: PRO ANALISIS, PRESENTACION: ENVASE X 50 UN</t>
  </si>
  <si>
    <t>2.5.1-9022.66</t>
  </si>
  <si>
    <t>ANTIBIOTICOS; COMPUESTO QUIMICO: OXACILINA 1 µGr, ESTADO: DISCO, CALIDAD: PRO ANALISIS, PRESENTACION: ENVASE X 50 UN</t>
  </si>
  <si>
    <t>2.5.1-9022.67</t>
  </si>
  <si>
    <t>ANTIBIOTICOS; COMPUESTO QUIMICO: PENICILINA 10 µGr, ESTADO: DISCO, CALIDAD: PRO ANALISIS, PRESENTACION: ENVASE X 50 UN</t>
  </si>
  <si>
    <t>2.5.1-9022.68</t>
  </si>
  <si>
    <t>ANTIBIOTICOS; COMPUESTO QUIMICO: PIPERACILINA TAZOBACTAM 100/10 µGr, ESTADO: DISCO, CALIDAD: PRO ANALISIS, PRESENTACION: ENVASE X 50 UN</t>
  </si>
  <si>
    <t>2.5.1-9022.71</t>
  </si>
  <si>
    <t>ANTIBIOTICOS; COMPUESTO QUIMICO: TEICOPLANINA 30 µGr, ESTADO: DISCO, CALIDAD: PRO ANALISIS, PRESENTACION: ENVASE X 50 UN</t>
  </si>
  <si>
    <t>2.5.1-9022.74</t>
  </si>
  <si>
    <t>ANTIBIOTICOS; COMPUESTO QUIMICO: VANCOMICINA 30 µGr, ESTADO: DISCO, CALIDAD: PRO ANALISIS, PRESENTACION: ENVASE X 50 UN</t>
  </si>
  <si>
    <t>2.5.1-9022.76</t>
  </si>
  <si>
    <t>ANTIBIOTICOS; COMPUESTO QUIMICO: AMOXICIL+AC.CLAVULANICO 20/10 µGr, ESTADO: DISCO, CALIDAD: PRO ANALISIS, PRESENTACION: ENVASE X 50 UN</t>
  </si>
  <si>
    <t>2.5.1-9022.80</t>
  </si>
  <si>
    <t>ANTIBIOTICOS; COMPUESTO QUIMICO: AZTREONAM 30 µGr, ESTADO: DISCO, CALIDAD: PRO ANALISIS, PRESENTACION: ENVASE X 50 UN</t>
  </si>
  <si>
    <t>2.5.1-9022.86</t>
  </si>
  <si>
    <t>ANTIBIOTICOS; COMPUESTO QUIMICO: CEFTAZIDIMA 30 µGr, ESTADO: DISCO, CALIDAD: PRO ANALISIS, PRESENTACION: ENVASE X 50 UN</t>
  </si>
  <si>
    <t>2.5.1-9022.95</t>
  </si>
  <si>
    <t>ANTIBIOTICOS; COMPUESTO QUIMICO: ETILENDIAMINOTETRAACETICO, ESTADO: DISCO, CALIDAD: PRO ANALISIS, PRESENTACION: ENVASE X 50 UN</t>
  </si>
  <si>
    <t>2.5.1-9022.114</t>
  </si>
  <si>
    <t>ANTIBIOTICOS; COMPUESTO QUIMICO: MEROPENEM 10 µGr, ESTADO: DISCO, CALIDAD: PRO ANALISIS, PRESENTACION: ENVASE X 50 UN</t>
  </si>
  <si>
    <t>2.5.1-9022.120</t>
  </si>
  <si>
    <t>ANTIBIOTICOS; COMPUESTO QUIMICO: AMICACINA 30 µGr, ESTADO: DISCO, CALIDAD: PRO ANALISIS, PRESENTACION: ENVASE X 50 UN</t>
  </si>
  <si>
    <t>2.5.1-9022.139</t>
  </si>
  <si>
    <t>ANTIBIOTICOS; COMPUESTO QUIMICO: ERTAPENEM 10 UG, ESTADO: DISCOS, CALIDAD: PRO ANALISIS, PRESENTACION: ENVASE X 50 UN</t>
  </si>
  <si>
    <t>2.5.1-9052.1612</t>
  </si>
  <si>
    <t>REACTIVOS P/LAB. TEC. MANUAL ; NOMBRE: AC. BORONICO 300 UG, USO: ANTIBIOGRAMA, PRESENTACION: ENVASE X 50 DISCO</t>
  </si>
  <si>
    <t>2.5.1-9052.1716</t>
  </si>
  <si>
    <t>REACTIVOS P/LAB. TEC. MANUAL ; NOMBRE: DISCOS COMBINADOS P/CARBAPENEM, USO: MICROBIOLOGIA, PRESENTACION: ENVASE X 50 UN</t>
  </si>
  <si>
    <t>tipo DCM Britania</t>
  </si>
  <si>
    <t>2.5.1-9052.41</t>
  </si>
  <si>
    <t>REACTIVOS P/LAB. TEC. MANUAL ; NOMBRE: TIGECICLINA 15 UG, USO: ANTIBIOGRAMA, PRESENTACION: ENVASE X 50 DISCO</t>
  </si>
  <si>
    <t>2.5.1-9016.666</t>
  </si>
  <si>
    <t>MEDIOS DE CULTIVO Y SUPLEMENTO; NOMBRE DEL PRODUCTO: CALDO TIOGLICOLATO, ESTADO: SOLIDO, PRESENTACION: ENVASE X 100 GR</t>
  </si>
  <si>
    <t>PATRON/ESTANDAR P/CALIBRACION; EQUIPO: AUTOANALIZADOR, MARCA EQUIPO: ROCHE, NOMBRE DEL PRODUCTO: CONTROL HBA1C NORM, PRESENTACION: 4 X 1 ML</t>
  </si>
  <si>
    <t>PATRON/ESTANDAR P/CALIBRACION; EQUIPO: AUTOANALIZADOR, MARCA EQUIPO: ROCHE, NOMBRE DEL PRODUCTO: CONTROL HBA1C PATH, PRESENTACION: 4 X 1 ML</t>
  </si>
  <si>
    <t>2.5.1-8988.459</t>
  </si>
  <si>
    <t>REACTIVOS P/EQUIPO; EQUIPO: AUTOANA. X QUIMIOLUMINISCENCIA, MARCA EQUIPO: ROCHE, NOMBRE DEL PRODUCTO: ANTIG. CARCINOEMBRIONARIO CEA, PRESENTACION: ENVASE X 100 DETERM.</t>
  </si>
  <si>
    <t>REACTIVOS P/EQUIPO; EQUIPO: AUTOANALIZADOR, MARCA EQUIPO: ROCHE, NOMBRE DEL PRODUCTO: CONTROL DIMERO D GEN 2 CONTROL I/II, PRESENTACION: D-DIMER GEN.2 CONTROL I: 2 FRASCOS X 1 ML Y D-DIMER GEM.2 CONTROL II: 2 FRASCOS X 1 ML</t>
  </si>
  <si>
    <t>ANTIBIOTICOS; COMPUESTO QUIMICO: CIFOPROFLOXACINA 5 µGr, ESTADO: DISCO, CALIDAD: PRO ANALISIS, PRESENTACION: ENVASE X 50 UN</t>
  </si>
  <si>
    <t>PATRON/ESTANDAR P/CALIBRACION; EQUIPO: AUTOANAL. X QUIMIOLUMINISCENCIA, MARCA EQUIPO: ROCHE, NOMBRE DEL PRODUCTO:  PRECINORM FRUCTOSAMINA, PRESENTACION: 3 ENVASES X 1 ML.</t>
  </si>
  <si>
    <t>2.5.1-8937.982</t>
  </si>
  <si>
    <t>PATRON/ESTANDAR P/CALIBRACION; EQUIPO: AUTOANAL. X QUIMIOLUMINISCENCIA, MARCA EQUIPO: ROCHE, NOMBRE DEL PRODUCTO:  PRECIPATH FRUCTOSAMINE, PRESENTACION: 3 ENVASES X 1 ML.</t>
  </si>
  <si>
    <t>2.5.1-8937.985</t>
  </si>
  <si>
    <t>BOLSA</t>
  </si>
  <si>
    <t>TIPO ALL TEST</t>
  </si>
  <si>
    <t>ESPECIFICACIONES ITEMS DEL 1 AL 99:</t>
  </si>
  <si>
    <r>
      <t xml:space="preserve">a) </t>
    </r>
    <r>
      <rPr>
        <b/>
        <sz val="12"/>
        <color rgb="FF000000"/>
        <rFont val="Times New Roman"/>
        <family val="1"/>
      </rPr>
      <t>LUGAR DE ENTREGA</t>
    </r>
    <r>
      <rPr>
        <sz val="12"/>
        <color rgb="FF000000"/>
        <rFont val="Times New Roman"/>
        <family val="1"/>
      </rPr>
      <t>:  SERVICIO DE LABORATORIO -MATERNIDAD PROVINCIAL 25 DE MAYO-HERNANDO DE PEDRAZA N° 1650- SAN FERNANDO DEL VALLE DE CATAMARCA -DE LUNES A VIERNES EN EL HORARIO DE 8:00 a 10:00 HS</t>
    </r>
  </si>
  <si>
    <r>
      <t xml:space="preserve">b) </t>
    </r>
    <r>
      <rPr>
        <b/>
        <sz val="12"/>
        <color rgb="FF000000"/>
        <rFont val="Times New Roman"/>
        <family val="1"/>
      </rPr>
      <t>FORMA DE ENTREGA</t>
    </r>
    <r>
      <rPr>
        <sz val="12"/>
        <color rgb="FF000000"/>
        <rFont val="Times New Roman"/>
        <family val="1"/>
      </rPr>
      <t xml:space="preserve">: </t>
    </r>
    <r>
      <rPr>
        <b/>
        <sz val="12"/>
        <color rgb="FF000000"/>
        <rFont val="Times New Roman"/>
        <family val="1"/>
      </rPr>
      <t>UNA SOLA ENTREGA</t>
    </r>
    <r>
      <rPr>
        <sz val="12"/>
        <color rgb="FF000000"/>
        <rFont val="Times New Roman"/>
        <family val="1"/>
      </rPr>
      <t>- Libre de flete, acarreo y embalaje, como así también, de todo riesgo de pérdida o destrucción total o parcial, por causas ajenas a la Institución</t>
    </r>
  </si>
  <si>
    <r>
      <t xml:space="preserve">C) </t>
    </r>
    <r>
      <rPr>
        <b/>
        <sz val="12"/>
        <color rgb="FF000000"/>
        <rFont val="Times New Roman"/>
        <family val="1"/>
      </rPr>
      <t>PLAZO DE ENTREGA</t>
    </r>
    <r>
      <rPr>
        <sz val="12"/>
        <color rgb="FF000000"/>
        <rFont val="Times New Roman"/>
        <family val="1"/>
      </rPr>
      <t>: 10 (diez) dias habiles.</t>
    </r>
  </si>
  <si>
    <r>
      <t xml:space="preserve">d) </t>
    </r>
    <r>
      <rPr>
        <b/>
        <sz val="12"/>
        <color rgb="FF000000"/>
        <rFont val="Times New Roman"/>
        <family val="1"/>
      </rPr>
      <t>PLAZO DE PAGO</t>
    </r>
    <r>
      <rPr>
        <sz val="12"/>
        <color rgb="FF000000"/>
        <rFont val="Times New Roman"/>
        <family val="1"/>
      </rPr>
      <t>: Dentro de los 60(sesenta) dias habiles de efectuada la recepcion definitiva de los bienes solicitados.</t>
    </r>
  </si>
  <si>
    <r>
      <rPr>
        <b/>
        <u/>
        <sz val="12"/>
        <color rgb="FF000000"/>
        <rFont val="Times New Roman"/>
        <family val="1"/>
      </rPr>
      <t>CALIDAD MINIMA ESPERADA</t>
    </r>
    <r>
      <rPr>
        <u/>
        <sz val="12"/>
        <color rgb="FF000000"/>
        <rFont val="Times New Roman"/>
        <family val="1"/>
      </rPr>
      <t>: Que cumpla en forma integra con lo solicitado.</t>
    </r>
  </si>
  <si>
    <r>
      <rPr>
        <b/>
        <u/>
        <sz val="12"/>
        <color rgb="FF000000"/>
        <rFont val="Times New Roman"/>
        <family val="1"/>
      </rPr>
      <t>MANTENIMIENTO DE OFERTA</t>
    </r>
    <r>
      <rPr>
        <u/>
        <sz val="12"/>
        <color rgb="FF000000"/>
        <rFont val="Times New Roman"/>
        <family val="1"/>
      </rPr>
      <t xml:space="preserve">: </t>
    </r>
    <r>
      <rPr>
        <sz val="12"/>
        <color rgb="FF000000"/>
        <rFont val="Times New Roman"/>
        <family val="1"/>
      </rPr>
      <t xml:space="preserve"> 40(CUARENTA) DIAS HABILES</t>
    </r>
  </si>
  <si>
    <r>
      <rPr>
        <b/>
        <u/>
        <sz val="12"/>
        <color rgb="FF000000"/>
        <rFont val="Times New Roman"/>
        <family val="1"/>
      </rPr>
      <t>GARANTIA</t>
    </r>
    <r>
      <rPr>
        <u/>
        <sz val="12"/>
        <color rgb="FF000000"/>
        <rFont val="Times New Roman"/>
        <family val="1"/>
      </rPr>
      <t>:</t>
    </r>
  </si>
  <si>
    <t>Columna1</t>
  </si>
  <si>
    <t>Columna2</t>
  </si>
  <si>
    <t>ADJ. JUNIO/25 $251,414,00</t>
  </si>
  <si>
    <t>ADJ. JULIO/25 $176.412,00</t>
  </si>
  <si>
    <t>ADJ. JUNIO/25 $19.153,00</t>
  </si>
  <si>
    <t>ADJ. JUNIO/25 $114.366,00</t>
  </si>
  <si>
    <t>ADJ. JUNIO/25 $18.377,00</t>
  </si>
  <si>
    <t>ADJ. JUNIO/25 $21.837,00</t>
  </si>
  <si>
    <t>ADJ. JUNIO/25 $27.565,00</t>
  </si>
  <si>
    <t>ADJ. ABRIL/25 $102.900,00</t>
  </si>
  <si>
    <t>90 ITEMS</t>
  </si>
  <si>
    <t>2 TRIM</t>
  </si>
  <si>
    <t>4 TRIM</t>
  </si>
  <si>
    <t>350 unidades</t>
  </si>
  <si>
    <t>376 unidades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</si>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</sst>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&quot;$&quot;\ #,##0;[Red]\-&quot;$&quot;\ #,##0"/>
    <numFmt numFmtId="8" formatCode="&quot;$&quot;\ #,##0.00;[Red]\-&quot;$&quot;\ #,##0.00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&quot;$&quot;\ #,##0.00"/>
    <numFmt numFmtId="167" formatCode="_-&quot;$&quot;* #,##0.00_-;\-&quot;$&quot;* #,##0.00_-;_-&quot;$&quot;* &quot;-&quot;??_-;_-@_-"/>
    <numFmt numFmtId="168" formatCode="_ * #,##0_ ;_ * \-#,##0_ ;_ * &quot;-&quot;_ ;_ @_ "/>
    <numFmt numFmtId="169" formatCode="_ &quot;$&quot;\ * #,##0.00_ ;_ &quot;$&quot;\ * \-#,##0.00_ ;_ &quot;$&quot;\ * &quot;-&quot;??_ ;_ @_ "/>
    <numFmt numFmtId="170" formatCode="_ * #,##0.00_ ;_ * \-#,##0.00_ ;_ * &quot;-&quot;??_ ;_ @_ "/>
    <numFmt numFmtId="171" formatCode="&quot;$&quot;#,##0\ ;\(&quot;$&quot;#,##0\)"/>
    <numFmt numFmtId="172" formatCode="[$-409]d\-mmm\-yy;@"/>
    <numFmt numFmtId="173" formatCode="_-&quot;R$&quot;\ * #,##0.00_-;\-&quot;R$&quot;\ * #,##0.00_-;_-&quot;R$&quot;\ * &quot;-&quot;??_-;_-@_-"/>
    <numFmt numFmtId="174" formatCode="&quot;¥&quot;#,##0;[Red]&quot;¥&quot;\-#,##0"/>
    <numFmt numFmtId="175" formatCode="_(&quot;R$ &quot;* #,##0.00_);_(&quot;R$ &quot;* \(#,##0.00\);_(&quot;R$ &quot;* &quot;-&quot;??_);_(@_)"/>
    <numFmt numFmtId="177" formatCode="_-[$$-2C0A]\ * #,##0.00_-;\-[$$-2C0A]\ * #,##0.00_-;_-[$$-2C0A]\ * &quot;-&quot;??_-;_-@_-"/>
  </numFmts>
  <fonts count="7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b/>
      <sz val="12"/>
      <color rgb="FF000000"/>
      <name val="Times New Roman"/>
      <family val="1"/>
    </font>
    <font>
      <sz val="11"/>
      <color rgb="FF006100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sz val="11"/>
      <color indexed="8"/>
      <name val="宋体"/>
    </font>
    <font>
      <sz val="11"/>
      <color indexed="8"/>
      <name val="宋体"/>
      <charset val="134"/>
    </font>
    <font>
      <sz val="11"/>
      <color indexed="9"/>
      <name val="宋体"/>
    </font>
    <font>
      <sz val="11"/>
      <color indexed="9"/>
      <name val="宋体"/>
      <charset val="134"/>
    </font>
    <font>
      <sz val="11"/>
      <color rgb="FF9C0006"/>
      <name val="Arial"/>
      <family val="2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color theme="1"/>
      <name val="Arial"/>
      <family val="2"/>
    </font>
    <font>
      <sz val="11"/>
      <color indexed="17"/>
      <name val="宋体"/>
    </font>
    <font>
      <sz val="11"/>
      <color indexed="17"/>
      <name val="宋体"/>
      <charset val="134"/>
    </font>
    <font>
      <sz val="11"/>
      <color indexed="20"/>
      <name val="宋体"/>
    </font>
    <font>
      <sz val="11"/>
      <color indexed="20"/>
      <name val="宋体"/>
      <charset val="134"/>
    </font>
    <font>
      <b/>
      <sz val="18"/>
      <color indexed="56"/>
      <name val="宋体"/>
    </font>
    <font>
      <b/>
      <sz val="15"/>
      <color indexed="56"/>
      <name val="宋体"/>
    </font>
    <font>
      <b/>
      <sz val="15"/>
      <color indexed="56"/>
      <name val="宋体"/>
      <charset val="134"/>
    </font>
    <font>
      <b/>
      <sz val="13"/>
      <color indexed="56"/>
      <name val="宋体"/>
    </font>
    <font>
      <b/>
      <sz val="13"/>
      <color indexed="56"/>
      <name val="宋体"/>
      <charset val="134"/>
    </font>
    <font>
      <b/>
      <sz val="11"/>
      <color indexed="56"/>
      <name val="宋体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b/>
      <sz val="11"/>
      <color indexed="9"/>
      <name val="宋体"/>
    </font>
    <font>
      <b/>
      <sz val="11"/>
      <color indexed="9"/>
      <name val="宋体"/>
      <charset val="134"/>
    </font>
    <font>
      <b/>
      <sz val="11"/>
      <color indexed="8"/>
      <name val="宋体"/>
    </font>
    <font>
      <b/>
      <sz val="11"/>
      <color indexed="8"/>
      <name val="宋体"/>
      <charset val="134"/>
    </font>
    <font>
      <i/>
      <sz val="11"/>
      <color indexed="23"/>
      <name val="宋体"/>
    </font>
    <font>
      <i/>
      <sz val="11"/>
      <color indexed="23"/>
      <name val="宋体"/>
      <charset val="134"/>
    </font>
    <font>
      <sz val="11"/>
      <color indexed="10"/>
      <name val="宋体"/>
    </font>
    <font>
      <sz val="11"/>
      <color indexed="10"/>
      <name val="宋体"/>
      <charset val="134"/>
    </font>
    <font>
      <b/>
      <sz val="11"/>
      <color indexed="52"/>
      <name val="宋体"/>
    </font>
    <font>
      <b/>
      <sz val="11"/>
      <color indexed="52"/>
      <name val="宋体"/>
      <charset val="134"/>
    </font>
    <font>
      <sz val="11"/>
      <color indexed="62"/>
      <name val="宋体"/>
    </font>
    <font>
      <sz val="11"/>
      <color indexed="62"/>
      <name val="宋体"/>
      <charset val="134"/>
    </font>
    <font>
      <b/>
      <sz val="11"/>
      <color indexed="63"/>
      <name val="宋体"/>
    </font>
    <font>
      <b/>
      <sz val="11"/>
      <color indexed="63"/>
      <name val="宋体"/>
      <charset val="134"/>
    </font>
    <font>
      <sz val="11"/>
      <color indexed="60"/>
      <name val="宋体"/>
    </font>
    <font>
      <sz val="11"/>
      <color indexed="60"/>
      <name val="宋体"/>
      <charset val="134"/>
    </font>
    <font>
      <sz val="11"/>
      <color indexed="52"/>
      <name val="宋体"/>
    </font>
    <font>
      <sz val="11"/>
      <color indexed="52"/>
      <name val="宋体"/>
      <charset val="134"/>
    </font>
    <font>
      <sz val="11"/>
      <name val="Calibri"/>
      <family val="2"/>
    </font>
    <font>
      <sz val="10"/>
      <name val="Arial"/>
      <family val="2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2"/>
      <color rgb="FF000000"/>
      <name val="Times New Roman"/>
      <family val="1"/>
    </font>
    <font>
      <b/>
      <u/>
      <sz val="12"/>
      <color rgb="FF000000"/>
      <name val="Times New Roman"/>
      <family val="1"/>
    </font>
    <font>
      <u/>
      <sz val="12"/>
      <color rgb="FF000000"/>
      <name val="Times New Roman"/>
      <family val="1"/>
    </font>
    <font>
      <u/>
      <sz val="12"/>
      <color rgb="FFFF0000"/>
      <name val="Times New Roman"/>
      <family val="1"/>
    </font>
    <font>
      <b/>
      <sz val="15"/>
      <color rgb="FF000000"/>
      <name val="Times New Roman"/>
      <family val="1"/>
    </font>
    <font>
      <b/>
      <sz val="15"/>
      <name val="Times New Roman"/>
      <family val="1"/>
    </font>
    <font>
      <sz val="15"/>
      <color theme="1"/>
      <name val="Times New Roman"/>
      <family val="1"/>
    </font>
    <font>
      <sz val="15"/>
      <name val="Times New Roman"/>
      <family val="1"/>
    </font>
    <font>
      <sz val="15"/>
      <color rgb="FF333333"/>
      <name val="Times New Roman"/>
      <family val="1"/>
    </font>
    <font>
      <sz val="15"/>
      <color rgb="FF000000"/>
      <name val="Times New Roman"/>
      <family val="1"/>
    </font>
    <font>
      <b/>
      <sz val="1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indexed="4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40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double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97">
    <xf numFmtId="0" fontId="0" fillId="0" borderId="0"/>
    <xf numFmtId="0" fontId="3" fillId="0" borderId="1" applyProtection="0"/>
    <xf numFmtId="0" fontId="4" fillId="2" borderId="0" applyBorder="0" applyProtection="0"/>
    <xf numFmtId="0" fontId="5" fillId="0" borderId="0"/>
    <xf numFmtId="0" fontId="5" fillId="0" borderId="0"/>
    <xf numFmtId="0" fontId="5" fillId="0" borderId="0"/>
    <xf numFmtId="0" fontId="7" fillId="4" borderId="0" applyNumberFormat="0" applyBorder="0" applyAlignment="0" applyProtection="0"/>
    <xf numFmtId="0" fontId="2" fillId="5" borderId="0" applyNumberFormat="0" applyBorder="0" applyAlignment="0" applyProtection="0"/>
    <xf numFmtId="165" fontId="5" fillId="0" borderId="0" applyBorder="0" applyProtection="0"/>
    <xf numFmtId="164" fontId="9" fillId="0" borderId="0" applyFont="0" applyFill="0" applyBorder="0" applyAlignment="0" applyProtection="0"/>
    <xf numFmtId="0" fontId="5" fillId="0" borderId="0"/>
    <xf numFmtId="168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170" fontId="1" fillId="0" borderId="0" applyFont="0" applyFill="0" applyBorder="0" applyAlignment="0" applyProtection="0"/>
    <xf numFmtId="3" fontId="5" fillId="0" borderId="0" applyFont="0" applyFill="0" applyBorder="0" applyAlignment="0" applyProtection="0"/>
    <xf numFmtId="44" fontId="14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70" fontId="5" fillId="0" borderId="0" applyFont="0" applyFill="0" applyBorder="0" applyAlignment="0" applyProtection="0"/>
    <xf numFmtId="170" fontId="1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" fontId="8" fillId="7" borderId="5" applyNumberFormat="0" applyProtection="0">
      <alignment horizontal="left" vertical="center" indent="1"/>
    </xf>
    <xf numFmtId="0" fontId="16" fillId="0" borderId="0"/>
    <xf numFmtId="0" fontId="5" fillId="0" borderId="6" applyNumberFormat="0" applyFont="0" applyFill="0" applyAlignment="0" applyProtection="0"/>
    <xf numFmtId="0" fontId="1" fillId="0" borderId="0"/>
    <xf numFmtId="9" fontId="1" fillId="0" borderId="0" applyFont="0" applyFill="0" applyBorder="0" applyAlignment="0" applyProtection="0"/>
    <xf numFmtId="172" fontId="18" fillId="8" borderId="0" applyNumberFormat="0" applyBorder="0" applyAlignment="0" applyProtection="0">
      <alignment vertical="center"/>
    </xf>
    <xf numFmtId="172" fontId="18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172" fontId="19" fillId="8" borderId="0" applyNumberFormat="0" applyBorder="0" applyAlignment="0" applyProtection="0">
      <alignment vertical="center"/>
    </xf>
    <xf numFmtId="172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172" fontId="19" fillId="8" borderId="0" applyNumberFormat="0" applyBorder="0" applyAlignment="0" applyProtection="0">
      <alignment vertical="center"/>
    </xf>
    <xf numFmtId="172" fontId="18" fillId="9" borderId="0" applyNumberFormat="0" applyBorder="0" applyAlignment="0" applyProtection="0">
      <alignment vertical="center"/>
    </xf>
    <xf numFmtId="172" fontId="18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172" fontId="19" fillId="9" borderId="0" applyNumberFormat="0" applyBorder="0" applyAlignment="0" applyProtection="0">
      <alignment vertical="center"/>
    </xf>
    <xf numFmtId="172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172" fontId="19" fillId="9" borderId="0" applyNumberFormat="0" applyBorder="0" applyAlignment="0" applyProtection="0">
      <alignment vertical="center"/>
    </xf>
    <xf numFmtId="172" fontId="18" fillId="10" borderId="0" applyNumberFormat="0" applyBorder="0" applyAlignment="0" applyProtection="0">
      <alignment vertical="center"/>
    </xf>
    <xf numFmtId="172" fontId="18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172" fontId="19" fillId="10" borderId="0" applyNumberFormat="0" applyBorder="0" applyAlignment="0" applyProtection="0">
      <alignment vertical="center"/>
    </xf>
    <xf numFmtId="172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172" fontId="19" fillId="10" borderId="0" applyNumberFormat="0" applyBorder="0" applyAlignment="0" applyProtection="0">
      <alignment vertical="center"/>
    </xf>
    <xf numFmtId="172" fontId="18" fillId="11" borderId="0" applyNumberFormat="0" applyBorder="0" applyAlignment="0" applyProtection="0">
      <alignment vertical="center"/>
    </xf>
    <xf numFmtId="172" fontId="18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172" fontId="19" fillId="11" borderId="0" applyNumberFormat="0" applyBorder="0" applyAlignment="0" applyProtection="0">
      <alignment vertical="center"/>
    </xf>
    <xf numFmtId="172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172" fontId="19" fillId="11" borderId="0" applyNumberFormat="0" applyBorder="0" applyAlignment="0" applyProtection="0">
      <alignment vertical="center"/>
    </xf>
    <xf numFmtId="172" fontId="18" fillId="12" borderId="0" applyNumberFormat="0" applyBorder="0" applyAlignment="0" applyProtection="0">
      <alignment vertical="center"/>
    </xf>
    <xf numFmtId="172" fontId="18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172" fontId="19" fillId="12" borderId="0" applyNumberFormat="0" applyBorder="0" applyAlignment="0" applyProtection="0">
      <alignment vertical="center"/>
    </xf>
    <xf numFmtId="172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172" fontId="19" fillId="12" borderId="0" applyNumberFormat="0" applyBorder="0" applyAlignment="0" applyProtection="0">
      <alignment vertical="center"/>
    </xf>
    <xf numFmtId="172" fontId="18" fillId="13" borderId="0" applyNumberFormat="0" applyBorder="0" applyAlignment="0" applyProtection="0">
      <alignment vertical="center"/>
    </xf>
    <xf numFmtId="172" fontId="18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172" fontId="19" fillId="13" borderId="0" applyNumberFormat="0" applyBorder="0" applyAlignment="0" applyProtection="0">
      <alignment vertical="center"/>
    </xf>
    <xf numFmtId="172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172" fontId="19" fillId="13" borderId="0" applyNumberFormat="0" applyBorder="0" applyAlignment="0" applyProtection="0">
      <alignment vertical="center"/>
    </xf>
    <xf numFmtId="172" fontId="18" fillId="14" borderId="0" applyNumberFormat="0" applyBorder="0" applyAlignment="0" applyProtection="0">
      <alignment vertical="center"/>
    </xf>
    <xf numFmtId="172" fontId="18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172" fontId="19" fillId="14" borderId="0" applyNumberFormat="0" applyBorder="0" applyAlignment="0" applyProtection="0">
      <alignment vertical="center"/>
    </xf>
    <xf numFmtId="172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172" fontId="19" fillId="14" borderId="0" applyNumberFormat="0" applyBorder="0" applyAlignment="0" applyProtection="0">
      <alignment vertical="center"/>
    </xf>
    <xf numFmtId="172" fontId="18" fillId="15" borderId="0" applyNumberFormat="0" applyBorder="0" applyAlignment="0" applyProtection="0">
      <alignment vertical="center"/>
    </xf>
    <xf numFmtId="172" fontId="18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172" fontId="19" fillId="15" borderId="0" applyNumberFormat="0" applyBorder="0" applyAlignment="0" applyProtection="0">
      <alignment vertical="center"/>
    </xf>
    <xf numFmtId="172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172" fontId="19" fillId="15" borderId="0" applyNumberFormat="0" applyBorder="0" applyAlignment="0" applyProtection="0">
      <alignment vertical="center"/>
    </xf>
    <xf numFmtId="172" fontId="18" fillId="16" borderId="0" applyNumberFormat="0" applyBorder="0" applyAlignment="0" applyProtection="0">
      <alignment vertical="center"/>
    </xf>
    <xf numFmtId="172" fontId="18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172" fontId="19" fillId="16" borderId="0" applyNumberFormat="0" applyBorder="0" applyAlignment="0" applyProtection="0">
      <alignment vertical="center"/>
    </xf>
    <xf numFmtId="172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172" fontId="19" fillId="16" borderId="0" applyNumberFormat="0" applyBorder="0" applyAlignment="0" applyProtection="0">
      <alignment vertical="center"/>
    </xf>
    <xf numFmtId="172" fontId="18" fillId="11" borderId="0" applyNumberFormat="0" applyBorder="0" applyAlignment="0" applyProtection="0">
      <alignment vertical="center"/>
    </xf>
    <xf numFmtId="172" fontId="18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172" fontId="19" fillId="11" borderId="0" applyNumberFormat="0" applyBorder="0" applyAlignment="0" applyProtection="0">
      <alignment vertical="center"/>
    </xf>
    <xf numFmtId="172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172" fontId="19" fillId="11" borderId="0" applyNumberFormat="0" applyBorder="0" applyAlignment="0" applyProtection="0">
      <alignment vertical="center"/>
    </xf>
    <xf numFmtId="172" fontId="18" fillId="14" borderId="0" applyNumberFormat="0" applyBorder="0" applyAlignment="0" applyProtection="0">
      <alignment vertical="center"/>
    </xf>
    <xf numFmtId="172" fontId="18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172" fontId="19" fillId="14" borderId="0" applyNumberFormat="0" applyBorder="0" applyAlignment="0" applyProtection="0">
      <alignment vertical="center"/>
    </xf>
    <xf numFmtId="172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172" fontId="19" fillId="14" borderId="0" applyNumberFormat="0" applyBorder="0" applyAlignment="0" applyProtection="0">
      <alignment vertical="center"/>
    </xf>
    <xf numFmtId="172" fontId="18" fillId="17" borderId="0" applyNumberFormat="0" applyBorder="0" applyAlignment="0" applyProtection="0">
      <alignment vertical="center"/>
    </xf>
    <xf numFmtId="172" fontId="18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172" fontId="19" fillId="17" borderId="0" applyNumberFormat="0" applyBorder="0" applyAlignment="0" applyProtection="0">
      <alignment vertical="center"/>
    </xf>
    <xf numFmtId="172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172" fontId="19" fillId="17" borderId="0" applyNumberFormat="0" applyBorder="0" applyAlignment="0" applyProtection="0">
      <alignment vertical="center"/>
    </xf>
    <xf numFmtId="172" fontId="20" fillId="18" borderId="0" applyNumberFormat="0" applyBorder="0" applyAlignment="0" applyProtection="0">
      <alignment vertical="center"/>
    </xf>
    <xf numFmtId="172" fontId="20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172" fontId="21" fillId="18" borderId="0" applyNumberFormat="0" applyBorder="0" applyAlignment="0" applyProtection="0">
      <alignment vertical="center"/>
    </xf>
    <xf numFmtId="172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172" fontId="21" fillId="18" borderId="0" applyNumberFormat="0" applyBorder="0" applyAlignment="0" applyProtection="0">
      <alignment vertical="center"/>
    </xf>
    <xf numFmtId="172" fontId="20" fillId="15" borderId="0" applyNumberFormat="0" applyBorder="0" applyAlignment="0" applyProtection="0">
      <alignment vertical="center"/>
    </xf>
    <xf numFmtId="172" fontId="20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172" fontId="21" fillId="15" borderId="0" applyNumberFormat="0" applyBorder="0" applyAlignment="0" applyProtection="0">
      <alignment vertical="center"/>
    </xf>
    <xf numFmtId="172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172" fontId="21" fillId="15" borderId="0" applyNumberFormat="0" applyBorder="0" applyAlignment="0" applyProtection="0">
      <alignment vertical="center"/>
    </xf>
    <xf numFmtId="172" fontId="20" fillId="16" borderId="0" applyNumberFormat="0" applyBorder="0" applyAlignment="0" applyProtection="0">
      <alignment vertical="center"/>
    </xf>
    <xf numFmtId="172" fontId="20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172" fontId="21" fillId="16" borderId="0" applyNumberFormat="0" applyBorder="0" applyAlignment="0" applyProtection="0">
      <alignment vertical="center"/>
    </xf>
    <xf numFmtId="172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172" fontId="21" fillId="16" borderId="0" applyNumberFormat="0" applyBorder="0" applyAlignment="0" applyProtection="0">
      <alignment vertical="center"/>
    </xf>
    <xf numFmtId="172" fontId="20" fillId="19" borderId="0" applyNumberFormat="0" applyBorder="0" applyAlignment="0" applyProtection="0">
      <alignment vertical="center"/>
    </xf>
    <xf numFmtId="172" fontId="20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172" fontId="21" fillId="19" borderId="0" applyNumberFormat="0" applyBorder="0" applyAlignment="0" applyProtection="0">
      <alignment vertical="center"/>
    </xf>
    <xf numFmtId="172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172" fontId="21" fillId="19" borderId="0" applyNumberFormat="0" applyBorder="0" applyAlignment="0" applyProtection="0">
      <alignment vertical="center"/>
    </xf>
    <xf numFmtId="172" fontId="20" fillId="7" borderId="0" applyNumberFormat="0" applyBorder="0" applyAlignment="0" applyProtection="0">
      <alignment vertical="center"/>
    </xf>
    <xf numFmtId="172" fontId="20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172" fontId="21" fillId="7" borderId="0" applyNumberFormat="0" applyBorder="0" applyAlignment="0" applyProtection="0">
      <alignment vertical="center"/>
    </xf>
    <xf numFmtId="172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172" fontId="21" fillId="7" borderId="0" applyNumberFormat="0" applyBorder="0" applyAlignment="0" applyProtection="0">
      <alignment vertical="center"/>
    </xf>
    <xf numFmtId="172" fontId="20" fillId="20" borderId="0" applyNumberFormat="0" applyBorder="0" applyAlignment="0" applyProtection="0">
      <alignment vertical="center"/>
    </xf>
    <xf numFmtId="172" fontId="20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172" fontId="21" fillId="20" borderId="0" applyNumberFormat="0" applyBorder="0" applyAlignment="0" applyProtection="0">
      <alignment vertical="center"/>
    </xf>
    <xf numFmtId="172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172" fontId="21" fillId="20" borderId="0" applyNumberFormat="0" applyBorder="0" applyAlignment="0" applyProtection="0">
      <alignment vertical="center"/>
    </xf>
    <xf numFmtId="172" fontId="22" fillId="6" borderId="0" applyNumberFormat="0" applyBorder="0" applyAlignment="0" applyProtection="0"/>
    <xf numFmtId="172" fontId="22" fillId="6" borderId="0" applyNumberFormat="0" applyBorder="0" applyAlignment="0" applyProtection="0"/>
    <xf numFmtId="0" fontId="22" fillId="6" borderId="0" applyNumberFormat="0" applyBorder="0" applyAlignment="0" applyProtection="0"/>
    <xf numFmtId="172" fontId="22" fillId="6" borderId="0" applyNumberFormat="0" applyBorder="0" applyAlignment="0" applyProtection="0"/>
    <xf numFmtId="172" fontId="22" fillId="6" borderId="0" applyNumberFormat="0" applyBorder="0" applyAlignment="0" applyProtection="0"/>
    <xf numFmtId="0" fontId="22" fillId="6" borderId="0" applyNumberFormat="0" applyBorder="0" applyAlignment="0" applyProtection="0"/>
    <xf numFmtId="172" fontId="22" fillId="6" borderId="0" applyNumberFormat="0" applyBorder="0" applyAlignment="0" applyProtection="0"/>
    <xf numFmtId="38" fontId="2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0" fontId="2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24" fillId="0" borderId="0" applyFont="0" applyFill="0" applyBorder="0" applyAlignment="0" applyProtection="0">
      <alignment vertical="center"/>
    </xf>
    <xf numFmtId="17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0" fontId="25" fillId="0" borderId="0"/>
    <xf numFmtId="172" fontId="25" fillId="0" borderId="0"/>
    <xf numFmtId="172" fontId="25" fillId="0" borderId="0"/>
    <xf numFmtId="0" fontId="25" fillId="0" borderId="0"/>
    <xf numFmtId="172" fontId="25" fillId="0" borderId="0"/>
    <xf numFmtId="0" fontId="5" fillId="0" borderId="0"/>
    <xf numFmtId="172" fontId="5" fillId="0" borderId="0"/>
    <xf numFmtId="172" fontId="5" fillId="0" borderId="0"/>
    <xf numFmtId="0" fontId="5" fillId="0" borderId="0"/>
    <xf numFmtId="172" fontId="5" fillId="0" borderId="0"/>
    <xf numFmtId="0" fontId="5" fillId="0" borderId="0"/>
    <xf numFmtId="172" fontId="1" fillId="0" borderId="0"/>
    <xf numFmtId="172" fontId="1" fillId="0" borderId="0"/>
    <xf numFmtId="172" fontId="5" fillId="0" borderId="0"/>
    <xf numFmtId="172" fontId="1" fillId="0" borderId="0"/>
    <xf numFmtId="0" fontId="5" fillId="0" borderId="0"/>
    <xf numFmtId="0" fontId="24" fillId="0" borderId="0">
      <alignment vertical="center"/>
    </xf>
    <xf numFmtId="0" fontId="5" fillId="0" borderId="0"/>
    <xf numFmtId="172" fontId="23" fillId="0" borderId="0">
      <alignment vertical="center"/>
    </xf>
    <xf numFmtId="172" fontId="5" fillId="0" borderId="0"/>
    <xf numFmtId="172" fontId="5" fillId="0" borderId="0"/>
    <xf numFmtId="172" fontId="5" fillId="0" borderId="0"/>
    <xf numFmtId="172" fontId="5" fillId="0" borderId="0"/>
    <xf numFmtId="0" fontId="5" fillId="0" borderId="0"/>
    <xf numFmtId="0" fontId="5" fillId="0" borderId="0"/>
    <xf numFmtId="172" fontId="5" fillId="0" borderId="0"/>
    <xf numFmtId="172" fontId="5" fillId="0" borderId="0"/>
    <xf numFmtId="0" fontId="5" fillId="0" borderId="0"/>
    <xf numFmtId="172" fontId="5" fillId="0" borderId="0"/>
    <xf numFmtId="0" fontId="5" fillId="0" borderId="0"/>
    <xf numFmtId="172" fontId="5" fillId="0" borderId="0"/>
    <xf numFmtId="172" fontId="5" fillId="0" borderId="0"/>
    <xf numFmtId="172" fontId="23" fillId="0" borderId="0">
      <alignment vertical="center"/>
    </xf>
    <xf numFmtId="0" fontId="23" fillId="0" borderId="0">
      <alignment vertical="center"/>
    </xf>
    <xf numFmtId="172" fontId="23" fillId="0" borderId="0">
      <alignment vertical="center"/>
    </xf>
    <xf numFmtId="172" fontId="23" fillId="0" borderId="0">
      <alignment vertical="center"/>
    </xf>
    <xf numFmtId="0" fontId="23" fillId="0" borderId="0">
      <alignment vertical="center"/>
    </xf>
    <xf numFmtId="172" fontId="23" fillId="0" borderId="0">
      <alignment vertical="center"/>
    </xf>
    <xf numFmtId="172" fontId="23" fillId="0" borderId="0">
      <alignment vertical="center"/>
    </xf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0" fontId="5" fillId="0" borderId="0"/>
    <xf numFmtId="0" fontId="5" fillId="0" borderId="0"/>
    <xf numFmtId="172" fontId="5" fillId="0" borderId="0"/>
    <xf numFmtId="172" fontId="5" fillId="0" borderId="0"/>
    <xf numFmtId="0" fontId="5" fillId="0" borderId="0"/>
    <xf numFmtId="172" fontId="5" fillId="0" borderId="0"/>
    <xf numFmtId="0" fontId="5" fillId="0" borderId="0"/>
    <xf numFmtId="172" fontId="5" fillId="0" borderId="0"/>
    <xf numFmtId="172" fontId="1" fillId="0" borderId="0"/>
    <xf numFmtId="172" fontId="5" fillId="0" borderId="0"/>
    <xf numFmtId="172" fontId="5" fillId="0" borderId="0"/>
    <xf numFmtId="172" fontId="23" fillId="0" borderId="0">
      <alignment vertical="center"/>
    </xf>
    <xf numFmtId="172" fontId="23" fillId="0" borderId="0">
      <alignment vertical="center"/>
    </xf>
    <xf numFmtId="0" fontId="23" fillId="0" borderId="0">
      <alignment vertical="center"/>
    </xf>
    <xf numFmtId="172" fontId="23" fillId="0" borderId="0">
      <alignment vertical="center"/>
    </xf>
    <xf numFmtId="172" fontId="23" fillId="0" borderId="0">
      <alignment vertical="center"/>
    </xf>
    <xf numFmtId="0" fontId="23" fillId="0" borderId="0">
      <alignment vertical="center"/>
    </xf>
    <xf numFmtId="172" fontId="23" fillId="0" borderId="0">
      <alignment vertical="center"/>
    </xf>
    <xf numFmtId="172" fontId="1" fillId="0" borderId="0"/>
    <xf numFmtId="172" fontId="25" fillId="0" borderId="0"/>
    <xf numFmtId="172" fontId="1" fillId="0" borderId="0"/>
    <xf numFmtId="0" fontId="5" fillId="0" borderId="0"/>
    <xf numFmtId="0" fontId="5" fillId="0" borderId="0"/>
    <xf numFmtId="172" fontId="1" fillId="0" borderId="0"/>
    <xf numFmtId="172" fontId="5" fillId="0" borderId="0"/>
    <xf numFmtId="172" fontId="5" fillId="0" borderId="0"/>
    <xf numFmtId="0" fontId="5" fillId="0" borderId="0"/>
    <xf numFmtId="172" fontId="5" fillId="0" borderId="0"/>
    <xf numFmtId="0" fontId="5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4" fontId="14" fillId="21" borderId="7" applyNumberFormat="0" applyProtection="0">
      <alignment horizontal="left" vertical="center" indent="1"/>
    </xf>
    <xf numFmtId="38" fontId="25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172" fontId="26" fillId="10" borderId="0" applyNumberFormat="0" applyBorder="0" applyAlignment="0" applyProtection="0">
      <alignment vertical="center"/>
    </xf>
    <xf numFmtId="172" fontId="26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172" fontId="27" fillId="10" borderId="0" applyNumberFormat="0" applyBorder="0" applyAlignment="0" applyProtection="0">
      <alignment vertical="center"/>
    </xf>
    <xf numFmtId="172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172" fontId="27" fillId="10" borderId="0" applyNumberFormat="0" applyBorder="0" applyAlignment="0" applyProtection="0">
      <alignment vertical="center"/>
    </xf>
    <xf numFmtId="172" fontId="28" fillId="9" borderId="0" applyNumberFormat="0" applyBorder="0" applyAlignment="0" applyProtection="0">
      <alignment vertical="center"/>
    </xf>
    <xf numFmtId="172" fontId="28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172" fontId="29" fillId="9" borderId="0" applyNumberFormat="0" applyBorder="0" applyAlignment="0" applyProtection="0">
      <alignment vertical="center"/>
    </xf>
    <xf numFmtId="172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172" fontId="29" fillId="9" borderId="0" applyNumberFormat="0" applyBorder="0" applyAlignment="0" applyProtection="0">
      <alignment vertical="center"/>
    </xf>
    <xf numFmtId="172" fontId="20" fillId="22" borderId="0" applyNumberFormat="0" applyBorder="0" applyAlignment="0" applyProtection="0">
      <alignment vertical="center"/>
    </xf>
    <xf numFmtId="172" fontId="20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172" fontId="21" fillId="22" borderId="0" applyNumberFormat="0" applyBorder="0" applyAlignment="0" applyProtection="0">
      <alignment vertical="center"/>
    </xf>
    <xf numFmtId="172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172" fontId="21" fillId="22" borderId="0" applyNumberFormat="0" applyBorder="0" applyAlignment="0" applyProtection="0">
      <alignment vertical="center"/>
    </xf>
    <xf numFmtId="172" fontId="20" fillId="23" borderId="0" applyNumberFormat="0" applyBorder="0" applyAlignment="0" applyProtection="0">
      <alignment vertical="center"/>
    </xf>
    <xf numFmtId="172" fontId="20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172" fontId="21" fillId="23" borderId="0" applyNumberFormat="0" applyBorder="0" applyAlignment="0" applyProtection="0">
      <alignment vertical="center"/>
    </xf>
    <xf numFmtId="172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172" fontId="21" fillId="23" borderId="0" applyNumberFormat="0" applyBorder="0" applyAlignment="0" applyProtection="0">
      <alignment vertical="center"/>
    </xf>
    <xf numFmtId="172" fontId="20" fillId="24" borderId="0" applyNumberFormat="0" applyBorder="0" applyAlignment="0" applyProtection="0">
      <alignment vertical="center"/>
    </xf>
    <xf numFmtId="172" fontId="20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172" fontId="21" fillId="24" borderId="0" applyNumberFormat="0" applyBorder="0" applyAlignment="0" applyProtection="0">
      <alignment vertical="center"/>
    </xf>
    <xf numFmtId="172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172" fontId="21" fillId="24" borderId="0" applyNumberFormat="0" applyBorder="0" applyAlignment="0" applyProtection="0">
      <alignment vertical="center"/>
    </xf>
    <xf numFmtId="172" fontId="20" fillId="19" borderId="0" applyNumberFormat="0" applyBorder="0" applyAlignment="0" applyProtection="0">
      <alignment vertical="center"/>
    </xf>
    <xf numFmtId="172" fontId="20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172" fontId="21" fillId="19" borderId="0" applyNumberFormat="0" applyBorder="0" applyAlignment="0" applyProtection="0">
      <alignment vertical="center"/>
    </xf>
    <xf numFmtId="172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172" fontId="21" fillId="19" borderId="0" applyNumberFormat="0" applyBorder="0" applyAlignment="0" applyProtection="0">
      <alignment vertical="center"/>
    </xf>
    <xf numFmtId="172" fontId="20" fillId="7" borderId="0" applyNumberFormat="0" applyBorder="0" applyAlignment="0" applyProtection="0">
      <alignment vertical="center"/>
    </xf>
    <xf numFmtId="172" fontId="20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172" fontId="21" fillId="7" borderId="0" applyNumberFormat="0" applyBorder="0" applyAlignment="0" applyProtection="0">
      <alignment vertical="center"/>
    </xf>
    <xf numFmtId="172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172" fontId="21" fillId="7" borderId="0" applyNumberFormat="0" applyBorder="0" applyAlignment="0" applyProtection="0">
      <alignment vertical="center"/>
    </xf>
    <xf numFmtId="172" fontId="20" fillId="25" borderId="0" applyNumberFormat="0" applyBorder="0" applyAlignment="0" applyProtection="0">
      <alignment vertical="center"/>
    </xf>
    <xf numFmtId="172" fontId="20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172" fontId="21" fillId="25" borderId="0" applyNumberFormat="0" applyBorder="0" applyAlignment="0" applyProtection="0">
      <alignment vertical="center"/>
    </xf>
    <xf numFmtId="172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172" fontId="21" fillId="25" borderId="0" applyNumberFormat="0" applyBorder="0" applyAlignment="0" applyProtection="0">
      <alignment vertical="center"/>
    </xf>
    <xf numFmtId="172" fontId="30" fillId="0" borderId="0" applyNumberFormat="0" applyFill="0" applyBorder="0" applyAlignment="0" applyProtection="0">
      <alignment vertical="center"/>
    </xf>
    <xf numFmtId="172" fontId="31" fillId="0" borderId="8" applyNumberFormat="0" applyFill="0" applyAlignment="0" applyProtection="0">
      <alignment vertical="center"/>
    </xf>
    <xf numFmtId="172" fontId="31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172" fontId="32" fillId="0" borderId="8" applyNumberFormat="0" applyFill="0" applyAlignment="0" applyProtection="0">
      <alignment vertical="center"/>
    </xf>
    <xf numFmtId="172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172" fontId="32" fillId="0" borderId="8" applyNumberFormat="0" applyFill="0" applyAlignment="0" applyProtection="0">
      <alignment vertical="center"/>
    </xf>
    <xf numFmtId="172" fontId="33" fillId="0" borderId="9" applyNumberFormat="0" applyFill="0" applyAlignment="0" applyProtection="0">
      <alignment vertical="center"/>
    </xf>
    <xf numFmtId="172" fontId="33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172" fontId="34" fillId="0" borderId="9" applyNumberFormat="0" applyFill="0" applyAlignment="0" applyProtection="0">
      <alignment vertical="center"/>
    </xf>
    <xf numFmtId="172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172" fontId="34" fillId="0" borderId="9" applyNumberFormat="0" applyFill="0" applyAlignment="0" applyProtection="0">
      <alignment vertical="center"/>
    </xf>
    <xf numFmtId="172" fontId="35" fillId="0" borderId="10" applyNumberFormat="0" applyFill="0" applyAlignment="0" applyProtection="0">
      <alignment vertical="center"/>
    </xf>
    <xf numFmtId="172" fontId="35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172" fontId="36" fillId="0" borderId="10" applyNumberFormat="0" applyFill="0" applyAlignment="0" applyProtection="0">
      <alignment vertical="center"/>
    </xf>
    <xf numFmtId="172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172" fontId="36" fillId="0" borderId="10" applyNumberFormat="0" applyFill="0" applyAlignment="0" applyProtection="0">
      <alignment vertical="center"/>
    </xf>
    <xf numFmtId="172" fontId="35" fillId="0" borderId="0" applyNumberFormat="0" applyFill="0" applyBorder="0" applyAlignment="0" applyProtection="0">
      <alignment vertical="center"/>
    </xf>
    <xf numFmtId="172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172" fontId="36" fillId="0" borderId="0" applyNumberFormat="0" applyFill="0" applyBorder="0" applyAlignment="0" applyProtection="0">
      <alignment vertical="center"/>
    </xf>
    <xf numFmtId="172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172" fontId="36" fillId="0" borderId="0" applyNumberFormat="0" applyFill="0" applyBorder="0" applyAlignment="0" applyProtection="0">
      <alignment vertical="center"/>
    </xf>
    <xf numFmtId="172" fontId="30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172" fontId="37" fillId="0" borderId="0" applyNumberFormat="0" applyFill="0" applyBorder="0" applyAlignment="0" applyProtection="0">
      <alignment vertical="center"/>
    </xf>
    <xf numFmtId="172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172" fontId="37" fillId="0" borderId="0" applyNumberForma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172" fontId="38" fillId="26" borderId="11" applyNumberFormat="0" applyAlignment="0" applyProtection="0">
      <alignment vertical="center"/>
    </xf>
    <xf numFmtId="172" fontId="38" fillId="26" borderId="11" applyNumberFormat="0" applyAlignment="0" applyProtection="0">
      <alignment vertical="center"/>
    </xf>
    <xf numFmtId="0" fontId="39" fillId="26" borderId="11" applyNumberFormat="0" applyAlignment="0" applyProtection="0">
      <alignment vertical="center"/>
    </xf>
    <xf numFmtId="172" fontId="39" fillId="26" borderId="11" applyNumberFormat="0" applyAlignment="0" applyProtection="0">
      <alignment vertical="center"/>
    </xf>
    <xf numFmtId="172" fontId="39" fillId="26" borderId="11" applyNumberFormat="0" applyAlignment="0" applyProtection="0">
      <alignment vertical="center"/>
    </xf>
    <xf numFmtId="0" fontId="39" fillId="26" borderId="11" applyNumberFormat="0" applyAlignment="0" applyProtection="0">
      <alignment vertical="center"/>
    </xf>
    <xf numFmtId="172" fontId="39" fillId="26" borderId="11" applyNumberFormat="0" applyAlignment="0" applyProtection="0">
      <alignment vertical="center"/>
    </xf>
    <xf numFmtId="172" fontId="25" fillId="0" borderId="0"/>
    <xf numFmtId="172" fontId="25" fillId="0" borderId="0"/>
    <xf numFmtId="172" fontId="25" fillId="0" borderId="0"/>
    <xf numFmtId="172" fontId="25" fillId="0" borderId="0"/>
    <xf numFmtId="172" fontId="25" fillId="0" borderId="0"/>
    <xf numFmtId="172" fontId="25" fillId="0" borderId="0"/>
    <xf numFmtId="172" fontId="25" fillId="0" borderId="0"/>
    <xf numFmtId="172" fontId="25" fillId="0" borderId="0"/>
    <xf numFmtId="172" fontId="25" fillId="0" borderId="0"/>
    <xf numFmtId="172" fontId="25" fillId="0" borderId="0"/>
    <xf numFmtId="172" fontId="23" fillId="0" borderId="0">
      <alignment vertical="center"/>
    </xf>
    <xf numFmtId="172" fontId="23" fillId="0" borderId="0">
      <alignment vertical="center"/>
    </xf>
    <xf numFmtId="172" fontId="23" fillId="0" borderId="0"/>
    <xf numFmtId="0" fontId="24" fillId="0" borderId="0">
      <alignment vertical="center"/>
    </xf>
    <xf numFmtId="0" fontId="23" fillId="0" borderId="0">
      <alignment vertical="center"/>
    </xf>
    <xf numFmtId="172" fontId="23" fillId="0" borderId="0">
      <alignment vertical="center"/>
    </xf>
    <xf numFmtId="172" fontId="23" fillId="0" borderId="0">
      <alignment vertical="center"/>
    </xf>
    <xf numFmtId="0" fontId="23" fillId="0" borderId="0">
      <alignment vertical="center"/>
    </xf>
    <xf numFmtId="172" fontId="23" fillId="0" borderId="0">
      <alignment vertical="center"/>
    </xf>
    <xf numFmtId="0" fontId="23" fillId="0" borderId="0"/>
    <xf numFmtId="172" fontId="23" fillId="0" borderId="0"/>
    <xf numFmtId="172" fontId="23" fillId="0" borderId="0"/>
    <xf numFmtId="0" fontId="23" fillId="0" borderId="0"/>
    <xf numFmtId="172" fontId="23" fillId="0" borderId="0"/>
    <xf numFmtId="172" fontId="23" fillId="0" borderId="0">
      <alignment vertical="center"/>
    </xf>
    <xf numFmtId="172" fontId="25" fillId="0" borderId="0"/>
    <xf numFmtId="172" fontId="25" fillId="0" borderId="0"/>
    <xf numFmtId="172" fontId="25" fillId="0" borderId="0"/>
    <xf numFmtId="0" fontId="23" fillId="0" borderId="0">
      <alignment vertical="center"/>
    </xf>
    <xf numFmtId="172" fontId="23" fillId="0" borderId="0">
      <alignment vertical="center"/>
    </xf>
    <xf numFmtId="0" fontId="23" fillId="0" borderId="0">
      <alignment vertical="center"/>
    </xf>
    <xf numFmtId="172" fontId="23" fillId="0" borderId="0">
      <alignment vertical="center"/>
    </xf>
    <xf numFmtId="172" fontId="23" fillId="0" borderId="0">
      <alignment vertical="center"/>
    </xf>
    <xf numFmtId="0" fontId="23" fillId="0" borderId="0">
      <alignment vertical="center"/>
    </xf>
    <xf numFmtId="172" fontId="23" fillId="0" borderId="0">
      <alignment vertical="center"/>
    </xf>
    <xf numFmtId="172" fontId="23" fillId="0" borderId="0">
      <alignment vertical="center"/>
    </xf>
    <xf numFmtId="172" fontId="25" fillId="0" borderId="0"/>
    <xf numFmtId="172" fontId="25" fillId="0" borderId="0"/>
    <xf numFmtId="172" fontId="25" fillId="0" borderId="0"/>
    <xf numFmtId="172" fontId="25" fillId="0" borderId="0"/>
    <xf numFmtId="172" fontId="25" fillId="0" borderId="0"/>
    <xf numFmtId="172" fontId="23" fillId="0" borderId="0">
      <alignment vertical="center"/>
    </xf>
    <xf numFmtId="0" fontId="23" fillId="0" borderId="0">
      <alignment vertical="center"/>
    </xf>
    <xf numFmtId="172" fontId="23" fillId="0" borderId="0">
      <alignment vertical="center"/>
    </xf>
    <xf numFmtId="172" fontId="23" fillId="0" borderId="0">
      <alignment vertical="center"/>
    </xf>
    <xf numFmtId="0" fontId="23" fillId="0" borderId="0">
      <alignment vertical="center"/>
    </xf>
    <xf numFmtId="172" fontId="23" fillId="0" borderId="0">
      <alignment vertical="center"/>
    </xf>
    <xf numFmtId="172" fontId="25" fillId="0" borderId="0"/>
    <xf numFmtId="172" fontId="25" fillId="0" borderId="0"/>
    <xf numFmtId="0" fontId="23" fillId="0" borderId="0"/>
    <xf numFmtId="172" fontId="40" fillId="0" borderId="12" applyNumberFormat="0" applyFill="0" applyAlignment="0" applyProtection="0">
      <alignment vertical="center"/>
    </xf>
    <xf numFmtId="172" fontId="40" fillId="0" borderId="12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172" fontId="41" fillId="0" borderId="12" applyNumberFormat="0" applyFill="0" applyAlignment="0" applyProtection="0">
      <alignment vertical="center"/>
    </xf>
    <xf numFmtId="172" fontId="41" fillId="0" borderId="12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172" fontId="41" fillId="0" borderId="12" applyNumberFormat="0" applyFill="0" applyAlignment="0" applyProtection="0">
      <alignment vertical="center"/>
    </xf>
    <xf numFmtId="172" fontId="23" fillId="27" borderId="13" applyNumberFormat="0" applyFont="0" applyAlignment="0" applyProtection="0">
      <alignment vertical="center"/>
    </xf>
    <xf numFmtId="172" fontId="23" fillId="27" borderId="13" applyNumberFormat="0" applyFont="0" applyAlignment="0" applyProtection="0">
      <alignment vertical="center"/>
    </xf>
    <xf numFmtId="0" fontId="23" fillId="27" borderId="13" applyNumberFormat="0" applyFont="0" applyAlignment="0" applyProtection="0">
      <alignment vertical="center"/>
    </xf>
    <xf numFmtId="172" fontId="23" fillId="27" borderId="13" applyNumberFormat="0" applyFont="0" applyAlignment="0" applyProtection="0">
      <alignment vertical="center"/>
    </xf>
    <xf numFmtId="172" fontId="23" fillId="27" borderId="13" applyNumberFormat="0" applyFont="0" applyAlignment="0" applyProtection="0">
      <alignment vertical="center"/>
    </xf>
    <xf numFmtId="0" fontId="23" fillId="27" borderId="13" applyNumberFormat="0" applyFont="0" applyAlignment="0" applyProtection="0">
      <alignment vertical="center"/>
    </xf>
    <xf numFmtId="172" fontId="23" fillId="27" borderId="13" applyNumberFormat="0" applyFont="0" applyAlignment="0" applyProtection="0">
      <alignment vertical="center"/>
    </xf>
    <xf numFmtId="172" fontId="42" fillId="0" borderId="0" applyNumberFormat="0" applyFill="0" applyBorder="0" applyAlignment="0" applyProtection="0">
      <alignment vertical="center"/>
    </xf>
    <xf numFmtId="172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172" fontId="43" fillId="0" borderId="0" applyNumberFormat="0" applyFill="0" applyBorder="0" applyAlignment="0" applyProtection="0">
      <alignment vertical="center"/>
    </xf>
    <xf numFmtId="172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172" fontId="43" fillId="0" borderId="0" applyNumberFormat="0" applyFill="0" applyBorder="0" applyAlignment="0" applyProtection="0">
      <alignment vertical="center"/>
    </xf>
    <xf numFmtId="172" fontId="44" fillId="0" borderId="0" applyNumberFormat="0" applyFill="0" applyBorder="0" applyAlignment="0" applyProtection="0">
      <alignment vertical="center"/>
    </xf>
    <xf numFmtId="172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172" fontId="45" fillId="0" borderId="0" applyNumberFormat="0" applyFill="0" applyBorder="0" applyAlignment="0" applyProtection="0">
      <alignment vertical="center"/>
    </xf>
    <xf numFmtId="172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172" fontId="45" fillId="0" borderId="0" applyNumberFormat="0" applyFill="0" applyBorder="0" applyAlignment="0" applyProtection="0">
      <alignment vertical="center"/>
    </xf>
    <xf numFmtId="172" fontId="46" fillId="28" borderId="14" applyNumberFormat="0" applyAlignment="0" applyProtection="0">
      <alignment vertical="center"/>
    </xf>
    <xf numFmtId="172" fontId="46" fillId="28" borderId="14" applyNumberFormat="0" applyAlignment="0" applyProtection="0">
      <alignment vertical="center"/>
    </xf>
    <xf numFmtId="0" fontId="47" fillId="28" borderId="14" applyNumberFormat="0" applyAlignment="0" applyProtection="0">
      <alignment vertical="center"/>
    </xf>
    <xf numFmtId="172" fontId="47" fillId="28" borderId="14" applyNumberFormat="0" applyAlignment="0" applyProtection="0">
      <alignment vertical="center"/>
    </xf>
    <xf numFmtId="172" fontId="47" fillId="28" borderId="14" applyNumberFormat="0" applyAlignment="0" applyProtection="0">
      <alignment vertical="center"/>
    </xf>
    <xf numFmtId="0" fontId="47" fillId="28" borderId="14" applyNumberFormat="0" applyAlignment="0" applyProtection="0">
      <alignment vertical="center"/>
    </xf>
    <xf numFmtId="172" fontId="47" fillId="28" borderId="14" applyNumberFormat="0" applyAlignment="0" applyProtection="0">
      <alignment vertical="center"/>
    </xf>
    <xf numFmtId="172" fontId="48" fillId="13" borderId="14" applyNumberFormat="0" applyAlignment="0" applyProtection="0">
      <alignment vertical="center"/>
    </xf>
    <xf numFmtId="172" fontId="48" fillId="13" borderId="14" applyNumberFormat="0" applyAlignment="0" applyProtection="0">
      <alignment vertical="center"/>
    </xf>
    <xf numFmtId="0" fontId="49" fillId="13" borderId="14" applyNumberFormat="0" applyAlignment="0" applyProtection="0">
      <alignment vertical="center"/>
    </xf>
    <xf numFmtId="172" fontId="49" fillId="13" borderId="14" applyNumberFormat="0" applyAlignment="0" applyProtection="0">
      <alignment vertical="center"/>
    </xf>
    <xf numFmtId="172" fontId="49" fillId="13" borderId="14" applyNumberFormat="0" applyAlignment="0" applyProtection="0">
      <alignment vertical="center"/>
    </xf>
    <xf numFmtId="0" fontId="49" fillId="13" borderId="14" applyNumberFormat="0" applyAlignment="0" applyProtection="0">
      <alignment vertical="center"/>
    </xf>
    <xf numFmtId="172" fontId="49" fillId="13" borderId="14" applyNumberFormat="0" applyAlignment="0" applyProtection="0">
      <alignment vertical="center"/>
    </xf>
    <xf numFmtId="172" fontId="50" fillId="28" borderId="15" applyNumberFormat="0" applyAlignment="0" applyProtection="0">
      <alignment vertical="center"/>
    </xf>
    <xf numFmtId="172" fontId="50" fillId="28" borderId="15" applyNumberFormat="0" applyAlignment="0" applyProtection="0">
      <alignment vertical="center"/>
    </xf>
    <xf numFmtId="0" fontId="51" fillId="28" borderId="15" applyNumberFormat="0" applyAlignment="0" applyProtection="0">
      <alignment vertical="center"/>
    </xf>
    <xf numFmtId="172" fontId="51" fillId="28" borderId="15" applyNumberFormat="0" applyAlignment="0" applyProtection="0">
      <alignment vertical="center"/>
    </xf>
    <xf numFmtId="172" fontId="51" fillId="28" borderId="15" applyNumberFormat="0" applyAlignment="0" applyProtection="0">
      <alignment vertical="center"/>
    </xf>
    <xf numFmtId="0" fontId="51" fillId="28" borderId="15" applyNumberFormat="0" applyAlignment="0" applyProtection="0">
      <alignment vertical="center"/>
    </xf>
    <xf numFmtId="172" fontId="51" fillId="28" borderId="15" applyNumberFormat="0" applyAlignment="0" applyProtection="0">
      <alignment vertical="center"/>
    </xf>
    <xf numFmtId="172" fontId="52" fillId="29" borderId="0" applyNumberFormat="0" applyBorder="0" applyAlignment="0" applyProtection="0">
      <alignment vertical="center"/>
    </xf>
    <xf numFmtId="172" fontId="52" fillId="29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172" fontId="53" fillId="29" borderId="0" applyNumberFormat="0" applyBorder="0" applyAlignment="0" applyProtection="0">
      <alignment vertical="center"/>
    </xf>
    <xf numFmtId="172" fontId="53" fillId="29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172" fontId="53" fillId="29" borderId="0" applyNumberFormat="0" applyBorder="0" applyAlignment="0" applyProtection="0">
      <alignment vertical="center"/>
    </xf>
    <xf numFmtId="44" fontId="25" fillId="0" borderId="0" applyFont="0" applyFill="0" applyBorder="0" applyAlignment="0" applyProtection="0"/>
    <xf numFmtId="172" fontId="54" fillId="0" borderId="16" applyNumberFormat="0" applyFill="0" applyAlignment="0" applyProtection="0">
      <alignment vertical="center"/>
    </xf>
    <xf numFmtId="172" fontId="54" fillId="0" borderId="16" applyNumberFormat="0" applyFill="0" applyAlignment="0" applyProtection="0">
      <alignment vertical="center"/>
    </xf>
    <xf numFmtId="0" fontId="55" fillId="0" borderId="16" applyNumberFormat="0" applyFill="0" applyAlignment="0" applyProtection="0">
      <alignment vertical="center"/>
    </xf>
    <xf numFmtId="172" fontId="55" fillId="0" borderId="16" applyNumberFormat="0" applyFill="0" applyAlignment="0" applyProtection="0">
      <alignment vertical="center"/>
    </xf>
    <xf numFmtId="172" fontId="55" fillId="0" borderId="16" applyNumberFormat="0" applyFill="0" applyAlignment="0" applyProtection="0">
      <alignment vertical="center"/>
    </xf>
    <xf numFmtId="0" fontId="55" fillId="0" borderId="16" applyNumberFormat="0" applyFill="0" applyAlignment="0" applyProtection="0">
      <alignment vertical="center"/>
    </xf>
    <xf numFmtId="172" fontId="55" fillId="0" borderId="16" applyNumberFormat="0" applyFill="0" applyAlignment="0" applyProtection="0">
      <alignment vertical="center"/>
    </xf>
    <xf numFmtId="0" fontId="13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44" fontId="5" fillId="0" borderId="0" applyFont="0" applyFill="0" applyBorder="0" applyAlignment="0" applyProtection="0"/>
    <xf numFmtId="43" fontId="57" fillId="0" borderId="0" applyFont="0" applyFill="0" applyBorder="0" applyAlignment="0" applyProtection="0"/>
  </cellStyleXfs>
  <cellXfs count="98">
    <xf numFmtId="0" fontId="0" fillId="0" borderId="0" xfId="0"/>
    <xf numFmtId="0" fontId="6" fillId="0" borderId="0" xfId="0" applyFont="1" applyAlignment="1">
      <alignment wrapText="1"/>
    </xf>
    <xf numFmtId="0" fontId="11" fillId="3" borderId="3" xfId="3" applyFont="1" applyFill="1" applyBorder="1"/>
    <xf numFmtId="0" fontId="12" fillId="3" borderId="2" xfId="3" applyFont="1" applyFill="1" applyBorder="1"/>
    <xf numFmtId="0" fontId="12" fillId="3" borderId="4" xfId="3" applyFont="1" applyFill="1" applyBorder="1"/>
    <xf numFmtId="0" fontId="12" fillId="3" borderId="0" xfId="3" applyFont="1" applyFill="1"/>
    <xf numFmtId="167" fontId="12" fillId="3" borderId="0" xfId="3" applyNumberFormat="1" applyFont="1" applyFill="1"/>
    <xf numFmtId="0" fontId="6" fillId="3" borderId="0" xfId="0" applyFont="1" applyFill="1" applyAlignment="1">
      <alignment wrapText="1"/>
    </xf>
    <xf numFmtId="166" fontId="11" fillId="3" borderId="24" xfId="9" applyNumberFormat="1" applyFont="1" applyFill="1" applyBorder="1" applyAlignment="1">
      <alignment horizontal="center" vertical="center" wrapText="1"/>
    </xf>
    <xf numFmtId="167" fontId="12" fillId="3" borderId="25" xfId="3" applyNumberFormat="1" applyFont="1" applyFill="1" applyBorder="1"/>
    <xf numFmtId="0" fontId="12" fillId="3" borderId="26" xfId="3" applyFont="1" applyFill="1" applyBorder="1"/>
    <xf numFmtId="0" fontId="12" fillId="3" borderId="27" xfId="3" applyFont="1" applyFill="1" applyBorder="1"/>
    <xf numFmtId="0" fontId="12" fillId="3" borderId="3" xfId="3" applyFont="1" applyFill="1" applyBorder="1" applyAlignment="1">
      <alignment horizontal="left" vertical="center"/>
    </xf>
    <xf numFmtId="167" fontId="12" fillId="3" borderId="29" xfId="3" applyNumberFormat="1" applyFont="1" applyFill="1" applyBorder="1"/>
    <xf numFmtId="0" fontId="12" fillId="3" borderId="4" xfId="3" applyFont="1" applyFill="1" applyBorder="1" applyAlignment="1">
      <alignment horizontal="left" vertical="center"/>
    </xf>
    <xf numFmtId="0" fontId="12" fillId="3" borderId="26" xfId="3" applyFont="1" applyFill="1" applyBorder="1" applyAlignment="1">
      <alignment horizontal="left" vertical="center"/>
    </xf>
    <xf numFmtId="0" fontId="6" fillId="0" borderId="0" xfId="0" applyFont="1" applyAlignment="1">
      <alignment wrapText="1"/>
    </xf>
    <xf numFmtId="0" fontId="6" fillId="0" borderId="17" xfId="0" applyFont="1" applyBorder="1" applyAlignment="1">
      <alignment wrapText="1"/>
    </xf>
    <xf numFmtId="0" fontId="6" fillId="0" borderId="18" xfId="0" applyFont="1" applyBorder="1" applyAlignment="1">
      <alignment wrapText="1"/>
    </xf>
    <xf numFmtId="0" fontId="6" fillId="0" borderId="19" xfId="0" applyFont="1" applyBorder="1" applyAlignment="1">
      <alignment wrapText="1"/>
    </xf>
    <xf numFmtId="0" fontId="12" fillId="0" borderId="0" xfId="0" applyFont="1"/>
    <xf numFmtId="0" fontId="11" fillId="0" borderId="0" xfId="0" applyFont="1" applyAlignment="1">
      <alignment horizontal="center" vertical="top" wrapText="1"/>
    </xf>
    <xf numFmtId="0" fontId="61" fillId="0" borderId="0" xfId="0" applyFont="1" applyAlignment="1">
      <alignment horizontal="left" vertical="center" wrapText="1"/>
    </xf>
    <xf numFmtId="0" fontId="60" fillId="0" borderId="0" xfId="0" applyFont="1" applyAlignment="1">
      <alignment horizontal="center" wrapText="1"/>
    </xf>
    <xf numFmtId="0" fontId="60" fillId="0" borderId="0" xfId="0" applyFont="1" applyAlignment="1">
      <alignment horizontal="left" wrapText="1"/>
    </xf>
    <xf numFmtId="0" fontId="12" fillId="0" borderId="0" xfId="0" applyFont="1" applyAlignment="1">
      <alignment horizontal="center"/>
    </xf>
    <xf numFmtId="0" fontId="12" fillId="3" borderId="0" xfId="0" applyFont="1" applyFill="1"/>
    <xf numFmtId="0" fontId="58" fillId="3" borderId="0" xfId="0" applyFont="1" applyFill="1" applyAlignment="1">
      <alignment horizontal="center" vertical="center" wrapText="1"/>
    </xf>
    <xf numFmtId="1" fontId="58" fillId="3" borderId="0" xfId="0" applyNumberFormat="1" applyFont="1" applyFill="1" applyAlignment="1">
      <alignment horizontal="center" vertical="center" wrapText="1"/>
    </xf>
    <xf numFmtId="0" fontId="59" fillId="3" borderId="0" xfId="0" applyFont="1" applyFill="1" applyAlignment="1">
      <alignment horizontal="center" vertical="center" wrapText="1"/>
    </xf>
    <xf numFmtId="166" fontId="58" fillId="3" borderId="0" xfId="0" applyNumberFormat="1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25" xfId="0" applyFont="1" applyBorder="1"/>
    <xf numFmtId="0" fontId="12" fillId="0" borderId="28" xfId="0" applyFont="1" applyBorder="1"/>
    <xf numFmtId="0" fontId="60" fillId="3" borderId="0" xfId="0" applyFont="1" applyFill="1" applyAlignment="1">
      <alignment horizontal="center" vertical="center" wrapText="1"/>
    </xf>
    <xf numFmtId="0" fontId="61" fillId="0" borderId="3" xfId="0" applyFont="1" applyBorder="1" applyAlignment="1">
      <alignment horizontal="left"/>
    </xf>
    <xf numFmtId="0" fontId="61" fillId="0" borderId="2" xfId="0" applyFont="1" applyBorder="1" applyAlignment="1">
      <alignment horizontal="left"/>
    </xf>
    <xf numFmtId="0" fontId="61" fillId="0" borderId="29" xfId="0" applyFont="1" applyBorder="1" applyAlignment="1">
      <alignment horizontal="left"/>
    </xf>
    <xf numFmtId="0" fontId="60" fillId="0" borderId="4" xfId="0" applyFont="1" applyBorder="1" applyAlignment="1">
      <alignment horizontal="left" wrapText="1"/>
    </xf>
    <xf numFmtId="0" fontId="60" fillId="0" borderId="0" xfId="0" applyFont="1" applyAlignment="1">
      <alignment horizontal="left" wrapText="1"/>
    </xf>
    <xf numFmtId="0" fontId="60" fillId="0" borderId="25" xfId="0" applyFont="1" applyBorder="1" applyAlignment="1">
      <alignment horizontal="left" wrapText="1"/>
    </xf>
    <xf numFmtId="0" fontId="60" fillId="3" borderId="4" xfId="0" applyFont="1" applyFill="1" applyBorder="1" applyAlignment="1">
      <alignment horizontal="left"/>
    </xf>
    <xf numFmtId="0" fontId="60" fillId="3" borderId="0" xfId="0" applyFont="1" applyFill="1" applyAlignment="1">
      <alignment horizontal="left"/>
    </xf>
    <xf numFmtId="0" fontId="60" fillId="3" borderId="25" xfId="0" applyFont="1" applyFill="1" applyBorder="1" applyAlignment="1">
      <alignment horizontal="left"/>
    </xf>
    <xf numFmtId="0" fontId="62" fillId="0" borderId="4" xfId="0" applyFont="1" applyBorder="1" applyAlignment="1">
      <alignment horizontal="left"/>
    </xf>
    <xf numFmtId="0" fontId="62" fillId="0" borderId="0" xfId="0" applyFont="1" applyAlignment="1">
      <alignment horizontal="left"/>
    </xf>
    <xf numFmtId="0" fontId="62" fillId="0" borderId="25" xfId="0" applyFont="1" applyBorder="1" applyAlignment="1">
      <alignment horizontal="left"/>
    </xf>
    <xf numFmtId="0" fontId="60" fillId="0" borderId="4" xfId="0" applyFont="1" applyBorder="1" applyAlignment="1">
      <alignment horizontal="left"/>
    </xf>
    <xf numFmtId="0" fontId="60" fillId="0" borderId="0" xfId="0" applyFont="1" applyAlignment="1">
      <alignment horizontal="left"/>
    </xf>
    <xf numFmtId="0" fontId="60" fillId="0" borderId="25" xfId="0" applyFont="1" applyBorder="1" applyAlignment="1">
      <alignment horizontal="left"/>
    </xf>
    <xf numFmtId="0" fontId="60" fillId="0" borderId="26" xfId="0" applyFont="1" applyBorder="1" applyAlignment="1">
      <alignment horizontal="left"/>
    </xf>
    <xf numFmtId="0" fontId="63" fillId="0" borderId="27" xfId="0" applyFont="1" applyBorder="1" applyAlignment="1">
      <alignment horizontal="left"/>
    </xf>
    <xf numFmtId="0" fontId="63" fillId="0" borderId="28" xfId="0" applyFont="1" applyBorder="1" applyAlignment="1">
      <alignment horizontal="left"/>
    </xf>
    <xf numFmtId="177" fontId="11" fillId="30" borderId="0" xfId="9" applyNumberFormat="1" applyFont="1" applyFill="1"/>
    <xf numFmtId="0" fontId="6" fillId="31" borderId="21" xfId="0" applyFont="1" applyFill="1" applyBorder="1" applyAlignment="1">
      <alignment horizontal="center" vertical="center" wrapText="1"/>
    </xf>
    <xf numFmtId="0" fontId="12" fillId="31" borderId="0" xfId="0" applyFont="1" applyFill="1"/>
    <xf numFmtId="0" fontId="12" fillId="31" borderId="0" xfId="0" applyFont="1" applyFill="1" applyAlignment="1">
      <alignment horizontal="center" vertical="center"/>
    </xf>
    <xf numFmtId="177" fontId="12" fillId="31" borderId="0" xfId="9" applyNumberFormat="1" applyFont="1" applyFill="1" applyAlignment="1">
      <alignment horizontal="center" vertical="center"/>
    </xf>
    <xf numFmtId="0" fontId="11" fillId="30" borderId="0" xfId="0" applyFont="1" applyFill="1" applyAlignment="1">
      <alignment horizontal="center" wrapText="1"/>
    </xf>
    <xf numFmtId="0" fontId="64" fillId="3" borderId="22" xfId="0" applyFont="1" applyFill="1" applyBorder="1" applyAlignment="1">
      <alignment horizontal="center" vertical="center" wrapText="1"/>
    </xf>
    <xf numFmtId="0" fontId="64" fillId="3" borderId="21" xfId="0" applyFont="1" applyFill="1" applyBorder="1" applyAlignment="1">
      <alignment horizontal="center" vertical="center" wrapText="1"/>
    </xf>
    <xf numFmtId="0" fontId="65" fillId="3" borderId="23" xfId="0" applyFont="1" applyFill="1" applyBorder="1" applyAlignment="1">
      <alignment vertical="center"/>
    </xf>
    <xf numFmtId="0" fontId="66" fillId="3" borderId="20" xfId="0" applyFont="1" applyFill="1" applyBorder="1" applyAlignment="1">
      <alignment horizontal="center" vertical="center" wrapText="1"/>
    </xf>
    <xf numFmtId="0" fontId="67" fillId="3" borderId="20" xfId="0" applyFont="1" applyFill="1" applyBorder="1" applyAlignment="1">
      <alignment horizontal="center" vertical="center"/>
    </xf>
    <xf numFmtId="0" fontId="68" fillId="3" borderId="20" xfId="0" applyFont="1" applyFill="1" applyBorder="1" applyAlignment="1">
      <alignment horizontal="center" vertical="center" wrapText="1"/>
    </xf>
    <xf numFmtId="1" fontId="66" fillId="3" borderId="20" xfId="0" applyNumberFormat="1" applyFont="1" applyFill="1" applyBorder="1" applyAlignment="1">
      <alignment horizontal="center" vertical="center" wrapText="1"/>
    </xf>
    <xf numFmtId="6" fontId="67" fillId="3" borderId="20" xfId="0" applyNumberFormat="1" applyFont="1" applyFill="1" applyBorder="1" applyAlignment="1">
      <alignment horizontal="center" vertical="center"/>
    </xf>
    <xf numFmtId="166" fontId="66" fillId="3" borderId="20" xfId="0" applyNumberFormat="1" applyFont="1" applyFill="1" applyBorder="1" applyAlignment="1">
      <alignment horizontal="center" vertical="center"/>
    </xf>
    <xf numFmtId="0" fontId="69" fillId="3" borderId="20" xfId="0" applyFont="1" applyFill="1" applyBorder="1" applyAlignment="1">
      <alignment horizontal="center" vertical="center" wrapText="1"/>
    </xf>
    <xf numFmtId="0" fontId="67" fillId="3" borderId="20" xfId="0" applyFont="1" applyFill="1" applyBorder="1" applyAlignment="1">
      <alignment horizontal="center" vertical="center" wrapText="1"/>
    </xf>
    <xf numFmtId="8" fontId="67" fillId="3" borderId="20" xfId="0" applyNumberFormat="1" applyFont="1" applyFill="1" applyBorder="1" applyAlignment="1">
      <alignment horizontal="center" vertical="center"/>
    </xf>
    <xf numFmtId="0" fontId="69" fillId="3" borderId="20" xfId="0" applyFont="1" applyFill="1" applyBorder="1" applyAlignment="1">
      <alignment horizontal="center" vertical="center"/>
    </xf>
    <xf numFmtId="6" fontId="69" fillId="3" borderId="20" xfId="0" applyNumberFormat="1" applyFont="1" applyFill="1" applyBorder="1" applyAlignment="1">
      <alignment horizontal="center" vertical="center"/>
    </xf>
    <xf numFmtId="166" fontId="66" fillId="3" borderId="20" xfId="0" applyNumberFormat="1" applyFont="1" applyFill="1" applyBorder="1" applyAlignment="1">
      <alignment horizontal="center" vertical="center" wrapText="1"/>
    </xf>
    <xf numFmtId="166" fontId="67" fillId="3" borderId="20" xfId="0" applyNumberFormat="1" applyFont="1" applyFill="1" applyBorder="1" applyAlignment="1">
      <alignment horizontal="center" vertical="center"/>
    </xf>
    <xf numFmtId="0" fontId="68" fillId="3" borderId="20" xfId="0" applyFont="1" applyFill="1" applyBorder="1" applyAlignment="1">
      <alignment horizontal="center" vertical="center"/>
    </xf>
    <xf numFmtId="0" fontId="66" fillId="3" borderId="20" xfId="0" applyFont="1" applyFill="1" applyBorder="1" applyAlignment="1">
      <alignment horizontal="center" vertical="center"/>
    </xf>
    <xf numFmtId="1" fontId="67" fillId="3" borderId="20" xfId="0" applyNumberFormat="1" applyFont="1" applyFill="1" applyBorder="1" applyAlignment="1">
      <alignment horizontal="center" vertical="center" wrapText="1"/>
    </xf>
    <xf numFmtId="166" fontId="67" fillId="3" borderId="20" xfId="596" applyNumberFormat="1" applyFont="1" applyFill="1" applyBorder="1" applyAlignment="1">
      <alignment horizontal="center" vertical="center" wrapText="1"/>
    </xf>
    <xf numFmtId="0" fontId="67" fillId="3" borderId="20" xfId="5" applyFont="1" applyFill="1" applyBorder="1" applyAlignment="1">
      <alignment horizontal="center" vertical="center" wrapText="1"/>
    </xf>
    <xf numFmtId="0" fontId="66" fillId="3" borderId="20" xfId="7" applyFont="1" applyFill="1" applyBorder="1" applyAlignment="1">
      <alignment horizontal="center" vertical="center"/>
    </xf>
    <xf numFmtId="1" fontId="66" fillId="3" borderId="20" xfId="6" applyNumberFormat="1" applyFont="1" applyFill="1" applyBorder="1" applyAlignment="1">
      <alignment horizontal="center" vertical="center"/>
    </xf>
    <xf numFmtId="166" fontId="67" fillId="3" borderId="20" xfId="9" applyNumberFormat="1" applyFont="1" applyFill="1" applyBorder="1" applyAlignment="1">
      <alignment horizontal="center" vertical="center"/>
    </xf>
    <xf numFmtId="166" fontId="66" fillId="30" borderId="20" xfId="0" applyNumberFormat="1" applyFont="1" applyFill="1" applyBorder="1" applyAlignment="1">
      <alignment horizontal="center" vertical="center" wrapText="1"/>
    </xf>
    <xf numFmtId="1" fontId="66" fillId="3" borderId="20" xfId="0" applyNumberFormat="1" applyFont="1" applyFill="1" applyBorder="1" applyAlignment="1">
      <alignment horizontal="center" vertical="center"/>
    </xf>
    <xf numFmtId="166" fontId="67" fillId="3" borderId="20" xfId="9" applyNumberFormat="1" applyFont="1" applyFill="1" applyBorder="1" applyAlignment="1">
      <alignment horizontal="center" vertical="center" wrapText="1"/>
    </xf>
    <xf numFmtId="0" fontId="67" fillId="3" borderId="20" xfId="5" applyFont="1" applyFill="1" applyBorder="1" applyAlignment="1">
      <alignment horizontal="center" vertical="center"/>
    </xf>
    <xf numFmtId="166" fontId="67" fillId="30" borderId="20" xfId="0" applyNumberFormat="1" applyFont="1" applyFill="1" applyBorder="1" applyAlignment="1">
      <alignment horizontal="center" vertical="center"/>
    </xf>
    <xf numFmtId="0" fontId="67" fillId="3" borderId="19" xfId="0" applyFont="1" applyFill="1" applyBorder="1" applyAlignment="1">
      <alignment horizontal="center" vertical="center" wrapText="1"/>
    </xf>
    <xf numFmtId="0" fontId="67" fillId="3" borderId="0" xfId="0" applyFont="1" applyFill="1" applyAlignment="1">
      <alignment horizontal="center" vertical="center" wrapText="1"/>
    </xf>
    <xf numFmtId="0" fontId="67" fillId="30" borderId="20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70" fillId="0" borderId="0" xfId="0" applyFont="1"/>
    <xf numFmtId="177" fontId="10" fillId="30" borderId="0" xfId="9" applyNumberFormat="1" applyFont="1" applyFill="1"/>
    <xf numFmtId="177" fontId="70" fillId="0" borderId="0" xfId="0" applyNumberFormat="1" applyFont="1"/>
  </cellXfs>
  <cellStyles count="597">
    <cellStyle name="20% - Énfasis5" xfId="7" builtinId="46"/>
    <cellStyle name="20% - 强调文字颜色 1" xfId="45" xr:uid="{00000000-0005-0000-0000-000001000000}"/>
    <cellStyle name="20% - 强调文字颜色 1 2" xfId="46" xr:uid="{00000000-0005-0000-0000-000002000000}"/>
    <cellStyle name="20% - 强调文字颜色 1 3" xfId="47" xr:uid="{00000000-0005-0000-0000-000003000000}"/>
    <cellStyle name="20% - 强调文字颜色 1 3 2" xfId="48" xr:uid="{00000000-0005-0000-0000-000004000000}"/>
    <cellStyle name="20% - 强调文字颜色 1 3 3" xfId="49" xr:uid="{00000000-0005-0000-0000-000005000000}"/>
    <cellStyle name="20% - 强调文字颜色 1 3 4" xfId="50" xr:uid="{00000000-0005-0000-0000-000006000000}"/>
    <cellStyle name="20% - 强调文字颜色 1 3 5" xfId="51" xr:uid="{00000000-0005-0000-0000-000007000000}"/>
    <cellStyle name="20% - 强调文字颜色 2" xfId="52" xr:uid="{00000000-0005-0000-0000-000008000000}"/>
    <cellStyle name="20% - 强调文字颜色 2 2" xfId="53" xr:uid="{00000000-0005-0000-0000-000009000000}"/>
    <cellStyle name="20% - 强调文字颜色 2 3" xfId="54" xr:uid="{00000000-0005-0000-0000-00000A000000}"/>
    <cellStyle name="20% - 强调文字颜色 2 3 2" xfId="55" xr:uid="{00000000-0005-0000-0000-00000B000000}"/>
    <cellStyle name="20% - 强调文字颜色 2 3 3" xfId="56" xr:uid="{00000000-0005-0000-0000-00000C000000}"/>
    <cellStyle name="20% - 强调文字颜色 2 3 4" xfId="57" xr:uid="{00000000-0005-0000-0000-00000D000000}"/>
    <cellStyle name="20% - 强调文字颜色 2 3 5" xfId="58" xr:uid="{00000000-0005-0000-0000-00000E000000}"/>
    <cellStyle name="20% - 强调文字颜色 3" xfId="59" xr:uid="{00000000-0005-0000-0000-00000F000000}"/>
    <cellStyle name="20% - 强调文字颜色 3 2" xfId="60" xr:uid="{00000000-0005-0000-0000-000010000000}"/>
    <cellStyle name="20% - 强调文字颜色 3 3" xfId="61" xr:uid="{00000000-0005-0000-0000-000011000000}"/>
    <cellStyle name="20% - 强调文字颜色 3 3 2" xfId="62" xr:uid="{00000000-0005-0000-0000-000012000000}"/>
    <cellStyle name="20% - 强调文字颜色 3 3 3" xfId="63" xr:uid="{00000000-0005-0000-0000-000013000000}"/>
    <cellStyle name="20% - 强调文字颜色 3 3 4" xfId="64" xr:uid="{00000000-0005-0000-0000-000014000000}"/>
    <cellStyle name="20% - 强调文字颜色 3 3 5" xfId="65" xr:uid="{00000000-0005-0000-0000-000015000000}"/>
    <cellStyle name="20% - 强调文字颜色 4" xfId="66" xr:uid="{00000000-0005-0000-0000-000016000000}"/>
    <cellStyle name="20% - 强调文字颜色 4 2" xfId="67" xr:uid="{00000000-0005-0000-0000-000017000000}"/>
    <cellStyle name="20% - 强调文字颜色 4 3" xfId="68" xr:uid="{00000000-0005-0000-0000-000018000000}"/>
    <cellStyle name="20% - 强调文字颜色 4 3 2" xfId="69" xr:uid="{00000000-0005-0000-0000-000019000000}"/>
    <cellStyle name="20% - 强调文字颜色 4 3 3" xfId="70" xr:uid="{00000000-0005-0000-0000-00001A000000}"/>
    <cellStyle name="20% - 强调文字颜色 4 3 4" xfId="71" xr:uid="{00000000-0005-0000-0000-00001B000000}"/>
    <cellStyle name="20% - 强调文字颜色 4 3 5" xfId="72" xr:uid="{00000000-0005-0000-0000-00001C000000}"/>
    <cellStyle name="20% - 强调文字颜色 5" xfId="73" xr:uid="{00000000-0005-0000-0000-00001D000000}"/>
    <cellStyle name="20% - 强调文字颜色 5 2" xfId="74" xr:uid="{00000000-0005-0000-0000-00001E000000}"/>
    <cellStyle name="20% - 强调文字颜色 5 3" xfId="75" xr:uid="{00000000-0005-0000-0000-00001F000000}"/>
    <cellStyle name="20% - 强调文字颜色 5 3 2" xfId="76" xr:uid="{00000000-0005-0000-0000-000020000000}"/>
    <cellStyle name="20% - 强调文字颜色 5 3 3" xfId="77" xr:uid="{00000000-0005-0000-0000-000021000000}"/>
    <cellStyle name="20% - 强调文字颜色 5 3 4" xfId="78" xr:uid="{00000000-0005-0000-0000-000022000000}"/>
    <cellStyle name="20% - 强调文字颜色 5 3 5" xfId="79" xr:uid="{00000000-0005-0000-0000-000023000000}"/>
    <cellStyle name="20% - 强调文字颜色 6" xfId="80" xr:uid="{00000000-0005-0000-0000-000024000000}"/>
    <cellStyle name="20% - 强调文字颜色 6 2" xfId="81" xr:uid="{00000000-0005-0000-0000-000025000000}"/>
    <cellStyle name="20% - 强调文字颜色 6 3" xfId="82" xr:uid="{00000000-0005-0000-0000-000026000000}"/>
    <cellStyle name="20% - 强调文字颜色 6 3 2" xfId="83" xr:uid="{00000000-0005-0000-0000-000027000000}"/>
    <cellStyle name="20% - 强调文字颜色 6 3 3" xfId="84" xr:uid="{00000000-0005-0000-0000-000028000000}"/>
    <cellStyle name="20% - 强调文字颜色 6 3 4" xfId="85" xr:uid="{00000000-0005-0000-0000-000029000000}"/>
    <cellStyle name="20% - 强调文字颜色 6 3 5" xfId="86" xr:uid="{00000000-0005-0000-0000-00002A000000}"/>
    <cellStyle name="40% - 强调文字颜色 1" xfId="87" xr:uid="{00000000-0005-0000-0000-00002B000000}"/>
    <cellStyle name="40% - 强调文字颜色 1 2" xfId="88" xr:uid="{00000000-0005-0000-0000-00002C000000}"/>
    <cellStyle name="40% - 强调文字颜色 1 3" xfId="89" xr:uid="{00000000-0005-0000-0000-00002D000000}"/>
    <cellStyle name="40% - 强调文字颜色 1 3 2" xfId="90" xr:uid="{00000000-0005-0000-0000-00002E000000}"/>
    <cellStyle name="40% - 强调文字颜色 1 3 3" xfId="91" xr:uid="{00000000-0005-0000-0000-00002F000000}"/>
    <cellStyle name="40% - 强调文字颜色 1 3 4" xfId="92" xr:uid="{00000000-0005-0000-0000-000030000000}"/>
    <cellStyle name="40% - 强调文字颜色 1 3 5" xfId="93" xr:uid="{00000000-0005-0000-0000-000031000000}"/>
    <cellStyle name="40% - 强调文字颜色 2" xfId="94" xr:uid="{00000000-0005-0000-0000-000032000000}"/>
    <cellStyle name="40% - 强调文字颜色 2 2" xfId="95" xr:uid="{00000000-0005-0000-0000-000033000000}"/>
    <cellStyle name="40% - 强调文字颜色 2 3" xfId="96" xr:uid="{00000000-0005-0000-0000-000034000000}"/>
    <cellStyle name="40% - 强调文字颜色 2 3 2" xfId="97" xr:uid="{00000000-0005-0000-0000-000035000000}"/>
    <cellStyle name="40% - 强调文字颜色 2 3 3" xfId="98" xr:uid="{00000000-0005-0000-0000-000036000000}"/>
    <cellStyle name="40% - 强调文字颜色 2 3 4" xfId="99" xr:uid="{00000000-0005-0000-0000-000037000000}"/>
    <cellStyle name="40% - 强调文字颜色 2 3 5" xfId="100" xr:uid="{00000000-0005-0000-0000-000038000000}"/>
    <cellStyle name="40% - 强调文字颜色 3" xfId="101" xr:uid="{00000000-0005-0000-0000-000039000000}"/>
    <cellStyle name="40% - 强调文字颜色 3 2" xfId="102" xr:uid="{00000000-0005-0000-0000-00003A000000}"/>
    <cellStyle name="40% - 强调文字颜色 3 3" xfId="103" xr:uid="{00000000-0005-0000-0000-00003B000000}"/>
    <cellStyle name="40% - 强调文字颜色 3 3 2" xfId="104" xr:uid="{00000000-0005-0000-0000-00003C000000}"/>
    <cellStyle name="40% - 强调文字颜色 3 3 3" xfId="105" xr:uid="{00000000-0005-0000-0000-00003D000000}"/>
    <cellStyle name="40% - 强调文字颜色 3 3 4" xfId="106" xr:uid="{00000000-0005-0000-0000-00003E000000}"/>
    <cellStyle name="40% - 强调文字颜色 3 3 5" xfId="107" xr:uid="{00000000-0005-0000-0000-00003F000000}"/>
    <cellStyle name="40% - 强调文字颜色 4" xfId="108" xr:uid="{00000000-0005-0000-0000-000040000000}"/>
    <cellStyle name="40% - 强调文字颜色 4 2" xfId="109" xr:uid="{00000000-0005-0000-0000-000041000000}"/>
    <cellStyle name="40% - 强调文字颜色 4 3" xfId="110" xr:uid="{00000000-0005-0000-0000-000042000000}"/>
    <cellStyle name="40% - 强调文字颜色 4 3 2" xfId="111" xr:uid="{00000000-0005-0000-0000-000043000000}"/>
    <cellStyle name="40% - 强调文字颜色 4 3 3" xfId="112" xr:uid="{00000000-0005-0000-0000-000044000000}"/>
    <cellStyle name="40% - 强调文字颜色 4 3 4" xfId="113" xr:uid="{00000000-0005-0000-0000-000045000000}"/>
    <cellStyle name="40% - 强调文字颜色 4 3 5" xfId="114" xr:uid="{00000000-0005-0000-0000-000046000000}"/>
    <cellStyle name="40% - 强调文字颜色 5" xfId="115" xr:uid="{00000000-0005-0000-0000-000047000000}"/>
    <cellStyle name="40% - 强调文字颜色 5 2" xfId="116" xr:uid="{00000000-0005-0000-0000-000048000000}"/>
    <cellStyle name="40% - 强调文字颜色 5 3" xfId="117" xr:uid="{00000000-0005-0000-0000-000049000000}"/>
    <cellStyle name="40% - 强调文字颜色 5 3 2" xfId="118" xr:uid="{00000000-0005-0000-0000-00004A000000}"/>
    <cellStyle name="40% - 强调文字颜色 5 3 3" xfId="119" xr:uid="{00000000-0005-0000-0000-00004B000000}"/>
    <cellStyle name="40% - 强调文字颜色 5 3 4" xfId="120" xr:uid="{00000000-0005-0000-0000-00004C000000}"/>
    <cellStyle name="40% - 强调文字颜色 5 3 5" xfId="121" xr:uid="{00000000-0005-0000-0000-00004D000000}"/>
    <cellStyle name="40% - 强调文字颜色 6" xfId="122" xr:uid="{00000000-0005-0000-0000-00004E000000}"/>
    <cellStyle name="40% - 强调文字颜色 6 2" xfId="123" xr:uid="{00000000-0005-0000-0000-00004F000000}"/>
    <cellStyle name="40% - 强调文字颜色 6 3" xfId="124" xr:uid="{00000000-0005-0000-0000-000050000000}"/>
    <cellStyle name="40% - 强调文字颜色 6 3 2" xfId="125" xr:uid="{00000000-0005-0000-0000-000051000000}"/>
    <cellStyle name="40% - 强调文字颜色 6 3 3" xfId="126" xr:uid="{00000000-0005-0000-0000-000052000000}"/>
    <cellStyle name="40% - 强调文字颜色 6 3 4" xfId="127" xr:uid="{00000000-0005-0000-0000-000053000000}"/>
    <cellStyle name="40% - 强调文字颜色 6 3 5" xfId="128" xr:uid="{00000000-0005-0000-0000-000054000000}"/>
    <cellStyle name="60% - 强调文字颜色 1" xfId="129" xr:uid="{00000000-0005-0000-0000-000055000000}"/>
    <cellStyle name="60% - 强调文字颜色 1 2" xfId="130" xr:uid="{00000000-0005-0000-0000-000056000000}"/>
    <cellStyle name="60% - 强调文字颜色 1 3" xfId="131" xr:uid="{00000000-0005-0000-0000-000057000000}"/>
    <cellStyle name="60% - 强调文字颜色 1 3 2" xfId="132" xr:uid="{00000000-0005-0000-0000-000058000000}"/>
    <cellStyle name="60% - 强调文字颜色 1 3 3" xfId="133" xr:uid="{00000000-0005-0000-0000-000059000000}"/>
    <cellStyle name="60% - 强调文字颜色 1 3 4" xfId="134" xr:uid="{00000000-0005-0000-0000-00005A000000}"/>
    <cellStyle name="60% - 强调文字颜色 1 3 5" xfId="135" xr:uid="{00000000-0005-0000-0000-00005B000000}"/>
    <cellStyle name="60% - 强调文字颜色 2" xfId="136" xr:uid="{00000000-0005-0000-0000-00005C000000}"/>
    <cellStyle name="60% - 强调文字颜色 2 2" xfId="137" xr:uid="{00000000-0005-0000-0000-00005D000000}"/>
    <cellStyle name="60% - 强调文字颜色 2 3" xfId="138" xr:uid="{00000000-0005-0000-0000-00005E000000}"/>
    <cellStyle name="60% - 强调文字颜色 2 3 2" xfId="139" xr:uid="{00000000-0005-0000-0000-00005F000000}"/>
    <cellStyle name="60% - 强调文字颜色 2 3 3" xfId="140" xr:uid="{00000000-0005-0000-0000-000060000000}"/>
    <cellStyle name="60% - 强调文字颜色 2 3 4" xfId="141" xr:uid="{00000000-0005-0000-0000-000061000000}"/>
    <cellStyle name="60% - 强调文字颜色 2 3 5" xfId="142" xr:uid="{00000000-0005-0000-0000-000062000000}"/>
    <cellStyle name="60% - 强调文字颜色 3" xfId="143" xr:uid="{00000000-0005-0000-0000-000063000000}"/>
    <cellStyle name="60% - 强调文字颜色 3 2" xfId="144" xr:uid="{00000000-0005-0000-0000-000064000000}"/>
    <cellStyle name="60% - 强调文字颜色 3 3" xfId="145" xr:uid="{00000000-0005-0000-0000-000065000000}"/>
    <cellStyle name="60% - 强调文字颜色 3 3 2" xfId="146" xr:uid="{00000000-0005-0000-0000-000066000000}"/>
    <cellStyle name="60% - 强调文字颜色 3 3 3" xfId="147" xr:uid="{00000000-0005-0000-0000-000067000000}"/>
    <cellStyle name="60% - 强调文字颜色 3 3 4" xfId="148" xr:uid="{00000000-0005-0000-0000-000068000000}"/>
    <cellStyle name="60% - 强调文字颜色 3 3 5" xfId="149" xr:uid="{00000000-0005-0000-0000-000069000000}"/>
    <cellStyle name="60% - 强调文字颜色 4" xfId="150" xr:uid="{00000000-0005-0000-0000-00006A000000}"/>
    <cellStyle name="60% - 强调文字颜色 4 2" xfId="151" xr:uid="{00000000-0005-0000-0000-00006B000000}"/>
    <cellStyle name="60% - 强调文字颜色 4 3" xfId="152" xr:uid="{00000000-0005-0000-0000-00006C000000}"/>
    <cellStyle name="60% - 强调文字颜色 4 3 2" xfId="153" xr:uid="{00000000-0005-0000-0000-00006D000000}"/>
    <cellStyle name="60% - 强调文字颜色 4 3 3" xfId="154" xr:uid="{00000000-0005-0000-0000-00006E000000}"/>
    <cellStyle name="60% - 强调文字颜色 4 3 4" xfId="155" xr:uid="{00000000-0005-0000-0000-00006F000000}"/>
    <cellStyle name="60% - 强调文字颜色 4 3 5" xfId="156" xr:uid="{00000000-0005-0000-0000-000070000000}"/>
    <cellStyle name="60% - 强调文字颜色 5" xfId="157" xr:uid="{00000000-0005-0000-0000-000071000000}"/>
    <cellStyle name="60% - 强调文字颜色 5 2" xfId="158" xr:uid="{00000000-0005-0000-0000-000072000000}"/>
    <cellStyle name="60% - 强调文字颜色 5 3" xfId="159" xr:uid="{00000000-0005-0000-0000-000073000000}"/>
    <cellStyle name="60% - 强调文字颜色 5 3 2" xfId="160" xr:uid="{00000000-0005-0000-0000-000074000000}"/>
    <cellStyle name="60% - 强调文字颜色 5 3 3" xfId="161" xr:uid="{00000000-0005-0000-0000-000075000000}"/>
    <cellStyle name="60% - 强调文字颜色 5 3 4" xfId="162" xr:uid="{00000000-0005-0000-0000-000076000000}"/>
    <cellStyle name="60% - 强调文字颜色 5 3 5" xfId="163" xr:uid="{00000000-0005-0000-0000-000077000000}"/>
    <cellStyle name="60% - 强调文字颜色 6" xfId="164" xr:uid="{00000000-0005-0000-0000-000078000000}"/>
    <cellStyle name="60% - 强调文字颜色 6 2" xfId="165" xr:uid="{00000000-0005-0000-0000-000079000000}"/>
    <cellStyle name="60% - 强调文字颜色 6 3" xfId="166" xr:uid="{00000000-0005-0000-0000-00007A000000}"/>
    <cellStyle name="60% - 强调文字颜色 6 3 2" xfId="167" xr:uid="{00000000-0005-0000-0000-00007B000000}"/>
    <cellStyle name="60% - 强调文字颜色 6 3 3" xfId="168" xr:uid="{00000000-0005-0000-0000-00007C000000}"/>
    <cellStyle name="60% - 强调文字颜色 6 3 4" xfId="169" xr:uid="{00000000-0005-0000-0000-00007D000000}"/>
    <cellStyle name="60% - 强调文字颜色 6 3 5" xfId="170" xr:uid="{00000000-0005-0000-0000-00007E000000}"/>
    <cellStyle name="Bad 2" xfId="171" xr:uid="{00000000-0005-0000-0000-00007F000000}"/>
    <cellStyle name="Bad 2 2" xfId="172" xr:uid="{00000000-0005-0000-0000-000080000000}"/>
    <cellStyle name="Bad 2 3" xfId="173" xr:uid="{00000000-0005-0000-0000-000081000000}"/>
    <cellStyle name="Bad 2 3 2" xfId="174" xr:uid="{00000000-0005-0000-0000-000082000000}"/>
    <cellStyle name="Bad 2 3 3" xfId="175" xr:uid="{00000000-0005-0000-0000-000083000000}"/>
    <cellStyle name="Bad 2 3 4" xfId="176" xr:uid="{00000000-0005-0000-0000-000084000000}"/>
    <cellStyle name="Bad 2 3 5" xfId="177" xr:uid="{00000000-0005-0000-0000-000085000000}"/>
    <cellStyle name="Bueno" xfId="6" builtinId="26"/>
    <cellStyle name="Comma [0] 2" xfId="11" xr:uid="{00000000-0005-0000-0000-000087000000}"/>
    <cellStyle name="Comma [0] 2 2" xfId="178" xr:uid="{00000000-0005-0000-0000-000088000000}"/>
    <cellStyle name="Comma [0] 3" xfId="179" xr:uid="{00000000-0005-0000-0000-000089000000}"/>
    <cellStyle name="Comma 2" xfId="12" xr:uid="{00000000-0005-0000-0000-00008A000000}"/>
    <cellStyle name="Comma 2 2" xfId="181" xr:uid="{00000000-0005-0000-0000-00008B000000}"/>
    <cellStyle name="Comma 2 3" xfId="180" xr:uid="{00000000-0005-0000-0000-00008C000000}"/>
    <cellStyle name="Comma 3" xfId="13" xr:uid="{00000000-0005-0000-0000-00008D000000}"/>
    <cellStyle name="Comma 4" xfId="14" xr:uid="{00000000-0005-0000-0000-00008E000000}"/>
    <cellStyle name="Comma 4 2" xfId="585" xr:uid="{00000000-0005-0000-0000-00008F000000}"/>
    <cellStyle name="Comma0" xfId="15" xr:uid="{00000000-0005-0000-0000-000090000000}"/>
    <cellStyle name="Currency 2" xfId="16" xr:uid="{00000000-0005-0000-0000-000091000000}"/>
    <cellStyle name="Currency 2 2" xfId="183" xr:uid="{00000000-0005-0000-0000-000092000000}"/>
    <cellStyle name="Currency 2 3" xfId="184" xr:uid="{00000000-0005-0000-0000-000093000000}"/>
    <cellStyle name="Currency 2 4" xfId="185" xr:uid="{00000000-0005-0000-0000-000094000000}"/>
    <cellStyle name="Currency 2 5" xfId="182" xr:uid="{00000000-0005-0000-0000-000095000000}"/>
    <cellStyle name="Currency 3" xfId="186" xr:uid="{00000000-0005-0000-0000-000096000000}"/>
    <cellStyle name="Currency 3 2" xfId="187" xr:uid="{00000000-0005-0000-0000-000097000000}"/>
    <cellStyle name="Currency 3 2 2" xfId="188" xr:uid="{00000000-0005-0000-0000-000098000000}"/>
    <cellStyle name="Currency 3 3" xfId="189" xr:uid="{00000000-0005-0000-0000-000099000000}"/>
    <cellStyle name="Currency 3 3 2" xfId="190" xr:uid="{00000000-0005-0000-0000-00009A000000}"/>
    <cellStyle name="Currency 3 4" xfId="191" xr:uid="{00000000-0005-0000-0000-00009B000000}"/>
    <cellStyle name="Currency 3 5" xfId="192" xr:uid="{00000000-0005-0000-0000-00009C000000}"/>
    <cellStyle name="Currency 4" xfId="193" xr:uid="{00000000-0005-0000-0000-00009D000000}"/>
    <cellStyle name="Currency 4 2" xfId="194" xr:uid="{00000000-0005-0000-0000-00009E000000}"/>
    <cellStyle name="Currency 4 3" xfId="195" xr:uid="{00000000-0005-0000-0000-00009F000000}"/>
    <cellStyle name="Currency 5" xfId="196" xr:uid="{00000000-0005-0000-0000-0000A0000000}"/>
    <cellStyle name="Currency0" xfId="17" xr:uid="{00000000-0005-0000-0000-0000A1000000}"/>
    <cellStyle name="Date" xfId="18" xr:uid="{00000000-0005-0000-0000-0000A2000000}"/>
    <cellStyle name="Encabezado 1" xfId="1" xr:uid="{00000000-0005-0000-0000-0000A3000000}"/>
    <cellStyle name="Fixed" xfId="19" xr:uid="{00000000-0005-0000-0000-0000A4000000}"/>
    <cellStyle name="Heading 1 2" xfId="20" xr:uid="{00000000-0005-0000-0000-0000A5000000}"/>
    <cellStyle name="Heading 2 2" xfId="21" xr:uid="{00000000-0005-0000-0000-0000A6000000}"/>
    <cellStyle name="Millares" xfId="596" builtinId="3"/>
    <cellStyle name="Millares 2" xfId="22" xr:uid="{00000000-0005-0000-0000-0000A8000000}"/>
    <cellStyle name="Millares 3" xfId="23" xr:uid="{00000000-0005-0000-0000-0000A9000000}"/>
    <cellStyle name="Millares 3 2" xfId="586" xr:uid="{00000000-0005-0000-0000-0000AA000000}"/>
    <cellStyle name="Moeda [0] 2" xfId="197" xr:uid="{00000000-0005-0000-0000-0000AB000000}"/>
    <cellStyle name="Moeda 2" xfId="198" xr:uid="{00000000-0005-0000-0000-0000AC000000}"/>
    <cellStyle name="Moeda 3" xfId="199" xr:uid="{00000000-0005-0000-0000-0000AD000000}"/>
    <cellStyle name="Moeda 4" xfId="200" xr:uid="{00000000-0005-0000-0000-0000AE000000}"/>
    <cellStyle name="Moeda 4 2" xfId="201" xr:uid="{00000000-0005-0000-0000-0000AF000000}"/>
    <cellStyle name="Moeda 4 3" xfId="202" xr:uid="{00000000-0005-0000-0000-0000B0000000}"/>
    <cellStyle name="Moeda 4 4" xfId="203" xr:uid="{00000000-0005-0000-0000-0000B1000000}"/>
    <cellStyle name="Moeda 5" xfId="204" xr:uid="{00000000-0005-0000-0000-0000B2000000}"/>
    <cellStyle name="Moeda 6" xfId="205" xr:uid="{00000000-0005-0000-0000-0000B3000000}"/>
    <cellStyle name="Moeda 7" xfId="206" xr:uid="{00000000-0005-0000-0000-0000B4000000}"/>
    <cellStyle name="Moneda" xfId="9" builtinId="4"/>
    <cellStyle name="Moneda 2" xfId="8" xr:uid="{00000000-0005-0000-0000-0000B6000000}"/>
    <cellStyle name="Moneda 2 2" xfId="24" xr:uid="{00000000-0005-0000-0000-0000B7000000}"/>
    <cellStyle name="Moneda 3" xfId="595" xr:uid="{00000000-0005-0000-0000-0000B8000000}"/>
    <cellStyle name="Neutral 1" xfId="2" xr:uid="{00000000-0005-0000-0000-0000B9000000}"/>
    <cellStyle name="Normal" xfId="0" builtinId="0"/>
    <cellStyle name="Normal 10" xfId="207" xr:uid="{00000000-0005-0000-0000-0000BB000000}"/>
    <cellStyle name="Normal 10 2" xfId="208" xr:uid="{00000000-0005-0000-0000-0000BC000000}"/>
    <cellStyle name="Normal 10 3" xfId="209" xr:uid="{00000000-0005-0000-0000-0000BD000000}"/>
    <cellStyle name="Normal 10 4" xfId="210" xr:uid="{00000000-0005-0000-0000-0000BE000000}"/>
    <cellStyle name="Normal 10 5" xfId="211" xr:uid="{00000000-0005-0000-0000-0000BF000000}"/>
    <cellStyle name="Normal 11" xfId="212" xr:uid="{00000000-0005-0000-0000-0000C0000000}"/>
    <cellStyle name="Normal 11 2" xfId="213" xr:uid="{00000000-0005-0000-0000-0000C1000000}"/>
    <cellStyle name="Normal 11 3" xfId="214" xr:uid="{00000000-0005-0000-0000-0000C2000000}"/>
    <cellStyle name="Normal 11 4" xfId="215" xr:uid="{00000000-0005-0000-0000-0000C3000000}"/>
    <cellStyle name="Normal 11 5" xfId="216" xr:uid="{00000000-0005-0000-0000-0000C4000000}"/>
    <cellStyle name="Normal 12" xfId="217" xr:uid="{00000000-0005-0000-0000-0000C5000000}"/>
    <cellStyle name="Normal 12 2" xfId="218" xr:uid="{00000000-0005-0000-0000-0000C6000000}"/>
    <cellStyle name="Normal 12 3" xfId="219" xr:uid="{00000000-0005-0000-0000-0000C7000000}"/>
    <cellStyle name="Normal 12 4" xfId="220" xr:uid="{00000000-0005-0000-0000-0000C8000000}"/>
    <cellStyle name="Normal 12 5" xfId="221" xr:uid="{00000000-0005-0000-0000-0000C9000000}"/>
    <cellStyle name="Normal 13" xfId="222" xr:uid="{00000000-0005-0000-0000-0000CA000000}"/>
    <cellStyle name="Normal 13 2" xfId="223" xr:uid="{00000000-0005-0000-0000-0000CB000000}"/>
    <cellStyle name="Normal 14" xfId="224" xr:uid="{00000000-0005-0000-0000-0000CC000000}"/>
    <cellStyle name="Normal 15" xfId="225" xr:uid="{00000000-0005-0000-0000-0000CD000000}"/>
    <cellStyle name="Normal 16" xfId="226" xr:uid="{00000000-0005-0000-0000-0000CE000000}"/>
    <cellStyle name="Normal 17" xfId="227" xr:uid="{00000000-0005-0000-0000-0000CF000000}"/>
    <cellStyle name="Normal 18" xfId="228" xr:uid="{00000000-0005-0000-0000-0000D0000000}"/>
    <cellStyle name="Normal 19" xfId="229" xr:uid="{00000000-0005-0000-0000-0000D1000000}"/>
    <cellStyle name="Normal 2" xfId="3" xr:uid="{00000000-0005-0000-0000-0000D2000000}"/>
    <cellStyle name="Normal 2 2" xfId="26" xr:uid="{00000000-0005-0000-0000-0000D3000000}"/>
    <cellStyle name="Normal 2 2 2" xfId="232" xr:uid="{00000000-0005-0000-0000-0000D4000000}"/>
    <cellStyle name="Normal 2 2 2 2" xfId="233" xr:uid="{00000000-0005-0000-0000-0000D5000000}"/>
    <cellStyle name="Normal 2 2 2 3" xfId="234" xr:uid="{00000000-0005-0000-0000-0000D6000000}"/>
    <cellStyle name="Normal 2 2 3" xfId="235" xr:uid="{00000000-0005-0000-0000-0000D7000000}"/>
    <cellStyle name="Normal 2 2 3 2" xfId="236" xr:uid="{00000000-0005-0000-0000-0000D8000000}"/>
    <cellStyle name="Normal 2 2 3 2 2" xfId="237" xr:uid="{00000000-0005-0000-0000-0000D9000000}"/>
    <cellStyle name="Normal 2 2 3 3" xfId="238" xr:uid="{00000000-0005-0000-0000-0000DA000000}"/>
    <cellStyle name="Normal 2 2 3 4" xfId="239" xr:uid="{00000000-0005-0000-0000-0000DB000000}"/>
    <cellStyle name="Normal 2 2 3 5" xfId="240" xr:uid="{00000000-0005-0000-0000-0000DC000000}"/>
    <cellStyle name="Normal 2 2 3 6" xfId="241" xr:uid="{00000000-0005-0000-0000-0000DD000000}"/>
    <cellStyle name="Normal 2 2 4" xfId="242" xr:uid="{00000000-0005-0000-0000-0000DE000000}"/>
    <cellStyle name="Normal 2 2 5" xfId="243" xr:uid="{00000000-0005-0000-0000-0000DF000000}"/>
    <cellStyle name="Normal 2 2 6" xfId="231" xr:uid="{00000000-0005-0000-0000-0000E0000000}"/>
    <cellStyle name="Normal 2 2 7" xfId="587" xr:uid="{00000000-0005-0000-0000-0000E1000000}"/>
    <cellStyle name="Normal 2 2 8" xfId="593" xr:uid="{00000000-0005-0000-0000-0000E2000000}"/>
    <cellStyle name="Normal 2 3" xfId="10" xr:uid="{00000000-0005-0000-0000-0000E3000000}"/>
    <cellStyle name="Normal 2 3 2" xfId="244" xr:uid="{00000000-0005-0000-0000-0000E4000000}"/>
    <cellStyle name="Normal 2 4" xfId="245" xr:uid="{00000000-0005-0000-0000-0000E5000000}"/>
    <cellStyle name="Normal 2 4 2" xfId="246" xr:uid="{00000000-0005-0000-0000-0000E6000000}"/>
    <cellStyle name="Normal 2 4 3" xfId="247" xr:uid="{00000000-0005-0000-0000-0000E7000000}"/>
    <cellStyle name="Normal 2 4 4" xfId="248" xr:uid="{00000000-0005-0000-0000-0000E8000000}"/>
    <cellStyle name="Normal 2 4 5" xfId="249" xr:uid="{00000000-0005-0000-0000-0000E9000000}"/>
    <cellStyle name="Normal 2 5" xfId="250" xr:uid="{00000000-0005-0000-0000-0000EA000000}"/>
    <cellStyle name="Normal 2 6" xfId="251" xr:uid="{00000000-0005-0000-0000-0000EB000000}"/>
    <cellStyle name="Normal 2 7" xfId="230" xr:uid="{00000000-0005-0000-0000-0000EC000000}"/>
    <cellStyle name="Normal 2 8" xfId="25" xr:uid="{00000000-0005-0000-0000-0000ED000000}"/>
    <cellStyle name="Normal 20" xfId="43" xr:uid="{00000000-0005-0000-0000-0000EE000000}"/>
    <cellStyle name="Normal 21" xfId="584" xr:uid="{00000000-0005-0000-0000-0000EF000000}"/>
    <cellStyle name="Normal 22" xfId="592" xr:uid="{00000000-0005-0000-0000-0000F0000000}"/>
    <cellStyle name="Normal 3" xfId="4" xr:uid="{00000000-0005-0000-0000-0000F1000000}"/>
    <cellStyle name="Normal 3 10" xfId="27" xr:uid="{00000000-0005-0000-0000-0000F2000000}"/>
    <cellStyle name="Normal 3 2" xfId="28" xr:uid="{00000000-0005-0000-0000-0000F3000000}"/>
    <cellStyle name="Normal 3 2 2" xfId="254" xr:uid="{00000000-0005-0000-0000-0000F4000000}"/>
    <cellStyle name="Normal 3 2 2 2" xfId="255" xr:uid="{00000000-0005-0000-0000-0000F5000000}"/>
    <cellStyle name="Normal 3 2 2 2 2" xfId="256" xr:uid="{00000000-0005-0000-0000-0000F6000000}"/>
    <cellStyle name="Normal 3 2 2 3" xfId="257" xr:uid="{00000000-0005-0000-0000-0000F7000000}"/>
    <cellStyle name="Normal 3 2 2 3 2" xfId="258" xr:uid="{00000000-0005-0000-0000-0000F8000000}"/>
    <cellStyle name="Normal 3 2 2 4" xfId="259" xr:uid="{00000000-0005-0000-0000-0000F9000000}"/>
    <cellStyle name="Normal 3 2 3" xfId="260" xr:uid="{00000000-0005-0000-0000-0000FA000000}"/>
    <cellStyle name="Normal 3 2 3 2" xfId="261" xr:uid="{00000000-0005-0000-0000-0000FB000000}"/>
    <cellStyle name="Normal 3 2 4" xfId="262" xr:uid="{00000000-0005-0000-0000-0000FC000000}"/>
    <cellStyle name="Normal 3 2 4 2" xfId="263" xr:uid="{00000000-0005-0000-0000-0000FD000000}"/>
    <cellStyle name="Normal 3 2 5" xfId="264" xr:uid="{00000000-0005-0000-0000-0000FE000000}"/>
    <cellStyle name="Normal 3 2 6" xfId="265" xr:uid="{00000000-0005-0000-0000-0000FF000000}"/>
    <cellStyle name="Normal 3 2 6 2" xfId="266" xr:uid="{00000000-0005-0000-0000-000000010000}"/>
    <cellStyle name="Normal 3 2 6 3" xfId="267" xr:uid="{00000000-0005-0000-0000-000001010000}"/>
    <cellStyle name="Normal 3 2 6 4" xfId="268" xr:uid="{00000000-0005-0000-0000-000002010000}"/>
    <cellStyle name="Normal 3 2 6 5" xfId="269" xr:uid="{00000000-0005-0000-0000-000003010000}"/>
    <cellStyle name="Normal 3 2 7" xfId="253" xr:uid="{00000000-0005-0000-0000-000004010000}"/>
    <cellStyle name="Normal 3 3" xfId="29" xr:uid="{00000000-0005-0000-0000-000005010000}"/>
    <cellStyle name="Normal 3 3 2" xfId="271" xr:uid="{00000000-0005-0000-0000-000006010000}"/>
    <cellStyle name="Normal 3 3 2 2" xfId="272" xr:uid="{00000000-0005-0000-0000-000007010000}"/>
    <cellStyle name="Normal 3 3 3" xfId="273" xr:uid="{00000000-0005-0000-0000-000008010000}"/>
    <cellStyle name="Normal 3 3 3 2" xfId="274" xr:uid="{00000000-0005-0000-0000-000009010000}"/>
    <cellStyle name="Normal 3 3 4" xfId="275" xr:uid="{00000000-0005-0000-0000-00000A010000}"/>
    <cellStyle name="Normal 3 3 5" xfId="276" xr:uid="{00000000-0005-0000-0000-00000B010000}"/>
    <cellStyle name="Normal 3 3 5 2" xfId="277" xr:uid="{00000000-0005-0000-0000-00000C010000}"/>
    <cellStyle name="Normal 3 3 5 3" xfId="278" xr:uid="{00000000-0005-0000-0000-00000D010000}"/>
    <cellStyle name="Normal 3 3 5 4" xfId="279" xr:uid="{00000000-0005-0000-0000-00000E010000}"/>
    <cellStyle name="Normal 3 3 5 5" xfId="280" xr:uid="{00000000-0005-0000-0000-00000F010000}"/>
    <cellStyle name="Normal 3 3 6" xfId="270" xr:uid="{00000000-0005-0000-0000-000010010000}"/>
    <cellStyle name="Normal 3 4" xfId="281" xr:uid="{00000000-0005-0000-0000-000011010000}"/>
    <cellStyle name="Normal 3 4 2" xfId="282" xr:uid="{00000000-0005-0000-0000-000012010000}"/>
    <cellStyle name="Normal 3 5" xfId="283" xr:uid="{00000000-0005-0000-0000-000013010000}"/>
    <cellStyle name="Normal 3 5 2" xfId="284" xr:uid="{00000000-0005-0000-0000-000014010000}"/>
    <cellStyle name="Normal 3 6" xfId="285" xr:uid="{00000000-0005-0000-0000-000015010000}"/>
    <cellStyle name="Normal 3 7" xfId="286" xr:uid="{00000000-0005-0000-0000-000016010000}"/>
    <cellStyle name="Normal 3 7 2" xfId="287" xr:uid="{00000000-0005-0000-0000-000017010000}"/>
    <cellStyle name="Normal 3 7 3" xfId="288" xr:uid="{00000000-0005-0000-0000-000018010000}"/>
    <cellStyle name="Normal 3 7 4" xfId="289" xr:uid="{00000000-0005-0000-0000-000019010000}"/>
    <cellStyle name="Normal 3 7 5" xfId="290" xr:uid="{00000000-0005-0000-0000-00001A010000}"/>
    <cellStyle name="Normal 3 8" xfId="252" xr:uid="{00000000-0005-0000-0000-00001B010000}"/>
    <cellStyle name="Normal 3 9" xfId="594" xr:uid="{00000000-0005-0000-0000-00001C010000}"/>
    <cellStyle name="Normal 4" xfId="5" xr:uid="{00000000-0005-0000-0000-00001D010000}"/>
    <cellStyle name="Normal 4 2" xfId="31" xr:uid="{00000000-0005-0000-0000-00001E010000}"/>
    <cellStyle name="Normal 4 2 2" xfId="293" xr:uid="{00000000-0005-0000-0000-00001F010000}"/>
    <cellStyle name="Normal 4 2 2 2" xfId="294" xr:uid="{00000000-0005-0000-0000-000020010000}"/>
    <cellStyle name="Normal 4 2 3" xfId="295" xr:uid="{00000000-0005-0000-0000-000021010000}"/>
    <cellStyle name="Normal 4 2 3 2" xfId="296" xr:uid="{00000000-0005-0000-0000-000022010000}"/>
    <cellStyle name="Normal 4 2 4" xfId="297" xr:uid="{00000000-0005-0000-0000-000023010000}"/>
    <cellStyle name="Normal 4 2 5" xfId="292" xr:uid="{00000000-0005-0000-0000-000024010000}"/>
    <cellStyle name="Normal 4 2 6" xfId="588" xr:uid="{00000000-0005-0000-0000-000025010000}"/>
    <cellStyle name="Normal 4 3" xfId="32" xr:uid="{00000000-0005-0000-0000-000026010000}"/>
    <cellStyle name="Normal 4 3 2" xfId="299" xr:uid="{00000000-0005-0000-0000-000027010000}"/>
    <cellStyle name="Normal 4 3 3" xfId="298" xr:uid="{00000000-0005-0000-0000-000028010000}"/>
    <cellStyle name="Normal 4 3 4" xfId="589" xr:uid="{00000000-0005-0000-0000-000029010000}"/>
    <cellStyle name="Normal 4 4" xfId="300" xr:uid="{00000000-0005-0000-0000-00002A010000}"/>
    <cellStyle name="Normal 4 4 2" xfId="301" xr:uid="{00000000-0005-0000-0000-00002B010000}"/>
    <cellStyle name="Normal 4 5" xfId="302" xr:uid="{00000000-0005-0000-0000-00002C010000}"/>
    <cellStyle name="Normal 4 6" xfId="303" xr:uid="{00000000-0005-0000-0000-00002D010000}"/>
    <cellStyle name="Normal 4 6 2" xfId="304" xr:uid="{00000000-0005-0000-0000-00002E010000}"/>
    <cellStyle name="Normal 4 6 3" xfId="305" xr:uid="{00000000-0005-0000-0000-00002F010000}"/>
    <cellStyle name="Normal 4 6 4" xfId="306" xr:uid="{00000000-0005-0000-0000-000030010000}"/>
    <cellStyle name="Normal 4 6 5" xfId="307" xr:uid="{00000000-0005-0000-0000-000031010000}"/>
    <cellStyle name="Normal 4 7" xfId="308" xr:uid="{00000000-0005-0000-0000-000032010000}"/>
    <cellStyle name="Normal 4 8" xfId="291" xr:uid="{00000000-0005-0000-0000-000033010000}"/>
    <cellStyle name="Normal 4 9" xfId="30" xr:uid="{00000000-0005-0000-0000-000034010000}"/>
    <cellStyle name="Normal 5" xfId="33" xr:uid="{00000000-0005-0000-0000-000035010000}"/>
    <cellStyle name="Normal 5 2" xfId="310" xr:uid="{00000000-0005-0000-0000-000036010000}"/>
    <cellStyle name="Normal 5 2 2" xfId="311" xr:uid="{00000000-0005-0000-0000-000037010000}"/>
    <cellStyle name="Normal 5 2 3" xfId="312" xr:uid="{00000000-0005-0000-0000-000038010000}"/>
    <cellStyle name="Normal 5 3" xfId="313" xr:uid="{00000000-0005-0000-0000-000039010000}"/>
    <cellStyle name="Normal 5 3 2" xfId="314" xr:uid="{00000000-0005-0000-0000-00003A010000}"/>
    <cellStyle name="Normal 5 3 2 2" xfId="315" xr:uid="{00000000-0005-0000-0000-00003B010000}"/>
    <cellStyle name="Normal 5 3 3" xfId="316" xr:uid="{00000000-0005-0000-0000-00003C010000}"/>
    <cellStyle name="Normal 5 3 4" xfId="317" xr:uid="{00000000-0005-0000-0000-00003D010000}"/>
    <cellStyle name="Normal 5 3 5" xfId="318" xr:uid="{00000000-0005-0000-0000-00003E010000}"/>
    <cellStyle name="Normal 5 3 6" xfId="319" xr:uid="{00000000-0005-0000-0000-00003F010000}"/>
    <cellStyle name="Normal 5 4" xfId="320" xr:uid="{00000000-0005-0000-0000-000040010000}"/>
    <cellStyle name="Normal 5 4 2" xfId="321" xr:uid="{00000000-0005-0000-0000-000041010000}"/>
    <cellStyle name="Normal 5 5" xfId="322" xr:uid="{00000000-0005-0000-0000-000042010000}"/>
    <cellStyle name="Normal 5 6" xfId="323" xr:uid="{00000000-0005-0000-0000-000043010000}"/>
    <cellStyle name="Normal 5 7" xfId="309" xr:uid="{00000000-0005-0000-0000-000044010000}"/>
    <cellStyle name="Normal 6" xfId="34" xr:uid="{00000000-0005-0000-0000-000045010000}"/>
    <cellStyle name="Normal 6 2" xfId="325" xr:uid="{00000000-0005-0000-0000-000046010000}"/>
    <cellStyle name="Normal 6 3" xfId="326" xr:uid="{00000000-0005-0000-0000-000047010000}"/>
    <cellStyle name="Normal 6 3 2" xfId="327" xr:uid="{00000000-0005-0000-0000-000048010000}"/>
    <cellStyle name="Normal 6 3 3" xfId="328" xr:uid="{00000000-0005-0000-0000-000049010000}"/>
    <cellStyle name="Normal 6 3 4" xfId="329" xr:uid="{00000000-0005-0000-0000-00004A010000}"/>
    <cellStyle name="Normal 6 3 5" xfId="330" xr:uid="{00000000-0005-0000-0000-00004B010000}"/>
    <cellStyle name="Normal 6 4" xfId="331" xr:uid="{00000000-0005-0000-0000-00004C010000}"/>
    <cellStyle name="Normal 6 5" xfId="324" xr:uid="{00000000-0005-0000-0000-00004D010000}"/>
    <cellStyle name="Normal 6 6" xfId="590" xr:uid="{00000000-0005-0000-0000-00004E010000}"/>
    <cellStyle name="Normal 7" xfId="35" xr:uid="{00000000-0005-0000-0000-00004F010000}"/>
    <cellStyle name="Normal 7 2" xfId="333" xr:uid="{00000000-0005-0000-0000-000050010000}"/>
    <cellStyle name="Normal 7 3" xfId="332" xr:uid="{00000000-0005-0000-0000-000051010000}"/>
    <cellStyle name="Normal 7 4" xfId="591" xr:uid="{00000000-0005-0000-0000-000052010000}"/>
    <cellStyle name="Normal 8" xfId="36" xr:uid="{00000000-0005-0000-0000-000053010000}"/>
    <cellStyle name="Normal 8 2" xfId="37" xr:uid="{00000000-0005-0000-0000-000054010000}"/>
    <cellStyle name="Normal 8 2 2" xfId="336" xr:uid="{00000000-0005-0000-0000-000055010000}"/>
    <cellStyle name="Normal 8 2 3" xfId="335" xr:uid="{00000000-0005-0000-0000-000056010000}"/>
    <cellStyle name="Normal 8 3" xfId="337" xr:uid="{00000000-0005-0000-0000-000057010000}"/>
    <cellStyle name="Normal 8 4" xfId="338" xr:uid="{00000000-0005-0000-0000-000058010000}"/>
    <cellStyle name="Normal 8 5" xfId="339" xr:uid="{00000000-0005-0000-0000-000059010000}"/>
    <cellStyle name="Normal 8 6" xfId="340" xr:uid="{00000000-0005-0000-0000-00005A010000}"/>
    <cellStyle name="Normal 8 7" xfId="341" xr:uid="{00000000-0005-0000-0000-00005B010000}"/>
    <cellStyle name="Normal 8 8" xfId="334" xr:uid="{00000000-0005-0000-0000-00005C010000}"/>
    <cellStyle name="Normal 9" xfId="342" xr:uid="{00000000-0005-0000-0000-00005D010000}"/>
    <cellStyle name="Normal 9 2" xfId="343" xr:uid="{00000000-0005-0000-0000-00005E010000}"/>
    <cellStyle name="Normal 9 2 2" xfId="344" xr:uid="{00000000-0005-0000-0000-00005F010000}"/>
    <cellStyle name="Normal 9 2 3" xfId="345" xr:uid="{00000000-0005-0000-0000-000060010000}"/>
    <cellStyle name="Normal 9 2 4" xfId="346" xr:uid="{00000000-0005-0000-0000-000061010000}"/>
    <cellStyle name="Normal 9 2 5" xfId="347" xr:uid="{00000000-0005-0000-0000-000062010000}"/>
    <cellStyle name="Normal 9 3" xfId="348" xr:uid="{00000000-0005-0000-0000-000063010000}"/>
    <cellStyle name="Normal 9 4" xfId="349" xr:uid="{00000000-0005-0000-0000-000064010000}"/>
    <cellStyle name="Normal 9 5" xfId="350" xr:uid="{00000000-0005-0000-0000-000065010000}"/>
    <cellStyle name="Normal 9 6" xfId="351" xr:uid="{00000000-0005-0000-0000-000066010000}"/>
    <cellStyle name="Percent 2" xfId="38" xr:uid="{00000000-0005-0000-0000-000067010000}"/>
    <cellStyle name="Percent 2 2" xfId="352" xr:uid="{00000000-0005-0000-0000-000068010000}"/>
    <cellStyle name="Percent 3" xfId="353" xr:uid="{00000000-0005-0000-0000-000069010000}"/>
    <cellStyle name="Porcentagem 2" xfId="354" xr:uid="{00000000-0005-0000-0000-00006A010000}"/>
    <cellStyle name="Porcentagem 3" xfId="355" xr:uid="{00000000-0005-0000-0000-00006B010000}"/>
    <cellStyle name="Porcentagem 3 2" xfId="356" xr:uid="{00000000-0005-0000-0000-00006C010000}"/>
    <cellStyle name="Porcentagem 4" xfId="357" xr:uid="{00000000-0005-0000-0000-00006D010000}"/>
    <cellStyle name="Porcentagem 4 2" xfId="358" xr:uid="{00000000-0005-0000-0000-00006E010000}"/>
    <cellStyle name="Porcentagem 4 3" xfId="359" xr:uid="{00000000-0005-0000-0000-00006F010000}"/>
    <cellStyle name="Porcentagem 4 4" xfId="360" xr:uid="{00000000-0005-0000-0000-000070010000}"/>
    <cellStyle name="Porcentagem 5" xfId="361" xr:uid="{00000000-0005-0000-0000-000071010000}"/>
    <cellStyle name="Porcentagem 6" xfId="362" xr:uid="{00000000-0005-0000-0000-000072010000}"/>
    <cellStyle name="Porcentaje 2" xfId="39" xr:uid="{00000000-0005-0000-0000-000073010000}"/>
    <cellStyle name="Porcentaje 3" xfId="44" xr:uid="{00000000-0005-0000-0000-000074010000}"/>
    <cellStyle name="SAPBEXstdItem" xfId="40" xr:uid="{00000000-0005-0000-0000-000075010000}"/>
    <cellStyle name="SAPBEXstdItem 2" xfId="363" xr:uid="{00000000-0005-0000-0000-000076010000}"/>
    <cellStyle name="Separador de milhares [0] 2" xfId="364" xr:uid="{00000000-0005-0000-0000-000077010000}"/>
    <cellStyle name="Separador de milhares [0] 3" xfId="365" xr:uid="{00000000-0005-0000-0000-000078010000}"/>
    <cellStyle name="Separador de milhares [0] 4" xfId="366" xr:uid="{00000000-0005-0000-0000-000079010000}"/>
    <cellStyle name="Standard_avl geräte_pm petrovic" xfId="41" xr:uid="{00000000-0005-0000-0000-00007A010000}"/>
    <cellStyle name="Total 2" xfId="42" xr:uid="{00000000-0005-0000-0000-00007B010000}"/>
    <cellStyle name="パーセント 2" xfId="367" xr:uid="{00000000-0005-0000-0000-00007C010000}"/>
    <cellStyle name="パーセント 2 2" xfId="368" xr:uid="{00000000-0005-0000-0000-00007D010000}"/>
    <cellStyle name="好" xfId="369" xr:uid="{00000000-0005-0000-0000-00007E010000}"/>
    <cellStyle name="好 2" xfId="370" xr:uid="{00000000-0005-0000-0000-00007F010000}"/>
    <cellStyle name="好 3" xfId="371" xr:uid="{00000000-0005-0000-0000-000080010000}"/>
    <cellStyle name="好 3 2" xfId="372" xr:uid="{00000000-0005-0000-0000-000081010000}"/>
    <cellStyle name="好 3 3" xfId="373" xr:uid="{00000000-0005-0000-0000-000082010000}"/>
    <cellStyle name="好 3 4" xfId="374" xr:uid="{00000000-0005-0000-0000-000083010000}"/>
    <cellStyle name="好 3 5" xfId="375" xr:uid="{00000000-0005-0000-0000-000084010000}"/>
    <cellStyle name="差" xfId="376" xr:uid="{00000000-0005-0000-0000-000085010000}"/>
    <cellStyle name="差 2" xfId="377" xr:uid="{00000000-0005-0000-0000-000086010000}"/>
    <cellStyle name="差 3" xfId="378" xr:uid="{00000000-0005-0000-0000-000087010000}"/>
    <cellStyle name="差 3 2" xfId="379" xr:uid="{00000000-0005-0000-0000-000088010000}"/>
    <cellStyle name="差 3 3" xfId="380" xr:uid="{00000000-0005-0000-0000-000089010000}"/>
    <cellStyle name="差 3 4" xfId="381" xr:uid="{00000000-0005-0000-0000-00008A010000}"/>
    <cellStyle name="差 3 5" xfId="382" xr:uid="{00000000-0005-0000-0000-00008B010000}"/>
    <cellStyle name="强调文字颜色 1" xfId="383" xr:uid="{00000000-0005-0000-0000-00008C010000}"/>
    <cellStyle name="强调文字颜色 1 2" xfId="384" xr:uid="{00000000-0005-0000-0000-00008D010000}"/>
    <cellStyle name="强调文字颜色 1 3" xfId="385" xr:uid="{00000000-0005-0000-0000-00008E010000}"/>
    <cellStyle name="强调文字颜色 1 3 2" xfId="386" xr:uid="{00000000-0005-0000-0000-00008F010000}"/>
    <cellStyle name="强调文字颜色 1 3 3" xfId="387" xr:uid="{00000000-0005-0000-0000-000090010000}"/>
    <cellStyle name="强调文字颜色 1 3 4" xfId="388" xr:uid="{00000000-0005-0000-0000-000091010000}"/>
    <cellStyle name="强调文字颜色 1 3 5" xfId="389" xr:uid="{00000000-0005-0000-0000-000092010000}"/>
    <cellStyle name="强调文字颜色 2" xfId="390" xr:uid="{00000000-0005-0000-0000-000093010000}"/>
    <cellStyle name="强调文字颜色 2 2" xfId="391" xr:uid="{00000000-0005-0000-0000-000094010000}"/>
    <cellStyle name="强调文字颜色 2 3" xfId="392" xr:uid="{00000000-0005-0000-0000-000095010000}"/>
    <cellStyle name="强调文字颜色 2 3 2" xfId="393" xr:uid="{00000000-0005-0000-0000-000096010000}"/>
    <cellStyle name="强调文字颜色 2 3 3" xfId="394" xr:uid="{00000000-0005-0000-0000-000097010000}"/>
    <cellStyle name="强调文字颜色 2 3 4" xfId="395" xr:uid="{00000000-0005-0000-0000-000098010000}"/>
    <cellStyle name="强调文字颜色 2 3 5" xfId="396" xr:uid="{00000000-0005-0000-0000-000099010000}"/>
    <cellStyle name="强调文字颜色 3" xfId="397" xr:uid="{00000000-0005-0000-0000-00009A010000}"/>
    <cellStyle name="强调文字颜色 3 2" xfId="398" xr:uid="{00000000-0005-0000-0000-00009B010000}"/>
    <cellStyle name="强调文字颜色 3 3" xfId="399" xr:uid="{00000000-0005-0000-0000-00009C010000}"/>
    <cellStyle name="强调文字颜色 3 3 2" xfId="400" xr:uid="{00000000-0005-0000-0000-00009D010000}"/>
    <cellStyle name="强调文字颜色 3 3 3" xfId="401" xr:uid="{00000000-0005-0000-0000-00009E010000}"/>
    <cellStyle name="强调文字颜色 3 3 4" xfId="402" xr:uid="{00000000-0005-0000-0000-00009F010000}"/>
    <cellStyle name="强调文字颜色 3 3 5" xfId="403" xr:uid="{00000000-0005-0000-0000-0000A0010000}"/>
    <cellStyle name="强调文字颜色 4" xfId="404" xr:uid="{00000000-0005-0000-0000-0000A1010000}"/>
    <cellStyle name="强调文字颜色 4 2" xfId="405" xr:uid="{00000000-0005-0000-0000-0000A2010000}"/>
    <cellStyle name="强调文字颜色 4 3" xfId="406" xr:uid="{00000000-0005-0000-0000-0000A3010000}"/>
    <cellStyle name="强调文字颜色 4 3 2" xfId="407" xr:uid="{00000000-0005-0000-0000-0000A4010000}"/>
    <cellStyle name="强调文字颜色 4 3 3" xfId="408" xr:uid="{00000000-0005-0000-0000-0000A5010000}"/>
    <cellStyle name="强调文字颜色 4 3 4" xfId="409" xr:uid="{00000000-0005-0000-0000-0000A6010000}"/>
    <cellStyle name="强调文字颜色 4 3 5" xfId="410" xr:uid="{00000000-0005-0000-0000-0000A7010000}"/>
    <cellStyle name="强调文字颜色 5" xfId="411" xr:uid="{00000000-0005-0000-0000-0000A8010000}"/>
    <cellStyle name="强调文字颜色 5 2" xfId="412" xr:uid="{00000000-0005-0000-0000-0000A9010000}"/>
    <cellStyle name="强调文字颜色 5 3" xfId="413" xr:uid="{00000000-0005-0000-0000-0000AA010000}"/>
    <cellStyle name="强调文字颜色 5 3 2" xfId="414" xr:uid="{00000000-0005-0000-0000-0000AB010000}"/>
    <cellStyle name="强调文字颜色 5 3 3" xfId="415" xr:uid="{00000000-0005-0000-0000-0000AC010000}"/>
    <cellStyle name="强调文字颜色 5 3 4" xfId="416" xr:uid="{00000000-0005-0000-0000-0000AD010000}"/>
    <cellStyle name="强调文字颜色 5 3 5" xfId="417" xr:uid="{00000000-0005-0000-0000-0000AE010000}"/>
    <cellStyle name="强调文字颜色 6" xfId="418" xr:uid="{00000000-0005-0000-0000-0000AF010000}"/>
    <cellStyle name="强调文字颜色 6 2" xfId="419" xr:uid="{00000000-0005-0000-0000-0000B0010000}"/>
    <cellStyle name="强调文字颜色 6 3" xfId="420" xr:uid="{00000000-0005-0000-0000-0000B1010000}"/>
    <cellStyle name="强调文字颜色 6 3 2" xfId="421" xr:uid="{00000000-0005-0000-0000-0000B2010000}"/>
    <cellStyle name="强调文字颜色 6 3 3" xfId="422" xr:uid="{00000000-0005-0000-0000-0000B3010000}"/>
    <cellStyle name="强调文字颜色 6 3 4" xfId="423" xr:uid="{00000000-0005-0000-0000-0000B4010000}"/>
    <cellStyle name="强调文字颜色 6 3 5" xfId="424" xr:uid="{00000000-0005-0000-0000-0000B5010000}"/>
    <cellStyle name="标题" xfId="425" xr:uid="{00000000-0005-0000-0000-0000B6010000}"/>
    <cellStyle name="标题 1" xfId="426" xr:uid="{00000000-0005-0000-0000-0000B7010000}"/>
    <cellStyle name="标题 1 2" xfId="427" xr:uid="{00000000-0005-0000-0000-0000B8010000}"/>
    <cellStyle name="标题 1 3" xfId="428" xr:uid="{00000000-0005-0000-0000-0000B9010000}"/>
    <cellStyle name="标题 1 3 2" xfId="429" xr:uid="{00000000-0005-0000-0000-0000BA010000}"/>
    <cellStyle name="标题 1 3 3" xfId="430" xr:uid="{00000000-0005-0000-0000-0000BB010000}"/>
    <cellStyle name="标题 1 3 4" xfId="431" xr:uid="{00000000-0005-0000-0000-0000BC010000}"/>
    <cellStyle name="标题 1 3 5" xfId="432" xr:uid="{00000000-0005-0000-0000-0000BD010000}"/>
    <cellStyle name="标题 2" xfId="433" xr:uid="{00000000-0005-0000-0000-0000BE010000}"/>
    <cellStyle name="标题 2 2" xfId="434" xr:uid="{00000000-0005-0000-0000-0000BF010000}"/>
    <cellStyle name="标题 2 3" xfId="435" xr:uid="{00000000-0005-0000-0000-0000C0010000}"/>
    <cellStyle name="标题 2 3 2" xfId="436" xr:uid="{00000000-0005-0000-0000-0000C1010000}"/>
    <cellStyle name="标题 2 3 3" xfId="437" xr:uid="{00000000-0005-0000-0000-0000C2010000}"/>
    <cellStyle name="标题 2 3 4" xfId="438" xr:uid="{00000000-0005-0000-0000-0000C3010000}"/>
    <cellStyle name="标题 2 3 5" xfId="439" xr:uid="{00000000-0005-0000-0000-0000C4010000}"/>
    <cellStyle name="标题 3" xfId="440" xr:uid="{00000000-0005-0000-0000-0000C5010000}"/>
    <cellStyle name="标题 3 2" xfId="441" xr:uid="{00000000-0005-0000-0000-0000C6010000}"/>
    <cellStyle name="标题 3 3" xfId="442" xr:uid="{00000000-0005-0000-0000-0000C7010000}"/>
    <cellStyle name="标题 3 3 2" xfId="443" xr:uid="{00000000-0005-0000-0000-0000C8010000}"/>
    <cellStyle name="标题 3 3 3" xfId="444" xr:uid="{00000000-0005-0000-0000-0000C9010000}"/>
    <cellStyle name="标题 3 3 4" xfId="445" xr:uid="{00000000-0005-0000-0000-0000CA010000}"/>
    <cellStyle name="标题 3 3 5" xfId="446" xr:uid="{00000000-0005-0000-0000-0000CB010000}"/>
    <cellStyle name="标题 4" xfId="447" xr:uid="{00000000-0005-0000-0000-0000CC010000}"/>
    <cellStyle name="标题 4 2" xfId="448" xr:uid="{00000000-0005-0000-0000-0000CD010000}"/>
    <cellStyle name="标题 4 3" xfId="449" xr:uid="{00000000-0005-0000-0000-0000CE010000}"/>
    <cellStyle name="标题 4 3 2" xfId="450" xr:uid="{00000000-0005-0000-0000-0000CF010000}"/>
    <cellStyle name="标题 4 3 3" xfId="451" xr:uid="{00000000-0005-0000-0000-0000D0010000}"/>
    <cellStyle name="标题 4 3 4" xfId="452" xr:uid="{00000000-0005-0000-0000-0000D1010000}"/>
    <cellStyle name="标题 4 3 5" xfId="453" xr:uid="{00000000-0005-0000-0000-0000D2010000}"/>
    <cellStyle name="标题 5" xfId="454" xr:uid="{00000000-0005-0000-0000-0000D3010000}"/>
    <cellStyle name="标题 6" xfId="455" xr:uid="{00000000-0005-0000-0000-0000D4010000}"/>
    <cellStyle name="标题 6 2" xfId="456" xr:uid="{00000000-0005-0000-0000-0000D5010000}"/>
    <cellStyle name="标题 6 3" xfId="457" xr:uid="{00000000-0005-0000-0000-0000D6010000}"/>
    <cellStyle name="标题 6 4" xfId="458" xr:uid="{00000000-0005-0000-0000-0000D7010000}"/>
    <cellStyle name="标题 6 5" xfId="459" xr:uid="{00000000-0005-0000-0000-0000D8010000}"/>
    <cellStyle name="桁区切り 2" xfId="460" xr:uid="{00000000-0005-0000-0000-0000D9010000}"/>
    <cellStyle name="桁区切り 2 3" xfId="461" xr:uid="{00000000-0005-0000-0000-0000DA010000}"/>
    <cellStyle name="桁区切り 26" xfId="462" xr:uid="{00000000-0005-0000-0000-0000DB010000}"/>
    <cellStyle name="检查单元格" xfId="463" xr:uid="{00000000-0005-0000-0000-0000DC010000}"/>
    <cellStyle name="检查单元格 2" xfId="464" xr:uid="{00000000-0005-0000-0000-0000DD010000}"/>
    <cellStyle name="检查单元格 3" xfId="465" xr:uid="{00000000-0005-0000-0000-0000DE010000}"/>
    <cellStyle name="检查单元格 3 2" xfId="466" xr:uid="{00000000-0005-0000-0000-0000DF010000}"/>
    <cellStyle name="检查单元格 3 3" xfId="467" xr:uid="{00000000-0005-0000-0000-0000E0010000}"/>
    <cellStyle name="检查单元格 3 4" xfId="468" xr:uid="{00000000-0005-0000-0000-0000E1010000}"/>
    <cellStyle name="检查单元格 3 5" xfId="469" xr:uid="{00000000-0005-0000-0000-0000E2010000}"/>
    <cellStyle name="標準 10" xfId="470" xr:uid="{00000000-0005-0000-0000-0000E3010000}"/>
    <cellStyle name="標準 11" xfId="471" xr:uid="{00000000-0005-0000-0000-0000E4010000}"/>
    <cellStyle name="標準 12" xfId="472" xr:uid="{00000000-0005-0000-0000-0000E5010000}"/>
    <cellStyle name="標準 13" xfId="473" xr:uid="{00000000-0005-0000-0000-0000E6010000}"/>
    <cellStyle name="標準 14" xfId="474" xr:uid="{00000000-0005-0000-0000-0000E7010000}"/>
    <cellStyle name="標準 15" xfId="475" xr:uid="{00000000-0005-0000-0000-0000E8010000}"/>
    <cellStyle name="標準 16" xfId="476" xr:uid="{00000000-0005-0000-0000-0000E9010000}"/>
    <cellStyle name="標準 17" xfId="477" xr:uid="{00000000-0005-0000-0000-0000EA010000}"/>
    <cellStyle name="標準 18" xfId="478" xr:uid="{00000000-0005-0000-0000-0000EB010000}"/>
    <cellStyle name="標準 19" xfId="479" xr:uid="{00000000-0005-0000-0000-0000EC010000}"/>
    <cellStyle name="標準 2" xfId="480" xr:uid="{00000000-0005-0000-0000-0000ED010000}"/>
    <cellStyle name="標準 2 2" xfId="481" xr:uid="{00000000-0005-0000-0000-0000EE010000}"/>
    <cellStyle name="標準 2 3" xfId="482" xr:uid="{00000000-0005-0000-0000-0000EF010000}"/>
    <cellStyle name="標準 2 3 2" xfId="483" xr:uid="{00000000-0005-0000-0000-0000F0010000}"/>
    <cellStyle name="標準 2 4" xfId="484" xr:uid="{00000000-0005-0000-0000-0000F1010000}"/>
    <cellStyle name="標準 2 4 2" xfId="485" xr:uid="{00000000-0005-0000-0000-0000F2010000}"/>
    <cellStyle name="標準 2 4 3" xfId="486" xr:uid="{00000000-0005-0000-0000-0000F3010000}"/>
    <cellStyle name="標準 2 4 4" xfId="487" xr:uid="{00000000-0005-0000-0000-0000F4010000}"/>
    <cellStyle name="標準 2 4 5" xfId="488" xr:uid="{00000000-0005-0000-0000-0000F5010000}"/>
    <cellStyle name="標準 2 5" xfId="489" xr:uid="{00000000-0005-0000-0000-0000F6010000}"/>
    <cellStyle name="標準 2 5 2" xfId="490" xr:uid="{00000000-0005-0000-0000-0000F7010000}"/>
    <cellStyle name="標準 2 5 3" xfId="491" xr:uid="{00000000-0005-0000-0000-0000F8010000}"/>
    <cellStyle name="標準 2 5 4" xfId="492" xr:uid="{00000000-0005-0000-0000-0000F9010000}"/>
    <cellStyle name="標準 2 5 5" xfId="493" xr:uid="{00000000-0005-0000-0000-0000FA010000}"/>
    <cellStyle name="標準 2 6" xfId="494" xr:uid="{00000000-0005-0000-0000-0000FB010000}"/>
    <cellStyle name="標準 20" xfId="495" xr:uid="{00000000-0005-0000-0000-0000FC010000}"/>
    <cellStyle name="標準 21" xfId="496" xr:uid="{00000000-0005-0000-0000-0000FD010000}"/>
    <cellStyle name="標準 3" xfId="497" xr:uid="{00000000-0005-0000-0000-0000FE010000}"/>
    <cellStyle name="標準 3 2" xfId="498" xr:uid="{00000000-0005-0000-0000-0000FF010000}"/>
    <cellStyle name="標準 30" xfId="499" xr:uid="{00000000-0005-0000-0000-000000020000}"/>
    <cellStyle name="標準 30 2" xfId="500" xr:uid="{00000000-0005-0000-0000-000001020000}"/>
    <cellStyle name="標準 30 2 2" xfId="501" xr:uid="{00000000-0005-0000-0000-000002020000}"/>
    <cellStyle name="標準 30 2 3" xfId="502" xr:uid="{00000000-0005-0000-0000-000003020000}"/>
    <cellStyle name="標準 30 2 4" xfId="503" xr:uid="{00000000-0005-0000-0000-000004020000}"/>
    <cellStyle name="標準 30 2 5" xfId="504" xr:uid="{00000000-0005-0000-0000-000005020000}"/>
    <cellStyle name="標準 30 3" xfId="505" xr:uid="{00000000-0005-0000-0000-000006020000}"/>
    <cellStyle name="標準 4" xfId="506" xr:uid="{00000000-0005-0000-0000-000007020000}"/>
    <cellStyle name="標準 5" xfId="507" xr:uid="{00000000-0005-0000-0000-000008020000}"/>
    <cellStyle name="標準 6" xfId="508" xr:uid="{00000000-0005-0000-0000-000009020000}"/>
    <cellStyle name="標準 7" xfId="509" xr:uid="{00000000-0005-0000-0000-00000A020000}"/>
    <cellStyle name="標準 8" xfId="510" xr:uid="{00000000-0005-0000-0000-00000B020000}"/>
    <cellStyle name="標準 8 2" xfId="511" xr:uid="{00000000-0005-0000-0000-00000C020000}"/>
    <cellStyle name="標準 8 3" xfId="512" xr:uid="{00000000-0005-0000-0000-00000D020000}"/>
    <cellStyle name="標準 8 3 2" xfId="513" xr:uid="{00000000-0005-0000-0000-00000E020000}"/>
    <cellStyle name="標準 8 3 3" xfId="514" xr:uid="{00000000-0005-0000-0000-00000F020000}"/>
    <cellStyle name="標準 8 3 4" xfId="515" xr:uid="{00000000-0005-0000-0000-000010020000}"/>
    <cellStyle name="標準 8 3 5" xfId="516" xr:uid="{00000000-0005-0000-0000-000011020000}"/>
    <cellStyle name="標準 8 4" xfId="517" xr:uid="{00000000-0005-0000-0000-000012020000}"/>
    <cellStyle name="標準 9" xfId="518" xr:uid="{00000000-0005-0000-0000-000013020000}"/>
    <cellStyle name="標準_2005年度　本社価格製品リスト（テキスト化）" xfId="519" xr:uid="{00000000-0005-0000-0000-000014020000}"/>
    <cellStyle name="汇总" xfId="520" xr:uid="{00000000-0005-0000-0000-000015020000}"/>
    <cellStyle name="汇总 2" xfId="521" xr:uid="{00000000-0005-0000-0000-000016020000}"/>
    <cellStyle name="汇总 3" xfId="522" xr:uid="{00000000-0005-0000-0000-000017020000}"/>
    <cellStyle name="汇总 3 2" xfId="523" xr:uid="{00000000-0005-0000-0000-000018020000}"/>
    <cellStyle name="汇总 3 3" xfId="524" xr:uid="{00000000-0005-0000-0000-000019020000}"/>
    <cellStyle name="汇总 3 4" xfId="525" xr:uid="{00000000-0005-0000-0000-00001A020000}"/>
    <cellStyle name="汇总 3 5" xfId="526" xr:uid="{00000000-0005-0000-0000-00001B020000}"/>
    <cellStyle name="注释" xfId="527" xr:uid="{00000000-0005-0000-0000-00001C020000}"/>
    <cellStyle name="注释 2" xfId="528" xr:uid="{00000000-0005-0000-0000-00001D020000}"/>
    <cellStyle name="注释 3" xfId="529" xr:uid="{00000000-0005-0000-0000-00001E020000}"/>
    <cellStyle name="注释 3 2" xfId="530" xr:uid="{00000000-0005-0000-0000-00001F020000}"/>
    <cellStyle name="注释 3 3" xfId="531" xr:uid="{00000000-0005-0000-0000-000020020000}"/>
    <cellStyle name="注释 3 4" xfId="532" xr:uid="{00000000-0005-0000-0000-000021020000}"/>
    <cellStyle name="注释 3 5" xfId="533" xr:uid="{00000000-0005-0000-0000-000022020000}"/>
    <cellStyle name="解释性文本" xfId="534" xr:uid="{00000000-0005-0000-0000-000023020000}"/>
    <cellStyle name="解释性文本 2" xfId="535" xr:uid="{00000000-0005-0000-0000-000024020000}"/>
    <cellStyle name="解释性文本 3" xfId="536" xr:uid="{00000000-0005-0000-0000-000025020000}"/>
    <cellStyle name="解释性文本 3 2" xfId="537" xr:uid="{00000000-0005-0000-0000-000026020000}"/>
    <cellStyle name="解释性文本 3 3" xfId="538" xr:uid="{00000000-0005-0000-0000-000027020000}"/>
    <cellStyle name="解释性文本 3 4" xfId="539" xr:uid="{00000000-0005-0000-0000-000028020000}"/>
    <cellStyle name="解释性文本 3 5" xfId="540" xr:uid="{00000000-0005-0000-0000-000029020000}"/>
    <cellStyle name="警告文本" xfId="541" xr:uid="{00000000-0005-0000-0000-00002A020000}"/>
    <cellStyle name="警告文本 2" xfId="542" xr:uid="{00000000-0005-0000-0000-00002B020000}"/>
    <cellStyle name="警告文本 3" xfId="543" xr:uid="{00000000-0005-0000-0000-00002C020000}"/>
    <cellStyle name="警告文本 3 2" xfId="544" xr:uid="{00000000-0005-0000-0000-00002D020000}"/>
    <cellStyle name="警告文本 3 3" xfId="545" xr:uid="{00000000-0005-0000-0000-00002E020000}"/>
    <cellStyle name="警告文本 3 4" xfId="546" xr:uid="{00000000-0005-0000-0000-00002F020000}"/>
    <cellStyle name="警告文本 3 5" xfId="547" xr:uid="{00000000-0005-0000-0000-000030020000}"/>
    <cellStyle name="计算" xfId="548" xr:uid="{00000000-0005-0000-0000-000031020000}"/>
    <cellStyle name="计算 2" xfId="549" xr:uid="{00000000-0005-0000-0000-000032020000}"/>
    <cellStyle name="计算 3" xfId="550" xr:uid="{00000000-0005-0000-0000-000033020000}"/>
    <cellStyle name="计算 3 2" xfId="551" xr:uid="{00000000-0005-0000-0000-000034020000}"/>
    <cellStyle name="计算 3 3" xfId="552" xr:uid="{00000000-0005-0000-0000-000035020000}"/>
    <cellStyle name="计算 3 4" xfId="553" xr:uid="{00000000-0005-0000-0000-000036020000}"/>
    <cellStyle name="计算 3 5" xfId="554" xr:uid="{00000000-0005-0000-0000-000037020000}"/>
    <cellStyle name="输入" xfId="555" xr:uid="{00000000-0005-0000-0000-000038020000}"/>
    <cellStyle name="输入 2" xfId="556" xr:uid="{00000000-0005-0000-0000-000039020000}"/>
    <cellStyle name="输入 3" xfId="557" xr:uid="{00000000-0005-0000-0000-00003A020000}"/>
    <cellStyle name="输入 3 2" xfId="558" xr:uid="{00000000-0005-0000-0000-00003B020000}"/>
    <cellStyle name="输入 3 3" xfId="559" xr:uid="{00000000-0005-0000-0000-00003C020000}"/>
    <cellStyle name="输入 3 4" xfId="560" xr:uid="{00000000-0005-0000-0000-00003D020000}"/>
    <cellStyle name="输入 3 5" xfId="561" xr:uid="{00000000-0005-0000-0000-00003E020000}"/>
    <cellStyle name="输出" xfId="562" xr:uid="{00000000-0005-0000-0000-00003F020000}"/>
    <cellStyle name="输出 2" xfId="563" xr:uid="{00000000-0005-0000-0000-000040020000}"/>
    <cellStyle name="输出 3" xfId="564" xr:uid="{00000000-0005-0000-0000-000041020000}"/>
    <cellStyle name="输出 3 2" xfId="565" xr:uid="{00000000-0005-0000-0000-000042020000}"/>
    <cellStyle name="输出 3 3" xfId="566" xr:uid="{00000000-0005-0000-0000-000043020000}"/>
    <cellStyle name="输出 3 4" xfId="567" xr:uid="{00000000-0005-0000-0000-000044020000}"/>
    <cellStyle name="输出 3 5" xfId="568" xr:uid="{00000000-0005-0000-0000-000045020000}"/>
    <cellStyle name="适中" xfId="569" xr:uid="{00000000-0005-0000-0000-000046020000}"/>
    <cellStyle name="适中 2" xfId="570" xr:uid="{00000000-0005-0000-0000-000047020000}"/>
    <cellStyle name="适中 3" xfId="571" xr:uid="{00000000-0005-0000-0000-000048020000}"/>
    <cellStyle name="适中 3 2" xfId="572" xr:uid="{00000000-0005-0000-0000-000049020000}"/>
    <cellStyle name="适中 3 3" xfId="573" xr:uid="{00000000-0005-0000-0000-00004A020000}"/>
    <cellStyle name="适中 3 4" xfId="574" xr:uid="{00000000-0005-0000-0000-00004B020000}"/>
    <cellStyle name="适中 3 5" xfId="575" xr:uid="{00000000-0005-0000-0000-00004C020000}"/>
    <cellStyle name="通貨 [0.00] 2" xfId="576" xr:uid="{00000000-0005-0000-0000-00004D020000}"/>
    <cellStyle name="链接单元格" xfId="577" xr:uid="{00000000-0005-0000-0000-00004E020000}"/>
    <cellStyle name="链接单元格 2" xfId="578" xr:uid="{00000000-0005-0000-0000-00004F020000}"/>
    <cellStyle name="链接单元格 3" xfId="579" xr:uid="{00000000-0005-0000-0000-000050020000}"/>
    <cellStyle name="链接单元格 3 2" xfId="580" xr:uid="{00000000-0005-0000-0000-000051020000}"/>
    <cellStyle name="链接单元格 3 3" xfId="581" xr:uid="{00000000-0005-0000-0000-000052020000}"/>
    <cellStyle name="链接单元格 3 4" xfId="582" xr:uid="{00000000-0005-0000-0000-000053020000}"/>
    <cellStyle name="链接单元格 3 5" xfId="583" xr:uid="{00000000-0005-0000-0000-000054020000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Times New Roman"/>
        <family val="1"/>
        <scheme val="none"/>
      </font>
      <numFmt numFmtId="166" formatCode="&quot;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auto="1"/>
        <name val="Times New Roman"/>
        <family val="1"/>
        <scheme val="none"/>
      </font>
      <numFmt numFmtId="166" formatCode="&quot;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color rgb="FF333333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333333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>
          <fgColor indexed="64"/>
          <bgColor theme="2" tint="-9.9978637043366805E-2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>
          <fgColor indexed="64"/>
          <bgColor theme="2" tint="-9.9978637043366805E-2"/>
        </patternFill>
      </fill>
      <alignment horizontal="center" vertical="center" textRotation="0" indent="0" justifyLastLine="0" shrinkToFit="0" readingOrder="0"/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auto="1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border outline="0">
        <top style="medium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BORATORIO_2/Desktop/Cat&#225;logo%20%20COMPRAR%20al%202024-02-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 refreshError="1">
        <row r="140123">
          <cell r="A140123" t="str">
            <v>2.5.1-8937.967</v>
          </cell>
        </row>
        <row r="140166">
          <cell r="B140166" t="str">
            <v>QUIMICOS</v>
          </cell>
        </row>
        <row r="140167">
          <cell r="B140167" t="str">
            <v>QUIMICOS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9:L108" totalsRowShown="0" headerRowDxfId="15" dataDxfId="14" totalsRowDxfId="18" headerRowBorderDxfId="16" tableBorderDxfId="17">
  <tableColumns count="12">
    <tableColumn id="1" xr3:uid="{00000000-0010-0000-0000-000001000000}" name="ID" dataDxfId="9"/>
    <tableColumn id="2" xr3:uid="{00000000-0010-0000-0000-000002000000}" name="CODIGO DE ITEMS" dataDxfId="8"/>
    <tableColumn id="3" xr3:uid="{00000000-0010-0000-0000-000003000000}" name="RUBRO DE COMPRA" dataDxfId="7">
      <calculatedColumnFormula>[1]Hoja1!B140097</calculatedColumnFormula>
    </tableColumn>
    <tableColumn id="4" xr3:uid="{00000000-0010-0000-0000-000004000000}" name="I.P.P" dataDxfId="6"/>
    <tableColumn id="5" xr3:uid="{00000000-0010-0000-0000-000005000000}" name="DESCRIPCION" dataDxfId="5"/>
    <tableColumn id="6" xr3:uid="{00000000-0010-0000-0000-000006000000}" name="UNIDAD DE MEDIDA" dataDxfId="4"/>
    <tableColumn id="7" xr3:uid="{00000000-0010-0000-0000-000007000000}" name="CANTIDAD" dataDxfId="3"/>
    <tableColumn id="8" xr3:uid="{00000000-0010-0000-0000-000008000000}" name="PRECIO UNITARIO ESTIMADO" dataDxfId="2"/>
    <tableColumn id="9" xr3:uid="{00000000-0010-0000-0000-000009000000}" name="IMPORTE TOTAL ESTIMADO " dataDxfId="1">
      <calculatedColumnFormula>IF(E10="","",H10*G10)</calculatedColumnFormula>
    </tableColumn>
    <tableColumn id="10" xr3:uid="{00000000-0010-0000-0000-00000A000000}" name="ESPECIFICACIONES" dataDxfId="0"/>
    <tableColumn id="11" xr3:uid="{E21158F8-A858-4471-95E7-5E227F41D116}" name="Columna1" dataDxfId="11" totalsRowDxfId="13"/>
    <tableColumn id="12" xr3:uid="{B528C9E2-039F-482C-B8AD-80BACB6E2B12}" name="Columna2" dataDxfId="10" totalsRowDxf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Q130"/>
  <sheetViews>
    <sheetView topLeftCell="A94" zoomScale="60" zoomScaleNormal="60" zoomScaleSheetLayoutView="142" workbookViewId="0">
      <selection activeCell="N109" sqref="N109"/>
    </sheetView>
  </sheetViews>
  <sheetFormatPr baseColWidth="10" defaultColWidth="11.42578125" defaultRowHeight="15.75"/>
  <cols>
    <col min="1" max="1" width="6.28515625" style="20" customWidth="1"/>
    <col min="2" max="2" width="23.28515625" style="20" customWidth="1"/>
    <col min="3" max="3" width="25.42578125" style="25" customWidth="1"/>
    <col min="4" max="4" width="8.85546875" style="20" customWidth="1"/>
    <col min="5" max="5" width="136.42578125" style="20" customWidth="1"/>
    <col min="6" max="6" width="24.42578125" style="25" customWidth="1"/>
    <col min="7" max="7" width="14.85546875" style="20" customWidth="1"/>
    <col min="8" max="8" width="35.28515625" style="20" customWidth="1"/>
    <col min="9" max="9" width="34.28515625" style="20" customWidth="1"/>
    <col min="10" max="10" width="27.7109375" style="20" customWidth="1"/>
    <col min="11" max="11" width="14" style="20" customWidth="1"/>
    <col min="12" max="12" width="24" style="20" customWidth="1"/>
    <col min="13" max="13" width="11.42578125" style="20"/>
    <col min="14" max="14" width="33" style="20" customWidth="1"/>
    <col min="15" max="16384" width="11.42578125" style="20"/>
  </cols>
  <sheetData>
    <row r="2" spans="1:14" ht="27.6" customHeight="1">
      <c r="C2" s="21" t="s">
        <v>0</v>
      </c>
      <c r="D2" s="21"/>
      <c r="E2" s="21"/>
      <c r="F2" s="21"/>
    </row>
    <row r="4" spans="1:14" ht="18" customHeight="1">
      <c r="A4" s="22" t="s">
        <v>1</v>
      </c>
      <c r="B4" s="22"/>
      <c r="C4" s="16" t="s">
        <v>2</v>
      </c>
      <c r="D4" s="16"/>
      <c r="E4" s="16"/>
      <c r="F4" s="23"/>
    </row>
    <row r="5" spans="1:14" ht="18" customHeight="1">
      <c r="A5" s="22" t="s">
        <v>3</v>
      </c>
      <c r="B5" s="22"/>
      <c r="C5" s="17" t="s">
        <v>4</v>
      </c>
      <c r="D5" s="18"/>
      <c r="E5" s="19"/>
      <c r="F5" s="23"/>
    </row>
    <row r="6" spans="1:14" ht="24" customHeight="1">
      <c r="A6" s="22" t="s">
        <v>5</v>
      </c>
      <c r="B6" s="22"/>
      <c r="C6" s="1" t="s">
        <v>116</v>
      </c>
      <c r="D6" s="1"/>
      <c r="E6" s="1"/>
      <c r="F6" s="23"/>
    </row>
    <row r="7" spans="1:14" ht="16.5" customHeight="1">
      <c r="A7" s="22" t="s">
        <v>6</v>
      </c>
      <c r="B7" s="22"/>
      <c r="C7" s="7" t="s">
        <v>157</v>
      </c>
      <c r="D7" s="1"/>
      <c r="E7" s="1"/>
      <c r="F7" s="23"/>
    </row>
    <row r="8" spans="1:14">
      <c r="C8" s="23"/>
      <c r="D8" s="23"/>
      <c r="E8" s="24"/>
      <c r="G8" s="23"/>
    </row>
    <row r="9" spans="1:14" ht="60.75" customHeight="1">
      <c r="A9" s="60" t="s">
        <v>7</v>
      </c>
      <c r="B9" s="61" t="s">
        <v>8</v>
      </c>
      <c r="C9" s="61" t="s">
        <v>9</v>
      </c>
      <c r="D9" s="61" t="s">
        <v>10</v>
      </c>
      <c r="E9" s="61" t="s">
        <v>11</v>
      </c>
      <c r="F9" s="61" t="s">
        <v>12</v>
      </c>
      <c r="G9" s="61" t="s">
        <v>13</v>
      </c>
      <c r="H9" s="61" t="s">
        <v>14</v>
      </c>
      <c r="I9" s="61" t="s">
        <v>15</v>
      </c>
      <c r="J9" s="62" t="s">
        <v>16</v>
      </c>
      <c r="K9" s="55" t="s">
        <v>244</v>
      </c>
      <c r="L9" s="55" t="s">
        <v>245</v>
      </c>
      <c r="M9" s="56"/>
      <c r="N9" s="56"/>
    </row>
    <row r="10" spans="1:14" ht="83.25" customHeight="1">
      <c r="A10" s="63">
        <v>1</v>
      </c>
      <c r="B10" s="64" t="s">
        <v>150</v>
      </c>
      <c r="C10" s="65" t="s">
        <v>19</v>
      </c>
      <c r="D10" s="66" t="s">
        <v>17</v>
      </c>
      <c r="E10" s="65" t="s">
        <v>149</v>
      </c>
      <c r="F10" s="64" t="s">
        <v>20</v>
      </c>
      <c r="G10" s="64">
        <v>1</v>
      </c>
      <c r="H10" s="67">
        <v>394185</v>
      </c>
      <c r="I10" s="68">
        <v>394185</v>
      </c>
      <c r="J10" s="69"/>
      <c r="K10" s="57">
        <v>1</v>
      </c>
      <c r="L10" s="58">
        <v>394185</v>
      </c>
      <c r="M10" s="56"/>
      <c r="N10" s="58">
        <f>Tabla2[[#This Row],[Columna1]]*Tabla2[[#This Row],[Columna2]]</f>
        <v>394185</v>
      </c>
    </row>
    <row r="11" spans="1:14" ht="78" customHeight="1">
      <c r="A11" s="63">
        <v>2</v>
      </c>
      <c r="B11" s="70" t="s">
        <v>154</v>
      </c>
      <c r="C11" s="65" t="s">
        <v>19</v>
      </c>
      <c r="D11" s="66" t="s">
        <v>17</v>
      </c>
      <c r="E11" s="65" t="s">
        <v>153</v>
      </c>
      <c r="F11" s="64" t="s">
        <v>20</v>
      </c>
      <c r="G11" s="64" t="s">
        <v>155</v>
      </c>
      <c r="H11" s="71">
        <v>278879</v>
      </c>
      <c r="I11" s="68">
        <f>IF(E11="","",H11*G11)</f>
        <v>278879</v>
      </c>
      <c r="J11" s="69"/>
      <c r="K11" s="57" t="s">
        <v>155</v>
      </c>
      <c r="L11" s="58" t="s">
        <v>156</v>
      </c>
      <c r="M11" s="56"/>
      <c r="N11" s="58">
        <f>Tabla2[[#This Row],[Columna1]]*Tabla2[[#This Row],[Columna2]]</f>
        <v>278879</v>
      </c>
    </row>
    <row r="12" spans="1:14" ht="60.75" customHeight="1">
      <c r="A12" s="63">
        <v>3</v>
      </c>
      <c r="B12" s="72" t="s">
        <v>141</v>
      </c>
      <c r="C12" s="72" t="s">
        <v>19</v>
      </c>
      <c r="D12" s="72" t="s">
        <v>17</v>
      </c>
      <c r="E12" s="65" t="s">
        <v>142</v>
      </c>
      <c r="F12" s="72" t="s">
        <v>20</v>
      </c>
      <c r="G12" s="72">
        <v>1</v>
      </c>
      <c r="H12" s="73">
        <v>303385</v>
      </c>
      <c r="I12" s="68">
        <f>IF(E12="","",H12*G12)</f>
        <v>303385</v>
      </c>
      <c r="J12" s="64"/>
      <c r="K12" s="57">
        <v>1</v>
      </c>
      <c r="L12" s="58">
        <v>303385</v>
      </c>
      <c r="M12" s="56"/>
      <c r="N12" s="58">
        <f>Tabla2[[#This Row],[Columna1]]*Tabla2[[#This Row],[Columna2]]</f>
        <v>303385</v>
      </c>
    </row>
    <row r="13" spans="1:14" ht="60.75" customHeight="1">
      <c r="A13" s="63">
        <v>4</v>
      </c>
      <c r="B13" s="64" t="s">
        <v>144</v>
      </c>
      <c r="C13" s="64" t="s">
        <v>19</v>
      </c>
      <c r="D13" s="70" t="s">
        <v>17</v>
      </c>
      <c r="E13" s="65" t="s">
        <v>143</v>
      </c>
      <c r="F13" s="64" t="s">
        <v>20</v>
      </c>
      <c r="G13" s="64">
        <v>1</v>
      </c>
      <c r="H13" s="74">
        <v>291436</v>
      </c>
      <c r="I13" s="68">
        <f t="shared" ref="I13" si="0">+H13*G13</f>
        <v>291436</v>
      </c>
      <c r="J13" s="64"/>
      <c r="K13" s="57">
        <v>1</v>
      </c>
      <c r="L13" s="58">
        <v>291436</v>
      </c>
      <c r="M13" s="56"/>
      <c r="N13" s="58">
        <f>Tabla2[[#This Row],[Columna1]]*Tabla2[[#This Row],[Columna2]]</f>
        <v>291436</v>
      </c>
    </row>
    <row r="14" spans="1:14" s="26" customFormat="1" ht="60.75" customHeight="1">
      <c r="A14" s="63">
        <v>5</v>
      </c>
      <c r="B14" s="64" t="s">
        <v>137</v>
      </c>
      <c r="C14" s="65" t="s">
        <v>19</v>
      </c>
      <c r="D14" s="66" t="s">
        <v>17</v>
      </c>
      <c r="E14" s="65" t="s">
        <v>138</v>
      </c>
      <c r="F14" s="64" t="s">
        <v>20</v>
      </c>
      <c r="G14" s="64">
        <v>1</v>
      </c>
      <c r="H14" s="75">
        <v>303385</v>
      </c>
      <c r="I14" s="68">
        <f t="shared" ref="I14:I106" si="1">+H14*G14</f>
        <v>303385</v>
      </c>
      <c r="J14" s="69"/>
      <c r="K14" s="57">
        <v>1</v>
      </c>
      <c r="L14" s="58">
        <v>303385</v>
      </c>
      <c r="M14" s="56"/>
      <c r="N14" s="58">
        <f>Tabla2[[#This Row],[Columna1]]*Tabla2[[#This Row],[Columna2]]</f>
        <v>303385</v>
      </c>
    </row>
    <row r="15" spans="1:14" s="26" customFormat="1" ht="60.75" customHeight="1">
      <c r="A15" s="63">
        <v>6</v>
      </c>
      <c r="B15" s="63" t="s">
        <v>124</v>
      </c>
      <c r="C15" s="65" t="s">
        <v>19</v>
      </c>
      <c r="D15" s="66" t="s">
        <v>17</v>
      </c>
      <c r="E15" s="65" t="s">
        <v>125</v>
      </c>
      <c r="F15" s="64" t="s">
        <v>20</v>
      </c>
      <c r="G15" s="64">
        <v>1</v>
      </c>
      <c r="H15" s="75">
        <v>270278</v>
      </c>
      <c r="I15" s="68">
        <f t="shared" ref="I15" si="2">+H15*G15</f>
        <v>270278</v>
      </c>
      <c r="J15" s="69"/>
      <c r="K15" s="57">
        <v>1</v>
      </c>
      <c r="L15" s="58">
        <v>270278</v>
      </c>
      <c r="M15" s="56"/>
      <c r="N15" s="58">
        <f>Tabla2[[#This Row],[Columna1]]*Tabla2[[#This Row],[Columna2]]</f>
        <v>270278</v>
      </c>
    </row>
    <row r="16" spans="1:14" s="26" customFormat="1" ht="60.75" customHeight="1">
      <c r="A16" s="63">
        <v>7</v>
      </c>
      <c r="B16" s="70" t="s">
        <v>126</v>
      </c>
      <c r="C16" s="76" t="s">
        <v>19</v>
      </c>
      <c r="D16" s="66" t="s">
        <v>17</v>
      </c>
      <c r="E16" s="65" t="s">
        <v>224</v>
      </c>
      <c r="F16" s="64" t="s">
        <v>20</v>
      </c>
      <c r="G16" s="64">
        <v>1</v>
      </c>
      <c r="H16" s="75">
        <v>295708</v>
      </c>
      <c r="I16" s="68">
        <f t="shared" ref="I16:I38" si="3">+H16*G16</f>
        <v>295708</v>
      </c>
      <c r="J16" s="69"/>
      <c r="K16" s="57">
        <v>1</v>
      </c>
      <c r="L16" s="58">
        <v>295708</v>
      </c>
      <c r="M16" s="56"/>
      <c r="N16" s="58">
        <f>Tabla2[[#This Row],[Columna1]]*Tabla2[[#This Row],[Columna2]]</f>
        <v>295708</v>
      </c>
    </row>
    <row r="17" spans="1:14" s="26" customFormat="1" ht="60.75" customHeight="1">
      <c r="A17" s="63">
        <v>8</v>
      </c>
      <c r="B17" s="64" t="s">
        <v>127</v>
      </c>
      <c r="C17" s="76" t="s">
        <v>19</v>
      </c>
      <c r="D17" s="66" t="s">
        <v>17</v>
      </c>
      <c r="E17" s="65" t="s">
        <v>225</v>
      </c>
      <c r="F17" s="64" t="s">
        <v>20</v>
      </c>
      <c r="G17" s="64">
        <v>1</v>
      </c>
      <c r="H17" s="75">
        <v>295708</v>
      </c>
      <c r="I17" s="68">
        <f t="shared" si="3"/>
        <v>295708</v>
      </c>
      <c r="J17" s="69"/>
      <c r="K17" s="57">
        <v>1</v>
      </c>
      <c r="L17" s="58">
        <v>295708</v>
      </c>
      <c r="M17" s="56"/>
      <c r="N17" s="58">
        <f>Tabla2[[#This Row],[Columna1]]*Tabla2[[#This Row],[Columna2]]</f>
        <v>295708</v>
      </c>
    </row>
    <row r="18" spans="1:14" s="26" customFormat="1" ht="60.75" customHeight="1">
      <c r="A18" s="63">
        <v>9</v>
      </c>
      <c r="B18" s="70" t="s">
        <v>152</v>
      </c>
      <c r="C18" s="65" t="s">
        <v>19</v>
      </c>
      <c r="D18" s="66" t="s">
        <v>17</v>
      </c>
      <c r="E18" s="65" t="s">
        <v>151</v>
      </c>
      <c r="F18" s="64" t="s">
        <v>20</v>
      </c>
      <c r="G18" s="64">
        <v>1</v>
      </c>
      <c r="H18" s="75">
        <v>479004</v>
      </c>
      <c r="I18" s="68">
        <f t="shared" si="3"/>
        <v>479004</v>
      </c>
      <c r="J18" s="69"/>
      <c r="K18" s="57">
        <v>1</v>
      </c>
      <c r="L18" s="58">
        <v>479004</v>
      </c>
      <c r="M18" s="56"/>
      <c r="N18" s="58">
        <f>Tabla2[[#This Row],[Columna1]]*Tabla2[[#This Row],[Columna2]]</f>
        <v>479004</v>
      </c>
    </row>
    <row r="19" spans="1:14" s="26" customFormat="1" ht="60.75" customHeight="1">
      <c r="A19" s="63">
        <v>10</v>
      </c>
      <c r="B19" s="77" t="s">
        <v>49</v>
      </c>
      <c r="C19" s="63" t="s">
        <v>19</v>
      </c>
      <c r="D19" s="66" t="s">
        <v>17</v>
      </c>
      <c r="E19" s="65" t="s">
        <v>50</v>
      </c>
      <c r="F19" s="63" t="s">
        <v>20</v>
      </c>
      <c r="G19" s="63">
        <v>2</v>
      </c>
      <c r="H19" s="74">
        <v>473851</v>
      </c>
      <c r="I19" s="68">
        <f t="shared" si="3"/>
        <v>947702</v>
      </c>
      <c r="J19" s="70"/>
      <c r="K19" s="57">
        <v>2</v>
      </c>
      <c r="L19" s="58">
        <v>473851</v>
      </c>
      <c r="M19" s="56"/>
      <c r="N19" s="58">
        <f>Tabla2[[#This Row],[Columna1]]*Tabla2[[#This Row],[Columna2]]</f>
        <v>947702</v>
      </c>
    </row>
    <row r="20" spans="1:14" s="26" customFormat="1" ht="60.75" customHeight="1">
      <c r="A20" s="63">
        <v>11</v>
      </c>
      <c r="B20" s="77" t="s">
        <v>45</v>
      </c>
      <c r="C20" s="63" t="s">
        <v>19</v>
      </c>
      <c r="D20" s="66" t="s">
        <v>17</v>
      </c>
      <c r="E20" s="65" t="s">
        <v>46</v>
      </c>
      <c r="F20" s="63" t="s">
        <v>20</v>
      </c>
      <c r="G20" s="63">
        <v>2</v>
      </c>
      <c r="H20" s="74">
        <v>606867</v>
      </c>
      <c r="I20" s="68">
        <f t="shared" si="3"/>
        <v>1213734</v>
      </c>
      <c r="J20" s="64"/>
      <c r="K20" s="57">
        <v>2</v>
      </c>
      <c r="L20" s="58">
        <v>606867</v>
      </c>
      <c r="M20" s="56"/>
      <c r="N20" s="58">
        <f>Tabla2[[#This Row],[Columna1]]*Tabla2[[#This Row],[Columna2]]</f>
        <v>1213734</v>
      </c>
    </row>
    <row r="21" spans="1:14" s="26" customFormat="1" ht="60.75" customHeight="1">
      <c r="A21" s="63">
        <v>12</v>
      </c>
      <c r="B21" s="76" t="s">
        <v>226</v>
      </c>
      <c r="C21" s="65" t="s">
        <v>19</v>
      </c>
      <c r="D21" s="66" t="s">
        <v>17</v>
      </c>
      <c r="E21" s="65" t="s">
        <v>227</v>
      </c>
      <c r="F21" s="64" t="s">
        <v>20</v>
      </c>
      <c r="G21" s="64">
        <v>1</v>
      </c>
      <c r="H21" s="75">
        <v>554023</v>
      </c>
      <c r="I21" s="68">
        <f t="shared" si="3"/>
        <v>554023</v>
      </c>
      <c r="J21" s="69"/>
      <c r="K21" s="57">
        <v>1</v>
      </c>
      <c r="L21" s="58">
        <v>554023</v>
      </c>
      <c r="M21" s="56"/>
      <c r="N21" s="58">
        <f>Tabla2[[#This Row],[Columna1]]*Tabla2[[#This Row],[Columna2]]</f>
        <v>554023</v>
      </c>
    </row>
    <row r="22" spans="1:14" s="26" customFormat="1" ht="60.75" customHeight="1">
      <c r="A22" s="63">
        <v>13</v>
      </c>
      <c r="B22" s="70" t="s">
        <v>118</v>
      </c>
      <c r="C22" s="63" t="s">
        <v>19</v>
      </c>
      <c r="D22" s="66" t="s">
        <v>17</v>
      </c>
      <c r="E22" s="65" t="s">
        <v>119</v>
      </c>
      <c r="F22" s="70" t="s">
        <v>20</v>
      </c>
      <c r="G22" s="70">
        <v>1</v>
      </c>
      <c r="H22" s="74">
        <v>126830</v>
      </c>
      <c r="I22" s="68">
        <f t="shared" si="3"/>
        <v>126830</v>
      </c>
      <c r="J22" s="64"/>
      <c r="K22" s="57">
        <v>1</v>
      </c>
      <c r="L22" s="58">
        <v>126830</v>
      </c>
      <c r="M22" s="56"/>
      <c r="N22" s="58">
        <f>Tabla2[[#This Row],[Columna1]]*Tabla2[[#This Row],[Columna2]]</f>
        <v>126830</v>
      </c>
    </row>
    <row r="23" spans="1:14" s="26" customFormat="1" ht="60.75" customHeight="1">
      <c r="A23" s="63">
        <v>14</v>
      </c>
      <c r="B23" s="77" t="s">
        <v>35</v>
      </c>
      <c r="C23" s="63" t="s">
        <v>19</v>
      </c>
      <c r="D23" s="66" t="s">
        <v>17</v>
      </c>
      <c r="E23" s="65" t="s">
        <v>36</v>
      </c>
      <c r="F23" s="63" t="s">
        <v>20</v>
      </c>
      <c r="G23" s="63">
        <v>1</v>
      </c>
      <c r="H23" s="74">
        <v>541668</v>
      </c>
      <c r="I23" s="68">
        <f t="shared" si="3"/>
        <v>541668</v>
      </c>
      <c r="J23" s="64"/>
      <c r="K23" s="57">
        <v>1</v>
      </c>
      <c r="L23" s="58">
        <v>541668</v>
      </c>
      <c r="M23" s="56"/>
      <c r="N23" s="58">
        <f>Tabla2[[#This Row],[Columna1]]*Tabla2[[#This Row],[Columna2]]</f>
        <v>541668</v>
      </c>
    </row>
    <row r="24" spans="1:14" s="26" customFormat="1" ht="60.75" customHeight="1">
      <c r="A24" s="63">
        <v>15</v>
      </c>
      <c r="B24" s="77" t="s">
        <v>122</v>
      </c>
      <c r="C24" s="63" t="s">
        <v>19</v>
      </c>
      <c r="D24" s="66" t="s">
        <v>17</v>
      </c>
      <c r="E24" s="65" t="s">
        <v>123</v>
      </c>
      <c r="F24" s="63" t="s">
        <v>20</v>
      </c>
      <c r="G24" s="63">
        <v>1</v>
      </c>
      <c r="H24" s="74">
        <v>2162000</v>
      </c>
      <c r="I24" s="68">
        <f t="shared" si="3"/>
        <v>2162000</v>
      </c>
      <c r="J24" s="64"/>
      <c r="K24" s="57">
        <v>1</v>
      </c>
      <c r="L24" s="58">
        <v>2162000</v>
      </c>
      <c r="M24" s="56"/>
      <c r="N24" s="58">
        <f>Tabla2[[#This Row],[Columna1]]*Tabla2[[#This Row],[Columna2]]</f>
        <v>2162000</v>
      </c>
    </row>
    <row r="25" spans="1:14" s="26" customFormat="1" ht="60.75" customHeight="1">
      <c r="A25" s="63">
        <v>16</v>
      </c>
      <c r="B25" s="63" t="s">
        <v>21</v>
      </c>
      <c r="C25" s="63" t="s">
        <v>19</v>
      </c>
      <c r="D25" s="66" t="s">
        <v>17</v>
      </c>
      <c r="E25" s="65" t="s">
        <v>22</v>
      </c>
      <c r="F25" s="63" t="s">
        <v>23</v>
      </c>
      <c r="G25" s="63">
        <v>2</v>
      </c>
      <c r="H25" s="74">
        <v>47983</v>
      </c>
      <c r="I25" s="68">
        <f t="shared" si="3"/>
        <v>95966</v>
      </c>
      <c r="J25" s="64"/>
      <c r="K25" s="57">
        <v>2</v>
      </c>
      <c r="L25" s="58">
        <v>47983</v>
      </c>
      <c r="M25" s="56"/>
      <c r="N25" s="58">
        <f>Tabla2[[#This Row],[Columna1]]*Tabla2[[#This Row],[Columna2]]</f>
        <v>95966</v>
      </c>
    </row>
    <row r="26" spans="1:14" s="26" customFormat="1" ht="60.75" customHeight="1">
      <c r="A26" s="63">
        <v>17</v>
      </c>
      <c r="B26" s="64" t="s">
        <v>129</v>
      </c>
      <c r="C26" s="65" t="s">
        <v>19</v>
      </c>
      <c r="D26" s="66" t="s">
        <v>17</v>
      </c>
      <c r="E26" s="65" t="s">
        <v>130</v>
      </c>
      <c r="F26" s="63" t="s">
        <v>23</v>
      </c>
      <c r="G26" s="64">
        <v>1</v>
      </c>
      <c r="H26" s="75">
        <v>98808</v>
      </c>
      <c r="I26" s="68">
        <f t="shared" si="3"/>
        <v>98808</v>
      </c>
      <c r="J26" s="69"/>
      <c r="K26" s="57">
        <v>1</v>
      </c>
      <c r="L26" s="58">
        <v>98808</v>
      </c>
      <c r="M26" s="56"/>
      <c r="N26" s="58">
        <f>Tabla2[[#This Row],[Columna1]]*Tabla2[[#This Row],[Columna2]]</f>
        <v>98808</v>
      </c>
    </row>
    <row r="27" spans="1:14" s="26" customFormat="1" ht="60.75" customHeight="1">
      <c r="A27" s="63">
        <v>18</v>
      </c>
      <c r="B27" s="64" t="s">
        <v>131</v>
      </c>
      <c r="C27" s="76" t="s">
        <v>19</v>
      </c>
      <c r="D27" s="63" t="s">
        <v>17</v>
      </c>
      <c r="E27" s="65" t="s">
        <v>132</v>
      </c>
      <c r="F27" s="63" t="s">
        <v>23</v>
      </c>
      <c r="G27" s="63">
        <v>3</v>
      </c>
      <c r="H27" s="74">
        <v>108388</v>
      </c>
      <c r="I27" s="68">
        <f t="shared" si="3"/>
        <v>325164</v>
      </c>
      <c r="J27" s="64"/>
      <c r="K27" s="57">
        <v>3</v>
      </c>
      <c r="L27" s="58">
        <v>108388</v>
      </c>
      <c r="M27" s="56"/>
      <c r="N27" s="58">
        <f>Tabla2[[#This Row],[Columna1]]*Tabla2[[#This Row],[Columna2]]</f>
        <v>325164</v>
      </c>
    </row>
    <row r="28" spans="1:14" s="26" customFormat="1" ht="60.75" customHeight="1">
      <c r="A28" s="63">
        <v>19</v>
      </c>
      <c r="B28" s="77" t="s">
        <v>41</v>
      </c>
      <c r="C28" s="63" t="s">
        <v>19</v>
      </c>
      <c r="D28" s="66" t="s">
        <v>17</v>
      </c>
      <c r="E28" s="65" t="s">
        <v>42</v>
      </c>
      <c r="F28" s="63" t="s">
        <v>23</v>
      </c>
      <c r="G28" s="63">
        <v>7</v>
      </c>
      <c r="H28" s="74">
        <v>131302.6</v>
      </c>
      <c r="I28" s="68">
        <f t="shared" si="3"/>
        <v>919118.20000000007</v>
      </c>
      <c r="J28" s="64"/>
      <c r="K28" s="57">
        <v>7</v>
      </c>
      <c r="L28" s="58">
        <v>131302.6</v>
      </c>
      <c r="M28" s="56"/>
      <c r="N28" s="58">
        <f>Tabla2[[#This Row],[Columna1]]*Tabla2[[#This Row],[Columna2]]</f>
        <v>919118.20000000007</v>
      </c>
    </row>
    <row r="29" spans="1:14" s="26" customFormat="1" ht="60.75" customHeight="1">
      <c r="A29" s="63">
        <v>20</v>
      </c>
      <c r="B29" s="70" t="s">
        <v>98</v>
      </c>
      <c r="C29" s="64" t="s">
        <v>19</v>
      </c>
      <c r="D29" s="78" t="s">
        <v>17</v>
      </c>
      <c r="E29" s="65" t="s">
        <v>99</v>
      </c>
      <c r="F29" s="64" t="s">
        <v>23</v>
      </c>
      <c r="G29" s="64">
        <v>1</v>
      </c>
      <c r="H29" s="74">
        <v>176295</v>
      </c>
      <c r="I29" s="68">
        <f t="shared" si="3"/>
        <v>176295</v>
      </c>
      <c r="J29" s="69"/>
      <c r="K29" s="57">
        <v>1</v>
      </c>
      <c r="L29" s="58">
        <v>176295</v>
      </c>
      <c r="M29" s="56"/>
      <c r="N29" s="58">
        <f>Tabla2[[#This Row],[Columna1]]*Tabla2[[#This Row],[Columna2]]</f>
        <v>176295</v>
      </c>
    </row>
    <row r="30" spans="1:14" s="26" customFormat="1" ht="60.75" customHeight="1">
      <c r="A30" s="63">
        <v>21</v>
      </c>
      <c r="B30" s="77" t="s">
        <v>133</v>
      </c>
      <c r="C30" s="63" t="s">
        <v>19</v>
      </c>
      <c r="D30" s="66" t="s">
        <v>17</v>
      </c>
      <c r="E30" s="65" t="s">
        <v>134</v>
      </c>
      <c r="F30" s="63" t="s">
        <v>23</v>
      </c>
      <c r="G30" s="63">
        <v>1</v>
      </c>
      <c r="H30" s="74">
        <v>57902</v>
      </c>
      <c r="I30" s="68">
        <f t="shared" si="3"/>
        <v>57902</v>
      </c>
      <c r="J30" s="64"/>
      <c r="K30" s="57">
        <v>1</v>
      </c>
      <c r="L30" s="58">
        <v>57902</v>
      </c>
      <c r="M30" s="56"/>
      <c r="N30" s="58">
        <f>Tabla2[[#This Row],[Columna1]]*Tabla2[[#This Row],[Columna2]]</f>
        <v>57902</v>
      </c>
    </row>
    <row r="31" spans="1:14" s="26" customFormat="1" ht="60.75" customHeight="1">
      <c r="A31" s="63">
        <v>22</v>
      </c>
      <c r="B31" s="63" t="s">
        <v>111</v>
      </c>
      <c r="C31" s="65" t="s">
        <v>19</v>
      </c>
      <c r="D31" s="66" t="s">
        <v>17</v>
      </c>
      <c r="E31" s="65" t="s">
        <v>112</v>
      </c>
      <c r="F31" s="64" t="s">
        <v>26</v>
      </c>
      <c r="G31" s="64">
        <v>2</v>
      </c>
      <c r="H31" s="75">
        <v>33401</v>
      </c>
      <c r="I31" s="68">
        <f t="shared" si="3"/>
        <v>66802</v>
      </c>
      <c r="J31" s="69"/>
      <c r="K31" s="57">
        <v>2</v>
      </c>
      <c r="L31" s="58">
        <v>33401</v>
      </c>
      <c r="M31" s="56"/>
      <c r="N31" s="58">
        <f>Tabla2[[#This Row],[Columna1]]*Tabla2[[#This Row],[Columna2]]</f>
        <v>66802</v>
      </c>
    </row>
    <row r="32" spans="1:14" s="26" customFormat="1" ht="60.75" customHeight="1">
      <c r="A32" s="63">
        <v>23</v>
      </c>
      <c r="B32" s="64" t="s">
        <v>95</v>
      </c>
      <c r="C32" s="76" t="s">
        <v>19</v>
      </c>
      <c r="D32" s="66" t="s">
        <v>17</v>
      </c>
      <c r="E32" s="65" t="s">
        <v>96</v>
      </c>
      <c r="F32" s="64" t="s">
        <v>26</v>
      </c>
      <c r="G32" s="64">
        <v>1</v>
      </c>
      <c r="H32" s="75">
        <v>54987.4</v>
      </c>
      <c r="I32" s="68">
        <f t="shared" si="3"/>
        <v>54987.4</v>
      </c>
      <c r="J32" s="69"/>
      <c r="K32" s="57">
        <v>1</v>
      </c>
      <c r="L32" s="58">
        <v>54987.4</v>
      </c>
      <c r="M32" s="56"/>
      <c r="N32" s="58">
        <f>Tabla2[[#This Row],[Columna1]]*Tabla2[[#This Row],[Columna2]]</f>
        <v>54987.4</v>
      </c>
    </row>
    <row r="33" spans="1:14" s="26" customFormat="1" ht="60.75" customHeight="1">
      <c r="A33" s="63">
        <v>24</v>
      </c>
      <c r="B33" s="63" t="s">
        <v>58</v>
      </c>
      <c r="C33" s="63" t="s">
        <v>19</v>
      </c>
      <c r="D33" s="66" t="s">
        <v>17</v>
      </c>
      <c r="E33" s="65" t="s">
        <v>59</v>
      </c>
      <c r="F33" s="63" t="s">
        <v>23</v>
      </c>
      <c r="G33" s="63">
        <v>4</v>
      </c>
      <c r="H33" s="74">
        <v>147608</v>
      </c>
      <c r="I33" s="68">
        <f t="shared" si="3"/>
        <v>590432</v>
      </c>
      <c r="J33" s="64"/>
      <c r="K33" s="57">
        <v>4</v>
      </c>
      <c r="L33" s="58">
        <v>147608</v>
      </c>
      <c r="M33" s="56"/>
      <c r="N33" s="58">
        <f>Tabla2[[#This Row],[Columna1]]*Tabla2[[#This Row],[Columna2]]</f>
        <v>590432</v>
      </c>
    </row>
    <row r="34" spans="1:14" s="26" customFormat="1" ht="60.75" customHeight="1">
      <c r="A34" s="63">
        <v>25</v>
      </c>
      <c r="B34" s="77" t="s">
        <v>39</v>
      </c>
      <c r="C34" s="63" t="s">
        <v>19</v>
      </c>
      <c r="D34" s="66" t="s">
        <v>17</v>
      </c>
      <c r="E34" s="65" t="s">
        <v>40</v>
      </c>
      <c r="F34" s="63" t="s">
        <v>23</v>
      </c>
      <c r="G34" s="63">
        <v>3</v>
      </c>
      <c r="H34" s="74">
        <v>82808.7</v>
      </c>
      <c r="I34" s="68">
        <f t="shared" ref="I34" si="4">+H34*G34</f>
        <v>248426.09999999998</v>
      </c>
      <c r="J34" s="64"/>
      <c r="K34" s="57">
        <v>3</v>
      </c>
      <c r="L34" s="58">
        <v>82808.7</v>
      </c>
      <c r="M34" s="56"/>
      <c r="N34" s="58">
        <f>Tabla2[[#This Row],[Columna1]]*Tabla2[[#This Row],[Columna2]]</f>
        <v>248426.09999999998</v>
      </c>
    </row>
    <row r="35" spans="1:14" s="26" customFormat="1" ht="60.75" customHeight="1">
      <c r="A35" s="63">
        <v>26</v>
      </c>
      <c r="B35" s="64" t="s">
        <v>135</v>
      </c>
      <c r="C35" s="63" t="s">
        <v>19</v>
      </c>
      <c r="D35" s="63" t="s">
        <v>17</v>
      </c>
      <c r="E35" s="65" t="s">
        <v>136</v>
      </c>
      <c r="F35" s="63" t="s">
        <v>26</v>
      </c>
      <c r="G35" s="63">
        <v>5</v>
      </c>
      <c r="H35" s="74">
        <v>89268.400000000009</v>
      </c>
      <c r="I35" s="68">
        <f t="shared" si="3"/>
        <v>446342.00000000006</v>
      </c>
      <c r="J35" s="64"/>
      <c r="K35" s="57">
        <v>5</v>
      </c>
      <c r="L35" s="58">
        <v>89268.400000000009</v>
      </c>
      <c r="M35" s="56"/>
      <c r="N35" s="58">
        <f>Tabla2[[#This Row],[Columna1]]*Tabla2[[#This Row],[Columna2]]</f>
        <v>446342.00000000006</v>
      </c>
    </row>
    <row r="36" spans="1:14" s="26" customFormat="1" ht="60.75" customHeight="1">
      <c r="A36" s="63">
        <v>27</v>
      </c>
      <c r="B36" s="77" t="s">
        <v>29</v>
      </c>
      <c r="C36" s="63" t="s">
        <v>19</v>
      </c>
      <c r="D36" s="66" t="s">
        <v>17</v>
      </c>
      <c r="E36" s="65" t="s">
        <v>30</v>
      </c>
      <c r="F36" s="63" t="s">
        <v>23</v>
      </c>
      <c r="G36" s="63">
        <v>5</v>
      </c>
      <c r="H36" s="74">
        <v>216536</v>
      </c>
      <c r="I36" s="68">
        <f t="shared" si="3"/>
        <v>1082680</v>
      </c>
      <c r="J36" s="64"/>
      <c r="K36" s="57">
        <v>5</v>
      </c>
      <c r="L36" s="58">
        <v>216536</v>
      </c>
      <c r="M36" s="56"/>
      <c r="N36" s="58">
        <f>Tabla2[[#This Row],[Columna1]]*Tabla2[[#This Row],[Columna2]]</f>
        <v>1082680</v>
      </c>
    </row>
    <row r="37" spans="1:14" s="26" customFormat="1" ht="60.75" customHeight="1">
      <c r="A37" s="63">
        <v>28</v>
      </c>
      <c r="B37" s="77" t="s">
        <v>43</v>
      </c>
      <c r="C37" s="63" t="s">
        <v>19</v>
      </c>
      <c r="D37" s="66" t="s">
        <v>17</v>
      </c>
      <c r="E37" s="65" t="s">
        <v>44</v>
      </c>
      <c r="F37" s="63" t="s">
        <v>23</v>
      </c>
      <c r="G37" s="63">
        <v>2</v>
      </c>
      <c r="H37" s="74">
        <v>278999</v>
      </c>
      <c r="I37" s="68">
        <f t="shared" si="3"/>
        <v>557998</v>
      </c>
      <c r="J37" s="64"/>
      <c r="K37" s="57">
        <v>2</v>
      </c>
      <c r="L37" s="58">
        <v>278999</v>
      </c>
      <c r="M37" s="56"/>
      <c r="N37" s="58">
        <f>Tabla2[[#This Row],[Columna1]]*Tabla2[[#This Row],[Columna2]]</f>
        <v>557998</v>
      </c>
    </row>
    <row r="38" spans="1:14" s="26" customFormat="1" ht="60.75" customHeight="1">
      <c r="A38" s="63">
        <v>29</v>
      </c>
      <c r="B38" s="63" t="s">
        <v>113</v>
      </c>
      <c r="C38" s="65" t="s">
        <v>19</v>
      </c>
      <c r="D38" s="66" t="s">
        <v>17</v>
      </c>
      <c r="E38" s="65" t="s">
        <v>114</v>
      </c>
      <c r="F38" s="64" t="s">
        <v>26</v>
      </c>
      <c r="G38" s="64">
        <v>1</v>
      </c>
      <c r="H38" s="75">
        <v>233693</v>
      </c>
      <c r="I38" s="68">
        <f t="shared" si="3"/>
        <v>233693</v>
      </c>
      <c r="J38" s="69"/>
      <c r="K38" s="57">
        <v>1</v>
      </c>
      <c r="L38" s="58">
        <v>233693</v>
      </c>
      <c r="M38" s="56"/>
      <c r="N38" s="58">
        <f>Tabla2[[#This Row],[Columna1]]*Tabla2[[#This Row],[Columna2]]</f>
        <v>233693</v>
      </c>
    </row>
    <row r="39" spans="1:14" ht="60.75" customHeight="1">
      <c r="A39" s="63">
        <v>30</v>
      </c>
      <c r="B39" s="77" t="s">
        <v>37</v>
      </c>
      <c r="C39" s="63" t="s">
        <v>19</v>
      </c>
      <c r="D39" s="66" t="s">
        <v>17</v>
      </c>
      <c r="E39" s="65" t="s">
        <v>38</v>
      </c>
      <c r="F39" s="63" t="s">
        <v>20</v>
      </c>
      <c r="G39" s="63">
        <v>15</v>
      </c>
      <c r="H39" s="74">
        <v>465520</v>
      </c>
      <c r="I39" s="68">
        <f t="shared" si="1"/>
        <v>6982800</v>
      </c>
      <c r="J39" s="64"/>
      <c r="K39" s="57">
        <v>15</v>
      </c>
      <c r="L39" s="58">
        <v>465520</v>
      </c>
      <c r="M39" s="56"/>
      <c r="N39" s="58">
        <f>Tabla2[[#This Row],[Columna1]]*Tabla2[[#This Row],[Columna2]]</f>
        <v>6982800</v>
      </c>
    </row>
    <row r="40" spans="1:14" ht="60.75" customHeight="1">
      <c r="A40" s="63">
        <v>31</v>
      </c>
      <c r="B40" s="76" t="s">
        <v>47</v>
      </c>
      <c r="C40" s="76" t="s">
        <v>19</v>
      </c>
      <c r="D40" s="66" t="s">
        <v>17</v>
      </c>
      <c r="E40" s="65" t="s">
        <v>48</v>
      </c>
      <c r="F40" s="64" t="s">
        <v>20</v>
      </c>
      <c r="G40" s="64">
        <v>8</v>
      </c>
      <c r="H40" s="74">
        <v>905432</v>
      </c>
      <c r="I40" s="68">
        <f t="shared" si="1"/>
        <v>7243456</v>
      </c>
      <c r="J40" s="69"/>
      <c r="K40" s="57">
        <v>8</v>
      </c>
      <c r="L40" s="58">
        <v>905432</v>
      </c>
      <c r="M40" s="56"/>
      <c r="N40" s="58">
        <f>Tabla2[[#This Row],[Columna1]]*Tabla2[[#This Row],[Columna2]]</f>
        <v>7243456</v>
      </c>
    </row>
    <row r="41" spans="1:14" ht="60.75" customHeight="1">
      <c r="A41" s="63">
        <v>32</v>
      </c>
      <c r="B41" s="76" t="s">
        <v>74</v>
      </c>
      <c r="C41" s="76" t="s">
        <v>19</v>
      </c>
      <c r="D41" s="66" t="s">
        <v>17</v>
      </c>
      <c r="E41" s="65" t="s">
        <v>75</v>
      </c>
      <c r="F41" s="64" t="s">
        <v>23</v>
      </c>
      <c r="G41" s="64">
        <v>1</v>
      </c>
      <c r="H41" s="74">
        <v>96273</v>
      </c>
      <c r="I41" s="68">
        <f t="shared" si="1"/>
        <v>96273</v>
      </c>
      <c r="J41" s="69"/>
      <c r="K41" s="57">
        <v>1</v>
      </c>
      <c r="L41" s="58">
        <v>96273</v>
      </c>
      <c r="M41" s="56"/>
      <c r="N41" s="58">
        <f>Tabla2[[#This Row],[Columna1]]*Tabla2[[#This Row],[Columna2]]</f>
        <v>96273</v>
      </c>
    </row>
    <row r="42" spans="1:14" ht="60.75" customHeight="1">
      <c r="A42" s="63">
        <v>33</v>
      </c>
      <c r="B42" s="76" t="s">
        <v>72</v>
      </c>
      <c r="C42" s="76" t="s">
        <v>19</v>
      </c>
      <c r="D42" s="66" t="s">
        <v>17</v>
      </c>
      <c r="E42" s="65" t="s">
        <v>73</v>
      </c>
      <c r="F42" s="64" t="s">
        <v>23</v>
      </c>
      <c r="G42" s="64">
        <v>3</v>
      </c>
      <c r="H42" s="74">
        <v>98808</v>
      </c>
      <c r="I42" s="68">
        <f t="shared" si="1"/>
        <v>296424</v>
      </c>
      <c r="J42" s="69"/>
      <c r="K42" s="57">
        <v>3</v>
      </c>
      <c r="L42" s="58">
        <v>98808</v>
      </c>
      <c r="M42" s="56"/>
      <c r="N42" s="58">
        <f>Tabla2[[#This Row],[Columna1]]*Tabla2[[#This Row],[Columna2]]</f>
        <v>296424</v>
      </c>
    </row>
    <row r="43" spans="1:14" ht="60.75" customHeight="1">
      <c r="A43" s="63">
        <v>34</v>
      </c>
      <c r="B43" s="70" t="s">
        <v>92</v>
      </c>
      <c r="C43" s="76" t="s">
        <v>19</v>
      </c>
      <c r="D43" s="66" t="s">
        <v>17</v>
      </c>
      <c r="E43" s="65" t="s">
        <v>76</v>
      </c>
      <c r="F43" s="64" t="s">
        <v>23</v>
      </c>
      <c r="G43" s="64">
        <v>2</v>
      </c>
      <c r="H43" s="74">
        <v>41484</v>
      </c>
      <c r="I43" s="68">
        <f t="shared" si="1"/>
        <v>82968</v>
      </c>
      <c r="J43" s="69"/>
      <c r="K43" s="57">
        <v>2</v>
      </c>
      <c r="L43" s="58">
        <v>41484</v>
      </c>
      <c r="M43" s="56"/>
      <c r="N43" s="58">
        <f>Tabla2[[#This Row],[Columna1]]*Tabla2[[#This Row],[Columna2]]</f>
        <v>82968</v>
      </c>
    </row>
    <row r="44" spans="1:14" ht="60.75" customHeight="1">
      <c r="A44" s="63">
        <v>35</v>
      </c>
      <c r="B44" s="76" t="s">
        <v>68</v>
      </c>
      <c r="C44" s="76" t="s">
        <v>19</v>
      </c>
      <c r="D44" s="66" t="s">
        <v>17</v>
      </c>
      <c r="E44" s="65" t="s">
        <v>69</v>
      </c>
      <c r="F44" s="64" t="s">
        <v>23</v>
      </c>
      <c r="G44" s="64">
        <v>4</v>
      </c>
      <c r="H44" s="74">
        <v>207825</v>
      </c>
      <c r="I44" s="68">
        <f t="shared" si="1"/>
        <v>831300</v>
      </c>
      <c r="J44" s="69"/>
      <c r="K44" s="57">
        <v>4</v>
      </c>
      <c r="L44" s="58">
        <v>207825</v>
      </c>
      <c r="M44" s="56"/>
      <c r="N44" s="58">
        <f>Tabla2[[#This Row],[Columna1]]*Tabla2[[#This Row],[Columna2]]</f>
        <v>831300</v>
      </c>
    </row>
    <row r="45" spans="1:14" ht="60.75" customHeight="1">
      <c r="A45" s="63">
        <v>36</v>
      </c>
      <c r="B45" s="76" t="s">
        <v>70</v>
      </c>
      <c r="C45" s="76" t="s">
        <v>19</v>
      </c>
      <c r="D45" s="66" t="s">
        <v>17</v>
      </c>
      <c r="E45" s="65" t="s">
        <v>71</v>
      </c>
      <c r="F45" s="64" t="s">
        <v>23</v>
      </c>
      <c r="G45" s="64">
        <v>4</v>
      </c>
      <c r="H45" s="74">
        <v>207825</v>
      </c>
      <c r="I45" s="68">
        <f t="shared" si="1"/>
        <v>831300</v>
      </c>
      <c r="J45" s="69"/>
      <c r="K45" s="57">
        <v>4</v>
      </c>
      <c r="L45" s="58">
        <v>207825</v>
      </c>
      <c r="M45" s="56"/>
      <c r="N45" s="58">
        <f>Tabla2[[#This Row],[Columna1]]*Tabla2[[#This Row],[Columna2]]</f>
        <v>831300</v>
      </c>
    </row>
    <row r="46" spans="1:14" ht="60.75" customHeight="1">
      <c r="A46" s="63">
        <v>37</v>
      </c>
      <c r="B46" s="64" t="s">
        <v>56</v>
      </c>
      <c r="C46" s="76" t="s">
        <v>19</v>
      </c>
      <c r="D46" s="66" t="s">
        <v>17</v>
      </c>
      <c r="E46" s="65" t="s">
        <v>57</v>
      </c>
      <c r="F46" s="64" t="s">
        <v>23</v>
      </c>
      <c r="G46" s="64">
        <v>4</v>
      </c>
      <c r="H46" s="75">
        <v>483210</v>
      </c>
      <c r="I46" s="68">
        <f t="shared" si="1"/>
        <v>1932840</v>
      </c>
      <c r="J46" s="69"/>
      <c r="K46" s="57">
        <v>4</v>
      </c>
      <c r="L46" s="58">
        <v>483210</v>
      </c>
      <c r="M46" s="56"/>
      <c r="N46" s="58">
        <f>Tabla2[[#This Row],[Columna1]]*Tabla2[[#This Row],[Columna2]]</f>
        <v>1932840</v>
      </c>
    </row>
    <row r="47" spans="1:14" ht="60.75" customHeight="1">
      <c r="A47" s="63">
        <v>38</v>
      </c>
      <c r="B47" s="64" t="s">
        <v>145</v>
      </c>
      <c r="C47" s="65" t="s">
        <v>19</v>
      </c>
      <c r="D47" s="66" t="s">
        <v>17</v>
      </c>
      <c r="E47" s="65" t="s">
        <v>146</v>
      </c>
      <c r="F47" s="70" t="s">
        <v>20</v>
      </c>
      <c r="G47" s="70">
        <v>1</v>
      </c>
      <c r="H47" s="75">
        <v>431651</v>
      </c>
      <c r="I47" s="68">
        <f t="shared" ref="I47" si="5">+H47*G47</f>
        <v>431651</v>
      </c>
      <c r="J47" s="69"/>
      <c r="K47" s="57">
        <v>1</v>
      </c>
      <c r="L47" s="58">
        <v>431651</v>
      </c>
      <c r="M47" s="56"/>
      <c r="N47" s="58">
        <f>Tabla2[[#This Row],[Columna1]]*Tabla2[[#This Row],[Columna2]]</f>
        <v>431651</v>
      </c>
    </row>
    <row r="48" spans="1:14" ht="60.75" customHeight="1">
      <c r="A48" s="63">
        <v>39</v>
      </c>
      <c r="B48" s="64" t="s">
        <v>158</v>
      </c>
      <c r="C48" s="65" t="s">
        <v>19</v>
      </c>
      <c r="D48" s="66" t="s">
        <v>17</v>
      </c>
      <c r="E48" s="65" t="s">
        <v>159</v>
      </c>
      <c r="F48" s="64" t="s">
        <v>20</v>
      </c>
      <c r="G48" s="64">
        <v>3</v>
      </c>
      <c r="H48" s="75">
        <v>1498000</v>
      </c>
      <c r="I48" s="74">
        <f>+H48*G48</f>
        <v>4494000</v>
      </c>
      <c r="J48" s="69"/>
      <c r="K48" s="57">
        <v>3</v>
      </c>
      <c r="L48" s="58">
        <v>1498000</v>
      </c>
      <c r="M48" s="56"/>
      <c r="N48" s="58">
        <f>Tabla2[[#This Row],[Columna1]]*Tabla2[[#This Row],[Columna2]]</f>
        <v>4494000</v>
      </c>
    </row>
    <row r="49" spans="1:17" ht="60.75" customHeight="1">
      <c r="A49" s="63">
        <v>40</v>
      </c>
      <c r="B49" s="70" t="s">
        <v>120</v>
      </c>
      <c r="C49" s="64" t="s">
        <v>19</v>
      </c>
      <c r="D49" s="78" t="s">
        <v>17</v>
      </c>
      <c r="E49" s="65" t="s">
        <v>121</v>
      </c>
      <c r="F49" s="64" t="s">
        <v>23</v>
      </c>
      <c r="G49" s="64">
        <v>1</v>
      </c>
      <c r="H49" s="79">
        <v>1275888</v>
      </c>
      <c r="I49" s="68">
        <f t="shared" ref="I49" si="6">+H49*G49</f>
        <v>1275888</v>
      </c>
      <c r="J49" s="69"/>
      <c r="K49" s="57">
        <v>1</v>
      </c>
      <c r="L49" s="58">
        <v>1275888</v>
      </c>
      <c r="M49" s="56"/>
      <c r="N49" s="58">
        <f>Tabla2[[#This Row],[Columna1]]*Tabla2[[#This Row],[Columna2]]</f>
        <v>1275888</v>
      </c>
    </row>
    <row r="50" spans="1:17" ht="60.75" customHeight="1">
      <c r="A50" s="63">
        <v>41</v>
      </c>
      <c r="B50" s="70" t="s">
        <v>89</v>
      </c>
      <c r="C50" s="76" t="s">
        <v>19</v>
      </c>
      <c r="D50" s="66" t="s">
        <v>17</v>
      </c>
      <c r="E50" s="65" t="s">
        <v>93</v>
      </c>
      <c r="F50" s="80" t="s">
        <v>23</v>
      </c>
      <c r="G50" s="64">
        <v>10</v>
      </c>
      <c r="H50" s="75">
        <v>25983</v>
      </c>
      <c r="I50" s="68">
        <f t="shared" si="1"/>
        <v>259830</v>
      </c>
      <c r="J50" s="69"/>
      <c r="K50" s="57">
        <v>10</v>
      </c>
      <c r="L50" s="58">
        <v>25983</v>
      </c>
      <c r="M50" s="56"/>
      <c r="N50" s="58">
        <f>Tabla2[[#This Row],[Columna1]]*Tabla2[[#This Row],[Columna2]]</f>
        <v>259830</v>
      </c>
    </row>
    <row r="51" spans="1:17" ht="60.75" customHeight="1">
      <c r="A51" s="63">
        <v>42</v>
      </c>
      <c r="B51" s="63" t="s">
        <v>100</v>
      </c>
      <c r="C51" s="63" t="s">
        <v>19</v>
      </c>
      <c r="D51" s="63" t="s">
        <v>17</v>
      </c>
      <c r="E51" s="65" t="s">
        <v>117</v>
      </c>
      <c r="F51" s="63" t="s">
        <v>20</v>
      </c>
      <c r="G51" s="63">
        <v>10</v>
      </c>
      <c r="H51" s="74">
        <v>868712</v>
      </c>
      <c r="I51" s="68">
        <f t="shared" si="1"/>
        <v>8687120</v>
      </c>
      <c r="J51" s="64"/>
      <c r="K51" s="57">
        <v>10</v>
      </c>
      <c r="L51" s="58">
        <v>868712</v>
      </c>
      <c r="M51" s="56"/>
      <c r="N51" s="58">
        <f>Tabla2[[#This Row],[Columna1]]*Tabla2[[#This Row],[Columna2]]</f>
        <v>8687120</v>
      </c>
    </row>
    <row r="52" spans="1:17" ht="60.75" customHeight="1">
      <c r="A52" s="63">
        <v>43</v>
      </c>
      <c r="B52" s="63" t="s">
        <v>24</v>
      </c>
      <c r="C52" s="63" t="s">
        <v>19</v>
      </c>
      <c r="D52" s="66" t="s">
        <v>17</v>
      </c>
      <c r="E52" s="65" t="s">
        <v>25</v>
      </c>
      <c r="F52" s="81" t="s">
        <v>20</v>
      </c>
      <c r="G52" s="82">
        <v>15</v>
      </c>
      <c r="H52" s="74">
        <v>429456</v>
      </c>
      <c r="I52" s="68">
        <f t="shared" si="1"/>
        <v>6441840</v>
      </c>
      <c r="J52" s="64"/>
      <c r="K52" s="57">
        <v>15</v>
      </c>
      <c r="L52" s="58">
        <v>429456</v>
      </c>
      <c r="M52" s="56"/>
      <c r="N52" s="58">
        <f>Tabla2[[#This Row],[Columna1]]*Tabla2[[#This Row],[Columna2]]</f>
        <v>6441840</v>
      </c>
    </row>
    <row r="53" spans="1:17" ht="60.75" customHeight="1">
      <c r="A53" s="63">
        <v>44</v>
      </c>
      <c r="B53" s="63" t="s">
        <v>103</v>
      </c>
      <c r="C53" s="65" t="s">
        <v>19</v>
      </c>
      <c r="D53" s="66" t="s">
        <v>17</v>
      </c>
      <c r="E53" s="65" t="s">
        <v>104</v>
      </c>
      <c r="F53" s="64" t="s">
        <v>20</v>
      </c>
      <c r="G53" s="64">
        <v>15</v>
      </c>
      <c r="H53" s="75">
        <v>465808</v>
      </c>
      <c r="I53" s="68">
        <f t="shared" si="1"/>
        <v>6987120</v>
      </c>
      <c r="J53" s="69"/>
      <c r="K53" s="57">
        <v>15</v>
      </c>
      <c r="L53" s="58">
        <v>465808</v>
      </c>
      <c r="M53" s="56"/>
      <c r="N53" s="58">
        <f>Tabla2[[#This Row],[Columna1]]*Tabla2[[#This Row],[Columna2]]</f>
        <v>6987120</v>
      </c>
    </row>
    <row r="54" spans="1:17" ht="60.75" customHeight="1">
      <c r="A54" s="63">
        <v>45</v>
      </c>
      <c r="B54" s="63" t="s">
        <v>128</v>
      </c>
      <c r="C54" s="65" t="s">
        <v>19</v>
      </c>
      <c r="D54" s="66" t="s">
        <v>17</v>
      </c>
      <c r="E54" s="65" t="s">
        <v>228</v>
      </c>
      <c r="F54" s="64" t="s">
        <v>20</v>
      </c>
      <c r="G54" s="64">
        <v>1</v>
      </c>
      <c r="H54" s="75">
        <v>360031</v>
      </c>
      <c r="I54" s="68">
        <f t="shared" ref="I54" si="7">+H54*G54</f>
        <v>360031</v>
      </c>
      <c r="J54" s="69"/>
      <c r="K54" s="57">
        <v>1</v>
      </c>
      <c r="L54" s="58">
        <v>360031</v>
      </c>
      <c r="M54" s="56"/>
      <c r="N54" s="58">
        <f>Tabla2[[#This Row],[Columna1]]*Tabla2[[#This Row],[Columna2]]</f>
        <v>360031</v>
      </c>
    </row>
    <row r="55" spans="1:17" ht="60.75" customHeight="1">
      <c r="A55" s="63">
        <v>46</v>
      </c>
      <c r="B55" s="64" t="s">
        <v>54</v>
      </c>
      <c r="C55" s="65" t="s">
        <v>19</v>
      </c>
      <c r="D55" s="66" t="s">
        <v>17</v>
      </c>
      <c r="E55" s="65" t="s">
        <v>55</v>
      </c>
      <c r="F55" s="80" t="s">
        <v>26</v>
      </c>
      <c r="G55" s="64">
        <v>20</v>
      </c>
      <c r="H55" s="83">
        <v>138028</v>
      </c>
      <c r="I55" s="68">
        <f t="shared" si="1"/>
        <v>2760560</v>
      </c>
      <c r="J55" s="69"/>
      <c r="K55" s="57">
        <v>20</v>
      </c>
      <c r="L55" s="58">
        <v>138028</v>
      </c>
      <c r="M55" s="56"/>
      <c r="N55" s="58">
        <f>Tabla2[[#This Row],[Columna1]]*Tabla2[[#This Row],[Columna2]]</f>
        <v>2760560</v>
      </c>
    </row>
    <row r="56" spans="1:17" ht="60.75" customHeight="1">
      <c r="A56" s="63">
        <v>47</v>
      </c>
      <c r="B56" s="63" t="s">
        <v>27</v>
      </c>
      <c r="C56" s="63" t="s">
        <v>19</v>
      </c>
      <c r="D56" s="66" t="s">
        <v>17</v>
      </c>
      <c r="E56" s="65" t="s">
        <v>28</v>
      </c>
      <c r="F56" s="63" t="s">
        <v>20</v>
      </c>
      <c r="G56" s="63">
        <v>15</v>
      </c>
      <c r="H56" s="84">
        <v>462297</v>
      </c>
      <c r="I56" s="68">
        <f t="shared" si="1"/>
        <v>6934455</v>
      </c>
      <c r="J56" s="64"/>
      <c r="K56" s="57">
        <v>15</v>
      </c>
      <c r="L56" s="58">
        <v>462297</v>
      </c>
      <c r="M56" s="56"/>
      <c r="N56" s="58">
        <f>Tabla2[[#This Row],[Columna1]]*Tabla2[[#This Row],[Columna2]]</f>
        <v>6934455</v>
      </c>
      <c r="P56" s="59" t="s">
        <v>246</v>
      </c>
      <c r="Q56" s="59"/>
    </row>
    <row r="57" spans="1:17" ht="60.75" customHeight="1">
      <c r="A57" s="63">
        <v>48</v>
      </c>
      <c r="B57" s="64" t="s">
        <v>79</v>
      </c>
      <c r="C57" s="76" t="s">
        <v>19</v>
      </c>
      <c r="D57" s="66" t="s">
        <v>17</v>
      </c>
      <c r="E57" s="65" t="s">
        <v>80</v>
      </c>
      <c r="F57" s="64" t="s">
        <v>18</v>
      </c>
      <c r="G57" s="64">
        <v>10</v>
      </c>
      <c r="H57" s="83">
        <v>369705</v>
      </c>
      <c r="I57" s="68">
        <f t="shared" si="1"/>
        <v>3697050</v>
      </c>
      <c r="J57" s="69"/>
      <c r="K57" s="57">
        <v>10</v>
      </c>
      <c r="L57" s="58">
        <v>369705</v>
      </c>
      <c r="M57" s="56"/>
      <c r="N57" s="58">
        <f>Tabla2[[#This Row],[Columna1]]*Tabla2[[#This Row],[Columna2]]</f>
        <v>3697050</v>
      </c>
    </row>
    <row r="58" spans="1:17" ht="60.75" customHeight="1">
      <c r="A58" s="63">
        <v>49</v>
      </c>
      <c r="B58" s="70" t="s">
        <v>90</v>
      </c>
      <c r="C58" s="76" t="s">
        <v>19</v>
      </c>
      <c r="D58" s="66" t="s">
        <v>17</v>
      </c>
      <c r="E58" s="65" t="s">
        <v>94</v>
      </c>
      <c r="F58" s="80" t="s">
        <v>18</v>
      </c>
      <c r="G58" s="64">
        <v>1</v>
      </c>
      <c r="H58" s="75">
        <v>126830</v>
      </c>
      <c r="I58" s="68">
        <f t="shared" si="1"/>
        <v>126830</v>
      </c>
      <c r="J58" s="69"/>
      <c r="K58" s="57">
        <v>1</v>
      </c>
      <c r="L58" s="58">
        <v>126830</v>
      </c>
      <c r="M58" s="56"/>
      <c r="N58" s="58">
        <f>Tabla2[[#This Row],[Columna1]]*Tabla2[[#This Row],[Columna2]]</f>
        <v>126830</v>
      </c>
    </row>
    <row r="59" spans="1:17" ht="60.75" customHeight="1">
      <c r="A59" s="63">
        <v>50</v>
      </c>
      <c r="B59" s="64" t="s">
        <v>81</v>
      </c>
      <c r="C59" s="76" t="s">
        <v>19</v>
      </c>
      <c r="D59" s="66" t="s">
        <v>17</v>
      </c>
      <c r="E59" s="65" t="s">
        <v>82</v>
      </c>
      <c r="F59" s="64" t="s">
        <v>18</v>
      </c>
      <c r="G59" s="64">
        <v>5</v>
      </c>
      <c r="H59" s="83">
        <v>699437</v>
      </c>
      <c r="I59" s="68">
        <f t="shared" si="1"/>
        <v>3497185</v>
      </c>
      <c r="J59" s="69"/>
      <c r="K59" s="57">
        <v>5</v>
      </c>
      <c r="L59" s="58">
        <v>699437</v>
      </c>
      <c r="M59" s="56"/>
      <c r="N59" s="58">
        <f>Tabla2[[#This Row],[Columna1]]*Tabla2[[#This Row],[Columna2]]</f>
        <v>3497185</v>
      </c>
    </row>
    <row r="60" spans="1:17" ht="60.75" customHeight="1">
      <c r="A60" s="63">
        <v>51</v>
      </c>
      <c r="B60" s="63" t="s">
        <v>101</v>
      </c>
      <c r="C60" s="65" t="s">
        <v>19</v>
      </c>
      <c r="D60" s="66" t="s">
        <v>17</v>
      </c>
      <c r="E60" s="65" t="s">
        <v>102</v>
      </c>
      <c r="F60" s="91" t="s">
        <v>18</v>
      </c>
      <c r="G60" s="64">
        <v>2</v>
      </c>
      <c r="H60" s="74">
        <v>619651</v>
      </c>
      <c r="I60" s="68">
        <f t="shared" si="1"/>
        <v>1239302</v>
      </c>
      <c r="J60" s="69"/>
      <c r="K60" s="57">
        <v>2</v>
      </c>
      <c r="L60" s="58">
        <v>619651</v>
      </c>
      <c r="M60" s="56"/>
      <c r="N60" s="58">
        <f>Tabla2[[#This Row],[Columna1]]*Tabla2[[#This Row],[Columna2]]</f>
        <v>1239302</v>
      </c>
    </row>
    <row r="61" spans="1:17" ht="60.75" customHeight="1">
      <c r="A61" s="63">
        <v>52</v>
      </c>
      <c r="B61" s="63" t="s">
        <v>31</v>
      </c>
      <c r="C61" s="63" t="s">
        <v>19</v>
      </c>
      <c r="D61" s="66" t="s">
        <v>17</v>
      </c>
      <c r="E61" s="65" t="s">
        <v>32</v>
      </c>
      <c r="F61" s="63" t="s">
        <v>18</v>
      </c>
      <c r="G61" s="63">
        <v>4</v>
      </c>
      <c r="H61" s="74">
        <v>1050000</v>
      </c>
      <c r="I61" s="68">
        <f t="shared" si="1"/>
        <v>4200000</v>
      </c>
      <c r="J61" s="64"/>
      <c r="K61" s="57">
        <v>4</v>
      </c>
      <c r="L61" s="58">
        <v>1050000</v>
      </c>
      <c r="M61" s="56"/>
      <c r="N61" s="58">
        <f>Tabla2[[#This Row],[Columna1]]*Tabla2[[#This Row],[Columna2]]</f>
        <v>4200000</v>
      </c>
    </row>
    <row r="62" spans="1:17" ht="60.75" customHeight="1">
      <c r="A62" s="63">
        <v>53</v>
      </c>
      <c r="B62" s="64" t="s">
        <v>109</v>
      </c>
      <c r="C62" s="76" t="s">
        <v>19</v>
      </c>
      <c r="D62" s="85" t="s">
        <v>17</v>
      </c>
      <c r="E62" s="65" t="s">
        <v>110</v>
      </c>
      <c r="F62" s="64" t="s">
        <v>234</v>
      </c>
      <c r="G62" s="64">
        <v>10</v>
      </c>
      <c r="H62" s="75">
        <v>340736</v>
      </c>
      <c r="I62" s="68">
        <f t="shared" si="1"/>
        <v>3407360</v>
      </c>
      <c r="J62" s="69"/>
      <c r="K62" s="57">
        <v>10</v>
      </c>
      <c r="L62" s="58">
        <v>340736</v>
      </c>
      <c r="M62" s="56"/>
      <c r="N62" s="58">
        <f>Tabla2[[#This Row],[Columna1]]*Tabla2[[#This Row],[Columna2]]</f>
        <v>3407360</v>
      </c>
    </row>
    <row r="63" spans="1:17" ht="60.75" customHeight="1">
      <c r="A63" s="63">
        <v>54</v>
      </c>
      <c r="B63" s="64" t="s">
        <v>60</v>
      </c>
      <c r="C63" s="63" t="s">
        <v>19</v>
      </c>
      <c r="D63" s="66" t="s">
        <v>17</v>
      </c>
      <c r="E63" s="65" t="s">
        <v>61</v>
      </c>
      <c r="F63" s="70" t="s">
        <v>20</v>
      </c>
      <c r="G63" s="70">
        <v>5</v>
      </c>
      <c r="H63" s="74">
        <v>164546</v>
      </c>
      <c r="I63" s="68">
        <f t="shared" ref="I63" si="8">+H63*G63</f>
        <v>822730</v>
      </c>
      <c r="J63" s="64"/>
      <c r="K63" s="57">
        <v>5</v>
      </c>
      <c r="L63" s="58">
        <v>164546</v>
      </c>
      <c r="M63" s="56"/>
      <c r="N63" s="58">
        <f>Tabla2[[#This Row],[Columna1]]*Tabla2[[#This Row],[Columna2]]</f>
        <v>822730</v>
      </c>
    </row>
    <row r="64" spans="1:17" ht="60.75" customHeight="1">
      <c r="A64" s="63">
        <v>55</v>
      </c>
      <c r="B64" s="64" t="s">
        <v>62</v>
      </c>
      <c r="C64" s="63" t="s">
        <v>19</v>
      </c>
      <c r="D64" s="66" t="s">
        <v>17</v>
      </c>
      <c r="E64" s="65" t="s">
        <v>63</v>
      </c>
      <c r="F64" s="63" t="s">
        <v>20</v>
      </c>
      <c r="G64" s="63">
        <v>3</v>
      </c>
      <c r="H64" s="74">
        <v>77890</v>
      </c>
      <c r="I64" s="68">
        <f t="shared" si="1"/>
        <v>233670</v>
      </c>
      <c r="J64" s="64"/>
      <c r="K64" s="57">
        <v>3</v>
      </c>
      <c r="L64" s="58">
        <v>77890</v>
      </c>
      <c r="M64" s="56"/>
      <c r="N64" s="58">
        <f>Tabla2[[#This Row],[Columna1]]*Tabla2[[#This Row],[Columna2]]</f>
        <v>233670</v>
      </c>
    </row>
    <row r="65" spans="1:17" ht="60.75" customHeight="1">
      <c r="A65" s="63">
        <v>56</v>
      </c>
      <c r="B65" s="76" t="s">
        <v>65</v>
      </c>
      <c r="C65" s="63" t="s">
        <v>19</v>
      </c>
      <c r="D65" s="66" t="s">
        <v>17</v>
      </c>
      <c r="E65" s="65" t="s">
        <v>64</v>
      </c>
      <c r="F65" s="63" t="s">
        <v>20</v>
      </c>
      <c r="G65" s="63">
        <v>10</v>
      </c>
      <c r="H65" s="74">
        <v>180000</v>
      </c>
      <c r="I65" s="68">
        <f t="shared" si="1"/>
        <v>1800000</v>
      </c>
      <c r="J65" s="64"/>
      <c r="K65" s="57">
        <v>10</v>
      </c>
      <c r="L65" s="58">
        <v>180000</v>
      </c>
      <c r="M65" s="56"/>
      <c r="N65" s="58">
        <f>Tabla2[[#This Row],[Columna1]]*Tabla2[[#This Row],[Columna2]]</f>
        <v>1800000</v>
      </c>
    </row>
    <row r="66" spans="1:17" ht="60.75" customHeight="1">
      <c r="A66" s="63">
        <v>57</v>
      </c>
      <c r="B66" s="64" t="s">
        <v>66</v>
      </c>
      <c r="C66" s="63" t="s">
        <v>19</v>
      </c>
      <c r="D66" s="66" t="s">
        <v>17</v>
      </c>
      <c r="E66" s="65" t="s">
        <v>67</v>
      </c>
      <c r="F66" s="63" t="s">
        <v>20</v>
      </c>
      <c r="G66" s="63">
        <v>5</v>
      </c>
      <c r="H66" s="74">
        <v>186050</v>
      </c>
      <c r="I66" s="68">
        <f t="shared" si="1"/>
        <v>930250</v>
      </c>
      <c r="J66" s="64"/>
      <c r="K66" s="57">
        <v>5</v>
      </c>
      <c r="L66" s="58">
        <v>186050</v>
      </c>
      <c r="M66" s="56"/>
      <c r="N66" s="58">
        <f>Tabla2[[#This Row],[Columna1]]*Tabla2[[#This Row],[Columna2]]</f>
        <v>930250</v>
      </c>
    </row>
    <row r="67" spans="1:17" ht="60.75" customHeight="1">
      <c r="A67" s="63">
        <v>58</v>
      </c>
      <c r="B67" s="64" t="s">
        <v>164</v>
      </c>
      <c r="C67" s="65" t="s">
        <v>19</v>
      </c>
      <c r="D67" s="66" t="s">
        <v>17</v>
      </c>
      <c r="E67" s="65" t="s">
        <v>165</v>
      </c>
      <c r="F67" s="64" t="s">
        <v>18</v>
      </c>
      <c r="G67" s="64">
        <v>1</v>
      </c>
      <c r="H67" s="74">
        <v>236279</v>
      </c>
      <c r="I67" s="74">
        <f t="shared" si="1"/>
        <v>236279</v>
      </c>
      <c r="J67" s="69"/>
      <c r="K67" s="57">
        <v>1</v>
      </c>
      <c r="L67" s="58">
        <v>236279</v>
      </c>
      <c r="M67" s="56"/>
      <c r="N67" s="58">
        <f>Tabla2[[#This Row],[Columna1]]*Tabla2[[#This Row],[Columna2]]</f>
        <v>236279</v>
      </c>
    </row>
    <row r="68" spans="1:17" ht="60.75" customHeight="1">
      <c r="A68" s="63">
        <v>59</v>
      </c>
      <c r="B68" s="64" t="s">
        <v>166</v>
      </c>
      <c r="C68" s="65" t="s">
        <v>19</v>
      </c>
      <c r="D68" s="66" t="s">
        <v>17</v>
      </c>
      <c r="E68" s="65" t="s">
        <v>167</v>
      </c>
      <c r="F68" s="64" t="s">
        <v>18</v>
      </c>
      <c r="G68" s="64">
        <v>1</v>
      </c>
      <c r="H68" s="84">
        <v>300417</v>
      </c>
      <c r="I68" s="74">
        <f t="shared" si="1"/>
        <v>300417</v>
      </c>
      <c r="J68" s="69"/>
      <c r="K68" s="57">
        <v>1</v>
      </c>
      <c r="L68" s="58">
        <v>300417</v>
      </c>
      <c r="M68" s="56"/>
      <c r="N68" s="58">
        <f>Tabla2[[#This Row],[Columna1]]*Tabla2[[#This Row],[Columna2]]</f>
        <v>300417</v>
      </c>
      <c r="P68" s="59" t="s">
        <v>247</v>
      </c>
      <c r="Q68" s="59"/>
    </row>
    <row r="69" spans="1:17" ht="60.75" customHeight="1">
      <c r="A69" s="63">
        <v>60</v>
      </c>
      <c r="B69" s="64" t="s">
        <v>168</v>
      </c>
      <c r="C69" s="65" t="s">
        <v>19</v>
      </c>
      <c r="D69" s="66" t="s">
        <v>17</v>
      </c>
      <c r="E69" s="65" t="s">
        <v>169</v>
      </c>
      <c r="F69" s="64" t="s">
        <v>18</v>
      </c>
      <c r="G69" s="64">
        <v>1</v>
      </c>
      <c r="H69" s="74">
        <v>63989</v>
      </c>
      <c r="I69" s="74">
        <f t="shared" si="1"/>
        <v>63989</v>
      </c>
      <c r="J69" s="69"/>
      <c r="K69" s="57">
        <v>1</v>
      </c>
      <c r="L69" s="58">
        <v>63989</v>
      </c>
      <c r="M69" s="56"/>
      <c r="N69" s="58">
        <f>Tabla2[[#This Row],[Columna1]]*Tabla2[[#This Row],[Columna2]]</f>
        <v>63989</v>
      </c>
    </row>
    <row r="70" spans="1:17" ht="60.75" customHeight="1">
      <c r="A70" s="63">
        <v>61</v>
      </c>
      <c r="B70" s="64" t="s">
        <v>170</v>
      </c>
      <c r="C70" s="65" t="s">
        <v>19</v>
      </c>
      <c r="D70" s="66" t="s">
        <v>17</v>
      </c>
      <c r="E70" s="65" t="s">
        <v>171</v>
      </c>
      <c r="F70" s="64" t="s">
        <v>18</v>
      </c>
      <c r="G70" s="64">
        <v>1</v>
      </c>
      <c r="H70" s="74">
        <v>217645</v>
      </c>
      <c r="I70" s="74">
        <f t="shared" si="1"/>
        <v>217645</v>
      </c>
      <c r="J70" s="69"/>
      <c r="K70" s="57">
        <v>1</v>
      </c>
      <c r="L70" s="58">
        <v>217645</v>
      </c>
      <c r="M70" s="56"/>
      <c r="N70" s="58">
        <f>Tabla2[[#This Row],[Columna1]]*Tabla2[[#This Row],[Columna2]]</f>
        <v>217645</v>
      </c>
    </row>
    <row r="71" spans="1:17" ht="60.75" customHeight="1">
      <c r="A71" s="63">
        <v>62</v>
      </c>
      <c r="B71" s="64" t="s">
        <v>172</v>
      </c>
      <c r="C71" s="65" t="s">
        <v>19</v>
      </c>
      <c r="D71" s="66" t="s">
        <v>17</v>
      </c>
      <c r="E71" s="65" t="s">
        <v>173</v>
      </c>
      <c r="F71" s="64" t="s">
        <v>18</v>
      </c>
      <c r="G71" s="64">
        <v>3</v>
      </c>
      <c r="H71" s="74">
        <v>134165</v>
      </c>
      <c r="I71" s="74">
        <f t="shared" si="1"/>
        <v>402495</v>
      </c>
      <c r="J71" s="69"/>
      <c r="K71" s="57">
        <v>3</v>
      </c>
      <c r="L71" s="58">
        <v>134165</v>
      </c>
      <c r="M71" s="56"/>
      <c r="N71" s="58">
        <f>Tabla2[[#This Row],[Columna1]]*Tabla2[[#This Row],[Columna2]]</f>
        <v>402495</v>
      </c>
    </row>
    <row r="72" spans="1:17" ht="60.75" customHeight="1">
      <c r="A72" s="63">
        <v>63</v>
      </c>
      <c r="B72" s="64" t="s">
        <v>174</v>
      </c>
      <c r="C72" s="65" t="s">
        <v>19</v>
      </c>
      <c r="D72" s="66" t="s">
        <v>17</v>
      </c>
      <c r="E72" s="65" t="s">
        <v>175</v>
      </c>
      <c r="F72" s="64" t="s">
        <v>18</v>
      </c>
      <c r="G72" s="64">
        <v>2</v>
      </c>
      <c r="H72" s="74">
        <v>40436</v>
      </c>
      <c r="I72" s="74">
        <f t="shared" si="1"/>
        <v>80872</v>
      </c>
      <c r="J72" s="69"/>
      <c r="K72" s="57">
        <v>2</v>
      </c>
      <c r="L72" s="58">
        <v>40436</v>
      </c>
      <c r="M72" s="56"/>
      <c r="N72" s="58">
        <f>Tabla2[[#This Row],[Columna1]]*Tabla2[[#This Row],[Columna2]]</f>
        <v>80872</v>
      </c>
    </row>
    <row r="73" spans="1:17" ht="60.75" customHeight="1">
      <c r="A73" s="63">
        <v>64</v>
      </c>
      <c r="B73" s="64" t="s">
        <v>176</v>
      </c>
      <c r="C73" s="65" t="s">
        <v>19</v>
      </c>
      <c r="D73" s="66" t="s">
        <v>17</v>
      </c>
      <c r="E73" s="65" t="s">
        <v>177</v>
      </c>
      <c r="F73" s="64" t="s">
        <v>18</v>
      </c>
      <c r="G73" s="64">
        <v>1</v>
      </c>
      <c r="H73" s="84">
        <v>34957</v>
      </c>
      <c r="I73" s="74">
        <f t="shared" si="1"/>
        <v>34957</v>
      </c>
      <c r="J73" s="69"/>
      <c r="K73" s="57">
        <v>1</v>
      </c>
      <c r="L73" s="58">
        <v>34957</v>
      </c>
      <c r="M73" s="56"/>
      <c r="N73" s="58">
        <f>Tabla2[[#This Row],[Columna1]]*Tabla2[[#This Row],[Columna2]]</f>
        <v>34957</v>
      </c>
      <c r="P73" s="59" t="s">
        <v>248</v>
      </c>
      <c r="Q73" s="59"/>
    </row>
    <row r="74" spans="1:17" ht="60.75" customHeight="1">
      <c r="A74" s="63">
        <v>65</v>
      </c>
      <c r="B74" s="63" t="s">
        <v>222</v>
      </c>
      <c r="C74" s="65" t="s">
        <v>19</v>
      </c>
      <c r="D74" s="66" t="s">
        <v>17</v>
      </c>
      <c r="E74" s="65" t="s">
        <v>223</v>
      </c>
      <c r="F74" s="64" t="s">
        <v>115</v>
      </c>
      <c r="G74" s="64">
        <v>1</v>
      </c>
      <c r="H74" s="74">
        <v>91490</v>
      </c>
      <c r="I74" s="74">
        <f t="shared" si="1"/>
        <v>91490</v>
      </c>
      <c r="J74" s="69"/>
      <c r="K74" s="57">
        <v>1</v>
      </c>
      <c r="L74" s="58">
        <v>91490</v>
      </c>
      <c r="M74" s="56"/>
      <c r="N74" s="58">
        <f>Tabla2[[#This Row],[Columna1]]*Tabla2[[#This Row],[Columna2]]</f>
        <v>91490</v>
      </c>
    </row>
    <row r="75" spans="1:17" ht="60.75" customHeight="1">
      <c r="A75" s="63">
        <v>66</v>
      </c>
      <c r="B75" s="64" t="s">
        <v>178</v>
      </c>
      <c r="C75" s="65" t="s">
        <v>19</v>
      </c>
      <c r="D75" s="66" t="s">
        <v>17</v>
      </c>
      <c r="E75" s="65" t="s">
        <v>179</v>
      </c>
      <c r="F75" s="64" t="s">
        <v>18</v>
      </c>
      <c r="G75" s="64">
        <v>2</v>
      </c>
      <c r="H75" s="74">
        <v>299955</v>
      </c>
      <c r="I75" s="74">
        <f t="shared" si="1"/>
        <v>599910</v>
      </c>
      <c r="J75" s="69"/>
      <c r="K75" s="57">
        <v>2</v>
      </c>
      <c r="L75" s="58">
        <v>299955</v>
      </c>
      <c r="M75" s="56"/>
      <c r="N75" s="58">
        <f>Tabla2[[#This Row],[Columna1]]*Tabla2[[#This Row],[Columna2]]</f>
        <v>599910</v>
      </c>
    </row>
    <row r="76" spans="1:17" ht="60.75" customHeight="1">
      <c r="A76" s="63">
        <v>67</v>
      </c>
      <c r="B76" s="64" t="s">
        <v>180</v>
      </c>
      <c r="C76" s="65" t="s">
        <v>19</v>
      </c>
      <c r="D76" s="66" t="s">
        <v>17</v>
      </c>
      <c r="E76" s="65" t="s">
        <v>181</v>
      </c>
      <c r="F76" s="64" t="s">
        <v>18</v>
      </c>
      <c r="G76" s="64">
        <v>1</v>
      </c>
      <c r="H76" s="84">
        <v>208738</v>
      </c>
      <c r="I76" s="74">
        <f t="shared" si="1"/>
        <v>208738</v>
      </c>
      <c r="J76" s="69"/>
      <c r="K76" s="57">
        <v>1</v>
      </c>
      <c r="L76" s="58">
        <v>208738</v>
      </c>
      <c r="M76" s="56"/>
      <c r="N76" s="58">
        <f>Tabla2[[#This Row],[Columna1]]*Tabla2[[#This Row],[Columna2]]</f>
        <v>208738</v>
      </c>
      <c r="P76" s="59" t="s">
        <v>249</v>
      </c>
      <c r="Q76" s="59"/>
    </row>
    <row r="77" spans="1:17" ht="60.75" customHeight="1">
      <c r="A77" s="63">
        <v>68</v>
      </c>
      <c r="B77" s="64" t="s">
        <v>162</v>
      </c>
      <c r="C77" s="65" t="s">
        <v>19</v>
      </c>
      <c r="D77" s="66" t="s">
        <v>17</v>
      </c>
      <c r="E77" s="65" t="s">
        <v>163</v>
      </c>
      <c r="F77" s="64" t="s">
        <v>20</v>
      </c>
      <c r="G77" s="64">
        <v>2</v>
      </c>
      <c r="H77" s="74">
        <v>653388</v>
      </c>
      <c r="I77" s="74">
        <f t="shared" si="1"/>
        <v>1306776</v>
      </c>
      <c r="J77" s="69"/>
      <c r="K77" s="57">
        <v>2</v>
      </c>
      <c r="L77" s="58">
        <v>653388</v>
      </c>
      <c r="M77" s="56"/>
      <c r="N77" s="58">
        <f>Tabla2[[#This Row],[Columna1]]*Tabla2[[#This Row],[Columna2]]</f>
        <v>1306776</v>
      </c>
    </row>
    <row r="78" spans="1:17" ht="60.75" customHeight="1">
      <c r="A78" s="63">
        <v>69</v>
      </c>
      <c r="B78" s="63" t="s">
        <v>33</v>
      </c>
      <c r="C78" s="63" t="s">
        <v>19</v>
      </c>
      <c r="D78" s="66" t="s">
        <v>17</v>
      </c>
      <c r="E78" s="65" t="s">
        <v>34</v>
      </c>
      <c r="F78" s="63" t="s">
        <v>20</v>
      </c>
      <c r="G78" s="63">
        <v>18</v>
      </c>
      <c r="H78" s="74">
        <v>16639</v>
      </c>
      <c r="I78" s="68">
        <f t="shared" ref="I78:I97" si="9">+H78*G78</f>
        <v>299502</v>
      </c>
      <c r="J78" s="64"/>
      <c r="K78" s="57">
        <v>18</v>
      </c>
      <c r="L78" s="58">
        <v>16639</v>
      </c>
      <c r="M78" s="56"/>
      <c r="N78" s="58">
        <f>Tabla2[[#This Row],[Columna1]]*Tabla2[[#This Row],[Columna2]]</f>
        <v>299502</v>
      </c>
    </row>
    <row r="79" spans="1:17" ht="60.75" customHeight="1">
      <c r="A79" s="63">
        <v>70</v>
      </c>
      <c r="B79" s="64" t="s">
        <v>182</v>
      </c>
      <c r="C79" s="65" t="s">
        <v>19</v>
      </c>
      <c r="D79" s="66" t="s">
        <v>17</v>
      </c>
      <c r="E79" s="65" t="s">
        <v>183</v>
      </c>
      <c r="F79" s="63" t="s">
        <v>20</v>
      </c>
      <c r="G79" s="64">
        <v>4</v>
      </c>
      <c r="H79" s="74">
        <v>10808</v>
      </c>
      <c r="I79" s="74">
        <f t="shared" si="9"/>
        <v>43232</v>
      </c>
      <c r="J79" s="69"/>
      <c r="K79" s="57">
        <v>4</v>
      </c>
      <c r="L79" s="58">
        <v>10808</v>
      </c>
      <c r="M79" s="56"/>
      <c r="N79" s="58">
        <f>Tabla2[[#This Row],[Columna1]]*Tabla2[[#This Row],[Columna2]]</f>
        <v>43232</v>
      </c>
    </row>
    <row r="80" spans="1:17" ht="60.75" customHeight="1">
      <c r="A80" s="63">
        <v>71</v>
      </c>
      <c r="B80" s="64" t="s">
        <v>184</v>
      </c>
      <c r="C80" s="65" t="s">
        <v>19</v>
      </c>
      <c r="D80" s="66" t="s">
        <v>17</v>
      </c>
      <c r="E80" s="65" t="s">
        <v>185</v>
      </c>
      <c r="F80" s="63" t="s">
        <v>20</v>
      </c>
      <c r="G80" s="64">
        <v>2</v>
      </c>
      <c r="H80" s="74">
        <v>10808</v>
      </c>
      <c r="I80" s="74">
        <f t="shared" si="9"/>
        <v>21616</v>
      </c>
      <c r="J80" s="69"/>
      <c r="K80" s="57">
        <v>2</v>
      </c>
      <c r="L80" s="58">
        <v>10808</v>
      </c>
      <c r="M80" s="56"/>
      <c r="N80" s="58">
        <f>Tabla2[[#This Row],[Columna1]]*Tabla2[[#This Row],[Columna2]]</f>
        <v>21616</v>
      </c>
    </row>
    <row r="81" spans="1:17" ht="60.75" customHeight="1">
      <c r="A81" s="63">
        <v>72</v>
      </c>
      <c r="B81" s="70" t="s">
        <v>186</v>
      </c>
      <c r="C81" s="65" t="s">
        <v>19</v>
      </c>
      <c r="D81" s="66" t="s">
        <v>17</v>
      </c>
      <c r="E81" s="65" t="s">
        <v>229</v>
      </c>
      <c r="F81" s="63" t="s">
        <v>20</v>
      </c>
      <c r="G81" s="64">
        <v>4</v>
      </c>
      <c r="H81" s="74">
        <v>10808</v>
      </c>
      <c r="I81" s="74">
        <f t="shared" si="9"/>
        <v>43232</v>
      </c>
      <c r="J81" s="69"/>
      <c r="K81" s="57">
        <v>4</v>
      </c>
      <c r="L81" s="58">
        <v>10808</v>
      </c>
      <c r="M81" s="56"/>
      <c r="N81" s="58">
        <f>Tabla2[[#This Row],[Columna1]]*Tabla2[[#This Row],[Columna2]]</f>
        <v>43232</v>
      </c>
    </row>
    <row r="82" spans="1:17" ht="60.75" customHeight="1">
      <c r="A82" s="63">
        <v>73</v>
      </c>
      <c r="B82" s="64" t="s">
        <v>187</v>
      </c>
      <c r="C82" s="65" t="s">
        <v>19</v>
      </c>
      <c r="D82" s="66" t="s">
        <v>17</v>
      </c>
      <c r="E82" s="65" t="s">
        <v>188</v>
      </c>
      <c r="F82" s="63" t="s">
        <v>20</v>
      </c>
      <c r="G82" s="64">
        <v>2</v>
      </c>
      <c r="H82" s="74">
        <v>10808</v>
      </c>
      <c r="I82" s="74">
        <f t="shared" si="9"/>
        <v>21616</v>
      </c>
      <c r="J82" s="69"/>
      <c r="K82" s="57">
        <v>2</v>
      </c>
      <c r="L82" s="58">
        <v>10808</v>
      </c>
      <c r="M82" s="56"/>
      <c r="N82" s="58">
        <f>Tabla2[[#This Row],[Columna1]]*Tabla2[[#This Row],[Columna2]]</f>
        <v>21616</v>
      </c>
    </row>
    <row r="83" spans="1:17" ht="60.75" customHeight="1">
      <c r="A83" s="63">
        <v>74</v>
      </c>
      <c r="B83" s="64" t="s">
        <v>189</v>
      </c>
      <c r="C83" s="65" t="s">
        <v>19</v>
      </c>
      <c r="D83" s="66" t="s">
        <v>17</v>
      </c>
      <c r="E83" s="65" t="s">
        <v>190</v>
      </c>
      <c r="F83" s="63" t="s">
        <v>20</v>
      </c>
      <c r="G83" s="64">
        <v>2</v>
      </c>
      <c r="H83" s="74">
        <v>10808</v>
      </c>
      <c r="I83" s="74">
        <f t="shared" si="9"/>
        <v>21616</v>
      </c>
      <c r="J83" s="69"/>
      <c r="K83" s="57">
        <v>2</v>
      </c>
      <c r="L83" s="58">
        <v>10808</v>
      </c>
      <c r="M83" s="56"/>
      <c r="N83" s="58">
        <f>Tabla2[[#This Row],[Columna1]]*Tabla2[[#This Row],[Columna2]]</f>
        <v>21616</v>
      </c>
    </row>
    <row r="84" spans="1:17" ht="60.75" customHeight="1">
      <c r="A84" s="63">
        <v>75</v>
      </c>
      <c r="B84" s="64" t="s">
        <v>191</v>
      </c>
      <c r="C84" s="65" t="s">
        <v>19</v>
      </c>
      <c r="D84" s="66" t="s">
        <v>17</v>
      </c>
      <c r="E84" s="65" t="s">
        <v>192</v>
      </c>
      <c r="F84" s="63" t="s">
        <v>20</v>
      </c>
      <c r="G84" s="64">
        <v>1</v>
      </c>
      <c r="H84" s="74">
        <v>10808</v>
      </c>
      <c r="I84" s="74">
        <f t="shared" si="9"/>
        <v>10808</v>
      </c>
      <c r="J84" s="69"/>
      <c r="K84" s="57">
        <v>1</v>
      </c>
      <c r="L84" s="58">
        <v>10808</v>
      </c>
      <c r="M84" s="56"/>
      <c r="N84" s="58">
        <f>Tabla2[[#This Row],[Columna1]]*Tabla2[[#This Row],[Columna2]]</f>
        <v>10808</v>
      </c>
    </row>
    <row r="85" spans="1:17" ht="60.75" customHeight="1">
      <c r="A85" s="63">
        <v>76</v>
      </c>
      <c r="B85" s="64" t="s">
        <v>193</v>
      </c>
      <c r="C85" s="65" t="s">
        <v>19</v>
      </c>
      <c r="D85" s="66" t="s">
        <v>17</v>
      </c>
      <c r="E85" s="65" t="s">
        <v>194</v>
      </c>
      <c r="F85" s="63" t="s">
        <v>20</v>
      </c>
      <c r="G85" s="64">
        <v>2</v>
      </c>
      <c r="H85" s="74">
        <v>10808</v>
      </c>
      <c r="I85" s="74">
        <f t="shared" si="9"/>
        <v>21616</v>
      </c>
      <c r="J85" s="69"/>
      <c r="K85" s="57">
        <v>2</v>
      </c>
      <c r="L85" s="58">
        <v>10808</v>
      </c>
      <c r="M85" s="56"/>
      <c r="N85" s="58">
        <f>Tabla2[[#This Row],[Columna1]]*Tabla2[[#This Row],[Columna2]]</f>
        <v>21616</v>
      </c>
    </row>
    <row r="86" spans="1:17" ht="60.75" customHeight="1">
      <c r="A86" s="63">
        <v>77</v>
      </c>
      <c r="B86" s="64" t="s">
        <v>195</v>
      </c>
      <c r="C86" s="65" t="s">
        <v>19</v>
      </c>
      <c r="D86" s="66" t="s">
        <v>17</v>
      </c>
      <c r="E86" s="65" t="s">
        <v>196</v>
      </c>
      <c r="F86" s="63" t="s">
        <v>20</v>
      </c>
      <c r="G86" s="64">
        <v>2</v>
      </c>
      <c r="H86" s="74">
        <v>10808</v>
      </c>
      <c r="I86" s="74">
        <f t="shared" si="9"/>
        <v>21616</v>
      </c>
      <c r="J86" s="69"/>
      <c r="K86" s="57">
        <v>2</v>
      </c>
      <c r="L86" s="58">
        <v>10808</v>
      </c>
      <c r="M86" s="56"/>
      <c r="N86" s="58">
        <f>Tabla2[[#This Row],[Columna1]]*Tabla2[[#This Row],[Columna2]]</f>
        <v>21616</v>
      </c>
    </row>
    <row r="87" spans="1:17" ht="60.75" customHeight="1">
      <c r="A87" s="63">
        <v>78</v>
      </c>
      <c r="B87" s="64" t="s">
        <v>197</v>
      </c>
      <c r="C87" s="65" t="s">
        <v>19</v>
      </c>
      <c r="D87" s="66" t="s">
        <v>17</v>
      </c>
      <c r="E87" s="65" t="s">
        <v>198</v>
      </c>
      <c r="F87" s="63" t="s">
        <v>20</v>
      </c>
      <c r="G87" s="64">
        <v>2</v>
      </c>
      <c r="H87" s="74">
        <v>10808</v>
      </c>
      <c r="I87" s="74">
        <f t="shared" si="9"/>
        <v>21616</v>
      </c>
      <c r="J87" s="69"/>
      <c r="K87" s="57">
        <v>2</v>
      </c>
      <c r="L87" s="58">
        <v>10808</v>
      </c>
      <c r="M87" s="56"/>
      <c r="N87" s="58">
        <f>Tabla2[[#This Row],[Columna1]]*Tabla2[[#This Row],[Columna2]]</f>
        <v>21616</v>
      </c>
    </row>
    <row r="88" spans="1:17" ht="60.75" customHeight="1">
      <c r="A88" s="63">
        <v>79</v>
      </c>
      <c r="B88" s="64" t="s">
        <v>199</v>
      </c>
      <c r="C88" s="65" t="s">
        <v>19</v>
      </c>
      <c r="D88" s="66" t="s">
        <v>17</v>
      </c>
      <c r="E88" s="65" t="s">
        <v>200</v>
      </c>
      <c r="F88" s="63" t="s">
        <v>20</v>
      </c>
      <c r="G88" s="64">
        <v>2</v>
      </c>
      <c r="H88" s="74">
        <v>10808</v>
      </c>
      <c r="I88" s="74">
        <f t="shared" si="9"/>
        <v>21616</v>
      </c>
      <c r="J88" s="69"/>
      <c r="K88" s="57">
        <v>2</v>
      </c>
      <c r="L88" s="58">
        <v>10808</v>
      </c>
      <c r="M88" s="56"/>
      <c r="N88" s="58">
        <f>Tabla2[[#This Row],[Columna1]]*Tabla2[[#This Row],[Columna2]]</f>
        <v>21616</v>
      </c>
    </row>
    <row r="89" spans="1:17" ht="60.75" customHeight="1">
      <c r="A89" s="63">
        <v>80</v>
      </c>
      <c r="B89" s="76" t="s">
        <v>201</v>
      </c>
      <c r="C89" s="65" t="s">
        <v>19</v>
      </c>
      <c r="D89" s="66" t="s">
        <v>17</v>
      </c>
      <c r="E89" s="65" t="s">
        <v>202</v>
      </c>
      <c r="F89" s="63" t="s">
        <v>20</v>
      </c>
      <c r="G89" s="64">
        <v>2</v>
      </c>
      <c r="H89" s="74">
        <v>10808</v>
      </c>
      <c r="I89" s="74">
        <f t="shared" si="9"/>
        <v>21616</v>
      </c>
      <c r="J89" s="69"/>
      <c r="K89" s="57">
        <v>2</v>
      </c>
      <c r="L89" s="58">
        <v>10808</v>
      </c>
      <c r="M89" s="56"/>
      <c r="N89" s="58">
        <f>Tabla2[[#This Row],[Columna1]]*Tabla2[[#This Row],[Columna2]]</f>
        <v>21616</v>
      </c>
    </row>
    <row r="90" spans="1:17" ht="60.75" customHeight="1">
      <c r="A90" s="63">
        <v>81</v>
      </c>
      <c r="B90" s="64" t="s">
        <v>203</v>
      </c>
      <c r="C90" s="65" t="s">
        <v>19</v>
      </c>
      <c r="D90" s="66" t="s">
        <v>17</v>
      </c>
      <c r="E90" s="65" t="s">
        <v>204</v>
      </c>
      <c r="F90" s="63" t="s">
        <v>20</v>
      </c>
      <c r="G90" s="64">
        <v>2</v>
      </c>
      <c r="H90" s="74">
        <v>10808</v>
      </c>
      <c r="I90" s="74">
        <f t="shared" si="9"/>
        <v>21616</v>
      </c>
      <c r="J90" s="69"/>
      <c r="K90" s="57">
        <v>2</v>
      </c>
      <c r="L90" s="58">
        <v>10808</v>
      </c>
      <c r="M90" s="56"/>
      <c r="N90" s="58">
        <f>Tabla2[[#This Row],[Columna1]]*Tabla2[[#This Row],[Columna2]]</f>
        <v>21616</v>
      </c>
    </row>
    <row r="91" spans="1:17" ht="60.75" customHeight="1">
      <c r="A91" s="63">
        <v>82</v>
      </c>
      <c r="B91" s="64" t="s">
        <v>205</v>
      </c>
      <c r="C91" s="65" t="s">
        <v>19</v>
      </c>
      <c r="D91" s="66" t="s">
        <v>17</v>
      </c>
      <c r="E91" s="65" t="s">
        <v>206</v>
      </c>
      <c r="F91" s="63" t="s">
        <v>20</v>
      </c>
      <c r="G91" s="64">
        <v>4</v>
      </c>
      <c r="H91" s="74">
        <v>10808</v>
      </c>
      <c r="I91" s="74">
        <f t="shared" si="9"/>
        <v>43232</v>
      </c>
      <c r="J91" s="69"/>
      <c r="K91" s="57">
        <v>4</v>
      </c>
      <c r="L91" s="58">
        <v>10808</v>
      </c>
      <c r="M91" s="56"/>
      <c r="N91" s="58">
        <f>Tabla2[[#This Row],[Columna1]]*Tabla2[[#This Row],[Columna2]]</f>
        <v>43232</v>
      </c>
    </row>
    <row r="92" spans="1:17" ht="60.75" customHeight="1">
      <c r="A92" s="63">
        <v>83</v>
      </c>
      <c r="B92" s="64" t="s">
        <v>207</v>
      </c>
      <c r="C92" s="65" t="s">
        <v>19</v>
      </c>
      <c r="D92" s="66" t="s">
        <v>17</v>
      </c>
      <c r="E92" s="65" t="s">
        <v>208</v>
      </c>
      <c r="F92" s="63" t="s">
        <v>20</v>
      </c>
      <c r="G92" s="64">
        <v>1</v>
      </c>
      <c r="H92" s="84">
        <v>33541</v>
      </c>
      <c r="I92" s="74">
        <f t="shared" si="9"/>
        <v>33541</v>
      </c>
      <c r="J92" s="69"/>
      <c r="K92" s="57">
        <v>1</v>
      </c>
      <c r="L92" s="58">
        <v>33541</v>
      </c>
      <c r="M92" s="56"/>
      <c r="N92" s="58">
        <f>Tabla2[[#This Row],[Columna1]]*Tabla2[[#This Row],[Columna2]]</f>
        <v>33541</v>
      </c>
      <c r="P92" s="59" t="s">
        <v>250</v>
      </c>
      <c r="Q92" s="59"/>
    </row>
    <row r="93" spans="1:17" ht="60.75" customHeight="1">
      <c r="A93" s="63">
        <v>84</v>
      </c>
      <c r="B93" s="64" t="s">
        <v>209</v>
      </c>
      <c r="C93" s="65" t="s">
        <v>19</v>
      </c>
      <c r="D93" s="66" t="s">
        <v>17</v>
      </c>
      <c r="E93" s="65" t="s">
        <v>210</v>
      </c>
      <c r="F93" s="63" t="s">
        <v>20</v>
      </c>
      <c r="G93" s="64">
        <v>2</v>
      </c>
      <c r="H93" s="74">
        <v>10808</v>
      </c>
      <c r="I93" s="74">
        <f t="shared" si="9"/>
        <v>21616</v>
      </c>
      <c r="J93" s="69"/>
      <c r="K93" s="57">
        <v>2</v>
      </c>
      <c r="L93" s="58">
        <v>10808</v>
      </c>
      <c r="M93" s="56"/>
      <c r="N93" s="58">
        <f>Tabla2[[#This Row],[Columna1]]*Tabla2[[#This Row],[Columna2]]</f>
        <v>21616</v>
      </c>
    </row>
    <row r="94" spans="1:17" ht="60.75" customHeight="1">
      <c r="A94" s="63">
        <v>85</v>
      </c>
      <c r="B94" s="64" t="s">
        <v>211</v>
      </c>
      <c r="C94" s="65" t="s">
        <v>19</v>
      </c>
      <c r="D94" s="66" t="s">
        <v>17</v>
      </c>
      <c r="E94" s="65" t="s">
        <v>212</v>
      </c>
      <c r="F94" s="63" t="s">
        <v>20</v>
      </c>
      <c r="G94" s="64">
        <v>2</v>
      </c>
      <c r="H94" s="74">
        <v>10808</v>
      </c>
      <c r="I94" s="74">
        <f t="shared" si="9"/>
        <v>21616</v>
      </c>
      <c r="J94" s="69"/>
      <c r="K94" s="57">
        <v>2</v>
      </c>
      <c r="L94" s="58">
        <v>10808</v>
      </c>
      <c r="M94" s="56"/>
      <c r="N94" s="58">
        <f>Tabla2[[#This Row],[Columna1]]*Tabla2[[#This Row],[Columna2]]</f>
        <v>21616</v>
      </c>
    </row>
    <row r="95" spans="1:17" ht="60.75" customHeight="1">
      <c r="A95" s="63">
        <v>86</v>
      </c>
      <c r="B95" s="64" t="s">
        <v>213</v>
      </c>
      <c r="C95" s="65" t="s">
        <v>19</v>
      </c>
      <c r="D95" s="66" t="s">
        <v>17</v>
      </c>
      <c r="E95" s="65" t="s">
        <v>214</v>
      </c>
      <c r="F95" s="63" t="s">
        <v>20</v>
      </c>
      <c r="G95" s="64">
        <v>1</v>
      </c>
      <c r="H95" s="74">
        <v>9692</v>
      </c>
      <c r="I95" s="74">
        <f t="shared" si="9"/>
        <v>9692</v>
      </c>
      <c r="J95" s="69"/>
      <c r="K95" s="57">
        <v>1</v>
      </c>
      <c r="L95" s="58">
        <v>9692</v>
      </c>
      <c r="M95" s="56"/>
      <c r="N95" s="58">
        <f>Tabla2[[#This Row],[Columna1]]*Tabla2[[#This Row],[Columna2]]</f>
        <v>9692</v>
      </c>
    </row>
    <row r="96" spans="1:17" ht="60.75" customHeight="1">
      <c r="A96" s="63">
        <v>87</v>
      </c>
      <c r="B96" s="76" t="s">
        <v>220</v>
      </c>
      <c r="C96" s="65" t="s">
        <v>19</v>
      </c>
      <c r="D96" s="66" t="s">
        <v>17</v>
      </c>
      <c r="E96" s="65" t="s">
        <v>221</v>
      </c>
      <c r="F96" s="63" t="s">
        <v>20</v>
      </c>
      <c r="G96" s="64">
        <v>2</v>
      </c>
      <c r="H96" s="74">
        <v>9692</v>
      </c>
      <c r="I96" s="74">
        <f t="shared" si="9"/>
        <v>19384</v>
      </c>
      <c r="J96" s="69"/>
      <c r="K96" s="57">
        <v>2</v>
      </c>
      <c r="L96" s="58">
        <v>9692</v>
      </c>
      <c r="M96" s="56"/>
      <c r="N96" s="58">
        <f>Tabla2[[#This Row],[Columna1]]*Tabla2[[#This Row],[Columna2]]</f>
        <v>19384</v>
      </c>
    </row>
    <row r="97" spans="1:17" ht="60.75" customHeight="1">
      <c r="A97" s="63">
        <v>88</v>
      </c>
      <c r="B97" s="69" t="s">
        <v>139</v>
      </c>
      <c r="C97" s="69" t="s">
        <v>19</v>
      </c>
      <c r="D97" s="69" t="s">
        <v>17</v>
      </c>
      <c r="E97" s="65" t="s">
        <v>140</v>
      </c>
      <c r="F97" s="64" t="s">
        <v>20</v>
      </c>
      <c r="G97" s="64">
        <v>3</v>
      </c>
      <c r="H97" s="86">
        <v>38029</v>
      </c>
      <c r="I97" s="68">
        <f t="shared" si="9"/>
        <v>114087</v>
      </c>
      <c r="J97" s="69"/>
      <c r="K97" s="57">
        <v>3</v>
      </c>
      <c r="L97" s="58">
        <v>38029</v>
      </c>
      <c r="M97" s="56"/>
      <c r="N97" s="58">
        <f>Tabla2[[#This Row],[Columna1]]*Tabla2[[#This Row],[Columna2]]</f>
        <v>114087</v>
      </c>
    </row>
    <row r="98" spans="1:17" ht="60.75" customHeight="1">
      <c r="A98" s="63">
        <v>89</v>
      </c>
      <c r="B98" s="77" t="s">
        <v>107</v>
      </c>
      <c r="C98" s="63" t="s">
        <v>19</v>
      </c>
      <c r="D98" s="66" t="s">
        <v>17</v>
      </c>
      <c r="E98" s="65" t="s">
        <v>108</v>
      </c>
      <c r="F98" s="63" t="s">
        <v>20</v>
      </c>
      <c r="G98" s="63">
        <v>10</v>
      </c>
      <c r="H98" s="74">
        <v>3500</v>
      </c>
      <c r="I98" s="68">
        <f t="shared" ref="I98:I100" si="10">+H98*G98</f>
        <v>35000</v>
      </c>
      <c r="J98" s="70" t="s">
        <v>235</v>
      </c>
      <c r="K98" s="57">
        <v>10</v>
      </c>
      <c r="L98" s="58">
        <v>3500</v>
      </c>
      <c r="M98" s="56"/>
      <c r="N98" s="58">
        <f>Tabla2[[#This Row],[Columna1]]*Tabla2[[#This Row],[Columna2]]</f>
        <v>35000</v>
      </c>
    </row>
    <row r="99" spans="1:17" ht="60.75" customHeight="1">
      <c r="A99" s="63">
        <v>90</v>
      </c>
      <c r="B99" s="64" t="s">
        <v>52</v>
      </c>
      <c r="C99" s="76" t="s">
        <v>19</v>
      </c>
      <c r="D99" s="85" t="s">
        <v>17</v>
      </c>
      <c r="E99" s="65" t="s">
        <v>53</v>
      </c>
      <c r="F99" s="87" t="s">
        <v>20</v>
      </c>
      <c r="G99" s="64">
        <v>7</v>
      </c>
      <c r="H99" s="75">
        <v>348026</v>
      </c>
      <c r="I99" s="68">
        <f t="shared" si="10"/>
        <v>2436182</v>
      </c>
      <c r="J99" s="69" t="s">
        <v>51</v>
      </c>
      <c r="K99" s="57">
        <v>7</v>
      </c>
      <c r="L99" s="58">
        <v>348026</v>
      </c>
      <c r="M99" s="56"/>
      <c r="N99" s="58">
        <f>Tabla2[[#This Row],[Columna1]]*Tabla2[[#This Row],[Columna2]]</f>
        <v>2436182</v>
      </c>
    </row>
    <row r="100" spans="1:17" ht="60.75" customHeight="1">
      <c r="A100" s="63">
        <v>91</v>
      </c>
      <c r="B100" s="76" t="s">
        <v>88</v>
      </c>
      <c r="C100" s="76" t="s">
        <v>19</v>
      </c>
      <c r="D100" s="66" t="s">
        <v>17</v>
      </c>
      <c r="E100" s="65" t="s">
        <v>91</v>
      </c>
      <c r="F100" s="64" t="s">
        <v>20</v>
      </c>
      <c r="G100" s="64">
        <v>12</v>
      </c>
      <c r="H100" s="84">
        <v>47402</v>
      </c>
      <c r="I100" s="68">
        <f t="shared" si="10"/>
        <v>568824</v>
      </c>
      <c r="J100" s="69"/>
      <c r="K100" s="57">
        <v>12</v>
      </c>
      <c r="L100" s="58">
        <v>47402</v>
      </c>
      <c r="M100" s="56"/>
      <c r="N100" s="58">
        <f>Tabla2[[#This Row],[Columna1]]*Tabla2[[#This Row],[Columna2]]</f>
        <v>568824</v>
      </c>
      <c r="P100" s="59" t="s">
        <v>251</v>
      </c>
      <c r="Q100" s="59"/>
    </row>
    <row r="101" spans="1:17" ht="60.75" customHeight="1">
      <c r="A101" s="63">
        <v>92</v>
      </c>
      <c r="B101" s="64" t="s">
        <v>77</v>
      </c>
      <c r="C101" s="76" t="s">
        <v>19</v>
      </c>
      <c r="D101" s="85" t="s">
        <v>17</v>
      </c>
      <c r="E101" s="65" t="s">
        <v>78</v>
      </c>
      <c r="F101" s="87" t="s">
        <v>115</v>
      </c>
      <c r="G101" s="64">
        <v>10</v>
      </c>
      <c r="H101" s="68">
        <v>52449</v>
      </c>
      <c r="I101" s="68">
        <f t="shared" si="1"/>
        <v>524490</v>
      </c>
      <c r="J101" s="69" t="s">
        <v>51</v>
      </c>
      <c r="K101" s="57">
        <v>10</v>
      </c>
      <c r="L101" s="58">
        <v>52449</v>
      </c>
      <c r="M101" s="56"/>
      <c r="N101" s="58">
        <f>Tabla2[[#This Row],[Columna1]]*Tabla2[[#This Row],[Columna2]]</f>
        <v>524490</v>
      </c>
    </row>
    <row r="102" spans="1:17" ht="60.75" customHeight="1">
      <c r="A102" s="63">
        <v>93</v>
      </c>
      <c r="B102" s="64" t="s">
        <v>215</v>
      </c>
      <c r="C102" s="65" t="s">
        <v>19</v>
      </c>
      <c r="D102" s="66" t="s">
        <v>17</v>
      </c>
      <c r="E102" s="65" t="s">
        <v>216</v>
      </c>
      <c r="F102" s="64" t="s">
        <v>20</v>
      </c>
      <c r="G102" s="64">
        <v>2</v>
      </c>
      <c r="H102" s="84">
        <v>41926</v>
      </c>
      <c r="I102" s="74">
        <f t="shared" si="1"/>
        <v>83852</v>
      </c>
      <c r="J102" s="69"/>
      <c r="K102" s="57">
        <v>2</v>
      </c>
      <c r="L102" s="58">
        <v>41926</v>
      </c>
      <c r="M102" s="56"/>
      <c r="N102" s="58">
        <f>Tabla2[[#This Row],[Columna1]]*Tabla2[[#This Row],[Columna2]]</f>
        <v>83852</v>
      </c>
      <c r="P102" s="59" t="s">
        <v>252</v>
      </c>
      <c r="Q102" s="59"/>
    </row>
    <row r="103" spans="1:17" ht="60.75" customHeight="1">
      <c r="A103" s="63">
        <v>94</v>
      </c>
      <c r="B103" s="76" t="s">
        <v>217</v>
      </c>
      <c r="C103" s="65" t="s">
        <v>19</v>
      </c>
      <c r="D103" s="66" t="s">
        <v>17</v>
      </c>
      <c r="E103" s="65" t="s">
        <v>218</v>
      </c>
      <c r="F103" s="64" t="s">
        <v>20</v>
      </c>
      <c r="G103" s="64">
        <v>1</v>
      </c>
      <c r="H103" s="74">
        <v>244553</v>
      </c>
      <c r="I103" s="74">
        <f t="shared" si="1"/>
        <v>244553</v>
      </c>
      <c r="J103" s="69" t="s">
        <v>219</v>
      </c>
      <c r="K103" s="57">
        <v>1</v>
      </c>
      <c r="L103" s="58">
        <v>244553</v>
      </c>
      <c r="M103" s="56"/>
      <c r="N103" s="58">
        <f>Tabla2[[#This Row],[Columna1]]*Tabla2[[#This Row],[Columna2]]</f>
        <v>244553</v>
      </c>
    </row>
    <row r="104" spans="1:17" ht="60.75" customHeight="1">
      <c r="A104" s="63">
        <v>95</v>
      </c>
      <c r="B104" s="77" t="s">
        <v>105</v>
      </c>
      <c r="C104" s="76" t="s">
        <v>19</v>
      </c>
      <c r="D104" s="85" t="s">
        <v>17</v>
      </c>
      <c r="E104" s="65" t="s">
        <v>106</v>
      </c>
      <c r="F104" s="64" t="s">
        <v>234</v>
      </c>
      <c r="G104" s="64">
        <v>10</v>
      </c>
      <c r="H104" s="88">
        <v>549824</v>
      </c>
      <c r="I104" s="68">
        <f t="shared" si="1"/>
        <v>5498240</v>
      </c>
      <c r="J104" s="69"/>
      <c r="K104" s="57">
        <v>10</v>
      </c>
      <c r="L104" s="58">
        <v>549824</v>
      </c>
      <c r="M104" s="56"/>
      <c r="N104" s="58">
        <f>Tabla2[[#This Row],[Columna1]]*Tabla2[[#This Row],[Columna2]]</f>
        <v>5498240</v>
      </c>
      <c r="P104" s="59" t="s">
        <v>253</v>
      </c>
      <c r="Q104" s="59"/>
    </row>
    <row r="105" spans="1:17" ht="60.75" customHeight="1">
      <c r="A105" s="63">
        <v>96</v>
      </c>
      <c r="B105" s="64" t="s">
        <v>160</v>
      </c>
      <c r="C105" s="65" t="s">
        <v>19</v>
      </c>
      <c r="D105" s="66" t="s">
        <v>17</v>
      </c>
      <c r="E105" s="65" t="s">
        <v>161</v>
      </c>
      <c r="F105" s="64" t="s">
        <v>20</v>
      </c>
      <c r="G105" s="64">
        <v>2</v>
      </c>
      <c r="H105" s="84">
        <v>128756</v>
      </c>
      <c r="I105" s="74">
        <f t="shared" si="1"/>
        <v>257512</v>
      </c>
      <c r="J105" s="69"/>
      <c r="K105" s="57">
        <v>2</v>
      </c>
      <c r="L105" s="58">
        <v>128756</v>
      </c>
      <c r="M105" s="56"/>
      <c r="N105" s="58">
        <f>Tabla2[[#This Row],[Columna1]]*Tabla2[[#This Row],[Columna2]]</f>
        <v>257512</v>
      </c>
      <c r="P105" s="59" t="s">
        <v>252</v>
      </c>
      <c r="Q105" s="59"/>
    </row>
    <row r="106" spans="1:17" ht="60.75" customHeight="1">
      <c r="A106" s="63">
        <v>97</v>
      </c>
      <c r="B106" s="63" t="s">
        <v>147</v>
      </c>
      <c r="C106" s="65" t="s">
        <v>19</v>
      </c>
      <c r="D106" s="66" t="s">
        <v>17</v>
      </c>
      <c r="E106" s="65" t="s">
        <v>148</v>
      </c>
      <c r="F106" s="64" t="s">
        <v>20</v>
      </c>
      <c r="G106" s="64">
        <v>1</v>
      </c>
      <c r="H106" s="74">
        <v>413062</v>
      </c>
      <c r="I106" s="68">
        <f t="shared" si="1"/>
        <v>413062</v>
      </c>
      <c r="J106" s="69"/>
      <c r="K106" s="57">
        <v>1</v>
      </c>
      <c r="L106" s="58">
        <v>413062</v>
      </c>
      <c r="M106" s="56"/>
      <c r="N106" s="58">
        <f>Tabla2[[#This Row],[Columna1]]*Tabla2[[#This Row],[Columna2]]</f>
        <v>413062</v>
      </c>
    </row>
    <row r="107" spans="1:17" s="26" customFormat="1" ht="60.75" customHeight="1">
      <c r="A107" s="63">
        <v>98</v>
      </c>
      <c r="B107" s="64" t="s">
        <v>231</v>
      </c>
      <c r="C107" s="65" t="str">
        <f>[1]Hoja1!B140166</f>
        <v>QUIMICOS</v>
      </c>
      <c r="D107" s="66" t="s">
        <v>17</v>
      </c>
      <c r="E107" s="89" t="s">
        <v>230</v>
      </c>
      <c r="F107" s="64" t="s">
        <v>20</v>
      </c>
      <c r="G107" s="64">
        <v>2</v>
      </c>
      <c r="H107" s="75">
        <v>80652</v>
      </c>
      <c r="I107" s="68">
        <f t="shared" ref="I107:I108" si="11">+H107*G107</f>
        <v>161304</v>
      </c>
      <c r="J107" s="64"/>
      <c r="K107" s="57">
        <v>2</v>
      </c>
      <c r="L107" s="58">
        <v>80652</v>
      </c>
      <c r="M107" s="56"/>
      <c r="N107" s="58">
        <f>Tabla2[[#This Row],[Columna1]]*Tabla2[[#This Row],[Columna2]]</f>
        <v>161304</v>
      </c>
    </row>
    <row r="108" spans="1:17" s="26" customFormat="1" ht="60.75" customHeight="1">
      <c r="A108" s="63">
        <v>99</v>
      </c>
      <c r="B108" s="64" t="s">
        <v>233</v>
      </c>
      <c r="C108" s="65" t="str">
        <f>[1]Hoja1!B140167</f>
        <v>QUIMICOS</v>
      </c>
      <c r="D108" s="66" t="s">
        <v>17</v>
      </c>
      <c r="E108" s="90" t="s">
        <v>232</v>
      </c>
      <c r="F108" s="64" t="s">
        <v>20</v>
      </c>
      <c r="G108" s="64">
        <v>2</v>
      </c>
      <c r="H108" s="75">
        <v>80652</v>
      </c>
      <c r="I108" s="68">
        <f t="shared" si="11"/>
        <v>161304</v>
      </c>
      <c r="J108" s="64"/>
      <c r="K108" s="57">
        <v>2</v>
      </c>
      <c r="L108" s="58">
        <v>80652</v>
      </c>
      <c r="M108" s="56"/>
      <c r="N108" s="58">
        <f>Tabla2[[#This Row],[Columna1]]*Tabla2[[#This Row],[Columna2]]</f>
        <v>161304</v>
      </c>
    </row>
    <row r="109" spans="1:17" ht="32.25" customHeight="1" thickBot="1">
      <c r="A109" s="27"/>
      <c r="B109" s="27"/>
      <c r="C109" s="27"/>
      <c r="D109" s="28"/>
      <c r="E109" s="29"/>
      <c r="F109" s="27"/>
      <c r="G109" s="27"/>
      <c r="H109" s="30"/>
      <c r="I109" s="8">
        <v>86519889.00000003</v>
      </c>
      <c r="J109" s="31"/>
      <c r="N109" s="54">
        <f>SUM(N10:N108)</f>
        <v>105079148.7</v>
      </c>
    </row>
    <row r="110" spans="1:17" ht="16.5" thickBot="1">
      <c r="A110" s="27"/>
      <c r="C110" s="32" t="s">
        <v>236</v>
      </c>
      <c r="J110" s="35"/>
    </row>
    <row r="111" spans="1:17" ht="45.75" customHeight="1">
      <c r="C111" s="36" t="s">
        <v>97</v>
      </c>
      <c r="D111" s="37"/>
      <c r="E111" s="37"/>
      <c r="F111" s="38"/>
    </row>
    <row r="112" spans="1:17" ht="37.5" customHeight="1">
      <c r="C112" s="39" t="s">
        <v>237</v>
      </c>
      <c r="D112" s="40"/>
      <c r="E112" s="40"/>
      <c r="F112" s="41"/>
    </row>
    <row r="113" spans="1:10" ht="31.5" customHeight="1">
      <c r="C113" s="39" t="s">
        <v>238</v>
      </c>
      <c r="D113" s="40"/>
      <c r="E113" s="40"/>
      <c r="F113" s="41"/>
    </row>
    <row r="114" spans="1:10" ht="26.25" customHeight="1">
      <c r="C114" s="39" t="s">
        <v>239</v>
      </c>
      <c r="D114" s="40"/>
      <c r="E114" s="40"/>
      <c r="F114" s="41"/>
    </row>
    <row r="115" spans="1:10">
      <c r="C115" s="42" t="s">
        <v>240</v>
      </c>
      <c r="D115" s="43"/>
      <c r="E115" s="43"/>
      <c r="F115" s="44"/>
    </row>
    <row r="116" spans="1:10" ht="30" customHeight="1">
      <c r="C116" s="45" t="s">
        <v>241</v>
      </c>
      <c r="D116" s="46"/>
      <c r="E116" s="46"/>
      <c r="F116" s="47"/>
    </row>
    <row r="117" spans="1:10" ht="24" customHeight="1">
      <c r="C117" s="45" t="s">
        <v>242</v>
      </c>
      <c r="D117" s="46"/>
      <c r="E117" s="46"/>
      <c r="F117" s="47"/>
    </row>
    <row r="118" spans="1:10">
      <c r="C118" s="48"/>
      <c r="D118" s="49"/>
      <c r="E118" s="49"/>
      <c r="F118" s="50"/>
    </row>
    <row r="119" spans="1:10">
      <c r="C119" s="45" t="s">
        <v>243</v>
      </c>
      <c r="D119" s="46"/>
      <c r="E119" s="46"/>
      <c r="F119" s="47"/>
    </row>
    <row r="120" spans="1:10" ht="16.5" thickBot="1">
      <c r="C120" s="51"/>
      <c r="D120" s="52"/>
      <c r="E120" s="52"/>
      <c r="F120" s="53"/>
      <c r="I120" s="6"/>
    </row>
    <row r="121" spans="1:10" ht="0.75" customHeight="1">
      <c r="I121" s="6"/>
    </row>
    <row r="122" spans="1:10" ht="0.75" customHeight="1">
      <c r="I122" s="6"/>
    </row>
    <row r="123" spans="1:10" ht="16.5" thickBot="1">
      <c r="I123" s="6"/>
    </row>
    <row r="124" spans="1:10">
      <c r="A124" s="2" t="s">
        <v>83</v>
      </c>
      <c r="B124" s="12"/>
      <c r="C124" s="3"/>
      <c r="D124" s="3"/>
      <c r="E124" s="3"/>
      <c r="F124" s="3"/>
      <c r="G124" s="3"/>
      <c r="H124" s="3"/>
      <c r="I124" s="13"/>
      <c r="J124" s="5"/>
    </row>
    <row r="125" spans="1:10">
      <c r="A125" s="4" t="s">
        <v>84</v>
      </c>
      <c r="B125" s="14"/>
      <c r="C125" s="5"/>
      <c r="D125" s="5"/>
      <c r="E125" s="5"/>
      <c r="F125" s="5"/>
      <c r="G125" s="5"/>
      <c r="H125" s="5"/>
      <c r="I125" s="9"/>
      <c r="J125" s="5"/>
    </row>
    <row r="126" spans="1:10">
      <c r="A126" s="4" t="s">
        <v>85</v>
      </c>
      <c r="B126" s="14"/>
      <c r="C126" s="5"/>
      <c r="D126" s="5"/>
      <c r="E126" s="5"/>
      <c r="F126" s="5"/>
      <c r="G126" s="5"/>
      <c r="H126" s="5"/>
      <c r="I126" s="9"/>
      <c r="J126" s="5"/>
    </row>
    <row r="127" spans="1:10">
      <c r="A127" s="4" t="s">
        <v>86</v>
      </c>
      <c r="B127" s="14"/>
      <c r="C127" s="5"/>
      <c r="D127" s="5"/>
      <c r="E127" s="5"/>
      <c r="F127" s="5"/>
      <c r="G127" s="5"/>
      <c r="H127" s="5"/>
      <c r="I127" s="33"/>
      <c r="J127" s="5"/>
    </row>
    <row r="128" spans="1:10">
      <c r="A128" s="4" t="s">
        <v>87</v>
      </c>
      <c r="B128" s="14"/>
      <c r="C128" s="5"/>
      <c r="D128" s="5"/>
      <c r="E128" s="5"/>
      <c r="F128" s="5"/>
      <c r="G128" s="5"/>
      <c r="H128" s="5"/>
      <c r="I128" s="33"/>
      <c r="J128" s="5"/>
    </row>
    <row r="129" spans="1:10" ht="16.5" thickBot="1">
      <c r="A129" s="10"/>
      <c r="B129" s="15"/>
      <c r="C129" s="11"/>
      <c r="D129" s="11"/>
      <c r="E129" s="11"/>
      <c r="F129" s="11"/>
      <c r="G129" s="11"/>
      <c r="H129" s="11"/>
      <c r="I129" s="34"/>
      <c r="J129" s="5"/>
    </row>
    <row r="130" spans="1:10" ht="0.75" customHeight="1" thickBot="1">
      <c r="A130" s="10"/>
      <c r="J130" s="5"/>
    </row>
  </sheetData>
  <mergeCells count="26">
    <mergeCell ref="P100:Q100"/>
    <mergeCell ref="P102:Q102"/>
    <mergeCell ref="P104:Q104"/>
    <mergeCell ref="P105:Q105"/>
    <mergeCell ref="P56:Q56"/>
    <mergeCell ref="P68:Q68"/>
    <mergeCell ref="P73:Q73"/>
    <mergeCell ref="P76:Q76"/>
    <mergeCell ref="P92:Q92"/>
    <mergeCell ref="C118:F118"/>
    <mergeCell ref="C119:F119"/>
    <mergeCell ref="C120:F120"/>
    <mergeCell ref="C113:F113"/>
    <mergeCell ref="C114:F114"/>
    <mergeCell ref="C115:F115"/>
    <mergeCell ref="C116:F116"/>
    <mergeCell ref="C117:F117"/>
    <mergeCell ref="C111:F111"/>
    <mergeCell ref="C112:F112"/>
    <mergeCell ref="A7:B7"/>
    <mergeCell ref="C2:F2"/>
    <mergeCell ref="A4:B4"/>
    <mergeCell ref="C4:E4"/>
    <mergeCell ref="A5:B5"/>
    <mergeCell ref="C5:E5"/>
    <mergeCell ref="A6:B6"/>
  </mergeCells>
  <phoneticPr fontId="8" type="noConversion"/>
  <pageMargins left="0.7" right="0.7" top="0.75" bottom="0.75" header="0.51180555555555496" footer="0.51180555555555496"/>
  <pageSetup paperSize="9" scale="39" firstPageNumber="0" fitToHeight="0" orientation="landscape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691AB-1BEF-4139-964B-C280CF89612A}">
  <dimension ref="A1:F14"/>
  <sheetViews>
    <sheetView tabSelected="1" workbookViewId="0">
      <selection activeCell="D13" sqref="D13"/>
    </sheetView>
  </sheetViews>
  <sheetFormatPr baseColWidth="10" defaultRowHeight="12.75"/>
  <cols>
    <col min="1" max="1" width="11.42578125" customWidth="1"/>
    <col min="2" max="2" width="15.7109375" customWidth="1"/>
    <col min="3" max="3" width="15.85546875" customWidth="1"/>
    <col min="4" max="4" width="15.42578125" bestFit="1" customWidth="1"/>
  </cols>
  <sheetData>
    <row r="1" spans="1:6">
      <c r="A1" s="92"/>
      <c r="B1" s="92"/>
      <c r="C1" s="92"/>
      <c r="D1" s="92"/>
      <c r="E1" s="92"/>
      <c r="F1" s="92"/>
    </row>
    <row r="2" spans="1:6">
      <c r="A2" s="92"/>
      <c r="B2" s="94" t="s">
        <v>255</v>
      </c>
      <c r="C2" s="94" t="s">
        <v>256</v>
      </c>
      <c r="D2" s="94" t="s">
        <v>259</v>
      </c>
      <c r="E2" s="92"/>
      <c r="F2" s="92"/>
    </row>
    <row r="3" spans="1:6" ht="18" customHeight="1">
      <c r="A3" s="95" t="s">
        <v>254</v>
      </c>
      <c r="B3" s="93" t="s">
        <v>257</v>
      </c>
      <c r="C3" s="93" t="s">
        <v>258</v>
      </c>
      <c r="D3" s="94">
        <v>26</v>
      </c>
      <c r="E3" s="92"/>
      <c r="F3" s="92"/>
    </row>
    <row r="4" spans="1:6">
      <c r="A4" s="92"/>
      <c r="B4" s="92"/>
      <c r="C4" s="92"/>
      <c r="D4" s="92"/>
      <c r="E4" s="92"/>
      <c r="F4" s="92"/>
    </row>
    <row r="5" spans="1:6">
      <c r="A5" s="92"/>
      <c r="B5" s="96">
        <v>90774605</v>
      </c>
      <c r="C5" s="96">
        <v>105079148.7</v>
      </c>
      <c r="D5" s="97">
        <f>C5-B5</f>
        <v>14304543.700000003</v>
      </c>
      <c r="E5" s="92"/>
      <c r="F5" s="92"/>
    </row>
    <row r="6" spans="1:6">
      <c r="A6" s="92"/>
      <c r="B6" s="92"/>
      <c r="C6" s="92"/>
      <c r="D6" s="92"/>
      <c r="E6" s="92"/>
      <c r="F6" s="92"/>
    </row>
    <row r="7" spans="1:6">
      <c r="A7" s="92"/>
      <c r="B7" s="92"/>
      <c r="C7" s="92"/>
      <c r="D7" s="92"/>
      <c r="E7" s="92"/>
      <c r="F7" s="92"/>
    </row>
    <row r="8" spans="1:6">
      <c r="A8" s="92"/>
      <c r="B8" s="92"/>
      <c r="C8" s="92"/>
      <c r="D8" s="92"/>
      <c r="E8" s="92"/>
      <c r="F8" s="92"/>
    </row>
    <row r="9" spans="1:6">
      <c r="A9" s="92"/>
      <c r="B9" s="92"/>
      <c r="C9" s="92"/>
      <c r="D9" s="92"/>
      <c r="E9" s="92"/>
      <c r="F9" s="92"/>
    </row>
    <row r="10" spans="1:6">
      <c r="A10" s="92"/>
      <c r="B10" s="92"/>
      <c r="C10" s="92"/>
      <c r="D10" s="92"/>
      <c r="E10" s="92"/>
      <c r="F10" s="92"/>
    </row>
    <row r="11" spans="1:6">
      <c r="A11" s="92"/>
      <c r="B11" s="92"/>
      <c r="C11" s="92"/>
      <c r="D11" s="92"/>
      <c r="E11" s="92"/>
      <c r="F11" s="92"/>
    </row>
    <row r="12" spans="1:6">
      <c r="A12" s="92"/>
      <c r="B12" s="92"/>
      <c r="C12" s="92"/>
      <c r="D12" s="92"/>
      <c r="E12" s="92"/>
      <c r="F12" s="92"/>
    </row>
    <row r="13" spans="1:6">
      <c r="A13" s="92"/>
      <c r="B13" s="92"/>
      <c r="C13" s="92"/>
      <c r="D13" s="92"/>
      <c r="E13" s="92"/>
      <c r="F13" s="92"/>
    </row>
    <row r="14" spans="1:6">
      <c r="A14" s="92"/>
      <c r="B14" s="92"/>
      <c r="C14" s="92"/>
      <c r="D14" s="92"/>
      <c r="E14" s="92"/>
      <c r="F14" s="9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Necesidades Trimestrales</vt:lpstr>
      <vt:lpstr>CANTIDADES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2024-11-11T20:32:32Z</cp:lastPrinted>
  <dcterms:created xsi:type="dcterms:W3CDTF">2023-05-29T16:04:32Z</dcterms:created>
  <dcterms:modified xsi:type="dcterms:W3CDTF">2025-10-06T15:19:06Z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