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MGJDH" sheetId="2" r:id="rId5"/>
    <sheet name="APG MGJDH" sheetId="3" r:id="rId6"/>
    <sheet name="Nota Pedido DA#HSJB" sheetId="4" r:id="rId7"/>
    <sheet name="APG DA#HSJB" sheetId="5" r:id="rId8"/>
  </sheets>
  <definedNames>
    <definedName name="_xlnm.Print_Area" localSheetId="1">'Nota Pedido MGJDH'!$A$1:$G$86</definedName>
    <definedName name="_xlnm.Print_Area" localSheetId="2">'APG MGJDH'!$A$1:$Q$26</definedName>
    <definedName name="_xlnm.Print_Area" localSheetId="3">'Nota Pedido DA#HSJB'!$A$1:$G$72</definedName>
    <definedName name="_xlnm.Print_Area" localSheetId="4">'APG DA#HSJB'!$A$1:$Q$25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<sst xmlns="http://schemas.openxmlformats.org/spreadsheetml/2006/main" uniqueCount="297">
  <si>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</si>
  <si>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</si>
  <si>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</si>
  <si>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</si>
  <si>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</si>
  <si>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</si>
  <si>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</si>
  <si>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</si>
  <si>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</si>
  <si>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</si>
  <si>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</si>
  <si>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</si>
  <si>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</si>
  <si>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</si>
  <si>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</si>
  <si>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</si>
  <si>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</si>
  <si>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</si>
  <si>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2.3.1-6590.432</t>
  </si>
  <si>
    <t>LIBRERIA,PAP. Y UTILES OFICINA</t>
  </si>
  <si>
    <t>2.3.1</t>
  </si>
  <si>
    <t>SOBRES DE PAPEL; TIPO: P/DISCO COMPACTO, TAMAÑO: 12,7 X 12,7 CM, GRAMAJE: 80 GR/M2, PRESENTACION: UNIDAD, CERTIFICADO FORESTAL (GFS): SIN</t>
  </si>
  <si>
    <t>UINIDAD</t>
  </si>
  <si>
    <t>2.9.2-1611.10</t>
  </si>
  <si>
    <t>2.9.2</t>
  </si>
  <si>
    <t>FOLIOS TRANSPARENTES; TAMAÑO: A-4, PERFORACIONES: 5, MATERIAL: POLIPROPILENO</t>
  </si>
  <si>
    <t>UNIDAD</t>
  </si>
  <si>
    <t>2.9.2-1611.11</t>
  </si>
  <si>
    <t>FOLIOS TRANSPARENTES; TAMAÑO: OFICIO, PERFORACIONES: 5, MATERIAL: POLIPROPILENO</t>
  </si>
  <si>
    <t>2.3.1-6590.502</t>
  </si>
  <si>
    <t>SOBRES DE PAPEL; TIPO: BOLSA, TAMAÑO: 19 X 24 CM, GRAMAJE: 80 GR/CM2, PRESENTACION: UNIDAD, CERTIFICADO FORESTAL (GFS): CON, PORC. FIBRAS RECICLADAS: 0 %</t>
  </si>
  <si>
    <t>2.9.2-1611.22</t>
  </si>
  <si>
    <t>FOLIOS TRANSPARENTES; TAMAÑO: OFICIO, PERFORACIONES: 11, MATERIAL: POLIPROPILENO</t>
  </si>
  <si>
    <t>2.9.2-1611.23</t>
  </si>
  <si>
    <t>FOLIOS TRANSPARENTES; TAMAÑO: A4, PERFORACIONES: 11, MATERIAL: POLIPROPILENO</t>
  </si>
  <si>
    <t>2.3.1-6590.465</t>
  </si>
  <si>
    <t>SOBRES DE PAPEL; TIPO: BOLSA MANILA, TAMAÑO: 30 X 40 CM, GRAMAJE: 90 GR/M2, PRESENTACION: UNIDAD, CERTIFICADO FORESTAL (GFS): SIN, PORC. FIBRAS RECICLADAS: 0 %</t>
  </si>
  <si>
    <t>UINDAD</t>
  </si>
  <si>
    <t>2.9.2-848.20</t>
  </si>
  <si>
    <t>LAPIZ; TIPO: 2HB, COLOR: NEGRO</t>
  </si>
  <si>
    <t>2.3.1-6590.556</t>
  </si>
  <si>
    <t>SOBRES DE PAPEL; TIPO: MANILA, TAMAÑO: A4, GRAMAJE: 80 GR, PRESENTACION: UNIDAD, CERTIFICADO FORESTAL (GFS): SIN, PORC. FIBRAS RECICLADAS: 0 %, CERT. FIBRA ALTERNATIVA (FCA): SIN</t>
  </si>
  <si>
    <t xml:space="preserve">Color Marron. - </t>
  </si>
  <si>
    <t>2.9.2-848.5</t>
  </si>
  <si>
    <t>LAPIZ; TIPO: COMUN NRO 2, COLOR: NEGRO</t>
  </si>
  <si>
    <t>2.9.2-8819.1</t>
  </si>
  <si>
    <t>INFORMATICA</t>
  </si>
  <si>
    <t>DISCO VERSATIL DIGITAL (DVD) ; CAPACIDAD: 4,7 GB, TIPO: GRABABLE</t>
  </si>
  <si>
    <t>2.3.1-6563.814</t>
  </si>
  <si>
    <t>PAPELES EN HOJA; TIPO DE PAPEL: CARTULINA, DIMENSION: 63 X 44,5 CM, GRAMAJE: 125, PRESENTACION: UNIDAD, CERTIFICADO FORESTAL (GFS): CON</t>
  </si>
  <si>
    <t xml:space="preserve">CARTULINA - COLOR AMARILLO - </t>
  </si>
  <si>
    <t>2.3.1-6590.555</t>
  </si>
  <si>
    <t>SOBRES DE PAPEL; TIPO: MANILA, TAMAÑO: OFICIO, GRAMAJE: 80 GR, PRESENTACION: UNIDAD, CERTIFICADO FORESTAL (GFS): SIN, PORC. FIBRAS RECICLADAS: 0 %, CERT. FIBRA ALTERNATIVA (FCA): SIN</t>
  </si>
  <si>
    <t xml:space="preserve">Color Marron.  - </t>
  </si>
  <si>
    <t>2.9.2-1620.1</t>
  </si>
  <si>
    <t>DISCO COMPACTO; TIPO: VIRGEN, CAPACIDAD: 700 MB</t>
  </si>
  <si>
    <t>2.9.2-1354.21</t>
  </si>
  <si>
    <t>RESALTADORES; PUNTA: BISELADA, ACCESORIO: SIN, COLOR: SIN VALOR, TIPO PUNTA: BISELADA</t>
  </si>
  <si>
    <t xml:space="preserve">RESALTADORES PUNTA BISELADA - COLOR AMARILLO - </t>
  </si>
  <si>
    <t xml:space="preserve">RESALTADORES PUNTA BISELADA - COLO ANARANJADO - </t>
  </si>
  <si>
    <t>2.9.2-4984.6</t>
  </si>
  <si>
    <t>LAPICERAS ESTILOGRAFICAS; TIPO: TRAZO GRUESO, MATERIAL: PLASTICO Y METAL , RECARGABLE: NO</t>
  </si>
  <si>
    <t>unidad</t>
  </si>
  <si>
    <t xml:space="preserve">LAPICERAS ESTILOGRAFICAS TRAZO GRUESO - COLOR AZUL - TIPO BIC - </t>
  </si>
  <si>
    <t xml:space="preserve">LAPICERAS ESTILOGRAFICAS TRAZO GRUESO - COLOR NEGRO - TIPO BIC - </t>
  </si>
  <si>
    <t>2.9.2-1153.52</t>
  </si>
  <si>
    <t>CINTAS ADHESIVAS; TIPO: TRANSPARENTE, ANCHO: 12 MM, LARGO ROLLO: 25 M, MATERIAL: POLIPROPILENO, ACCESORIO: SIN, LARGO: 25 M</t>
  </si>
  <si>
    <t>2.9.2-660.1</t>
  </si>
  <si>
    <t>CLIPS P/PAPEL; NUMERO: 3, MATERIAL: METAL, CANT. X CAJA: 100, PRESENTACION: CAJA X 100</t>
  </si>
  <si>
    <t>2.9.2-1358.354</t>
  </si>
  <si>
    <t>CARPETAS; MATERIAL PLASTICO - TAMAÑO OFICIO.</t>
  </si>
  <si>
    <t xml:space="preserve">Tapa transparente, tamaño oficio.. - </t>
  </si>
  <si>
    <t>2.9.2-1358.353</t>
  </si>
  <si>
    <t>CARPETAS; MATERIAL PLASTICO - TAMAÑO A4.</t>
  </si>
  <si>
    <t xml:space="preserve">Tapa transparente, tamaño A4. - </t>
  </si>
  <si>
    <t>2.9.2-317.32</t>
  </si>
  <si>
    <t>BOLIGRAFOS; TRAZO: 0,8 MM</t>
  </si>
  <si>
    <t xml:space="preserve">BOLIGRAFOS; TRAZO: 0,8 mm (FINO) Color: Negro  - </t>
  </si>
  <si>
    <t xml:space="preserve">BOLIGRAFOS; TRAZO: 0,8 mm (FINO) Color: Azul  - </t>
  </si>
  <si>
    <t>2.9.2-317.5</t>
  </si>
  <si>
    <t>BOLIGRAFOS; TRAZO 1,0MM</t>
  </si>
  <si>
    <t xml:space="preserve">BOLIGRAFOS; TRAZO 1,0mm  (GRUESO)  Color: Negro  - </t>
  </si>
  <si>
    <t xml:space="preserve">BOLIGRAFOS; TRAZO 1,0mm  (GRUESO)  Color: Azul.  - </t>
  </si>
  <si>
    <t>2.9.2-674.9</t>
  </si>
  <si>
    <t>REGLAS GRADUADAS; TIPO: PLANA, MATERIAL: PLASTICO, LONG.DE CUERPO: 30 CM</t>
  </si>
  <si>
    <t xml:space="preserve">Transparente. - </t>
  </si>
  <si>
    <t>2.9.2-323.3</t>
  </si>
  <si>
    <t>CORRECTORES DE ESCRITURA; ENVASE: LAPIZ (PUNTA METAL), PRESENTACION: LAPIZ (PUNTA METAL) X 10 ML, CAPACIDAD: 10 ML</t>
  </si>
  <si>
    <t xml:space="preserve">RESALTADORES;  TIPO PUNTA:  BISELADA COLOR: Amarillo Fluor (40 Und.) Verde Fluor (40 Und.)  - </t>
  </si>
  <si>
    <t>2.9.2-1616.80</t>
  </si>
  <si>
    <t>MARCADORES; TIPO AL AGUA - TRAZO GRUESO - PUNTA REDONDA - RECARGABLE NO</t>
  </si>
  <si>
    <t xml:space="preserve">MARCADORES AL AGUA - COLOR ROJO - </t>
  </si>
  <si>
    <t xml:space="preserve">MARCADORES AL AGUA - COLOR NEGRO - </t>
  </si>
  <si>
    <t>2.9.2-2766.3</t>
  </si>
  <si>
    <t>CARPETAS P/ENCUADERNACION; TAMAÑO: A4, ESPESOR: 9 MM, MATERIAL LOMO: ACERO, PEGAMENTO: CON, TAPA: TRANSPARENTE</t>
  </si>
  <si>
    <t xml:space="preserve">CARPETA TRANSPARENTE BASE OPACA - </t>
  </si>
  <si>
    <t>2.9.2-262.40</t>
  </si>
  <si>
    <t>ADHESIVOS P/PAPEL; PRESENTACION: 50 ML, TIPO: SINTETICO TRANSPARENTE</t>
  </si>
  <si>
    <t>2.9.2-660.20</t>
  </si>
  <si>
    <t>CLIPS P/PAPEL; NUMERO: 6, MATERIAL: METAL, CANT. X CAJA: 100, PRESENTACION: CAJA X 100</t>
  </si>
  <si>
    <t>2.9.2-791.31</t>
  </si>
  <si>
    <t>TALONARIOS NOTAS AUTOADHESIVAS; COLOR: SIN VALOR, MEDIDA: 75 X 75 MM</t>
  </si>
  <si>
    <t xml:space="preserve">TALONARIOS NOTAS AUTOADHESIVAS X 100 HOJAS  MEDIDA: 75 X 75 mm  COLOR: AMARILLO  - </t>
  </si>
  <si>
    <t>2.9.2-1616.74</t>
  </si>
  <si>
    <t>MARCADORES; TIPO: AL SOLVENTE, TRAZO: GRUESO, PUNTA: REDONDA, COLOR: NEGRO, RECARGABLE: NO</t>
  </si>
  <si>
    <t xml:space="preserve">Color: Negro - </t>
  </si>
  <si>
    <t>2.9.2-1616.69</t>
  </si>
  <si>
    <t>MARCADORES; TIPO: AL SOLVENTE, TRAZO: GRUESO, PUNTA: REDONDA, COLOR: AZUL, RECARGABLE: SI</t>
  </si>
  <si>
    <t xml:space="preserve">Color: Azul - </t>
  </si>
  <si>
    <t>2.9.2-2766.11</t>
  </si>
  <si>
    <t>CARPETAS P/ENCUADERNACION; TAMAÑO: OFICIO, ESPESOR: 9 MM, MATERIAL LOMO: PLASTICO TRANPARENTE, PEGAMENTO: SIN, TAPA: TRANSPARENTE</t>
  </si>
  <si>
    <t>2.9.2-660.13</t>
  </si>
  <si>
    <t>CLIPS P/PAPEL; NUMERO: 5, CANT. X CAJA: 100, MATERIAL: METAL, PRESENTACION: CAJA X 100</t>
  </si>
  <si>
    <t>CAJA</t>
  </si>
  <si>
    <t>2.9.2-323.4</t>
  </si>
  <si>
    <t>CORRECTORES DE ESCRITURA; CAPACIDAD: 7 ML, ENVASE: LAPIZ (PUNTA METAL), PRESENTACION: LAPIZ (PUNTA METAL) X 7 ML</t>
  </si>
  <si>
    <t>2.9.2-700.28</t>
  </si>
  <si>
    <t>BROCHES P/ABROCHADORA; NUMERO: 10/50, PRESENTACION: CAJA X 1000 UNIDADES</t>
  </si>
  <si>
    <t>CAJAS</t>
  </si>
  <si>
    <t>2.9.2-850.22</t>
  </si>
  <si>
    <t>CAJAS DE ARCHIVO; MATERIAL: CARTON, DIMENSION: 25 X 36 X 12 CM, COLOR: MARRON</t>
  </si>
  <si>
    <t>2.9.2-698.4</t>
  </si>
  <si>
    <t>ALMOHADILLAS MOJADEDOS; MATERIAL TAPA: PLASTICO, MEDIDA: D.7.5 CM, FORMA: REDONDA</t>
  </si>
  <si>
    <t>2.9.2-1616.137</t>
  </si>
  <si>
    <t>MARCADORES; TIPO: INDELEBLE, TRAZO: GRUESO, PUNTA: REDONDA, COLOR: NEGRO, RECARGABLE: NO</t>
  </si>
  <si>
    <t>2.9.2-674.42</t>
  </si>
  <si>
    <t>REGLAS GRADUADAS; TIPO: L, MATERIAL: PLASTICO, LONG.DE CUERPO: 40 CM</t>
  </si>
  <si>
    <t>2.9.2-262.4</t>
  </si>
  <si>
    <t>ADHESIVOS P/PAPEL; PRESENTACION: 250 GR, TIPO: COLA VINILICA</t>
  </si>
  <si>
    <t>2.9.2-700.2</t>
  </si>
  <si>
    <t>BROCHES P/ABROCHADORA; NUMERO: 21/6, PRESENTACION: CAJA X 1000 UNIDADES</t>
  </si>
  <si>
    <t>2.3.4-734.54</t>
  </si>
  <si>
    <t>2.3.4</t>
  </si>
  <si>
    <t>CINTAS P/EMBALAJE; MATERIAL: POLIPROPILENO, USO: GENERAL, ANCHO: 48 CM, LARGO: 50 M, COLOR: TRANSPARENTE</t>
  </si>
  <si>
    <t>2.9.2-790.4</t>
  </si>
  <si>
    <t>CUTER; MATERIAL MANGO: PLASTICO, ANCHO HOJA: 12 MM, TIPO DE HOJA: FIJA, TIPO HOJA: FIJA, ANCHO DE HOJA: 12 MM</t>
  </si>
  <si>
    <t>2.9.2-1153.166</t>
  </si>
  <si>
    <t>CINTAS ADHESIVAS; TIPO: P/EMBALAR, ANCHO: 48 MM, LARGO: 40 M, MATERIAL: TRANSPARENTE, ACCESORIO: SIN</t>
  </si>
  <si>
    <t>2.9.2-758.8</t>
  </si>
  <si>
    <t>TIJERAS P/CORTAR PAPELES; CUCHILLA: PUNTIAGUDAS, MATERIAL: ACERO BRUÑIDO, MANGO: PLASTICO, LONG.DE CUERPO: 17 CM</t>
  </si>
  <si>
    <t>2.9.2-1616.128</t>
  </si>
  <si>
    <t>MARCADORES; TIPO PARA PIZARRA - TRAZO GRUESO - PUNTA REDONDA - RECARGABLE NO</t>
  </si>
  <si>
    <t xml:space="preserve">MARCADORES; TIPO PARA PIZARRA - TRAZO GRUESO - PUNTA REDONDA - RECARGABLE NO  COLOR: NEGRO - </t>
  </si>
  <si>
    <t>2.9.2-853.24</t>
  </si>
  <si>
    <t>BROCHES P/EXPEDIENTE; TIPO: MARIPOSA, LONG.DE CUERPO: 30 MM</t>
  </si>
  <si>
    <t xml:space="preserve">Cantidad: x 100 unidades. - </t>
  </si>
  <si>
    <t>2.9.2-866.4</t>
  </si>
  <si>
    <t>MAQUINAS SACABROCHES; EXTRACTOR: ACERO INOXIDABLE, MATERIAL: PLASTICO</t>
  </si>
  <si>
    <t>2.9.2-1450.30</t>
  </si>
  <si>
    <t>TINTAS P/SELLOS; TIPO DE SELLO: DE GOMA, ENVASE: 60 CM3, COLOR: AZUL, PRESENTACION: ENVASE X 60 CM3</t>
  </si>
  <si>
    <t>2.9.2-1450.4</t>
  </si>
  <si>
    <t>TINTAS P/SELLOS; TIPO DE SELLO: DE GOMA, COLOR: NEGRO, PRESENTACION: ENVASE X 50 CM3, ENVASE: 50 CM3</t>
  </si>
  <si>
    <t>2.9.2-853.22</t>
  </si>
  <si>
    <t>BROCHES P/EXPEDIENTE; TIPO: NEPACO, LONG.DE CUERPO: 8 CM</t>
  </si>
  <si>
    <t>caja</t>
  </si>
  <si>
    <t xml:space="preserve">BROCHES DE PLÁSTICO DE 8 CM - PRESENTACION: CAJA X 50 UNIDADES  - </t>
  </si>
  <si>
    <t>2.9.2-758.14</t>
  </si>
  <si>
    <t>TIJERAS P/CORTAR PAPELES; LONG.DE CUERPO: 20 CM, MATERIAL: ACERO INOXIDABLE, CUCHILLA: REDONDEADAS, MANGO: SIN VALOR</t>
  </si>
  <si>
    <t>2.9.2-291.19</t>
  </si>
  <si>
    <t>ALMOHADILLAS P/SELLOS; MEDIDA: 8 X 15 CM, MATERIAL: METAL</t>
  </si>
  <si>
    <t>2.9.2-1358.359</t>
  </si>
  <si>
    <t>CARPETAS; MATERIAL: FIBRA, TAMAÑO: OFICIO</t>
  </si>
  <si>
    <t>2.3.1-6587.298</t>
  </si>
  <si>
    <t>PAPELES ENCUADERNADOS; CANT. DE HOJAS: 100, TAMAÑO: 21 X 16 CM, TIPO: CUADERNO, CERTIFICADO FORESTAL (GFS): CON, PORC. FIBRAS RECICLADAS: 0 %, CERT. FIBRA ALTERNATIVA (FCA): SIN</t>
  </si>
  <si>
    <t xml:space="preserve">CUADERNO X 100 HOJAS RAYADAS TAPA DURA - </t>
  </si>
  <si>
    <t>2.3.1-928.8</t>
  </si>
  <si>
    <t>ARANDELAS DE CARTON; DIAMETRO: 1 PULG, PRESENTACION: CAJA X 500 UNIDADES</t>
  </si>
  <si>
    <t>2.9.2-850.3</t>
  </si>
  <si>
    <t>CAJAS DE ARCHIVO; DIMENSION: 25 X 36 X 12 CM, COLOR: SIN VALOR, MATERIAL: PLASTICO</t>
  </si>
  <si>
    <t xml:space="preserve">Color Azul. - </t>
  </si>
  <si>
    <t>2.3.1-6587.333</t>
  </si>
  <si>
    <t>PAPELES ENCUADERNADOS; CANT. DE HOJAS: 84 HOJAS, TAMAÑO: 21 X 29,7 CM, TIPO: RAYADO ESPIRALADO, CERTIFICADO FORESTAL (GFS): CON, PORC. FIBRAS RECICLADAS: 0 %, CERT. FIBRA ALTERNATIVA (FCA): SIN</t>
  </si>
  <si>
    <t xml:space="preserve">Tapa dura, rayado, espiralado. - </t>
  </si>
  <si>
    <t>2.9.2-274.11</t>
  </si>
  <si>
    <t>BIBLIORATOS; LOMO: CARTON, COLOR: GRIS, ANCHO: 85 MM, ANILLO: 2 Y PALANCA, TAMAÑO: OFICIO, TAPAS: CARTON, MATERIAL: CARTON</t>
  </si>
  <si>
    <t>2.9.2-661.11</t>
  </si>
  <si>
    <t>GOMAS DE BORRAR; USO: LAPIZ Y TINTA, CANT. X CAJA: 36, DIMENSION: 4 X 1 X 1 CM, MATERIAL: PLASTICO, PRESENTACION: CAJA X 36</t>
  </si>
  <si>
    <t xml:space="preserve">GOMAS DE BORRAR; USO: LAPIZ Y TINTA, CANT. X CAJA: 36 - </t>
  </si>
  <si>
    <t xml:space="preserve">Tapa blanda, rayado. - 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</si>
  <si>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</si>
  <si>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</si>
  <si>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RESMA</t>
  </si>
  <si>
    <t xml:space="preserve">RESMA DE PAPEL A4 HOJAS BLANCAS - 80 GRS - RESMA X 500 HOJAS - </t>
  </si>
  <si>
    <t>2.3.1-6587.371</t>
  </si>
  <si>
    <t>PAPELES ENCUADERNADOS; CANT. DE HOJAS: SEGUN PLIEGO, TAMAÑO: SEGUN PLIEGO, TIPO: LIBRO DE RECIBOS, CERTIFICADO FORESTAL (GFS): SIN, PORC. FIBRAS RECICLADAS: 0 %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</si>
  <si>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</si>
  <si>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</si>
  <si>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2.3.1-6587.139</t>
  </si>
  <si>
    <t>PAPELES ENCUADERNADOS; CANT. DE HOJAS: 100, TAMAÑO: 23 X 35 CM, TIPO: LIBRO DE ACTAS</t>
  </si>
  <si>
    <t>ENVASE</t>
  </si>
  <si>
    <t xml:space="preserve">RESMA DE PAPEL OFICIO HOJAS BLANCAS - 80 GRS - RESMA X 500 HOJAS - 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</si>
  <si>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</si>
  <si>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</si>
  <si>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</si>
  <si>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</si>
  <si>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2.9.2-9597.5</t>
  </si>
  <si>
    <t>MEMORIAS USB; CAPACIDAD: 32 GB, TIPO: PEN DRIVE</t>
  </si>
  <si>
    <t>2.9.2-858.16</t>
  </si>
  <si>
    <t>PERFORADORAS; TAMAÑO: MEDIANA, N° PERFORACIONES: 2, DIST. ENTRE AGUJ.: SIN VALOR, GUIA POSICION PAPEL: SIN VALOR, MATERIAL ESTRUCTURA: MADERA, MATERIAL: MADERA</t>
  </si>
  <si>
    <t>2.9.2-1428.31</t>
  </si>
  <si>
    <t>BANDAS ELASTICAS; DIAMETRO: 5 CM, PRESENTACION: CAJA DE 1 KG, ESPESOR: 2 MM</t>
  </si>
  <si>
    <t>2.9.2-261.14</t>
  </si>
  <si>
    <t>ABROCHADORAS DE PAPEL; TIPO: PINZA, P/BROCHES: 10/50, MATERIAL: METALICA, MEDIDA: 10/50</t>
  </si>
  <si>
    <t>TRES MILLONES QUINIENTOS SETENTA Y UNO MIL CUATROCIENTOS CUARENTA Y CUATRO CON 40/100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</si>
  <si>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</si>
  <si>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</si>
  <si>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</si>
  <si>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</si>
  <si>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</si>
  <si>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</si>
  <si>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</si>
  <si>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</si>
  <si>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</si>
  <si>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</si>
  <si>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</si>
  <si>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522 / 2022</t>
  </si>
  <si>
    <t xml:space="preserve">JURISDICCIÓN: </t>
  </si>
  <si>
    <t>SAF:</t>
  </si>
  <si>
    <t>UNIDAD EJECUTORA:</t>
  </si>
  <si>
    <t>SAF 6 - MINISTERIO DE GOBIERNO, JUSTICIA Y DERECHOS HUMANOS</t>
  </si>
  <si>
    <t xml:space="preserve">DEPENDENCIA SOLICITANTE: </t>
  </si>
  <si>
    <t>PERIODO UTILIZACIÓN:</t>
  </si>
  <si>
    <t>4° TRIMESTRE - 2022</t>
  </si>
  <si>
    <t>OBJETO:</t>
  </si>
  <si>
    <t>292 - UTILES DE ESCRITORIO, OFICINA Y ENSEÑANZA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</si>
  <si>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</si>
  <si>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</si>
  <si>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</si>
  <si>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</si>
  <si>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</si>
  <si>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</si>
  <si>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</si>
  <si>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</si>
  <si>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SÍ</t>
  </si>
  <si>
    <t xml:space="preserve">Costo total estimado: </t>
  </si>
  <si>
    <t>UN MILLON SEISCIENTOS MIL SETECIENTOS CON 00/100 PESOS</t>
  </si>
  <si>
    <t>DETALLE TECNICO</t>
  </si>
  <si>
    <t>ITEM 8</t>
  </si>
  <si>
    <t>ITEM 15</t>
  </si>
  <si>
    <t>ITEM 16</t>
  </si>
  <si>
    <t>ITEM 19</t>
  </si>
  <si>
    <t>ITEM 20</t>
  </si>
  <si>
    <t>ITEM 27</t>
  </si>
  <si>
    <t>ITEM 28</t>
  </si>
  <si>
    <t>ITEM 29</t>
  </si>
  <si>
    <t>ITEM 30</t>
  </si>
  <si>
    <t>ITEM 31</t>
  </si>
  <si>
    <t>ITEM 32</t>
  </si>
  <si>
    <t>ITEM 34</t>
  </si>
  <si>
    <t>ITEM 35</t>
  </si>
  <si>
    <t>ITEM 36</t>
  </si>
  <si>
    <t>ITEM 37</t>
  </si>
  <si>
    <t>ITEM 38</t>
  </si>
  <si>
    <t>ITEM 43</t>
  </si>
  <si>
    <t>ITEM 44</t>
  </si>
  <si>
    <t>ITEM 45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</si>
  <si>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</si>
  <si>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</si>
  <si>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</si>
  <si>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</si>
  <si>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522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</si>
  <si>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</si>
  <si>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</si>
  <si>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</si>
  <si>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</si>
  <si>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</si>
  <si>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</si>
  <si>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</si>
  <si>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</si>
  <si>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</si>
  <si>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</si>
  <si>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</si>
  <si>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</si>
  <si>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</si>
  <si>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</si>
  <si>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</si>
  <si>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</si>
  <si>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</si>
  <si>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PAPEL DE ESCRITORIO Y CARTÓN</t>
  </si>
  <si>
    <t>PRODUCTOS DE PAPEL Y CARTÓN</t>
  </si>
  <si>
    <t>UTILES DE ESCRITORIO, OFICINA Y ENSEÑANZA</t>
  </si>
  <si>
    <t xml:space="preserve">TOTAL DE PESOS: </t>
  </si>
  <si>
    <t>JUSTIFICACIÓN:</t>
  </si>
  <si>
    <t>OBSERVACIONES:</t>
  </si>
  <si>
    <t>535 / 2022</t>
  </si>
  <si>
    <t>SAF 23 - HOSPITAL INTERZONAL SAN JUAN BAUTISTA</t>
  </si>
  <si>
    <t>UN MILLON NOVECIENTOS SETENTA Y CINCO MIL DOSCIENTOS SESENTA Y CUATRO CON 40/100 PESOS</t>
  </si>
  <si>
    <t>ITEM 2</t>
  </si>
  <si>
    <t>ITEM 5</t>
  </si>
  <si>
    <t>ITEM 6</t>
  </si>
  <si>
    <t>ITEM 9</t>
  </si>
  <si>
    <t>ITEM 17</t>
  </si>
  <si>
    <t>ITEM 18</t>
  </si>
  <si>
    <t>ITEM 21</t>
  </si>
  <si>
    <t>ITEM 24</t>
  </si>
  <si>
    <t>ITEM 25</t>
  </si>
  <si>
    <t xml:space="preserve"> Autorizo la realización de los  trámites correspondientes, a fin de proveer a  este Organismo los bienes y/o servicios que se detallan en Nota  de Pedido N° 535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</si>
</sst>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1"/>
  <sheetViews>
    <sheetView tabSelected="1" workbookViewId="0" showGridLines="true" showRowColHeaders="1">
      <selection activeCell="I91" sqref="I91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3000</v>
      </c>
      <c r="H10" s="82">
        <v>8.0</v>
      </c>
      <c r="I10" s="82">
        <v>24000.0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24</v>
      </c>
      <c r="E11" s="80" t="s">
        <v>25</v>
      </c>
      <c r="F11" s="81" t="s">
        <v>26</v>
      </c>
      <c r="G11" s="81">
        <v>300</v>
      </c>
      <c r="H11" s="82">
        <v>8.2</v>
      </c>
      <c r="I11" s="82">
        <v>2460.0</v>
      </c>
      <c r="J11" s="80"/>
    </row>
    <row r="12" spans="1:10" customHeight="1" ht="20.25">
      <c r="A12" s="79">
        <v>3</v>
      </c>
      <c r="B12" s="80" t="s">
        <v>27</v>
      </c>
      <c r="C12" s="80" t="s">
        <v>19</v>
      </c>
      <c r="D12" s="79" t="s">
        <v>24</v>
      </c>
      <c r="E12" s="80" t="s">
        <v>28</v>
      </c>
      <c r="F12" s="81" t="s">
        <v>26</v>
      </c>
      <c r="G12" s="81">
        <v>300</v>
      </c>
      <c r="H12" s="82">
        <v>9.5</v>
      </c>
      <c r="I12" s="82">
        <v>2850.0</v>
      </c>
      <c r="J12" s="80"/>
    </row>
    <row r="13" spans="1:10" customHeight="1" ht="20.25">
      <c r="A13" s="79">
        <v>4</v>
      </c>
      <c r="B13" s="80" t="s">
        <v>29</v>
      </c>
      <c r="C13" s="80" t="s">
        <v>19</v>
      </c>
      <c r="D13" s="79" t="s">
        <v>20</v>
      </c>
      <c r="E13" s="80" t="s">
        <v>30</v>
      </c>
      <c r="F13" s="81" t="s">
        <v>26</v>
      </c>
      <c r="G13" s="81">
        <v>1200</v>
      </c>
      <c r="H13" s="82">
        <v>10.2</v>
      </c>
      <c r="I13" s="82">
        <v>12240.0</v>
      </c>
      <c r="J13" s="80"/>
    </row>
    <row r="14" spans="1:10" customHeight="1" ht="20.25">
      <c r="A14" s="79">
        <v>5</v>
      </c>
      <c r="B14" s="80" t="s">
        <v>31</v>
      </c>
      <c r="C14" s="80" t="s">
        <v>19</v>
      </c>
      <c r="D14" s="79" t="s">
        <v>24</v>
      </c>
      <c r="E14" s="80" t="s">
        <v>32</v>
      </c>
      <c r="F14" s="81" t="s">
        <v>26</v>
      </c>
      <c r="G14" s="81">
        <v>500</v>
      </c>
      <c r="H14" s="82">
        <v>15.0</v>
      </c>
      <c r="I14" s="82">
        <v>7500.0</v>
      </c>
      <c r="J14" s="80"/>
    </row>
    <row r="15" spans="1:10" customHeight="1" ht="20.25">
      <c r="A15" s="79">
        <v>6</v>
      </c>
      <c r="B15" s="80" t="s">
        <v>33</v>
      </c>
      <c r="C15" s="80" t="s">
        <v>19</v>
      </c>
      <c r="D15" s="79" t="s">
        <v>24</v>
      </c>
      <c r="E15" s="80" t="s">
        <v>34</v>
      </c>
      <c r="F15" s="81" t="s">
        <v>26</v>
      </c>
      <c r="G15" s="81">
        <v>200</v>
      </c>
      <c r="H15" s="82">
        <v>15.0</v>
      </c>
      <c r="I15" s="82">
        <v>3000.0</v>
      </c>
      <c r="J15" s="80"/>
    </row>
    <row r="16" spans="1:10" customHeight="1" ht="20.25">
      <c r="A16" s="79">
        <v>7</v>
      </c>
      <c r="B16" s="80" t="s">
        <v>35</v>
      </c>
      <c r="C16" s="80" t="s">
        <v>19</v>
      </c>
      <c r="D16" s="79" t="s">
        <v>20</v>
      </c>
      <c r="E16" s="80" t="s">
        <v>36</v>
      </c>
      <c r="F16" s="81" t="s">
        <v>37</v>
      </c>
      <c r="G16" s="81">
        <v>800</v>
      </c>
      <c r="H16" s="82">
        <v>21.08</v>
      </c>
      <c r="I16" s="82">
        <v>16864.0</v>
      </c>
      <c r="J16" s="80"/>
    </row>
    <row r="17" spans="1:10" customHeight="1" ht="20.25">
      <c r="A17" s="79">
        <v>8</v>
      </c>
      <c r="B17" s="80" t="s">
        <v>38</v>
      </c>
      <c r="C17" s="80" t="s">
        <v>19</v>
      </c>
      <c r="D17" s="79" t="s">
        <v>24</v>
      </c>
      <c r="E17" s="80" t="s">
        <v>39</v>
      </c>
      <c r="F17" s="81" t="s">
        <v>26</v>
      </c>
      <c r="G17" s="81">
        <v>40</v>
      </c>
      <c r="H17" s="82">
        <v>30.0</v>
      </c>
      <c r="I17" s="82">
        <v>1200.0</v>
      </c>
      <c r="J17" s="80"/>
    </row>
    <row r="18" spans="1:10" customHeight="1" ht="20.25">
      <c r="A18" s="79">
        <v>9</v>
      </c>
      <c r="B18" s="80" t="s">
        <v>40</v>
      </c>
      <c r="C18" s="80" t="s">
        <v>19</v>
      </c>
      <c r="D18" s="79" t="s">
        <v>20</v>
      </c>
      <c r="E18" s="80" t="s">
        <v>41</v>
      </c>
      <c r="F18" s="81" t="s">
        <v>26</v>
      </c>
      <c r="G18" s="81">
        <v>100</v>
      </c>
      <c r="H18" s="82">
        <v>30.0</v>
      </c>
      <c r="I18" s="82">
        <v>3000.0</v>
      </c>
      <c r="J18" s="80" t="s">
        <v>42</v>
      </c>
    </row>
    <row r="19" spans="1:10" customHeight="1" ht="20.25">
      <c r="A19" s="79">
        <v>10</v>
      </c>
      <c r="B19" s="80" t="s">
        <v>43</v>
      </c>
      <c r="C19" s="80" t="s">
        <v>19</v>
      </c>
      <c r="D19" s="79" t="s">
        <v>24</v>
      </c>
      <c r="E19" s="80" t="s">
        <v>44</v>
      </c>
      <c r="F19" s="81" t="s">
        <v>26</v>
      </c>
      <c r="G19" s="81">
        <v>100</v>
      </c>
      <c r="H19" s="82">
        <v>35.5</v>
      </c>
      <c r="I19" s="82">
        <v>3550.0</v>
      </c>
      <c r="J19" s="80"/>
    </row>
    <row r="20" spans="1:10" customHeight="1" ht="20.25">
      <c r="A20" s="79">
        <v>11</v>
      </c>
      <c r="B20" s="80" t="s">
        <v>45</v>
      </c>
      <c r="C20" s="80" t="s">
        <v>46</v>
      </c>
      <c r="D20" s="79" t="s">
        <v>24</v>
      </c>
      <c r="E20" s="80" t="s">
        <v>47</v>
      </c>
      <c r="F20" s="81" t="s">
        <v>26</v>
      </c>
      <c r="G20" s="81">
        <v>500</v>
      </c>
      <c r="H20" s="82">
        <v>45.9</v>
      </c>
      <c r="I20" s="82">
        <v>22950.0</v>
      </c>
      <c r="J20" s="80"/>
    </row>
    <row r="21" spans="1:10" customHeight="1" ht="20.25">
      <c r="A21" s="79">
        <v>12</v>
      </c>
      <c r="B21" s="80" t="s">
        <v>48</v>
      </c>
      <c r="C21" s="80" t="s">
        <v>19</v>
      </c>
      <c r="D21" s="79" t="s">
        <v>20</v>
      </c>
      <c r="E21" s="80" t="s">
        <v>49</v>
      </c>
      <c r="F21" s="81" t="s">
        <v>26</v>
      </c>
      <c r="G21" s="81">
        <v>200</v>
      </c>
      <c r="H21" s="82">
        <v>49.0</v>
      </c>
      <c r="I21" s="82">
        <v>9800.0</v>
      </c>
      <c r="J21" s="80" t="s">
        <v>50</v>
      </c>
    </row>
    <row r="22" spans="1:10" customHeight="1" ht="20.25">
      <c r="A22" s="79">
        <v>13</v>
      </c>
      <c r="B22" s="80" t="s">
        <v>51</v>
      </c>
      <c r="C22" s="80" t="s">
        <v>19</v>
      </c>
      <c r="D22" s="79" t="s">
        <v>20</v>
      </c>
      <c r="E22" s="80" t="s">
        <v>52</v>
      </c>
      <c r="F22" s="81" t="s">
        <v>26</v>
      </c>
      <c r="G22" s="81">
        <v>200</v>
      </c>
      <c r="H22" s="82">
        <v>50.0</v>
      </c>
      <c r="I22" s="82">
        <v>10000.0</v>
      </c>
      <c r="J22" s="80" t="s">
        <v>53</v>
      </c>
    </row>
    <row r="23" spans="1:10" customHeight="1" ht="20.25">
      <c r="A23" s="79">
        <v>14</v>
      </c>
      <c r="B23" s="80" t="s">
        <v>54</v>
      </c>
      <c r="C23" s="80" t="s">
        <v>46</v>
      </c>
      <c r="D23" s="79" t="s">
        <v>24</v>
      </c>
      <c r="E23" s="80" t="s">
        <v>55</v>
      </c>
      <c r="F23" s="81" t="s">
        <v>26</v>
      </c>
      <c r="G23" s="81">
        <v>2500</v>
      </c>
      <c r="H23" s="82">
        <v>53.0</v>
      </c>
      <c r="I23" s="82">
        <v>132500.0</v>
      </c>
      <c r="J23" s="80"/>
    </row>
    <row r="24" spans="1:10" customHeight="1" ht="20.25">
      <c r="A24" s="79">
        <v>15</v>
      </c>
      <c r="B24" s="80" t="s">
        <v>56</v>
      </c>
      <c r="C24" s="80" t="s">
        <v>19</v>
      </c>
      <c r="D24" s="79" t="s">
        <v>24</v>
      </c>
      <c r="E24" s="80" t="s">
        <v>57</v>
      </c>
      <c r="F24" s="81" t="s">
        <v>26</v>
      </c>
      <c r="G24" s="81">
        <v>150</v>
      </c>
      <c r="H24" s="82">
        <v>82.0</v>
      </c>
      <c r="I24" s="82">
        <v>12300.0</v>
      </c>
      <c r="J24" s="80" t="s">
        <v>58</v>
      </c>
    </row>
    <row r="25" spans="1:10" customHeight="1" ht="20.25">
      <c r="A25" s="79">
        <v>16</v>
      </c>
      <c r="B25" s="80" t="s">
        <v>56</v>
      </c>
      <c r="C25" s="80" t="s">
        <v>19</v>
      </c>
      <c r="D25" s="79" t="s">
        <v>24</v>
      </c>
      <c r="E25" s="80" t="s">
        <v>57</v>
      </c>
      <c r="F25" s="81" t="s">
        <v>26</v>
      </c>
      <c r="G25" s="81">
        <v>150</v>
      </c>
      <c r="H25" s="82">
        <v>82.0</v>
      </c>
      <c r="I25" s="82">
        <v>12300.0</v>
      </c>
      <c r="J25" s="80" t="s">
        <v>59</v>
      </c>
    </row>
    <row r="26" spans="1:10" customHeight="1" ht="20.25">
      <c r="A26" s="79">
        <v>17</v>
      </c>
      <c r="B26" s="80" t="s">
        <v>60</v>
      </c>
      <c r="C26" s="80" t="s">
        <v>19</v>
      </c>
      <c r="D26" s="79" t="s">
        <v>24</v>
      </c>
      <c r="E26" s="80" t="s">
        <v>61</v>
      </c>
      <c r="F26" s="81" t="s">
        <v>62</v>
      </c>
      <c r="G26" s="81">
        <v>1500</v>
      </c>
      <c r="H26" s="82">
        <v>83.0</v>
      </c>
      <c r="I26" s="82">
        <v>124500.0</v>
      </c>
      <c r="J26" s="80" t="s">
        <v>63</v>
      </c>
    </row>
    <row r="27" spans="1:10" customHeight="1" ht="20.25">
      <c r="A27" s="79">
        <v>18</v>
      </c>
      <c r="B27" s="80" t="s">
        <v>60</v>
      </c>
      <c r="C27" s="80" t="s">
        <v>19</v>
      </c>
      <c r="D27" s="79" t="s">
        <v>24</v>
      </c>
      <c r="E27" s="80" t="s">
        <v>61</v>
      </c>
      <c r="F27" s="81" t="s">
        <v>62</v>
      </c>
      <c r="G27" s="81">
        <v>1500</v>
      </c>
      <c r="H27" s="82">
        <v>83.0</v>
      </c>
      <c r="I27" s="82">
        <v>124500.0</v>
      </c>
      <c r="J27" s="80" t="s">
        <v>64</v>
      </c>
    </row>
    <row r="28" spans="1:10" customHeight="1" ht="20.25">
      <c r="A28" s="79">
        <v>19</v>
      </c>
      <c r="B28" s="80" t="s">
        <v>65</v>
      </c>
      <c r="C28" s="80" t="s">
        <v>19</v>
      </c>
      <c r="D28" s="79" t="s">
        <v>24</v>
      </c>
      <c r="E28" s="80" t="s">
        <v>66</v>
      </c>
      <c r="F28" s="81" t="s">
        <v>26</v>
      </c>
      <c r="G28" s="81">
        <v>30</v>
      </c>
      <c r="H28" s="82">
        <v>100.0</v>
      </c>
      <c r="I28" s="82">
        <v>3000.0</v>
      </c>
      <c r="J28" s="80"/>
    </row>
    <row r="29" spans="1:10" customHeight="1" ht="20.25">
      <c r="A29" s="79">
        <v>20</v>
      </c>
      <c r="B29" s="80" t="s">
        <v>67</v>
      </c>
      <c r="C29" s="80" t="s">
        <v>19</v>
      </c>
      <c r="D29" s="79" t="s">
        <v>24</v>
      </c>
      <c r="E29" s="80" t="s">
        <v>68</v>
      </c>
      <c r="F29" s="81" t="s">
        <v>26</v>
      </c>
      <c r="G29" s="81">
        <v>10</v>
      </c>
      <c r="H29" s="82">
        <v>100.0</v>
      </c>
      <c r="I29" s="82">
        <v>1000.0</v>
      </c>
      <c r="J29" s="80"/>
    </row>
    <row r="30" spans="1:10" customHeight="1" ht="20.25">
      <c r="A30" s="79">
        <v>21</v>
      </c>
      <c r="B30" s="80" t="s">
        <v>69</v>
      </c>
      <c r="C30" s="80" t="s">
        <v>19</v>
      </c>
      <c r="D30" s="79" t="s">
        <v>24</v>
      </c>
      <c r="E30" s="80" t="s">
        <v>70</v>
      </c>
      <c r="F30" s="81" t="s">
        <v>26</v>
      </c>
      <c r="G30" s="81">
        <v>40</v>
      </c>
      <c r="H30" s="82">
        <v>100.0</v>
      </c>
      <c r="I30" s="82">
        <v>4000.0</v>
      </c>
      <c r="J30" s="80" t="s">
        <v>71</v>
      </c>
    </row>
    <row r="31" spans="1:10" customHeight="1" ht="20.25">
      <c r="A31" s="79">
        <v>22</v>
      </c>
      <c r="B31" s="80" t="s">
        <v>72</v>
      </c>
      <c r="C31" s="80" t="s">
        <v>19</v>
      </c>
      <c r="D31" s="79" t="s">
        <v>24</v>
      </c>
      <c r="E31" s="80" t="s">
        <v>73</v>
      </c>
      <c r="F31" s="81" t="s">
        <v>26</v>
      </c>
      <c r="G31" s="81">
        <v>20</v>
      </c>
      <c r="H31" s="82">
        <v>100.0</v>
      </c>
      <c r="I31" s="82">
        <v>2000.0</v>
      </c>
      <c r="J31" s="80" t="s">
        <v>74</v>
      </c>
    </row>
    <row r="32" spans="1:10" customHeight="1" ht="20.25">
      <c r="A32" s="79">
        <v>23</v>
      </c>
      <c r="B32" s="80" t="s">
        <v>75</v>
      </c>
      <c r="C32" s="80" t="s">
        <v>19</v>
      </c>
      <c r="D32" s="79" t="s">
        <v>24</v>
      </c>
      <c r="E32" s="80" t="s">
        <v>76</v>
      </c>
      <c r="F32" s="81" t="s">
        <v>26</v>
      </c>
      <c r="G32" s="81">
        <v>200</v>
      </c>
      <c r="H32" s="82">
        <v>100.0</v>
      </c>
      <c r="I32" s="82">
        <v>20000.0</v>
      </c>
      <c r="J32" s="80" t="s">
        <v>77</v>
      </c>
    </row>
    <row r="33" spans="1:10" customHeight="1" ht="20.25">
      <c r="A33" s="79">
        <v>24</v>
      </c>
      <c r="B33" s="80" t="s">
        <v>75</v>
      </c>
      <c r="C33" s="80" t="s">
        <v>19</v>
      </c>
      <c r="D33" s="79" t="s">
        <v>24</v>
      </c>
      <c r="E33" s="80" t="s">
        <v>76</v>
      </c>
      <c r="F33" s="81" t="s">
        <v>26</v>
      </c>
      <c r="G33" s="81">
        <v>200</v>
      </c>
      <c r="H33" s="82">
        <v>100.0</v>
      </c>
      <c r="I33" s="82">
        <v>20000.0</v>
      </c>
      <c r="J33" s="80" t="s">
        <v>78</v>
      </c>
    </row>
    <row r="34" spans="1:10" customHeight="1" ht="20.25">
      <c r="A34" s="79">
        <v>25</v>
      </c>
      <c r="B34" s="80" t="s">
        <v>79</v>
      </c>
      <c r="C34" s="80" t="s">
        <v>19</v>
      </c>
      <c r="D34" s="79" t="s">
        <v>24</v>
      </c>
      <c r="E34" s="80" t="s">
        <v>80</v>
      </c>
      <c r="F34" s="81" t="s">
        <v>26</v>
      </c>
      <c r="G34" s="81">
        <v>200</v>
      </c>
      <c r="H34" s="82">
        <v>100.0</v>
      </c>
      <c r="I34" s="82">
        <v>20000.0</v>
      </c>
      <c r="J34" s="80" t="s">
        <v>81</v>
      </c>
    </row>
    <row r="35" spans="1:10" customHeight="1" ht="20.25">
      <c r="A35" s="79">
        <v>26</v>
      </c>
      <c r="B35" s="80" t="s">
        <v>79</v>
      </c>
      <c r="C35" s="80" t="s">
        <v>19</v>
      </c>
      <c r="D35" s="79" t="s">
        <v>24</v>
      </c>
      <c r="E35" s="80" t="s">
        <v>80</v>
      </c>
      <c r="F35" s="81" t="s">
        <v>26</v>
      </c>
      <c r="G35" s="81">
        <v>200</v>
      </c>
      <c r="H35" s="82">
        <v>100.0</v>
      </c>
      <c r="I35" s="82">
        <v>20000.0</v>
      </c>
      <c r="J35" s="80" t="s">
        <v>82</v>
      </c>
    </row>
    <row r="36" spans="1:10" customHeight="1" ht="20.25">
      <c r="A36" s="79">
        <v>27</v>
      </c>
      <c r="B36" s="80" t="s">
        <v>83</v>
      </c>
      <c r="C36" s="80" t="s">
        <v>19</v>
      </c>
      <c r="D36" s="79" t="s">
        <v>24</v>
      </c>
      <c r="E36" s="80" t="s">
        <v>84</v>
      </c>
      <c r="F36" s="81" t="s">
        <v>26</v>
      </c>
      <c r="G36" s="81">
        <v>40</v>
      </c>
      <c r="H36" s="82">
        <v>100.0</v>
      </c>
      <c r="I36" s="82">
        <v>4000.0</v>
      </c>
      <c r="J36" s="80" t="s">
        <v>85</v>
      </c>
    </row>
    <row r="37" spans="1:10" customHeight="1" ht="20.25">
      <c r="A37" s="79">
        <v>28</v>
      </c>
      <c r="B37" s="80" t="s">
        <v>86</v>
      </c>
      <c r="C37" s="80" t="s">
        <v>19</v>
      </c>
      <c r="D37" s="79" t="s">
        <v>24</v>
      </c>
      <c r="E37" s="80" t="s">
        <v>87</v>
      </c>
      <c r="F37" s="81" t="s">
        <v>26</v>
      </c>
      <c r="G37" s="81">
        <v>100</v>
      </c>
      <c r="H37" s="82">
        <v>130.0</v>
      </c>
      <c r="I37" s="82">
        <v>13000.0</v>
      </c>
      <c r="J37" s="80"/>
    </row>
    <row r="38" spans="1:10" customHeight="1" ht="20.25">
      <c r="A38" s="79">
        <v>29</v>
      </c>
      <c r="B38" s="80" t="s">
        <v>56</v>
      </c>
      <c r="C38" s="80" t="s">
        <v>19</v>
      </c>
      <c r="D38" s="79" t="s">
        <v>24</v>
      </c>
      <c r="E38" s="80" t="s">
        <v>57</v>
      </c>
      <c r="F38" s="81" t="s">
        <v>26</v>
      </c>
      <c r="G38" s="81">
        <v>80</v>
      </c>
      <c r="H38" s="82">
        <v>130.0</v>
      </c>
      <c r="I38" s="82">
        <v>10400.0</v>
      </c>
      <c r="J38" s="80" t="s">
        <v>88</v>
      </c>
    </row>
    <row r="39" spans="1:10" customHeight="1" ht="20.25">
      <c r="A39" s="79">
        <v>30</v>
      </c>
      <c r="B39" s="80" t="s">
        <v>89</v>
      </c>
      <c r="C39" s="80" t="s">
        <v>19</v>
      </c>
      <c r="D39" s="79" t="s">
        <v>24</v>
      </c>
      <c r="E39" s="80" t="s">
        <v>90</v>
      </c>
      <c r="F39" s="81" t="s">
        <v>26</v>
      </c>
      <c r="G39" s="81">
        <v>100</v>
      </c>
      <c r="H39" s="82">
        <v>130.0</v>
      </c>
      <c r="I39" s="82">
        <v>13000.0</v>
      </c>
      <c r="J39" s="80" t="s">
        <v>91</v>
      </c>
    </row>
    <row r="40" spans="1:10" customHeight="1" ht="20.25">
      <c r="A40" s="79">
        <v>31</v>
      </c>
      <c r="B40" s="80" t="s">
        <v>89</v>
      </c>
      <c r="C40" s="80" t="s">
        <v>19</v>
      </c>
      <c r="D40" s="79" t="s">
        <v>24</v>
      </c>
      <c r="E40" s="80" t="s">
        <v>90</v>
      </c>
      <c r="F40" s="81" t="s">
        <v>26</v>
      </c>
      <c r="G40" s="81">
        <v>100</v>
      </c>
      <c r="H40" s="82">
        <v>130.0</v>
      </c>
      <c r="I40" s="82">
        <v>13000.0</v>
      </c>
      <c r="J40" s="80" t="s">
        <v>92</v>
      </c>
    </row>
    <row r="41" spans="1:10" customHeight="1" ht="20.25">
      <c r="A41" s="79">
        <v>32</v>
      </c>
      <c r="B41" s="80" t="s">
        <v>93</v>
      </c>
      <c r="C41" s="80" t="s">
        <v>19</v>
      </c>
      <c r="D41" s="79" t="s">
        <v>24</v>
      </c>
      <c r="E41" s="80" t="s">
        <v>94</v>
      </c>
      <c r="F41" s="81" t="s">
        <v>62</v>
      </c>
      <c r="G41" s="81">
        <v>300</v>
      </c>
      <c r="H41" s="82">
        <v>149.0</v>
      </c>
      <c r="I41" s="82">
        <v>44700.0</v>
      </c>
      <c r="J41" s="80" t="s">
        <v>95</v>
      </c>
    </row>
    <row r="42" spans="1:10" customHeight="1" ht="20.25">
      <c r="A42" s="79">
        <v>33</v>
      </c>
      <c r="B42" s="80" t="s">
        <v>96</v>
      </c>
      <c r="C42" s="80" t="s">
        <v>19</v>
      </c>
      <c r="D42" s="79" t="s">
        <v>24</v>
      </c>
      <c r="E42" s="80" t="s">
        <v>97</v>
      </c>
      <c r="F42" s="81" t="s">
        <v>26</v>
      </c>
      <c r="G42" s="81">
        <v>50</v>
      </c>
      <c r="H42" s="82">
        <v>150.0</v>
      </c>
      <c r="I42" s="82">
        <v>7500.0</v>
      </c>
      <c r="J42" s="80"/>
    </row>
    <row r="43" spans="1:10" customHeight="1" ht="20.25">
      <c r="A43" s="79">
        <v>34</v>
      </c>
      <c r="B43" s="80" t="s">
        <v>98</v>
      </c>
      <c r="C43" s="80" t="s">
        <v>19</v>
      </c>
      <c r="D43" s="79" t="s">
        <v>24</v>
      </c>
      <c r="E43" s="80" t="s">
        <v>99</v>
      </c>
      <c r="F43" s="81" t="s">
        <v>26</v>
      </c>
      <c r="G43" s="81">
        <v>10</v>
      </c>
      <c r="H43" s="82">
        <v>150.0</v>
      </c>
      <c r="I43" s="82">
        <v>1500.0</v>
      </c>
      <c r="J43" s="80"/>
    </row>
    <row r="44" spans="1:10" customHeight="1" ht="20.25">
      <c r="A44" s="79">
        <v>35</v>
      </c>
      <c r="B44" s="80" t="s">
        <v>100</v>
      </c>
      <c r="C44" s="80" t="s">
        <v>19</v>
      </c>
      <c r="D44" s="79" t="s">
        <v>24</v>
      </c>
      <c r="E44" s="80" t="s">
        <v>101</v>
      </c>
      <c r="F44" s="81" t="s">
        <v>26</v>
      </c>
      <c r="G44" s="81">
        <v>50</v>
      </c>
      <c r="H44" s="82">
        <v>150.0</v>
      </c>
      <c r="I44" s="82">
        <v>7500.0</v>
      </c>
      <c r="J44" s="80" t="s">
        <v>102</v>
      </c>
    </row>
    <row r="45" spans="1:10" customHeight="1" ht="20.25">
      <c r="A45" s="79">
        <v>36</v>
      </c>
      <c r="B45" s="80" t="s">
        <v>103</v>
      </c>
      <c r="C45" s="80" t="s">
        <v>19</v>
      </c>
      <c r="D45" s="79" t="s">
        <v>24</v>
      </c>
      <c r="E45" s="80" t="s">
        <v>104</v>
      </c>
      <c r="F45" s="81" t="s">
        <v>26</v>
      </c>
      <c r="G45" s="81">
        <v>80</v>
      </c>
      <c r="H45" s="82">
        <v>150.0</v>
      </c>
      <c r="I45" s="82">
        <v>12000.0</v>
      </c>
      <c r="J45" s="80" t="s">
        <v>105</v>
      </c>
    </row>
    <row r="46" spans="1:10" customHeight="1" ht="20.25">
      <c r="A46" s="79">
        <v>37</v>
      </c>
      <c r="B46" s="80" t="s">
        <v>106</v>
      </c>
      <c r="C46" s="80" t="s">
        <v>19</v>
      </c>
      <c r="D46" s="79" t="s">
        <v>24</v>
      </c>
      <c r="E46" s="80" t="s">
        <v>107</v>
      </c>
      <c r="F46" s="81" t="s">
        <v>26</v>
      </c>
      <c r="G46" s="81">
        <v>80</v>
      </c>
      <c r="H46" s="82">
        <v>150.0</v>
      </c>
      <c r="I46" s="82">
        <v>12000.0</v>
      </c>
      <c r="J46" s="80" t="s">
        <v>108</v>
      </c>
    </row>
    <row r="47" spans="1:10" customHeight="1" ht="20.25">
      <c r="A47" s="79">
        <v>38</v>
      </c>
      <c r="B47" s="80" t="s">
        <v>109</v>
      </c>
      <c r="C47" s="80" t="s">
        <v>19</v>
      </c>
      <c r="D47" s="79" t="s">
        <v>24</v>
      </c>
      <c r="E47" s="80" t="s">
        <v>110</v>
      </c>
      <c r="F47" s="81" t="s">
        <v>26</v>
      </c>
      <c r="G47" s="81">
        <v>300</v>
      </c>
      <c r="H47" s="82">
        <v>159.0</v>
      </c>
      <c r="I47" s="82">
        <v>47700.0</v>
      </c>
      <c r="J47" s="80" t="s">
        <v>95</v>
      </c>
    </row>
    <row r="48" spans="1:10" customHeight="1" ht="20.25">
      <c r="A48" s="79">
        <v>39</v>
      </c>
      <c r="B48" s="80" t="s">
        <v>111</v>
      </c>
      <c r="C48" s="80" t="s">
        <v>19</v>
      </c>
      <c r="D48" s="79" t="s">
        <v>24</v>
      </c>
      <c r="E48" s="80" t="s">
        <v>112</v>
      </c>
      <c r="F48" s="81" t="s">
        <v>113</v>
      </c>
      <c r="G48" s="81">
        <v>20</v>
      </c>
      <c r="H48" s="82">
        <v>185.0</v>
      </c>
      <c r="I48" s="82">
        <v>3700.0</v>
      </c>
      <c r="J48" s="80"/>
    </row>
    <row r="49" spans="1:10" customHeight="1" ht="20.25">
      <c r="A49" s="79">
        <v>40</v>
      </c>
      <c r="B49" s="80" t="s">
        <v>114</v>
      </c>
      <c r="C49" s="80" t="s">
        <v>19</v>
      </c>
      <c r="D49" s="79" t="s">
        <v>24</v>
      </c>
      <c r="E49" s="80" t="s">
        <v>115</v>
      </c>
      <c r="F49" s="81" t="s">
        <v>26</v>
      </c>
      <c r="G49" s="81">
        <v>300</v>
      </c>
      <c r="H49" s="82">
        <v>190.0</v>
      </c>
      <c r="I49" s="82">
        <v>57000.0</v>
      </c>
      <c r="J49" s="80"/>
    </row>
    <row r="50" spans="1:10" customHeight="1" ht="20.25">
      <c r="A50" s="79">
        <v>41</v>
      </c>
      <c r="B50" s="80" t="s">
        <v>116</v>
      </c>
      <c r="C50" s="80" t="s">
        <v>19</v>
      </c>
      <c r="D50" s="79" t="s">
        <v>24</v>
      </c>
      <c r="E50" s="80" t="s">
        <v>117</v>
      </c>
      <c r="F50" s="81" t="s">
        <v>118</v>
      </c>
      <c r="G50" s="81">
        <v>250</v>
      </c>
      <c r="H50" s="82">
        <v>150.0</v>
      </c>
      <c r="I50" s="82">
        <v>37500.0</v>
      </c>
      <c r="J50" s="80"/>
    </row>
    <row r="51" spans="1:10" customHeight="1" ht="20.25">
      <c r="A51" s="79">
        <v>42</v>
      </c>
      <c r="B51" s="80" t="s">
        <v>119</v>
      </c>
      <c r="C51" s="80" t="s">
        <v>19</v>
      </c>
      <c r="D51" s="79" t="s">
        <v>24</v>
      </c>
      <c r="E51" s="80" t="s">
        <v>120</v>
      </c>
      <c r="F51" s="81" t="s">
        <v>26</v>
      </c>
      <c r="G51" s="81">
        <v>50</v>
      </c>
      <c r="H51" s="82">
        <v>200.0</v>
      </c>
      <c r="I51" s="82">
        <v>10000.0</v>
      </c>
      <c r="J51" s="80"/>
    </row>
    <row r="52" spans="1:10" customHeight="1" ht="20.25">
      <c r="A52" s="79">
        <v>43</v>
      </c>
      <c r="B52" s="80" t="s">
        <v>121</v>
      </c>
      <c r="C52" s="80" t="s">
        <v>19</v>
      </c>
      <c r="D52" s="79" t="s">
        <v>24</v>
      </c>
      <c r="E52" s="80" t="s">
        <v>122</v>
      </c>
      <c r="F52" s="81" t="s">
        <v>26</v>
      </c>
      <c r="G52" s="81">
        <v>10</v>
      </c>
      <c r="H52" s="82">
        <v>200.0</v>
      </c>
      <c r="I52" s="82">
        <v>2000.0</v>
      </c>
      <c r="J52" s="80"/>
    </row>
    <row r="53" spans="1:10" customHeight="1" ht="20.25">
      <c r="A53" s="79">
        <v>44</v>
      </c>
      <c r="B53" s="80" t="s">
        <v>123</v>
      </c>
      <c r="C53" s="80" t="s">
        <v>19</v>
      </c>
      <c r="D53" s="79" t="s">
        <v>24</v>
      </c>
      <c r="E53" s="80" t="s">
        <v>124</v>
      </c>
      <c r="F53" s="81" t="s">
        <v>26</v>
      </c>
      <c r="G53" s="81">
        <v>200</v>
      </c>
      <c r="H53" s="82">
        <v>200.0</v>
      </c>
      <c r="I53" s="82">
        <v>40000.0</v>
      </c>
      <c r="J53" s="80"/>
    </row>
    <row r="54" spans="1:10" customHeight="1" ht="20.25">
      <c r="A54" s="79">
        <v>45</v>
      </c>
      <c r="B54" s="80" t="s">
        <v>125</v>
      </c>
      <c r="C54" s="80" t="s">
        <v>19</v>
      </c>
      <c r="D54" s="79" t="s">
        <v>24</v>
      </c>
      <c r="E54" s="80" t="s">
        <v>126</v>
      </c>
      <c r="F54" s="81" t="s">
        <v>26</v>
      </c>
      <c r="G54" s="81">
        <v>20</v>
      </c>
      <c r="H54" s="82">
        <v>219.0</v>
      </c>
      <c r="I54" s="82">
        <v>4380.0</v>
      </c>
      <c r="J54" s="80"/>
    </row>
    <row r="55" spans="1:10" customHeight="1" ht="20.25">
      <c r="A55" s="79">
        <v>46</v>
      </c>
      <c r="B55" s="80" t="s">
        <v>127</v>
      </c>
      <c r="C55" s="80" t="s">
        <v>19</v>
      </c>
      <c r="D55" s="79" t="s">
        <v>24</v>
      </c>
      <c r="E55" s="80" t="s">
        <v>128</v>
      </c>
      <c r="F55" s="81" t="s">
        <v>62</v>
      </c>
      <c r="G55" s="81">
        <v>50</v>
      </c>
      <c r="H55" s="82">
        <v>231.0</v>
      </c>
      <c r="I55" s="82">
        <v>11550.0</v>
      </c>
      <c r="J55" s="80"/>
    </row>
    <row r="56" spans="1:10" customHeight="1" ht="20.25">
      <c r="A56" s="79">
        <v>47</v>
      </c>
      <c r="B56" s="80" t="s">
        <v>129</v>
      </c>
      <c r="C56" s="80" t="s">
        <v>19</v>
      </c>
      <c r="D56" s="79" t="s">
        <v>24</v>
      </c>
      <c r="E56" s="80" t="s">
        <v>130</v>
      </c>
      <c r="F56" s="81" t="s">
        <v>118</v>
      </c>
      <c r="G56" s="81">
        <v>15</v>
      </c>
      <c r="H56" s="82">
        <v>250.0</v>
      </c>
      <c r="I56" s="82">
        <v>3750.0</v>
      </c>
      <c r="J56" s="80"/>
    </row>
    <row r="57" spans="1:10" customHeight="1" ht="20.25">
      <c r="A57" s="79">
        <v>48</v>
      </c>
      <c r="B57" s="80" t="s">
        <v>131</v>
      </c>
      <c r="C57" s="80" t="s">
        <v>19</v>
      </c>
      <c r="D57" s="79" t="s">
        <v>132</v>
      </c>
      <c r="E57" s="80" t="s">
        <v>133</v>
      </c>
      <c r="F57" s="81" t="s">
        <v>26</v>
      </c>
      <c r="G57" s="81">
        <v>30</v>
      </c>
      <c r="H57" s="82">
        <v>250.0</v>
      </c>
      <c r="I57" s="82">
        <v>7500.0</v>
      </c>
      <c r="J57" s="80"/>
    </row>
    <row r="58" spans="1:10" customHeight="1" ht="20.25">
      <c r="A58" s="79">
        <v>49</v>
      </c>
      <c r="B58" s="80" t="s">
        <v>134</v>
      </c>
      <c r="C58" s="80" t="s">
        <v>19</v>
      </c>
      <c r="D58" s="79" t="s">
        <v>24</v>
      </c>
      <c r="E58" s="80" t="s">
        <v>135</v>
      </c>
      <c r="F58" s="81" t="s">
        <v>26</v>
      </c>
      <c r="G58" s="81">
        <v>5</v>
      </c>
      <c r="H58" s="82">
        <v>250.0</v>
      </c>
      <c r="I58" s="82">
        <v>1250.0</v>
      </c>
      <c r="J58" s="80"/>
    </row>
    <row r="59" spans="1:10" customHeight="1" ht="20.25">
      <c r="A59" s="79">
        <v>50</v>
      </c>
      <c r="B59" s="80" t="s">
        <v>136</v>
      </c>
      <c r="C59" s="80" t="s">
        <v>19</v>
      </c>
      <c r="D59" s="79" t="s">
        <v>24</v>
      </c>
      <c r="E59" s="80" t="s">
        <v>137</v>
      </c>
      <c r="F59" s="81" t="s">
        <v>26</v>
      </c>
      <c r="G59" s="81">
        <v>150</v>
      </c>
      <c r="H59" s="82">
        <v>250.0</v>
      </c>
      <c r="I59" s="82">
        <v>37500.0</v>
      </c>
      <c r="J59" s="80"/>
    </row>
    <row r="60" spans="1:10" customHeight="1" ht="20.25">
      <c r="A60" s="79">
        <v>51</v>
      </c>
      <c r="B60" s="80" t="s">
        <v>138</v>
      </c>
      <c r="C60" s="80" t="s">
        <v>19</v>
      </c>
      <c r="D60" s="79" t="s">
        <v>24</v>
      </c>
      <c r="E60" s="80" t="s">
        <v>139</v>
      </c>
      <c r="F60" s="81" t="s">
        <v>26</v>
      </c>
      <c r="G60" s="81">
        <v>20</v>
      </c>
      <c r="H60" s="82">
        <v>280.0</v>
      </c>
      <c r="I60" s="82">
        <v>5600.0</v>
      </c>
      <c r="J60" s="80"/>
    </row>
    <row r="61" spans="1:10" customHeight="1" ht="20.25">
      <c r="A61" s="79">
        <v>52</v>
      </c>
      <c r="B61" s="80" t="s">
        <v>140</v>
      </c>
      <c r="C61" s="80" t="s">
        <v>19</v>
      </c>
      <c r="D61" s="79" t="s">
        <v>24</v>
      </c>
      <c r="E61" s="80" t="s">
        <v>141</v>
      </c>
      <c r="F61" s="81" t="s">
        <v>26</v>
      </c>
      <c r="G61" s="81">
        <v>20</v>
      </c>
      <c r="H61" s="82">
        <v>300.0</v>
      </c>
      <c r="I61" s="82">
        <v>6000.0</v>
      </c>
      <c r="J61" s="80" t="s">
        <v>142</v>
      </c>
    </row>
    <row r="62" spans="1:10" customHeight="1" ht="20.25">
      <c r="A62" s="79">
        <v>53</v>
      </c>
      <c r="B62" s="80" t="s">
        <v>143</v>
      </c>
      <c r="C62" s="80" t="s">
        <v>19</v>
      </c>
      <c r="D62" s="79" t="s">
        <v>24</v>
      </c>
      <c r="E62" s="80" t="s">
        <v>144</v>
      </c>
      <c r="F62" s="81" t="s">
        <v>118</v>
      </c>
      <c r="G62" s="81">
        <v>15</v>
      </c>
      <c r="H62" s="82">
        <v>300.0</v>
      </c>
      <c r="I62" s="82">
        <v>4500.0</v>
      </c>
      <c r="J62" s="80" t="s">
        <v>145</v>
      </c>
    </row>
    <row r="63" spans="1:10" customHeight="1" ht="20.25">
      <c r="A63" s="79">
        <v>54</v>
      </c>
      <c r="B63" s="80" t="s">
        <v>146</v>
      </c>
      <c r="C63" s="80" t="s">
        <v>19</v>
      </c>
      <c r="D63" s="79" t="s">
        <v>24</v>
      </c>
      <c r="E63" s="80" t="s">
        <v>147</v>
      </c>
      <c r="F63" s="81" t="s">
        <v>26</v>
      </c>
      <c r="G63" s="81">
        <v>20</v>
      </c>
      <c r="H63" s="82">
        <v>350.0</v>
      </c>
      <c r="I63" s="82">
        <v>7000.0</v>
      </c>
      <c r="J63" s="80"/>
    </row>
    <row r="64" spans="1:10" customHeight="1" ht="20.25">
      <c r="A64" s="79">
        <v>55</v>
      </c>
      <c r="B64" s="80" t="s">
        <v>148</v>
      </c>
      <c r="C64" s="80" t="s">
        <v>19</v>
      </c>
      <c r="D64" s="79" t="s">
        <v>24</v>
      </c>
      <c r="E64" s="80" t="s">
        <v>149</v>
      </c>
      <c r="F64" s="81" t="s">
        <v>26</v>
      </c>
      <c r="G64" s="81">
        <v>25</v>
      </c>
      <c r="H64" s="82">
        <v>391.0</v>
      </c>
      <c r="I64" s="82">
        <v>9775.0</v>
      </c>
      <c r="J64" s="80"/>
    </row>
    <row r="65" spans="1:10" customHeight="1" ht="20.25">
      <c r="A65" s="79">
        <v>56</v>
      </c>
      <c r="B65" s="80" t="s">
        <v>150</v>
      </c>
      <c r="C65" s="80" t="s">
        <v>19</v>
      </c>
      <c r="D65" s="79" t="s">
        <v>24</v>
      </c>
      <c r="E65" s="80" t="s">
        <v>151</v>
      </c>
      <c r="F65" s="81" t="s">
        <v>26</v>
      </c>
      <c r="G65" s="81">
        <v>10</v>
      </c>
      <c r="H65" s="82">
        <v>400.0</v>
      </c>
      <c r="I65" s="82">
        <v>4000.0</v>
      </c>
      <c r="J65" s="80"/>
    </row>
    <row r="66" spans="1:10" customHeight="1" ht="20.25">
      <c r="A66" s="79">
        <v>57</v>
      </c>
      <c r="B66" s="80" t="s">
        <v>152</v>
      </c>
      <c r="C66" s="80" t="s">
        <v>19</v>
      </c>
      <c r="D66" s="79" t="s">
        <v>24</v>
      </c>
      <c r="E66" s="80" t="s">
        <v>153</v>
      </c>
      <c r="F66" s="81" t="s">
        <v>154</v>
      </c>
      <c r="G66" s="81">
        <v>20</v>
      </c>
      <c r="H66" s="82">
        <v>450.0</v>
      </c>
      <c r="I66" s="82">
        <v>9000.0</v>
      </c>
      <c r="J66" s="80" t="s">
        <v>155</v>
      </c>
    </row>
    <row r="67" spans="1:10" customHeight="1" ht="20.25">
      <c r="A67" s="79">
        <v>58</v>
      </c>
      <c r="B67" s="80" t="s">
        <v>156</v>
      </c>
      <c r="C67" s="80" t="s">
        <v>19</v>
      </c>
      <c r="D67" s="79" t="s">
        <v>24</v>
      </c>
      <c r="E67" s="80" t="s">
        <v>157</v>
      </c>
      <c r="F67" s="81" t="s">
        <v>26</v>
      </c>
      <c r="G67" s="81">
        <v>20</v>
      </c>
      <c r="H67" s="82">
        <v>456.52</v>
      </c>
      <c r="I67" s="82">
        <v>9130.4</v>
      </c>
      <c r="J67" s="80"/>
    </row>
    <row r="68" spans="1:10" customHeight="1" ht="20.25">
      <c r="A68" s="79">
        <v>59</v>
      </c>
      <c r="B68" s="80" t="s">
        <v>158</v>
      </c>
      <c r="C68" s="80" t="s">
        <v>19</v>
      </c>
      <c r="D68" s="79" t="s">
        <v>24</v>
      </c>
      <c r="E68" s="80" t="s">
        <v>159</v>
      </c>
      <c r="F68" s="81" t="s">
        <v>26</v>
      </c>
      <c r="G68" s="81">
        <v>15</v>
      </c>
      <c r="H68" s="82">
        <v>500.0</v>
      </c>
      <c r="I68" s="82">
        <v>7500.0</v>
      </c>
      <c r="J68" s="80"/>
    </row>
    <row r="69" spans="1:10" customHeight="1" ht="20.25">
      <c r="A69" s="79">
        <v>60</v>
      </c>
      <c r="B69" s="80" t="s">
        <v>160</v>
      </c>
      <c r="C69" s="80" t="s">
        <v>19</v>
      </c>
      <c r="D69" s="79" t="s">
        <v>24</v>
      </c>
      <c r="E69" s="80" t="s">
        <v>161</v>
      </c>
      <c r="F69" s="81" t="s">
        <v>26</v>
      </c>
      <c r="G69" s="81">
        <v>50</v>
      </c>
      <c r="H69" s="82">
        <v>520.0</v>
      </c>
      <c r="I69" s="82">
        <v>26000.0</v>
      </c>
      <c r="J69" s="80"/>
    </row>
    <row r="70" spans="1:10" customHeight="1" ht="20.25">
      <c r="A70" s="79">
        <v>61</v>
      </c>
      <c r="B70" s="80" t="s">
        <v>162</v>
      </c>
      <c r="C70" s="80" t="s">
        <v>19</v>
      </c>
      <c r="D70" s="79" t="s">
        <v>20</v>
      </c>
      <c r="E70" s="80" t="s">
        <v>163</v>
      </c>
      <c r="F70" s="81" t="s">
        <v>26</v>
      </c>
      <c r="G70" s="81">
        <v>150</v>
      </c>
      <c r="H70" s="82">
        <v>590.0</v>
      </c>
      <c r="I70" s="82">
        <v>88500.0</v>
      </c>
      <c r="J70" s="80" t="s">
        <v>164</v>
      </c>
    </row>
    <row r="71" spans="1:10" customHeight="1" ht="20.25">
      <c r="A71" s="79">
        <v>62</v>
      </c>
      <c r="B71" s="80" t="s">
        <v>165</v>
      </c>
      <c r="C71" s="80" t="s">
        <v>19</v>
      </c>
      <c r="D71" s="79" t="s">
        <v>24</v>
      </c>
      <c r="E71" s="80" t="s">
        <v>166</v>
      </c>
      <c r="F71" s="81" t="s">
        <v>118</v>
      </c>
      <c r="G71" s="81">
        <v>7</v>
      </c>
      <c r="H71" s="82">
        <v>600.0</v>
      </c>
      <c r="I71" s="82">
        <v>4200.0</v>
      </c>
      <c r="J71" s="80"/>
    </row>
    <row r="72" spans="1:10" customHeight="1" ht="20.25">
      <c r="A72" s="79">
        <v>63</v>
      </c>
      <c r="B72" s="80" t="s">
        <v>167</v>
      </c>
      <c r="C72" s="80" t="s">
        <v>19</v>
      </c>
      <c r="D72" s="79" t="s">
        <v>24</v>
      </c>
      <c r="E72" s="80" t="s">
        <v>168</v>
      </c>
      <c r="F72" s="81" t="s">
        <v>26</v>
      </c>
      <c r="G72" s="81">
        <v>15</v>
      </c>
      <c r="H72" s="82">
        <v>700.0</v>
      </c>
      <c r="I72" s="82">
        <v>10500.0</v>
      </c>
      <c r="J72" s="80" t="s">
        <v>169</v>
      </c>
    </row>
    <row r="73" spans="1:10" customHeight="1" ht="20.25">
      <c r="A73" s="79">
        <v>64</v>
      </c>
      <c r="B73" s="80" t="s">
        <v>170</v>
      </c>
      <c r="C73" s="80" t="s">
        <v>19</v>
      </c>
      <c r="D73" s="79" t="s">
        <v>20</v>
      </c>
      <c r="E73" s="80" t="s">
        <v>171</v>
      </c>
      <c r="F73" s="81" t="s">
        <v>26</v>
      </c>
      <c r="G73" s="81">
        <v>10</v>
      </c>
      <c r="H73" s="82">
        <v>700.0</v>
      </c>
      <c r="I73" s="82">
        <v>7000.0</v>
      </c>
      <c r="J73" s="80" t="s">
        <v>172</v>
      </c>
    </row>
    <row r="74" spans="1:10" customHeight="1" ht="20.25">
      <c r="A74" s="79">
        <v>65</v>
      </c>
      <c r="B74" s="80" t="s">
        <v>173</v>
      </c>
      <c r="C74" s="80" t="s">
        <v>19</v>
      </c>
      <c r="D74" s="79" t="s">
        <v>24</v>
      </c>
      <c r="E74" s="80" t="s">
        <v>174</v>
      </c>
      <c r="F74" s="81" t="s">
        <v>62</v>
      </c>
      <c r="G74" s="81">
        <v>50</v>
      </c>
      <c r="H74" s="82">
        <v>820.0</v>
      </c>
      <c r="I74" s="82">
        <v>41000.0</v>
      </c>
      <c r="J74" s="80"/>
    </row>
    <row r="75" spans="1:10" customHeight="1" ht="20.25">
      <c r="A75" s="79">
        <v>66</v>
      </c>
      <c r="B75" s="80" t="s">
        <v>175</v>
      </c>
      <c r="C75" s="80" t="s">
        <v>19</v>
      </c>
      <c r="D75" s="79" t="s">
        <v>24</v>
      </c>
      <c r="E75" s="80" t="s">
        <v>176</v>
      </c>
      <c r="F75" s="81" t="s">
        <v>113</v>
      </c>
      <c r="G75" s="81">
        <v>2</v>
      </c>
      <c r="H75" s="82">
        <v>900.0</v>
      </c>
      <c r="I75" s="82">
        <v>1800.0</v>
      </c>
      <c r="J75" s="80" t="s">
        <v>177</v>
      </c>
    </row>
    <row r="76" spans="1:10" customHeight="1" ht="20.25">
      <c r="A76" s="79">
        <v>67</v>
      </c>
      <c r="B76" s="80" t="s">
        <v>162</v>
      </c>
      <c r="C76" s="80" t="s">
        <v>19</v>
      </c>
      <c r="D76" s="79" t="s">
        <v>20</v>
      </c>
      <c r="E76" s="80" t="s">
        <v>163</v>
      </c>
      <c r="F76" s="81" t="s">
        <v>26</v>
      </c>
      <c r="G76" s="81">
        <v>15</v>
      </c>
      <c r="H76" s="82">
        <v>1000.0</v>
      </c>
      <c r="I76" s="82">
        <v>15000.0</v>
      </c>
      <c r="J76" s="80" t="s">
        <v>178</v>
      </c>
    </row>
    <row r="77" spans="1:10" customHeight="1" ht="20.25">
      <c r="A77" s="79">
        <v>68</v>
      </c>
      <c r="B77" s="80" t="s">
        <v>179</v>
      </c>
      <c r="C77" s="80" t="s">
        <v>19</v>
      </c>
      <c r="D77" s="79" t="s">
        <v>20</v>
      </c>
      <c r="E77" s="80" t="s">
        <v>180</v>
      </c>
      <c r="F77" s="81" t="s">
        <v>181</v>
      </c>
      <c r="G77" s="81">
        <v>350</v>
      </c>
      <c r="H77" s="82">
        <v>1095.0</v>
      </c>
      <c r="I77" s="82">
        <v>383250.0</v>
      </c>
      <c r="J77" s="80" t="s">
        <v>182</v>
      </c>
    </row>
    <row r="78" spans="1:10" customHeight="1" ht="20.25">
      <c r="A78" s="79">
        <v>69</v>
      </c>
      <c r="B78" s="80" t="s">
        <v>179</v>
      </c>
      <c r="C78" s="80" t="s">
        <v>19</v>
      </c>
      <c r="D78" s="79" t="s">
        <v>20</v>
      </c>
      <c r="E78" s="80" t="s">
        <v>180</v>
      </c>
      <c r="F78" s="81" t="s">
        <v>26</v>
      </c>
      <c r="G78" s="81">
        <v>350</v>
      </c>
      <c r="H78" s="82">
        <v>1200.0</v>
      </c>
      <c r="I78" s="82">
        <v>420000.0</v>
      </c>
      <c r="J78" s="80"/>
    </row>
    <row r="79" spans="1:10" customHeight="1" ht="20.25">
      <c r="A79" s="79">
        <v>70</v>
      </c>
      <c r="B79" s="80" t="s">
        <v>183</v>
      </c>
      <c r="C79" s="80" t="s">
        <v>19</v>
      </c>
      <c r="D79" s="79" t="s">
        <v>20</v>
      </c>
      <c r="E79" s="80" t="s">
        <v>184</v>
      </c>
      <c r="F79" s="81" t="s">
        <v>26</v>
      </c>
      <c r="G79" s="81">
        <v>10</v>
      </c>
      <c r="H79" s="82">
        <v>1395.0</v>
      </c>
      <c r="I79" s="82">
        <v>13950.0</v>
      </c>
      <c r="J79" s="80"/>
    </row>
    <row r="80" spans="1:10" customHeight="1" ht="20.25">
      <c r="A80" s="79">
        <v>71</v>
      </c>
      <c r="B80" s="80" t="s">
        <v>185</v>
      </c>
      <c r="C80" s="80" t="s">
        <v>19</v>
      </c>
      <c r="D80" s="79" t="s">
        <v>20</v>
      </c>
      <c r="E80" s="80" t="s">
        <v>186</v>
      </c>
      <c r="F80" s="81" t="s">
        <v>26</v>
      </c>
      <c r="G80" s="81">
        <v>550</v>
      </c>
      <c r="H80" s="82">
        <v>1500.0</v>
      </c>
      <c r="I80" s="82">
        <v>825000.0</v>
      </c>
      <c r="J80" s="80"/>
    </row>
    <row r="81" spans="1:10" customHeight="1" ht="20.25">
      <c r="A81" s="79">
        <v>72</v>
      </c>
      <c r="B81" s="80" t="s">
        <v>187</v>
      </c>
      <c r="C81" s="80" t="s">
        <v>19</v>
      </c>
      <c r="D81" s="79" t="s">
        <v>20</v>
      </c>
      <c r="E81" s="80" t="s">
        <v>188</v>
      </c>
      <c r="F81" s="81" t="s">
        <v>26</v>
      </c>
      <c r="G81" s="81">
        <v>20</v>
      </c>
      <c r="H81" s="82">
        <v>1500.0</v>
      </c>
      <c r="I81" s="82">
        <v>30000.0</v>
      </c>
      <c r="J81" s="80"/>
    </row>
    <row r="82" spans="1:10" customHeight="1" ht="20.25">
      <c r="A82" s="79">
        <v>73</v>
      </c>
      <c r="B82" s="80" t="s">
        <v>185</v>
      </c>
      <c r="C82" s="80" t="s">
        <v>19</v>
      </c>
      <c r="D82" s="79" t="s">
        <v>20</v>
      </c>
      <c r="E82" s="80" t="s">
        <v>186</v>
      </c>
      <c r="F82" s="81" t="s">
        <v>189</v>
      </c>
      <c r="G82" s="81">
        <v>350</v>
      </c>
      <c r="H82" s="82">
        <v>1512.0</v>
      </c>
      <c r="I82" s="82">
        <v>529200.0</v>
      </c>
      <c r="J82" s="80" t="s">
        <v>190</v>
      </c>
    </row>
    <row r="83" spans="1:10" customHeight="1" ht="20.25">
      <c r="A83" s="79">
        <v>74</v>
      </c>
      <c r="B83" s="80" t="s">
        <v>191</v>
      </c>
      <c r="C83" s="80" t="s">
        <v>19</v>
      </c>
      <c r="D83" s="79" t="s">
        <v>20</v>
      </c>
      <c r="E83" s="80" t="s">
        <v>192</v>
      </c>
      <c r="F83" s="81" t="s">
        <v>189</v>
      </c>
      <c r="G83" s="81">
        <v>5</v>
      </c>
      <c r="H83" s="82">
        <v>1750.0</v>
      </c>
      <c r="I83" s="82">
        <v>8750.0</v>
      </c>
      <c r="J83" s="80"/>
    </row>
    <row r="84" spans="1:10" customHeight="1" ht="20.25">
      <c r="A84" s="79">
        <v>75</v>
      </c>
      <c r="B84" s="80" t="s">
        <v>193</v>
      </c>
      <c r="C84" s="80" t="s">
        <v>19</v>
      </c>
      <c r="D84" s="79" t="s">
        <v>20</v>
      </c>
      <c r="E84" s="80" t="s">
        <v>194</v>
      </c>
      <c r="F84" s="81" t="s">
        <v>26</v>
      </c>
      <c r="G84" s="81">
        <v>10</v>
      </c>
      <c r="H84" s="82">
        <v>1891.0</v>
      </c>
      <c r="I84" s="82">
        <v>18910.0</v>
      </c>
      <c r="J84" s="80"/>
    </row>
    <row r="85" spans="1:10" customHeight="1" ht="20.25">
      <c r="A85" s="79">
        <v>76</v>
      </c>
      <c r="B85" s="80" t="s">
        <v>195</v>
      </c>
      <c r="C85" s="80" t="s">
        <v>19</v>
      </c>
      <c r="D85" s="79" t="s">
        <v>24</v>
      </c>
      <c r="E85" s="80" t="s">
        <v>196</v>
      </c>
      <c r="F85" s="81" t="s">
        <v>26</v>
      </c>
      <c r="G85" s="81">
        <v>5</v>
      </c>
      <c r="H85" s="82">
        <v>2300.0</v>
      </c>
      <c r="I85" s="82">
        <v>11500.0</v>
      </c>
      <c r="J85" s="80"/>
    </row>
    <row r="86" spans="1:10" customHeight="1" ht="20.25">
      <c r="A86" s="79">
        <v>77</v>
      </c>
      <c r="B86" s="80" t="s">
        <v>197</v>
      </c>
      <c r="C86" s="80" t="s">
        <v>19</v>
      </c>
      <c r="D86" s="79" t="s">
        <v>24</v>
      </c>
      <c r="E86" s="80" t="s">
        <v>198</v>
      </c>
      <c r="F86" s="81" t="s">
        <v>26</v>
      </c>
      <c r="G86" s="81">
        <v>5</v>
      </c>
      <c r="H86" s="82">
        <v>2445.0</v>
      </c>
      <c r="I86" s="82">
        <v>12225.0</v>
      </c>
      <c r="J86" s="80"/>
    </row>
    <row r="87" spans="1:10" customHeight="1" ht="20.25">
      <c r="A87" s="79">
        <v>78</v>
      </c>
      <c r="B87" s="80" t="s">
        <v>199</v>
      </c>
      <c r="C87" s="80" t="s">
        <v>19</v>
      </c>
      <c r="D87" s="79" t="s">
        <v>24</v>
      </c>
      <c r="E87" s="80" t="s">
        <v>200</v>
      </c>
      <c r="F87" s="81" t="s">
        <v>118</v>
      </c>
      <c r="G87" s="81">
        <v>2</v>
      </c>
      <c r="H87" s="82">
        <v>2500.0</v>
      </c>
      <c r="I87" s="82">
        <v>5000.0</v>
      </c>
      <c r="J87" s="80"/>
    </row>
    <row r="88" spans="1:10" customHeight="1" ht="20.25">
      <c r="A88" s="79">
        <v>79</v>
      </c>
      <c r="B88" s="80" t="s">
        <v>201</v>
      </c>
      <c r="C88" s="80" t="s">
        <v>19</v>
      </c>
      <c r="D88" s="79" t="s">
        <v>24</v>
      </c>
      <c r="E88" s="80" t="s">
        <v>202</v>
      </c>
      <c r="F88" s="81" t="s">
        <v>26</v>
      </c>
      <c r="G88" s="81">
        <v>15</v>
      </c>
      <c r="H88" s="82">
        <v>2614.0</v>
      </c>
      <c r="I88" s="82">
        <v>39210.0</v>
      </c>
      <c r="J88" s="80"/>
    </row>
    <row r="89" spans="1:10" customHeight="1" ht="20.25">
      <c r="A89" s="79"/>
      <c r="B89" s="80"/>
      <c r="C89" s="80"/>
      <c r="D89" s="79"/>
      <c r="E89" s="80"/>
      <c r="F89" s="81"/>
      <c r="G89" s="81"/>
      <c r="H89" s="82"/>
      <c r="I89" s="82"/>
      <c r="J89" s="80"/>
    </row>
    <row r="90" spans="1:10" customHeight="1" ht="17.25" s="22" customFormat="1">
      <c r="A90" s="23"/>
      <c r="B90" s="27"/>
      <c r="C90" s="27"/>
      <c r="D90" s="23"/>
      <c r="E90" s="80"/>
      <c r="F90" s="23"/>
      <c r="G90" s="23"/>
      <c r="H90" s="24"/>
      <c r="I90" s="24"/>
      <c r="J90" s="80"/>
    </row>
    <row r="91" spans="1:10" customHeight="1" ht="13.5">
      <c r="C91" s="10" t="s">
        <v>203</v>
      </c>
      <c r="H91" s="25" t="s">
        <v>204</v>
      </c>
      <c r="I91" s="26">
        <f>SUM(I10:I90)</f>
        <v>3571444.4</v>
      </c>
      <c r="J91" s="10"/>
    </row>
    <row r="92" spans="1:10" customHeight="1" ht="15">
      <c r="B92" s="11"/>
      <c r="C92" s="12"/>
      <c r="D92" s="12"/>
      <c r="E92" s="13"/>
      <c r="F92" s="9"/>
    </row>
    <row r="93" spans="1:10" customHeight="1" ht="15">
      <c r="B93" s="87" t="s">
        <v>205</v>
      </c>
      <c r="C93" s="88"/>
      <c r="D93" s="88"/>
      <c r="E93" s="89"/>
    </row>
    <row r="94" spans="1:10" customHeight="1" ht="128.25">
      <c r="B94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94" s="94"/>
      <c r="D94" s="94"/>
      <c r="E94" s="95"/>
    </row>
    <row r="95" spans="1:10" customHeight="1" ht="16.5">
      <c r="B95" s="87" t="s">
        <v>207</v>
      </c>
      <c r="C95" s="88"/>
      <c r="D95" s="88"/>
      <c r="E95" s="89"/>
    </row>
    <row r="96" spans="1:10" customHeight="1" ht="15">
      <c r="B96" s="90" t="s">
        <v>208</v>
      </c>
      <c r="C96" s="91"/>
      <c r="D96" s="91"/>
      <c r="E96" s="92"/>
    </row>
    <row r="97" spans="1:10" customHeight="1" ht="15">
      <c r="B97" s="87" t="s">
        <v>209</v>
      </c>
      <c r="C97" s="88"/>
      <c r="D97" s="88"/>
      <c r="E97" s="89"/>
    </row>
    <row r="98" spans="1:10" customHeight="1" ht="15">
      <c r="B98" s="90" t="s">
        <v>210</v>
      </c>
      <c r="C98" s="91"/>
      <c r="D98" s="91"/>
      <c r="E98" s="92"/>
    </row>
    <row r="99" spans="1:10" customHeight="1" ht="15">
      <c r="B99" s="87" t="s">
        <v>211</v>
      </c>
      <c r="C99" s="88"/>
      <c r="D99" s="88"/>
      <c r="E99" s="89"/>
    </row>
    <row r="100" spans="1:10" customHeight="1" ht="31.5">
      <c r="B100" s="84" t="s">
        <v>212</v>
      </c>
      <c r="C100" s="85"/>
      <c r="D100" s="85"/>
      <c r="E100" s="86"/>
    </row>
    <row r="101" spans="1:10" customHeight="1" ht="12.75">
      <c r="C101" s="2"/>
      <c r="D101" s="2"/>
      <c r="E101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98:E98"/>
    <mergeCell ref="A4:B4"/>
    <mergeCell ref="A5:B5"/>
    <mergeCell ref="A6:B6"/>
    <mergeCell ref="A7:B7"/>
    <mergeCell ref="B100:E100"/>
    <mergeCell ref="B93:E93"/>
    <mergeCell ref="B95:E95"/>
    <mergeCell ref="B97:E97"/>
    <mergeCell ref="B99:E99"/>
    <mergeCell ref="B96:E96"/>
    <mergeCell ref="B94:E94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213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214</v>
      </c>
      <c r="G2" s="41" t="s">
        <v>215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216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217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218</v>
      </c>
      <c r="B6" s="128"/>
      <c r="C6" s="112" t="s">
        <v>219</v>
      </c>
      <c r="D6" s="113"/>
      <c r="E6" s="113"/>
      <c r="F6" s="113"/>
      <c r="G6" s="114"/>
    </row>
    <row r="7" spans="1:7" customHeight="1" ht="32.25">
      <c r="A7" s="127" t="s">
        <v>220</v>
      </c>
      <c r="B7" s="128"/>
      <c r="C7" s="112" t="s">
        <v>219</v>
      </c>
      <c r="D7" s="113"/>
      <c r="E7" s="113"/>
      <c r="F7" s="113"/>
      <c r="G7" s="114"/>
    </row>
    <row r="8" spans="1:7" customHeight="1" ht="16.5">
      <c r="A8" s="127" t="s">
        <v>221</v>
      </c>
      <c r="B8" s="128"/>
      <c r="C8" s="112" t="s">
        <v>222</v>
      </c>
      <c r="D8" s="113"/>
      <c r="E8" s="113"/>
      <c r="F8" s="113"/>
      <c r="G8" s="114"/>
    </row>
    <row r="9" spans="1:7" customHeight="1" ht="27.75">
      <c r="A9" s="117" t="s">
        <v>223</v>
      </c>
      <c r="B9" s="118"/>
      <c r="C9" s="124" t="s">
        <v>224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225</v>
      </c>
      <c r="B11" s="131" t="s">
        <v>226</v>
      </c>
      <c r="C11" s="119" t="s">
        <v>227</v>
      </c>
      <c r="D11" s="135" t="s">
        <v>228</v>
      </c>
      <c r="E11" s="135" t="s">
        <v>229</v>
      </c>
      <c r="F11" s="135" t="s">
        <v>230</v>
      </c>
      <c r="G11" s="135" t="s">
        <v>231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201</v>
      </c>
      <c r="C13" s="35" t="s">
        <v>202</v>
      </c>
      <c r="D13" s="31" t="s">
        <v>232</v>
      </c>
      <c r="E13" s="31" t="s">
        <v>26</v>
      </c>
      <c r="F13" s="32">
        <v>3000.0</v>
      </c>
      <c r="G13" s="33">
        <v>5</v>
      </c>
    </row>
    <row r="14" spans="1:7" customHeight="1" ht="15">
      <c r="A14" s="44">
        <v>2</v>
      </c>
      <c r="B14" s="34" t="s">
        <v>158</v>
      </c>
      <c r="C14" s="35" t="s">
        <v>159</v>
      </c>
      <c r="D14" s="31" t="s">
        <v>232</v>
      </c>
      <c r="E14" s="31" t="s">
        <v>26</v>
      </c>
      <c r="F14" s="32">
        <v>500.0</v>
      </c>
      <c r="G14" s="33">
        <v>15</v>
      </c>
    </row>
    <row r="15" spans="1:7" customHeight="1" ht="15">
      <c r="A15" s="44">
        <v>3</v>
      </c>
      <c r="B15" s="34" t="s">
        <v>165</v>
      </c>
      <c r="C15" s="35" t="s">
        <v>166</v>
      </c>
      <c r="D15" s="31" t="s">
        <v>232</v>
      </c>
      <c r="E15" s="31" t="s">
        <v>118</v>
      </c>
      <c r="F15" s="32">
        <v>600.0</v>
      </c>
      <c r="G15" s="33">
        <v>7</v>
      </c>
    </row>
    <row r="16" spans="1:7" customHeight="1" ht="15">
      <c r="A16" s="44">
        <v>4</v>
      </c>
      <c r="B16" s="34" t="s">
        <v>199</v>
      </c>
      <c r="C16" s="35" t="s">
        <v>200</v>
      </c>
      <c r="D16" s="31" t="s">
        <v>232</v>
      </c>
      <c r="E16" s="31" t="s">
        <v>118</v>
      </c>
      <c r="F16" s="32">
        <v>2500.0</v>
      </c>
      <c r="G16" s="33">
        <v>2</v>
      </c>
    </row>
    <row r="17" spans="1:7" customHeight="1" ht="15">
      <c r="A17" s="44">
        <v>5</v>
      </c>
      <c r="B17" s="34" t="s">
        <v>96</v>
      </c>
      <c r="C17" s="35" t="s">
        <v>97</v>
      </c>
      <c r="D17" s="31" t="s">
        <v>232</v>
      </c>
      <c r="E17" s="31" t="s">
        <v>26</v>
      </c>
      <c r="F17" s="32">
        <v>150.0</v>
      </c>
      <c r="G17" s="33">
        <v>50</v>
      </c>
    </row>
    <row r="18" spans="1:7" customHeight="1" ht="15">
      <c r="A18" s="44">
        <v>6</v>
      </c>
      <c r="B18" s="34" t="s">
        <v>116</v>
      </c>
      <c r="C18" s="35" t="s">
        <v>117</v>
      </c>
      <c r="D18" s="31" t="s">
        <v>232</v>
      </c>
      <c r="E18" s="31" t="s">
        <v>118</v>
      </c>
      <c r="F18" s="32">
        <v>200.0</v>
      </c>
      <c r="G18" s="33">
        <v>50</v>
      </c>
    </row>
    <row r="19" spans="1:7" customHeight="1" ht="15">
      <c r="A19" s="44">
        <v>7</v>
      </c>
      <c r="B19" s="34" t="s">
        <v>129</v>
      </c>
      <c r="C19" s="35" t="s">
        <v>130</v>
      </c>
      <c r="D19" s="31" t="s">
        <v>232</v>
      </c>
      <c r="E19" s="31" t="s">
        <v>118</v>
      </c>
      <c r="F19" s="32">
        <v>250.0</v>
      </c>
      <c r="G19" s="33">
        <v>15</v>
      </c>
    </row>
    <row r="20" spans="1:7" customHeight="1" ht="15">
      <c r="A20" s="44">
        <v>8</v>
      </c>
      <c r="B20" s="34" t="s">
        <v>167</v>
      </c>
      <c r="C20" s="35" t="s">
        <v>168</v>
      </c>
      <c r="D20" s="31" t="s">
        <v>233</v>
      </c>
      <c r="E20" s="31" t="s">
        <v>26</v>
      </c>
      <c r="F20" s="32">
        <v>700.0</v>
      </c>
      <c r="G20" s="33">
        <v>15</v>
      </c>
    </row>
    <row r="21" spans="1:7" customHeight="1" ht="15">
      <c r="A21" s="44">
        <v>9</v>
      </c>
      <c r="B21" s="34" t="s">
        <v>119</v>
      </c>
      <c r="C21" s="35" t="s">
        <v>120</v>
      </c>
      <c r="D21" s="31" t="s">
        <v>232</v>
      </c>
      <c r="E21" s="31" t="s">
        <v>26</v>
      </c>
      <c r="F21" s="32">
        <v>200.0</v>
      </c>
      <c r="G21" s="33">
        <v>50</v>
      </c>
    </row>
    <row r="22" spans="1:7" customHeight="1" ht="15">
      <c r="A22" s="44">
        <v>10</v>
      </c>
      <c r="B22" s="34" t="s">
        <v>131</v>
      </c>
      <c r="C22" s="35" t="s">
        <v>133</v>
      </c>
      <c r="D22" s="31" t="s">
        <v>232</v>
      </c>
      <c r="E22" s="31" t="s">
        <v>26</v>
      </c>
      <c r="F22" s="32">
        <v>250.0</v>
      </c>
      <c r="G22" s="33">
        <v>30</v>
      </c>
    </row>
    <row r="23" spans="1:7" customHeight="1" ht="15">
      <c r="A23" s="44">
        <v>11</v>
      </c>
      <c r="B23" s="34" t="s">
        <v>65</v>
      </c>
      <c r="C23" s="35" t="s">
        <v>66</v>
      </c>
      <c r="D23" s="31" t="s">
        <v>232</v>
      </c>
      <c r="E23" s="31" t="s">
        <v>26</v>
      </c>
      <c r="F23" s="32">
        <v>100.0</v>
      </c>
      <c r="G23" s="33">
        <v>30</v>
      </c>
    </row>
    <row r="24" spans="1:7" customHeight="1" ht="15">
      <c r="A24" s="44">
        <v>12</v>
      </c>
      <c r="B24" s="34" t="s">
        <v>86</v>
      </c>
      <c r="C24" s="35" t="s">
        <v>87</v>
      </c>
      <c r="D24" s="31" t="s">
        <v>232</v>
      </c>
      <c r="E24" s="31" t="s">
        <v>26</v>
      </c>
      <c r="F24" s="32">
        <v>130.0</v>
      </c>
      <c r="G24" s="33">
        <v>100</v>
      </c>
    </row>
    <row r="25" spans="1:7" customHeight="1" ht="15">
      <c r="A25" s="44">
        <v>13</v>
      </c>
      <c r="B25" s="34" t="s">
        <v>98</v>
      </c>
      <c r="C25" s="35" t="s">
        <v>99</v>
      </c>
      <c r="D25" s="31" t="s">
        <v>232</v>
      </c>
      <c r="E25" s="31" t="s">
        <v>26</v>
      </c>
      <c r="F25" s="32">
        <v>150.0</v>
      </c>
      <c r="G25" s="33">
        <v>10</v>
      </c>
    </row>
    <row r="26" spans="1:7" customHeight="1" ht="15">
      <c r="A26" s="44">
        <v>14</v>
      </c>
      <c r="B26" s="34" t="s">
        <v>67</v>
      </c>
      <c r="C26" s="35" t="s">
        <v>68</v>
      </c>
      <c r="D26" s="31" t="s">
        <v>232</v>
      </c>
      <c r="E26" s="31" t="s">
        <v>26</v>
      </c>
      <c r="F26" s="32">
        <v>100.0</v>
      </c>
      <c r="G26" s="33">
        <v>10</v>
      </c>
    </row>
    <row r="27" spans="1:7" customHeight="1" ht="15">
      <c r="A27" s="44">
        <v>15</v>
      </c>
      <c r="B27" s="34" t="s">
        <v>170</v>
      </c>
      <c r="C27" s="35" t="s">
        <v>171</v>
      </c>
      <c r="D27" s="31" t="s">
        <v>233</v>
      </c>
      <c r="E27" s="31" t="s">
        <v>26</v>
      </c>
      <c r="F27" s="32">
        <v>700.0</v>
      </c>
      <c r="G27" s="33">
        <v>10</v>
      </c>
    </row>
    <row r="28" spans="1:7" customHeight="1" ht="15">
      <c r="A28" s="44">
        <v>16</v>
      </c>
      <c r="B28" s="34" t="s">
        <v>162</v>
      </c>
      <c r="C28" s="35" t="s">
        <v>163</v>
      </c>
      <c r="D28" s="31" t="s">
        <v>233</v>
      </c>
      <c r="E28" s="31" t="s">
        <v>26</v>
      </c>
      <c r="F28" s="32">
        <v>1000.0</v>
      </c>
      <c r="G28" s="33">
        <v>15</v>
      </c>
    </row>
    <row r="29" spans="1:7" customHeight="1" ht="15">
      <c r="A29" s="44">
        <v>17</v>
      </c>
      <c r="B29" s="34" t="s">
        <v>185</v>
      </c>
      <c r="C29" s="35" t="s">
        <v>186</v>
      </c>
      <c r="D29" s="31" t="s">
        <v>232</v>
      </c>
      <c r="E29" s="31" t="s">
        <v>26</v>
      </c>
      <c r="F29" s="32">
        <v>1500.0</v>
      </c>
      <c r="G29" s="33">
        <v>550</v>
      </c>
    </row>
    <row r="30" spans="1:7" customHeight="1" ht="15">
      <c r="A30" s="44">
        <v>18</v>
      </c>
      <c r="B30" s="34" t="s">
        <v>179</v>
      </c>
      <c r="C30" s="35" t="s">
        <v>180</v>
      </c>
      <c r="D30" s="31" t="s">
        <v>232</v>
      </c>
      <c r="E30" s="31" t="s">
        <v>26</v>
      </c>
      <c r="F30" s="32">
        <v>1200.0</v>
      </c>
      <c r="G30" s="33">
        <v>350</v>
      </c>
    </row>
    <row r="31" spans="1:7" customHeight="1" ht="15">
      <c r="A31" s="44">
        <v>19</v>
      </c>
      <c r="B31" s="34" t="s">
        <v>69</v>
      </c>
      <c r="C31" s="35" t="s">
        <v>70</v>
      </c>
      <c r="D31" s="31" t="s">
        <v>233</v>
      </c>
      <c r="E31" s="31" t="s">
        <v>26</v>
      </c>
      <c r="F31" s="32">
        <v>100.0</v>
      </c>
      <c r="G31" s="33">
        <v>40</v>
      </c>
    </row>
    <row r="32" spans="1:7" customHeight="1" ht="15">
      <c r="A32" s="44">
        <v>20</v>
      </c>
      <c r="B32" s="34" t="s">
        <v>72</v>
      </c>
      <c r="C32" s="35" t="s">
        <v>73</v>
      </c>
      <c r="D32" s="31" t="s">
        <v>233</v>
      </c>
      <c r="E32" s="31" t="s">
        <v>26</v>
      </c>
      <c r="F32" s="32">
        <v>100.0</v>
      </c>
      <c r="G32" s="33">
        <v>20</v>
      </c>
    </row>
    <row r="33" spans="1:7" customHeight="1" ht="15">
      <c r="A33" s="44">
        <v>21</v>
      </c>
      <c r="B33" s="34" t="s">
        <v>146</v>
      </c>
      <c r="C33" s="35" t="s">
        <v>147</v>
      </c>
      <c r="D33" s="31" t="s">
        <v>232</v>
      </c>
      <c r="E33" s="31" t="s">
        <v>26</v>
      </c>
      <c r="F33" s="32">
        <v>350.0</v>
      </c>
      <c r="G33" s="33">
        <v>20</v>
      </c>
    </row>
    <row r="34" spans="1:7" customHeight="1" ht="15">
      <c r="A34" s="44">
        <v>22</v>
      </c>
      <c r="B34" s="34" t="s">
        <v>138</v>
      </c>
      <c r="C34" s="35" t="s">
        <v>139</v>
      </c>
      <c r="D34" s="31" t="s">
        <v>232</v>
      </c>
      <c r="E34" s="31" t="s">
        <v>26</v>
      </c>
      <c r="F34" s="32">
        <v>280.0</v>
      </c>
      <c r="G34" s="33">
        <v>20</v>
      </c>
    </row>
    <row r="35" spans="1:7" customHeight="1" ht="15">
      <c r="A35" s="44">
        <v>23</v>
      </c>
      <c r="B35" s="34" t="s">
        <v>31</v>
      </c>
      <c r="C35" s="35" t="s">
        <v>32</v>
      </c>
      <c r="D35" s="31" t="s">
        <v>232</v>
      </c>
      <c r="E35" s="31" t="s">
        <v>26</v>
      </c>
      <c r="F35" s="32">
        <v>15.0</v>
      </c>
      <c r="G35" s="33">
        <v>500</v>
      </c>
    </row>
    <row r="36" spans="1:7" customHeight="1" ht="15">
      <c r="A36" s="44">
        <v>24</v>
      </c>
      <c r="B36" s="34" t="s">
        <v>33</v>
      </c>
      <c r="C36" s="35" t="s">
        <v>34</v>
      </c>
      <c r="D36" s="31" t="s">
        <v>232</v>
      </c>
      <c r="E36" s="31" t="s">
        <v>26</v>
      </c>
      <c r="F36" s="32">
        <v>15.0</v>
      </c>
      <c r="G36" s="33">
        <v>200</v>
      </c>
    </row>
    <row r="37" spans="1:7" customHeight="1" ht="15">
      <c r="A37" s="44">
        <v>25</v>
      </c>
      <c r="B37" s="34" t="s">
        <v>38</v>
      </c>
      <c r="C37" s="35" t="s">
        <v>39</v>
      </c>
      <c r="D37" s="31" t="s">
        <v>232</v>
      </c>
      <c r="E37" s="31" t="s">
        <v>26</v>
      </c>
      <c r="F37" s="32">
        <v>30.0</v>
      </c>
      <c r="G37" s="33">
        <v>40</v>
      </c>
    </row>
    <row r="38" spans="1:7" customHeight="1" ht="15">
      <c r="A38" s="44">
        <v>26</v>
      </c>
      <c r="B38" s="34" t="s">
        <v>121</v>
      </c>
      <c r="C38" s="35" t="s">
        <v>122</v>
      </c>
      <c r="D38" s="31" t="s">
        <v>232</v>
      </c>
      <c r="E38" s="31" t="s">
        <v>26</v>
      </c>
      <c r="F38" s="32">
        <v>200.0</v>
      </c>
      <c r="G38" s="33">
        <v>10</v>
      </c>
    </row>
    <row r="39" spans="1:7" customHeight="1" ht="15">
      <c r="A39" s="44">
        <v>27</v>
      </c>
      <c r="B39" s="34" t="s">
        <v>75</v>
      </c>
      <c r="C39" s="35" t="s">
        <v>76</v>
      </c>
      <c r="D39" s="31" t="s">
        <v>233</v>
      </c>
      <c r="E39" s="31" t="s">
        <v>26</v>
      </c>
      <c r="F39" s="32">
        <v>100.0</v>
      </c>
      <c r="G39" s="33">
        <v>200</v>
      </c>
    </row>
    <row r="40" spans="1:7" customHeight="1" ht="15">
      <c r="A40" s="44">
        <v>28</v>
      </c>
      <c r="B40" s="34" t="s">
        <v>75</v>
      </c>
      <c r="C40" s="35" t="s">
        <v>76</v>
      </c>
      <c r="D40" s="31" t="s">
        <v>233</v>
      </c>
      <c r="E40" s="31" t="s">
        <v>26</v>
      </c>
      <c r="F40" s="32">
        <v>100.0</v>
      </c>
      <c r="G40" s="33">
        <v>200</v>
      </c>
    </row>
    <row r="41" spans="1:7" customHeight="1" ht="15">
      <c r="A41" s="44">
        <v>29</v>
      </c>
      <c r="B41" s="34" t="s">
        <v>79</v>
      </c>
      <c r="C41" s="35" t="s">
        <v>80</v>
      </c>
      <c r="D41" s="31" t="s">
        <v>233</v>
      </c>
      <c r="E41" s="31" t="s">
        <v>26</v>
      </c>
      <c r="F41" s="32">
        <v>100.0</v>
      </c>
      <c r="G41" s="33">
        <v>200</v>
      </c>
    </row>
    <row r="42" spans="1:7" customHeight="1" ht="15">
      <c r="A42" s="44">
        <v>30</v>
      </c>
      <c r="B42" s="34" t="s">
        <v>79</v>
      </c>
      <c r="C42" s="35" t="s">
        <v>80</v>
      </c>
      <c r="D42" s="31" t="s">
        <v>233</v>
      </c>
      <c r="E42" s="31" t="s">
        <v>26</v>
      </c>
      <c r="F42" s="32">
        <v>100.0</v>
      </c>
      <c r="G42" s="33">
        <v>200</v>
      </c>
    </row>
    <row r="43" spans="1:7" customHeight="1" ht="15">
      <c r="A43" s="44">
        <v>31</v>
      </c>
      <c r="B43" s="34" t="s">
        <v>175</v>
      </c>
      <c r="C43" s="35" t="s">
        <v>176</v>
      </c>
      <c r="D43" s="31" t="s">
        <v>233</v>
      </c>
      <c r="E43" s="31" t="s">
        <v>113</v>
      </c>
      <c r="F43" s="32">
        <v>900.0</v>
      </c>
      <c r="G43" s="33">
        <v>2</v>
      </c>
    </row>
    <row r="44" spans="1:7" customHeight="1" ht="15">
      <c r="A44" s="44">
        <v>32</v>
      </c>
      <c r="B44" s="34" t="s">
        <v>140</v>
      </c>
      <c r="C44" s="35" t="s">
        <v>141</v>
      </c>
      <c r="D44" s="31" t="s">
        <v>233</v>
      </c>
      <c r="E44" s="31" t="s">
        <v>26</v>
      </c>
      <c r="F44" s="32">
        <v>300.0</v>
      </c>
      <c r="G44" s="33">
        <v>20</v>
      </c>
    </row>
    <row r="45" spans="1:7" customHeight="1" ht="15">
      <c r="A45" s="44">
        <v>33</v>
      </c>
      <c r="B45" s="34" t="s">
        <v>187</v>
      </c>
      <c r="C45" s="35" t="s">
        <v>188</v>
      </c>
      <c r="D45" s="31" t="s">
        <v>232</v>
      </c>
      <c r="E45" s="31" t="s">
        <v>26</v>
      </c>
      <c r="F45" s="32">
        <v>1500.0</v>
      </c>
      <c r="G45" s="33">
        <v>20</v>
      </c>
    </row>
    <row r="46" spans="1:7" customHeight="1" ht="15">
      <c r="A46" s="44">
        <v>34</v>
      </c>
      <c r="B46" s="34" t="s">
        <v>51</v>
      </c>
      <c r="C46" s="35" t="s">
        <v>52</v>
      </c>
      <c r="D46" s="31" t="s">
        <v>233</v>
      </c>
      <c r="E46" s="31" t="s">
        <v>26</v>
      </c>
      <c r="F46" s="32">
        <v>50.0</v>
      </c>
      <c r="G46" s="33">
        <v>200</v>
      </c>
    </row>
    <row r="47" spans="1:7" customHeight="1" ht="15">
      <c r="A47" s="44">
        <v>35</v>
      </c>
      <c r="B47" s="34" t="s">
        <v>40</v>
      </c>
      <c r="C47" s="35" t="s">
        <v>41</v>
      </c>
      <c r="D47" s="31" t="s">
        <v>233</v>
      </c>
      <c r="E47" s="31" t="s">
        <v>26</v>
      </c>
      <c r="F47" s="32">
        <v>30.0</v>
      </c>
      <c r="G47" s="33">
        <v>100</v>
      </c>
    </row>
    <row r="48" spans="1:7" customHeight="1" ht="15">
      <c r="A48" s="44">
        <v>36</v>
      </c>
      <c r="B48" s="34" t="s">
        <v>83</v>
      </c>
      <c r="C48" s="35" t="s">
        <v>84</v>
      </c>
      <c r="D48" s="31" t="s">
        <v>233</v>
      </c>
      <c r="E48" s="31" t="s">
        <v>26</v>
      </c>
      <c r="F48" s="32">
        <v>100.0</v>
      </c>
      <c r="G48" s="33">
        <v>40</v>
      </c>
    </row>
    <row r="49" spans="1:7" customHeight="1" ht="15">
      <c r="A49" s="44">
        <v>37</v>
      </c>
      <c r="B49" s="34" t="s">
        <v>143</v>
      </c>
      <c r="C49" s="35" t="s">
        <v>144</v>
      </c>
      <c r="D49" s="31" t="s">
        <v>233</v>
      </c>
      <c r="E49" s="31" t="s">
        <v>118</v>
      </c>
      <c r="F49" s="32">
        <v>300.0</v>
      </c>
      <c r="G49" s="33">
        <v>15</v>
      </c>
    </row>
    <row r="50" spans="1:7" customHeight="1" ht="15">
      <c r="A50" s="44">
        <v>38</v>
      </c>
      <c r="B50" s="34" t="s">
        <v>100</v>
      </c>
      <c r="C50" s="35" t="s">
        <v>101</v>
      </c>
      <c r="D50" s="31" t="s">
        <v>233</v>
      </c>
      <c r="E50" s="31" t="s">
        <v>26</v>
      </c>
      <c r="F50" s="32">
        <v>150.0</v>
      </c>
      <c r="G50" s="33">
        <v>50</v>
      </c>
    </row>
    <row r="51" spans="1:7" customHeight="1" ht="15">
      <c r="A51" s="44">
        <v>39</v>
      </c>
      <c r="B51" s="34" t="s">
        <v>134</v>
      </c>
      <c r="C51" s="35" t="s">
        <v>135</v>
      </c>
      <c r="D51" s="31" t="s">
        <v>232</v>
      </c>
      <c r="E51" s="31" t="s">
        <v>26</v>
      </c>
      <c r="F51" s="32">
        <v>250.0</v>
      </c>
      <c r="G51" s="33">
        <v>5</v>
      </c>
    </row>
    <row r="52" spans="1:7" customHeight="1" ht="15">
      <c r="A52" s="44">
        <v>40</v>
      </c>
      <c r="B52" s="34" t="s">
        <v>148</v>
      </c>
      <c r="C52" s="35" t="s">
        <v>149</v>
      </c>
      <c r="D52" s="31" t="s">
        <v>232</v>
      </c>
      <c r="E52" s="31" t="s">
        <v>26</v>
      </c>
      <c r="F52" s="32">
        <v>400.0</v>
      </c>
      <c r="G52" s="33">
        <v>10</v>
      </c>
    </row>
    <row r="53" spans="1:7" customHeight="1" ht="15">
      <c r="A53" s="44">
        <v>41</v>
      </c>
      <c r="B53" s="34" t="s">
        <v>150</v>
      </c>
      <c r="C53" s="35" t="s">
        <v>151</v>
      </c>
      <c r="D53" s="31" t="s">
        <v>232</v>
      </c>
      <c r="E53" s="31" t="s">
        <v>26</v>
      </c>
      <c r="F53" s="32">
        <v>400.0</v>
      </c>
      <c r="G53" s="33">
        <v>10</v>
      </c>
    </row>
    <row r="54" spans="1:7" customHeight="1" ht="15">
      <c r="A54" s="44">
        <v>42</v>
      </c>
      <c r="B54" s="34" t="s">
        <v>195</v>
      </c>
      <c r="C54" s="35" t="s">
        <v>196</v>
      </c>
      <c r="D54" s="31" t="s">
        <v>232</v>
      </c>
      <c r="E54" s="31" t="s">
        <v>26</v>
      </c>
      <c r="F54" s="32">
        <v>2300.0</v>
      </c>
      <c r="G54" s="33">
        <v>5</v>
      </c>
    </row>
    <row r="55" spans="1:7" customHeight="1" ht="15">
      <c r="A55" s="44">
        <v>43</v>
      </c>
      <c r="B55" s="34" t="s">
        <v>56</v>
      </c>
      <c r="C55" s="35" t="s">
        <v>57</v>
      </c>
      <c r="D55" s="31" t="s">
        <v>233</v>
      </c>
      <c r="E55" s="31" t="s">
        <v>26</v>
      </c>
      <c r="F55" s="32">
        <v>130.0</v>
      </c>
      <c r="G55" s="33">
        <v>80</v>
      </c>
    </row>
    <row r="56" spans="1:7" customHeight="1" ht="15">
      <c r="A56" s="44">
        <v>44</v>
      </c>
      <c r="B56" s="34" t="s">
        <v>103</v>
      </c>
      <c r="C56" s="35" t="s">
        <v>104</v>
      </c>
      <c r="D56" s="31" t="s">
        <v>233</v>
      </c>
      <c r="E56" s="31" t="s">
        <v>26</v>
      </c>
      <c r="F56" s="32">
        <v>150.0</v>
      </c>
      <c r="G56" s="33">
        <v>80</v>
      </c>
    </row>
    <row r="57" spans="1:7" customHeight="1" ht="15">
      <c r="A57" s="44">
        <v>45</v>
      </c>
      <c r="B57" s="34" t="s">
        <v>106</v>
      </c>
      <c r="C57" s="35" t="s">
        <v>107</v>
      </c>
      <c r="D57" s="31" t="s">
        <v>233</v>
      </c>
      <c r="E57" s="31" t="s">
        <v>26</v>
      </c>
      <c r="F57" s="32">
        <v>150.0</v>
      </c>
      <c r="G57" s="33">
        <v>80</v>
      </c>
    </row>
    <row r="58" spans="1:7" customHeight="1" ht="15">
      <c r="A58" s="44"/>
      <c r="B58" s="34"/>
      <c r="C58" s="35"/>
      <c r="D58" s="31"/>
      <c r="E58" s="31"/>
      <c r="F58" s="32"/>
      <c r="G58" s="33"/>
    </row>
    <row r="59" spans="1:7" customHeight="1" ht="15.75">
      <c r="A59" s="45"/>
      <c r="B59" s="36"/>
      <c r="C59" s="37"/>
      <c r="D59" s="28"/>
      <c r="E59" s="28"/>
      <c r="F59" s="29"/>
      <c r="G59" s="30"/>
    </row>
    <row r="60" spans="1:7" customHeight="1" ht="20.25">
      <c r="A60" s="122" t="s">
        <v>234</v>
      </c>
      <c r="B60" s="123"/>
      <c r="C60" s="133" t="s">
        <v>235</v>
      </c>
      <c r="D60" s="133"/>
      <c r="E60" s="134"/>
      <c r="F60" s="121">
        <f>SUMPRODUCT(F13:F59,G13:G59)</f>
        <v>1600700</v>
      </c>
      <c r="G60" s="121"/>
    </row>
    <row r="64" spans="1:7" customHeight="1" ht="13.5"/>
    <row r="65" spans="1:7" customHeight="1" ht="15.75">
      <c r="A65" s="46"/>
      <c r="B65" s="115" t="s">
        <v>236</v>
      </c>
      <c r="C65" s="115"/>
      <c r="D65" s="116"/>
    </row>
    <row r="66" spans="1:7" customHeight="1" ht="18.75">
      <c r="A66" s="47" t="s">
        <v>237</v>
      </c>
      <c r="B66" s="48" t="s">
        <v>169</v>
      </c>
      <c r="C66" s="49"/>
      <c r="D66" s="50"/>
    </row>
    <row r="67" spans="1:7" customHeight="1" ht="18.75">
      <c r="A67" s="47" t="s">
        <v>238</v>
      </c>
      <c r="B67" s="48" t="s">
        <v>172</v>
      </c>
      <c r="C67" s="49"/>
      <c r="D67" s="50"/>
    </row>
    <row r="68" spans="1:7" customHeight="1" ht="18.75">
      <c r="A68" s="47" t="s">
        <v>239</v>
      </c>
      <c r="B68" s="48" t="s">
        <v>178</v>
      </c>
      <c r="C68" s="49"/>
      <c r="D68" s="50"/>
    </row>
    <row r="69" spans="1:7" customHeight="1" ht="18.75">
      <c r="A69" s="47" t="s">
        <v>240</v>
      </c>
      <c r="B69" s="48" t="s">
        <v>71</v>
      </c>
      <c r="C69" s="49"/>
      <c r="D69" s="50"/>
    </row>
    <row r="70" spans="1:7" customHeight="1" ht="18.75">
      <c r="A70" s="47" t="s">
        <v>241</v>
      </c>
      <c r="B70" s="48" t="s">
        <v>74</v>
      </c>
      <c r="C70" s="49"/>
      <c r="D70" s="50"/>
    </row>
    <row r="71" spans="1:7" customHeight="1" ht="18.75">
      <c r="A71" s="47" t="s">
        <v>242</v>
      </c>
      <c r="B71" s="48" t="s">
        <v>77</v>
      </c>
      <c r="C71" s="49"/>
      <c r="D71" s="50"/>
    </row>
    <row r="72" spans="1:7" customHeight="1" ht="18.75">
      <c r="A72" s="47" t="s">
        <v>243</v>
      </c>
      <c r="B72" s="48" t="s">
        <v>78</v>
      </c>
      <c r="C72" s="49"/>
      <c r="D72" s="50"/>
    </row>
    <row r="73" spans="1:7" customHeight="1" ht="18.75">
      <c r="A73" s="47" t="s">
        <v>244</v>
      </c>
      <c r="B73" s="48" t="s">
        <v>81</v>
      </c>
      <c r="C73" s="49"/>
      <c r="D73" s="50"/>
    </row>
    <row r="74" spans="1:7" customHeight="1" ht="18.75">
      <c r="A74" s="47" t="s">
        <v>245</v>
      </c>
      <c r="B74" s="48" t="s">
        <v>82</v>
      </c>
      <c r="C74" s="49"/>
      <c r="D74" s="50"/>
    </row>
    <row r="75" spans="1:7" customHeight="1" ht="18.75">
      <c r="A75" s="47" t="s">
        <v>246</v>
      </c>
      <c r="B75" s="48" t="s">
        <v>177</v>
      </c>
      <c r="C75" s="49"/>
      <c r="D75" s="50"/>
    </row>
    <row r="76" spans="1:7" customHeight="1" ht="18.75">
      <c r="A76" s="47" t="s">
        <v>247</v>
      </c>
      <c r="B76" s="48" t="s">
        <v>142</v>
      </c>
      <c r="C76" s="49"/>
      <c r="D76" s="50"/>
    </row>
    <row r="77" spans="1:7" customHeight="1" ht="18.75">
      <c r="A77" s="47" t="s">
        <v>248</v>
      </c>
      <c r="B77" s="48" t="s">
        <v>53</v>
      </c>
      <c r="C77" s="49"/>
      <c r="D77" s="50"/>
    </row>
    <row r="78" spans="1:7" customHeight="1" ht="18.75">
      <c r="A78" s="47" t="s">
        <v>249</v>
      </c>
      <c r="B78" s="48" t="s">
        <v>42</v>
      </c>
      <c r="C78" s="49"/>
      <c r="D78" s="50"/>
    </row>
    <row r="79" spans="1:7" customHeight="1" ht="18.75">
      <c r="A79" s="47" t="s">
        <v>250</v>
      </c>
      <c r="B79" s="48" t="s">
        <v>85</v>
      </c>
      <c r="C79" s="49"/>
      <c r="D79" s="50"/>
    </row>
    <row r="80" spans="1:7" customHeight="1" ht="18.75">
      <c r="A80" s="47" t="s">
        <v>251</v>
      </c>
      <c r="B80" s="48" t="s">
        <v>145</v>
      </c>
      <c r="C80" s="49"/>
      <c r="D80" s="50"/>
    </row>
    <row r="81" spans="1:7" customHeight="1" ht="18.75">
      <c r="A81" s="47" t="s">
        <v>252</v>
      </c>
      <c r="B81" s="48" t="s">
        <v>102</v>
      </c>
      <c r="C81" s="49"/>
      <c r="D81" s="50"/>
    </row>
    <row r="82" spans="1:7" customHeight="1" ht="18.75">
      <c r="A82" s="47" t="s">
        <v>253</v>
      </c>
      <c r="B82" s="48" t="s">
        <v>88</v>
      </c>
      <c r="C82" s="49"/>
      <c r="D82" s="50"/>
    </row>
    <row r="83" spans="1:7" customHeight="1" ht="18.75">
      <c r="A83" s="47" t="s">
        <v>254</v>
      </c>
      <c r="B83" s="48" t="s">
        <v>105</v>
      </c>
      <c r="C83" s="49"/>
      <c r="D83" s="50"/>
    </row>
    <row r="84" spans="1:7" customHeight="1" ht="18.75">
      <c r="A84" s="47" t="s">
        <v>255</v>
      </c>
      <c r="B84" s="48" t="s">
        <v>108</v>
      </c>
      <c r="C84" s="49"/>
      <c r="D84" s="50"/>
    </row>
    <row r="85" spans="1:7" customHeight="1" ht="18.75">
      <c r="A85" s="47"/>
      <c r="B85" s="48"/>
      <c r="C85" s="49"/>
      <c r="D85" s="50"/>
    </row>
    <row r="86" spans="1:7" customHeight="1" ht="18.75">
      <c r="A86" s="51"/>
      <c r="B86" s="52"/>
      <c r="C86" s="53"/>
      <c r="D8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60:B60"/>
    <mergeCell ref="C9:G9"/>
    <mergeCell ref="A8:B8"/>
    <mergeCell ref="A11:A12"/>
    <mergeCell ref="B11:B12"/>
    <mergeCell ref="C60:E60"/>
    <mergeCell ref="F11:F12"/>
    <mergeCell ref="G11:G12"/>
    <mergeCell ref="E11:E12"/>
    <mergeCell ref="A1:G1"/>
    <mergeCell ref="C4:G4"/>
    <mergeCell ref="C5:G5"/>
    <mergeCell ref="C6:G6"/>
    <mergeCell ref="C7:G7"/>
    <mergeCell ref="B65:D65"/>
    <mergeCell ref="C8:G8"/>
    <mergeCell ref="A9:B9"/>
    <mergeCell ref="C11:C12"/>
    <mergeCell ref="F60:G60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256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257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217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218</v>
      </c>
      <c r="B6" s="165"/>
      <c r="C6" s="165"/>
      <c r="D6" s="165"/>
      <c r="E6" s="165"/>
      <c r="F6" s="166"/>
      <c r="G6" s="163" t="s">
        <v>219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220</v>
      </c>
      <c r="B7" s="165"/>
      <c r="C7" s="165"/>
      <c r="D7" s="165"/>
      <c r="E7" s="165"/>
      <c r="F7" s="166"/>
      <c r="G7" s="170" t="s">
        <v>219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258</v>
      </c>
      <c r="B8" s="139"/>
      <c r="C8" s="139" t="s">
        <v>222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259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260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261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262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263</v>
      </c>
      <c r="P13" s="149"/>
      <c r="Q13" s="152" t="s">
        <v>264</v>
      </c>
    </row>
    <row r="14" spans="1:17" customHeight="1" ht="15.75">
      <c r="A14" s="66" t="s">
        <v>265</v>
      </c>
      <c r="B14" s="66" t="s">
        <v>266</v>
      </c>
      <c r="C14" s="66" t="s">
        <v>267</v>
      </c>
      <c r="D14" s="66" t="s">
        <v>268</v>
      </c>
      <c r="E14" s="66" t="s">
        <v>269</v>
      </c>
      <c r="F14" s="66" t="s">
        <v>270</v>
      </c>
      <c r="G14" s="67" t="s">
        <v>271</v>
      </c>
      <c r="H14" s="66" t="s">
        <v>272</v>
      </c>
      <c r="I14" s="66" t="s">
        <v>273</v>
      </c>
      <c r="J14" s="66" t="s">
        <v>274</v>
      </c>
      <c r="K14" s="66" t="s">
        <v>274</v>
      </c>
      <c r="L14" s="66" t="s">
        <v>275</v>
      </c>
      <c r="M14" s="66" t="s">
        <v>276</v>
      </c>
      <c r="N14" s="66" t="s">
        <v>277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3</v>
      </c>
      <c r="K15" s="69">
        <v>1</v>
      </c>
      <c r="L15" s="69">
        <v>0</v>
      </c>
      <c r="M15" s="70">
        <v>1</v>
      </c>
      <c r="N15" s="83">
        <v>11</v>
      </c>
      <c r="O15" s="78" t="s">
        <v>278</v>
      </c>
      <c r="P15" s="77"/>
      <c r="Q15" s="71">
        <v>1310000.0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3</v>
      </c>
      <c r="K16" s="69">
        <v>4</v>
      </c>
      <c r="L16" s="69">
        <v>0</v>
      </c>
      <c r="M16" s="70">
        <v>1</v>
      </c>
      <c r="N16" s="83">
        <v>11</v>
      </c>
      <c r="O16" s="78" t="s">
        <v>279</v>
      </c>
      <c r="P16" s="77"/>
      <c r="Q16" s="71">
        <v>7500.0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2</v>
      </c>
      <c r="L17" s="69">
        <v>0</v>
      </c>
      <c r="M17" s="70">
        <v>1</v>
      </c>
      <c r="N17" s="83">
        <v>11</v>
      </c>
      <c r="O17" s="78" t="s">
        <v>280</v>
      </c>
      <c r="P17" s="77"/>
      <c r="Q17" s="71">
        <v>283200.0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281</v>
      </c>
      <c r="B20" s="155"/>
      <c r="C20" s="156" t="s">
        <v>235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1600700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282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224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283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213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214</v>
      </c>
      <c r="G2" s="41" t="s">
        <v>284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216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217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218</v>
      </c>
      <c r="B6" s="128"/>
      <c r="C6" s="112" t="s">
        <v>285</v>
      </c>
      <c r="D6" s="113"/>
      <c r="E6" s="113"/>
      <c r="F6" s="113"/>
      <c r="G6" s="114"/>
    </row>
    <row r="7" spans="1:7" customHeight="1" ht="32.25">
      <c r="A7" s="127" t="s">
        <v>220</v>
      </c>
      <c r="B7" s="128"/>
      <c r="C7" s="112" t="s">
        <v>285</v>
      </c>
      <c r="D7" s="113"/>
      <c r="E7" s="113"/>
      <c r="F7" s="113"/>
      <c r="G7" s="114"/>
    </row>
    <row r="8" spans="1:7" customHeight="1" ht="16.5">
      <c r="A8" s="127" t="s">
        <v>221</v>
      </c>
      <c r="B8" s="128"/>
      <c r="C8" s="112" t="s">
        <v>222</v>
      </c>
      <c r="D8" s="113"/>
      <c r="E8" s="113"/>
      <c r="F8" s="113"/>
      <c r="G8" s="114"/>
    </row>
    <row r="9" spans="1:7" customHeight="1" ht="27.75">
      <c r="A9" s="117" t="s">
        <v>223</v>
      </c>
      <c r="B9" s="118"/>
      <c r="C9" s="124" t="s">
        <v>224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225</v>
      </c>
      <c r="B11" s="131" t="s">
        <v>226</v>
      </c>
      <c r="C11" s="119" t="s">
        <v>227</v>
      </c>
      <c r="D11" s="135" t="s">
        <v>228</v>
      </c>
      <c r="E11" s="135" t="s">
        <v>229</v>
      </c>
      <c r="F11" s="135" t="s">
        <v>230</v>
      </c>
      <c r="G11" s="135" t="s">
        <v>231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201</v>
      </c>
      <c r="C13" s="35" t="s">
        <v>202</v>
      </c>
      <c r="D13" s="31" t="s">
        <v>232</v>
      </c>
      <c r="E13" s="31" t="s">
        <v>62</v>
      </c>
      <c r="F13" s="32">
        <v>2614.0</v>
      </c>
      <c r="G13" s="33">
        <v>10</v>
      </c>
    </row>
    <row r="14" spans="1:7" customHeight="1" ht="15">
      <c r="A14" s="44">
        <v>2</v>
      </c>
      <c r="B14" s="34" t="s">
        <v>152</v>
      </c>
      <c r="C14" s="35" t="s">
        <v>153</v>
      </c>
      <c r="D14" s="31" t="s">
        <v>233</v>
      </c>
      <c r="E14" s="31" t="s">
        <v>154</v>
      </c>
      <c r="F14" s="32">
        <v>450.0</v>
      </c>
      <c r="G14" s="33">
        <v>20</v>
      </c>
    </row>
    <row r="15" spans="1:7" customHeight="1" ht="15">
      <c r="A15" s="44">
        <v>3</v>
      </c>
      <c r="B15" s="34" t="s">
        <v>127</v>
      </c>
      <c r="C15" s="35" t="s">
        <v>128</v>
      </c>
      <c r="D15" s="31" t="s">
        <v>232</v>
      </c>
      <c r="E15" s="31" t="s">
        <v>62</v>
      </c>
      <c r="F15" s="32">
        <v>231.0</v>
      </c>
      <c r="G15" s="33">
        <v>50</v>
      </c>
    </row>
    <row r="16" spans="1:7" customHeight="1" ht="15">
      <c r="A16" s="44">
        <v>4</v>
      </c>
      <c r="B16" s="34" t="s">
        <v>173</v>
      </c>
      <c r="C16" s="35" t="s">
        <v>174</v>
      </c>
      <c r="D16" s="31" t="s">
        <v>232</v>
      </c>
      <c r="E16" s="31" t="s">
        <v>62</v>
      </c>
      <c r="F16" s="32">
        <v>820.0</v>
      </c>
      <c r="G16" s="33">
        <v>50</v>
      </c>
    </row>
    <row r="17" spans="1:7" customHeight="1" ht="15">
      <c r="A17" s="44">
        <v>5</v>
      </c>
      <c r="B17" s="34" t="s">
        <v>60</v>
      </c>
      <c r="C17" s="35" t="s">
        <v>61</v>
      </c>
      <c r="D17" s="31" t="s">
        <v>233</v>
      </c>
      <c r="E17" s="31" t="s">
        <v>62</v>
      </c>
      <c r="F17" s="32">
        <v>83.0</v>
      </c>
      <c r="G17" s="33">
        <v>1500</v>
      </c>
    </row>
    <row r="18" spans="1:7" customHeight="1" ht="15">
      <c r="A18" s="44">
        <v>6</v>
      </c>
      <c r="B18" s="34" t="s">
        <v>60</v>
      </c>
      <c r="C18" s="35" t="s">
        <v>61</v>
      </c>
      <c r="D18" s="31" t="s">
        <v>233</v>
      </c>
      <c r="E18" s="31" t="s">
        <v>62</v>
      </c>
      <c r="F18" s="32">
        <v>83.0</v>
      </c>
      <c r="G18" s="33">
        <v>1500</v>
      </c>
    </row>
    <row r="19" spans="1:7" customHeight="1" ht="15">
      <c r="A19" s="44">
        <v>7</v>
      </c>
      <c r="B19" s="34" t="s">
        <v>116</v>
      </c>
      <c r="C19" s="35" t="s">
        <v>117</v>
      </c>
      <c r="D19" s="31" t="s">
        <v>232</v>
      </c>
      <c r="E19" s="31" t="s">
        <v>154</v>
      </c>
      <c r="F19" s="32">
        <v>150.0</v>
      </c>
      <c r="G19" s="33">
        <v>200</v>
      </c>
    </row>
    <row r="20" spans="1:7" customHeight="1" ht="15">
      <c r="A20" s="44">
        <v>8</v>
      </c>
      <c r="B20" s="34" t="s">
        <v>93</v>
      </c>
      <c r="C20" s="35" t="s">
        <v>94</v>
      </c>
      <c r="D20" s="31" t="s">
        <v>233</v>
      </c>
      <c r="E20" s="31" t="s">
        <v>62</v>
      </c>
      <c r="F20" s="32">
        <v>149.0</v>
      </c>
      <c r="G20" s="33">
        <v>300</v>
      </c>
    </row>
    <row r="21" spans="1:7" customHeight="1" ht="15">
      <c r="A21" s="44">
        <v>9</v>
      </c>
      <c r="B21" s="34" t="s">
        <v>109</v>
      </c>
      <c r="C21" s="35" t="s">
        <v>110</v>
      </c>
      <c r="D21" s="31" t="s">
        <v>233</v>
      </c>
      <c r="E21" s="31" t="s">
        <v>26</v>
      </c>
      <c r="F21" s="32">
        <v>159.0</v>
      </c>
      <c r="G21" s="33">
        <v>300</v>
      </c>
    </row>
    <row r="22" spans="1:7" customHeight="1" ht="15">
      <c r="A22" s="44">
        <v>10</v>
      </c>
      <c r="B22" s="34" t="s">
        <v>160</v>
      </c>
      <c r="C22" s="35" t="s">
        <v>161</v>
      </c>
      <c r="D22" s="31" t="s">
        <v>232</v>
      </c>
      <c r="E22" s="31" t="s">
        <v>26</v>
      </c>
      <c r="F22" s="32">
        <v>520.0</v>
      </c>
      <c r="G22" s="33">
        <v>50</v>
      </c>
    </row>
    <row r="23" spans="1:7" customHeight="1" ht="15">
      <c r="A23" s="44">
        <v>11</v>
      </c>
      <c r="B23" s="34" t="s">
        <v>136</v>
      </c>
      <c r="C23" s="35" t="s">
        <v>137</v>
      </c>
      <c r="D23" s="31" t="s">
        <v>232</v>
      </c>
      <c r="E23" s="31" t="s">
        <v>26</v>
      </c>
      <c r="F23" s="32">
        <v>250.0</v>
      </c>
      <c r="G23" s="33">
        <v>150</v>
      </c>
    </row>
    <row r="24" spans="1:7" customHeight="1" ht="15">
      <c r="A24" s="44">
        <v>12</v>
      </c>
      <c r="B24" s="34" t="s">
        <v>111</v>
      </c>
      <c r="C24" s="35" t="s">
        <v>112</v>
      </c>
      <c r="D24" s="31" t="s">
        <v>232</v>
      </c>
      <c r="E24" s="31" t="s">
        <v>113</v>
      </c>
      <c r="F24" s="32">
        <v>185.0</v>
      </c>
      <c r="G24" s="33">
        <v>20</v>
      </c>
    </row>
    <row r="25" spans="1:7" customHeight="1" ht="15">
      <c r="A25" s="44">
        <v>13</v>
      </c>
      <c r="B25" s="34" t="s">
        <v>114</v>
      </c>
      <c r="C25" s="35" t="s">
        <v>115</v>
      </c>
      <c r="D25" s="31" t="s">
        <v>232</v>
      </c>
      <c r="E25" s="31" t="s">
        <v>26</v>
      </c>
      <c r="F25" s="32">
        <v>190.0</v>
      </c>
      <c r="G25" s="33">
        <v>300</v>
      </c>
    </row>
    <row r="26" spans="1:7" customHeight="1" ht="15">
      <c r="A26" s="44">
        <v>14</v>
      </c>
      <c r="B26" s="34" t="s">
        <v>23</v>
      </c>
      <c r="C26" s="35" t="s">
        <v>25</v>
      </c>
      <c r="D26" s="31" t="s">
        <v>232</v>
      </c>
      <c r="E26" s="31" t="s">
        <v>26</v>
      </c>
      <c r="F26" s="32">
        <v>8.2</v>
      </c>
      <c r="G26" s="33">
        <v>300</v>
      </c>
    </row>
    <row r="27" spans="1:7" customHeight="1" ht="15">
      <c r="A27" s="44">
        <v>15</v>
      </c>
      <c r="B27" s="34" t="s">
        <v>27</v>
      </c>
      <c r="C27" s="35" t="s">
        <v>28</v>
      </c>
      <c r="D27" s="31" t="s">
        <v>232</v>
      </c>
      <c r="E27" s="31" t="s">
        <v>26</v>
      </c>
      <c r="F27" s="32">
        <v>9.5</v>
      </c>
      <c r="G27" s="33">
        <v>300</v>
      </c>
    </row>
    <row r="28" spans="1:7" customHeight="1" ht="15">
      <c r="A28" s="44">
        <v>16</v>
      </c>
      <c r="B28" s="34" t="s">
        <v>43</v>
      </c>
      <c r="C28" s="35" t="s">
        <v>44</v>
      </c>
      <c r="D28" s="31" t="s">
        <v>232</v>
      </c>
      <c r="E28" s="31" t="s">
        <v>26</v>
      </c>
      <c r="F28" s="32">
        <v>35.5</v>
      </c>
      <c r="G28" s="33">
        <v>100</v>
      </c>
    </row>
    <row r="29" spans="1:7" customHeight="1" ht="15">
      <c r="A29" s="44">
        <v>17</v>
      </c>
      <c r="B29" s="34" t="s">
        <v>89</v>
      </c>
      <c r="C29" s="35" t="s">
        <v>90</v>
      </c>
      <c r="D29" s="31" t="s">
        <v>233</v>
      </c>
      <c r="E29" s="31" t="s">
        <v>26</v>
      </c>
      <c r="F29" s="32">
        <v>130.0</v>
      </c>
      <c r="G29" s="33">
        <v>100</v>
      </c>
    </row>
    <row r="30" spans="1:7" customHeight="1" ht="15">
      <c r="A30" s="44">
        <v>18</v>
      </c>
      <c r="B30" s="34" t="s">
        <v>89</v>
      </c>
      <c r="C30" s="35" t="s">
        <v>90</v>
      </c>
      <c r="D30" s="31" t="s">
        <v>233</v>
      </c>
      <c r="E30" s="31" t="s">
        <v>26</v>
      </c>
      <c r="F30" s="32">
        <v>130.0</v>
      </c>
      <c r="G30" s="33">
        <v>100</v>
      </c>
    </row>
    <row r="31" spans="1:7" customHeight="1" ht="15">
      <c r="A31" s="44">
        <v>19</v>
      </c>
      <c r="B31" s="34" t="s">
        <v>123</v>
      </c>
      <c r="C31" s="35" t="s">
        <v>124</v>
      </c>
      <c r="D31" s="31" t="s">
        <v>232</v>
      </c>
      <c r="E31" s="31" t="s">
        <v>26</v>
      </c>
      <c r="F31" s="32">
        <v>200.0</v>
      </c>
      <c r="G31" s="33">
        <v>200</v>
      </c>
    </row>
    <row r="32" spans="1:7" customHeight="1" ht="15">
      <c r="A32" s="44">
        <v>20</v>
      </c>
      <c r="B32" s="34" t="s">
        <v>48</v>
      </c>
      <c r="C32" s="35" t="s">
        <v>49</v>
      </c>
      <c r="D32" s="31" t="s">
        <v>233</v>
      </c>
      <c r="E32" s="31" t="s">
        <v>26</v>
      </c>
      <c r="F32" s="32">
        <v>49.0</v>
      </c>
      <c r="G32" s="33">
        <v>200</v>
      </c>
    </row>
    <row r="33" spans="1:7" customHeight="1" ht="15">
      <c r="A33" s="44">
        <v>21</v>
      </c>
      <c r="B33" s="34" t="s">
        <v>162</v>
      </c>
      <c r="C33" s="35" t="s">
        <v>163</v>
      </c>
      <c r="D33" s="31" t="s">
        <v>233</v>
      </c>
      <c r="E33" s="31" t="s">
        <v>26</v>
      </c>
      <c r="F33" s="32">
        <v>590.0</v>
      </c>
      <c r="G33" s="33">
        <v>150</v>
      </c>
    </row>
    <row r="34" spans="1:7" customHeight="1" ht="15">
      <c r="A34" s="44">
        <v>22</v>
      </c>
      <c r="B34" s="34" t="s">
        <v>193</v>
      </c>
      <c r="C34" s="35" t="s">
        <v>194</v>
      </c>
      <c r="D34" s="31" t="s">
        <v>232</v>
      </c>
      <c r="E34" s="31" t="s">
        <v>26</v>
      </c>
      <c r="F34" s="32">
        <v>1891.0</v>
      </c>
      <c r="G34" s="33">
        <v>10</v>
      </c>
    </row>
    <row r="35" spans="1:7" customHeight="1" ht="15">
      <c r="A35" s="44">
        <v>23</v>
      </c>
      <c r="B35" s="34" t="s">
        <v>183</v>
      </c>
      <c r="C35" s="35" t="s">
        <v>184</v>
      </c>
      <c r="D35" s="31" t="s">
        <v>232</v>
      </c>
      <c r="E35" s="31" t="s">
        <v>26</v>
      </c>
      <c r="F35" s="32">
        <v>1395.0</v>
      </c>
      <c r="G35" s="33">
        <v>10</v>
      </c>
    </row>
    <row r="36" spans="1:7" customHeight="1" ht="15">
      <c r="A36" s="44">
        <v>24</v>
      </c>
      <c r="B36" s="34" t="s">
        <v>185</v>
      </c>
      <c r="C36" s="35" t="s">
        <v>186</v>
      </c>
      <c r="D36" s="31" t="s">
        <v>233</v>
      </c>
      <c r="E36" s="31" t="s">
        <v>189</v>
      </c>
      <c r="F36" s="32">
        <v>1512.0</v>
      </c>
      <c r="G36" s="33">
        <v>350</v>
      </c>
    </row>
    <row r="37" spans="1:7" customHeight="1" ht="15">
      <c r="A37" s="44">
        <v>25</v>
      </c>
      <c r="B37" s="34" t="s">
        <v>179</v>
      </c>
      <c r="C37" s="35" t="s">
        <v>180</v>
      </c>
      <c r="D37" s="31" t="s">
        <v>233</v>
      </c>
      <c r="E37" s="31" t="s">
        <v>181</v>
      </c>
      <c r="F37" s="32">
        <v>1095.0</v>
      </c>
      <c r="G37" s="33">
        <v>350</v>
      </c>
    </row>
    <row r="38" spans="1:7" customHeight="1" ht="15">
      <c r="A38" s="44">
        <v>26</v>
      </c>
      <c r="B38" s="34" t="s">
        <v>197</v>
      </c>
      <c r="C38" s="35" t="s">
        <v>198</v>
      </c>
      <c r="D38" s="31" t="s">
        <v>232</v>
      </c>
      <c r="E38" s="31" t="s">
        <v>26</v>
      </c>
      <c r="F38" s="32">
        <v>2445.0</v>
      </c>
      <c r="G38" s="33">
        <v>5</v>
      </c>
    </row>
    <row r="39" spans="1:7" customHeight="1" ht="15">
      <c r="A39" s="44">
        <v>27</v>
      </c>
      <c r="B39" s="34" t="s">
        <v>125</v>
      </c>
      <c r="C39" s="35" t="s">
        <v>126</v>
      </c>
      <c r="D39" s="31" t="s">
        <v>232</v>
      </c>
      <c r="E39" s="31" t="s">
        <v>26</v>
      </c>
      <c r="F39" s="32">
        <v>219.0</v>
      </c>
      <c r="G39" s="33">
        <v>20</v>
      </c>
    </row>
    <row r="40" spans="1:7" customHeight="1" ht="15">
      <c r="A40" s="44">
        <v>28</v>
      </c>
      <c r="B40" s="34" t="s">
        <v>56</v>
      </c>
      <c r="C40" s="35" t="s">
        <v>57</v>
      </c>
      <c r="D40" s="31" t="s">
        <v>233</v>
      </c>
      <c r="E40" s="31" t="s">
        <v>26</v>
      </c>
      <c r="F40" s="32">
        <v>82.0</v>
      </c>
      <c r="G40" s="33">
        <v>150</v>
      </c>
    </row>
    <row r="41" spans="1:7" customHeight="1" ht="15">
      <c r="A41" s="44">
        <v>29</v>
      </c>
      <c r="B41" s="34" t="s">
        <v>56</v>
      </c>
      <c r="C41" s="35" t="s">
        <v>57</v>
      </c>
      <c r="D41" s="31" t="s">
        <v>233</v>
      </c>
      <c r="E41" s="31" t="s">
        <v>26</v>
      </c>
      <c r="F41" s="32">
        <v>82.0</v>
      </c>
      <c r="G41" s="33">
        <v>150</v>
      </c>
    </row>
    <row r="42" spans="1:7" customHeight="1" ht="15">
      <c r="A42" s="44">
        <v>30</v>
      </c>
      <c r="B42" s="34" t="s">
        <v>18</v>
      </c>
      <c r="C42" s="35" t="s">
        <v>21</v>
      </c>
      <c r="D42" s="31" t="s">
        <v>232</v>
      </c>
      <c r="E42" s="31" t="s">
        <v>22</v>
      </c>
      <c r="F42" s="32">
        <v>8.0</v>
      </c>
      <c r="G42" s="33">
        <v>3000</v>
      </c>
    </row>
    <row r="43" spans="1:7" customHeight="1" ht="15">
      <c r="A43" s="44">
        <v>31</v>
      </c>
      <c r="B43" s="34" t="s">
        <v>191</v>
      </c>
      <c r="C43" s="35" t="s">
        <v>192</v>
      </c>
      <c r="D43" s="31" t="s">
        <v>232</v>
      </c>
      <c r="E43" s="31" t="s">
        <v>189</v>
      </c>
      <c r="F43" s="32">
        <v>1750.0</v>
      </c>
      <c r="G43" s="33">
        <v>5</v>
      </c>
    </row>
    <row r="44" spans="1:7" customHeight="1" ht="15">
      <c r="A44" s="44">
        <v>32</v>
      </c>
      <c r="B44" s="34" t="s">
        <v>35</v>
      </c>
      <c r="C44" s="35" t="s">
        <v>36</v>
      </c>
      <c r="D44" s="31" t="s">
        <v>232</v>
      </c>
      <c r="E44" s="31" t="s">
        <v>37</v>
      </c>
      <c r="F44" s="32">
        <v>21.08</v>
      </c>
      <c r="G44" s="33">
        <v>800</v>
      </c>
    </row>
    <row r="45" spans="1:7" customHeight="1" ht="15">
      <c r="A45" s="44">
        <v>33</v>
      </c>
      <c r="B45" s="34" t="s">
        <v>29</v>
      </c>
      <c r="C45" s="35" t="s">
        <v>30</v>
      </c>
      <c r="D45" s="31" t="s">
        <v>232</v>
      </c>
      <c r="E45" s="31" t="s">
        <v>26</v>
      </c>
      <c r="F45" s="32">
        <v>10.2</v>
      </c>
      <c r="G45" s="33">
        <v>1200</v>
      </c>
    </row>
    <row r="46" spans="1:7" customHeight="1" ht="15">
      <c r="A46" s="44">
        <v>34</v>
      </c>
      <c r="B46" s="34" t="s">
        <v>156</v>
      </c>
      <c r="C46" s="35" t="s">
        <v>157</v>
      </c>
      <c r="D46" s="31" t="s">
        <v>232</v>
      </c>
      <c r="E46" s="31" t="s">
        <v>26</v>
      </c>
      <c r="F46" s="32">
        <v>456.52</v>
      </c>
      <c r="G46" s="33">
        <v>20</v>
      </c>
    </row>
    <row r="47" spans="1:7" customHeight="1" ht="15">
      <c r="A47" s="44">
        <v>35</v>
      </c>
      <c r="B47" s="34" t="s">
        <v>148</v>
      </c>
      <c r="C47" s="35" t="s">
        <v>149</v>
      </c>
      <c r="D47" s="31" t="s">
        <v>232</v>
      </c>
      <c r="E47" s="31" t="s">
        <v>26</v>
      </c>
      <c r="F47" s="32">
        <v>391.0</v>
      </c>
      <c r="G47" s="33">
        <v>15</v>
      </c>
    </row>
    <row r="48" spans="1:7" customHeight="1" ht="15">
      <c r="A48" s="44">
        <v>36</v>
      </c>
      <c r="B48" s="34" t="s">
        <v>45</v>
      </c>
      <c r="C48" s="35" t="s">
        <v>47</v>
      </c>
      <c r="D48" s="31" t="s">
        <v>232</v>
      </c>
      <c r="E48" s="31" t="s">
        <v>26</v>
      </c>
      <c r="F48" s="32">
        <v>45.9</v>
      </c>
      <c r="G48" s="33">
        <v>500</v>
      </c>
    </row>
    <row r="49" spans="1:7" customHeight="1" ht="15">
      <c r="A49" s="44">
        <v>37</v>
      </c>
      <c r="B49" s="34" t="s">
        <v>54</v>
      </c>
      <c r="C49" s="35" t="s">
        <v>55</v>
      </c>
      <c r="D49" s="31" t="s">
        <v>232</v>
      </c>
      <c r="E49" s="31" t="s">
        <v>26</v>
      </c>
      <c r="F49" s="32">
        <v>53.0</v>
      </c>
      <c r="G49" s="33">
        <v>2500</v>
      </c>
    </row>
    <row r="50" spans="1:7" customHeight="1" ht="15">
      <c r="A50" s="44"/>
      <c r="B50" s="34"/>
      <c r="C50" s="35"/>
      <c r="D50" s="31"/>
      <c r="E50" s="31"/>
      <c r="F50" s="32"/>
      <c r="G50" s="33"/>
    </row>
    <row r="51" spans="1:7" customHeight="1" ht="15.75">
      <c r="A51" s="45"/>
      <c r="B51" s="36"/>
      <c r="C51" s="37"/>
      <c r="D51" s="28"/>
      <c r="E51" s="28"/>
      <c r="F51" s="29"/>
      <c r="G51" s="30"/>
    </row>
    <row r="52" spans="1:7" customHeight="1" ht="20.25">
      <c r="A52" s="122" t="s">
        <v>234</v>
      </c>
      <c r="B52" s="123"/>
      <c r="C52" s="133" t="s">
        <v>286</v>
      </c>
      <c r="D52" s="133"/>
      <c r="E52" s="134"/>
      <c r="F52" s="121">
        <f>SUMPRODUCT(F13:F51,G13:G51)</f>
        <v>1975264.4</v>
      </c>
      <c r="G52" s="121"/>
    </row>
    <row r="56" spans="1:7" customHeight="1" ht="13.5"/>
    <row r="57" spans="1:7" customHeight="1" ht="15.75">
      <c r="A57" s="46"/>
      <c r="B57" s="115" t="s">
        <v>236</v>
      </c>
      <c r="C57" s="115"/>
      <c r="D57" s="116"/>
    </row>
    <row r="58" spans="1:7" customHeight="1" ht="18.75">
      <c r="A58" s="47" t="s">
        <v>287</v>
      </c>
      <c r="B58" s="48" t="s">
        <v>155</v>
      </c>
      <c r="C58" s="49"/>
      <c r="D58" s="50"/>
    </row>
    <row r="59" spans="1:7" customHeight="1" ht="18.75">
      <c r="A59" s="47" t="s">
        <v>288</v>
      </c>
      <c r="B59" s="48" t="s">
        <v>63</v>
      </c>
      <c r="C59" s="49"/>
      <c r="D59" s="50"/>
    </row>
    <row r="60" spans="1:7" customHeight="1" ht="18.75">
      <c r="A60" s="47" t="s">
        <v>289</v>
      </c>
      <c r="B60" s="48" t="s">
        <v>64</v>
      </c>
      <c r="C60" s="49"/>
      <c r="D60" s="50"/>
    </row>
    <row r="61" spans="1:7" customHeight="1" ht="18.75">
      <c r="A61" s="47" t="s">
        <v>237</v>
      </c>
      <c r="B61" s="48" t="s">
        <v>95</v>
      </c>
      <c r="C61" s="49"/>
      <c r="D61" s="50"/>
    </row>
    <row r="62" spans="1:7" customHeight="1" ht="18.75">
      <c r="A62" s="47" t="s">
        <v>290</v>
      </c>
      <c r="B62" s="48" t="s">
        <v>95</v>
      </c>
      <c r="C62" s="49"/>
      <c r="D62" s="50"/>
    </row>
    <row r="63" spans="1:7" customHeight="1" ht="18.75">
      <c r="A63" s="47" t="s">
        <v>291</v>
      </c>
      <c r="B63" s="48" t="s">
        <v>91</v>
      </c>
      <c r="C63" s="49"/>
      <c r="D63" s="50"/>
    </row>
    <row r="64" spans="1:7" customHeight="1" ht="18.75">
      <c r="A64" s="47" t="s">
        <v>292</v>
      </c>
      <c r="B64" s="48" t="s">
        <v>92</v>
      </c>
      <c r="C64" s="49"/>
      <c r="D64" s="50"/>
    </row>
    <row r="65" spans="1:7" customHeight="1" ht="18.75">
      <c r="A65" s="47" t="s">
        <v>241</v>
      </c>
      <c r="B65" s="48" t="s">
        <v>50</v>
      </c>
      <c r="C65" s="49"/>
      <c r="D65" s="50"/>
    </row>
    <row r="66" spans="1:7" customHeight="1" ht="18.75">
      <c r="A66" s="47" t="s">
        <v>293</v>
      </c>
      <c r="B66" s="48" t="s">
        <v>164</v>
      </c>
      <c r="C66" s="49"/>
      <c r="D66" s="50"/>
    </row>
    <row r="67" spans="1:7" customHeight="1" ht="18.75">
      <c r="A67" s="47" t="s">
        <v>294</v>
      </c>
      <c r="B67" s="48" t="s">
        <v>190</v>
      </c>
      <c r="C67" s="49"/>
      <c r="D67" s="50"/>
    </row>
    <row r="68" spans="1:7" customHeight="1" ht="18.75">
      <c r="A68" s="47" t="s">
        <v>295</v>
      </c>
      <c r="B68" s="48" t="s">
        <v>182</v>
      </c>
      <c r="C68" s="49"/>
      <c r="D68" s="50"/>
    </row>
    <row r="69" spans="1:7" customHeight="1" ht="18.75">
      <c r="A69" s="47" t="s">
        <v>243</v>
      </c>
      <c r="B69" s="48" t="s">
        <v>58</v>
      </c>
      <c r="C69" s="49"/>
      <c r="D69" s="50"/>
    </row>
    <row r="70" spans="1:7" customHeight="1" ht="18.75">
      <c r="A70" s="47" t="s">
        <v>244</v>
      </c>
      <c r="B70" s="48" t="s">
        <v>59</v>
      </c>
      <c r="C70" s="49"/>
      <c r="D70" s="50"/>
    </row>
    <row r="71" spans="1:7" customHeight="1" ht="18.75">
      <c r="A71" s="47"/>
      <c r="B71" s="48"/>
      <c r="C71" s="49"/>
      <c r="D71" s="50"/>
    </row>
    <row r="72" spans="1:7" customHeight="1" ht="18.75">
      <c r="A72" s="51"/>
      <c r="B72" s="52"/>
      <c r="C72" s="53"/>
      <c r="D72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52:B52"/>
    <mergeCell ref="C9:G9"/>
    <mergeCell ref="A8:B8"/>
    <mergeCell ref="A11:A12"/>
    <mergeCell ref="B11:B12"/>
    <mergeCell ref="C52:E52"/>
    <mergeCell ref="F11:F12"/>
    <mergeCell ref="G11:G12"/>
    <mergeCell ref="E11:E12"/>
    <mergeCell ref="A1:G1"/>
    <mergeCell ref="C4:G4"/>
    <mergeCell ref="C5:G5"/>
    <mergeCell ref="C6:G6"/>
    <mergeCell ref="C7:G7"/>
    <mergeCell ref="B57:D57"/>
    <mergeCell ref="C8:G8"/>
    <mergeCell ref="A9:B9"/>
    <mergeCell ref="C11:C12"/>
    <mergeCell ref="F52:G52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256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257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217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218</v>
      </c>
      <c r="B6" s="165"/>
      <c r="C6" s="165"/>
      <c r="D6" s="165"/>
      <c r="E6" s="165"/>
      <c r="F6" s="166"/>
      <c r="G6" s="163" t="s">
        <v>285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220</v>
      </c>
      <c r="B7" s="165"/>
      <c r="C7" s="165"/>
      <c r="D7" s="165"/>
      <c r="E7" s="165"/>
      <c r="F7" s="166"/>
      <c r="G7" s="170" t="s">
        <v>285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258</v>
      </c>
      <c r="B8" s="139"/>
      <c r="C8" s="139" t="s">
        <v>222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259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296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261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262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263</v>
      </c>
      <c r="P13" s="149"/>
      <c r="Q13" s="152" t="s">
        <v>264</v>
      </c>
    </row>
    <row r="14" spans="1:17" customHeight="1" ht="15.75">
      <c r="A14" s="66" t="s">
        <v>265</v>
      </c>
      <c r="B14" s="66" t="s">
        <v>266</v>
      </c>
      <c r="C14" s="66" t="s">
        <v>267</v>
      </c>
      <c r="D14" s="66" t="s">
        <v>268</v>
      </c>
      <c r="E14" s="66" t="s">
        <v>269</v>
      </c>
      <c r="F14" s="66" t="s">
        <v>270</v>
      </c>
      <c r="G14" s="67" t="s">
        <v>271</v>
      </c>
      <c r="H14" s="66" t="s">
        <v>272</v>
      </c>
      <c r="I14" s="66" t="s">
        <v>273</v>
      </c>
      <c r="J14" s="66" t="s">
        <v>274</v>
      </c>
      <c r="K14" s="66" t="s">
        <v>274</v>
      </c>
      <c r="L14" s="66" t="s">
        <v>275</v>
      </c>
      <c r="M14" s="66" t="s">
        <v>276</v>
      </c>
      <c r="N14" s="66" t="s">
        <v>277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3</v>
      </c>
      <c r="K15" s="69">
        <v>1</v>
      </c>
      <c r="L15" s="69">
        <v>0</v>
      </c>
      <c r="M15" s="70">
        <v>1</v>
      </c>
      <c r="N15" s="83">
        <v>11</v>
      </c>
      <c r="O15" s="78" t="s">
        <v>278</v>
      </c>
      <c r="P15" s="77"/>
      <c r="Q15" s="71">
        <v>1105464.0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9</v>
      </c>
      <c r="K16" s="69">
        <v>2</v>
      </c>
      <c r="L16" s="69">
        <v>0</v>
      </c>
      <c r="M16" s="70">
        <v>1</v>
      </c>
      <c r="N16" s="83">
        <v>11</v>
      </c>
      <c r="O16" s="78" t="s">
        <v>280</v>
      </c>
      <c r="P16" s="77"/>
      <c r="Q16" s="71">
        <v>869800.4</v>
      </c>
    </row>
    <row r="17" spans="1:17" customHeight="1" ht="24.75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24.75" s="72" customFormat="1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33.75">
      <c r="A19" s="154" t="s">
        <v>281</v>
      </c>
      <c r="B19" s="155"/>
      <c r="C19" s="156" t="s">
        <v>286</v>
      </c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8"/>
      <c r="Q19" s="73">
        <f>SUM(Q15:Q18)</f>
        <v>1975264.4</v>
      </c>
    </row>
    <row r="20" spans="1:17" customHeight="1" ht="18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</row>
    <row r="21" spans="1:17" customHeight="1" ht="17.25">
      <c r="A21" s="140" t="s">
        <v>282</v>
      </c>
      <c r="B21" s="141"/>
      <c r="C21" s="141"/>
      <c r="D21" s="141"/>
      <c r="E21" s="141"/>
      <c r="F21" s="142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</row>
    <row r="22" spans="1:17" customHeight="1" ht="18">
      <c r="A22" s="173" t="s">
        <v>224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</row>
    <row r="23" spans="1:17" customHeight="1" ht="28.5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</row>
    <row r="24" spans="1:17" customHeight="1" ht="15.75">
      <c r="A24" s="140" t="s">
        <v>283</v>
      </c>
      <c r="B24" s="141"/>
      <c r="C24" s="141"/>
      <c r="D24" s="141"/>
      <c r="E24" s="141"/>
      <c r="F24" s="142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9"/>
    </row>
    <row r="25" spans="1:17" customHeight="1" ht="13.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4:F24"/>
    <mergeCell ref="G24:Q24"/>
    <mergeCell ref="A6:F6"/>
    <mergeCell ref="G6:Q6"/>
    <mergeCell ref="A7:F7"/>
    <mergeCell ref="G7:Q7"/>
    <mergeCell ref="A22:Q23"/>
    <mergeCell ref="A20:Q20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1:F21"/>
    <mergeCell ref="G21:Q21"/>
    <mergeCell ref="A9:N9"/>
    <mergeCell ref="A10:Q10"/>
    <mergeCell ref="O13:P14"/>
    <mergeCell ref="Q13:Q14"/>
    <mergeCell ref="A19:B19"/>
    <mergeCell ref="C19:P19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Necesidades Trimestrales</vt:lpstr>
      <vt:lpstr>Nota Pedido MGJDH</vt:lpstr>
      <vt:lpstr>APG MGJDH</vt:lpstr>
      <vt:lpstr>Nota Pedido DA#HSJB</vt:lpstr>
      <vt:lpstr>APG DA#HSJB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