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alud\HSJB\AÑO 2022\Adq.Mesa Anestesia\"/>
    </mc:Choice>
  </mc:AlternateContent>
  <xr:revisionPtr revIDLastSave="0" documentId="13_ncr:1_{7B5F6DB7-EE0D-41B4-A735-DC827C3E003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NotaPedido!$A$1:$K$13</definedName>
  </definedNames>
  <calcPr calcId="181029"/>
</workbook>
</file>

<file path=xl/calcChain.xml><?xml version="1.0" encoding="utf-8"?>
<calcChain xmlns="http://schemas.openxmlformats.org/spreadsheetml/2006/main">
  <c r="D10" i="1" l="1"/>
  <c r="A26" i="3"/>
  <c r="A10" i="3"/>
  <c r="K12" i="2"/>
  <c r="J12" i="2"/>
  <c r="J13" i="2" s="1"/>
  <c r="I12" i="2"/>
  <c r="C12" i="2"/>
  <c r="B12" i="2"/>
  <c r="I10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<sst xmlns="http://schemas.openxmlformats.org/spreadsheetml/2006/main" count="81" uniqueCount="76">
  <si>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</si>
  <si>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</si>
  <si>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</si>
  <si>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</si>
  <si>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</si>
  <si>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</si>
  <si>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</si>
  <si>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</si>
  <si>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</si>
  <si>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</si>
  <si>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</si>
  <si>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</si>
  <si>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</si>
  <si>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</si>
  <si>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</si>
  <si>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</si>
  <si>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</si>
  <si>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</si>
  <si>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</si>
  <si>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</si>
  <si>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</si>
  <si>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</si>
  <si>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</si>
  <si>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</si>
  <si>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</si>
  <si>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</si>
  <si>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</si>
  <si>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</si>
  <si>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</si>
  <si>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</si>
  <si>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</si>
  <si>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</si>
  <si>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</si>
  <si>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</si>
  <si>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</si>
  <si>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</si>
  <si>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</si>
  <si>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</si>
  <si>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</si>
  <si>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</si>
  <si>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</si>
  <si>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</si>
  <si>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</si>
  <si>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</si>
  <si>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</si>
  <si>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</si>
  <si>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</si>
  <si>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</si>
  <si>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</si>
  <si>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</si>
  <si>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</si>
  <si>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</si>
  <si>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</si>
  <si>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</si>
  <si>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</si>
  <si>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</si>
  <si>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</si>
  <si>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</si>
  <si>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</si>
  <si>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</si>
  <si>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 xml:space="preserve">45 dias habiles </t>
  </si>
  <si>
    <t>3.1</t>
  </si>
  <si>
    <t>Maquina de anestesia con respirador a Pistón. Pantalla color de 10.5". Con configuración modo dia o noche. Incluye monitoreo de presión de vías aéreas y volumen. Con circuito respiratorio circular semi-cerrado, apto para la ventilación en flujos cerrados, mínimos, bajos y altos, con y sin reinhalación.
Apto para uso en pacientes adultos, neonatales y pediátricos sin necesidad de cambio de partes. Con modo ventilatorios por Volumen .Con rotámetros mecanicos para 3 gases individuales. incluye soporte posterior de manguera de gases y gancho de sujeción de línea de muestreo. Placa calefactora
activa del bloque respiratorio circular. Mantiene los gases frescos a una tem peratura constante de 37 °C. Alimentada por fuente de 12 V</t>
  </si>
  <si>
    <t>4.3.3-7109.6</t>
  </si>
  <si>
    <t>MESAS DE ANESTESIA; MATERIAL: PLASTICO ABS Y ALUMINIO, DIMENSION:
91 X 144 X 77 CM, ESCALA O2: 0,02 A 10 L/MIN, ESCALA AIRE: 0,2 A 12 L/MIN</t>
  </si>
  <si>
    <t xml:space="preserve">UNIDAD </t>
  </si>
  <si>
    <t>EQUIPO SANITARIO Y DE LABORAT.</t>
  </si>
  <si>
    <t>1.3</t>
  </si>
  <si>
    <t>035 - 2022</t>
  </si>
  <si>
    <t xml:space="preserve">264 - Dirección General </t>
  </si>
  <si>
    <t xml:space="preserve">Departamento Quirurgico </t>
  </si>
  <si>
    <t>Costo total estimado: DOS MILLONES CUATROCIENTOS CUARENTA Y DOS MIL CUATROCIENTOS VEINTIUNO CON 80/100.--</t>
  </si>
  <si>
    <t xml:space="preserve">Adquisición de una Mesa de Anestesia  </t>
  </si>
  <si>
    <t xml:space="preserve">Equipo Sanitario y de Laboratorio </t>
  </si>
  <si>
    <t>TOTAL DE PESOS: DOS MILLONES CUATROCIENTOS CUARENTA Y DOS MIL CUATROCIENTOS VEINTIUNO CON 80/100.---</t>
  </si>
  <si>
    <t>20 dias habiles - Deposito Central del HISJB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</si>
</sst>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A10" zoomScale="85" zoomScaleNormal="85" workbookViewId="0">
      <selection activeCell="H10" sqref="H10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79" t="s">
        <v>0</v>
      </c>
      <c r="C2" s="79"/>
      <c r="D2" s="79"/>
      <c r="E2" s="79"/>
      <c r="F2" s="79"/>
      <c r="G2" s="79"/>
      <c r="H2" s="79"/>
    </row>
    <row r="4" spans="1:9" ht="18" customHeight="1" x14ac:dyDescent="0.25">
      <c r="A4" s="80" t="s">
        <v>1</v>
      </c>
      <c r="B4" s="80"/>
      <c r="C4" s="81" t="s">
        <v>58</v>
      </c>
      <c r="D4" s="81"/>
      <c r="E4" s="81"/>
      <c r="F4" s="40"/>
      <c r="G4" s="41"/>
      <c r="H4" s="40"/>
    </row>
    <row r="5" spans="1:9" ht="18" customHeight="1" x14ac:dyDescent="0.25">
      <c r="A5" s="80" t="s">
        <v>2</v>
      </c>
      <c r="B5" s="80"/>
      <c r="C5" s="81" t="s">
        <v>59</v>
      </c>
      <c r="D5" s="81"/>
      <c r="E5" s="81"/>
      <c r="F5" s="40"/>
      <c r="G5" s="41"/>
      <c r="H5" s="40"/>
    </row>
    <row r="6" spans="1:9" ht="16.5" customHeight="1" x14ac:dyDescent="0.25">
      <c r="A6" s="80" t="s">
        <v>3</v>
      </c>
      <c r="B6" s="80"/>
      <c r="C6" s="63">
        <v>2022</v>
      </c>
      <c r="D6" s="64"/>
      <c r="E6" s="64"/>
      <c r="F6" s="40"/>
      <c r="G6" s="41"/>
      <c r="H6" s="40"/>
    </row>
    <row r="7" spans="1:9" ht="16.5" customHeight="1" x14ac:dyDescent="0.25">
      <c r="A7" s="80" t="s">
        <v>4</v>
      </c>
      <c r="B7" s="80"/>
      <c r="C7" s="63">
        <v>2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51" customHeight="1" thickBot="1" x14ac:dyDescent="0.25">
      <c r="A10" s="56">
        <v>1</v>
      </c>
      <c r="B10" s="60" t="s">
        <v>63</v>
      </c>
      <c r="C10" s="57" t="s">
        <v>66</v>
      </c>
      <c r="D10" s="58" t="str">
        <f>LEFT(B10,5)</f>
        <v>4.3.3</v>
      </c>
      <c r="E10" s="59" t="s">
        <v>64</v>
      </c>
      <c r="F10" s="60" t="s">
        <v>65</v>
      </c>
      <c r="G10" s="60">
        <v>1</v>
      </c>
      <c r="H10" s="61">
        <v>2442421.7999999998</v>
      </c>
      <c r="I10" s="62">
        <f t="shared" ref="I10" si="0">G10*H10</f>
        <v>2442421.7999999998</v>
      </c>
    </row>
    <row r="13" spans="1:9" x14ac:dyDescent="0.2">
      <c r="B13" s="42" t="s">
        <v>14</v>
      </c>
      <c r="C13" s="43"/>
      <c r="D13" s="43"/>
      <c r="E13" s="44"/>
    </row>
    <row r="14" spans="1:9" ht="5.25" customHeight="1" x14ac:dyDescent="0.2">
      <c r="B14" s="45"/>
      <c r="C14" s="46"/>
      <c r="D14" s="46"/>
      <c r="E14" s="47"/>
    </row>
    <row r="15" spans="1:9" x14ac:dyDescent="0.2">
      <c r="B15" s="48" t="s">
        <v>15</v>
      </c>
      <c r="C15" s="46"/>
      <c r="D15" s="46"/>
      <c r="E15" s="47"/>
    </row>
    <row r="16" spans="1:9" ht="87.75" customHeight="1" x14ac:dyDescent="0.2">
      <c r="B16" s="48"/>
      <c r="C16" s="85" t="s">
        <v>62</v>
      </c>
      <c r="D16" s="85"/>
      <c r="E16" s="86"/>
    </row>
    <row r="17" spans="2:5" x14ac:dyDescent="0.2">
      <c r="B17" s="48" t="s">
        <v>16</v>
      </c>
      <c r="C17" s="46"/>
      <c r="D17" s="46"/>
      <c r="E17" s="47"/>
    </row>
    <row r="18" spans="2:5" ht="19.5" customHeight="1" x14ac:dyDescent="0.2">
      <c r="B18" s="49"/>
      <c r="C18" s="87" t="s">
        <v>75</v>
      </c>
      <c r="D18" s="87"/>
      <c r="E18" s="88"/>
    </row>
    <row r="19" spans="2:5" x14ac:dyDescent="0.2">
      <c r="B19" s="49"/>
      <c r="C19" s="89"/>
      <c r="D19" s="89"/>
      <c r="E19" s="89"/>
    </row>
    <row r="20" spans="2:5" x14ac:dyDescent="0.2">
      <c r="B20" s="48" t="s">
        <v>17</v>
      </c>
      <c r="C20" s="46"/>
      <c r="D20" s="46"/>
      <c r="E20" s="47"/>
    </row>
    <row r="21" spans="2:5" ht="26.25" customHeight="1" x14ac:dyDescent="0.2">
      <c r="B21" s="49"/>
      <c r="C21" s="82"/>
      <c r="D21" s="82"/>
      <c r="E21" s="82"/>
    </row>
    <row r="22" spans="2:5" x14ac:dyDescent="0.2">
      <c r="B22" s="48" t="s">
        <v>18</v>
      </c>
      <c r="C22" s="50"/>
      <c r="D22" s="50"/>
      <c r="E22" s="51"/>
    </row>
    <row r="23" spans="2:5" ht="26.25" customHeight="1" x14ac:dyDescent="0.2">
      <c r="B23" s="49"/>
      <c r="C23" s="83" t="s">
        <v>60</v>
      </c>
      <c r="D23" s="83"/>
      <c r="E23" s="83"/>
    </row>
    <row r="24" spans="2:5" x14ac:dyDescent="0.2">
      <c r="B24" s="48" t="s">
        <v>19</v>
      </c>
      <c r="C24" s="46"/>
      <c r="D24" s="46"/>
      <c r="E24" s="47"/>
    </row>
    <row r="25" spans="2:5" ht="23.25" customHeight="1" x14ac:dyDescent="0.2">
      <c r="B25" s="48"/>
      <c r="C25" s="84"/>
      <c r="D25" s="84"/>
      <c r="E25" s="84"/>
    </row>
    <row r="26" spans="2:5" x14ac:dyDescent="0.2">
      <c r="B26" s="52"/>
      <c r="C26" s="53"/>
      <c r="D26" s="53"/>
      <c r="E26" s="54"/>
    </row>
  </sheetData>
  <mergeCells count="13">
    <mergeCell ref="C21:E21"/>
    <mergeCell ref="C23:E23"/>
    <mergeCell ref="C25:E25"/>
    <mergeCell ref="A6:B6"/>
    <mergeCell ref="A7:B7"/>
    <mergeCell ref="C16:E16"/>
    <mergeCell ref="C18:E18"/>
    <mergeCell ref="C19:E19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70" zoomScaleNormal="70" workbookViewId="0">
      <selection activeCell="A13" sqref="A13:I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0" t="s">
        <v>20</v>
      </c>
      <c r="B1" s="90"/>
      <c r="C1" s="90"/>
      <c r="D1" s="90"/>
      <c r="E1" s="90"/>
      <c r="F1" s="90"/>
      <c r="G1" s="90"/>
      <c r="H1" s="90"/>
      <c r="I1" s="90"/>
      <c r="J1" s="3" t="s">
        <v>21</v>
      </c>
      <c r="K1" s="65" t="s">
        <v>68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1" t="s">
        <v>54</v>
      </c>
      <c r="B3" s="91"/>
      <c r="C3" s="91"/>
      <c r="D3" s="92" t="str">
        <f>'Necesidades Trimestrales'!C4</f>
        <v>40 - Ministerio de Salud</v>
      </c>
      <c r="E3" s="92"/>
      <c r="F3" s="92"/>
      <c r="G3" s="92"/>
      <c r="H3" s="92"/>
      <c r="I3" s="92"/>
      <c r="J3" s="92"/>
      <c r="K3" s="92"/>
    </row>
    <row r="4" spans="1:1024" ht="18.75" customHeight="1" thickBot="1" x14ac:dyDescent="0.25">
      <c r="A4" s="93" t="s">
        <v>55</v>
      </c>
      <c r="B4" s="93"/>
      <c r="C4" s="93"/>
      <c r="D4" s="92" t="str">
        <f>'Necesidades Trimestrales'!C5</f>
        <v>23 - Hospital Interzonal San Juan Bautista</v>
      </c>
      <c r="E4" s="92"/>
      <c r="F4" s="92"/>
      <c r="G4" s="92"/>
      <c r="H4" s="92"/>
      <c r="I4" s="92"/>
      <c r="J4" s="92"/>
      <c r="K4" s="92"/>
    </row>
    <row r="5" spans="1:1024" ht="18.75" customHeight="1" thickBot="1" x14ac:dyDescent="0.25">
      <c r="A5" s="93" t="s">
        <v>33</v>
      </c>
      <c r="B5" s="93"/>
      <c r="C5" s="93"/>
      <c r="D5" s="92" t="s">
        <v>69</v>
      </c>
      <c r="E5" s="92"/>
      <c r="F5" s="92"/>
      <c r="G5" s="92"/>
      <c r="H5" s="92"/>
      <c r="I5" s="92"/>
      <c r="J5" s="92"/>
      <c r="K5" s="92"/>
    </row>
    <row r="6" spans="1:1024" ht="16.5" customHeight="1" thickBot="1" x14ac:dyDescent="0.25">
      <c r="A6" s="91" t="s">
        <v>56</v>
      </c>
      <c r="B6" s="91"/>
      <c r="C6" s="91"/>
      <c r="D6" s="92" t="s">
        <v>70</v>
      </c>
      <c r="E6" s="92"/>
      <c r="F6" s="92"/>
      <c r="G6" s="92"/>
      <c r="H6" s="92"/>
      <c r="I6" s="92"/>
      <c r="J6" s="92"/>
      <c r="K6" s="92"/>
    </row>
    <row r="7" spans="1:1024" ht="16.5" customHeight="1" x14ac:dyDescent="0.2">
      <c r="A7" s="93" t="s">
        <v>22</v>
      </c>
      <c r="B7" s="93"/>
      <c r="C7" s="93"/>
      <c r="D7" s="92" t="str">
        <f>'Necesidades Trimestrales'!C7 &amp; "° Trimestre - Año " &amp; 'Necesidades Trimestrales'!C6</f>
        <v>2° Trimestre - Año 2022</v>
      </c>
      <c r="E7" s="92"/>
      <c r="F7" s="92"/>
      <c r="G7" s="92"/>
      <c r="H7" s="92"/>
      <c r="I7" s="92"/>
      <c r="J7" s="92"/>
      <c r="K7" s="92"/>
    </row>
    <row r="8" spans="1:1024" ht="16.5" customHeight="1" x14ac:dyDescent="0.2">
      <c r="A8" s="97" t="s">
        <v>23</v>
      </c>
      <c r="B8" s="97"/>
      <c r="C8" s="97"/>
      <c r="D8" s="98" t="s">
        <v>72</v>
      </c>
      <c r="E8" s="98"/>
      <c r="F8" s="98"/>
      <c r="G8" s="98"/>
      <c r="H8" s="98"/>
      <c r="I8" s="98"/>
      <c r="J8" s="98"/>
      <c r="K8" s="98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99" t="s">
        <v>24</v>
      </c>
      <c r="B10" s="100" t="s">
        <v>25</v>
      </c>
      <c r="C10" s="100" t="s">
        <v>26</v>
      </c>
      <c r="D10" s="100"/>
      <c r="E10" s="100"/>
      <c r="F10" s="100"/>
      <c r="G10" s="100"/>
      <c r="H10" s="100" t="s">
        <v>27</v>
      </c>
      <c r="I10" s="100" t="s">
        <v>28</v>
      </c>
      <c r="J10" s="100" t="s">
        <v>29</v>
      </c>
      <c r="K10" s="101" t="s">
        <v>30</v>
      </c>
    </row>
    <row r="11" spans="1:1024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024" ht="50.25" customHeight="1" thickBot="1" x14ac:dyDescent="0.25">
      <c r="A12" s="8">
        <v>1</v>
      </c>
      <c r="B12" s="66" t="str">
        <f>'Necesidades Trimestrales'!B10</f>
        <v>4.3.3-7109.6</v>
      </c>
      <c r="C12" s="96" t="str">
        <f>'Necesidades Trimestrales'!E10</f>
        <v>MESAS DE ANESTESIA; MATERIAL: PLASTICO ABS Y ALUMINIO, DIMENSION:
91 X 144 X 77 CM, ESCALA O2: 0,02 A 10 L/MIN, ESCALA AIRE: 0,2 A 12 L/MIN</v>
      </c>
      <c r="D12" s="96"/>
      <c r="E12" s="96"/>
      <c r="F12" s="96"/>
      <c r="G12" s="96"/>
      <c r="H12" s="67" t="s">
        <v>57</v>
      </c>
      <c r="I12" s="68" t="str">
        <f>'Necesidades Trimestrales'!F10</f>
        <v xml:space="preserve">UNIDAD </v>
      </c>
      <c r="J12" s="69">
        <f>'Necesidades Trimestrales'!H10</f>
        <v>2442421.7999999998</v>
      </c>
      <c r="K12" s="70">
        <f>'Necesidades Trimestrales'!G10</f>
        <v>1</v>
      </c>
    </row>
    <row r="13" spans="1:1024" ht="30" customHeight="1" thickBot="1" x14ac:dyDescent="0.25">
      <c r="A13" s="94" t="s">
        <v>71</v>
      </c>
      <c r="B13" s="94"/>
      <c r="C13" s="94"/>
      <c r="D13" s="94"/>
      <c r="E13" s="94"/>
      <c r="F13" s="94"/>
      <c r="G13" s="94"/>
      <c r="H13" s="94"/>
      <c r="I13" s="94"/>
      <c r="J13" s="95">
        <f>SUMPRODUCT(J12:J12,K12:K12)</f>
        <v>2442421.7999999998</v>
      </c>
      <c r="K13" s="95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S14" sqref="S1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2" t="s">
        <v>3</v>
      </c>
      <c r="B1" s="102"/>
      <c r="C1" s="102"/>
      <c r="D1" s="103">
        <f>'Necesidades Trimestrales'!C6</f>
        <v>2022</v>
      </c>
      <c r="E1" s="103"/>
      <c r="F1" s="10"/>
      <c r="G1" s="10"/>
      <c r="H1" s="11"/>
      <c r="I1" s="11"/>
      <c r="J1" s="11"/>
      <c r="K1" s="11"/>
      <c r="L1" s="11"/>
      <c r="M1" s="11"/>
      <c r="N1" s="11"/>
      <c r="P1" s="104" t="s">
        <v>31</v>
      </c>
      <c r="Q1" s="104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4"/>
      <c r="Q2" s="104"/>
    </row>
    <row r="4" spans="1:17" s="12" customFormat="1" ht="18" customHeight="1" thickBot="1" x14ac:dyDescent="0.25">
      <c r="A4" s="105" t="s">
        <v>32</v>
      </c>
      <c r="B4" s="105"/>
      <c r="C4" s="105"/>
      <c r="D4" s="105"/>
      <c r="E4" s="105"/>
      <c r="F4" s="105"/>
      <c r="G4" s="106" t="str">
        <f>NotaPedido!D3</f>
        <v>40 - Ministerio de Salud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</row>
    <row r="5" spans="1:17" s="12" customFormat="1" ht="18" customHeight="1" thickBot="1" x14ac:dyDescent="0.25">
      <c r="A5" s="107" t="s">
        <v>55</v>
      </c>
      <c r="B5" s="108"/>
      <c r="C5" s="108"/>
      <c r="D5" s="108"/>
      <c r="E5" s="108"/>
      <c r="F5" s="109"/>
      <c r="G5" s="106" t="str">
        <f>NotaPedido!D4</f>
        <v>23 - Hospital Interzonal San Juan Bautista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</row>
    <row r="6" spans="1:17" s="12" customFormat="1" ht="18" customHeight="1" thickBot="1" x14ac:dyDescent="0.25">
      <c r="A6" s="107" t="s">
        <v>33</v>
      </c>
      <c r="B6" s="108"/>
      <c r="C6" s="108"/>
      <c r="D6" s="108"/>
      <c r="E6" s="108"/>
      <c r="F6" s="109"/>
      <c r="G6" s="106" t="str">
        <f>NotaPedido!D5</f>
        <v xml:space="preserve">264 - Dirección General </v>
      </c>
      <c r="H6" s="106"/>
      <c r="I6" s="106"/>
      <c r="J6" s="106"/>
      <c r="K6" s="106"/>
      <c r="L6" s="106"/>
      <c r="M6" s="106"/>
      <c r="N6" s="106"/>
      <c r="O6" s="106"/>
      <c r="P6" s="106"/>
      <c r="Q6" s="106"/>
    </row>
    <row r="7" spans="1:17" s="12" customFormat="1" ht="18" customHeight="1" thickBot="1" x14ac:dyDescent="0.25">
      <c r="A7" s="107" t="s">
        <v>56</v>
      </c>
      <c r="B7" s="108"/>
      <c r="C7" s="108"/>
      <c r="D7" s="108"/>
      <c r="E7" s="108"/>
      <c r="F7" s="109"/>
      <c r="G7" s="106" t="str">
        <f>NotaPedido!D6</f>
        <v xml:space="preserve">Departamento Quirurgico </v>
      </c>
      <c r="H7" s="106"/>
      <c r="I7" s="106"/>
      <c r="J7" s="106"/>
      <c r="K7" s="106"/>
      <c r="L7" s="106"/>
      <c r="M7" s="106"/>
      <c r="N7" s="106"/>
      <c r="O7" s="106"/>
      <c r="P7" s="106"/>
      <c r="Q7" s="106"/>
    </row>
    <row r="8" spans="1:17" ht="18" customHeight="1" thickBot="1" x14ac:dyDescent="0.25">
      <c r="A8" s="110" t="s">
        <v>34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7" ht="18" customHeight="1" x14ac:dyDescent="0.2">
      <c r="A9" s="111" t="s">
        <v>35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13"/>
    </row>
    <row r="10" spans="1:17" ht="54.75" customHeight="1" x14ac:dyDescent="0.2">
      <c r="A10" s="11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035 - 2022,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3" t="s">
        <v>36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37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38</v>
      </c>
      <c r="P13" s="115"/>
      <c r="Q13" s="116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5"/>
      <c r="P14" s="115"/>
      <c r="Q14" s="116"/>
    </row>
    <row r="15" spans="1:17" ht="17.25" customHeight="1" x14ac:dyDescent="0.2">
      <c r="A15" s="73">
        <v>33</v>
      </c>
      <c r="B15" s="74"/>
      <c r="C15" s="74"/>
      <c r="D15" s="74">
        <v>1</v>
      </c>
      <c r="E15" s="74"/>
      <c r="F15" s="74">
        <v>4901</v>
      </c>
      <c r="G15" s="74">
        <v>3</v>
      </c>
      <c r="H15" s="75" t="s">
        <v>61</v>
      </c>
      <c r="I15" s="76">
        <v>4</v>
      </c>
      <c r="J15" s="76">
        <v>3</v>
      </c>
      <c r="K15" s="76">
        <v>3</v>
      </c>
      <c r="L15" s="74"/>
      <c r="M15" s="77">
        <v>1</v>
      </c>
      <c r="N15" s="75" t="s">
        <v>67</v>
      </c>
      <c r="O15" s="117" t="s">
        <v>73</v>
      </c>
      <c r="P15" s="117"/>
      <c r="Q15" s="23">
        <v>2442421.7999999998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8"/>
      <c r="P16" s="118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8"/>
      <c r="P17" s="118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9"/>
      <c r="P18" s="120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0"/>
      <c r="P19" s="120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0"/>
      <c r="P20" s="120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6"/>
      <c r="P21" s="126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7"/>
      <c r="P22" s="127"/>
      <c r="Q22" s="37"/>
    </row>
    <row r="23" spans="1:19" ht="20.25" customHeight="1" x14ac:dyDescent="0.2">
      <c r="A23" s="128" t="s">
        <v>74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38">
        <f>SUM(Q15:Q22)</f>
        <v>2442421.7999999998</v>
      </c>
    </row>
    <row r="24" spans="1:19" ht="18" customHeight="1" thickBo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9" ht="17.25" customHeight="1" thickBot="1" x14ac:dyDescent="0.25">
      <c r="A25" s="121" t="s">
        <v>53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9" ht="18" customHeight="1" thickBot="1" x14ac:dyDescent="0.25">
      <c r="A26" s="125" t="str">
        <f>"Para la "&amp; NotaPedido!D8 &amp;" para ser destinados al " &amp; NotaPedido!D6 &amp;"  del HISJB del Ministerio de Salud."</f>
        <v>Para la Adquisición de una Mesa de Anestesia   para ser destinados al Departamento Quirurgico   del HISJB del Ministerio de Salud.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</row>
    <row r="27" spans="1:19" ht="15" customHeight="1" x14ac:dyDescent="0.2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2022-04-18T16:38:06Z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