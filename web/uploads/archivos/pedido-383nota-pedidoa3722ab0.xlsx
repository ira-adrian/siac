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F36EBD36-4B65-4C67-AAC7-0288C99DF329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  <sheet name="Hoja1" sheetId="4" r:id="rId4"/>
  </sheets>
  <definedNames>
    <definedName name="_xlnm.Print_Area" localSheetId="1">' NotaPedido'!$A$1:$K$16</definedName>
    <definedName name="_xlnm.Print_Area" localSheetId="2">'Autor Gastar'!$A$1:$Q$26</definedName>
    <definedName name="_xlnm.Print_Area" localSheetId="3">Hoja1!$A$1:$E$9</definedName>
    <definedName name="_xlnm.Print_Area" localSheetId="0">'Necesidades Trimestrales'!$A$1:$I$55</definedName>
  </definedNames>
  <calcPr calcId="181029"/>
</workbook>
</file>

<file path=xl/calcChain.xml><?xml version="1.0" encoding="utf-8"?>
<calcChain xmlns="http://schemas.openxmlformats.org/spreadsheetml/2006/main">
  <c r="K13" i="2" l="1"/>
  <c r="J13" i="2"/>
  <c r="I13" i="2"/>
  <c r="C13" i="2"/>
  <c r="B13" i="2"/>
  <c r="I11" i="1"/>
  <c r="I10" i="1"/>
  <c r="Q22" i="3" l="1"/>
  <c r="D7" i="2" l="1"/>
  <c r="D3" i="2"/>
  <c r="G4" i="3" s="1"/>
  <c r="D4" i="2"/>
  <c r="G5" i="3" s="1"/>
  <c r="A10" i="3" l="1"/>
  <c r="D1" i="3"/>
  <c r="K12" i="2"/>
  <c r="J12" i="2"/>
  <c r="I12" i="2"/>
  <c r="C12" i="2"/>
  <c r="B12" i="2"/>
  <c r="I15" i="3"/>
  <c r="J16" i="2" l="1"/>
</calcChain>
</file>

<file path=xl/sharedStrings.xml><?xml version="1.0" encoding="utf-8"?>
<sst xmlns="http://schemas.openxmlformats.org/spreadsheetml/2006/main" count="109" uniqueCount="89">
  <si>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</si>
  <si>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</si>
  <si>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</si>
  <si>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</si>
  <si>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</si>
  <si>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</si>
  <si>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</si>
  <si>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</si>
  <si>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</si>
  <si>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</si>
  <si>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</si>
  <si>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</si>
  <si>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</si>
  <si>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</si>
  <si>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</si>
  <si>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</si>
  <si>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</si>
  <si>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</si>
  <si>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</si>
  <si>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</si>
  <si>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</si>
  <si>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</si>
  <si>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</si>
  <si>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</si>
  <si>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</si>
  <si>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</si>
  <si>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</si>
  <si>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</si>
  <si>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</si>
  <si>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</si>
  <si>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</si>
  <si>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</si>
  <si>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</si>
  <si>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</si>
  <si>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</si>
  <si>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</si>
  <si>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</si>
  <si>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</si>
  <si>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</si>
  <si>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</si>
  <si>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</si>
  <si>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</si>
  <si>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</si>
  <si>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</si>
  <si>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</si>
  <si>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</si>
  <si>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</si>
  <si>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</si>
  <si>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</si>
  <si>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</si>
  <si>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</si>
  <si>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</si>
  <si>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</si>
  <si>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</si>
  <si>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</si>
  <si>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</si>
  <si>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</si>
  <si>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45- Ministerio de Desarrollo Social y Deporte</t>
  </si>
  <si>
    <t>25- Direccion Provincial de Gestion Administrativa y RRHH</t>
  </si>
  <si>
    <t>Alta</t>
  </si>
  <si>
    <t>S. FUNEBRE; DESCRIPCION: ATAUD BOVEDA SEMI EXTRAORDINARIO  LUSTRADO CON CAJA INTERIOR METALICA TAPIZADA CON VALVULA P/ FORMOL, SOLDADURA, C/ 8 MANIJAS Y PLACA IDENTIFICATORIA- VELATORIO EN SALA O EN DOMICILIO Y TRASLADO AL CEMENTERIO-  SUJETO AL PROTOCOLO DE COVID-19 " AISLAMIENTO SOCIAL, PREVENTIVO Y OBLIGATORIO".-</t>
  </si>
  <si>
    <t>S. FUNEBRE; DESCRIPCION: SERVICIO FUNEBRE ATAUD PARA ANGELITO, CON SOLDADURA Y TRASLADO AL CEMENTERIO SUJETO AL PROTOCOLO DE COVID-19 " AISLAMIENTO SOCIAL, PREVENTIVO Y OBLIGATORIO".-</t>
  </si>
  <si>
    <t>item</t>
  </si>
  <si>
    <t xml:space="preserve">descipcion </t>
  </si>
  <si>
    <t xml:space="preserve">monto </t>
  </si>
  <si>
    <t>total</t>
  </si>
  <si>
    <t>cantidad</t>
  </si>
  <si>
    <t>Especificidades Item N° 2:</t>
  </si>
  <si>
    <t>S/E</t>
  </si>
  <si>
    <r>
      <t xml:space="preserve">Plazo de Entrega: </t>
    </r>
    <r>
      <rPr>
        <sz val="10"/>
        <rFont val="Times New Roman"/>
        <family val="1"/>
      </rPr>
      <t>05 DIAS</t>
    </r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</si>
  <si>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Deposito del Ministerio de Desarrollo Social y Deporte, Area Industrial EL Pantanillo S/N- San Fernando del Valle de Catamarca (CP 4700) </t>
    </r>
  </si>
  <si>
    <t>UNIDADES</t>
  </si>
  <si>
    <t xml:space="preserve">16- Direccion Provincial de Accion Social Directa- </t>
  </si>
  <si>
    <t>02- Programa Vivir Mejor- PRO.VI.ME</t>
  </si>
  <si>
    <t>16- Direccion Provincial de Accion Social Directa</t>
  </si>
  <si>
    <t>02- Programa Vivir Mejor</t>
  </si>
  <si>
    <t>2.7.1-331.42</t>
  </si>
  <si>
    <t>MATERIALES DE CONSTRUCCION</t>
  </si>
  <si>
    <t>CHAPAS GALVANIZADAS; ANCHO: 1.10 M, CALIBRE BWG: 27, LARGO: 3 M</t>
  </si>
  <si>
    <t>2.7.1-331.107</t>
  </si>
  <si>
    <t>CHAPAS GALVANIZADAS; ANCHO: 1100 mm, CALIBRE BWG: 27, LARGO: 6000 mm</t>
  </si>
  <si>
    <t>2.7.1</t>
  </si>
  <si>
    <t>Plazo de Mantinimiento 60 dias</t>
  </si>
  <si>
    <t>159/2021</t>
  </si>
  <si>
    <t>Adquisición Chapas de Zinc para Asistir a Personas de Escaso Recurso</t>
  </si>
  <si>
    <t>NO</t>
  </si>
  <si>
    <t>Costo total estimado: CUATRO MILLONES CUATROCIENTOS SETENTA Y SEIS MIL CON 00/100.-</t>
  </si>
  <si>
    <t>TOTAL DE PESOS:  CUATRO MILLONES CUATROCIENTOS SETENTA Y SEIS MIL CON 00/100.-</t>
  </si>
  <si>
    <t>PRODUCTOS FERROSOS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</si>
</sst>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6" xfId="0" applyFont="1" applyBorder="1" applyAlignment="1">
      <alignment horizontal="right"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6" xfId="0" applyBorder="1"/>
    <xf numFmtId="0" fontId="0" fillId="0" borderId="32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0" fillId="0" borderId="33" xfId="0" applyBorder="1"/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6" xfId="0" applyFont="1" applyBorder="1" applyAlignment="1">
      <alignment horizontal="left" vertical="center"/>
    </xf>
    <xf numFmtId="0" fontId="14" fillId="0" borderId="37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6" fontId="0" fillId="0" borderId="47" xfId="3" applyNumberFormat="1" applyFont="1" applyBorder="1" applyAlignment="1" applyProtection="1">
      <alignment horizontal="center" vertical="center"/>
    </xf>
    <xf numFmtId="166" fontId="14" fillId="0" borderId="48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3" fillId="0" borderId="8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0" xfId="0" applyFont="1" applyBorder="1"/>
    <xf numFmtId="0" fontId="16" fillId="0" borderId="12" xfId="0" applyFont="1" applyBorder="1"/>
    <xf numFmtId="0" fontId="23" fillId="0" borderId="11" xfId="0" applyFont="1" applyBorder="1" applyAlignment="1">
      <alignment horizontal="left" indent="3"/>
    </xf>
    <xf numFmtId="0" fontId="16" fillId="0" borderId="11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left" indent="3"/>
    </xf>
    <xf numFmtId="0" fontId="16" fillId="0" borderId="14" xfId="0" applyFont="1" applyBorder="1"/>
    <xf numFmtId="0" fontId="16" fillId="0" borderId="15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0" fillId="0" borderId="4" xfId="0" applyBorder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167" fontId="0" fillId="0" borderId="0" xfId="0" applyNumberFormat="1"/>
    <xf numFmtId="0" fontId="16" fillId="3" borderId="0" xfId="0" applyFont="1" applyFill="1" applyBorder="1" applyAlignment="1">
      <alignment horizontal="left"/>
    </xf>
    <xf numFmtId="0" fontId="16" fillId="3" borderId="12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/>
    </xf>
    <xf numFmtId="0" fontId="16" fillId="3" borderId="12" xfId="0" applyFont="1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2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ill="1" applyBorder="1"/>
    <xf numFmtId="0" fontId="22" fillId="0" borderId="60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166" fontId="21" fillId="0" borderId="60" xfId="1" applyNumberFormat="1" applyFont="1" applyFill="1" applyBorder="1" applyAlignment="1" applyProtection="1">
      <alignment horizontal="right" vertical="center" wrapText="1"/>
    </xf>
    <xf numFmtId="166" fontId="21" fillId="0" borderId="61" xfId="1" applyNumberFormat="1" applyFont="1" applyFill="1" applyBorder="1" applyAlignment="1" applyProtection="1">
      <alignment horizontal="right" vertical="center" wrapText="1"/>
    </xf>
    <xf numFmtId="0" fontId="26" fillId="0" borderId="69" xfId="0" applyFont="1" applyFill="1" applyBorder="1"/>
    <xf numFmtId="0" fontId="0" fillId="0" borderId="65" xfId="0" applyFill="1" applyBorder="1"/>
    <xf numFmtId="0" fontId="0" fillId="0" borderId="65" xfId="0" applyFill="1" applyBorder="1" applyAlignment="1">
      <alignment horizontal="center"/>
    </xf>
    <xf numFmtId="0" fontId="26" fillId="0" borderId="65" xfId="0" applyFont="1" applyFill="1" applyBorder="1"/>
    <xf numFmtId="0" fontId="22" fillId="0" borderId="4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wrapText="1"/>
    </xf>
    <xf numFmtId="166" fontId="21" fillId="0" borderId="4" xfId="1" applyNumberFormat="1" applyFont="1" applyFill="1" applyBorder="1" applyAlignment="1" applyProtection="1">
      <alignment horizontal="right" vertical="center" wrapText="1"/>
    </xf>
    <xf numFmtId="166" fontId="21" fillId="0" borderId="5" xfId="1" applyNumberFormat="1" applyFont="1" applyFill="1" applyBorder="1" applyAlignment="1" applyProtection="1">
      <alignment horizontal="right" vertical="center" wrapText="1"/>
    </xf>
    <xf numFmtId="0" fontId="0" fillId="0" borderId="53" xfId="0" applyFill="1" applyBorder="1"/>
    <xf numFmtId="0" fontId="22" fillId="0" borderId="54" xfId="0" applyFont="1" applyFill="1" applyBorder="1" applyAlignment="1">
      <alignment horizontal="center" vertical="center" wrapText="1"/>
    </xf>
    <xf numFmtId="0" fontId="19" fillId="0" borderId="52" xfId="0" applyFont="1" applyFill="1" applyBorder="1" applyAlignment="1">
      <alignment horizontal="center" wrapText="1"/>
    </xf>
    <xf numFmtId="0" fontId="0" fillId="0" borderId="59" xfId="0" applyFill="1" applyBorder="1"/>
    <xf numFmtId="0" fontId="0" fillId="0" borderId="7" xfId="0" applyFill="1" applyBorder="1"/>
    <xf numFmtId="0" fontId="22" fillId="0" borderId="55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wrapText="1"/>
    </xf>
    <xf numFmtId="166" fontId="21" fillId="0" borderId="62" xfId="1" applyNumberFormat="1" applyFont="1" applyFill="1" applyBorder="1" applyAlignment="1" applyProtection="1">
      <alignment horizontal="right" vertical="center" wrapText="1"/>
    </xf>
    <xf numFmtId="166" fontId="21" fillId="0" borderId="63" xfId="1" applyNumberFormat="1" applyFont="1" applyFill="1" applyBorder="1" applyAlignment="1" applyProtection="1">
      <alignment horizontal="right" vertical="center" wrapText="1"/>
    </xf>
    <xf numFmtId="0" fontId="0" fillId="0" borderId="66" xfId="0" applyFont="1" applyFill="1" applyBorder="1" applyAlignment="1">
      <alignment horizontal="center" vertical="center"/>
    </xf>
    <xf numFmtId="0" fontId="0" fillId="0" borderId="67" xfId="0" applyFont="1" applyFill="1" applyBorder="1" applyAlignment="1">
      <alignment horizontal="center" vertical="center"/>
    </xf>
    <xf numFmtId="0" fontId="0" fillId="0" borderId="68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 wrapText="1"/>
    </xf>
    <xf numFmtId="166" fontId="4" fillId="0" borderId="25" xfId="1" applyNumberFormat="1" applyFont="1" applyFill="1" applyBorder="1" applyAlignment="1" applyProtection="1">
      <alignment horizontal="right" vertical="center" wrapText="1"/>
    </xf>
    <xf numFmtId="3" fontId="4" fillId="0" borderId="25" xfId="0" applyNumberFormat="1" applyFont="1" applyFill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0" fillId="0" borderId="69" xfId="0" applyBorder="1"/>
    <xf numFmtId="0" fontId="20" fillId="0" borderId="27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0" fillId="0" borderId="69" xfId="0" applyBorder="1" applyAlignment="1">
      <alignment horizontal="center"/>
    </xf>
    <xf numFmtId="0" fontId="16" fillId="3" borderId="12" xfId="0" applyFont="1" applyFill="1" applyBorder="1" applyAlignment="1">
      <alignment horizontal="center" wrapText="1"/>
    </xf>
    <xf numFmtId="0" fontId="16" fillId="3" borderId="12" xfId="0" applyFont="1" applyFill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/>
    </xf>
    <xf numFmtId="0" fontId="16" fillId="3" borderId="12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6" fillId="0" borderId="20" xfId="0" applyFont="1" applyBorder="1" applyAlignment="1">
      <alignment horizontal="left" vertical="center" wrapText="1" indent="1"/>
    </xf>
    <xf numFmtId="167" fontId="25" fillId="0" borderId="20" xfId="0" applyNumberFormat="1" applyFont="1" applyBorder="1" applyAlignment="1">
      <alignment horizontal="center" vertical="center"/>
    </xf>
    <xf numFmtId="0" fontId="4" fillId="0" borderId="25" xfId="0" applyFont="1" applyFill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/>
    </xf>
    <xf numFmtId="0" fontId="6" fillId="3" borderId="23" xfId="0" applyFont="1" applyFill="1" applyBorder="1" applyAlignment="1">
      <alignment horizontal="left" vertical="center" wrapText="1" indent="1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 wrapText="1"/>
    </xf>
    <xf numFmtId="0" fontId="6" fillId="4" borderId="20" xfId="0" applyFont="1" applyFill="1" applyBorder="1" applyAlignment="1">
      <alignment horizontal="left" vertical="center" wrapText="1" indent="1"/>
    </xf>
    <xf numFmtId="0" fontId="7" fillId="0" borderId="21" xfId="0" applyFont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10" fillId="0" borderId="49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48" xfId="0" applyFont="1" applyFill="1" applyBorder="1" applyAlignment="1">
      <alignment horizontal="left" vertical="center" wrapText="1" indent="1"/>
    </xf>
    <xf numFmtId="0" fontId="0" fillId="0" borderId="42" xfId="0" applyFont="1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10" fillId="0" borderId="48" xfId="0" applyFont="1" applyBorder="1" applyAlignment="1">
      <alignment horizontal="left" vertical="center" wrapText="1"/>
    </xf>
    <xf numFmtId="0" fontId="0" fillId="0" borderId="29" xfId="0" applyBorder="1"/>
    <xf numFmtId="0" fontId="26" fillId="0" borderId="64" xfId="0" applyFont="1" applyBorder="1" applyAlignment="1">
      <alignment horizontal="left" vertical="center" wrapText="1"/>
    </xf>
    <xf numFmtId="0" fontId="0" fillId="0" borderId="64" xfId="0" applyFont="1" applyBorder="1" applyAlignment="1">
      <alignment horizontal="left" vertical="center" wrapText="1"/>
    </xf>
    <xf numFmtId="0" fontId="12" fillId="0" borderId="30" xfId="0" applyFont="1" applyBorder="1"/>
    <xf numFmtId="0" fontId="12" fillId="0" borderId="31" xfId="0" applyFont="1" applyBorder="1" applyAlignment="1">
      <alignment horizontal="left" vertical="center" wrapText="1" indent="1"/>
    </xf>
    <xf numFmtId="0" fontId="14" fillId="0" borderId="2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indent="1"/>
    </xf>
    <xf numFmtId="0" fontId="13" fillId="0" borderId="17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10" fillId="0" borderId="28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 vertical="center" wrapText="1"/>
    </xf>
    <xf numFmtId="0" fontId="2" fillId="0" borderId="17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9"/>
  <sheetViews>
    <sheetView tabSelected="1" zoomScaleNormal="100" workbookViewId="0">
      <selection activeCell="E59" sqref="E59"/>
    </sheetView>
  </sheetViews>
  <sheetFormatPr baseColWidth="10" defaultColWidth="11" defaultRowHeight="12.75" x14ac:dyDescent="0.2"/>
  <cols>
    <col min="1" max="1" width="4.5703125" style="41" customWidth="1"/>
    <col min="2" max="2" width="21.7109375" style="41" customWidth="1"/>
    <col min="3" max="3" width="36.7109375" style="41" customWidth="1"/>
    <col min="4" max="4" width="5.140625" style="41" bestFit="1" customWidth="1"/>
    <col min="5" max="5" width="132.140625" style="41" customWidth="1"/>
    <col min="6" max="6" width="11" style="41"/>
    <col min="7" max="8" width="10.42578125" style="41" bestFit="1" customWidth="1"/>
    <col min="9" max="9" width="15.7109375" style="41" bestFit="1" customWidth="1"/>
    <col min="10" max="16384" width="11" style="41"/>
  </cols>
  <sheetData>
    <row r="2" spans="1:9" ht="27" x14ac:dyDescent="0.35">
      <c r="B2" s="119" t="s">
        <v>0</v>
      </c>
      <c r="C2" s="119"/>
      <c r="D2" s="119"/>
      <c r="E2" s="119"/>
      <c r="F2" s="119"/>
      <c r="G2" s="119"/>
      <c r="H2" s="119"/>
    </row>
    <row r="4" spans="1:9" ht="18" customHeight="1" x14ac:dyDescent="0.25">
      <c r="A4" s="111" t="s">
        <v>1</v>
      </c>
      <c r="B4" s="111"/>
      <c r="C4" s="120" t="s">
        <v>57</v>
      </c>
      <c r="D4" s="120"/>
      <c r="E4" s="120"/>
      <c r="F4" s="42"/>
      <c r="G4" s="43"/>
      <c r="H4" s="42"/>
    </row>
    <row r="5" spans="1:9" ht="18" customHeight="1" x14ac:dyDescent="0.25">
      <c r="A5" s="111" t="s">
        <v>2</v>
      </c>
      <c r="B5" s="111"/>
      <c r="C5" s="120" t="s">
        <v>58</v>
      </c>
      <c r="D5" s="120"/>
      <c r="E5" s="120"/>
      <c r="F5" s="42"/>
      <c r="G5" s="43"/>
      <c r="H5" s="42"/>
    </row>
    <row r="6" spans="1:9" ht="16.5" customHeight="1" x14ac:dyDescent="0.25">
      <c r="A6" s="111" t="s">
        <v>3</v>
      </c>
      <c r="B6" s="111"/>
      <c r="C6" s="59">
        <v>2021</v>
      </c>
      <c r="D6" s="60"/>
      <c r="E6" s="60"/>
      <c r="F6" s="42"/>
      <c r="G6" s="43"/>
      <c r="H6" s="42"/>
    </row>
    <row r="7" spans="1:9" ht="16.5" customHeight="1" x14ac:dyDescent="0.25">
      <c r="A7" s="111" t="s">
        <v>4</v>
      </c>
      <c r="B7" s="111"/>
      <c r="C7" s="59">
        <v>1</v>
      </c>
      <c r="D7" s="60"/>
      <c r="E7" s="60"/>
      <c r="F7" s="42"/>
      <c r="G7" s="43"/>
      <c r="H7" s="42"/>
    </row>
    <row r="8" spans="1:9" ht="13.5" thickBot="1" x14ac:dyDescent="0.25">
      <c r="B8" s="42"/>
      <c r="C8" s="43"/>
      <c r="D8" s="42"/>
      <c r="E8" s="42"/>
      <c r="F8" s="42"/>
      <c r="G8" s="43"/>
      <c r="H8" s="42"/>
    </row>
    <row r="9" spans="1:9" ht="39" thickBot="1" x14ac:dyDescent="0.25">
      <c r="A9" s="106" t="s">
        <v>5</v>
      </c>
      <c r="B9" s="107" t="s">
        <v>6</v>
      </c>
      <c r="C9" s="107" t="s">
        <v>7</v>
      </c>
      <c r="D9" s="107" t="s">
        <v>8</v>
      </c>
      <c r="E9" s="107" t="s">
        <v>9</v>
      </c>
      <c r="F9" s="62" t="s">
        <v>10</v>
      </c>
      <c r="G9" s="63" t="s">
        <v>11</v>
      </c>
      <c r="H9" s="63" t="s">
        <v>12</v>
      </c>
      <c r="I9" s="64" t="s">
        <v>13</v>
      </c>
    </row>
    <row r="10" spans="1:9" x14ac:dyDescent="0.2">
      <c r="A10" s="104">
        <v>1</v>
      </c>
      <c r="B10" s="105" t="s">
        <v>76</v>
      </c>
      <c r="C10" s="105" t="s">
        <v>77</v>
      </c>
      <c r="D10" s="108" t="s">
        <v>81</v>
      </c>
      <c r="E10" s="105" t="s">
        <v>78</v>
      </c>
      <c r="F10" s="74" t="s">
        <v>71</v>
      </c>
      <c r="G10" s="75">
        <v>200</v>
      </c>
      <c r="H10" s="76">
        <v>7460</v>
      </c>
      <c r="I10" s="77">
        <f>+H10*G10</f>
        <v>1492000</v>
      </c>
    </row>
    <row r="11" spans="1:9" x14ac:dyDescent="0.2">
      <c r="A11" s="44">
        <v>2</v>
      </c>
      <c r="B11" s="61" t="s">
        <v>79</v>
      </c>
      <c r="C11" s="61" t="s">
        <v>77</v>
      </c>
      <c r="D11" s="72" t="s">
        <v>81</v>
      </c>
      <c r="E11" s="61" t="s">
        <v>80</v>
      </c>
      <c r="F11" s="82" t="s">
        <v>71</v>
      </c>
      <c r="G11" s="83">
        <v>200</v>
      </c>
      <c r="H11" s="84">
        <v>14920</v>
      </c>
      <c r="I11" s="85">
        <f>+H11*G11</f>
        <v>2984000</v>
      </c>
    </row>
    <row r="12" spans="1:9" x14ac:dyDescent="0.2">
      <c r="A12" s="44"/>
      <c r="B12" s="78"/>
      <c r="C12" s="79"/>
      <c r="D12" s="80"/>
      <c r="E12" s="81"/>
      <c r="F12" s="82"/>
      <c r="G12" s="83"/>
      <c r="H12" s="84"/>
      <c r="I12" s="85"/>
    </row>
    <row r="13" spans="1:9" x14ac:dyDescent="0.2">
      <c r="A13" s="44"/>
      <c r="B13" s="86"/>
      <c r="C13" s="73"/>
      <c r="D13" s="87"/>
      <c r="E13" s="73"/>
      <c r="F13" s="82"/>
      <c r="G13" s="83"/>
      <c r="H13" s="84"/>
      <c r="I13" s="85"/>
    </row>
    <row r="14" spans="1:9" x14ac:dyDescent="0.2">
      <c r="A14" s="44"/>
      <c r="B14" s="86"/>
      <c r="C14" s="73"/>
      <c r="D14" s="87"/>
      <c r="E14" s="73"/>
      <c r="F14" s="82"/>
      <c r="G14" s="88"/>
      <c r="H14" s="84"/>
      <c r="I14" s="85"/>
    </row>
    <row r="15" spans="1:9" ht="13.5" thickBot="1" x14ac:dyDescent="0.25">
      <c r="A15" s="45"/>
      <c r="B15" s="89"/>
      <c r="C15" s="90"/>
      <c r="D15" s="91"/>
      <c r="E15" s="90"/>
      <c r="F15" s="92"/>
      <c r="G15" s="93"/>
      <c r="H15" s="94"/>
      <c r="I15" s="95"/>
    </row>
    <row r="18" spans="2:5" x14ac:dyDescent="0.2">
      <c r="B18" s="46" t="s">
        <v>14</v>
      </c>
      <c r="C18" s="47"/>
      <c r="D18" s="47"/>
      <c r="E18" s="48"/>
    </row>
    <row r="19" spans="2:5" ht="5.25" customHeight="1" x14ac:dyDescent="0.2">
      <c r="B19" s="49"/>
      <c r="C19" s="50"/>
      <c r="D19" s="50"/>
      <c r="E19" s="51"/>
    </row>
    <row r="20" spans="2:5" x14ac:dyDescent="0.2">
      <c r="B20" s="52" t="s">
        <v>15</v>
      </c>
      <c r="C20" s="50"/>
      <c r="D20" s="50"/>
      <c r="E20" s="51"/>
    </row>
    <row r="21" spans="2:5" ht="50.25" customHeight="1" x14ac:dyDescent="0.2">
      <c r="B21" s="52"/>
      <c r="C21" s="112"/>
      <c r="D21" s="112"/>
      <c r="E21" s="113"/>
    </row>
    <row r="22" spans="2:5" x14ac:dyDescent="0.2">
      <c r="B22" s="52" t="s">
        <v>16</v>
      </c>
      <c r="C22" s="50"/>
      <c r="D22" s="50"/>
      <c r="E22" s="51"/>
    </row>
    <row r="23" spans="2:5" x14ac:dyDescent="0.2">
      <c r="B23" s="53"/>
      <c r="C23" s="114" t="s">
        <v>69</v>
      </c>
      <c r="D23" s="115"/>
      <c r="E23" s="116"/>
    </row>
    <row r="24" spans="2:5" ht="50.25" customHeight="1" x14ac:dyDescent="0.2">
      <c r="B24" s="53"/>
      <c r="C24" s="117" t="s">
        <v>70</v>
      </c>
      <c r="D24" s="117"/>
      <c r="E24" s="118"/>
    </row>
    <row r="25" spans="2:5" x14ac:dyDescent="0.2">
      <c r="B25" s="53"/>
      <c r="C25" s="66"/>
      <c r="D25" s="66"/>
      <c r="E25" s="67"/>
    </row>
    <row r="26" spans="2:5" x14ac:dyDescent="0.2">
      <c r="B26" s="52" t="s">
        <v>17</v>
      </c>
      <c r="C26" s="50"/>
      <c r="D26" s="50"/>
      <c r="E26" s="51"/>
    </row>
    <row r="27" spans="2:5" ht="26.25" customHeight="1" x14ac:dyDescent="0.2">
      <c r="B27" s="53"/>
      <c r="C27" s="109" t="s">
        <v>59</v>
      </c>
      <c r="D27" s="109"/>
      <c r="E27" s="109"/>
    </row>
    <row r="28" spans="2:5" x14ac:dyDescent="0.2">
      <c r="B28" s="52" t="s">
        <v>18</v>
      </c>
      <c r="C28" s="54"/>
      <c r="D28" s="54"/>
      <c r="E28" s="55"/>
    </row>
    <row r="29" spans="2:5" ht="26.25" customHeight="1" x14ac:dyDescent="0.2">
      <c r="B29" s="53"/>
      <c r="C29" s="109" t="s">
        <v>82</v>
      </c>
      <c r="D29" s="109"/>
      <c r="E29" s="109"/>
    </row>
    <row r="30" spans="2:5" x14ac:dyDescent="0.2">
      <c r="B30" s="52" t="s">
        <v>19</v>
      </c>
      <c r="C30" s="50"/>
      <c r="D30" s="50"/>
      <c r="E30" s="51"/>
    </row>
    <row r="31" spans="2:5" ht="23.25" customHeight="1" x14ac:dyDescent="0.2">
      <c r="B31" s="52"/>
      <c r="C31" s="110" t="s">
        <v>68</v>
      </c>
      <c r="D31" s="110"/>
      <c r="E31" s="110"/>
    </row>
    <row r="32" spans="2:5" x14ac:dyDescent="0.2">
      <c r="B32" s="56"/>
      <c r="C32" s="57"/>
      <c r="D32" s="57"/>
      <c r="E32" s="58"/>
    </row>
    <row r="34" spans="2:5" ht="13.5" thickBot="1" x14ac:dyDescent="0.25"/>
    <row r="35" spans="2:5" x14ac:dyDescent="0.2">
      <c r="B35" s="46" t="s">
        <v>67</v>
      </c>
      <c r="C35" s="47"/>
      <c r="D35" s="47"/>
      <c r="E35" s="48"/>
    </row>
    <row r="36" spans="2:5" x14ac:dyDescent="0.2">
      <c r="B36" s="49"/>
      <c r="C36" s="50"/>
      <c r="D36" s="50"/>
      <c r="E36" s="51"/>
    </row>
    <row r="37" spans="2:5" x14ac:dyDescent="0.2">
      <c r="B37" s="52" t="s">
        <v>15</v>
      </c>
      <c r="C37" s="50"/>
      <c r="D37" s="50"/>
      <c r="E37" s="51"/>
    </row>
    <row r="38" spans="2:5" ht="40.5" customHeight="1" x14ac:dyDescent="0.2">
      <c r="B38" s="52"/>
      <c r="C38" s="109"/>
      <c r="D38" s="109"/>
      <c r="E38" s="109"/>
    </row>
    <row r="39" spans="2:5" x14ac:dyDescent="0.2">
      <c r="B39" s="52" t="s">
        <v>16</v>
      </c>
      <c r="C39" s="50"/>
      <c r="D39" s="50"/>
      <c r="E39" s="51"/>
    </row>
    <row r="40" spans="2:5" x14ac:dyDescent="0.2">
      <c r="B40" s="53"/>
      <c r="C40" s="114" t="s">
        <v>69</v>
      </c>
      <c r="D40" s="115"/>
      <c r="E40" s="116"/>
    </row>
    <row r="41" spans="2:5" ht="36" customHeight="1" x14ac:dyDescent="0.2">
      <c r="B41" s="53"/>
      <c r="C41" s="117" t="s">
        <v>70</v>
      </c>
      <c r="D41" s="117"/>
      <c r="E41" s="118"/>
    </row>
    <row r="42" spans="2:5" x14ac:dyDescent="0.2">
      <c r="B42" s="53"/>
      <c r="C42" s="68"/>
      <c r="D42" s="68"/>
      <c r="E42" s="69"/>
    </row>
    <row r="43" spans="2:5" x14ac:dyDescent="0.2">
      <c r="B43" s="52" t="s">
        <v>17</v>
      </c>
      <c r="C43" s="50"/>
      <c r="D43" s="50"/>
      <c r="E43" s="51"/>
    </row>
    <row r="44" spans="2:5" x14ac:dyDescent="0.2">
      <c r="B44" s="53"/>
      <c r="C44" s="109" t="s">
        <v>59</v>
      </c>
      <c r="D44" s="109"/>
      <c r="E44" s="109"/>
    </row>
    <row r="45" spans="2:5" x14ac:dyDescent="0.2">
      <c r="B45" s="52" t="s">
        <v>18</v>
      </c>
      <c r="C45" s="54"/>
      <c r="D45" s="54"/>
      <c r="E45" s="55"/>
    </row>
    <row r="46" spans="2:5" x14ac:dyDescent="0.2">
      <c r="B46" s="53"/>
      <c r="C46" s="109" t="s">
        <v>82</v>
      </c>
      <c r="D46" s="109"/>
      <c r="E46" s="109"/>
    </row>
    <row r="47" spans="2:5" x14ac:dyDescent="0.2">
      <c r="B47" s="52" t="s">
        <v>19</v>
      </c>
      <c r="C47" s="50"/>
      <c r="D47" s="50"/>
      <c r="E47" s="51"/>
    </row>
    <row r="48" spans="2:5" x14ac:dyDescent="0.2">
      <c r="B48" s="52"/>
      <c r="C48" s="110" t="s">
        <v>68</v>
      </c>
      <c r="D48" s="110"/>
      <c r="E48" s="110"/>
    </row>
    <row r="49" spans="2:5" ht="13.5" thickBot="1" x14ac:dyDescent="0.25">
      <c r="B49" s="56"/>
      <c r="C49" s="57"/>
      <c r="D49" s="57"/>
      <c r="E49" s="58"/>
    </row>
  </sheetData>
  <mergeCells count="19">
    <mergeCell ref="C48:E48"/>
    <mergeCell ref="C38:E38"/>
    <mergeCell ref="C40:E40"/>
    <mergeCell ref="C41:E41"/>
    <mergeCell ref="C44:E44"/>
    <mergeCell ref="C46:E46"/>
    <mergeCell ref="B2:H2"/>
    <mergeCell ref="A4:B4"/>
    <mergeCell ref="C4:E4"/>
    <mergeCell ref="A5:B5"/>
    <mergeCell ref="C5:E5"/>
    <mergeCell ref="C27:E27"/>
    <mergeCell ref="C29:E29"/>
    <mergeCell ref="C31:E31"/>
    <mergeCell ref="A6:B6"/>
    <mergeCell ref="A7:B7"/>
    <mergeCell ref="C21:E21"/>
    <mergeCell ref="C23:E23"/>
    <mergeCell ref="C24:E24"/>
  </mergeCells>
  <pageMargins left="0" right="0" top="0.74803149606299213" bottom="0" header="0.51181102362204722" footer="0.51181102362204722"/>
  <pageSetup paperSize="5" scale="6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110" zoomScaleNormal="110" workbookViewId="0">
      <selection activeCell="C22" sqref="C2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9" t="s">
        <v>20</v>
      </c>
      <c r="B1" s="129"/>
      <c r="C1" s="129"/>
      <c r="D1" s="129"/>
      <c r="E1" s="129"/>
      <c r="F1" s="129"/>
      <c r="G1" s="129"/>
      <c r="H1" s="129"/>
      <c r="I1" s="129"/>
      <c r="J1" s="3" t="s">
        <v>21</v>
      </c>
      <c r="K1" s="4" t="s">
        <v>83</v>
      </c>
    </row>
    <row r="2" spans="1:11" ht="18.75" customHeight="1" thickBo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1" ht="18.75" customHeight="1" thickBot="1" x14ac:dyDescent="0.25">
      <c r="A3" s="130" t="s">
        <v>54</v>
      </c>
      <c r="B3" s="130"/>
      <c r="C3" s="130"/>
      <c r="D3" s="131" t="str">
        <f>'Necesidades Trimestrales'!C4</f>
        <v>45- Ministerio de Desarrollo Social y Deporte</v>
      </c>
      <c r="E3" s="131"/>
      <c r="F3" s="131"/>
      <c r="G3" s="131"/>
      <c r="H3" s="131"/>
      <c r="I3" s="131"/>
      <c r="J3" s="131"/>
      <c r="K3" s="131"/>
    </row>
    <row r="4" spans="1:11" ht="18.75" customHeight="1" thickBot="1" x14ac:dyDescent="0.25">
      <c r="A4" s="132" t="s">
        <v>55</v>
      </c>
      <c r="B4" s="132"/>
      <c r="C4" s="132"/>
      <c r="D4" s="131" t="str">
        <f>'Necesidades Trimestrales'!C5</f>
        <v>25- Direccion Provincial de Gestion Administrativa y RRHH</v>
      </c>
      <c r="E4" s="131"/>
      <c r="F4" s="131"/>
      <c r="G4" s="131"/>
      <c r="H4" s="131"/>
      <c r="I4" s="131"/>
      <c r="J4" s="131"/>
      <c r="K4" s="131"/>
    </row>
    <row r="5" spans="1:11" ht="18.75" customHeight="1" thickBot="1" x14ac:dyDescent="0.25">
      <c r="A5" s="132" t="s">
        <v>33</v>
      </c>
      <c r="B5" s="132"/>
      <c r="C5" s="132"/>
      <c r="D5" s="131" t="s">
        <v>72</v>
      </c>
      <c r="E5" s="131"/>
      <c r="F5" s="131"/>
      <c r="G5" s="131"/>
      <c r="H5" s="131"/>
      <c r="I5" s="131"/>
      <c r="J5" s="131"/>
      <c r="K5" s="131"/>
    </row>
    <row r="6" spans="1:11" ht="16.5" customHeight="1" thickBot="1" x14ac:dyDescent="0.25">
      <c r="A6" s="130" t="s">
        <v>56</v>
      </c>
      <c r="B6" s="130"/>
      <c r="C6" s="130"/>
      <c r="D6" s="131" t="s">
        <v>73</v>
      </c>
      <c r="E6" s="131"/>
      <c r="F6" s="131"/>
      <c r="G6" s="131"/>
      <c r="H6" s="131"/>
      <c r="I6" s="131"/>
      <c r="J6" s="131"/>
      <c r="K6" s="131"/>
    </row>
    <row r="7" spans="1:11" ht="16.5" customHeight="1" x14ac:dyDescent="0.2">
      <c r="A7" s="132" t="s">
        <v>22</v>
      </c>
      <c r="B7" s="132"/>
      <c r="C7" s="132"/>
      <c r="D7" s="131" t="str">
        <f>'Necesidades Trimestrales'!C7 &amp; "° Trimestre - Año " &amp; 'Necesidades Trimestrales'!C6</f>
        <v>1° Trimestre - Año 2021</v>
      </c>
      <c r="E7" s="131"/>
      <c r="F7" s="131"/>
      <c r="G7" s="131"/>
      <c r="H7" s="131"/>
      <c r="I7" s="131"/>
      <c r="J7" s="131"/>
      <c r="K7" s="131"/>
    </row>
    <row r="8" spans="1:11" ht="15.75" x14ac:dyDescent="0.2">
      <c r="A8" s="124" t="s">
        <v>23</v>
      </c>
      <c r="B8" s="124"/>
      <c r="C8" s="124"/>
      <c r="D8" s="125" t="s">
        <v>84</v>
      </c>
      <c r="E8" s="125"/>
      <c r="F8" s="125"/>
      <c r="G8" s="125"/>
      <c r="H8" s="125"/>
      <c r="I8" s="125"/>
      <c r="J8" s="125"/>
      <c r="K8" s="125"/>
    </row>
    <row r="9" spans="1:11" ht="15.75" x14ac:dyDescent="0.2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1" ht="18.75" customHeight="1" x14ac:dyDescent="0.2">
      <c r="A10" s="126" t="s">
        <v>24</v>
      </c>
      <c r="B10" s="127" t="s">
        <v>25</v>
      </c>
      <c r="C10" s="127" t="s">
        <v>26</v>
      </c>
      <c r="D10" s="127"/>
      <c r="E10" s="127"/>
      <c r="F10" s="127"/>
      <c r="G10" s="127"/>
      <c r="H10" s="127" t="s">
        <v>27</v>
      </c>
      <c r="I10" s="127" t="s">
        <v>28</v>
      </c>
      <c r="J10" s="127" t="s">
        <v>29</v>
      </c>
      <c r="K10" s="128" t="s">
        <v>30</v>
      </c>
    </row>
    <row r="11" spans="1:11" ht="24" customHeight="1" x14ac:dyDescent="0.2">
      <c r="A11" s="126"/>
      <c r="B11" s="127"/>
      <c r="C11" s="127"/>
      <c r="D11" s="127"/>
      <c r="E11" s="127"/>
      <c r="F11" s="127"/>
      <c r="G11" s="127"/>
      <c r="H11" s="127"/>
      <c r="I11" s="127"/>
      <c r="J11" s="127"/>
      <c r="K11" s="128"/>
    </row>
    <row r="12" spans="1:11" ht="31.5" customHeight="1" thickBot="1" x14ac:dyDescent="0.25">
      <c r="A12" s="9">
        <v>1</v>
      </c>
      <c r="B12" s="99" t="str">
        <f>'Necesidades Trimestrales'!B10</f>
        <v>2.7.1-331.42</v>
      </c>
      <c r="C12" s="123" t="str">
        <f>'Necesidades Trimestrales'!E10</f>
        <v>CHAPAS GALVANIZADAS; ANCHO: 1.10 M, CALIBRE BWG: 27, LARGO: 3 M</v>
      </c>
      <c r="D12" s="123"/>
      <c r="E12" s="123"/>
      <c r="F12" s="123"/>
      <c r="G12" s="123"/>
      <c r="H12" s="100" t="s">
        <v>85</v>
      </c>
      <c r="I12" s="101" t="str">
        <f>'Necesidades Trimestrales'!F10</f>
        <v>UNIDADES</v>
      </c>
      <c r="J12" s="102">
        <f>'Necesidades Trimestrales'!H10</f>
        <v>7460</v>
      </c>
      <c r="K12" s="103">
        <f>'Necesidades Trimestrales'!G10</f>
        <v>200</v>
      </c>
    </row>
    <row r="13" spans="1:11" ht="36" customHeight="1" thickBot="1" x14ac:dyDescent="0.25">
      <c r="A13" s="9">
        <v>2</v>
      </c>
      <c r="B13" s="99" t="str">
        <f>'Necesidades Trimestrales'!B11</f>
        <v>2.7.1-331.107</v>
      </c>
      <c r="C13" s="123" t="str">
        <f>'Necesidades Trimestrales'!E11</f>
        <v>CHAPAS GALVANIZADAS; ANCHO: 1100 mm, CALIBRE BWG: 27, LARGO: 6000 mm</v>
      </c>
      <c r="D13" s="123"/>
      <c r="E13" s="123"/>
      <c r="F13" s="123"/>
      <c r="G13" s="123"/>
      <c r="H13" s="100" t="s">
        <v>85</v>
      </c>
      <c r="I13" s="101" t="str">
        <f>'Necesidades Trimestrales'!F11</f>
        <v>UNIDADES</v>
      </c>
      <c r="J13" s="102">
        <f>'Necesidades Trimestrales'!H11</f>
        <v>14920</v>
      </c>
      <c r="K13" s="103">
        <f>'Necesidades Trimestrales'!G11</f>
        <v>200</v>
      </c>
    </row>
    <row r="14" spans="1:11" ht="20.25" customHeight="1" thickBot="1" x14ac:dyDescent="0.25">
      <c r="A14" s="10"/>
      <c r="B14" s="99"/>
      <c r="C14" s="123"/>
      <c r="D14" s="123"/>
      <c r="E14" s="123"/>
      <c r="F14" s="123"/>
      <c r="G14" s="123"/>
      <c r="H14" s="100"/>
      <c r="I14" s="101"/>
      <c r="J14" s="102"/>
      <c r="K14" s="103"/>
    </row>
    <row r="15" spans="1:11" ht="27.75" customHeight="1" thickBot="1" x14ac:dyDescent="0.25">
      <c r="A15" s="10"/>
      <c r="B15" s="99"/>
      <c r="C15" s="123"/>
      <c r="D15" s="123"/>
      <c r="E15" s="123"/>
      <c r="F15" s="123"/>
      <c r="G15" s="123"/>
      <c r="H15" s="100"/>
      <c r="I15" s="101"/>
      <c r="J15" s="102"/>
      <c r="K15" s="103"/>
    </row>
    <row r="16" spans="1:11" ht="26.25" customHeight="1" thickBot="1" x14ac:dyDescent="0.25">
      <c r="A16" s="121" t="s">
        <v>86</v>
      </c>
      <c r="B16" s="121"/>
      <c r="C16" s="121"/>
      <c r="D16" s="121"/>
      <c r="E16" s="121"/>
      <c r="F16" s="121"/>
      <c r="G16" s="121"/>
      <c r="H16" s="121"/>
      <c r="I16" s="121"/>
      <c r="J16" s="122">
        <f>+J12*K12+J13*K13</f>
        <v>4476000</v>
      </c>
      <c r="K16" s="122"/>
    </row>
  </sheetData>
  <mergeCells count="26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6:I16"/>
    <mergeCell ref="J16:K16"/>
    <mergeCell ref="C12:G12"/>
    <mergeCell ref="C13:G13"/>
    <mergeCell ref="C14:G14"/>
    <mergeCell ref="C15:G1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zoomScale="130" zoomScaleNormal="130" workbookViewId="0">
      <selection activeCell="R15" sqref="R15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11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3.28515625" bestFit="1" customWidth="1"/>
  </cols>
  <sheetData>
    <row r="1" spans="1:18" ht="15.75" customHeight="1" x14ac:dyDescent="0.25">
      <c r="A1" s="156" t="s">
        <v>3</v>
      </c>
      <c r="B1" s="156"/>
      <c r="C1" s="156"/>
      <c r="D1" s="157">
        <f>'Necesidades Trimestrales'!C6</f>
        <v>2021</v>
      </c>
      <c r="E1" s="157"/>
      <c r="F1" s="12"/>
      <c r="G1" s="12"/>
      <c r="H1" s="13"/>
      <c r="I1" s="13"/>
      <c r="J1" s="13"/>
      <c r="K1" s="13"/>
      <c r="L1" s="13"/>
      <c r="M1" s="13"/>
      <c r="N1" s="13"/>
      <c r="P1" s="158" t="s">
        <v>31</v>
      </c>
      <c r="Q1" s="158"/>
    </row>
    <row r="2" spans="1:18" ht="15.75" customHeight="1" x14ac:dyDescent="0.2">
      <c r="H2" s="13"/>
      <c r="I2" s="13"/>
      <c r="J2" s="13"/>
      <c r="K2" s="13"/>
      <c r="L2" s="13"/>
      <c r="M2" s="13"/>
      <c r="N2" s="13"/>
      <c r="P2" s="158"/>
      <c r="Q2" s="158"/>
    </row>
    <row r="4" spans="1:18" s="14" customFormat="1" ht="18" customHeight="1" thickBot="1" x14ac:dyDescent="0.25">
      <c r="A4" s="159" t="s">
        <v>32</v>
      </c>
      <c r="B4" s="159"/>
      <c r="C4" s="159"/>
      <c r="D4" s="159"/>
      <c r="E4" s="159"/>
      <c r="F4" s="159"/>
      <c r="G4" s="154" t="str">
        <f>' NotaPedido'!D3</f>
        <v>45- Ministerio de Desarrollo Social y Deporte</v>
      </c>
      <c r="H4" s="154"/>
      <c r="I4" s="154"/>
      <c r="J4" s="154"/>
      <c r="K4" s="154"/>
      <c r="L4" s="154"/>
      <c r="M4" s="154"/>
      <c r="N4" s="154"/>
      <c r="O4" s="154"/>
      <c r="P4" s="154"/>
      <c r="Q4" s="154"/>
    </row>
    <row r="5" spans="1:18" s="14" customFormat="1" ht="18" customHeight="1" thickBot="1" x14ac:dyDescent="0.25">
      <c r="A5" s="151" t="s">
        <v>55</v>
      </c>
      <c r="B5" s="152"/>
      <c r="C5" s="152"/>
      <c r="D5" s="152"/>
      <c r="E5" s="152"/>
      <c r="F5" s="153"/>
      <c r="G5" s="154" t="str">
        <f>' NotaPedido'!D4</f>
        <v>25- Direccion Provincial de Gestion Administrativa y RRHH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</row>
    <row r="6" spans="1:18" s="14" customFormat="1" ht="18" customHeight="1" thickBot="1" x14ac:dyDescent="0.25">
      <c r="A6" s="151" t="s">
        <v>33</v>
      </c>
      <c r="B6" s="152"/>
      <c r="C6" s="152"/>
      <c r="D6" s="152"/>
      <c r="E6" s="152"/>
      <c r="F6" s="153"/>
      <c r="G6" s="154" t="s">
        <v>74</v>
      </c>
      <c r="H6" s="154"/>
      <c r="I6" s="154"/>
      <c r="J6" s="154"/>
      <c r="K6" s="154"/>
      <c r="L6" s="154"/>
      <c r="M6" s="154"/>
      <c r="N6" s="154"/>
      <c r="O6" s="154"/>
      <c r="P6" s="154"/>
      <c r="Q6" s="154"/>
    </row>
    <row r="7" spans="1:18" s="14" customFormat="1" ht="18" customHeight="1" thickBot="1" x14ac:dyDescent="0.25">
      <c r="A7" s="151" t="s">
        <v>56</v>
      </c>
      <c r="B7" s="152"/>
      <c r="C7" s="152"/>
      <c r="D7" s="152"/>
      <c r="E7" s="152"/>
      <c r="F7" s="153"/>
      <c r="G7" s="154" t="s">
        <v>75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</row>
    <row r="8" spans="1:18" ht="18" customHeight="1" thickBot="1" x14ac:dyDescent="0.25">
      <c r="A8" s="155" t="s">
        <v>34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</row>
    <row r="9" spans="1:18" ht="18" customHeight="1" x14ac:dyDescent="0.2">
      <c r="A9" s="145" t="s">
        <v>35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"/>
      <c r="P9" s="1"/>
      <c r="Q9" s="15"/>
    </row>
    <row r="10" spans="1:18" ht="54.75" customHeight="1" x14ac:dyDescent="0.2">
      <c r="A10" s="14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159/2021,  afectando la erogación resultante a los créditos presupuestarios aprobados a favor de esta Unidad Ejecutora, conforme al siguiente detalle: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</row>
    <row r="11" spans="1:18" ht="9" customHeight="1" x14ac:dyDescent="0.2">
      <c r="A11" s="16"/>
      <c r="B11" s="17"/>
      <c r="C11" s="17"/>
      <c r="D11" s="17"/>
      <c r="E11" s="17"/>
      <c r="F11" s="17"/>
      <c r="G11" s="18"/>
      <c r="H11" s="17"/>
      <c r="I11" s="17"/>
      <c r="J11" s="17"/>
      <c r="K11" s="17"/>
      <c r="L11" s="17"/>
      <c r="M11" s="17"/>
      <c r="N11" s="17"/>
      <c r="O11" s="17"/>
      <c r="P11" s="17"/>
      <c r="Q11" s="19"/>
    </row>
    <row r="12" spans="1:18" ht="15.75" customHeight="1" x14ac:dyDescent="0.2">
      <c r="A12" s="147" t="s">
        <v>36</v>
      </c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</row>
    <row r="13" spans="1:18" ht="15.75" customHeight="1" x14ac:dyDescent="0.2">
      <c r="A13" s="148" t="s">
        <v>37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9" t="s">
        <v>38</v>
      </c>
      <c r="P13" s="149"/>
      <c r="Q13" s="150" t="s">
        <v>39</v>
      </c>
    </row>
    <row r="14" spans="1:18" ht="15.75" customHeight="1" x14ac:dyDescent="0.2">
      <c r="A14" s="20" t="s">
        <v>40</v>
      </c>
      <c r="B14" s="21" t="s">
        <v>41</v>
      </c>
      <c r="C14" s="21" t="s">
        <v>42</v>
      </c>
      <c r="D14" s="21" t="s">
        <v>43</v>
      </c>
      <c r="E14" s="21" t="s">
        <v>44</v>
      </c>
      <c r="F14" s="21" t="s">
        <v>45</v>
      </c>
      <c r="G14" s="22" t="s">
        <v>46</v>
      </c>
      <c r="H14" s="21" t="s">
        <v>47</v>
      </c>
      <c r="I14" s="21" t="s">
        <v>48</v>
      </c>
      <c r="J14" s="21" t="s">
        <v>49</v>
      </c>
      <c r="K14" s="21" t="s">
        <v>49</v>
      </c>
      <c r="L14" s="21" t="s">
        <v>50</v>
      </c>
      <c r="M14" s="23" t="s">
        <v>51</v>
      </c>
      <c r="N14" s="24" t="s">
        <v>52</v>
      </c>
      <c r="O14" s="149"/>
      <c r="P14" s="149"/>
      <c r="Q14" s="150"/>
    </row>
    <row r="15" spans="1:18" ht="29.25" customHeight="1" x14ac:dyDescent="0.2">
      <c r="A15" s="96">
        <v>16</v>
      </c>
      <c r="B15" s="97"/>
      <c r="C15" s="97"/>
      <c r="D15" s="97">
        <v>2</v>
      </c>
      <c r="E15" s="97"/>
      <c r="F15" s="97">
        <v>4901</v>
      </c>
      <c r="G15" s="97">
        <v>1</v>
      </c>
      <c r="H15" s="97">
        <v>4</v>
      </c>
      <c r="I15" s="97" t="str">
        <f>LEFT('Necesidades Trimestrales'!D10,1)</f>
        <v>2</v>
      </c>
      <c r="J15" s="97">
        <v>7</v>
      </c>
      <c r="K15" s="97">
        <v>1</v>
      </c>
      <c r="L15" s="97"/>
      <c r="M15" s="98">
        <v>1</v>
      </c>
      <c r="N15" s="97">
        <v>1.1000000000000001</v>
      </c>
      <c r="O15" s="143" t="s">
        <v>88</v>
      </c>
      <c r="P15" s="144"/>
      <c r="Q15" s="25">
        <v>4476000</v>
      </c>
      <c r="R15" s="65"/>
    </row>
    <row r="16" spans="1:18" ht="17.25" customHeight="1" x14ac:dyDescent="0.2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7"/>
      <c r="O16" s="138"/>
      <c r="P16" s="138"/>
      <c r="Q16" s="30"/>
    </row>
    <row r="17" spans="1:18" ht="17.25" customHeight="1" x14ac:dyDescent="0.2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9"/>
      <c r="O17" s="138"/>
      <c r="P17" s="138"/>
      <c r="Q17" s="30"/>
    </row>
    <row r="18" spans="1:18" ht="17.25" customHeight="1" x14ac:dyDescent="0.2">
      <c r="A18" s="26"/>
      <c r="B18" s="27"/>
      <c r="C18" s="27"/>
      <c r="D18" s="27"/>
      <c r="E18" s="27"/>
      <c r="F18" s="29"/>
      <c r="G18" s="27"/>
      <c r="H18" s="27"/>
      <c r="I18" s="27"/>
      <c r="J18" s="27"/>
      <c r="K18" s="27"/>
      <c r="L18" s="27"/>
      <c r="M18" s="28"/>
      <c r="N18" s="29"/>
      <c r="O18" s="138"/>
      <c r="P18" s="138"/>
      <c r="Q18" s="30"/>
    </row>
    <row r="19" spans="1:18" ht="17.25" customHeight="1" x14ac:dyDescent="0.2">
      <c r="A19" s="26"/>
      <c r="B19" s="27"/>
      <c r="C19" s="27"/>
      <c r="D19" s="27"/>
      <c r="E19" s="27"/>
      <c r="F19" s="29"/>
      <c r="G19" s="27"/>
      <c r="H19" s="27"/>
      <c r="I19" s="27"/>
      <c r="J19" s="27"/>
      <c r="K19" s="27"/>
      <c r="L19" s="27"/>
      <c r="M19" s="28"/>
      <c r="N19" s="29"/>
      <c r="O19" s="138"/>
      <c r="P19" s="138"/>
      <c r="Q19" s="30"/>
    </row>
    <row r="20" spans="1:18" ht="17.25" customHeight="1" x14ac:dyDescent="0.2">
      <c r="A20" s="31"/>
      <c r="B20" s="32"/>
      <c r="C20" s="32"/>
      <c r="D20" s="32"/>
      <c r="E20" s="32"/>
      <c r="F20" s="33"/>
      <c r="G20" s="32"/>
      <c r="H20" s="32"/>
      <c r="I20" s="32"/>
      <c r="J20" s="32"/>
      <c r="K20" s="32"/>
      <c r="L20" s="32"/>
      <c r="M20" s="34"/>
      <c r="N20" s="35"/>
      <c r="O20" s="139"/>
      <c r="P20" s="139"/>
      <c r="Q20" s="30"/>
      <c r="R20" s="1"/>
    </row>
    <row r="21" spans="1:18" ht="17.25" customHeight="1" x14ac:dyDescent="0.2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8"/>
      <c r="N21" s="37"/>
      <c r="O21" s="140"/>
      <c r="P21" s="140"/>
      <c r="Q21" s="39"/>
    </row>
    <row r="22" spans="1:18" ht="30" customHeight="1" x14ac:dyDescent="0.2">
      <c r="A22" s="141" t="s">
        <v>87</v>
      </c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40">
        <f>SUM(Q15:Q21)</f>
        <v>4476000</v>
      </c>
    </row>
    <row r="23" spans="1:18" ht="18" customHeight="1" thickBot="1" x14ac:dyDescent="0.25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</row>
    <row r="24" spans="1:18" ht="17.25" customHeight="1" thickBot="1" x14ac:dyDescent="0.25">
      <c r="A24" s="133" t="s">
        <v>53</v>
      </c>
      <c r="B24" s="134"/>
      <c r="C24" s="134"/>
      <c r="D24" s="134"/>
      <c r="E24" s="134"/>
      <c r="F24" s="135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</row>
    <row r="25" spans="1:18" ht="18" customHeight="1" thickBot="1" x14ac:dyDescent="0.25">
      <c r="A25" s="137" t="s">
        <v>84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</row>
    <row r="26" spans="1:18" x14ac:dyDescent="0.2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E6"/>
  <sheetViews>
    <sheetView workbookViewId="0">
      <selection activeCell="C26" sqref="C26"/>
    </sheetView>
  </sheetViews>
  <sheetFormatPr baseColWidth="10" defaultRowHeight="12.75" x14ac:dyDescent="0.2"/>
  <cols>
    <col min="3" max="3" width="89.28515625" customWidth="1"/>
    <col min="4" max="4" width="15.5703125" customWidth="1"/>
    <col min="5" max="5" width="18.140625" customWidth="1"/>
  </cols>
  <sheetData>
    <row r="3" spans="1:5" ht="15.75" x14ac:dyDescent="0.25">
      <c r="A3" s="71" t="s">
        <v>62</v>
      </c>
      <c r="B3" s="71" t="s">
        <v>66</v>
      </c>
      <c r="C3" s="71" t="s">
        <v>63</v>
      </c>
      <c r="D3" s="71" t="s">
        <v>64</v>
      </c>
      <c r="E3" s="71" t="s">
        <v>65</v>
      </c>
    </row>
    <row r="4" spans="1:5" ht="51" x14ac:dyDescent="0.2">
      <c r="A4" s="72">
        <v>1</v>
      </c>
      <c r="B4" s="72">
        <v>70</v>
      </c>
      <c r="C4" s="70" t="s">
        <v>60</v>
      </c>
      <c r="D4" s="61"/>
      <c r="E4" s="61"/>
    </row>
    <row r="5" spans="1:5" x14ac:dyDescent="0.2">
      <c r="A5" s="72"/>
      <c r="B5" s="72"/>
      <c r="C5" s="61"/>
      <c r="D5" s="61"/>
      <c r="E5" s="61"/>
    </row>
    <row r="6" spans="1:5" ht="38.25" x14ac:dyDescent="0.2">
      <c r="A6" s="72">
        <v>2</v>
      </c>
      <c r="B6" s="72">
        <v>30</v>
      </c>
      <c r="C6" s="70" t="s">
        <v>61</v>
      </c>
      <c r="D6" s="61"/>
      <c r="E6" s="61"/>
    </row>
  </sheetData>
  <pageMargins left="0.70866141732283472" right="0.70866141732283472" top="0.74803149606299213" bottom="0.74803149606299213" header="0.31496062992125984" footer="0.31496062992125984"/>
  <pageSetup paperSize="5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Necesidades Trimestrales</vt:lpstr>
      <vt:lpstr> NotaPedido</vt:lpstr>
      <vt:lpstr>Autor Gastar</vt:lpstr>
      <vt:lpstr>Hoja1</vt:lpstr>
      <vt:lpstr>' NotaPedido'!Área_de_impresión</vt:lpstr>
      <vt:lpstr>'Autor Gastar'!Área_de_impresión</vt:lpstr>
      <vt:lpstr>Hoja1!Área_de_impresión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2021-02-04T13:26:39Z</cp:lastPrinted>
  <dcterms:created xsi:type="dcterms:W3CDTF">2020-07-17T23:44:49Z</dcterms:created>
  <dcterms:modified xsi:type="dcterms:W3CDTF">2021-08-17T12:41:05Z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