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E68797A-F3E9-4F8F-8B7F-628CE37A104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K13" i="2" l="1"/>
  <c r="K12" i="2"/>
  <c r="J13" i="2"/>
  <c r="J12" i="2"/>
  <c r="C13" i="2"/>
  <c r="C12" i="2"/>
  <c r="B13" i="2"/>
  <c r="B12" i="2"/>
  <c r="I11" i="1"/>
  <c r="D11" i="1"/>
  <c r="I10" i="1"/>
  <c r="D10" i="1"/>
  <c r="I15" i="3" l="1"/>
  <c r="J14" i="2" l="1"/>
  <c r="I12" i="1" l="1"/>
  <c r="Q15" i="3" s="1"/>
  <c r="Q16" i="3" s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<sst xmlns="http://schemas.openxmlformats.org/spreadsheetml/2006/main" count="91" uniqueCount="82">
  <si>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</si>
  <si>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</si>
  <si>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</si>
  <si>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</si>
  <si>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</si>
  <si>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</si>
  <si>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</si>
  <si>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</si>
  <si>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</si>
  <si>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</si>
  <si>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</si>
  <si>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</si>
  <si>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</si>
  <si>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</si>
  <si>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</si>
  <si>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</si>
  <si>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</si>
  <si>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</si>
  <si>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</si>
  <si>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</si>
  <si>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</si>
  <si>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</si>
  <si>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</si>
  <si>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</si>
  <si>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</si>
  <si>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</si>
  <si>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</si>
  <si>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</si>
  <si>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</si>
  <si>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</si>
  <si>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</si>
  <si>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</si>
  <si>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</si>
  <si>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</si>
  <si>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</si>
  <si>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</si>
  <si>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</si>
  <si>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</si>
  <si>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</si>
  <si>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</si>
  <si>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</si>
  <si>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</si>
  <si>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</si>
  <si>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</si>
  <si>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</si>
  <si>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</si>
  <si>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</si>
  <si>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</si>
  <si>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</si>
  <si>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</si>
  <si>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</si>
  <si>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</si>
  <si>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</si>
  <si>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</si>
  <si>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</si>
  <si>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</si>
  <si>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</si>
  <si>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ALIMENTOS</t>
  </si>
  <si>
    <t>Policía de la Provincia de Catamarca</t>
  </si>
  <si>
    <t>NO</t>
  </si>
  <si>
    <t>1.1</t>
  </si>
  <si>
    <t>Especificidades de todos los Items.</t>
  </si>
  <si>
    <t>Adquisición de alimentos para animales.</t>
  </si>
  <si>
    <t>División Policía Montada  y División Canes - Policía de Catamarca.</t>
  </si>
  <si>
    <t>FARDO</t>
  </si>
  <si>
    <t>2.1.2-2888.2</t>
  </si>
  <si>
    <t>ALIMENTOS Y FORRAJES; TIPO: HENO DE ALFALFA, PRESENTACION: FARDO X 25 A 40 Kg, CAPACIDAD: 25 A 40 Kg, DESTINATARIO: GANADO EQUINO, USO: GANADO EQUINO</t>
  </si>
  <si>
    <t>UNIDAD</t>
  </si>
  <si>
    <t>2.1.2-2875.2</t>
  </si>
  <si>
    <t>ALIMENTO P/PERRO; TIPO: PERRO ADULTO, SABOR: POLLO-PESCADO-CARNE, PRESENTACION: BOLSA X 20 Kg, CAPACIDAD: 20 Kg</t>
  </si>
  <si>
    <t>Para ITEM 3 Alimento para Canes. Deberá contener:  Proteína cruda (min) 30%, grasas (min) (20,0%); Fibra cruda (máx.) 3.0; Calcio (min) 1.2 %, calcio (máx.) 1.3%, fosforo (min) 0.9%. Fósforo (máx.) 1.1%, Humedad (máx) 10%, cenizas 7%. Vitamina A 20.000 UI/KG, Vitamina D3 2.500 UI/Kg., Vitamina E 250 UI/Kg., Vitamina C (ácido ascórbico) 150mg/Kg. Glucosamina 280 mg/kg. Condroilin. Sulfato 250 mg/kg. Omega 3 (min) 0,4%. Omega 6 (min) 2,4%. Energía Metabolizable 4.380 Kcal/Kg.-</t>
  </si>
  <si>
    <t>SI</t>
  </si>
  <si>
    <t xml:space="preserve">Que Cumpla con lo Solicitado de Forma Integra. Primera Calidad.- </t>
  </si>
  <si>
    <t>05/2021</t>
  </si>
  <si>
    <t>1° Trimestre - Año 2021</t>
  </si>
  <si>
    <r>
      <t>AUTORIZACIÓN</t>
    </r>
    <r>
      <rPr>
        <b/>
        <sz val="10"/>
        <rFont val="Century Gothic"/>
        <family val="2"/>
      </rPr>
      <t>:</t>
    </r>
  </si>
  <si>
    <t>*</t>
  </si>
  <si>
    <t>ALIMENTOS PARA ANIMALES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</si>
  <si>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Reglamento Parcial N° 2 de la ley 4938.</t>
    </r>
  </si>
  <si>
    <t>Adquisición de alimentos para Animales, destinados a la  División Policía Montada y División Canes de la Policía de la Provincia de Catamarca.-</t>
  </si>
  <si>
    <t>Costo total estimado: PESOS UN MILLÓN NOVECIENTOS NOVENTA Y OCHO MIL OCHENTA CON 00/100.-</t>
  </si>
  <si>
    <t>TOTAL DE PESOS: UN MILLÓN NOVECIENTOS NOVENTA Y OCHO MIL OCHENTA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</si>
</sst>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1">
    <xf numFmtId="0" fontId="0" fillId="0" borderId="0" xfId="0"/>
    <xf numFmtId="166" fontId="14" fillId="3" borderId="4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left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left" vertical="center" wrapText="1"/>
    </xf>
    <xf numFmtId="169" fontId="10" fillId="3" borderId="2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5" fillId="3" borderId="51" xfId="0" applyFont="1" applyFill="1" applyBorder="1"/>
    <xf numFmtId="0" fontId="12" fillId="3" borderId="5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5" fillId="3" borderId="56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169" fontId="5" fillId="3" borderId="4" xfId="1" applyNumberFormat="1" applyFont="1" applyFill="1" applyBorder="1" applyAlignment="1" applyProtection="1">
      <alignment horizontal="center" vertical="center"/>
    </xf>
    <xf numFmtId="169" fontId="5" fillId="3" borderId="5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5" fillId="3" borderId="7" xfId="0" applyFont="1" applyFill="1" applyBorder="1"/>
    <xf numFmtId="0" fontId="12" fillId="3" borderId="55" xfId="0" applyFont="1" applyFill="1" applyBorder="1" applyAlignment="1">
      <alignment horizontal="center" vertical="center" wrapText="1"/>
    </xf>
    <xf numFmtId="0" fontId="12" fillId="3" borderId="58" xfId="0" applyFont="1" applyFill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/>
    </xf>
    <xf numFmtId="169" fontId="5" fillId="3" borderId="7" xfId="1" applyNumberFormat="1" applyFont="1" applyFill="1" applyBorder="1" applyAlignment="1">
      <alignment horizontal="center" vertical="center"/>
    </xf>
    <xf numFmtId="169" fontId="5" fillId="3" borderId="60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169" fontId="5" fillId="3" borderId="20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3" borderId="12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left" wrapText="1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0" xfId="0" applyFont="1" applyFill="1" applyAlignment="1">
      <alignment horizontal="left" vertical="center"/>
    </xf>
    <xf numFmtId="0" fontId="15" fillId="3" borderId="16" xfId="0" applyFont="1" applyFill="1" applyBorder="1" applyAlignment="1">
      <alignment horizontal="right" vertical="center"/>
    </xf>
    <xf numFmtId="49" fontId="16" fillId="3" borderId="17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5" fillId="3" borderId="18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3" fontId="18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6" xfId="0" applyFont="1" applyFill="1" applyBorder="1"/>
    <xf numFmtId="0" fontId="5" fillId="3" borderId="30" xfId="0" applyFont="1" applyFill="1" applyBorder="1"/>
    <xf numFmtId="0" fontId="5" fillId="3" borderId="18" xfId="0" applyFont="1" applyFill="1" applyBorder="1"/>
    <xf numFmtId="0" fontId="5" fillId="3" borderId="18" xfId="0" applyFont="1" applyFill="1" applyBorder="1" applyAlignment="1">
      <alignment horizontal="left"/>
    </xf>
    <xf numFmtId="0" fontId="5" fillId="3" borderId="31" xfId="0" applyFont="1" applyFill="1" applyBorder="1"/>
    <xf numFmtId="0" fontId="14" fillId="3" borderId="33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/>
    </xf>
    <xf numFmtId="166" fontId="5" fillId="3" borderId="39" xfId="3" applyNumberFormat="1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>
      <alignment wrapText="1"/>
    </xf>
    <xf numFmtId="0" fontId="5" fillId="3" borderId="59" xfId="0" applyFont="1" applyFill="1" applyBorder="1" applyAlignment="1">
      <alignment wrapText="1"/>
    </xf>
    <xf numFmtId="0" fontId="5" fillId="3" borderId="0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left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wrapText="1" indent="1"/>
    </xf>
    <xf numFmtId="0" fontId="16" fillId="3" borderId="47" xfId="0" applyFont="1" applyFill="1" applyBorder="1" applyAlignment="1">
      <alignment horizontal="left" vertical="center" wrapText="1" indent="1"/>
    </xf>
    <xf numFmtId="167" fontId="17" fillId="3" borderId="47" xfId="0" applyNumberFormat="1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left" vertical="center" wrapText="1" indent="1"/>
    </xf>
    <xf numFmtId="0" fontId="18" fillId="3" borderId="22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left" vertical="center" wrapText="1"/>
    </xf>
    <xf numFmtId="0" fontId="16" fillId="3" borderId="20" xfId="0" applyFont="1" applyFill="1" applyBorder="1" applyAlignment="1">
      <alignment horizontal="left" vertical="center" wrapText="1" indent="1"/>
    </xf>
    <xf numFmtId="0" fontId="17" fillId="3" borderId="21" xfId="0" applyFont="1" applyFill="1" applyBorder="1" applyAlignment="1">
      <alignment horizontal="left" vertical="center" wrapText="1"/>
    </xf>
    <xf numFmtId="0" fontId="18" fillId="3" borderId="25" xfId="0" applyFont="1" applyFill="1" applyBorder="1" applyAlignment="1">
      <alignment vertical="center" wrapText="1"/>
    </xf>
    <xf numFmtId="0" fontId="18" fillId="3" borderId="41" xfId="0" applyFont="1" applyFill="1" applyBorder="1" applyAlignment="1">
      <alignment vertical="center" wrapText="1"/>
    </xf>
    <xf numFmtId="0" fontId="18" fillId="3" borderId="23" xfId="0" applyFont="1" applyFill="1" applyBorder="1" applyAlignment="1">
      <alignment vertical="center" wrapText="1"/>
    </xf>
    <xf numFmtId="0" fontId="19" fillId="3" borderId="32" xfId="0" applyFont="1" applyFill="1" applyBorder="1" applyAlignment="1">
      <alignment vertical="center" wrapText="1"/>
    </xf>
    <xf numFmtId="0" fontId="19" fillId="3" borderId="28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16" xfId="0" applyFont="1" applyFill="1" applyBorder="1" applyAlignment="1">
      <alignment horizontal="left" vertical="center" wrapText="1"/>
    </xf>
    <xf numFmtId="0" fontId="19" fillId="3" borderId="30" xfId="0" applyFont="1" applyFill="1" applyBorder="1" applyAlignment="1">
      <alignment horizontal="left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left" vertical="center" wrapText="1"/>
    </xf>
    <xf numFmtId="0" fontId="18" fillId="3" borderId="30" xfId="0" applyFont="1" applyFill="1" applyBorder="1" applyAlignment="1">
      <alignment horizontal="left" vertical="center" wrapText="1"/>
    </xf>
    <xf numFmtId="0" fontId="18" fillId="3" borderId="18" xfId="0" applyFont="1" applyFill="1" applyBorder="1" applyAlignment="1">
      <alignment horizontal="left" vertical="center" wrapText="1"/>
    </xf>
    <xf numFmtId="0" fontId="18" fillId="3" borderId="31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left" vertical="center" wrapText="1"/>
    </xf>
    <xf numFmtId="0" fontId="5" fillId="3" borderId="48" xfId="0" applyFont="1" applyFill="1" applyBorder="1" applyAlignment="1">
      <alignment horizontal="left" vertical="center" wrapText="1"/>
    </xf>
    <xf numFmtId="0" fontId="19" fillId="3" borderId="28" xfId="0" applyFont="1" applyFill="1" applyBorder="1"/>
    <xf numFmtId="0" fontId="19" fillId="3" borderId="29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42" xfId="0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left" vertical="center" wrapText="1"/>
    </xf>
    <xf numFmtId="0" fontId="19" fillId="3" borderId="17" xfId="0" applyFont="1" applyFill="1" applyBorder="1" applyAlignment="1">
      <alignment horizontal="left" indent="1"/>
    </xf>
    <xf numFmtId="0" fontId="20" fillId="3" borderId="17" xfId="0" applyFont="1" applyFill="1" applyBorder="1" applyAlignment="1">
      <alignment horizontal="left"/>
    </xf>
    <xf numFmtId="0" fontId="5" fillId="3" borderId="25" xfId="0" applyFont="1" applyFill="1" applyBorder="1" applyAlignment="1">
      <alignment horizontal="center"/>
    </xf>
    <xf numFmtId="3" fontId="18" fillId="3" borderId="26" xfId="0" applyNumberFormat="1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 vertical="center" wrapText="1"/>
    </xf>
    <xf numFmtId="0" fontId="5" fillId="3" borderId="17" xfId="0" applyFont="1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tabSelected="1" topLeftCell="A3" zoomScale="70" zoomScaleNormal="70" workbookViewId="0">
      <selection activeCell="E18" sqref="E18"/>
    </sheetView>
  </sheetViews>
  <sheetFormatPr baseColWidth="10" defaultColWidth="11" defaultRowHeight="13.5" x14ac:dyDescent="0.25"/>
  <cols>
    <col min="1" max="1" width="7.140625" style="2" customWidth="1"/>
    <col min="2" max="2" width="12.85546875" style="2" customWidth="1"/>
    <col min="3" max="3" width="23.7109375" style="2" customWidth="1"/>
    <col min="4" max="4" width="8.42578125" style="4" customWidth="1"/>
    <col min="5" max="5" width="147.7109375" style="31" customWidth="1"/>
    <col min="6" max="6" width="11" style="2"/>
    <col min="7" max="7" width="12.7109375" style="2" customWidth="1"/>
    <col min="8" max="8" width="13.85546875" style="2" customWidth="1"/>
    <col min="9" max="9" width="18.5703125" style="3" customWidth="1"/>
    <col min="10" max="16384" width="11" style="4"/>
  </cols>
  <sheetData>
    <row r="2" spans="1:9" ht="28.5" x14ac:dyDescent="0.4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91" t="s">
        <v>1</v>
      </c>
      <c r="B4" s="91"/>
      <c r="C4" s="92" t="s">
        <v>55</v>
      </c>
      <c r="D4" s="92"/>
      <c r="E4" s="92"/>
      <c r="F4" s="5"/>
      <c r="G4" s="5"/>
      <c r="H4" s="5"/>
    </row>
    <row r="5" spans="1:9" ht="18" customHeight="1" x14ac:dyDescent="0.25">
      <c r="A5" s="91" t="s">
        <v>2</v>
      </c>
      <c r="B5" s="91"/>
      <c r="C5" s="92" t="s">
        <v>56</v>
      </c>
      <c r="D5" s="92"/>
      <c r="E5" s="92"/>
      <c r="F5" s="5"/>
      <c r="G5" s="5"/>
      <c r="H5" s="5"/>
    </row>
    <row r="6" spans="1:9" ht="16.5" customHeight="1" x14ac:dyDescent="0.25">
      <c r="A6" s="91" t="s">
        <v>3</v>
      </c>
      <c r="B6" s="91"/>
      <c r="C6" s="6">
        <v>2021</v>
      </c>
      <c r="D6" s="7"/>
      <c r="E6" s="7"/>
      <c r="F6" s="5"/>
      <c r="G6" s="5"/>
      <c r="H6" s="5"/>
    </row>
    <row r="7" spans="1:9" ht="16.5" customHeight="1" x14ac:dyDescent="0.25">
      <c r="A7" s="91" t="s">
        <v>4</v>
      </c>
      <c r="B7" s="91"/>
      <c r="C7" s="6">
        <v>1</v>
      </c>
      <c r="D7" s="7"/>
      <c r="E7" s="7"/>
      <c r="F7" s="5"/>
      <c r="G7" s="5"/>
      <c r="H7" s="5"/>
    </row>
    <row r="8" spans="1:9" ht="14.25" thickBot="1" x14ac:dyDescent="0.3">
      <c r="B8" s="5"/>
      <c r="C8" s="5"/>
      <c r="D8" s="8"/>
      <c r="E8" s="8"/>
      <c r="F8" s="5"/>
      <c r="G8" s="5"/>
      <c r="H8" s="5"/>
    </row>
    <row r="9" spans="1:9" ht="39.75" thickTop="1" thickBot="1" x14ac:dyDescent="0.3">
      <c r="A9" s="9" t="s">
        <v>5</v>
      </c>
      <c r="B9" s="10" t="s">
        <v>6</v>
      </c>
      <c r="C9" s="11" t="s">
        <v>7</v>
      </c>
      <c r="D9" s="12" t="s">
        <v>8</v>
      </c>
      <c r="E9" s="13" t="s">
        <v>9</v>
      </c>
      <c r="F9" s="12" t="s">
        <v>10</v>
      </c>
      <c r="G9" s="12" t="s">
        <v>11</v>
      </c>
      <c r="H9" s="12" t="s">
        <v>12</v>
      </c>
      <c r="I9" s="14" t="s">
        <v>13</v>
      </c>
    </row>
    <row r="10" spans="1:9" ht="27" x14ac:dyDescent="0.25">
      <c r="A10" s="15">
        <v>1</v>
      </c>
      <c r="B10" s="16" t="s">
        <v>65</v>
      </c>
      <c r="C10" s="17" t="s">
        <v>57</v>
      </c>
      <c r="D10" s="18" t="str">
        <f t="shared" ref="D10:D11" si="0">LEFT(B10,5)</f>
        <v>2.1.2</v>
      </c>
      <c r="E10" s="81" t="s">
        <v>66</v>
      </c>
      <c r="F10" s="19" t="s">
        <v>64</v>
      </c>
      <c r="G10" s="20">
        <v>3695</v>
      </c>
      <c r="H10" s="21">
        <v>400</v>
      </c>
      <c r="I10" s="22">
        <f>G10*H10</f>
        <v>1478000</v>
      </c>
    </row>
    <row r="11" spans="1:9" ht="15" thickBot="1" x14ac:dyDescent="0.3">
      <c r="A11" s="23">
        <v>3</v>
      </c>
      <c r="B11" s="24" t="s">
        <v>68</v>
      </c>
      <c r="C11" s="25" t="s">
        <v>57</v>
      </c>
      <c r="D11" s="26" t="str">
        <f t="shared" si="0"/>
        <v>2.1.2</v>
      </c>
      <c r="E11" s="82" t="s">
        <v>69</v>
      </c>
      <c r="F11" s="27" t="s">
        <v>67</v>
      </c>
      <c r="G11" s="28">
        <v>88</v>
      </c>
      <c r="H11" s="29">
        <v>5910</v>
      </c>
      <c r="I11" s="30">
        <f>H11*G11</f>
        <v>520080</v>
      </c>
    </row>
    <row r="12" spans="1:9" ht="14.25" thickBot="1" x14ac:dyDescent="0.3">
      <c r="I12" s="32">
        <f>SUM(I10:I11)</f>
        <v>1998080</v>
      </c>
    </row>
    <row r="13" spans="1:9" x14ac:dyDescent="0.25">
      <c r="B13" s="33" t="s">
        <v>61</v>
      </c>
      <c r="C13" s="34"/>
      <c r="D13" s="35"/>
      <c r="E13" s="36"/>
    </row>
    <row r="14" spans="1:9" x14ac:dyDescent="0.25">
      <c r="B14" s="37"/>
      <c r="C14" s="38"/>
      <c r="D14" s="39"/>
      <c r="E14" s="40"/>
    </row>
    <row r="15" spans="1:9" x14ac:dyDescent="0.25">
      <c r="B15" s="41" t="s">
        <v>14</v>
      </c>
      <c r="C15" s="38"/>
      <c r="D15" s="39"/>
      <c r="E15" s="40"/>
    </row>
    <row r="16" spans="1:9" ht="9.75" customHeight="1" x14ac:dyDescent="0.25">
      <c r="B16" s="41"/>
      <c r="C16" s="85"/>
      <c r="D16" s="85"/>
      <c r="E16" s="86"/>
    </row>
    <row r="17" spans="1:9" s="42" customFormat="1" ht="57" customHeight="1" x14ac:dyDescent="0.2">
      <c r="A17" s="2"/>
      <c r="B17" s="41"/>
      <c r="C17" s="85" t="s">
        <v>70</v>
      </c>
      <c r="D17" s="85"/>
      <c r="E17" s="86"/>
      <c r="F17" s="2"/>
      <c r="G17" s="2"/>
      <c r="H17" s="2"/>
      <c r="I17" s="3"/>
    </row>
    <row r="18" spans="1:9" x14ac:dyDescent="0.25">
      <c r="B18" s="41" t="s">
        <v>15</v>
      </c>
      <c r="C18" s="38"/>
      <c r="D18" s="39"/>
      <c r="E18" s="40"/>
    </row>
    <row r="19" spans="1:9" ht="82.5" customHeight="1" x14ac:dyDescent="0.25">
      <c r="B19" s="37"/>
      <c r="C19" s="85" t="s">
        <v>78</v>
      </c>
      <c r="D19" s="85"/>
      <c r="E19" s="86"/>
    </row>
    <row r="20" spans="1:9" x14ac:dyDescent="0.25">
      <c r="B20" s="37"/>
      <c r="C20" s="87"/>
      <c r="D20" s="87"/>
      <c r="E20" s="87"/>
    </row>
    <row r="21" spans="1:9" x14ac:dyDescent="0.25">
      <c r="B21" s="41" t="s">
        <v>16</v>
      </c>
      <c r="C21" s="38"/>
      <c r="D21" s="39"/>
      <c r="E21" s="40"/>
    </row>
    <row r="22" spans="1:9" ht="25.5" customHeight="1" x14ac:dyDescent="0.25">
      <c r="B22" s="37"/>
      <c r="C22" s="85" t="s">
        <v>72</v>
      </c>
      <c r="D22" s="85"/>
      <c r="E22" s="86"/>
    </row>
    <row r="23" spans="1:9" x14ac:dyDescent="0.25">
      <c r="B23" s="41" t="s">
        <v>17</v>
      </c>
      <c r="C23" s="43"/>
      <c r="D23" s="44"/>
      <c r="E23" s="45"/>
    </row>
    <row r="24" spans="1:9" ht="18.75" customHeight="1" x14ac:dyDescent="0.25">
      <c r="B24" s="37"/>
      <c r="C24" s="88" t="s">
        <v>76</v>
      </c>
      <c r="D24" s="88"/>
      <c r="E24" s="89"/>
    </row>
    <row r="25" spans="1:9" x14ac:dyDescent="0.25">
      <c r="B25" s="41" t="s">
        <v>18</v>
      </c>
      <c r="C25" s="38"/>
      <c r="D25" s="39"/>
      <c r="E25" s="40"/>
    </row>
    <row r="26" spans="1:9" x14ac:dyDescent="0.25">
      <c r="B26" s="41"/>
      <c r="C26" s="83" t="s">
        <v>76</v>
      </c>
      <c r="D26" s="83"/>
      <c r="E26" s="84"/>
    </row>
    <row r="27" spans="1:9" ht="14.25" thickBot="1" x14ac:dyDescent="0.3">
      <c r="B27" s="46"/>
      <c r="C27" s="47"/>
      <c r="D27" s="48"/>
      <c r="E27" s="49"/>
    </row>
    <row r="28" spans="1:9" x14ac:dyDescent="0.25">
      <c r="B28" s="50"/>
    </row>
    <row r="29" spans="1:9" x14ac:dyDescent="0.25">
      <c r="B29" s="50"/>
    </row>
  </sheetData>
  <mergeCells count="14">
    <mergeCell ref="C16:E16"/>
    <mergeCell ref="B2:H2"/>
    <mergeCell ref="A4:B4"/>
    <mergeCell ref="C4:E4"/>
    <mergeCell ref="A5:B5"/>
    <mergeCell ref="C5:E5"/>
    <mergeCell ref="A6:B6"/>
    <mergeCell ref="A7:B7"/>
    <mergeCell ref="C26:E26"/>
    <mergeCell ref="C17:E17"/>
    <mergeCell ref="C19:E19"/>
    <mergeCell ref="C20:E20"/>
    <mergeCell ref="C22:E22"/>
    <mergeCell ref="C24:E2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workbookViewId="0">
      <selection activeCell="A14" sqref="A14:I14"/>
    </sheetView>
  </sheetViews>
  <sheetFormatPr baseColWidth="10" defaultColWidth="9.140625" defaultRowHeight="13.5" x14ac:dyDescent="0.25"/>
  <cols>
    <col min="1" max="1" width="5.42578125" style="53" customWidth="1"/>
    <col min="2" max="2" width="12.28515625" style="53" customWidth="1"/>
    <col min="3" max="3" width="14.140625" style="53" customWidth="1"/>
    <col min="4" max="4" width="26" style="53" customWidth="1"/>
    <col min="5" max="5" width="8" style="53" customWidth="1"/>
    <col min="6" max="6" width="7.85546875" style="53" customWidth="1"/>
    <col min="7" max="7" width="71.85546875" style="53" customWidth="1"/>
    <col min="8" max="8" width="10.5703125" style="53" customWidth="1"/>
    <col min="9" max="9" width="12" style="53" customWidth="1"/>
    <col min="10" max="10" width="11.42578125" style="53" customWidth="1"/>
    <col min="11" max="11" width="10.85546875" style="53" customWidth="1"/>
    <col min="12" max="14" width="5.85546875" style="53" customWidth="1"/>
    <col min="15" max="15" width="12.5703125" style="53" customWidth="1"/>
    <col min="16" max="1024" width="9.140625" style="53"/>
    <col min="1025" max="16384" width="9.140625" style="4"/>
  </cols>
  <sheetData>
    <row r="1" spans="1:1024" ht="18" customHeight="1" x14ac:dyDescent="0.25">
      <c r="A1" s="104" t="s">
        <v>19</v>
      </c>
      <c r="B1" s="104"/>
      <c r="C1" s="104"/>
      <c r="D1" s="104"/>
      <c r="E1" s="104"/>
      <c r="F1" s="104"/>
      <c r="G1" s="104"/>
      <c r="H1" s="104"/>
      <c r="I1" s="104"/>
      <c r="J1" s="51" t="s">
        <v>20</v>
      </c>
      <c r="K1" s="52" t="s">
        <v>73</v>
      </c>
    </row>
    <row r="2" spans="1:1024" ht="18.75" customHeight="1" thickBot="1" x14ac:dyDescent="0.3">
      <c r="A2" s="54"/>
      <c r="B2" s="54"/>
      <c r="C2" s="54"/>
      <c r="D2" s="55"/>
      <c r="E2" s="55"/>
      <c r="F2" s="55"/>
      <c r="G2" s="55"/>
      <c r="H2" s="55"/>
      <c r="I2" s="55"/>
      <c r="J2" s="55"/>
      <c r="K2" s="55"/>
    </row>
    <row r="3" spans="1:1024" ht="18.75" customHeight="1" thickBot="1" x14ac:dyDescent="0.3">
      <c r="A3" s="105" t="s">
        <v>52</v>
      </c>
      <c r="B3" s="105"/>
      <c r="C3" s="105"/>
      <c r="D3" s="106" t="str">
        <f>'Necesidades Trimestrales'!C4</f>
        <v>90 - Ministerio de Seguridad</v>
      </c>
      <c r="E3" s="106"/>
      <c r="F3" s="106"/>
      <c r="G3" s="106"/>
      <c r="H3" s="106"/>
      <c r="I3" s="106"/>
      <c r="J3" s="106"/>
      <c r="K3" s="106"/>
    </row>
    <row r="4" spans="1:1024" ht="18.75" customHeight="1" thickBot="1" x14ac:dyDescent="0.3">
      <c r="A4" s="107" t="s">
        <v>53</v>
      </c>
      <c r="B4" s="107"/>
      <c r="C4" s="107"/>
      <c r="D4" s="106" t="str">
        <f>'Necesidades Trimestrales'!C5</f>
        <v>7 - Direccion de Administracion de la Policia de la Provincia de Catamarca</v>
      </c>
      <c r="E4" s="106"/>
      <c r="F4" s="106"/>
      <c r="G4" s="106"/>
      <c r="H4" s="106"/>
      <c r="I4" s="106"/>
      <c r="J4" s="106"/>
      <c r="K4" s="106"/>
    </row>
    <row r="5" spans="1:1024" ht="18.75" customHeight="1" thickBot="1" x14ac:dyDescent="0.3">
      <c r="A5" s="107" t="s">
        <v>32</v>
      </c>
      <c r="B5" s="107"/>
      <c r="C5" s="107"/>
      <c r="D5" s="106" t="s">
        <v>58</v>
      </c>
      <c r="E5" s="106"/>
      <c r="F5" s="106"/>
      <c r="G5" s="106"/>
      <c r="H5" s="106"/>
      <c r="I5" s="106"/>
      <c r="J5" s="106"/>
      <c r="K5" s="106"/>
    </row>
    <row r="6" spans="1:1024" ht="16.5" customHeight="1" thickBot="1" x14ac:dyDescent="0.3">
      <c r="A6" s="105" t="s">
        <v>54</v>
      </c>
      <c r="B6" s="105"/>
      <c r="C6" s="105"/>
      <c r="D6" s="106" t="s">
        <v>63</v>
      </c>
      <c r="E6" s="106"/>
      <c r="F6" s="106"/>
      <c r="G6" s="106"/>
      <c r="H6" s="106"/>
      <c r="I6" s="106"/>
      <c r="J6" s="106"/>
      <c r="K6" s="106"/>
    </row>
    <row r="7" spans="1:1024" ht="16.5" customHeight="1" thickBot="1" x14ac:dyDescent="0.3">
      <c r="A7" s="107" t="s">
        <v>21</v>
      </c>
      <c r="B7" s="107"/>
      <c r="C7" s="107"/>
      <c r="D7" s="106" t="s">
        <v>74</v>
      </c>
      <c r="E7" s="106"/>
      <c r="F7" s="106"/>
      <c r="G7" s="106"/>
      <c r="H7" s="106"/>
      <c r="I7" s="106"/>
      <c r="J7" s="106"/>
      <c r="K7" s="106"/>
    </row>
    <row r="8" spans="1:1024" ht="16.5" customHeight="1" thickBot="1" x14ac:dyDescent="0.3">
      <c r="A8" s="102" t="s">
        <v>22</v>
      </c>
      <c r="B8" s="102"/>
      <c r="C8" s="102"/>
      <c r="D8" s="95" t="s">
        <v>62</v>
      </c>
      <c r="E8" s="95"/>
      <c r="F8" s="95"/>
      <c r="G8" s="95"/>
      <c r="H8" s="95"/>
      <c r="I8" s="95"/>
      <c r="J8" s="95"/>
      <c r="K8" s="95"/>
    </row>
    <row r="9" spans="1:1024" ht="18" thickBot="1" x14ac:dyDescent="0.3">
      <c r="A9" s="56"/>
      <c r="B9" s="56"/>
      <c r="C9" s="56"/>
      <c r="D9" s="57"/>
      <c r="E9" s="57"/>
      <c r="F9" s="57"/>
      <c r="G9" s="57"/>
      <c r="H9" s="57"/>
      <c r="I9" s="57"/>
      <c r="J9" s="57"/>
      <c r="K9" s="57"/>
    </row>
    <row r="10" spans="1:1024" ht="14.25" thickBot="1" x14ac:dyDescent="0.3">
      <c r="A10" s="96" t="s">
        <v>23</v>
      </c>
      <c r="B10" s="98" t="s">
        <v>24</v>
      </c>
      <c r="C10" s="98" t="s">
        <v>25</v>
      </c>
      <c r="D10" s="98"/>
      <c r="E10" s="98"/>
      <c r="F10" s="98"/>
      <c r="G10" s="98"/>
      <c r="H10" s="98" t="s">
        <v>26</v>
      </c>
      <c r="I10" s="98" t="s">
        <v>27</v>
      </c>
      <c r="J10" s="98" t="s">
        <v>28</v>
      </c>
      <c r="K10" s="100" t="s">
        <v>29</v>
      </c>
    </row>
    <row r="11" spans="1:1024" ht="14.25" thickBot="1" x14ac:dyDescent="0.3">
      <c r="A11" s="97"/>
      <c r="B11" s="99"/>
      <c r="C11" s="99"/>
      <c r="D11" s="99"/>
      <c r="E11" s="99"/>
      <c r="F11" s="99"/>
      <c r="G11" s="99"/>
      <c r="H11" s="99"/>
      <c r="I11" s="99"/>
      <c r="J11" s="99"/>
      <c r="K11" s="101"/>
    </row>
    <row r="12" spans="1:1024" ht="28.5" customHeight="1" thickBot="1" x14ac:dyDescent="0.3">
      <c r="A12" s="58">
        <v>1</v>
      </c>
      <c r="B12" s="24" t="str">
        <f>'Necesidades Trimestrales'!B10</f>
        <v>2.1.2-2888.2</v>
      </c>
      <c r="C12" s="103" t="str">
        <f>'Necesidades Trimestrales'!E10</f>
        <v>ALIMENTOS Y FORRAJES; TIPO: HENO DE ALFALFA, PRESENTACION: FARDO X 25 A 40 Kg, CAPACIDAD: 25 A 40 Kg, DESTINATARIO: GANADO EQUINO, USO: GANADO EQUINO</v>
      </c>
      <c r="D12" s="103"/>
      <c r="E12" s="103"/>
      <c r="F12" s="103"/>
      <c r="G12" s="103"/>
      <c r="H12" s="59" t="s">
        <v>59</v>
      </c>
      <c r="I12" s="60" t="s">
        <v>64</v>
      </c>
      <c r="J12" s="21">
        <f>'Necesidades Trimestrales'!H10</f>
        <v>400</v>
      </c>
      <c r="K12" s="20">
        <f>'Necesidades Trimestrales'!G10</f>
        <v>3695</v>
      </c>
    </row>
    <row r="13" spans="1:1024" ht="19.5" customHeight="1" x14ac:dyDescent="0.25">
      <c r="A13" s="61">
        <v>3</v>
      </c>
      <c r="B13" s="24" t="str">
        <f>'Necesidades Trimestrales'!B11</f>
        <v>2.1.2-2875.2</v>
      </c>
      <c r="C13" s="103" t="str">
        <f>'Necesidades Trimestrales'!E11</f>
        <v>ALIMENTO P/PERRO; TIPO: PERRO ADULTO, SABOR: POLLO-PESCADO-CARNE, PRESENTACION: BOLSA X 20 Kg, CAPACIDAD: 20 Kg</v>
      </c>
      <c r="D13" s="103"/>
      <c r="E13" s="103"/>
      <c r="F13" s="103"/>
      <c r="G13" s="103"/>
      <c r="H13" s="62" t="s">
        <v>71</v>
      </c>
      <c r="I13" s="63" t="s">
        <v>67</v>
      </c>
      <c r="J13" s="21">
        <f>'Necesidades Trimestrales'!H11</f>
        <v>5910</v>
      </c>
      <c r="K13" s="20">
        <f>'Necesidades Trimestrales'!G11</f>
        <v>88</v>
      </c>
    </row>
    <row r="14" spans="1:1024" ht="18" thickBot="1" x14ac:dyDescent="0.3">
      <c r="A14" s="93" t="s">
        <v>80</v>
      </c>
      <c r="B14" s="93"/>
      <c r="C14" s="93"/>
      <c r="D14" s="93"/>
      <c r="E14" s="93"/>
      <c r="F14" s="93"/>
      <c r="G14" s="93"/>
      <c r="H14" s="93"/>
      <c r="I14" s="93"/>
      <c r="J14" s="94">
        <f>SUMPRODUCT(+J12:J13,K12:K13)</f>
        <v>1998080</v>
      </c>
      <c r="K14" s="9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4:I14"/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Normal="100" workbookViewId="0">
      <selection activeCell="S7" sqref="S7"/>
    </sheetView>
  </sheetViews>
  <sheetFormatPr baseColWidth="10" defaultColWidth="11" defaultRowHeight="13.5" x14ac:dyDescent="0.25"/>
  <cols>
    <col min="1" max="6" width="4.42578125" style="4" customWidth="1"/>
    <col min="7" max="7" width="4.42578125" style="31" customWidth="1"/>
    <col min="8" max="8" width="4.42578125" style="4" customWidth="1"/>
    <col min="9" max="9" width="5.140625" style="4" customWidth="1"/>
    <col min="10" max="14" width="4.42578125" style="4" customWidth="1"/>
    <col min="15" max="16" width="14.85546875" style="4" customWidth="1"/>
    <col min="17" max="17" width="14.7109375" style="4" customWidth="1"/>
    <col min="18" max="16384" width="11" style="4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2021</v>
      </c>
      <c r="E1" s="138"/>
      <c r="F1" s="64"/>
      <c r="G1" s="64"/>
      <c r="H1" s="65"/>
      <c r="I1" s="65"/>
      <c r="J1" s="65"/>
      <c r="K1" s="65"/>
      <c r="L1" s="65"/>
      <c r="M1" s="65"/>
      <c r="N1" s="65"/>
      <c r="P1" s="139" t="s">
        <v>30</v>
      </c>
      <c r="Q1" s="139"/>
    </row>
    <row r="2" spans="1:17" ht="15.75" customHeight="1" x14ac:dyDescent="0.25">
      <c r="H2" s="65"/>
      <c r="I2" s="65"/>
      <c r="J2" s="65"/>
      <c r="K2" s="65"/>
      <c r="L2" s="65"/>
      <c r="M2" s="65"/>
      <c r="N2" s="65"/>
      <c r="P2" s="139"/>
      <c r="Q2" s="139"/>
    </row>
    <row r="4" spans="1:17" ht="18" customHeight="1" thickBot="1" x14ac:dyDescent="0.35">
      <c r="A4" s="140" t="s">
        <v>31</v>
      </c>
      <c r="B4" s="140"/>
      <c r="C4" s="140"/>
      <c r="D4" s="140"/>
      <c r="E4" s="140"/>
      <c r="F4" s="140"/>
      <c r="G4" s="135" t="str">
        <f>' NotaPedido'!D3</f>
        <v>90 - Ministerio de Seguridad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ht="18" customHeight="1" thickBot="1" x14ac:dyDescent="0.35">
      <c r="A5" s="132" t="s">
        <v>53</v>
      </c>
      <c r="B5" s="133"/>
      <c r="C5" s="133"/>
      <c r="D5" s="133"/>
      <c r="E5" s="133"/>
      <c r="F5" s="134"/>
      <c r="G5" s="135" t="str">
        <f>' NotaPedido'!D4</f>
        <v>7 - Direccion de Administracion de la Policia de la Provincia de Catamarca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ht="18" customHeight="1" thickBot="1" x14ac:dyDescent="0.35">
      <c r="A6" s="132" t="s">
        <v>32</v>
      </c>
      <c r="B6" s="133"/>
      <c r="C6" s="133"/>
      <c r="D6" s="133"/>
      <c r="E6" s="133"/>
      <c r="F6" s="134"/>
      <c r="G6" s="135" t="str">
        <f>' NotaPedido'!D5</f>
        <v>Policía de la Provincia de Catamarca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ht="26.25" customHeight="1" thickBot="1" x14ac:dyDescent="0.35">
      <c r="A7" s="132" t="s">
        <v>54</v>
      </c>
      <c r="B7" s="133"/>
      <c r="C7" s="133"/>
      <c r="D7" s="133"/>
      <c r="E7" s="133"/>
      <c r="F7" s="134"/>
      <c r="G7" s="135" t="str">
        <f>' NotaPedido'!D6</f>
        <v>División Policía Montada  y División Canes - Policía de Catamarca.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3">
      <c r="A8" s="136" t="s">
        <v>75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3">
      <c r="A9" s="126" t="s">
        <v>33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39"/>
      <c r="P9" s="39"/>
      <c r="Q9" s="66"/>
    </row>
    <row r="10" spans="1:17" ht="54.75" customHeight="1" x14ac:dyDescent="0.25">
      <c r="A10" s="12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05/2021,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5">
      <c r="A11" s="67"/>
      <c r="B11" s="68"/>
      <c r="C11" s="68"/>
      <c r="D11" s="68"/>
      <c r="E11" s="68"/>
      <c r="F11" s="68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70"/>
    </row>
    <row r="12" spans="1:17" ht="15.75" customHeight="1" x14ac:dyDescent="0.25">
      <c r="A12" s="128" t="s">
        <v>34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5">
      <c r="A13" s="129" t="s">
        <v>35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36</v>
      </c>
      <c r="P13" s="130"/>
      <c r="Q13" s="131" t="s">
        <v>37</v>
      </c>
    </row>
    <row r="14" spans="1:17" ht="15.75" customHeight="1" thickBot="1" x14ac:dyDescent="0.3">
      <c r="A14" s="71" t="s">
        <v>38</v>
      </c>
      <c r="B14" s="72" t="s">
        <v>39</v>
      </c>
      <c r="C14" s="72" t="s">
        <v>40</v>
      </c>
      <c r="D14" s="72" t="s">
        <v>41</v>
      </c>
      <c r="E14" s="72" t="s">
        <v>42</v>
      </c>
      <c r="F14" s="72" t="s">
        <v>43</v>
      </c>
      <c r="G14" s="73" t="s">
        <v>44</v>
      </c>
      <c r="H14" s="72" t="s">
        <v>45</v>
      </c>
      <c r="I14" s="72" t="s">
        <v>46</v>
      </c>
      <c r="J14" s="72" t="s">
        <v>47</v>
      </c>
      <c r="K14" s="72" t="s">
        <v>47</v>
      </c>
      <c r="L14" s="72" t="s">
        <v>48</v>
      </c>
      <c r="M14" s="74" t="s">
        <v>49</v>
      </c>
      <c r="N14" s="75" t="s">
        <v>50</v>
      </c>
      <c r="O14" s="130"/>
      <c r="P14" s="130"/>
      <c r="Q14" s="131"/>
    </row>
    <row r="15" spans="1:17" ht="17.25" customHeight="1" x14ac:dyDescent="0.25">
      <c r="A15" s="76">
        <v>16</v>
      </c>
      <c r="B15" s="77">
        <v>0</v>
      </c>
      <c r="C15" s="77">
        <v>0</v>
      </c>
      <c r="D15" s="77">
        <v>1</v>
      </c>
      <c r="E15" s="77">
        <v>0</v>
      </c>
      <c r="F15" s="77">
        <v>10</v>
      </c>
      <c r="G15" s="77">
        <v>2</v>
      </c>
      <c r="H15" s="77">
        <v>1</v>
      </c>
      <c r="I15" s="78" t="str">
        <f t="shared" ref="I15" si="0">LEFT(G15,5)</f>
        <v>2</v>
      </c>
      <c r="J15" s="77">
        <v>1</v>
      </c>
      <c r="K15" s="77">
        <v>2</v>
      </c>
      <c r="L15" s="77">
        <v>0</v>
      </c>
      <c r="M15" s="79">
        <v>1</v>
      </c>
      <c r="N15" s="77" t="s">
        <v>60</v>
      </c>
      <c r="O15" s="124" t="s">
        <v>77</v>
      </c>
      <c r="P15" s="125"/>
      <c r="Q15" s="80">
        <f>'Necesidades Trimestrales'!I12</f>
        <v>1998080</v>
      </c>
    </row>
    <row r="16" spans="1:17" ht="30.75" customHeight="1" thickBot="1" x14ac:dyDescent="0.3">
      <c r="A16" s="118" t="s">
        <v>81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20"/>
      <c r="Q16" s="1">
        <f>Q15</f>
        <v>1998080</v>
      </c>
    </row>
    <row r="17" spans="1:17" ht="18" customHeight="1" thickBot="1" x14ac:dyDescent="0.3">
      <c r="A17" s="121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</row>
    <row r="18" spans="1:17" ht="17.25" customHeight="1" thickBot="1" x14ac:dyDescent="0.3">
      <c r="A18" s="108" t="s">
        <v>51</v>
      </c>
      <c r="B18" s="109"/>
      <c r="C18" s="109"/>
      <c r="D18" s="109"/>
      <c r="E18" s="109"/>
      <c r="F18" s="110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</row>
    <row r="19" spans="1:17" ht="18" customHeight="1" x14ac:dyDescent="0.25">
      <c r="A19" s="112" t="s">
        <v>79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</row>
    <row r="20" spans="1:17" ht="34.5" customHeight="1" thickBot="1" x14ac:dyDescent="0.3">
      <c r="A20" s="115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  <mergeCell ref="A10:Q10"/>
    <mergeCell ref="A12:Q12"/>
    <mergeCell ref="A13:N13"/>
    <mergeCell ref="O13:P14"/>
    <mergeCell ref="Q13:Q14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2021-08-12T14:40:17Z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