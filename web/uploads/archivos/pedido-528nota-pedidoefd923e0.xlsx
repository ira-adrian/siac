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51196-CAT-DPPR#MHP\"/>
    </mc:Choice>
  </mc:AlternateContent>
  <xr:revisionPtr revIDLastSave="0" documentId="8_{E61BE524-AA2F-49CD-A5FF-7D77AA0B9714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Trimestrales'!$A$9:$I$33</definedName>
    <definedName name="_xlnm.Print_Area" localSheetId="1">' NotaPedido'!$A$1:$K$39</definedName>
    <definedName name="_xlnm.Print_Area" localSheetId="2">'Autor Gastar'!$A$1:$Q$23</definedName>
    <definedName name="_xlnm.Print_Area" localSheetId="0">'Necesidades Trimestrales'!$A$1:$I$34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I31" i="1"/>
  <c r="I30" i="1"/>
  <c r="I29" i="1"/>
  <c r="I28" i="1"/>
  <c r="I27" i="1"/>
  <c r="I26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10" i="1" l="1"/>
  <c r="I22" i="1" l="1"/>
  <c r="I21" i="1"/>
  <c r="I20" i="1"/>
  <c r="I11" i="1"/>
  <c r="I12" i="1"/>
  <c r="I13" i="1"/>
  <c r="I14" i="1"/>
  <c r="I15" i="1"/>
  <c r="I16" i="1"/>
  <c r="I17" i="1"/>
  <c r="I18" i="1"/>
  <c r="I19" i="1"/>
  <c r="I23" i="1"/>
  <c r="I24" i="1"/>
  <c r="I25" i="1"/>
  <c r="I32" i="1"/>
  <c r="I33" i="1"/>
  <c r="I10" i="1"/>
  <c r="K36" i="2" l="1"/>
  <c r="J36" i="2"/>
  <c r="C36" i="2"/>
  <c r="B36" i="2"/>
  <c r="I15" i="3" l="1"/>
  <c r="Q19" i="3" l="1"/>
  <c r="D7" i="2" l="1"/>
  <c r="D3" i="2"/>
  <c r="G4" i="3" s="1"/>
  <c r="D4" i="2"/>
  <c r="G5" i="3" s="1"/>
  <c r="A10" i="3" l="1"/>
  <c r="D1" i="3"/>
  <c r="J12" i="2"/>
  <c r="I12" i="2"/>
  <c r="C12" i="2"/>
  <c r="B12" i="2"/>
</calcChain>
</file>

<file path=xl/sharedStrings.xml><?xml version="1.0" encoding="utf-8"?>
<sst xmlns="http://schemas.openxmlformats.org/spreadsheetml/2006/main" count="206" uniqueCount="125">
  <si>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</si>
  <si>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</si>
  <si>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</si>
  <si>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</si>
  <si>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</si>
  <si>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</si>
  <si>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</si>
  <si>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</si>
  <si>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</si>
  <si>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</si>
  <si>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</si>
  <si>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</si>
  <si>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</si>
  <si>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</si>
  <si>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</si>
  <si>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</si>
  <si>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</si>
  <si>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</si>
  <si>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</si>
  <si>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</si>
  <si>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</si>
  <si>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</si>
  <si>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</si>
  <si>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</si>
  <si>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</si>
  <si>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</si>
  <si>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</si>
  <si>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</si>
  <si>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</si>
  <si>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</si>
  <si>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</si>
  <si>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</si>
  <si>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</si>
  <si>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</si>
  <si>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</si>
  <si>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</si>
  <si>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</si>
  <si>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</si>
  <si>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</si>
  <si>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</si>
  <si>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</si>
  <si>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</si>
  <si>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</si>
  <si>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</si>
  <si>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</si>
  <si>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</si>
  <si>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</si>
  <si>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</si>
  <si>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</si>
  <si>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</si>
  <si>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</si>
  <si>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</si>
  <si>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</si>
  <si>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</si>
  <si>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</si>
  <si>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</si>
  <si>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</si>
  <si>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Administracion y RRHH</t>
  </si>
  <si>
    <t>S/E</t>
  </si>
  <si>
    <t>MEDIA</t>
  </si>
  <si>
    <t>45- Ministerio de Desarrollo Social y Deporte.-</t>
  </si>
  <si>
    <t>NO</t>
  </si>
  <si>
    <t xml:space="preserve">05 CINCO DIAS </t>
  </si>
  <si>
    <t>60DIAS</t>
  </si>
  <si>
    <t>2.9.2-261.14</t>
  </si>
  <si>
    <t>2.5.9-267.17</t>
  </si>
  <si>
    <t>2.9.2-700.28</t>
  </si>
  <si>
    <t>2.9.2-1358.353</t>
  </si>
  <si>
    <t>2.9.2-1153.9</t>
  </si>
  <si>
    <t>2.9.2-1611.1</t>
  </si>
  <si>
    <t>2.9.2-1611.3</t>
  </si>
  <si>
    <t>2.9.2-848.1</t>
  </si>
  <si>
    <t>2.9.2-317.1</t>
  </si>
  <si>
    <t>2.9.2-317.17</t>
  </si>
  <si>
    <t>2.3.1-6563.1012</t>
  </si>
  <si>
    <t>2.3.1-6563.1008</t>
  </si>
  <si>
    <t>2.3.1-6590.532</t>
  </si>
  <si>
    <t>2.3.1-6590.226</t>
  </si>
  <si>
    <t>2.9.2-661.51</t>
  </si>
  <si>
    <t>2.9.2-850.1</t>
  </si>
  <si>
    <t>2.9.2-274.65</t>
  </si>
  <si>
    <t>2.9.2-274.3</t>
  </si>
  <si>
    <t>2.9.2-660.47</t>
  </si>
  <si>
    <t>2.3.1-928.8</t>
  </si>
  <si>
    <t>2.9.2-852.4</t>
  </si>
  <si>
    <t>2.9.2-852.3</t>
  </si>
  <si>
    <t>2.3.1-6587.306</t>
  </si>
  <si>
    <t>2.9.2-1354.31</t>
  </si>
  <si>
    <t>LIBRERIA,PAP. Y UTILES OFICINA</t>
  </si>
  <si>
    <t>ABROCHADORAS DE PAPEL; TIPO: PINZA, P/BROCHES: 10/50, MATERIAL: METALICA, MEDIDA: 10/50</t>
  </si>
  <si>
    <t>ADHESIVOS; SECADO: RAPIDO, TIPO: DE CONTACTO, PRESENTACION: ENVASE X 250 GR, CAPACIDAD: 250 GR</t>
  </si>
  <si>
    <t>BROCHES P/ABROCHADORA; NUMERO: 10/50, PRESENTACION: CAJA X 1000 UNIDADES</t>
  </si>
  <si>
    <t>CARPETAS; MATERIAL PLASTICO - TAMAÑO A4.</t>
  </si>
  <si>
    <t>CINTAS ADHESIVAS; ANCHO: 48 mm, LARGO ROLLO: 50 M, MATERIAL: POLIPROPILENO, ACCESORIO: SIN VALOR, TIPO: TRANSPARENTE, LARGO: 50 M</t>
  </si>
  <si>
    <t>FOLIOS TRANSPARENTES; MATERIAL: PLASTICO (POLIETILENO), TAMAÑO: OFICIO, PERFORACIONES: 5 UNIVERSALES</t>
  </si>
  <si>
    <t>FOLIOS TRANSPARENTES; TAMAÑO: A-4, PERFORACIONES: 5 UNIVERSALES, MATERIAL: PLASTICO (POLIETILENO)</t>
  </si>
  <si>
    <t>LAPIZ; COLOR: SIN VALOR, TIPO: CORRECTOR</t>
  </si>
  <si>
    <t>BOLIGRAFOS; COLOR TINTA: AZUL, TRAZO: 0,7 mm</t>
  </si>
  <si>
    <t>BOLIGRAFOS; TRAZO: GRUESO, COLOR TINTA: NEGRO</t>
  </si>
  <si>
    <t>PAPELES EN HOJA; TIPO DE PAPEL: ALCALINO, DIMENSION: 210 X 297 mm, GRAMAJE: 80 GR/M2, PRESENTACION: ENVASE X 500 HOJAS, CERTIFICADO FORESTAL (GFS): SIN, PORC. FIBRAS RECICLADAS: 0 %, CERT. FIBRA ALTERNATIVA (FCA): SIN</t>
  </si>
  <si>
    <t>PAPELES EN HOJA; TIPO DE PAPEL: ALCALINO, DIMENSION: 216 X 356 mm, GRAMAJE: 80 GR, PRESENTACION: RESMA X 500 HOJAS, CERTIFICADO FORESTAL (GFS): CON, PORC. FIBRAS RECICLADAS: 0 %, CERT. FIBRA ALTERNATIVA (FCA): CON</t>
  </si>
  <si>
    <t>SOBRES DE PAPEL; TIPO: MADERA, TAMAÑO: A4, GRAMAJE: 80 GR/M2, PRESENTACION: ENVASE X 100 UN, CERTIFICADO FORESTAL (GFS): SIN, PORC. FIBRAS RECICLADAS: 0 %, CERT. FIBRA ALTERNATIVA (FCA): SIN</t>
  </si>
  <si>
    <t>SOBRES DE PAPEL; TIPO: MADERA, TAMAÑO: OFICIO, GRAMAJE: 80 GR/M2, PRESENTACION: CAJA X 100</t>
  </si>
  <si>
    <t>GOMAS DE BORRAR; USO: LAPIZ, DIMENSION: 1 X 1 X 5 Cm, MATERIAL: CAUCHO, PRESENTACION: UNIDAD</t>
  </si>
  <si>
    <t>CAJAS DE ARCHIVO; DIMENSION: 26.5 X 38 X 9 Cm, COLOR: AZUL, MATERIAL: PLASTICO</t>
  </si>
  <si>
    <t>BIBLIORATOS; ANCHO: 10 Cm, ANILLO: 2 Y PALANCA, TAMAÑO: A4, MATERIAL: CARTON</t>
  </si>
  <si>
    <t>BIBLIORATOS; ANCHO 80mm - ANILLO 2 Y PALANCA - TAMAÑO OFICIO - MATERIAL CARTON</t>
  </si>
  <si>
    <t>CLIPS P/PAPEL; NUMERO: 8, MATERIAL: METAL, PRESENTACION: CAJA X 50 UN</t>
  </si>
  <si>
    <t>ARANDELAS DE CARTON; DIAMETRO: 1 pulg, PRESENTACION: CAJA X 500 UNIDADES</t>
  </si>
  <si>
    <t>BROCHES DORADOS; PRESENTACION: CAJA X 100 UNIDADES, N° PATAS: 2, N°: 8, CANTIDAD PATAS: 2, NUMERO: 8</t>
  </si>
  <si>
    <t>BROCHES DORADOS; N°: 6, N° PATAS: 2, PRESENTACION: CAJA X 100 UNIDADES, CANTIDAD PATAS: 2, NUMERO: 6</t>
  </si>
  <si>
    <t>PAPELES ENCUADERNADOS; CANT. DE HOJAS: 100 HOJAS, TAMAÑO: A4, TIPO: LIBRO DE ACTAS, CERTIFICADO FORESTAL (GFS): SIN, PORC. FIBRAS RECICLADAS: 0 %, CERT. FIBRA ALTERNATIVA (FCA): SIN</t>
  </si>
  <si>
    <t>RESALTADORES; ACCESORIO: ESTUCHE DE PLASTICO, TIPO PUNTA: BISELADA</t>
  </si>
  <si>
    <t>AV. VENEZUELA S/N CAPE- PABELLON Nº 25- MINISTERIO DE DESARROLLO SOCIAL Y DEPORTE- SAN FERNANDO DEL VALLE DE CATAMARCA</t>
  </si>
  <si>
    <t>01- Ministerio de Desarrollo Social y Deporte</t>
  </si>
  <si>
    <t xml:space="preserve">Adquisición de Articulos de Librería para las distintas oficinas del Ministerio de Desarrollo Social y Deporte </t>
  </si>
  <si>
    <t>Costo total estimado:  DOS MILLONES SEISCIENTOS SETENTA MIL TRESCIENTOS CATORCE CON 60/100.-</t>
  </si>
  <si>
    <t>TOTAL DE PESOS: DOS MILLONES SEISCIENTOS SETENTA MIL TRESCIENTOS CATORCE CON 60/100.-</t>
  </si>
  <si>
    <t>Papel de Escritorio y Carton</t>
  </si>
  <si>
    <t>Otros NEP</t>
  </si>
  <si>
    <t>Utiles de Escritorio, Oficina y Enseñanza</t>
  </si>
  <si>
    <t>431/2021</t>
  </si>
  <si>
    <t>01- Actividad Central</t>
  </si>
  <si>
    <t>Especificidades Item N° 1 al 24: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</si>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</sst>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10"/>
      <color rgb="FFFF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2">
    <xf numFmtId="0" fontId="0" fillId="0" borderId="0" xfId="0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20" fillId="0" borderId="18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0" fillId="0" borderId="0" xfId="0"/>
    <xf numFmtId="166" fontId="16" fillId="0" borderId="0" xfId="0" applyNumberFormat="1" applyFont="1"/>
    <xf numFmtId="0" fontId="27" fillId="0" borderId="0" xfId="0" applyFont="1"/>
    <xf numFmtId="166" fontId="25" fillId="0" borderId="0" xfId="0" applyNumberFormat="1" applyFont="1"/>
    <xf numFmtId="16" fontId="16" fillId="0" borderId="0" xfId="0" applyNumberFormat="1" applyFont="1"/>
    <xf numFmtId="167" fontId="16" fillId="0" borderId="0" xfId="0" applyNumberFormat="1" applyFont="1"/>
    <xf numFmtId="0" fontId="0" fillId="0" borderId="68" xfId="0" applyFont="1" applyFill="1" applyBorder="1" applyAlignment="1">
      <alignment horizontal="center" vertical="center"/>
    </xf>
    <xf numFmtId="0" fontId="0" fillId="0" borderId="67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0" fillId="0" borderId="66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right" vertical="center"/>
    </xf>
    <xf numFmtId="0" fontId="6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 wrapText="1"/>
    </xf>
    <xf numFmtId="166" fontId="4" fillId="0" borderId="23" xfId="1" applyNumberFormat="1" applyFont="1" applyFill="1" applyBorder="1" applyAlignment="1" applyProtection="1">
      <alignment horizontal="right" vertical="center" wrapText="1"/>
    </xf>
    <xf numFmtId="3" fontId="4" fillId="0" borderId="23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 wrapText="1"/>
    </xf>
    <xf numFmtId="0" fontId="9" fillId="0" borderId="60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/>
    <xf numFmtId="168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Border="1"/>
    <xf numFmtId="0" fontId="0" fillId="0" borderId="14" xfId="0" applyFill="1" applyBorder="1"/>
    <xf numFmtId="0" fontId="0" fillId="0" borderId="30" xfId="0" applyFill="1" applyBorder="1"/>
    <xf numFmtId="0" fontId="0" fillId="0" borderId="16" xfId="0" applyFill="1" applyBorder="1"/>
    <xf numFmtId="0" fontId="0" fillId="0" borderId="16" xfId="0" applyFill="1" applyBorder="1" applyAlignment="1">
      <alignment horizontal="left"/>
    </xf>
    <xf numFmtId="0" fontId="0" fillId="0" borderId="31" xfId="0" applyFill="1" applyBorder="1"/>
    <xf numFmtId="0" fontId="14" fillId="0" borderId="33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35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166" fontId="0" fillId="0" borderId="58" xfId="3" applyNumberFormat="1" applyFont="1" applyFill="1" applyBorder="1" applyAlignment="1" applyProtection="1">
      <alignment horizontal="center" vertical="center"/>
    </xf>
    <xf numFmtId="166" fontId="0" fillId="0" borderId="56" xfId="3" applyNumberFormat="1" applyFont="1" applyFill="1" applyBorder="1" applyAlignment="1" applyProtection="1">
      <alignment horizontal="center" vertical="center"/>
    </xf>
    <xf numFmtId="166" fontId="0" fillId="0" borderId="39" xfId="3" applyNumberFormat="1" applyFont="1" applyFill="1" applyBorder="1" applyAlignment="1" applyProtection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166" fontId="0" fillId="0" borderId="43" xfId="3" applyNumberFormat="1" applyFont="1" applyFill="1" applyBorder="1" applyAlignment="1" applyProtection="1">
      <alignment horizontal="center" vertical="center"/>
    </xf>
    <xf numFmtId="166" fontId="14" fillId="0" borderId="44" xfId="0" applyNumberFormat="1" applyFont="1" applyFill="1" applyBorder="1" applyAlignment="1">
      <alignment horizontal="center" vertical="center"/>
    </xf>
    <xf numFmtId="0" fontId="21" fillId="0" borderId="6" xfId="0" applyFont="1" applyFill="1" applyBorder="1"/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9" xfId="0" applyFont="1" applyFill="1" applyBorder="1"/>
    <xf numFmtId="0" fontId="16" fillId="0" borderId="0" xfId="0" applyFont="1" applyFill="1" applyBorder="1"/>
    <xf numFmtId="0" fontId="16" fillId="0" borderId="10" xfId="0" applyFont="1" applyFill="1" applyBorder="1"/>
    <xf numFmtId="0" fontId="21" fillId="0" borderId="9" xfId="0" applyFont="1" applyFill="1" applyBorder="1" applyAlignment="1">
      <alignment horizontal="left" indent="3"/>
    </xf>
    <xf numFmtId="0" fontId="16" fillId="0" borderId="9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left" indent="3"/>
    </xf>
    <xf numFmtId="0" fontId="16" fillId="0" borderId="12" xfId="0" applyFont="1" applyFill="1" applyBorder="1"/>
    <xf numFmtId="0" fontId="16" fillId="0" borderId="13" xfId="0" applyFont="1" applyFill="1" applyBorder="1"/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8" fillId="0" borderId="70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 wrapText="1"/>
    </xf>
    <xf numFmtId="0" fontId="29" fillId="0" borderId="54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/>
    </xf>
    <xf numFmtId="0" fontId="29" fillId="0" borderId="48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/>
    </xf>
    <xf numFmtId="0" fontId="29" fillId="0" borderId="74" xfId="0" applyFont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166" fontId="28" fillId="0" borderId="54" xfId="1" applyNumberFormat="1" applyFont="1" applyFill="1" applyBorder="1" applyAlignment="1" applyProtection="1">
      <alignment horizontal="center" vertical="center" wrapText="1"/>
    </xf>
    <xf numFmtId="166" fontId="28" fillId="0" borderId="55" xfId="1" applyNumberFormat="1" applyFont="1" applyFill="1" applyBorder="1" applyAlignment="1" applyProtection="1">
      <alignment horizontal="center" vertical="center" wrapText="1"/>
    </xf>
    <xf numFmtId="166" fontId="28" fillId="0" borderId="4" xfId="1" applyNumberFormat="1" applyFont="1" applyFill="1" applyBorder="1" applyAlignment="1" applyProtection="1">
      <alignment horizontal="center" vertical="center" wrapText="1"/>
    </xf>
    <xf numFmtId="166" fontId="28" fillId="0" borderId="72" xfId="1" applyNumberFormat="1" applyFont="1" applyFill="1" applyBorder="1" applyAlignment="1" applyProtection="1">
      <alignment horizontal="center" vertical="center" wrapText="1"/>
    </xf>
    <xf numFmtId="166" fontId="28" fillId="0" borderId="49" xfId="1" applyNumberFormat="1" applyFont="1" applyFill="1" applyBorder="1" applyAlignment="1" applyProtection="1">
      <alignment horizontal="center" vertical="center" wrapText="1"/>
    </xf>
    <xf numFmtId="166" fontId="28" fillId="0" borderId="73" xfId="1" applyNumberFormat="1" applyFont="1" applyFill="1" applyBorder="1" applyAlignment="1" applyProtection="1">
      <alignment horizontal="center" vertical="center" wrapText="1"/>
    </xf>
    <xf numFmtId="166" fontId="28" fillId="0" borderId="5" xfId="1" applyNumberFormat="1" applyFont="1" applyFill="1" applyBorder="1" applyAlignment="1" applyProtection="1">
      <alignment horizontal="center" vertical="center" wrapText="1"/>
    </xf>
    <xf numFmtId="166" fontId="28" fillId="0" borderId="62" xfId="1" applyNumberFormat="1" applyFont="1" applyFill="1" applyBorder="1" applyAlignment="1" applyProtection="1">
      <alignment horizontal="center" vertical="center" wrapText="1"/>
    </xf>
    <xf numFmtId="166" fontId="4" fillId="0" borderId="23" xfId="1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Border="1" applyAlignment="1">
      <alignment vertical="center"/>
    </xf>
    <xf numFmtId="0" fontId="24" fillId="0" borderId="67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4" fillId="0" borderId="23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 indent="1"/>
    </xf>
    <xf numFmtId="167" fontId="23" fillId="0" borderId="18" xfId="0" applyNumberFormat="1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 wrapText="1" indent="1"/>
    </xf>
    <xf numFmtId="0" fontId="8" fillId="0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12" fillId="0" borderId="44" xfId="0" applyFont="1" applyFill="1" applyBorder="1" applyAlignment="1">
      <alignment horizontal="left" vertical="center" wrapText="1" indent="1"/>
    </xf>
    <xf numFmtId="0" fontId="0" fillId="0" borderId="41" xfId="0" applyFill="1" applyBorder="1" applyAlignment="1">
      <alignment horizontal="left" vertical="center"/>
    </xf>
    <xf numFmtId="0" fontId="26" fillId="0" borderId="44" xfId="0" applyFont="1" applyFill="1" applyBorder="1" applyAlignment="1">
      <alignment horizontal="left" vertical="center" wrapText="1"/>
    </xf>
    <xf numFmtId="0" fontId="10" fillId="0" borderId="44" xfId="0" applyFont="1" applyFill="1" applyBorder="1" applyAlignment="1">
      <alignment horizontal="left" vertical="center" wrapText="1"/>
    </xf>
    <xf numFmtId="0" fontId="0" fillId="0" borderId="27" xfId="0" applyFill="1" applyBorder="1"/>
    <xf numFmtId="0" fontId="24" fillId="0" borderId="57" xfId="0" applyFont="1" applyFill="1" applyBorder="1" applyAlignment="1">
      <alignment horizontal="left" vertical="center" wrapText="1"/>
    </xf>
    <xf numFmtId="0" fontId="0" fillId="0" borderId="57" xfId="0" applyFont="1" applyFill="1" applyBorder="1" applyAlignment="1">
      <alignment horizontal="left" vertical="center" wrapText="1"/>
    </xf>
    <xf numFmtId="0" fontId="0" fillId="0" borderId="64" xfId="0" applyFont="1" applyFill="1" applyBorder="1" applyAlignment="1">
      <alignment horizontal="left" vertical="center"/>
    </xf>
    <xf numFmtId="0" fontId="0" fillId="0" borderId="36" xfId="0" applyFont="1" applyFill="1" applyBorder="1" applyAlignment="1">
      <alignment horizontal="left" vertical="center"/>
    </xf>
    <xf numFmtId="0" fontId="0" fillId="0" borderId="65" xfId="0" applyFont="1" applyFill="1" applyBorder="1" applyAlignment="1">
      <alignment horizontal="left" vertical="center"/>
    </xf>
    <xf numFmtId="0" fontId="0" fillId="0" borderId="38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21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28" xfId="0" applyFont="1" applyFill="1" applyBorder="1"/>
    <xf numFmtId="0" fontId="12" fillId="0" borderId="29" xfId="0" applyFont="1" applyFill="1" applyBorder="1" applyAlignment="1">
      <alignment horizontal="left" vertical="center" wrapText="1" indent="1"/>
    </xf>
    <xf numFmtId="0" fontId="14" fillId="0" borderId="27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>
      <alignment horizontal="left" indent="1"/>
    </xf>
    <xf numFmtId="0" fontId="13" fillId="0" borderId="15" xfId="0" applyFont="1" applyFill="1" applyBorder="1" applyAlignment="1">
      <alignment horizontal="left"/>
    </xf>
    <xf numFmtId="0" fontId="0" fillId="0" borderId="25" xfId="0" applyFont="1" applyFill="1" applyBorder="1" applyAlignment="1">
      <alignment horizontal="center"/>
    </xf>
    <xf numFmtId="3" fontId="10" fillId="0" borderId="26" xfId="0" applyNumberFormat="1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 vertical="center" wrapText="1"/>
    </xf>
    <xf numFmtId="0" fontId="2" fillId="0" borderId="15" xfId="0" applyFont="1" applyFill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rch\Downloads\NACION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9"/>
  <sheetViews>
    <sheetView tabSelected="1" zoomScaleNormal="100" workbookViewId="0">
      <selection activeCell="E24" sqref="E24"/>
    </sheetView>
  </sheetViews>
  <sheetFormatPr baseColWidth="10" defaultColWidth="11" defaultRowHeight="12.75" x14ac:dyDescent="0.2"/>
  <cols>
    <col min="1" max="1" width="4.5703125" style="4" customWidth="1"/>
    <col min="2" max="2" width="19.85546875" style="4" customWidth="1"/>
    <col min="3" max="3" width="31.28515625" style="4" bestFit="1" customWidth="1"/>
    <col min="4" max="4" width="9.28515625" style="4" customWidth="1"/>
    <col min="5" max="5" width="134" style="4" customWidth="1"/>
    <col min="6" max="6" width="10.5703125" style="4" bestFit="1" customWidth="1"/>
    <col min="7" max="8" width="10.42578125" style="4" bestFit="1" customWidth="1"/>
    <col min="9" max="9" width="15.7109375" style="4" bestFit="1" customWidth="1"/>
    <col min="10" max="16384" width="11" style="4"/>
  </cols>
  <sheetData>
    <row r="2" spans="1:9" ht="27" x14ac:dyDescent="0.35">
      <c r="A2" s="79"/>
      <c r="B2" s="119" t="s">
        <v>0</v>
      </c>
      <c r="C2" s="119"/>
      <c r="D2" s="119"/>
      <c r="E2" s="119"/>
      <c r="F2" s="119"/>
      <c r="G2" s="119"/>
      <c r="H2" s="119"/>
    </row>
    <row r="3" spans="1:9" x14ac:dyDescent="0.2">
      <c r="A3" s="79"/>
      <c r="B3" s="79"/>
      <c r="C3" s="79"/>
      <c r="D3" s="79"/>
      <c r="E3" s="79"/>
      <c r="F3" s="79"/>
      <c r="G3" s="79"/>
      <c r="H3" s="79"/>
    </row>
    <row r="4" spans="1:9" ht="18" customHeight="1" x14ac:dyDescent="0.25">
      <c r="A4" s="117" t="s">
        <v>1</v>
      </c>
      <c r="B4" s="117"/>
      <c r="C4" s="120" t="s">
        <v>60</v>
      </c>
      <c r="D4" s="120"/>
      <c r="E4" s="120"/>
      <c r="F4" s="80"/>
      <c r="G4" s="81"/>
      <c r="H4" s="80"/>
    </row>
    <row r="5" spans="1:9" ht="18" customHeight="1" x14ac:dyDescent="0.25">
      <c r="A5" s="117" t="s">
        <v>2</v>
      </c>
      <c r="B5" s="117"/>
      <c r="C5" s="120" t="s">
        <v>57</v>
      </c>
      <c r="D5" s="120"/>
      <c r="E5" s="120"/>
      <c r="F5" s="80"/>
      <c r="G5" s="81"/>
      <c r="H5" s="80"/>
    </row>
    <row r="6" spans="1:9" ht="16.5" customHeight="1" x14ac:dyDescent="0.25">
      <c r="A6" s="117" t="s">
        <v>3</v>
      </c>
      <c r="B6" s="117"/>
      <c r="C6" s="82">
        <v>2021</v>
      </c>
      <c r="D6" s="83"/>
      <c r="E6" s="83"/>
      <c r="F6" s="80"/>
      <c r="G6" s="81"/>
      <c r="H6" s="80"/>
    </row>
    <row r="7" spans="1:9" ht="16.5" customHeight="1" x14ac:dyDescent="0.25">
      <c r="A7" s="118" t="s">
        <v>4</v>
      </c>
      <c r="B7" s="118"/>
      <c r="C7" s="82">
        <v>2</v>
      </c>
      <c r="D7" s="7"/>
      <c r="E7" s="7"/>
      <c r="F7" s="5"/>
      <c r="G7" s="6"/>
      <c r="H7" s="5"/>
    </row>
    <row r="8" spans="1:9" ht="13.5" thickBot="1" x14ac:dyDescent="0.25">
      <c r="B8" s="5"/>
      <c r="C8" s="6"/>
      <c r="D8" s="5"/>
      <c r="E8" s="5"/>
      <c r="F8" s="5"/>
      <c r="G8" s="6"/>
      <c r="H8" s="5"/>
    </row>
    <row r="9" spans="1:9" ht="39" thickBot="1" x14ac:dyDescent="0.25">
      <c r="A9" s="12" t="s">
        <v>5</v>
      </c>
      <c r="B9" s="8" t="s">
        <v>6</v>
      </c>
      <c r="C9" s="8" t="s">
        <v>7</v>
      </c>
      <c r="D9" s="13" t="s">
        <v>8</v>
      </c>
      <c r="E9" s="8" t="s">
        <v>9</v>
      </c>
      <c r="F9" s="9" t="s">
        <v>10</v>
      </c>
      <c r="G9" s="10" t="s">
        <v>11</v>
      </c>
      <c r="H9" s="10" t="s">
        <v>12</v>
      </c>
      <c r="I9" s="11" t="s">
        <v>13</v>
      </c>
    </row>
    <row r="10" spans="1:9" ht="30" x14ac:dyDescent="0.2">
      <c r="A10" s="84">
        <v>1</v>
      </c>
      <c r="B10" s="97" t="s">
        <v>64</v>
      </c>
      <c r="C10" s="100" t="s">
        <v>88</v>
      </c>
      <c r="D10" s="85" t="str">
        <f>LEFT(B10,5)</f>
        <v>2.9.2</v>
      </c>
      <c r="E10" s="100" t="s">
        <v>89</v>
      </c>
      <c r="F10" s="86" t="s">
        <v>14</v>
      </c>
      <c r="G10" s="87">
        <v>30</v>
      </c>
      <c r="H10" s="103">
        <v>1666.74</v>
      </c>
      <c r="I10" s="104">
        <f>+G10*H10</f>
        <v>50002.2</v>
      </c>
    </row>
    <row r="11" spans="1:9" ht="30" x14ac:dyDescent="0.2">
      <c r="A11" s="88">
        <v>2</v>
      </c>
      <c r="B11" s="98" t="s">
        <v>65</v>
      </c>
      <c r="C11" s="101" t="s">
        <v>88</v>
      </c>
      <c r="D11" s="89" t="str">
        <f t="shared" ref="D11:D33" si="0">LEFT(B11,5)</f>
        <v>2.5.9</v>
      </c>
      <c r="E11" s="101" t="s">
        <v>90</v>
      </c>
      <c r="F11" s="90" t="s">
        <v>14</v>
      </c>
      <c r="G11" s="90">
        <v>350</v>
      </c>
      <c r="H11" s="105">
        <v>160.88999999999999</v>
      </c>
      <c r="I11" s="106">
        <f t="shared" ref="I11:I33" si="1">+G11*H11</f>
        <v>56311.499999999993</v>
      </c>
    </row>
    <row r="12" spans="1:9" ht="30" x14ac:dyDescent="0.2">
      <c r="A12" s="88">
        <v>3</v>
      </c>
      <c r="B12" s="98" t="s">
        <v>66</v>
      </c>
      <c r="C12" s="101" t="s">
        <v>88</v>
      </c>
      <c r="D12" s="89" t="str">
        <f t="shared" si="0"/>
        <v>2.9.2</v>
      </c>
      <c r="E12" s="101" t="s">
        <v>91</v>
      </c>
      <c r="F12" s="90" t="s">
        <v>14</v>
      </c>
      <c r="G12" s="90">
        <v>500</v>
      </c>
      <c r="H12" s="105">
        <v>85</v>
      </c>
      <c r="I12" s="106">
        <f t="shared" si="1"/>
        <v>42500</v>
      </c>
    </row>
    <row r="13" spans="1:9" ht="30" x14ac:dyDescent="0.2">
      <c r="A13" s="88">
        <v>4</v>
      </c>
      <c r="B13" s="98" t="s">
        <v>67</v>
      </c>
      <c r="C13" s="101" t="s">
        <v>88</v>
      </c>
      <c r="D13" s="89" t="str">
        <f t="shared" si="0"/>
        <v>2.9.2</v>
      </c>
      <c r="E13" s="101" t="s">
        <v>92</v>
      </c>
      <c r="F13" s="90" t="s">
        <v>14</v>
      </c>
      <c r="G13" s="90">
        <v>300</v>
      </c>
      <c r="H13" s="105">
        <v>67</v>
      </c>
      <c r="I13" s="106">
        <f t="shared" si="1"/>
        <v>20100</v>
      </c>
    </row>
    <row r="14" spans="1:9" ht="30" x14ac:dyDescent="0.2">
      <c r="A14" s="88">
        <v>5</v>
      </c>
      <c r="B14" s="98" t="s">
        <v>68</v>
      </c>
      <c r="C14" s="101" t="s">
        <v>88</v>
      </c>
      <c r="D14" s="89" t="str">
        <f t="shared" si="0"/>
        <v>2.9.2</v>
      </c>
      <c r="E14" s="101" t="s">
        <v>93</v>
      </c>
      <c r="F14" s="90" t="s">
        <v>14</v>
      </c>
      <c r="G14" s="90">
        <v>200</v>
      </c>
      <c r="H14" s="105">
        <v>134</v>
      </c>
      <c r="I14" s="106">
        <f t="shared" si="1"/>
        <v>26800</v>
      </c>
    </row>
    <row r="15" spans="1:9" ht="30" x14ac:dyDescent="0.2">
      <c r="A15" s="91">
        <v>6</v>
      </c>
      <c r="B15" s="98" t="s">
        <v>69</v>
      </c>
      <c r="C15" s="101" t="s">
        <v>88</v>
      </c>
      <c r="D15" s="89" t="str">
        <f t="shared" si="0"/>
        <v>2.9.2</v>
      </c>
      <c r="E15" s="101" t="s">
        <v>94</v>
      </c>
      <c r="F15" s="92" t="s">
        <v>14</v>
      </c>
      <c r="G15" s="90">
        <v>60</v>
      </c>
      <c r="H15" s="105">
        <v>673.15</v>
      </c>
      <c r="I15" s="106">
        <f t="shared" si="1"/>
        <v>40389</v>
      </c>
    </row>
    <row r="16" spans="1:9" ht="30" x14ac:dyDescent="0.2">
      <c r="A16" s="88">
        <v>7</v>
      </c>
      <c r="B16" s="98" t="s">
        <v>70</v>
      </c>
      <c r="C16" s="101" t="s">
        <v>88</v>
      </c>
      <c r="D16" s="89" t="str">
        <f t="shared" si="0"/>
        <v>2.9.2</v>
      </c>
      <c r="E16" s="101" t="s">
        <v>95</v>
      </c>
      <c r="F16" s="92" t="s">
        <v>14</v>
      </c>
      <c r="G16" s="90">
        <v>60</v>
      </c>
      <c r="H16" s="105">
        <v>615.89</v>
      </c>
      <c r="I16" s="106">
        <f t="shared" si="1"/>
        <v>36953.4</v>
      </c>
    </row>
    <row r="17" spans="1:11" ht="30" x14ac:dyDescent="0.2">
      <c r="A17" s="88">
        <v>8</v>
      </c>
      <c r="B17" s="98" t="s">
        <v>71</v>
      </c>
      <c r="C17" s="101" t="s">
        <v>88</v>
      </c>
      <c r="D17" s="89" t="str">
        <f t="shared" si="0"/>
        <v>2.9.2</v>
      </c>
      <c r="E17" s="101" t="s">
        <v>96</v>
      </c>
      <c r="F17" s="92" t="s">
        <v>14</v>
      </c>
      <c r="G17" s="90">
        <v>100</v>
      </c>
      <c r="H17" s="105">
        <v>80</v>
      </c>
      <c r="I17" s="106">
        <f t="shared" si="1"/>
        <v>8000</v>
      </c>
    </row>
    <row r="18" spans="1:11" ht="30" x14ac:dyDescent="0.2">
      <c r="A18" s="88">
        <v>9</v>
      </c>
      <c r="B18" s="98" t="s">
        <v>72</v>
      </c>
      <c r="C18" s="101" t="s">
        <v>88</v>
      </c>
      <c r="D18" s="89" t="str">
        <f t="shared" si="0"/>
        <v>2.9.2</v>
      </c>
      <c r="E18" s="101" t="s">
        <v>97</v>
      </c>
      <c r="F18" s="92" t="s">
        <v>14</v>
      </c>
      <c r="G18" s="90">
        <v>500</v>
      </c>
      <c r="H18" s="105">
        <v>52</v>
      </c>
      <c r="I18" s="106">
        <f t="shared" si="1"/>
        <v>26000</v>
      </c>
    </row>
    <row r="19" spans="1:11" ht="30" x14ac:dyDescent="0.2">
      <c r="A19" s="88">
        <v>10</v>
      </c>
      <c r="B19" s="98" t="s">
        <v>73</v>
      </c>
      <c r="C19" s="101" t="s">
        <v>88</v>
      </c>
      <c r="D19" s="89" t="str">
        <f t="shared" si="0"/>
        <v>2.9.2</v>
      </c>
      <c r="E19" s="101" t="s">
        <v>98</v>
      </c>
      <c r="F19" s="92" t="s">
        <v>14</v>
      </c>
      <c r="G19" s="90">
        <v>500</v>
      </c>
      <c r="H19" s="105">
        <v>49.5</v>
      </c>
      <c r="I19" s="106">
        <f t="shared" si="1"/>
        <v>24750</v>
      </c>
    </row>
    <row r="20" spans="1:11" ht="30" x14ac:dyDescent="0.2">
      <c r="A20" s="91">
        <v>11</v>
      </c>
      <c r="B20" s="98" t="s">
        <v>74</v>
      </c>
      <c r="C20" s="101" t="s">
        <v>88</v>
      </c>
      <c r="D20" s="89" t="str">
        <f t="shared" si="0"/>
        <v>2.3.1</v>
      </c>
      <c r="E20" s="101" t="s">
        <v>99</v>
      </c>
      <c r="F20" s="92" t="s">
        <v>14</v>
      </c>
      <c r="G20" s="90">
        <v>955</v>
      </c>
      <c r="H20" s="105">
        <v>732.82</v>
      </c>
      <c r="I20" s="106">
        <f t="shared" si="1"/>
        <v>699843.10000000009</v>
      </c>
    </row>
    <row r="21" spans="1:11" ht="30" x14ac:dyDescent="0.2">
      <c r="A21" s="88">
        <v>12</v>
      </c>
      <c r="B21" s="98" t="s">
        <v>75</v>
      </c>
      <c r="C21" s="101" t="s">
        <v>88</v>
      </c>
      <c r="D21" s="89" t="str">
        <f t="shared" si="0"/>
        <v>2.3.1</v>
      </c>
      <c r="E21" s="101" t="s">
        <v>100</v>
      </c>
      <c r="F21" s="92" t="s">
        <v>14</v>
      </c>
      <c r="G21" s="90">
        <v>940</v>
      </c>
      <c r="H21" s="105">
        <v>901.51</v>
      </c>
      <c r="I21" s="106">
        <f t="shared" si="1"/>
        <v>847419.4</v>
      </c>
    </row>
    <row r="22" spans="1:11" ht="30" x14ac:dyDescent="0.2">
      <c r="A22" s="88">
        <v>13</v>
      </c>
      <c r="B22" s="98" t="s">
        <v>76</v>
      </c>
      <c r="C22" s="101" t="s">
        <v>88</v>
      </c>
      <c r="D22" s="89" t="str">
        <f t="shared" si="0"/>
        <v>2.3.1</v>
      </c>
      <c r="E22" s="101" t="s">
        <v>101</v>
      </c>
      <c r="F22" s="92" t="s">
        <v>14</v>
      </c>
      <c r="G22" s="90">
        <v>50</v>
      </c>
      <c r="H22" s="105">
        <v>810.25</v>
      </c>
      <c r="I22" s="106">
        <f t="shared" si="1"/>
        <v>40512.5</v>
      </c>
    </row>
    <row r="23" spans="1:11" ht="30" x14ac:dyDescent="0.2">
      <c r="A23" s="88">
        <v>14</v>
      </c>
      <c r="B23" s="98" t="s">
        <v>77</v>
      </c>
      <c r="C23" s="101" t="s">
        <v>88</v>
      </c>
      <c r="D23" s="89" t="str">
        <f t="shared" si="0"/>
        <v>2.3.1</v>
      </c>
      <c r="E23" s="101" t="s">
        <v>102</v>
      </c>
      <c r="F23" s="92" t="s">
        <v>14</v>
      </c>
      <c r="G23" s="92">
        <v>50</v>
      </c>
      <c r="H23" s="105">
        <v>1350.77</v>
      </c>
      <c r="I23" s="106">
        <f t="shared" si="1"/>
        <v>67538.5</v>
      </c>
      <c r="K23" s="16"/>
    </row>
    <row r="24" spans="1:11" ht="30" x14ac:dyDescent="0.2">
      <c r="A24" s="88">
        <v>15</v>
      </c>
      <c r="B24" s="98" t="s">
        <v>78</v>
      </c>
      <c r="C24" s="101" t="s">
        <v>88</v>
      </c>
      <c r="D24" s="89" t="str">
        <f t="shared" si="0"/>
        <v>2.9.2</v>
      </c>
      <c r="E24" s="101" t="s">
        <v>103</v>
      </c>
      <c r="F24" s="92" t="s">
        <v>14</v>
      </c>
      <c r="G24" s="92">
        <v>150</v>
      </c>
      <c r="H24" s="105">
        <v>30</v>
      </c>
      <c r="I24" s="106">
        <f t="shared" si="1"/>
        <v>4500</v>
      </c>
      <c r="J24" s="18"/>
      <c r="K24" s="16"/>
    </row>
    <row r="25" spans="1:11" ht="30" x14ac:dyDescent="0.2">
      <c r="A25" s="91">
        <v>16</v>
      </c>
      <c r="B25" s="98" t="s">
        <v>79</v>
      </c>
      <c r="C25" s="101" t="s">
        <v>88</v>
      </c>
      <c r="D25" s="89" t="str">
        <f t="shared" si="0"/>
        <v>2.9.2</v>
      </c>
      <c r="E25" s="101" t="s">
        <v>104</v>
      </c>
      <c r="F25" s="90" t="s">
        <v>14</v>
      </c>
      <c r="G25" s="90">
        <v>150</v>
      </c>
      <c r="H25" s="105">
        <v>387.2</v>
      </c>
      <c r="I25" s="106">
        <f t="shared" si="1"/>
        <v>58080</v>
      </c>
      <c r="K25" s="16"/>
    </row>
    <row r="26" spans="1:11" ht="30" x14ac:dyDescent="0.2">
      <c r="A26" s="88">
        <v>17</v>
      </c>
      <c r="B26" s="98" t="s">
        <v>80</v>
      </c>
      <c r="C26" s="101" t="s">
        <v>88</v>
      </c>
      <c r="D26" s="89" t="str">
        <f t="shared" si="0"/>
        <v>2.9.2</v>
      </c>
      <c r="E26" s="101" t="s">
        <v>105</v>
      </c>
      <c r="F26" s="92" t="s">
        <v>14</v>
      </c>
      <c r="G26" s="90">
        <v>150</v>
      </c>
      <c r="H26" s="105">
        <v>311.7</v>
      </c>
      <c r="I26" s="106">
        <f t="shared" si="1"/>
        <v>46755</v>
      </c>
      <c r="K26" s="16"/>
    </row>
    <row r="27" spans="1:11" ht="30" x14ac:dyDescent="0.2">
      <c r="A27" s="88">
        <v>18</v>
      </c>
      <c r="B27" s="98" t="s">
        <v>81</v>
      </c>
      <c r="C27" s="101" t="s">
        <v>88</v>
      </c>
      <c r="D27" s="89" t="str">
        <f t="shared" si="0"/>
        <v>2.9.2</v>
      </c>
      <c r="E27" s="101" t="s">
        <v>106</v>
      </c>
      <c r="F27" s="92" t="s">
        <v>14</v>
      </c>
      <c r="G27" s="90">
        <v>150</v>
      </c>
      <c r="H27" s="105">
        <v>311.7</v>
      </c>
      <c r="I27" s="106">
        <f t="shared" si="1"/>
        <v>46755</v>
      </c>
      <c r="K27" s="16"/>
    </row>
    <row r="28" spans="1:11" ht="30" x14ac:dyDescent="0.2">
      <c r="A28" s="88">
        <v>19</v>
      </c>
      <c r="B28" s="98" t="s">
        <v>82</v>
      </c>
      <c r="C28" s="101" t="s">
        <v>88</v>
      </c>
      <c r="D28" s="89" t="str">
        <f t="shared" si="0"/>
        <v>2.9.2</v>
      </c>
      <c r="E28" s="101" t="s">
        <v>107</v>
      </c>
      <c r="F28" s="90" t="s">
        <v>14</v>
      </c>
      <c r="G28" s="90">
        <v>500</v>
      </c>
      <c r="H28" s="105">
        <v>298.3</v>
      </c>
      <c r="I28" s="106">
        <f t="shared" si="1"/>
        <v>149150</v>
      </c>
      <c r="K28" s="16"/>
    </row>
    <row r="29" spans="1:11" ht="30" x14ac:dyDescent="0.2">
      <c r="A29" s="88">
        <v>20</v>
      </c>
      <c r="B29" s="98" t="s">
        <v>83</v>
      </c>
      <c r="C29" s="101" t="s">
        <v>88</v>
      </c>
      <c r="D29" s="89" t="str">
        <f t="shared" si="0"/>
        <v>2.3.1</v>
      </c>
      <c r="E29" s="101" t="s">
        <v>108</v>
      </c>
      <c r="F29" s="92" t="s">
        <v>14</v>
      </c>
      <c r="G29" s="90">
        <v>250</v>
      </c>
      <c r="H29" s="105">
        <v>330</v>
      </c>
      <c r="I29" s="106">
        <f t="shared" si="1"/>
        <v>82500</v>
      </c>
      <c r="K29" s="16"/>
    </row>
    <row r="30" spans="1:11" ht="30" x14ac:dyDescent="0.2">
      <c r="A30" s="91">
        <v>21</v>
      </c>
      <c r="B30" s="98" t="s">
        <v>84</v>
      </c>
      <c r="C30" s="101" t="s">
        <v>88</v>
      </c>
      <c r="D30" s="89" t="str">
        <f t="shared" si="0"/>
        <v>2.9.2</v>
      </c>
      <c r="E30" s="101" t="s">
        <v>109</v>
      </c>
      <c r="F30" s="92" t="s">
        <v>14</v>
      </c>
      <c r="G30" s="90">
        <v>500</v>
      </c>
      <c r="H30" s="105">
        <v>190.75</v>
      </c>
      <c r="I30" s="106">
        <f t="shared" si="1"/>
        <v>95375</v>
      </c>
      <c r="K30" s="16"/>
    </row>
    <row r="31" spans="1:11" ht="30" x14ac:dyDescent="0.2">
      <c r="A31" s="88">
        <v>22</v>
      </c>
      <c r="B31" s="98" t="s">
        <v>85</v>
      </c>
      <c r="C31" s="101" t="s">
        <v>88</v>
      </c>
      <c r="D31" s="89" t="str">
        <f t="shared" si="0"/>
        <v>2.9.2</v>
      </c>
      <c r="E31" s="101" t="s">
        <v>110</v>
      </c>
      <c r="F31" s="90" t="s">
        <v>14</v>
      </c>
      <c r="G31" s="90">
        <v>500</v>
      </c>
      <c r="H31" s="105">
        <v>99.1</v>
      </c>
      <c r="I31" s="106">
        <f t="shared" si="1"/>
        <v>49550</v>
      </c>
      <c r="K31" s="16"/>
    </row>
    <row r="32" spans="1:11" ht="30" x14ac:dyDescent="0.2">
      <c r="A32" s="88">
        <v>23</v>
      </c>
      <c r="B32" s="98" t="s">
        <v>86</v>
      </c>
      <c r="C32" s="101" t="s">
        <v>88</v>
      </c>
      <c r="D32" s="89" t="str">
        <f t="shared" si="0"/>
        <v>2.3.1</v>
      </c>
      <c r="E32" s="101" t="s">
        <v>111</v>
      </c>
      <c r="F32" s="93" t="s">
        <v>14</v>
      </c>
      <c r="G32" s="93">
        <v>150</v>
      </c>
      <c r="H32" s="107">
        <v>850.98</v>
      </c>
      <c r="I32" s="108">
        <f t="shared" si="1"/>
        <v>127647</v>
      </c>
      <c r="K32" s="16"/>
    </row>
    <row r="33" spans="1:11" ht="30.75" thickBot="1" x14ac:dyDescent="0.25">
      <c r="A33" s="94">
        <v>24</v>
      </c>
      <c r="B33" s="99" t="s">
        <v>87</v>
      </c>
      <c r="C33" s="102" t="s">
        <v>88</v>
      </c>
      <c r="D33" s="95" t="str">
        <f t="shared" si="0"/>
        <v>2.9.2</v>
      </c>
      <c r="E33" s="102" t="s">
        <v>112</v>
      </c>
      <c r="F33" s="96" t="s">
        <v>14</v>
      </c>
      <c r="G33" s="96">
        <v>350</v>
      </c>
      <c r="H33" s="109">
        <v>65.38</v>
      </c>
      <c r="I33" s="110">
        <f t="shared" si="1"/>
        <v>22883</v>
      </c>
      <c r="K33" s="16"/>
    </row>
    <row r="34" spans="1:11" x14ac:dyDescent="0.2">
      <c r="H34" s="17"/>
      <c r="I34" s="15"/>
      <c r="J34" s="15"/>
    </row>
    <row r="35" spans="1:11" ht="13.5" thickBot="1" x14ac:dyDescent="0.25">
      <c r="I35" s="15"/>
    </row>
    <row r="36" spans="1:11" x14ac:dyDescent="0.2">
      <c r="B36" s="66" t="s">
        <v>123</v>
      </c>
      <c r="C36" s="67"/>
      <c r="D36" s="67"/>
      <c r="E36" s="68"/>
      <c r="I36" s="19"/>
    </row>
    <row r="37" spans="1:11" ht="5.25" customHeight="1" x14ac:dyDescent="0.2">
      <c r="B37" s="69"/>
      <c r="C37" s="70"/>
      <c r="D37" s="70"/>
      <c r="E37" s="71"/>
    </row>
    <row r="38" spans="1:11" x14ac:dyDescent="0.2">
      <c r="B38" s="72" t="s">
        <v>15</v>
      </c>
      <c r="C38" s="70"/>
      <c r="D38" s="70"/>
      <c r="E38" s="71"/>
    </row>
    <row r="39" spans="1:11" ht="41.25" customHeight="1" x14ac:dyDescent="0.2">
      <c r="B39" s="72"/>
      <c r="C39" s="115"/>
      <c r="D39" s="115"/>
      <c r="E39" s="115"/>
    </row>
    <row r="40" spans="1:11" x14ac:dyDescent="0.2">
      <c r="B40" s="72" t="s">
        <v>16</v>
      </c>
      <c r="C40" s="70"/>
      <c r="D40" s="70"/>
      <c r="E40" s="71"/>
    </row>
    <row r="41" spans="1:11" x14ac:dyDescent="0.2">
      <c r="B41" s="73"/>
      <c r="C41" s="116" t="s">
        <v>62</v>
      </c>
      <c r="D41" s="116"/>
      <c r="E41" s="116"/>
      <c r="H41" s="19"/>
      <c r="I41" s="19"/>
      <c r="J41" s="15"/>
    </row>
    <row r="42" spans="1:11" x14ac:dyDescent="0.2">
      <c r="B42" s="73"/>
      <c r="C42" s="116" t="s">
        <v>113</v>
      </c>
      <c r="D42" s="116"/>
      <c r="E42" s="116"/>
    </row>
    <row r="43" spans="1:11" x14ac:dyDescent="0.2">
      <c r="B43" s="72" t="s">
        <v>17</v>
      </c>
      <c r="C43" s="70"/>
      <c r="D43" s="70"/>
      <c r="E43" s="71"/>
    </row>
    <row r="44" spans="1:11" ht="26.25" customHeight="1" x14ac:dyDescent="0.2">
      <c r="B44" s="73"/>
      <c r="C44" s="115" t="s">
        <v>59</v>
      </c>
      <c r="D44" s="115"/>
      <c r="E44" s="115"/>
    </row>
    <row r="45" spans="1:11" x14ac:dyDescent="0.2">
      <c r="B45" s="72" t="s">
        <v>18</v>
      </c>
      <c r="C45" s="74"/>
      <c r="D45" s="74"/>
      <c r="E45" s="75"/>
    </row>
    <row r="46" spans="1:11" ht="26.25" customHeight="1" x14ac:dyDescent="0.2">
      <c r="B46" s="73"/>
      <c r="C46" s="115" t="s">
        <v>63</v>
      </c>
      <c r="D46" s="115"/>
      <c r="E46" s="115"/>
    </row>
    <row r="47" spans="1:11" x14ac:dyDescent="0.2">
      <c r="B47" s="72" t="s">
        <v>19</v>
      </c>
      <c r="C47" s="70"/>
      <c r="D47" s="70"/>
      <c r="E47" s="71"/>
    </row>
    <row r="48" spans="1:11" ht="23.25" customHeight="1" x14ac:dyDescent="0.2">
      <c r="B48" s="72"/>
      <c r="C48" s="116" t="s">
        <v>58</v>
      </c>
      <c r="D48" s="116"/>
      <c r="E48" s="116"/>
    </row>
    <row r="49" spans="2:5" ht="13.5" thickBot="1" x14ac:dyDescent="0.25">
      <c r="B49" s="76"/>
      <c r="C49" s="77"/>
      <c r="D49" s="77"/>
      <c r="E49" s="78"/>
    </row>
  </sheetData>
  <autoFilter ref="A9:I33" xr:uid="{3BE8B5A7-F591-4EE0-B784-90B53364C933}"/>
  <mergeCells count="13">
    <mergeCell ref="B2:H2"/>
    <mergeCell ref="A4:B4"/>
    <mergeCell ref="C4:E4"/>
    <mergeCell ref="A5:B5"/>
    <mergeCell ref="C5:E5"/>
    <mergeCell ref="C44:E44"/>
    <mergeCell ref="C46:E46"/>
    <mergeCell ref="C48:E48"/>
    <mergeCell ref="A6:B6"/>
    <mergeCell ref="A7:B7"/>
    <mergeCell ref="C39:E39"/>
    <mergeCell ref="C41:E41"/>
    <mergeCell ref="C42:E42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25" zoomScaleNormal="100" workbookViewId="0">
      <selection activeCell="H13" sqref="H1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22" style="1" customWidth="1"/>
    <col min="16" max="1024" width="9.140625" style="1"/>
  </cols>
  <sheetData>
    <row r="1" spans="1:15" ht="18" customHeight="1" x14ac:dyDescent="0.2">
      <c r="A1" s="129" t="s">
        <v>20</v>
      </c>
      <c r="B1" s="129"/>
      <c r="C1" s="129"/>
      <c r="D1" s="129"/>
      <c r="E1" s="129"/>
      <c r="F1" s="129"/>
      <c r="G1" s="129"/>
      <c r="H1" s="129"/>
      <c r="I1" s="129"/>
      <c r="J1" s="28" t="s">
        <v>21</v>
      </c>
      <c r="K1" s="29" t="s">
        <v>121</v>
      </c>
    </row>
    <row r="2" spans="1:15" ht="18.75" customHeight="1" thickBot="1" x14ac:dyDescent="0.25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5" ht="18.75" customHeight="1" thickBot="1" x14ac:dyDescent="0.25">
      <c r="A3" s="130" t="s">
        <v>54</v>
      </c>
      <c r="B3" s="130"/>
      <c r="C3" s="130"/>
      <c r="D3" s="122" t="str">
        <f>'Necesidades Trimestrales'!C4</f>
        <v>45- Ministerio de Desarrollo Social y Deporte.-</v>
      </c>
      <c r="E3" s="122"/>
      <c r="F3" s="122"/>
      <c r="G3" s="122"/>
      <c r="H3" s="122"/>
      <c r="I3" s="122"/>
      <c r="J3" s="122"/>
      <c r="K3" s="122"/>
    </row>
    <row r="4" spans="1:15" ht="18.75" customHeight="1" thickBot="1" x14ac:dyDescent="0.25">
      <c r="A4" s="131" t="s">
        <v>55</v>
      </c>
      <c r="B4" s="131"/>
      <c r="C4" s="131"/>
      <c r="D4" s="122" t="str">
        <f>'Necesidades Trimestrales'!C5</f>
        <v>25- Direccion Provincial de Gestion Administracion y RRHH</v>
      </c>
      <c r="E4" s="122"/>
      <c r="F4" s="122"/>
      <c r="G4" s="122"/>
      <c r="H4" s="122"/>
      <c r="I4" s="122"/>
      <c r="J4" s="122"/>
      <c r="K4" s="122"/>
    </row>
    <row r="5" spans="1:15" ht="18.75" customHeight="1" thickBot="1" x14ac:dyDescent="0.25">
      <c r="A5" s="131" t="s">
        <v>33</v>
      </c>
      <c r="B5" s="131"/>
      <c r="C5" s="131"/>
      <c r="D5" s="122" t="s">
        <v>114</v>
      </c>
      <c r="E5" s="122"/>
      <c r="F5" s="122"/>
      <c r="G5" s="122"/>
      <c r="H5" s="122"/>
      <c r="I5" s="122"/>
      <c r="J5" s="122"/>
      <c r="K5" s="122"/>
    </row>
    <row r="6" spans="1:15" ht="16.5" customHeight="1" thickBot="1" x14ac:dyDescent="0.25">
      <c r="A6" s="130" t="s">
        <v>56</v>
      </c>
      <c r="B6" s="130"/>
      <c r="C6" s="130"/>
      <c r="D6" s="122" t="s">
        <v>122</v>
      </c>
      <c r="E6" s="122"/>
      <c r="F6" s="122"/>
      <c r="G6" s="122"/>
      <c r="H6" s="122"/>
      <c r="I6" s="122"/>
      <c r="J6" s="122"/>
      <c r="K6" s="122"/>
    </row>
    <row r="7" spans="1:15" ht="16.5" customHeight="1" x14ac:dyDescent="0.2">
      <c r="A7" s="131" t="s">
        <v>22</v>
      </c>
      <c r="B7" s="131"/>
      <c r="C7" s="131"/>
      <c r="D7" s="122" t="str">
        <f>'Necesidades Trimestrales'!C7 &amp; "° Trimestre - Año " &amp; 'Necesidades Trimestrales'!C6</f>
        <v>2° Trimestre - Año 2021</v>
      </c>
      <c r="E7" s="122"/>
      <c r="F7" s="122"/>
      <c r="G7" s="122"/>
      <c r="H7" s="122"/>
      <c r="I7" s="122"/>
      <c r="J7" s="122"/>
      <c r="K7" s="122"/>
    </row>
    <row r="8" spans="1:15" ht="40.5" customHeight="1" x14ac:dyDescent="0.2">
      <c r="A8" s="124" t="s">
        <v>23</v>
      </c>
      <c r="B8" s="124"/>
      <c r="C8" s="124"/>
      <c r="D8" s="125" t="s">
        <v>115</v>
      </c>
      <c r="E8" s="125"/>
      <c r="F8" s="125"/>
      <c r="G8" s="125"/>
      <c r="H8" s="125"/>
      <c r="I8" s="125"/>
      <c r="J8" s="125"/>
      <c r="K8" s="125"/>
    </row>
    <row r="9" spans="1:15" ht="15.75" x14ac:dyDescent="0.2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5" ht="18.75" customHeight="1" x14ac:dyDescent="0.2">
      <c r="A10" s="126" t="s">
        <v>24</v>
      </c>
      <c r="B10" s="127" t="s">
        <v>25</v>
      </c>
      <c r="C10" s="127" t="s">
        <v>26</v>
      </c>
      <c r="D10" s="127"/>
      <c r="E10" s="127"/>
      <c r="F10" s="127"/>
      <c r="G10" s="127"/>
      <c r="H10" s="127" t="s">
        <v>27</v>
      </c>
      <c r="I10" s="127" t="s">
        <v>28</v>
      </c>
      <c r="J10" s="127" t="s">
        <v>29</v>
      </c>
      <c r="K10" s="128" t="s">
        <v>30</v>
      </c>
    </row>
    <row r="11" spans="1:15" ht="24" customHeight="1" thickBot="1" x14ac:dyDescent="0.2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8"/>
    </row>
    <row r="12" spans="1:15" ht="42" customHeight="1" thickBot="1" x14ac:dyDescent="0.25">
      <c r="A12" s="34">
        <v>1</v>
      </c>
      <c r="B12" s="34" t="str">
        <f>'Necesidades Trimestrales'!B10</f>
        <v>2.9.2-261.14</v>
      </c>
      <c r="C12" s="121" t="str">
        <f>'Necesidades Trimestrales'!E10</f>
        <v>ABROCHADORAS DE PAPEL; TIPO: PINZA, P/BROCHES: 10/50, MATERIAL: METALICA, MEDIDA: 10/50</v>
      </c>
      <c r="D12" s="121"/>
      <c r="E12" s="121"/>
      <c r="F12" s="121"/>
      <c r="G12" s="121"/>
      <c r="H12" s="34" t="s">
        <v>61</v>
      </c>
      <c r="I12" s="36" t="str">
        <f>'Necesidades Trimestrales'!F10</f>
        <v>UNIDAD</v>
      </c>
      <c r="J12" s="111">
        <f>'Necesidades Trimestrales'!H10</f>
        <v>1666.74</v>
      </c>
      <c r="K12" s="38">
        <f>'Necesidades Trimestrales'!G10</f>
        <v>30</v>
      </c>
      <c r="O12" s="112"/>
    </row>
    <row r="13" spans="1:15" ht="41.25" customHeight="1" thickBot="1" x14ac:dyDescent="0.25">
      <c r="A13" s="39">
        <v>2</v>
      </c>
      <c r="B13" s="34" t="str">
        <f>'Necesidades Trimestrales'!B11</f>
        <v>2.5.9-267.17</v>
      </c>
      <c r="C13" s="121" t="str">
        <f>'Necesidades Trimestrales'!E11</f>
        <v>ADHESIVOS; SECADO: RAPIDO, TIPO: DE CONTACTO, PRESENTACION: ENVASE X 250 GR, CAPACIDAD: 250 GR</v>
      </c>
      <c r="D13" s="121"/>
      <c r="E13" s="121"/>
      <c r="F13" s="121"/>
      <c r="G13" s="121"/>
      <c r="H13" s="34" t="s">
        <v>61</v>
      </c>
      <c r="I13" s="36" t="str">
        <f>'Necesidades Trimestrales'!F11</f>
        <v>UNIDAD</v>
      </c>
      <c r="J13" s="111">
        <f>'Necesidades Trimestrales'!H11</f>
        <v>160.88999999999999</v>
      </c>
      <c r="K13" s="38">
        <f>'Necesidades Trimestrales'!G11</f>
        <v>350</v>
      </c>
      <c r="O13" s="112"/>
    </row>
    <row r="14" spans="1:15" ht="29.25" customHeight="1" thickBot="1" x14ac:dyDescent="0.25">
      <c r="A14" s="39">
        <v>3</v>
      </c>
      <c r="B14" s="34" t="str">
        <f>'Necesidades Trimestrales'!B12</f>
        <v>2.9.2-700.28</v>
      </c>
      <c r="C14" s="121" t="str">
        <f>'Necesidades Trimestrales'!E12</f>
        <v>BROCHES P/ABROCHADORA; NUMERO: 10/50, PRESENTACION: CAJA X 1000 UNIDADES</v>
      </c>
      <c r="D14" s="121"/>
      <c r="E14" s="121"/>
      <c r="F14" s="121"/>
      <c r="G14" s="121"/>
      <c r="H14" s="34" t="s">
        <v>61</v>
      </c>
      <c r="I14" s="36" t="str">
        <f>'Necesidades Trimestrales'!F12</f>
        <v>UNIDAD</v>
      </c>
      <c r="J14" s="111">
        <f>'Necesidades Trimestrales'!H12</f>
        <v>85</v>
      </c>
      <c r="K14" s="38">
        <f>'Necesidades Trimestrales'!G12</f>
        <v>500</v>
      </c>
      <c r="O14" s="112"/>
    </row>
    <row r="15" spans="1:15" ht="32.25" customHeight="1" thickBot="1" x14ac:dyDescent="0.25">
      <c r="A15" s="39">
        <v>4</v>
      </c>
      <c r="B15" s="34" t="str">
        <f>'Necesidades Trimestrales'!B13</f>
        <v>2.9.2-1358.353</v>
      </c>
      <c r="C15" s="121" t="str">
        <f>'Necesidades Trimestrales'!E13</f>
        <v>CARPETAS; MATERIAL PLASTICO - TAMAÑO A4.</v>
      </c>
      <c r="D15" s="121"/>
      <c r="E15" s="121"/>
      <c r="F15" s="121"/>
      <c r="G15" s="121"/>
      <c r="H15" s="34" t="s">
        <v>61</v>
      </c>
      <c r="I15" s="36" t="str">
        <f>'Necesidades Trimestrales'!F13</f>
        <v>UNIDAD</v>
      </c>
      <c r="J15" s="111">
        <f>'Necesidades Trimestrales'!H13</f>
        <v>67</v>
      </c>
      <c r="K15" s="38">
        <f>'Necesidades Trimestrales'!G13</f>
        <v>300</v>
      </c>
      <c r="O15" s="112"/>
    </row>
    <row r="16" spans="1:15" ht="36.75" customHeight="1" thickBot="1" x14ac:dyDescent="0.25">
      <c r="A16" s="39">
        <v>5</v>
      </c>
      <c r="B16" s="34" t="str">
        <f>'Necesidades Trimestrales'!B14</f>
        <v>2.9.2-1153.9</v>
      </c>
      <c r="C16" s="121" t="str">
        <f>'Necesidades Trimestrales'!E14</f>
        <v>CINTAS ADHESIVAS; ANCHO: 48 mm, LARGO ROLLO: 50 M, MATERIAL: POLIPROPILENO, ACCESORIO: SIN VALOR, TIPO: TRANSPARENTE, LARGO: 50 M</v>
      </c>
      <c r="D16" s="121"/>
      <c r="E16" s="121"/>
      <c r="F16" s="121"/>
      <c r="G16" s="121"/>
      <c r="H16" s="34" t="s">
        <v>61</v>
      </c>
      <c r="I16" s="36" t="str">
        <f>'Necesidades Trimestrales'!F14</f>
        <v>UNIDAD</v>
      </c>
      <c r="J16" s="111">
        <f>'Necesidades Trimestrales'!H14</f>
        <v>134</v>
      </c>
      <c r="K16" s="38">
        <f>'Necesidades Trimestrales'!G14</f>
        <v>200</v>
      </c>
      <c r="O16" s="112"/>
    </row>
    <row r="17" spans="1:1024" ht="38.25" customHeight="1" thickBot="1" x14ac:dyDescent="0.25">
      <c r="A17" s="39">
        <v>6</v>
      </c>
      <c r="B17" s="34" t="str">
        <f>'Necesidades Trimestrales'!B15</f>
        <v>2.9.2-1611.1</v>
      </c>
      <c r="C17" s="121" t="str">
        <f>'Necesidades Trimestrales'!E15</f>
        <v>FOLIOS TRANSPARENTES; MATERIAL: PLASTICO (POLIETILENO), TAMAÑO: OFICIO, PERFORACIONES: 5 UNIVERSALES</v>
      </c>
      <c r="D17" s="121"/>
      <c r="E17" s="121"/>
      <c r="F17" s="121"/>
      <c r="G17" s="121"/>
      <c r="H17" s="34" t="s">
        <v>61</v>
      </c>
      <c r="I17" s="36" t="str">
        <f>'Necesidades Trimestrales'!F15</f>
        <v>UNIDAD</v>
      </c>
      <c r="J17" s="111">
        <f>'Necesidades Trimestrales'!H15</f>
        <v>673.15</v>
      </c>
      <c r="K17" s="38">
        <f>'Necesidades Trimestrales'!G15</f>
        <v>60</v>
      </c>
      <c r="O17" s="112"/>
    </row>
    <row r="18" spans="1:1024" s="14" customFormat="1" ht="38.25" customHeight="1" thickBot="1" x14ac:dyDescent="0.25">
      <c r="A18" s="39">
        <v>7</v>
      </c>
      <c r="B18" s="34" t="str">
        <f>'Necesidades Trimestrales'!B16</f>
        <v>2.9.2-1611.3</v>
      </c>
      <c r="C18" s="121" t="str">
        <f>'Necesidades Trimestrales'!E16</f>
        <v>FOLIOS TRANSPARENTES; TAMAÑO: A-4, PERFORACIONES: 5 UNIVERSALES, MATERIAL: PLASTICO (POLIETILENO)</v>
      </c>
      <c r="D18" s="121"/>
      <c r="E18" s="121"/>
      <c r="F18" s="121"/>
      <c r="G18" s="121"/>
      <c r="H18" s="34" t="s">
        <v>61</v>
      </c>
      <c r="I18" s="36" t="str">
        <f>'Necesidades Trimestrales'!F16</f>
        <v>UNIDAD</v>
      </c>
      <c r="J18" s="111">
        <f>'Necesidades Trimestrales'!H16</f>
        <v>615.89</v>
      </c>
      <c r="K18" s="38">
        <f>'Necesidades Trimestrales'!G16</f>
        <v>60</v>
      </c>
      <c r="L18" s="1"/>
      <c r="M18" s="1"/>
      <c r="N18" s="1"/>
      <c r="O18" s="11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</row>
    <row r="19" spans="1:1024" s="14" customFormat="1" ht="38.25" customHeight="1" thickBot="1" x14ac:dyDescent="0.25">
      <c r="A19" s="39">
        <v>8</v>
      </c>
      <c r="B19" s="34" t="str">
        <f>'Necesidades Trimestrales'!B17</f>
        <v>2.9.2-848.1</v>
      </c>
      <c r="C19" s="121" t="str">
        <f>'Necesidades Trimestrales'!E17</f>
        <v>LAPIZ; COLOR: SIN VALOR, TIPO: CORRECTOR</v>
      </c>
      <c r="D19" s="121"/>
      <c r="E19" s="121"/>
      <c r="F19" s="121"/>
      <c r="G19" s="121"/>
      <c r="H19" s="34" t="s">
        <v>61</v>
      </c>
      <c r="I19" s="36" t="str">
        <f>'Necesidades Trimestrales'!F17</f>
        <v>UNIDAD</v>
      </c>
      <c r="J19" s="111">
        <f>'Necesidades Trimestrales'!H17</f>
        <v>80</v>
      </c>
      <c r="K19" s="38">
        <f>'Necesidades Trimestrales'!G17</f>
        <v>100</v>
      </c>
      <c r="L19" s="1"/>
      <c r="M19" s="1"/>
      <c r="N19" s="1"/>
      <c r="O19" s="1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</row>
    <row r="20" spans="1:1024" s="14" customFormat="1" ht="38.25" customHeight="1" thickBot="1" x14ac:dyDescent="0.25">
      <c r="A20" s="39">
        <v>9</v>
      </c>
      <c r="B20" s="34" t="str">
        <f>'Necesidades Trimestrales'!B18</f>
        <v>2.9.2-317.1</v>
      </c>
      <c r="C20" s="121" t="str">
        <f>'Necesidades Trimestrales'!E18</f>
        <v>BOLIGRAFOS; COLOR TINTA: AZUL, TRAZO: 0,7 mm</v>
      </c>
      <c r="D20" s="121"/>
      <c r="E20" s="121"/>
      <c r="F20" s="121"/>
      <c r="G20" s="121"/>
      <c r="H20" s="34" t="s">
        <v>61</v>
      </c>
      <c r="I20" s="36" t="str">
        <f>'Necesidades Trimestrales'!F18</f>
        <v>UNIDAD</v>
      </c>
      <c r="J20" s="111">
        <f>'Necesidades Trimestrales'!H18</f>
        <v>52</v>
      </c>
      <c r="K20" s="38">
        <f>'Necesidades Trimestrales'!G18</f>
        <v>500</v>
      </c>
      <c r="L20" s="1"/>
      <c r="M20" s="1"/>
      <c r="N20" s="1"/>
      <c r="O20" s="1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</row>
    <row r="21" spans="1:1024" s="14" customFormat="1" ht="38.25" customHeight="1" thickBot="1" x14ac:dyDescent="0.25">
      <c r="A21" s="39">
        <v>10</v>
      </c>
      <c r="B21" s="34" t="str">
        <f>'Necesidades Trimestrales'!B19</f>
        <v>2.9.2-317.17</v>
      </c>
      <c r="C21" s="121" t="str">
        <f>'Necesidades Trimestrales'!E19</f>
        <v>BOLIGRAFOS; TRAZO: GRUESO, COLOR TINTA: NEGRO</v>
      </c>
      <c r="D21" s="121"/>
      <c r="E21" s="121"/>
      <c r="F21" s="121"/>
      <c r="G21" s="121"/>
      <c r="H21" s="34" t="s">
        <v>61</v>
      </c>
      <c r="I21" s="36" t="str">
        <f>'Necesidades Trimestrales'!F19</f>
        <v>UNIDAD</v>
      </c>
      <c r="J21" s="111">
        <f>'Necesidades Trimestrales'!H19</f>
        <v>49.5</v>
      </c>
      <c r="K21" s="38">
        <f>'Necesidades Trimestrales'!G19</f>
        <v>500</v>
      </c>
      <c r="L21" s="1"/>
      <c r="M21" s="1"/>
      <c r="N21" s="1"/>
      <c r="O21" s="11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</row>
    <row r="22" spans="1:1024" s="14" customFormat="1" ht="48" customHeight="1" thickBot="1" x14ac:dyDescent="0.25">
      <c r="A22" s="39">
        <v>11</v>
      </c>
      <c r="B22" s="34" t="str">
        <f>'Necesidades Trimestrales'!B20</f>
        <v>2.3.1-6563.1012</v>
      </c>
      <c r="C22" s="121" t="str">
        <f>'Necesidades Trimestrales'!E20</f>
        <v>PAPELES EN HOJA; TIPO DE PAPEL: ALCALINO, DIMENSION: 210 X 297 mm, GRAMAJE: 80 GR/M2, PRESENTACION: ENVASE X 500 HOJAS, CERTIFICADO FORESTAL (GFS): SIN, PORC. FIBRAS RECICLADAS: 0 %, CERT. FIBRA ALTERNATIVA (FCA): SIN</v>
      </c>
      <c r="D22" s="121"/>
      <c r="E22" s="121"/>
      <c r="F22" s="121"/>
      <c r="G22" s="121"/>
      <c r="H22" s="34" t="s">
        <v>61</v>
      </c>
      <c r="I22" s="36" t="str">
        <f>'Necesidades Trimestrales'!F20</f>
        <v>UNIDAD</v>
      </c>
      <c r="J22" s="111">
        <f>'Necesidades Trimestrales'!H20</f>
        <v>732.82</v>
      </c>
      <c r="K22" s="38">
        <f>'Necesidades Trimestrales'!G20</f>
        <v>955</v>
      </c>
      <c r="L22" s="1"/>
      <c r="M22" s="1"/>
      <c r="N22" s="1"/>
      <c r="O22" s="11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</row>
    <row r="23" spans="1:1024" s="14" customFormat="1" ht="38.25" customHeight="1" thickBot="1" x14ac:dyDescent="0.25">
      <c r="A23" s="39">
        <v>12</v>
      </c>
      <c r="B23" s="34" t="str">
        <f>'Necesidades Trimestrales'!B21</f>
        <v>2.3.1-6563.1008</v>
      </c>
      <c r="C23" s="121" t="str">
        <f>'Necesidades Trimestrales'!E21</f>
        <v>PAPELES EN HOJA; TIPO DE PAPEL: ALCALINO, DIMENSION: 216 X 356 mm, GRAMAJE: 80 GR, PRESENTACION: RESMA X 500 HOJAS, CERTIFICADO FORESTAL (GFS): CON, PORC. FIBRAS RECICLADAS: 0 %, CERT. FIBRA ALTERNATIVA (FCA): CON</v>
      </c>
      <c r="D23" s="121"/>
      <c r="E23" s="121"/>
      <c r="F23" s="121"/>
      <c r="G23" s="121"/>
      <c r="H23" s="34" t="s">
        <v>61</v>
      </c>
      <c r="I23" s="36" t="str">
        <f>'Necesidades Trimestrales'!F21</f>
        <v>UNIDAD</v>
      </c>
      <c r="J23" s="111">
        <f>'Necesidades Trimestrales'!H21</f>
        <v>901.51</v>
      </c>
      <c r="K23" s="38">
        <f>'Necesidades Trimestrales'!G21</f>
        <v>940</v>
      </c>
      <c r="L23" s="1"/>
      <c r="M23" s="1"/>
      <c r="N23" s="1"/>
      <c r="O23" s="11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</row>
    <row r="24" spans="1:1024" s="14" customFormat="1" ht="38.25" customHeight="1" thickBot="1" x14ac:dyDescent="0.25">
      <c r="A24" s="39">
        <v>13</v>
      </c>
      <c r="B24" s="34" t="str">
        <f>'Necesidades Trimestrales'!B22</f>
        <v>2.3.1-6590.532</v>
      </c>
      <c r="C24" s="121" t="str">
        <f>'Necesidades Trimestrales'!E22</f>
        <v>SOBRES DE PAPEL; TIPO: MADERA, TAMAÑO: A4, GRAMAJE: 80 GR/M2, PRESENTACION: ENVASE X 100 UN, CERTIFICADO FORESTAL (GFS): SIN, PORC. FIBRAS RECICLADAS: 0 %, CERT. FIBRA ALTERNATIVA (FCA): SIN</v>
      </c>
      <c r="D24" s="121"/>
      <c r="E24" s="121"/>
      <c r="F24" s="121"/>
      <c r="G24" s="121"/>
      <c r="H24" s="34" t="s">
        <v>61</v>
      </c>
      <c r="I24" s="36" t="str">
        <f>'Necesidades Trimestrales'!F22</f>
        <v>UNIDAD</v>
      </c>
      <c r="J24" s="111">
        <f>'Necesidades Trimestrales'!H22</f>
        <v>810.25</v>
      </c>
      <c r="K24" s="38">
        <f>'Necesidades Trimestrales'!G22</f>
        <v>50</v>
      </c>
      <c r="L24" s="1"/>
      <c r="M24" s="1"/>
      <c r="N24" s="1"/>
      <c r="O24" s="11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</row>
    <row r="25" spans="1:1024" s="14" customFormat="1" ht="38.25" customHeight="1" thickBot="1" x14ac:dyDescent="0.25">
      <c r="A25" s="39">
        <v>14</v>
      </c>
      <c r="B25" s="34" t="str">
        <f>'Necesidades Trimestrales'!B23</f>
        <v>2.3.1-6590.226</v>
      </c>
      <c r="C25" s="121" t="str">
        <f>'Necesidades Trimestrales'!E23</f>
        <v>SOBRES DE PAPEL; TIPO: MADERA, TAMAÑO: OFICIO, GRAMAJE: 80 GR/M2, PRESENTACION: CAJA X 100</v>
      </c>
      <c r="D25" s="121"/>
      <c r="E25" s="121"/>
      <c r="F25" s="121"/>
      <c r="G25" s="121"/>
      <c r="H25" s="34" t="s">
        <v>61</v>
      </c>
      <c r="I25" s="36" t="str">
        <f>'Necesidades Trimestrales'!F23</f>
        <v>UNIDAD</v>
      </c>
      <c r="J25" s="111">
        <f>'Necesidades Trimestrales'!H23</f>
        <v>1350.77</v>
      </c>
      <c r="K25" s="38">
        <f>'Necesidades Trimestrales'!G23</f>
        <v>50</v>
      </c>
      <c r="L25" s="1"/>
      <c r="M25" s="1"/>
      <c r="N25" s="1"/>
      <c r="O25" s="11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</row>
    <row r="26" spans="1:1024" s="14" customFormat="1" ht="38.25" customHeight="1" thickBot="1" x14ac:dyDescent="0.25">
      <c r="A26" s="39">
        <v>15</v>
      </c>
      <c r="B26" s="34" t="str">
        <f>'Necesidades Trimestrales'!B24</f>
        <v>2.9.2-661.51</v>
      </c>
      <c r="C26" s="121" t="str">
        <f>'Necesidades Trimestrales'!E24</f>
        <v>GOMAS DE BORRAR; USO: LAPIZ, DIMENSION: 1 X 1 X 5 Cm, MATERIAL: CAUCHO, PRESENTACION: UNIDAD</v>
      </c>
      <c r="D26" s="121"/>
      <c r="E26" s="121"/>
      <c r="F26" s="121"/>
      <c r="G26" s="121"/>
      <c r="H26" s="34" t="s">
        <v>61</v>
      </c>
      <c r="I26" s="36" t="str">
        <f>'Necesidades Trimestrales'!F24</f>
        <v>UNIDAD</v>
      </c>
      <c r="J26" s="111">
        <f>'Necesidades Trimestrales'!H24</f>
        <v>30</v>
      </c>
      <c r="K26" s="38">
        <f>'Necesidades Trimestrales'!G24</f>
        <v>150</v>
      </c>
      <c r="L26" s="1"/>
      <c r="M26" s="1"/>
      <c r="N26" s="1"/>
      <c r="O26" s="11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</row>
    <row r="27" spans="1:1024" s="14" customFormat="1" ht="38.25" customHeight="1" thickBot="1" x14ac:dyDescent="0.25">
      <c r="A27" s="39">
        <v>16</v>
      </c>
      <c r="B27" s="34" t="str">
        <f>'Necesidades Trimestrales'!B25</f>
        <v>2.9.2-850.1</v>
      </c>
      <c r="C27" s="121" t="str">
        <f>'Necesidades Trimestrales'!E25</f>
        <v>CAJAS DE ARCHIVO; DIMENSION: 26.5 X 38 X 9 Cm, COLOR: AZUL, MATERIAL: PLASTICO</v>
      </c>
      <c r="D27" s="121"/>
      <c r="E27" s="121"/>
      <c r="F27" s="121"/>
      <c r="G27" s="121"/>
      <c r="H27" s="34" t="s">
        <v>61</v>
      </c>
      <c r="I27" s="36" t="str">
        <f>'Necesidades Trimestrales'!F25</f>
        <v>UNIDAD</v>
      </c>
      <c r="J27" s="111">
        <f>'Necesidades Trimestrales'!H25</f>
        <v>387.2</v>
      </c>
      <c r="K27" s="38">
        <f>'Necesidades Trimestrales'!G25</f>
        <v>150</v>
      </c>
      <c r="L27" s="1"/>
      <c r="M27" s="1"/>
      <c r="N27" s="1"/>
      <c r="O27" s="11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</row>
    <row r="28" spans="1:1024" s="14" customFormat="1" ht="38.25" customHeight="1" thickBot="1" x14ac:dyDescent="0.25">
      <c r="A28" s="39">
        <v>17</v>
      </c>
      <c r="B28" s="34" t="str">
        <f>'Necesidades Trimestrales'!B26</f>
        <v>2.9.2-274.65</v>
      </c>
      <c r="C28" s="121" t="str">
        <f>'Necesidades Trimestrales'!E26</f>
        <v>BIBLIORATOS; ANCHO: 10 Cm, ANILLO: 2 Y PALANCA, TAMAÑO: A4, MATERIAL: CARTON</v>
      </c>
      <c r="D28" s="121"/>
      <c r="E28" s="121"/>
      <c r="F28" s="121"/>
      <c r="G28" s="121"/>
      <c r="H28" s="34" t="s">
        <v>61</v>
      </c>
      <c r="I28" s="36" t="str">
        <f>'Necesidades Trimestrales'!F26</f>
        <v>UNIDAD</v>
      </c>
      <c r="J28" s="111">
        <f>'Necesidades Trimestrales'!H26</f>
        <v>311.7</v>
      </c>
      <c r="K28" s="38">
        <f>'Necesidades Trimestrales'!G26</f>
        <v>150</v>
      </c>
      <c r="L28" s="1"/>
      <c r="M28" s="1"/>
      <c r="N28" s="1"/>
      <c r="O28" s="11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</row>
    <row r="29" spans="1:1024" ht="27.75" customHeight="1" thickBot="1" x14ac:dyDescent="0.25">
      <c r="A29" s="39">
        <v>18</v>
      </c>
      <c r="B29" s="34" t="str">
        <f>'Necesidades Trimestrales'!B27</f>
        <v>2.9.2-274.3</v>
      </c>
      <c r="C29" s="121" t="str">
        <f>'Necesidades Trimestrales'!E27</f>
        <v>BIBLIORATOS; ANCHO 80mm - ANILLO 2 Y PALANCA - TAMAÑO OFICIO - MATERIAL CARTON</v>
      </c>
      <c r="D29" s="121"/>
      <c r="E29" s="121"/>
      <c r="F29" s="121"/>
      <c r="G29" s="121"/>
      <c r="H29" s="40" t="s">
        <v>61</v>
      </c>
      <c r="I29" s="36" t="str">
        <f>'Necesidades Trimestrales'!F27</f>
        <v>UNIDAD</v>
      </c>
      <c r="J29" s="111">
        <f>'Necesidades Trimestrales'!H27</f>
        <v>311.7</v>
      </c>
      <c r="K29" s="38">
        <f>'Necesidades Trimestrales'!G27</f>
        <v>150</v>
      </c>
      <c r="O29" s="112"/>
    </row>
    <row r="30" spans="1:1024" s="14" customFormat="1" ht="27.75" customHeight="1" thickBot="1" x14ac:dyDescent="0.25">
      <c r="A30" s="39">
        <v>19</v>
      </c>
      <c r="B30" s="34" t="str">
        <f>'Necesidades Trimestrales'!B28</f>
        <v>2.9.2-660.47</v>
      </c>
      <c r="C30" s="121" t="str">
        <f>'Necesidades Trimestrales'!E28</f>
        <v>CLIPS P/PAPEL; NUMERO: 8, MATERIAL: METAL, PRESENTACION: CAJA X 50 UN</v>
      </c>
      <c r="D30" s="121"/>
      <c r="E30" s="121"/>
      <c r="F30" s="121"/>
      <c r="G30" s="121"/>
      <c r="H30" s="34" t="s">
        <v>61</v>
      </c>
      <c r="I30" s="36" t="str">
        <f>'Necesidades Trimestrales'!F28</f>
        <v>UNIDAD</v>
      </c>
      <c r="J30" s="111">
        <f>'Necesidades Trimestrales'!H28</f>
        <v>298.3</v>
      </c>
      <c r="K30" s="38">
        <f>'Necesidades Trimestrales'!G28</f>
        <v>500</v>
      </c>
      <c r="L30" s="1"/>
      <c r="M30" s="1"/>
      <c r="N30" s="1"/>
      <c r="O30" s="11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</row>
    <row r="31" spans="1:1024" s="14" customFormat="1" ht="27.75" customHeight="1" thickBot="1" x14ac:dyDescent="0.25">
      <c r="A31" s="39">
        <v>20</v>
      </c>
      <c r="B31" s="34" t="str">
        <f>'Necesidades Trimestrales'!B29</f>
        <v>2.3.1-928.8</v>
      </c>
      <c r="C31" s="121" t="str">
        <f>'Necesidades Trimestrales'!E29</f>
        <v>ARANDELAS DE CARTON; DIAMETRO: 1 pulg, PRESENTACION: CAJA X 500 UNIDADES</v>
      </c>
      <c r="D31" s="121"/>
      <c r="E31" s="121"/>
      <c r="F31" s="121"/>
      <c r="G31" s="121"/>
      <c r="H31" s="34" t="s">
        <v>61</v>
      </c>
      <c r="I31" s="36" t="str">
        <f>'Necesidades Trimestrales'!F29</f>
        <v>UNIDAD</v>
      </c>
      <c r="J31" s="111">
        <f>'Necesidades Trimestrales'!H29</f>
        <v>330</v>
      </c>
      <c r="K31" s="38">
        <f>'Necesidades Trimestrales'!G29</f>
        <v>250</v>
      </c>
      <c r="L31" s="1"/>
      <c r="M31" s="1"/>
      <c r="N31" s="1"/>
      <c r="O31" s="11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</row>
    <row r="32" spans="1:1024" s="14" customFormat="1" ht="27.75" customHeight="1" thickBot="1" x14ac:dyDescent="0.25">
      <c r="A32" s="39">
        <v>21</v>
      </c>
      <c r="B32" s="34" t="str">
        <f>'Necesidades Trimestrales'!B30</f>
        <v>2.9.2-852.4</v>
      </c>
      <c r="C32" s="121" t="str">
        <f>'Necesidades Trimestrales'!E30</f>
        <v>BROCHES DORADOS; PRESENTACION: CAJA X 100 UNIDADES, N° PATAS: 2, N°: 8, CANTIDAD PATAS: 2, NUMERO: 8</v>
      </c>
      <c r="D32" s="121"/>
      <c r="E32" s="121"/>
      <c r="F32" s="121"/>
      <c r="G32" s="121"/>
      <c r="H32" s="40" t="s">
        <v>61</v>
      </c>
      <c r="I32" s="36" t="str">
        <f>'Necesidades Trimestrales'!F30</f>
        <v>UNIDAD</v>
      </c>
      <c r="J32" s="111">
        <f>'Necesidades Trimestrales'!H30</f>
        <v>190.75</v>
      </c>
      <c r="K32" s="38">
        <f>'Necesidades Trimestrales'!G30</f>
        <v>500</v>
      </c>
      <c r="L32" s="1"/>
      <c r="M32" s="1"/>
      <c r="N32" s="1"/>
      <c r="O32" s="11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</row>
    <row r="33" spans="1:1024" s="14" customFormat="1" ht="27.75" customHeight="1" thickBot="1" x14ac:dyDescent="0.25">
      <c r="A33" s="39">
        <v>22</v>
      </c>
      <c r="B33" s="34" t="str">
        <f>'Necesidades Trimestrales'!B31</f>
        <v>2.9.2-852.3</v>
      </c>
      <c r="C33" s="121" t="str">
        <f>'Necesidades Trimestrales'!E31</f>
        <v>BROCHES DORADOS; N°: 6, N° PATAS: 2, PRESENTACION: CAJA X 100 UNIDADES, CANTIDAD PATAS: 2, NUMERO: 6</v>
      </c>
      <c r="D33" s="121"/>
      <c r="E33" s="121"/>
      <c r="F33" s="121"/>
      <c r="G33" s="121"/>
      <c r="H33" s="34" t="s">
        <v>61</v>
      </c>
      <c r="I33" s="36" t="str">
        <f>'Necesidades Trimestrales'!F31</f>
        <v>UNIDAD</v>
      </c>
      <c r="J33" s="111">
        <f>'Necesidades Trimestrales'!H31</f>
        <v>99.1</v>
      </c>
      <c r="K33" s="38">
        <f>'Necesidades Trimestrales'!G31</f>
        <v>500</v>
      </c>
      <c r="L33" s="1"/>
      <c r="M33" s="1"/>
      <c r="N33" s="1"/>
      <c r="O33" s="11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</row>
    <row r="34" spans="1:1024" s="14" customFormat="1" ht="27.75" customHeight="1" thickBot="1" x14ac:dyDescent="0.25">
      <c r="A34" s="39">
        <v>23</v>
      </c>
      <c r="B34" s="34" t="str">
        <f>'Necesidades Trimestrales'!B32</f>
        <v>2.3.1-6587.306</v>
      </c>
      <c r="C34" s="121" t="str">
        <f>'Necesidades Trimestrales'!E32</f>
        <v>PAPELES ENCUADERNADOS; CANT. DE HOJAS: 100 HOJAS, TAMAÑO: A4, TIPO: LIBRO DE ACTAS, CERTIFICADO FORESTAL (GFS): SIN, PORC. FIBRAS RECICLADAS: 0 %, CERT. FIBRA ALTERNATIVA (FCA): SIN</v>
      </c>
      <c r="D34" s="121"/>
      <c r="E34" s="121"/>
      <c r="F34" s="121"/>
      <c r="G34" s="121"/>
      <c r="H34" s="34" t="s">
        <v>61</v>
      </c>
      <c r="I34" s="36" t="str">
        <f>'Necesidades Trimestrales'!F32</f>
        <v>UNIDAD</v>
      </c>
      <c r="J34" s="111">
        <f>'Necesidades Trimestrales'!H32</f>
        <v>850.98</v>
      </c>
      <c r="K34" s="38">
        <f>'Necesidades Trimestrales'!G32</f>
        <v>150</v>
      </c>
      <c r="L34" s="1"/>
      <c r="M34" s="1"/>
      <c r="N34" s="1"/>
      <c r="O34" s="11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</row>
    <row r="35" spans="1:1024" s="14" customFormat="1" ht="27.75" customHeight="1" thickBot="1" x14ac:dyDescent="0.25">
      <c r="A35" s="39">
        <v>24</v>
      </c>
      <c r="B35" s="34" t="str">
        <f>'Necesidades Trimestrales'!B33</f>
        <v>2.9.2-1354.31</v>
      </c>
      <c r="C35" s="121" t="str">
        <f>'Necesidades Trimestrales'!E33</f>
        <v>RESALTADORES; ACCESORIO: ESTUCHE DE PLASTICO, TIPO PUNTA: BISELADA</v>
      </c>
      <c r="D35" s="121"/>
      <c r="E35" s="121"/>
      <c r="F35" s="121"/>
      <c r="G35" s="121"/>
      <c r="H35" s="40" t="s">
        <v>61</v>
      </c>
      <c r="I35" s="36" t="str">
        <f>'Necesidades Trimestrales'!F33</f>
        <v>UNIDAD</v>
      </c>
      <c r="J35" s="111">
        <f>'Necesidades Trimestrales'!H33</f>
        <v>65.38</v>
      </c>
      <c r="K35" s="38">
        <f>'Necesidades Trimestrales'!G33</f>
        <v>350</v>
      </c>
      <c r="L35" s="1"/>
      <c r="M35" s="1"/>
      <c r="N35" s="1"/>
      <c r="O35" s="11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</row>
    <row r="36" spans="1:1024" ht="30.75" hidden="1" customHeight="1" thickBot="1" x14ac:dyDescent="0.25">
      <c r="A36" s="42">
        <v>9</v>
      </c>
      <c r="B36" s="35" t="e">
        <f>'Necesidades Trimestrales'!#REF!</f>
        <v>#REF!</v>
      </c>
      <c r="C36" s="121" t="e">
        <f>'Necesidades Trimestrales'!#REF!</f>
        <v>#REF!</v>
      </c>
      <c r="D36" s="121"/>
      <c r="E36" s="121"/>
      <c r="F36" s="121"/>
      <c r="G36" s="121"/>
      <c r="H36" s="40" t="s">
        <v>61</v>
      </c>
      <c r="I36" s="41" t="s">
        <v>14</v>
      </c>
      <c r="J36" s="37" t="e">
        <f>'Necesidades Trimestrales'!#REF!</f>
        <v>#REF!</v>
      </c>
      <c r="K36" s="38" t="e">
        <f>'Necesidades Trimestrales'!#REF!</f>
        <v>#REF!</v>
      </c>
    </row>
    <row r="37" spans="1:1024" ht="26.25" customHeight="1" thickBot="1" x14ac:dyDescent="0.25">
      <c r="A37" s="122" t="s">
        <v>116</v>
      </c>
      <c r="B37" s="122"/>
      <c r="C37" s="122"/>
      <c r="D37" s="122"/>
      <c r="E37" s="122"/>
      <c r="F37" s="122"/>
      <c r="G37" s="122"/>
      <c r="H37" s="122"/>
      <c r="I37" s="122"/>
      <c r="J37" s="123">
        <v>2670314.6</v>
      </c>
      <c r="K37" s="123"/>
      <c r="O37" s="112"/>
    </row>
  </sheetData>
  <mergeCells count="47">
    <mergeCell ref="C35:G35"/>
    <mergeCell ref="C30:G30"/>
    <mergeCell ref="C31:G31"/>
    <mergeCell ref="C32:G32"/>
    <mergeCell ref="C33:G33"/>
    <mergeCell ref="C34:G3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7:I37"/>
    <mergeCell ref="J37:K37"/>
    <mergeCell ref="C12:G12"/>
    <mergeCell ref="C13:G13"/>
    <mergeCell ref="C14:G14"/>
    <mergeCell ref="C15:G15"/>
    <mergeCell ref="C16:G16"/>
    <mergeCell ref="C17:G17"/>
    <mergeCell ref="C29:G29"/>
    <mergeCell ref="C36:G36"/>
    <mergeCell ref="C23:G23"/>
    <mergeCell ref="C24:G24"/>
    <mergeCell ref="C25:G25"/>
    <mergeCell ref="C26:G26"/>
    <mergeCell ref="C27:G27"/>
    <mergeCell ref="C28:G28"/>
    <mergeCell ref="C22:G22"/>
    <mergeCell ref="C18:G18"/>
    <mergeCell ref="C19:G19"/>
    <mergeCell ref="C20:G20"/>
    <mergeCell ref="C21:G21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opLeftCell="A7" zoomScale="130" zoomScaleNormal="130" workbookViewId="0">
      <selection activeCell="G31" sqref="G3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4" width="4.42578125" customWidth="1"/>
    <col min="15" max="15" width="14.85546875" customWidth="1"/>
    <col min="16" max="16" width="17.28515625" customWidth="1"/>
    <col min="17" max="17" width="13.28515625" bestFit="1" customWidth="1"/>
  </cols>
  <sheetData>
    <row r="1" spans="1:17" ht="15.75" customHeight="1" x14ac:dyDescent="0.25">
      <c r="A1" s="158" t="s">
        <v>3</v>
      </c>
      <c r="B1" s="158"/>
      <c r="C1" s="158"/>
      <c r="D1" s="159">
        <f>'Necesidades Trimestrales'!C6</f>
        <v>2021</v>
      </c>
      <c r="E1" s="159"/>
      <c r="F1" s="43"/>
      <c r="G1" s="43"/>
      <c r="H1" s="44"/>
      <c r="I1" s="44"/>
      <c r="J1" s="44"/>
      <c r="K1" s="44"/>
      <c r="L1" s="44"/>
      <c r="M1" s="44"/>
      <c r="N1" s="44"/>
      <c r="O1" s="45"/>
      <c r="P1" s="160" t="s">
        <v>31</v>
      </c>
      <c r="Q1" s="160"/>
    </row>
    <row r="2" spans="1:17" ht="15.75" customHeight="1" x14ac:dyDescent="0.2">
      <c r="A2" s="45"/>
      <c r="B2" s="45"/>
      <c r="C2" s="45"/>
      <c r="D2" s="45"/>
      <c r="E2" s="45"/>
      <c r="F2" s="45"/>
      <c r="G2" s="46"/>
      <c r="H2" s="44"/>
      <c r="I2" s="44"/>
      <c r="J2" s="44"/>
      <c r="K2" s="44"/>
      <c r="L2" s="44"/>
      <c r="M2" s="44"/>
      <c r="N2" s="44"/>
      <c r="O2" s="45"/>
      <c r="P2" s="160"/>
      <c r="Q2" s="160"/>
    </row>
    <row r="3" spans="1:17" x14ac:dyDescent="0.2">
      <c r="A3" s="45"/>
      <c r="B3" s="45"/>
      <c r="C3" s="45"/>
      <c r="D3" s="45"/>
      <c r="E3" s="45"/>
      <c r="F3" s="45"/>
      <c r="G3" s="46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s="3" customFormat="1" ht="18" customHeight="1" thickBot="1" x14ac:dyDescent="0.25">
      <c r="A4" s="161" t="s">
        <v>32</v>
      </c>
      <c r="B4" s="161"/>
      <c r="C4" s="161"/>
      <c r="D4" s="161"/>
      <c r="E4" s="161"/>
      <c r="F4" s="161"/>
      <c r="G4" s="156" t="str">
        <f>' NotaPedido'!D3</f>
        <v>45- Ministerio de Desarrollo Social y Deporte.-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3" customFormat="1" ht="18" customHeight="1" thickBot="1" x14ac:dyDescent="0.25">
      <c r="A5" s="153" t="s">
        <v>55</v>
      </c>
      <c r="B5" s="154"/>
      <c r="C5" s="154"/>
      <c r="D5" s="154"/>
      <c r="E5" s="154"/>
      <c r="F5" s="155"/>
      <c r="G5" s="156" t="str">
        <f>' NotaPedido'!D4</f>
        <v>25- Direccion Provincial de Gestion Administracion y RRHH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3" customFormat="1" ht="18" customHeight="1" thickBot="1" x14ac:dyDescent="0.25">
      <c r="A6" s="153" t="s">
        <v>33</v>
      </c>
      <c r="B6" s="154"/>
      <c r="C6" s="154"/>
      <c r="D6" s="154"/>
      <c r="E6" s="154"/>
      <c r="F6" s="155"/>
      <c r="G6" s="156" t="s">
        <v>114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s="3" customFormat="1" ht="18" customHeight="1" thickBot="1" x14ac:dyDescent="0.25">
      <c r="A7" s="153" t="s">
        <v>56</v>
      </c>
      <c r="B7" s="154"/>
      <c r="C7" s="154"/>
      <c r="D7" s="154"/>
      <c r="E7" s="154"/>
      <c r="F7" s="155"/>
      <c r="G7" s="156" t="s">
        <v>122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 x14ac:dyDescent="0.25">
      <c r="A8" s="157" t="s">
        <v>34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 x14ac:dyDescent="0.2">
      <c r="A9" s="147" t="s">
        <v>35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47"/>
      <c r="P9" s="47"/>
      <c r="Q9" s="48"/>
    </row>
    <row r="10" spans="1:17" ht="54.75" customHeight="1" x14ac:dyDescent="0.2">
      <c r="A10" s="14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431/2021,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x14ac:dyDescent="0.2">
      <c r="A11" s="49"/>
      <c r="B11" s="50"/>
      <c r="C11" s="50"/>
      <c r="D11" s="50"/>
      <c r="E11" s="50"/>
      <c r="F11" s="50"/>
      <c r="G11" s="51"/>
      <c r="H11" s="50"/>
      <c r="I11" s="50"/>
      <c r="J11" s="50"/>
      <c r="K11" s="50"/>
      <c r="L11" s="50"/>
      <c r="M11" s="50"/>
      <c r="N11" s="50"/>
      <c r="O11" s="50"/>
      <c r="P11" s="50"/>
      <c r="Q11" s="52"/>
    </row>
    <row r="12" spans="1:17" ht="15.75" customHeight="1" x14ac:dyDescent="0.2">
      <c r="A12" s="149" t="s">
        <v>36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x14ac:dyDescent="0.2">
      <c r="A13" s="150" t="s">
        <v>37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38</v>
      </c>
      <c r="P13" s="151"/>
      <c r="Q13" s="152" t="s">
        <v>39</v>
      </c>
    </row>
    <row r="14" spans="1:17" ht="15.75" customHeight="1" x14ac:dyDescent="0.2">
      <c r="A14" s="53" t="s">
        <v>40</v>
      </c>
      <c r="B14" s="54" t="s">
        <v>41</v>
      </c>
      <c r="C14" s="54" t="s">
        <v>42</v>
      </c>
      <c r="D14" s="54" t="s">
        <v>43</v>
      </c>
      <c r="E14" s="54" t="s">
        <v>44</v>
      </c>
      <c r="F14" s="54" t="s">
        <v>45</v>
      </c>
      <c r="G14" s="55" t="s">
        <v>46</v>
      </c>
      <c r="H14" s="54" t="s">
        <v>47</v>
      </c>
      <c r="I14" s="54" t="s">
        <v>48</v>
      </c>
      <c r="J14" s="54" t="s">
        <v>49</v>
      </c>
      <c r="K14" s="54" t="s">
        <v>49</v>
      </c>
      <c r="L14" s="54" t="s">
        <v>50</v>
      </c>
      <c r="M14" s="56" t="s">
        <v>51</v>
      </c>
      <c r="N14" s="57" t="s">
        <v>52</v>
      </c>
      <c r="O14" s="151"/>
      <c r="P14" s="151"/>
      <c r="Q14" s="152"/>
    </row>
    <row r="15" spans="1:17" ht="21" customHeight="1" x14ac:dyDescent="0.2">
      <c r="A15" s="20">
        <v>1</v>
      </c>
      <c r="B15" s="21"/>
      <c r="C15" s="21"/>
      <c r="D15" s="21">
        <v>1</v>
      </c>
      <c r="E15" s="21"/>
      <c r="F15" s="21">
        <v>4901</v>
      </c>
      <c r="G15" s="21">
        <v>3</v>
      </c>
      <c r="H15" s="21">
        <v>2</v>
      </c>
      <c r="I15" s="22" t="str">
        <f>LEFT('[1]Necesidades Trimestrales'!D10,1)</f>
        <v>2</v>
      </c>
      <c r="J15" s="22">
        <v>3</v>
      </c>
      <c r="K15" s="22">
        <v>1</v>
      </c>
      <c r="L15" s="22"/>
      <c r="M15" s="23">
        <v>1</v>
      </c>
      <c r="N15" s="113" t="s">
        <v>124</v>
      </c>
      <c r="O15" s="137" t="s">
        <v>118</v>
      </c>
      <c r="P15" s="138"/>
      <c r="Q15" s="58">
        <v>1865460.5</v>
      </c>
    </row>
    <row r="16" spans="1:17" ht="17.25" customHeight="1" x14ac:dyDescent="0.2">
      <c r="A16" s="24">
        <v>1</v>
      </c>
      <c r="B16" s="24"/>
      <c r="C16" s="24"/>
      <c r="D16" s="24">
        <v>1</v>
      </c>
      <c r="E16" s="24"/>
      <c r="F16" s="24">
        <v>4901</v>
      </c>
      <c r="G16" s="24">
        <v>3</v>
      </c>
      <c r="H16" s="24">
        <v>2</v>
      </c>
      <c r="I16" s="25">
        <v>2</v>
      </c>
      <c r="J16" s="26">
        <v>5</v>
      </c>
      <c r="K16" s="26">
        <v>9</v>
      </c>
      <c r="L16" s="27"/>
      <c r="M16" s="24">
        <v>1</v>
      </c>
      <c r="N16" s="114" t="s">
        <v>124</v>
      </c>
      <c r="O16" s="139" t="s">
        <v>119</v>
      </c>
      <c r="P16" s="140"/>
      <c r="Q16" s="59">
        <v>56311.5</v>
      </c>
    </row>
    <row r="17" spans="1:17" ht="17.25" customHeight="1" x14ac:dyDescent="0.2">
      <c r="A17" s="24">
        <v>1</v>
      </c>
      <c r="B17" s="24"/>
      <c r="C17" s="24"/>
      <c r="D17" s="24">
        <v>1</v>
      </c>
      <c r="E17" s="24"/>
      <c r="F17" s="24">
        <v>4901</v>
      </c>
      <c r="G17" s="24">
        <v>3</v>
      </c>
      <c r="H17" s="24">
        <v>2</v>
      </c>
      <c r="I17" s="25">
        <v>2</v>
      </c>
      <c r="J17" s="26">
        <v>9</v>
      </c>
      <c r="K17" s="26">
        <v>2</v>
      </c>
      <c r="L17" s="27"/>
      <c r="M17" s="24">
        <v>1</v>
      </c>
      <c r="N17" s="114" t="s">
        <v>124</v>
      </c>
      <c r="O17" s="141" t="s">
        <v>120</v>
      </c>
      <c r="P17" s="142"/>
      <c r="Q17" s="60">
        <v>748542.6</v>
      </c>
    </row>
    <row r="18" spans="1:17" ht="17.25" customHeight="1" thickBot="1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  <c r="N18" s="62"/>
      <c r="O18" s="133"/>
      <c r="P18" s="133"/>
      <c r="Q18" s="64"/>
    </row>
    <row r="19" spans="1:17" ht="32.25" customHeight="1" x14ac:dyDescent="0.2">
      <c r="A19" s="134" t="s">
        <v>117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65">
        <f>SUM(Q15:Q18)</f>
        <v>2670314.6</v>
      </c>
    </row>
    <row r="20" spans="1:17" ht="18" customHeight="1" thickBot="1" x14ac:dyDescent="0.2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</row>
    <row r="21" spans="1:17" ht="17.25" customHeight="1" thickBot="1" x14ac:dyDescent="0.25">
      <c r="A21" s="143" t="s">
        <v>53</v>
      </c>
      <c r="B21" s="144"/>
      <c r="C21" s="144"/>
      <c r="D21" s="144"/>
      <c r="E21" s="144"/>
      <c r="F21" s="145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</row>
    <row r="22" spans="1:17" ht="18" customHeight="1" thickBot="1" x14ac:dyDescent="0.25">
      <c r="A22" s="132" t="s">
        <v>115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</row>
    <row r="23" spans="1:17" ht="24" customHeight="1" x14ac:dyDescent="0.2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22:Q23"/>
    <mergeCell ref="O18:P18"/>
    <mergeCell ref="A19:P19"/>
    <mergeCell ref="A20:Q20"/>
    <mergeCell ref="O15:P15"/>
    <mergeCell ref="O16:P16"/>
    <mergeCell ref="O17:P17"/>
    <mergeCell ref="A21:F21"/>
    <mergeCell ref="G21:Q21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2021-04-07T14:37:34Z</cp:lastPrinted>
  <dcterms:created xsi:type="dcterms:W3CDTF">2020-07-17T23:44:49Z</dcterms:created>
  <dcterms:modified xsi:type="dcterms:W3CDTF">2021-08-11T14:34:43Z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