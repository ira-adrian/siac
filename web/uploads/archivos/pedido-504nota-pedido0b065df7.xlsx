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9529B3A-6C6B-4770-818A-F7C0A6BE7C7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Q23" i="3" l="1"/>
  <c r="K12" i="2" l="1"/>
  <c r="I10" i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<sst xmlns="http://schemas.openxmlformats.org/spreadsheetml/2006/main" count="84" uniqueCount="74">
  <si>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</si>
  <si>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</si>
  <si>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</si>
  <si>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</si>
  <si>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</si>
  <si>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</si>
  <si>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</si>
  <si>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</si>
  <si>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</si>
  <si>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</si>
  <si>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</si>
  <si>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</si>
  <si>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</si>
  <si>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</si>
  <si>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</si>
  <si>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</si>
  <si>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</si>
  <si>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</si>
  <si>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</si>
  <si>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</si>
  <si>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</si>
  <si>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</si>
  <si>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</si>
  <si>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</si>
  <si>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</si>
  <si>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</si>
  <si>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</si>
  <si>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</si>
  <si>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</si>
  <si>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</si>
  <si>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</si>
  <si>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</si>
  <si>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</si>
  <si>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</si>
  <si>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</si>
  <si>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</si>
  <si>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</si>
  <si>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</si>
  <si>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</si>
  <si>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</si>
  <si>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</si>
  <si>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</si>
  <si>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</si>
  <si>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</si>
  <si>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</si>
  <si>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</si>
  <si>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</si>
  <si>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</si>
  <si>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</si>
  <si>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</si>
  <si>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</si>
  <si>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</si>
  <si>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</si>
  <si>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</si>
  <si>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</si>
  <si>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</si>
  <si>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</si>
  <si>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</si>
  <si>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</si>
  <si>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</si>
  <si>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</si>
  <si>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COMBUSTIBLES Y LUBRICANTES</t>
  </si>
  <si>
    <t>LITROS</t>
  </si>
  <si>
    <t>NO</t>
  </si>
  <si>
    <t>2.5.6-793.31</t>
  </si>
  <si>
    <t>GAS OIL; PRESENTACION: POR LITRO, USO: MOTORES DIESEL, COMERCIALIZACION: GRADO 3, DESTINO: DPTO. S.F.V. DE CATAMARCA</t>
  </si>
  <si>
    <t>30 dias corridos.-</t>
  </si>
  <si>
    <t>Se sugiere la entrega de Vales de 10 litros. Cuando la cantidad adjudicada no permita la confeccion de dicho vale se podra confeccionar un vale por una cantidad menor.</t>
  </si>
  <si>
    <t>LUGAR DE ENTREGA: MINISTERIO DE VIVIENDA - AV. VENEZUELA S/Nº - CAPE - PABELLON Nº7</t>
  </si>
  <si>
    <t>PLAZO DE ENTREGA: DENTRO DE LOS 15 DIAS CORRIDOS, A PARTIR DEL PERFECCIONAMIENTO DEL DOCUMENTO CONTRACTUAL.</t>
  </si>
  <si>
    <t>683/2021</t>
  </si>
  <si>
    <t>Costo total estimado: Un Millon Noventa y Nueve Mil Novecientos Cuarenta con 10/100</t>
  </si>
  <si>
    <t>TOTAL DE PESOS: Un Millon Noventa y Nueve Mil Novecientos Cuarenta con 10/100</t>
  </si>
  <si>
    <t>Adquisicion de Combustible Gasoil para vehiculos Oficiales del Ministerio de Vivienda y Urbanizacion para el tercer trimestre del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</si>
</sst>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2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4" fillId="0" borderId="53" xfId="0" applyFont="1" applyBorder="1" applyAlignment="1">
      <alignment horizontal="left" vertical="center" wrapText="1"/>
    </xf>
    <xf numFmtId="0" fontId="0" fillId="0" borderId="31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85" zoomScaleNormal="85" workbookViewId="0">
      <selection activeCell="C26" sqref="C26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2" t="s">
        <v>0</v>
      </c>
      <c r="C2" s="92"/>
      <c r="D2" s="92"/>
      <c r="E2" s="92"/>
      <c r="F2" s="92"/>
      <c r="G2" s="92"/>
      <c r="H2" s="92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3" t="s">
        <v>1</v>
      </c>
      <c r="B4" s="93"/>
      <c r="C4" s="94" t="s">
        <v>58</v>
      </c>
      <c r="D4" s="94"/>
      <c r="E4" s="94"/>
      <c r="F4" s="47"/>
      <c r="G4" s="48"/>
      <c r="H4" s="47"/>
      <c r="I4" s="46"/>
      <c r="J4" s="46"/>
    </row>
    <row r="5" spans="1:10" ht="18" customHeight="1" x14ac:dyDescent="0.25">
      <c r="A5" s="93" t="s">
        <v>2</v>
      </c>
      <c r="B5" s="93"/>
      <c r="C5" s="94" t="s">
        <v>60</v>
      </c>
      <c r="D5" s="94"/>
      <c r="E5" s="94"/>
      <c r="F5" s="47"/>
      <c r="G5" s="48"/>
      <c r="H5" s="47"/>
      <c r="I5" s="46"/>
      <c r="J5" s="46"/>
    </row>
    <row r="6" spans="1:10" ht="16.5" customHeight="1" x14ac:dyDescent="0.25">
      <c r="A6" s="93" t="s">
        <v>3</v>
      </c>
      <c r="B6" s="93"/>
      <c r="C6" s="49">
        <v>2021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3" t="s">
        <v>4</v>
      </c>
      <c r="B7" s="93"/>
      <c r="C7" s="49">
        <v>3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64</v>
      </c>
      <c r="C10" s="89" t="s">
        <v>61</v>
      </c>
      <c r="D10" s="68" t="str">
        <f>LEFT(B10,5)</f>
        <v>2.5.6</v>
      </c>
      <c r="E10" s="69" t="s">
        <v>65</v>
      </c>
      <c r="F10" s="68" t="s">
        <v>62</v>
      </c>
      <c r="G10" s="68">
        <v>10213</v>
      </c>
      <c r="H10" s="90">
        <v>107.7</v>
      </c>
      <c r="I10" s="76">
        <f>G10*H10</f>
        <v>1099940.1000000001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1099940.1000000001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36.75" customHeight="1" x14ac:dyDescent="0.2">
      <c r="A16" s="46"/>
      <c r="B16" s="61"/>
      <c r="C16" s="100" t="s">
        <v>67</v>
      </c>
      <c r="D16" s="100"/>
      <c r="E16" s="101"/>
      <c r="F16" s="46"/>
      <c r="G16" s="46"/>
      <c r="H16" s="46"/>
      <c r="I16" s="46"/>
      <c r="J16" s="46"/>
    </row>
    <row r="17" spans="1:10" ht="15.75" customHeight="1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18" customHeight="1" x14ac:dyDescent="0.2">
      <c r="A18" s="46"/>
      <c r="B18" s="64"/>
      <c r="C18" s="98"/>
      <c r="D18" s="98"/>
      <c r="E18" s="99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7" t="s">
        <v>69</v>
      </c>
      <c r="D20" s="97"/>
      <c r="E20" s="97"/>
      <c r="F20" s="46"/>
      <c r="G20" s="46"/>
      <c r="H20" s="46"/>
      <c r="I20" s="46"/>
      <c r="J20" s="46"/>
    </row>
    <row r="21" spans="1:10" ht="19.5" customHeight="1" x14ac:dyDescent="0.2">
      <c r="A21" s="46"/>
      <c r="B21" s="65"/>
      <c r="C21" s="97" t="s">
        <v>68</v>
      </c>
      <c r="D21" s="97"/>
      <c r="E21" s="97"/>
      <c r="F21" s="46"/>
      <c r="G21" s="46"/>
      <c r="H21" s="46"/>
      <c r="I21" s="46"/>
      <c r="J21" s="46"/>
    </row>
    <row r="22" spans="1:10" x14ac:dyDescent="0.2">
      <c r="A22" s="46"/>
      <c r="B22" s="64" t="s">
        <v>17</v>
      </c>
      <c r="C22" s="62"/>
      <c r="D22" s="62"/>
      <c r="E22" s="63"/>
      <c r="F22" s="46"/>
      <c r="G22" s="46"/>
      <c r="H22" s="46"/>
      <c r="I22" s="46"/>
      <c r="J22" s="46"/>
    </row>
    <row r="23" spans="1:10" ht="26.25" customHeight="1" x14ac:dyDescent="0.2">
      <c r="A23" s="46"/>
      <c r="B23" s="65"/>
      <c r="C23" s="95"/>
      <c r="D23" s="95"/>
      <c r="E23" s="95"/>
      <c r="F23" s="46"/>
      <c r="G23" s="46"/>
      <c r="H23" s="46"/>
      <c r="I23" s="46"/>
      <c r="J23" s="46"/>
    </row>
    <row r="24" spans="1:10" x14ac:dyDescent="0.2">
      <c r="A24" s="46"/>
      <c r="B24" s="64" t="s">
        <v>18</v>
      </c>
      <c r="C24" s="66"/>
      <c r="D24" s="66"/>
      <c r="E24" s="67"/>
      <c r="F24" s="46"/>
      <c r="G24" s="46"/>
      <c r="H24" s="46"/>
      <c r="I24" s="46"/>
      <c r="J24" s="46"/>
    </row>
    <row r="25" spans="1:10" ht="26.25" customHeight="1" x14ac:dyDescent="0.25">
      <c r="A25" s="46"/>
      <c r="B25" s="65"/>
      <c r="C25" s="96" t="s">
        <v>66</v>
      </c>
      <c r="D25" s="96"/>
      <c r="E25" s="96"/>
      <c r="F25" s="46"/>
      <c r="G25" s="46"/>
      <c r="H25" s="46"/>
      <c r="I25" s="46"/>
      <c r="J25" s="46"/>
    </row>
    <row r="26" spans="1:10" x14ac:dyDescent="0.2">
      <c r="A26" s="46"/>
      <c r="B26" s="64" t="s">
        <v>19</v>
      </c>
      <c r="C26" s="62"/>
      <c r="D26" s="62"/>
      <c r="E26" s="63"/>
      <c r="F26" s="46"/>
      <c r="G26" s="46"/>
      <c r="H26" s="46"/>
      <c r="I26" s="46"/>
      <c r="J26" s="46"/>
    </row>
    <row r="27" spans="1:10" ht="23.25" customHeight="1" x14ac:dyDescent="0.2">
      <c r="A27" s="46"/>
      <c r="B27" s="64"/>
      <c r="C27" s="97"/>
      <c r="D27" s="97"/>
      <c r="E27" s="97"/>
      <c r="F27" s="46"/>
      <c r="G27" s="46"/>
      <c r="H27" s="46"/>
      <c r="I27" s="46"/>
      <c r="J27" s="46"/>
    </row>
    <row r="28" spans="1:10" ht="13.5" thickBot="1" x14ac:dyDescent="0.25">
      <c r="B28" s="39"/>
      <c r="C28" s="40"/>
      <c r="D28" s="40"/>
      <c r="E28" s="41"/>
    </row>
  </sheetData>
  <mergeCells count="14">
    <mergeCell ref="C23:E23"/>
    <mergeCell ref="C25:E25"/>
    <mergeCell ref="C27:E27"/>
    <mergeCell ref="A6:B6"/>
    <mergeCell ref="A7:B7"/>
    <mergeCell ref="C18:E18"/>
    <mergeCell ref="C20:E20"/>
    <mergeCell ref="C21:E21"/>
    <mergeCell ref="C16:E16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5"/>
  <sheetViews>
    <sheetView zoomScale="85" zoomScaleNormal="85" workbookViewId="0">
      <selection activeCell="C12" sqref="C12:G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2" t="s">
        <v>20</v>
      </c>
      <c r="B1" s="102"/>
      <c r="C1" s="102"/>
      <c r="D1" s="102"/>
      <c r="E1" s="102"/>
      <c r="F1" s="102"/>
      <c r="G1" s="102"/>
      <c r="H1" s="102"/>
      <c r="I1" s="102"/>
      <c r="J1" s="77" t="s">
        <v>21</v>
      </c>
      <c r="K1" s="78" t="s">
        <v>70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3" t="s">
        <v>54</v>
      </c>
      <c r="B3" s="103"/>
      <c r="C3" s="103"/>
      <c r="D3" s="104" t="str">
        <f>'Necesidades Trimestrales'!C4</f>
        <v>35 - Ministerio de Vivienda y Urbanizacion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05" t="s">
        <v>55</v>
      </c>
      <c r="B4" s="105"/>
      <c r="C4" s="105"/>
      <c r="D4" s="104" t="str">
        <f>'Necesidades Trimestrales'!C5</f>
        <v>48 - Direccion Provincial de Gestion de Administracion y Recursos Humanos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05" t="s">
        <v>33</v>
      </c>
      <c r="B5" s="105"/>
      <c r="C5" s="105"/>
      <c r="D5" s="104" t="s">
        <v>59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03" t="s">
        <v>56</v>
      </c>
      <c r="B6" s="103"/>
      <c r="C6" s="103"/>
      <c r="D6" s="104" t="s">
        <v>59</v>
      </c>
      <c r="E6" s="104"/>
      <c r="F6" s="104"/>
      <c r="G6" s="104"/>
      <c r="H6" s="104"/>
      <c r="I6" s="104"/>
      <c r="J6" s="104"/>
      <c r="K6" s="104"/>
    </row>
    <row r="7" spans="1:11" ht="16.5" customHeight="1" x14ac:dyDescent="0.2">
      <c r="A7" s="105" t="s">
        <v>22</v>
      </c>
      <c r="B7" s="105"/>
      <c r="C7" s="105"/>
      <c r="D7" s="104" t="str">
        <f>'Necesidades Trimestrales'!C7 &amp; "° Trimestre - Año " &amp; 'Necesidades Trimestrales'!C6</f>
        <v>3° Trimestre - Año 2021</v>
      </c>
      <c r="E7" s="104"/>
      <c r="F7" s="104"/>
      <c r="G7" s="104"/>
      <c r="H7" s="104"/>
      <c r="I7" s="104"/>
      <c r="J7" s="104"/>
      <c r="K7" s="104"/>
    </row>
    <row r="8" spans="1:11" ht="33" customHeight="1" x14ac:dyDescent="0.2">
      <c r="A8" s="106" t="s">
        <v>23</v>
      </c>
      <c r="B8" s="106"/>
      <c r="C8" s="106"/>
      <c r="D8" s="107" t="s">
        <v>73</v>
      </c>
      <c r="E8" s="107"/>
      <c r="F8" s="107"/>
      <c r="G8" s="107"/>
      <c r="H8" s="107"/>
      <c r="I8" s="107"/>
      <c r="J8" s="107"/>
      <c r="K8" s="107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8" t="s">
        <v>24</v>
      </c>
      <c r="B10" s="109" t="s">
        <v>25</v>
      </c>
      <c r="C10" s="109" t="s">
        <v>26</v>
      </c>
      <c r="D10" s="109"/>
      <c r="E10" s="109"/>
      <c r="F10" s="109"/>
      <c r="G10" s="109"/>
      <c r="H10" s="109" t="s">
        <v>27</v>
      </c>
      <c r="I10" s="109" t="s">
        <v>28</v>
      </c>
      <c r="J10" s="109" t="s">
        <v>29</v>
      </c>
      <c r="K10" s="110" t="s">
        <v>30</v>
      </c>
    </row>
    <row r="11" spans="1:11" ht="24" customHeight="1" thickBot="1" x14ac:dyDescent="0.25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10"/>
    </row>
    <row r="12" spans="1:11" ht="36" customHeight="1" thickBot="1" x14ac:dyDescent="0.25">
      <c r="A12" s="83">
        <v>1</v>
      </c>
      <c r="B12" s="83" t="str">
        <f>'Necesidades Trimestrales'!B10</f>
        <v>2.5.6-793.31</v>
      </c>
      <c r="C12" s="113" t="str">
        <f>'Necesidades Trimestrales'!E10</f>
        <v>GAS OIL; PRESENTACION: POR LITRO, USO: MOTORES DIESEL, COMERCIALIZACION: GRADO 3, DESTINO: DPTO. S.F.V. DE CATAMARCA</v>
      </c>
      <c r="D12" s="113"/>
      <c r="E12" s="113"/>
      <c r="F12" s="113"/>
      <c r="G12" s="113"/>
      <c r="H12" s="83" t="s">
        <v>63</v>
      </c>
      <c r="I12" s="85" t="str">
        <f>'Necesidades Trimestrales'!F10</f>
        <v>LITROS</v>
      </c>
      <c r="J12" s="91">
        <f>'Necesidades Trimestrales'!H10</f>
        <v>107.7</v>
      </c>
      <c r="K12" s="87">
        <f>'Necesidades Trimestrales'!G10</f>
        <v>10213</v>
      </c>
    </row>
    <row r="13" spans="1:11" ht="27.75" customHeight="1" x14ac:dyDescent="0.2">
      <c r="A13" s="88"/>
      <c r="B13" s="84"/>
      <c r="C13" s="113"/>
      <c r="D13" s="113"/>
      <c r="E13" s="113"/>
      <c r="F13" s="113"/>
      <c r="G13" s="113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14"/>
      <c r="D14" s="114"/>
      <c r="E14" s="114"/>
      <c r="F14" s="114"/>
      <c r="G14" s="114"/>
      <c r="H14" s="5"/>
      <c r="I14" s="6"/>
      <c r="J14" s="6"/>
      <c r="K14" s="7"/>
    </row>
    <row r="15" spans="1:11" ht="20.25" customHeight="1" x14ac:dyDescent="0.2">
      <c r="A15" s="111" t="s">
        <v>71</v>
      </c>
      <c r="B15" s="111"/>
      <c r="C15" s="111"/>
      <c r="D15" s="111"/>
      <c r="E15" s="111"/>
      <c r="F15" s="111"/>
      <c r="G15" s="111"/>
      <c r="H15" s="111"/>
      <c r="I15" s="111"/>
      <c r="J15" s="112">
        <f>SUMPRODUCT(J12:J14,K12:K14)</f>
        <v>1099940.1000000001</v>
      </c>
      <c r="K15" s="112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15" zoomScaleNormal="115" workbookViewId="0">
      <selection activeCell="O47" sqref="O4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5" t="s">
        <v>3</v>
      </c>
      <c r="B1" s="115"/>
      <c r="C1" s="115"/>
      <c r="D1" s="116">
        <f>'Necesidades Trimestrales'!C6</f>
        <v>2021</v>
      </c>
      <c r="E1" s="116"/>
      <c r="F1" s="9"/>
      <c r="G1" s="9"/>
      <c r="H1" s="10"/>
      <c r="I1" s="10"/>
      <c r="J1" s="10"/>
      <c r="K1" s="10"/>
      <c r="L1" s="10"/>
      <c r="M1" s="10"/>
      <c r="N1" s="10"/>
      <c r="P1" s="117" t="s">
        <v>31</v>
      </c>
      <c r="Q1" s="117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7"/>
      <c r="Q2" s="117"/>
    </row>
    <row r="4" spans="1:17" s="11" customFormat="1" ht="18" customHeight="1" thickBot="1" x14ac:dyDescent="0.25">
      <c r="A4" s="118" t="s">
        <v>32</v>
      </c>
      <c r="B4" s="118"/>
      <c r="C4" s="118"/>
      <c r="D4" s="118"/>
      <c r="E4" s="118"/>
      <c r="F4" s="118"/>
      <c r="G4" s="119" t="str">
        <f>' NotaPedido'!D3</f>
        <v>35 - Ministerio de Vivienda y Urbanizacion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</row>
    <row r="5" spans="1:17" s="11" customFormat="1" ht="18" customHeight="1" thickBot="1" x14ac:dyDescent="0.25">
      <c r="A5" s="120" t="s">
        <v>55</v>
      </c>
      <c r="B5" s="121"/>
      <c r="C5" s="121"/>
      <c r="D5" s="121"/>
      <c r="E5" s="121"/>
      <c r="F5" s="122"/>
      <c r="G5" s="119" t="str">
        <f>' NotaPedido'!D4</f>
        <v>48 - Direccion Provincial de Gestion de Administracion y Recursos Humanos</v>
      </c>
      <c r="H5" s="119"/>
      <c r="I5" s="119"/>
      <c r="J5" s="119"/>
      <c r="K5" s="119"/>
      <c r="L5" s="119"/>
      <c r="M5" s="119"/>
      <c r="N5" s="119"/>
      <c r="O5" s="119"/>
      <c r="P5" s="119"/>
      <c r="Q5" s="119"/>
    </row>
    <row r="6" spans="1:17" s="11" customFormat="1" ht="18" customHeight="1" thickBot="1" x14ac:dyDescent="0.25">
      <c r="A6" s="120" t="s">
        <v>33</v>
      </c>
      <c r="B6" s="121"/>
      <c r="C6" s="121"/>
      <c r="D6" s="121"/>
      <c r="E6" s="121"/>
      <c r="F6" s="122"/>
      <c r="G6" s="119" t="str">
        <f>' NotaPedido'!D5</f>
        <v>Ministerio de Vivienda y Urbanizacion</v>
      </c>
      <c r="H6" s="119"/>
      <c r="I6" s="119"/>
      <c r="J6" s="119"/>
      <c r="K6" s="119"/>
      <c r="L6" s="119"/>
      <c r="M6" s="119"/>
      <c r="N6" s="119"/>
      <c r="O6" s="119"/>
      <c r="P6" s="119"/>
      <c r="Q6" s="119"/>
    </row>
    <row r="7" spans="1:17" s="11" customFormat="1" ht="18" customHeight="1" thickBot="1" x14ac:dyDescent="0.25">
      <c r="A7" s="120" t="s">
        <v>56</v>
      </c>
      <c r="B7" s="121"/>
      <c r="C7" s="121"/>
      <c r="D7" s="121"/>
      <c r="E7" s="121"/>
      <c r="F7" s="122"/>
      <c r="G7" s="119" t="str">
        <f>' NotaPedido'!D6</f>
        <v>Ministerio de Vivienda y Urbanizacion</v>
      </c>
      <c r="H7" s="119"/>
      <c r="I7" s="119"/>
      <c r="J7" s="119"/>
      <c r="K7" s="119"/>
      <c r="L7" s="119"/>
      <c r="M7" s="119"/>
      <c r="N7" s="119"/>
      <c r="O7" s="119"/>
      <c r="P7" s="119"/>
      <c r="Q7" s="119"/>
    </row>
    <row r="8" spans="1:17" ht="18" customHeight="1" thickBot="1" x14ac:dyDescent="0.25">
      <c r="A8" s="123" t="s">
        <v>34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1:17" ht="18" customHeight="1" x14ac:dyDescent="0.2">
      <c r="A9" s="124" t="s">
        <v>35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"/>
      <c r="P9" s="1"/>
      <c r="Q9" s="12"/>
    </row>
    <row r="10" spans="1:17" ht="54.75" customHeight="1" x14ac:dyDescent="0.2">
      <c r="A10" s="12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683/2021,  afectando la erogación resultante a los créditos presupuestarios aprobados a favor de esta Unidad Ejecutora, conforme al siguiente detalle: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6" t="s">
        <v>36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7" ht="15.75" customHeight="1" x14ac:dyDescent="0.2">
      <c r="A13" s="127" t="s">
        <v>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 t="s">
        <v>38</v>
      </c>
      <c r="P13" s="128"/>
      <c r="Q13" s="129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8"/>
      <c r="P14" s="128"/>
      <c r="Q14" s="129"/>
    </row>
    <row r="15" spans="1:17" ht="17.25" customHeight="1" thickBot="1" x14ac:dyDescent="0.25">
      <c r="A15" s="42">
        <v>19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6</v>
      </c>
      <c r="L15" s="43">
        <v>0</v>
      </c>
      <c r="M15" s="44">
        <v>1</v>
      </c>
      <c r="N15" s="45" t="s">
        <v>57</v>
      </c>
      <c r="O15" s="130" t="s">
        <v>61</v>
      </c>
      <c r="P15" s="131"/>
      <c r="Q15" s="22">
        <v>599940.1</v>
      </c>
    </row>
    <row r="16" spans="1:17" ht="17.25" customHeight="1" x14ac:dyDescent="0.2">
      <c r="A16" s="42">
        <v>25</v>
      </c>
      <c r="B16" s="43">
        <v>0</v>
      </c>
      <c r="C16" s="43">
        <v>0</v>
      </c>
      <c r="D16" s="43">
        <v>1</v>
      </c>
      <c r="E16" s="43">
        <v>0</v>
      </c>
      <c r="F16" s="43">
        <v>4901</v>
      </c>
      <c r="G16" s="43">
        <v>3</v>
      </c>
      <c r="H16" s="43">
        <v>370</v>
      </c>
      <c r="I16" s="43">
        <v>2</v>
      </c>
      <c r="J16" s="43">
        <v>5</v>
      </c>
      <c r="K16" s="43">
        <v>6</v>
      </c>
      <c r="L16" s="43">
        <v>0</v>
      </c>
      <c r="M16" s="44">
        <v>1</v>
      </c>
      <c r="N16" s="45" t="s">
        <v>57</v>
      </c>
      <c r="O16" s="130" t="s">
        <v>61</v>
      </c>
      <c r="P16" s="131"/>
      <c r="Q16" s="22">
        <v>500000</v>
      </c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32"/>
      <c r="P17" s="132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32"/>
      <c r="P18" s="132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32"/>
      <c r="P19" s="132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32"/>
      <c r="P20" s="132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8"/>
      <c r="P21" s="138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9"/>
      <c r="P22" s="139"/>
      <c r="Q22" s="36"/>
    </row>
    <row r="23" spans="1:18" ht="20.25" customHeight="1" x14ac:dyDescent="0.2">
      <c r="A23" s="140" t="s">
        <v>72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37">
        <f>SUM(Q15:Q22)</f>
        <v>1099940.1000000001</v>
      </c>
    </row>
    <row r="24" spans="1:18" ht="18" customHeight="1" thickBot="1" x14ac:dyDescent="0.25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8" ht="17.25" customHeight="1" thickBot="1" x14ac:dyDescent="0.25">
      <c r="A25" s="133" t="s">
        <v>53</v>
      </c>
      <c r="B25" s="134"/>
      <c r="C25" s="134"/>
      <c r="D25" s="134"/>
      <c r="E25" s="134"/>
      <c r="F25" s="135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</row>
    <row r="26" spans="1:18" ht="23.25" customHeight="1" thickBot="1" x14ac:dyDescent="0.25">
      <c r="A26" s="137" t="s">
        <v>73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</row>
    <row r="27" spans="1:18" ht="20.25" customHeight="1" x14ac:dyDescent="0.2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2021-08-13T13:12:57Z</cp:lastPrinted>
  <dcterms:created xsi:type="dcterms:W3CDTF">2020-07-17T23:44:49Z</dcterms:created>
  <dcterms:modified xsi:type="dcterms:W3CDTF">2021-08-19T12:38:06Z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