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E10B7758-5303-4B5A-AF99-451F2C2290FC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Trimestrales'!$C$9:$D$212</definedName>
    <definedName name="A">'Necesidades Trimestrales'!$C$73</definedName>
    <definedName name="_xlnm.Print_Area" localSheetId="1">' NotaPedido'!$A$1:$I$214</definedName>
    <definedName name="_xlnm.Print_Area" localSheetId="2">'Autor Gastar'!$A$1:$Q$22</definedName>
  </definedNames>
  <calcPr calcId="181029"/>
</workbook>
</file>

<file path=xl/calcChain.xml><?xml version="1.0" encoding="utf-8"?>
<calcChain xmlns="http://schemas.openxmlformats.org/spreadsheetml/2006/main">
  <c r="I212" i="1" l="1"/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12" i="2"/>
  <c r="I213" i="2" l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12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2" i="2"/>
  <c r="Q18" i="3" l="1"/>
  <c r="I12" i="2" l="1"/>
  <c r="H12" i="2"/>
  <c r="I214" i="2" s="1"/>
</calcChain>
</file>

<file path=xl/sharedStrings.xml><?xml version="1.0" encoding="utf-8"?>
<sst xmlns="http://schemas.openxmlformats.org/spreadsheetml/2006/main" count="1103" uniqueCount="293">
  <si>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</si>
  <si>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</si>
  <si>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</si>
  <si>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</si>
  <si>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</si>
  <si>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</si>
  <si>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</si>
  <si>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</si>
  <si>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</si>
  <si>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</si>
  <si>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</si>
  <si>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</si>
  <si>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</si>
  <si>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</si>
  <si>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</si>
  <si>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</si>
  <si>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</si>
  <si>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</si>
  <si>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</si>
  <si>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</si>
  <si>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</si>
  <si>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</si>
  <si>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</si>
  <si>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</si>
  <si>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</si>
  <si>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</si>
  <si>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</si>
  <si>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</si>
  <si>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</si>
  <si>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</si>
  <si>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</si>
  <si>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</si>
  <si>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</si>
  <si>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</si>
  <si>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</si>
  <si>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</si>
  <si>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</si>
  <si>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</si>
  <si>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</si>
  <si>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</si>
  <si>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</si>
  <si>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</si>
  <si>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</si>
  <si>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</si>
  <si>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</si>
  <si>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</si>
  <si>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</si>
  <si>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</si>
  <si>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</si>
  <si>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</si>
  <si>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CAJA</t>
  </si>
  <si>
    <t>UNIDAD</t>
  </si>
  <si>
    <t>NO</t>
  </si>
  <si>
    <t>QUIMICOS</t>
  </si>
  <si>
    <t>ADQUISICION DE COMPUESTOS QUIMICOS</t>
  </si>
  <si>
    <t>40- Ministerio de Salud</t>
  </si>
  <si>
    <t>29/2021</t>
  </si>
  <si>
    <t>Autorizo la realización de los  trámites correspondientes, a fin de proveer a  este Organismo los bienes y/o servicios que se detallan en Nota  de Pedido N° 29/2021 ,  afectando la erogación resultante a los créditos presupuestarios aprobados a favor de esta Unidad Ejecutora, conforme al siguiente detalle:"</t>
  </si>
  <si>
    <t>SI</t>
  </si>
  <si>
    <t>CASSETTE</t>
  </si>
  <si>
    <t xml:space="preserve">URINE STRIP  WIENER  X 100 TIRAS </t>
  </si>
  <si>
    <t>PRECI CONTROL AMH</t>
  </si>
  <si>
    <t>FRASCO</t>
  </si>
  <si>
    <t>AGAR LEVINE: X 500 GR</t>
  </si>
  <si>
    <t>PLACA CROMOGENICA P /EGB X 20 U</t>
  </si>
  <si>
    <t>PLACA DE AGAR MUELLER HINTON SANGRE OVINA  X 10 U</t>
  </si>
  <si>
    <t>HEMOCULTIVO AUTOMATIZADO P/ PEDIATRICO X 100 U</t>
  </si>
  <si>
    <t>CEPILLOS PARA TUBOS DE 1,5 X 25 CM</t>
  </si>
  <si>
    <t>PLACAS DE PETRI ESTERILES 90X 14 MM</t>
  </si>
  <si>
    <t>PORTA OBJETOS X 50 UNID.</t>
  </si>
  <si>
    <t>CUBRE OBJETOS 20 X 20 X 100 UNID.</t>
  </si>
  <si>
    <t>TUBOS DE HEMOLISIS DE VIDRIO 12 X 100 MM</t>
  </si>
  <si>
    <t>TUBOS DE KHAN DE VIDRIO 12 X 75 MM</t>
  </si>
  <si>
    <t>CODIGO DE ITEMS</t>
  </si>
  <si>
    <t>I.P.P</t>
  </si>
  <si>
    <t>Servicio de Laboratorio-(Bacteriología)</t>
  </si>
  <si>
    <t>2 ° Trimestre -Año 2021</t>
  </si>
  <si>
    <t>Descripción técnica</t>
  </si>
  <si>
    <t>Plazos de entrega</t>
  </si>
  <si>
    <t>Lugar de Entrega:</t>
  </si>
  <si>
    <t>Calidad Minima esperada</t>
  </si>
  <si>
    <t>Mantenimiento</t>
  </si>
  <si>
    <t>30 DIAS CORRIDOS</t>
  </si>
  <si>
    <t>Garantia</t>
  </si>
  <si>
    <t xml:space="preserve">10 dias Habiles desde la firma del documento contractual </t>
  </si>
  <si>
    <t>SERVICIO DE LABORATORIO -MATERNIDAD PROVINCIAL 25 DE MAYO - HERNANDO DE PEDRAZA 1650</t>
  </si>
  <si>
    <t>2.5.1</t>
  </si>
  <si>
    <t>2.9.5</t>
  </si>
  <si>
    <t>2.3.4</t>
  </si>
  <si>
    <t>Para la adquisición de Compuestos Químicos, para ser destinados al Servicio de Laboratorio-Sector Bacteriología de la Maternidad Provincial 25 de Mayo.-</t>
  </si>
  <si>
    <t xml:space="preserve">Pedido de Necesidades Trimestrales
</t>
  </si>
  <si>
    <t>Compuestos Químicos</t>
  </si>
  <si>
    <t>2010 ASSAY CUP</t>
  </si>
  <si>
    <t>2010 ASSAY TIP</t>
  </si>
  <si>
    <t>AC. BORONICO 300 UG 50 DISCO</t>
  </si>
  <si>
    <t>ACEITE DE INMERSIÓN : X 100 ML</t>
  </si>
  <si>
    <t>ACIDO FUSIDICO 10 µGR DISCO  X 50 UN</t>
  </si>
  <si>
    <t>ACIDO LACTICO COBAS C-311 ROCHE  X  100 DET</t>
  </si>
  <si>
    <t>ACIDO URICO COBAS C-311 ROCHE  X 400 DET</t>
  </si>
  <si>
    <t>AGAR BASE SANGRE :  X 500 GR</t>
  </si>
  <si>
    <t>AGAR BILIS ESCULINA, ESTADO: SOLIDO, PRESENTACION: ENVASE X 100 GR</t>
  </si>
  <si>
    <t>AGAR C.L.D.E:  X 500 GR</t>
  </si>
  <si>
    <t>AGAR CITRATO DE SIMMONS, ESTADO: SOLIDO, PRESENTACION: ENVASE X 100 GR</t>
  </si>
  <si>
    <t>AGAR DNASA:  X 100 GR</t>
  </si>
  <si>
    <t>AGAR HIERRO TRIPLE AZUCAR, ESTADO: SOLIDO, PRESENTACION: ENVASE X 100 GR</t>
  </si>
  <si>
    <t>AGAR LISINA HIERRO, ESTADO: SOLIDO, PRESENTACION: ENVASE X 100 GR</t>
  </si>
  <si>
    <t>AGAR MANITOL SALADO, ESTADO: SOLIDO, PRESENTACION: ENVASE X 100 GR</t>
  </si>
  <si>
    <t>AGAR MULLER HILTON, ESTADO: SOLIDO, PRESENTACION: ENVASE X 500 GR</t>
  </si>
  <si>
    <t>AGAR SALMONELLA- SHIGELLA, ESTADO: SOLIDO, PRESENTACION: ENVASE X 100 GR</t>
  </si>
  <si>
    <t>AGAR SIM, ESTADO: SOLIDO, PRESENTACION: ENVASE X 100 GR</t>
  </si>
  <si>
    <t>ALBUMINA COBAS C-311 ROCHE  X 300 DET</t>
  </si>
  <si>
    <t>ALBUMINA P/MICROALBUMINURIA  COBAS C-311 ROCHE X 100 DET</t>
  </si>
  <si>
    <t>ALERE DETERMINE HIV  X 20 DET</t>
  </si>
  <si>
    <t>ALERE DETERMINE SYPHILIS TP X 20 DET</t>
  </si>
  <si>
    <t>AMILASA TOTAL COBAS C-311 ROCHE  X 300 DET</t>
  </si>
  <si>
    <t xml:space="preserve">AUTOCHECK NIVEL 2 ( AMARILLO) </t>
  </si>
  <si>
    <t>AZITROMICINA 15 µGR DISCO 50 UN</t>
  </si>
  <si>
    <t>BAM CON UREA MEDIO:  X 100 GR</t>
  </si>
  <si>
    <t>BILIRRUBINA DIRECTA COBAS C-311 ROCHE  X 350  DET</t>
  </si>
  <si>
    <t>BILIRRUBINA TOTAL GEN 3 COBAS C-311 ROCHE  X 250 DET</t>
  </si>
  <si>
    <t>C.F.A.S. PUC COBAS C-311 ROCHE  5 X 1 ML</t>
  </si>
  <si>
    <t>CALCIO COBAS C-311 ROCHE  X 300 DET</t>
  </si>
  <si>
    <t>CALDO TODD HEWITT C / CONA:  X 10 ML</t>
  </si>
  <si>
    <t>CALIBRACION SOLUTION 1 PARA ABL 800  X 200 ML  PARA ABL 800</t>
  </si>
  <si>
    <t>CALIBRACION SOLUTION 2  PARA ABL 800  X 200 ML  PARA ABL 800</t>
  </si>
  <si>
    <t xml:space="preserve">CALIBRADOR  AMH X 10 CAL  COBAS E-411  ROCHE </t>
  </si>
  <si>
    <t xml:space="preserve">CALIBRADOR  PROLACTINA X  10 CAL  COBAS E-411 ROCHE </t>
  </si>
  <si>
    <t xml:space="preserve">CALIBRADOR  S-HBG  X  10 CAL  COBAS E-411 ROCHE </t>
  </si>
  <si>
    <t>CALIBRADOR ( CALSET) ANTI TPO X 10 CAL COBAS E-411 ROCHE</t>
  </si>
  <si>
    <t>CALIBRADOR ( CALSET) CORTISOL X 10 CAL COBAS E-411 ROCHE</t>
  </si>
  <si>
    <t>CALIBRADOR (CALSET) ESTRADIOL X 10 CAL COBAS E-411 ROCHE</t>
  </si>
  <si>
    <t>CALIBRADOR (CALSET) FSH  X 10 CAL COBAS E-411 ROCHE</t>
  </si>
  <si>
    <t>CALIBRADOR B-HCG X 10 CAL COBAS E-411 ROCHE</t>
  </si>
  <si>
    <t xml:space="preserve">CALIBRADOR FT4 X 10 CAL COBAS E-411 ROCHE </t>
  </si>
  <si>
    <t>CALIBRADOR PARA INSULINA X 10 CAL COBAS E-411 ROCHE</t>
  </si>
  <si>
    <t>CALIBRADOR PARA LH  X 10  CAL COBAS E-411 ROCHE</t>
  </si>
  <si>
    <t>CALIBRADOR PARA PROGESTERONA COBAS E-411 ROCHE</t>
  </si>
  <si>
    <t>CALIBRADOR PARA T3 LIBRE COBAS E-411 ROCHE  X 100 DET</t>
  </si>
  <si>
    <t>CALIBRADOR T3 TOTAL X 10 CAL  COBAS E-411 ROCHE</t>
  </si>
  <si>
    <t>CALIBRADOR TSH  X 10 CAL COBAS E-411  ROCHE</t>
  </si>
  <si>
    <t>CALIIBRADOR (CALSET) DHEA-S  X 10 CAL COBAS E-411 ROCHE</t>
  </si>
  <si>
    <t>CELL WASH SOLUTION NAOH-D  2  X 1,8 LITROS</t>
  </si>
  <si>
    <t>CHAGAS ELISA LISADO WIENER X 96  DET</t>
  </si>
  <si>
    <t xml:space="preserve">CHAGAS HAI  WIENER  X 96 DET </t>
  </si>
  <si>
    <t>CIM PARA VANCOMICINA X 30 TIRAS</t>
  </si>
  <si>
    <t xml:space="preserve">CK-MB  COBAS  C-311 ROCHE  X 100 DET </t>
  </si>
  <si>
    <t>CLEAN CELL COBAS E411</t>
  </si>
  <si>
    <t>CLEANING SOLUTION  X 175 ML   PARA ABL 800</t>
  </si>
  <si>
    <t>CLEANSER EZ PROBE PARA BC 3000 PLUS  X 20 ML</t>
  </si>
  <si>
    <t>COLESTEROL TOTAL COBAS C-311 ROCHE  X 400 DET</t>
  </si>
  <si>
    <t>CREATIN QUINASA COBAS C-311 ROCHE  X 200 DET</t>
  </si>
  <si>
    <t>CREATININA JAFFE COBAS C-311 ROCHE  X 700 DET</t>
  </si>
  <si>
    <t>CUBETAS PARA COAGULOMETRO SIEMENS BFT II X 100 UNIDADES X 5 PLANCHAS</t>
  </si>
  <si>
    <t>CUBETAS REACTION CELL FOR COBAS C-311 ROCHE</t>
  </si>
  <si>
    <t>DECOLORANTE PARA GRAM, ESTADO: LÍQUIDO, PRESENTACIÓN: ENVASE POR 100 ML</t>
  </si>
  <si>
    <t>DETERGENTE NO IONICO X 1 LITRO WIENER</t>
  </si>
  <si>
    <t>DETERGENTE P/CONTADOR MINDRAY BC3000 PLUS X 5 L</t>
  </si>
  <si>
    <t>DILUYENTE PARA CONTADOR HEMATOLOGICO MINDRAY BC-3000 PLUS  X 20 LITROS</t>
  </si>
  <si>
    <t xml:space="preserve">DIMERO D  COBAS C-311 ROCHE  X 100 DET </t>
  </si>
  <si>
    <t>DIMERO D  GEN 2 CALIBRADOR SET 6X0,5 ML  COBAS C-311 ROCHE</t>
  </si>
  <si>
    <t>DIMERO D GEN 2 CONTROL I  / II  NIVEL 1 : 2 X 1 ML  NIVEL 2 : 2 X 1 ML  COBAS C-311 ROCHE</t>
  </si>
  <si>
    <t>DISCO AMICACINA 30 µGR, ESTADO:  CALIDAD: PRO ANALISIS, PRESENTACION: ENVASE X 50 UN</t>
  </si>
  <si>
    <t>DISCO AMOXICILINA+CLAVULANICO, ESTADO:  CALIDAD: PRO ANALISIS, PRESENTACION: ENVASE X 50 UN</t>
  </si>
  <si>
    <t>DISCO AMPICILINA + SULBACTAM 10/10 µGR DISCO X 50 UN</t>
  </si>
  <si>
    <t>DISCO AMPICILINA 10 µGR, ESTADO:  CALIDAD: PRO ANALISIS, PRESENTACION: ENVASE X 50 UN</t>
  </si>
  <si>
    <t>DISCO AZTREONAM 30 µGR DISCO 50 UN</t>
  </si>
  <si>
    <t>DISCO CEFAZOLINA, ESTADO: DISCO, CALIDAD: PRO ANALISIS, PRESENTACION: 50 X ENVASE X 30 µGR</t>
  </si>
  <si>
    <t>DISCO CEFEPIME 30 µGR, ESTADO: DISCO, CALIDAD: PRO ANALISIS, PRESENTACION: ENVASE X 50 UN</t>
  </si>
  <si>
    <t>DISCO CEFOTAXIMA 30 µGR DISCO X 50 UN</t>
  </si>
  <si>
    <t>DISCO CEFTAZIDIMA 30 µGR, ESTADO: DISCO, CALIDAD: PRO ANALISIS, PRESENTACION: ENVASE X 50 UN</t>
  </si>
  <si>
    <t>DISCO CEFTAZIDIMA AC.CLAVULAN.30/10 µGR DISCO X 50 UN</t>
  </si>
  <si>
    <t>DISCO CEFUROXIMA 30 µGR DISCO X 50 UN</t>
  </si>
  <si>
    <t>DISCO COLISTINA 10 µGR, ESTADO: DISCO, CALIDAD: PRO ANALISIS, PRESENTACION: ENVASE X 50 UN</t>
  </si>
  <si>
    <t>DISCO ERITROMICINA 15 µGR DISCO X 50 UN</t>
  </si>
  <si>
    <t>DISCO ESTREPTOMICINA 300 µGR, ESTADO: DISCO, CALIDAD: PRO ANALISIS, PRESENTACION: ENVASE X 50 UN</t>
  </si>
  <si>
    <t>DISCO FOSFOMICINA TROMETAMOL 200 UGX 50 UN</t>
  </si>
  <si>
    <t>DISCO IMIPENEM 10 µGR, ESTADO: DISCO, CALIDAD: PRO ANALISIS, PRESENTACION: ENVASE X 50 UN</t>
  </si>
  <si>
    <t>DISCO LEVOFLOXACINA 5 µGR DISCO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</si>
  <si>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</si>
  <si>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</si>
  <si>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OXACILINA 1 µGR, ESTADO: DISCO, CALIDAD: PRO ANALISIS, PRESENTACION: ENVASE X 50 UN</t>
  </si>
  <si>
    <t>DISCO OXIDASA DISCOS X  25 U</t>
  </si>
  <si>
    <t>DISCO PIPERACILINA TAZOBACTAM 100/10 µGR, ESTADO: DISCO, CALIDAD: PRO ANALISIS, PRESENTACION: ENVASE X 50 UN</t>
  </si>
  <si>
    <t>DISCO TEICOPLANINA 30 µGR, ESTADO: DISCO, CALIDAD: PRO ANALISIS, PRESENTACION: ENVASE X 50 UN</t>
  </si>
  <si>
    <t>DISCO TIGECICLINA 50 µGR, ESTADO: DISCO, CALIDAD: PRO ANALISIS, PRESENTACION: ENVASE X 50 UN</t>
  </si>
  <si>
    <t>DISCOS CEFOTAXIMA/CLAVULÀNICO 30/10X 50T/BRITANIA Y/OLIOFILCHEM</t>
  </si>
  <si>
    <t>DISCOS DE CEFOXITINA 30 UG. X 50 T/LIOFILCHEM Y/O BRITANIA</t>
  </si>
  <si>
    <t>DISCOS DE CIPROFLOXACINA X 5 UG X 50 T/BRITANIA Y/O LIOFILCHEM</t>
  </si>
  <si>
    <t>DISCOS DE CLINDAMICINA 2 UG.  X 50 T/BRITANIA Y/O LIOFILCHEM</t>
  </si>
  <si>
    <t>DISCOS DE ERTAPENEM 10 UG X 50 T/BRITANIA Y/O LIOFILCHEM</t>
  </si>
  <si>
    <t>DISCOS DE GENTAMICINA 120 UG X 50 U</t>
  </si>
  <si>
    <t>DISCOS DE GENTAMICINA X 10 UG. X 50 T/BRITANIA</t>
  </si>
  <si>
    <t>DISCOS DE MINOCICLINA X 50 U - BRITANIA</t>
  </si>
  <si>
    <t>DISCOS DE RIFAMPICINA X 5UG. X 50  T/LIOFILCHEM Y/O BRITANIA</t>
  </si>
  <si>
    <t>ECOTERGENT  X 60 ML COBAS C-311 ROCHE</t>
  </si>
  <si>
    <t>EDTA DISCO X 50 UN</t>
  </si>
  <si>
    <t>ELECSYS DILUYENTE UNIVERSAL COBAS E-411 ROCHE  X 2 X 18 ML</t>
  </si>
  <si>
    <t>ELECSYS SYSWASH COBAS E-411 ROCHE  X  500 ML</t>
  </si>
  <si>
    <t>FOSFATASA ALCALINA ALP2 (IFCC) COBAS C-311 ROCHE  X 400 DET</t>
  </si>
  <si>
    <t>FOSFORO COBAS C-311 ROCHE  X 250 DET</t>
  </si>
  <si>
    <t>GAS 1 PARA ABL 800</t>
  </si>
  <si>
    <t>GAS 2 PARA ABL 800</t>
  </si>
  <si>
    <t>GGT COBAS C-311 ROCHE X 400 DET</t>
  </si>
  <si>
    <t>GLUCOCURVE 75  X 10 SOBRES 82,5 G C/U</t>
  </si>
  <si>
    <t>GLUCOSA HK GEN COBAS C-311 ROCHE X 800 DET</t>
  </si>
  <si>
    <t>GOT/AST  (IFCC) COBAS C-311 ROCHE  X 500 DET</t>
  </si>
  <si>
    <t>GPT/ALT (IFCC) COBAS C-311 ROCHE  X 500 DET</t>
  </si>
  <si>
    <t>HBSAG ELISA WIENER  X 96 DET</t>
  </si>
  <si>
    <t>HEMOCULTIVO AUTOMATIZADO P/BACTALERT ADULTO X 100 U</t>
  </si>
  <si>
    <t>HIERRO COBAS C-311 ROCHE  X 200 DET</t>
  </si>
  <si>
    <t xml:space="preserve">HYPOCHLORITE SOLUTION  X 100 ML  PARA ABL 800 </t>
  </si>
  <si>
    <t>INLET PARA ABL 800</t>
  </si>
  <si>
    <t>KIT CALIBRADORES PARA ACIDOS BILIARES RANDOX COBAS C-311 ROCHE</t>
  </si>
  <si>
    <t>KIT CONTROLES BAJO Y ALTO PARA ACIDOS BILIARES RANDOX COBAS C-311 ROCHE</t>
  </si>
  <si>
    <t>KIT PARA RETICULOCITOS (AZUL DE CRESIL BRILLANTE) X 50 TUBOS DELTALAB</t>
  </si>
  <si>
    <t xml:space="preserve">KIT REACTIVO PARA ACIDOS BILIARES RANDOX COBAS C-311 ROCHE </t>
  </si>
  <si>
    <t>KIT TOXOPLASMOSIS IG G COBAS E-411 ROCHE X 100 DET</t>
  </si>
  <si>
    <t>KIT TOXOPLASMOSIS IG M COBAS E-411 ROCHE X 100 DET</t>
  </si>
  <si>
    <t xml:space="preserve">LAMPARA HALOGENA COBAS C-311 ROCHE </t>
  </si>
  <si>
    <t>LDH OPTIMIZADA COBAS C-311 ROCHE X 300 DET</t>
  </si>
  <si>
    <t>LEUCINAMINOPEPTIDASA ( LAP)X 25 U</t>
  </si>
  <si>
    <t>LINEZOLID 30 µGR DISCO X 50 UN</t>
  </si>
  <si>
    <t>LIPASA COBAS C-311 ROCHE  X 200 DET</t>
  </si>
  <si>
    <t>LUGOL CONCENTRADO: X 500 ML</t>
  </si>
  <si>
    <t>M-52 DIFF  LYSE  PARA MINDRAY BC-5150 X 500 ML</t>
  </si>
  <si>
    <t>M-52 LH LYSE  PARA MINDRAY BC-5150 X 100 ML</t>
  </si>
  <si>
    <t>M-52D - DILUENT PARA MINDRAY BC-5150 X 20 LITROS</t>
  </si>
  <si>
    <t>MAGNESIO COBAS C-311 ROCHE  X 175 DET</t>
  </si>
  <si>
    <t>MEDIO MIO:X 100 GR</t>
  </si>
  <si>
    <t>MEMBRANA DE CALCIO PARA ABL 800</t>
  </si>
  <si>
    <t>MEMBRANA DE CLORO PARA ABL 800</t>
  </si>
  <si>
    <t>MEMBRANA DE GLUCOSA  PARA ABL 800</t>
  </si>
  <si>
    <t xml:space="preserve">MEMBRANA DE PCO2   PARA ABL 800 </t>
  </si>
  <si>
    <t xml:space="preserve">MEMBRANA DE PO2 PARA ABL 800 </t>
  </si>
  <si>
    <t>MEMBRANA DE POTASIO PARA ABL 800</t>
  </si>
  <si>
    <t xml:space="preserve">MEMBRANA DE REFERENCIA PARA ABL 800 </t>
  </si>
  <si>
    <t>MEMBRANA DE SODIO PARA ABL 800</t>
  </si>
  <si>
    <t>NAOH - D CASSETTE P/COBAS C311</t>
  </si>
  <si>
    <t>PAPEL TERMOSENSIBLE X 4 ROLLOS PARA ABL 800</t>
  </si>
  <si>
    <t>PENICILINA 10 µGR, ESTADO: DISCO X 50 UN</t>
  </si>
  <si>
    <t>PLASMA CONTROL NORMAL  6  X 1  ML  WIENER</t>
  </si>
  <si>
    <t>PLASMA CONTROL PATOLOGICO  6  X 1  ML  WIENER</t>
  </si>
  <si>
    <t>PRECI CONTROL CLINCHEM  MULTI 1  QCS COBAS C-311 ROCHE  20 X 5 ML</t>
  </si>
  <si>
    <t>PRECI CONTROL CLINCHEM  MULTI 2  QCS COBAS C-311 ROCHE  20 X 5 ML</t>
  </si>
  <si>
    <t>PRECICONTROL  TOXO IGG  COBAS E-411 ROCHE</t>
  </si>
  <si>
    <t>PRECICONTROL  TOXO IGM  COBAS E-411 ROCHE</t>
  </si>
  <si>
    <t>PRECINORM PUC COBAS C-311 ROCHE  4 X 3 ML</t>
  </si>
  <si>
    <t>PRECIPATH PUC COBAS C-311 ROCHE  4 X 3 ML</t>
  </si>
  <si>
    <t>PRO CELL COBAS E-411N ROCHE X 2 L</t>
  </si>
  <si>
    <t xml:space="preserve">PROTEINA C REACTIVA  CRP COBAS C-311 ROCHE  X 250 DET </t>
  </si>
  <si>
    <t>PROTEINAS TOTALES COBAS C-311 ROCHE  X 300 DET</t>
  </si>
  <si>
    <t>PYR-A ENTEROCOSC/REVELADOR DISCO  X 25 U</t>
  </si>
  <si>
    <t>REACTIVO  CORTISOL COBAS E-411 ROCHE  X 100 DET</t>
  </si>
  <si>
    <t>REACTIVO  DHEA-S COBAS E-411 ROCHE X 100 DET</t>
  </si>
  <si>
    <t xml:space="preserve">REACTIVO ACCESORIO X 2750 DETERMINACIONES COBAS C-311 ROCHE </t>
  </si>
  <si>
    <t>REACTIVO AMH (HORMONA ANTI MULLERIANA) COBAS E -411 ROCHE  X 100 DET</t>
  </si>
  <si>
    <t>REACTIVO ANTI TPO COBAS E-411 ROCHE X 100 DET</t>
  </si>
  <si>
    <t>REACTIVO B-HCG COBAS E-411 ROCHE  X 100 DET</t>
  </si>
  <si>
    <t>REACTIVO ESTRADIOL COBAS E-411 ROCHE  X 100 DET</t>
  </si>
  <si>
    <t>REACTIVO FSH COBAS E-411 ROCHE X 100 DET</t>
  </si>
  <si>
    <t>REACTIVO INSULINA COBAS E-411 ROCHE  X 100 DET</t>
  </si>
  <si>
    <t>REACTIVO LH COBAS E-411 ROCHE  X 100 DET</t>
  </si>
  <si>
    <t>REACTIVO PROGESTERONA COBAS E-411 ROCHE  X 100 DET</t>
  </si>
  <si>
    <t>REACTIVO PROLACTINA COBAS E-411 ROCHE X 100 DET</t>
  </si>
  <si>
    <t>REACTIVO S-HBG COBAS E-411 ROCHE  X 100 DET</t>
  </si>
  <si>
    <t>REACTIVO T3  TOTAL COBAS E-411 ROCHE  X 100 DET</t>
  </si>
  <si>
    <t>REACTIVO T3 LBRE COBAS E-411 ROCHE  X 100 DET</t>
  </si>
  <si>
    <t>REACTIVO T4 LIBRE  (FT4)   COBAS E-411 ROCHE X 200 DET</t>
  </si>
  <si>
    <t>REACTIVO TSH  V2 COBAS E-411 ROCHE  X  200 DET</t>
  </si>
  <si>
    <t>RINSE SOLUTION  X 600 ML PARA ABL 800</t>
  </si>
  <si>
    <t>ROLLO DE PAPEL PARA MINDRAY BC-3000 PLUS PAQUETE X 6 UNIDADES</t>
  </si>
  <si>
    <t>ROLLO DE PAPEL PARA MINDRAY BC-5150 PAQUETE X 6 UNIDADES</t>
  </si>
  <si>
    <t>SERODIA  TPPA  ( 4  X 55 )</t>
  </si>
  <si>
    <t>TETRACICLINA 30 µGR DISCO 50 UN</t>
  </si>
  <si>
    <t xml:space="preserve">TRIGLICERIDOS COBAS C-311 ROCHE  X 250 DET </t>
  </si>
  <si>
    <t>TRIMETOPRIMA + SULFAMETOXAZOL 25 UGR DISCOX 50 UN</t>
  </si>
  <si>
    <t>U/CSF PROTEINA URINARIA COBAS C-311 ROCHE X 150 DET</t>
  </si>
  <si>
    <t>UREA  COBAS C-311 ROCHE X 500 DET</t>
  </si>
  <si>
    <t>VANCOMICINA 30 µGR DISCO X 50 UN</t>
  </si>
  <si>
    <t xml:space="preserve">VDRL TEST  1 X 5,5 ML WIENER </t>
  </si>
  <si>
    <t>VIOLETA DE GENCIANA CONCENTRADO: X 500 ML</t>
  </si>
  <si>
    <t>W19  CONTROL AA 3 NIVELES 3 X 3 ML  (BAJO - NORMAL - ALTO ) WIENER</t>
  </si>
  <si>
    <t>Especificidades Item N° 120 Y 121:</t>
  </si>
  <si>
    <t>Especificidades Item N° 1 al 202:</t>
  </si>
  <si>
    <t>Hemocultivo pediátrico y Adulto , Se pide caja x 100 unidades</t>
  </si>
  <si>
    <r>
      <rPr>
        <b/>
        <u/>
        <sz val="10"/>
        <rFont val="Arial"/>
        <family val="2"/>
      </rPr>
      <t>TOTAL DE PESOS:</t>
    </r>
    <r>
      <rPr>
        <b/>
        <sz val="10"/>
        <rFont val="Arial"/>
        <family val="2"/>
        <charset val="1"/>
      </rPr>
      <t xml:space="preserve">  SIETE MILLONES CUATROCIENTOS SETENTA Y NUEVE MIL DOSCIENTOS CINCUENTA Y SEIS CON 00/100 CENTAVOS.</t>
    </r>
  </si>
  <si>
    <t>28- Maternidad Provincial 25 de Mayo</t>
  </si>
  <si>
    <t>28 - MATERNIDAD PROVINCIAL 25 DE MAYO</t>
  </si>
  <si>
    <t>Año 2021</t>
  </si>
  <si>
    <t>2° TRIMESTRE</t>
  </si>
  <si>
    <t>Productos de Papel y Cartón</t>
  </si>
  <si>
    <t>Utiles Menores Médico, Quirúrgico y de Laboratorio</t>
  </si>
  <si>
    <r>
      <rPr>
        <b/>
        <u/>
        <sz val="14"/>
        <rFont val="Times New Roman"/>
        <family val="1"/>
      </rPr>
      <t>Costo total:</t>
    </r>
    <r>
      <rPr>
        <b/>
        <sz val="14"/>
        <rFont val="Times New Roman"/>
        <family val="1"/>
      </rPr>
      <t xml:space="preserve"> SIETE MILLONES CUATROCIENTOS SETENTA Y NUEVE MIL, DOSCIENTOS CINCUENTA Y SEIS CON 00/100 CENTAVOS.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</si>
</sst>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d\-mm\-yy;@"/>
    <numFmt numFmtId="165" formatCode="&quot;$&quot;\ #,##0.00"/>
    <numFmt numFmtId="166" formatCode="[$$-2C0A]\ #,##0.00;[Red][$$-2C0A]\ #,##0.00"/>
  </numFmts>
  <fonts count="4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8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sz val="10"/>
      <name val="Times New Roman"/>
      <family val="1"/>
    </font>
    <font>
      <b/>
      <u/>
      <sz val="14"/>
      <name val="Times New Roman"/>
      <family val="1"/>
    </font>
    <font>
      <b/>
      <u/>
      <sz val="10"/>
      <name val="Arial"/>
      <family val="2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10">
    <xf numFmtId="0" fontId="0" fillId="0" borderId="0"/>
    <xf numFmtId="0" fontId="3" fillId="0" borderId="1" applyProtection="0"/>
    <xf numFmtId="0" fontId="5" fillId="2" borderId="0" applyBorder="0" applyProtection="0"/>
    <xf numFmtId="0" fontId="16" fillId="0" borderId="0"/>
    <xf numFmtId="44" fontId="24" fillId="0" borderId="0" applyFont="0" applyFill="0" applyBorder="0" applyAlignment="0" applyProtection="0"/>
    <xf numFmtId="0" fontId="16" fillId="0" borderId="0"/>
    <xf numFmtId="0" fontId="16" fillId="0" borderId="0"/>
    <xf numFmtId="0" fontId="3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81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4" fillId="0" borderId="0" xfId="0" applyFont="1"/>
    <xf numFmtId="0" fontId="17" fillId="0" borderId="0" xfId="0" applyFont="1"/>
    <xf numFmtId="0" fontId="0" fillId="0" borderId="0" xfId="0" applyFill="1" applyBorder="1"/>
    <xf numFmtId="0" fontId="0" fillId="0" borderId="5" xfId="0" applyFill="1" applyBorder="1"/>
    <xf numFmtId="0" fontId="0" fillId="0" borderId="18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left"/>
    </xf>
    <xf numFmtId="0" fontId="0" fillId="0" borderId="19" xfId="0" applyFill="1" applyBorder="1"/>
    <xf numFmtId="0" fontId="15" fillId="0" borderId="20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center" vertical="center"/>
    </xf>
    <xf numFmtId="44" fontId="16" fillId="0" borderId="0" xfId="0" applyNumberFormat="1" applyFont="1" applyAlignment="1"/>
    <xf numFmtId="0" fontId="7" fillId="4" borderId="5" xfId="0" applyFont="1" applyFill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9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vertical="center"/>
    </xf>
    <xf numFmtId="0" fontId="28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left" vertical="center" wrapText="1"/>
    </xf>
    <xf numFmtId="0" fontId="25" fillId="4" borderId="0" xfId="0" applyFont="1" applyFill="1" applyBorder="1" applyAlignment="1">
      <alignment horizontal="center" vertical="center"/>
    </xf>
    <xf numFmtId="8" fontId="4" fillId="4" borderId="0" xfId="0" applyNumberFormat="1" applyFont="1" applyFill="1" applyBorder="1" applyAlignment="1">
      <alignment vertical="center"/>
    </xf>
    <xf numFmtId="0" fontId="17" fillId="4" borderId="0" xfId="0" applyFont="1" applyFill="1"/>
    <xf numFmtId="0" fontId="26" fillId="4" borderId="0" xfId="0" applyFont="1" applyFill="1" applyBorder="1" applyAlignment="1">
      <alignment horizontal="left" vertical="center"/>
    </xf>
    <xf numFmtId="44" fontId="4" fillId="0" borderId="0" xfId="0" applyNumberFormat="1" applyFont="1" applyBorder="1" applyAlignment="1">
      <alignment vertical="center"/>
    </xf>
    <xf numFmtId="165" fontId="0" fillId="0" borderId="0" xfId="0" applyNumberFormat="1"/>
    <xf numFmtId="0" fontId="17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3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17" fillId="0" borderId="0" xfId="0" applyFont="1" applyFill="1" applyAlignment="1">
      <alignment horizontal="center"/>
    </xf>
    <xf numFmtId="0" fontId="23" fillId="0" borderId="0" xfId="0" applyFont="1" applyFill="1" applyAlignment="1">
      <alignment horizontal="left" wrapText="1"/>
    </xf>
    <xf numFmtId="0" fontId="17" fillId="0" borderId="29" xfId="0" applyFont="1" applyBorder="1"/>
    <xf numFmtId="0" fontId="17" fillId="0" borderId="32" xfId="0" applyFont="1" applyBorder="1"/>
    <xf numFmtId="0" fontId="34" fillId="0" borderId="34" xfId="0" applyFont="1" applyBorder="1"/>
    <xf numFmtId="0" fontId="17" fillId="0" borderId="35" xfId="0" applyFont="1" applyBorder="1"/>
    <xf numFmtId="0" fontId="34" fillId="0" borderId="35" xfId="0" applyFont="1" applyBorder="1"/>
    <xf numFmtId="0" fontId="34" fillId="0" borderId="35" xfId="0" applyFont="1" applyBorder="1" applyAlignment="1">
      <alignment horizontal="left" indent="3"/>
    </xf>
    <xf numFmtId="0" fontId="17" fillId="0" borderId="35" xfId="0" applyFont="1" applyBorder="1" applyAlignment="1">
      <alignment horizontal="left" indent="3"/>
    </xf>
    <xf numFmtId="0" fontId="17" fillId="0" borderId="36" xfId="0" applyFont="1" applyBorder="1" applyAlignment="1">
      <alignment horizontal="left" indent="3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20" fillId="0" borderId="9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44" fontId="26" fillId="4" borderId="9" xfId="4" applyFont="1" applyFill="1" applyBorder="1" applyAlignment="1">
      <alignment vertical="center"/>
    </xf>
    <xf numFmtId="0" fontId="26" fillId="4" borderId="9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/>
    </xf>
    <xf numFmtId="44" fontId="30" fillId="4" borderId="9" xfId="0" applyNumberFormat="1" applyFont="1" applyFill="1" applyBorder="1" applyAlignment="1">
      <alignment vertical="center"/>
    </xf>
    <xf numFmtId="0" fontId="20" fillId="4" borderId="9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 wrapText="1"/>
    </xf>
    <xf numFmtId="1" fontId="22" fillId="0" borderId="9" xfId="0" applyNumberFormat="1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left" vertical="center" wrapText="1"/>
    </xf>
    <xf numFmtId="0" fontId="27" fillId="0" borderId="9" xfId="0" applyFont="1" applyFill="1" applyBorder="1" applyAlignment="1">
      <alignment horizontal="center" vertical="center" wrapText="1"/>
    </xf>
    <xf numFmtId="44" fontId="26" fillId="0" borderId="9" xfId="4" applyFont="1" applyFill="1" applyBorder="1" applyAlignment="1">
      <alignment vertical="center" wrapText="1"/>
    </xf>
    <xf numFmtId="0" fontId="2" fillId="0" borderId="9" xfId="7" applyFont="1" applyFill="1" applyBorder="1" applyAlignment="1">
      <alignment horizontal="center"/>
    </xf>
    <xf numFmtId="0" fontId="33" fillId="0" borderId="9" xfId="7" applyFont="1" applyFill="1" applyBorder="1" applyAlignment="1">
      <alignment horizontal="left" vertical="center" wrapText="1"/>
    </xf>
    <xf numFmtId="0" fontId="33" fillId="0" borderId="9" xfId="7" applyFont="1" applyFill="1" applyBorder="1" applyAlignment="1">
      <alignment horizontal="center" vertical="center"/>
    </xf>
    <xf numFmtId="44" fontId="33" fillId="0" borderId="9" xfId="4" applyFont="1" applyFill="1" applyBorder="1" applyAlignment="1">
      <alignment vertical="center" wrapText="1"/>
    </xf>
    <xf numFmtId="0" fontId="17" fillId="0" borderId="9" xfId="0" applyFont="1" applyFill="1" applyBorder="1" applyAlignment="1">
      <alignment horizontal="center"/>
    </xf>
    <xf numFmtId="0" fontId="22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center" vertical="center" wrapText="1"/>
    </xf>
    <xf numFmtId="44" fontId="26" fillId="0" borderId="9" xfId="4" applyFont="1" applyFill="1" applyBorder="1" applyAlignment="1">
      <alignment horizontal="right" vertical="center" wrapText="1"/>
    </xf>
    <xf numFmtId="0" fontId="33" fillId="4" borderId="9" xfId="8" applyFont="1" applyFill="1" applyBorder="1" applyAlignment="1">
      <alignment horizontal="left" vertical="center" wrapText="1"/>
    </xf>
    <xf numFmtId="0" fontId="33" fillId="4" borderId="9" xfId="8" applyFont="1" applyFill="1" applyBorder="1" applyAlignment="1">
      <alignment horizontal="center" vertical="center"/>
    </xf>
    <xf numFmtId="1" fontId="26" fillId="4" borderId="9" xfId="7" applyNumberFormat="1" applyFont="1" applyFill="1" applyBorder="1" applyAlignment="1">
      <alignment horizontal="center" vertical="center"/>
    </xf>
    <xf numFmtId="44" fontId="26" fillId="0" borderId="9" xfId="0" applyNumberFormat="1" applyFont="1" applyBorder="1" applyAlignment="1">
      <alignment horizontal="right" vertical="center"/>
    </xf>
    <xf numFmtId="166" fontId="33" fillId="4" borderId="9" xfId="9" applyNumberFormat="1" applyFont="1" applyFill="1" applyBorder="1" applyAlignment="1">
      <alignment horizontal="right" vertical="center" wrapText="1"/>
    </xf>
    <xf numFmtId="0" fontId="17" fillId="0" borderId="0" xfId="0" applyFont="1" applyBorder="1"/>
    <xf numFmtId="0" fontId="1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34" fillId="0" borderId="36" xfId="0" applyFont="1" applyBorder="1" applyAlignment="1">
      <alignment vertical="center"/>
    </xf>
    <xf numFmtId="44" fontId="37" fillId="0" borderId="9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44" fontId="15" fillId="0" borderId="9" xfId="0" applyNumberFormat="1" applyFont="1" applyFill="1" applyBorder="1" applyAlignment="1">
      <alignment horizontal="center" vertical="center"/>
    </xf>
    <xf numFmtId="44" fontId="16" fillId="0" borderId="38" xfId="0" applyNumberFormat="1" applyFont="1" applyBorder="1" applyAlignment="1">
      <alignment horizontal="center" vertical="center"/>
    </xf>
    <xf numFmtId="44" fontId="16" fillId="0" borderId="56" xfId="0" applyNumberFormat="1" applyFont="1" applyBorder="1" applyAlignment="1">
      <alignment horizontal="center" vertical="center"/>
    </xf>
    <xf numFmtId="44" fontId="16" fillId="0" borderId="57" xfId="0" applyNumberFormat="1" applyFont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horizontal="center" wrapText="1"/>
    </xf>
    <xf numFmtId="0" fontId="17" fillId="0" borderId="31" xfId="0" applyFont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41" fillId="4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 indent="1"/>
    </xf>
    <xf numFmtId="0" fontId="27" fillId="4" borderId="9" xfId="0" applyFont="1" applyFill="1" applyBorder="1" applyAlignment="1">
      <alignment horizontal="left" vertical="center" wrapText="1"/>
    </xf>
    <xf numFmtId="0" fontId="31" fillId="4" borderId="9" xfId="0" applyFont="1" applyFill="1" applyBorder="1" applyAlignment="1">
      <alignment horizontal="left" vertical="center" wrapText="1"/>
    </xf>
    <xf numFmtId="0" fontId="29" fillId="4" borderId="9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 indent="1"/>
    </xf>
    <xf numFmtId="0" fontId="9" fillId="4" borderId="11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8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0" fillId="4" borderId="9" xfId="0" applyFont="1" applyFill="1" applyBorder="1" applyAlignment="1">
      <alignment horizontal="center" vertical="center"/>
    </xf>
    <xf numFmtId="0" fontId="40" fillId="0" borderId="34" xfId="0" applyFont="1" applyFill="1" applyBorder="1" applyAlignment="1">
      <alignment vertical="center" wrapText="1"/>
    </xf>
    <xf numFmtId="0" fontId="40" fillId="0" borderId="29" xfId="0" applyFont="1" applyFill="1" applyBorder="1" applyAlignment="1">
      <alignment vertical="center" wrapText="1"/>
    </xf>
    <xf numFmtId="0" fontId="13" fillId="0" borderId="50" xfId="0" applyFont="1" applyFill="1" applyBorder="1" applyAlignment="1">
      <alignment vertical="center" wrapText="1"/>
    </xf>
    <xf numFmtId="0" fontId="13" fillId="0" borderId="30" xfId="0" applyFont="1" applyFill="1" applyBorder="1" applyAlignment="1">
      <alignment vertical="center" wrapText="1"/>
    </xf>
    <xf numFmtId="0" fontId="13" fillId="0" borderId="51" xfId="0" applyFont="1" applyFill="1" applyBorder="1" applyAlignment="1">
      <alignment horizontal="left" vertical="center" wrapText="1" indent="1"/>
    </xf>
    <xf numFmtId="0" fontId="13" fillId="0" borderId="23" xfId="0" applyFont="1" applyFill="1" applyBorder="1" applyAlignment="1">
      <alignment horizontal="left" vertical="center" wrapText="1" indent="1"/>
    </xf>
    <xf numFmtId="0" fontId="13" fillId="0" borderId="52" xfId="0" applyFont="1" applyFill="1" applyBorder="1" applyAlignment="1">
      <alignment horizontal="left" vertical="center" wrapText="1" indent="1"/>
    </xf>
    <xf numFmtId="0" fontId="13" fillId="0" borderId="53" xfId="0" applyFont="1" applyFill="1" applyBorder="1" applyAlignment="1">
      <alignment horizontal="left" vertical="center" wrapText="1" indent="1"/>
    </xf>
    <xf numFmtId="0" fontId="13" fillId="0" borderId="54" xfId="0" applyFont="1" applyFill="1" applyBorder="1" applyAlignment="1">
      <alignment horizontal="left" vertical="center" wrapText="1" indent="1"/>
    </xf>
    <xf numFmtId="0" fontId="13" fillId="0" borderId="55" xfId="0" applyFont="1" applyFill="1" applyBorder="1" applyAlignment="1">
      <alignment horizontal="left" vertical="center" wrapText="1" indent="1"/>
    </xf>
    <xf numFmtId="0" fontId="26" fillId="0" borderId="42" xfId="0" applyFont="1" applyFill="1" applyBorder="1" applyAlignment="1">
      <alignment horizontal="left" vertical="center" wrapText="1"/>
    </xf>
    <xf numFmtId="0" fontId="26" fillId="0" borderId="44" xfId="0" applyFont="1" applyFill="1" applyBorder="1" applyAlignment="1">
      <alignment horizontal="left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5" fillId="0" borderId="23" xfId="0" applyFont="1" applyFill="1" applyBorder="1" applyAlignment="1">
      <alignment horizontal="left" vertical="center" wrapText="1"/>
    </xf>
    <xf numFmtId="0" fontId="15" fillId="0" borderId="18" xfId="0" applyFont="1" applyFill="1" applyBorder="1" applyAlignment="1">
      <alignment horizontal="left" vertical="center" wrapText="1"/>
    </xf>
    <xf numFmtId="0" fontId="0" fillId="0" borderId="15" xfId="0" applyFill="1" applyBorder="1"/>
    <xf numFmtId="0" fontId="0" fillId="0" borderId="17" xfId="0" applyFill="1" applyBorder="1"/>
    <xf numFmtId="0" fontId="26" fillId="0" borderId="40" xfId="0" applyFont="1" applyFill="1" applyBorder="1" applyAlignment="1">
      <alignment horizontal="left" vertical="center" wrapText="1"/>
    </xf>
    <xf numFmtId="0" fontId="26" fillId="0" borderId="41" xfId="0" applyFont="1" applyFill="1" applyBorder="1" applyAlignment="1">
      <alignment horizontal="left" vertical="center" wrapText="1"/>
    </xf>
    <xf numFmtId="0" fontId="26" fillId="0" borderId="39" xfId="0" applyFont="1" applyFill="1" applyBorder="1" applyAlignment="1">
      <alignment horizontal="left" vertical="center" wrapText="1"/>
    </xf>
    <xf numFmtId="0" fontId="26" fillId="0" borderId="46" xfId="0" applyFont="1" applyFill="1" applyBorder="1" applyAlignment="1">
      <alignment horizontal="left" vertical="center" wrapText="1"/>
    </xf>
    <xf numFmtId="0" fontId="13" fillId="0" borderId="16" xfId="0" applyFont="1" applyFill="1" applyBorder="1"/>
    <xf numFmtId="0" fontId="13" fillId="0" borderId="17" xfId="0" applyFont="1" applyFill="1" applyBorder="1" applyAlignment="1">
      <alignment horizontal="left" vertical="center" wrapText="1" indent="1"/>
    </xf>
    <xf numFmtId="0" fontId="15" fillId="0" borderId="15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26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5" fillId="0" borderId="47" xfId="0" applyFont="1" applyFill="1" applyBorder="1" applyAlignment="1">
      <alignment horizontal="center" vertical="center" wrapText="1"/>
    </xf>
    <xf numFmtId="0" fontId="15" fillId="0" borderId="48" xfId="0" applyFont="1" applyFill="1" applyBorder="1" applyAlignment="1">
      <alignment horizontal="center" vertical="center" wrapText="1"/>
    </xf>
    <xf numFmtId="0" fontId="15" fillId="0" borderId="30" xfId="0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6" fillId="0" borderId="25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indent="1"/>
    </xf>
    <xf numFmtId="0" fontId="14" fillId="0" borderId="6" xfId="0" applyFont="1" applyFill="1" applyBorder="1" applyAlignment="1">
      <alignment horizontal="left"/>
    </xf>
    <xf numFmtId="0" fontId="13" fillId="0" borderId="8" xfId="0" applyFont="1" applyFill="1" applyBorder="1" applyAlignment="1">
      <alignment horizontal="left" vertical="center" wrapText="1" indent="1"/>
    </xf>
    <xf numFmtId="0" fontId="13" fillId="0" borderId="24" xfId="0" applyFont="1" applyFill="1" applyBorder="1" applyAlignment="1">
      <alignment horizontal="left" vertical="center" wrapText="1" indent="1"/>
    </xf>
    <xf numFmtId="0" fontId="13" fillId="0" borderId="25" xfId="0" applyFont="1" applyFill="1" applyBorder="1" applyAlignment="1">
      <alignment horizontal="left" vertical="center" wrapText="1" indent="1"/>
    </xf>
    <xf numFmtId="0" fontId="0" fillId="0" borderId="13" xfId="0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0" fontId="13" fillId="0" borderId="6" xfId="0" applyFont="1" applyBorder="1" applyAlignment="1">
      <alignment horizontal="left" indent="1"/>
    </xf>
  </cellXfs>
  <cellStyles count="10">
    <cellStyle name="20% - Énfasis5" xfId="8" builtinId="46"/>
    <cellStyle name="40% - Énfasis6" xfId="9" builtinId="51"/>
    <cellStyle name="Bueno" xfId="7" builtinId="26"/>
    <cellStyle name="Encabezado 1" xfId="1" xr:uid="{00000000-0005-0000-0000-000003000000}"/>
    <cellStyle name="Moneda" xfId="4" builtinId="4"/>
    <cellStyle name="Neutral 1" xfId="2" xr:uid="{00000000-0005-0000-0000-000005000000}"/>
    <cellStyle name="Normal" xfId="0" builtinId="0"/>
    <cellStyle name="Normal 2" xfId="3" xr:uid="{00000000-0005-0000-0000-000007000000}"/>
    <cellStyle name="Normal 3" xfId="5" xr:uid="{00000000-0005-0000-0000-000008000000}"/>
    <cellStyle name="Normal 4" xfId="6" xr:uid="{00000000-0005-0000-0000-000009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232"/>
  <sheetViews>
    <sheetView tabSelected="1" topLeftCell="A9" zoomScale="90" zoomScaleNormal="90" workbookViewId="0">
      <selection activeCell="C204" sqref="C204"/>
    </sheetView>
  </sheetViews>
  <sheetFormatPr baseColWidth="10" defaultColWidth="11" defaultRowHeight="12.75" x14ac:dyDescent="0.2"/>
  <cols>
    <col min="1" max="1" width="4.5703125" style="30" customWidth="1"/>
    <col min="2" max="2" width="13.140625" style="30" customWidth="1"/>
    <col min="3" max="3" width="23.140625" style="39" customWidth="1"/>
    <col min="4" max="4" width="8.42578125" style="34" customWidth="1"/>
    <col min="5" max="5" width="76.5703125" style="34" customWidth="1"/>
    <col min="6" max="6" width="11" style="39"/>
    <col min="7" max="7" width="12.7109375" style="39" customWidth="1"/>
    <col min="8" max="8" width="15.42578125" style="34" customWidth="1"/>
    <col min="9" max="9" width="18.5703125" style="34" customWidth="1"/>
    <col min="10" max="10" width="13.140625" style="7" customWidth="1"/>
    <col min="11" max="16384" width="11" style="7"/>
  </cols>
  <sheetData>
    <row r="2" spans="1:9" ht="27.6" customHeight="1" x14ac:dyDescent="0.2">
      <c r="C2" s="106" t="s">
        <v>90</v>
      </c>
      <c r="D2" s="106"/>
      <c r="E2" s="106"/>
      <c r="F2" s="106"/>
      <c r="G2" s="106"/>
      <c r="H2" s="105"/>
    </row>
    <row r="4" spans="1:9" ht="18" customHeight="1" x14ac:dyDescent="0.25">
      <c r="A4" s="117" t="s">
        <v>0</v>
      </c>
      <c r="B4" s="117"/>
      <c r="C4" s="118" t="s">
        <v>49</v>
      </c>
      <c r="D4" s="118"/>
      <c r="E4" s="118"/>
      <c r="F4" s="36"/>
      <c r="G4" s="36"/>
      <c r="H4" s="35"/>
    </row>
    <row r="5" spans="1:9" ht="18" customHeight="1" x14ac:dyDescent="0.25">
      <c r="A5" s="117" t="s">
        <v>1</v>
      </c>
      <c r="B5" s="117"/>
      <c r="C5" s="118" t="s">
        <v>287</v>
      </c>
      <c r="D5" s="118"/>
      <c r="E5" s="118"/>
      <c r="F5" s="36"/>
      <c r="G5" s="36"/>
      <c r="H5" s="35"/>
    </row>
    <row r="6" spans="1:9" ht="16.5" customHeight="1" x14ac:dyDescent="0.25">
      <c r="A6" s="117" t="s">
        <v>2</v>
      </c>
      <c r="B6" s="117"/>
      <c r="C6" s="40" t="s">
        <v>288</v>
      </c>
      <c r="D6" s="37"/>
      <c r="E6" s="38"/>
      <c r="F6" s="36"/>
      <c r="G6" s="36"/>
      <c r="H6" s="35"/>
    </row>
    <row r="7" spans="1:9" ht="16.5" customHeight="1" x14ac:dyDescent="0.25">
      <c r="A7" s="117" t="s">
        <v>3</v>
      </c>
      <c r="B7" s="117"/>
      <c r="C7" s="40" t="s">
        <v>289</v>
      </c>
      <c r="D7" s="37"/>
      <c r="E7" s="38"/>
      <c r="F7" s="36"/>
      <c r="G7" s="36"/>
      <c r="H7" s="35"/>
    </row>
    <row r="8" spans="1:9" ht="13.5" thickBot="1" x14ac:dyDescent="0.25">
      <c r="C8" s="36"/>
      <c r="D8" s="36"/>
      <c r="E8" s="35"/>
      <c r="F8" s="36"/>
      <c r="G8" s="36"/>
      <c r="H8" s="35"/>
    </row>
    <row r="9" spans="1:9" ht="39" thickBot="1" x14ac:dyDescent="0.25">
      <c r="A9" s="61" t="s">
        <v>4</v>
      </c>
      <c r="B9" s="61" t="s">
        <v>73</v>
      </c>
      <c r="C9" s="53" t="s">
        <v>5</v>
      </c>
      <c r="D9" s="53" t="s">
        <v>74</v>
      </c>
      <c r="E9" s="53" t="s">
        <v>6</v>
      </c>
      <c r="F9" s="53" t="s">
        <v>7</v>
      </c>
      <c r="G9" s="53" t="s">
        <v>8</v>
      </c>
      <c r="H9" s="53" t="s">
        <v>9</v>
      </c>
      <c r="I9" s="53" t="s">
        <v>10</v>
      </c>
    </row>
    <row r="10" spans="1:9" ht="25.5" customHeight="1" thickBot="1" x14ac:dyDescent="0.25">
      <c r="A10" s="62">
        <v>1</v>
      </c>
      <c r="B10" s="62"/>
      <c r="C10" s="63" t="s">
        <v>53</v>
      </c>
      <c r="D10" s="64" t="s">
        <v>86</v>
      </c>
      <c r="E10" s="65" t="s">
        <v>92</v>
      </c>
      <c r="F10" s="66" t="s">
        <v>50</v>
      </c>
      <c r="G10" s="66">
        <v>6</v>
      </c>
      <c r="H10" s="67">
        <v>25309</v>
      </c>
      <c r="I10" s="67">
        <v>151854</v>
      </c>
    </row>
    <row r="11" spans="1:9" ht="25.5" customHeight="1" thickBot="1" x14ac:dyDescent="0.25">
      <c r="A11" s="62">
        <v>2</v>
      </c>
      <c r="B11" s="62"/>
      <c r="C11" s="63" t="s">
        <v>53</v>
      </c>
      <c r="D11" s="64" t="s">
        <v>86</v>
      </c>
      <c r="E11" s="65" t="s">
        <v>93</v>
      </c>
      <c r="F11" s="66" t="s">
        <v>50</v>
      </c>
      <c r="G11" s="66">
        <v>6</v>
      </c>
      <c r="H11" s="67">
        <v>19318</v>
      </c>
      <c r="I11" s="67">
        <v>115908</v>
      </c>
    </row>
    <row r="12" spans="1:9" ht="25.5" customHeight="1" thickBot="1" x14ac:dyDescent="0.25">
      <c r="A12" s="62">
        <v>3</v>
      </c>
      <c r="B12" s="62"/>
      <c r="C12" s="63" t="s">
        <v>53</v>
      </c>
      <c r="D12" s="64" t="s">
        <v>86</v>
      </c>
      <c r="E12" s="65" t="s">
        <v>94</v>
      </c>
      <c r="F12" s="66" t="s">
        <v>51</v>
      </c>
      <c r="G12" s="66">
        <v>2</v>
      </c>
      <c r="H12" s="67">
        <v>3100</v>
      </c>
      <c r="I12" s="67">
        <v>6200</v>
      </c>
    </row>
    <row r="13" spans="1:9" ht="25.5" customHeight="1" thickBot="1" x14ac:dyDescent="0.25">
      <c r="A13" s="62">
        <v>4</v>
      </c>
      <c r="B13" s="62"/>
      <c r="C13" s="63" t="s">
        <v>53</v>
      </c>
      <c r="D13" s="64" t="s">
        <v>86</v>
      </c>
      <c r="E13" s="65" t="s">
        <v>95</v>
      </c>
      <c r="F13" s="66" t="s">
        <v>62</v>
      </c>
      <c r="G13" s="66">
        <v>1</v>
      </c>
      <c r="H13" s="67">
        <v>1500</v>
      </c>
      <c r="I13" s="67">
        <v>1500</v>
      </c>
    </row>
    <row r="14" spans="1:9" ht="25.5" customHeight="1" thickBot="1" x14ac:dyDescent="0.25">
      <c r="A14" s="62">
        <v>5</v>
      </c>
      <c r="B14" s="62"/>
      <c r="C14" s="63" t="s">
        <v>53</v>
      </c>
      <c r="D14" s="64" t="s">
        <v>86</v>
      </c>
      <c r="E14" s="65" t="s">
        <v>96</v>
      </c>
      <c r="F14" s="66" t="s">
        <v>51</v>
      </c>
      <c r="G14" s="66">
        <v>5</v>
      </c>
      <c r="H14" s="67">
        <v>850</v>
      </c>
      <c r="I14" s="67">
        <v>4250</v>
      </c>
    </row>
    <row r="15" spans="1:9" ht="25.5" customHeight="1" thickBot="1" x14ac:dyDescent="0.25">
      <c r="A15" s="62">
        <v>6</v>
      </c>
      <c r="B15" s="62"/>
      <c r="C15" s="63" t="s">
        <v>53</v>
      </c>
      <c r="D15" s="64" t="s">
        <v>86</v>
      </c>
      <c r="E15" s="65" t="s">
        <v>97</v>
      </c>
      <c r="F15" s="66" t="s">
        <v>59</v>
      </c>
      <c r="G15" s="66">
        <v>1</v>
      </c>
      <c r="H15" s="67">
        <v>6007</v>
      </c>
      <c r="I15" s="67">
        <v>6007</v>
      </c>
    </row>
    <row r="16" spans="1:9" ht="25.5" customHeight="1" thickBot="1" x14ac:dyDescent="0.25">
      <c r="A16" s="62">
        <v>7</v>
      </c>
      <c r="B16" s="62"/>
      <c r="C16" s="63" t="s">
        <v>53</v>
      </c>
      <c r="D16" s="64" t="s">
        <v>86</v>
      </c>
      <c r="E16" s="65" t="s">
        <v>98</v>
      </c>
      <c r="F16" s="66" t="s">
        <v>59</v>
      </c>
      <c r="G16" s="66">
        <v>4</v>
      </c>
      <c r="H16" s="67">
        <v>4661</v>
      </c>
      <c r="I16" s="67">
        <v>18644</v>
      </c>
    </row>
    <row r="17" spans="1:9" ht="25.5" customHeight="1" thickBot="1" x14ac:dyDescent="0.25">
      <c r="A17" s="62">
        <v>8</v>
      </c>
      <c r="B17" s="62"/>
      <c r="C17" s="63" t="s">
        <v>53</v>
      </c>
      <c r="D17" s="64" t="s">
        <v>86</v>
      </c>
      <c r="E17" s="65" t="s">
        <v>99</v>
      </c>
      <c r="F17" s="66" t="s">
        <v>62</v>
      </c>
      <c r="G17" s="66">
        <v>1</v>
      </c>
      <c r="H17" s="67">
        <v>11900</v>
      </c>
      <c r="I17" s="67">
        <v>11900</v>
      </c>
    </row>
    <row r="18" spans="1:9" ht="25.5" customHeight="1" thickBot="1" x14ac:dyDescent="0.25">
      <c r="A18" s="62">
        <v>9</v>
      </c>
      <c r="B18" s="62"/>
      <c r="C18" s="63" t="s">
        <v>53</v>
      </c>
      <c r="D18" s="64" t="s">
        <v>86</v>
      </c>
      <c r="E18" s="65" t="s">
        <v>100</v>
      </c>
      <c r="F18" s="66" t="s">
        <v>62</v>
      </c>
      <c r="G18" s="66">
        <v>1</v>
      </c>
      <c r="H18" s="67">
        <v>14300</v>
      </c>
      <c r="I18" s="67">
        <v>14300</v>
      </c>
    </row>
    <row r="19" spans="1:9" ht="25.5" customHeight="1" thickBot="1" x14ac:dyDescent="0.25">
      <c r="A19" s="62">
        <v>10</v>
      </c>
      <c r="B19" s="62"/>
      <c r="C19" s="63" t="s">
        <v>53</v>
      </c>
      <c r="D19" s="64" t="s">
        <v>86</v>
      </c>
      <c r="E19" s="65" t="s">
        <v>101</v>
      </c>
      <c r="F19" s="66" t="s">
        <v>62</v>
      </c>
      <c r="G19" s="66">
        <v>1</v>
      </c>
      <c r="H19" s="67">
        <v>10150</v>
      </c>
      <c r="I19" s="67">
        <v>10150</v>
      </c>
    </row>
    <row r="20" spans="1:9" ht="25.5" customHeight="1" thickBot="1" x14ac:dyDescent="0.25">
      <c r="A20" s="62">
        <v>11</v>
      </c>
      <c r="B20" s="62"/>
      <c r="C20" s="63" t="s">
        <v>53</v>
      </c>
      <c r="D20" s="64" t="s">
        <v>86</v>
      </c>
      <c r="E20" s="65" t="s">
        <v>102</v>
      </c>
      <c r="F20" s="66" t="s">
        <v>62</v>
      </c>
      <c r="G20" s="66">
        <v>1</v>
      </c>
      <c r="H20" s="67">
        <v>4160</v>
      </c>
      <c r="I20" s="67">
        <v>4160</v>
      </c>
    </row>
    <row r="21" spans="1:9" ht="25.5" customHeight="1" thickBot="1" x14ac:dyDescent="0.25">
      <c r="A21" s="62">
        <v>12</v>
      </c>
      <c r="B21" s="62"/>
      <c r="C21" s="63" t="s">
        <v>53</v>
      </c>
      <c r="D21" s="64" t="s">
        <v>86</v>
      </c>
      <c r="E21" s="65" t="s">
        <v>103</v>
      </c>
      <c r="F21" s="66" t="s">
        <v>62</v>
      </c>
      <c r="G21" s="66">
        <v>1</v>
      </c>
      <c r="H21" s="67">
        <v>9800</v>
      </c>
      <c r="I21" s="67">
        <v>9800</v>
      </c>
    </row>
    <row r="22" spans="1:9" ht="25.5" customHeight="1" thickBot="1" x14ac:dyDescent="0.25">
      <c r="A22" s="62">
        <v>13</v>
      </c>
      <c r="B22" s="62"/>
      <c r="C22" s="63" t="s">
        <v>53</v>
      </c>
      <c r="D22" s="64" t="s">
        <v>86</v>
      </c>
      <c r="E22" s="65" t="s">
        <v>104</v>
      </c>
      <c r="F22" s="66" t="s">
        <v>62</v>
      </c>
      <c r="G22" s="66">
        <v>1</v>
      </c>
      <c r="H22" s="67">
        <v>3200</v>
      </c>
      <c r="I22" s="67">
        <v>3200</v>
      </c>
    </row>
    <row r="23" spans="1:9" ht="25.5" customHeight="1" thickBot="1" x14ac:dyDescent="0.25">
      <c r="A23" s="62">
        <v>14</v>
      </c>
      <c r="B23" s="62"/>
      <c r="C23" s="63" t="s">
        <v>53</v>
      </c>
      <c r="D23" s="64" t="s">
        <v>86</v>
      </c>
      <c r="E23" s="65" t="s">
        <v>63</v>
      </c>
      <c r="F23" s="66" t="s">
        <v>62</v>
      </c>
      <c r="G23" s="66">
        <v>1</v>
      </c>
      <c r="H23" s="67">
        <v>10300</v>
      </c>
      <c r="I23" s="67">
        <v>10300</v>
      </c>
    </row>
    <row r="24" spans="1:9" ht="25.5" customHeight="1" thickBot="1" x14ac:dyDescent="0.25">
      <c r="A24" s="62">
        <v>15</v>
      </c>
      <c r="B24" s="62"/>
      <c r="C24" s="63" t="s">
        <v>53</v>
      </c>
      <c r="D24" s="64" t="s">
        <v>86</v>
      </c>
      <c r="E24" s="65" t="s">
        <v>105</v>
      </c>
      <c r="F24" s="66" t="s">
        <v>62</v>
      </c>
      <c r="G24" s="66">
        <v>1</v>
      </c>
      <c r="H24" s="67">
        <v>5900</v>
      </c>
      <c r="I24" s="67">
        <v>5900</v>
      </c>
    </row>
    <row r="25" spans="1:9" ht="25.5" customHeight="1" thickBot="1" x14ac:dyDescent="0.25">
      <c r="A25" s="62">
        <v>16</v>
      </c>
      <c r="B25" s="62"/>
      <c r="C25" s="63" t="s">
        <v>53</v>
      </c>
      <c r="D25" s="64" t="s">
        <v>86</v>
      </c>
      <c r="E25" s="65" t="s">
        <v>106</v>
      </c>
      <c r="F25" s="66" t="s">
        <v>62</v>
      </c>
      <c r="G25" s="66">
        <v>1</v>
      </c>
      <c r="H25" s="67">
        <v>2100</v>
      </c>
      <c r="I25" s="67">
        <v>2100</v>
      </c>
    </row>
    <row r="26" spans="1:9" ht="25.5" customHeight="1" thickBot="1" x14ac:dyDescent="0.25">
      <c r="A26" s="62">
        <v>17</v>
      </c>
      <c r="B26" s="62"/>
      <c r="C26" s="63" t="s">
        <v>53</v>
      </c>
      <c r="D26" s="64" t="s">
        <v>86</v>
      </c>
      <c r="E26" s="65" t="s">
        <v>107</v>
      </c>
      <c r="F26" s="66" t="s">
        <v>62</v>
      </c>
      <c r="G26" s="66">
        <v>1</v>
      </c>
      <c r="H26" s="67">
        <v>13500</v>
      </c>
      <c r="I26" s="67">
        <v>13500</v>
      </c>
    </row>
    <row r="27" spans="1:9" ht="25.5" customHeight="1" thickBot="1" x14ac:dyDescent="0.25">
      <c r="A27" s="62">
        <v>18</v>
      </c>
      <c r="B27" s="62"/>
      <c r="C27" s="63" t="s">
        <v>53</v>
      </c>
      <c r="D27" s="64" t="s">
        <v>86</v>
      </c>
      <c r="E27" s="65" t="s">
        <v>108</v>
      </c>
      <c r="F27" s="66" t="s">
        <v>62</v>
      </c>
      <c r="G27" s="66">
        <v>1</v>
      </c>
      <c r="H27" s="67">
        <v>4000</v>
      </c>
      <c r="I27" s="67">
        <v>4000</v>
      </c>
    </row>
    <row r="28" spans="1:9" ht="25.5" customHeight="1" thickBot="1" x14ac:dyDescent="0.25">
      <c r="A28" s="62">
        <v>19</v>
      </c>
      <c r="B28" s="62"/>
      <c r="C28" s="63" t="s">
        <v>53</v>
      </c>
      <c r="D28" s="64" t="s">
        <v>86</v>
      </c>
      <c r="E28" s="65" t="s">
        <v>109</v>
      </c>
      <c r="F28" s="66" t="s">
        <v>62</v>
      </c>
      <c r="G28" s="66">
        <v>1</v>
      </c>
      <c r="H28" s="67">
        <v>6300</v>
      </c>
      <c r="I28" s="67">
        <v>6300</v>
      </c>
    </row>
    <row r="29" spans="1:9" ht="25.5" customHeight="1" thickBot="1" x14ac:dyDescent="0.25">
      <c r="A29" s="62">
        <v>20</v>
      </c>
      <c r="B29" s="62"/>
      <c r="C29" s="63" t="s">
        <v>53</v>
      </c>
      <c r="D29" s="64" t="s">
        <v>86</v>
      </c>
      <c r="E29" s="65" t="s">
        <v>110</v>
      </c>
      <c r="F29" s="66" t="s">
        <v>59</v>
      </c>
      <c r="G29" s="66">
        <v>3</v>
      </c>
      <c r="H29" s="67">
        <v>1706</v>
      </c>
      <c r="I29" s="67">
        <v>5118</v>
      </c>
    </row>
    <row r="30" spans="1:9" ht="25.5" customHeight="1" thickBot="1" x14ac:dyDescent="0.25">
      <c r="A30" s="62">
        <v>21</v>
      </c>
      <c r="B30" s="62"/>
      <c r="C30" s="63" t="s">
        <v>53</v>
      </c>
      <c r="D30" s="64" t="s">
        <v>86</v>
      </c>
      <c r="E30" s="65" t="s">
        <v>111</v>
      </c>
      <c r="F30" s="66" t="s">
        <v>59</v>
      </c>
      <c r="G30" s="66">
        <v>1</v>
      </c>
      <c r="H30" s="67">
        <v>7050</v>
      </c>
      <c r="I30" s="67">
        <v>7050</v>
      </c>
    </row>
    <row r="31" spans="1:9" ht="25.5" customHeight="1" thickBot="1" x14ac:dyDescent="0.25">
      <c r="A31" s="62">
        <v>22</v>
      </c>
      <c r="B31" s="62"/>
      <c r="C31" s="63" t="s">
        <v>53</v>
      </c>
      <c r="D31" s="64" t="s">
        <v>86</v>
      </c>
      <c r="E31" s="65" t="s">
        <v>112</v>
      </c>
      <c r="F31" s="66" t="s">
        <v>51</v>
      </c>
      <c r="G31" s="66">
        <v>10</v>
      </c>
      <c r="H31" s="67">
        <v>10600</v>
      </c>
      <c r="I31" s="67">
        <v>106000</v>
      </c>
    </row>
    <row r="32" spans="1:9" ht="25.5" customHeight="1" thickBot="1" x14ac:dyDescent="0.25">
      <c r="A32" s="62">
        <v>23</v>
      </c>
      <c r="B32" s="62"/>
      <c r="C32" s="63" t="s">
        <v>53</v>
      </c>
      <c r="D32" s="64" t="s">
        <v>86</v>
      </c>
      <c r="E32" s="65" t="s">
        <v>113</v>
      </c>
      <c r="F32" s="66" t="s">
        <v>51</v>
      </c>
      <c r="G32" s="66">
        <v>8</v>
      </c>
      <c r="H32" s="67">
        <v>10500</v>
      </c>
      <c r="I32" s="67">
        <v>84000</v>
      </c>
    </row>
    <row r="33" spans="1:9" ht="25.5" customHeight="1" thickBot="1" x14ac:dyDescent="0.25">
      <c r="A33" s="62">
        <v>24</v>
      </c>
      <c r="B33" s="62"/>
      <c r="C33" s="63" t="s">
        <v>53</v>
      </c>
      <c r="D33" s="64" t="s">
        <v>86</v>
      </c>
      <c r="E33" s="65" t="s">
        <v>114</v>
      </c>
      <c r="F33" s="66" t="s">
        <v>59</v>
      </c>
      <c r="G33" s="66">
        <v>1</v>
      </c>
      <c r="H33" s="67">
        <v>9117</v>
      </c>
      <c r="I33" s="67">
        <v>9117</v>
      </c>
    </row>
    <row r="34" spans="1:9" ht="25.5" customHeight="1" thickBot="1" x14ac:dyDescent="0.25">
      <c r="A34" s="62">
        <v>25</v>
      </c>
      <c r="B34" s="62"/>
      <c r="C34" s="63" t="s">
        <v>53</v>
      </c>
      <c r="D34" s="64" t="s">
        <v>86</v>
      </c>
      <c r="E34" s="65" t="s">
        <v>115</v>
      </c>
      <c r="F34" s="66" t="s">
        <v>51</v>
      </c>
      <c r="G34" s="66">
        <v>2</v>
      </c>
      <c r="H34" s="67">
        <v>58000</v>
      </c>
      <c r="I34" s="67">
        <v>116000</v>
      </c>
    </row>
    <row r="35" spans="1:9" ht="25.5" customHeight="1" thickBot="1" x14ac:dyDescent="0.25">
      <c r="A35" s="62">
        <v>26</v>
      </c>
      <c r="B35" s="62"/>
      <c r="C35" s="63" t="s">
        <v>53</v>
      </c>
      <c r="D35" s="64" t="s">
        <v>86</v>
      </c>
      <c r="E35" s="65" t="s">
        <v>116</v>
      </c>
      <c r="F35" s="66" t="s">
        <v>51</v>
      </c>
      <c r="G35" s="66">
        <v>1</v>
      </c>
      <c r="H35" s="67">
        <v>850</v>
      </c>
      <c r="I35" s="67">
        <v>850</v>
      </c>
    </row>
    <row r="36" spans="1:9" ht="25.5" customHeight="1" thickBot="1" x14ac:dyDescent="0.25">
      <c r="A36" s="62">
        <v>27</v>
      </c>
      <c r="B36" s="62"/>
      <c r="C36" s="63" t="s">
        <v>53</v>
      </c>
      <c r="D36" s="64" t="s">
        <v>86</v>
      </c>
      <c r="E36" s="65" t="s">
        <v>117</v>
      </c>
      <c r="F36" s="66" t="s">
        <v>51</v>
      </c>
      <c r="G36" s="66">
        <v>1</v>
      </c>
      <c r="H36" s="67">
        <v>5400</v>
      </c>
      <c r="I36" s="67">
        <v>5400</v>
      </c>
    </row>
    <row r="37" spans="1:9" ht="25.5" customHeight="1" thickBot="1" x14ac:dyDescent="0.25">
      <c r="A37" s="62">
        <v>28</v>
      </c>
      <c r="B37" s="62"/>
      <c r="C37" s="63" t="s">
        <v>53</v>
      </c>
      <c r="D37" s="64" t="s">
        <v>86</v>
      </c>
      <c r="E37" s="65" t="s">
        <v>118</v>
      </c>
      <c r="F37" s="66" t="s">
        <v>59</v>
      </c>
      <c r="G37" s="66">
        <v>4</v>
      </c>
      <c r="H37" s="67">
        <v>3623</v>
      </c>
      <c r="I37" s="67">
        <v>14492</v>
      </c>
    </row>
    <row r="38" spans="1:9" ht="25.5" customHeight="1" thickBot="1" x14ac:dyDescent="0.25">
      <c r="A38" s="62">
        <v>29</v>
      </c>
      <c r="B38" s="62"/>
      <c r="C38" s="63" t="s">
        <v>53</v>
      </c>
      <c r="D38" s="64" t="s">
        <v>86</v>
      </c>
      <c r="E38" s="65" t="s">
        <v>119</v>
      </c>
      <c r="F38" s="66" t="s">
        <v>59</v>
      </c>
      <c r="G38" s="66">
        <v>2</v>
      </c>
      <c r="H38" s="67">
        <v>3714</v>
      </c>
      <c r="I38" s="67">
        <v>7428</v>
      </c>
    </row>
    <row r="39" spans="1:9" ht="25.5" customHeight="1" thickBot="1" x14ac:dyDescent="0.25">
      <c r="A39" s="62">
        <v>30</v>
      </c>
      <c r="B39" s="62"/>
      <c r="C39" s="63" t="s">
        <v>53</v>
      </c>
      <c r="D39" s="64" t="s">
        <v>86</v>
      </c>
      <c r="E39" s="65" t="s">
        <v>120</v>
      </c>
      <c r="F39" s="66" t="s">
        <v>51</v>
      </c>
      <c r="G39" s="66">
        <v>2</v>
      </c>
      <c r="H39" s="67">
        <v>21560</v>
      </c>
      <c r="I39" s="67">
        <v>43120</v>
      </c>
    </row>
    <row r="40" spans="1:9" ht="25.5" customHeight="1" thickBot="1" x14ac:dyDescent="0.25">
      <c r="A40" s="62">
        <v>31</v>
      </c>
      <c r="B40" s="62"/>
      <c r="C40" s="63" t="s">
        <v>53</v>
      </c>
      <c r="D40" s="64" t="s">
        <v>86</v>
      </c>
      <c r="E40" s="65" t="s">
        <v>121</v>
      </c>
      <c r="F40" s="66" t="s">
        <v>59</v>
      </c>
      <c r="G40" s="66">
        <v>2</v>
      </c>
      <c r="H40" s="67">
        <v>3514</v>
      </c>
      <c r="I40" s="67">
        <v>7028</v>
      </c>
    </row>
    <row r="41" spans="1:9" ht="25.5" customHeight="1" thickBot="1" x14ac:dyDescent="0.25">
      <c r="A41" s="62">
        <v>32</v>
      </c>
      <c r="B41" s="62"/>
      <c r="C41" s="63" t="s">
        <v>53</v>
      </c>
      <c r="D41" s="64" t="s">
        <v>86</v>
      </c>
      <c r="E41" s="65" t="s">
        <v>122</v>
      </c>
      <c r="F41" s="66" t="s">
        <v>51</v>
      </c>
      <c r="G41" s="66">
        <v>50</v>
      </c>
      <c r="H41" s="67">
        <v>270</v>
      </c>
      <c r="I41" s="67">
        <v>13500</v>
      </c>
    </row>
    <row r="42" spans="1:9" ht="25.5" customHeight="1" thickBot="1" x14ac:dyDescent="0.25">
      <c r="A42" s="62">
        <v>33</v>
      </c>
      <c r="B42" s="62"/>
      <c r="C42" s="63" t="s">
        <v>53</v>
      </c>
      <c r="D42" s="64" t="s">
        <v>86</v>
      </c>
      <c r="E42" s="65" t="s">
        <v>123</v>
      </c>
      <c r="F42" s="66" t="s">
        <v>51</v>
      </c>
      <c r="G42" s="66">
        <v>7</v>
      </c>
      <c r="H42" s="67">
        <v>28400</v>
      </c>
      <c r="I42" s="67">
        <v>198800</v>
      </c>
    </row>
    <row r="43" spans="1:9" ht="25.5" customHeight="1" thickBot="1" x14ac:dyDescent="0.25">
      <c r="A43" s="62">
        <v>34</v>
      </c>
      <c r="B43" s="62"/>
      <c r="C43" s="63" t="s">
        <v>53</v>
      </c>
      <c r="D43" s="64" t="s">
        <v>86</v>
      </c>
      <c r="E43" s="65" t="s">
        <v>124</v>
      </c>
      <c r="F43" s="66" t="s">
        <v>51</v>
      </c>
      <c r="G43" s="66">
        <v>5</v>
      </c>
      <c r="H43" s="67">
        <v>28400</v>
      </c>
      <c r="I43" s="67">
        <v>142000</v>
      </c>
    </row>
    <row r="44" spans="1:9" ht="25.5" customHeight="1" thickBot="1" x14ac:dyDescent="0.25">
      <c r="A44" s="62">
        <v>35</v>
      </c>
      <c r="B44" s="62"/>
      <c r="C44" s="63" t="s">
        <v>53</v>
      </c>
      <c r="D44" s="64" t="s">
        <v>86</v>
      </c>
      <c r="E44" s="65" t="s">
        <v>125</v>
      </c>
      <c r="F44" s="66" t="s">
        <v>51</v>
      </c>
      <c r="G44" s="66">
        <v>1</v>
      </c>
      <c r="H44" s="67">
        <v>48000</v>
      </c>
      <c r="I44" s="67">
        <v>48000</v>
      </c>
    </row>
    <row r="45" spans="1:9" ht="25.5" customHeight="1" thickBot="1" x14ac:dyDescent="0.25">
      <c r="A45" s="62">
        <v>36</v>
      </c>
      <c r="B45" s="62"/>
      <c r="C45" s="63" t="s">
        <v>53</v>
      </c>
      <c r="D45" s="64" t="s">
        <v>86</v>
      </c>
      <c r="E45" s="65" t="s">
        <v>126</v>
      </c>
      <c r="F45" s="66" t="s">
        <v>50</v>
      </c>
      <c r="G45" s="66">
        <v>1</v>
      </c>
      <c r="H45" s="67">
        <v>12863</v>
      </c>
      <c r="I45" s="67">
        <v>12863</v>
      </c>
    </row>
    <row r="46" spans="1:9" ht="25.5" customHeight="1" thickBot="1" x14ac:dyDescent="0.25">
      <c r="A46" s="62">
        <v>37</v>
      </c>
      <c r="B46" s="62"/>
      <c r="C46" s="63" t="s">
        <v>53</v>
      </c>
      <c r="D46" s="64" t="s">
        <v>86</v>
      </c>
      <c r="E46" s="65" t="s">
        <v>127</v>
      </c>
      <c r="F46" s="66" t="s">
        <v>50</v>
      </c>
      <c r="G46" s="66">
        <v>1</v>
      </c>
      <c r="H46" s="67">
        <v>13400</v>
      </c>
      <c r="I46" s="67">
        <v>13400</v>
      </c>
    </row>
    <row r="47" spans="1:9" ht="25.5" customHeight="1" thickBot="1" x14ac:dyDescent="0.25">
      <c r="A47" s="62">
        <v>38</v>
      </c>
      <c r="B47" s="62"/>
      <c r="C47" s="63" t="s">
        <v>53</v>
      </c>
      <c r="D47" s="64" t="s">
        <v>86</v>
      </c>
      <c r="E47" s="65" t="s">
        <v>128</v>
      </c>
      <c r="F47" s="66" t="s">
        <v>50</v>
      </c>
      <c r="G47" s="66">
        <v>1</v>
      </c>
      <c r="H47" s="67">
        <v>12963</v>
      </c>
      <c r="I47" s="67">
        <v>12963</v>
      </c>
    </row>
    <row r="48" spans="1:9" ht="25.5" customHeight="1" thickBot="1" x14ac:dyDescent="0.25">
      <c r="A48" s="62">
        <v>39</v>
      </c>
      <c r="B48" s="62"/>
      <c r="C48" s="63" t="s">
        <v>53</v>
      </c>
      <c r="D48" s="64" t="s">
        <v>86</v>
      </c>
      <c r="E48" s="65" t="s">
        <v>129</v>
      </c>
      <c r="F48" s="66" t="s">
        <v>50</v>
      </c>
      <c r="G48" s="66">
        <v>1</v>
      </c>
      <c r="H48" s="67">
        <v>14963</v>
      </c>
      <c r="I48" s="67">
        <v>14963</v>
      </c>
    </row>
    <row r="49" spans="1:9" ht="25.5" customHeight="1" thickBot="1" x14ac:dyDescent="0.25">
      <c r="A49" s="62">
        <v>40</v>
      </c>
      <c r="B49" s="62"/>
      <c r="C49" s="63" t="s">
        <v>53</v>
      </c>
      <c r="D49" s="64" t="s">
        <v>86</v>
      </c>
      <c r="E49" s="65" t="s">
        <v>130</v>
      </c>
      <c r="F49" s="66" t="s">
        <v>50</v>
      </c>
      <c r="G49" s="66">
        <v>1</v>
      </c>
      <c r="H49" s="67">
        <v>16114</v>
      </c>
      <c r="I49" s="67">
        <v>16114</v>
      </c>
    </row>
    <row r="50" spans="1:9" ht="25.5" customHeight="1" thickBot="1" x14ac:dyDescent="0.25">
      <c r="A50" s="62">
        <v>41</v>
      </c>
      <c r="B50" s="62"/>
      <c r="C50" s="63" t="s">
        <v>53</v>
      </c>
      <c r="D50" s="64" t="s">
        <v>86</v>
      </c>
      <c r="E50" s="65" t="s">
        <v>131</v>
      </c>
      <c r="F50" s="66" t="s">
        <v>50</v>
      </c>
      <c r="G50" s="66">
        <v>1</v>
      </c>
      <c r="H50" s="67">
        <v>12863</v>
      </c>
      <c r="I50" s="67">
        <v>12863</v>
      </c>
    </row>
    <row r="51" spans="1:9" ht="25.5" customHeight="1" thickBot="1" x14ac:dyDescent="0.25">
      <c r="A51" s="62">
        <v>42</v>
      </c>
      <c r="B51" s="62"/>
      <c r="C51" s="63" t="s">
        <v>53</v>
      </c>
      <c r="D51" s="64" t="s">
        <v>86</v>
      </c>
      <c r="E51" s="65" t="s">
        <v>132</v>
      </c>
      <c r="F51" s="66" t="s">
        <v>50</v>
      </c>
      <c r="G51" s="66">
        <v>1</v>
      </c>
      <c r="H51" s="67">
        <v>12863</v>
      </c>
      <c r="I51" s="67">
        <v>12863</v>
      </c>
    </row>
    <row r="52" spans="1:9" ht="25.5" customHeight="1" thickBot="1" x14ac:dyDescent="0.25">
      <c r="A52" s="62">
        <v>43</v>
      </c>
      <c r="B52" s="62"/>
      <c r="C52" s="63" t="s">
        <v>53</v>
      </c>
      <c r="D52" s="64" t="s">
        <v>86</v>
      </c>
      <c r="E52" s="65" t="s">
        <v>133</v>
      </c>
      <c r="F52" s="66" t="s">
        <v>50</v>
      </c>
      <c r="G52" s="66">
        <v>10</v>
      </c>
      <c r="H52" s="67">
        <v>12435</v>
      </c>
      <c r="I52" s="67">
        <v>124350</v>
      </c>
    </row>
    <row r="53" spans="1:9" ht="25.5" customHeight="1" thickBot="1" x14ac:dyDescent="0.25">
      <c r="A53" s="62">
        <v>44</v>
      </c>
      <c r="B53" s="62"/>
      <c r="C53" s="63" t="s">
        <v>53</v>
      </c>
      <c r="D53" s="64" t="s">
        <v>86</v>
      </c>
      <c r="E53" s="65" t="s">
        <v>134</v>
      </c>
      <c r="F53" s="66" t="s">
        <v>50</v>
      </c>
      <c r="G53" s="66">
        <v>1</v>
      </c>
      <c r="H53" s="67">
        <v>11986</v>
      </c>
      <c r="I53" s="67">
        <v>11986</v>
      </c>
    </row>
    <row r="54" spans="1:9" ht="25.5" customHeight="1" thickBot="1" x14ac:dyDescent="0.25">
      <c r="A54" s="62">
        <v>45</v>
      </c>
      <c r="B54" s="62"/>
      <c r="C54" s="63" t="s">
        <v>53</v>
      </c>
      <c r="D54" s="64" t="s">
        <v>86</v>
      </c>
      <c r="E54" s="65" t="s">
        <v>135</v>
      </c>
      <c r="F54" s="66" t="s">
        <v>50</v>
      </c>
      <c r="G54" s="66">
        <v>1</v>
      </c>
      <c r="H54" s="67">
        <v>12863</v>
      </c>
      <c r="I54" s="67">
        <v>12863</v>
      </c>
    </row>
    <row r="55" spans="1:9" ht="25.5" customHeight="1" thickBot="1" x14ac:dyDescent="0.25">
      <c r="A55" s="62">
        <v>46</v>
      </c>
      <c r="B55" s="62"/>
      <c r="C55" s="63" t="s">
        <v>53</v>
      </c>
      <c r="D55" s="64" t="s">
        <v>86</v>
      </c>
      <c r="E55" s="65" t="s">
        <v>136</v>
      </c>
      <c r="F55" s="66" t="s">
        <v>50</v>
      </c>
      <c r="G55" s="66">
        <v>1</v>
      </c>
      <c r="H55" s="67">
        <v>12863</v>
      </c>
      <c r="I55" s="67">
        <v>12863</v>
      </c>
    </row>
    <row r="56" spans="1:9" ht="25.5" customHeight="1" thickBot="1" x14ac:dyDescent="0.25">
      <c r="A56" s="62">
        <v>47</v>
      </c>
      <c r="B56" s="62"/>
      <c r="C56" s="63" t="s">
        <v>53</v>
      </c>
      <c r="D56" s="64" t="s">
        <v>86</v>
      </c>
      <c r="E56" s="65" t="s">
        <v>137</v>
      </c>
      <c r="F56" s="66" t="s">
        <v>51</v>
      </c>
      <c r="G56" s="66">
        <v>1</v>
      </c>
      <c r="H56" s="67">
        <v>12435</v>
      </c>
      <c r="I56" s="67">
        <v>12435</v>
      </c>
    </row>
    <row r="57" spans="1:9" ht="25.5" customHeight="1" thickBot="1" x14ac:dyDescent="0.25">
      <c r="A57" s="62">
        <v>48</v>
      </c>
      <c r="B57" s="62"/>
      <c r="C57" s="63" t="s">
        <v>53</v>
      </c>
      <c r="D57" s="64" t="s">
        <v>86</v>
      </c>
      <c r="E57" s="65" t="s">
        <v>138</v>
      </c>
      <c r="F57" s="66" t="s">
        <v>50</v>
      </c>
      <c r="G57" s="66">
        <v>1</v>
      </c>
      <c r="H57" s="67">
        <v>12435</v>
      </c>
      <c r="I57" s="67">
        <v>12435</v>
      </c>
    </row>
    <row r="58" spans="1:9" ht="25.5" customHeight="1" thickBot="1" x14ac:dyDescent="0.25">
      <c r="A58" s="62">
        <v>49</v>
      </c>
      <c r="B58" s="62"/>
      <c r="C58" s="63" t="s">
        <v>53</v>
      </c>
      <c r="D58" s="64" t="s">
        <v>86</v>
      </c>
      <c r="E58" s="65" t="s">
        <v>139</v>
      </c>
      <c r="F58" s="66" t="s">
        <v>50</v>
      </c>
      <c r="G58" s="66">
        <v>1</v>
      </c>
      <c r="H58" s="67">
        <v>11028</v>
      </c>
      <c r="I58" s="67">
        <v>11028</v>
      </c>
    </row>
    <row r="59" spans="1:9" ht="25.5" customHeight="1" thickBot="1" x14ac:dyDescent="0.25">
      <c r="A59" s="62">
        <v>50</v>
      </c>
      <c r="B59" s="62"/>
      <c r="C59" s="63" t="s">
        <v>53</v>
      </c>
      <c r="D59" s="64" t="s">
        <v>86</v>
      </c>
      <c r="E59" s="65" t="s">
        <v>140</v>
      </c>
      <c r="F59" s="66" t="s">
        <v>50</v>
      </c>
      <c r="G59" s="66">
        <v>1</v>
      </c>
      <c r="H59" s="67">
        <v>16114</v>
      </c>
      <c r="I59" s="67">
        <v>16114</v>
      </c>
    </row>
    <row r="60" spans="1:9" ht="25.5" customHeight="1" thickBot="1" x14ac:dyDescent="0.25">
      <c r="A60" s="62">
        <v>51</v>
      </c>
      <c r="B60" s="62"/>
      <c r="C60" s="63" t="s">
        <v>53</v>
      </c>
      <c r="D60" s="64" t="s">
        <v>86</v>
      </c>
      <c r="E60" s="65" t="s">
        <v>141</v>
      </c>
      <c r="F60" s="66" t="s">
        <v>51</v>
      </c>
      <c r="G60" s="66">
        <v>20</v>
      </c>
      <c r="H60" s="67">
        <v>4976</v>
      </c>
      <c r="I60" s="67">
        <v>99520</v>
      </c>
    </row>
    <row r="61" spans="1:9" ht="25.5" customHeight="1" thickBot="1" x14ac:dyDescent="0.25">
      <c r="A61" s="62">
        <v>52</v>
      </c>
      <c r="B61" s="62"/>
      <c r="C61" s="63" t="s">
        <v>291</v>
      </c>
      <c r="D61" s="64" t="s">
        <v>87</v>
      </c>
      <c r="E61" s="65" t="s">
        <v>67</v>
      </c>
      <c r="F61" s="66" t="s">
        <v>51</v>
      </c>
      <c r="G61" s="66">
        <v>10</v>
      </c>
      <c r="H61" s="67">
        <v>240</v>
      </c>
      <c r="I61" s="67">
        <v>2400</v>
      </c>
    </row>
    <row r="62" spans="1:9" ht="25.5" customHeight="1" thickBot="1" x14ac:dyDescent="0.25">
      <c r="A62" s="62">
        <v>53</v>
      </c>
      <c r="B62" s="62"/>
      <c r="C62" s="63" t="s">
        <v>53</v>
      </c>
      <c r="D62" s="64" t="s">
        <v>86</v>
      </c>
      <c r="E62" s="65" t="s">
        <v>142</v>
      </c>
      <c r="F62" s="66" t="s">
        <v>51</v>
      </c>
      <c r="G62" s="66">
        <v>18</v>
      </c>
      <c r="H62" s="67">
        <v>11091</v>
      </c>
      <c r="I62" s="67">
        <v>199638</v>
      </c>
    </row>
    <row r="63" spans="1:9" ht="25.5" customHeight="1" thickBot="1" x14ac:dyDescent="0.25">
      <c r="A63" s="62">
        <v>54</v>
      </c>
      <c r="B63" s="62"/>
      <c r="C63" s="63" t="s">
        <v>53</v>
      </c>
      <c r="D63" s="64" t="s">
        <v>86</v>
      </c>
      <c r="E63" s="65" t="s">
        <v>143</v>
      </c>
      <c r="F63" s="66" t="s">
        <v>51</v>
      </c>
      <c r="G63" s="66">
        <v>4</v>
      </c>
      <c r="H63" s="67">
        <v>10500</v>
      </c>
      <c r="I63" s="67">
        <v>42000</v>
      </c>
    </row>
    <row r="64" spans="1:9" ht="25.5" customHeight="1" thickBot="1" x14ac:dyDescent="0.25">
      <c r="A64" s="62">
        <v>55</v>
      </c>
      <c r="B64" s="62"/>
      <c r="C64" s="63" t="s">
        <v>53</v>
      </c>
      <c r="D64" s="64" t="s">
        <v>86</v>
      </c>
      <c r="E64" s="65" t="s">
        <v>144</v>
      </c>
      <c r="F64" s="66" t="s">
        <v>50</v>
      </c>
      <c r="G64" s="66">
        <v>3</v>
      </c>
      <c r="H64" s="67">
        <v>24471</v>
      </c>
      <c r="I64" s="67">
        <v>73413</v>
      </c>
    </row>
    <row r="65" spans="1:9" ht="25.5" customHeight="1" thickBot="1" x14ac:dyDescent="0.25">
      <c r="A65" s="62">
        <v>56</v>
      </c>
      <c r="B65" s="62"/>
      <c r="C65" s="63" t="s">
        <v>53</v>
      </c>
      <c r="D65" s="64" t="s">
        <v>86</v>
      </c>
      <c r="E65" s="65" t="s">
        <v>145</v>
      </c>
      <c r="F65" s="66" t="s">
        <v>59</v>
      </c>
      <c r="G65" s="66">
        <v>1</v>
      </c>
      <c r="H65" s="67">
        <v>4424</v>
      </c>
      <c r="I65" s="67">
        <v>4424</v>
      </c>
    </row>
    <row r="66" spans="1:9" ht="25.5" customHeight="1" thickBot="1" x14ac:dyDescent="0.25">
      <c r="A66" s="62">
        <v>57</v>
      </c>
      <c r="B66" s="62"/>
      <c r="C66" s="63" t="s">
        <v>53</v>
      </c>
      <c r="D66" s="64" t="s">
        <v>86</v>
      </c>
      <c r="E66" s="65" t="s">
        <v>146</v>
      </c>
      <c r="F66" s="66" t="s">
        <v>50</v>
      </c>
      <c r="G66" s="66">
        <v>8</v>
      </c>
      <c r="H66" s="67">
        <v>8696</v>
      </c>
      <c r="I66" s="67">
        <v>69568</v>
      </c>
    </row>
    <row r="67" spans="1:9" ht="25.5" customHeight="1" thickBot="1" x14ac:dyDescent="0.25">
      <c r="A67" s="62">
        <v>58</v>
      </c>
      <c r="B67" s="62"/>
      <c r="C67" s="63" t="s">
        <v>53</v>
      </c>
      <c r="D67" s="64" t="s">
        <v>86</v>
      </c>
      <c r="E67" s="65" t="s">
        <v>147</v>
      </c>
      <c r="F67" s="66" t="s">
        <v>51</v>
      </c>
      <c r="G67" s="66">
        <v>7</v>
      </c>
      <c r="H67" s="67">
        <v>27900</v>
      </c>
      <c r="I67" s="67">
        <v>195300</v>
      </c>
    </row>
    <row r="68" spans="1:9" ht="25.5" customHeight="1" thickBot="1" x14ac:dyDescent="0.25">
      <c r="A68" s="62">
        <v>59</v>
      </c>
      <c r="B68" s="62"/>
      <c r="C68" s="63" t="s">
        <v>53</v>
      </c>
      <c r="D68" s="64" t="s">
        <v>86</v>
      </c>
      <c r="E68" s="65" t="s">
        <v>148</v>
      </c>
      <c r="F68" s="66" t="s">
        <v>51</v>
      </c>
      <c r="G68" s="66">
        <v>3</v>
      </c>
      <c r="H68" s="67">
        <v>5600</v>
      </c>
      <c r="I68" s="67">
        <v>16800</v>
      </c>
    </row>
    <row r="69" spans="1:9" ht="25.5" customHeight="1" thickBot="1" x14ac:dyDescent="0.25">
      <c r="A69" s="62">
        <v>60</v>
      </c>
      <c r="B69" s="62"/>
      <c r="C69" s="63" t="s">
        <v>53</v>
      </c>
      <c r="D69" s="64" t="s">
        <v>86</v>
      </c>
      <c r="E69" s="65" t="s">
        <v>149</v>
      </c>
      <c r="F69" s="66" t="s">
        <v>59</v>
      </c>
      <c r="G69" s="66">
        <v>1</v>
      </c>
      <c r="H69" s="67">
        <v>3095</v>
      </c>
      <c r="I69" s="67">
        <v>3095</v>
      </c>
    </row>
    <row r="70" spans="1:9" ht="25.5" customHeight="1" thickBot="1" x14ac:dyDescent="0.25">
      <c r="A70" s="62">
        <v>61</v>
      </c>
      <c r="B70" s="62"/>
      <c r="C70" s="63" t="s">
        <v>53</v>
      </c>
      <c r="D70" s="64" t="s">
        <v>86</v>
      </c>
      <c r="E70" s="65" t="s">
        <v>150</v>
      </c>
      <c r="F70" s="66" t="s">
        <v>59</v>
      </c>
      <c r="G70" s="66">
        <v>1</v>
      </c>
      <c r="H70" s="67">
        <v>3025</v>
      </c>
      <c r="I70" s="67">
        <v>3025</v>
      </c>
    </row>
    <row r="71" spans="1:9" ht="25.5" customHeight="1" thickBot="1" x14ac:dyDescent="0.25">
      <c r="A71" s="62">
        <v>62</v>
      </c>
      <c r="B71" s="62"/>
      <c r="C71" s="63" t="s">
        <v>53</v>
      </c>
      <c r="D71" s="64" t="s">
        <v>86</v>
      </c>
      <c r="E71" s="65" t="s">
        <v>151</v>
      </c>
      <c r="F71" s="66" t="s">
        <v>59</v>
      </c>
      <c r="G71" s="66">
        <v>4</v>
      </c>
      <c r="H71" s="67">
        <v>3854</v>
      </c>
      <c r="I71" s="67">
        <v>15416</v>
      </c>
    </row>
    <row r="72" spans="1:9" ht="25.5" customHeight="1" thickBot="1" x14ac:dyDescent="0.25">
      <c r="A72" s="62">
        <v>63</v>
      </c>
      <c r="B72" s="62"/>
      <c r="C72" s="63" t="s">
        <v>53</v>
      </c>
      <c r="D72" s="64" t="s">
        <v>86</v>
      </c>
      <c r="E72" s="65" t="s">
        <v>152</v>
      </c>
      <c r="F72" s="66" t="s">
        <v>50</v>
      </c>
      <c r="G72" s="66">
        <v>6</v>
      </c>
      <c r="H72" s="67">
        <v>21500</v>
      </c>
      <c r="I72" s="67">
        <v>129000</v>
      </c>
    </row>
    <row r="73" spans="1:9" ht="25.5" customHeight="1" thickBot="1" x14ac:dyDescent="0.25">
      <c r="A73" s="62">
        <v>64</v>
      </c>
      <c r="B73" s="62"/>
      <c r="C73" s="63" t="s">
        <v>53</v>
      </c>
      <c r="D73" s="64" t="s">
        <v>86</v>
      </c>
      <c r="E73" s="65" t="s">
        <v>153</v>
      </c>
      <c r="F73" s="66" t="s">
        <v>51</v>
      </c>
      <c r="G73" s="66">
        <v>1</v>
      </c>
      <c r="H73" s="67">
        <v>22400</v>
      </c>
      <c r="I73" s="67">
        <v>22400</v>
      </c>
    </row>
    <row r="74" spans="1:9" ht="25.5" customHeight="1" thickBot="1" x14ac:dyDescent="0.25">
      <c r="A74" s="62">
        <v>65</v>
      </c>
      <c r="B74" s="62"/>
      <c r="C74" s="63" t="s">
        <v>291</v>
      </c>
      <c r="D74" s="64" t="s">
        <v>87</v>
      </c>
      <c r="E74" s="65" t="s">
        <v>70</v>
      </c>
      <c r="F74" s="66" t="s">
        <v>50</v>
      </c>
      <c r="G74" s="66">
        <v>10</v>
      </c>
      <c r="H74" s="67">
        <v>220</v>
      </c>
      <c r="I74" s="67">
        <v>2200</v>
      </c>
    </row>
    <row r="75" spans="1:9" ht="25.5" customHeight="1" thickBot="1" x14ac:dyDescent="0.25">
      <c r="A75" s="62">
        <v>66</v>
      </c>
      <c r="B75" s="62"/>
      <c r="C75" s="63" t="s">
        <v>53</v>
      </c>
      <c r="D75" s="64" t="s">
        <v>86</v>
      </c>
      <c r="E75" s="65" t="s">
        <v>154</v>
      </c>
      <c r="F75" s="66" t="s">
        <v>62</v>
      </c>
      <c r="G75" s="66">
        <v>5</v>
      </c>
      <c r="H75" s="67">
        <v>2600</v>
      </c>
      <c r="I75" s="67">
        <v>13000</v>
      </c>
    </row>
    <row r="76" spans="1:9" ht="25.5" customHeight="1" thickBot="1" x14ac:dyDescent="0.25">
      <c r="A76" s="62">
        <v>67</v>
      </c>
      <c r="B76" s="62"/>
      <c r="C76" s="63" t="s">
        <v>53</v>
      </c>
      <c r="D76" s="64" t="s">
        <v>86</v>
      </c>
      <c r="E76" s="65" t="s">
        <v>155</v>
      </c>
      <c r="F76" s="66" t="s">
        <v>51</v>
      </c>
      <c r="G76" s="66">
        <v>2</v>
      </c>
      <c r="H76" s="67">
        <v>460</v>
      </c>
      <c r="I76" s="67">
        <v>920</v>
      </c>
    </row>
    <row r="77" spans="1:9" ht="25.5" customHeight="1" thickBot="1" x14ac:dyDescent="0.25">
      <c r="A77" s="62">
        <v>68</v>
      </c>
      <c r="B77" s="62"/>
      <c r="C77" s="63" t="s">
        <v>53</v>
      </c>
      <c r="D77" s="64" t="s">
        <v>86</v>
      </c>
      <c r="E77" s="65" t="s">
        <v>156</v>
      </c>
      <c r="F77" s="66" t="s">
        <v>50</v>
      </c>
      <c r="G77" s="66">
        <v>10</v>
      </c>
      <c r="H77" s="67">
        <v>4500</v>
      </c>
      <c r="I77" s="67">
        <v>45000</v>
      </c>
    </row>
    <row r="78" spans="1:9" ht="25.5" customHeight="1" thickBot="1" x14ac:dyDescent="0.25">
      <c r="A78" s="62">
        <v>69</v>
      </c>
      <c r="B78" s="62"/>
      <c r="C78" s="63" t="s">
        <v>53</v>
      </c>
      <c r="D78" s="64" t="s">
        <v>86</v>
      </c>
      <c r="E78" s="65" t="s">
        <v>157</v>
      </c>
      <c r="F78" s="66" t="s">
        <v>50</v>
      </c>
      <c r="G78" s="66">
        <v>8</v>
      </c>
      <c r="H78" s="67">
        <v>6500</v>
      </c>
      <c r="I78" s="67">
        <v>52000</v>
      </c>
    </row>
    <row r="79" spans="1:9" ht="25.5" customHeight="1" thickBot="1" x14ac:dyDescent="0.25">
      <c r="A79" s="62">
        <v>70</v>
      </c>
      <c r="B79" s="62"/>
      <c r="C79" s="63" t="s">
        <v>53</v>
      </c>
      <c r="D79" s="64" t="s">
        <v>86</v>
      </c>
      <c r="E79" s="65" t="s">
        <v>158</v>
      </c>
      <c r="F79" s="66" t="s">
        <v>59</v>
      </c>
      <c r="G79" s="66">
        <v>1</v>
      </c>
      <c r="H79" s="67">
        <v>63867</v>
      </c>
      <c r="I79" s="67">
        <v>63867</v>
      </c>
    </row>
    <row r="80" spans="1:9" ht="25.5" customHeight="1" thickBot="1" x14ac:dyDescent="0.25">
      <c r="A80" s="62">
        <v>71</v>
      </c>
      <c r="B80" s="62"/>
      <c r="C80" s="63" t="s">
        <v>53</v>
      </c>
      <c r="D80" s="64" t="s">
        <v>86</v>
      </c>
      <c r="E80" s="65" t="s">
        <v>159</v>
      </c>
      <c r="F80" s="66" t="s">
        <v>50</v>
      </c>
      <c r="G80" s="66">
        <v>1</v>
      </c>
      <c r="H80" s="67">
        <v>15214</v>
      </c>
      <c r="I80" s="67">
        <v>15214</v>
      </c>
    </row>
    <row r="81" spans="1:9" ht="25.5" customHeight="1" thickBot="1" x14ac:dyDescent="0.25">
      <c r="A81" s="62">
        <v>72</v>
      </c>
      <c r="B81" s="62"/>
      <c r="C81" s="63" t="s">
        <v>53</v>
      </c>
      <c r="D81" s="64" t="s">
        <v>86</v>
      </c>
      <c r="E81" s="65" t="s">
        <v>160</v>
      </c>
      <c r="F81" s="66" t="s">
        <v>51</v>
      </c>
      <c r="G81" s="66">
        <v>1</v>
      </c>
      <c r="H81" s="67">
        <v>20266</v>
      </c>
      <c r="I81" s="67">
        <v>20266</v>
      </c>
    </row>
    <row r="82" spans="1:9" ht="25.5" customHeight="1" thickBot="1" x14ac:dyDescent="0.25">
      <c r="A82" s="62">
        <v>73</v>
      </c>
      <c r="B82" s="62"/>
      <c r="C82" s="63" t="s">
        <v>53</v>
      </c>
      <c r="D82" s="64" t="s">
        <v>86</v>
      </c>
      <c r="E82" s="65" t="s">
        <v>161</v>
      </c>
      <c r="F82" s="66" t="s">
        <v>62</v>
      </c>
      <c r="G82" s="66">
        <v>5</v>
      </c>
      <c r="H82" s="67">
        <v>850</v>
      </c>
      <c r="I82" s="67">
        <v>4250</v>
      </c>
    </row>
    <row r="83" spans="1:9" ht="25.5" customHeight="1" thickBot="1" x14ac:dyDescent="0.25">
      <c r="A83" s="62">
        <v>74</v>
      </c>
      <c r="B83" s="62"/>
      <c r="C83" s="63" t="s">
        <v>53</v>
      </c>
      <c r="D83" s="64" t="s">
        <v>86</v>
      </c>
      <c r="E83" s="65" t="s">
        <v>162</v>
      </c>
      <c r="F83" s="66" t="s">
        <v>62</v>
      </c>
      <c r="G83" s="66">
        <v>5</v>
      </c>
      <c r="H83" s="67">
        <v>850</v>
      </c>
      <c r="I83" s="67">
        <v>4250</v>
      </c>
    </row>
    <row r="84" spans="1:9" ht="25.5" customHeight="1" thickBot="1" x14ac:dyDescent="0.25">
      <c r="A84" s="62">
        <v>75</v>
      </c>
      <c r="B84" s="62"/>
      <c r="C84" s="63" t="s">
        <v>53</v>
      </c>
      <c r="D84" s="64" t="s">
        <v>86</v>
      </c>
      <c r="E84" s="65" t="s">
        <v>163</v>
      </c>
      <c r="F84" s="66" t="s">
        <v>62</v>
      </c>
      <c r="G84" s="66">
        <v>5</v>
      </c>
      <c r="H84" s="67">
        <v>850</v>
      </c>
      <c r="I84" s="67">
        <v>4250</v>
      </c>
    </row>
    <row r="85" spans="1:9" ht="25.5" customHeight="1" thickBot="1" x14ac:dyDescent="0.25">
      <c r="A85" s="62">
        <v>76</v>
      </c>
      <c r="B85" s="62"/>
      <c r="C85" s="63" t="s">
        <v>53</v>
      </c>
      <c r="D85" s="64" t="s">
        <v>86</v>
      </c>
      <c r="E85" s="65" t="s">
        <v>164</v>
      </c>
      <c r="F85" s="66" t="s">
        <v>62</v>
      </c>
      <c r="G85" s="66">
        <v>5</v>
      </c>
      <c r="H85" s="67">
        <v>850</v>
      </c>
      <c r="I85" s="67">
        <v>4250</v>
      </c>
    </row>
    <row r="86" spans="1:9" ht="25.5" customHeight="1" thickBot="1" x14ac:dyDescent="0.25">
      <c r="A86" s="62">
        <v>77</v>
      </c>
      <c r="B86" s="62"/>
      <c r="C86" s="63" t="s">
        <v>53</v>
      </c>
      <c r="D86" s="64" t="s">
        <v>86</v>
      </c>
      <c r="E86" s="65" t="s">
        <v>165</v>
      </c>
      <c r="F86" s="66" t="s">
        <v>62</v>
      </c>
      <c r="G86" s="66">
        <v>2</v>
      </c>
      <c r="H86" s="67">
        <v>850</v>
      </c>
      <c r="I86" s="67">
        <v>1700</v>
      </c>
    </row>
    <row r="87" spans="1:9" ht="25.5" customHeight="1" thickBot="1" x14ac:dyDescent="0.25">
      <c r="A87" s="62">
        <v>78</v>
      </c>
      <c r="B87" s="62"/>
      <c r="C87" s="63" t="s">
        <v>53</v>
      </c>
      <c r="D87" s="64" t="s">
        <v>86</v>
      </c>
      <c r="E87" s="65" t="s">
        <v>166</v>
      </c>
      <c r="F87" s="66" t="s">
        <v>62</v>
      </c>
      <c r="G87" s="66">
        <v>5</v>
      </c>
      <c r="H87" s="67">
        <v>850</v>
      </c>
      <c r="I87" s="67">
        <v>4250</v>
      </c>
    </row>
    <row r="88" spans="1:9" ht="25.5" customHeight="1" thickBot="1" x14ac:dyDescent="0.25">
      <c r="A88" s="62">
        <v>79</v>
      </c>
      <c r="B88" s="62"/>
      <c r="C88" s="63" t="s">
        <v>53</v>
      </c>
      <c r="D88" s="64" t="s">
        <v>86</v>
      </c>
      <c r="E88" s="65" t="s">
        <v>167</v>
      </c>
      <c r="F88" s="66" t="s">
        <v>62</v>
      </c>
      <c r="G88" s="66">
        <v>2</v>
      </c>
      <c r="H88" s="67">
        <v>850</v>
      </c>
      <c r="I88" s="67">
        <v>1700</v>
      </c>
    </row>
    <row r="89" spans="1:9" ht="25.5" customHeight="1" thickBot="1" x14ac:dyDescent="0.25">
      <c r="A89" s="62">
        <v>80</v>
      </c>
      <c r="B89" s="62"/>
      <c r="C89" s="63" t="s">
        <v>53</v>
      </c>
      <c r="D89" s="64" t="s">
        <v>86</v>
      </c>
      <c r="E89" s="65" t="s">
        <v>168</v>
      </c>
      <c r="F89" s="66" t="s">
        <v>62</v>
      </c>
      <c r="G89" s="66">
        <v>5</v>
      </c>
      <c r="H89" s="67">
        <v>850</v>
      </c>
      <c r="I89" s="67">
        <v>4250</v>
      </c>
    </row>
    <row r="90" spans="1:9" ht="25.5" customHeight="1" thickBot="1" x14ac:dyDescent="0.25">
      <c r="A90" s="62">
        <v>81</v>
      </c>
      <c r="B90" s="62"/>
      <c r="C90" s="63" t="s">
        <v>53</v>
      </c>
      <c r="D90" s="64" t="s">
        <v>86</v>
      </c>
      <c r="E90" s="65" t="s">
        <v>169</v>
      </c>
      <c r="F90" s="66" t="s">
        <v>62</v>
      </c>
      <c r="G90" s="66">
        <v>5</v>
      </c>
      <c r="H90" s="67">
        <v>850</v>
      </c>
      <c r="I90" s="67">
        <v>4250</v>
      </c>
    </row>
    <row r="91" spans="1:9" ht="25.5" customHeight="1" thickBot="1" x14ac:dyDescent="0.25">
      <c r="A91" s="62">
        <v>82</v>
      </c>
      <c r="B91" s="62"/>
      <c r="C91" s="63" t="s">
        <v>53</v>
      </c>
      <c r="D91" s="64" t="s">
        <v>86</v>
      </c>
      <c r="E91" s="65" t="s">
        <v>170</v>
      </c>
      <c r="F91" s="66" t="s">
        <v>62</v>
      </c>
      <c r="G91" s="66">
        <v>1</v>
      </c>
      <c r="H91" s="67">
        <v>850</v>
      </c>
      <c r="I91" s="67">
        <v>850</v>
      </c>
    </row>
    <row r="92" spans="1:9" ht="25.5" customHeight="1" thickBot="1" x14ac:dyDescent="0.25">
      <c r="A92" s="62">
        <v>83</v>
      </c>
      <c r="B92" s="62"/>
      <c r="C92" s="63" t="s">
        <v>53</v>
      </c>
      <c r="D92" s="64" t="s">
        <v>86</v>
      </c>
      <c r="E92" s="65" t="s">
        <v>171</v>
      </c>
      <c r="F92" s="66" t="s">
        <v>62</v>
      </c>
      <c r="G92" s="66">
        <v>5</v>
      </c>
      <c r="H92" s="67">
        <v>850</v>
      </c>
      <c r="I92" s="67">
        <v>4250</v>
      </c>
    </row>
    <row r="93" spans="1:9" ht="25.5" customHeight="1" thickBot="1" x14ac:dyDescent="0.25">
      <c r="A93" s="62">
        <v>84</v>
      </c>
      <c r="B93" s="62"/>
      <c r="C93" s="63" t="s">
        <v>53</v>
      </c>
      <c r="D93" s="64" t="s">
        <v>86</v>
      </c>
      <c r="E93" s="65" t="s">
        <v>172</v>
      </c>
      <c r="F93" s="66" t="s">
        <v>62</v>
      </c>
      <c r="G93" s="66">
        <v>5</v>
      </c>
      <c r="H93" s="67">
        <v>850</v>
      </c>
      <c r="I93" s="67">
        <v>4250</v>
      </c>
    </row>
    <row r="94" spans="1:9" ht="25.5" customHeight="1" thickBot="1" x14ac:dyDescent="0.25">
      <c r="A94" s="62">
        <v>85</v>
      </c>
      <c r="B94" s="62"/>
      <c r="C94" s="63" t="s">
        <v>53</v>
      </c>
      <c r="D94" s="64" t="s">
        <v>86</v>
      </c>
      <c r="E94" s="65" t="s">
        <v>173</v>
      </c>
      <c r="F94" s="66" t="s">
        <v>62</v>
      </c>
      <c r="G94" s="66">
        <v>5</v>
      </c>
      <c r="H94" s="67">
        <v>850</v>
      </c>
      <c r="I94" s="67">
        <v>4250</v>
      </c>
    </row>
    <row r="95" spans="1:9" ht="25.5" customHeight="1" thickBot="1" x14ac:dyDescent="0.25">
      <c r="A95" s="62">
        <v>86</v>
      </c>
      <c r="B95" s="62"/>
      <c r="C95" s="63" t="s">
        <v>53</v>
      </c>
      <c r="D95" s="64" t="s">
        <v>86</v>
      </c>
      <c r="E95" s="65" t="s">
        <v>174</v>
      </c>
      <c r="F95" s="66" t="s">
        <v>62</v>
      </c>
      <c r="G95" s="66">
        <v>1</v>
      </c>
      <c r="H95" s="67">
        <v>850</v>
      </c>
      <c r="I95" s="67">
        <v>850</v>
      </c>
    </row>
    <row r="96" spans="1:9" ht="25.5" customHeight="1" thickBot="1" x14ac:dyDescent="0.25">
      <c r="A96" s="62">
        <v>87</v>
      </c>
      <c r="B96" s="62"/>
      <c r="C96" s="63" t="s">
        <v>53</v>
      </c>
      <c r="D96" s="64" t="s">
        <v>86</v>
      </c>
      <c r="E96" s="65" t="s">
        <v>175</v>
      </c>
      <c r="F96" s="66" t="s">
        <v>62</v>
      </c>
      <c r="G96" s="66">
        <v>1</v>
      </c>
      <c r="H96" s="67">
        <v>850</v>
      </c>
      <c r="I96" s="67">
        <v>850</v>
      </c>
    </row>
    <row r="97" spans="1:9" ht="25.5" customHeight="1" thickBot="1" x14ac:dyDescent="0.25">
      <c r="A97" s="62">
        <v>88</v>
      </c>
      <c r="B97" s="62"/>
      <c r="C97" s="63" t="s">
        <v>53</v>
      </c>
      <c r="D97" s="64" t="s">
        <v>86</v>
      </c>
      <c r="E97" s="65" t="s">
        <v>176</v>
      </c>
      <c r="F97" s="66" t="s">
        <v>62</v>
      </c>
      <c r="G97" s="66">
        <v>5</v>
      </c>
      <c r="H97" s="67">
        <v>850</v>
      </c>
      <c r="I97" s="67">
        <v>4250</v>
      </c>
    </row>
    <row r="98" spans="1:9" ht="25.5" customHeight="1" thickBot="1" x14ac:dyDescent="0.25">
      <c r="A98" s="62">
        <v>89</v>
      </c>
      <c r="B98" s="62"/>
      <c r="C98" s="63" t="s">
        <v>53</v>
      </c>
      <c r="D98" s="64" t="s">
        <v>86</v>
      </c>
      <c r="E98" s="65" t="s">
        <v>177</v>
      </c>
      <c r="F98" s="66" t="s">
        <v>62</v>
      </c>
      <c r="G98" s="66">
        <v>1</v>
      </c>
      <c r="H98" s="67">
        <v>850</v>
      </c>
      <c r="I98" s="67">
        <v>850</v>
      </c>
    </row>
    <row r="99" spans="1:9" ht="25.5" customHeight="1" thickBot="1" x14ac:dyDescent="0.25">
      <c r="A99" s="62">
        <v>90</v>
      </c>
      <c r="B99" s="62"/>
      <c r="C99" s="63" t="s">
        <v>53</v>
      </c>
      <c r="D99" s="64" t="s">
        <v>86</v>
      </c>
      <c r="E99" s="65" t="s">
        <v>178</v>
      </c>
      <c r="F99" s="66" t="s">
        <v>62</v>
      </c>
      <c r="G99" s="66">
        <v>5</v>
      </c>
      <c r="H99" s="67">
        <v>850</v>
      </c>
      <c r="I99" s="67">
        <v>4250</v>
      </c>
    </row>
    <row r="100" spans="1:9" ht="25.5" customHeight="1" thickBot="1" x14ac:dyDescent="0.25">
      <c r="A100" s="62">
        <v>91</v>
      </c>
      <c r="B100" s="62"/>
      <c r="C100" s="63" t="s">
        <v>53</v>
      </c>
      <c r="D100" s="64" t="s">
        <v>86</v>
      </c>
      <c r="E100" s="65" t="s">
        <v>179</v>
      </c>
      <c r="F100" s="66" t="s">
        <v>62</v>
      </c>
      <c r="G100" s="66">
        <v>5</v>
      </c>
      <c r="H100" s="67">
        <v>850</v>
      </c>
      <c r="I100" s="67">
        <v>4250</v>
      </c>
    </row>
    <row r="101" spans="1:9" ht="25.5" customHeight="1" thickBot="1" x14ac:dyDescent="0.25">
      <c r="A101" s="62">
        <v>92</v>
      </c>
      <c r="B101" s="62"/>
      <c r="C101" s="63" t="s">
        <v>53</v>
      </c>
      <c r="D101" s="64" t="s">
        <v>86</v>
      </c>
      <c r="E101" s="65" t="s">
        <v>180</v>
      </c>
      <c r="F101" s="66" t="s">
        <v>62</v>
      </c>
      <c r="G101" s="66">
        <v>10</v>
      </c>
      <c r="H101" s="67">
        <v>850</v>
      </c>
      <c r="I101" s="67">
        <v>8500</v>
      </c>
    </row>
    <row r="102" spans="1:9" ht="25.5" customHeight="1" thickBot="1" x14ac:dyDescent="0.25">
      <c r="A102" s="62">
        <v>93</v>
      </c>
      <c r="B102" s="62"/>
      <c r="C102" s="63" t="s">
        <v>53</v>
      </c>
      <c r="D102" s="64" t="s">
        <v>86</v>
      </c>
      <c r="E102" s="65" t="s">
        <v>181</v>
      </c>
      <c r="F102" s="66" t="s">
        <v>62</v>
      </c>
      <c r="G102" s="66">
        <v>1</v>
      </c>
      <c r="H102" s="67">
        <v>1350</v>
      </c>
      <c r="I102" s="67">
        <v>1350</v>
      </c>
    </row>
    <row r="103" spans="1:9" ht="25.5" customHeight="1" thickBot="1" x14ac:dyDescent="0.25">
      <c r="A103" s="62">
        <v>94</v>
      </c>
      <c r="B103" s="62"/>
      <c r="C103" s="63" t="s">
        <v>53</v>
      </c>
      <c r="D103" s="64" t="s">
        <v>86</v>
      </c>
      <c r="E103" s="65" t="s">
        <v>182</v>
      </c>
      <c r="F103" s="66" t="s">
        <v>62</v>
      </c>
      <c r="G103" s="66">
        <v>5</v>
      </c>
      <c r="H103" s="67">
        <v>850</v>
      </c>
      <c r="I103" s="67">
        <v>4250</v>
      </c>
    </row>
    <row r="104" spans="1:9" ht="25.5" customHeight="1" thickBot="1" x14ac:dyDescent="0.25">
      <c r="A104" s="62">
        <v>95</v>
      </c>
      <c r="B104" s="62"/>
      <c r="C104" s="63" t="s">
        <v>53</v>
      </c>
      <c r="D104" s="64" t="s">
        <v>86</v>
      </c>
      <c r="E104" s="65" t="s">
        <v>183</v>
      </c>
      <c r="F104" s="66" t="s">
        <v>62</v>
      </c>
      <c r="G104" s="66">
        <v>5</v>
      </c>
      <c r="H104" s="67">
        <v>850</v>
      </c>
      <c r="I104" s="67">
        <v>4250</v>
      </c>
    </row>
    <row r="105" spans="1:9" ht="25.5" customHeight="1" thickBot="1" x14ac:dyDescent="0.25">
      <c r="A105" s="62">
        <v>96</v>
      </c>
      <c r="B105" s="62"/>
      <c r="C105" s="63" t="s">
        <v>53</v>
      </c>
      <c r="D105" s="64" t="s">
        <v>86</v>
      </c>
      <c r="E105" s="65" t="s">
        <v>184</v>
      </c>
      <c r="F105" s="66" t="s">
        <v>62</v>
      </c>
      <c r="G105" s="66">
        <v>2</v>
      </c>
      <c r="H105" s="67">
        <v>850</v>
      </c>
      <c r="I105" s="67">
        <v>1700</v>
      </c>
    </row>
    <row r="106" spans="1:9" ht="25.5" customHeight="1" thickBot="1" x14ac:dyDescent="0.25">
      <c r="A106" s="62">
        <v>97</v>
      </c>
      <c r="B106" s="62"/>
      <c r="C106" s="63" t="s">
        <v>53</v>
      </c>
      <c r="D106" s="64" t="s">
        <v>86</v>
      </c>
      <c r="E106" s="65" t="s">
        <v>185</v>
      </c>
      <c r="F106" s="66" t="s">
        <v>62</v>
      </c>
      <c r="G106" s="66">
        <v>1</v>
      </c>
      <c r="H106" s="67">
        <v>850</v>
      </c>
      <c r="I106" s="67">
        <v>850</v>
      </c>
    </row>
    <row r="107" spans="1:9" ht="25.5" customHeight="1" thickBot="1" x14ac:dyDescent="0.25">
      <c r="A107" s="62">
        <v>98</v>
      </c>
      <c r="B107" s="62"/>
      <c r="C107" s="63" t="s">
        <v>53</v>
      </c>
      <c r="D107" s="64" t="s">
        <v>86</v>
      </c>
      <c r="E107" s="65" t="s">
        <v>186</v>
      </c>
      <c r="F107" s="66" t="s">
        <v>62</v>
      </c>
      <c r="G107" s="66">
        <v>5</v>
      </c>
      <c r="H107" s="67">
        <v>850</v>
      </c>
      <c r="I107" s="67">
        <v>4250</v>
      </c>
    </row>
    <row r="108" spans="1:9" ht="25.5" customHeight="1" thickBot="1" x14ac:dyDescent="0.25">
      <c r="A108" s="62">
        <v>99</v>
      </c>
      <c r="B108" s="62"/>
      <c r="C108" s="63" t="s">
        <v>53</v>
      </c>
      <c r="D108" s="64" t="s">
        <v>86</v>
      </c>
      <c r="E108" s="65" t="s">
        <v>187</v>
      </c>
      <c r="F108" s="66" t="s">
        <v>62</v>
      </c>
      <c r="G108" s="66">
        <v>1</v>
      </c>
      <c r="H108" s="67">
        <v>850</v>
      </c>
      <c r="I108" s="67">
        <v>850</v>
      </c>
    </row>
    <row r="109" spans="1:9" ht="25.5" customHeight="1" thickBot="1" x14ac:dyDescent="0.25">
      <c r="A109" s="62">
        <v>100</v>
      </c>
      <c r="B109" s="62"/>
      <c r="C109" s="63" t="s">
        <v>53</v>
      </c>
      <c r="D109" s="64" t="s">
        <v>86</v>
      </c>
      <c r="E109" s="65" t="s">
        <v>188</v>
      </c>
      <c r="F109" s="66" t="s">
        <v>62</v>
      </c>
      <c r="G109" s="66">
        <v>5</v>
      </c>
      <c r="H109" s="67">
        <v>850</v>
      </c>
      <c r="I109" s="67">
        <v>4250</v>
      </c>
    </row>
    <row r="110" spans="1:9" ht="25.5" customHeight="1" thickBot="1" x14ac:dyDescent="0.25">
      <c r="A110" s="62">
        <v>101</v>
      </c>
      <c r="B110" s="62"/>
      <c r="C110" s="63" t="s">
        <v>53</v>
      </c>
      <c r="D110" s="64" t="s">
        <v>86</v>
      </c>
      <c r="E110" s="65" t="s">
        <v>189</v>
      </c>
      <c r="F110" s="66" t="s">
        <v>62</v>
      </c>
      <c r="G110" s="66">
        <v>5</v>
      </c>
      <c r="H110" s="67">
        <v>850</v>
      </c>
      <c r="I110" s="67">
        <v>4250</v>
      </c>
    </row>
    <row r="111" spans="1:9" ht="25.5" customHeight="1" thickBot="1" x14ac:dyDescent="0.25">
      <c r="A111" s="62">
        <v>102</v>
      </c>
      <c r="B111" s="62"/>
      <c r="C111" s="63" t="s">
        <v>53</v>
      </c>
      <c r="D111" s="64" t="s">
        <v>86</v>
      </c>
      <c r="E111" s="65" t="s">
        <v>190</v>
      </c>
      <c r="F111" s="66" t="s">
        <v>62</v>
      </c>
      <c r="G111" s="66">
        <v>1</v>
      </c>
      <c r="H111" s="67">
        <v>850</v>
      </c>
      <c r="I111" s="67">
        <v>850</v>
      </c>
    </row>
    <row r="112" spans="1:9" ht="25.5" customHeight="1" thickBot="1" x14ac:dyDescent="0.25">
      <c r="A112" s="62">
        <v>103</v>
      </c>
      <c r="B112" s="62"/>
      <c r="C112" s="63" t="s">
        <v>53</v>
      </c>
      <c r="D112" s="64" t="s">
        <v>86</v>
      </c>
      <c r="E112" s="65" t="s">
        <v>191</v>
      </c>
      <c r="F112" s="66" t="s">
        <v>62</v>
      </c>
      <c r="G112" s="66">
        <v>5</v>
      </c>
      <c r="H112" s="67">
        <v>850</v>
      </c>
      <c r="I112" s="67">
        <v>4250</v>
      </c>
    </row>
    <row r="113" spans="1:9" ht="25.5" customHeight="1" thickBot="1" x14ac:dyDescent="0.25">
      <c r="A113" s="62">
        <v>104</v>
      </c>
      <c r="B113" s="62"/>
      <c r="C113" s="63" t="s">
        <v>53</v>
      </c>
      <c r="D113" s="64" t="s">
        <v>86</v>
      </c>
      <c r="E113" s="65" t="s">
        <v>192</v>
      </c>
      <c r="F113" s="66" t="s">
        <v>62</v>
      </c>
      <c r="G113" s="66">
        <v>5</v>
      </c>
      <c r="H113" s="67">
        <v>850</v>
      </c>
      <c r="I113" s="67">
        <v>4250</v>
      </c>
    </row>
    <row r="114" spans="1:9" ht="25.5" customHeight="1" thickBot="1" x14ac:dyDescent="0.25">
      <c r="A114" s="62">
        <v>105</v>
      </c>
      <c r="B114" s="62"/>
      <c r="C114" s="63" t="s">
        <v>53</v>
      </c>
      <c r="D114" s="64" t="s">
        <v>86</v>
      </c>
      <c r="E114" s="65" t="s">
        <v>193</v>
      </c>
      <c r="F114" s="66" t="s">
        <v>62</v>
      </c>
      <c r="G114" s="66">
        <v>5</v>
      </c>
      <c r="H114" s="67">
        <v>850</v>
      </c>
      <c r="I114" s="67">
        <v>4250</v>
      </c>
    </row>
    <row r="115" spans="1:9" ht="25.5" customHeight="1" thickBot="1" x14ac:dyDescent="0.25">
      <c r="A115" s="62">
        <v>106</v>
      </c>
      <c r="B115" s="62"/>
      <c r="C115" s="63" t="s">
        <v>53</v>
      </c>
      <c r="D115" s="64" t="s">
        <v>86</v>
      </c>
      <c r="E115" s="65" t="s">
        <v>194</v>
      </c>
      <c r="F115" s="66" t="s">
        <v>59</v>
      </c>
      <c r="G115" s="66">
        <v>20</v>
      </c>
      <c r="H115" s="67">
        <v>4909</v>
      </c>
      <c r="I115" s="67">
        <v>98180</v>
      </c>
    </row>
    <row r="116" spans="1:9" ht="25.5" customHeight="1" thickBot="1" x14ac:dyDescent="0.25">
      <c r="A116" s="62">
        <v>107</v>
      </c>
      <c r="B116" s="62"/>
      <c r="C116" s="63" t="s">
        <v>53</v>
      </c>
      <c r="D116" s="64" t="s">
        <v>86</v>
      </c>
      <c r="E116" s="65" t="s">
        <v>195</v>
      </c>
      <c r="F116" s="66" t="s">
        <v>51</v>
      </c>
      <c r="G116" s="66">
        <v>10</v>
      </c>
      <c r="H116" s="67">
        <v>2500</v>
      </c>
      <c r="I116" s="67">
        <v>25000</v>
      </c>
    </row>
    <row r="117" spans="1:9" ht="25.5" customHeight="1" thickBot="1" x14ac:dyDescent="0.25">
      <c r="A117" s="62">
        <v>108</v>
      </c>
      <c r="B117" s="62"/>
      <c r="C117" s="63" t="s">
        <v>53</v>
      </c>
      <c r="D117" s="64" t="s">
        <v>86</v>
      </c>
      <c r="E117" s="65" t="s">
        <v>196</v>
      </c>
      <c r="F117" s="66" t="s">
        <v>50</v>
      </c>
      <c r="G117" s="66">
        <v>1</v>
      </c>
      <c r="H117" s="67">
        <v>8358</v>
      </c>
      <c r="I117" s="67">
        <v>8358</v>
      </c>
    </row>
    <row r="118" spans="1:9" ht="25.5" customHeight="1" thickBot="1" x14ac:dyDescent="0.25">
      <c r="A118" s="62">
        <v>109</v>
      </c>
      <c r="B118" s="62"/>
      <c r="C118" s="63" t="s">
        <v>53</v>
      </c>
      <c r="D118" s="64" t="s">
        <v>86</v>
      </c>
      <c r="E118" s="65" t="s">
        <v>197</v>
      </c>
      <c r="F118" s="66" t="s">
        <v>51</v>
      </c>
      <c r="G118" s="66">
        <v>8</v>
      </c>
      <c r="H118" s="67">
        <v>3240</v>
      </c>
      <c r="I118" s="67">
        <v>25920</v>
      </c>
    </row>
    <row r="119" spans="1:9" ht="25.5" customHeight="1" thickBot="1" x14ac:dyDescent="0.25">
      <c r="A119" s="62">
        <v>110</v>
      </c>
      <c r="B119" s="62"/>
      <c r="C119" s="63" t="s">
        <v>53</v>
      </c>
      <c r="D119" s="64" t="s">
        <v>86</v>
      </c>
      <c r="E119" s="65" t="s">
        <v>198</v>
      </c>
      <c r="F119" s="66" t="s">
        <v>59</v>
      </c>
      <c r="G119" s="66">
        <v>6</v>
      </c>
      <c r="H119" s="67">
        <v>7391</v>
      </c>
      <c r="I119" s="67">
        <v>44346</v>
      </c>
    </row>
    <row r="120" spans="1:9" ht="25.5" customHeight="1" thickBot="1" x14ac:dyDescent="0.3">
      <c r="A120" s="62">
        <v>111</v>
      </c>
      <c r="B120" s="62"/>
      <c r="C120" s="68" t="s">
        <v>53</v>
      </c>
      <c r="D120" s="64" t="s">
        <v>86</v>
      </c>
      <c r="E120" s="69" t="s">
        <v>199</v>
      </c>
      <c r="F120" s="70" t="s">
        <v>59</v>
      </c>
      <c r="G120" s="70">
        <v>1</v>
      </c>
      <c r="H120" s="71">
        <v>3700</v>
      </c>
      <c r="I120" s="67">
        <v>3700</v>
      </c>
    </row>
    <row r="121" spans="1:9" ht="25.5" customHeight="1" thickBot="1" x14ac:dyDescent="0.3">
      <c r="A121" s="62">
        <v>112</v>
      </c>
      <c r="B121" s="62"/>
      <c r="C121" s="68" t="s">
        <v>53</v>
      </c>
      <c r="D121" s="64" t="s">
        <v>86</v>
      </c>
      <c r="E121" s="69" t="s">
        <v>200</v>
      </c>
      <c r="F121" s="70" t="s">
        <v>51</v>
      </c>
      <c r="G121" s="70">
        <v>1</v>
      </c>
      <c r="H121" s="71">
        <v>62000</v>
      </c>
      <c r="I121" s="67">
        <v>62000</v>
      </c>
    </row>
    <row r="122" spans="1:9" ht="25.5" customHeight="1" thickBot="1" x14ac:dyDescent="0.3">
      <c r="A122" s="62">
        <v>113</v>
      </c>
      <c r="B122" s="62"/>
      <c r="C122" s="68" t="s">
        <v>53</v>
      </c>
      <c r="D122" s="64" t="s">
        <v>86</v>
      </c>
      <c r="E122" s="69" t="s">
        <v>201</v>
      </c>
      <c r="F122" s="70" t="s">
        <v>51</v>
      </c>
      <c r="G122" s="70">
        <v>1</v>
      </c>
      <c r="H122" s="71">
        <v>62000</v>
      </c>
      <c r="I122" s="67">
        <v>62000</v>
      </c>
    </row>
    <row r="123" spans="1:9" ht="25.5" customHeight="1" thickBot="1" x14ac:dyDescent="0.3">
      <c r="A123" s="62">
        <v>114</v>
      </c>
      <c r="B123" s="62"/>
      <c r="C123" s="68" t="s">
        <v>53</v>
      </c>
      <c r="D123" s="64" t="s">
        <v>86</v>
      </c>
      <c r="E123" s="69" t="s">
        <v>202</v>
      </c>
      <c r="F123" s="70" t="s">
        <v>59</v>
      </c>
      <c r="G123" s="70">
        <v>1</v>
      </c>
      <c r="H123" s="71">
        <v>7737</v>
      </c>
      <c r="I123" s="67">
        <v>7737</v>
      </c>
    </row>
    <row r="124" spans="1:9" ht="25.5" customHeight="1" thickBot="1" x14ac:dyDescent="0.3">
      <c r="A124" s="62">
        <v>115</v>
      </c>
      <c r="B124" s="62"/>
      <c r="C124" s="68" t="s">
        <v>53</v>
      </c>
      <c r="D124" s="64" t="s">
        <v>86</v>
      </c>
      <c r="E124" s="69" t="s">
        <v>203</v>
      </c>
      <c r="F124" s="70" t="s">
        <v>51</v>
      </c>
      <c r="G124" s="70">
        <v>35</v>
      </c>
      <c r="H124" s="71">
        <v>750</v>
      </c>
      <c r="I124" s="67">
        <v>26250</v>
      </c>
    </row>
    <row r="125" spans="1:9" ht="25.5" customHeight="1" thickBot="1" x14ac:dyDescent="0.3">
      <c r="A125" s="62">
        <v>116</v>
      </c>
      <c r="B125" s="62"/>
      <c r="C125" s="68" t="s">
        <v>53</v>
      </c>
      <c r="D125" s="64" t="s">
        <v>86</v>
      </c>
      <c r="E125" s="69" t="s">
        <v>204</v>
      </c>
      <c r="F125" s="70" t="s">
        <v>59</v>
      </c>
      <c r="G125" s="70">
        <v>4</v>
      </c>
      <c r="H125" s="71">
        <v>7701</v>
      </c>
      <c r="I125" s="67">
        <v>30804</v>
      </c>
    </row>
    <row r="126" spans="1:9" ht="25.5" customHeight="1" thickBot="1" x14ac:dyDescent="0.3">
      <c r="A126" s="62">
        <v>117</v>
      </c>
      <c r="B126" s="62"/>
      <c r="C126" s="68" t="s">
        <v>53</v>
      </c>
      <c r="D126" s="64" t="s">
        <v>86</v>
      </c>
      <c r="E126" s="69" t="s">
        <v>205</v>
      </c>
      <c r="F126" s="70" t="s">
        <v>59</v>
      </c>
      <c r="G126" s="70">
        <v>4</v>
      </c>
      <c r="H126" s="71">
        <v>7391</v>
      </c>
      <c r="I126" s="67">
        <v>29564</v>
      </c>
    </row>
    <row r="127" spans="1:9" ht="25.5" customHeight="1" thickBot="1" x14ac:dyDescent="0.3">
      <c r="A127" s="62">
        <v>118</v>
      </c>
      <c r="B127" s="62"/>
      <c r="C127" s="68" t="s">
        <v>53</v>
      </c>
      <c r="D127" s="64" t="s">
        <v>86</v>
      </c>
      <c r="E127" s="69" t="s">
        <v>206</v>
      </c>
      <c r="F127" s="70" t="s">
        <v>59</v>
      </c>
      <c r="G127" s="70">
        <v>4</v>
      </c>
      <c r="H127" s="71">
        <v>7391</v>
      </c>
      <c r="I127" s="67">
        <v>29564</v>
      </c>
    </row>
    <row r="128" spans="1:9" ht="25.5" customHeight="1" thickBot="1" x14ac:dyDescent="0.3">
      <c r="A128" s="62">
        <v>119</v>
      </c>
      <c r="B128" s="62"/>
      <c r="C128" s="68" t="s">
        <v>53</v>
      </c>
      <c r="D128" s="64" t="s">
        <v>86</v>
      </c>
      <c r="E128" s="69" t="s">
        <v>207</v>
      </c>
      <c r="F128" s="70" t="s">
        <v>51</v>
      </c>
      <c r="G128" s="70">
        <v>20</v>
      </c>
      <c r="H128" s="71">
        <v>12836</v>
      </c>
      <c r="I128" s="67">
        <v>256720</v>
      </c>
    </row>
    <row r="129" spans="1:9" ht="25.5" customHeight="1" thickBot="1" x14ac:dyDescent="0.3">
      <c r="A129" s="62">
        <v>120</v>
      </c>
      <c r="B129" s="62"/>
      <c r="C129" s="68" t="s">
        <v>53</v>
      </c>
      <c r="D129" s="64" t="s">
        <v>86</v>
      </c>
      <c r="E129" s="69" t="s">
        <v>66</v>
      </c>
      <c r="F129" s="70" t="s">
        <v>51</v>
      </c>
      <c r="G129" s="70">
        <v>2</v>
      </c>
      <c r="H129" s="71">
        <v>900</v>
      </c>
      <c r="I129" s="67">
        <v>1800</v>
      </c>
    </row>
    <row r="130" spans="1:9" ht="25.5" customHeight="1" thickBot="1" x14ac:dyDescent="0.3">
      <c r="A130" s="62">
        <v>121</v>
      </c>
      <c r="B130" s="62"/>
      <c r="C130" s="68" t="s">
        <v>53</v>
      </c>
      <c r="D130" s="64" t="s">
        <v>86</v>
      </c>
      <c r="E130" s="69" t="s">
        <v>208</v>
      </c>
      <c r="F130" s="70" t="s">
        <v>51</v>
      </c>
      <c r="G130" s="70">
        <v>2</v>
      </c>
      <c r="H130" s="71">
        <v>900</v>
      </c>
      <c r="I130" s="67">
        <v>1800</v>
      </c>
    </row>
    <row r="131" spans="1:9" ht="25.5" customHeight="1" thickBot="1" x14ac:dyDescent="0.3">
      <c r="A131" s="62">
        <v>122</v>
      </c>
      <c r="B131" s="62"/>
      <c r="C131" s="68" t="s">
        <v>53</v>
      </c>
      <c r="D131" s="64" t="s">
        <v>86</v>
      </c>
      <c r="E131" s="69" t="s">
        <v>209</v>
      </c>
      <c r="F131" s="70" t="s">
        <v>59</v>
      </c>
      <c r="G131" s="70">
        <v>1</v>
      </c>
      <c r="H131" s="71">
        <v>12970</v>
      </c>
      <c r="I131" s="67">
        <v>12970</v>
      </c>
    </row>
    <row r="132" spans="1:9" ht="25.5" customHeight="1" thickBot="1" x14ac:dyDescent="0.3">
      <c r="A132" s="62">
        <v>123</v>
      </c>
      <c r="B132" s="62"/>
      <c r="C132" s="68" t="s">
        <v>53</v>
      </c>
      <c r="D132" s="64" t="s">
        <v>86</v>
      </c>
      <c r="E132" s="69" t="s">
        <v>210</v>
      </c>
      <c r="F132" s="70" t="s">
        <v>51</v>
      </c>
      <c r="G132" s="70">
        <v>2</v>
      </c>
      <c r="H132" s="71">
        <v>13600</v>
      </c>
      <c r="I132" s="67">
        <v>27200</v>
      </c>
    </row>
    <row r="133" spans="1:9" ht="25.5" customHeight="1" thickBot="1" x14ac:dyDescent="0.3">
      <c r="A133" s="62">
        <v>124</v>
      </c>
      <c r="B133" s="62"/>
      <c r="C133" s="68" t="s">
        <v>53</v>
      </c>
      <c r="D133" s="64" t="s">
        <v>86</v>
      </c>
      <c r="E133" s="69" t="s">
        <v>211</v>
      </c>
      <c r="F133" s="70" t="s">
        <v>51</v>
      </c>
      <c r="G133" s="70">
        <v>3</v>
      </c>
      <c r="H133" s="71">
        <v>21900</v>
      </c>
      <c r="I133" s="67">
        <v>65700</v>
      </c>
    </row>
    <row r="134" spans="1:9" ht="25.5" customHeight="1" thickBot="1" x14ac:dyDescent="0.25">
      <c r="A134" s="62">
        <v>125</v>
      </c>
      <c r="B134" s="62"/>
      <c r="C134" s="72" t="s">
        <v>53</v>
      </c>
      <c r="D134" s="64" t="s">
        <v>86</v>
      </c>
      <c r="E134" s="69" t="s">
        <v>212</v>
      </c>
      <c r="F134" s="70" t="s">
        <v>51</v>
      </c>
      <c r="G134" s="70">
        <v>1</v>
      </c>
      <c r="H134" s="71">
        <v>28000</v>
      </c>
      <c r="I134" s="67">
        <v>28000</v>
      </c>
    </row>
    <row r="135" spans="1:9" ht="25.5" customHeight="1" thickBot="1" x14ac:dyDescent="0.25">
      <c r="A135" s="62">
        <v>126</v>
      </c>
      <c r="B135" s="62"/>
      <c r="C135" s="72" t="s">
        <v>53</v>
      </c>
      <c r="D135" s="64" t="s">
        <v>86</v>
      </c>
      <c r="E135" s="69" t="s">
        <v>213</v>
      </c>
      <c r="F135" s="70" t="s">
        <v>51</v>
      </c>
      <c r="G135" s="70">
        <v>1</v>
      </c>
      <c r="H135" s="71">
        <v>36000</v>
      </c>
      <c r="I135" s="67">
        <v>36000</v>
      </c>
    </row>
    <row r="136" spans="1:9" ht="25.5" customHeight="1" thickBot="1" x14ac:dyDescent="0.25">
      <c r="A136" s="62">
        <v>127</v>
      </c>
      <c r="B136" s="62"/>
      <c r="C136" s="72" t="s">
        <v>53</v>
      </c>
      <c r="D136" s="64" t="s">
        <v>86</v>
      </c>
      <c r="E136" s="69" t="s">
        <v>214</v>
      </c>
      <c r="F136" s="70" t="s">
        <v>51</v>
      </c>
      <c r="G136" s="70">
        <v>1</v>
      </c>
      <c r="H136" s="71">
        <v>8500</v>
      </c>
      <c r="I136" s="67">
        <v>8500</v>
      </c>
    </row>
    <row r="137" spans="1:9" ht="25.5" customHeight="1" thickBot="1" x14ac:dyDescent="0.25">
      <c r="A137" s="62">
        <v>128</v>
      </c>
      <c r="B137" s="62"/>
      <c r="C137" s="72" t="s">
        <v>53</v>
      </c>
      <c r="D137" s="64" t="s">
        <v>86</v>
      </c>
      <c r="E137" s="69" t="s">
        <v>215</v>
      </c>
      <c r="F137" s="70" t="s">
        <v>51</v>
      </c>
      <c r="G137" s="70">
        <v>1</v>
      </c>
      <c r="H137" s="71">
        <v>140000</v>
      </c>
      <c r="I137" s="67">
        <v>140000</v>
      </c>
    </row>
    <row r="138" spans="1:9" ht="26.25" customHeight="1" thickBot="1" x14ac:dyDescent="0.25">
      <c r="A138" s="62">
        <v>129</v>
      </c>
      <c r="B138" s="62"/>
      <c r="C138" s="73" t="s">
        <v>53</v>
      </c>
      <c r="D138" s="64" t="s">
        <v>86</v>
      </c>
      <c r="E138" s="74" t="s">
        <v>216</v>
      </c>
      <c r="F138" s="75" t="s">
        <v>51</v>
      </c>
      <c r="G138" s="75">
        <v>8</v>
      </c>
      <c r="H138" s="76">
        <v>32422</v>
      </c>
      <c r="I138" s="76">
        <v>259376</v>
      </c>
    </row>
    <row r="139" spans="1:9" ht="26.25" customHeight="1" thickBot="1" x14ac:dyDescent="0.25">
      <c r="A139" s="62">
        <v>130</v>
      </c>
      <c r="B139" s="62"/>
      <c r="C139" s="73" t="s">
        <v>53</v>
      </c>
      <c r="D139" s="64" t="s">
        <v>86</v>
      </c>
      <c r="E139" s="74" t="s">
        <v>217</v>
      </c>
      <c r="F139" s="75" t="s">
        <v>51</v>
      </c>
      <c r="G139" s="75">
        <v>1</v>
      </c>
      <c r="H139" s="76">
        <v>37053</v>
      </c>
      <c r="I139" s="76">
        <v>37053</v>
      </c>
    </row>
    <row r="140" spans="1:9" ht="26.25" customHeight="1" thickBot="1" x14ac:dyDescent="0.25">
      <c r="A140" s="62">
        <v>131</v>
      </c>
      <c r="B140" s="62"/>
      <c r="C140" s="73" t="s">
        <v>53</v>
      </c>
      <c r="D140" s="64" t="s">
        <v>86</v>
      </c>
      <c r="E140" s="74" t="s">
        <v>218</v>
      </c>
      <c r="F140" s="75" t="s">
        <v>51</v>
      </c>
      <c r="G140" s="75">
        <v>4</v>
      </c>
      <c r="H140" s="76">
        <v>54607</v>
      </c>
      <c r="I140" s="76">
        <v>218428</v>
      </c>
    </row>
    <row r="141" spans="1:9" ht="26.25" customHeight="1" thickBot="1" x14ac:dyDescent="0.25">
      <c r="A141" s="62">
        <v>132</v>
      </c>
      <c r="B141" s="62"/>
      <c r="C141" s="73" t="s">
        <v>53</v>
      </c>
      <c r="D141" s="64" t="s">
        <v>86</v>
      </c>
      <c r="E141" s="74" t="s">
        <v>219</v>
      </c>
      <c r="F141" s="75" t="s">
        <v>59</v>
      </c>
      <c r="G141" s="75">
        <v>6</v>
      </c>
      <c r="H141" s="76">
        <v>2925</v>
      </c>
      <c r="I141" s="76">
        <v>17550</v>
      </c>
    </row>
    <row r="142" spans="1:9" ht="26.25" customHeight="1" thickBot="1" x14ac:dyDescent="0.25">
      <c r="A142" s="62">
        <v>133</v>
      </c>
      <c r="B142" s="62"/>
      <c r="C142" s="73" t="s">
        <v>53</v>
      </c>
      <c r="D142" s="64" t="s">
        <v>86</v>
      </c>
      <c r="E142" s="74" t="s">
        <v>220</v>
      </c>
      <c r="F142" s="75" t="s">
        <v>51</v>
      </c>
      <c r="G142" s="75">
        <v>1</v>
      </c>
      <c r="H142" s="76">
        <v>1300</v>
      </c>
      <c r="I142" s="76">
        <v>1300</v>
      </c>
    </row>
    <row r="143" spans="1:9" ht="26.25" customHeight="1" thickBot="1" x14ac:dyDescent="0.25">
      <c r="A143" s="62">
        <v>134</v>
      </c>
      <c r="B143" s="62"/>
      <c r="C143" s="73" t="s">
        <v>53</v>
      </c>
      <c r="D143" s="64" t="s">
        <v>86</v>
      </c>
      <c r="E143" s="74" t="s">
        <v>221</v>
      </c>
      <c r="F143" s="75" t="s">
        <v>51</v>
      </c>
      <c r="G143" s="75">
        <v>2</v>
      </c>
      <c r="H143" s="76">
        <v>850</v>
      </c>
      <c r="I143" s="76">
        <v>1700</v>
      </c>
    </row>
    <row r="144" spans="1:9" ht="26.25" customHeight="1" thickBot="1" x14ac:dyDescent="0.25">
      <c r="A144" s="62">
        <v>135</v>
      </c>
      <c r="B144" s="62"/>
      <c r="C144" s="73" t="s">
        <v>53</v>
      </c>
      <c r="D144" s="64" t="s">
        <v>86</v>
      </c>
      <c r="E144" s="74" t="s">
        <v>222</v>
      </c>
      <c r="F144" s="75" t="s">
        <v>59</v>
      </c>
      <c r="G144" s="75">
        <v>1</v>
      </c>
      <c r="H144" s="76">
        <v>8817</v>
      </c>
      <c r="I144" s="76">
        <v>8817</v>
      </c>
    </row>
    <row r="145" spans="1:9" ht="26.25" customHeight="1" thickBot="1" x14ac:dyDescent="0.25">
      <c r="A145" s="62">
        <v>136</v>
      </c>
      <c r="B145" s="62"/>
      <c r="C145" s="73" t="s">
        <v>53</v>
      </c>
      <c r="D145" s="64" t="s">
        <v>86</v>
      </c>
      <c r="E145" s="74" t="s">
        <v>223</v>
      </c>
      <c r="F145" s="75" t="s">
        <v>51</v>
      </c>
      <c r="G145" s="75">
        <v>2</v>
      </c>
      <c r="H145" s="76">
        <v>18100</v>
      </c>
      <c r="I145" s="76">
        <v>36200</v>
      </c>
    </row>
    <row r="146" spans="1:9" ht="26.25" customHeight="1" thickBot="1" x14ac:dyDescent="0.25">
      <c r="A146" s="62">
        <v>137</v>
      </c>
      <c r="B146" s="62"/>
      <c r="C146" s="73" t="s">
        <v>53</v>
      </c>
      <c r="D146" s="64" t="s">
        <v>86</v>
      </c>
      <c r="E146" s="74" t="s">
        <v>224</v>
      </c>
      <c r="F146" s="75" t="s">
        <v>51</v>
      </c>
      <c r="G146" s="75">
        <v>10</v>
      </c>
      <c r="H146" s="76">
        <v>13000</v>
      </c>
      <c r="I146" s="76">
        <v>130000</v>
      </c>
    </row>
    <row r="147" spans="1:9" ht="26.25" customHeight="1" thickBot="1" x14ac:dyDescent="0.25">
      <c r="A147" s="62">
        <v>138</v>
      </c>
      <c r="B147" s="62"/>
      <c r="C147" s="73" t="s">
        <v>53</v>
      </c>
      <c r="D147" s="64" t="s">
        <v>86</v>
      </c>
      <c r="E147" s="74" t="s">
        <v>225</v>
      </c>
      <c r="F147" s="75" t="s">
        <v>51</v>
      </c>
      <c r="G147" s="75">
        <v>10</v>
      </c>
      <c r="H147" s="76">
        <v>8500</v>
      </c>
      <c r="I147" s="76">
        <v>85000</v>
      </c>
    </row>
    <row r="148" spans="1:9" ht="26.25" customHeight="1" thickBot="1" x14ac:dyDescent="0.25">
      <c r="A148" s="62">
        <v>139</v>
      </c>
      <c r="B148" s="62"/>
      <c r="C148" s="73" t="s">
        <v>53</v>
      </c>
      <c r="D148" s="64" t="s">
        <v>86</v>
      </c>
      <c r="E148" s="74" t="s">
        <v>226</v>
      </c>
      <c r="F148" s="75" t="s">
        <v>51</v>
      </c>
      <c r="G148" s="75">
        <v>10</v>
      </c>
      <c r="H148" s="76">
        <v>6300</v>
      </c>
      <c r="I148" s="76">
        <v>63000</v>
      </c>
    </row>
    <row r="149" spans="1:9" ht="26.25" customHeight="1" thickBot="1" x14ac:dyDescent="0.25">
      <c r="A149" s="62">
        <v>140</v>
      </c>
      <c r="B149" s="62"/>
      <c r="C149" s="73" t="s">
        <v>53</v>
      </c>
      <c r="D149" s="64" t="s">
        <v>86</v>
      </c>
      <c r="E149" s="74" t="s">
        <v>227</v>
      </c>
      <c r="F149" s="75" t="s">
        <v>59</v>
      </c>
      <c r="G149" s="75">
        <v>1</v>
      </c>
      <c r="H149" s="76">
        <v>3854</v>
      </c>
      <c r="I149" s="76">
        <v>3854</v>
      </c>
    </row>
    <row r="150" spans="1:9" ht="26.25" customHeight="1" thickBot="1" x14ac:dyDescent="0.25">
      <c r="A150" s="62">
        <v>141</v>
      </c>
      <c r="B150" s="62"/>
      <c r="C150" s="73" t="s">
        <v>53</v>
      </c>
      <c r="D150" s="64" t="s">
        <v>86</v>
      </c>
      <c r="E150" s="74" t="s">
        <v>228</v>
      </c>
      <c r="F150" s="75" t="s">
        <v>51</v>
      </c>
      <c r="G150" s="75">
        <v>1</v>
      </c>
      <c r="H150" s="76">
        <v>9400</v>
      </c>
      <c r="I150" s="76">
        <v>9400</v>
      </c>
    </row>
    <row r="151" spans="1:9" ht="26.25" customHeight="1" thickBot="1" x14ac:dyDescent="0.25">
      <c r="A151" s="62">
        <v>142</v>
      </c>
      <c r="B151" s="62"/>
      <c r="C151" s="73" t="s">
        <v>53</v>
      </c>
      <c r="D151" s="64" t="s">
        <v>86</v>
      </c>
      <c r="E151" s="74" t="s">
        <v>229</v>
      </c>
      <c r="F151" s="75" t="s">
        <v>51</v>
      </c>
      <c r="G151" s="75">
        <v>2</v>
      </c>
      <c r="H151" s="76">
        <v>49500</v>
      </c>
      <c r="I151" s="76">
        <v>99000</v>
      </c>
    </row>
    <row r="152" spans="1:9" ht="26.25" customHeight="1" thickBot="1" x14ac:dyDescent="0.25">
      <c r="A152" s="62">
        <v>143</v>
      </c>
      <c r="B152" s="62"/>
      <c r="C152" s="73" t="s">
        <v>53</v>
      </c>
      <c r="D152" s="64" t="s">
        <v>86</v>
      </c>
      <c r="E152" s="74" t="s">
        <v>230</v>
      </c>
      <c r="F152" s="75" t="s">
        <v>51</v>
      </c>
      <c r="G152" s="75">
        <v>2</v>
      </c>
      <c r="H152" s="76">
        <v>49500</v>
      </c>
      <c r="I152" s="76">
        <v>99000</v>
      </c>
    </row>
    <row r="153" spans="1:9" ht="26.25" customHeight="1" thickBot="1" x14ac:dyDescent="0.25">
      <c r="A153" s="62">
        <v>144</v>
      </c>
      <c r="B153" s="62"/>
      <c r="C153" s="73" t="s">
        <v>53</v>
      </c>
      <c r="D153" s="64" t="s">
        <v>86</v>
      </c>
      <c r="E153" s="74" t="s">
        <v>231</v>
      </c>
      <c r="F153" s="75" t="s">
        <v>51</v>
      </c>
      <c r="G153" s="75">
        <v>2</v>
      </c>
      <c r="H153" s="76">
        <v>17000</v>
      </c>
      <c r="I153" s="76">
        <v>34000</v>
      </c>
    </row>
    <row r="154" spans="1:9" ht="26.25" customHeight="1" thickBot="1" x14ac:dyDescent="0.25">
      <c r="A154" s="62">
        <v>145</v>
      </c>
      <c r="B154" s="62"/>
      <c r="C154" s="73" t="s">
        <v>53</v>
      </c>
      <c r="D154" s="64" t="s">
        <v>86</v>
      </c>
      <c r="E154" s="74" t="s">
        <v>232</v>
      </c>
      <c r="F154" s="75" t="s">
        <v>51</v>
      </c>
      <c r="G154" s="75">
        <v>2</v>
      </c>
      <c r="H154" s="76">
        <v>30200</v>
      </c>
      <c r="I154" s="76">
        <v>60400</v>
      </c>
    </row>
    <row r="155" spans="1:9" ht="26.25" customHeight="1" thickBot="1" x14ac:dyDescent="0.25">
      <c r="A155" s="62">
        <v>146</v>
      </c>
      <c r="B155" s="62"/>
      <c r="C155" s="73" t="s">
        <v>53</v>
      </c>
      <c r="D155" s="64" t="s">
        <v>86</v>
      </c>
      <c r="E155" s="74" t="s">
        <v>233</v>
      </c>
      <c r="F155" s="75" t="s">
        <v>51</v>
      </c>
      <c r="G155" s="75">
        <v>2</v>
      </c>
      <c r="H155" s="76">
        <v>30200</v>
      </c>
      <c r="I155" s="76">
        <v>60400</v>
      </c>
    </row>
    <row r="156" spans="1:9" ht="26.25" customHeight="1" thickBot="1" x14ac:dyDescent="0.25">
      <c r="A156" s="62">
        <v>147</v>
      </c>
      <c r="B156" s="62"/>
      <c r="C156" s="73" t="s">
        <v>53</v>
      </c>
      <c r="D156" s="64" t="s">
        <v>86</v>
      </c>
      <c r="E156" s="74" t="s">
        <v>234</v>
      </c>
      <c r="F156" s="75" t="s">
        <v>51</v>
      </c>
      <c r="G156" s="75">
        <v>2</v>
      </c>
      <c r="H156" s="76">
        <v>49500</v>
      </c>
      <c r="I156" s="76">
        <v>99000</v>
      </c>
    </row>
    <row r="157" spans="1:9" ht="26.25" customHeight="1" thickBot="1" x14ac:dyDescent="0.25">
      <c r="A157" s="62">
        <v>148</v>
      </c>
      <c r="B157" s="62"/>
      <c r="C157" s="73" t="s">
        <v>53</v>
      </c>
      <c r="D157" s="64" t="s">
        <v>86</v>
      </c>
      <c r="E157" s="74" t="s">
        <v>235</v>
      </c>
      <c r="F157" s="75" t="s">
        <v>51</v>
      </c>
      <c r="G157" s="75">
        <v>3</v>
      </c>
      <c r="H157" s="76">
        <v>6900</v>
      </c>
      <c r="I157" s="76">
        <v>20700</v>
      </c>
    </row>
    <row r="158" spans="1:9" ht="26.25" customHeight="1" thickBot="1" x14ac:dyDescent="0.25">
      <c r="A158" s="62">
        <v>149</v>
      </c>
      <c r="B158" s="62"/>
      <c r="C158" s="73" t="s">
        <v>53</v>
      </c>
      <c r="D158" s="64" t="s">
        <v>86</v>
      </c>
      <c r="E158" s="74" t="s">
        <v>236</v>
      </c>
      <c r="F158" s="75" t="s">
        <v>51</v>
      </c>
      <c r="G158" s="75">
        <v>2</v>
      </c>
      <c r="H158" s="76">
        <v>49500</v>
      </c>
      <c r="I158" s="76">
        <v>99000</v>
      </c>
    </row>
    <row r="159" spans="1:9" ht="26.25" customHeight="1" thickBot="1" x14ac:dyDescent="0.25">
      <c r="A159" s="62">
        <v>150</v>
      </c>
      <c r="B159" s="62"/>
      <c r="C159" s="73" t="s">
        <v>53</v>
      </c>
      <c r="D159" s="64" t="s">
        <v>86</v>
      </c>
      <c r="E159" s="74" t="s">
        <v>237</v>
      </c>
      <c r="F159" s="75" t="s">
        <v>59</v>
      </c>
      <c r="G159" s="75">
        <v>20</v>
      </c>
      <c r="H159" s="76">
        <v>923</v>
      </c>
      <c r="I159" s="76">
        <v>18460</v>
      </c>
    </row>
    <row r="160" spans="1:9" ht="26.25" customHeight="1" thickBot="1" x14ac:dyDescent="0.25">
      <c r="A160" s="62">
        <v>151</v>
      </c>
      <c r="B160" s="62"/>
      <c r="C160" s="73" t="s">
        <v>53</v>
      </c>
      <c r="D160" s="64" t="s">
        <v>86</v>
      </c>
      <c r="E160" s="74" t="s">
        <v>238</v>
      </c>
      <c r="F160" s="75" t="s">
        <v>51</v>
      </c>
      <c r="G160" s="75">
        <v>10</v>
      </c>
      <c r="H160" s="76">
        <v>4050</v>
      </c>
      <c r="I160" s="76">
        <v>40500</v>
      </c>
    </row>
    <row r="161" spans="1:9" ht="26.25" customHeight="1" thickBot="1" x14ac:dyDescent="0.25">
      <c r="A161" s="62">
        <v>152</v>
      </c>
      <c r="B161" s="62"/>
      <c r="C161" s="73" t="s">
        <v>53</v>
      </c>
      <c r="D161" s="64" t="s">
        <v>86</v>
      </c>
      <c r="E161" s="74" t="s">
        <v>239</v>
      </c>
      <c r="F161" s="75" t="s">
        <v>51</v>
      </c>
      <c r="G161" s="75">
        <v>5</v>
      </c>
      <c r="H161" s="76">
        <v>850</v>
      </c>
      <c r="I161" s="76">
        <v>4250</v>
      </c>
    </row>
    <row r="162" spans="1:9" ht="26.25" customHeight="1" thickBot="1" x14ac:dyDescent="0.25">
      <c r="A162" s="62">
        <v>153</v>
      </c>
      <c r="B162" s="62"/>
      <c r="C162" s="73" t="s">
        <v>53</v>
      </c>
      <c r="D162" s="64" t="s">
        <v>86</v>
      </c>
      <c r="E162" s="74" t="s">
        <v>64</v>
      </c>
      <c r="F162" s="75" t="s">
        <v>51</v>
      </c>
      <c r="G162" s="75">
        <v>10</v>
      </c>
      <c r="H162" s="76">
        <v>5300</v>
      </c>
      <c r="I162" s="76">
        <v>53000</v>
      </c>
    </row>
    <row r="163" spans="1:9" ht="26.25" customHeight="1" thickBot="1" x14ac:dyDescent="0.25">
      <c r="A163" s="62">
        <v>154</v>
      </c>
      <c r="B163" s="62"/>
      <c r="C163" s="73" t="s">
        <v>53</v>
      </c>
      <c r="D163" s="64" t="s">
        <v>86</v>
      </c>
      <c r="E163" s="74" t="s">
        <v>65</v>
      </c>
      <c r="F163" s="75" t="s">
        <v>51</v>
      </c>
      <c r="G163" s="75">
        <v>10</v>
      </c>
      <c r="H163" s="76">
        <v>2050</v>
      </c>
      <c r="I163" s="76">
        <v>20500</v>
      </c>
    </row>
    <row r="164" spans="1:9" ht="26.25" customHeight="1" thickBot="1" x14ac:dyDescent="0.25">
      <c r="A164" s="62">
        <v>155</v>
      </c>
      <c r="B164" s="62"/>
      <c r="C164" s="73" t="s">
        <v>53</v>
      </c>
      <c r="D164" s="64" t="s">
        <v>86</v>
      </c>
      <c r="E164" s="74" t="s">
        <v>68</v>
      </c>
      <c r="F164" s="75" t="s">
        <v>51</v>
      </c>
      <c r="G164" s="75">
        <v>3000</v>
      </c>
      <c r="H164" s="76">
        <v>28</v>
      </c>
      <c r="I164" s="76">
        <v>84000</v>
      </c>
    </row>
    <row r="165" spans="1:9" ht="26.25" customHeight="1" thickBot="1" x14ac:dyDescent="0.25">
      <c r="A165" s="62">
        <v>156</v>
      </c>
      <c r="B165" s="62"/>
      <c r="C165" s="73" t="s">
        <v>53</v>
      </c>
      <c r="D165" s="64" t="s">
        <v>86</v>
      </c>
      <c r="E165" s="74" t="s">
        <v>240</v>
      </c>
      <c r="F165" s="75" t="s">
        <v>51</v>
      </c>
      <c r="G165" s="75">
        <v>1</v>
      </c>
      <c r="H165" s="76">
        <v>2600</v>
      </c>
      <c r="I165" s="76">
        <v>2600</v>
      </c>
    </row>
    <row r="166" spans="1:9" ht="26.25" customHeight="1" thickBot="1" x14ac:dyDescent="0.25">
      <c r="A166" s="62">
        <v>157</v>
      </c>
      <c r="B166" s="62"/>
      <c r="C166" s="73" t="s">
        <v>53</v>
      </c>
      <c r="D166" s="64" t="s">
        <v>86</v>
      </c>
      <c r="E166" s="74" t="s">
        <v>241</v>
      </c>
      <c r="F166" s="75" t="s">
        <v>51</v>
      </c>
      <c r="G166" s="75">
        <v>1</v>
      </c>
      <c r="H166" s="76">
        <v>2600</v>
      </c>
      <c r="I166" s="76">
        <v>2600</v>
      </c>
    </row>
    <row r="167" spans="1:9" ht="26.25" customHeight="1" thickBot="1" x14ac:dyDescent="0.25">
      <c r="A167" s="62">
        <v>158</v>
      </c>
      <c r="B167" s="62"/>
      <c r="C167" s="73" t="s">
        <v>291</v>
      </c>
      <c r="D167" s="64" t="s">
        <v>87</v>
      </c>
      <c r="E167" s="74" t="s">
        <v>69</v>
      </c>
      <c r="F167" s="75" t="s">
        <v>51</v>
      </c>
      <c r="G167" s="75">
        <v>5</v>
      </c>
      <c r="H167" s="76">
        <v>160</v>
      </c>
      <c r="I167" s="76">
        <v>800</v>
      </c>
    </row>
    <row r="168" spans="1:9" ht="26.25" customHeight="1" thickBot="1" x14ac:dyDescent="0.25">
      <c r="A168" s="62">
        <v>159</v>
      </c>
      <c r="B168" s="62"/>
      <c r="C168" s="73" t="s">
        <v>53</v>
      </c>
      <c r="D168" s="64" t="s">
        <v>86</v>
      </c>
      <c r="E168" s="74" t="s">
        <v>61</v>
      </c>
      <c r="F168" s="75" t="s">
        <v>51</v>
      </c>
      <c r="G168" s="75">
        <v>1</v>
      </c>
      <c r="H168" s="76">
        <v>60773</v>
      </c>
      <c r="I168" s="76">
        <v>60773</v>
      </c>
    </row>
    <row r="169" spans="1:9" ht="26.25" customHeight="1" thickBot="1" x14ac:dyDescent="0.25">
      <c r="A169" s="62">
        <v>160</v>
      </c>
      <c r="B169" s="62"/>
      <c r="C169" s="73" t="s">
        <v>53</v>
      </c>
      <c r="D169" s="64" t="s">
        <v>86</v>
      </c>
      <c r="E169" s="74" t="s">
        <v>242</v>
      </c>
      <c r="F169" s="75" t="s">
        <v>50</v>
      </c>
      <c r="G169" s="75">
        <v>2</v>
      </c>
      <c r="H169" s="76">
        <v>59291</v>
      </c>
      <c r="I169" s="76">
        <v>118582</v>
      </c>
    </row>
    <row r="170" spans="1:9" ht="26.25" customHeight="1" thickBot="1" x14ac:dyDescent="0.25">
      <c r="A170" s="62">
        <v>161</v>
      </c>
      <c r="B170" s="62"/>
      <c r="C170" s="73" t="s">
        <v>53</v>
      </c>
      <c r="D170" s="64" t="s">
        <v>86</v>
      </c>
      <c r="E170" s="74" t="s">
        <v>243</v>
      </c>
      <c r="F170" s="75" t="s">
        <v>50</v>
      </c>
      <c r="G170" s="75">
        <v>2</v>
      </c>
      <c r="H170" s="76">
        <v>59291</v>
      </c>
      <c r="I170" s="76">
        <v>118582</v>
      </c>
    </row>
    <row r="171" spans="1:9" ht="26.25" customHeight="1" thickBot="1" x14ac:dyDescent="0.25">
      <c r="A171" s="62">
        <v>162</v>
      </c>
      <c r="B171" s="62"/>
      <c r="C171" s="73" t="s">
        <v>53</v>
      </c>
      <c r="D171" s="64" t="s">
        <v>86</v>
      </c>
      <c r="E171" s="74" t="s">
        <v>244</v>
      </c>
      <c r="F171" s="75" t="s">
        <v>50</v>
      </c>
      <c r="G171" s="75">
        <v>1</v>
      </c>
      <c r="H171" s="76">
        <v>25600</v>
      </c>
      <c r="I171" s="76">
        <v>25600</v>
      </c>
    </row>
    <row r="172" spans="1:9" ht="26.25" customHeight="1" thickBot="1" x14ac:dyDescent="0.25">
      <c r="A172" s="62">
        <v>163</v>
      </c>
      <c r="B172" s="62"/>
      <c r="C172" s="73" t="s">
        <v>53</v>
      </c>
      <c r="D172" s="64" t="s">
        <v>86</v>
      </c>
      <c r="E172" s="74" t="s">
        <v>245</v>
      </c>
      <c r="F172" s="75" t="s">
        <v>50</v>
      </c>
      <c r="G172" s="75">
        <v>1</v>
      </c>
      <c r="H172" s="76">
        <v>25600</v>
      </c>
      <c r="I172" s="76">
        <v>25600</v>
      </c>
    </row>
    <row r="173" spans="1:9" ht="26.25" customHeight="1" thickBot="1" x14ac:dyDescent="0.25">
      <c r="A173" s="62">
        <v>164</v>
      </c>
      <c r="B173" s="62"/>
      <c r="C173" s="73" t="s">
        <v>53</v>
      </c>
      <c r="D173" s="64" t="s">
        <v>86</v>
      </c>
      <c r="E173" s="74" t="s">
        <v>246</v>
      </c>
      <c r="F173" s="75" t="s">
        <v>50</v>
      </c>
      <c r="G173" s="75">
        <v>2</v>
      </c>
      <c r="H173" s="76">
        <v>31433</v>
      </c>
      <c r="I173" s="76">
        <v>62866</v>
      </c>
    </row>
    <row r="174" spans="1:9" ht="26.25" customHeight="1" thickBot="1" x14ac:dyDescent="0.25">
      <c r="A174" s="62">
        <v>165</v>
      </c>
      <c r="B174" s="62"/>
      <c r="C174" s="73" t="s">
        <v>53</v>
      </c>
      <c r="D174" s="64" t="s">
        <v>86</v>
      </c>
      <c r="E174" s="74" t="s">
        <v>247</v>
      </c>
      <c r="F174" s="75" t="s">
        <v>50</v>
      </c>
      <c r="G174" s="75">
        <v>2</v>
      </c>
      <c r="H174" s="76">
        <v>31433</v>
      </c>
      <c r="I174" s="76">
        <v>62866</v>
      </c>
    </row>
    <row r="175" spans="1:9" ht="26.25" customHeight="1" thickBot="1" x14ac:dyDescent="0.25">
      <c r="A175" s="62">
        <v>166</v>
      </c>
      <c r="B175" s="62"/>
      <c r="C175" s="73" t="s">
        <v>53</v>
      </c>
      <c r="D175" s="64" t="s">
        <v>86</v>
      </c>
      <c r="E175" s="74" t="s">
        <v>248</v>
      </c>
      <c r="F175" s="75" t="s">
        <v>50</v>
      </c>
      <c r="G175" s="75">
        <v>8</v>
      </c>
      <c r="H175" s="76">
        <v>9723</v>
      </c>
      <c r="I175" s="76">
        <v>77784</v>
      </c>
    </row>
    <row r="176" spans="1:9" ht="26.25" customHeight="1" thickBot="1" x14ac:dyDescent="0.25">
      <c r="A176" s="62">
        <v>167</v>
      </c>
      <c r="B176" s="62"/>
      <c r="C176" s="73" t="s">
        <v>53</v>
      </c>
      <c r="D176" s="64" t="s">
        <v>86</v>
      </c>
      <c r="E176" s="74" t="s">
        <v>249</v>
      </c>
      <c r="F176" s="75" t="s">
        <v>59</v>
      </c>
      <c r="G176" s="75">
        <v>8</v>
      </c>
      <c r="H176" s="76">
        <v>31767</v>
      </c>
      <c r="I176" s="76">
        <v>254136</v>
      </c>
    </row>
    <row r="177" spans="1:9" ht="26.25" customHeight="1" thickBot="1" x14ac:dyDescent="0.25">
      <c r="A177" s="62">
        <v>168</v>
      </c>
      <c r="B177" s="62"/>
      <c r="C177" s="73" t="s">
        <v>53</v>
      </c>
      <c r="D177" s="64" t="s">
        <v>86</v>
      </c>
      <c r="E177" s="74" t="s">
        <v>250</v>
      </c>
      <c r="F177" s="75" t="s">
        <v>59</v>
      </c>
      <c r="G177" s="75">
        <v>4</v>
      </c>
      <c r="H177" s="76">
        <v>1475</v>
      </c>
      <c r="I177" s="76">
        <v>5900</v>
      </c>
    </row>
    <row r="178" spans="1:9" ht="26.25" customHeight="1" thickBot="1" x14ac:dyDescent="0.25">
      <c r="A178" s="62">
        <v>169</v>
      </c>
      <c r="B178" s="62"/>
      <c r="C178" s="73" t="s">
        <v>53</v>
      </c>
      <c r="D178" s="64" t="s">
        <v>86</v>
      </c>
      <c r="E178" s="74" t="s">
        <v>251</v>
      </c>
      <c r="F178" s="75" t="s">
        <v>51</v>
      </c>
      <c r="G178" s="75">
        <v>1</v>
      </c>
      <c r="H178" s="76">
        <v>1300</v>
      </c>
      <c r="I178" s="76">
        <v>1300</v>
      </c>
    </row>
    <row r="179" spans="1:9" ht="26.25" customHeight="1" thickBot="1" x14ac:dyDescent="0.25">
      <c r="A179" s="62">
        <v>170</v>
      </c>
      <c r="B179" s="62"/>
      <c r="C179" s="73" t="s">
        <v>53</v>
      </c>
      <c r="D179" s="64" t="s">
        <v>86</v>
      </c>
      <c r="E179" s="74" t="s">
        <v>252</v>
      </c>
      <c r="F179" s="75" t="s">
        <v>51</v>
      </c>
      <c r="G179" s="75">
        <v>1</v>
      </c>
      <c r="H179" s="76">
        <v>16500</v>
      </c>
      <c r="I179" s="76">
        <v>16500</v>
      </c>
    </row>
    <row r="180" spans="1:9" ht="26.25" customHeight="1" thickBot="1" x14ac:dyDescent="0.25">
      <c r="A180" s="62">
        <v>171</v>
      </c>
      <c r="B180" s="62"/>
      <c r="C180" s="73" t="s">
        <v>53</v>
      </c>
      <c r="D180" s="64" t="s">
        <v>86</v>
      </c>
      <c r="E180" s="74" t="s">
        <v>253</v>
      </c>
      <c r="F180" s="75" t="s">
        <v>51</v>
      </c>
      <c r="G180" s="75">
        <v>1</v>
      </c>
      <c r="H180" s="76">
        <v>24196</v>
      </c>
      <c r="I180" s="76">
        <v>24196</v>
      </c>
    </row>
    <row r="181" spans="1:9" ht="26.25" customHeight="1" thickBot="1" x14ac:dyDescent="0.25">
      <c r="A181" s="62">
        <v>172</v>
      </c>
      <c r="B181" s="62"/>
      <c r="C181" s="73" t="s">
        <v>53</v>
      </c>
      <c r="D181" s="64" t="s">
        <v>86</v>
      </c>
      <c r="E181" s="74" t="s">
        <v>254</v>
      </c>
      <c r="F181" s="75" t="s">
        <v>51</v>
      </c>
      <c r="G181" s="75">
        <v>1</v>
      </c>
      <c r="H181" s="76">
        <v>5600</v>
      </c>
      <c r="I181" s="76">
        <v>5600</v>
      </c>
    </row>
    <row r="182" spans="1:9" ht="26.25" customHeight="1" thickBot="1" x14ac:dyDescent="0.25">
      <c r="A182" s="62">
        <v>173</v>
      </c>
      <c r="B182" s="62"/>
      <c r="C182" s="73" t="s">
        <v>53</v>
      </c>
      <c r="D182" s="64" t="s">
        <v>86</v>
      </c>
      <c r="E182" s="74" t="s">
        <v>255</v>
      </c>
      <c r="F182" s="75" t="s">
        <v>51</v>
      </c>
      <c r="G182" s="75">
        <v>1</v>
      </c>
      <c r="H182" s="76">
        <v>292185</v>
      </c>
      <c r="I182" s="76">
        <v>292185</v>
      </c>
    </row>
    <row r="183" spans="1:9" ht="26.25" customHeight="1" thickBot="1" x14ac:dyDescent="0.25">
      <c r="A183" s="62">
        <v>174</v>
      </c>
      <c r="B183" s="62"/>
      <c r="C183" s="73" t="s">
        <v>53</v>
      </c>
      <c r="D183" s="64" t="s">
        <v>86</v>
      </c>
      <c r="E183" s="74" t="s">
        <v>256</v>
      </c>
      <c r="F183" s="75" t="s">
        <v>50</v>
      </c>
      <c r="G183" s="75">
        <v>3</v>
      </c>
      <c r="H183" s="76">
        <v>19396</v>
      </c>
      <c r="I183" s="76">
        <v>58188</v>
      </c>
    </row>
    <row r="184" spans="1:9" ht="26.25" customHeight="1" thickBot="1" x14ac:dyDescent="0.25">
      <c r="A184" s="62">
        <v>175</v>
      </c>
      <c r="B184" s="62"/>
      <c r="C184" s="73" t="s">
        <v>53</v>
      </c>
      <c r="D184" s="64" t="s">
        <v>86</v>
      </c>
      <c r="E184" s="74" t="s">
        <v>257</v>
      </c>
      <c r="F184" s="75" t="s">
        <v>59</v>
      </c>
      <c r="G184" s="75">
        <v>2</v>
      </c>
      <c r="H184" s="76">
        <v>15456</v>
      </c>
      <c r="I184" s="76">
        <v>30912</v>
      </c>
    </row>
    <row r="185" spans="1:9" ht="26.25" customHeight="1" thickBot="1" x14ac:dyDescent="0.25">
      <c r="A185" s="62">
        <v>176</v>
      </c>
      <c r="B185" s="62"/>
      <c r="C185" s="73" t="s">
        <v>53</v>
      </c>
      <c r="D185" s="64" t="s">
        <v>86</v>
      </c>
      <c r="E185" s="74" t="s">
        <v>258</v>
      </c>
      <c r="F185" s="75" t="s">
        <v>59</v>
      </c>
      <c r="G185" s="75">
        <v>1</v>
      </c>
      <c r="H185" s="76">
        <v>17152</v>
      </c>
      <c r="I185" s="76">
        <v>17152</v>
      </c>
    </row>
    <row r="186" spans="1:9" ht="26.25" customHeight="1" thickBot="1" x14ac:dyDescent="0.25">
      <c r="A186" s="62">
        <v>177</v>
      </c>
      <c r="B186" s="62"/>
      <c r="C186" s="73" t="s">
        <v>53</v>
      </c>
      <c r="D186" s="64" t="s">
        <v>86</v>
      </c>
      <c r="E186" s="74" t="s">
        <v>259</v>
      </c>
      <c r="F186" s="75" t="s">
        <v>59</v>
      </c>
      <c r="G186" s="75">
        <v>1</v>
      </c>
      <c r="H186" s="76">
        <v>15456</v>
      </c>
      <c r="I186" s="76">
        <v>15456</v>
      </c>
    </row>
    <row r="187" spans="1:9" ht="26.25" customHeight="1" thickBot="1" x14ac:dyDescent="0.25">
      <c r="A187" s="62">
        <v>178</v>
      </c>
      <c r="B187" s="62"/>
      <c r="C187" s="73" t="s">
        <v>53</v>
      </c>
      <c r="D187" s="64" t="s">
        <v>86</v>
      </c>
      <c r="E187" s="74" t="s">
        <v>260</v>
      </c>
      <c r="F187" s="75" t="s">
        <v>59</v>
      </c>
      <c r="G187" s="75">
        <v>1</v>
      </c>
      <c r="H187" s="76">
        <v>17152</v>
      </c>
      <c r="I187" s="76">
        <v>17152</v>
      </c>
    </row>
    <row r="188" spans="1:9" ht="26.25" customHeight="1" thickBot="1" x14ac:dyDescent="0.25">
      <c r="A188" s="62">
        <v>179</v>
      </c>
      <c r="B188" s="62"/>
      <c r="C188" s="73" t="s">
        <v>53</v>
      </c>
      <c r="D188" s="64" t="s">
        <v>86</v>
      </c>
      <c r="E188" s="74" t="s">
        <v>261</v>
      </c>
      <c r="F188" s="75" t="s">
        <v>59</v>
      </c>
      <c r="G188" s="75">
        <v>1</v>
      </c>
      <c r="H188" s="76">
        <v>15456</v>
      </c>
      <c r="I188" s="76">
        <v>15456</v>
      </c>
    </row>
    <row r="189" spans="1:9" ht="26.25" customHeight="1" thickBot="1" x14ac:dyDescent="0.25">
      <c r="A189" s="62">
        <v>180</v>
      </c>
      <c r="B189" s="62"/>
      <c r="C189" s="73" t="s">
        <v>53</v>
      </c>
      <c r="D189" s="64" t="s">
        <v>86</v>
      </c>
      <c r="E189" s="74" t="s">
        <v>262</v>
      </c>
      <c r="F189" s="75" t="s">
        <v>59</v>
      </c>
      <c r="G189" s="75">
        <v>1</v>
      </c>
      <c r="H189" s="76">
        <v>15600</v>
      </c>
      <c r="I189" s="76">
        <v>15600</v>
      </c>
    </row>
    <row r="190" spans="1:9" ht="26.25" customHeight="1" thickBot="1" x14ac:dyDescent="0.25">
      <c r="A190" s="62">
        <v>181</v>
      </c>
      <c r="B190" s="62"/>
      <c r="C190" s="73" t="s">
        <v>53</v>
      </c>
      <c r="D190" s="64" t="s">
        <v>86</v>
      </c>
      <c r="E190" s="74" t="s">
        <v>263</v>
      </c>
      <c r="F190" s="75" t="s">
        <v>59</v>
      </c>
      <c r="G190" s="75">
        <v>1</v>
      </c>
      <c r="H190" s="76">
        <v>15456</v>
      </c>
      <c r="I190" s="76">
        <v>15456</v>
      </c>
    </row>
    <row r="191" spans="1:9" ht="26.25" customHeight="1" thickBot="1" x14ac:dyDescent="0.25">
      <c r="A191" s="62">
        <v>182</v>
      </c>
      <c r="B191" s="62"/>
      <c r="C191" s="73" t="s">
        <v>53</v>
      </c>
      <c r="D191" s="64" t="s">
        <v>86</v>
      </c>
      <c r="E191" s="74" t="s">
        <v>264</v>
      </c>
      <c r="F191" s="75" t="s">
        <v>59</v>
      </c>
      <c r="G191" s="75">
        <v>1</v>
      </c>
      <c r="H191" s="76">
        <v>22115</v>
      </c>
      <c r="I191" s="76">
        <v>22115</v>
      </c>
    </row>
    <row r="192" spans="1:9" ht="26.25" customHeight="1" thickBot="1" x14ac:dyDescent="0.25">
      <c r="A192" s="62">
        <v>183</v>
      </c>
      <c r="B192" s="62"/>
      <c r="C192" s="73" t="s">
        <v>53</v>
      </c>
      <c r="D192" s="64" t="s">
        <v>86</v>
      </c>
      <c r="E192" s="74" t="s">
        <v>265</v>
      </c>
      <c r="F192" s="75" t="s">
        <v>59</v>
      </c>
      <c r="G192" s="75">
        <v>1</v>
      </c>
      <c r="H192" s="76">
        <v>12435</v>
      </c>
      <c r="I192" s="76">
        <v>12435</v>
      </c>
    </row>
    <row r="193" spans="1:9" ht="26.25" customHeight="1" thickBot="1" x14ac:dyDescent="0.25">
      <c r="A193" s="62">
        <v>184</v>
      </c>
      <c r="B193" s="62"/>
      <c r="C193" s="73" t="s">
        <v>53</v>
      </c>
      <c r="D193" s="64" t="s">
        <v>86</v>
      </c>
      <c r="E193" s="74" t="s">
        <v>266</v>
      </c>
      <c r="F193" s="75" t="s">
        <v>59</v>
      </c>
      <c r="G193" s="75">
        <v>1</v>
      </c>
      <c r="H193" s="76">
        <v>14901</v>
      </c>
      <c r="I193" s="76">
        <v>14901</v>
      </c>
    </row>
    <row r="194" spans="1:9" ht="26.25" customHeight="1" thickBot="1" x14ac:dyDescent="0.25">
      <c r="A194" s="62">
        <v>185</v>
      </c>
      <c r="B194" s="62"/>
      <c r="C194" s="73" t="s">
        <v>53</v>
      </c>
      <c r="D194" s="64" t="s">
        <v>86</v>
      </c>
      <c r="E194" s="74" t="s">
        <v>267</v>
      </c>
      <c r="F194" s="75" t="s">
        <v>59</v>
      </c>
      <c r="G194" s="75">
        <v>3</v>
      </c>
      <c r="H194" s="76">
        <v>21731</v>
      </c>
      <c r="I194" s="76">
        <v>65193</v>
      </c>
    </row>
    <row r="195" spans="1:9" ht="26.25" customHeight="1" thickBot="1" x14ac:dyDescent="0.25">
      <c r="A195" s="62">
        <v>186</v>
      </c>
      <c r="B195" s="62"/>
      <c r="C195" s="73" t="s">
        <v>53</v>
      </c>
      <c r="D195" s="64" t="s">
        <v>86</v>
      </c>
      <c r="E195" s="74" t="s">
        <v>268</v>
      </c>
      <c r="F195" s="75" t="s">
        <v>59</v>
      </c>
      <c r="G195" s="75">
        <v>3</v>
      </c>
      <c r="H195" s="76">
        <v>11028</v>
      </c>
      <c r="I195" s="76">
        <v>33084</v>
      </c>
    </row>
    <row r="196" spans="1:9" ht="26.25" customHeight="1" thickBot="1" x14ac:dyDescent="0.25">
      <c r="A196" s="62">
        <v>187</v>
      </c>
      <c r="B196" s="62"/>
      <c r="C196" s="73" t="s">
        <v>53</v>
      </c>
      <c r="D196" s="64" t="s">
        <v>86</v>
      </c>
      <c r="E196" s="74" t="s">
        <v>269</v>
      </c>
      <c r="F196" s="75" t="s">
        <v>51</v>
      </c>
      <c r="G196" s="75">
        <v>15</v>
      </c>
      <c r="H196" s="76">
        <v>22500</v>
      </c>
      <c r="I196" s="76">
        <v>337500</v>
      </c>
    </row>
    <row r="197" spans="1:9" ht="26.25" customHeight="1" thickBot="1" x14ac:dyDescent="0.25">
      <c r="A197" s="62">
        <v>188</v>
      </c>
      <c r="B197" s="62"/>
      <c r="C197" s="73" t="s">
        <v>290</v>
      </c>
      <c r="D197" s="64" t="s">
        <v>88</v>
      </c>
      <c r="E197" s="74" t="s">
        <v>270</v>
      </c>
      <c r="F197" s="75" t="s">
        <v>51</v>
      </c>
      <c r="G197" s="75">
        <v>8</v>
      </c>
      <c r="H197" s="76">
        <v>2500</v>
      </c>
      <c r="I197" s="76">
        <v>20000</v>
      </c>
    </row>
    <row r="198" spans="1:9" ht="26.25" customHeight="1" thickBot="1" x14ac:dyDescent="0.25">
      <c r="A198" s="62">
        <v>189</v>
      </c>
      <c r="B198" s="62"/>
      <c r="C198" s="73" t="s">
        <v>290</v>
      </c>
      <c r="D198" s="64" t="s">
        <v>88</v>
      </c>
      <c r="E198" s="74" t="s">
        <v>271</v>
      </c>
      <c r="F198" s="75" t="s">
        <v>51</v>
      </c>
      <c r="G198" s="75">
        <v>10</v>
      </c>
      <c r="H198" s="76">
        <v>2500</v>
      </c>
      <c r="I198" s="76">
        <v>25000</v>
      </c>
    </row>
    <row r="199" spans="1:9" ht="26.25" customHeight="1" thickBot="1" x14ac:dyDescent="0.25">
      <c r="A199" s="62">
        <v>190</v>
      </c>
      <c r="B199" s="62"/>
      <c r="C199" s="73" t="s">
        <v>53</v>
      </c>
      <c r="D199" s="64" t="s">
        <v>86</v>
      </c>
      <c r="E199" s="74" t="s">
        <v>272</v>
      </c>
      <c r="F199" s="75" t="s">
        <v>51</v>
      </c>
      <c r="G199" s="75">
        <v>2</v>
      </c>
      <c r="H199" s="76">
        <v>24000</v>
      </c>
      <c r="I199" s="76">
        <v>48000</v>
      </c>
    </row>
    <row r="200" spans="1:9" ht="26.25" customHeight="1" thickBot="1" x14ac:dyDescent="0.25">
      <c r="A200" s="62">
        <v>191</v>
      </c>
      <c r="B200" s="62"/>
      <c r="C200" s="73" t="s">
        <v>53</v>
      </c>
      <c r="D200" s="64" t="s">
        <v>86</v>
      </c>
      <c r="E200" s="74" t="s">
        <v>273</v>
      </c>
      <c r="F200" s="75" t="s">
        <v>51</v>
      </c>
      <c r="G200" s="75">
        <v>1</v>
      </c>
      <c r="H200" s="76">
        <v>850</v>
      </c>
      <c r="I200" s="76">
        <v>850</v>
      </c>
    </row>
    <row r="201" spans="1:9" ht="26.25" customHeight="1" thickBot="1" x14ac:dyDescent="0.25">
      <c r="A201" s="62">
        <v>192</v>
      </c>
      <c r="B201" s="62"/>
      <c r="C201" s="73" t="s">
        <v>53</v>
      </c>
      <c r="D201" s="64" t="s">
        <v>86</v>
      </c>
      <c r="E201" s="74" t="s">
        <v>274</v>
      </c>
      <c r="F201" s="75" t="s">
        <v>59</v>
      </c>
      <c r="G201" s="75">
        <v>2</v>
      </c>
      <c r="H201" s="76">
        <v>3095</v>
      </c>
      <c r="I201" s="76">
        <v>6190</v>
      </c>
    </row>
    <row r="202" spans="1:9" ht="26.25" customHeight="1" thickBot="1" x14ac:dyDescent="0.25">
      <c r="A202" s="62">
        <v>193</v>
      </c>
      <c r="B202" s="62"/>
      <c r="C202" s="73" t="s">
        <v>53</v>
      </c>
      <c r="D202" s="64" t="s">
        <v>86</v>
      </c>
      <c r="E202" s="74" t="s">
        <v>275</v>
      </c>
      <c r="F202" s="75" t="s">
        <v>51</v>
      </c>
      <c r="G202" s="75">
        <v>5</v>
      </c>
      <c r="H202" s="76">
        <v>850</v>
      </c>
      <c r="I202" s="76">
        <v>4250</v>
      </c>
    </row>
    <row r="203" spans="1:9" ht="26.25" customHeight="1" thickBot="1" x14ac:dyDescent="0.25">
      <c r="A203" s="62">
        <v>194</v>
      </c>
      <c r="B203" s="62"/>
      <c r="C203" s="73" t="s">
        <v>291</v>
      </c>
      <c r="D203" s="64" t="s">
        <v>87</v>
      </c>
      <c r="E203" s="74" t="s">
        <v>71</v>
      </c>
      <c r="F203" s="75" t="s">
        <v>51</v>
      </c>
      <c r="G203" s="75">
        <v>200</v>
      </c>
      <c r="H203" s="76">
        <v>24</v>
      </c>
      <c r="I203" s="76">
        <v>4800</v>
      </c>
    </row>
    <row r="204" spans="1:9" ht="26.25" customHeight="1" thickBot="1" x14ac:dyDescent="0.25">
      <c r="A204" s="62">
        <v>195</v>
      </c>
      <c r="B204" s="62"/>
      <c r="C204" s="73" t="s">
        <v>291</v>
      </c>
      <c r="D204" s="64" t="s">
        <v>87</v>
      </c>
      <c r="E204" s="74" t="s">
        <v>72</v>
      </c>
      <c r="F204" s="75" t="s">
        <v>51</v>
      </c>
      <c r="G204" s="75">
        <v>200</v>
      </c>
      <c r="H204" s="76">
        <v>20</v>
      </c>
      <c r="I204" s="76">
        <v>4000</v>
      </c>
    </row>
    <row r="205" spans="1:9" ht="26.25" customHeight="1" thickBot="1" x14ac:dyDescent="0.25">
      <c r="A205" s="62">
        <v>196</v>
      </c>
      <c r="B205" s="62"/>
      <c r="C205" s="73" t="s">
        <v>53</v>
      </c>
      <c r="D205" s="64" t="s">
        <v>86</v>
      </c>
      <c r="E205" s="74" t="s">
        <v>276</v>
      </c>
      <c r="F205" s="75" t="s">
        <v>59</v>
      </c>
      <c r="G205" s="75">
        <v>1</v>
      </c>
      <c r="H205" s="76">
        <v>5025</v>
      </c>
      <c r="I205" s="76">
        <v>5025</v>
      </c>
    </row>
    <row r="206" spans="1:9" ht="26.25" customHeight="1" thickBot="1" x14ac:dyDescent="0.25">
      <c r="A206" s="62">
        <v>197</v>
      </c>
      <c r="B206" s="62"/>
      <c r="C206" s="73" t="s">
        <v>53</v>
      </c>
      <c r="D206" s="64" t="s">
        <v>86</v>
      </c>
      <c r="E206" s="77" t="s">
        <v>277</v>
      </c>
      <c r="F206" s="78" t="s">
        <v>59</v>
      </c>
      <c r="G206" s="79">
        <v>5</v>
      </c>
      <c r="H206" s="80">
        <v>5249</v>
      </c>
      <c r="I206" s="81">
        <v>26245</v>
      </c>
    </row>
    <row r="207" spans="1:9" ht="26.25" customHeight="1" thickBot="1" x14ac:dyDescent="0.25">
      <c r="A207" s="62">
        <v>198</v>
      </c>
      <c r="B207" s="62"/>
      <c r="C207" s="73" t="s">
        <v>53</v>
      </c>
      <c r="D207" s="64" t="s">
        <v>86</v>
      </c>
      <c r="E207" s="77" t="s">
        <v>60</v>
      </c>
      <c r="F207" s="78" t="s">
        <v>51</v>
      </c>
      <c r="G207" s="79">
        <v>15</v>
      </c>
      <c r="H207" s="80">
        <v>1200</v>
      </c>
      <c r="I207" s="81">
        <v>18000</v>
      </c>
    </row>
    <row r="208" spans="1:9" ht="26.25" customHeight="1" thickBot="1" x14ac:dyDescent="0.25">
      <c r="A208" s="62">
        <v>199</v>
      </c>
      <c r="B208" s="62"/>
      <c r="C208" s="73" t="s">
        <v>53</v>
      </c>
      <c r="D208" s="64" t="s">
        <v>86</v>
      </c>
      <c r="E208" s="77" t="s">
        <v>278</v>
      </c>
      <c r="F208" s="78" t="s">
        <v>51</v>
      </c>
      <c r="G208" s="79">
        <v>1</v>
      </c>
      <c r="H208" s="80">
        <v>850</v>
      </c>
      <c r="I208" s="81">
        <v>850</v>
      </c>
    </row>
    <row r="209" spans="1:9" ht="26.25" customHeight="1" thickBot="1" x14ac:dyDescent="0.25">
      <c r="A209" s="62">
        <v>200</v>
      </c>
      <c r="B209" s="62"/>
      <c r="C209" s="73" t="s">
        <v>53</v>
      </c>
      <c r="D209" s="64" t="s">
        <v>86</v>
      </c>
      <c r="E209" s="77" t="s">
        <v>279</v>
      </c>
      <c r="F209" s="78" t="s">
        <v>50</v>
      </c>
      <c r="G209" s="79">
        <v>20</v>
      </c>
      <c r="H209" s="80">
        <v>1513</v>
      </c>
      <c r="I209" s="81">
        <v>30260</v>
      </c>
    </row>
    <row r="210" spans="1:9" ht="26.25" customHeight="1" thickBot="1" x14ac:dyDescent="0.25">
      <c r="A210" s="62">
        <v>201</v>
      </c>
      <c r="B210" s="62"/>
      <c r="C210" s="73" t="s">
        <v>53</v>
      </c>
      <c r="D210" s="64" t="s">
        <v>86</v>
      </c>
      <c r="E210" s="77" t="s">
        <v>280</v>
      </c>
      <c r="F210" s="78" t="s">
        <v>51</v>
      </c>
      <c r="G210" s="79">
        <v>2</v>
      </c>
      <c r="H210" s="80">
        <v>18100</v>
      </c>
      <c r="I210" s="81">
        <v>36200</v>
      </c>
    </row>
    <row r="211" spans="1:9" ht="26.25" customHeight="1" thickBot="1" x14ac:dyDescent="0.25">
      <c r="A211" s="62">
        <v>202</v>
      </c>
      <c r="B211" s="62"/>
      <c r="C211" s="73" t="s">
        <v>53</v>
      </c>
      <c r="D211" s="64" t="s">
        <v>86</v>
      </c>
      <c r="E211" s="77" t="s">
        <v>281</v>
      </c>
      <c r="F211" s="78" t="s">
        <v>51</v>
      </c>
      <c r="G211" s="79">
        <v>1</v>
      </c>
      <c r="H211" s="80">
        <v>7920</v>
      </c>
      <c r="I211" s="81">
        <v>7920</v>
      </c>
    </row>
    <row r="212" spans="1:9" ht="18.95" customHeight="1" thickBot="1" x14ac:dyDescent="0.25">
      <c r="I212" s="87">
        <f>SUM(I10:I211)</f>
        <v>7479256</v>
      </c>
    </row>
    <row r="214" spans="1:9" ht="13.5" thickBot="1" x14ac:dyDescent="0.25"/>
    <row r="215" spans="1:9" x14ac:dyDescent="0.2">
      <c r="C215" s="43" t="s">
        <v>282</v>
      </c>
      <c r="D215" s="41"/>
      <c r="E215" s="41"/>
      <c r="F215" s="51"/>
    </row>
    <row r="216" spans="1:9" x14ac:dyDescent="0.2">
      <c r="C216" s="44"/>
      <c r="D216" s="82"/>
      <c r="E216" s="82"/>
      <c r="F216" s="50"/>
    </row>
    <row r="217" spans="1:9" ht="24.6" customHeight="1" thickBot="1" x14ac:dyDescent="0.25">
      <c r="C217" s="86" t="s">
        <v>77</v>
      </c>
      <c r="D217" s="113" t="s">
        <v>284</v>
      </c>
      <c r="E217" s="113"/>
      <c r="F217" s="114"/>
    </row>
    <row r="218" spans="1:9" x14ac:dyDescent="0.2">
      <c r="C218" s="43"/>
      <c r="D218" s="115"/>
      <c r="E218" s="115"/>
      <c r="F218" s="116"/>
    </row>
    <row r="219" spans="1:9" x14ac:dyDescent="0.2">
      <c r="C219" s="45" t="s">
        <v>283</v>
      </c>
      <c r="D219" s="83"/>
      <c r="E219" s="84"/>
      <c r="F219" s="49"/>
    </row>
    <row r="220" spans="1:9" x14ac:dyDescent="0.2">
      <c r="C220" s="46"/>
      <c r="D220" s="111"/>
      <c r="E220" s="111"/>
      <c r="F220" s="112"/>
    </row>
    <row r="221" spans="1:9" x14ac:dyDescent="0.2">
      <c r="C221" s="45" t="s">
        <v>78</v>
      </c>
      <c r="D221" s="109" t="s">
        <v>84</v>
      </c>
      <c r="E221" s="109"/>
      <c r="F221" s="110"/>
    </row>
    <row r="222" spans="1:9" x14ac:dyDescent="0.2">
      <c r="C222" s="46"/>
      <c r="D222" s="82"/>
      <c r="E222" s="85"/>
      <c r="F222" s="50"/>
    </row>
    <row r="223" spans="1:9" x14ac:dyDescent="0.2">
      <c r="C223" s="45" t="s">
        <v>79</v>
      </c>
      <c r="D223" s="109" t="s">
        <v>85</v>
      </c>
      <c r="E223" s="109"/>
      <c r="F223" s="110"/>
    </row>
    <row r="224" spans="1:9" x14ac:dyDescent="0.2">
      <c r="C224" s="47"/>
      <c r="D224" s="109"/>
      <c r="E224" s="109"/>
      <c r="F224" s="110"/>
    </row>
    <row r="225" spans="3:6" x14ac:dyDescent="0.2">
      <c r="C225" s="47"/>
      <c r="D225" s="85"/>
      <c r="E225" s="85"/>
      <c r="F225" s="50"/>
    </row>
    <row r="226" spans="3:6" x14ac:dyDescent="0.2">
      <c r="C226" s="45" t="s">
        <v>80</v>
      </c>
      <c r="D226" s="82"/>
      <c r="E226" s="82"/>
      <c r="F226" s="50"/>
    </row>
    <row r="227" spans="3:6" x14ac:dyDescent="0.2">
      <c r="C227" s="44"/>
      <c r="D227" s="107"/>
      <c r="E227" s="107"/>
      <c r="F227" s="108"/>
    </row>
    <row r="228" spans="3:6" x14ac:dyDescent="0.2">
      <c r="C228" s="45" t="s">
        <v>81</v>
      </c>
      <c r="D228" s="107" t="s">
        <v>82</v>
      </c>
      <c r="E228" s="107"/>
      <c r="F228" s="108"/>
    </row>
    <row r="229" spans="3:6" x14ac:dyDescent="0.2">
      <c r="C229" s="44"/>
      <c r="D229" s="107"/>
      <c r="E229" s="107"/>
      <c r="F229" s="108"/>
    </row>
    <row r="230" spans="3:6" x14ac:dyDescent="0.2">
      <c r="C230" s="45" t="s">
        <v>83</v>
      </c>
      <c r="D230" s="82"/>
      <c r="E230" s="82"/>
      <c r="F230" s="50"/>
    </row>
    <row r="231" spans="3:6" x14ac:dyDescent="0.2">
      <c r="C231" s="46"/>
      <c r="D231" s="109"/>
      <c r="E231" s="109"/>
      <c r="F231" s="110"/>
    </row>
    <row r="232" spans="3:6" ht="13.5" thickBot="1" x14ac:dyDescent="0.25">
      <c r="C232" s="48"/>
      <c r="D232" s="42"/>
      <c r="E232" s="42"/>
      <c r="F232" s="52"/>
    </row>
  </sheetData>
  <autoFilter ref="C9:D212" xr:uid="{68D64A68-95F9-4E62-9B94-7A743C2608C4}"/>
  <mergeCells count="17">
    <mergeCell ref="A6:B6"/>
    <mergeCell ref="A7:B7"/>
    <mergeCell ref="A4:B4"/>
    <mergeCell ref="C4:E4"/>
    <mergeCell ref="A5:B5"/>
    <mergeCell ref="C5:E5"/>
    <mergeCell ref="C2:G2"/>
    <mergeCell ref="D229:F229"/>
    <mergeCell ref="D231:F231"/>
    <mergeCell ref="D220:F220"/>
    <mergeCell ref="D221:F221"/>
    <mergeCell ref="D223:F223"/>
    <mergeCell ref="D224:F224"/>
    <mergeCell ref="D227:F227"/>
    <mergeCell ref="D228:F228"/>
    <mergeCell ref="D217:F217"/>
    <mergeCell ref="D218:F218"/>
  </mergeCells>
  <phoneticPr fontId="35" type="noConversion"/>
  <conditionalFormatting sqref="E208 E206">
    <cfRule type="duplicateValues" dxfId="5" priority="4"/>
    <cfRule type="duplicateValues" dxfId="4" priority="5"/>
    <cfRule type="cellIs" dxfId="3" priority="6" operator="equal">
      <formula>"calibra"</formula>
    </cfRule>
  </conditionalFormatting>
  <conditionalFormatting sqref="E210">
    <cfRule type="duplicateValues" dxfId="2" priority="1"/>
    <cfRule type="duplicateValues" dxfId="1" priority="2"/>
    <cfRule type="cellIs" dxfId="0" priority="3" operator="equal">
      <formula>"calibra"</formula>
    </cfRule>
  </conditionalFormatting>
  <pageMargins left="0.7" right="0.7" top="0.75" bottom="0.75" header="0.51180555555555496" footer="0.51180555555555496"/>
  <pageSetup paperSize="5" scale="80" firstPageNumber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218"/>
  <sheetViews>
    <sheetView topLeftCell="A208" zoomScale="90" zoomScaleNormal="90" workbookViewId="0">
      <selection activeCell="A2" sqref="A2"/>
    </sheetView>
  </sheetViews>
  <sheetFormatPr baseColWidth="10" defaultColWidth="9.140625" defaultRowHeight="12.75" x14ac:dyDescent="0.2"/>
  <cols>
    <col min="1" max="1" width="5" style="25" customWidth="1"/>
    <col min="2" max="2" width="17.5703125" style="25" customWidth="1"/>
    <col min="3" max="3" width="14.140625" style="25" customWidth="1"/>
    <col min="4" max="4" width="48.140625" style="25" customWidth="1"/>
    <col min="5" max="5" width="29.140625" style="25" customWidth="1"/>
    <col min="6" max="6" width="12.42578125" style="25" customWidth="1"/>
    <col min="7" max="7" width="15.5703125" style="25" customWidth="1"/>
    <col min="8" max="8" width="14.7109375" style="25" customWidth="1"/>
    <col min="9" max="9" width="18.28515625" style="25" customWidth="1"/>
    <col min="10" max="10" width="28.7109375" style="2" customWidth="1"/>
    <col min="11" max="1000" width="9.140625" style="2"/>
  </cols>
  <sheetData>
    <row r="1" spans="1:10" ht="18" customHeight="1" thickBot="1" x14ac:dyDescent="0.25">
      <c r="A1" s="123" t="s">
        <v>11</v>
      </c>
      <c r="B1" s="123"/>
      <c r="C1" s="123"/>
      <c r="D1" s="123"/>
      <c r="E1" s="123"/>
      <c r="F1" s="123"/>
      <c r="G1" s="123"/>
      <c r="H1" s="19" t="s">
        <v>12</v>
      </c>
      <c r="I1" s="20" t="s">
        <v>56</v>
      </c>
    </row>
    <row r="2" spans="1:10" ht="18.75" customHeight="1" thickBot="1" x14ac:dyDescent="0.25">
      <c r="A2" s="21"/>
      <c r="B2" s="21"/>
      <c r="C2" s="21"/>
      <c r="D2" s="22"/>
      <c r="E2" s="22"/>
      <c r="F2" s="22"/>
      <c r="G2" s="22"/>
      <c r="H2" s="22"/>
      <c r="I2" s="22"/>
    </row>
    <row r="3" spans="1:10" ht="18.75" customHeight="1" thickBot="1" x14ac:dyDescent="0.25">
      <c r="A3" s="124" t="s">
        <v>45</v>
      </c>
      <c r="B3" s="124"/>
      <c r="C3" s="124"/>
      <c r="D3" s="132" t="s">
        <v>55</v>
      </c>
      <c r="E3" s="133"/>
      <c r="F3" s="133"/>
      <c r="G3" s="133"/>
      <c r="H3" s="133"/>
      <c r="I3" s="134"/>
    </row>
    <row r="4" spans="1:10" ht="18.75" customHeight="1" thickBot="1" x14ac:dyDescent="0.25">
      <c r="A4" s="125" t="s">
        <v>46</v>
      </c>
      <c r="B4" s="125"/>
      <c r="C4" s="125"/>
      <c r="D4" s="132" t="s">
        <v>286</v>
      </c>
      <c r="E4" s="133"/>
      <c r="F4" s="133"/>
      <c r="G4" s="133"/>
      <c r="H4" s="133"/>
      <c r="I4" s="134"/>
    </row>
    <row r="5" spans="1:10" ht="21.75" customHeight="1" thickBot="1" x14ac:dyDescent="0.25">
      <c r="A5" s="125" t="s">
        <v>24</v>
      </c>
      <c r="B5" s="125"/>
      <c r="C5" s="125"/>
      <c r="D5" s="129" t="s">
        <v>75</v>
      </c>
      <c r="E5" s="130"/>
      <c r="F5" s="130"/>
      <c r="G5" s="130"/>
      <c r="H5" s="130"/>
      <c r="I5" s="131"/>
    </row>
    <row r="6" spans="1:10" ht="16.5" customHeight="1" thickBot="1" x14ac:dyDescent="0.25">
      <c r="A6" s="124" t="s">
        <v>47</v>
      </c>
      <c r="B6" s="124"/>
      <c r="C6" s="124"/>
      <c r="D6" s="129" t="s">
        <v>75</v>
      </c>
      <c r="E6" s="130"/>
      <c r="F6" s="130"/>
      <c r="G6" s="130"/>
      <c r="H6" s="130"/>
      <c r="I6" s="131"/>
    </row>
    <row r="7" spans="1:10" ht="16.5" customHeight="1" thickBot="1" x14ac:dyDescent="0.25">
      <c r="A7" s="125" t="s">
        <v>13</v>
      </c>
      <c r="B7" s="125"/>
      <c r="C7" s="125"/>
      <c r="D7" s="126" t="s">
        <v>76</v>
      </c>
      <c r="E7" s="126"/>
      <c r="F7" s="126"/>
      <c r="G7" s="126"/>
      <c r="H7" s="126"/>
      <c r="I7" s="126"/>
    </row>
    <row r="8" spans="1:10" ht="16.5" customHeight="1" thickBot="1" x14ac:dyDescent="0.25">
      <c r="A8" s="127" t="s">
        <v>14</v>
      </c>
      <c r="B8" s="127"/>
      <c r="C8" s="127"/>
      <c r="D8" s="128" t="s">
        <v>54</v>
      </c>
      <c r="E8" s="128"/>
      <c r="F8" s="128"/>
      <c r="G8" s="128"/>
      <c r="H8" s="128"/>
      <c r="I8" s="128"/>
    </row>
    <row r="9" spans="1:10" ht="16.5" thickBot="1" x14ac:dyDescent="0.25">
      <c r="A9" s="23"/>
      <c r="B9" s="23"/>
      <c r="C9" s="23"/>
      <c r="D9" s="24"/>
      <c r="E9" s="24"/>
      <c r="F9" s="24"/>
      <c r="G9" s="24"/>
      <c r="H9" s="24"/>
      <c r="I9" s="24"/>
    </row>
    <row r="10" spans="1:10" ht="18.75" customHeight="1" thickBot="1" x14ac:dyDescent="0.25">
      <c r="A10" s="135" t="s">
        <v>15</v>
      </c>
      <c r="B10" s="122" t="s">
        <v>16</v>
      </c>
      <c r="C10" s="122" t="s">
        <v>17</v>
      </c>
      <c r="D10" s="122"/>
      <c r="E10" s="122"/>
      <c r="F10" s="122" t="s">
        <v>18</v>
      </c>
      <c r="G10" s="122" t="s">
        <v>19</v>
      </c>
      <c r="H10" s="122" t="s">
        <v>20</v>
      </c>
      <c r="I10" s="122" t="s">
        <v>21</v>
      </c>
    </row>
    <row r="11" spans="1:10" ht="24" customHeight="1" thickBot="1" x14ac:dyDescent="0.25">
      <c r="A11" s="135"/>
      <c r="B11" s="122"/>
      <c r="C11" s="122"/>
      <c r="D11" s="122"/>
      <c r="E11" s="122"/>
      <c r="F11" s="122"/>
      <c r="G11" s="122"/>
      <c r="H11" s="122"/>
      <c r="I11" s="122"/>
    </row>
    <row r="12" spans="1:10" ht="43.5" customHeight="1" thickBot="1" x14ac:dyDescent="0.25">
      <c r="A12" s="54">
        <f>'Necesidades Trimestrales'!A10</f>
        <v>1</v>
      </c>
      <c r="B12" s="55">
        <v>0</v>
      </c>
      <c r="C12" s="119" t="str">
        <f>'Necesidades Trimestrales'!E10</f>
        <v>2010 ASSAY CUP</v>
      </c>
      <c r="D12" s="119"/>
      <c r="E12" s="119"/>
      <c r="F12" s="56" t="s">
        <v>52</v>
      </c>
      <c r="G12" s="56" t="str">
        <f>'Necesidades Trimestrales'!F10</f>
        <v>CAJA</v>
      </c>
      <c r="H12" s="57">
        <f>'Necesidades Trimestrales'!H10</f>
        <v>25309</v>
      </c>
      <c r="I12" s="58">
        <f>'Necesidades Trimestrales'!G10</f>
        <v>6</v>
      </c>
      <c r="J12" s="32"/>
    </row>
    <row r="13" spans="1:10" ht="45" customHeight="1" thickBot="1" x14ac:dyDescent="0.25">
      <c r="A13" s="54">
        <f>'Necesidades Trimestrales'!A11</f>
        <v>2</v>
      </c>
      <c r="B13" s="55">
        <v>0</v>
      </c>
      <c r="C13" s="119" t="str">
        <f>'Necesidades Trimestrales'!E11</f>
        <v>2010 ASSAY TIP</v>
      </c>
      <c r="D13" s="119"/>
      <c r="E13" s="119"/>
      <c r="F13" s="56" t="s">
        <v>52</v>
      </c>
      <c r="G13" s="56" t="str">
        <f>'Necesidades Trimestrales'!F11</f>
        <v>CAJA</v>
      </c>
      <c r="H13" s="57">
        <f>'Necesidades Trimestrales'!H11</f>
        <v>19318</v>
      </c>
      <c r="I13" s="58">
        <f>'Necesidades Trimestrales'!G11</f>
        <v>6</v>
      </c>
      <c r="J13" s="32"/>
    </row>
    <row r="14" spans="1:10" ht="45" customHeight="1" thickBot="1" x14ac:dyDescent="0.25">
      <c r="A14" s="54">
        <f>'Necesidades Trimestrales'!A12</f>
        <v>3</v>
      </c>
      <c r="B14" s="55">
        <v>0</v>
      </c>
      <c r="C14" s="119" t="str">
        <f>'Necesidades Trimestrales'!E12</f>
        <v>AC. BORONICO 300 UG 50 DISCO</v>
      </c>
      <c r="D14" s="119"/>
      <c r="E14" s="119"/>
      <c r="F14" s="56" t="s">
        <v>52</v>
      </c>
      <c r="G14" s="56" t="str">
        <f>'Necesidades Trimestrales'!F12</f>
        <v>UNIDAD</v>
      </c>
      <c r="H14" s="57">
        <f>'Necesidades Trimestrales'!H12</f>
        <v>3100</v>
      </c>
      <c r="I14" s="58">
        <f>'Necesidades Trimestrales'!G12</f>
        <v>2</v>
      </c>
      <c r="J14" s="32"/>
    </row>
    <row r="15" spans="1:10" ht="37.5" customHeight="1" thickBot="1" x14ac:dyDescent="0.25">
      <c r="A15" s="54">
        <f>'Necesidades Trimestrales'!A13</f>
        <v>4</v>
      </c>
      <c r="B15" s="55">
        <v>0</v>
      </c>
      <c r="C15" s="119" t="str">
        <f>'Necesidades Trimestrales'!E13</f>
        <v>ACEITE DE INMERSIÓN : X 100 ML</v>
      </c>
      <c r="D15" s="119"/>
      <c r="E15" s="119"/>
      <c r="F15" s="56" t="s">
        <v>52</v>
      </c>
      <c r="G15" s="56" t="str">
        <f>'Necesidades Trimestrales'!F13</f>
        <v>FRASCO</v>
      </c>
      <c r="H15" s="57">
        <f>'Necesidades Trimestrales'!H13</f>
        <v>1500</v>
      </c>
      <c r="I15" s="58">
        <f>'Necesidades Trimestrales'!G13</f>
        <v>1</v>
      </c>
      <c r="J15" s="32"/>
    </row>
    <row r="16" spans="1:10" ht="41.25" customHeight="1" thickBot="1" x14ac:dyDescent="0.25">
      <c r="A16" s="54">
        <f>'Necesidades Trimestrales'!A14</f>
        <v>5</v>
      </c>
      <c r="B16" s="55">
        <v>0</v>
      </c>
      <c r="C16" s="119" t="str">
        <f>'Necesidades Trimestrales'!E14</f>
        <v>ACIDO FUSIDICO 10 µGR DISCO  X 50 UN</v>
      </c>
      <c r="D16" s="119"/>
      <c r="E16" s="119"/>
      <c r="F16" s="56" t="s">
        <v>52</v>
      </c>
      <c r="G16" s="56" t="str">
        <f>'Necesidades Trimestrales'!F14</f>
        <v>UNIDAD</v>
      </c>
      <c r="H16" s="57">
        <f>'Necesidades Trimestrales'!H14</f>
        <v>850</v>
      </c>
      <c r="I16" s="58">
        <f>'Necesidades Trimestrales'!G14</f>
        <v>5</v>
      </c>
      <c r="J16" s="32"/>
    </row>
    <row r="17" spans="1:10" ht="48.75" customHeight="1" thickBot="1" x14ac:dyDescent="0.25">
      <c r="A17" s="54">
        <f>'Necesidades Trimestrales'!A15</f>
        <v>6</v>
      </c>
      <c r="B17" s="55">
        <v>0</v>
      </c>
      <c r="C17" s="119" t="str">
        <f>'Necesidades Trimestrales'!E15</f>
        <v>ACIDO LACTICO COBAS C-311 ROCHE  X  100 DET</v>
      </c>
      <c r="D17" s="119"/>
      <c r="E17" s="119"/>
      <c r="F17" s="56" t="s">
        <v>52</v>
      </c>
      <c r="G17" s="56" t="str">
        <f>'Necesidades Trimestrales'!F15</f>
        <v>CASSETTE</v>
      </c>
      <c r="H17" s="57">
        <f>'Necesidades Trimestrales'!H15</f>
        <v>6007</v>
      </c>
      <c r="I17" s="58">
        <f>'Necesidades Trimestrales'!G15</f>
        <v>1</v>
      </c>
      <c r="J17" s="32"/>
    </row>
    <row r="18" spans="1:10" ht="48.75" customHeight="1" thickBot="1" x14ac:dyDescent="0.25">
      <c r="A18" s="54">
        <f>'Necesidades Trimestrales'!A16</f>
        <v>7</v>
      </c>
      <c r="B18" s="55">
        <v>0</v>
      </c>
      <c r="C18" s="119" t="str">
        <f>'Necesidades Trimestrales'!E16</f>
        <v>ACIDO URICO COBAS C-311 ROCHE  X 400 DET</v>
      </c>
      <c r="D18" s="119"/>
      <c r="E18" s="119"/>
      <c r="F18" s="56" t="s">
        <v>52</v>
      </c>
      <c r="G18" s="56" t="str">
        <f>'Necesidades Trimestrales'!F16</f>
        <v>CASSETTE</v>
      </c>
      <c r="H18" s="57">
        <f>'Necesidades Trimestrales'!H16</f>
        <v>4661</v>
      </c>
      <c r="I18" s="58">
        <f>'Necesidades Trimestrales'!G16</f>
        <v>4</v>
      </c>
      <c r="J18" s="32"/>
    </row>
    <row r="19" spans="1:10" ht="37.5" customHeight="1" thickBot="1" x14ac:dyDescent="0.25">
      <c r="A19" s="54">
        <f>'Necesidades Trimestrales'!A17</f>
        <v>8</v>
      </c>
      <c r="B19" s="55">
        <v>0</v>
      </c>
      <c r="C19" s="119" t="str">
        <f>'Necesidades Trimestrales'!E17</f>
        <v>AGAR BASE SANGRE :  X 500 GR</v>
      </c>
      <c r="D19" s="119"/>
      <c r="E19" s="119"/>
      <c r="F19" s="56" t="s">
        <v>52</v>
      </c>
      <c r="G19" s="56" t="str">
        <f>'Necesidades Trimestrales'!F17</f>
        <v>FRASCO</v>
      </c>
      <c r="H19" s="57">
        <f>'Necesidades Trimestrales'!H17</f>
        <v>11900</v>
      </c>
      <c r="I19" s="58">
        <f>'Necesidades Trimestrales'!G17</f>
        <v>1</v>
      </c>
      <c r="J19" s="32"/>
    </row>
    <row r="20" spans="1:10" ht="39.75" customHeight="1" thickBot="1" x14ac:dyDescent="0.25">
      <c r="A20" s="54">
        <f>'Necesidades Trimestrales'!A18</f>
        <v>9</v>
      </c>
      <c r="B20" s="55">
        <v>0</v>
      </c>
      <c r="C20" s="119" t="str">
        <f>'Necesidades Trimestrales'!E18</f>
        <v>AGAR BILIS ESCULINA, ESTADO: SOLIDO, PRESENTACION: ENVASE X 100 GR</v>
      </c>
      <c r="D20" s="119"/>
      <c r="E20" s="119"/>
      <c r="F20" s="56" t="s">
        <v>52</v>
      </c>
      <c r="G20" s="56" t="str">
        <f>'Necesidades Trimestrales'!F18</f>
        <v>FRASCO</v>
      </c>
      <c r="H20" s="57">
        <f>'Necesidades Trimestrales'!H18</f>
        <v>14300</v>
      </c>
      <c r="I20" s="58">
        <f>'Necesidades Trimestrales'!G18</f>
        <v>1</v>
      </c>
      <c r="J20" s="32"/>
    </row>
    <row r="21" spans="1:10" ht="39.75" customHeight="1" thickBot="1" x14ac:dyDescent="0.25">
      <c r="A21" s="54">
        <f>'Necesidades Trimestrales'!A19</f>
        <v>10</v>
      </c>
      <c r="B21" s="55">
        <v>0</v>
      </c>
      <c r="C21" s="119" t="str">
        <f>'Necesidades Trimestrales'!E19</f>
        <v>AGAR C.L.D.E:  X 500 GR</v>
      </c>
      <c r="D21" s="119"/>
      <c r="E21" s="119"/>
      <c r="F21" s="56" t="s">
        <v>52</v>
      </c>
      <c r="G21" s="56" t="str">
        <f>'Necesidades Trimestrales'!F19</f>
        <v>FRASCO</v>
      </c>
      <c r="H21" s="57">
        <f>'Necesidades Trimestrales'!H19</f>
        <v>10150</v>
      </c>
      <c r="I21" s="58">
        <f>'Necesidades Trimestrales'!G19</f>
        <v>1</v>
      </c>
      <c r="J21" s="32"/>
    </row>
    <row r="22" spans="1:10" ht="39" customHeight="1" thickBot="1" x14ac:dyDescent="0.25">
      <c r="A22" s="54">
        <f>'Necesidades Trimestrales'!A20</f>
        <v>11</v>
      </c>
      <c r="B22" s="55">
        <v>0</v>
      </c>
      <c r="C22" s="119" t="str">
        <f>'Necesidades Trimestrales'!E20</f>
        <v>AGAR CITRATO DE SIMMONS, ESTADO: SOLIDO, PRESENTACION: ENVASE X 100 GR</v>
      </c>
      <c r="D22" s="119"/>
      <c r="E22" s="119"/>
      <c r="F22" s="56" t="s">
        <v>52</v>
      </c>
      <c r="G22" s="56" t="str">
        <f>'Necesidades Trimestrales'!F20</f>
        <v>FRASCO</v>
      </c>
      <c r="H22" s="57">
        <f>'Necesidades Trimestrales'!H20</f>
        <v>4160</v>
      </c>
      <c r="I22" s="58">
        <f>'Necesidades Trimestrales'!G20</f>
        <v>1</v>
      </c>
      <c r="J22" s="32"/>
    </row>
    <row r="23" spans="1:10" ht="39" customHeight="1" thickBot="1" x14ac:dyDescent="0.25">
      <c r="A23" s="54">
        <f>'Necesidades Trimestrales'!A21</f>
        <v>12</v>
      </c>
      <c r="B23" s="55">
        <v>0</v>
      </c>
      <c r="C23" s="119" t="str">
        <f>'Necesidades Trimestrales'!E21</f>
        <v>AGAR DNASA:  X 100 GR</v>
      </c>
      <c r="D23" s="119"/>
      <c r="E23" s="119"/>
      <c r="F23" s="56" t="s">
        <v>52</v>
      </c>
      <c r="G23" s="56" t="str">
        <f>'Necesidades Trimestrales'!F21</f>
        <v>FRASCO</v>
      </c>
      <c r="H23" s="57">
        <f>'Necesidades Trimestrales'!H21</f>
        <v>9800</v>
      </c>
      <c r="I23" s="58">
        <f>'Necesidades Trimestrales'!G21</f>
        <v>1</v>
      </c>
      <c r="J23" s="32"/>
    </row>
    <row r="24" spans="1:10" ht="36" customHeight="1" thickBot="1" x14ac:dyDescent="0.25">
      <c r="A24" s="54">
        <f>'Necesidades Trimestrales'!A22</f>
        <v>13</v>
      </c>
      <c r="B24" s="55">
        <v>0</v>
      </c>
      <c r="C24" s="119" t="str">
        <f>'Necesidades Trimestrales'!E22</f>
        <v>AGAR HIERRO TRIPLE AZUCAR, ESTADO: SOLIDO, PRESENTACION: ENVASE X 100 GR</v>
      </c>
      <c r="D24" s="119"/>
      <c r="E24" s="119"/>
      <c r="F24" s="56" t="s">
        <v>52</v>
      </c>
      <c r="G24" s="56" t="str">
        <f>'Necesidades Trimestrales'!F22</f>
        <v>FRASCO</v>
      </c>
      <c r="H24" s="57">
        <f>'Necesidades Trimestrales'!H22</f>
        <v>3200</v>
      </c>
      <c r="I24" s="58">
        <f>'Necesidades Trimestrales'!G22</f>
        <v>1</v>
      </c>
      <c r="J24" s="32"/>
    </row>
    <row r="25" spans="1:10" ht="35.25" customHeight="1" thickBot="1" x14ac:dyDescent="0.25">
      <c r="A25" s="54">
        <f>'Necesidades Trimestrales'!A23</f>
        <v>14</v>
      </c>
      <c r="B25" s="55">
        <v>0</v>
      </c>
      <c r="C25" s="119" t="str">
        <f>'Necesidades Trimestrales'!E23</f>
        <v>AGAR LEVINE: X 500 GR</v>
      </c>
      <c r="D25" s="119"/>
      <c r="E25" s="119"/>
      <c r="F25" s="56" t="s">
        <v>52</v>
      </c>
      <c r="G25" s="56" t="str">
        <f>'Necesidades Trimestrales'!F23</f>
        <v>FRASCO</v>
      </c>
      <c r="H25" s="57">
        <f>'Necesidades Trimestrales'!H23</f>
        <v>10300</v>
      </c>
      <c r="I25" s="58">
        <f>'Necesidades Trimestrales'!G23</f>
        <v>1</v>
      </c>
      <c r="J25" s="32"/>
    </row>
    <row r="26" spans="1:10" ht="40.5" customHeight="1" thickBot="1" x14ac:dyDescent="0.25">
      <c r="A26" s="54">
        <f>'Necesidades Trimestrales'!A24</f>
        <v>15</v>
      </c>
      <c r="B26" s="55">
        <v>0</v>
      </c>
      <c r="C26" s="119" t="str">
        <f>'Necesidades Trimestrales'!E24</f>
        <v>AGAR LISINA HIERRO, ESTADO: SOLIDO, PRESENTACION: ENVASE X 100 GR</v>
      </c>
      <c r="D26" s="119"/>
      <c r="E26" s="119"/>
      <c r="F26" s="56" t="s">
        <v>52</v>
      </c>
      <c r="G26" s="56" t="str">
        <f>'Necesidades Trimestrales'!F24</f>
        <v>FRASCO</v>
      </c>
      <c r="H26" s="57">
        <f>'Necesidades Trimestrales'!H24</f>
        <v>5900</v>
      </c>
      <c r="I26" s="58">
        <f>'Necesidades Trimestrales'!G24</f>
        <v>1</v>
      </c>
      <c r="J26" s="32"/>
    </row>
    <row r="27" spans="1:10" ht="47.25" customHeight="1" thickBot="1" x14ac:dyDescent="0.25">
      <c r="A27" s="54">
        <f>'Necesidades Trimestrales'!A25</f>
        <v>16</v>
      </c>
      <c r="B27" s="55">
        <v>0</v>
      </c>
      <c r="C27" s="119" t="str">
        <f>'Necesidades Trimestrales'!E25</f>
        <v>AGAR MANITOL SALADO, ESTADO: SOLIDO, PRESENTACION: ENVASE X 100 GR</v>
      </c>
      <c r="D27" s="119"/>
      <c r="E27" s="119"/>
      <c r="F27" s="56" t="s">
        <v>52</v>
      </c>
      <c r="G27" s="56" t="str">
        <f>'Necesidades Trimestrales'!F25</f>
        <v>FRASCO</v>
      </c>
      <c r="H27" s="57">
        <f>'Necesidades Trimestrales'!H25</f>
        <v>2100</v>
      </c>
      <c r="I27" s="58">
        <f>'Necesidades Trimestrales'!G25</f>
        <v>1</v>
      </c>
      <c r="J27" s="32"/>
    </row>
    <row r="28" spans="1:10" ht="48" customHeight="1" thickBot="1" x14ac:dyDescent="0.25">
      <c r="A28" s="54">
        <f>'Necesidades Trimestrales'!A26</f>
        <v>17</v>
      </c>
      <c r="B28" s="55">
        <v>0</v>
      </c>
      <c r="C28" s="119" t="str">
        <f>'Necesidades Trimestrales'!E26</f>
        <v>AGAR MULLER HILTON, ESTADO: SOLIDO, PRESENTACION: ENVASE X 500 GR</v>
      </c>
      <c r="D28" s="119"/>
      <c r="E28" s="119"/>
      <c r="F28" s="56" t="s">
        <v>52</v>
      </c>
      <c r="G28" s="56" t="str">
        <f>'Necesidades Trimestrales'!F26</f>
        <v>FRASCO</v>
      </c>
      <c r="H28" s="57">
        <f>'Necesidades Trimestrales'!H26</f>
        <v>13500</v>
      </c>
      <c r="I28" s="58">
        <f>'Necesidades Trimestrales'!G26</f>
        <v>1</v>
      </c>
      <c r="J28" s="32"/>
    </row>
    <row r="29" spans="1:10" ht="39" customHeight="1" thickBot="1" x14ac:dyDescent="0.25">
      <c r="A29" s="54">
        <f>'Necesidades Trimestrales'!A27</f>
        <v>18</v>
      </c>
      <c r="B29" s="55">
        <v>0</v>
      </c>
      <c r="C29" s="119" t="str">
        <f>'Necesidades Trimestrales'!E27</f>
        <v>AGAR SALMONELLA- SHIGELLA, ESTADO: SOLIDO, PRESENTACION: ENVASE X 100 GR</v>
      </c>
      <c r="D29" s="119"/>
      <c r="E29" s="119"/>
      <c r="F29" s="56" t="s">
        <v>52</v>
      </c>
      <c r="G29" s="56" t="str">
        <f>'Necesidades Trimestrales'!F27</f>
        <v>FRASCO</v>
      </c>
      <c r="H29" s="57">
        <f>'Necesidades Trimestrales'!H27</f>
        <v>4000</v>
      </c>
      <c r="I29" s="58">
        <f>'Necesidades Trimestrales'!G27</f>
        <v>1</v>
      </c>
      <c r="J29" s="32"/>
    </row>
    <row r="30" spans="1:10" ht="39" customHeight="1" thickBot="1" x14ac:dyDescent="0.25">
      <c r="A30" s="54">
        <f>'Necesidades Trimestrales'!A28</f>
        <v>19</v>
      </c>
      <c r="B30" s="55">
        <v>0</v>
      </c>
      <c r="C30" s="119" t="str">
        <f>'Necesidades Trimestrales'!E28</f>
        <v>AGAR SIM, ESTADO: SOLIDO, PRESENTACION: ENVASE X 100 GR</v>
      </c>
      <c r="D30" s="119"/>
      <c r="E30" s="119"/>
      <c r="F30" s="56" t="s">
        <v>52</v>
      </c>
      <c r="G30" s="56" t="str">
        <f>'Necesidades Trimestrales'!F28</f>
        <v>FRASCO</v>
      </c>
      <c r="H30" s="57">
        <f>'Necesidades Trimestrales'!H28</f>
        <v>6300</v>
      </c>
      <c r="I30" s="58">
        <f>'Necesidades Trimestrales'!G28</f>
        <v>1</v>
      </c>
      <c r="J30" s="32"/>
    </row>
    <row r="31" spans="1:10" ht="47.25" customHeight="1" thickBot="1" x14ac:dyDescent="0.25">
      <c r="A31" s="54">
        <f>'Necesidades Trimestrales'!A29</f>
        <v>20</v>
      </c>
      <c r="B31" s="55">
        <v>0</v>
      </c>
      <c r="C31" s="119" t="str">
        <f>'Necesidades Trimestrales'!E29</f>
        <v>ALBUMINA COBAS C-311 ROCHE  X 300 DET</v>
      </c>
      <c r="D31" s="119"/>
      <c r="E31" s="119"/>
      <c r="F31" s="56" t="s">
        <v>52</v>
      </c>
      <c r="G31" s="56" t="str">
        <f>'Necesidades Trimestrales'!F29</f>
        <v>CASSETTE</v>
      </c>
      <c r="H31" s="57">
        <f>'Necesidades Trimestrales'!H29</f>
        <v>1706</v>
      </c>
      <c r="I31" s="58">
        <f>'Necesidades Trimestrales'!G29</f>
        <v>3</v>
      </c>
      <c r="J31" s="32"/>
    </row>
    <row r="32" spans="1:10" ht="42.75" customHeight="1" thickBot="1" x14ac:dyDescent="0.25">
      <c r="A32" s="54">
        <f>'Necesidades Trimestrales'!A30</f>
        <v>21</v>
      </c>
      <c r="B32" s="55">
        <v>0</v>
      </c>
      <c r="C32" s="119" t="str">
        <f>'Necesidades Trimestrales'!E30</f>
        <v>ALBUMINA P/MICROALBUMINURIA  COBAS C-311 ROCHE X 100 DET</v>
      </c>
      <c r="D32" s="119"/>
      <c r="E32" s="119"/>
      <c r="F32" s="56" t="s">
        <v>52</v>
      </c>
      <c r="G32" s="56" t="str">
        <f>'Necesidades Trimestrales'!F30</f>
        <v>CASSETTE</v>
      </c>
      <c r="H32" s="57">
        <f>'Necesidades Trimestrales'!H30</f>
        <v>7050</v>
      </c>
      <c r="I32" s="58">
        <f>'Necesidades Trimestrales'!G30</f>
        <v>1</v>
      </c>
      <c r="J32" s="32"/>
    </row>
    <row r="33" spans="1:10" ht="45.75" customHeight="1" thickBot="1" x14ac:dyDescent="0.25">
      <c r="A33" s="54">
        <f>'Necesidades Trimestrales'!A31</f>
        <v>22</v>
      </c>
      <c r="B33" s="55">
        <v>0</v>
      </c>
      <c r="C33" s="119" t="str">
        <f>'Necesidades Trimestrales'!E31</f>
        <v>ALERE DETERMINE HIV  X 20 DET</v>
      </c>
      <c r="D33" s="119"/>
      <c r="E33" s="119"/>
      <c r="F33" s="56" t="s">
        <v>52</v>
      </c>
      <c r="G33" s="56" t="str">
        <f>'Necesidades Trimestrales'!F31</f>
        <v>UNIDAD</v>
      </c>
      <c r="H33" s="57">
        <f>'Necesidades Trimestrales'!H31</f>
        <v>10600</v>
      </c>
      <c r="I33" s="58">
        <f>'Necesidades Trimestrales'!G31</f>
        <v>10</v>
      </c>
      <c r="J33" s="32"/>
    </row>
    <row r="34" spans="1:10" ht="42" customHeight="1" thickBot="1" x14ac:dyDescent="0.25">
      <c r="A34" s="54">
        <f>'Necesidades Trimestrales'!A32</f>
        <v>23</v>
      </c>
      <c r="B34" s="55">
        <v>0</v>
      </c>
      <c r="C34" s="119" t="str">
        <f>'Necesidades Trimestrales'!E32</f>
        <v>ALERE DETERMINE SYPHILIS TP X 20 DET</v>
      </c>
      <c r="D34" s="119"/>
      <c r="E34" s="119"/>
      <c r="F34" s="56" t="s">
        <v>52</v>
      </c>
      <c r="G34" s="56" t="str">
        <f>'Necesidades Trimestrales'!F32</f>
        <v>UNIDAD</v>
      </c>
      <c r="H34" s="57">
        <f>'Necesidades Trimestrales'!H32</f>
        <v>10500</v>
      </c>
      <c r="I34" s="58">
        <f>'Necesidades Trimestrales'!G32</f>
        <v>8</v>
      </c>
      <c r="J34" s="32"/>
    </row>
    <row r="35" spans="1:10" ht="41.25" customHeight="1" thickBot="1" x14ac:dyDescent="0.25">
      <c r="A35" s="54">
        <f>'Necesidades Trimestrales'!A33</f>
        <v>24</v>
      </c>
      <c r="B35" s="55">
        <v>0</v>
      </c>
      <c r="C35" s="119" t="str">
        <f>'Necesidades Trimestrales'!E33</f>
        <v>AMILASA TOTAL COBAS C-311 ROCHE  X 300 DET</v>
      </c>
      <c r="D35" s="119"/>
      <c r="E35" s="119"/>
      <c r="F35" s="56" t="s">
        <v>52</v>
      </c>
      <c r="G35" s="56" t="str">
        <f>'Necesidades Trimestrales'!F33</f>
        <v>CASSETTE</v>
      </c>
      <c r="H35" s="57">
        <f>'Necesidades Trimestrales'!H33</f>
        <v>9117</v>
      </c>
      <c r="I35" s="58">
        <f>'Necesidades Trimestrales'!G33</f>
        <v>1</v>
      </c>
      <c r="J35" s="32"/>
    </row>
    <row r="36" spans="1:10" ht="45.75" customHeight="1" thickBot="1" x14ac:dyDescent="0.25">
      <c r="A36" s="54">
        <f>'Necesidades Trimestrales'!A34</f>
        <v>25</v>
      </c>
      <c r="B36" s="55">
        <v>0</v>
      </c>
      <c r="C36" s="119" t="str">
        <f>'Necesidades Trimestrales'!E34</f>
        <v xml:space="preserve">AUTOCHECK NIVEL 2 ( AMARILLO) </v>
      </c>
      <c r="D36" s="119"/>
      <c r="E36" s="119"/>
      <c r="F36" s="56" t="s">
        <v>52</v>
      </c>
      <c r="G36" s="56" t="str">
        <f>'Necesidades Trimestrales'!F34</f>
        <v>UNIDAD</v>
      </c>
      <c r="H36" s="57">
        <f>'Necesidades Trimestrales'!H34</f>
        <v>58000</v>
      </c>
      <c r="I36" s="58">
        <f>'Necesidades Trimestrales'!G34</f>
        <v>2</v>
      </c>
      <c r="J36" s="32"/>
    </row>
    <row r="37" spans="1:10" ht="27" customHeight="1" thickBot="1" x14ac:dyDescent="0.25">
      <c r="A37" s="54">
        <f>'Necesidades Trimestrales'!A35</f>
        <v>26</v>
      </c>
      <c r="B37" s="55">
        <v>0</v>
      </c>
      <c r="C37" s="119" t="str">
        <f>'Necesidades Trimestrales'!E35</f>
        <v>AZITROMICINA 15 µGR DISCO 50 UN</v>
      </c>
      <c r="D37" s="119"/>
      <c r="E37" s="119"/>
      <c r="F37" s="56" t="s">
        <v>52</v>
      </c>
      <c r="G37" s="56" t="str">
        <f>'Necesidades Trimestrales'!F35</f>
        <v>UNIDAD</v>
      </c>
      <c r="H37" s="57">
        <f>'Necesidades Trimestrales'!H35</f>
        <v>850</v>
      </c>
      <c r="I37" s="58">
        <f>'Necesidades Trimestrales'!G35</f>
        <v>1</v>
      </c>
      <c r="J37" s="32"/>
    </row>
    <row r="38" spans="1:10" ht="30" customHeight="1" thickBot="1" x14ac:dyDescent="0.25">
      <c r="A38" s="54">
        <f>'Necesidades Trimestrales'!A36</f>
        <v>27</v>
      </c>
      <c r="B38" s="55">
        <v>0</v>
      </c>
      <c r="C38" s="119" t="str">
        <f>'Necesidades Trimestrales'!E36</f>
        <v>BAM CON UREA MEDIO:  X 100 GR</v>
      </c>
      <c r="D38" s="119"/>
      <c r="E38" s="119"/>
      <c r="F38" s="56" t="s">
        <v>52</v>
      </c>
      <c r="G38" s="56" t="str">
        <f>'Necesidades Trimestrales'!F36</f>
        <v>UNIDAD</v>
      </c>
      <c r="H38" s="57">
        <f>'Necesidades Trimestrales'!H36</f>
        <v>5400</v>
      </c>
      <c r="I38" s="58">
        <f>'Necesidades Trimestrales'!G36</f>
        <v>1</v>
      </c>
      <c r="J38" s="32"/>
    </row>
    <row r="39" spans="1:10" ht="36.75" customHeight="1" thickBot="1" x14ac:dyDescent="0.25">
      <c r="A39" s="54">
        <f>'Necesidades Trimestrales'!A37</f>
        <v>28</v>
      </c>
      <c r="B39" s="55">
        <v>0</v>
      </c>
      <c r="C39" s="119" t="str">
        <f>'Necesidades Trimestrales'!E37</f>
        <v>BILIRRUBINA DIRECTA COBAS C-311 ROCHE  X 350  DET</v>
      </c>
      <c r="D39" s="119"/>
      <c r="E39" s="119"/>
      <c r="F39" s="56" t="s">
        <v>52</v>
      </c>
      <c r="G39" s="56" t="str">
        <f>'Necesidades Trimestrales'!F37</f>
        <v>CASSETTE</v>
      </c>
      <c r="H39" s="57">
        <f>'Necesidades Trimestrales'!H37</f>
        <v>3623</v>
      </c>
      <c r="I39" s="58">
        <f>'Necesidades Trimestrales'!G37</f>
        <v>4</v>
      </c>
      <c r="J39" s="32"/>
    </row>
    <row r="40" spans="1:10" ht="33.75" customHeight="1" thickBot="1" x14ac:dyDescent="0.25">
      <c r="A40" s="54">
        <f>'Necesidades Trimestrales'!A38</f>
        <v>29</v>
      </c>
      <c r="B40" s="55">
        <v>0</v>
      </c>
      <c r="C40" s="119" t="str">
        <f>'Necesidades Trimestrales'!E38</f>
        <v>BILIRRUBINA TOTAL GEN 3 COBAS C-311 ROCHE  X 250 DET</v>
      </c>
      <c r="D40" s="119"/>
      <c r="E40" s="119"/>
      <c r="F40" s="56" t="s">
        <v>52</v>
      </c>
      <c r="G40" s="56" t="str">
        <f>'Necesidades Trimestrales'!F38</f>
        <v>CASSETTE</v>
      </c>
      <c r="H40" s="57">
        <f>'Necesidades Trimestrales'!H38</f>
        <v>3714</v>
      </c>
      <c r="I40" s="58">
        <f>'Necesidades Trimestrales'!G38</f>
        <v>2</v>
      </c>
      <c r="J40" s="32"/>
    </row>
    <row r="41" spans="1:10" ht="40.5" customHeight="1" thickBot="1" x14ac:dyDescent="0.25">
      <c r="A41" s="54">
        <f>'Necesidades Trimestrales'!A39</f>
        <v>30</v>
      </c>
      <c r="B41" s="55">
        <v>0</v>
      </c>
      <c r="C41" s="119" t="str">
        <f>'Necesidades Trimestrales'!E39</f>
        <v>C.F.A.S. PUC COBAS C-311 ROCHE  5 X 1 ML</v>
      </c>
      <c r="D41" s="119"/>
      <c r="E41" s="119"/>
      <c r="F41" s="56" t="s">
        <v>52</v>
      </c>
      <c r="G41" s="56" t="str">
        <f>'Necesidades Trimestrales'!F39</f>
        <v>UNIDAD</v>
      </c>
      <c r="H41" s="57">
        <f>'Necesidades Trimestrales'!H39</f>
        <v>21560</v>
      </c>
      <c r="I41" s="58">
        <f>'Necesidades Trimestrales'!G39</f>
        <v>2</v>
      </c>
      <c r="J41" s="32"/>
    </row>
    <row r="42" spans="1:10" ht="36.75" customHeight="1" thickBot="1" x14ac:dyDescent="0.25">
      <c r="A42" s="54">
        <f>'Necesidades Trimestrales'!A40</f>
        <v>31</v>
      </c>
      <c r="B42" s="55">
        <v>0</v>
      </c>
      <c r="C42" s="119" t="str">
        <f>'Necesidades Trimestrales'!E40</f>
        <v>CALCIO COBAS C-311 ROCHE  X 300 DET</v>
      </c>
      <c r="D42" s="119"/>
      <c r="E42" s="119"/>
      <c r="F42" s="56" t="s">
        <v>52</v>
      </c>
      <c r="G42" s="56" t="str">
        <f>'Necesidades Trimestrales'!F40</f>
        <v>CASSETTE</v>
      </c>
      <c r="H42" s="57">
        <f>'Necesidades Trimestrales'!H40</f>
        <v>3514</v>
      </c>
      <c r="I42" s="58">
        <f>'Necesidades Trimestrales'!G40</f>
        <v>2</v>
      </c>
      <c r="J42" s="32"/>
    </row>
    <row r="43" spans="1:10" ht="40.5" customHeight="1" thickBot="1" x14ac:dyDescent="0.25">
      <c r="A43" s="54">
        <f>'Necesidades Trimestrales'!A41</f>
        <v>32</v>
      </c>
      <c r="B43" s="55">
        <v>0</v>
      </c>
      <c r="C43" s="119" t="str">
        <f>'Necesidades Trimestrales'!E41</f>
        <v>CALDO TODD HEWITT C / CONA:  X 10 ML</v>
      </c>
      <c r="D43" s="119"/>
      <c r="E43" s="119"/>
      <c r="F43" s="56" t="s">
        <v>52</v>
      </c>
      <c r="G43" s="56" t="str">
        <f>'Necesidades Trimestrales'!F41</f>
        <v>UNIDAD</v>
      </c>
      <c r="H43" s="57">
        <f>'Necesidades Trimestrales'!H41</f>
        <v>270</v>
      </c>
      <c r="I43" s="58">
        <f>'Necesidades Trimestrales'!G41</f>
        <v>50</v>
      </c>
      <c r="J43" s="32"/>
    </row>
    <row r="44" spans="1:10" ht="40.5" customHeight="1" thickBot="1" x14ac:dyDescent="0.25">
      <c r="A44" s="54">
        <f>'Necesidades Trimestrales'!A42</f>
        <v>33</v>
      </c>
      <c r="B44" s="55">
        <v>0</v>
      </c>
      <c r="C44" s="119" t="str">
        <f>'Necesidades Trimestrales'!E42</f>
        <v>CALIBRACION SOLUTION 1 PARA ABL 800  X 200 ML  PARA ABL 800</v>
      </c>
      <c r="D44" s="119"/>
      <c r="E44" s="119"/>
      <c r="F44" s="56" t="s">
        <v>52</v>
      </c>
      <c r="G44" s="56" t="str">
        <f>'Necesidades Trimestrales'!F42</f>
        <v>UNIDAD</v>
      </c>
      <c r="H44" s="57">
        <f>'Necesidades Trimestrales'!H42</f>
        <v>28400</v>
      </c>
      <c r="I44" s="58">
        <f>'Necesidades Trimestrales'!G42</f>
        <v>7</v>
      </c>
      <c r="J44" s="32"/>
    </row>
    <row r="45" spans="1:10" ht="40.5" customHeight="1" thickBot="1" x14ac:dyDescent="0.25">
      <c r="A45" s="54">
        <f>'Necesidades Trimestrales'!A43</f>
        <v>34</v>
      </c>
      <c r="B45" s="55">
        <v>0</v>
      </c>
      <c r="C45" s="119" t="str">
        <f>'Necesidades Trimestrales'!E43</f>
        <v>CALIBRACION SOLUTION 2  PARA ABL 800  X 200 ML  PARA ABL 800</v>
      </c>
      <c r="D45" s="119"/>
      <c r="E45" s="119"/>
      <c r="F45" s="56" t="s">
        <v>52</v>
      </c>
      <c r="G45" s="56" t="str">
        <f>'Necesidades Trimestrales'!F43</f>
        <v>UNIDAD</v>
      </c>
      <c r="H45" s="57">
        <f>'Necesidades Trimestrales'!H43</f>
        <v>28400</v>
      </c>
      <c r="I45" s="58">
        <f>'Necesidades Trimestrales'!G43</f>
        <v>5</v>
      </c>
      <c r="J45" s="32"/>
    </row>
    <row r="46" spans="1:10" ht="48" customHeight="1" thickBot="1" x14ac:dyDescent="0.25">
      <c r="A46" s="54">
        <f>'Necesidades Trimestrales'!A44</f>
        <v>35</v>
      </c>
      <c r="B46" s="55">
        <v>0</v>
      </c>
      <c r="C46" s="119" t="str">
        <f>'Necesidades Trimestrales'!E44</f>
        <v xml:space="preserve">CALIBRADOR  AMH X 10 CAL  COBAS E-411  ROCHE </v>
      </c>
      <c r="D46" s="119"/>
      <c r="E46" s="119"/>
      <c r="F46" s="56" t="s">
        <v>52</v>
      </c>
      <c r="G46" s="56" t="str">
        <f>'Necesidades Trimestrales'!F44</f>
        <v>UNIDAD</v>
      </c>
      <c r="H46" s="57">
        <f>'Necesidades Trimestrales'!H44</f>
        <v>48000</v>
      </c>
      <c r="I46" s="58">
        <f>'Necesidades Trimestrales'!G44</f>
        <v>1</v>
      </c>
      <c r="J46" s="32"/>
    </row>
    <row r="47" spans="1:10" ht="42" customHeight="1" thickBot="1" x14ac:dyDescent="0.25">
      <c r="A47" s="54">
        <f>'Necesidades Trimestrales'!A45</f>
        <v>36</v>
      </c>
      <c r="B47" s="55">
        <v>0</v>
      </c>
      <c r="C47" s="119" t="str">
        <f>'Necesidades Trimestrales'!E45</f>
        <v xml:space="preserve">CALIBRADOR  PROLACTINA X  10 CAL  COBAS E-411 ROCHE </v>
      </c>
      <c r="D47" s="119"/>
      <c r="E47" s="119"/>
      <c r="F47" s="56" t="s">
        <v>52</v>
      </c>
      <c r="G47" s="56" t="str">
        <f>'Necesidades Trimestrales'!F45</f>
        <v>CAJA</v>
      </c>
      <c r="H47" s="57">
        <f>'Necesidades Trimestrales'!H45</f>
        <v>12863</v>
      </c>
      <c r="I47" s="58">
        <f>'Necesidades Trimestrales'!G45</f>
        <v>1</v>
      </c>
      <c r="J47" s="32"/>
    </row>
    <row r="48" spans="1:10" ht="39" customHeight="1" thickBot="1" x14ac:dyDescent="0.25">
      <c r="A48" s="54">
        <f>'Necesidades Trimestrales'!A46</f>
        <v>37</v>
      </c>
      <c r="B48" s="55">
        <v>0</v>
      </c>
      <c r="C48" s="119" t="str">
        <f>'Necesidades Trimestrales'!E46</f>
        <v xml:space="preserve">CALIBRADOR  S-HBG  X  10 CAL  COBAS E-411 ROCHE </v>
      </c>
      <c r="D48" s="119"/>
      <c r="E48" s="119"/>
      <c r="F48" s="56" t="s">
        <v>52</v>
      </c>
      <c r="G48" s="56" t="str">
        <f>'Necesidades Trimestrales'!F46</f>
        <v>CAJA</v>
      </c>
      <c r="H48" s="57">
        <f>'Necesidades Trimestrales'!H46</f>
        <v>13400</v>
      </c>
      <c r="I48" s="58">
        <f>'Necesidades Trimestrales'!G46</f>
        <v>1</v>
      </c>
      <c r="J48" s="32"/>
    </row>
    <row r="49" spans="1:10" ht="49.5" customHeight="1" thickBot="1" x14ac:dyDescent="0.25">
      <c r="A49" s="54">
        <f>'Necesidades Trimestrales'!A47</f>
        <v>38</v>
      </c>
      <c r="B49" s="55">
        <v>0</v>
      </c>
      <c r="C49" s="119" t="str">
        <f>'Necesidades Trimestrales'!E47</f>
        <v>CALIBRADOR ( CALSET) ANTI TPO X 10 CAL COBAS E-411 ROCHE</v>
      </c>
      <c r="D49" s="119"/>
      <c r="E49" s="119"/>
      <c r="F49" s="56" t="s">
        <v>52</v>
      </c>
      <c r="G49" s="56" t="str">
        <f>'Necesidades Trimestrales'!F47</f>
        <v>CAJA</v>
      </c>
      <c r="H49" s="57">
        <f>'Necesidades Trimestrales'!H47</f>
        <v>12963</v>
      </c>
      <c r="I49" s="58">
        <f>'Necesidades Trimestrales'!G47</f>
        <v>1</v>
      </c>
      <c r="J49" s="32"/>
    </row>
    <row r="50" spans="1:10" ht="48" customHeight="1" thickBot="1" x14ac:dyDescent="0.25">
      <c r="A50" s="54">
        <f>'Necesidades Trimestrales'!A48</f>
        <v>39</v>
      </c>
      <c r="B50" s="55">
        <v>0</v>
      </c>
      <c r="C50" s="119" t="str">
        <f>'Necesidades Trimestrales'!E48</f>
        <v>CALIBRADOR ( CALSET) CORTISOL X 10 CAL COBAS E-411 ROCHE</v>
      </c>
      <c r="D50" s="119"/>
      <c r="E50" s="119"/>
      <c r="F50" s="56" t="s">
        <v>52</v>
      </c>
      <c r="G50" s="56" t="str">
        <f>'Necesidades Trimestrales'!F48</f>
        <v>CAJA</v>
      </c>
      <c r="H50" s="57">
        <f>'Necesidades Trimestrales'!H48</f>
        <v>14963</v>
      </c>
      <c r="I50" s="58">
        <f>'Necesidades Trimestrales'!G48</f>
        <v>1</v>
      </c>
      <c r="J50" s="32"/>
    </row>
    <row r="51" spans="1:10" ht="46.5" customHeight="1" thickBot="1" x14ac:dyDescent="0.25">
      <c r="A51" s="54">
        <f>'Necesidades Trimestrales'!A49</f>
        <v>40</v>
      </c>
      <c r="B51" s="55">
        <v>0</v>
      </c>
      <c r="C51" s="119" t="str">
        <f>'Necesidades Trimestrales'!E49</f>
        <v>CALIBRADOR (CALSET) ESTRADIOL X 10 CAL COBAS E-411 ROCHE</v>
      </c>
      <c r="D51" s="119"/>
      <c r="E51" s="119"/>
      <c r="F51" s="56" t="s">
        <v>52</v>
      </c>
      <c r="G51" s="56" t="str">
        <f>'Necesidades Trimestrales'!F49</f>
        <v>CAJA</v>
      </c>
      <c r="H51" s="57">
        <f>'Necesidades Trimestrales'!H49</f>
        <v>16114</v>
      </c>
      <c r="I51" s="58">
        <f>'Necesidades Trimestrales'!G49</f>
        <v>1</v>
      </c>
      <c r="J51" s="32"/>
    </row>
    <row r="52" spans="1:10" ht="45" customHeight="1" thickBot="1" x14ac:dyDescent="0.25">
      <c r="A52" s="54">
        <f>'Necesidades Trimestrales'!A50</f>
        <v>41</v>
      </c>
      <c r="B52" s="55">
        <v>0</v>
      </c>
      <c r="C52" s="119" t="str">
        <f>'Necesidades Trimestrales'!E50</f>
        <v>CALIBRADOR (CALSET) FSH  X 10 CAL COBAS E-411 ROCHE</v>
      </c>
      <c r="D52" s="119"/>
      <c r="E52" s="119"/>
      <c r="F52" s="56" t="s">
        <v>52</v>
      </c>
      <c r="G52" s="56" t="str">
        <f>'Necesidades Trimestrales'!F50</f>
        <v>CAJA</v>
      </c>
      <c r="H52" s="57">
        <f>'Necesidades Trimestrales'!H50</f>
        <v>12863</v>
      </c>
      <c r="I52" s="58">
        <f>'Necesidades Trimestrales'!G50</f>
        <v>1</v>
      </c>
      <c r="J52" s="32"/>
    </row>
    <row r="53" spans="1:10" ht="39.75" customHeight="1" thickBot="1" x14ac:dyDescent="0.25">
      <c r="A53" s="54">
        <f>'Necesidades Trimestrales'!A51</f>
        <v>42</v>
      </c>
      <c r="B53" s="55">
        <v>0</v>
      </c>
      <c r="C53" s="119" t="str">
        <f>'Necesidades Trimestrales'!E51</f>
        <v>CALIBRADOR B-HCG X 10 CAL COBAS E-411 ROCHE</v>
      </c>
      <c r="D53" s="119"/>
      <c r="E53" s="119"/>
      <c r="F53" s="56" t="s">
        <v>52</v>
      </c>
      <c r="G53" s="56" t="str">
        <f>'Necesidades Trimestrales'!F51</f>
        <v>CAJA</v>
      </c>
      <c r="H53" s="57">
        <f>'Necesidades Trimestrales'!H51</f>
        <v>12863</v>
      </c>
      <c r="I53" s="58">
        <f>'Necesidades Trimestrales'!G51</f>
        <v>1</v>
      </c>
      <c r="J53" s="32"/>
    </row>
    <row r="54" spans="1:10" ht="42" customHeight="1" thickBot="1" x14ac:dyDescent="0.25">
      <c r="A54" s="54">
        <f>'Necesidades Trimestrales'!A52</f>
        <v>43</v>
      </c>
      <c r="B54" s="55">
        <v>0</v>
      </c>
      <c r="C54" s="119" t="str">
        <f>'Necesidades Trimestrales'!E52</f>
        <v xml:space="preserve">CALIBRADOR FT4 X 10 CAL COBAS E-411 ROCHE </v>
      </c>
      <c r="D54" s="119"/>
      <c r="E54" s="119"/>
      <c r="F54" s="56" t="s">
        <v>52</v>
      </c>
      <c r="G54" s="56" t="str">
        <f>'Necesidades Trimestrales'!F52</f>
        <v>CAJA</v>
      </c>
      <c r="H54" s="57">
        <f>'Necesidades Trimestrales'!H52</f>
        <v>12435</v>
      </c>
      <c r="I54" s="58">
        <f>'Necesidades Trimestrales'!G52</f>
        <v>10</v>
      </c>
      <c r="J54" s="32"/>
    </row>
    <row r="55" spans="1:10" ht="41.25" customHeight="1" thickBot="1" x14ac:dyDescent="0.25">
      <c r="A55" s="54">
        <f>'Necesidades Trimestrales'!A53</f>
        <v>44</v>
      </c>
      <c r="B55" s="55">
        <v>0</v>
      </c>
      <c r="C55" s="119" t="str">
        <f>'Necesidades Trimestrales'!E53</f>
        <v>CALIBRADOR PARA INSULINA X 10 CAL COBAS E-411 ROCHE</v>
      </c>
      <c r="D55" s="119"/>
      <c r="E55" s="119"/>
      <c r="F55" s="56" t="s">
        <v>52</v>
      </c>
      <c r="G55" s="56" t="str">
        <f>'Necesidades Trimestrales'!F53</f>
        <v>CAJA</v>
      </c>
      <c r="H55" s="57">
        <f>'Necesidades Trimestrales'!H53</f>
        <v>11986</v>
      </c>
      <c r="I55" s="58">
        <f>'Necesidades Trimestrales'!G53</f>
        <v>1</v>
      </c>
      <c r="J55" s="32"/>
    </row>
    <row r="56" spans="1:10" ht="38.25" customHeight="1" thickBot="1" x14ac:dyDescent="0.25">
      <c r="A56" s="54">
        <f>'Necesidades Trimestrales'!A54</f>
        <v>45</v>
      </c>
      <c r="B56" s="55">
        <v>0</v>
      </c>
      <c r="C56" s="119" t="str">
        <f>'Necesidades Trimestrales'!E54</f>
        <v>CALIBRADOR PARA LH  X 10  CAL COBAS E-411 ROCHE</v>
      </c>
      <c r="D56" s="119"/>
      <c r="E56" s="119"/>
      <c r="F56" s="56" t="s">
        <v>52</v>
      </c>
      <c r="G56" s="56" t="str">
        <f>'Necesidades Trimestrales'!F54</f>
        <v>CAJA</v>
      </c>
      <c r="H56" s="57">
        <f>'Necesidades Trimestrales'!H54</f>
        <v>12863</v>
      </c>
      <c r="I56" s="58">
        <f>'Necesidades Trimestrales'!G54</f>
        <v>1</v>
      </c>
      <c r="J56" s="32"/>
    </row>
    <row r="57" spans="1:10" ht="37.5" customHeight="1" thickBot="1" x14ac:dyDescent="0.25">
      <c r="A57" s="54">
        <f>'Necesidades Trimestrales'!A55</f>
        <v>46</v>
      </c>
      <c r="B57" s="55">
        <v>0</v>
      </c>
      <c r="C57" s="119" t="str">
        <f>'Necesidades Trimestrales'!E55</f>
        <v>CALIBRADOR PARA PROGESTERONA COBAS E-411 ROCHE</v>
      </c>
      <c r="D57" s="119"/>
      <c r="E57" s="119"/>
      <c r="F57" s="56" t="s">
        <v>52</v>
      </c>
      <c r="G57" s="56" t="str">
        <f>'Necesidades Trimestrales'!F55</f>
        <v>CAJA</v>
      </c>
      <c r="H57" s="57">
        <f>'Necesidades Trimestrales'!H55</f>
        <v>12863</v>
      </c>
      <c r="I57" s="58">
        <f>'Necesidades Trimestrales'!G55</f>
        <v>1</v>
      </c>
      <c r="J57" s="32"/>
    </row>
    <row r="58" spans="1:10" ht="40.5" customHeight="1" thickBot="1" x14ac:dyDescent="0.25">
      <c r="A58" s="54">
        <f>'Necesidades Trimestrales'!A56</f>
        <v>47</v>
      </c>
      <c r="B58" s="55">
        <v>0</v>
      </c>
      <c r="C58" s="119" t="str">
        <f>'Necesidades Trimestrales'!E56</f>
        <v>CALIBRADOR PARA T3 LIBRE COBAS E-411 ROCHE  X 100 DET</v>
      </c>
      <c r="D58" s="119"/>
      <c r="E58" s="119"/>
      <c r="F58" s="56" t="s">
        <v>52</v>
      </c>
      <c r="G58" s="56" t="str">
        <f>'Necesidades Trimestrales'!F56</f>
        <v>UNIDAD</v>
      </c>
      <c r="H58" s="57">
        <f>'Necesidades Trimestrales'!H56</f>
        <v>12435</v>
      </c>
      <c r="I58" s="58">
        <f>'Necesidades Trimestrales'!G56</f>
        <v>1</v>
      </c>
      <c r="J58" s="32"/>
    </row>
    <row r="59" spans="1:10" ht="30.75" customHeight="1" thickBot="1" x14ac:dyDescent="0.25">
      <c r="A59" s="54">
        <f>'Necesidades Trimestrales'!A57</f>
        <v>48</v>
      </c>
      <c r="B59" s="55">
        <v>0</v>
      </c>
      <c r="C59" s="119" t="str">
        <f>'Necesidades Trimestrales'!E57</f>
        <v>CALIBRADOR T3 TOTAL X 10 CAL  COBAS E-411 ROCHE</v>
      </c>
      <c r="D59" s="119"/>
      <c r="E59" s="119"/>
      <c r="F59" s="56" t="s">
        <v>52</v>
      </c>
      <c r="G59" s="56" t="str">
        <f>'Necesidades Trimestrales'!F57</f>
        <v>CAJA</v>
      </c>
      <c r="H59" s="57">
        <f>'Necesidades Trimestrales'!H57</f>
        <v>12435</v>
      </c>
      <c r="I59" s="58">
        <f>'Necesidades Trimestrales'!G57</f>
        <v>1</v>
      </c>
      <c r="J59" s="32"/>
    </row>
    <row r="60" spans="1:10" ht="42.75" customHeight="1" thickBot="1" x14ac:dyDescent="0.25">
      <c r="A60" s="54">
        <f>'Necesidades Trimestrales'!A58</f>
        <v>49</v>
      </c>
      <c r="B60" s="55">
        <v>0</v>
      </c>
      <c r="C60" s="119" t="str">
        <f>'Necesidades Trimestrales'!E58</f>
        <v>CALIBRADOR TSH  X 10 CAL COBAS E-411  ROCHE</v>
      </c>
      <c r="D60" s="119"/>
      <c r="E60" s="119"/>
      <c r="F60" s="56" t="s">
        <v>52</v>
      </c>
      <c r="G60" s="56" t="str">
        <f>'Necesidades Trimestrales'!F58</f>
        <v>CAJA</v>
      </c>
      <c r="H60" s="57">
        <f>'Necesidades Trimestrales'!H58</f>
        <v>11028</v>
      </c>
      <c r="I60" s="58">
        <f>'Necesidades Trimestrales'!G58</f>
        <v>1</v>
      </c>
      <c r="J60" s="32"/>
    </row>
    <row r="61" spans="1:10" ht="35.25" customHeight="1" thickBot="1" x14ac:dyDescent="0.25">
      <c r="A61" s="54">
        <f>'Necesidades Trimestrales'!A59</f>
        <v>50</v>
      </c>
      <c r="B61" s="55">
        <v>0</v>
      </c>
      <c r="C61" s="119" t="str">
        <f>'Necesidades Trimestrales'!E59</f>
        <v>CALIIBRADOR (CALSET) DHEA-S  X 10 CAL COBAS E-411 ROCHE</v>
      </c>
      <c r="D61" s="119"/>
      <c r="E61" s="119"/>
      <c r="F61" s="56" t="s">
        <v>52</v>
      </c>
      <c r="G61" s="56" t="str">
        <f>'Necesidades Trimestrales'!F59</f>
        <v>CAJA</v>
      </c>
      <c r="H61" s="57">
        <f>'Necesidades Trimestrales'!H59</f>
        <v>16114</v>
      </c>
      <c r="I61" s="58">
        <f>'Necesidades Trimestrales'!G59</f>
        <v>1</v>
      </c>
      <c r="J61" s="32"/>
    </row>
    <row r="62" spans="1:10" ht="34.5" customHeight="1" thickBot="1" x14ac:dyDescent="0.25">
      <c r="A62" s="54">
        <f>'Necesidades Trimestrales'!A60</f>
        <v>51</v>
      </c>
      <c r="B62" s="55">
        <v>0</v>
      </c>
      <c r="C62" s="119" t="str">
        <f>'Necesidades Trimestrales'!E60</f>
        <v>CELL WASH SOLUTION NAOH-D  2  X 1,8 LITROS</v>
      </c>
      <c r="D62" s="119"/>
      <c r="E62" s="119"/>
      <c r="F62" s="56" t="s">
        <v>52</v>
      </c>
      <c r="G62" s="56" t="str">
        <f>'Necesidades Trimestrales'!F60</f>
        <v>UNIDAD</v>
      </c>
      <c r="H62" s="57">
        <f>'Necesidades Trimestrales'!H60</f>
        <v>4976</v>
      </c>
      <c r="I62" s="58">
        <f>'Necesidades Trimestrales'!G60</f>
        <v>20</v>
      </c>
      <c r="J62" s="32"/>
    </row>
    <row r="63" spans="1:10" ht="38.25" customHeight="1" thickBot="1" x14ac:dyDescent="0.25">
      <c r="A63" s="54">
        <f>'Necesidades Trimestrales'!A61</f>
        <v>52</v>
      </c>
      <c r="B63" s="55">
        <v>0</v>
      </c>
      <c r="C63" s="119" t="str">
        <f>'Necesidades Trimestrales'!E61</f>
        <v>CEPILLOS PARA TUBOS DE 1,5 X 25 CM</v>
      </c>
      <c r="D63" s="119"/>
      <c r="E63" s="119"/>
      <c r="F63" s="56" t="s">
        <v>52</v>
      </c>
      <c r="G63" s="56" t="str">
        <f>'Necesidades Trimestrales'!F61</f>
        <v>UNIDAD</v>
      </c>
      <c r="H63" s="57">
        <f>'Necesidades Trimestrales'!H61</f>
        <v>240</v>
      </c>
      <c r="I63" s="58">
        <f>'Necesidades Trimestrales'!G61</f>
        <v>10</v>
      </c>
      <c r="J63" s="32"/>
    </row>
    <row r="64" spans="1:10" ht="33" customHeight="1" thickBot="1" x14ac:dyDescent="0.25">
      <c r="A64" s="54">
        <f>'Necesidades Trimestrales'!A62</f>
        <v>53</v>
      </c>
      <c r="B64" s="55">
        <v>0</v>
      </c>
      <c r="C64" s="119" t="str">
        <f>'Necesidades Trimestrales'!E62</f>
        <v>CHAGAS ELISA LISADO WIENER X 96  DET</v>
      </c>
      <c r="D64" s="119"/>
      <c r="E64" s="119"/>
      <c r="F64" s="56" t="s">
        <v>52</v>
      </c>
      <c r="G64" s="56" t="str">
        <f>'Necesidades Trimestrales'!F62</f>
        <v>UNIDAD</v>
      </c>
      <c r="H64" s="57">
        <f>'Necesidades Trimestrales'!H62</f>
        <v>11091</v>
      </c>
      <c r="I64" s="58">
        <f>'Necesidades Trimestrales'!G62</f>
        <v>18</v>
      </c>
      <c r="J64" s="32"/>
    </row>
    <row r="65" spans="1:10" ht="37.5" customHeight="1" thickBot="1" x14ac:dyDescent="0.25">
      <c r="A65" s="54">
        <f>'Necesidades Trimestrales'!A63</f>
        <v>54</v>
      </c>
      <c r="B65" s="55">
        <v>0</v>
      </c>
      <c r="C65" s="119" t="str">
        <f>'Necesidades Trimestrales'!E63</f>
        <v xml:space="preserve">CHAGAS HAI  WIENER  X 96 DET </v>
      </c>
      <c r="D65" s="119"/>
      <c r="E65" s="119"/>
      <c r="F65" s="56" t="s">
        <v>52</v>
      </c>
      <c r="G65" s="56" t="str">
        <f>'Necesidades Trimestrales'!F63</f>
        <v>UNIDAD</v>
      </c>
      <c r="H65" s="57">
        <f>'Necesidades Trimestrales'!H63</f>
        <v>10500</v>
      </c>
      <c r="I65" s="58">
        <f>'Necesidades Trimestrales'!G63</f>
        <v>4</v>
      </c>
      <c r="J65" s="32"/>
    </row>
    <row r="66" spans="1:10" ht="32.25" customHeight="1" thickBot="1" x14ac:dyDescent="0.25">
      <c r="A66" s="54">
        <f>'Necesidades Trimestrales'!A64</f>
        <v>55</v>
      </c>
      <c r="B66" s="55">
        <v>0</v>
      </c>
      <c r="C66" s="119" t="str">
        <f>'Necesidades Trimestrales'!E64</f>
        <v>CIM PARA VANCOMICINA X 30 TIRAS</v>
      </c>
      <c r="D66" s="119"/>
      <c r="E66" s="119"/>
      <c r="F66" s="56" t="s">
        <v>52</v>
      </c>
      <c r="G66" s="56" t="str">
        <f>'Necesidades Trimestrales'!F64</f>
        <v>CAJA</v>
      </c>
      <c r="H66" s="57">
        <f>'Necesidades Trimestrales'!H64</f>
        <v>24471</v>
      </c>
      <c r="I66" s="58">
        <f>'Necesidades Trimestrales'!G64</f>
        <v>3</v>
      </c>
      <c r="J66" s="32"/>
    </row>
    <row r="67" spans="1:10" ht="27.75" customHeight="1" thickBot="1" x14ac:dyDescent="0.25">
      <c r="A67" s="54">
        <f>'Necesidades Trimestrales'!A65</f>
        <v>56</v>
      </c>
      <c r="B67" s="55">
        <v>0</v>
      </c>
      <c r="C67" s="119" t="str">
        <f>'Necesidades Trimestrales'!E65</f>
        <v xml:space="preserve">CK-MB  COBAS  C-311 ROCHE  X 100 DET </v>
      </c>
      <c r="D67" s="119"/>
      <c r="E67" s="119"/>
      <c r="F67" s="56" t="s">
        <v>52</v>
      </c>
      <c r="G67" s="56" t="str">
        <f>'Necesidades Trimestrales'!F65</f>
        <v>CASSETTE</v>
      </c>
      <c r="H67" s="57">
        <f>'Necesidades Trimestrales'!H65</f>
        <v>4424</v>
      </c>
      <c r="I67" s="58">
        <f>'Necesidades Trimestrales'!G65</f>
        <v>1</v>
      </c>
      <c r="J67" s="32"/>
    </row>
    <row r="68" spans="1:10" ht="39.75" customHeight="1" thickBot="1" x14ac:dyDescent="0.25">
      <c r="A68" s="54">
        <f>'Necesidades Trimestrales'!A66</f>
        <v>57</v>
      </c>
      <c r="B68" s="55">
        <v>0</v>
      </c>
      <c r="C68" s="119" t="str">
        <f>'Necesidades Trimestrales'!E66</f>
        <v>CLEAN CELL COBAS E411</v>
      </c>
      <c r="D68" s="119"/>
      <c r="E68" s="119"/>
      <c r="F68" s="56" t="s">
        <v>52</v>
      </c>
      <c r="G68" s="56" t="str">
        <f>'Necesidades Trimestrales'!F66</f>
        <v>CAJA</v>
      </c>
      <c r="H68" s="57">
        <f>'Necesidades Trimestrales'!H66</f>
        <v>8696</v>
      </c>
      <c r="I68" s="58">
        <f>'Necesidades Trimestrales'!G66</f>
        <v>8</v>
      </c>
      <c r="J68" s="32"/>
    </row>
    <row r="69" spans="1:10" ht="30" customHeight="1" thickBot="1" x14ac:dyDescent="0.25">
      <c r="A69" s="54">
        <f>'Necesidades Trimestrales'!A67</f>
        <v>58</v>
      </c>
      <c r="B69" s="55">
        <v>0</v>
      </c>
      <c r="C69" s="119" t="str">
        <f>'Necesidades Trimestrales'!E67</f>
        <v>CLEANING SOLUTION  X 175 ML   PARA ABL 800</v>
      </c>
      <c r="D69" s="119"/>
      <c r="E69" s="119"/>
      <c r="F69" s="56" t="s">
        <v>58</v>
      </c>
      <c r="G69" s="56" t="str">
        <f>'Necesidades Trimestrales'!F67</f>
        <v>UNIDAD</v>
      </c>
      <c r="H69" s="57">
        <f>'Necesidades Trimestrales'!H67</f>
        <v>27900</v>
      </c>
      <c r="I69" s="58">
        <f>'Necesidades Trimestrales'!G67</f>
        <v>7</v>
      </c>
      <c r="J69" s="32"/>
    </row>
    <row r="70" spans="1:10" ht="30" customHeight="1" thickBot="1" x14ac:dyDescent="0.25">
      <c r="A70" s="54">
        <f>'Necesidades Trimestrales'!A68</f>
        <v>59</v>
      </c>
      <c r="B70" s="55">
        <v>0</v>
      </c>
      <c r="C70" s="119" t="str">
        <f>'Necesidades Trimestrales'!E68</f>
        <v>CLEANSER EZ PROBE PARA BC 3000 PLUS  X 20 ML</v>
      </c>
      <c r="D70" s="119"/>
      <c r="E70" s="119"/>
      <c r="F70" s="56" t="s">
        <v>52</v>
      </c>
      <c r="G70" s="56" t="str">
        <f>'Necesidades Trimestrales'!F68</f>
        <v>UNIDAD</v>
      </c>
      <c r="H70" s="57">
        <f>'Necesidades Trimestrales'!H68</f>
        <v>5600</v>
      </c>
      <c r="I70" s="58">
        <f>'Necesidades Trimestrales'!G68</f>
        <v>3</v>
      </c>
      <c r="J70" s="32"/>
    </row>
    <row r="71" spans="1:10" ht="33.75" customHeight="1" thickBot="1" x14ac:dyDescent="0.25">
      <c r="A71" s="54">
        <f>'Necesidades Trimestrales'!A69</f>
        <v>60</v>
      </c>
      <c r="B71" s="55">
        <v>0</v>
      </c>
      <c r="C71" s="119" t="str">
        <f>'Necesidades Trimestrales'!E69</f>
        <v>COLESTEROL TOTAL COBAS C-311 ROCHE  X 400 DET</v>
      </c>
      <c r="D71" s="119"/>
      <c r="E71" s="119"/>
      <c r="F71" s="56" t="s">
        <v>52</v>
      </c>
      <c r="G71" s="56" t="str">
        <f>'Necesidades Trimestrales'!F69</f>
        <v>CASSETTE</v>
      </c>
      <c r="H71" s="57">
        <f>'Necesidades Trimestrales'!H69</f>
        <v>3095</v>
      </c>
      <c r="I71" s="58">
        <f>'Necesidades Trimestrales'!G69</f>
        <v>1</v>
      </c>
      <c r="J71" s="32"/>
    </row>
    <row r="72" spans="1:10" ht="47.25" customHeight="1" thickBot="1" x14ac:dyDescent="0.25">
      <c r="A72" s="54">
        <f>'Necesidades Trimestrales'!A70</f>
        <v>61</v>
      </c>
      <c r="B72" s="55">
        <v>0</v>
      </c>
      <c r="C72" s="119" t="str">
        <f>'Necesidades Trimestrales'!E70</f>
        <v>CREATIN QUINASA COBAS C-311 ROCHE  X 200 DET</v>
      </c>
      <c r="D72" s="119"/>
      <c r="E72" s="119"/>
      <c r="F72" s="56" t="s">
        <v>52</v>
      </c>
      <c r="G72" s="56" t="str">
        <f>'Necesidades Trimestrales'!F70</f>
        <v>CASSETTE</v>
      </c>
      <c r="H72" s="57">
        <f>'Necesidades Trimestrales'!H70</f>
        <v>3025</v>
      </c>
      <c r="I72" s="58">
        <f>'Necesidades Trimestrales'!G70</f>
        <v>1</v>
      </c>
      <c r="J72" s="32"/>
    </row>
    <row r="73" spans="1:10" ht="33" customHeight="1" thickBot="1" x14ac:dyDescent="0.25">
      <c r="A73" s="54">
        <f>'Necesidades Trimestrales'!A71</f>
        <v>62</v>
      </c>
      <c r="B73" s="55">
        <v>0</v>
      </c>
      <c r="C73" s="119" t="str">
        <f>'Necesidades Trimestrales'!E71</f>
        <v>CREATININA JAFFE COBAS C-311 ROCHE  X 700 DET</v>
      </c>
      <c r="D73" s="119"/>
      <c r="E73" s="119"/>
      <c r="F73" s="56" t="s">
        <v>52</v>
      </c>
      <c r="G73" s="56" t="str">
        <f>'Necesidades Trimestrales'!F71</f>
        <v>CASSETTE</v>
      </c>
      <c r="H73" s="57">
        <f>'Necesidades Trimestrales'!H71</f>
        <v>3854</v>
      </c>
      <c r="I73" s="58">
        <f>'Necesidades Trimestrales'!G71</f>
        <v>4</v>
      </c>
      <c r="J73" s="32"/>
    </row>
    <row r="74" spans="1:10" ht="38.25" customHeight="1" thickBot="1" x14ac:dyDescent="0.25">
      <c r="A74" s="54">
        <f>'Necesidades Trimestrales'!A72</f>
        <v>63</v>
      </c>
      <c r="B74" s="55">
        <v>0</v>
      </c>
      <c r="C74" s="119" t="str">
        <f>'Necesidades Trimestrales'!E72</f>
        <v>CUBETAS PARA COAGULOMETRO SIEMENS BFT II X 100 UNIDADES X 5 PLANCHAS</v>
      </c>
      <c r="D74" s="119"/>
      <c r="E74" s="119"/>
      <c r="F74" s="56" t="s">
        <v>52</v>
      </c>
      <c r="G74" s="56" t="str">
        <f>'Necesidades Trimestrales'!F72</f>
        <v>CAJA</v>
      </c>
      <c r="H74" s="57">
        <f>'Necesidades Trimestrales'!H72</f>
        <v>21500</v>
      </c>
      <c r="I74" s="58">
        <f>'Necesidades Trimestrales'!G72</f>
        <v>6</v>
      </c>
      <c r="J74" s="32"/>
    </row>
    <row r="75" spans="1:10" ht="34.5" customHeight="1" thickBot="1" x14ac:dyDescent="0.25">
      <c r="A75" s="54">
        <f>'Necesidades Trimestrales'!A73</f>
        <v>64</v>
      </c>
      <c r="B75" s="55">
        <v>0</v>
      </c>
      <c r="C75" s="119" t="str">
        <f>'Necesidades Trimestrales'!E73</f>
        <v>CUBETAS REACTION CELL FOR COBAS C-311 ROCHE</v>
      </c>
      <c r="D75" s="119"/>
      <c r="E75" s="119"/>
      <c r="F75" s="56" t="s">
        <v>52</v>
      </c>
      <c r="G75" s="56" t="str">
        <f>'Necesidades Trimestrales'!F73</f>
        <v>UNIDAD</v>
      </c>
      <c r="H75" s="57">
        <f>'Necesidades Trimestrales'!H73</f>
        <v>22400</v>
      </c>
      <c r="I75" s="58">
        <f>'Necesidades Trimestrales'!G73</f>
        <v>1</v>
      </c>
      <c r="J75" s="32"/>
    </row>
    <row r="76" spans="1:10" ht="33" customHeight="1" thickBot="1" x14ac:dyDescent="0.25">
      <c r="A76" s="54">
        <f>'Necesidades Trimestrales'!A74</f>
        <v>65</v>
      </c>
      <c r="B76" s="55">
        <v>0</v>
      </c>
      <c r="C76" s="119" t="str">
        <f>'Necesidades Trimestrales'!E74</f>
        <v>CUBRE OBJETOS 20 X 20 X 100 UNID.</v>
      </c>
      <c r="D76" s="119"/>
      <c r="E76" s="119"/>
      <c r="F76" s="56" t="s">
        <v>52</v>
      </c>
      <c r="G76" s="56" t="str">
        <f>'Necesidades Trimestrales'!F74</f>
        <v>CAJA</v>
      </c>
      <c r="H76" s="57">
        <f>'Necesidades Trimestrales'!H74</f>
        <v>220</v>
      </c>
      <c r="I76" s="58">
        <f>'Necesidades Trimestrales'!G74</f>
        <v>10</v>
      </c>
      <c r="J76" s="32"/>
    </row>
    <row r="77" spans="1:10" ht="32.25" customHeight="1" thickBot="1" x14ac:dyDescent="0.25">
      <c r="A77" s="54">
        <f>'Necesidades Trimestrales'!A75</f>
        <v>66</v>
      </c>
      <c r="B77" s="55">
        <v>0</v>
      </c>
      <c r="C77" s="119" t="str">
        <f>'Necesidades Trimestrales'!E75</f>
        <v>DECOLORANTE PARA GRAM, ESTADO: LÍQUIDO, PRESENTACIÓN: ENVASE POR 100 ML</v>
      </c>
      <c r="D77" s="119"/>
      <c r="E77" s="119"/>
      <c r="F77" s="56" t="s">
        <v>52</v>
      </c>
      <c r="G77" s="56" t="str">
        <f>'Necesidades Trimestrales'!F75</f>
        <v>FRASCO</v>
      </c>
      <c r="H77" s="57">
        <f>'Necesidades Trimestrales'!H75</f>
        <v>2600</v>
      </c>
      <c r="I77" s="58">
        <f>'Necesidades Trimestrales'!G75</f>
        <v>5</v>
      </c>
      <c r="J77" s="32"/>
    </row>
    <row r="78" spans="1:10" ht="33" customHeight="1" thickBot="1" x14ac:dyDescent="0.25">
      <c r="A78" s="54">
        <f>'Necesidades Trimestrales'!A76</f>
        <v>67</v>
      </c>
      <c r="B78" s="55">
        <v>0</v>
      </c>
      <c r="C78" s="119" t="str">
        <f>'Necesidades Trimestrales'!E76</f>
        <v>DETERGENTE NO IONICO X 1 LITRO WIENER</v>
      </c>
      <c r="D78" s="119"/>
      <c r="E78" s="119"/>
      <c r="F78" s="56" t="s">
        <v>52</v>
      </c>
      <c r="G78" s="56" t="str">
        <f>'Necesidades Trimestrales'!F76</f>
        <v>UNIDAD</v>
      </c>
      <c r="H78" s="57">
        <f>'Necesidades Trimestrales'!H76</f>
        <v>460</v>
      </c>
      <c r="I78" s="58">
        <f>'Necesidades Trimestrales'!G76</f>
        <v>2</v>
      </c>
      <c r="J78" s="32"/>
    </row>
    <row r="79" spans="1:10" ht="36" customHeight="1" thickBot="1" x14ac:dyDescent="0.25">
      <c r="A79" s="54">
        <f>'Necesidades Trimestrales'!A77</f>
        <v>68</v>
      </c>
      <c r="B79" s="55">
        <v>0</v>
      </c>
      <c r="C79" s="119" t="str">
        <f>'Necesidades Trimestrales'!E77</f>
        <v>DETERGENTE P/CONTADOR MINDRAY BC3000 PLUS X 5 L</v>
      </c>
      <c r="D79" s="119"/>
      <c r="E79" s="119"/>
      <c r="F79" s="56" t="s">
        <v>52</v>
      </c>
      <c r="G79" s="56" t="str">
        <f>'Necesidades Trimestrales'!F77</f>
        <v>CAJA</v>
      </c>
      <c r="H79" s="57">
        <f>'Necesidades Trimestrales'!H77</f>
        <v>4500</v>
      </c>
      <c r="I79" s="58">
        <f>'Necesidades Trimestrales'!G77</f>
        <v>10</v>
      </c>
      <c r="J79" s="32"/>
    </row>
    <row r="80" spans="1:10" ht="36" customHeight="1" thickBot="1" x14ac:dyDescent="0.25">
      <c r="A80" s="54">
        <f>'Necesidades Trimestrales'!A78</f>
        <v>69</v>
      </c>
      <c r="B80" s="55">
        <v>0</v>
      </c>
      <c r="C80" s="119" t="str">
        <f>'Necesidades Trimestrales'!E78</f>
        <v>DILUYENTE PARA CONTADOR HEMATOLOGICO MINDRAY BC-3000 PLUS  X 20 LITROS</v>
      </c>
      <c r="D80" s="119"/>
      <c r="E80" s="119"/>
      <c r="F80" s="56" t="s">
        <v>52</v>
      </c>
      <c r="G80" s="56" t="str">
        <f>'Necesidades Trimestrales'!F78</f>
        <v>CAJA</v>
      </c>
      <c r="H80" s="57">
        <f>'Necesidades Trimestrales'!H78</f>
        <v>6500</v>
      </c>
      <c r="I80" s="58">
        <f>'Necesidades Trimestrales'!G78</f>
        <v>8</v>
      </c>
      <c r="J80" s="32"/>
    </row>
    <row r="81" spans="1:10" ht="34.5" customHeight="1" thickBot="1" x14ac:dyDescent="0.25">
      <c r="A81" s="54">
        <f>'Necesidades Trimestrales'!A79</f>
        <v>70</v>
      </c>
      <c r="B81" s="55">
        <v>0</v>
      </c>
      <c r="C81" s="119" t="str">
        <f>'Necesidades Trimestrales'!E79</f>
        <v xml:space="preserve">DIMERO D  COBAS C-311 ROCHE  X 100 DET </v>
      </c>
      <c r="D81" s="119"/>
      <c r="E81" s="119"/>
      <c r="F81" s="56" t="s">
        <v>52</v>
      </c>
      <c r="G81" s="56" t="str">
        <f>'Necesidades Trimestrales'!F79</f>
        <v>CASSETTE</v>
      </c>
      <c r="H81" s="57">
        <f>'Necesidades Trimestrales'!H79</f>
        <v>63867</v>
      </c>
      <c r="I81" s="58">
        <f>'Necesidades Trimestrales'!G79</f>
        <v>1</v>
      </c>
      <c r="J81" s="32"/>
    </row>
    <row r="82" spans="1:10" ht="36.75" customHeight="1" thickBot="1" x14ac:dyDescent="0.25">
      <c r="A82" s="54">
        <f>'Necesidades Trimestrales'!A80</f>
        <v>71</v>
      </c>
      <c r="B82" s="55">
        <v>0</v>
      </c>
      <c r="C82" s="119" t="str">
        <f>'Necesidades Trimestrales'!E80</f>
        <v>DIMERO D  GEN 2 CALIBRADOR SET 6X0,5 ML  COBAS C-311 ROCHE</v>
      </c>
      <c r="D82" s="119"/>
      <c r="E82" s="119"/>
      <c r="F82" s="56" t="s">
        <v>52</v>
      </c>
      <c r="G82" s="56" t="str">
        <f>'Necesidades Trimestrales'!F80</f>
        <v>CAJA</v>
      </c>
      <c r="H82" s="57">
        <f>'Necesidades Trimestrales'!H80</f>
        <v>15214</v>
      </c>
      <c r="I82" s="58">
        <f>'Necesidades Trimestrales'!G80</f>
        <v>1</v>
      </c>
      <c r="J82" s="32"/>
    </row>
    <row r="83" spans="1:10" ht="36.75" customHeight="1" thickBot="1" x14ac:dyDescent="0.25">
      <c r="A83" s="54">
        <f>'Necesidades Trimestrales'!A81</f>
        <v>72</v>
      </c>
      <c r="B83" s="55">
        <v>0</v>
      </c>
      <c r="C83" s="119" t="str">
        <f>'Necesidades Trimestrales'!E81</f>
        <v>DIMERO D GEN 2 CONTROL I  / II  NIVEL 1 : 2 X 1 ML  NIVEL 2 : 2 X 1 ML  COBAS C-311 ROCHE</v>
      </c>
      <c r="D83" s="119"/>
      <c r="E83" s="119"/>
      <c r="F83" s="56" t="s">
        <v>52</v>
      </c>
      <c r="G83" s="56" t="str">
        <f>'Necesidades Trimestrales'!F81</f>
        <v>UNIDAD</v>
      </c>
      <c r="H83" s="57">
        <f>'Necesidades Trimestrales'!H81</f>
        <v>20266</v>
      </c>
      <c r="I83" s="58">
        <f>'Necesidades Trimestrales'!G81</f>
        <v>1</v>
      </c>
      <c r="J83" s="32"/>
    </row>
    <row r="84" spans="1:10" ht="37.5" customHeight="1" thickBot="1" x14ac:dyDescent="0.25">
      <c r="A84" s="54">
        <f>'Necesidades Trimestrales'!A82</f>
        <v>73</v>
      </c>
      <c r="B84" s="55">
        <v>0</v>
      </c>
      <c r="C84" s="119" t="str">
        <f>'Necesidades Trimestrales'!E82</f>
        <v>DISCO AMICACINA 30 µGR, ESTADO:  CALIDAD: PRO ANALISIS, PRESENTACION: ENVASE X 50 UN</v>
      </c>
      <c r="D84" s="119"/>
      <c r="E84" s="119"/>
      <c r="F84" s="56" t="s">
        <v>52</v>
      </c>
      <c r="G84" s="56" t="str">
        <f>'Necesidades Trimestrales'!F82</f>
        <v>FRASCO</v>
      </c>
      <c r="H84" s="57">
        <f>'Necesidades Trimestrales'!H82</f>
        <v>850</v>
      </c>
      <c r="I84" s="58">
        <f>'Necesidades Trimestrales'!G82</f>
        <v>5</v>
      </c>
      <c r="J84" s="32"/>
    </row>
    <row r="85" spans="1:10" ht="38.25" customHeight="1" thickBot="1" x14ac:dyDescent="0.25">
      <c r="A85" s="54">
        <f>'Necesidades Trimestrales'!A83</f>
        <v>74</v>
      </c>
      <c r="B85" s="55">
        <v>0</v>
      </c>
      <c r="C85" s="119" t="str">
        <f>'Necesidades Trimestrales'!E83</f>
        <v>DISCO AMOXICILINA+CLAVULANICO, ESTADO:  CALIDAD: PRO ANALISIS, PRESENTACION: ENVASE X 50 UN</v>
      </c>
      <c r="D85" s="119"/>
      <c r="E85" s="119"/>
      <c r="F85" s="56" t="s">
        <v>52</v>
      </c>
      <c r="G85" s="56" t="str">
        <f>'Necesidades Trimestrales'!F83</f>
        <v>FRASCO</v>
      </c>
      <c r="H85" s="57">
        <f>'Necesidades Trimestrales'!H83</f>
        <v>850</v>
      </c>
      <c r="I85" s="58">
        <f>'Necesidades Trimestrales'!G83</f>
        <v>5</v>
      </c>
      <c r="J85" s="32"/>
    </row>
    <row r="86" spans="1:10" ht="31.5" customHeight="1" thickBot="1" x14ac:dyDescent="0.25">
      <c r="A86" s="54">
        <f>'Necesidades Trimestrales'!A84</f>
        <v>75</v>
      </c>
      <c r="B86" s="55">
        <v>0</v>
      </c>
      <c r="C86" s="119" t="str">
        <f>'Necesidades Trimestrales'!E84</f>
        <v>DISCO AMPICILINA + SULBACTAM 10/10 µGR DISCO X 50 UN</v>
      </c>
      <c r="D86" s="119"/>
      <c r="E86" s="119"/>
      <c r="F86" s="56" t="s">
        <v>52</v>
      </c>
      <c r="G86" s="56" t="str">
        <f>'Necesidades Trimestrales'!F84</f>
        <v>FRASCO</v>
      </c>
      <c r="H86" s="57">
        <f>'Necesidades Trimestrales'!H84</f>
        <v>850</v>
      </c>
      <c r="I86" s="58">
        <f>'Necesidades Trimestrales'!G84</f>
        <v>5</v>
      </c>
      <c r="J86" s="32"/>
    </row>
    <row r="87" spans="1:10" ht="36" customHeight="1" thickBot="1" x14ac:dyDescent="0.25">
      <c r="A87" s="54">
        <f>'Necesidades Trimestrales'!A85</f>
        <v>76</v>
      </c>
      <c r="B87" s="55">
        <v>0</v>
      </c>
      <c r="C87" s="119" t="str">
        <f>'Necesidades Trimestrales'!E85</f>
        <v>DISCO AMPICILINA 10 µGR, ESTADO:  CALIDAD: PRO ANALISIS, PRESENTACION: ENVASE X 50 UN</v>
      </c>
      <c r="D87" s="119"/>
      <c r="E87" s="119"/>
      <c r="F87" s="56" t="s">
        <v>52</v>
      </c>
      <c r="G87" s="56" t="str">
        <f>'Necesidades Trimestrales'!F85</f>
        <v>FRASCO</v>
      </c>
      <c r="H87" s="57">
        <f>'Necesidades Trimestrales'!H85</f>
        <v>850</v>
      </c>
      <c r="I87" s="58">
        <f>'Necesidades Trimestrales'!G85</f>
        <v>5</v>
      </c>
      <c r="J87" s="32"/>
    </row>
    <row r="88" spans="1:10" ht="36" customHeight="1" thickBot="1" x14ac:dyDescent="0.25">
      <c r="A88" s="54">
        <f>'Necesidades Trimestrales'!A86</f>
        <v>77</v>
      </c>
      <c r="B88" s="55">
        <v>0</v>
      </c>
      <c r="C88" s="119" t="str">
        <f>'Necesidades Trimestrales'!E86</f>
        <v>DISCO AZTREONAM 30 µGR DISCO 50 UN</v>
      </c>
      <c r="D88" s="119"/>
      <c r="E88" s="119"/>
      <c r="F88" s="58" t="s">
        <v>52</v>
      </c>
      <c r="G88" s="56" t="str">
        <f>'Necesidades Trimestrales'!F86</f>
        <v>FRASCO</v>
      </c>
      <c r="H88" s="57">
        <f>'Necesidades Trimestrales'!H86</f>
        <v>850</v>
      </c>
      <c r="I88" s="58">
        <f>'Necesidades Trimestrales'!G86</f>
        <v>2</v>
      </c>
      <c r="J88" s="32"/>
    </row>
    <row r="89" spans="1:10" ht="38.25" customHeight="1" thickBot="1" x14ac:dyDescent="0.25">
      <c r="A89" s="54">
        <f>'Necesidades Trimestrales'!A87</f>
        <v>78</v>
      </c>
      <c r="B89" s="55">
        <v>0</v>
      </c>
      <c r="C89" s="119" t="str">
        <f>'Necesidades Trimestrales'!E87</f>
        <v>DISCO CEFAZOLINA, ESTADO: DISCO, CALIDAD: PRO ANALISIS, PRESENTACION: 50 X ENVASE X 30 µGR</v>
      </c>
      <c r="D89" s="119"/>
      <c r="E89" s="119"/>
      <c r="F89" s="58" t="s">
        <v>52</v>
      </c>
      <c r="G89" s="56" t="str">
        <f>'Necesidades Trimestrales'!F87</f>
        <v>FRASCO</v>
      </c>
      <c r="H89" s="57">
        <f>'Necesidades Trimestrales'!H87</f>
        <v>850</v>
      </c>
      <c r="I89" s="58">
        <f>'Necesidades Trimestrales'!G87</f>
        <v>5</v>
      </c>
      <c r="J89" s="32"/>
    </row>
    <row r="90" spans="1:10" ht="42.75" customHeight="1" thickBot="1" x14ac:dyDescent="0.25">
      <c r="A90" s="54">
        <f>'Necesidades Trimestrales'!A88</f>
        <v>79</v>
      </c>
      <c r="B90" s="55">
        <v>0</v>
      </c>
      <c r="C90" s="119" t="str">
        <f>'Necesidades Trimestrales'!E88</f>
        <v>DISCO CEFEPIME 30 µGR, ESTADO: DISCO, CALIDAD: PRO ANALISIS, PRESENTACION: ENVASE X 50 UN</v>
      </c>
      <c r="D90" s="119"/>
      <c r="E90" s="119"/>
      <c r="F90" s="58" t="s">
        <v>52</v>
      </c>
      <c r="G90" s="56" t="str">
        <f>'Necesidades Trimestrales'!F88</f>
        <v>FRASCO</v>
      </c>
      <c r="H90" s="57">
        <f>'Necesidades Trimestrales'!H88</f>
        <v>850</v>
      </c>
      <c r="I90" s="58">
        <f>'Necesidades Trimestrales'!G88</f>
        <v>2</v>
      </c>
      <c r="J90" s="32"/>
    </row>
    <row r="91" spans="1:10" ht="36" customHeight="1" thickBot="1" x14ac:dyDescent="0.25">
      <c r="A91" s="54">
        <f>'Necesidades Trimestrales'!A89</f>
        <v>80</v>
      </c>
      <c r="B91" s="55">
        <v>0</v>
      </c>
      <c r="C91" s="119" t="str">
        <f>'Necesidades Trimestrales'!E89</f>
        <v>DISCO CEFOTAXIMA 30 µGR DISCO X 50 UN</v>
      </c>
      <c r="D91" s="119"/>
      <c r="E91" s="119"/>
      <c r="F91" s="58" t="s">
        <v>52</v>
      </c>
      <c r="G91" s="56" t="str">
        <f>'Necesidades Trimestrales'!F89</f>
        <v>FRASCO</v>
      </c>
      <c r="H91" s="57">
        <f>'Necesidades Trimestrales'!H89</f>
        <v>850</v>
      </c>
      <c r="I91" s="58">
        <f>'Necesidades Trimestrales'!G89</f>
        <v>5</v>
      </c>
      <c r="J91" s="32"/>
    </row>
    <row r="92" spans="1:10" ht="37.5" customHeight="1" thickBot="1" x14ac:dyDescent="0.25">
      <c r="A92" s="54">
        <f>'Necesidades Trimestrales'!A90</f>
        <v>81</v>
      </c>
      <c r="B92" s="55">
        <v>0</v>
      </c>
      <c r="C92" s="119" t="str">
        <f>'Necesidades Trimestrales'!E90</f>
        <v>DISCO CEFTAZIDIMA 30 µGR, ESTADO: DISCO, CALIDAD: PRO ANALISIS, PRESENTACION: ENVASE X 50 UN</v>
      </c>
      <c r="D92" s="119"/>
      <c r="E92" s="119"/>
      <c r="F92" s="58" t="s">
        <v>52</v>
      </c>
      <c r="G92" s="56" t="str">
        <f>'Necesidades Trimestrales'!F90</f>
        <v>FRASCO</v>
      </c>
      <c r="H92" s="57">
        <f>'Necesidades Trimestrales'!H90</f>
        <v>850</v>
      </c>
      <c r="I92" s="58">
        <f>'Necesidades Trimestrales'!G90</f>
        <v>5</v>
      </c>
      <c r="J92" s="32"/>
    </row>
    <row r="93" spans="1:10" ht="50.25" customHeight="1" thickBot="1" x14ac:dyDescent="0.25">
      <c r="A93" s="54">
        <f>'Necesidades Trimestrales'!A91</f>
        <v>82</v>
      </c>
      <c r="B93" s="55">
        <v>0</v>
      </c>
      <c r="C93" s="119" t="str">
        <f>'Necesidades Trimestrales'!E91</f>
        <v>DISCO CEFTAZIDIMA AC.CLAVULAN.30/10 µGR DISCO X 50 UN</v>
      </c>
      <c r="D93" s="119"/>
      <c r="E93" s="119"/>
      <c r="F93" s="58" t="s">
        <v>52</v>
      </c>
      <c r="G93" s="56" t="str">
        <f>'Necesidades Trimestrales'!F91</f>
        <v>FRASCO</v>
      </c>
      <c r="H93" s="57">
        <f>'Necesidades Trimestrales'!H91</f>
        <v>850</v>
      </c>
      <c r="I93" s="58">
        <f>'Necesidades Trimestrales'!G91</f>
        <v>1</v>
      </c>
      <c r="J93" s="32"/>
    </row>
    <row r="94" spans="1:10" ht="40.5" customHeight="1" thickBot="1" x14ac:dyDescent="0.25">
      <c r="A94" s="54">
        <f>'Necesidades Trimestrales'!A92</f>
        <v>83</v>
      </c>
      <c r="B94" s="55">
        <v>0</v>
      </c>
      <c r="C94" s="119" t="str">
        <f>'Necesidades Trimestrales'!E92</f>
        <v>DISCO CEFUROXIMA 30 µGR DISCO X 50 UN</v>
      </c>
      <c r="D94" s="119"/>
      <c r="E94" s="119"/>
      <c r="F94" s="58" t="s">
        <v>52</v>
      </c>
      <c r="G94" s="56" t="str">
        <f>'Necesidades Trimestrales'!F92</f>
        <v>FRASCO</v>
      </c>
      <c r="H94" s="57">
        <f>'Necesidades Trimestrales'!H92</f>
        <v>850</v>
      </c>
      <c r="I94" s="58">
        <f>'Necesidades Trimestrales'!G92</f>
        <v>5</v>
      </c>
      <c r="J94" s="32"/>
    </row>
    <row r="95" spans="1:10" ht="30.75" customHeight="1" thickBot="1" x14ac:dyDescent="0.25">
      <c r="A95" s="54">
        <f>'Necesidades Trimestrales'!A93</f>
        <v>84</v>
      </c>
      <c r="B95" s="55">
        <v>0</v>
      </c>
      <c r="C95" s="119" t="str">
        <f>'Necesidades Trimestrales'!E93</f>
        <v>DISCO COLISTINA 10 µGR, ESTADO: DISCO, CALIDAD: PRO ANALISIS, PRESENTACION: ENVASE X 50 UN</v>
      </c>
      <c r="D95" s="119"/>
      <c r="E95" s="119"/>
      <c r="F95" s="58" t="s">
        <v>52</v>
      </c>
      <c r="G95" s="56" t="str">
        <f>'Necesidades Trimestrales'!F93</f>
        <v>FRASCO</v>
      </c>
      <c r="H95" s="57">
        <f>'Necesidades Trimestrales'!H93</f>
        <v>850</v>
      </c>
      <c r="I95" s="58">
        <f>'Necesidades Trimestrales'!G93</f>
        <v>5</v>
      </c>
      <c r="J95" s="32"/>
    </row>
    <row r="96" spans="1:10" ht="36.75" customHeight="1" thickBot="1" x14ac:dyDescent="0.25">
      <c r="A96" s="54">
        <f>'Necesidades Trimestrales'!A94</f>
        <v>85</v>
      </c>
      <c r="B96" s="55">
        <v>0</v>
      </c>
      <c r="C96" s="119" t="str">
        <f>'Necesidades Trimestrales'!E94</f>
        <v>DISCO ERITROMICINA 15 µGR DISCO X 50 UN</v>
      </c>
      <c r="D96" s="119"/>
      <c r="E96" s="119"/>
      <c r="F96" s="58" t="s">
        <v>52</v>
      </c>
      <c r="G96" s="56" t="str">
        <f>'Necesidades Trimestrales'!F94</f>
        <v>FRASCO</v>
      </c>
      <c r="H96" s="57">
        <f>'Necesidades Trimestrales'!H94</f>
        <v>850</v>
      </c>
      <c r="I96" s="58">
        <f>'Necesidades Trimestrales'!G94</f>
        <v>5</v>
      </c>
      <c r="J96" s="32"/>
    </row>
    <row r="97" spans="1:10" ht="27.75" customHeight="1" thickBot="1" x14ac:dyDescent="0.25">
      <c r="A97" s="54">
        <f>'Necesidades Trimestrales'!A95</f>
        <v>86</v>
      </c>
      <c r="B97" s="55">
        <v>0</v>
      </c>
      <c r="C97" s="119" t="str">
        <f>'Necesidades Trimestrales'!E95</f>
        <v>DISCO ESTREPTOMICINA 300 µGR, ESTADO: DISCO, CALIDAD: PRO ANALISIS, PRESENTACION: ENVASE X 50 UN</v>
      </c>
      <c r="D97" s="119"/>
      <c r="E97" s="119"/>
      <c r="F97" s="58" t="s">
        <v>52</v>
      </c>
      <c r="G97" s="56" t="str">
        <f>'Necesidades Trimestrales'!F95</f>
        <v>FRASCO</v>
      </c>
      <c r="H97" s="57">
        <f>'Necesidades Trimestrales'!H95</f>
        <v>850</v>
      </c>
      <c r="I97" s="58">
        <f>'Necesidades Trimestrales'!G95</f>
        <v>1</v>
      </c>
      <c r="J97" s="32"/>
    </row>
    <row r="98" spans="1:10" ht="40.5" customHeight="1" thickBot="1" x14ac:dyDescent="0.25">
      <c r="A98" s="54">
        <f>'Necesidades Trimestrales'!A96</f>
        <v>87</v>
      </c>
      <c r="B98" s="55">
        <v>0</v>
      </c>
      <c r="C98" s="119" t="str">
        <f>'Necesidades Trimestrales'!E96</f>
        <v>DISCO FOSFOMICINA TROMETAMOL 200 UGX 50 UN</v>
      </c>
      <c r="D98" s="119"/>
      <c r="E98" s="119"/>
      <c r="F98" s="58" t="s">
        <v>52</v>
      </c>
      <c r="G98" s="56" t="str">
        <f>'Necesidades Trimestrales'!F96</f>
        <v>FRASCO</v>
      </c>
      <c r="H98" s="57">
        <f>'Necesidades Trimestrales'!H96</f>
        <v>850</v>
      </c>
      <c r="I98" s="58">
        <f>'Necesidades Trimestrales'!G96</f>
        <v>1</v>
      </c>
      <c r="J98" s="32"/>
    </row>
    <row r="99" spans="1:10" ht="33" customHeight="1" thickBot="1" x14ac:dyDescent="0.25">
      <c r="A99" s="54">
        <f>'Necesidades Trimestrales'!A97</f>
        <v>88</v>
      </c>
      <c r="B99" s="55">
        <v>0</v>
      </c>
      <c r="C99" s="119" t="str">
        <f>'Necesidades Trimestrales'!E97</f>
        <v>DISCO IMIPENEM 10 µGR, ESTADO: DISCO, CALIDAD: PRO ANALISIS, PRESENTACION: ENVASE X 50 UN</v>
      </c>
      <c r="D99" s="119"/>
      <c r="E99" s="119"/>
      <c r="F99" s="58" t="s">
        <v>52</v>
      </c>
      <c r="G99" s="56" t="str">
        <f>'Necesidades Trimestrales'!F97</f>
        <v>FRASCO</v>
      </c>
      <c r="H99" s="57">
        <f>'Necesidades Trimestrales'!H97</f>
        <v>850</v>
      </c>
      <c r="I99" s="58">
        <f>'Necesidades Trimestrales'!G97</f>
        <v>5</v>
      </c>
      <c r="J99" s="32"/>
    </row>
    <row r="100" spans="1:10" ht="48.75" customHeight="1" thickBot="1" x14ac:dyDescent="0.25">
      <c r="A100" s="54">
        <f>'Necesidades Trimestrales'!A98</f>
        <v>89</v>
      </c>
      <c r="B100" s="55">
        <v>0</v>
      </c>
      <c r="C100" s="119" t="str">
        <f>'Necesidades Trimestrales'!E98</f>
        <v>DISCO LEVOFLOXACINA 5 µGR DISCO X 50 UN</v>
      </c>
      <c r="D100" s="119"/>
      <c r="E100" s="119"/>
      <c r="F100" s="58" t="s">
        <v>52</v>
      </c>
      <c r="G100" s="56" t="str">
        <f>'Necesidades Trimestrales'!F98</f>
        <v>FRASCO</v>
      </c>
      <c r="H100" s="57">
        <f>'Necesidades Trimestrales'!H98</f>
        <v>850</v>
      </c>
      <c r="I100" s="58">
        <f>'Necesidades Trimestrales'!G98</f>
        <v>1</v>
      </c>
      <c r="J100" s="32"/>
    </row>
    <row r="101" spans="1:10" ht="36.75" customHeight="1" thickBot="1" x14ac:dyDescent="0.25">
      <c r="A101" s="54">
        <f>'Necesidades Trimestrales'!A99</f>
        <v>90</v>
      </c>
      <c r="B101" s="55">
        <v>0</v>
      </c>
      <c r="C101" s="119" t="str">
        <f>'Necesidades Trimestrales'!E99</f>
        <v>DISCO MEROPENEM 10 µGR, ESTADO: DISCO, CALIDAD: PRO ANALISIS, PRESENTACION: ENVASE X 50 UN</v>
      </c>
      <c r="D101" s="119"/>
      <c r="E101" s="119"/>
      <c r="F101" s="59" t="s">
        <v>52</v>
      </c>
      <c r="G101" s="56" t="str">
        <f>'Necesidades Trimestrales'!F99</f>
        <v>FRASCO</v>
      </c>
      <c r="H101" s="57">
        <f>'Necesidades Trimestrales'!H99</f>
        <v>850</v>
      </c>
      <c r="I101" s="58">
        <f>'Necesidades Trimestrales'!G99</f>
        <v>5</v>
      </c>
      <c r="J101" s="32"/>
    </row>
    <row r="102" spans="1:10" ht="35.25" customHeight="1" thickBot="1" x14ac:dyDescent="0.25">
      <c r="A102" s="54">
        <f>'Necesidades Trimestrales'!A100</f>
        <v>91</v>
      </c>
      <c r="B102" s="55">
        <v>0</v>
      </c>
      <c r="C102" s="119" t="str">
        <f>'Necesidades Trimestrales'!E100</f>
        <v>DISCO NITROFURANTOINA 300 µGR, ESTADO: DISCO, CALIDAD: PRO ANALISIS, PRESENTACION: ENVASE X 50 UN</v>
      </c>
      <c r="D102" s="119"/>
      <c r="E102" s="119"/>
      <c r="F102" s="59" t="s">
        <v>52</v>
      </c>
      <c r="G102" s="56" t="str">
        <f>'Necesidades Trimestrales'!F100</f>
        <v>FRASCO</v>
      </c>
      <c r="H102" s="57">
        <f>'Necesidades Trimestrales'!H100</f>
        <v>850</v>
      </c>
      <c r="I102" s="58">
        <f>'Necesidades Trimestrales'!G100</f>
        <v>5</v>
      </c>
      <c r="J102" s="32"/>
    </row>
    <row r="103" spans="1:10" ht="31.5" customHeight="1" thickBot="1" x14ac:dyDescent="0.25">
      <c r="A103" s="54">
        <f>'Necesidades Trimestrales'!A101</f>
        <v>92</v>
      </c>
      <c r="B103" s="55">
        <v>0</v>
      </c>
      <c r="C103" s="119" t="str">
        <f>'Necesidades Trimestrales'!E101</f>
        <v>DISCO OXACILINA 1 µGR, ESTADO: DISCO, CALIDAD: PRO ANALISIS, PRESENTACION: ENVASE X 50 UN</v>
      </c>
      <c r="D103" s="119"/>
      <c r="E103" s="119"/>
      <c r="F103" s="59" t="s">
        <v>52</v>
      </c>
      <c r="G103" s="56" t="str">
        <f>'Necesidades Trimestrales'!F101</f>
        <v>FRASCO</v>
      </c>
      <c r="H103" s="57">
        <f>'Necesidades Trimestrales'!H101</f>
        <v>850</v>
      </c>
      <c r="I103" s="58">
        <f>'Necesidades Trimestrales'!G101</f>
        <v>10</v>
      </c>
      <c r="J103" s="32"/>
    </row>
    <row r="104" spans="1:10" ht="35.25" customHeight="1" thickBot="1" x14ac:dyDescent="0.25">
      <c r="A104" s="54">
        <f>'Necesidades Trimestrales'!A102</f>
        <v>93</v>
      </c>
      <c r="B104" s="55">
        <v>0</v>
      </c>
      <c r="C104" s="119" t="str">
        <f>'Necesidades Trimestrales'!E102</f>
        <v>DISCO OXIDASA DISCOS X  25 U</v>
      </c>
      <c r="D104" s="119"/>
      <c r="E104" s="119"/>
      <c r="F104" s="59" t="s">
        <v>52</v>
      </c>
      <c r="G104" s="56" t="str">
        <f>'Necesidades Trimestrales'!F102</f>
        <v>FRASCO</v>
      </c>
      <c r="H104" s="57">
        <f>'Necesidades Trimestrales'!H102</f>
        <v>1350</v>
      </c>
      <c r="I104" s="58">
        <f>'Necesidades Trimestrales'!G102</f>
        <v>1</v>
      </c>
      <c r="J104" s="32"/>
    </row>
    <row r="105" spans="1:10" ht="25.5" customHeight="1" thickBot="1" x14ac:dyDescent="0.25">
      <c r="A105" s="54">
        <f>'Necesidades Trimestrales'!A103</f>
        <v>94</v>
      </c>
      <c r="B105" s="55">
        <v>0</v>
      </c>
      <c r="C105" s="119" t="str">
        <f>'Necesidades Trimestrales'!E103</f>
        <v>DISCO PIPERACILINA TAZOBACTAM 100/10 µGR, ESTADO: DISCO, CALIDAD: PRO ANALISIS, PRESENTACION: ENVASE X 50 UN</v>
      </c>
      <c r="D105" s="119"/>
      <c r="E105" s="119"/>
      <c r="F105" s="59" t="s">
        <v>52</v>
      </c>
      <c r="G105" s="56" t="str">
        <f>'Necesidades Trimestrales'!F103</f>
        <v>FRASCO</v>
      </c>
      <c r="H105" s="57">
        <f>'Necesidades Trimestrales'!H103</f>
        <v>850</v>
      </c>
      <c r="I105" s="58">
        <f>'Necesidades Trimestrales'!G103</f>
        <v>5</v>
      </c>
      <c r="J105" s="32"/>
    </row>
    <row r="106" spans="1:10" ht="31.5" customHeight="1" thickBot="1" x14ac:dyDescent="0.25">
      <c r="A106" s="54">
        <f>'Necesidades Trimestrales'!A104</f>
        <v>95</v>
      </c>
      <c r="B106" s="55">
        <v>0</v>
      </c>
      <c r="C106" s="119" t="str">
        <f>'Necesidades Trimestrales'!E104</f>
        <v>DISCO TEICOPLANINA 30 µGR, ESTADO: DISCO, CALIDAD: PRO ANALISIS, PRESENTACION: ENVASE X 50 UN</v>
      </c>
      <c r="D106" s="119"/>
      <c r="E106" s="119"/>
      <c r="F106" s="59" t="s">
        <v>52</v>
      </c>
      <c r="G106" s="56" t="str">
        <f>'Necesidades Trimestrales'!F104</f>
        <v>FRASCO</v>
      </c>
      <c r="H106" s="57">
        <f>'Necesidades Trimestrales'!H104</f>
        <v>850</v>
      </c>
      <c r="I106" s="58">
        <f>'Necesidades Trimestrales'!G104</f>
        <v>5</v>
      </c>
      <c r="J106" s="32"/>
    </row>
    <row r="107" spans="1:10" ht="32.25" customHeight="1" thickBot="1" x14ac:dyDescent="0.25">
      <c r="A107" s="54">
        <f>'Necesidades Trimestrales'!A105</f>
        <v>96</v>
      </c>
      <c r="B107" s="55">
        <v>0</v>
      </c>
      <c r="C107" s="119" t="str">
        <f>'Necesidades Trimestrales'!E105</f>
        <v>DISCO TIGECICLINA 50 µGR, ESTADO: DISCO, CALIDAD: PRO ANALISIS, PRESENTACION: ENVASE X 50 UN</v>
      </c>
      <c r="D107" s="119"/>
      <c r="E107" s="119"/>
      <c r="F107" s="59" t="s">
        <v>52</v>
      </c>
      <c r="G107" s="56" t="str">
        <f>'Necesidades Trimestrales'!F105</f>
        <v>FRASCO</v>
      </c>
      <c r="H107" s="57">
        <f>'Necesidades Trimestrales'!H105</f>
        <v>850</v>
      </c>
      <c r="I107" s="58">
        <f>'Necesidades Trimestrales'!G105</f>
        <v>2</v>
      </c>
      <c r="J107" s="32"/>
    </row>
    <row r="108" spans="1:10" ht="33" customHeight="1" thickBot="1" x14ac:dyDescent="0.25">
      <c r="A108" s="54">
        <f>'Necesidades Trimestrales'!A106</f>
        <v>97</v>
      </c>
      <c r="B108" s="55">
        <v>0</v>
      </c>
      <c r="C108" s="119" t="str">
        <f>'Necesidades Trimestrales'!E106</f>
        <v>DISCOS CEFOTAXIMA/CLAVULÀNICO 30/10X 50T/BRITANIA Y/OLIOFILCHEM</v>
      </c>
      <c r="D108" s="119"/>
      <c r="E108" s="119"/>
      <c r="F108" s="59" t="s">
        <v>52</v>
      </c>
      <c r="G108" s="56" t="str">
        <f>'Necesidades Trimestrales'!F106</f>
        <v>FRASCO</v>
      </c>
      <c r="H108" s="57">
        <f>'Necesidades Trimestrales'!H106</f>
        <v>850</v>
      </c>
      <c r="I108" s="58">
        <f>'Necesidades Trimestrales'!G106</f>
        <v>1</v>
      </c>
      <c r="J108" s="32"/>
    </row>
    <row r="109" spans="1:10" ht="36.75" customHeight="1" thickBot="1" x14ac:dyDescent="0.25">
      <c r="A109" s="54">
        <f>'Necesidades Trimestrales'!A107</f>
        <v>98</v>
      </c>
      <c r="B109" s="55">
        <v>0</v>
      </c>
      <c r="C109" s="119" t="str">
        <f>'Necesidades Trimestrales'!E107</f>
        <v>DISCOS DE CEFOXITINA 30 UG. X 50 T/LIOFILCHEM Y/O BRITANIA</v>
      </c>
      <c r="D109" s="119"/>
      <c r="E109" s="119"/>
      <c r="F109" s="59" t="s">
        <v>52</v>
      </c>
      <c r="G109" s="56" t="str">
        <f>'Necesidades Trimestrales'!F107</f>
        <v>FRASCO</v>
      </c>
      <c r="H109" s="57">
        <f>'Necesidades Trimestrales'!H107</f>
        <v>850</v>
      </c>
      <c r="I109" s="58">
        <f>'Necesidades Trimestrales'!G107</f>
        <v>5</v>
      </c>
      <c r="J109" s="32"/>
    </row>
    <row r="110" spans="1:10" ht="31.5" customHeight="1" thickBot="1" x14ac:dyDescent="0.25">
      <c r="A110" s="54">
        <f>'Necesidades Trimestrales'!A108</f>
        <v>99</v>
      </c>
      <c r="B110" s="55">
        <v>0</v>
      </c>
      <c r="C110" s="119" t="str">
        <f>'Necesidades Trimestrales'!E108</f>
        <v>DISCOS DE CIPROFLOXACINA X 5 UG X 50 T/BRITANIA Y/O LIOFILCHEM</v>
      </c>
      <c r="D110" s="119"/>
      <c r="E110" s="119"/>
      <c r="F110" s="59" t="s">
        <v>52</v>
      </c>
      <c r="G110" s="56" t="str">
        <f>'Necesidades Trimestrales'!F108</f>
        <v>FRASCO</v>
      </c>
      <c r="H110" s="57">
        <f>'Necesidades Trimestrales'!H108</f>
        <v>850</v>
      </c>
      <c r="I110" s="58">
        <f>'Necesidades Trimestrales'!G108</f>
        <v>1</v>
      </c>
      <c r="J110" s="32"/>
    </row>
    <row r="111" spans="1:10" ht="36" customHeight="1" thickBot="1" x14ac:dyDescent="0.25">
      <c r="A111" s="54">
        <f>'Necesidades Trimestrales'!A109</f>
        <v>100</v>
      </c>
      <c r="B111" s="55">
        <v>0</v>
      </c>
      <c r="C111" s="119" t="str">
        <f>'Necesidades Trimestrales'!E109</f>
        <v>DISCOS DE CLINDAMICINA 2 UG.  X 50 T/BRITANIA Y/O LIOFILCHEM</v>
      </c>
      <c r="D111" s="119"/>
      <c r="E111" s="119"/>
      <c r="F111" s="59" t="s">
        <v>52</v>
      </c>
      <c r="G111" s="56" t="str">
        <f>'Necesidades Trimestrales'!F109</f>
        <v>FRASCO</v>
      </c>
      <c r="H111" s="57">
        <f>'Necesidades Trimestrales'!H109</f>
        <v>850</v>
      </c>
      <c r="I111" s="58">
        <f>'Necesidades Trimestrales'!G109</f>
        <v>5</v>
      </c>
      <c r="J111" s="32"/>
    </row>
    <row r="112" spans="1:10" ht="34.5" customHeight="1" thickBot="1" x14ac:dyDescent="0.25">
      <c r="A112" s="54">
        <f>'Necesidades Trimestrales'!A110</f>
        <v>101</v>
      </c>
      <c r="B112" s="55">
        <v>0</v>
      </c>
      <c r="C112" s="119" t="str">
        <f>'Necesidades Trimestrales'!E110</f>
        <v>DISCOS DE ERTAPENEM 10 UG X 50 T/BRITANIA Y/O LIOFILCHEM</v>
      </c>
      <c r="D112" s="119"/>
      <c r="E112" s="119"/>
      <c r="F112" s="59" t="s">
        <v>52</v>
      </c>
      <c r="G112" s="56" t="str">
        <f>'Necesidades Trimestrales'!F110</f>
        <v>FRASCO</v>
      </c>
      <c r="H112" s="57">
        <f>'Necesidades Trimestrales'!H110</f>
        <v>850</v>
      </c>
      <c r="I112" s="58">
        <f>'Necesidades Trimestrales'!G110</f>
        <v>5</v>
      </c>
      <c r="J112" s="32"/>
    </row>
    <row r="113" spans="1:10" ht="44.25" customHeight="1" thickBot="1" x14ac:dyDescent="0.25">
      <c r="A113" s="54">
        <f>'Necesidades Trimestrales'!A111</f>
        <v>102</v>
      </c>
      <c r="B113" s="55">
        <v>0</v>
      </c>
      <c r="C113" s="119" t="str">
        <f>'Necesidades Trimestrales'!E111</f>
        <v>DISCOS DE GENTAMICINA 120 UG X 50 U</v>
      </c>
      <c r="D113" s="119"/>
      <c r="E113" s="119"/>
      <c r="F113" s="59" t="s">
        <v>52</v>
      </c>
      <c r="G113" s="56" t="str">
        <f>'Necesidades Trimestrales'!F111</f>
        <v>FRASCO</v>
      </c>
      <c r="H113" s="57">
        <f>'Necesidades Trimestrales'!H111</f>
        <v>850</v>
      </c>
      <c r="I113" s="58">
        <f>'Necesidades Trimestrales'!G111</f>
        <v>1</v>
      </c>
      <c r="J113" s="32"/>
    </row>
    <row r="114" spans="1:10" ht="39" customHeight="1" thickBot="1" x14ac:dyDescent="0.25">
      <c r="A114" s="54">
        <f>'Necesidades Trimestrales'!A112</f>
        <v>103</v>
      </c>
      <c r="B114" s="55">
        <v>0</v>
      </c>
      <c r="C114" s="119" t="str">
        <f>'Necesidades Trimestrales'!E112</f>
        <v>DISCOS DE GENTAMICINA X 10 UG. X 50 T/BRITANIA</v>
      </c>
      <c r="D114" s="119"/>
      <c r="E114" s="119"/>
      <c r="F114" s="59" t="s">
        <v>52</v>
      </c>
      <c r="G114" s="56" t="str">
        <f>'Necesidades Trimestrales'!F112</f>
        <v>FRASCO</v>
      </c>
      <c r="H114" s="57">
        <f>'Necesidades Trimestrales'!H112</f>
        <v>850</v>
      </c>
      <c r="I114" s="58">
        <f>'Necesidades Trimestrales'!G112</f>
        <v>5</v>
      </c>
      <c r="J114" s="32"/>
    </row>
    <row r="115" spans="1:10" ht="33.75" customHeight="1" thickBot="1" x14ac:dyDescent="0.25">
      <c r="A115" s="54">
        <f>'Necesidades Trimestrales'!A113</f>
        <v>104</v>
      </c>
      <c r="B115" s="55">
        <v>0</v>
      </c>
      <c r="C115" s="119" t="str">
        <f>'Necesidades Trimestrales'!E113</f>
        <v>DISCOS DE MINOCICLINA X 50 U - BRITANIA</v>
      </c>
      <c r="D115" s="119"/>
      <c r="E115" s="119"/>
      <c r="F115" s="59" t="s">
        <v>52</v>
      </c>
      <c r="G115" s="56" t="str">
        <f>'Necesidades Trimestrales'!F113</f>
        <v>FRASCO</v>
      </c>
      <c r="H115" s="57">
        <f>'Necesidades Trimestrales'!H113</f>
        <v>850</v>
      </c>
      <c r="I115" s="58">
        <f>'Necesidades Trimestrales'!G113</f>
        <v>5</v>
      </c>
      <c r="J115" s="32"/>
    </row>
    <row r="116" spans="1:10" ht="38.25" customHeight="1" thickBot="1" x14ac:dyDescent="0.25">
      <c r="A116" s="54">
        <f>'Necesidades Trimestrales'!A114</f>
        <v>105</v>
      </c>
      <c r="B116" s="55">
        <v>0</v>
      </c>
      <c r="C116" s="119" t="str">
        <f>'Necesidades Trimestrales'!E114</f>
        <v>DISCOS DE RIFAMPICINA X 5UG. X 50  T/LIOFILCHEM Y/O BRITANIA</v>
      </c>
      <c r="D116" s="119"/>
      <c r="E116" s="119"/>
      <c r="F116" s="59" t="s">
        <v>52</v>
      </c>
      <c r="G116" s="56" t="str">
        <f>'Necesidades Trimestrales'!F114</f>
        <v>FRASCO</v>
      </c>
      <c r="H116" s="57">
        <f>'Necesidades Trimestrales'!H114</f>
        <v>850</v>
      </c>
      <c r="I116" s="58">
        <f>'Necesidades Trimestrales'!G114</f>
        <v>5</v>
      </c>
      <c r="J116" s="32"/>
    </row>
    <row r="117" spans="1:10" ht="33.75" customHeight="1" thickBot="1" x14ac:dyDescent="0.25">
      <c r="A117" s="54">
        <f>'Necesidades Trimestrales'!A115</f>
        <v>106</v>
      </c>
      <c r="B117" s="55">
        <v>0</v>
      </c>
      <c r="C117" s="119" t="str">
        <f>'Necesidades Trimestrales'!E115</f>
        <v>ECOTERGENT  X 60 ML COBAS C-311 ROCHE</v>
      </c>
      <c r="D117" s="119"/>
      <c r="E117" s="119"/>
      <c r="F117" s="59" t="s">
        <v>52</v>
      </c>
      <c r="G117" s="56" t="str">
        <f>'Necesidades Trimestrales'!F115</f>
        <v>CASSETTE</v>
      </c>
      <c r="H117" s="57">
        <f>'Necesidades Trimestrales'!H115</f>
        <v>4909</v>
      </c>
      <c r="I117" s="58">
        <f>'Necesidades Trimestrales'!G115</f>
        <v>20</v>
      </c>
      <c r="J117" s="32"/>
    </row>
    <row r="118" spans="1:10" ht="41.25" customHeight="1" thickBot="1" x14ac:dyDescent="0.25">
      <c r="A118" s="54">
        <f>'Necesidades Trimestrales'!A116</f>
        <v>107</v>
      </c>
      <c r="B118" s="55">
        <v>0</v>
      </c>
      <c r="C118" s="119" t="str">
        <f>'Necesidades Trimestrales'!E116</f>
        <v>EDTA DISCO X 50 UN</v>
      </c>
      <c r="D118" s="119"/>
      <c r="E118" s="119"/>
      <c r="F118" s="59" t="s">
        <v>52</v>
      </c>
      <c r="G118" s="56" t="str">
        <f>'Necesidades Trimestrales'!F116</f>
        <v>UNIDAD</v>
      </c>
      <c r="H118" s="57">
        <f>'Necesidades Trimestrales'!H116</f>
        <v>2500</v>
      </c>
      <c r="I118" s="58">
        <f>'Necesidades Trimestrales'!G116</f>
        <v>10</v>
      </c>
      <c r="J118" s="32"/>
    </row>
    <row r="119" spans="1:10" ht="33" customHeight="1" thickBot="1" x14ac:dyDescent="0.25">
      <c r="A119" s="54">
        <f>'Necesidades Trimestrales'!A117</f>
        <v>108</v>
      </c>
      <c r="B119" s="55">
        <v>0</v>
      </c>
      <c r="C119" s="119" t="str">
        <f>'Necesidades Trimestrales'!E117</f>
        <v>ELECSYS DILUYENTE UNIVERSAL COBAS E-411 ROCHE  X 2 X 18 ML</v>
      </c>
      <c r="D119" s="119"/>
      <c r="E119" s="119"/>
      <c r="F119" s="59" t="s">
        <v>52</v>
      </c>
      <c r="G119" s="56" t="str">
        <f>'Necesidades Trimestrales'!F117</f>
        <v>CAJA</v>
      </c>
      <c r="H119" s="57">
        <f>'Necesidades Trimestrales'!H117</f>
        <v>8358</v>
      </c>
      <c r="I119" s="58">
        <f>'Necesidades Trimestrales'!G117</f>
        <v>1</v>
      </c>
      <c r="J119" s="32"/>
    </row>
    <row r="120" spans="1:10" ht="27.75" customHeight="1" thickBot="1" x14ac:dyDescent="0.25">
      <c r="A120" s="54">
        <f>'Necesidades Trimestrales'!A118</f>
        <v>109</v>
      </c>
      <c r="B120" s="55">
        <v>0</v>
      </c>
      <c r="C120" s="119" t="str">
        <f>'Necesidades Trimestrales'!E118</f>
        <v>ELECSYS SYSWASH COBAS E-411 ROCHE  X  500 ML</v>
      </c>
      <c r="D120" s="119"/>
      <c r="E120" s="119"/>
      <c r="F120" s="59" t="s">
        <v>52</v>
      </c>
      <c r="G120" s="56" t="str">
        <f>'Necesidades Trimestrales'!F118</f>
        <v>UNIDAD</v>
      </c>
      <c r="H120" s="57">
        <f>'Necesidades Trimestrales'!H118</f>
        <v>3240</v>
      </c>
      <c r="I120" s="58">
        <f>'Necesidades Trimestrales'!G118</f>
        <v>8</v>
      </c>
      <c r="J120" s="32"/>
    </row>
    <row r="121" spans="1:10" ht="33" customHeight="1" thickBot="1" x14ac:dyDescent="0.25">
      <c r="A121" s="54">
        <f>'Necesidades Trimestrales'!A119</f>
        <v>110</v>
      </c>
      <c r="B121" s="55">
        <v>0</v>
      </c>
      <c r="C121" s="119" t="str">
        <f>'Necesidades Trimestrales'!E119</f>
        <v>FOSFATASA ALCALINA ALP2 (IFCC) COBAS C-311 ROCHE  X 400 DET</v>
      </c>
      <c r="D121" s="119"/>
      <c r="E121" s="119"/>
      <c r="F121" s="59" t="s">
        <v>52</v>
      </c>
      <c r="G121" s="56" t="str">
        <f>'Necesidades Trimestrales'!F119</f>
        <v>CASSETTE</v>
      </c>
      <c r="H121" s="57">
        <f>'Necesidades Trimestrales'!H119</f>
        <v>7391</v>
      </c>
      <c r="I121" s="58">
        <f>'Necesidades Trimestrales'!G119</f>
        <v>6</v>
      </c>
      <c r="J121" s="32"/>
    </row>
    <row r="122" spans="1:10" ht="27.75" customHeight="1" thickBot="1" x14ac:dyDescent="0.25">
      <c r="A122" s="54">
        <f>'Necesidades Trimestrales'!A120</f>
        <v>111</v>
      </c>
      <c r="B122" s="55">
        <v>0</v>
      </c>
      <c r="C122" s="119" t="str">
        <f>'Necesidades Trimestrales'!E120</f>
        <v>FOSFORO COBAS C-311 ROCHE  X 250 DET</v>
      </c>
      <c r="D122" s="119"/>
      <c r="E122" s="119"/>
      <c r="F122" s="59" t="s">
        <v>52</v>
      </c>
      <c r="G122" s="56" t="str">
        <f>'Necesidades Trimestrales'!F120</f>
        <v>CASSETTE</v>
      </c>
      <c r="H122" s="57">
        <f>'Necesidades Trimestrales'!H120</f>
        <v>3700</v>
      </c>
      <c r="I122" s="58">
        <f>'Necesidades Trimestrales'!G120</f>
        <v>1</v>
      </c>
      <c r="J122" s="32"/>
    </row>
    <row r="123" spans="1:10" ht="36.75" customHeight="1" thickBot="1" x14ac:dyDescent="0.25">
      <c r="A123" s="54">
        <f>'Necesidades Trimestrales'!A121</f>
        <v>112</v>
      </c>
      <c r="B123" s="55">
        <v>0</v>
      </c>
      <c r="C123" s="119" t="str">
        <f>'Necesidades Trimestrales'!E121</f>
        <v>GAS 1 PARA ABL 800</v>
      </c>
      <c r="D123" s="119"/>
      <c r="E123" s="119"/>
      <c r="F123" s="59" t="s">
        <v>52</v>
      </c>
      <c r="G123" s="56" t="str">
        <f>'Necesidades Trimestrales'!F121</f>
        <v>UNIDAD</v>
      </c>
      <c r="H123" s="57">
        <f>'Necesidades Trimestrales'!H121</f>
        <v>62000</v>
      </c>
      <c r="I123" s="58">
        <f>'Necesidades Trimestrales'!G121</f>
        <v>1</v>
      </c>
      <c r="J123" s="32"/>
    </row>
    <row r="124" spans="1:10" ht="33.75" customHeight="1" thickBot="1" x14ac:dyDescent="0.25">
      <c r="A124" s="54">
        <f>'Necesidades Trimestrales'!A122</f>
        <v>113</v>
      </c>
      <c r="B124" s="55">
        <v>0</v>
      </c>
      <c r="C124" s="119" t="str">
        <f>'Necesidades Trimestrales'!E122</f>
        <v>GAS 2 PARA ABL 800</v>
      </c>
      <c r="D124" s="119"/>
      <c r="E124" s="119"/>
      <c r="F124" s="59" t="s">
        <v>52</v>
      </c>
      <c r="G124" s="56" t="str">
        <f>'Necesidades Trimestrales'!F122</f>
        <v>UNIDAD</v>
      </c>
      <c r="H124" s="57">
        <f>'Necesidades Trimestrales'!H122</f>
        <v>62000</v>
      </c>
      <c r="I124" s="58">
        <f>'Necesidades Trimestrales'!G122</f>
        <v>1</v>
      </c>
      <c r="J124" s="32"/>
    </row>
    <row r="125" spans="1:10" ht="33" customHeight="1" thickBot="1" x14ac:dyDescent="0.25">
      <c r="A125" s="54">
        <f>'Necesidades Trimestrales'!A123</f>
        <v>114</v>
      </c>
      <c r="B125" s="55">
        <v>0</v>
      </c>
      <c r="C125" s="119" t="str">
        <f>'Necesidades Trimestrales'!E123</f>
        <v>GGT COBAS C-311 ROCHE X 400 DET</v>
      </c>
      <c r="D125" s="119"/>
      <c r="E125" s="119"/>
      <c r="F125" s="59" t="s">
        <v>52</v>
      </c>
      <c r="G125" s="56" t="str">
        <f>'Necesidades Trimestrales'!F123</f>
        <v>CASSETTE</v>
      </c>
      <c r="H125" s="57">
        <f>'Necesidades Trimestrales'!H123</f>
        <v>7737</v>
      </c>
      <c r="I125" s="58">
        <f>'Necesidades Trimestrales'!G123</f>
        <v>1</v>
      </c>
      <c r="J125" s="32"/>
    </row>
    <row r="126" spans="1:10" ht="33" customHeight="1" thickBot="1" x14ac:dyDescent="0.25">
      <c r="A126" s="54">
        <f>'Necesidades Trimestrales'!A124</f>
        <v>115</v>
      </c>
      <c r="B126" s="55">
        <v>0</v>
      </c>
      <c r="C126" s="119" t="str">
        <f>'Necesidades Trimestrales'!E124</f>
        <v>GLUCOCURVE 75  X 10 SOBRES 82,5 G C/U</v>
      </c>
      <c r="D126" s="119"/>
      <c r="E126" s="119"/>
      <c r="F126" s="59" t="s">
        <v>52</v>
      </c>
      <c r="G126" s="56" t="str">
        <f>'Necesidades Trimestrales'!F124</f>
        <v>UNIDAD</v>
      </c>
      <c r="H126" s="57">
        <f>'Necesidades Trimestrales'!H124</f>
        <v>750</v>
      </c>
      <c r="I126" s="58">
        <f>'Necesidades Trimestrales'!G124</f>
        <v>35</v>
      </c>
      <c r="J126" s="32"/>
    </row>
    <row r="127" spans="1:10" ht="32.25" customHeight="1" thickBot="1" x14ac:dyDescent="0.25">
      <c r="A127" s="54">
        <f>'Necesidades Trimestrales'!A125</f>
        <v>116</v>
      </c>
      <c r="B127" s="55">
        <v>0</v>
      </c>
      <c r="C127" s="119" t="str">
        <f>'Necesidades Trimestrales'!E125</f>
        <v>GLUCOSA HK GEN COBAS C-311 ROCHE X 800 DET</v>
      </c>
      <c r="D127" s="119"/>
      <c r="E127" s="119"/>
      <c r="F127" s="59" t="s">
        <v>52</v>
      </c>
      <c r="G127" s="56" t="str">
        <f>'Necesidades Trimestrales'!F125</f>
        <v>CASSETTE</v>
      </c>
      <c r="H127" s="57">
        <f>'Necesidades Trimestrales'!H125</f>
        <v>7701</v>
      </c>
      <c r="I127" s="58">
        <f>'Necesidades Trimestrales'!G125</f>
        <v>4</v>
      </c>
      <c r="J127" s="32"/>
    </row>
    <row r="128" spans="1:10" ht="39" customHeight="1" thickBot="1" x14ac:dyDescent="0.25">
      <c r="A128" s="54">
        <f>'Necesidades Trimestrales'!A126</f>
        <v>117</v>
      </c>
      <c r="B128" s="55">
        <v>0</v>
      </c>
      <c r="C128" s="119" t="str">
        <f>'Necesidades Trimestrales'!E126</f>
        <v>GOT/AST  (IFCC) COBAS C-311 ROCHE  X 500 DET</v>
      </c>
      <c r="D128" s="119"/>
      <c r="E128" s="119"/>
      <c r="F128" s="59" t="s">
        <v>52</v>
      </c>
      <c r="G128" s="56" t="str">
        <f>'Necesidades Trimestrales'!F126</f>
        <v>CASSETTE</v>
      </c>
      <c r="H128" s="57">
        <f>'Necesidades Trimestrales'!H126</f>
        <v>7391</v>
      </c>
      <c r="I128" s="58">
        <f>'Necesidades Trimestrales'!G126</f>
        <v>4</v>
      </c>
      <c r="J128" s="32"/>
    </row>
    <row r="129" spans="1:10" ht="37.5" customHeight="1" thickBot="1" x14ac:dyDescent="0.25">
      <c r="A129" s="54">
        <f>'Necesidades Trimestrales'!A127</f>
        <v>118</v>
      </c>
      <c r="B129" s="55">
        <v>0</v>
      </c>
      <c r="C129" s="119" t="str">
        <f>'Necesidades Trimestrales'!E127</f>
        <v>GPT/ALT (IFCC) COBAS C-311 ROCHE  X 500 DET</v>
      </c>
      <c r="D129" s="119"/>
      <c r="E129" s="119"/>
      <c r="F129" s="59" t="s">
        <v>52</v>
      </c>
      <c r="G129" s="56" t="str">
        <f>'Necesidades Trimestrales'!F127</f>
        <v>CASSETTE</v>
      </c>
      <c r="H129" s="57">
        <f>'Necesidades Trimestrales'!H127</f>
        <v>7391</v>
      </c>
      <c r="I129" s="58">
        <f>'Necesidades Trimestrales'!G127</f>
        <v>4</v>
      </c>
      <c r="J129" s="32"/>
    </row>
    <row r="130" spans="1:10" ht="35.25" customHeight="1" thickBot="1" x14ac:dyDescent="0.25">
      <c r="A130" s="54">
        <f>'Necesidades Trimestrales'!A128</f>
        <v>119</v>
      </c>
      <c r="B130" s="55">
        <v>0</v>
      </c>
      <c r="C130" s="119" t="str">
        <f>'Necesidades Trimestrales'!E128</f>
        <v>HBSAG ELISA WIENER  X 96 DET</v>
      </c>
      <c r="D130" s="119"/>
      <c r="E130" s="119"/>
      <c r="F130" s="59" t="s">
        <v>52</v>
      </c>
      <c r="G130" s="56" t="str">
        <f>'Necesidades Trimestrales'!F128</f>
        <v>UNIDAD</v>
      </c>
      <c r="H130" s="57">
        <f>'Necesidades Trimestrales'!H128</f>
        <v>12836</v>
      </c>
      <c r="I130" s="58">
        <f>'Necesidades Trimestrales'!G128</f>
        <v>20</v>
      </c>
      <c r="J130" s="32"/>
    </row>
    <row r="131" spans="1:10" ht="45.75" customHeight="1" thickBot="1" x14ac:dyDescent="0.25">
      <c r="A131" s="54">
        <f>'Necesidades Trimestrales'!A129</f>
        <v>120</v>
      </c>
      <c r="B131" s="55">
        <v>0</v>
      </c>
      <c r="C131" s="119" t="str">
        <f>'Necesidades Trimestrales'!E129</f>
        <v>HEMOCULTIVO AUTOMATIZADO P/ PEDIATRICO X 100 U</v>
      </c>
      <c r="D131" s="119"/>
      <c r="E131" s="119"/>
      <c r="F131" s="59" t="s">
        <v>52</v>
      </c>
      <c r="G131" s="56" t="str">
        <f>'Necesidades Trimestrales'!F129</f>
        <v>UNIDAD</v>
      </c>
      <c r="H131" s="57">
        <f>'Necesidades Trimestrales'!H129</f>
        <v>900</v>
      </c>
      <c r="I131" s="58">
        <f>'Necesidades Trimestrales'!G129</f>
        <v>2</v>
      </c>
      <c r="J131" s="32"/>
    </row>
    <row r="132" spans="1:10" ht="42.75" customHeight="1" thickBot="1" x14ac:dyDescent="0.25">
      <c r="A132" s="54">
        <f>'Necesidades Trimestrales'!A130</f>
        <v>121</v>
      </c>
      <c r="B132" s="55">
        <v>0</v>
      </c>
      <c r="C132" s="119" t="str">
        <f>'Necesidades Trimestrales'!E130</f>
        <v>HEMOCULTIVO AUTOMATIZADO P/BACTALERT ADULTO X 100 U</v>
      </c>
      <c r="D132" s="119"/>
      <c r="E132" s="119"/>
      <c r="F132" s="59" t="s">
        <v>52</v>
      </c>
      <c r="G132" s="56" t="str">
        <f>'Necesidades Trimestrales'!F130</f>
        <v>UNIDAD</v>
      </c>
      <c r="H132" s="57">
        <f>'Necesidades Trimestrales'!H130</f>
        <v>900</v>
      </c>
      <c r="I132" s="58">
        <f>'Necesidades Trimestrales'!G130</f>
        <v>2</v>
      </c>
      <c r="J132" s="32"/>
    </row>
    <row r="133" spans="1:10" ht="47.25" customHeight="1" thickBot="1" x14ac:dyDescent="0.25">
      <c r="A133" s="54">
        <f>'Necesidades Trimestrales'!A131</f>
        <v>122</v>
      </c>
      <c r="B133" s="55">
        <v>0</v>
      </c>
      <c r="C133" s="119" t="str">
        <f>'Necesidades Trimestrales'!E131</f>
        <v>HIERRO COBAS C-311 ROCHE  X 200 DET</v>
      </c>
      <c r="D133" s="119"/>
      <c r="E133" s="119"/>
      <c r="F133" s="59" t="s">
        <v>52</v>
      </c>
      <c r="G133" s="56" t="str">
        <f>'Necesidades Trimestrales'!F131</f>
        <v>CASSETTE</v>
      </c>
      <c r="H133" s="57">
        <f>'Necesidades Trimestrales'!H131</f>
        <v>12970</v>
      </c>
      <c r="I133" s="58">
        <f>'Necesidades Trimestrales'!G131</f>
        <v>1</v>
      </c>
      <c r="J133" s="32"/>
    </row>
    <row r="134" spans="1:10" ht="47.25" customHeight="1" thickBot="1" x14ac:dyDescent="0.25">
      <c r="A134" s="54">
        <f>'Necesidades Trimestrales'!A132</f>
        <v>123</v>
      </c>
      <c r="B134" s="55">
        <v>0</v>
      </c>
      <c r="C134" s="119" t="str">
        <f>'Necesidades Trimestrales'!E132</f>
        <v xml:space="preserve">HYPOCHLORITE SOLUTION  X 100 ML  PARA ABL 800 </v>
      </c>
      <c r="D134" s="119"/>
      <c r="E134" s="119"/>
      <c r="F134" s="59" t="s">
        <v>52</v>
      </c>
      <c r="G134" s="56" t="str">
        <f>'Necesidades Trimestrales'!F132</f>
        <v>UNIDAD</v>
      </c>
      <c r="H134" s="57">
        <f>'Necesidades Trimestrales'!H132</f>
        <v>13600</v>
      </c>
      <c r="I134" s="58">
        <f>'Necesidades Trimestrales'!G132</f>
        <v>2</v>
      </c>
      <c r="J134" s="32"/>
    </row>
    <row r="135" spans="1:10" ht="35.25" customHeight="1" thickBot="1" x14ac:dyDescent="0.25">
      <c r="A135" s="54">
        <f>'Necesidades Trimestrales'!A133</f>
        <v>124</v>
      </c>
      <c r="B135" s="55">
        <v>0</v>
      </c>
      <c r="C135" s="119" t="str">
        <f>'Necesidades Trimestrales'!E133</f>
        <v>INLET PARA ABL 800</v>
      </c>
      <c r="D135" s="119"/>
      <c r="E135" s="119"/>
      <c r="F135" s="59" t="s">
        <v>52</v>
      </c>
      <c r="G135" s="56" t="str">
        <f>'Necesidades Trimestrales'!F133</f>
        <v>UNIDAD</v>
      </c>
      <c r="H135" s="57">
        <f>'Necesidades Trimestrales'!H133</f>
        <v>21900</v>
      </c>
      <c r="I135" s="58">
        <f>'Necesidades Trimestrales'!G133</f>
        <v>3</v>
      </c>
      <c r="J135" s="32"/>
    </row>
    <row r="136" spans="1:10" ht="35.25" customHeight="1" thickBot="1" x14ac:dyDescent="0.25">
      <c r="A136" s="54">
        <f>'Necesidades Trimestrales'!A134</f>
        <v>125</v>
      </c>
      <c r="B136" s="55">
        <v>0</v>
      </c>
      <c r="C136" s="119" t="str">
        <f>'Necesidades Trimestrales'!E134</f>
        <v>KIT CALIBRADORES PARA ACIDOS BILIARES RANDOX COBAS C-311 ROCHE</v>
      </c>
      <c r="D136" s="119"/>
      <c r="E136" s="119"/>
      <c r="F136" s="59" t="s">
        <v>52</v>
      </c>
      <c r="G136" s="56" t="str">
        <f>'Necesidades Trimestrales'!F134</f>
        <v>UNIDAD</v>
      </c>
      <c r="H136" s="57">
        <f>'Necesidades Trimestrales'!H134</f>
        <v>28000</v>
      </c>
      <c r="I136" s="58">
        <f>'Necesidades Trimestrales'!G134</f>
        <v>1</v>
      </c>
      <c r="J136" s="32"/>
    </row>
    <row r="137" spans="1:10" ht="35.25" customHeight="1" thickBot="1" x14ac:dyDescent="0.25">
      <c r="A137" s="54">
        <f>'Necesidades Trimestrales'!A135</f>
        <v>126</v>
      </c>
      <c r="B137" s="55">
        <v>0</v>
      </c>
      <c r="C137" s="119" t="str">
        <f>'Necesidades Trimestrales'!E135</f>
        <v>KIT CONTROLES BAJO Y ALTO PARA ACIDOS BILIARES RANDOX COBAS C-311 ROCHE</v>
      </c>
      <c r="D137" s="119"/>
      <c r="E137" s="119"/>
      <c r="F137" s="59" t="s">
        <v>52</v>
      </c>
      <c r="G137" s="56" t="str">
        <f>'Necesidades Trimestrales'!F135</f>
        <v>UNIDAD</v>
      </c>
      <c r="H137" s="57">
        <f>'Necesidades Trimestrales'!H135</f>
        <v>36000</v>
      </c>
      <c r="I137" s="58">
        <f>'Necesidades Trimestrales'!G135</f>
        <v>1</v>
      </c>
      <c r="J137" s="32"/>
    </row>
    <row r="138" spans="1:10" ht="35.25" customHeight="1" thickBot="1" x14ac:dyDescent="0.25">
      <c r="A138" s="54">
        <f>'Necesidades Trimestrales'!A136</f>
        <v>127</v>
      </c>
      <c r="B138" s="55">
        <v>0</v>
      </c>
      <c r="C138" s="119" t="str">
        <f>'Necesidades Trimestrales'!E136</f>
        <v>KIT PARA RETICULOCITOS (AZUL DE CRESIL BRILLANTE) X 50 TUBOS DELTALAB</v>
      </c>
      <c r="D138" s="119"/>
      <c r="E138" s="119"/>
      <c r="F138" s="59" t="s">
        <v>52</v>
      </c>
      <c r="G138" s="56" t="str">
        <f>'Necesidades Trimestrales'!F136</f>
        <v>UNIDAD</v>
      </c>
      <c r="H138" s="57">
        <f>'Necesidades Trimestrales'!H136</f>
        <v>8500</v>
      </c>
      <c r="I138" s="58">
        <f>'Necesidades Trimestrales'!G136</f>
        <v>1</v>
      </c>
      <c r="J138" s="32"/>
    </row>
    <row r="139" spans="1:10" ht="35.25" customHeight="1" thickBot="1" x14ac:dyDescent="0.25">
      <c r="A139" s="54">
        <f>'Necesidades Trimestrales'!A137</f>
        <v>128</v>
      </c>
      <c r="B139" s="55">
        <v>0</v>
      </c>
      <c r="C139" s="119" t="str">
        <f>'Necesidades Trimestrales'!E137</f>
        <v xml:space="preserve">KIT REACTIVO PARA ACIDOS BILIARES RANDOX COBAS C-311 ROCHE </v>
      </c>
      <c r="D139" s="119"/>
      <c r="E139" s="119"/>
      <c r="F139" s="59" t="s">
        <v>52</v>
      </c>
      <c r="G139" s="56" t="str">
        <f>'Necesidades Trimestrales'!F137</f>
        <v>UNIDAD</v>
      </c>
      <c r="H139" s="57">
        <f>'Necesidades Trimestrales'!H137</f>
        <v>140000</v>
      </c>
      <c r="I139" s="58">
        <f>'Necesidades Trimestrales'!G137</f>
        <v>1</v>
      </c>
      <c r="J139" s="32"/>
    </row>
    <row r="140" spans="1:10" ht="35.25" customHeight="1" thickBot="1" x14ac:dyDescent="0.25">
      <c r="A140" s="54">
        <f>'Necesidades Trimestrales'!A138</f>
        <v>129</v>
      </c>
      <c r="B140" s="55">
        <v>0</v>
      </c>
      <c r="C140" s="119" t="str">
        <f>'Necesidades Trimestrales'!E138</f>
        <v>KIT TOXOPLASMOSIS IG G COBAS E-411 ROCHE X 100 DET</v>
      </c>
      <c r="D140" s="119"/>
      <c r="E140" s="119"/>
      <c r="F140" s="59" t="s">
        <v>52</v>
      </c>
      <c r="G140" s="56" t="str">
        <f>'Necesidades Trimestrales'!F138</f>
        <v>UNIDAD</v>
      </c>
      <c r="H140" s="57">
        <f>'Necesidades Trimestrales'!H138</f>
        <v>32422</v>
      </c>
      <c r="I140" s="58">
        <f>'Necesidades Trimestrales'!G138</f>
        <v>8</v>
      </c>
      <c r="J140" s="32"/>
    </row>
    <row r="141" spans="1:10" ht="35.25" customHeight="1" thickBot="1" x14ac:dyDescent="0.25">
      <c r="A141" s="54">
        <f>'Necesidades Trimestrales'!A139</f>
        <v>130</v>
      </c>
      <c r="B141" s="55">
        <v>0</v>
      </c>
      <c r="C141" s="119" t="str">
        <f>'Necesidades Trimestrales'!E139</f>
        <v>KIT TOXOPLASMOSIS IG M COBAS E-411 ROCHE X 100 DET</v>
      </c>
      <c r="D141" s="119"/>
      <c r="E141" s="119"/>
      <c r="F141" s="59" t="s">
        <v>52</v>
      </c>
      <c r="G141" s="56" t="str">
        <f>'Necesidades Trimestrales'!F139</f>
        <v>UNIDAD</v>
      </c>
      <c r="H141" s="57">
        <f>'Necesidades Trimestrales'!H139</f>
        <v>37053</v>
      </c>
      <c r="I141" s="58">
        <f>'Necesidades Trimestrales'!G139</f>
        <v>1</v>
      </c>
      <c r="J141" s="32"/>
    </row>
    <row r="142" spans="1:10" ht="35.25" customHeight="1" thickBot="1" x14ac:dyDescent="0.25">
      <c r="A142" s="54">
        <f>'Necesidades Trimestrales'!A140</f>
        <v>131</v>
      </c>
      <c r="B142" s="55">
        <v>0</v>
      </c>
      <c r="C142" s="119" t="str">
        <f>'Necesidades Trimestrales'!E140</f>
        <v xml:space="preserve">LAMPARA HALOGENA COBAS C-311 ROCHE </v>
      </c>
      <c r="D142" s="119"/>
      <c r="E142" s="119"/>
      <c r="F142" s="59" t="s">
        <v>52</v>
      </c>
      <c r="G142" s="56" t="str">
        <f>'Necesidades Trimestrales'!F140</f>
        <v>UNIDAD</v>
      </c>
      <c r="H142" s="57">
        <f>'Necesidades Trimestrales'!H140</f>
        <v>54607</v>
      </c>
      <c r="I142" s="58">
        <f>'Necesidades Trimestrales'!G140</f>
        <v>4</v>
      </c>
      <c r="J142" s="32"/>
    </row>
    <row r="143" spans="1:10" ht="35.25" customHeight="1" thickBot="1" x14ac:dyDescent="0.25">
      <c r="A143" s="54">
        <f>'Necesidades Trimestrales'!A141</f>
        <v>132</v>
      </c>
      <c r="B143" s="55">
        <v>0</v>
      </c>
      <c r="C143" s="119" t="str">
        <f>'Necesidades Trimestrales'!E141</f>
        <v>LDH OPTIMIZADA COBAS C-311 ROCHE X 300 DET</v>
      </c>
      <c r="D143" s="119"/>
      <c r="E143" s="119"/>
      <c r="F143" s="59" t="s">
        <v>52</v>
      </c>
      <c r="G143" s="56" t="str">
        <f>'Necesidades Trimestrales'!F141</f>
        <v>CASSETTE</v>
      </c>
      <c r="H143" s="57">
        <f>'Necesidades Trimestrales'!H141</f>
        <v>2925</v>
      </c>
      <c r="I143" s="58">
        <f>'Necesidades Trimestrales'!G141</f>
        <v>6</v>
      </c>
      <c r="J143" s="32"/>
    </row>
    <row r="144" spans="1:10" ht="35.25" customHeight="1" thickBot="1" x14ac:dyDescent="0.25">
      <c r="A144" s="54">
        <f>'Necesidades Trimestrales'!A142</f>
        <v>133</v>
      </c>
      <c r="B144" s="55">
        <v>0</v>
      </c>
      <c r="C144" s="119" t="str">
        <f>'Necesidades Trimestrales'!E142</f>
        <v>LEUCINAMINOPEPTIDASA ( LAP)X 25 U</v>
      </c>
      <c r="D144" s="119"/>
      <c r="E144" s="119"/>
      <c r="F144" s="59" t="s">
        <v>52</v>
      </c>
      <c r="G144" s="56" t="str">
        <f>'Necesidades Trimestrales'!F142</f>
        <v>UNIDAD</v>
      </c>
      <c r="H144" s="57">
        <f>'Necesidades Trimestrales'!H142</f>
        <v>1300</v>
      </c>
      <c r="I144" s="58">
        <f>'Necesidades Trimestrales'!G142</f>
        <v>1</v>
      </c>
      <c r="J144" s="32"/>
    </row>
    <row r="145" spans="1:10" ht="35.25" customHeight="1" thickBot="1" x14ac:dyDescent="0.25">
      <c r="A145" s="54">
        <f>'Necesidades Trimestrales'!A143</f>
        <v>134</v>
      </c>
      <c r="B145" s="55">
        <v>0</v>
      </c>
      <c r="C145" s="119" t="str">
        <f>'Necesidades Trimestrales'!E143</f>
        <v>LINEZOLID 30 µGR DISCO X 50 UN</v>
      </c>
      <c r="D145" s="119"/>
      <c r="E145" s="119"/>
      <c r="F145" s="59" t="s">
        <v>52</v>
      </c>
      <c r="G145" s="56" t="str">
        <f>'Necesidades Trimestrales'!F143</f>
        <v>UNIDAD</v>
      </c>
      <c r="H145" s="57">
        <f>'Necesidades Trimestrales'!H143</f>
        <v>850</v>
      </c>
      <c r="I145" s="58">
        <f>'Necesidades Trimestrales'!G143</f>
        <v>2</v>
      </c>
      <c r="J145" s="32"/>
    </row>
    <row r="146" spans="1:10" ht="35.25" customHeight="1" thickBot="1" x14ac:dyDescent="0.25">
      <c r="A146" s="54">
        <f>'Necesidades Trimestrales'!A144</f>
        <v>135</v>
      </c>
      <c r="B146" s="55">
        <v>0</v>
      </c>
      <c r="C146" s="119" t="str">
        <f>'Necesidades Trimestrales'!E144</f>
        <v>LIPASA COBAS C-311 ROCHE  X 200 DET</v>
      </c>
      <c r="D146" s="119"/>
      <c r="E146" s="119"/>
      <c r="F146" s="59" t="s">
        <v>52</v>
      </c>
      <c r="G146" s="56" t="str">
        <f>'Necesidades Trimestrales'!F144</f>
        <v>CASSETTE</v>
      </c>
      <c r="H146" s="57">
        <f>'Necesidades Trimestrales'!H144</f>
        <v>8817</v>
      </c>
      <c r="I146" s="58">
        <f>'Necesidades Trimestrales'!G144</f>
        <v>1</v>
      </c>
      <c r="J146" s="32"/>
    </row>
    <row r="147" spans="1:10" ht="35.25" customHeight="1" thickBot="1" x14ac:dyDescent="0.25">
      <c r="A147" s="54">
        <f>'Necesidades Trimestrales'!A145</f>
        <v>136</v>
      </c>
      <c r="B147" s="55">
        <v>0</v>
      </c>
      <c r="C147" s="119" t="str">
        <f>'Necesidades Trimestrales'!E145</f>
        <v>LUGOL CONCENTRADO: X 500 ML</v>
      </c>
      <c r="D147" s="119"/>
      <c r="E147" s="119"/>
      <c r="F147" s="59" t="s">
        <v>52</v>
      </c>
      <c r="G147" s="56" t="str">
        <f>'Necesidades Trimestrales'!F145</f>
        <v>UNIDAD</v>
      </c>
      <c r="H147" s="57">
        <f>'Necesidades Trimestrales'!H145</f>
        <v>18100</v>
      </c>
      <c r="I147" s="58">
        <f>'Necesidades Trimestrales'!G145</f>
        <v>2</v>
      </c>
      <c r="J147" s="32"/>
    </row>
    <row r="148" spans="1:10" ht="35.25" customHeight="1" thickBot="1" x14ac:dyDescent="0.25">
      <c r="A148" s="54">
        <f>'Necesidades Trimestrales'!A146</f>
        <v>137</v>
      </c>
      <c r="B148" s="55">
        <v>0</v>
      </c>
      <c r="C148" s="119" t="str">
        <f>'Necesidades Trimestrales'!E146</f>
        <v>M-52 DIFF  LYSE  PARA MINDRAY BC-5150 X 500 ML</v>
      </c>
      <c r="D148" s="119"/>
      <c r="E148" s="119"/>
      <c r="F148" s="59" t="s">
        <v>52</v>
      </c>
      <c r="G148" s="56" t="str">
        <f>'Necesidades Trimestrales'!F146</f>
        <v>UNIDAD</v>
      </c>
      <c r="H148" s="57">
        <f>'Necesidades Trimestrales'!H146</f>
        <v>13000</v>
      </c>
      <c r="I148" s="58">
        <f>'Necesidades Trimestrales'!G146</f>
        <v>10</v>
      </c>
      <c r="J148" s="32"/>
    </row>
    <row r="149" spans="1:10" ht="35.25" customHeight="1" thickBot="1" x14ac:dyDescent="0.25">
      <c r="A149" s="54">
        <f>'Necesidades Trimestrales'!A147</f>
        <v>138</v>
      </c>
      <c r="B149" s="55">
        <v>0</v>
      </c>
      <c r="C149" s="119" t="str">
        <f>'Necesidades Trimestrales'!E147</f>
        <v>M-52 LH LYSE  PARA MINDRAY BC-5150 X 100 ML</v>
      </c>
      <c r="D149" s="119"/>
      <c r="E149" s="119"/>
      <c r="F149" s="59" t="s">
        <v>52</v>
      </c>
      <c r="G149" s="56" t="str">
        <f>'Necesidades Trimestrales'!F147</f>
        <v>UNIDAD</v>
      </c>
      <c r="H149" s="57">
        <f>'Necesidades Trimestrales'!H147</f>
        <v>8500</v>
      </c>
      <c r="I149" s="58">
        <f>'Necesidades Trimestrales'!G147</f>
        <v>10</v>
      </c>
      <c r="J149" s="32"/>
    </row>
    <row r="150" spans="1:10" ht="35.25" customHeight="1" thickBot="1" x14ac:dyDescent="0.25">
      <c r="A150" s="54">
        <f>'Necesidades Trimestrales'!A148</f>
        <v>139</v>
      </c>
      <c r="B150" s="55">
        <v>0</v>
      </c>
      <c r="C150" s="119" t="str">
        <f>'Necesidades Trimestrales'!E148</f>
        <v>M-52D - DILUENT PARA MINDRAY BC-5150 X 20 LITROS</v>
      </c>
      <c r="D150" s="119"/>
      <c r="E150" s="119"/>
      <c r="F150" s="59" t="s">
        <v>52</v>
      </c>
      <c r="G150" s="56" t="str">
        <f>'Necesidades Trimestrales'!F148</f>
        <v>UNIDAD</v>
      </c>
      <c r="H150" s="57">
        <f>'Necesidades Trimestrales'!H148</f>
        <v>6300</v>
      </c>
      <c r="I150" s="58">
        <f>'Necesidades Trimestrales'!G148</f>
        <v>10</v>
      </c>
      <c r="J150" s="32"/>
    </row>
    <row r="151" spans="1:10" ht="35.25" customHeight="1" thickBot="1" x14ac:dyDescent="0.25">
      <c r="A151" s="54">
        <f>'Necesidades Trimestrales'!A149</f>
        <v>140</v>
      </c>
      <c r="B151" s="55">
        <v>0</v>
      </c>
      <c r="C151" s="119" t="str">
        <f>'Necesidades Trimestrales'!E149</f>
        <v>MAGNESIO COBAS C-311 ROCHE  X 175 DET</v>
      </c>
      <c r="D151" s="119"/>
      <c r="E151" s="119"/>
      <c r="F151" s="59" t="s">
        <v>52</v>
      </c>
      <c r="G151" s="56" t="str">
        <f>'Necesidades Trimestrales'!F149</f>
        <v>CASSETTE</v>
      </c>
      <c r="H151" s="57">
        <f>'Necesidades Trimestrales'!H149</f>
        <v>3854</v>
      </c>
      <c r="I151" s="58">
        <f>'Necesidades Trimestrales'!G149</f>
        <v>1</v>
      </c>
      <c r="J151" s="32"/>
    </row>
    <row r="152" spans="1:10" ht="35.25" customHeight="1" thickBot="1" x14ac:dyDescent="0.25">
      <c r="A152" s="54">
        <f>'Necesidades Trimestrales'!A150</f>
        <v>141</v>
      </c>
      <c r="B152" s="55">
        <v>0</v>
      </c>
      <c r="C152" s="119" t="str">
        <f>'Necesidades Trimestrales'!E150</f>
        <v>MEDIO MIO:X 100 GR</v>
      </c>
      <c r="D152" s="119"/>
      <c r="E152" s="119"/>
      <c r="F152" s="59" t="s">
        <v>52</v>
      </c>
      <c r="G152" s="56" t="str">
        <f>'Necesidades Trimestrales'!F150</f>
        <v>UNIDAD</v>
      </c>
      <c r="H152" s="57">
        <f>'Necesidades Trimestrales'!H150</f>
        <v>9400</v>
      </c>
      <c r="I152" s="58">
        <f>'Necesidades Trimestrales'!G150</f>
        <v>1</v>
      </c>
      <c r="J152" s="32"/>
    </row>
    <row r="153" spans="1:10" ht="35.25" customHeight="1" thickBot="1" x14ac:dyDescent="0.25">
      <c r="A153" s="54">
        <f>'Necesidades Trimestrales'!A151</f>
        <v>142</v>
      </c>
      <c r="B153" s="55">
        <v>0</v>
      </c>
      <c r="C153" s="119" t="str">
        <f>'Necesidades Trimestrales'!E151</f>
        <v>MEMBRANA DE CALCIO PARA ABL 800</v>
      </c>
      <c r="D153" s="119"/>
      <c r="E153" s="119"/>
      <c r="F153" s="59" t="s">
        <v>52</v>
      </c>
      <c r="G153" s="56" t="str">
        <f>'Necesidades Trimestrales'!F151</f>
        <v>UNIDAD</v>
      </c>
      <c r="H153" s="57">
        <f>'Necesidades Trimestrales'!H151</f>
        <v>49500</v>
      </c>
      <c r="I153" s="58">
        <f>'Necesidades Trimestrales'!G151</f>
        <v>2</v>
      </c>
      <c r="J153" s="32"/>
    </row>
    <row r="154" spans="1:10" ht="35.25" customHeight="1" thickBot="1" x14ac:dyDescent="0.25">
      <c r="A154" s="54">
        <f>'Necesidades Trimestrales'!A152</f>
        <v>143</v>
      </c>
      <c r="B154" s="55">
        <v>0</v>
      </c>
      <c r="C154" s="119" t="str">
        <f>'Necesidades Trimestrales'!E152</f>
        <v>MEMBRANA DE CLORO PARA ABL 800</v>
      </c>
      <c r="D154" s="119"/>
      <c r="E154" s="119"/>
      <c r="F154" s="59" t="s">
        <v>52</v>
      </c>
      <c r="G154" s="56" t="str">
        <f>'Necesidades Trimestrales'!F152</f>
        <v>UNIDAD</v>
      </c>
      <c r="H154" s="57">
        <f>'Necesidades Trimestrales'!H152</f>
        <v>49500</v>
      </c>
      <c r="I154" s="58">
        <f>'Necesidades Trimestrales'!G152</f>
        <v>2</v>
      </c>
      <c r="J154" s="32"/>
    </row>
    <row r="155" spans="1:10" ht="35.25" customHeight="1" thickBot="1" x14ac:dyDescent="0.25">
      <c r="A155" s="54">
        <f>'Necesidades Trimestrales'!A153</f>
        <v>144</v>
      </c>
      <c r="B155" s="55">
        <v>0</v>
      </c>
      <c r="C155" s="119" t="str">
        <f>'Necesidades Trimestrales'!E153</f>
        <v>MEMBRANA DE GLUCOSA  PARA ABL 800</v>
      </c>
      <c r="D155" s="119"/>
      <c r="E155" s="119"/>
      <c r="F155" s="59" t="s">
        <v>52</v>
      </c>
      <c r="G155" s="56" t="str">
        <f>'Necesidades Trimestrales'!F153</f>
        <v>UNIDAD</v>
      </c>
      <c r="H155" s="57">
        <f>'Necesidades Trimestrales'!H153</f>
        <v>17000</v>
      </c>
      <c r="I155" s="58">
        <f>'Necesidades Trimestrales'!G153</f>
        <v>2</v>
      </c>
      <c r="J155" s="32"/>
    </row>
    <row r="156" spans="1:10" ht="35.25" customHeight="1" thickBot="1" x14ac:dyDescent="0.25">
      <c r="A156" s="54">
        <f>'Necesidades Trimestrales'!A154</f>
        <v>145</v>
      </c>
      <c r="B156" s="55">
        <v>0</v>
      </c>
      <c r="C156" s="119" t="str">
        <f>'Necesidades Trimestrales'!E154</f>
        <v xml:space="preserve">MEMBRANA DE PCO2   PARA ABL 800 </v>
      </c>
      <c r="D156" s="119"/>
      <c r="E156" s="119"/>
      <c r="F156" s="59" t="s">
        <v>52</v>
      </c>
      <c r="G156" s="56" t="str">
        <f>'Necesidades Trimestrales'!F154</f>
        <v>UNIDAD</v>
      </c>
      <c r="H156" s="57">
        <f>'Necesidades Trimestrales'!H154</f>
        <v>30200</v>
      </c>
      <c r="I156" s="58">
        <f>'Necesidades Trimestrales'!G154</f>
        <v>2</v>
      </c>
      <c r="J156" s="32"/>
    </row>
    <row r="157" spans="1:10" ht="35.25" customHeight="1" thickBot="1" x14ac:dyDescent="0.25">
      <c r="A157" s="54">
        <f>'Necesidades Trimestrales'!A155</f>
        <v>146</v>
      </c>
      <c r="B157" s="55">
        <v>0</v>
      </c>
      <c r="C157" s="119" t="str">
        <f>'Necesidades Trimestrales'!E155</f>
        <v xml:space="preserve">MEMBRANA DE PO2 PARA ABL 800 </v>
      </c>
      <c r="D157" s="119"/>
      <c r="E157" s="119"/>
      <c r="F157" s="59" t="s">
        <v>52</v>
      </c>
      <c r="G157" s="56" t="str">
        <f>'Necesidades Trimestrales'!F155</f>
        <v>UNIDAD</v>
      </c>
      <c r="H157" s="57">
        <f>'Necesidades Trimestrales'!H155</f>
        <v>30200</v>
      </c>
      <c r="I157" s="58">
        <f>'Necesidades Trimestrales'!G155</f>
        <v>2</v>
      </c>
      <c r="J157" s="32"/>
    </row>
    <row r="158" spans="1:10" ht="35.25" customHeight="1" thickBot="1" x14ac:dyDescent="0.25">
      <c r="A158" s="54">
        <f>'Necesidades Trimestrales'!A156</f>
        <v>147</v>
      </c>
      <c r="B158" s="55">
        <v>0</v>
      </c>
      <c r="C158" s="119" t="str">
        <f>'Necesidades Trimestrales'!E156</f>
        <v>MEMBRANA DE POTASIO PARA ABL 800</v>
      </c>
      <c r="D158" s="119"/>
      <c r="E158" s="119"/>
      <c r="F158" s="59" t="s">
        <v>52</v>
      </c>
      <c r="G158" s="56" t="str">
        <f>'Necesidades Trimestrales'!F156</f>
        <v>UNIDAD</v>
      </c>
      <c r="H158" s="57">
        <f>'Necesidades Trimestrales'!H156</f>
        <v>49500</v>
      </c>
      <c r="I158" s="58">
        <f>'Necesidades Trimestrales'!G156</f>
        <v>2</v>
      </c>
      <c r="J158" s="32"/>
    </row>
    <row r="159" spans="1:10" ht="35.25" customHeight="1" thickBot="1" x14ac:dyDescent="0.25">
      <c r="A159" s="54">
        <f>'Necesidades Trimestrales'!A157</f>
        <v>148</v>
      </c>
      <c r="B159" s="55">
        <v>0</v>
      </c>
      <c r="C159" s="119" t="str">
        <f>'Necesidades Trimestrales'!E157</f>
        <v xml:space="preserve">MEMBRANA DE REFERENCIA PARA ABL 800 </v>
      </c>
      <c r="D159" s="119"/>
      <c r="E159" s="119"/>
      <c r="F159" s="59" t="s">
        <v>52</v>
      </c>
      <c r="G159" s="56" t="str">
        <f>'Necesidades Trimestrales'!F157</f>
        <v>UNIDAD</v>
      </c>
      <c r="H159" s="57">
        <f>'Necesidades Trimestrales'!H157</f>
        <v>6900</v>
      </c>
      <c r="I159" s="58">
        <f>'Necesidades Trimestrales'!G157</f>
        <v>3</v>
      </c>
      <c r="J159" s="32"/>
    </row>
    <row r="160" spans="1:10" ht="35.25" customHeight="1" thickBot="1" x14ac:dyDescent="0.25">
      <c r="A160" s="54">
        <f>'Necesidades Trimestrales'!A158</f>
        <v>149</v>
      </c>
      <c r="B160" s="55">
        <v>0</v>
      </c>
      <c r="C160" s="119" t="str">
        <f>'Necesidades Trimestrales'!E158</f>
        <v>MEMBRANA DE SODIO PARA ABL 800</v>
      </c>
      <c r="D160" s="119"/>
      <c r="E160" s="119"/>
      <c r="F160" s="59" t="s">
        <v>52</v>
      </c>
      <c r="G160" s="56" t="str">
        <f>'Necesidades Trimestrales'!F158</f>
        <v>UNIDAD</v>
      </c>
      <c r="H160" s="57">
        <f>'Necesidades Trimestrales'!H158</f>
        <v>49500</v>
      </c>
      <c r="I160" s="58">
        <f>'Necesidades Trimestrales'!G158</f>
        <v>2</v>
      </c>
      <c r="J160" s="32"/>
    </row>
    <row r="161" spans="1:10" ht="35.25" customHeight="1" thickBot="1" x14ac:dyDescent="0.25">
      <c r="A161" s="54">
        <f>'Necesidades Trimestrales'!A159</f>
        <v>150</v>
      </c>
      <c r="B161" s="55">
        <v>0</v>
      </c>
      <c r="C161" s="119" t="str">
        <f>'Necesidades Trimestrales'!E159</f>
        <v>NAOH - D CASSETTE P/COBAS C311</v>
      </c>
      <c r="D161" s="119"/>
      <c r="E161" s="119"/>
      <c r="F161" s="59" t="s">
        <v>52</v>
      </c>
      <c r="G161" s="56" t="str">
        <f>'Necesidades Trimestrales'!F159</f>
        <v>CASSETTE</v>
      </c>
      <c r="H161" s="57">
        <f>'Necesidades Trimestrales'!H159</f>
        <v>923</v>
      </c>
      <c r="I161" s="58">
        <f>'Necesidades Trimestrales'!G159</f>
        <v>20</v>
      </c>
      <c r="J161" s="32"/>
    </row>
    <row r="162" spans="1:10" ht="35.25" customHeight="1" thickBot="1" x14ac:dyDescent="0.25">
      <c r="A162" s="54">
        <f>'Necesidades Trimestrales'!A160</f>
        <v>151</v>
      </c>
      <c r="B162" s="55">
        <v>0</v>
      </c>
      <c r="C162" s="119" t="str">
        <f>'Necesidades Trimestrales'!E160</f>
        <v>PAPEL TERMOSENSIBLE X 4 ROLLOS PARA ABL 800</v>
      </c>
      <c r="D162" s="119"/>
      <c r="E162" s="119"/>
      <c r="F162" s="59" t="s">
        <v>52</v>
      </c>
      <c r="G162" s="56" t="str">
        <f>'Necesidades Trimestrales'!F160</f>
        <v>UNIDAD</v>
      </c>
      <c r="H162" s="57">
        <f>'Necesidades Trimestrales'!H160</f>
        <v>4050</v>
      </c>
      <c r="I162" s="58">
        <f>'Necesidades Trimestrales'!G160</f>
        <v>10</v>
      </c>
      <c r="J162" s="32"/>
    </row>
    <row r="163" spans="1:10" ht="35.25" customHeight="1" thickBot="1" x14ac:dyDescent="0.25">
      <c r="A163" s="54">
        <f>'Necesidades Trimestrales'!A161</f>
        <v>152</v>
      </c>
      <c r="B163" s="55">
        <v>0</v>
      </c>
      <c r="C163" s="119" t="str">
        <f>'Necesidades Trimestrales'!E161</f>
        <v>PENICILINA 10 µGR, ESTADO: DISCO X 50 UN</v>
      </c>
      <c r="D163" s="119"/>
      <c r="E163" s="119"/>
      <c r="F163" s="59" t="s">
        <v>52</v>
      </c>
      <c r="G163" s="56" t="str">
        <f>'Necesidades Trimestrales'!F161</f>
        <v>UNIDAD</v>
      </c>
      <c r="H163" s="57">
        <f>'Necesidades Trimestrales'!H161</f>
        <v>850</v>
      </c>
      <c r="I163" s="58">
        <f>'Necesidades Trimestrales'!G161</f>
        <v>5</v>
      </c>
      <c r="J163" s="32"/>
    </row>
    <row r="164" spans="1:10" ht="35.25" customHeight="1" thickBot="1" x14ac:dyDescent="0.25">
      <c r="A164" s="54">
        <f>'Necesidades Trimestrales'!A162</f>
        <v>153</v>
      </c>
      <c r="B164" s="55">
        <v>0</v>
      </c>
      <c r="C164" s="119" t="str">
        <f>'Necesidades Trimestrales'!E162</f>
        <v>PLACA CROMOGENICA P /EGB X 20 U</v>
      </c>
      <c r="D164" s="119"/>
      <c r="E164" s="119"/>
      <c r="F164" s="59" t="s">
        <v>52</v>
      </c>
      <c r="G164" s="56" t="str">
        <f>'Necesidades Trimestrales'!F162</f>
        <v>UNIDAD</v>
      </c>
      <c r="H164" s="57">
        <f>'Necesidades Trimestrales'!H162</f>
        <v>5300</v>
      </c>
      <c r="I164" s="58">
        <f>'Necesidades Trimestrales'!G162</f>
        <v>10</v>
      </c>
      <c r="J164" s="32"/>
    </row>
    <row r="165" spans="1:10" ht="35.25" customHeight="1" thickBot="1" x14ac:dyDescent="0.25">
      <c r="A165" s="54">
        <f>'Necesidades Trimestrales'!A163</f>
        <v>154</v>
      </c>
      <c r="B165" s="55">
        <v>0</v>
      </c>
      <c r="C165" s="119" t="str">
        <f>'Necesidades Trimestrales'!E163</f>
        <v>PLACA DE AGAR MUELLER HINTON SANGRE OVINA  X 10 U</v>
      </c>
      <c r="D165" s="119"/>
      <c r="E165" s="119"/>
      <c r="F165" s="59" t="s">
        <v>52</v>
      </c>
      <c r="G165" s="56" t="str">
        <f>'Necesidades Trimestrales'!F163</f>
        <v>UNIDAD</v>
      </c>
      <c r="H165" s="57">
        <f>'Necesidades Trimestrales'!H163</f>
        <v>2050</v>
      </c>
      <c r="I165" s="58">
        <f>'Necesidades Trimestrales'!G163</f>
        <v>10</v>
      </c>
      <c r="J165" s="32"/>
    </row>
    <row r="166" spans="1:10" ht="35.25" customHeight="1" thickBot="1" x14ac:dyDescent="0.25">
      <c r="A166" s="54">
        <f>'Necesidades Trimestrales'!A164</f>
        <v>155</v>
      </c>
      <c r="B166" s="55">
        <v>0</v>
      </c>
      <c r="C166" s="119" t="str">
        <f>'Necesidades Trimestrales'!E164</f>
        <v>PLACAS DE PETRI ESTERILES 90X 14 MM</v>
      </c>
      <c r="D166" s="119"/>
      <c r="E166" s="119"/>
      <c r="F166" s="59" t="s">
        <v>52</v>
      </c>
      <c r="G166" s="56" t="str">
        <f>'Necesidades Trimestrales'!F164</f>
        <v>UNIDAD</v>
      </c>
      <c r="H166" s="57">
        <f>'Necesidades Trimestrales'!H164</f>
        <v>28</v>
      </c>
      <c r="I166" s="58">
        <f>'Necesidades Trimestrales'!G164</f>
        <v>3000</v>
      </c>
      <c r="J166" s="32"/>
    </row>
    <row r="167" spans="1:10" ht="35.25" customHeight="1" thickBot="1" x14ac:dyDescent="0.25">
      <c r="A167" s="54">
        <f>'Necesidades Trimestrales'!A165</f>
        <v>156</v>
      </c>
      <c r="B167" s="55">
        <v>0</v>
      </c>
      <c r="C167" s="119" t="str">
        <f>'Necesidades Trimestrales'!E165</f>
        <v>PLASMA CONTROL NORMAL  6  X 1  ML  WIENER</v>
      </c>
      <c r="D167" s="119"/>
      <c r="E167" s="119"/>
      <c r="F167" s="59" t="s">
        <v>52</v>
      </c>
      <c r="G167" s="56" t="str">
        <f>'Necesidades Trimestrales'!F165</f>
        <v>UNIDAD</v>
      </c>
      <c r="H167" s="57">
        <f>'Necesidades Trimestrales'!H165</f>
        <v>2600</v>
      </c>
      <c r="I167" s="58">
        <f>'Necesidades Trimestrales'!G165</f>
        <v>1</v>
      </c>
      <c r="J167" s="32"/>
    </row>
    <row r="168" spans="1:10" ht="35.25" customHeight="1" thickBot="1" x14ac:dyDescent="0.25">
      <c r="A168" s="54">
        <f>'Necesidades Trimestrales'!A166</f>
        <v>157</v>
      </c>
      <c r="B168" s="55">
        <v>0</v>
      </c>
      <c r="C168" s="119" t="str">
        <f>'Necesidades Trimestrales'!E166</f>
        <v>PLASMA CONTROL PATOLOGICO  6  X 1  ML  WIENER</v>
      </c>
      <c r="D168" s="119"/>
      <c r="E168" s="119"/>
      <c r="F168" s="59" t="s">
        <v>52</v>
      </c>
      <c r="G168" s="56" t="str">
        <f>'Necesidades Trimestrales'!F166</f>
        <v>UNIDAD</v>
      </c>
      <c r="H168" s="57">
        <f>'Necesidades Trimestrales'!H166</f>
        <v>2600</v>
      </c>
      <c r="I168" s="58">
        <f>'Necesidades Trimestrales'!G166</f>
        <v>1</v>
      </c>
      <c r="J168" s="32"/>
    </row>
    <row r="169" spans="1:10" ht="35.25" customHeight="1" thickBot="1" x14ac:dyDescent="0.25">
      <c r="A169" s="54">
        <f>'Necesidades Trimestrales'!A167</f>
        <v>158</v>
      </c>
      <c r="B169" s="55">
        <v>0</v>
      </c>
      <c r="C169" s="119" t="str">
        <f>'Necesidades Trimestrales'!E167</f>
        <v>PORTA OBJETOS X 50 UNID.</v>
      </c>
      <c r="D169" s="119"/>
      <c r="E169" s="119"/>
      <c r="F169" s="59" t="s">
        <v>52</v>
      </c>
      <c r="G169" s="56" t="str">
        <f>'Necesidades Trimestrales'!F167</f>
        <v>UNIDAD</v>
      </c>
      <c r="H169" s="57">
        <f>'Necesidades Trimestrales'!H167</f>
        <v>160</v>
      </c>
      <c r="I169" s="58">
        <f>'Necesidades Trimestrales'!G167</f>
        <v>5</v>
      </c>
      <c r="J169" s="32"/>
    </row>
    <row r="170" spans="1:10" ht="35.25" customHeight="1" thickBot="1" x14ac:dyDescent="0.25">
      <c r="A170" s="54">
        <f>'Necesidades Trimestrales'!A168</f>
        <v>159</v>
      </c>
      <c r="B170" s="55">
        <v>0</v>
      </c>
      <c r="C170" s="119" t="str">
        <f>'Necesidades Trimestrales'!E168</f>
        <v>PRECI CONTROL AMH</v>
      </c>
      <c r="D170" s="119"/>
      <c r="E170" s="119"/>
      <c r="F170" s="59" t="s">
        <v>52</v>
      </c>
      <c r="G170" s="56" t="str">
        <f>'Necesidades Trimestrales'!F168</f>
        <v>UNIDAD</v>
      </c>
      <c r="H170" s="57">
        <f>'Necesidades Trimestrales'!H168</f>
        <v>60773</v>
      </c>
      <c r="I170" s="58">
        <f>'Necesidades Trimestrales'!G168</f>
        <v>1</v>
      </c>
      <c r="J170" s="32"/>
    </row>
    <row r="171" spans="1:10" ht="35.25" customHeight="1" thickBot="1" x14ac:dyDescent="0.25">
      <c r="A171" s="54">
        <f>'Necesidades Trimestrales'!A169</f>
        <v>160</v>
      </c>
      <c r="B171" s="55">
        <v>0</v>
      </c>
      <c r="C171" s="119" t="str">
        <f>'Necesidades Trimestrales'!E169</f>
        <v>PRECI CONTROL CLINCHEM  MULTI 1  QCS COBAS C-311 ROCHE  20 X 5 ML</v>
      </c>
      <c r="D171" s="119"/>
      <c r="E171" s="119"/>
      <c r="F171" s="59" t="s">
        <v>52</v>
      </c>
      <c r="G171" s="56" t="str">
        <f>'Necesidades Trimestrales'!F169</f>
        <v>CAJA</v>
      </c>
      <c r="H171" s="57">
        <f>'Necesidades Trimestrales'!H169</f>
        <v>59291</v>
      </c>
      <c r="I171" s="58">
        <f>'Necesidades Trimestrales'!G169</f>
        <v>2</v>
      </c>
      <c r="J171" s="32"/>
    </row>
    <row r="172" spans="1:10" ht="35.25" customHeight="1" thickBot="1" x14ac:dyDescent="0.25">
      <c r="A172" s="54">
        <f>'Necesidades Trimestrales'!A170</f>
        <v>161</v>
      </c>
      <c r="B172" s="55">
        <v>0</v>
      </c>
      <c r="C172" s="119" t="str">
        <f>'Necesidades Trimestrales'!E170</f>
        <v>PRECI CONTROL CLINCHEM  MULTI 2  QCS COBAS C-311 ROCHE  20 X 5 ML</v>
      </c>
      <c r="D172" s="119"/>
      <c r="E172" s="119"/>
      <c r="F172" s="59" t="s">
        <v>52</v>
      </c>
      <c r="G172" s="56" t="str">
        <f>'Necesidades Trimestrales'!F170</f>
        <v>CAJA</v>
      </c>
      <c r="H172" s="57">
        <f>'Necesidades Trimestrales'!H170</f>
        <v>59291</v>
      </c>
      <c r="I172" s="58">
        <f>'Necesidades Trimestrales'!G170</f>
        <v>2</v>
      </c>
      <c r="J172" s="32"/>
    </row>
    <row r="173" spans="1:10" ht="35.25" customHeight="1" thickBot="1" x14ac:dyDescent="0.25">
      <c r="A173" s="54">
        <f>'Necesidades Trimestrales'!A171</f>
        <v>162</v>
      </c>
      <c r="B173" s="55">
        <v>0</v>
      </c>
      <c r="C173" s="119" t="str">
        <f>'Necesidades Trimestrales'!E171</f>
        <v>PRECICONTROL  TOXO IGG  COBAS E-411 ROCHE</v>
      </c>
      <c r="D173" s="119"/>
      <c r="E173" s="119"/>
      <c r="F173" s="59" t="s">
        <v>52</v>
      </c>
      <c r="G173" s="56" t="str">
        <f>'Necesidades Trimestrales'!F171</f>
        <v>CAJA</v>
      </c>
      <c r="H173" s="57">
        <f>'Necesidades Trimestrales'!H171</f>
        <v>25600</v>
      </c>
      <c r="I173" s="58">
        <f>'Necesidades Trimestrales'!G171</f>
        <v>1</v>
      </c>
      <c r="J173" s="32"/>
    </row>
    <row r="174" spans="1:10" ht="35.25" customHeight="1" thickBot="1" x14ac:dyDescent="0.25">
      <c r="A174" s="54">
        <f>'Necesidades Trimestrales'!A172</f>
        <v>163</v>
      </c>
      <c r="B174" s="55">
        <v>0</v>
      </c>
      <c r="C174" s="119" t="str">
        <f>'Necesidades Trimestrales'!E172</f>
        <v>PRECICONTROL  TOXO IGM  COBAS E-411 ROCHE</v>
      </c>
      <c r="D174" s="119"/>
      <c r="E174" s="119"/>
      <c r="F174" s="59" t="s">
        <v>52</v>
      </c>
      <c r="G174" s="56" t="str">
        <f>'Necesidades Trimestrales'!F172</f>
        <v>CAJA</v>
      </c>
      <c r="H174" s="57">
        <f>'Necesidades Trimestrales'!H172</f>
        <v>25600</v>
      </c>
      <c r="I174" s="58">
        <f>'Necesidades Trimestrales'!G172</f>
        <v>1</v>
      </c>
      <c r="J174" s="32"/>
    </row>
    <row r="175" spans="1:10" ht="35.25" customHeight="1" thickBot="1" x14ac:dyDescent="0.25">
      <c r="A175" s="54">
        <f>'Necesidades Trimestrales'!A173</f>
        <v>164</v>
      </c>
      <c r="B175" s="55">
        <v>0</v>
      </c>
      <c r="C175" s="119" t="str">
        <f>'Necesidades Trimestrales'!E173</f>
        <v>PRECINORM PUC COBAS C-311 ROCHE  4 X 3 ML</v>
      </c>
      <c r="D175" s="119"/>
      <c r="E175" s="119"/>
      <c r="F175" s="59" t="s">
        <v>52</v>
      </c>
      <c r="G175" s="56" t="str">
        <f>'Necesidades Trimestrales'!F173</f>
        <v>CAJA</v>
      </c>
      <c r="H175" s="57">
        <f>'Necesidades Trimestrales'!H173</f>
        <v>31433</v>
      </c>
      <c r="I175" s="58">
        <f>'Necesidades Trimestrales'!G173</f>
        <v>2</v>
      </c>
      <c r="J175" s="32"/>
    </row>
    <row r="176" spans="1:10" ht="35.25" customHeight="1" thickBot="1" x14ac:dyDescent="0.25">
      <c r="A176" s="54">
        <f>'Necesidades Trimestrales'!A174</f>
        <v>165</v>
      </c>
      <c r="B176" s="55">
        <v>0</v>
      </c>
      <c r="C176" s="119" t="str">
        <f>'Necesidades Trimestrales'!E174</f>
        <v>PRECIPATH PUC COBAS C-311 ROCHE  4 X 3 ML</v>
      </c>
      <c r="D176" s="119"/>
      <c r="E176" s="119"/>
      <c r="F176" s="59" t="s">
        <v>52</v>
      </c>
      <c r="G176" s="56" t="str">
        <f>'Necesidades Trimestrales'!F174</f>
        <v>CAJA</v>
      </c>
      <c r="H176" s="57">
        <f>'Necesidades Trimestrales'!H174</f>
        <v>31433</v>
      </c>
      <c r="I176" s="58">
        <f>'Necesidades Trimestrales'!G174</f>
        <v>2</v>
      </c>
      <c r="J176" s="32"/>
    </row>
    <row r="177" spans="1:10" ht="35.25" customHeight="1" thickBot="1" x14ac:dyDescent="0.25">
      <c r="A177" s="54">
        <f>'Necesidades Trimestrales'!A175</f>
        <v>166</v>
      </c>
      <c r="B177" s="55">
        <v>0</v>
      </c>
      <c r="C177" s="119" t="str">
        <f>'Necesidades Trimestrales'!E175</f>
        <v>PRO CELL COBAS E-411N ROCHE X 2 L</v>
      </c>
      <c r="D177" s="119"/>
      <c r="E177" s="119"/>
      <c r="F177" s="59" t="s">
        <v>52</v>
      </c>
      <c r="G177" s="56" t="str">
        <f>'Necesidades Trimestrales'!F175</f>
        <v>CAJA</v>
      </c>
      <c r="H177" s="57">
        <f>'Necesidades Trimestrales'!H175</f>
        <v>9723</v>
      </c>
      <c r="I177" s="58">
        <f>'Necesidades Trimestrales'!G175</f>
        <v>8</v>
      </c>
      <c r="J177" s="32"/>
    </row>
    <row r="178" spans="1:10" ht="35.25" customHeight="1" thickBot="1" x14ac:dyDescent="0.25">
      <c r="A178" s="54">
        <f>'Necesidades Trimestrales'!A176</f>
        <v>167</v>
      </c>
      <c r="B178" s="55">
        <v>0</v>
      </c>
      <c r="C178" s="119" t="str">
        <f>'Necesidades Trimestrales'!E176</f>
        <v xml:space="preserve">PROTEINA C REACTIVA  CRP COBAS C-311 ROCHE  X 250 DET </v>
      </c>
      <c r="D178" s="119"/>
      <c r="E178" s="119"/>
      <c r="F178" s="59" t="s">
        <v>52</v>
      </c>
      <c r="G178" s="56" t="str">
        <f>'Necesidades Trimestrales'!F176</f>
        <v>CASSETTE</v>
      </c>
      <c r="H178" s="57">
        <f>'Necesidades Trimestrales'!H176</f>
        <v>31767</v>
      </c>
      <c r="I178" s="58">
        <f>'Necesidades Trimestrales'!G176</f>
        <v>8</v>
      </c>
      <c r="J178" s="32"/>
    </row>
    <row r="179" spans="1:10" ht="35.25" customHeight="1" thickBot="1" x14ac:dyDescent="0.25">
      <c r="A179" s="54">
        <f>'Necesidades Trimestrales'!A177</f>
        <v>168</v>
      </c>
      <c r="B179" s="55">
        <v>0</v>
      </c>
      <c r="C179" s="119" t="str">
        <f>'Necesidades Trimestrales'!E177</f>
        <v>PROTEINAS TOTALES COBAS C-311 ROCHE  X 300 DET</v>
      </c>
      <c r="D179" s="119"/>
      <c r="E179" s="119"/>
      <c r="F179" s="59" t="s">
        <v>52</v>
      </c>
      <c r="G179" s="56" t="str">
        <f>'Necesidades Trimestrales'!F177</f>
        <v>CASSETTE</v>
      </c>
      <c r="H179" s="57">
        <f>'Necesidades Trimestrales'!H177</f>
        <v>1475</v>
      </c>
      <c r="I179" s="58">
        <f>'Necesidades Trimestrales'!G177</f>
        <v>4</v>
      </c>
      <c r="J179" s="32"/>
    </row>
    <row r="180" spans="1:10" ht="35.25" customHeight="1" thickBot="1" x14ac:dyDescent="0.25">
      <c r="A180" s="54">
        <f>'Necesidades Trimestrales'!A178</f>
        <v>169</v>
      </c>
      <c r="B180" s="55">
        <v>0</v>
      </c>
      <c r="C180" s="119" t="str">
        <f>'Necesidades Trimestrales'!E178</f>
        <v>PYR-A ENTEROCOSC/REVELADOR DISCO  X 25 U</v>
      </c>
      <c r="D180" s="119"/>
      <c r="E180" s="119"/>
      <c r="F180" s="59" t="s">
        <v>52</v>
      </c>
      <c r="G180" s="56" t="str">
        <f>'Necesidades Trimestrales'!F178</f>
        <v>UNIDAD</v>
      </c>
      <c r="H180" s="57">
        <f>'Necesidades Trimestrales'!H178</f>
        <v>1300</v>
      </c>
      <c r="I180" s="58">
        <f>'Necesidades Trimestrales'!G178</f>
        <v>1</v>
      </c>
      <c r="J180" s="32"/>
    </row>
    <row r="181" spans="1:10" ht="35.25" customHeight="1" thickBot="1" x14ac:dyDescent="0.25">
      <c r="A181" s="54">
        <f>'Necesidades Trimestrales'!A179</f>
        <v>170</v>
      </c>
      <c r="B181" s="55">
        <v>0</v>
      </c>
      <c r="C181" s="119" t="str">
        <f>'Necesidades Trimestrales'!E179</f>
        <v>REACTIVO  CORTISOL COBAS E-411 ROCHE  X 100 DET</v>
      </c>
      <c r="D181" s="119"/>
      <c r="E181" s="119"/>
      <c r="F181" s="59" t="s">
        <v>52</v>
      </c>
      <c r="G181" s="56" t="str">
        <f>'Necesidades Trimestrales'!F179</f>
        <v>UNIDAD</v>
      </c>
      <c r="H181" s="57">
        <f>'Necesidades Trimestrales'!H179</f>
        <v>16500</v>
      </c>
      <c r="I181" s="58">
        <f>'Necesidades Trimestrales'!G179</f>
        <v>1</v>
      </c>
      <c r="J181" s="32"/>
    </row>
    <row r="182" spans="1:10" ht="35.25" customHeight="1" thickBot="1" x14ac:dyDescent="0.25">
      <c r="A182" s="54">
        <f>'Necesidades Trimestrales'!A180</f>
        <v>171</v>
      </c>
      <c r="B182" s="55">
        <v>0</v>
      </c>
      <c r="C182" s="119" t="str">
        <f>'Necesidades Trimestrales'!E180</f>
        <v>REACTIVO  DHEA-S COBAS E-411 ROCHE X 100 DET</v>
      </c>
      <c r="D182" s="119"/>
      <c r="E182" s="119"/>
      <c r="F182" s="59" t="s">
        <v>52</v>
      </c>
      <c r="G182" s="56" t="str">
        <f>'Necesidades Trimestrales'!F180</f>
        <v>UNIDAD</v>
      </c>
      <c r="H182" s="57">
        <f>'Necesidades Trimestrales'!H180</f>
        <v>24196</v>
      </c>
      <c r="I182" s="58">
        <f>'Necesidades Trimestrales'!G180</f>
        <v>1</v>
      </c>
      <c r="J182" s="32"/>
    </row>
    <row r="183" spans="1:10" ht="35.25" customHeight="1" thickBot="1" x14ac:dyDescent="0.25">
      <c r="A183" s="54">
        <f>'Necesidades Trimestrales'!A181</f>
        <v>172</v>
      </c>
      <c r="B183" s="55">
        <v>0</v>
      </c>
      <c r="C183" s="119" t="str">
        <f>'Necesidades Trimestrales'!E181</f>
        <v xml:space="preserve">REACTIVO ACCESORIO X 2750 DETERMINACIONES COBAS C-311 ROCHE </v>
      </c>
      <c r="D183" s="119"/>
      <c r="E183" s="119"/>
      <c r="F183" s="59" t="s">
        <v>52</v>
      </c>
      <c r="G183" s="56" t="str">
        <f>'Necesidades Trimestrales'!F181</f>
        <v>UNIDAD</v>
      </c>
      <c r="H183" s="57">
        <f>'Necesidades Trimestrales'!H181</f>
        <v>5600</v>
      </c>
      <c r="I183" s="58">
        <f>'Necesidades Trimestrales'!G181</f>
        <v>1</v>
      </c>
      <c r="J183" s="32"/>
    </row>
    <row r="184" spans="1:10" ht="35.25" customHeight="1" thickBot="1" x14ac:dyDescent="0.25">
      <c r="A184" s="54">
        <f>'Necesidades Trimestrales'!A182</f>
        <v>173</v>
      </c>
      <c r="B184" s="55">
        <v>0</v>
      </c>
      <c r="C184" s="119" t="str">
        <f>'Necesidades Trimestrales'!E182</f>
        <v>REACTIVO AMH (HORMONA ANTI MULLERIANA) COBAS E -411 ROCHE  X 100 DET</v>
      </c>
      <c r="D184" s="119"/>
      <c r="E184" s="119"/>
      <c r="F184" s="59" t="s">
        <v>52</v>
      </c>
      <c r="G184" s="56" t="str">
        <f>'Necesidades Trimestrales'!F182</f>
        <v>UNIDAD</v>
      </c>
      <c r="H184" s="57">
        <f>'Necesidades Trimestrales'!H182</f>
        <v>292185</v>
      </c>
      <c r="I184" s="58">
        <f>'Necesidades Trimestrales'!G182</f>
        <v>1</v>
      </c>
      <c r="J184" s="32"/>
    </row>
    <row r="185" spans="1:10" ht="35.25" customHeight="1" thickBot="1" x14ac:dyDescent="0.25">
      <c r="A185" s="54">
        <f>'Necesidades Trimestrales'!A183</f>
        <v>174</v>
      </c>
      <c r="B185" s="55">
        <v>0</v>
      </c>
      <c r="C185" s="119" t="str">
        <f>'Necesidades Trimestrales'!E183</f>
        <v>REACTIVO ANTI TPO COBAS E-411 ROCHE X 100 DET</v>
      </c>
      <c r="D185" s="119"/>
      <c r="E185" s="119"/>
      <c r="F185" s="59" t="s">
        <v>52</v>
      </c>
      <c r="G185" s="56" t="str">
        <f>'Necesidades Trimestrales'!F183</f>
        <v>CAJA</v>
      </c>
      <c r="H185" s="57">
        <f>'Necesidades Trimestrales'!H183</f>
        <v>19396</v>
      </c>
      <c r="I185" s="58">
        <f>'Necesidades Trimestrales'!G183</f>
        <v>3</v>
      </c>
      <c r="J185" s="32"/>
    </row>
    <row r="186" spans="1:10" ht="35.25" customHeight="1" thickBot="1" x14ac:dyDescent="0.25">
      <c r="A186" s="54">
        <f>'Necesidades Trimestrales'!A184</f>
        <v>175</v>
      </c>
      <c r="B186" s="55">
        <v>0</v>
      </c>
      <c r="C186" s="119" t="str">
        <f>'Necesidades Trimestrales'!E184</f>
        <v>REACTIVO B-HCG COBAS E-411 ROCHE  X 100 DET</v>
      </c>
      <c r="D186" s="119"/>
      <c r="E186" s="119"/>
      <c r="F186" s="59" t="s">
        <v>52</v>
      </c>
      <c r="G186" s="56" t="str">
        <f>'Necesidades Trimestrales'!F184</f>
        <v>CASSETTE</v>
      </c>
      <c r="H186" s="57">
        <f>'Necesidades Trimestrales'!H184</f>
        <v>15456</v>
      </c>
      <c r="I186" s="58">
        <f>'Necesidades Trimestrales'!G184</f>
        <v>2</v>
      </c>
      <c r="J186" s="32"/>
    </row>
    <row r="187" spans="1:10" ht="35.25" customHeight="1" thickBot="1" x14ac:dyDescent="0.25">
      <c r="A187" s="54">
        <f>'Necesidades Trimestrales'!A185</f>
        <v>176</v>
      </c>
      <c r="B187" s="55">
        <v>0</v>
      </c>
      <c r="C187" s="119" t="str">
        <f>'Necesidades Trimestrales'!E185</f>
        <v>REACTIVO ESTRADIOL COBAS E-411 ROCHE  X 100 DET</v>
      </c>
      <c r="D187" s="119"/>
      <c r="E187" s="119"/>
      <c r="F187" s="59" t="s">
        <v>52</v>
      </c>
      <c r="G187" s="56" t="str">
        <f>'Necesidades Trimestrales'!F185</f>
        <v>CASSETTE</v>
      </c>
      <c r="H187" s="57">
        <f>'Necesidades Trimestrales'!H185</f>
        <v>17152</v>
      </c>
      <c r="I187" s="58">
        <f>'Necesidades Trimestrales'!G185</f>
        <v>1</v>
      </c>
      <c r="J187" s="32"/>
    </row>
    <row r="188" spans="1:10" ht="35.25" customHeight="1" thickBot="1" x14ac:dyDescent="0.25">
      <c r="A188" s="54">
        <f>'Necesidades Trimestrales'!A186</f>
        <v>177</v>
      </c>
      <c r="B188" s="55">
        <v>0</v>
      </c>
      <c r="C188" s="119" t="str">
        <f>'Necesidades Trimestrales'!E186</f>
        <v>REACTIVO FSH COBAS E-411 ROCHE X 100 DET</v>
      </c>
      <c r="D188" s="119"/>
      <c r="E188" s="119"/>
      <c r="F188" s="59" t="s">
        <v>52</v>
      </c>
      <c r="G188" s="56" t="str">
        <f>'Necesidades Trimestrales'!F186</f>
        <v>CASSETTE</v>
      </c>
      <c r="H188" s="57">
        <f>'Necesidades Trimestrales'!H186</f>
        <v>15456</v>
      </c>
      <c r="I188" s="58">
        <f>'Necesidades Trimestrales'!G186</f>
        <v>1</v>
      </c>
      <c r="J188" s="32"/>
    </row>
    <row r="189" spans="1:10" ht="35.25" customHeight="1" thickBot="1" x14ac:dyDescent="0.25">
      <c r="A189" s="54">
        <f>'Necesidades Trimestrales'!A187</f>
        <v>178</v>
      </c>
      <c r="B189" s="55">
        <v>0</v>
      </c>
      <c r="C189" s="119" t="str">
        <f>'Necesidades Trimestrales'!E187</f>
        <v>REACTIVO INSULINA COBAS E-411 ROCHE  X 100 DET</v>
      </c>
      <c r="D189" s="119"/>
      <c r="E189" s="119"/>
      <c r="F189" s="59" t="s">
        <v>52</v>
      </c>
      <c r="G189" s="56" t="str">
        <f>'Necesidades Trimestrales'!F187</f>
        <v>CASSETTE</v>
      </c>
      <c r="H189" s="57">
        <f>'Necesidades Trimestrales'!H187</f>
        <v>17152</v>
      </c>
      <c r="I189" s="58">
        <f>'Necesidades Trimestrales'!G187</f>
        <v>1</v>
      </c>
      <c r="J189" s="32"/>
    </row>
    <row r="190" spans="1:10" ht="35.25" customHeight="1" thickBot="1" x14ac:dyDescent="0.25">
      <c r="A190" s="54">
        <f>'Necesidades Trimestrales'!A188</f>
        <v>179</v>
      </c>
      <c r="B190" s="55">
        <v>0</v>
      </c>
      <c r="C190" s="119" t="str">
        <f>'Necesidades Trimestrales'!E188</f>
        <v>REACTIVO LH COBAS E-411 ROCHE  X 100 DET</v>
      </c>
      <c r="D190" s="119"/>
      <c r="E190" s="119"/>
      <c r="F190" s="59" t="s">
        <v>52</v>
      </c>
      <c r="G190" s="56" t="str">
        <f>'Necesidades Trimestrales'!F188</f>
        <v>CASSETTE</v>
      </c>
      <c r="H190" s="57">
        <f>'Necesidades Trimestrales'!H188</f>
        <v>15456</v>
      </c>
      <c r="I190" s="58">
        <f>'Necesidades Trimestrales'!G188</f>
        <v>1</v>
      </c>
      <c r="J190" s="32"/>
    </row>
    <row r="191" spans="1:10" ht="35.25" customHeight="1" thickBot="1" x14ac:dyDescent="0.25">
      <c r="A191" s="54">
        <f>'Necesidades Trimestrales'!A189</f>
        <v>180</v>
      </c>
      <c r="B191" s="55">
        <v>0</v>
      </c>
      <c r="C191" s="119" t="str">
        <f>'Necesidades Trimestrales'!E189</f>
        <v>REACTIVO PROGESTERONA COBAS E-411 ROCHE  X 100 DET</v>
      </c>
      <c r="D191" s="119"/>
      <c r="E191" s="119"/>
      <c r="F191" s="59" t="s">
        <v>52</v>
      </c>
      <c r="G191" s="56" t="str">
        <f>'Necesidades Trimestrales'!F189</f>
        <v>CASSETTE</v>
      </c>
      <c r="H191" s="57">
        <f>'Necesidades Trimestrales'!H189</f>
        <v>15600</v>
      </c>
      <c r="I191" s="58">
        <f>'Necesidades Trimestrales'!G189</f>
        <v>1</v>
      </c>
      <c r="J191" s="32"/>
    </row>
    <row r="192" spans="1:10" ht="35.25" customHeight="1" thickBot="1" x14ac:dyDescent="0.25">
      <c r="A192" s="54">
        <f>'Necesidades Trimestrales'!A190</f>
        <v>181</v>
      </c>
      <c r="B192" s="55">
        <v>0</v>
      </c>
      <c r="C192" s="119" t="str">
        <f>'Necesidades Trimestrales'!E190</f>
        <v>REACTIVO PROLACTINA COBAS E-411 ROCHE X 100 DET</v>
      </c>
      <c r="D192" s="119"/>
      <c r="E192" s="119"/>
      <c r="F192" s="59" t="s">
        <v>52</v>
      </c>
      <c r="G192" s="56" t="str">
        <f>'Necesidades Trimestrales'!F190</f>
        <v>CASSETTE</v>
      </c>
      <c r="H192" s="57">
        <f>'Necesidades Trimestrales'!H190</f>
        <v>15456</v>
      </c>
      <c r="I192" s="58">
        <f>'Necesidades Trimestrales'!G190</f>
        <v>1</v>
      </c>
      <c r="J192" s="32"/>
    </row>
    <row r="193" spans="1:10" ht="35.25" customHeight="1" thickBot="1" x14ac:dyDescent="0.25">
      <c r="A193" s="54">
        <f>'Necesidades Trimestrales'!A191</f>
        <v>182</v>
      </c>
      <c r="B193" s="55">
        <v>0</v>
      </c>
      <c r="C193" s="119" t="str">
        <f>'Necesidades Trimestrales'!E191</f>
        <v>REACTIVO S-HBG COBAS E-411 ROCHE  X 100 DET</v>
      </c>
      <c r="D193" s="119"/>
      <c r="E193" s="119"/>
      <c r="F193" s="59" t="s">
        <v>52</v>
      </c>
      <c r="G193" s="56" t="str">
        <f>'Necesidades Trimestrales'!F191</f>
        <v>CASSETTE</v>
      </c>
      <c r="H193" s="57">
        <f>'Necesidades Trimestrales'!H191</f>
        <v>22115</v>
      </c>
      <c r="I193" s="58">
        <f>'Necesidades Trimestrales'!G191</f>
        <v>1</v>
      </c>
      <c r="J193" s="32"/>
    </row>
    <row r="194" spans="1:10" ht="35.25" customHeight="1" thickBot="1" x14ac:dyDescent="0.25">
      <c r="A194" s="54">
        <f>'Necesidades Trimestrales'!A192</f>
        <v>183</v>
      </c>
      <c r="B194" s="55">
        <v>0</v>
      </c>
      <c r="C194" s="119" t="str">
        <f>'Necesidades Trimestrales'!E192</f>
        <v>REACTIVO T3  TOTAL COBAS E-411 ROCHE  X 100 DET</v>
      </c>
      <c r="D194" s="119"/>
      <c r="E194" s="119"/>
      <c r="F194" s="59" t="s">
        <v>52</v>
      </c>
      <c r="G194" s="56" t="str">
        <f>'Necesidades Trimestrales'!F192</f>
        <v>CASSETTE</v>
      </c>
      <c r="H194" s="57">
        <f>'Necesidades Trimestrales'!H192</f>
        <v>12435</v>
      </c>
      <c r="I194" s="58">
        <f>'Necesidades Trimestrales'!G192</f>
        <v>1</v>
      </c>
      <c r="J194" s="32"/>
    </row>
    <row r="195" spans="1:10" ht="35.25" customHeight="1" thickBot="1" x14ac:dyDescent="0.25">
      <c r="A195" s="54">
        <f>'Necesidades Trimestrales'!A193</f>
        <v>184</v>
      </c>
      <c r="B195" s="55">
        <v>0</v>
      </c>
      <c r="C195" s="119" t="str">
        <f>'Necesidades Trimestrales'!E193</f>
        <v>REACTIVO T3 LBRE COBAS E-411 ROCHE  X 100 DET</v>
      </c>
      <c r="D195" s="119"/>
      <c r="E195" s="119"/>
      <c r="F195" s="59" t="s">
        <v>52</v>
      </c>
      <c r="G195" s="56" t="str">
        <f>'Necesidades Trimestrales'!F193</f>
        <v>CASSETTE</v>
      </c>
      <c r="H195" s="57">
        <f>'Necesidades Trimestrales'!H193</f>
        <v>14901</v>
      </c>
      <c r="I195" s="58">
        <f>'Necesidades Trimestrales'!G193</f>
        <v>1</v>
      </c>
      <c r="J195" s="32"/>
    </row>
    <row r="196" spans="1:10" ht="35.25" customHeight="1" thickBot="1" x14ac:dyDescent="0.25">
      <c r="A196" s="54">
        <f>'Necesidades Trimestrales'!A194</f>
        <v>185</v>
      </c>
      <c r="B196" s="55">
        <v>0</v>
      </c>
      <c r="C196" s="119" t="str">
        <f>'Necesidades Trimestrales'!E194</f>
        <v>REACTIVO T4 LIBRE  (FT4)   COBAS E-411 ROCHE X 200 DET</v>
      </c>
      <c r="D196" s="119"/>
      <c r="E196" s="119"/>
      <c r="F196" s="59" t="s">
        <v>52</v>
      </c>
      <c r="G196" s="56" t="str">
        <f>'Necesidades Trimestrales'!F194</f>
        <v>CASSETTE</v>
      </c>
      <c r="H196" s="57">
        <f>'Necesidades Trimestrales'!H194</f>
        <v>21731</v>
      </c>
      <c r="I196" s="58">
        <f>'Necesidades Trimestrales'!G194</f>
        <v>3</v>
      </c>
      <c r="J196" s="32"/>
    </row>
    <row r="197" spans="1:10" ht="35.25" customHeight="1" thickBot="1" x14ac:dyDescent="0.25">
      <c r="A197" s="54">
        <f>'Necesidades Trimestrales'!A195</f>
        <v>186</v>
      </c>
      <c r="B197" s="55">
        <v>0</v>
      </c>
      <c r="C197" s="119" t="str">
        <f>'Necesidades Trimestrales'!E195</f>
        <v>REACTIVO TSH  V2 COBAS E-411 ROCHE  X  200 DET</v>
      </c>
      <c r="D197" s="119"/>
      <c r="E197" s="119"/>
      <c r="F197" s="59" t="s">
        <v>52</v>
      </c>
      <c r="G197" s="56" t="str">
        <f>'Necesidades Trimestrales'!F195</f>
        <v>CASSETTE</v>
      </c>
      <c r="H197" s="57">
        <f>'Necesidades Trimestrales'!H195</f>
        <v>11028</v>
      </c>
      <c r="I197" s="58">
        <f>'Necesidades Trimestrales'!G195</f>
        <v>3</v>
      </c>
      <c r="J197" s="32"/>
    </row>
    <row r="198" spans="1:10" ht="35.25" customHeight="1" thickBot="1" x14ac:dyDescent="0.25">
      <c r="A198" s="54">
        <f>'Necesidades Trimestrales'!A196</f>
        <v>187</v>
      </c>
      <c r="B198" s="55">
        <v>0</v>
      </c>
      <c r="C198" s="119" t="str">
        <f>'Necesidades Trimestrales'!E196</f>
        <v>RINSE SOLUTION  X 600 ML PARA ABL 800</v>
      </c>
      <c r="D198" s="119"/>
      <c r="E198" s="119"/>
      <c r="F198" s="59" t="s">
        <v>52</v>
      </c>
      <c r="G198" s="56" t="str">
        <f>'Necesidades Trimestrales'!F196</f>
        <v>UNIDAD</v>
      </c>
      <c r="H198" s="57">
        <f>'Necesidades Trimestrales'!H196</f>
        <v>22500</v>
      </c>
      <c r="I198" s="58">
        <f>'Necesidades Trimestrales'!G196</f>
        <v>15</v>
      </c>
      <c r="J198" s="32"/>
    </row>
    <row r="199" spans="1:10" ht="35.25" customHeight="1" thickBot="1" x14ac:dyDescent="0.25">
      <c r="A199" s="54">
        <f>'Necesidades Trimestrales'!A197</f>
        <v>188</v>
      </c>
      <c r="B199" s="55">
        <v>0</v>
      </c>
      <c r="C199" s="119" t="str">
        <f>'Necesidades Trimestrales'!E197</f>
        <v>ROLLO DE PAPEL PARA MINDRAY BC-3000 PLUS PAQUETE X 6 UNIDADES</v>
      </c>
      <c r="D199" s="119"/>
      <c r="E199" s="119"/>
      <c r="F199" s="59" t="s">
        <v>52</v>
      </c>
      <c r="G199" s="56" t="str">
        <f>'Necesidades Trimestrales'!F197</f>
        <v>UNIDAD</v>
      </c>
      <c r="H199" s="57">
        <f>'Necesidades Trimestrales'!H197</f>
        <v>2500</v>
      </c>
      <c r="I199" s="58">
        <f>'Necesidades Trimestrales'!G197</f>
        <v>8</v>
      </c>
      <c r="J199" s="32"/>
    </row>
    <row r="200" spans="1:10" ht="35.25" customHeight="1" thickBot="1" x14ac:dyDescent="0.25">
      <c r="A200" s="54">
        <f>'Necesidades Trimestrales'!A198</f>
        <v>189</v>
      </c>
      <c r="B200" s="55">
        <v>0</v>
      </c>
      <c r="C200" s="119" t="str">
        <f>'Necesidades Trimestrales'!E198</f>
        <v>ROLLO DE PAPEL PARA MINDRAY BC-5150 PAQUETE X 6 UNIDADES</v>
      </c>
      <c r="D200" s="119"/>
      <c r="E200" s="119"/>
      <c r="F200" s="59" t="s">
        <v>52</v>
      </c>
      <c r="G200" s="56" t="str">
        <f>'Necesidades Trimestrales'!F198</f>
        <v>UNIDAD</v>
      </c>
      <c r="H200" s="57">
        <f>'Necesidades Trimestrales'!H198</f>
        <v>2500</v>
      </c>
      <c r="I200" s="58">
        <f>'Necesidades Trimestrales'!G198</f>
        <v>10</v>
      </c>
      <c r="J200" s="32"/>
    </row>
    <row r="201" spans="1:10" ht="35.25" customHeight="1" thickBot="1" x14ac:dyDescent="0.25">
      <c r="A201" s="54">
        <f>'Necesidades Trimestrales'!A199</f>
        <v>190</v>
      </c>
      <c r="B201" s="55">
        <v>0</v>
      </c>
      <c r="C201" s="119" t="str">
        <f>'Necesidades Trimestrales'!E199</f>
        <v>SERODIA  TPPA  ( 4  X 55 )</v>
      </c>
      <c r="D201" s="119"/>
      <c r="E201" s="119"/>
      <c r="F201" s="59" t="s">
        <v>52</v>
      </c>
      <c r="G201" s="56" t="str">
        <f>'Necesidades Trimestrales'!F199</f>
        <v>UNIDAD</v>
      </c>
      <c r="H201" s="57">
        <f>'Necesidades Trimestrales'!H199</f>
        <v>24000</v>
      </c>
      <c r="I201" s="58">
        <f>'Necesidades Trimestrales'!G199</f>
        <v>2</v>
      </c>
      <c r="J201" s="32"/>
    </row>
    <row r="202" spans="1:10" ht="35.25" customHeight="1" thickBot="1" x14ac:dyDescent="0.25">
      <c r="A202" s="54">
        <f>'Necesidades Trimestrales'!A200</f>
        <v>191</v>
      </c>
      <c r="B202" s="55">
        <v>0</v>
      </c>
      <c r="C202" s="119" t="str">
        <f>'Necesidades Trimestrales'!E200</f>
        <v>TETRACICLINA 30 µGR DISCO 50 UN</v>
      </c>
      <c r="D202" s="119"/>
      <c r="E202" s="119"/>
      <c r="F202" s="59" t="s">
        <v>52</v>
      </c>
      <c r="G202" s="56" t="str">
        <f>'Necesidades Trimestrales'!F200</f>
        <v>UNIDAD</v>
      </c>
      <c r="H202" s="57">
        <f>'Necesidades Trimestrales'!H200</f>
        <v>850</v>
      </c>
      <c r="I202" s="58">
        <f>'Necesidades Trimestrales'!G200</f>
        <v>1</v>
      </c>
      <c r="J202" s="32"/>
    </row>
    <row r="203" spans="1:10" ht="35.25" customHeight="1" thickBot="1" x14ac:dyDescent="0.25">
      <c r="A203" s="54">
        <f>'Necesidades Trimestrales'!A201</f>
        <v>192</v>
      </c>
      <c r="B203" s="55">
        <v>0</v>
      </c>
      <c r="C203" s="119" t="str">
        <f>'Necesidades Trimestrales'!E201</f>
        <v xml:space="preserve">TRIGLICERIDOS COBAS C-311 ROCHE  X 250 DET </v>
      </c>
      <c r="D203" s="119"/>
      <c r="E203" s="119"/>
      <c r="F203" s="59" t="s">
        <v>52</v>
      </c>
      <c r="G203" s="56" t="str">
        <f>'Necesidades Trimestrales'!F201</f>
        <v>CASSETTE</v>
      </c>
      <c r="H203" s="57">
        <f>'Necesidades Trimestrales'!H201</f>
        <v>3095</v>
      </c>
      <c r="I203" s="58">
        <f>'Necesidades Trimestrales'!G201</f>
        <v>2</v>
      </c>
      <c r="J203" s="32"/>
    </row>
    <row r="204" spans="1:10" ht="35.25" customHeight="1" thickBot="1" x14ac:dyDescent="0.25">
      <c r="A204" s="54">
        <f>'Necesidades Trimestrales'!A202</f>
        <v>193</v>
      </c>
      <c r="B204" s="55">
        <v>0</v>
      </c>
      <c r="C204" s="119" t="str">
        <f>'Necesidades Trimestrales'!E202</f>
        <v>TRIMETOPRIMA + SULFAMETOXAZOL 25 UGR DISCOX 50 UN</v>
      </c>
      <c r="D204" s="119"/>
      <c r="E204" s="119"/>
      <c r="F204" s="59" t="s">
        <v>52</v>
      </c>
      <c r="G204" s="56" t="str">
        <f>'Necesidades Trimestrales'!F202</f>
        <v>UNIDAD</v>
      </c>
      <c r="H204" s="57">
        <f>'Necesidades Trimestrales'!H202</f>
        <v>850</v>
      </c>
      <c r="I204" s="58">
        <f>'Necesidades Trimestrales'!G202</f>
        <v>5</v>
      </c>
      <c r="J204" s="32"/>
    </row>
    <row r="205" spans="1:10" ht="35.25" customHeight="1" thickBot="1" x14ac:dyDescent="0.25">
      <c r="A205" s="54">
        <f>'Necesidades Trimestrales'!A203</f>
        <v>194</v>
      </c>
      <c r="B205" s="55">
        <v>0</v>
      </c>
      <c r="C205" s="119" t="str">
        <f>'Necesidades Trimestrales'!E203</f>
        <v>TUBOS DE HEMOLISIS DE VIDRIO 12 X 100 MM</v>
      </c>
      <c r="D205" s="119"/>
      <c r="E205" s="119"/>
      <c r="F205" s="59" t="s">
        <v>52</v>
      </c>
      <c r="G205" s="56" t="str">
        <f>'Necesidades Trimestrales'!F203</f>
        <v>UNIDAD</v>
      </c>
      <c r="H205" s="57">
        <f>'Necesidades Trimestrales'!H203</f>
        <v>24</v>
      </c>
      <c r="I205" s="58">
        <f>'Necesidades Trimestrales'!G203</f>
        <v>200</v>
      </c>
      <c r="J205" s="32"/>
    </row>
    <row r="206" spans="1:10" ht="35.25" customHeight="1" thickBot="1" x14ac:dyDescent="0.25">
      <c r="A206" s="54">
        <f>'Necesidades Trimestrales'!A204</f>
        <v>195</v>
      </c>
      <c r="B206" s="55">
        <v>0</v>
      </c>
      <c r="C206" s="119" t="str">
        <f>'Necesidades Trimestrales'!E204</f>
        <v>TUBOS DE KHAN DE VIDRIO 12 X 75 MM</v>
      </c>
      <c r="D206" s="119"/>
      <c r="E206" s="119"/>
      <c r="F206" s="59" t="s">
        <v>58</v>
      </c>
      <c r="G206" s="56" t="str">
        <f>'Necesidades Trimestrales'!F204</f>
        <v>UNIDAD</v>
      </c>
      <c r="H206" s="57">
        <f>'Necesidades Trimestrales'!H204</f>
        <v>20</v>
      </c>
      <c r="I206" s="58">
        <f>'Necesidades Trimestrales'!G204</f>
        <v>200</v>
      </c>
      <c r="J206" s="32"/>
    </row>
    <row r="207" spans="1:10" ht="35.25" customHeight="1" thickBot="1" x14ac:dyDescent="0.25">
      <c r="A207" s="54">
        <f>'Necesidades Trimestrales'!A205</f>
        <v>196</v>
      </c>
      <c r="B207" s="55">
        <v>0</v>
      </c>
      <c r="C207" s="119" t="str">
        <f>'Necesidades Trimestrales'!E205</f>
        <v>U/CSF PROTEINA URINARIA COBAS C-311 ROCHE X 150 DET</v>
      </c>
      <c r="D207" s="119"/>
      <c r="E207" s="119"/>
      <c r="F207" s="59" t="s">
        <v>58</v>
      </c>
      <c r="G207" s="56" t="str">
        <f>'Necesidades Trimestrales'!F205</f>
        <v>CASSETTE</v>
      </c>
      <c r="H207" s="57">
        <f>'Necesidades Trimestrales'!H205</f>
        <v>5025</v>
      </c>
      <c r="I207" s="58">
        <f>'Necesidades Trimestrales'!G205</f>
        <v>1</v>
      </c>
      <c r="J207" s="32"/>
    </row>
    <row r="208" spans="1:10" ht="35.25" customHeight="1" thickBot="1" x14ac:dyDescent="0.25">
      <c r="A208" s="54">
        <f>'Necesidades Trimestrales'!A206</f>
        <v>197</v>
      </c>
      <c r="B208" s="55">
        <v>0</v>
      </c>
      <c r="C208" s="119" t="str">
        <f>'Necesidades Trimestrales'!E206</f>
        <v>UREA  COBAS C-311 ROCHE X 500 DET</v>
      </c>
      <c r="D208" s="119"/>
      <c r="E208" s="119"/>
      <c r="F208" s="59" t="s">
        <v>52</v>
      </c>
      <c r="G208" s="56" t="str">
        <f>'Necesidades Trimestrales'!F206</f>
        <v>CASSETTE</v>
      </c>
      <c r="H208" s="57">
        <f>'Necesidades Trimestrales'!H206</f>
        <v>5249</v>
      </c>
      <c r="I208" s="58">
        <f>'Necesidades Trimestrales'!G206</f>
        <v>5</v>
      </c>
      <c r="J208" s="32"/>
    </row>
    <row r="209" spans="1:10" ht="35.25" customHeight="1" thickBot="1" x14ac:dyDescent="0.25">
      <c r="A209" s="54">
        <f>'Necesidades Trimestrales'!A207</f>
        <v>198</v>
      </c>
      <c r="B209" s="55">
        <v>0</v>
      </c>
      <c r="C209" s="119" t="str">
        <f>'Necesidades Trimestrales'!E207</f>
        <v xml:space="preserve">URINE STRIP  WIENER  X 100 TIRAS </v>
      </c>
      <c r="D209" s="119"/>
      <c r="E209" s="119"/>
      <c r="F209" s="59" t="s">
        <v>52</v>
      </c>
      <c r="G209" s="56" t="str">
        <f>'Necesidades Trimestrales'!F207</f>
        <v>UNIDAD</v>
      </c>
      <c r="H209" s="57">
        <f>'Necesidades Trimestrales'!H207</f>
        <v>1200</v>
      </c>
      <c r="I209" s="58">
        <f>'Necesidades Trimestrales'!G207</f>
        <v>15</v>
      </c>
      <c r="J209" s="32"/>
    </row>
    <row r="210" spans="1:10" ht="35.25" customHeight="1" thickBot="1" x14ac:dyDescent="0.25">
      <c r="A210" s="54">
        <f>'Necesidades Trimestrales'!A208</f>
        <v>199</v>
      </c>
      <c r="B210" s="55">
        <v>0</v>
      </c>
      <c r="C210" s="119" t="str">
        <f>'Necesidades Trimestrales'!E208</f>
        <v>VANCOMICINA 30 µGR DISCO X 50 UN</v>
      </c>
      <c r="D210" s="119"/>
      <c r="E210" s="119"/>
      <c r="F210" s="59" t="s">
        <v>52</v>
      </c>
      <c r="G210" s="56" t="str">
        <f>'Necesidades Trimestrales'!F208</f>
        <v>UNIDAD</v>
      </c>
      <c r="H210" s="57">
        <f>'Necesidades Trimestrales'!H208</f>
        <v>850</v>
      </c>
      <c r="I210" s="58">
        <f>'Necesidades Trimestrales'!G208</f>
        <v>1</v>
      </c>
      <c r="J210" s="32"/>
    </row>
    <row r="211" spans="1:10" ht="35.25" customHeight="1" thickBot="1" x14ac:dyDescent="0.25">
      <c r="A211" s="54">
        <f>'Necesidades Trimestrales'!A209</f>
        <v>200</v>
      </c>
      <c r="B211" s="55">
        <v>0</v>
      </c>
      <c r="C211" s="119" t="str">
        <f>'Necesidades Trimestrales'!E209</f>
        <v xml:space="preserve">VDRL TEST  1 X 5,5 ML WIENER </v>
      </c>
      <c r="D211" s="119"/>
      <c r="E211" s="119"/>
      <c r="F211" s="59" t="s">
        <v>52</v>
      </c>
      <c r="G211" s="56" t="str">
        <f>'Necesidades Trimestrales'!F209</f>
        <v>CAJA</v>
      </c>
      <c r="H211" s="57">
        <f>'Necesidades Trimestrales'!H209</f>
        <v>1513</v>
      </c>
      <c r="I211" s="58">
        <f>'Necesidades Trimestrales'!G209</f>
        <v>20</v>
      </c>
      <c r="J211" s="32"/>
    </row>
    <row r="212" spans="1:10" ht="35.25" customHeight="1" thickBot="1" x14ac:dyDescent="0.25">
      <c r="A212" s="54">
        <f>'Necesidades Trimestrales'!A210</f>
        <v>201</v>
      </c>
      <c r="B212" s="55">
        <v>0</v>
      </c>
      <c r="C212" s="119" t="str">
        <f>'Necesidades Trimestrales'!E210</f>
        <v>VIOLETA DE GENCIANA CONCENTRADO: X 500 ML</v>
      </c>
      <c r="D212" s="119"/>
      <c r="E212" s="119"/>
      <c r="F212" s="59" t="s">
        <v>52</v>
      </c>
      <c r="G212" s="56" t="str">
        <f>'Necesidades Trimestrales'!F210</f>
        <v>UNIDAD</v>
      </c>
      <c r="H212" s="57">
        <f>'Necesidades Trimestrales'!H210</f>
        <v>18100</v>
      </c>
      <c r="I212" s="58">
        <f>'Necesidades Trimestrales'!G210</f>
        <v>2</v>
      </c>
      <c r="J212" s="32"/>
    </row>
    <row r="213" spans="1:10" ht="35.25" customHeight="1" thickBot="1" x14ac:dyDescent="0.25">
      <c r="A213" s="54">
        <f>'Necesidades Trimestrales'!A211</f>
        <v>202</v>
      </c>
      <c r="B213" s="55">
        <v>0</v>
      </c>
      <c r="C213" s="119" t="str">
        <f>'Necesidades Trimestrales'!E211</f>
        <v>W19  CONTROL AA 3 NIVELES 3 X 3 ML  (BAJO - NORMAL - ALTO ) WIENER</v>
      </c>
      <c r="D213" s="119"/>
      <c r="E213" s="119"/>
      <c r="F213" s="59" t="s">
        <v>52</v>
      </c>
      <c r="G213" s="56" t="str">
        <f>'Necesidades Trimestrales'!F211</f>
        <v>UNIDAD</v>
      </c>
      <c r="H213" s="57">
        <f>'Necesidades Trimestrales'!H211</f>
        <v>7920</v>
      </c>
      <c r="I213" s="58">
        <f>'Necesidades Trimestrales'!G211</f>
        <v>1</v>
      </c>
      <c r="J213" s="32"/>
    </row>
    <row r="214" spans="1:10" ht="37.5" customHeight="1" thickBot="1" x14ac:dyDescent="0.25">
      <c r="A214" s="120" t="s">
        <v>292</v>
      </c>
      <c r="B214" s="121"/>
      <c r="C214" s="121"/>
      <c r="D214" s="121"/>
      <c r="E214" s="121"/>
      <c r="F214" s="121"/>
      <c r="G214" s="121"/>
      <c r="H214" s="121"/>
      <c r="I214" s="60">
        <f>SUMPRODUCT(H12:H213*I12:I213)</f>
        <v>7479256</v>
      </c>
      <c r="J214" s="32"/>
    </row>
    <row r="215" spans="1:10" ht="61.5" customHeight="1" x14ac:dyDescent="0.2">
      <c r="B215" s="26"/>
      <c r="C215" s="27"/>
      <c r="D215" s="27"/>
      <c r="E215" s="27"/>
      <c r="F215" s="28"/>
      <c r="H215" s="29"/>
    </row>
    <row r="216" spans="1:10" x14ac:dyDescent="0.2">
      <c r="D216" s="31"/>
      <c r="E216" s="31"/>
      <c r="F216" s="31"/>
    </row>
    <row r="217" spans="1:10" x14ac:dyDescent="0.2">
      <c r="D217" s="31"/>
      <c r="E217" s="31"/>
      <c r="F217" s="31"/>
    </row>
    <row r="218" spans="1:10" x14ac:dyDescent="0.2">
      <c r="D218" s="31"/>
      <c r="E218" s="31"/>
      <c r="F218" s="31"/>
    </row>
  </sheetData>
  <mergeCells count="223">
    <mergeCell ref="C130:E130"/>
    <mergeCell ref="C23:E23"/>
    <mergeCell ref="C24:E24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00:E100"/>
    <mergeCell ref="C95:E95"/>
    <mergeCell ref="C96:E96"/>
    <mergeCell ref="C70:E70"/>
    <mergeCell ref="C72:E72"/>
    <mergeCell ref="C68:E68"/>
    <mergeCell ref="C124:E124"/>
    <mergeCell ref="C125:E125"/>
    <mergeCell ref="C126:E126"/>
    <mergeCell ref="C127:E127"/>
    <mergeCell ref="C128:E128"/>
    <mergeCell ref="C91:E91"/>
    <mergeCell ref="C92:E92"/>
    <mergeCell ref="C93:E93"/>
    <mergeCell ref="C94:E9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34:E34"/>
    <mergeCell ref="C15:E15"/>
    <mergeCell ref="C16:E16"/>
    <mergeCell ref="C27:E27"/>
    <mergeCell ref="C28:E28"/>
    <mergeCell ref="C33:E33"/>
    <mergeCell ref="A10:A11"/>
    <mergeCell ref="C83:E83"/>
    <mergeCell ref="F10:F11"/>
    <mergeCell ref="C39:E39"/>
    <mergeCell ref="C40:E40"/>
    <mergeCell ref="C49:E49"/>
    <mergeCell ref="C50:E50"/>
    <mergeCell ref="C51:E51"/>
    <mergeCell ref="C52:E52"/>
    <mergeCell ref="C55:E55"/>
    <mergeCell ref="C53:E53"/>
    <mergeCell ref="C43:E43"/>
    <mergeCell ref="C67:E67"/>
    <mergeCell ref="C41:E41"/>
    <mergeCell ref="C42:E42"/>
    <mergeCell ref="C85:E85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D4:I4"/>
    <mergeCell ref="G10:G11"/>
    <mergeCell ref="C17:E17"/>
    <mergeCell ref="C12:E12"/>
    <mergeCell ref="C13:E13"/>
    <mergeCell ref="C14:E14"/>
    <mergeCell ref="C35:E35"/>
    <mergeCell ref="C36:E36"/>
    <mergeCell ref="C37:E37"/>
    <mergeCell ref="C38:E38"/>
    <mergeCell ref="C10:E11"/>
    <mergeCell ref="C78:E78"/>
    <mergeCell ref="C79:E79"/>
    <mergeCell ref="C80:E80"/>
    <mergeCell ref="C81:E81"/>
    <mergeCell ref="C82:E82"/>
    <mergeCell ref="C54:E54"/>
    <mergeCell ref="C48:E48"/>
    <mergeCell ref="C63:E63"/>
    <mergeCell ref="C62:E62"/>
    <mergeCell ref="C69:E69"/>
    <mergeCell ref="C74:E74"/>
    <mergeCell ref="C76:E76"/>
    <mergeCell ref="C61:E61"/>
    <mergeCell ref="C64:E64"/>
    <mergeCell ref="C71:E71"/>
    <mergeCell ref="C59:E59"/>
    <mergeCell ref="C57:E57"/>
    <mergeCell ref="C75:E75"/>
    <mergeCell ref="A214:H214"/>
    <mergeCell ref="I10:I11"/>
    <mergeCell ref="C45:E45"/>
    <mergeCell ref="C46:E46"/>
    <mergeCell ref="C47:E47"/>
    <mergeCell ref="C26:E26"/>
    <mergeCell ref="C18:E18"/>
    <mergeCell ref="C19:E19"/>
    <mergeCell ref="C20:E20"/>
    <mergeCell ref="H10:H11"/>
    <mergeCell ref="C21:E21"/>
    <mergeCell ref="C22:E22"/>
    <mergeCell ref="C32:E32"/>
    <mergeCell ref="C25:E25"/>
    <mergeCell ref="C29:E29"/>
    <mergeCell ref="C30:E30"/>
    <mergeCell ref="B10:B11"/>
    <mergeCell ref="C73:E73"/>
    <mergeCell ref="C60:E60"/>
    <mergeCell ref="C65:E65"/>
    <mergeCell ref="C84:E84"/>
    <mergeCell ref="C66:E66"/>
    <mergeCell ref="C44:E44"/>
    <mergeCell ref="C31:E31"/>
    <mergeCell ref="C136:E136"/>
    <mergeCell ref="C137:E137"/>
    <mergeCell ref="C138:E138"/>
    <mergeCell ref="C139:E139"/>
    <mergeCell ref="C140:E140"/>
    <mergeCell ref="C141:E141"/>
    <mergeCell ref="C142:E142"/>
    <mergeCell ref="C56:E56"/>
    <mergeCell ref="C58:E58"/>
    <mergeCell ref="C134:E134"/>
    <mergeCell ref="C135:E135"/>
    <mergeCell ref="C131:E131"/>
    <mergeCell ref="C132:E132"/>
    <mergeCell ref="C99:E99"/>
    <mergeCell ref="C97:E97"/>
    <mergeCell ref="C98:E98"/>
    <mergeCell ref="C88:E88"/>
    <mergeCell ref="C89:E89"/>
    <mergeCell ref="C90:E90"/>
    <mergeCell ref="C133:E133"/>
    <mergeCell ref="C87:E87"/>
    <mergeCell ref="C129:E129"/>
    <mergeCell ref="C86:E86"/>
    <mergeCell ref="C77:E77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96:E196"/>
    <mergeCell ref="C197:E197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79:E179"/>
    <mergeCell ref="C180:E180"/>
    <mergeCell ref="C208:E208"/>
    <mergeCell ref="C209:E209"/>
    <mergeCell ref="C210:E210"/>
    <mergeCell ref="C211:E211"/>
    <mergeCell ref="C212:E212"/>
    <mergeCell ref="C213:E213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198:E198"/>
    <mergeCell ref="C181:E181"/>
    <mergeCell ref="C182:E182"/>
    <mergeCell ref="C183:E183"/>
    <mergeCell ref="C184:E184"/>
    <mergeCell ref="C185:E185"/>
    <mergeCell ref="C186:E186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"/>
  <sheetViews>
    <sheetView zoomScale="120" zoomScaleNormal="120" workbookViewId="0">
      <selection activeCell="O17" sqref="O17:P17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5" customWidth="1"/>
    <col min="7" max="7" width="4.42578125" style="3" customWidth="1"/>
    <col min="8" max="14" width="4.42578125" customWidth="1"/>
    <col min="15" max="16" width="14.85546875" customWidth="1"/>
    <col min="17" max="17" width="18.85546875" customWidth="1"/>
    <col min="18" max="18" width="13.28515625" bestFit="1" customWidth="1"/>
    <col min="19" max="19" width="14.28515625" customWidth="1"/>
  </cols>
  <sheetData>
    <row r="1" spans="1:19" ht="15.75" customHeight="1" x14ac:dyDescent="0.25">
      <c r="A1" s="176" t="s">
        <v>2</v>
      </c>
      <c r="B1" s="176"/>
      <c r="C1" s="176"/>
      <c r="D1" s="177">
        <v>2021</v>
      </c>
      <c r="E1" s="177"/>
      <c r="F1" s="4"/>
      <c r="G1" s="4"/>
      <c r="H1" s="5"/>
      <c r="I1" s="5"/>
      <c r="J1" s="5"/>
      <c r="K1" s="5"/>
      <c r="L1" s="5"/>
      <c r="M1" s="5"/>
      <c r="N1" s="5"/>
      <c r="P1" s="178" t="s">
        <v>22</v>
      </c>
      <c r="Q1" s="178"/>
    </row>
    <row r="2" spans="1:19" ht="15.75" customHeight="1" x14ac:dyDescent="0.2">
      <c r="H2" s="5"/>
      <c r="I2" s="5"/>
      <c r="J2" s="5"/>
      <c r="K2" s="5"/>
      <c r="L2" s="5"/>
      <c r="M2" s="5"/>
      <c r="N2" s="5"/>
      <c r="P2" s="178"/>
      <c r="Q2" s="178"/>
    </row>
    <row r="4" spans="1:19" s="6" customFormat="1" ht="18" customHeight="1" thickBot="1" x14ac:dyDescent="0.25">
      <c r="A4" s="179" t="s">
        <v>23</v>
      </c>
      <c r="B4" s="179"/>
      <c r="C4" s="179"/>
      <c r="D4" s="179"/>
      <c r="E4" s="179"/>
      <c r="F4" s="179"/>
      <c r="G4" s="180" t="s">
        <v>55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</row>
    <row r="5" spans="1:19" s="6" customFormat="1" ht="18" customHeight="1" thickBot="1" x14ac:dyDescent="0.25">
      <c r="A5" s="168" t="s">
        <v>46</v>
      </c>
      <c r="B5" s="169"/>
      <c r="C5" s="169"/>
      <c r="D5" s="169"/>
      <c r="E5" s="169"/>
      <c r="F5" s="170"/>
      <c r="G5" s="171" t="s">
        <v>286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9" s="6" customFormat="1" ht="30.75" customHeight="1" thickBot="1" x14ac:dyDescent="0.25">
      <c r="A6" s="168" t="s">
        <v>24</v>
      </c>
      <c r="B6" s="169"/>
      <c r="C6" s="169"/>
      <c r="D6" s="169"/>
      <c r="E6" s="169"/>
      <c r="F6" s="170"/>
      <c r="G6" s="173" t="s">
        <v>75</v>
      </c>
      <c r="H6" s="174"/>
      <c r="I6" s="174"/>
      <c r="J6" s="174"/>
      <c r="K6" s="174"/>
      <c r="L6" s="174"/>
      <c r="M6" s="174"/>
      <c r="N6" s="174"/>
      <c r="O6" s="174"/>
      <c r="P6" s="174"/>
      <c r="Q6" s="175"/>
    </row>
    <row r="7" spans="1:19" s="6" customFormat="1" ht="18" customHeight="1" thickBot="1" x14ac:dyDescent="0.25">
      <c r="A7" s="168" t="s">
        <v>47</v>
      </c>
      <c r="B7" s="169"/>
      <c r="C7" s="169"/>
      <c r="D7" s="169"/>
      <c r="E7" s="169"/>
      <c r="F7" s="170"/>
      <c r="G7" s="173" t="s">
        <v>75</v>
      </c>
      <c r="H7" s="174"/>
      <c r="I7" s="174"/>
      <c r="J7" s="174"/>
      <c r="K7" s="174"/>
      <c r="L7" s="174"/>
      <c r="M7" s="174"/>
      <c r="N7" s="174"/>
      <c r="O7" s="174"/>
      <c r="P7" s="174"/>
      <c r="Q7" s="175"/>
    </row>
    <row r="8" spans="1:19" ht="18" customHeight="1" thickBot="1" x14ac:dyDescent="0.25">
      <c r="A8" s="172" t="s">
        <v>25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</row>
    <row r="9" spans="1:19" ht="18" customHeight="1" x14ac:dyDescent="0.2">
      <c r="A9" s="157" t="s">
        <v>26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8"/>
      <c r="P9" s="8"/>
      <c r="Q9" s="9"/>
    </row>
    <row r="10" spans="1:19" ht="54.75" customHeight="1" x14ac:dyDescent="0.2">
      <c r="A10" s="158" t="s">
        <v>57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</row>
    <row r="11" spans="1:19" ht="9" customHeight="1" x14ac:dyDescent="0.2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9" ht="15.75" customHeight="1" thickBot="1" x14ac:dyDescent="0.25">
      <c r="A12" s="159" t="s">
        <v>27</v>
      </c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</row>
    <row r="13" spans="1:19" ht="15.75" customHeight="1" thickBot="1" x14ac:dyDescent="0.25">
      <c r="A13" s="160" t="s">
        <v>28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1"/>
      <c r="O13" s="162" t="s">
        <v>29</v>
      </c>
      <c r="P13" s="163"/>
      <c r="Q13" s="166" t="s">
        <v>30</v>
      </c>
    </row>
    <row r="14" spans="1:19" ht="15.75" customHeight="1" thickBot="1" x14ac:dyDescent="0.25">
      <c r="A14" s="14" t="s">
        <v>31</v>
      </c>
      <c r="B14" s="15" t="s">
        <v>32</v>
      </c>
      <c r="C14" s="15" t="s">
        <v>33</v>
      </c>
      <c r="D14" s="15" t="s">
        <v>34</v>
      </c>
      <c r="E14" s="15" t="s">
        <v>35</v>
      </c>
      <c r="F14" s="15" t="s">
        <v>36</v>
      </c>
      <c r="G14" s="16" t="s">
        <v>37</v>
      </c>
      <c r="H14" s="15" t="s">
        <v>38</v>
      </c>
      <c r="I14" s="15" t="s">
        <v>39</v>
      </c>
      <c r="J14" s="15" t="s">
        <v>40</v>
      </c>
      <c r="K14" s="15" t="s">
        <v>40</v>
      </c>
      <c r="L14" s="15" t="s">
        <v>41</v>
      </c>
      <c r="M14" s="17" t="s">
        <v>42</v>
      </c>
      <c r="N14" s="100" t="s">
        <v>43</v>
      </c>
      <c r="O14" s="164"/>
      <c r="P14" s="165"/>
      <c r="Q14" s="167"/>
    </row>
    <row r="15" spans="1:19" ht="17.25" customHeight="1" x14ac:dyDescent="0.2">
      <c r="A15" s="90">
        <v>42</v>
      </c>
      <c r="B15" s="91"/>
      <c r="C15" s="91"/>
      <c r="D15" s="91">
        <v>2</v>
      </c>
      <c r="E15" s="91"/>
      <c r="F15" s="91">
        <v>4901</v>
      </c>
      <c r="G15" s="91">
        <v>3</v>
      </c>
      <c r="H15" s="92">
        <v>1</v>
      </c>
      <c r="I15" s="91">
        <v>2</v>
      </c>
      <c r="J15" s="91">
        <v>3</v>
      </c>
      <c r="K15" s="91">
        <v>4</v>
      </c>
      <c r="L15" s="91"/>
      <c r="M15" s="91">
        <v>1</v>
      </c>
      <c r="N15" s="97" t="s">
        <v>48</v>
      </c>
      <c r="O15" s="155" t="s">
        <v>290</v>
      </c>
      <c r="P15" s="156"/>
      <c r="Q15" s="102">
        <v>45000</v>
      </c>
      <c r="R15" s="33"/>
      <c r="S15" s="18"/>
    </row>
    <row r="16" spans="1:19" ht="17.25" customHeight="1" x14ac:dyDescent="0.2">
      <c r="A16" s="93">
        <v>42</v>
      </c>
      <c r="B16" s="88"/>
      <c r="C16" s="88"/>
      <c r="D16" s="88">
        <v>2</v>
      </c>
      <c r="E16" s="88"/>
      <c r="F16" s="88">
        <v>4901</v>
      </c>
      <c r="G16" s="88">
        <v>3</v>
      </c>
      <c r="H16" s="89">
        <v>1</v>
      </c>
      <c r="I16" s="88">
        <v>2</v>
      </c>
      <c r="J16" s="88">
        <v>5</v>
      </c>
      <c r="K16" s="88">
        <v>1</v>
      </c>
      <c r="L16" s="88"/>
      <c r="M16" s="88">
        <v>1</v>
      </c>
      <c r="N16" s="98" t="s">
        <v>48</v>
      </c>
      <c r="O16" s="153" t="s">
        <v>91</v>
      </c>
      <c r="P16" s="154"/>
      <c r="Q16" s="103">
        <v>7420056</v>
      </c>
      <c r="R16" s="1"/>
    </row>
    <row r="17" spans="1:17" ht="27.75" customHeight="1" thickBot="1" x14ac:dyDescent="0.25">
      <c r="A17" s="94">
        <v>42</v>
      </c>
      <c r="B17" s="95"/>
      <c r="C17" s="95"/>
      <c r="D17" s="95">
        <v>2</v>
      </c>
      <c r="E17" s="95"/>
      <c r="F17" s="95">
        <v>4901</v>
      </c>
      <c r="G17" s="95">
        <v>3</v>
      </c>
      <c r="H17" s="96">
        <v>1</v>
      </c>
      <c r="I17" s="95">
        <v>2</v>
      </c>
      <c r="J17" s="95">
        <v>9</v>
      </c>
      <c r="K17" s="95">
        <v>5</v>
      </c>
      <c r="L17" s="95"/>
      <c r="M17" s="95">
        <v>1</v>
      </c>
      <c r="N17" s="99" t="s">
        <v>48</v>
      </c>
      <c r="O17" s="146" t="s">
        <v>291</v>
      </c>
      <c r="P17" s="147"/>
      <c r="Q17" s="104">
        <v>14200</v>
      </c>
    </row>
    <row r="18" spans="1:17" ht="24.75" customHeight="1" thickBot="1" x14ac:dyDescent="0.25">
      <c r="A18" s="148" t="s">
        <v>285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50"/>
      <c r="Q18" s="101">
        <f>SUM(Q15:Q17)</f>
        <v>7479256</v>
      </c>
    </row>
    <row r="19" spans="1:17" ht="18" customHeight="1" thickBot="1" x14ac:dyDescent="0.25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2"/>
    </row>
    <row r="20" spans="1:17" ht="17.25" customHeight="1" x14ac:dyDescent="0.2">
      <c r="A20" s="136" t="s">
        <v>44</v>
      </c>
      <c r="B20" s="137"/>
      <c r="C20" s="137"/>
      <c r="D20" s="137"/>
      <c r="E20" s="137"/>
      <c r="F20" s="137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9"/>
    </row>
    <row r="21" spans="1:17" ht="18" customHeight="1" thickBot="1" x14ac:dyDescent="0.25">
      <c r="A21" s="140" t="s">
        <v>89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2"/>
    </row>
    <row r="22" spans="1:17" ht="15" customHeight="1" thickBot="1" x14ac:dyDescent="0.25">
      <c r="A22" s="143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5"/>
    </row>
  </sheetData>
  <mergeCells count="26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6:P16"/>
    <mergeCell ref="O15:P15"/>
    <mergeCell ref="A9:N9"/>
    <mergeCell ref="A10:Q10"/>
    <mergeCell ref="A12:Q12"/>
    <mergeCell ref="A13:N13"/>
    <mergeCell ref="O13:P14"/>
    <mergeCell ref="Q13:Q14"/>
    <mergeCell ref="A20:F20"/>
    <mergeCell ref="G20:Q20"/>
    <mergeCell ref="A21:Q22"/>
    <mergeCell ref="O17:P17"/>
    <mergeCell ref="A18:P18"/>
    <mergeCell ref="A19:Q19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A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2021-03-12T12:55:44Z</cp:lastPrinted>
  <dcterms:created xsi:type="dcterms:W3CDTF">2020-07-17T23:44:49Z</dcterms:created>
  <dcterms:modified xsi:type="dcterms:W3CDTF">2021-08-12T14:04:16Z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