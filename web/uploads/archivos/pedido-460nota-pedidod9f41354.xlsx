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EL\Desktop\Mis Documentos\Secretaria de compras\PAC 2020\PAC 4º trimestre 2020 NPE y APG\Desiertos Laboratorio y Farmacia del 3 Trim\Farmacia\Medicamentos\"/>
    </mc:Choice>
  </mc:AlternateContent>
  <bookViews>
    <workbookView xWindow="-120" yWindow="-120" windowWidth="19440" windowHeight="12240" tabRatio="500" activeTab="1"/>
  </bookViews>
  <sheets>
    <sheet name="Necesidades Trimestrales" sheetId="1" r:id="rId1"/>
    <sheet name=" NotaPedido 288-20" sheetId="2" r:id="rId2"/>
    <sheet name="Autor Gastar" sheetId="3" r:id="rId3"/>
  </sheets>
  <definedNames>
    <definedName name="_xlnm._FilterDatabase" localSheetId="0" hidden="1">'Necesidades Trimestrales'!$A$9:$I$44</definedName>
    <definedName name="_xlnm.Print_Area" localSheetId="1">' NotaPedido 288-20'!$A$1:$K$47</definedName>
    <definedName name="_xlnm.Print_Area" localSheetId="2">'Autor Gastar'!$A$1:$Q$25</definedName>
  </definedNames>
  <calcPr calcId="152511"/>
</workbook>
</file>

<file path=xl/calcChain.xml><?xml version="1.0" encoding="utf-8"?>
<calcChain xmlns="http://schemas.openxmlformats.org/spreadsheetml/2006/main">
  <c r="J17" i="2" l="1"/>
  <c r="I44" i="1" l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D7" i="2" l="1"/>
  <c r="K12" i="2" l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J12" i="2"/>
  <c r="J13" i="2"/>
  <c r="J14" i="2"/>
  <c r="J15" i="2"/>
  <c r="J16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A10" i="3"/>
  <c r="J47" i="2" l="1"/>
  <c r="G6" i="3"/>
  <c r="G7" i="3"/>
  <c r="D3" i="2"/>
  <c r="G4" i="3" s="1"/>
  <c r="D4" i="2"/>
  <c r="G5" i="3" s="1"/>
  <c r="D1" i="3" l="1"/>
  <c r="Q21" i="3"/>
</calcChain>
</file>

<file path=xl/sharedStrings.xml><?xml version="1.0" encoding="utf-8"?>
<sst xmlns="http://schemas.openxmlformats.org/spreadsheetml/2006/main" count="253" uniqueCount="113">
  <si>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</si>
  <si>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</si>
  <si>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</si>
  <si>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</si>
  <si>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</si>
  <si>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</si>
  <si>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</si>
  <si>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</si>
  <si>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</si>
  <si>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</si>
  <si>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</si>
  <si>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</si>
  <si>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</si>
  <si>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</si>
  <si>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</si>
  <si>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</si>
  <si>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</si>
  <si>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</si>
  <si>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</si>
  <si>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</si>
  <si>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</si>
  <si>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</si>
  <si>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</si>
  <si>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</si>
  <si>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</si>
  <si>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</si>
  <si>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</si>
  <si>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</si>
  <si>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</si>
  <si>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</si>
  <si>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</si>
  <si>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</si>
  <si>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</si>
  <si>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</si>
  <si>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</si>
  <si>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</si>
  <si>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</si>
  <si>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</si>
  <si>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</si>
  <si>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</si>
  <si>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</si>
  <si>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</si>
  <si>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</si>
  <si>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</si>
  <si>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</si>
  <si>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</si>
  <si>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</si>
  <si>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</si>
  <si>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</si>
  <si>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</si>
  <si>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</si>
  <si>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</si>
  <si>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</si>
  <si>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</si>
  <si>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</si>
  <si>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42-Ministerio de Salud</t>
  </si>
  <si>
    <t>28- Maternidad Provincial 25 de Mayo</t>
  </si>
  <si>
    <t>1.1</t>
  </si>
  <si>
    <t>PROD. MEDICO/FARMACEUTICOS/LAB</t>
  </si>
  <si>
    <t xml:space="preserve">NO </t>
  </si>
  <si>
    <t>UNIDAD</t>
  </si>
  <si>
    <t>,</t>
  </si>
  <si>
    <t xml:space="preserve">PROD. MEDICO/FARMACEUTICOS/LAB  </t>
  </si>
  <si>
    <t>OBJETO:</t>
  </si>
  <si>
    <t>4to Trimestre</t>
  </si>
  <si>
    <t xml:space="preserve">169- Direccion Asistencial </t>
  </si>
  <si>
    <t>Especificidades Item N° :</t>
  </si>
  <si>
    <t>Servicio de Farmacia</t>
  </si>
  <si>
    <t>ALBUMINA 20% X 50 ML</t>
  </si>
  <si>
    <t>AMOXICILINA 500 MG COMPRIMIDO</t>
  </si>
  <si>
    <t>AMPICILINA 1G FCO AMPOLLA</t>
  </si>
  <si>
    <t xml:space="preserve">AZITROMICINA 500 MG COMPRIMIDOS </t>
  </si>
  <si>
    <t>BUPIVACAINA 5 MG / ML  AMPOLLA DE 4 ML CON AGUJA 27 G X 3 1/2 CON INTRODUCTOR TIPO DURACAINE 0,5 % HIPERBARICA SCOTT CASARRA</t>
  </si>
  <si>
    <t>CEFALEXINA 500 MG COMPRIMIDOS</t>
  </si>
  <si>
    <t>CILASTATIM IMIPENEM FRASCO AMPOLLA TIPO RICHET FRASCO QUE PERMITA RECONSTITUCION Y DOSIFICACION PARA EL SERVICIO DE NEONATOLOGIA</t>
  </si>
  <si>
    <t>CLARITROMICINA 250 MG SUSPENSIÓN X 60 ML</t>
  </si>
  <si>
    <t>CLONAZEPAM 0,5 MG. COMPRIMIDOS</t>
  </si>
  <si>
    <t>CLORURO DE POTASIO 223 MG/ML AMPOLLA</t>
  </si>
  <si>
    <t>DIAZEPAM 10 MG. AMPOLLA</t>
  </si>
  <si>
    <t>DOBUTAMINA 250 MG. F/A X1 X 20 ML</t>
  </si>
  <si>
    <t>ENALAPRIL 10 MG COMPRIMIDO</t>
  </si>
  <si>
    <t>ETILEFRINA 10 MG. AMPOLLAS</t>
  </si>
  <si>
    <t>FENITOINA 100 MG COMPRIMIDO</t>
  </si>
  <si>
    <t>FENOBARBITAL 100 MG. AMPOLLAS</t>
  </si>
  <si>
    <t>FENTANILO 250 MCG INYECTABLE</t>
  </si>
  <si>
    <t>GAMMAGLOBULINA HUMANA G 2,5GRS  FCO AMPOLLA</t>
  </si>
  <si>
    <t>GAMMAGLOBULINA HUMANA G 5GRS  FCO AMPOLLA</t>
  </si>
  <si>
    <t>GELATINA MODIFICADA 4%  SACHET X 500 ML TIPO GELAFUNDIN</t>
  </si>
  <si>
    <t>GENTAMICINA 80 MG AMPOLLA</t>
  </si>
  <si>
    <t>HEPARINA SODICA 5000 UI FCO AMPOLLA</t>
  </si>
  <si>
    <t>HIDROCORTIZONA 100 MG FCO AMPOLLA</t>
  </si>
  <si>
    <t>IBUPROFENO 400 MG COMPRIMIDO</t>
  </si>
  <si>
    <t>INSULINA CORRIENTE HUMANA 100 UI FCO AMP</t>
  </si>
  <si>
    <t>INSULINA NPH HUMANA 100 UI FCO AMP</t>
  </si>
  <si>
    <t>MIDAZOLAM 15 MG AMPOLLA</t>
  </si>
  <si>
    <t>NALBULFINA 10 MG AMP</t>
  </si>
  <si>
    <t>OXCITOCINA 10 UI INYECTABLE</t>
  </si>
  <si>
    <t>PANCURONIO 4 MG.  AMPOLLA</t>
  </si>
  <si>
    <t xml:space="preserve">SALBUTAMOL CON AEROCAMARA </t>
  </si>
  <si>
    <t>SUCCINILCOLINA 500 MG FCO AMP</t>
  </si>
  <si>
    <t>VITAMINA B EN AMPOLLAS TIPO BECOZYM X 6 AMPOLLAS</t>
  </si>
  <si>
    <t>VITAMINA K 1 MG AMPOLLA</t>
  </si>
  <si>
    <t>VITAMINA K 10 MG AMPOLLA</t>
  </si>
  <si>
    <t>2.5.2</t>
  </si>
  <si>
    <t>288/2020</t>
  </si>
  <si>
    <t>Para la adquisición de medicamentos, para ser destinados al Servico de Farmacia de Maternidad Provicial 25 de Mayo.</t>
  </si>
  <si>
    <t xml:space="preserve">Productos faramceuticos y medicinales </t>
  </si>
  <si>
    <t>ADQUISICION DE MEDICAMENTOS PARA FARMACIA</t>
  </si>
  <si>
    <t>Costo total estimado:  Nueve Millones Siscientos treinta y dos mil cuatricientos setenta y ocho con 00/100</t>
  </si>
  <si>
    <t>TOTAL DE PESOS:  Nueve millones saiscientos treinta y dos mil cuatrocientos setenta y ocho con 00/100</t>
  </si>
  <si>
    <t>Horario de entrega: de 8:00 a 12:00 hs.</t>
  </si>
  <si>
    <t xml:space="preserve">Plazo de entrega: Quince (15) dias habiles </t>
  </si>
  <si>
    <t>Lugar de entrega: Servicio de Farmacia de Maternidad Provincial 25 de Mayo-Herando de Pedraza 1.650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</si>
</sst>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_-&quot;$&quot;* #,##0.00_-;\-&quot;$&quot;* #,##0.00_-;_-&quot;$&quot;* &quot;-&quot;??_-;_-@_-"/>
  </numFmts>
  <fonts count="3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1"/>
      <name val="Times New Roman"/>
      <family val="1"/>
    </font>
    <font>
      <b/>
      <sz val="8"/>
      <name val="Arial"/>
      <family val="2"/>
      <charset val="1"/>
    </font>
    <font>
      <sz val="12"/>
      <name val="Arial"/>
      <family val="2"/>
    </font>
    <font>
      <b/>
      <sz val="10"/>
      <name val="Arial"/>
      <family val="2"/>
    </font>
    <font>
      <b/>
      <sz val="12"/>
      <name val="Times New Roman"/>
      <family val="1"/>
    </font>
    <font>
      <sz val="9"/>
      <name val="Times New Roman"/>
      <family val="1"/>
      <charset val="1"/>
    </font>
    <font>
      <sz val="12"/>
      <color theme="1"/>
      <name val="Arial"/>
      <family val="2"/>
    </font>
    <font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 style="thin">
        <color rgb="FF3D3D3D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8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2" xfId="0" applyFont="1" applyBorder="1" applyAlignment="1">
      <alignment horizontal="right" vertical="center"/>
    </xf>
    <xf numFmtId="0" fontId="5" fillId="0" borderId="1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2" xfId="0" applyBorder="1"/>
    <xf numFmtId="0" fontId="0" fillId="0" borderId="28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9" xfId="0" applyBorder="1"/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166" fontId="13" fillId="0" borderId="40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1" fillId="0" borderId="4" xfId="0" applyFont="1" applyBorder="1"/>
    <xf numFmtId="0" fontId="15" fillId="0" borderId="5" xfId="0" applyFont="1" applyBorder="1"/>
    <xf numFmtId="0" fontId="15" fillId="0" borderId="6" xfId="0" applyFont="1" applyBorder="1"/>
    <xf numFmtId="0" fontId="15" fillId="0" borderId="7" xfId="0" applyFont="1" applyBorder="1"/>
    <xf numFmtId="0" fontId="15" fillId="0" borderId="0" xfId="0" applyFont="1" applyBorder="1"/>
    <xf numFmtId="0" fontId="15" fillId="0" borderId="8" xfId="0" applyFont="1" applyBorder="1"/>
    <xf numFmtId="0" fontId="21" fillId="0" borderId="7" xfId="0" applyFont="1" applyBorder="1" applyAlignment="1">
      <alignment horizontal="left" indent="3"/>
    </xf>
    <xf numFmtId="0" fontId="15" fillId="0" borderId="7" xfId="0" applyFont="1" applyBorder="1" applyAlignment="1">
      <alignment horizontal="left" indent="3"/>
    </xf>
    <xf numFmtId="0" fontId="15" fillId="0" borderId="9" xfId="0" applyFont="1" applyBorder="1" applyAlignment="1">
      <alignment horizontal="left" indent="3"/>
    </xf>
    <xf numFmtId="0" fontId="15" fillId="0" borderId="10" xfId="0" applyFont="1" applyBorder="1"/>
    <xf numFmtId="0" fontId="15" fillId="0" borderId="11" xfId="0" applyFont="1" applyBorder="1"/>
    <xf numFmtId="0" fontId="22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15" fillId="0" borderId="0" xfId="0" applyFont="1" applyFill="1" applyBorder="1"/>
    <xf numFmtId="0" fontId="15" fillId="0" borderId="8" xfId="0" applyFont="1" applyFill="1" applyBorder="1"/>
    <xf numFmtId="0" fontId="15" fillId="0" borderId="0" xfId="0" applyFont="1" applyFill="1" applyBorder="1" applyAlignment="1">
      <alignment horizontal="center" wrapText="1"/>
    </xf>
    <xf numFmtId="0" fontId="19" fillId="0" borderId="3" xfId="0" applyFont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 wrapText="1"/>
    </xf>
    <xf numFmtId="166" fontId="4" fillId="0" borderId="21" xfId="1" applyNumberFormat="1" applyFont="1" applyFill="1" applyBorder="1" applyAlignment="1" applyProtection="1">
      <alignment horizontal="right" vertical="center" wrapText="1"/>
    </xf>
    <xf numFmtId="3" fontId="4" fillId="0" borderId="21" xfId="0" applyNumberFormat="1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vertical="center"/>
    </xf>
    <xf numFmtId="166" fontId="0" fillId="0" borderId="46" xfId="3" applyNumberFormat="1" applyFont="1" applyBorder="1" applyAlignment="1" applyProtection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2" xfId="0" applyFont="1" applyBorder="1" applyAlignment="1">
      <alignment horizontal="right" vertical="center"/>
    </xf>
    <xf numFmtId="0" fontId="0" fillId="0" borderId="3" xfId="0" applyBorder="1" applyAlignment="1">
      <alignment horizontal="right"/>
    </xf>
    <xf numFmtId="0" fontId="14" fillId="0" borderId="32" xfId="0" applyFont="1" applyBorder="1" applyAlignment="1">
      <alignment horizontal="right" vertical="center"/>
    </xf>
    <xf numFmtId="169" fontId="23" fillId="0" borderId="45" xfId="0" applyNumberFormat="1" applyFont="1" applyBorder="1" applyAlignment="1">
      <alignment wrapText="1"/>
    </xf>
    <xf numFmtId="0" fontId="13" fillId="0" borderId="3" xfId="0" applyFont="1" applyBorder="1" applyAlignment="1">
      <alignment horizontal="center" vertical="center"/>
    </xf>
    <xf numFmtId="0" fontId="4" fillId="0" borderId="47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169" fontId="26" fillId="0" borderId="3" xfId="0" applyNumberFormat="1" applyFont="1" applyBorder="1" applyAlignment="1">
      <alignment horizontal="center"/>
    </xf>
    <xf numFmtId="0" fontId="0" fillId="0" borderId="49" xfId="0" applyBorder="1"/>
    <xf numFmtId="0" fontId="13" fillId="0" borderId="3" xfId="0" applyFont="1" applyBorder="1" applyAlignment="1">
      <alignment horizontal="left" vertical="center"/>
    </xf>
    <xf numFmtId="0" fontId="15" fillId="0" borderId="8" xfId="0" applyFont="1" applyFill="1" applyBorder="1" applyAlignment="1">
      <alignment horizontal="center" wrapText="1"/>
    </xf>
    <xf numFmtId="166" fontId="0" fillId="0" borderId="0" xfId="0" applyNumberFormat="1"/>
    <xf numFmtId="0" fontId="18" fillId="0" borderId="50" xfId="0" applyFont="1" applyBorder="1" applyAlignment="1">
      <alignment horizontal="center" vertical="center" wrapText="1"/>
    </xf>
    <xf numFmtId="0" fontId="18" fillId="0" borderId="51" xfId="0" applyFont="1" applyBorder="1" applyAlignment="1">
      <alignment horizontal="left" vertical="center" wrapText="1"/>
    </xf>
    <xf numFmtId="0" fontId="18" fillId="0" borderId="51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9" fillId="0" borderId="3" xfId="0" applyFont="1" applyBorder="1" applyAlignment="1">
      <alignment vertical="center" wrapText="1"/>
    </xf>
    <xf numFmtId="0" fontId="25" fillId="0" borderId="3" xfId="0" applyFont="1" applyBorder="1" applyAlignment="1">
      <alignment vertical="center"/>
    </xf>
    <xf numFmtId="0" fontId="25" fillId="0" borderId="3" xfId="0" applyFont="1" applyBorder="1" applyAlignment="1">
      <alignment vertical="center" wrapText="1"/>
    </xf>
    <xf numFmtId="0" fontId="29" fillId="0" borderId="3" xfId="0" applyFont="1" applyBorder="1" applyAlignment="1">
      <alignment vertical="center"/>
    </xf>
    <xf numFmtId="0" fontId="25" fillId="0" borderId="3" xfId="0" applyFont="1" applyBorder="1" applyAlignment="1">
      <alignment horizontal="left" vertical="center"/>
    </xf>
    <xf numFmtId="0" fontId="25" fillId="0" borderId="3" xfId="0" applyFont="1" applyFill="1" applyBorder="1" applyAlignment="1">
      <alignment vertical="center"/>
    </xf>
    <xf numFmtId="0" fontId="25" fillId="0" borderId="3" xfId="0" applyFont="1" applyFill="1" applyBorder="1" applyAlignment="1">
      <alignment vertical="center" wrapText="1"/>
    </xf>
    <xf numFmtId="170" fontId="0" fillId="0" borderId="3" xfId="0" applyNumberFormat="1" applyFill="1" applyBorder="1"/>
    <xf numFmtId="170" fontId="0" fillId="0" borderId="3" xfId="0" applyNumberFormat="1" applyBorder="1"/>
    <xf numFmtId="0" fontId="5" fillId="3" borderId="0" xfId="0" applyFont="1" applyFill="1" applyBorder="1" applyAlignment="1">
      <alignment vertical="center"/>
    </xf>
    <xf numFmtId="49" fontId="6" fillId="3" borderId="13" xfId="0" applyNumberFormat="1" applyFont="1" applyFill="1" applyBorder="1" applyAlignment="1">
      <alignment horizontal="center" vertical="center"/>
    </xf>
    <xf numFmtId="166" fontId="0" fillId="3" borderId="46" xfId="3" applyNumberFormat="1" applyFont="1" applyFill="1" applyBorder="1" applyAlignment="1" applyProtection="1">
      <alignment horizontal="center" vertical="center"/>
    </xf>
    <xf numFmtId="0" fontId="18" fillId="3" borderId="3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left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vertical="center"/>
    </xf>
    <xf numFmtId="0" fontId="19" fillId="3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vertical="center"/>
    </xf>
    <xf numFmtId="2" fontId="0" fillId="3" borderId="3" xfId="0" applyNumberFormat="1" applyFont="1" applyFill="1" applyBorder="1" applyAlignment="1">
      <alignment vertical="center"/>
    </xf>
    <xf numFmtId="169" fontId="26" fillId="3" borderId="3" xfId="0" applyNumberFormat="1" applyFont="1" applyFill="1" applyBorder="1" applyAlignment="1">
      <alignment horizontal="center"/>
    </xf>
    <xf numFmtId="166" fontId="0" fillId="3" borderId="35" xfId="3" applyNumberFormat="1" applyFont="1" applyFill="1" applyBorder="1" applyAlignment="1" applyProtection="1">
      <alignment horizontal="center" vertical="center"/>
    </xf>
    <xf numFmtId="0" fontId="17" fillId="0" borderId="0" xfId="0" applyFont="1" applyBorder="1" applyAlignment="1">
      <alignment horizontal="left" vertical="center" wrapText="1"/>
    </xf>
    <xf numFmtId="0" fontId="15" fillId="0" borderId="8" xfId="0" applyFont="1" applyFill="1" applyBorder="1" applyAlignment="1">
      <alignment horizontal="center" wrapText="1"/>
    </xf>
    <xf numFmtId="0" fontId="15" fillId="0" borderId="8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2" fillId="0" borderId="0" xfId="0" applyFont="1" applyFill="1" applyBorder="1" applyAlignment="1">
      <alignment horizontal="left" wrapText="1" indent="1"/>
    </xf>
    <xf numFmtId="0" fontId="15" fillId="0" borderId="0" xfId="0" applyFont="1" applyFill="1" applyBorder="1" applyAlignment="1">
      <alignment horizontal="left" vertical="center" wrapText="1"/>
    </xf>
    <xf numFmtId="0" fontId="15" fillId="0" borderId="8" xfId="0" applyFont="1" applyFill="1" applyBorder="1" applyAlignment="1">
      <alignment horizontal="left" vertical="center" wrapText="1"/>
    </xf>
    <xf numFmtId="0" fontId="4" fillId="0" borderId="21" xfId="0" applyFont="1" applyFill="1" applyBorder="1" applyAlignment="1">
      <alignment horizontal="left" vertical="center" wrapText="1"/>
    </xf>
    <xf numFmtId="0" fontId="26" fillId="0" borderId="23" xfId="0" applyFont="1" applyBorder="1" applyAlignment="1">
      <alignment horizontal="left" vertical="center"/>
    </xf>
    <xf numFmtId="0" fontId="14" fillId="0" borderId="44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8" fillId="0" borderId="18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 indent="1"/>
    </xf>
    <xf numFmtId="0" fontId="7" fillId="0" borderId="17" xfId="0" applyFont="1" applyBorder="1" applyAlignment="1">
      <alignment horizontal="left" vertical="center" wrapText="1"/>
    </xf>
    <xf numFmtId="0" fontId="27" fillId="0" borderId="16" xfId="0" applyFont="1" applyFill="1" applyBorder="1" applyAlignment="1">
      <alignment horizontal="left" vertical="center" wrapText="1" indent="1"/>
    </xf>
    <xf numFmtId="0" fontId="25" fillId="0" borderId="23" xfId="0" applyFont="1" applyBorder="1" applyAlignment="1">
      <alignment horizontal="left" vertical="center"/>
    </xf>
    <xf numFmtId="0" fontId="25" fillId="0" borderId="44" xfId="0" applyFont="1" applyBorder="1" applyAlignment="1">
      <alignment horizontal="left" vertical="center"/>
    </xf>
    <xf numFmtId="0" fontId="25" fillId="0" borderId="24" xfId="0" applyFont="1" applyBorder="1" applyAlignment="1">
      <alignment horizontal="left" vertical="center"/>
    </xf>
    <xf numFmtId="0" fontId="6" fillId="3" borderId="16" xfId="0" applyFont="1" applyFill="1" applyBorder="1" applyAlignment="1">
      <alignment horizontal="left" vertical="center" wrapText="1" indent="1"/>
    </xf>
    <xf numFmtId="167" fontId="7" fillId="3" borderId="16" xfId="0" applyNumberFormat="1" applyFont="1" applyFill="1" applyBorder="1" applyAlignment="1">
      <alignment horizontal="center" vertical="center"/>
    </xf>
    <xf numFmtId="0" fontId="0" fillId="0" borderId="23" xfId="0" applyFont="1" applyBorder="1" applyAlignment="1">
      <alignment horizontal="center"/>
    </xf>
    <xf numFmtId="3" fontId="9" fillId="0" borderId="24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 vertical="center" wrapText="1"/>
    </xf>
    <xf numFmtId="0" fontId="2" fillId="0" borderId="13" xfId="0" applyFont="1" applyBorder="1"/>
    <xf numFmtId="0" fontId="11" fillId="0" borderId="13" xfId="0" applyFont="1" applyBorder="1" applyAlignment="1">
      <alignment horizontal="left" indent="1"/>
    </xf>
    <xf numFmtId="0" fontId="4" fillId="0" borderId="15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4" fillId="0" borderId="43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/>
    </xf>
    <xf numFmtId="0" fontId="28" fillId="0" borderId="15" xfId="0" applyFont="1" applyBorder="1" applyAlignment="1">
      <alignment horizontal="left" vertical="center" wrapText="1"/>
    </xf>
    <xf numFmtId="0" fontId="28" fillId="0" borderId="42" xfId="0" applyFont="1" applyBorder="1" applyAlignment="1">
      <alignment horizontal="left" vertical="center" wrapText="1"/>
    </xf>
    <xf numFmtId="0" fontId="28" fillId="0" borderId="43" xfId="0" applyFont="1" applyBorder="1" applyAlignment="1">
      <alignment horizontal="left" vertical="center" wrapText="1"/>
    </xf>
    <xf numFmtId="0" fontId="14" fillId="0" borderId="32" xfId="0" applyFont="1" applyBorder="1" applyAlignment="1">
      <alignment horizontal="center" vertical="center" wrapText="1"/>
    </xf>
    <xf numFmtId="0" fontId="0" fillId="0" borderId="3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11" fillId="0" borderId="26" xfId="0" applyFont="1" applyBorder="1"/>
    <xf numFmtId="0" fontId="11" fillId="3" borderId="27" xfId="0" applyFont="1" applyFill="1" applyBorder="1" applyAlignment="1">
      <alignment horizontal="left" vertical="center" wrapText="1" indent="1"/>
    </xf>
    <xf numFmtId="0" fontId="13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0" fillId="0" borderId="3" xfId="0" applyBorder="1" applyAlignment="1">
      <alignment wrapText="1"/>
    </xf>
    <xf numFmtId="0" fontId="9" fillId="0" borderId="23" xfId="0" applyFont="1" applyBorder="1" applyAlignment="1">
      <alignment vertical="center" wrapText="1"/>
    </xf>
    <xf numFmtId="0" fontId="9" fillId="0" borderId="41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0" borderId="40" xfId="0" applyFont="1" applyFill="1" applyBorder="1" applyAlignment="1">
      <alignment horizontal="left" vertical="center" wrapText="1" indent="1"/>
    </xf>
    <xf numFmtId="0" fontId="0" fillId="0" borderId="34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24" fillId="3" borderId="40" xfId="0" applyFont="1" applyFill="1" applyBorder="1" applyAlignment="1">
      <alignment horizontal="left" vertical="center"/>
    </xf>
    <xf numFmtId="0" fontId="0" fillId="0" borderId="25" xfId="0" applyBorder="1" applyAlignment="1">
      <alignment wrapText="1"/>
    </xf>
    <xf numFmtId="0" fontId="30" fillId="0" borderId="0" xfId="0" applyFont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6"/>
  <sheetViews>
    <sheetView topLeftCell="A40" zoomScale="80" zoomScaleNormal="80" workbookViewId="0">
      <selection activeCell="C60" sqref="C60"/>
    </sheetView>
  </sheetViews>
  <sheetFormatPr baseColWidth="10" defaultColWidth="11" defaultRowHeight="12.75" x14ac:dyDescent="0.2"/>
  <cols>
    <col min="1" max="1" width="4.5703125" style="30" customWidth="1"/>
    <col min="2" max="2" width="17.5703125" style="30" customWidth="1"/>
    <col min="3" max="3" width="38.28515625" style="30" customWidth="1"/>
    <col min="4" max="4" width="8.42578125" style="30" customWidth="1"/>
    <col min="5" max="5" width="89" style="30" customWidth="1"/>
    <col min="6" max="6" width="11" style="30"/>
    <col min="7" max="7" width="12.7109375" style="30" customWidth="1"/>
    <col min="8" max="8" width="17.140625" style="30" customWidth="1"/>
    <col min="9" max="9" width="18.5703125" style="30" customWidth="1"/>
    <col min="10" max="16384" width="11" style="30"/>
  </cols>
  <sheetData>
    <row r="2" spans="1:11" ht="27" x14ac:dyDescent="0.35">
      <c r="B2" s="103" t="s">
        <v>0</v>
      </c>
      <c r="C2" s="103"/>
      <c r="D2" s="103"/>
      <c r="E2" s="103"/>
      <c r="F2" s="103"/>
      <c r="G2" s="103"/>
      <c r="H2" s="103"/>
    </row>
    <row r="4" spans="1:11" ht="18" customHeight="1" x14ac:dyDescent="0.25">
      <c r="A4" s="100" t="s">
        <v>1</v>
      </c>
      <c r="B4" s="100"/>
      <c r="C4" s="104" t="s">
        <v>55</v>
      </c>
      <c r="D4" s="104"/>
      <c r="E4" s="104"/>
      <c r="F4" s="31"/>
      <c r="G4" s="32"/>
      <c r="H4" s="31"/>
    </row>
    <row r="5" spans="1:11" ht="18" customHeight="1" x14ac:dyDescent="0.25">
      <c r="A5" s="100" t="s">
        <v>2</v>
      </c>
      <c r="B5" s="100"/>
      <c r="C5" s="104" t="s">
        <v>56</v>
      </c>
      <c r="D5" s="104"/>
      <c r="E5" s="104"/>
      <c r="F5" s="31"/>
      <c r="G5" s="32"/>
      <c r="H5" s="31"/>
    </row>
    <row r="6" spans="1:11" ht="16.5" customHeight="1" x14ac:dyDescent="0.25">
      <c r="A6" s="100" t="s">
        <v>3</v>
      </c>
      <c r="B6" s="100"/>
      <c r="C6" s="46">
        <v>2020</v>
      </c>
      <c r="D6" s="47"/>
      <c r="E6" s="47"/>
      <c r="F6" s="31"/>
      <c r="G6" s="32"/>
      <c r="H6" s="31"/>
    </row>
    <row r="7" spans="1:11" ht="16.5" customHeight="1" x14ac:dyDescent="0.25">
      <c r="A7" s="100" t="s">
        <v>4</v>
      </c>
      <c r="B7" s="100"/>
      <c r="C7" s="46" t="s">
        <v>64</v>
      </c>
      <c r="D7" s="47"/>
      <c r="E7" s="47"/>
      <c r="F7" s="31"/>
      <c r="G7" s="32"/>
      <c r="H7" s="31"/>
    </row>
    <row r="8" spans="1:11" ht="13.5" thickBot="1" x14ac:dyDescent="0.25">
      <c r="B8" s="31"/>
      <c r="C8" s="32"/>
      <c r="D8" s="31"/>
      <c r="E8" s="31"/>
      <c r="F8" s="31"/>
      <c r="G8" s="32"/>
      <c r="H8" s="31"/>
    </row>
    <row r="9" spans="1:11" ht="42.75" customHeight="1" thickTop="1" x14ac:dyDescent="0.2">
      <c r="A9" s="33" t="s">
        <v>5</v>
      </c>
      <c r="B9" s="33" t="s">
        <v>6</v>
      </c>
      <c r="C9" s="33" t="s">
        <v>7</v>
      </c>
      <c r="D9" s="33" t="s">
        <v>8</v>
      </c>
      <c r="E9" s="33" t="s">
        <v>9</v>
      </c>
      <c r="F9" s="33" t="s">
        <v>10</v>
      </c>
      <c r="G9" s="33" t="s">
        <v>11</v>
      </c>
      <c r="H9" s="33" t="s">
        <v>12</v>
      </c>
      <c r="I9" s="33" t="s">
        <v>13</v>
      </c>
    </row>
    <row r="10" spans="1:11" ht="32.25" customHeight="1" x14ac:dyDescent="0.2">
      <c r="A10" s="75">
        <v>1</v>
      </c>
      <c r="B10" s="77"/>
      <c r="C10" s="76" t="s">
        <v>62</v>
      </c>
      <c r="D10" s="78" t="s">
        <v>103</v>
      </c>
      <c r="E10" s="80" t="s">
        <v>68</v>
      </c>
      <c r="F10" s="51" t="s">
        <v>60</v>
      </c>
      <c r="G10" s="59">
        <v>120</v>
      </c>
      <c r="H10" s="87">
        <v>2800</v>
      </c>
      <c r="I10" s="70">
        <f>G10*H10</f>
        <v>336000</v>
      </c>
    </row>
    <row r="11" spans="1:11" ht="33.75" customHeight="1" x14ac:dyDescent="0.2">
      <c r="A11" s="57">
        <v>2</v>
      </c>
      <c r="B11" s="57"/>
      <c r="C11" s="58" t="s">
        <v>58</v>
      </c>
      <c r="D11" s="34" t="s">
        <v>103</v>
      </c>
      <c r="E11" s="79" t="s">
        <v>69</v>
      </c>
      <c r="F11" s="51" t="s">
        <v>60</v>
      </c>
      <c r="G11" s="59">
        <v>1000</v>
      </c>
      <c r="H11" s="87">
        <v>10.4</v>
      </c>
      <c r="I11" s="70">
        <f t="shared" ref="I11:I44" si="0">G11*H11</f>
        <v>10400</v>
      </c>
    </row>
    <row r="12" spans="1:11" ht="40.5" customHeight="1" x14ac:dyDescent="0.2">
      <c r="A12" s="57">
        <v>3</v>
      </c>
      <c r="B12" s="57"/>
      <c r="C12" s="58" t="s">
        <v>58</v>
      </c>
      <c r="D12" s="34" t="s">
        <v>103</v>
      </c>
      <c r="E12" s="80" t="s">
        <v>70</v>
      </c>
      <c r="F12" s="51" t="s">
        <v>60</v>
      </c>
      <c r="G12" s="59">
        <v>2000</v>
      </c>
      <c r="H12" s="87">
        <v>16</v>
      </c>
      <c r="I12" s="70">
        <f t="shared" si="0"/>
        <v>32000</v>
      </c>
    </row>
    <row r="13" spans="1:11" ht="41.25" customHeight="1" x14ac:dyDescent="0.2">
      <c r="A13" s="57">
        <v>4</v>
      </c>
      <c r="B13" s="57"/>
      <c r="C13" s="58" t="s">
        <v>58</v>
      </c>
      <c r="D13" s="34" t="s">
        <v>103</v>
      </c>
      <c r="E13" s="80" t="s">
        <v>71</v>
      </c>
      <c r="F13" s="51" t="s">
        <v>60</v>
      </c>
      <c r="G13" s="59">
        <v>1200</v>
      </c>
      <c r="H13" s="87">
        <v>77.599999999999994</v>
      </c>
      <c r="I13" s="70">
        <f t="shared" si="0"/>
        <v>93120</v>
      </c>
      <c r="K13" s="30" t="s">
        <v>61</v>
      </c>
    </row>
    <row r="14" spans="1:11" ht="30" x14ac:dyDescent="0.2">
      <c r="A14" s="57">
        <v>5</v>
      </c>
      <c r="B14" s="57"/>
      <c r="C14" s="58" t="s">
        <v>58</v>
      </c>
      <c r="D14" s="34" t="s">
        <v>103</v>
      </c>
      <c r="E14" s="81" t="s">
        <v>72</v>
      </c>
      <c r="F14" s="51" t="s">
        <v>60</v>
      </c>
      <c r="G14" s="59">
        <v>960</v>
      </c>
      <c r="H14" s="87">
        <v>1850</v>
      </c>
      <c r="I14" s="70">
        <f t="shared" si="0"/>
        <v>1776000</v>
      </c>
    </row>
    <row r="15" spans="1:11" ht="15" x14ac:dyDescent="0.2">
      <c r="A15" s="57">
        <v>6</v>
      </c>
      <c r="B15" s="57"/>
      <c r="C15" s="58" t="s">
        <v>58</v>
      </c>
      <c r="D15" s="34" t="s">
        <v>103</v>
      </c>
      <c r="E15" s="80" t="s">
        <v>73</v>
      </c>
      <c r="F15" s="51" t="s">
        <v>60</v>
      </c>
      <c r="G15" s="59">
        <v>6000</v>
      </c>
      <c r="H15" s="87">
        <v>28.7</v>
      </c>
      <c r="I15" s="70">
        <f t="shared" si="0"/>
        <v>172200</v>
      </c>
    </row>
    <row r="16" spans="1:11" ht="45" x14ac:dyDescent="0.2">
      <c r="A16" s="75">
        <v>7</v>
      </c>
      <c r="B16" s="57"/>
      <c r="C16" s="58" t="s">
        <v>58</v>
      </c>
      <c r="D16" s="34" t="s">
        <v>103</v>
      </c>
      <c r="E16" s="79" t="s">
        <v>74</v>
      </c>
      <c r="F16" s="51" t="s">
        <v>60</v>
      </c>
      <c r="G16" s="59">
        <v>360</v>
      </c>
      <c r="H16" s="87">
        <v>1540</v>
      </c>
      <c r="I16" s="70">
        <f t="shared" si="0"/>
        <v>554400</v>
      </c>
    </row>
    <row r="17" spans="1:9" ht="15" x14ac:dyDescent="0.2">
      <c r="A17" s="57">
        <v>8</v>
      </c>
      <c r="B17" s="57"/>
      <c r="C17" s="58" t="s">
        <v>58</v>
      </c>
      <c r="D17" s="34" t="s">
        <v>103</v>
      </c>
      <c r="E17" s="80" t="s">
        <v>75</v>
      </c>
      <c r="F17" s="51" t="s">
        <v>60</v>
      </c>
      <c r="G17" s="59">
        <v>50</v>
      </c>
      <c r="H17" s="87">
        <v>980</v>
      </c>
      <c r="I17" s="70">
        <f t="shared" si="0"/>
        <v>49000</v>
      </c>
    </row>
    <row r="18" spans="1:9" ht="39" customHeight="1" x14ac:dyDescent="0.2">
      <c r="A18" s="57">
        <v>9</v>
      </c>
      <c r="B18" s="57"/>
      <c r="C18" s="58" t="s">
        <v>58</v>
      </c>
      <c r="D18" s="34" t="s">
        <v>103</v>
      </c>
      <c r="E18" s="81" t="s">
        <v>76</v>
      </c>
      <c r="F18" s="51" t="s">
        <v>60</v>
      </c>
      <c r="G18" s="59">
        <v>1000</v>
      </c>
      <c r="H18" s="87">
        <v>4.5999999999999996</v>
      </c>
      <c r="I18" s="70">
        <f t="shared" si="0"/>
        <v>4600</v>
      </c>
    </row>
    <row r="19" spans="1:9" ht="31.5" customHeight="1" x14ac:dyDescent="0.2">
      <c r="A19" s="57">
        <v>10</v>
      </c>
      <c r="B19" s="57"/>
      <c r="C19" s="58" t="s">
        <v>58</v>
      </c>
      <c r="D19" s="34" t="s">
        <v>103</v>
      </c>
      <c r="E19" s="82" t="s">
        <v>77</v>
      </c>
      <c r="F19" s="51" t="s">
        <v>60</v>
      </c>
      <c r="G19" s="59">
        <v>800</v>
      </c>
      <c r="H19" s="87">
        <v>69.599999999999994</v>
      </c>
      <c r="I19" s="70">
        <f t="shared" si="0"/>
        <v>55679.999999999993</v>
      </c>
    </row>
    <row r="20" spans="1:9" ht="30" customHeight="1" x14ac:dyDescent="0.2">
      <c r="A20" s="57">
        <v>11</v>
      </c>
      <c r="B20" s="57"/>
      <c r="C20" s="58" t="s">
        <v>58</v>
      </c>
      <c r="D20" s="34" t="s">
        <v>103</v>
      </c>
      <c r="E20" s="80" t="s">
        <v>78</v>
      </c>
      <c r="F20" s="51" t="s">
        <v>60</v>
      </c>
      <c r="G20" s="59">
        <v>200</v>
      </c>
      <c r="H20" s="87">
        <v>89.3</v>
      </c>
      <c r="I20" s="70">
        <f t="shared" si="0"/>
        <v>17860</v>
      </c>
    </row>
    <row r="21" spans="1:9" ht="33" customHeight="1" x14ac:dyDescent="0.2">
      <c r="A21" s="57">
        <v>12</v>
      </c>
      <c r="B21" s="57"/>
      <c r="C21" s="58" t="s">
        <v>58</v>
      </c>
      <c r="D21" s="34" t="s">
        <v>103</v>
      </c>
      <c r="E21" s="81" t="s">
        <v>79</v>
      </c>
      <c r="F21" s="51" t="s">
        <v>60</v>
      </c>
      <c r="G21" s="59">
        <v>25</v>
      </c>
      <c r="H21" s="87">
        <v>930</v>
      </c>
      <c r="I21" s="70">
        <f t="shared" si="0"/>
        <v>23250</v>
      </c>
    </row>
    <row r="22" spans="1:9" ht="32.25" customHeight="1" x14ac:dyDescent="0.2">
      <c r="A22" s="75">
        <v>13</v>
      </c>
      <c r="B22" s="57"/>
      <c r="C22" s="58" t="s">
        <v>58</v>
      </c>
      <c r="D22" s="34" t="s">
        <v>103</v>
      </c>
      <c r="E22" s="80" t="s">
        <v>80</v>
      </c>
      <c r="F22" s="51" t="s">
        <v>60</v>
      </c>
      <c r="G22" s="59">
        <v>1000</v>
      </c>
      <c r="H22" s="87">
        <v>4.9000000000000004</v>
      </c>
      <c r="I22" s="70">
        <f t="shared" si="0"/>
        <v>4900</v>
      </c>
    </row>
    <row r="23" spans="1:9" ht="15" x14ac:dyDescent="0.2">
      <c r="A23" s="57">
        <v>14</v>
      </c>
      <c r="B23" s="57"/>
      <c r="C23" s="58" t="s">
        <v>58</v>
      </c>
      <c r="D23" s="34" t="s">
        <v>103</v>
      </c>
      <c r="E23" s="80" t="s">
        <v>81</v>
      </c>
      <c r="F23" s="51" t="s">
        <v>60</v>
      </c>
      <c r="G23" s="59">
        <v>1000</v>
      </c>
      <c r="H23" s="87">
        <v>132.1</v>
      </c>
      <c r="I23" s="70">
        <f t="shared" si="0"/>
        <v>132100</v>
      </c>
    </row>
    <row r="24" spans="1:9" ht="33" customHeight="1" x14ac:dyDescent="0.2">
      <c r="A24" s="57">
        <v>15</v>
      </c>
      <c r="B24" s="57"/>
      <c r="C24" s="58" t="s">
        <v>58</v>
      </c>
      <c r="D24" s="34" t="s">
        <v>103</v>
      </c>
      <c r="E24" s="81" t="s">
        <v>82</v>
      </c>
      <c r="F24" s="51" t="s">
        <v>60</v>
      </c>
      <c r="G24" s="59">
        <v>200</v>
      </c>
      <c r="H24" s="87">
        <v>13.6</v>
      </c>
      <c r="I24" s="70">
        <f t="shared" si="0"/>
        <v>2720</v>
      </c>
    </row>
    <row r="25" spans="1:9" ht="32.25" customHeight="1" x14ac:dyDescent="0.2">
      <c r="A25" s="57">
        <v>16</v>
      </c>
      <c r="B25" s="57"/>
      <c r="C25" s="58" t="s">
        <v>58</v>
      </c>
      <c r="D25" s="34" t="s">
        <v>103</v>
      </c>
      <c r="E25" s="81" t="s">
        <v>83</v>
      </c>
      <c r="F25" s="51" t="s">
        <v>60</v>
      </c>
      <c r="G25" s="59">
        <v>100</v>
      </c>
      <c r="H25" s="87">
        <v>620.20000000000005</v>
      </c>
      <c r="I25" s="70">
        <f t="shared" si="0"/>
        <v>62020.000000000007</v>
      </c>
    </row>
    <row r="26" spans="1:9" ht="32.25" customHeight="1" x14ac:dyDescent="0.2">
      <c r="A26" s="57">
        <v>17</v>
      </c>
      <c r="B26" s="57"/>
      <c r="C26" s="58" t="s">
        <v>58</v>
      </c>
      <c r="D26" s="34" t="s">
        <v>103</v>
      </c>
      <c r="E26" s="83" t="s">
        <v>84</v>
      </c>
      <c r="F26" s="51" t="s">
        <v>60</v>
      </c>
      <c r="G26" s="59">
        <v>1800</v>
      </c>
      <c r="H26" s="87">
        <v>330</v>
      </c>
      <c r="I26" s="70">
        <f t="shared" si="0"/>
        <v>594000</v>
      </c>
    </row>
    <row r="27" spans="1:9" ht="15" x14ac:dyDescent="0.2">
      <c r="A27" s="57">
        <v>18</v>
      </c>
      <c r="B27" s="57"/>
      <c r="C27" s="58" t="s">
        <v>58</v>
      </c>
      <c r="D27" s="34" t="s">
        <v>103</v>
      </c>
      <c r="E27" s="80" t="s">
        <v>85</v>
      </c>
      <c r="F27" s="51" t="s">
        <v>60</v>
      </c>
      <c r="G27" s="59">
        <v>4</v>
      </c>
      <c r="H27" s="87">
        <v>17795</v>
      </c>
      <c r="I27" s="70">
        <f t="shared" si="0"/>
        <v>71180</v>
      </c>
    </row>
    <row r="28" spans="1:9" ht="31.5" customHeight="1" x14ac:dyDescent="0.2">
      <c r="A28" s="75">
        <v>19</v>
      </c>
      <c r="B28" s="57"/>
      <c r="C28" s="58" t="s">
        <v>58</v>
      </c>
      <c r="D28" s="34" t="s">
        <v>103</v>
      </c>
      <c r="E28" s="80" t="s">
        <v>86</v>
      </c>
      <c r="F28" s="51" t="s">
        <v>60</v>
      </c>
      <c r="G28" s="59">
        <v>2</v>
      </c>
      <c r="H28" s="87">
        <v>40925</v>
      </c>
      <c r="I28" s="70">
        <f t="shared" si="0"/>
        <v>81850</v>
      </c>
    </row>
    <row r="29" spans="1:9" ht="33" customHeight="1" x14ac:dyDescent="0.2">
      <c r="A29" s="57">
        <v>20</v>
      </c>
      <c r="B29" s="57"/>
      <c r="C29" s="58" t="s">
        <v>58</v>
      </c>
      <c r="D29" s="34" t="s">
        <v>103</v>
      </c>
      <c r="E29" s="80" t="s">
        <v>87</v>
      </c>
      <c r="F29" s="51" t="s">
        <v>60</v>
      </c>
      <c r="G29" s="59">
        <v>20</v>
      </c>
      <c r="H29" s="87">
        <v>1654.4</v>
      </c>
      <c r="I29" s="70">
        <f t="shared" si="0"/>
        <v>33088</v>
      </c>
    </row>
    <row r="30" spans="1:9" ht="28.5" customHeight="1" x14ac:dyDescent="0.2">
      <c r="A30" s="57">
        <v>21</v>
      </c>
      <c r="B30" s="57"/>
      <c r="C30" s="58" t="s">
        <v>58</v>
      </c>
      <c r="D30" s="34" t="s">
        <v>103</v>
      </c>
      <c r="E30" s="80" t="s">
        <v>88</v>
      </c>
      <c r="F30" s="51" t="s">
        <v>60</v>
      </c>
      <c r="G30" s="59">
        <v>1200</v>
      </c>
      <c r="H30" s="87">
        <v>55.7</v>
      </c>
      <c r="I30" s="70">
        <f t="shared" si="0"/>
        <v>66840</v>
      </c>
    </row>
    <row r="31" spans="1:9" ht="24" customHeight="1" x14ac:dyDescent="0.2">
      <c r="A31" s="57">
        <v>22</v>
      </c>
      <c r="B31" s="57"/>
      <c r="C31" s="58" t="s">
        <v>58</v>
      </c>
      <c r="D31" s="34" t="s">
        <v>103</v>
      </c>
      <c r="E31" s="80" t="s">
        <v>89</v>
      </c>
      <c r="F31" s="51" t="s">
        <v>60</v>
      </c>
      <c r="G31" s="59">
        <v>200</v>
      </c>
      <c r="H31" s="87">
        <v>2511</v>
      </c>
      <c r="I31" s="70">
        <f t="shared" si="0"/>
        <v>502200</v>
      </c>
    </row>
    <row r="32" spans="1:9" ht="26.25" customHeight="1" x14ac:dyDescent="0.2">
      <c r="A32" s="57">
        <v>23</v>
      </c>
      <c r="B32" s="57"/>
      <c r="C32" s="58" t="s">
        <v>58</v>
      </c>
      <c r="D32" s="34" t="s">
        <v>103</v>
      </c>
      <c r="E32" s="84" t="s">
        <v>90</v>
      </c>
      <c r="F32" s="51" t="s">
        <v>60</v>
      </c>
      <c r="G32" s="59">
        <v>500</v>
      </c>
      <c r="H32" s="87">
        <v>153</v>
      </c>
      <c r="I32" s="70">
        <f t="shared" si="0"/>
        <v>76500</v>
      </c>
    </row>
    <row r="33" spans="1:9" ht="23.25" customHeight="1" x14ac:dyDescent="0.2">
      <c r="A33" s="57">
        <v>24</v>
      </c>
      <c r="B33" s="57"/>
      <c r="C33" s="58" t="s">
        <v>58</v>
      </c>
      <c r="D33" s="34" t="s">
        <v>103</v>
      </c>
      <c r="E33" s="84" t="s">
        <v>91</v>
      </c>
      <c r="F33" s="51" t="s">
        <v>60</v>
      </c>
      <c r="G33" s="59">
        <v>1000</v>
      </c>
      <c r="H33" s="87">
        <v>10.199999999999999</v>
      </c>
      <c r="I33" s="70">
        <f t="shared" si="0"/>
        <v>10200</v>
      </c>
    </row>
    <row r="34" spans="1:9" ht="15" x14ac:dyDescent="0.2">
      <c r="A34" s="75">
        <v>25</v>
      </c>
      <c r="B34" s="57"/>
      <c r="C34" s="58" t="s">
        <v>58</v>
      </c>
      <c r="D34" s="34" t="s">
        <v>103</v>
      </c>
      <c r="E34" s="85" t="s">
        <v>92</v>
      </c>
      <c r="F34" s="51" t="s">
        <v>60</v>
      </c>
      <c r="G34" s="59">
        <v>50</v>
      </c>
      <c r="H34" s="86">
        <v>810</v>
      </c>
      <c r="I34" s="70">
        <f t="shared" si="0"/>
        <v>40500</v>
      </c>
    </row>
    <row r="35" spans="1:9" ht="25.5" customHeight="1" x14ac:dyDescent="0.2">
      <c r="A35" s="57">
        <v>26</v>
      </c>
      <c r="B35" s="57"/>
      <c r="C35" s="58" t="s">
        <v>58</v>
      </c>
      <c r="D35" s="34" t="s">
        <v>103</v>
      </c>
      <c r="E35" s="85" t="s">
        <v>93</v>
      </c>
      <c r="F35" s="51" t="s">
        <v>60</v>
      </c>
      <c r="G35" s="59">
        <v>10</v>
      </c>
      <c r="H35" s="86">
        <v>810</v>
      </c>
      <c r="I35" s="70">
        <f t="shared" si="0"/>
        <v>8100</v>
      </c>
    </row>
    <row r="36" spans="1:9" ht="29.25" customHeight="1" x14ac:dyDescent="0.2">
      <c r="A36" s="57">
        <v>27</v>
      </c>
      <c r="B36" s="57"/>
      <c r="C36" s="58" t="s">
        <v>58</v>
      </c>
      <c r="D36" s="34" t="s">
        <v>103</v>
      </c>
      <c r="E36" s="85" t="s">
        <v>94</v>
      </c>
      <c r="F36" s="51" t="s">
        <v>60</v>
      </c>
      <c r="G36" s="59">
        <v>1800</v>
      </c>
      <c r="H36" s="87">
        <v>1750</v>
      </c>
      <c r="I36" s="70">
        <f t="shared" si="0"/>
        <v>3150000</v>
      </c>
    </row>
    <row r="37" spans="1:9" ht="28.5" customHeight="1" x14ac:dyDescent="0.2">
      <c r="A37" s="57">
        <v>28</v>
      </c>
      <c r="B37" s="57"/>
      <c r="C37" s="58" t="s">
        <v>58</v>
      </c>
      <c r="D37" s="34" t="s">
        <v>103</v>
      </c>
      <c r="E37" s="81" t="s">
        <v>95</v>
      </c>
      <c r="F37" s="51" t="s">
        <v>60</v>
      </c>
      <c r="G37" s="59">
        <v>600</v>
      </c>
      <c r="H37" s="87">
        <v>215</v>
      </c>
      <c r="I37" s="70">
        <f t="shared" si="0"/>
        <v>129000</v>
      </c>
    </row>
    <row r="38" spans="1:9" ht="15" x14ac:dyDescent="0.2">
      <c r="A38" s="57">
        <v>29</v>
      </c>
      <c r="B38" s="57"/>
      <c r="C38" s="58" t="s">
        <v>58</v>
      </c>
      <c r="D38" s="34" t="s">
        <v>103</v>
      </c>
      <c r="E38" s="80" t="s">
        <v>96</v>
      </c>
      <c r="F38" s="51" t="s">
        <v>60</v>
      </c>
      <c r="G38" s="59">
        <v>18000</v>
      </c>
      <c r="H38" s="87">
        <v>68.900000000000006</v>
      </c>
      <c r="I38" s="70">
        <f t="shared" si="0"/>
        <v>1240200</v>
      </c>
    </row>
    <row r="39" spans="1:9" ht="37.5" customHeight="1" x14ac:dyDescent="0.2">
      <c r="A39" s="91">
        <v>30</v>
      </c>
      <c r="B39" s="91"/>
      <c r="C39" s="92" t="s">
        <v>58</v>
      </c>
      <c r="D39" s="93" t="s">
        <v>103</v>
      </c>
      <c r="E39" s="94" t="s">
        <v>97</v>
      </c>
      <c r="F39" s="95" t="s">
        <v>60</v>
      </c>
      <c r="G39" s="96">
        <v>50</v>
      </c>
      <c r="H39" s="97">
        <v>580</v>
      </c>
      <c r="I39" s="98">
        <f t="shared" si="0"/>
        <v>29000</v>
      </c>
    </row>
    <row r="40" spans="1:9" ht="15" x14ac:dyDescent="0.2">
      <c r="A40" s="75">
        <v>31</v>
      </c>
      <c r="B40" s="57"/>
      <c r="C40" s="58" t="s">
        <v>58</v>
      </c>
      <c r="D40" s="34" t="s">
        <v>103</v>
      </c>
      <c r="E40" s="80" t="s">
        <v>98</v>
      </c>
      <c r="F40" s="51" t="s">
        <v>60</v>
      </c>
      <c r="G40" s="59">
        <v>100</v>
      </c>
      <c r="H40" s="86">
        <v>237</v>
      </c>
      <c r="I40" s="70">
        <f t="shared" si="0"/>
        <v>23700</v>
      </c>
    </row>
    <row r="41" spans="1:9" ht="15" x14ac:dyDescent="0.2">
      <c r="A41" s="57">
        <v>32</v>
      </c>
      <c r="B41" s="57"/>
      <c r="C41" s="58" t="s">
        <v>58</v>
      </c>
      <c r="D41" s="34" t="s">
        <v>103</v>
      </c>
      <c r="E41" s="79" t="s">
        <v>99</v>
      </c>
      <c r="F41" s="51" t="s">
        <v>60</v>
      </c>
      <c r="G41" s="59">
        <v>100</v>
      </c>
      <c r="H41" s="87">
        <v>748.5</v>
      </c>
      <c r="I41" s="70">
        <f t="shared" si="0"/>
        <v>74850</v>
      </c>
    </row>
    <row r="42" spans="1:9" ht="34.5" customHeight="1" x14ac:dyDescent="0.2">
      <c r="A42" s="57">
        <v>33</v>
      </c>
      <c r="B42" s="57"/>
      <c r="C42" s="58" t="s">
        <v>58</v>
      </c>
      <c r="D42" s="34" t="s">
        <v>103</v>
      </c>
      <c r="E42" s="81" t="s">
        <v>100</v>
      </c>
      <c r="F42" s="51" t="s">
        <v>60</v>
      </c>
      <c r="G42" s="59">
        <v>50</v>
      </c>
      <c r="H42" s="87">
        <v>813.6</v>
      </c>
      <c r="I42" s="70">
        <f t="shared" si="0"/>
        <v>40680</v>
      </c>
    </row>
    <row r="43" spans="1:9" ht="19.5" customHeight="1" x14ac:dyDescent="0.2">
      <c r="A43" s="57">
        <v>34</v>
      </c>
      <c r="B43" s="57"/>
      <c r="C43" s="58" t="s">
        <v>58</v>
      </c>
      <c r="D43" s="34" t="s">
        <v>103</v>
      </c>
      <c r="E43" s="80" t="s">
        <v>101</v>
      </c>
      <c r="F43" s="51" t="s">
        <v>60</v>
      </c>
      <c r="G43" s="59">
        <v>1200</v>
      </c>
      <c r="H43" s="87">
        <v>95.6</v>
      </c>
      <c r="I43" s="70">
        <f t="shared" si="0"/>
        <v>114720</v>
      </c>
    </row>
    <row r="44" spans="1:9" ht="21" customHeight="1" x14ac:dyDescent="0.2">
      <c r="A44" s="57">
        <v>35</v>
      </c>
      <c r="B44" s="57"/>
      <c r="C44" s="58" t="s">
        <v>58</v>
      </c>
      <c r="D44" s="34" t="s">
        <v>103</v>
      </c>
      <c r="E44" s="80" t="s">
        <v>102</v>
      </c>
      <c r="F44" s="51" t="s">
        <v>60</v>
      </c>
      <c r="G44" s="59">
        <v>200</v>
      </c>
      <c r="H44" s="87">
        <v>98.1</v>
      </c>
      <c r="I44" s="70">
        <f t="shared" si="0"/>
        <v>19620</v>
      </c>
    </row>
    <row r="52" spans="2:5" ht="13.5" thickBot="1" x14ac:dyDescent="0.25"/>
    <row r="53" spans="2:5" x14ac:dyDescent="0.2">
      <c r="B53" s="35" t="s">
        <v>66</v>
      </c>
      <c r="C53" s="36"/>
      <c r="D53" s="36"/>
      <c r="E53" s="37"/>
    </row>
    <row r="54" spans="2:5" x14ac:dyDescent="0.2">
      <c r="B54" s="38"/>
      <c r="C54" s="39"/>
      <c r="D54" s="39"/>
      <c r="E54" s="40"/>
    </row>
    <row r="55" spans="2:5" x14ac:dyDescent="0.2">
      <c r="B55" s="41" t="s">
        <v>14</v>
      </c>
      <c r="C55" s="39"/>
      <c r="D55" s="39"/>
      <c r="E55" s="40"/>
    </row>
    <row r="56" spans="2:5" x14ac:dyDescent="0.2">
      <c r="B56" s="41"/>
      <c r="C56" s="105"/>
      <c r="D56" s="105"/>
      <c r="E56" s="106"/>
    </row>
    <row r="57" spans="2:5" x14ac:dyDescent="0.2">
      <c r="B57" s="41" t="s">
        <v>15</v>
      </c>
      <c r="C57" s="48"/>
      <c r="D57" s="48"/>
      <c r="E57" s="49"/>
    </row>
    <row r="58" spans="2:5" x14ac:dyDescent="0.2">
      <c r="B58" s="42"/>
      <c r="C58" s="102"/>
      <c r="D58" s="102"/>
      <c r="E58" s="102"/>
    </row>
    <row r="59" spans="2:5" x14ac:dyDescent="0.2">
      <c r="B59" s="42"/>
      <c r="C59" s="102"/>
      <c r="D59" s="102"/>
      <c r="E59" s="102"/>
    </row>
    <row r="60" spans="2:5" x14ac:dyDescent="0.2">
      <c r="B60" s="41" t="s">
        <v>16</v>
      </c>
      <c r="C60" s="48"/>
      <c r="D60" s="48"/>
      <c r="E60" s="49"/>
    </row>
    <row r="61" spans="2:5" x14ac:dyDescent="0.2">
      <c r="B61" s="42"/>
      <c r="C61" s="101"/>
      <c r="D61" s="101"/>
      <c r="E61" s="101"/>
    </row>
    <row r="62" spans="2:5" x14ac:dyDescent="0.2">
      <c r="B62" s="41" t="s">
        <v>17</v>
      </c>
      <c r="C62" s="50"/>
      <c r="D62" s="50"/>
      <c r="E62" s="73"/>
    </row>
    <row r="63" spans="2:5" x14ac:dyDescent="0.2">
      <c r="B63" s="42"/>
      <c r="C63" s="101"/>
      <c r="D63" s="101"/>
      <c r="E63" s="101"/>
    </row>
    <row r="64" spans="2:5" x14ac:dyDescent="0.2">
      <c r="B64" s="41" t="s">
        <v>18</v>
      </c>
      <c r="C64" s="48"/>
      <c r="D64" s="48"/>
      <c r="E64" s="49"/>
    </row>
    <row r="65" spans="2:5" x14ac:dyDescent="0.2">
      <c r="B65" s="41"/>
      <c r="C65" s="102"/>
      <c r="D65" s="102"/>
      <c r="E65" s="102"/>
    </row>
    <row r="66" spans="2:5" ht="13.5" thickBot="1" x14ac:dyDescent="0.25">
      <c r="B66" s="43"/>
      <c r="C66" s="44"/>
      <c r="D66" s="44"/>
      <c r="E66" s="45"/>
    </row>
  </sheetData>
  <mergeCells count="13">
    <mergeCell ref="A6:B6"/>
    <mergeCell ref="A7:B7"/>
    <mergeCell ref="C63:E63"/>
    <mergeCell ref="C65:E65"/>
    <mergeCell ref="B2:H2"/>
    <mergeCell ref="A4:B4"/>
    <mergeCell ref="C4:E4"/>
    <mergeCell ref="A5:B5"/>
    <mergeCell ref="C5:E5"/>
    <mergeCell ref="C56:E56"/>
    <mergeCell ref="C58:E58"/>
    <mergeCell ref="C59:E59"/>
    <mergeCell ref="C61:E61"/>
  </mergeCells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52"/>
  <sheetViews>
    <sheetView tabSelected="1" topLeftCell="A43" zoomScale="75" zoomScaleNormal="75" workbookViewId="0">
      <selection activeCell="D61" sqref="D61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5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5" t="s">
        <v>19</v>
      </c>
      <c r="B1" s="115"/>
      <c r="C1" s="115"/>
      <c r="D1" s="115"/>
      <c r="E1" s="115"/>
      <c r="F1" s="115"/>
      <c r="G1" s="115"/>
      <c r="H1" s="115"/>
      <c r="I1" s="115"/>
      <c r="J1" s="3" t="s">
        <v>20</v>
      </c>
      <c r="K1" s="89" t="s">
        <v>104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88"/>
    </row>
    <row r="3" spans="1:11" ht="18.75" customHeight="1" thickBot="1" x14ac:dyDescent="0.25">
      <c r="A3" s="116" t="s">
        <v>52</v>
      </c>
      <c r="B3" s="116"/>
      <c r="C3" s="116"/>
      <c r="D3" s="117" t="str">
        <f>'Necesidades Trimestrales'!C4</f>
        <v>42-Ministerio de Salud</v>
      </c>
      <c r="E3" s="117"/>
      <c r="F3" s="117"/>
      <c r="G3" s="117"/>
      <c r="H3" s="117"/>
      <c r="I3" s="117"/>
      <c r="J3" s="117"/>
      <c r="K3" s="117"/>
    </row>
    <row r="4" spans="1:11" ht="18.75" customHeight="1" thickBot="1" x14ac:dyDescent="0.25">
      <c r="A4" s="118" t="s">
        <v>53</v>
      </c>
      <c r="B4" s="118"/>
      <c r="C4" s="118"/>
      <c r="D4" s="117" t="str">
        <f>'Necesidades Trimestrales'!C5</f>
        <v>28- Maternidad Provincial 25 de Mayo</v>
      </c>
      <c r="E4" s="117"/>
      <c r="F4" s="117"/>
      <c r="G4" s="117"/>
      <c r="H4" s="117"/>
      <c r="I4" s="117"/>
      <c r="J4" s="117"/>
      <c r="K4" s="117"/>
    </row>
    <row r="5" spans="1:11" ht="18.75" customHeight="1" thickBot="1" x14ac:dyDescent="0.25">
      <c r="A5" s="118" t="s">
        <v>31</v>
      </c>
      <c r="B5" s="118"/>
      <c r="C5" s="118"/>
      <c r="D5" s="117" t="s">
        <v>65</v>
      </c>
      <c r="E5" s="117"/>
      <c r="F5" s="117"/>
      <c r="G5" s="117"/>
      <c r="H5" s="117"/>
      <c r="I5" s="117"/>
      <c r="J5" s="117"/>
      <c r="K5" s="117"/>
    </row>
    <row r="6" spans="1:11" ht="16.5" customHeight="1" thickBot="1" x14ac:dyDescent="0.25">
      <c r="A6" s="116" t="s">
        <v>54</v>
      </c>
      <c r="B6" s="116"/>
      <c r="C6" s="116"/>
      <c r="D6" s="117" t="s">
        <v>67</v>
      </c>
      <c r="E6" s="117"/>
      <c r="F6" s="117"/>
      <c r="G6" s="117"/>
      <c r="H6" s="117"/>
      <c r="I6" s="117"/>
      <c r="J6" s="117"/>
      <c r="K6" s="117"/>
    </row>
    <row r="7" spans="1:11" ht="16.5" customHeight="1" thickBot="1" x14ac:dyDescent="0.25">
      <c r="A7" s="118" t="s">
        <v>21</v>
      </c>
      <c r="B7" s="118"/>
      <c r="C7" s="118"/>
      <c r="D7" s="119" t="str">
        <f>'Necesidades Trimestrales'!C7 &amp; " - Año " &amp; 'Necesidades Trimestrales'!C6</f>
        <v>4to Trimestre - Año 2020</v>
      </c>
      <c r="E7" s="119"/>
      <c r="F7" s="119"/>
      <c r="G7" s="119"/>
      <c r="H7" s="119"/>
      <c r="I7" s="119"/>
      <c r="J7" s="119"/>
      <c r="K7" s="119"/>
    </row>
    <row r="8" spans="1:11" ht="33.75" customHeight="1" thickBot="1" x14ac:dyDescent="0.25">
      <c r="A8" s="120" t="s">
        <v>63</v>
      </c>
      <c r="B8" s="121"/>
      <c r="C8" s="122"/>
      <c r="D8" s="108" t="s">
        <v>107</v>
      </c>
      <c r="E8" s="109"/>
      <c r="F8" s="109"/>
      <c r="G8" s="109"/>
      <c r="H8" s="109"/>
      <c r="I8" s="109"/>
      <c r="J8" s="109"/>
      <c r="K8" s="110"/>
    </row>
    <row r="9" spans="1:11" ht="16.5" thickBot="1" x14ac:dyDescent="0.25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thickBot="1" x14ac:dyDescent="0.25">
      <c r="A10" s="111" t="s">
        <v>22</v>
      </c>
      <c r="B10" s="113" t="s">
        <v>23</v>
      </c>
      <c r="C10" s="113" t="s">
        <v>24</v>
      </c>
      <c r="D10" s="113"/>
      <c r="E10" s="113"/>
      <c r="F10" s="113"/>
      <c r="G10" s="113"/>
      <c r="H10" s="113" t="s">
        <v>25</v>
      </c>
      <c r="I10" s="113" t="s">
        <v>26</v>
      </c>
      <c r="J10" s="113" t="s">
        <v>27</v>
      </c>
      <c r="K10" s="114" t="s">
        <v>28</v>
      </c>
    </row>
    <row r="11" spans="1:11" ht="24" customHeight="1" thickBot="1" x14ac:dyDescent="0.25">
      <c r="A11" s="112"/>
      <c r="B11" s="113"/>
      <c r="C11" s="113"/>
      <c r="D11" s="113"/>
      <c r="E11" s="113"/>
      <c r="F11" s="113"/>
      <c r="G11" s="113"/>
      <c r="H11" s="113"/>
      <c r="I11" s="113"/>
      <c r="J11" s="113"/>
      <c r="K11" s="114"/>
    </row>
    <row r="12" spans="1:11" ht="31.5" customHeight="1" thickBot="1" x14ac:dyDescent="0.25">
      <c r="A12" s="62">
        <v>1</v>
      </c>
      <c r="B12" s="68">
        <f>'Necesidades Trimestrales'!B10</f>
        <v>0</v>
      </c>
      <c r="C12" s="107" t="str">
        <f>'Necesidades Trimestrales'!E10</f>
        <v>ALBUMINA 20% X 50 ML</v>
      </c>
      <c r="D12" s="107"/>
      <c r="E12" s="107"/>
      <c r="F12" s="107"/>
      <c r="G12" s="107"/>
      <c r="H12" s="56" t="s">
        <v>59</v>
      </c>
      <c r="I12" s="53" t="str">
        <f>'Necesidades Trimestrales'!F10</f>
        <v>UNIDAD</v>
      </c>
      <c r="J12" s="54">
        <f>'Necesidades Trimestrales'!H10</f>
        <v>2800</v>
      </c>
      <c r="K12" s="55">
        <f>'Necesidades Trimestrales'!G10</f>
        <v>120</v>
      </c>
    </row>
    <row r="13" spans="1:11" ht="31.5" customHeight="1" thickBot="1" x14ac:dyDescent="0.25">
      <c r="A13" s="69">
        <v>2</v>
      </c>
      <c r="B13" s="68">
        <f>'Necesidades Trimestrales'!B11</f>
        <v>0</v>
      </c>
      <c r="C13" s="107" t="str">
        <f>'Necesidades Trimestrales'!E11</f>
        <v>AMOXICILINA 500 MG COMPRIMIDO</v>
      </c>
      <c r="D13" s="107"/>
      <c r="E13" s="107"/>
      <c r="F13" s="107"/>
      <c r="G13" s="107"/>
      <c r="H13" s="56" t="s">
        <v>59</v>
      </c>
      <c r="I13" s="53" t="str">
        <f>'Necesidades Trimestrales'!F11</f>
        <v>UNIDAD</v>
      </c>
      <c r="J13" s="54">
        <f>'Necesidades Trimestrales'!H11</f>
        <v>10.4</v>
      </c>
      <c r="K13" s="55">
        <f>'Necesidades Trimestrales'!G11</f>
        <v>1000</v>
      </c>
    </row>
    <row r="14" spans="1:11" ht="31.5" customHeight="1" thickBot="1" x14ac:dyDescent="0.25">
      <c r="A14" s="62">
        <v>3</v>
      </c>
      <c r="B14" s="68">
        <f>'Necesidades Trimestrales'!B12</f>
        <v>0</v>
      </c>
      <c r="C14" s="107" t="str">
        <f>'Necesidades Trimestrales'!E12</f>
        <v>AMPICILINA 1G FCO AMPOLLA</v>
      </c>
      <c r="D14" s="107"/>
      <c r="E14" s="107"/>
      <c r="F14" s="107"/>
      <c r="G14" s="107"/>
      <c r="H14" s="52" t="s">
        <v>59</v>
      </c>
      <c r="I14" s="53" t="str">
        <f>'Necesidades Trimestrales'!F12</f>
        <v>UNIDAD</v>
      </c>
      <c r="J14" s="54">
        <f>'Necesidades Trimestrales'!H12</f>
        <v>16</v>
      </c>
      <c r="K14" s="55">
        <f>'Necesidades Trimestrales'!G12</f>
        <v>2000</v>
      </c>
    </row>
    <row r="15" spans="1:11" ht="31.5" customHeight="1" thickBot="1" x14ac:dyDescent="0.25">
      <c r="A15" s="62">
        <v>4</v>
      </c>
      <c r="B15" s="68">
        <f>'Necesidades Trimestrales'!B13</f>
        <v>0</v>
      </c>
      <c r="C15" s="107" t="str">
        <f>'Necesidades Trimestrales'!E13</f>
        <v xml:space="preserve">AZITROMICINA 500 MG COMPRIMIDOS </v>
      </c>
      <c r="D15" s="107"/>
      <c r="E15" s="107"/>
      <c r="F15" s="107"/>
      <c r="G15" s="107"/>
      <c r="H15" s="52" t="s">
        <v>59</v>
      </c>
      <c r="I15" s="53" t="str">
        <f>'Necesidades Trimestrales'!F13</f>
        <v>UNIDAD</v>
      </c>
      <c r="J15" s="54">
        <f>'Necesidades Trimestrales'!H13</f>
        <v>77.599999999999994</v>
      </c>
      <c r="K15" s="55">
        <f>'Necesidades Trimestrales'!G13</f>
        <v>1200</v>
      </c>
    </row>
    <row r="16" spans="1:11" ht="31.5" customHeight="1" thickBot="1" x14ac:dyDescent="0.25">
      <c r="A16" s="69">
        <v>5</v>
      </c>
      <c r="B16" s="68">
        <f>'Necesidades Trimestrales'!B14</f>
        <v>0</v>
      </c>
      <c r="C16" s="107" t="str">
        <f>'Necesidades Trimestrales'!E14</f>
        <v>BUPIVACAINA 5 MG / ML  AMPOLLA DE 4 ML CON AGUJA 27 G X 3 1/2 CON INTRODUCTOR TIPO DURACAINE 0,5 % HIPERBARICA SCOTT CASARRA</v>
      </c>
      <c r="D16" s="107"/>
      <c r="E16" s="107"/>
      <c r="F16" s="107"/>
      <c r="G16" s="107"/>
      <c r="H16" s="56" t="s">
        <v>59</v>
      </c>
      <c r="I16" s="53" t="str">
        <f>'Necesidades Trimestrales'!F14</f>
        <v>UNIDAD</v>
      </c>
      <c r="J16" s="54">
        <f>'Necesidades Trimestrales'!H14</f>
        <v>1850</v>
      </c>
      <c r="K16" s="55">
        <f>'Necesidades Trimestrales'!G14</f>
        <v>960</v>
      </c>
    </row>
    <row r="17" spans="1:11" ht="31.5" customHeight="1" thickBot="1" x14ac:dyDescent="0.25">
      <c r="A17" s="69">
        <v>6</v>
      </c>
      <c r="B17" s="68">
        <f>'Necesidades Trimestrales'!B15</f>
        <v>0</v>
      </c>
      <c r="C17" s="107" t="str">
        <f>'Necesidades Trimestrales'!E15</f>
        <v>CEFALEXINA 500 MG COMPRIMIDOS</v>
      </c>
      <c r="D17" s="107"/>
      <c r="E17" s="107"/>
      <c r="F17" s="107"/>
      <c r="G17" s="107"/>
      <c r="H17" s="56" t="s">
        <v>59</v>
      </c>
      <c r="I17" s="53" t="str">
        <f>'Necesidades Trimestrales'!F15</f>
        <v>UNIDAD</v>
      </c>
      <c r="J17" s="54">
        <f>'Necesidades Trimestrales'!H15</f>
        <v>28.7</v>
      </c>
      <c r="K17" s="55">
        <f>'Necesidades Trimestrales'!G15</f>
        <v>6000</v>
      </c>
    </row>
    <row r="18" spans="1:11" ht="31.5" customHeight="1" thickBot="1" x14ac:dyDescent="0.25">
      <c r="A18" s="62">
        <v>7</v>
      </c>
      <c r="B18" s="68">
        <f>'Necesidades Trimestrales'!B16</f>
        <v>0</v>
      </c>
      <c r="C18" s="107" t="str">
        <f>'Necesidades Trimestrales'!E16</f>
        <v>CILASTATIM IMIPENEM FRASCO AMPOLLA TIPO RICHET FRASCO QUE PERMITA RECONSTITUCION Y DOSIFICACION PARA EL SERVICIO DE NEONATOLOGIA</v>
      </c>
      <c r="D18" s="107"/>
      <c r="E18" s="107"/>
      <c r="F18" s="107"/>
      <c r="G18" s="107"/>
      <c r="H18" s="56" t="s">
        <v>59</v>
      </c>
      <c r="I18" s="53" t="str">
        <f>'Necesidades Trimestrales'!F16</f>
        <v>UNIDAD</v>
      </c>
      <c r="J18" s="54">
        <f>'Necesidades Trimestrales'!H16</f>
        <v>1540</v>
      </c>
      <c r="K18" s="55">
        <f>'Necesidades Trimestrales'!G16</f>
        <v>360</v>
      </c>
    </row>
    <row r="19" spans="1:11" ht="31.5" customHeight="1" thickBot="1" x14ac:dyDescent="0.25">
      <c r="A19" s="69">
        <v>8</v>
      </c>
      <c r="B19" s="68">
        <f>'Necesidades Trimestrales'!B17</f>
        <v>0</v>
      </c>
      <c r="C19" s="107" t="str">
        <f>'Necesidades Trimestrales'!E17</f>
        <v>CLARITROMICINA 250 MG SUSPENSIÓN X 60 ML</v>
      </c>
      <c r="D19" s="107"/>
      <c r="E19" s="107"/>
      <c r="F19" s="107"/>
      <c r="G19" s="107"/>
      <c r="H19" s="52" t="s">
        <v>59</v>
      </c>
      <c r="I19" s="53" t="str">
        <f>'Necesidades Trimestrales'!F17</f>
        <v>UNIDAD</v>
      </c>
      <c r="J19" s="54">
        <f>'Necesidades Trimestrales'!H17</f>
        <v>980</v>
      </c>
      <c r="K19" s="55">
        <f>'Necesidades Trimestrales'!G17</f>
        <v>50</v>
      </c>
    </row>
    <row r="20" spans="1:11" ht="31.5" customHeight="1" thickBot="1" x14ac:dyDescent="0.25">
      <c r="A20" s="62">
        <v>9</v>
      </c>
      <c r="B20" s="68">
        <f>'Necesidades Trimestrales'!B18</f>
        <v>0</v>
      </c>
      <c r="C20" s="107" t="str">
        <f>'Necesidades Trimestrales'!E18</f>
        <v>CLONAZEPAM 0,5 MG. COMPRIMIDOS</v>
      </c>
      <c r="D20" s="107"/>
      <c r="E20" s="107"/>
      <c r="F20" s="107"/>
      <c r="G20" s="107"/>
      <c r="H20" s="52" t="s">
        <v>59</v>
      </c>
      <c r="I20" s="53" t="str">
        <f>'Necesidades Trimestrales'!F18</f>
        <v>UNIDAD</v>
      </c>
      <c r="J20" s="54">
        <f>'Necesidades Trimestrales'!H18</f>
        <v>4.5999999999999996</v>
      </c>
      <c r="K20" s="55">
        <f>'Necesidades Trimestrales'!G18</f>
        <v>1000</v>
      </c>
    </row>
    <row r="21" spans="1:11" ht="31.5" customHeight="1" thickBot="1" x14ac:dyDescent="0.25">
      <c r="A21" s="62">
        <v>10</v>
      </c>
      <c r="B21" s="68">
        <f>'Necesidades Trimestrales'!B19</f>
        <v>0</v>
      </c>
      <c r="C21" s="107" t="str">
        <f>'Necesidades Trimestrales'!E19</f>
        <v>CLORURO DE POTASIO 223 MG/ML AMPOLLA</v>
      </c>
      <c r="D21" s="107"/>
      <c r="E21" s="107"/>
      <c r="F21" s="107"/>
      <c r="G21" s="107"/>
      <c r="H21" s="52" t="s">
        <v>59</v>
      </c>
      <c r="I21" s="53" t="str">
        <f>'Necesidades Trimestrales'!F19</f>
        <v>UNIDAD</v>
      </c>
      <c r="J21" s="54">
        <f>'Necesidades Trimestrales'!H19</f>
        <v>69.599999999999994</v>
      </c>
      <c r="K21" s="55">
        <f>'Necesidades Trimestrales'!G19</f>
        <v>800</v>
      </c>
    </row>
    <row r="22" spans="1:11" ht="31.5" customHeight="1" thickBot="1" x14ac:dyDescent="0.25">
      <c r="A22" s="69">
        <v>11</v>
      </c>
      <c r="B22" s="68">
        <f>'Necesidades Trimestrales'!B20</f>
        <v>0</v>
      </c>
      <c r="C22" s="107" t="str">
        <f>'Necesidades Trimestrales'!E20</f>
        <v>DIAZEPAM 10 MG. AMPOLLA</v>
      </c>
      <c r="D22" s="107"/>
      <c r="E22" s="107"/>
      <c r="F22" s="107"/>
      <c r="G22" s="107"/>
      <c r="H22" s="52" t="s">
        <v>59</v>
      </c>
      <c r="I22" s="53" t="str">
        <f>'Necesidades Trimestrales'!F20</f>
        <v>UNIDAD</v>
      </c>
      <c r="J22" s="54">
        <f>'Necesidades Trimestrales'!H20</f>
        <v>89.3</v>
      </c>
      <c r="K22" s="55">
        <f>'Necesidades Trimestrales'!G20</f>
        <v>200</v>
      </c>
    </row>
    <row r="23" spans="1:11" ht="31.5" customHeight="1" thickBot="1" x14ac:dyDescent="0.25">
      <c r="A23" s="69">
        <v>12</v>
      </c>
      <c r="B23" s="68">
        <f>'Necesidades Trimestrales'!B21</f>
        <v>0</v>
      </c>
      <c r="C23" s="107" t="str">
        <f>'Necesidades Trimestrales'!E21</f>
        <v>DOBUTAMINA 250 MG. F/A X1 X 20 ML</v>
      </c>
      <c r="D23" s="107"/>
      <c r="E23" s="107"/>
      <c r="F23" s="107"/>
      <c r="G23" s="107"/>
      <c r="H23" s="52" t="s">
        <v>59</v>
      </c>
      <c r="I23" s="53" t="str">
        <f>'Necesidades Trimestrales'!F21</f>
        <v>UNIDAD</v>
      </c>
      <c r="J23" s="54">
        <f>'Necesidades Trimestrales'!H21</f>
        <v>930</v>
      </c>
      <c r="K23" s="55">
        <f>'Necesidades Trimestrales'!G21</f>
        <v>25</v>
      </c>
    </row>
    <row r="24" spans="1:11" ht="31.5" customHeight="1" thickBot="1" x14ac:dyDescent="0.25">
      <c r="A24" s="62">
        <v>13</v>
      </c>
      <c r="B24" s="68">
        <f>'Necesidades Trimestrales'!B22</f>
        <v>0</v>
      </c>
      <c r="C24" s="107" t="str">
        <f>'Necesidades Trimestrales'!E22</f>
        <v>ENALAPRIL 10 MG COMPRIMIDO</v>
      </c>
      <c r="D24" s="107"/>
      <c r="E24" s="107"/>
      <c r="F24" s="107"/>
      <c r="G24" s="107"/>
      <c r="H24" s="52" t="s">
        <v>59</v>
      </c>
      <c r="I24" s="53" t="str">
        <f>'Necesidades Trimestrales'!F22</f>
        <v>UNIDAD</v>
      </c>
      <c r="J24" s="54">
        <f>'Necesidades Trimestrales'!H22</f>
        <v>4.9000000000000004</v>
      </c>
      <c r="K24" s="55">
        <f>'Necesidades Trimestrales'!G22</f>
        <v>1000</v>
      </c>
    </row>
    <row r="25" spans="1:11" ht="31.5" customHeight="1" thickBot="1" x14ac:dyDescent="0.25">
      <c r="A25" s="69">
        <v>14</v>
      </c>
      <c r="B25" s="68">
        <f>'Necesidades Trimestrales'!B23</f>
        <v>0</v>
      </c>
      <c r="C25" s="107" t="str">
        <f>'Necesidades Trimestrales'!E23</f>
        <v>ETILEFRINA 10 MG. AMPOLLAS</v>
      </c>
      <c r="D25" s="107"/>
      <c r="E25" s="107"/>
      <c r="F25" s="107"/>
      <c r="G25" s="107"/>
      <c r="H25" s="52" t="s">
        <v>59</v>
      </c>
      <c r="I25" s="53" t="str">
        <f>'Necesidades Trimestrales'!F23</f>
        <v>UNIDAD</v>
      </c>
      <c r="J25" s="54">
        <f>'Necesidades Trimestrales'!H23</f>
        <v>132.1</v>
      </c>
      <c r="K25" s="55">
        <f>'Necesidades Trimestrales'!G23</f>
        <v>1000</v>
      </c>
    </row>
    <row r="26" spans="1:11" ht="31.5" customHeight="1" thickBot="1" x14ac:dyDescent="0.25">
      <c r="A26" s="62">
        <v>15</v>
      </c>
      <c r="B26" s="68">
        <f>'Necesidades Trimestrales'!B24</f>
        <v>0</v>
      </c>
      <c r="C26" s="107" t="str">
        <f>'Necesidades Trimestrales'!E24</f>
        <v>FENITOINA 100 MG COMPRIMIDO</v>
      </c>
      <c r="D26" s="107"/>
      <c r="E26" s="107"/>
      <c r="F26" s="107"/>
      <c r="G26" s="107"/>
      <c r="H26" s="52" t="s">
        <v>59</v>
      </c>
      <c r="I26" s="53" t="str">
        <f>'Necesidades Trimestrales'!F24</f>
        <v>UNIDAD</v>
      </c>
      <c r="J26" s="54">
        <f>'Necesidades Trimestrales'!H24</f>
        <v>13.6</v>
      </c>
      <c r="K26" s="55">
        <f>'Necesidades Trimestrales'!G24</f>
        <v>200</v>
      </c>
    </row>
    <row r="27" spans="1:11" ht="31.5" customHeight="1" thickBot="1" x14ac:dyDescent="0.25">
      <c r="A27" s="62">
        <v>16</v>
      </c>
      <c r="B27" s="68">
        <f>'Necesidades Trimestrales'!B25</f>
        <v>0</v>
      </c>
      <c r="C27" s="107" t="str">
        <f>'Necesidades Trimestrales'!E25</f>
        <v>FENOBARBITAL 100 MG. AMPOLLAS</v>
      </c>
      <c r="D27" s="107"/>
      <c r="E27" s="107"/>
      <c r="F27" s="107"/>
      <c r="G27" s="107"/>
      <c r="H27" s="52" t="s">
        <v>59</v>
      </c>
      <c r="I27" s="53" t="str">
        <f>'Necesidades Trimestrales'!F25</f>
        <v>UNIDAD</v>
      </c>
      <c r="J27" s="54">
        <f>'Necesidades Trimestrales'!H25</f>
        <v>620.20000000000005</v>
      </c>
      <c r="K27" s="55">
        <f>'Necesidades Trimestrales'!G25</f>
        <v>100</v>
      </c>
    </row>
    <row r="28" spans="1:11" ht="31.5" customHeight="1" thickBot="1" x14ac:dyDescent="0.25">
      <c r="A28" s="69">
        <v>17</v>
      </c>
      <c r="B28" s="68">
        <f>'Necesidades Trimestrales'!B26</f>
        <v>0</v>
      </c>
      <c r="C28" s="107" t="str">
        <f>'Necesidades Trimestrales'!E26</f>
        <v>FENTANILO 250 MCG INYECTABLE</v>
      </c>
      <c r="D28" s="107"/>
      <c r="E28" s="107"/>
      <c r="F28" s="107"/>
      <c r="G28" s="107"/>
      <c r="H28" s="52" t="s">
        <v>59</v>
      </c>
      <c r="I28" s="53" t="str">
        <f>'Necesidades Trimestrales'!F26</f>
        <v>UNIDAD</v>
      </c>
      <c r="J28" s="54">
        <f>'Necesidades Trimestrales'!H26</f>
        <v>330</v>
      </c>
      <c r="K28" s="55">
        <f>'Necesidades Trimestrales'!G26</f>
        <v>1800</v>
      </c>
    </row>
    <row r="29" spans="1:11" ht="31.5" customHeight="1" thickBot="1" x14ac:dyDescent="0.25">
      <c r="A29" s="69">
        <v>18</v>
      </c>
      <c r="B29" s="68">
        <f>'Necesidades Trimestrales'!B27</f>
        <v>0</v>
      </c>
      <c r="C29" s="107" t="str">
        <f>'Necesidades Trimestrales'!E27</f>
        <v>GAMMAGLOBULINA HUMANA G 2,5GRS  FCO AMPOLLA</v>
      </c>
      <c r="D29" s="107"/>
      <c r="E29" s="107"/>
      <c r="F29" s="107"/>
      <c r="G29" s="107"/>
      <c r="H29" s="52" t="s">
        <v>59</v>
      </c>
      <c r="I29" s="53" t="str">
        <f>'Necesidades Trimestrales'!F27</f>
        <v>UNIDAD</v>
      </c>
      <c r="J29" s="54">
        <f>'Necesidades Trimestrales'!H27</f>
        <v>17795</v>
      </c>
      <c r="K29" s="55">
        <f>'Necesidades Trimestrales'!G27</f>
        <v>4</v>
      </c>
    </row>
    <row r="30" spans="1:11" ht="31.5" customHeight="1" thickBot="1" x14ac:dyDescent="0.25">
      <c r="A30" s="62">
        <v>19</v>
      </c>
      <c r="B30" s="68">
        <f>'Necesidades Trimestrales'!B28</f>
        <v>0</v>
      </c>
      <c r="C30" s="107" t="str">
        <f>'Necesidades Trimestrales'!E28</f>
        <v>GAMMAGLOBULINA HUMANA G 5GRS  FCO AMPOLLA</v>
      </c>
      <c r="D30" s="107"/>
      <c r="E30" s="107"/>
      <c r="F30" s="107"/>
      <c r="G30" s="107"/>
      <c r="H30" s="52" t="s">
        <v>59</v>
      </c>
      <c r="I30" s="53" t="str">
        <f>'Necesidades Trimestrales'!F28</f>
        <v>UNIDAD</v>
      </c>
      <c r="J30" s="54">
        <f>'Necesidades Trimestrales'!H28</f>
        <v>40925</v>
      </c>
      <c r="K30" s="55">
        <f>'Necesidades Trimestrales'!G28</f>
        <v>2</v>
      </c>
    </row>
    <row r="31" spans="1:11" ht="31.5" customHeight="1" thickBot="1" x14ac:dyDescent="0.25">
      <c r="A31" s="69">
        <v>20</v>
      </c>
      <c r="B31" s="68">
        <f>'Necesidades Trimestrales'!B29</f>
        <v>0</v>
      </c>
      <c r="C31" s="107" t="str">
        <f>'Necesidades Trimestrales'!E29</f>
        <v>GELATINA MODIFICADA 4%  SACHET X 500 ML TIPO GELAFUNDIN</v>
      </c>
      <c r="D31" s="107"/>
      <c r="E31" s="107"/>
      <c r="F31" s="107"/>
      <c r="G31" s="107"/>
      <c r="H31" s="52" t="s">
        <v>59</v>
      </c>
      <c r="I31" s="53" t="str">
        <f>'Necesidades Trimestrales'!F29</f>
        <v>UNIDAD</v>
      </c>
      <c r="J31" s="54">
        <f>'Necesidades Trimestrales'!H29</f>
        <v>1654.4</v>
      </c>
      <c r="K31" s="55">
        <f>'Necesidades Trimestrales'!G29</f>
        <v>20</v>
      </c>
    </row>
    <row r="32" spans="1:11" ht="31.5" customHeight="1" thickBot="1" x14ac:dyDescent="0.25">
      <c r="A32" s="62">
        <v>21</v>
      </c>
      <c r="B32" s="68">
        <f>'Necesidades Trimestrales'!B30</f>
        <v>0</v>
      </c>
      <c r="C32" s="107" t="str">
        <f>'Necesidades Trimestrales'!E30</f>
        <v>GENTAMICINA 80 MG AMPOLLA</v>
      </c>
      <c r="D32" s="107"/>
      <c r="E32" s="107"/>
      <c r="F32" s="107"/>
      <c r="G32" s="107"/>
      <c r="H32" s="52" t="s">
        <v>59</v>
      </c>
      <c r="I32" s="53" t="str">
        <f>'Necesidades Trimestrales'!F30</f>
        <v>UNIDAD</v>
      </c>
      <c r="J32" s="54">
        <f>'Necesidades Trimestrales'!H30</f>
        <v>55.7</v>
      </c>
      <c r="K32" s="55">
        <f>'Necesidades Trimestrales'!G30</f>
        <v>1200</v>
      </c>
    </row>
    <row r="33" spans="1:11" ht="31.5" customHeight="1" thickBot="1" x14ac:dyDescent="0.25">
      <c r="A33" s="62">
        <v>22</v>
      </c>
      <c r="B33" s="68">
        <f>'Necesidades Trimestrales'!B31</f>
        <v>0</v>
      </c>
      <c r="C33" s="107" t="str">
        <f>'Necesidades Trimestrales'!E31</f>
        <v>HEPARINA SODICA 5000 UI FCO AMPOLLA</v>
      </c>
      <c r="D33" s="107"/>
      <c r="E33" s="107"/>
      <c r="F33" s="107"/>
      <c r="G33" s="107"/>
      <c r="H33" s="52" t="s">
        <v>59</v>
      </c>
      <c r="I33" s="53" t="str">
        <f>'Necesidades Trimestrales'!F31</f>
        <v>UNIDAD</v>
      </c>
      <c r="J33" s="54">
        <f>'Necesidades Trimestrales'!H31</f>
        <v>2511</v>
      </c>
      <c r="K33" s="55">
        <f>'Necesidades Trimestrales'!G31</f>
        <v>200</v>
      </c>
    </row>
    <row r="34" spans="1:11" ht="31.5" customHeight="1" thickBot="1" x14ac:dyDescent="0.25">
      <c r="A34" s="69">
        <v>23</v>
      </c>
      <c r="B34" s="68">
        <f>'Necesidades Trimestrales'!B32</f>
        <v>0</v>
      </c>
      <c r="C34" s="107" t="str">
        <f>'Necesidades Trimestrales'!E32</f>
        <v>HIDROCORTIZONA 100 MG FCO AMPOLLA</v>
      </c>
      <c r="D34" s="107"/>
      <c r="E34" s="107"/>
      <c r="F34" s="107"/>
      <c r="G34" s="107"/>
      <c r="H34" s="52" t="s">
        <v>59</v>
      </c>
      <c r="I34" s="53" t="str">
        <f>'Necesidades Trimestrales'!F32</f>
        <v>UNIDAD</v>
      </c>
      <c r="J34" s="54">
        <f>'Necesidades Trimestrales'!H32</f>
        <v>153</v>
      </c>
      <c r="K34" s="55">
        <f>'Necesidades Trimestrales'!G32</f>
        <v>500</v>
      </c>
    </row>
    <row r="35" spans="1:11" ht="31.5" customHeight="1" thickBot="1" x14ac:dyDescent="0.25">
      <c r="A35" s="69">
        <v>24</v>
      </c>
      <c r="B35" s="68">
        <f>'Necesidades Trimestrales'!B33</f>
        <v>0</v>
      </c>
      <c r="C35" s="107" t="str">
        <f>'Necesidades Trimestrales'!E33</f>
        <v>IBUPROFENO 400 MG COMPRIMIDO</v>
      </c>
      <c r="D35" s="107"/>
      <c r="E35" s="107"/>
      <c r="F35" s="107"/>
      <c r="G35" s="107"/>
      <c r="H35" s="52" t="s">
        <v>59</v>
      </c>
      <c r="I35" s="53" t="str">
        <f>'Necesidades Trimestrales'!F33</f>
        <v>UNIDAD</v>
      </c>
      <c r="J35" s="54">
        <f>'Necesidades Trimestrales'!H33</f>
        <v>10.199999999999999</v>
      </c>
      <c r="K35" s="55">
        <f>'Necesidades Trimestrales'!G33</f>
        <v>1000</v>
      </c>
    </row>
    <row r="36" spans="1:11" ht="31.5" customHeight="1" thickBot="1" x14ac:dyDescent="0.25">
      <c r="A36" s="62">
        <v>25</v>
      </c>
      <c r="B36" s="68">
        <f>'Necesidades Trimestrales'!B34</f>
        <v>0</v>
      </c>
      <c r="C36" s="107" t="str">
        <f>'Necesidades Trimestrales'!E34</f>
        <v>INSULINA CORRIENTE HUMANA 100 UI FCO AMP</v>
      </c>
      <c r="D36" s="107"/>
      <c r="E36" s="107"/>
      <c r="F36" s="107"/>
      <c r="G36" s="107"/>
      <c r="H36" s="52" t="s">
        <v>59</v>
      </c>
      <c r="I36" s="53" t="str">
        <f>'Necesidades Trimestrales'!F34</f>
        <v>UNIDAD</v>
      </c>
      <c r="J36" s="54">
        <f>'Necesidades Trimestrales'!H34</f>
        <v>810</v>
      </c>
      <c r="K36" s="55">
        <f>'Necesidades Trimestrales'!G34</f>
        <v>50</v>
      </c>
    </row>
    <row r="37" spans="1:11" ht="31.5" customHeight="1" thickBot="1" x14ac:dyDescent="0.25">
      <c r="A37" s="69">
        <v>26</v>
      </c>
      <c r="B37" s="68">
        <f>'Necesidades Trimestrales'!B35</f>
        <v>0</v>
      </c>
      <c r="C37" s="107" t="str">
        <f>'Necesidades Trimestrales'!E35</f>
        <v>INSULINA NPH HUMANA 100 UI FCO AMP</v>
      </c>
      <c r="D37" s="107"/>
      <c r="E37" s="107"/>
      <c r="F37" s="107"/>
      <c r="G37" s="107"/>
      <c r="H37" s="52" t="s">
        <v>59</v>
      </c>
      <c r="I37" s="53" t="str">
        <f>'Necesidades Trimestrales'!F35</f>
        <v>UNIDAD</v>
      </c>
      <c r="J37" s="54">
        <f>'Necesidades Trimestrales'!H35</f>
        <v>810</v>
      </c>
      <c r="K37" s="55">
        <f>'Necesidades Trimestrales'!G35</f>
        <v>10</v>
      </c>
    </row>
    <row r="38" spans="1:11" ht="31.5" customHeight="1" thickBot="1" x14ac:dyDescent="0.25">
      <c r="A38" s="62">
        <v>27</v>
      </c>
      <c r="B38" s="68">
        <f>'Necesidades Trimestrales'!B36</f>
        <v>0</v>
      </c>
      <c r="C38" s="107" t="str">
        <f>'Necesidades Trimestrales'!E36</f>
        <v>MIDAZOLAM 15 MG AMPOLLA</v>
      </c>
      <c r="D38" s="107"/>
      <c r="E38" s="107"/>
      <c r="F38" s="107"/>
      <c r="G38" s="107"/>
      <c r="H38" s="52" t="s">
        <v>59</v>
      </c>
      <c r="I38" s="53" t="str">
        <f>'Necesidades Trimestrales'!F36</f>
        <v>UNIDAD</v>
      </c>
      <c r="J38" s="54">
        <f>'Necesidades Trimestrales'!H36</f>
        <v>1750</v>
      </c>
      <c r="K38" s="55">
        <f>'Necesidades Trimestrales'!G36</f>
        <v>1800</v>
      </c>
    </row>
    <row r="39" spans="1:11" ht="31.5" customHeight="1" thickBot="1" x14ac:dyDescent="0.25">
      <c r="A39" s="62">
        <v>28</v>
      </c>
      <c r="B39" s="68">
        <f>'Necesidades Trimestrales'!B37</f>
        <v>0</v>
      </c>
      <c r="C39" s="107" t="str">
        <f>'Necesidades Trimestrales'!E37</f>
        <v>NALBULFINA 10 MG AMP</v>
      </c>
      <c r="D39" s="107"/>
      <c r="E39" s="107"/>
      <c r="F39" s="107"/>
      <c r="G39" s="107"/>
      <c r="H39" s="52" t="s">
        <v>59</v>
      </c>
      <c r="I39" s="53" t="str">
        <f>'Necesidades Trimestrales'!F37</f>
        <v>UNIDAD</v>
      </c>
      <c r="J39" s="54">
        <f>'Necesidades Trimestrales'!H37</f>
        <v>215</v>
      </c>
      <c r="K39" s="55">
        <f>'Necesidades Trimestrales'!G37</f>
        <v>600</v>
      </c>
    </row>
    <row r="40" spans="1:11" ht="31.5" customHeight="1" thickBot="1" x14ac:dyDescent="0.25">
      <c r="A40" s="69">
        <v>29</v>
      </c>
      <c r="B40" s="68">
        <f>'Necesidades Trimestrales'!B38</f>
        <v>0</v>
      </c>
      <c r="C40" s="107" t="str">
        <f>'Necesidades Trimestrales'!E38</f>
        <v>OXCITOCINA 10 UI INYECTABLE</v>
      </c>
      <c r="D40" s="107"/>
      <c r="E40" s="107"/>
      <c r="F40" s="107"/>
      <c r="G40" s="107"/>
      <c r="H40" s="52" t="s">
        <v>59</v>
      </c>
      <c r="I40" s="53" t="str">
        <f>'Necesidades Trimestrales'!F38</f>
        <v>UNIDAD</v>
      </c>
      <c r="J40" s="54">
        <f>'Necesidades Trimestrales'!H38</f>
        <v>68.900000000000006</v>
      </c>
      <c r="K40" s="55">
        <f>'Necesidades Trimestrales'!G38</f>
        <v>18000</v>
      </c>
    </row>
    <row r="41" spans="1:11" ht="31.5" customHeight="1" thickBot="1" x14ac:dyDescent="0.25">
      <c r="A41" s="69">
        <v>30</v>
      </c>
      <c r="B41" s="68">
        <f>'Necesidades Trimestrales'!B39</f>
        <v>0</v>
      </c>
      <c r="C41" s="107" t="str">
        <f>'Necesidades Trimestrales'!E39</f>
        <v>PANCURONIO 4 MG.  AMPOLLA</v>
      </c>
      <c r="D41" s="107"/>
      <c r="E41" s="107"/>
      <c r="F41" s="107"/>
      <c r="G41" s="107"/>
      <c r="H41" s="52" t="s">
        <v>59</v>
      </c>
      <c r="I41" s="53" t="str">
        <f>'Necesidades Trimestrales'!F39</f>
        <v>UNIDAD</v>
      </c>
      <c r="J41" s="54">
        <f>'Necesidades Trimestrales'!H39</f>
        <v>580</v>
      </c>
      <c r="K41" s="55">
        <f>'Necesidades Trimestrales'!G39</f>
        <v>50</v>
      </c>
    </row>
    <row r="42" spans="1:11" ht="31.5" customHeight="1" thickBot="1" x14ac:dyDescent="0.25">
      <c r="A42" s="62">
        <v>31</v>
      </c>
      <c r="B42" s="68">
        <f>'Necesidades Trimestrales'!B40</f>
        <v>0</v>
      </c>
      <c r="C42" s="107" t="str">
        <f>'Necesidades Trimestrales'!E40</f>
        <v xml:space="preserve">SALBUTAMOL CON AEROCAMARA </v>
      </c>
      <c r="D42" s="107"/>
      <c r="E42" s="107"/>
      <c r="F42" s="107"/>
      <c r="G42" s="107"/>
      <c r="H42" s="52" t="s">
        <v>59</v>
      </c>
      <c r="I42" s="53" t="str">
        <f>'Necesidades Trimestrales'!F40</f>
        <v>UNIDAD</v>
      </c>
      <c r="J42" s="54">
        <f>'Necesidades Trimestrales'!H40</f>
        <v>237</v>
      </c>
      <c r="K42" s="55">
        <f>'Necesidades Trimestrales'!G40</f>
        <v>100</v>
      </c>
    </row>
    <row r="43" spans="1:11" ht="31.5" customHeight="1" thickBot="1" x14ac:dyDescent="0.25">
      <c r="A43" s="69">
        <v>32</v>
      </c>
      <c r="B43" s="68">
        <f>'Necesidades Trimestrales'!B41</f>
        <v>0</v>
      </c>
      <c r="C43" s="107" t="str">
        <f>'Necesidades Trimestrales'!E41</f>
        <v>SUCCINILCOLINA 500 MG FCO AMP</v>
      </c>
      <c r="D43" s="107"/>
      <c r="E43" s="107"/>
      <c r="F43" s="107"/>
      <c r="G43" s="107"/>
      <c r="H43" s="52" t="s">
        <v>59</v>
      </c>
      <c r="I43" s="53" t="str">
        <f>'Necesidades Trimestrales'!F41</f>
        <v>UNIDAD</v>
      </c>
      <c r="J43" s="54">
        <f>'Necesidades Trimestrales'!H41</f>
        <v>748.5</v>
      </c>
      <c r="K43" s="55">
        <f>'Necesidades Trimestrales'!G41</f>
        <v>100</v>
      </c>
    </row>
    <row r="44" spans="1:11" ht="31.5" customHeight="1" thickBot="1" x14ac:dyDescent="0.25">
      <c r="A44" s="62">
        <v>33</v>
      </c>
      <c r="B44" s="68">
        <f>'Necesidades Trimestrales'!B42</f>
        <v>0</v>
      </c>
      <c r="C44" s="107" t="str">
        <f>'Necesidades Trimestrales'!E42</f>
        <v>VITAMINA B EN AMPOLLAS TIPO BECOZYM X 6 AMPOLLAS</v>
      </c>
      <c r="D44" s="107"/>
      <c r="E44" s="107"/>
      <c r="F44" s="107"/>
      <c r="G44" s="107"/>
      <c r="H44" s="52" t="s">
        <v>59</v>
      </c>
      <c r="I44" s="53" t="str">
        <f>'Necesidades Trimestrales'!F42</f>
        <v>UNIDAD</v>
      </c>
      <c r="J44" s="54">
        <f>'Necesidades Trimestrales'!H42</f>
        <v>813.6</v>
      </c>
      <c r="K44" s="55">
        <f>'Necesidades Trimestrales'!G42</f>
        <v>50</v>
      </c>
    </row>
    <row r="45" spans="1:11" ht="31.5" customHeight="1" thickBot="1" x14ac:dyDescent="0.25">
      <c r="A45" s="62">
        <v>34</v>
      </c>
      <c r="B45" s="68">
        <f>'Necesidades Trimestrales'!B43</f>
        <v>0</v>
      </c>
      <c r="C45" s="107" t="str">
        <f>'Necesidades Trimestrales'!E43</f>
        <v>VITAMINA K 1 MG AMPOLLA</v>
      </c>
      <c r="D45" s="107"/>
      <c r="E45" s="107"/>
      <c r="F45" s="107"/>
      <c r="G45" s="107"/>
      <c r="H45" s="52" t="s">
        <v>59</v>
      </c>
      <c r="I45" s="53" t="str">
        <f>'Necesidades Trimestrales'!F43</f>
        <v>UNIDAD</v>
      </c>
      <c r="J45" s="54">
        <f>'Necesidades Trimestrales'!H43</f>
        <v>95.6</v>
      </c>
      <c r="K45" s="55">
        <f>'Necesidades Trimestrales'!G43</f>
        <v>1200</v>
      </c>
    </row>
    <row r="46" spans="1:11" ht="31.5" customHeight="1" thickBot="1" x14ac:dyDescent="0.25">
      <c r="A46" s="69">
        <v>35</v>
      </c>
      <c r="B46" s="68">
        <f>'Necesidades Trimestrales'!B44</f>
        <v>0</v>
      </c>
      <c r="C46" s="107" t="str">
        <f>'Necesidades Trimestrales'!E44</f>
        <v>VITAMINA K 10 MG AMPOLLA</v>
      </c>
      <c r="D46" s="107"/>
      <c r="E46" s="107"/>
      <c r="F46" s="107"/>
      <c r="G46" s="107"/>
      <c r="H46" s="52" t="s">
        <v>59</v>
      </c>
      <c r="I46" s="53" t="str">
        <f>'Necesidades Trimestrales'!F44</f>
        <v>UNIDAD</v>
      </c>
      <c r="J46" s="54">
        <f>'Necesidades Trimestrales'!H44</f>
        <v>98.1</v>
      </c>
      <c r="K46" s="55">
        <f>'Necesidades Trimestrales'!G44</f>
        <v>200</v>
      </c>
    </row>
    <row r="47" spans="1:11" ht="20.25" customHeight="1" thickBot="1" x14ac:dyDescent="0.25">
      <c r="A47" s="123" t="s">
        <v>108</v>
      </c>
      <c r="B47" s="123"/>
      <c r="C47" s="123"/>
      <c r="D47" s="123"/>
      <c r="E47" s="123"/>
      <c r="F47" s="123"/>
      <c r="G47" s="123"/>
      <c r="H47" s="123"/>
      <c r="I47" s="123"/>
      <c r="J47" s="124">
        <f>SUMPRODUCT(J12:J46,K12:K46)</f>
        <v>9632478</v>
      </c>
      <c r="K47" s="124"/>
    </row>
    <row r="50" spans="2:2" s="30" customFormat="1" ht="18.75" x14ac:dyDescent="0.3">
      <c r="B50" s="157" t="s">
        <v>112</v>
      </c>
    </row>
    <row r="51" spans="2:2" s="30" customFormat="1" ht="18.75" x14ac:dyDescent="0.3">
      <c r="B51" s="157" t="s">
        <v>110</v>
      </c>
    </row>
    <row r="52" spans="2:2" s="30" customFormat="1" ht="18.75" x14ac:dyDescent="0.3">
      <c r="B52" s="157" t="s">
        <v>111</v>
      </c>
    </row>
  </sheetData>
  <mergeCells count="57">
    <mergeCell ref="A47:I47"/>
    <mergeCell ref="J47:K47"/>
    <mergeCell ref="C15:G15"/>
    <mergeCell ref="C16:G16"/>
    <mergeCell ref="C17:G17"/>
    <mergeCell ref="C18:G18"/>
    <mergeCell ref="C23:G23"/>
    <mergeCell ref="C38:G38"/>
    <mergeCell ref="C39:G39"/>
    <mergeCell ref="C27:G27"/>
    <mergeCell ref="C28:G28"/>
    <mergeCell ref="C34:G34"/>
    <mergeCell ref="C35:G35"/>
    <mergeCell ref="C36:G36"/>
    <mergeCell ref="C37:G37"/>
    <mergeCell ref="C21:G21"/>
    <mergeCell ref="C12:G12"/>
    <mergeCell ref="C13:G13"/>
    <mergeCell ref="C14:G14"/>
    <mergeCell ref="C19:G19"/>
    <mergeCell ref="C20:G20"/>
    <mergeCell ref="C22:G22"/>
    <mergeCell ref="C24:G24"/>
    <mergeCell ref="C25:G25"/>
    <mergeCell ref="C26:G26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40:G40"/>
    <mergeCell ref="C29:G29"/>
    <mergeCell ref="C32:G32"/>
    <mergeCell ref="C33:G33"/>
    <mergeCell ref="C30:G30"/>
    <mergeCell ref="C31:G31"/>
    <mergeCell ref="C46:G46"/>
    <mergeCell ref="C41:G41"/>
    <mergeCell ref="C42:G42"/>
    <mergeCell ref="C43:G43"/>
    <mergeCell ref="C44:G44"/>
    <mergeCell ref="C45:G4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zoomScale="110" zoomScaleNormal="110" workbookViewId="0">
      <selection activeCell="A24" sqref="A24:Q25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  <col min="20" max="20" width="13.42578125" bestFit="1" customWidth="1"/>
  </cols>
  <sheetData>
    <row r="1" spans="1:20" ht="15.75" customHeight="1" x14ac:dyDescent="0.25">
      <c r="A1" s="125" t="s">
        <v>3</v>
      </c>
      <c r="B1" s="125"/>
      <c r="C1" s="125"/>
      <c r="D1" s="126">
        <f>'Necesidades Trimestrales'!C6</f>
        <v>2020</v>
      </c>
      <c r="E1" s="126"/>
      <c r="F1" s="9"/>
      <c r="G1" s="9"/>
      <c r="H1" s="10"/>
      <c r="I1" s="10"/>
      <c r="J1" s="10"/>
      <c r="K1" s="10"/>
      <c r="L1" s="10"/>
      <c r="M1" s="10"/>
      <c r="N1" s="10"/>
      <c r="P1" s="127" t="s">
        <v>29</v>
      </c>
      <c r="Q1" s="127"/>
    </row>
    <row r="2" spans="1:20" ht="15.75" customHeight="1" x14ac:dyDescent="0.2">
      <c r="H2" s="10"/>
      <c r="I2" s="10"/>
      <c r="J2" s="10"/>
      <c r="K2" s="10"/>
      <c r="L2" s="10"/>
      <c r="M2" s="10"/>
      <c r="N2" s="10"/>
      <c r="P2" s="127"/>
      <c r="Q2" s="127"/>
    </row>
    <row r="4" spans="1:20" s="11" customFormat="1" ht="18" customHeight="1" thickBot="1" x14ac:dyDescent="0.25">
      <c r="A4" s="128" t="s">
        <v>30</v>
      </c>
      <c r="B4" s="128"/>
      <c r="C4" s="128"/>
      <c r="D4" s="128"/>
      <c r="E4" s="128"/>
      <c r="F4" s="128"/>
      <c r="G4" s="129" t="str">
        <f>' NotaPedido 288-20'!D3</f>
        <v>42-Ministerio de Salud</v>
      </c>
      <c r="H4" s="129"/>
      <c r="I4" s="129"/>
      <c r="J4" s="129"/>
      <c r="K4" s="129"/>
      <c r="L4" s="129"/>
      <c r="M4" s="129"/>
      <c r="N4" s="129"/>
      <c r="O4" s="129"/>
      <c r="P4" s="129"/>
      <c r="Q4" s="129"/>
    </row>
    <row r="5" spans="1:20" s="11" customFormat="1" ht="18" customHeight="1" thickBot="1" x14ac:dyDescent="0.25">
      <c r="A5" s="130" t="s">
        <v>53</v>
      </c>
      <c r="B5" s="131"/>
      <c r="C5" s="131"/>
      <c r="D5" s="131"/>
      <c r="E5" s="131"/>
      <c r="F5" s="132"/>
      <c r="G5" s="129" t="str">
        <f>' NotaPedido 288-20'!D4</f>
        <v>28- Maternidad Provincial 25 de Mayo</v>
      </c>
      <c r="H5" s="129"/>
      <c r="I5" s="129"/>
      <c r="J5" s="129"/>
      <c r="K5" s="129"/>
      <c r="L5" s="129"/>
      <c r="M5" s="129"/>
      <c r="N5" s="129"/>
      <c r="O5" s="129"/>
      <c r="P5" s="129"/>
      <c r="Q5" s="129"/>
    </row>
    <row r="6" spans="1:20" s="11" customFormat="1" ht="18" customHeight="1" thickBot="1" x14ac:dyDescent="0.25">
      <c r="A6" s="130" t="s">
        <v>31</v>
      </c>
      <c r="B6" s="131"/>
      <c r="C6" s="131"/>
      <c r="D6" s="131"/>
      <c r="E6" s="131"/>
      <c r="F6" s="132"/>
      <c r="G6" s="129" t="str">
        <f>' NotaPedido 288-20'!D5</f>
        <v xml:space="preserve">169- Direccion Asistencial </v>
      </c>
      <c r="H6" s="129"/>
      <c r="I6" s="129"/>
      <c r="J6" s="129"/>
      <c r="K6" s="129"/>
      <c r="L6" s="129"/>
      <c r="M6" s="129"/>
      <c r="N6" s="129"/>
      <c r="O6" s="129"/>
      <c r="P6" s="129"/>
      <c r="Q6" s="129"/>
    </row>
    <row r="7" spans="1:20" s="11" customFormat="1" ht="18" customHeight="1" thickBot="1" x14ac:dyDescent="0.25">
      <c r="A7" s="134" t="s">
        <v>54</v>
      </c>
      <c r="B7" s="135"/>
      <c r="C7" s="135"/>
      <c r="D7" s="135"/>
      <c r="E7" s="135"/>
      <c r="F7" s="136"/>
      <c r="G7" s="129" t="str">
        <f>' NotaPedido 288-20'!D6</f>
        <v>Servicio de Farmacia</v>
      </c>
      <c r="H7" s="129"/>
      <c r="I7" s="129"/>
      <c r="J7" s="129"/>
      <c r="K7" s="129"/>
      <c r="L7" s="129"/>
      <c r="M7" s="129"/>
      <c r="N7" s="129"/>
      <c r="O7" s="129"/>
      <c r="P7" s="129"/>
      <c r="Q7" s="129"/>
    </row>
    <row r="8" spans="1:20" ht="18" customHeight="1" thickBot="1" x14ac:dyDescent="0.25">
      <c r="A8" s="133" t="s">
        <v>32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</row>
    <row r="9" spans="1:20" ht="18" customHeight="1" x14ac:dyDescent="0.2">
      <c r="A9" s="140" t="s">
        <v>33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"/>
      <c r="P9" s="1"/>
      <c r="Q9" s="12"/>
    </row>
    <row r="10" spans="1:20" ht="54.75" customHeight="1" x14ac:dyDescent="0.2">
      <c r="A10" s="141" t="str">
        <f>"Autorizo la realización de los  trámites correspondientes, a fin de proveer a  este Organismo los bienes y/o servicios que se detallan en Nota  de Pedido N° " &amp; ' NotaPedido 288-20'!K1&amp;",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288/2020,  afectando la erogación resultante a los créditos presupuestarios aprobados a favor de esta Unidad Ejecutora, conforme al siguiente detalle:</v>
      </c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</row>
    <row r="11" spans="1:20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20" ht="15.75" customHeight="1" thickBot="1" x14ac:dyDescent="0.25">
      <c r="A12" s="142" t="s">
        <v>34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</row>
    <row r="13" spans="1:20" ht="15.75" customHeight="1" thickBot="1" x14ac:dyDescent="0.25">
      <c r="A13" s="142" t="s">
        <v>35</v>
      </c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3" t="s">
        <v>36</v>
      </c>
      <c r="P13" s="144"/>
      <c r="Q13" s="146" t="s">
        <v>37</v>
      </c>
    </row>
    <row r="14" spans="1:20" ht="15.75" customHeight="1" x14ac:dyDescent="0.2">
      <c r="A14" s="67" t="s">
        <v>38</v>
      </c>
      <c r="B14" s="67" t="s">
        <v>39</v>
      </c>
      <c r="C14" s="67" t="s">
        <v>40</v>
      </c>
      <c r="D14" s="67" t="s">
        <v>41</v>
      </c>
      <c r="E14" s="67" t="s">
        <v>42</v>
      </c>
      <c r="F14" s="67" t="s">
        <v>43</v>
      </c>
      <c r="G14" s="72" t="s">
        <v>44</v>
      </c>
      <c r="H14" s="67" t="s">
        <v>45</v>
      </c>
      <c r="I14" s="67" t="s">
        <v>46</v>
      </c>
      <c r="J14" s="67" t="s">
        <v>47</v>
      </c>
      <c r="K14" s="67" t="s">
        <v>47</v>
      </c>
      <c r="L14" s="67" t="s">
        <v>48</v>
      </c>
      <c r="M14" s="67" t="s">
        <v>49</v>
      </c>
      <c r="N14" s="67" t="s">
        <v>50</v>
      </c>
      <c r="O14" s="145"/>
      <c r="P14" s="144"/>
      <c r="Q14" s="146"/>
    </row>
    <row r="15" spans="1:20" ht="30" customHeight="1" x14ac:dyDescent="0.2">
      <c r="A15" s="71">
        <v>42</v>
      </c>
      <c r="B15" s="17"/>
      <c r="C15" s="17"/>
      <c r="D15" s="71">
        <v>2</v>
      </c>
      <c r="E15" s="17"/>
      <c r="F15" s="71">
        <v>4901</v>
      </c>
      <c r="G15" s="63">
        <v>3</v>
      </c>
      <c r="H15" s="63">
        <v>1</v>
      </c>
      <c r="I15" s="63">
        <v>2</v>
      </c>
      <c r="J15" s="63">
        <v>5</v>
      </c>
      <c r="K15" s="63">
        <v>2</v>
      </c>
      <c r="L15" s="17"/>
      <c r="M15" s="18">
        <v>1</v>
      </c>
      <c r="N15" s="65" t="s">
        <v>57</v>
      </c>
      <c r="O15" s="137" t="s">
        <v>106</v>
      </c>
      <c r="P15" s="138"/>
      <c r="Q15" s="99">
        <v>9632478</v>
      </c>
    </row>
    <row r="16" spans="1:20" ht="29.25" customHeight="1" x14ac:dyDescent="0.2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2"/>
      <c r="N16" s="64"/>
      <c r="O16" s="139"/>
      <c r="P16" s="139"/>
      <c r="Q16" s="90"/>
      <c r="T16" s="74"/>
    </row>
    <row r="17" spans="1:18" ht="29.25" customHeight="1" x14ac:dyDescent="0.2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2"/>
      <c r="N17" s="64"/>
      <c r="O17" s="147"/>
      <c r="P17" s="147"/>
      <c r="Q17" s="60"/>
    </row>
    <row r="18" spans="1:18" ht="27.75" customHeight="1" x14ac:dyDescent="0.2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2"/>
      <c r="N18" s="64"/>
      <c r="O18" s="147"/>
      <c r="P18" s="147"/>
      <c r="Q18" s="66"/>
    </row>
    <row r="19" spans="1:18" ht="17.25" customHeight="1" x14ac:dyDescent="0.2">
      <c r="A19" s="20"/>
      <c r="B19" s="21"/>
      <c r="C19" s="21"/>
      <c r="D19" s="21"/>
      <c r="E19" s="21"/>
      <c r="F19" s="22"/>
      <c r="G19" s="21"/>
      <c r="H19" s="21"/>
      <c r="I19" s="21"/>
      <c r="J19" s="21"/>
      <c r="K19" s="21"/>
      <c r="L19" s="21"/>
      <c r="M19" s="23"/>
      <c r="N19" s="24"/>
      <c r="O19" s="153"/>
      <c r="P19" s="153"/>
      <c r="Q19" s="19"/>
      <c r="R19" s="1"/>
    </row>
    <row r="20" spans="1:18" ht="17.25" customHeight="1" x14ac:dyDescent="0.2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7"/>
      <c r="N20" s="26"/>
      <c r="O20" s="154"/>
      <c r="P20" s="154"/>
      <c r="Q20" s="28"/>
    </row>
    <row r="21" spans="1:18" ht="20.25" customHeight="1" x14ac:dyDescent="0.2">
      <c r="A21" s="155" t="s">
        <v>109</v>
      </c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29">
        <f>SUM(Q15:Q20)</f>
        <v>9632478</v>
      </c>
    </row>
    <row r="22" spans="1:18" ht="18" customHeight="1" thickBot="1" x14ac:dyDescent="0.25">
      <c r="A22" s="156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</row>
    <row r="23" spans="1:18" ht="17.25" customHeight="1" thickBot="1" x14ac:dyDescent="0.25">
      <c r="A23" s="148" t="s">
        <v>51</v>
      </c>
      <c r="B23" s="149"/>
      <c r="C23" s="149"/>
      <c r="D23" s="149"/>
      <c r="E23" s="149"/>
      <c r="F23" s="150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</row>
    <row r="24" spans="1:18" ht="18" customHeight="1" thickBot="1" x14ac:dyDescent="0.25">
      <c r="A24" s="152" t="s">
        <v>105</v>
      </c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</row>
    <row r="25" spans="1:18" ht="15" customHeight="1" x14ac:dyDescent="0.2">
      <c r="A25" s="152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</row>
  </sheetData>
  <mergeCells count="29"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  <mergeCell ref="O15:P15"/>
    <mergeCell ref="O16:P16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 288-20</vt:lpstr>
      <vt:lpstr>Autor Gastar</vt:lpstr>
      <vt:lpstr>' NotaPedido 288-20'!Área_de_impresión</vt:lpstr>
      <vt:lpstr>'Autor Gastar'!Área_de_impresión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ARIEL</cp:lastModifiedBy>
  <cp:revision>2</cp:revision>
  <cp:lastPrinted>2020-08-27T14:49:27Z</cp:lastPrinted>
  <dcterms:created xsi:type="dcterms:W3CDTF">2020-07-17T23:44:49Z</dcterms:created>
  <dcterms:modified xsi:type="dcterms:W3CDTF">2020-11-18T14:08:10Z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