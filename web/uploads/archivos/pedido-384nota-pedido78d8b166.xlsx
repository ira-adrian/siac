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41ECC9BE-AA3C-4E12-9696-1925EFAF569A}"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Gastar'!$A$1:$Q$27</definedName>
  </definedNames>
  <calcPr calcId="181029"/>
</workbook>
</file>

<file path=xl/calcChain.xml><?xml version="1.0" encoding="utf-8"?>
<calcChain xmlns="http://schemas.openxmlformats.org/spreadsheetml/2006/main">
  <c r="I13" i="2" l="1"/>
  <c r="J13" i="2"/>
  <c r="K13" i="2"/>
  <c r="I11" i="1"/>
  <c r="K12" i="2" l="1"/>
  <c r="J14" i="2" s="1"/>
  <c r="J12" i="2"/>
  <c r="G6" i="3" l="1"/>
  <c r="G4" i="3"/>
  <c r="G5" i="3"/>
  <c r="A10" i="3" l="1"/>
  <c r="D1" i="3"/>
  <c r="I12" i="2"/>
  <c r="I10" i="1"/>
  <c r="Q23" i="3" s="1"/>
</calcChain>
</file>

<file path=xl/sharedStrings.xml><?xml version="1.0" encoding="utf-8"?>
<sst xmlns="http://schemas.openxmlformats.org/spreadsheetml/2006/main" count="102" uniqueCount="86">
  <si>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</si>
  <si>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</si>
  <si>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</si>
  <si>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</si>
  <si>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</si>
  <si>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</si>
  <si>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</si>
  <si>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</si>
  <si>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</si>
  <si>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</si>
  <si>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</si>
  <si>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</si>
  <si>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</si>
  <si>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</si>
  <si>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</si>
  <si>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</si>
  <si>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</si>
  <si>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</si>
  <si>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</si>
  <si>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</si>
  <si>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</si>
  <si>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</si>
  <si>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</si>
  <si>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</si>
  <si>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</si>
  <si>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</si>
  <si>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</si>
  <si>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</si>
  <si>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</si>
  <si>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</si>
  <si>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</si>
  <si>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</si>
  <si>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</si>
  <si>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</si>
  <si>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</si>
  <si>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</si>
  <si>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</si>
  <si>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</si>
  <si>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</si>
  <si>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</si>
  <si>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</si>
  <si>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</si>
  <si>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</si>
  <si>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</si>
  <si>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</si>
  <si>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</si>
  <si>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</si>
  <si>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</si>
  <si>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</si>
  <si>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</si>
  <si>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</si>
  <si>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</si>
  <si>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</si>
  <si>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</si>
  <si>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</si>
  <si>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</si>
  <si>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</si>
  <si>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</si>
  <si>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1.1</t>
  </si>
  <si>
    <t>090 - MINISTERIO DE SEGURIDAD</t>
  </si>
  <si>
    <t>90 - MINISTERIO DE SEGURIDAD</t>
  </si>
  <si>
    <t>1° TRIMESTRE</t>
  </si>
  <si>
    <t>SAF 19 - DIRECCION PROVINCIAL DE ADM. Y RR.HH. DEL MIISTERIO DE SEGURIDAD</t>
  </si>
  <si>
    <t xml:space="preserve">Primera Calidad </t>
  </si>
  <si>
    <t>MINISTERIO DE SEGUIRIDAD</t>
  </si>
  <si>
    <t>SAF 19 - DIRECCION PROVINCIAL DE ADM. Y RR.HH. DEL MINISTERIO DE SEGURIDAD</t>
  </si>
  <si>
    <t>Treinta (30) Dias</t>
  </si>
  <si>
    <t>2.7.1-331.135</t>
  </si>
  <si>
    <t>MATERIALES DE CONSTRUCCION</t>
  </si>
  <si>
    <t>CHAPAS GALVANIZADAS; ANCHO: 1,1 M, CALIBRE BWG: 25, LARGO: 3,50 M</t>
  </si>
  <si>
    <t>UNIDAD</t>
  </si>
  <si>
    <t>2.5.8-3995.74</t>
  </si>
  <si>
    <t>QUIMICOS</t>
  </si>
  <si>
    <t>POLIETILENO; ESPESOR: 200 Mn, PRESENTACION: ROLLO X 50 M</t>
  </si>
  <si>
    <t>Plazo de entrega tres 03 días hábiles. Periodo de utilización tres meses. Las entregas se efecturan en la Direccion de Defensa Civil  sito Av. Manuel Acosta Villafañez  Esq. Hernando de Pedraza de la ciudad de San Fernando del Valle de Catamarca, en horario de 8 a 13 horas.</t>
  </si>
  <si>
    <t>Especificidades Item N° 2:</t>
  </si>
  <si>
    <t>004/2021</t>
  </si>
  <si>
    <t>2.7.1</t>
  </si>
  <si>
    <t>2.5.8</t>
  </si>
  <si>
    <t>Productos de Material Plasctico</t>
  </si>
  <si>
    <t>Productos Ferrosos</t>
  </si>
  <si>
    <t>DIRECCION DE DEFENSA CIVIL</t>
  </si>
  <si>
    <t>Asistencia a Personas en situaciones de Emergencia, mediante la entrega de chapas y nylon.</t>
  </si>
  <si>
    <t xml:space="preserve">Adquisicion de Chapas y Rollos de Nylon para dar asistencia a personas en situaciones de emergencia </t>
  </si>
  <si>
    <t>TOTAL DE PESOS: Ochocientos Doce MilTrescientos Ochenta y Cuatro con 00/100.-</t>
  </si>
  <si>
    <t>Costo total estimado: Ochocientos Doce Mil Trescientos Ochenta y Cuatro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</si>
</sst>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Red]&quot;$&quot;\ #,##0.00"/>
  </numFmts>
  <fonts count="29"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1"/>
      <name val="Times New Roman"/>
      <family val="1"/>
    </font>
    <font>
      <u/>
      <sz val="11"/>
      <name val="Century Gothic"/>
      <family val="2"/>
    </font>
    <font>
      <sz val="11"/>
      <name val="Century Gothic"/>
      <family val="2"/>
    </font>
    <font>
      <sz val="11"/>
      <name val="Times New Roman"/>
      <family val="1"/>
    </font>
    <font>
      <sz val="10"/>
      <name val="Times"/>
      <family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6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thin">
        <color rgb="FF3D3D3D"/>
      </right>
      <top style="medium">
        <color indexed="64"/>
      </top>
      <bottom style="thin">
        <color rgb="FF3D3D3D"/>
      </bottom>
      <diagonal/>
    </border>
    <border>
      <left style="thin">
        <color rgb="FF3D3D3D"/>
      </left>
      <right style="thin">
        <color rgb="FF3D3D3D"/>
      </right>
      <top style="medium">
        <color indexed="64"/>
      </top>
      <bottom style="thin">
        <color rgb="FF3D3D3D"/>
      </bottom>
      <diagonal/>
    </border>
    <border>
      <left style="thin">
        <color rgb="FF3D3D3D"/>
      </left>
      <right/>
      <top style="medium">
        <color indexed="64"/>
      </top>
      <bottom style="thin">
        <color rgb="FF3D3D3D"/>
      </bottom>
      <diagonal/>
    </border>
    <border>
      <left style="thin">
        <color rgb="FF3D3D3D"/>
      </left>
      <right style="medium">
        <color indexed="64"/>
      </right>
      <top style="medium">
        <color indexed="64"/>
      </top>
      <bottom style="thin">
        <color rgb="FF3D3D3D"/>
      </bottom>
      <diagonal/>
    </border>
    <border>
      <left style="medium">
        <color indexed="64"/>
      </left>
      <right style="thin">
        <color rgb="FF3D3D3D"/>
      </right>
      <top/>
      <bottom style="thin">
        <color rgb="FF3D3D3D"/>
      </bottom>
      <diagonal/>
    </border>
    <border>
      <left style="thin">
        <color rgb="FF3D3D3D"/>
      </left>
      <right style="medium">
        <color indexed="64"/>
      </right>
      <top style="thin">
        <color rgb="FF3D3D3D"/>
      </top>
      <bottom style="thin">
        <color rgb="FF3D3D3D"/>
      </bottom>
      <diagonal/>
    </border>
    <border>
      <left style="medium">
        <color indexed="64"/>
      </left>
      <right style="thin">
        <color rgb="FF3D3D3D"/>
      </right>
      <top style="thin">
        <color rgb="FF3D3D3D"/>
      </top>
      <bottom style="medium">
        <color indexed="64"/>
      </bottom>
      <diagonal/>
    </border>
    <border>
      <left style="thin">
        <color rgb="FF3D3D3D"/>
      </left>
      <right style="thin">
        <color rgb="FF3D3D3D"/>
      </right>
      <top style="thin">
        <color rgb="FF3D3D3D"/>
      </top>
      <bottom style="medium">
        <color indexed="64"/>
      </bottom>
      <diagonal/>
    </border>
    <border>
      <left style="thin">
        <color rgb="FF3D3D3D"/>
      </left>
      <right/>
      <top style="thin">
        <color rgb="FF3D3D3D"/>
      </top>
      <bottom style="medium">
        <color indexed="64"/>
      </bottom>
      <diagonal/>
    </border>
    <border>
      <left style="thin">
        <color rgb="FF3D3D3D"/>
      </left>
      <right style="medium">
        <color indexed="64"/>
      </right>
      <top style="thin">
        <color rgb="FF3D3D3D"/>
      </top>
      <bottom style="medium">
        <color indexed="64"/>
      </bottom>
      <diagonal/>
    </border>
    <border>
      <left/>
      <right style="medium">
        <color rgb="FF3D3D3D"/>
      </right>
      <top style="medium">
        <color rgb="FF3D3D3D"/>
      </top>
      <bottom style="thin">
        <color rgb="FF3D3D3D"/>
      </bottom>
      <diagonal/>
    </border>
    <border>
      <left/>
      <right style="medium">
        <color rgb="FF3D3D3D"/>
      </right>
      <top style="thin">
        <color rgb="FF3D3D3D"/>
      </top>
      <bottom style="thin">
        <color rgb="FF3D3D3D"/>
      </bottom>
      <diagonal/>
    </border>
    <border>
      <left/>
      <right style="medium">
        <color rgb="FF3D3D3D"/>
      </right>
      <top style="thin">
        <color rgb="FF3D3D3D"/>
      </top>
      <bottom style="medium">
        <color rgb="FF3D3D3D"/>
      </bottom>
      <diagonal/>
    </border>
    <border>
      <left style="medium">
        <color indexed="64"/>
      </left>
      <right style="thin">
        <color rgb="FF3D3D3D"/>
      </right>
      <top style="thin">
        <color rgb="FF3D3D3D"/>
      </top>
      <bottom style="thin">
        <color rgb="FF3D3D3D"/>
      </bottom>
      <diagonal/>
    </border>
    <border>
      <left/>
      <right style="medium">
        <color rgb="FF3D3D3D"/>
      </right>
      <top style="medium">
        <color auto="1"/>
      </top>
      <bottom style="medium">
        <color auto="1"/>
      </bottom>
      <diagonal/>
    </border>
    <border>
      <left/>
      <right style="medium">
        <color rgb="FF3D3D3D"/>
      </right>
      <top style="medium">
        <color auto="1"/>
      </top>
      <bottom/>
      <diagonal/>
    </border>
    <border>
      <left style="thin">
        <color auto="1"/>
      </left>
      <right style="thin">
        <color auto="1"/>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n">
        <color rgb="FF3D3D3D"/>
      </left>
      <right style="medium">
        <color indexed="64"/>
      </right>
      <top/>
      <bottom style="thin">
        <color rgb="FF3D3D3D"/>
      </bottom>
      <diagonal/>
    </border>
  </borders>
  <cellStyleXfs count="5">
    <xf numFmtId="0" fontId="0" fillId="0" borderId="0"/>
    <xf numFmtId="165" fontId="14" fillId="0" borderId="0" applyBorder="0" applyProtection="0"/>
    <xf numFmtId="0" fontId="1" fillId="0" borderId="1" applyProtection="0"/>
    <xf numFmtId="164" fontId="2" fillId="0" borderId="0" applyBorder="0" applyProtection="0"/>
    <xf numFmtId="0" fontId="3" fillId="2" borderId="0" applyBorder="0" applyProtection="0"/>
  </cellStyleXfs>
  <cellXfs count="172">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9"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29" xfId="0" applyFont="1" applyBorder="1" applyAlignment="1">
      <alignment horizontal="left" vertical="center"/>
    </xf>
    <xf numFmtId="0" fontId="13" fillId="0" borderId="30" xfId="0" applyFont="1" applyBorder="1" applyAlignment="1">
      <alignment horizontal="center" vertical="center"/>
    </xf>
    <xf numFmtId="0" fontId="13" fillId="0" borderId="24"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0" fillId="0" borderId="33" xfId="0" applyFont="1" applyBorder="1" applyAlignment="1">
      <alignment horizontal="center" vertical="center"/>
    </xf>
    <xf numFmtId="0" fontId="11" fillId="0" borderId="31" xfId="0" applyFont="1" applyBorder="1" applyAlignment="1">
      <alignment horizontal="center" vertical="center"/>
    </xf>
    <xf numFmtId="0" fontId="0" fillId="0" borderId="33" xfId="0" applyBorder="1" applyAlignment="1">
      <alignment horizontal="center" vertical="center"/>
    </xf>
    <xf numFmtId="0" fontId="11" fillId="0" borderId="32" xfId="0" applyFont="1" applyBorder="1" applyAlignment="1">
      <alignment horizontal="center" vertical="center"/>
    </xf>
    <xf numFmtId="166" fontId="13" fillId="0" borderId="34" xfId="0" applyNumberFormat="1" applyFont="1" applyBorder="1" applyAlignment="1">
      <alignment horizontal="center" vertical="center"/>
    </xf>
    <xf numFmtId="0" fontId="15" fillId="0" borderId="0" xfId="0" applyFont="1"/>
    <xf numFmtId="0" fontId="18" fillId="0" borderId="0" xfId="0" applyFont="1" applyAlignment="1">
      <alignment horizontal="left" wrapText="1"/>
    </xf>
    <xf numFmtId="0" fontId="18" fillId="0" borderId="0" xfId="0" applyFont="1" applyAlignment="1">
      <alignment horizontal="center" wrapText="1"/>
    </xf>
    <xf numFmtId="0" fontId="22" fillId="0" borderId="2" xfId="0" applyFont="1" applyBorder="1"/>
    <xf numFmtId="0" fontId="15" fillId="0" borderId="3" xfId="0" applyFont="1" applyBorder="1"/>
    <xf numFmtId="0" fontId="15" fillId="0" borderId="4" xfId="0" applyFont="1" applyBorder="1"/>
    <xf numFmtId="0" fontId="15" fillId="0" borderId="5" xfId="0" applyFont="1" applyBorder="1"/>
    <xf numFmtId="0" fontId="15" fillId="0" borderId="0" xfId="0" applyFont="1" applyBorder="1"/>
    <xf numFmtId="0" fontId="15" fillId="0" borderId="6" xfId="0" applyFont="1" applyBorder="1"/>
    <xf numFmtId="0" fontId="22" fillId="0" borderId="5" xfId="0" applyFont="1" applyBorder="1" applyAlignment="1">
      <alignment horizontal="left" indent="3"/>
    </xf>
    <xf numFmtId="0" fontId="15" fillId="0" borderId="5" xfId="0" applyFont="1" applyBorder="1" applyAlignment="1">
      <alignment horizontal="left" indent="3"/>
    </xf>
    <xf numFmtId="0" fontId="15" fillId="0" borderId="7" xfId="0" applyFont="1" applyBorder="1" applyAlignment="1">
      <alignment horizontal="left" indent="3"/>
    </xf>
    <xf numFmtId="0" fontId="19" fillId="0" borderId="0" xfId="0" applyFont="1" applyAlignment="1">
      <alignment horizontal="left" wrapText="1"/>
    </xf>
    <xf numFmtId="0" fontId="4" fillId="0" borderId="19" xfId="0" applyFont="1" applyFill="1" applyBorder="1" applyAlignment="1">
      <alignment horizontal="center" vertical="center"/>
    </xf>
    <xf numFmtId="0" fontId="4" fillId="0" borderId="19" xfId="0" applyFont="1" applyFill="1" applyBorder="1" applyAlignment="1">
      <alignment horizontal="center" vertical="center" wrapText="1"/>
    </xf>
    <xf numFmtId="3" fontId="4" fillId="0" borderId="19" xfId="0" applyNumberFormat="1" applyFont="1" applyFill="1" applyBorder="1" applyAlignment="1">
      <alignment horizontal="center" vertical="center"/>
    </xf>
    <xf numFmtId="166" fontId="4" fillId="0" borderId="19" xfId="1" applyNumberFormat="1" applyFont="1" applyFill="1" applyBorder="1" applyAlignment="1" applyProtection="1">
      <alignment horizontal="center" vertical="center" wrapText="1"/>
    </xf>
    <xf numFmtId="0" fontId="23" fillId="0" borderId="0" xfId="0" applyFont="1" applyFill="1" applyAlignment="1">
      <alignment horizontal="left" wrapText="1" indent="1"/>
    </xf>
    <xf numFmtId="0" fontId="15" fillId="0" borderId="0" xfId="0" applyFont="1" applyFill="1" applyBorder="1"/>
    <xf numFmtId="0" fontId="15" fillId="0" borderId="6" xfId="0" applyFont="1" applyFill="1" applyBorder="1"/>
    <xf numFmtId="0" fontId="15" fillId="0" borderId="0" xfId="0" applyFont="1" applyFill="1" applyBorder="1" applyAlignment="1">
      <alignment horizontal="center" wrapText="1"/>
    </xf>
    <xf numFmtId="0" fontId="15" fillId="0" borderId="6" xfId="0" applyFont="1" applyFill="1" applyBorder="1" applyAlignment="1">
      <alignment horizontal="center" wrapText="1"/>
    </xf>
    <xf numFmtId="0" fontId="15" fillId="0" borderId="8" xfId="0" applyFont="1" applyFill="1" applyBorder="1"/>
    <xf numFmtId="0" fontId="15" fillId="0" borderId="9" xfId="0" applyFont="1" applyFill="1" applyBorder="1"/>
    <xf numFmtId="0" fontId="15" fillId="0" borderId="0" xfId="0" applyFont="1" applyFill="1"/>
    <xf numFmtId="0" fontId="15" fillId="0" borderId="0" xfId="0" applyFont="1" applyAlignment="1"/>
    <xf numFmtId="0" fontId="15" fillId="0" borderId="0" xfId="0" applyFont="1" applyAlignment="1">
      <alignment horizontal="left" vertical="center"/>
    </xf>
    <xf numFmtId="0" fontId="6" fillId="0" borderId="11" xfId="0" applyFont="1" applyFill="1" applyBorder="1" applyAlignment="1">
      <alignment horizontal="center" vertical="center"/>
    </xf>
    <xf numFmtId="169" fontId="15" fillId="0" borderId="0" xfId="0" applyNumberFormat="1" applyFont="1" applyAlignment="1">
      <alignment horizontal="left" vertical="center"/>
    </xf>
    <xf numFmtId="0" fontId="0" fillId="0" borderId="41" xfId="0" applyFont="1" applyFill="1" applyBorder="1" applyAlignment="1">
      <alignment horizontal="center" vertical="center"/>
    </xf>
    <xf numFmtId="0" fontId="0" fillId="0" borderId="42" xfId="0" applyFont="1" applyFill="1" applyBorder="1" applyAlignment="1">
      <alignment horizontal="center" vertical="center"/>
    </xf>
    <xf numFmtId="0" fontId="14" fillId="0" borderId="42" xfId="0" applyFont="1" applyFill="1" applyBorder="1" applyAlignment="1">
      <alignment horizontal="center" vertical="center"/>
    </xf>
    <xf numFmtId="0" fontId="0" fillId="0" borderId="43" xfId="0" applyFont="1" applyFill="1" applyBorder="1" applyAlignment="1">
      <alignment horizontal="center" vertical="center"/>
    </xf>
    <xf numFmtId="0" fontId="14" fillId="0" borderId="44" xfId="0" applyFont="1" applyFill="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0" fontId="11" fillId="0" borderId="45" xfId="0" applyFont="1" applyBorder="1" applyAlignment="1">
      <alignment horizontal="center" vertical="center"/>
    </xf>
    <xf numFmtId="0" fontId="11" fillId="0" borderId="46" xfId="0" applyFont="1"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166" fontId="0" fillId="0" borderId="51" xfId="3" applyNumberFormat="1" applyFont="1" applyFill="1" applyBorder="1" applyAlignment="1" applyProtection="1">
      <alignment horizontal="center" vertical="center"/>
    </xf>
    <xf numFmtId="166" fontId="0" fillId="0" borderId="52" xfId="3" applyNumberFormat="1" applyFont="1" applyBorder="1" applyAlignment="1" applyProtection="1">
      <alignment horizontal="center" vertical="center"/>
    </xf>
    <xf numFmtId="166" fontId="0" fillId="0" borderId="53" xfId="3" applyNumberFormat="1" applyFont="1" applyBorder="1" applyAlignment="1" applyProtection="1">
      <alignment horizontal="center" vertical="center"/>
    </xf>
    <xf numFmtId="0" fontId="25" fillId="0" borderId="0" xfId="0" applyFont="1" applyAlignment="1">
      <alignment horizontal="justify" vertical="center"/>
    </xf>
    <xf numFmtId="0" fontId="26" fillId="0" borderId="0" xfId="0" applyFont="1" applyAlignment="1">
      <alignment horizontal="justify" vertical="center"/>
    </xf>
    <xf numFmtId="0" fontId="15" fillId="0" borderId="0"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0" fillId="0" borderId="57" xfId="0" applyBorder="1" applyAlignment="1">
      <alignment horizontal="left" vertical="center"/>
    </xf>
    <xf numFmtId="0" fontId="21" fillId="0" borderId="57" xfId="0" applyFont="1" applyBorder="1" applyAlignment="1">
      <alignment horizontal="center" vertical="center" wrapText="1"/>
    </xf>
    <xf numFmtId="0" fontId="20" fillId="0" borderId="58" xfId="0" applyFont="1" applyBorder="1" applyAlignment="1">
      <alignment horizontal="center" vertical="center"/>
    </xf>
    <xf numFmtId="0" fontId="0" fillId="0" borderId="59" xfId="0" applyBorder="1"/>
    <xf numFmtId="0" fontId="21" fillId="0" borderId="59" xfId="0" applyFont="1" applyBorder="1" applyAlignment="1">
      <alignment horizontal="center" vertical="center" wrapText="1"/>
    </xf>
    <xf numFmtId="0" fontId="0" fillId="0" borderId="59" xfId="0" applyBorder="1" applyAlignment="1">
      <alignment horizontal="left" vertical="center"/>
    </xf>
    <xf numFmtId="0" fontId="18" fillId="0" borderId="59" xfId="0" applyFont="1" applyFill="1" applyBorder="1" applyAlignment="1">
      <alignment horizontal="center" vertical="center" wrapText="1"/>
    </xf>
    <xf numFmtId="0" fontId="21" fillId="0" borderId="59" xfId="0" applyFont="1" applyFill="1" applyBorder="1" applyAlignment="1">
      <alignment horizontal="center" vertical="center" wrapText="1"/>
    </xf>
    <xf numFmtId="166" fontId="20" fillId="0" borderId="59" xfId="1" applyNumberFormat="1" applyFont="1" applyFill="1" applyBorder="1" applyAlignment="1" applyProtection="1">
      <alignment horizontal="center" vertical="center" wrapText="1"/>
    </xf>
    <xf numFmtId="166" fontId="20" fillId="0" borderId="60" xfId="1" applyNumberFormat="1" applyFont="1" applyFill="1" applyBorder="1" applyAlignment="1" applyProtection="1">
      <alignment horizontal="center" vertical="center" wrapText="1"/>
    </xf>
    <xf numFmtId="0" fontId="20" fillId="0" borderId="61" xfId="0" applyFont="1" applyBorder="1" applyAlignment="1">
      <alignment horizontal="center" vertical="center"/>
    </xf>
    <xf numFmtId="0" fontId="0" fillId="0" borderId="57" xfId="0" applyBorder="1"/>
    <xf numFmtId="0" fontId="18" fillId="0" borderId="57" xfId="0" applyFont="1" applyFill="1" applyBorder="1" applyAlignment="1">
      <alignment horizontal="center" vertical="center" wrapText="1"/>
    </xf>
    <xf numFmtId="0" fontId="21" fillId="0" borderId="57" xfId="0" applyFont="1" applyFill="1" applyBorder="1" applyAlignment="1">
      <alignment horizontal="center" vertical="center" wrapText="1"/>
    </xf>
    <xf numFmtId="166" fontId="20" fillId="0" borderId="57" xfId="1" applyNumberFormat="1" applyFont="1" applyFill="1" applyBorder="1" applyAlignment="1" applyProtection="1">
      <alignment horizontal="center" vertical="center" wrapText="1"/>
    </xf>
    <xf numFmtId="166" fontId="20" fillId="0" borderId="62" xfId="1" applyNumberFormat="1" applyFont="1" applyFill="1" applyBorder="1" applyAlignment="1" applyProtection="1">
      <alignment horizontal="center" vertical="center" wrapText="1"/>
    </xf>
    <xf numFmtId="0" fontId="19" fillId="0" borderId="20" xfId="0" applyFont="1" applyBorder="1" applyAlignment="1">
      <alignment horizontal="center" vertical="center" wrapText="1"/>
    </xf>
    <xf numFmtId="0" fontId="19" fillId="0" borderId="63" xfId="0" applyFont="1" applyBorder="1" applyAlignment="1">
      <alignment horizontal="center" vertical="center" wrapText="1"/>
    </xf>
    <xf numFmtId="0" fontId="19" fillId="0" borderId="64" xfId="0" applyFont="1" applyBorder="1" applyAlignment="1">
      <alignment horizontal="center" vertical="center" wrapText="1"/>
    </xf>
    <xf numFmtId="0" fontId="19" fillId="0" borderId="65" xfId="0" applyFont="1" applyBorder="1" applyAlignment="1">
      <alignment horizontal="center" vertical="center" wrapText="1"/>
    </xf>
    <xf numFmtId="0" fontId="19" fillId="0" borderId="66" xfId="0" applyFont="1" applyBorder="1" applyAlignment="1">
      <alignment horizontal="center" vertical="center" wrapText="1"/>
    </xf>
    <xf numFmtId="0" fontId="0" fillId="0" borderId="59" xfId="0" applyBorder="1" applyAlignment="1">
      <alignment vertical="center"/>
    </xf>
    <xf numFmtId="0" fontId="0" fillId="0" borderId="57" xfId="0" applyBorder="1" applyAlignment="1">
      <alignment vertical="center"/>
    </xf>
    <xf numFmtId="0" fontId="28" fillId="0" borderId="0" xfId="0" applyFont="1" applyAlignment="1">
      <alignment vertical="center"/>
    </xf>
    <xf numFmtId="166" fontId="0" fillId="0" borderId="0" xfId="0" applyNumberFormat="1"/>
    <xf numFmtId="0" fontId="0" fillId="0" borderId="45" xfId="0" applyFont="1" applyFill="1" applyBorder="1" applyAlignment="1">
      <alignment horizontal="center" vertical="center"/>
    </xf>
    <xf numFmtId="0" fontId="0" fillId="0" borderId="31" xfId="0" applyFont="1" applyFill="1" applyBorder="1" applyAlignment="1">
      <alignment horizontal="center" vertical="center"/>
    </xf>
    <xf numFmtId="0" fontId="14" fillId="0" borderId="31" xfId="0" applyFont="1" applyFill="1" applyBorder="1" applyAlignment="1">
      <alignment horizontal="center" vertical="center"/>
    </xf>
    <xf numFmtId="0" fontId="0" fillId="0" borderId="32" xfId="0" applyFont="1" applyFill="1" applyBorder="1" applyAlignment="1">
      <alignment horizontal="center" vertical="center"/>
    </xf>
    <xf numFmtId="0" fontId="14" fillId="0" borderId="67" xfId="0" applyFont="1" applyFill="1" applyBorder="1" applyAlignment="1">
      <alignment horizontal="center" vertical="center"/>
    </xf>
    <xf numFmtId="0" fontId="0" fillId="0" borderId="54" xfId="0" applyFont="1" applyBorder="1" applyAlignment="1">
      <alignment horizontal="center" vertical="center"/>
    </xf>
    <xf numFmtId="0" fontId="16" fillId="0" borderId="0" xfId="0" applyFont="1" applyBorder="1" applyAlignment="1">
      <alignment horizontal="center"/>
    </xf>
    <xf numFmtId="0" fontId="17" fillId="0" borderId="0" xfId="0" applyFont="1" applyBorder="1" applyAlignment="1">
      <alignment horizontal="left" vertical="center" wrapText="1"/>
    </xf>
    <xf numFmtId="0" fontId="23" fillId="0" borderId="0" xfId="0" applyFont="1" applyFill="1" applyBorder="1" applyAlignment="1">
      <alignment horizontal="left" wrapText="1" indent="1"/>
    </xf>
    <xf numFmtId="0" fontId="15" fillId="0" borderId="6" xfId="0" applyFont="1" applyFill="1" applyBorder="1" applyAlignment="1">
      <alignment horizontal="center" wrapText="1"/>
    </xf>
    <xf numFmtId="0" fontId="15" fillId="0" borderId="6" xfId="0" applyFont="1" applyFill="1" applyBorder="1" applyAlignment="1">
      <alignment horizontal="center"/>
    </xf>
    <xf numFmtId="0" fontId="15" fillId="0" borderId="0" xfId="0" applyFont="1" applyFill="1" applyBorder="1" applyAlignment="1">
      <alignment horizontal="left" vertical="center" wrapText="1"/>
    </xf>
    <xf numFmtId="0" fontId="15" fillId="0" borderId="6" xfId="0" applyFont="1" applyFill="1" applyBorder="1" applyAlignment="1">
      <alignment horizontal="left" vertical="center" wrapText="1"/>
    </xf>
    <xf numFmtId="0" fontId="27" fillId="0" borderId="0" xfId="0" applyFont="1" applyFill="1" applyBorder="1" applyAlignment="1">
      <alignment vertical="center" wrapText="1"/>
    </xf>
    <xf numFmtId="0" fontId="27" fillId="0" borderId="6" xfId="0" applyFont="1" applyFill="1" applyBorder="1" applyAlignment="1">
      <alignmen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7" fillId="0" borderId="15" xfId="0" applyFont="1" applyBorder="1" applyAlignment="1">
      <alignment horizontal="left" vertical="center" wrapText="1"/>
    </xf>
    <xf numFmtId="0" fontId="6" fillId="0" borderId="14" xfId="0" applyFont="1" applyFill="1" applyBorder="1" applyAlignment="1">
      <alignment horizontal="left" vertical="center" wrapText="1" indent="1"/>
    </xf>
    <xf numFmtId="0" fontId="6" fillId="3" borderId="14" xfId="0" applyFont="1" applyFill="1" applyBorder="1" applyAlignment="1">
      <alignment horizontal="left" vertical="center" wrapText="1" indent="1"/>
    </xf>
    <xf numFmtId="0" fontId="6" fillId="0" borderId="40" xfId="0" applyFont="1" applyBorder="1" applyAlignment="1">
      <alignment horizontal="left" vertical="center" wrapText="1" indent="1"/>
    </xf>
    <xf numFmtId="167" fontId="7" fillId="0" borderId="40" xfId="0" applyNumberFormat="1" applyFont="1" applyBorder="1" applyAlignment="1">
      <alignment horizontal="center" vertical="center"/>
    </xf>
    <xf numFmtId="0" fontId="24" fillId="3" borderId="11" xfId="0" applyFont="1" applyFill="1" applyBorder="1" applyAlignment="1">
      <alignment horizontal="left" indent="1"/>
    </xf>
    <xf numFmtId="0" fontId="7" fillId="0" borderId="16" xfId="0" applyFont="1" applyBorder="1" applyAlignment="1">
      <alignment horizontal="left" vertical="center"/>
    </xf>
    <xf numFmtId="0" fontId="6" fillId="0" borderId="17" xfId="0" applyFont="1" applyFill="1" applyBorder="1" applyAlignment="1">
      <alignment horizontal="left" vertical="center" wrapText="1" indent="1"/>
    </xf>
    <xf numFmtId="0" fontId="8" fillId="0" borderId="20" xfId="0" applyFont="1" applyBorder="1" applyAlignment="1">
      <alignment horizontal="center" vertical="center"/>
    </xf>
    <xf numFmtId="0" fontId="8" fillId="0" borderId="2" xfId="0" applyFont="1" applyBorder="1" applyAlignment="1">
      <alignment horizontal="center" vertical="center"/>
    </xf>
    <xf numFmtId="0" fontId="8" fillId="0" borderId="1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0" fillId="0" borderId="20" xfId="0" applyFont="1" applyBorder="1" applyAlignment="1">
      <alignment horizontal="center"/>
    </xf>
    <xf numFmtId="3" fontId="9" fillId="0" borderId="21" xfId="0" applyNumberFormat="1" applyFont="1" applyBorder="1" applyAlignment="1">
      <alignment horizontal="center"/>
    </xf>
    <xf numFmtId="0" fontId="10" fillId="0" borderId="11" xfId="0" applyFont="1" applyBorder="1" applyAlignment="1">
      <alignment horizontal="center" vertical="center" wrapText="1"/>
    </xf>
    <xf numFmtId="0" fontId="2" fillId="0" borderId="11" xfId="0" applyFont="1" applyBorder="1"/>
    <xf numFmtId="0" fontId="11" fillId="0" borderId="11" xfId="0" applyFont="1" applyBorder="1" applyAlignment="1">
      <alignment horizontal="left" indent="1"/>
    </xf>
    <xf numFmtId="0" fontId="4" fillId="0" borderId="13" xfId="0" applyFont="1" applyBorder="1" applyAlignment="1">
      <alignment horizontal="left" vertical="center" wrapText="1"/>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2" fillId="0" borderId="11" xfId="0" applyFont="1" applyBorder="1" applyAlignment="1">
      <alignment horizontal="left" indent="1"/>
    </xf>
    <xf numFmtId="0" fontId="12" fillId="0" borderId="11" xfId="0" applyFont="1" applyBorder="1" applyAlignment="1">
      <alignment horizontal="left"/>
    </xf>
    <xf numFmtId="0" fontId="11" fillId="3" borderId="11" xfId="0" applyFont="1" applyFill="1" applyBorder="1" applyAlignment="1">
      <alignment horizontal="left" indent="1"/>
    </xf>
    <xf numFmtId="0" fontId="11" fillId="0" borderId="23" xfId="0" applyFont="1" applyBorder="1"/>
    <xf numFmtId="0" fontId="11" fillId="0" borderId="24" xfId="0" applyFont="1" applyBorder="1" applyAlignment="1">
      <alignment horizontal="left" vertical="center" wrapText="1" indent="1"/>
    </xf>
    <xf numFmtId="0" fontId="13" fillId="0" borderId="22" xfId="0" applyFont="1" applyBorder="1" applyAlignment="1">
      <alignment horizontal="center" vertical="center"/>
    </xf>
    <xf numFmtId="0" fontId="13" fillId="0" borderId="11" xfId="0" applyFont="1" applyBorder="1" applyAlignment="1">
      <alignment horizontal="center" vertical="center"/>
    </xf>
    <xf numFmtId="0" fontId="13" fillId="0" borderId="22" xfId="0" applyFont="1" applyBorder="1" applyAlignment="1">
      <alignment horizontal="center" vertical="center" wrapText="1"/>
    </xf>
    <xf numFmtId="0" fontId="13" fillId="0" borderId="27" xfId="0" applyFont="1" applyBorder="1" applyAlignment="1">
      <alignment horizontal="center" vertical="center"/>
    </xf>
    <xf numFmtId="0" fontId="14" fillId="0" borderId="41" xfId="0" applyFont="1" applyFill="1" applyBorder="1" applyAlignment="1">
      <alignment horizontal="center" vertical="center" wrapText="1"/>
    </xf>
    <xf numFmtId="0" fontId="14" fillId="0" borderId="44" xfId="0" applyFont="1" applyFill="1" applyBorder="1" applyAlignment="1">
      <alignment horizontal="center" vertical="center" wrapText="1"/>
    </xf>
    <xf numFmtId="0" fontId="0" fillId="0" borderId="54" xfId="0" applyFont="1" applyBorder="1" applyAlignment="1">
      <alignment horizontal="center" vertical="center"/>
    </xf>
    <xf numFmtId="0" fontId="0" fillId="0" borderId="46" xfId="0" applyFont="1" applyBorder="1" applyAlignment="1">
      <alignment horizontal="center" vertical="center"/>
    </xf>
    <xf numFmtId="0" fontId="9" fillId="0" borderId="20" xfId="0" applyFont="1" applyBorder="1" applyAlignment="1">
      <alignment vertical="center" wrapText="1"/>
    </xf>
    <xf numFmtId="0" fontId="9" fillId="0" borderId="35" xfId="0" applyFont="1" applyBorder="1" applyAlignment="1">
      <alignment vertical="center" wrapText="1"/>
    </xf>
    <xf numFmtId="0" fontId="9" fillId="0" borderId="17" xfId="0" applyFont="1" applyBorder="1" applyAlignment="1">
      <alignment vertical="center" wrapText="1"/>
    </xf>
    <xf numFmtId="0" fontId="11" fillId="0" borderId="27" xfId="0" applyFont="1" applyBorder="1" applyAlignment="1">
      <alignment vertical="center" wrapText="1"/>
    </xf>
    <xf numFmtId="0" fontId="11" fillId="0" borderId="34" xfId="0" applyFont="1" applyFill="1" applyBorder="1" applyAlignment="1">
      <alignment horizontal="left" vertical="center" wrapText="1" indent="1"/>
    </xf>
    <xf numFmtId="0" fontId="0" fillId="0" borderId="54" xfId="0" applyFont="1" applyBorder="1" applyAlignment="1">
      <alignment horizontal="left" vertical="center"/>
    </xf>
    <xf numFmtId="0" fontId="0" fillId="0" borderId="46" xfId="0" applyFont="1" applyBorder="1" applyAlignment="1">
      <alignment horizontal="left" vertical="center"/>
    </xf>
    <xf numFmtId="0" fontId="0" fillId="0" borderId="54" xfId="0" applyBorder="1" applyAlignment="1">
      <alignment horizontal="left"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50" xfId="0" applyBorder="1" applyAlignment="1">
      <alignment horizontal="left" vertical="center"/>
    </xf>
    <xf numFmtId="0" fontId="9" fillId="0" borderId="34" xfId="0" applyFont="1" applyBorder="1" applyAlignment="1">
      <alignment horizontal="left" vertical="center" wrapText="1"/>
    </xf>
    <xf numFmtId="0" fontId="0" fillId="0" borderId="22"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35"/>
  <sheetViews>
    <sheetView tabSelected="1" zoomScale="80" zoomScaleNormal="80" workbookViewId="0">
      <selection activeCell="I10" sqref="I10:I11"/>
    </sheetView>
  </sheetViews>
  <sheetFormatPr baseColWidth="10" defaultColWidth="11" defaultRowHeight="12.75" x14ac:dyDescent="0.2"/>
  <cols>
    <col min="1" max="1" width="4.5703125" style="29" customWidth="1"/>
    <col min="2" max="2" width="12.85546875" style="29" customWidth="1"/>
    <col min="3" max="3" width="32.42578125" style="29" customWidth="1"/>
    <col min="4" max="4" width="8.42578125" style="29" customWidth="1"/>
    <col min="5" max="5" width="79" style="29" customWidth="1"/>
    <col min="6" max="6" width="11.7109375" style="29" customWidth="1"/>
    <col min="7" max="7" width="12.7109375" style="29" customWidth="1"/>
    <col min="8" max="8" width="13.85546875" style="29" customWidth="1"/>
    <col min="9" max="9" width="18.5703125" style="29" customWidth="1"/>
    <col min="10" max="10" width="11" style="57"/>
    <col min="11" max="14" width="11" style="55"/>
    <col min="15" max="16384" width="11" style="29"/>
  </cols>
  <sheetData>
    <row r="2" spans="1:9" ht="27" x14ac:dyDescent="0.35">
      <c r="B2" s="109" t="s">
        <v>0</v>
      </c>
      <c r="C2" s="109"/>
      <c r="D2" s="109"/>
      <c r="E2" s="109"/>
      <c r="F2" s="109"/>
      <c r="G2" s="109"/>
      <c r="H2" s="109"/>
    </row>
    <row r="4" spans="1:9" ht="18" customHeight="1" x14ac:dyDescent="0.25">
      <c r="A4" s="110" t="s">
        <v>1</v>
      </c>
      <c r="B4" s="110"/>
      <c r="C4" s="111" t="s">
        <v>59</v>
      </c>
      <c r="D4" s="111"/>
      <c r="E4" s="111"/>
      <c r="F4" s="30"/>
      <c r="G4" s="31"/>
      <c r="H4" s="30"/>
    </row>
    <row r="5" spans="1:9" ht="18" customHeight="1" x14ac:dyDescent="0.25">
      <c r="A5" s="110" t="s">
        <v>2</v>
      </c>
      <c r="B5" s="110"/>
      <c r="C5" s="111" t="s">
        <v>62</v>
      </c>
      <c r="D5" s="111"/>
      <c r="E5" s="111"/>
      <c r="F5" s="30"/>
      <c r="G5" s="31"/>
      <c r="H5" s="30"/>
    </row>
    <row r="6" spans="1:9" ht="16.5" customHeight="1" x14ac:dyDescent="0.25">
      <c r="A6" s="110" t="s">
        <v>3</v>
      </c>
      <c r="B6" s="110"/>
      <c r="C6" s="46">
        <v>2021</v>
      </c>
      <c r="D6" s="41"/>
      <c r="E6" s="41"/>
      <c r="F6" s="30"/>
      <c r="G6" s="31"/>
      <c r="H6" s="30"/>
    </row>
    <row r="7" spans="1:9" ht="16.5" customHeight="1" x14ac:dyDescent="0.25">
      <c r="A7" s="110" t="s">
        <v>4</v>
      </c>
      <c r="B7" s="110"/>
      <c r="C7" s="46">
        <v>1</v>
      </c>
      <c r="D7" s="41"/>
      <c r="E7" s="41"/>
      <c r="F7" s="30"/>
      <c r="G7" s="31"/>
      <c r="H7" s="30"/>
    </row>
    <row r="8" spans="1:9" ht="13.5" thickBot="1" x14ac:dyDescent="0.25">
      <c r="B8" s="30"/>
      <c r="C8" s="31"/>
      <c r="D8" s="30"/>
      <c r="E8" s="30"/>
      <c r="F8" s="30"/>
      <c r="G8" s="31"/>
      <c r="H8" s="30"/>
    </row>
    <row r="9" spans="1:9" ht="39" thickBot="1" x14ac:dyDescent="0.25">
      <c r="A9" s="94" t="s">
        <v>5</v>
      </c>
      <c r="B9" s="95" t="s">
        <v>6</v>
      </c>
      <c r="C9" s="96" t="s">
        <v>7</v>
      </c>
      <c r="D9" s="97" t="s">
        <v>8</v>
      </c>
      <c r="E9" s="98" t="s">
        <v>9</v>
      </c>
      <c r="F9" s="98" t="s">
        <v>10</v>
      </c>
      <c r="G9" s="98" t="s">
        <v>11</v>
      </c>
      <c r="H9" s="98" t="s">
        <v>12</v>
      </c>
      <c r="I9" s="96" t="s">
        <v>13</v>
      </c>
    </row>
    <row r="10" spans="1:9" ht="42.75" customHeight="1" x14ac:dyDescent="0.2">
      <c r="A10" s="88">
        <v>1</v>
      </c>
      <c r="B10" s="100" t="s">
        <v>67</v>
      </c>
      <c r="C10" s="100" t="s">
        <v>68</v>
      </c>
      <c r="D10" s="79" t="s">
        <v>77</v>
      </c>
      <c r="E10" s="78" t="s">
        <v>69</v>
      </c>
      <c r="F10" s="90" t="s">
        <v>70</v>
      </c>
      <c r="G10" s="91">
        <v>75</v>
      </c>
      <c r="H10" s="92">
        <v>5660</v>
      </c>
      <c r="I10" s="93">
        <f>H10*G10</f>
        <v>424500</v>
      </c>
    </row>
    <row r="11" spans="1:9" ht="49.5" customHeight="1" thickBot="1" x14ac:dyDescent="0.25">
      <c r="A11" s="80">
        <v>2</v>
      </c>
      <c r="B11" s="99" t="s">
        <v>71</v>
      </c>
      <c r="C11" s="99" t="s">
        <v>72</v>
      </c>
      <c r="D11" s="82" t="s">
        <v>78</v>
      </c>
      <c r="E11" s="83" t="s">
        <v>73</v>
      </c>
      <c r="F11" s="84" t="s">
        <v>70</v>
      </c>
      <c r="G11" s="85">
        <v>49</v>
      </c>
      <c r="H11" s="86">
        <v>7916</v>
      </c>
      <c r="I11" s="87">
        <f>H11*G11</f>
        <v>387884</v>
      </c>
    </row>
    <row r="12" spans="1:9" ht="13.5" thickBot="1" x14ac:dyDescent="0.25"/>
    <row r="13" spans="1:9" x14ac:dyDescent="0.2">
      <c r="B13" s="32" t="s">
        <v>14</v>
      </c>
      <c r="C13" s="33"/>
      <c r="D13" s="33"/>
      <c r="E13" s="34"/>
    </row>
    <row r="14" spans="1:9" ht="5.25" customHeight="1" x14ac:dyDescent="0.2">
      <c r="B14" s="35"/>
      <c r="C14" s="36"/>
      <c r="D14" s="36"/>
      <c r="E14" s="37"/>
    </row>
    <row r="15" spans="1:9" x14ac:dyDescent="0.2">
      <c r="B15" s="38" t="s">
        <v>15</v>
      </c>
      <c r="C15" s="36"/>
      <c r="D15" s="36"/>
      <c r="E15" s="37"/>
    </row>
    <row r="16" spans="1:9" ht="45.75" customHeight="1" thickBot="1" x14ac:dyDescent="0.25">
      <c r="B16" s="38"/>
      <c r="C16" s="114" t="s">
        <v>69</v>
      </c>
      <c r="D16" s="114"/>
      <c r="E16" s="115"/>
    </row>
    <row r="17" spans="2:7" ht="16.5" customHeight="1" x14ac:dyDescent="0.2">
      <c r="B17" s="32" t="s">
        <v>75</v>
      </c>
      <c r="C17" s="33"/>
      <c r="D17" s="76"/>
      <c r="E17" s="77"/>
    </row>
    <row r="18" spans="2:7" ht="16.5" customHeight="1" x14ac:dyDescent="0.2">
      <c r="B18" s="38" t="s">
        <v>15</v>
      </c>
      <c r="C18" s="76"/>
      <c r="D18" s="76"/>
      <c r="E18" s="77"/>
    </row>
    <row r="19" spans="2:7" ht="39.75" customHeight="1" x14ac:dyDescent="0.2">
      <c r="B19" s="38"/>
      <c r="C19" s="101" t="s">
        <v>73</v>
      </c>
      <c r="D19" s="76"/>
      <c r="E19" s="77"/>
    </row>
    <row r="20" spans="2:7" ht="20.25" customHeight="1" x14ac:dyDescent="0.2">
      <c r="B20" s="38" t="s">
        <v>16</v>
      </c>
      <c r="C20" s="47"/>
      <c r="D20" s="47"/>
      <c r="E20" s="48"/>
    </row>
    <row r="21" spans="2:7" ht="53.25" customHeight="1" x14ac:dyDescent="0.2">
      <c r="B21" s="39"/>
      <c r="C21" s="116" t="s">
        <v>74</v>
      </c>
      <c r="D21" s="116"/>
      <c r="E21" s="117"/>
    </row>
    <row r="22" spans="2:7" x14ac:dyDescent="0.2">
      <c r="B22" s="38" t="s">
        <v>17</v>
      </c>
      <c r="C22" s="47"/>
      <c r="D22" s="47"/>
      <c r="E22" s="48"/>
      <c r="G22" s="54"/>
    </row>
    <row r="23" spans="2:7" x14ac:dyDescent="0.2">
      <c r="B23" s="39"/>
      <c r="C23" s="112" t="s">
        <v>63</v>
      </c>
      <c r="D23" s="112"/>
      <c r="E23" s="112"/>
    </row>
    <row r="24" spans="2:7" x14ac:dyDescent="0.2">
      <c r="B24" s="38" t="s">
        <v>18</v>
      </c>
      <c r="C24" s="49"/>
      <c r="D24" s="49"/>
      <c r="E24" s="50"/>
    </row>
    <row r="25" spans="2:7" x14ac:dyDescent="0.2">
      <c r="B25" s="39"/>
      <c r="C25" s="112" t="s">
        <v>66</v>
      </c>
      <c r="D25" s="112"/>
      <c r="E25" s="112"/>
    </row>
    <row r="26" spans="2:7" x14ac:dyDescent="0.2">
      <c r="B26" s="38" t="s">
        <v>19</v>
      </c>
      <c r="C26" s="47"/>
      <c r="D26" s="47"/>
      <c r="E26" s="48"/>
    </row>
    <row r="27" spans="2:7" x14ac:dyDescent="0.2">
      <c r="B27" s="38"/>
      <c r="C27" s="113"/>
      <c r="D27" s="113"/>
      <c r="E27" s="113"/>
    </row>
    <row r="28" spans="2:7" ht="13.5" thickBot="1" x14ac:dyDescent="0.25">
      <c r="B28" s="40"/>
      <c r="C28" s="51"/>
      <c r="D28" s="51"/>
      <c r="E28" s="52"/>
    </row>
    <row r="29" spans="2:7" x14ac:dyDescent="0.2">
      <c r="C29" s="53"/>
      <c r="D29" s="53"/>
      <c r="E29" s="53"/>
    </row>
    <row r="30" spans="2:7" x14ac:dyDescent="0.2">
      <c r="B30"/>
      <c r="C30"/>
      <c r="D30"/>
      <c r="E30"/>
      <c r="F30"/>
    </row>
    <row r="33" spans="5:5" ht="16.5" x14ac:dyDescent="0.2">
      <c r="E33" s="74"/>
    </row>
    <row r="34" spans="5:5" ht="16.5" x14ac:dyDescent="0.2">
      <c r="E34" s="75"/>
    </row>
    <row r="35" spans="5:5" ht="16.5" x14ac:dyDescent="0.2">
      <c r="E35" s="75"/>
    </row>
  </sheetData>
  <mergeCells count="12">
    <mergeCell ref="C23:E23"/>
    <mergeCell ref="C25:E25"/>
    <mergeCell ref="C27:E27"/>
    <mergeCell ref="A6:B6"/>
    <mergeCell ref="A7:B7"/>
    <mergeCell ref="C16:E16"/>
    <mergeCell ref="C21:E21"/>
    <mergeCell ref="B2:H2"/>
    <mergeCell ref="A4:B4"/>
    <mergeCell ref="C4:E4"/>
    <mergeCell ref="A5:B5"/>
    <mergeCell ref="C5:E5"/>
  </mergeCells>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4"/>
  <sheetViews>
    <sheetView zoomScale="110" zoomScaleNormal="110" workbookViewId="0">
      <selection activeCell="D7" sqref="D7:K7"/>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4" ht="18" customHeight="1" x14ac:dyDescent="0.2">
      <c r="A1" s="118" t="s">
        <v>20</v>
      </c>
      <c r="B1" s="118"/>
      <c r="C1" s="118"/>
      <c r="D1" s="118"/>
      <c r="E1" s="118"/>
      <c r="F1" s="118"/>
      <c r="G1" s="118"/>
      <c r="H1" s="118"/>
      <c r="I1" s="118"/>
      <c r="J1" s="3" t="s">
        <v>21</v>
      </c>
      <c r="K1" s="56" t="s">
        <v>76</v>
      </c>
    </row>
    <row r="2" spans="1:14" ht="18.75" customHeight="1" thickBot="1" x14ac:dyDescent="0.25">
      <c r="A2" s="4"/>
      <c r="B2" s="4"/>
      <c r="C2" s="4"/>
      <c r="D2" s="5"/>
      <c r="E2" s="5"/>
      <c r="F2" s="5"/>
      <c r="G2" s="5"/>
      <c r="H2" s="5"/>
      <c r="I2" s="5"/>
      <c r="J2" s="5"/>
      <c r="K2" s="5"/>
    </row>
    <row r="3" spans="1:14" ht="18.75" customHeight="1" thickBot="1" x14ac:dyDescent="0.25">
      <c r="A3" s="119" t="s">
        <v>55</v>
      </c>
      <c r="B3" s="119"/>
      <c r="C3" s="119"/>
      <c r="D3" s="121" t="s">
        <v>60</v>
      </c>
      <c r="E3" s="121"/>
      <c r="F3" s="121"/>
      <c r="G3" s="121"/>
      <c r="H3" s="121"/>
      <c r="I3" s="121"/>
      <c r="J3" s="121"/>
      <c r="K3" s="121"/>
    </row>
    <row r="4" spans="1:14" ht="18.75" customHeight="1" thickBot="1" x14ac:dyDescent="0.25">
      <c r="A4" s="120" t="s">
        <v>56</v>
      </c>
      <c r="B4" s="120"/>
      <c r="C4" s="120"/>
      <c r="D4" s="121" t="s">
        <v>65</v>
      </c>
      <c r="E4" s="121"/>
      <c r="F4" s="121"/>
      <c r="G4" s="121"/>
      <c r="H4" s="121"/>
      <c r="I4" s="121"/>
      <c r="J4" s="121"/>
      <c r="K4" s="121"/>
    </row>
    <row r="5" spans="1:14" ht="18.75" customHeight="1" thickBot="1" x14ac:dyDescent="0.25">
      <c r="A5" s="120" t="s">
        <v>34</v>
      </c>
      <c r="B5" s="120"/>
      <c r="C5" s="120"/>
      <c r="D5" s="122" t="s">
        <v>64</v>
      </c>
      <c r="E5" s="122"/>
      <c r="F5" s="122"/>
      <c r="G5" s="122"/>
      <c r="H5" s="122"/>
      <c r="I5" s="122"/>
      <c r="J5" s="122"/>
      <c r="K5" s="122"/>
    </row>
    <row r="6" spans="1:14" ht="16.5" customHeight="1" thickBot="1" x14ac:dyDescent="0.25">
      <c r="A6" s="119" t="s">
        <v>57</v>
      </c>
      <c r="B6" s="119"/>
      <c r="C6" s="119"/>
      <c r="D6" s="125" t="s">
        <v>81</v>
      </c>
      <c r="E6" s="125"/>
      <c r="F6" s="125"/>
      <c r="G6" s="125"/>
      <c r="H6" s="125"/>
      <c r="I6" s="125"/>
      <c r="J6" s="125"/>
      <c r="K6" s="125"/>
      <c r="L6" s="125"/>
      <c r="M6" s="125"/>
      <c r="N6" s="125"/>
    </row>
    <row r="7" spans="1:14" ht="16.5" customHeight="1" thickBot="1" x14ac:dyDescent="0.25">
      <c r="A7" s="120" t="s">
        <v>22</v>
      </c>
      <c r="B7" s="120"/>
      <c r="C7" s="120"/>
      <c r="D7" s="121" t="s">
        <v>61</v>
      </c>
      <c r="E7" s="121"/>
      <c r="F7" s="121"/>
      <c r="G7" s="121"/>
      <c r="H7" s="121"/>
      <c r="I7" s="121"/>
      <c r="J7" s="121"/>
      <c r="K7" s="121"/>
    </row>
    <row r="8" spans="1:14" ht="16.5" customHeight="1" thickBot="1" x14ac:dyDescent="0.25">
      <c r="A8" s="126" t="s">
        <v>23</v>
      </c>
      <c r="B8" s="126"/>
      <c r="C8" s="126"/>
      <c r="D8" s="127" t="s">
        <v>83</v>
      </c>
      <c r="E8" s="127"/>
      <c r="F8" s="127"/>
      <c r="G8" s="127"/>
      <c r="H8" s="127"/>
      <c r="I8" s="127"/>
      <c r="J8" s="127"/>
      <c r="K8" s="127"/>
    </row>
    <row r="9" spans="1:14" ht="16.5" thickBot="1" x14ac:dyDescent="0.25">
      <c r="A9" s="6"/>
      <c r="B9" s="6"/>
      <c r="C9" s="6"/>
      <c r="D9" s="7"/>
      <c r="E9" s="7"/>
      <c r="F9" s="7"/>
      <c r="G9" s="7"/>
      <c r="H9" s="7"/>
      <c r="I9" s="7"/>
      <c r="J9" s="7"/>
      <c r="K9" s="7"/>
    </row>
    <row r="10" spans="1:14" ht="18.75" customHeight="1" thickBot="1" x14ac:dyDescent="0.25">
      <c r="A10" s="128" t="s">
        <v>24</v>
      </c>
      <c r="B10" s="130" t="s">
        <v>25</v>
      </c>
      <c r="C10" s="131" t="s">
        <v>26</v>
      </c>
      <c r="D10" s="132"/>
      <c r="E10" s="132"/>
      <c r="F10" s="132"/>
      <c r="G10" s="133"/>
      <c r="H10" s="134" t="s">
        <v>27</v>
      </c>
      <c r="I10" s="132" t="s">
        <v>28</v>
      </c>
      <c r="J10" s="132" t="s">
        <v>29</v>
      </c>
      <c r="K10" s="133" t="s">
        <v>30</v>
      </c>
    </row>
    <row r="11" spans="1:14" ht="24" customHeight="1" thickBot="1" x14ac:dyDescent="0.25">
      <c r="A11" s="129"/>
      <c r="B11" s="130"/>
      <c r="C11" s="131"/>
      <c r="D11" s="132"/>
      <c r="E11" s="132"/>
      <c r="F11" s="132"/>
      <c r="G11" s="133"/>
      <c r="H11" s="135"/>
      <c r="I11" s="136"/>
      <c r="J11" s="136"/>
      <c r="K11" s="137"/>
    </row>
    <row r="12" spans="1:14" ht="36.75" customHeight="1" thickBot="1" x14ac:dyDescent="0.25">
      <c r="A12" s="42">
        <v>1</v>
      </c>
      <c r="B12" s="89" t="s">
        <v>67</v>
      </c>
      <c r="C12" s="78" t="s">
        <v>69</v>
      </c>
      <c r="D12" s="78"/>
      <c r="E12" s="78"/>
      <c r="F12" s="78"/>
      <c r="G12" s="78"/>
      <c r="H12" s="42" t="s">
        <v>31</v>
      </c>
      <c r="I12" s="43" t="str">
        <f>'Necesidades Trimestrales'!F10</f>
        <v>UNIDAD</v>
      </c>
      <c r="J12" s="45">
        <f>+'Necesidades Trimestrales'!H10</f>
        <v>5660</v>
      </c>
      <c r="K12" s="44">
        <f>+'Necesidades Trimestrales'!G10</f>
        <v>75</v>
      </c>
    </row>
    <row r="13" spans="1:14" ht="36.75" customHeight="1" thickBot="1" x14ac:dyDescent="0.25">
      <c r="A13" s="42">
        <v>2</v>
      </c>
      <c r="B13" s="81" t="s">
        <v>71</v>
      </c>
      <c r="C13" s="83" t="s">
        <v>73</v>
      </c>
      <c r="D13" s="83"/>
      <c r="E13" s="83"/>
      <c r="F13" s="83"/>
      <c r="G13" s="83"/>
      <c r="H13" s="42" t="s">
        <v>31</v>
      </c>
      <c r="I13" s="43" t="str">
        <f>'Necesidades Trimestrales'!F11</f>
        <v>UNIDAD</v>
      </c>
      <c r="J13" s="45">
        <f>+'Necesidades Trimestrales'!H11</f>
        <v>7916</v>
      </c>
      <c r="K13" s="44">
        <f>+'Necesidades Trimestrales'!G11</f>
        <v>49</v>
      </c>
    </row>
    <row r="14" spans="1:14" ht="20.25" customHeight="1" thickBot="1" x14ac:dyDescent="0.25">
      <c r="A14" s="123" t="s">
        <v>85</v>
      </c>
      <c r="B14" s="123"/>
      <c r="C14" s="123"/>
      <c r="D14" s="123"/>
      <c r="E14" s="123"/>
      <c r="F14" s="123"/>
      <c r="G14" s="123"/>
      <c r="H14" s="123"/>
      <c r="I14" s="123"/>
      <c r="J14" s="124">
        <f>+J12*K12+J13*K13</f>
        <v>812384</v>
      </c>
      <c r="K14" s="124"/>
    </row>
  </sheetData>
  <mergeCells count="22">
    <mergeCell ref="A14:I14"/>
    <mergeCell ref="J14:K14"/>
    <mergeCell ref="D6:N6"/>
    <mergeCell ref="A8:C8"/>
    <mergeCell ref="D8:K8"/>
    <mergeCell ref="A10:A11"/>
    <mergeCell ref="B10:B11"/>
    <mergeCell ref="C10:G11"/>
    <mergeCell ref="H10:H11"/>
    <mergeCell ref="I10:I11"/>
    <mergeCell ref="J10:J11"/>
    <mergeCell ref="K10:K11"/>
    <mergeCell ref="A1:I1"/>
    <mergeCell ref="A6:C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7"/>
  <sheetViews>
    <sheetView topLeftCell="A10" zoomScale="130" zoomScaleNormal="130" workbookViewId="0">
      <selection activeCell="G25" sqref="G25:Q25"/>
    </sheetView>
  </sheetViews>
  <sheetFormatPr baseColWidth="10" defaultColWidth="11" defaultRowHeight="12.75" x14ac:dyDescent="0.2"/>
  <cols>
    <col min="1" max="5" width="4.42578125" customWidth="1"/>
    <col min="6" max="6" width="6.140625" customWidth="1"/>
    <col min="7" max="7" width="4.42578125" style="8" customWidth="1"/>
    <col min="8" max="14" width="4.42578125" customWidth="1"/>
    <col min="15" max="16" width="14.85546875" customWidth="1"/>
    <col min="17" max="17" width="14.7109375" customWidth="1"/>
    <col min="19" max="19" width="11.7109375" bestFit="1" customWidth="1"/>
  </cols>
  <sheetData>
    <row r="1" spans="1:19" ht="15.75" customHeight="1" x14ac:dyDescent="0.25">
      <c r="A1" s="138" t="s">
        <v>3</v>
      </c>
      <c r="B1" s="138"/>
      <c r="C1" s="138"/>
      <c r="D1" s="139">
        <f>'Necesidades Trimestrales'!C6</f>
        <v>2021</v>
      </c>
      <c r="E1" s="139"/>
      <c r="F1" s="9"/>
      <c r="G1" s="9"/>
      <c r="H1" s="10"/>
      <c r="I1" s="10"/>
      <c r="J1" s="10"/>
      <c r="K1" s="10"/>
      <c r="L1" s="10"/>
      <c r="M1" s="10"/>
      <c r="N1" s="10"/>
      <c r="P1" s="140" t="s">
        <v>32</v>
      </c>
      <c r="Q1" s="140"/>
    </row>
    <row r="2" spans="1:19" ht="15.75" customHeight="1" x14ac:dyDescent="0.2">
      <c r="H2" s="10"/>
      <c r="I2" s="10"/>
      <c r="J2" s="10"/>
      <c r="K2" s="10"/>
      <c r="L2" s="10"/>
      <c r="M2" s="10"/>
      <c r="N2" s="10"/>
      <c r="P2" s="140"/>
      <c r="Q2" s="140"/>
    </row>
    <row r="4" spans="1:19" s="11" customFormat="1" ht="18" customHeight="1" thickBot="1" x14ac:dyDescent="0.25">
      <c r="A4" s="141" t="s">
        <v>33</v>
      </c>
      <c r="B4" s="141"/>
      <c r="C4" s="141"/>
      <c r="D4" s="141"/>
      <c r="E4" s="141"/>
      <c r="F4" s="141"/>
      <c r="G4" s="142" t="str">
        <f>' NotaPedido'!D3</f>
        <v>90 - MINISTERIO DE SEGURIDAD</v>
      </c>
      <c r="H4" s="142"/>
      <c r="I4" s="142"/>
      <c r="J4" s="142"/>
      <c r="K4" s="142"/>
      <c r="L4" s="142"/>
      <c r="M4" s="142"/>
      <c r="N4" s="142"/>
      <c r="O4" s="142"/>
      <c r="P4" s="142"/>
      <c r="Q4" s="142"/>
    </row>
    <row r="5" spans="1:19" s="11" customFormat="1" ht="18" customHeight="1" thickBot="1" x14ac:dyDescent="0.25">
      <c r="A5" s="143" t="s">
        <v>56</v>
      </c>
      <c r="B5" s="144"/>
      <c r="C5" s="144"/>
      <c r="D5" s="144"/>
      <c r="E5" s="144"/>
      <c r="F5" s="145"/>
      <c r="G5" s="146" t="str">
        <f>' NotaPedido'!D4</f>
        <v>SAF 19 - DIRECCION PROVINCIAL DE ADM. Y RR.HH. DEL MINISTERIO DE SEGURIDAD</v>
      </c>
      <c r="H5" s="146"/>
      <c r="I5" s="146"/>
      <c r="J5" s="146"/>
      <c r="K5" s="146"/>
      <c r="L5" s="146"/>
      <c r="M5" s="146"/>
      <c r="N5" s="146"/>
      <c r="O5" s="146"/>
      <c r="P5" s="146"/>
      <c r="Q5" s="146"/>
    </row>
    <row r="6" spans="1:19" s="11" customFormat="1" ht="18" customHeight="1" thickBot="1" x14ac:dyDescent="0.25">
      <c r="A6" s="143" t="s">
        <v>34</v>
      </c>
      <c r="B6" s="144"/>
      <c r="C6" s="144"/>
      <c r="D6" s="144"/>
      <c r="E6" s="144"/>
      <c r="F6" s="145"/>
      <c r="G6" s="148" t="str">
        <f>' NotaPedido'!D5</f>
        <v>MINISTERIO DE SEGUIRIDAD</v>
      </c>
      <c r="H6" s="148"/>
      <c r="I6" s="148"/>
      <c r="J6" s="148"/>
      <c r="K6" s="148"/>
      <c r="L6" s="148"/>
      <c r="M6" s="148"/>
      <c r="N6" s="148"/>
      <c r="O6" s="148"/>
      <c r="P6" s="148"/>
      <c r="Q6" s="148"/>
    </row>
    <row r="7" spans="1:19" s="11" customFormat="1" ht="18" customHeight="1" thickBot="1" x14ac:dyDescent="0.25">
      <c r="A7" s="143" t="s">
        <v>57</v>
      </c>
      <c r="B7" s="144"/>
      <c r="C7" s="144"/>
      <c r="D7" s="144"/>
      <c r="E7" s="144"/>
      <c r="F7" s="145"/>
      <c r="G7" s="148" t="s">
        <v>81</v>
      </c>
      <c r="H7" s="148"/>
      <c r="I7" s="148"/>
      <c r="J7" s="148"/>
      <c r="K7" s="148"/>
      <c r="L7" s="148"/>
      <c r="M7" s="148"/>
      <c r="N7" s="148"/>
      <c r="O7" s="148"/>
      <c r="P7" s="148"/>
      <c r="Q7" s="148"/>
    </row>
    <row r="8" spans="1:19" ht="18" customHeight="1" thickBot="1" x14ac:dyDescent="0.25">
      <c r="A8" s="147" t="s">
        <v>35</v>
      </c>
      <c r="B8" s="147"/>
      <c r="C8" s="147"/>
      <c r="D8" s="147"/>
      <c r="E8" s="147"/>
      <c r="F8" s="147"/>
      <c r="G8" s="147"/>
      <c r="H8" s="147"/>
      <c r="I8" s="147"/>
      <c r="J8" s="147"/>
      <c r="K8" s="147"/>
      <c r="L8" s="147"/>
      <c r="M8" s="147"/>
      <c r="N8" s="147"/>
      <c r="O8" s="147"/>
      <c r="P8" s="147"/>
      <c r="Q8" s="147"/>
    </row>
    <row r="9" spans="1:19" ht="18" customHeight="1" x14ac:dyDescent="0.2">
      <c r="A9" s="149" t="s">
        <v>36</v>
      </c>
      <c r="B9" s="149"/>
      <c r="C9" s="149"/>
      <c r="D9" s="149"/>
      <c r="E9" s="149"/>
      <c r="F9" s="149"/>
      <c r="G9" s="149"/>
      <c r="H9" s="149"/>
      <c r="I9" s="149"/>
      <c r="J9" s="149"/>
      <c r="K9" s="149"/>
      <c r="L9" s="149"/>
      <c r="M9" s="149"/>
      <c r="N9" s="149"/>
      <c r="O9" s="1"/>
      <c r="P9" s="1"/>
      <c r="Q9" s="12"/>
    </row>
    <row r="10" spans="1:19" ht="54.75" customHeight="1" x14ac:dyDescent="0.2">
      <c r="A10" s="150"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004/2021,  afectando la erogación resultante a los créditos presupuestarios aprobados a favor de esta Unidad Ejecutora, conforme al siguiente detalle:</v>
      </c>
      <c r="B10" s="150"/>
      <c r="C10" s="150"/>
      <c r="D10" s="150"/>
      <c r="E10" s="150"/>
      <c r="F10" s="150"/>
      <c r="G10" s="150"/>
      <c r="H10" s="150"/>
      <c r="I10" s="150"/>
      <c r="J10" s="150"/>
      <c r="K10" s="150"/>
      <c r="L10" s="150"/>
      <c r="M10" s="150"/>
      <c r="N10" s="150"/>
      <c r="O10" s="150"/>
      <c r="P10" s="150"/>
      <c r="Q10" s="150"/>
    </row>
    <row r="11" spans="1:19" ht="9" customHeight="1" x14ac:dyDescent="0.2">
      <c r="A11" s="13"/>
      <c r="B11" s="14"/>
      <c r="C11" s="14"/>
      <c r="D11" s="14"/>
      <c r="E11" s="14"/>
      <c r="F11" s="14"/>
      <c r="G11" s="15"/>
      <c r="H11" s="14"/>
      <c r="I11" s="14"/>
      <c r="J11" s="14"/>
      <c r="K11" s="14"/>
      <c r="L11" s="14"/>
      <c r="M11" s="14"/>
      <c r="N11" s="14"/>
      <c r="O11" s="14"/>
      <c r="P11" s="14"/>
      <c r="Q11" s="16"/>
    </row>
    <row r="12" spans="1:19" ht="15.75" customHeight="1" x14ac:dyDescent="0.2">
      <c r="A12" s="151" t="s">
        <v>37</v>
      </c>
      <c r="B12" s="151"/>
      <c r="C12" s="151"/>
      <c r="D12" s="151"/>
      <c r="E12" s="151"/>
      <c r="F12" s="151"/>
      <c r="G12" s="151"/>
      <c r="H12" s="151"/>
      <c r="I12" s="151"/>
      <c r="J12" s="151"/>
      <c r="K12" s="151"/>
      <c r="L12" s="151"/>
      <c r="M12" s="151"/>
      <c r="N12" s="151"/>
      <c r="O12" s="151"/>
      <c r="P12" s="151"/>
      <c r="Q12" s="151"/>
    </row>
    <row r="13" spans="1:19" ht="15.75" customHeight="1" x14ac:dyDescent="0.2">
      <c r="A13" s="152" t="s">
        <v>38</v>
      </c>
      <c r="B13" s="152"/>
      <c r="C13" s="152"/>
      <c r="D13" s="152"/>
      <c r="E13" s="152"/>
      <c r="F13" s="152"/>
      <c r="G13" s="152"/>
      <c r="H13" s="152"/>
      <c r="I13" s="152"/>
      <c r="J13" s="152"/>
      <c r="K13" s="152"/>
      <c r="L13" s="152"/>
      <c r="M13" s="152"/>
      <c r="N13" s="152"/>
      <c r="O13" s="153" t="s">
        <v>39</v>
      </c>
      <c r="P13" s="153"/>
      <c r="Q13" s="154" t="s">
        <v>40</v>
      </c>
    </row>
    <row r="14" spans="1:19" ht="15.75" customHeight="1" x14ac:dyDescent="0.2">
      <c r="A14" s="17" t="s">
        <v>41</v>
      </c>
      <c r="B14" s="18" t="s">
        <v>42</v>
      </c>
      <c r="C14" s="18" t="s">
        <v>43</v>
      </c>
      <c r="D14" s="18" t="s">
        <v>44</v>
      </c>
      <c r="E14" s="18" t="s">
        <v>45</v>
      </c>
      <c r="F14" s="18" t="s">
        <v>46</v>
      </c>
      <c r="G14" s="19" t="s">
        <v>47</v>
      </c>
      <c r="H14" s="18" t="s">
        <v>48</v>
      </c>
      <c r="I14" s="18" t="s">
        <v>49</v>
      </c>
      <c r="J14" s="18" t="s">
        <v>50</v>
      </c>
      <c r="K14" s="18" t="s">
        <v>50</v>
      </c>
      <c r="L14" s="18" t="s">
        <v>51</v>
      </c>
      <c r="M14" s="20" t="s">
        <v>52</v>
      </c>
      <c r="N14" s="21" t="s">
        <v>53</v>
      </c>
      <c r="O14" s="153"/>
      <c r="P14" s="153"/>
      <c r="Q14" s="154"/>
    </row>
    <row r="15" spans="1:19" ht="17.25" customHeight="1" thickBot="1" x14ac:dyDescent="0.25">
      <c r="A15" s="58">
        <v>1</v>
      </c>
      <c r="B15" s="59">
        <v>0</v>
      </c>
      <c r="C15" s="59">
        <v>0</v>
      </c>
      <c r="D15" s="60">
        <v>3</v>
      </c>
      <c r="E15" s="59">
        <v>0</v>
      </c>
      <c r="F15" s="59">
        <v>4901</v>
      </c>
      <c r="G15" s="59">
        <v>2</v>
      </c>
      <c r="H15" s="60">
        <v>1</v>
      </c>
      <c r="I15" s="59">
        <v>2</v>
      </c>
      <c r="J15" s="59">
        <v>5</v>
      </c>
      <c r="K15" s="59">
        <v>8</v>
      </c>
      <c r="L15" s="59">
        <v>0</v>
      </c>
      <c r="M15" s="61">
        <v>1</v>
      </c>
      <c r="N15" s="62" t="s">
        <v>58</v>
      </c>
      <c r="O15" s="155" t="s">
        <v>79</v>
      </c>
      <c r="P15" s="156"/>
      <c r="Q15" s="71">
        <v>387884</v>
      </c>
      <c r="S15" s="102"/>
    </row>
    <row r="16" spans="1:19" ht="17.25" customHeight="1" x14ac:dyDescent="0.2">
      <c r="A16" s="58">
        <v>1</v>
      </c>
      <c r="B16" s="59">
        <v>0</v>
      </c>
      <c r="C16" s="59">
        <v>0</v>
      </c>
      <c r="D16" s="60">
        <v>3</v>
      </c>
      <c r="E16" s="59">
        <v>0</v>
      </c>
      <c r="F16" s="59">
        <v>4901</v>
      </c>
      <c r="G16" s="59">
        <v>2</v>
      </c>
      <c r="H16" s="60">
        <v>1</v>
      </c>
      <c r="I16" s="59">
        <v>2</v>
      </c>
      <c r="J16" s="59">
        <v>7</v>
      </c>
      <c r="K16" s="59">
        <v>1</v>
      </c>
      <c r="L16" s="59">
        <v>0</v>
      </c>
      <c r="M16" s="61">
        <v>1</v>
      </c>
      <c r="N16" s="62" t="s">
        <v>58</v>
      </c>
      <c r="O16" s="157" t="s">
        <v>80</v>
      </c>
      <c r="P16" s="158"/>
      <c r="Q16" s="72">
        <v>424500</v>
      </c>
    </row>
    <row r="17" spans="1:18" ht="17.25" customHeight="1" x14ac:dyDescent="0.2">
      <c r="A17" s="103"/>
      <c r="B17" s="104"/>
      <c r="C17" s="104"/>
      <c r="D17" s="105"/>
      <c r="E17" s="104"/>
      <c r="F17" s="104"/>
      <c r="G17" s="104"/>
      <c r="H17" s="105"/>
      <c r="I17" s="104"/>
      <c r="J17" s="104"/>
      <c r="K17" s="104"/>
      <c r="L17" s="104"/>
      <c r="M17" s="106"/>
      <c r="N17" s="107"/>
      <c r="O17" s="108"/>
      <c r="P17" s="64"/>
      <c r="Q17" s="72"/>
    </row>
    <row r="18" spans="1:18" ht="17.25" customHeight="1" x14ac:dyDescent="0.2">
      <c r="A18" s="103"/>
      <c r="B18" s="104"/>
      <c r="C18" s="104"/>
      <c r="D18" s="105"/>
      <c r="E18" s="104"/>
      <c r="F18" s="104"/>
      <c r="G18" s="104"/>
      <c r="H18" s="105"/>
      <c r="I18" s="104"/>
      <c r="J18" s="104"/>
      <c r="K18" s="104"/>
      <c r="L18" s="104"/>
      <c r="M18" s="106"/>
      <c r="N18" s="107"/>
      <c r="O18" s="108"/>
      <c r="P18" s="64"/>
      <c r="Q18" s="72"/>
    </row>
    <row r="19" spans="1:18" ht="17.25" customHeight="1" x14ac:dyDescent="0.2">
      <c r="A19" s="103"/>
      <c r="B19" s="104"/>
      <c r="C19" s="104"/>
      <c r="D19" s="105"/>
      <c r="E19" s="104"/>
      <c r="F19" s="104"/>
      <c r="G19" s="104"/>
      <c r="H19" s="105"/>
      <c r="I19" s="104"/>
      <c r="J19" s="104"/>
      <c r="K19" s="104"/>
      <c r="L19" s="104"/>
      <c r="M19" s="106"/>
      <c r="N19" s="107"/>
      <c r="O19" s="108"/>
      <c r="P19" s="64"/>
      <c r="Q19" s="72"/>
    </row>
    <row r="20" spans="1:18" ht="17.25" customHeight="1" x14ac:dyDescent="0.2">
      <c r="A20" s="63"/>
      <c r="B20" s="22"/>
      <c r="C20" s="22"/>
      <c r="D20" s="22"/>
      <c r="E20" s="22"/>
      <c r="F20" s="24"/>
      <c r="G20" s="22"/>
      <c r="H20" s="22"/>
      <c r="I20" s="22"/>
      <c r="J20" s="22"/>
      <c r="K20" s="22"/>
      <c r="L20" s="22"/>
      <c r="M20" s="23"/>
      <c r="N20" s="64"/>
      <c r="O20" s="164"/>
      <c r="P20" s="165"/>
      <c r="Q20" s="72"/>
    </row>
    <row r="21" spans="1:18" ht="17.25" customHeight="1" x14ac:dyDescent="0.2">
      <c r="A21" s="65"/>
      <c r="B21" s="25"/>
      <c r="C21" s="25"/>
      <c r="D21" s="25"/>
      <c r="E21" s="25"/>
      <c r="F21" s="26"/>
      <c r="G21" s="25"/>
      <c r="H21" s="25"/>
      <c r="I21" s="25"/>
      <c r="J21" s="25"/>
      <c r="K21" s="25"/>
      <c r="L21" s="25"/>
      <c r="M21" s="27"/>
      <c r="N21" s="66"/>
      <c r="O21" s="166"/>
      <c r="P21" s="167"/>
      <c r="Q21" s="72"/>
      <c r="R21" s="1"/>
    </row>
    <row r="22" spans="1:18" ht="17.25" customHeight="1" x14ac:dyDescent="0.2">
      <c r="A22" s="67"/>
      <c r="B22" s="68"/>
      <c r="C22" s="68"/>
      <c r="D22" s="68"/>
      <c r="E22" s="68"/>
      <c r="F22" s="68"/>
      <c r="G22" s="68"/>
      <c r="H22" s="68"/>
      <c r="I22" s="68"/>
      <c r="J22" s="68"/>
      <c r="K22" s="68"/>
      <c r="L22" s="68"/>
      <c r="M22" s="69"/>
      <c r="N22" s="70"/>
      <c r="O22" s="168"/>
      <c r="P22" s="169"/>
      <c r="Q22" s="73"/>
    </row>
    <row r="23" spans="1:18" ht="30.75" customHeight="1" x14ac:dyDescent="0.2">
      <c r="A23" s="170" t="s">
        <v>84</v>
      </c>
      <c r="B23" s="170"/>
      <c r="C23" s="170"/>
      <c r="D23" s="170"/>
      <c r="E23" s="170"/>
      <c r="F23" s="170"/>
      <c r="G23" s="170"/>
      <c r="H23" s="170"/>
      <c r="I23" s="170"/>
      <c r="J23" s="170"/>
      <c r="K23" s="170"/>
      <c r="L23" s="170"/>
      <c r="M23" s="170"/>
      <c r="N23" s="170"/>
      <c r="O23" s="170"/>
      <c r="P23" s="170"/>
      <c r="Q23" s="28">
        <f>SUM(Q15:Q22)</f>
        <v>812384</v>
      </c>
    </row>
    <row r="24" spans="1:18" ht="18" customHeight="1" thickBot="1" x14ac:dyDescent="0.25">
      <c r="A24" s="171"/>
      <c r="B24" s="171"/>
      <c r="C24" s="171"/>
      <c r="D24" s="171"/>
      <c r="E24" s="171"/>
      <c r="F24" s="171"/>
      <c r="G24" s="171"/>
      <c r="H24" s="171"/>
      <c r="I24" s="171"/>
      <c r="J24" s="171"/>
      <c r="K24" s="171"/>
      <c r="L24" s="171"/>
      <c r="M24" s="171"/>
      <c r="N24" s="171"/>
      <c r="O24" s="171"/>
      <c r="P24" s="171"/>
      <c r="Q24" s="171"/>
    </row>
    <row r="25" spans="1:18" ht="17.25" customHeight="1" thickBot="1" x14ac:dyDescent="0.25">
      <c r="A25" s="159" t="s">
        <v>54</v>
      </c>
      <c r="B25" s="160"/>
      <c r="C25" s="160"/>
      <c r="D25" s="160"/>
      <c r="E25" s="160"/>
      <c r="F25" s="161"/>
      <c r="G25" s="162"/>
      <c r="H25" s="162"/>
      <c r="I25" s="162"/>
      <c r="J25" s="162"/>
      <c r="K25" s="162"/>
      <c r="L25" s="162"/>
      <c r="M25" s="162"/>
      <c r="N25" s="162"/>
      <c r="O25" s="162"/>
      <c r="P25" s="162"/>
      <c r="Q25" s="162"/>
    </row>
    <row r="26" spans="1:18" ht="18" customHeight="1" thickBot="1" x14ac:dyDescent="0.25">
      <c r="A26" s="163" t="s">
        <v>82</v>
      </c>
      <c r="B26" s="163"/>
      <c r="C26" s="163"/>
      <c r="D26" s="163"/>
      <c r="E26" s="163"/>
      <c r="F26" s="163"/>
      <c r="G26" s="163"/>
      <c r="H26" s="163"/>
      <c r="I26" s="163"/>
      <c r="J26" s="163"/>
      <c r="K26" s="163"/>
      <c r="L26" s="163"/>
      <c r="M26" s="163"/>
      <c r="N26" s="163"/>
      <c r="O26" s="163"/>
      <c r="P26" s="163"/>
      <c r="Q26" s="163"/>
    </row>
    <row r="27" spans="1:18" ht="15" customHeight="1" x14ac:dyDescent="0.2">
      <c r="A27" s="163"/>
      <c r="B27" s="163"/>
      <c r="C27" s="163"/>
      <c r="D27" s="163"/>
      <c r="E27" s="163"/>
      <c r="F27" s="163"/>
      <c r="G27" s="163"/>
      <c r="H27" s="163"/>
      <c r="I27" s="163"/>
      <c r="J27" s="163"/>
      <c r="K27" s="163"/>
      <c r="L27" s="163"/>
      <c r="M27" s="163"/>
      <c r="N27" s="163"/>
      <c r="O27" s="163"/>
      <c r="P27" s="163"/>
      <c r="Q27" s="163"/>
    </row>
  </sheetData>
  <mergeCells count="28">
    <mergeCell ref="O15:P15"/>
    <mergeCell ref="O16:P16"/>
    <mergeCell ref="A25:F25"/>
    <mergeCell ref="G25:Q25"/>
    <mergeCell ref="A26:Q27"/>
    <mergeCell ref="O20:P20"/>
    <mergeCell ref="O21:P21"/>
    <mergeCell ref="O22:P22"/>
    <mergeCell ref="A23:P23"/>
    <mergeCell ref="A24:Q24"/>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2020-07-17T22:18:48Z</cp:lastPrinted>
  <dcterms:created xsi:type="dcterms:W3CDTF">2020-07-17T23:44:49Z</dcterms:created>
  <dcterms:modified xsi:type="dcterms:W3CDTF">2021-08-17T12:41:38Z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