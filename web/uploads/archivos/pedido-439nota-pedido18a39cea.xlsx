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3901"/>
  <workbookPr defaultThemeVersion="124226"/>
  <mc:AlternateContent xmlns:mc="http://schemas.openxmlformats.org/markup-compatibility/2006">
    <mc:Choice Requires="x15">
      <x15ac:absPath xmlns:x15ac="http://schemas.microsoft.com/office/spreadsheetml/2010/11/ac" url="C:\Users\COMPRAS\Downloads\"/>
    </mc:Choice>
  </mc:AlternateContent>
  <xr:revisionPtr revIDLastSave="0" documentId="13_ncr:1_{BA37A024-C536-4337-AA88-AA2188929F27}" xr6:coauthVersionLast="46" xr6:coauthVersionMax="46" xr10:uidLastSave="{00000000-0000-0000-0000-000000000000}"/>
  <bookViews>
    <workbookView xWindow="-120" yWindow="-120" windowWidth="29040" windowHeight="15840" tabRatio="500" xr2:uid="{00000000-000D-0000-FFFF-FFFF00000000}"/>
  </bookViews>
  <sheets>
    <sheet name="Necesidades Trimestrales" sheetId="1" r:id="rId1"/>
    <sheet name=" NotaPedido" sheetId="2" r:id="rId2"/>
    <sheet name="Autor Gastar" sheetId="3" r:id="rId3"/>
  </sheets>
  <definedNames>
    <definedName name="_xlnm.Print_Area" localSheetId="1">' NotaPedido'!$A$1:$K$18</definedName>
    <definedName name="_xlnm.Print_Area" localSheetId="2">'Autor Gastar'!$A$1:$Q$27</definedName>
  </definedNames>
  <calcPr calcId="181029"/>
</workbook>
</file>

<file path=xl/calcChain.xml><?xml version="1.0" encoding="utf-8"?>
<calcChain xmlns="http://schemas.openxmlformats.org/spreadsheetml/2006/main">
  <c r="Q15" i="3" l="1"/>
  <c r="I10" i="1"/>
  <c r="Q23" i="3" l="1"/>
  <c r="D10" i="1"/>
  <c r="D7" i="2" l="1"/>
  <c r="D3" i="2"/>
  <c r="G4" i="3" s="1"/>
  <c r="D4" i="2"/>
  <c r="G5" i="3" s="1"/>
  <c r="A10" i="3" l="1"/>
  <c r="D1" i="3"/>
  <c r="K12" i="2"/>
  <c r="J18" i="2" s="1"/>
  <c r="J12" i="2"/>
  <c r="I12" i="2"/>
  <c r="C12" i="2"/>
  <c r="B12" i="2"/>
  <c r="I15" i="3"/>
</calcChain>
</file>

<file path=xl/sharedStrings.xml><?xml version="1.0" encoding="utf-8"?>
<sst xmlns="http://schemas.openxmlformats.org/spreadsheetml/2006/main" count="84" uniqueCount="77">
  <si>
    <t>Pedido de Necesidades Trimestrales</t>
  </si>
  <si>
    <t>JURISDICCION:</t>
  </si>
  <si>
    <t xml:space="preserve">SAF N°: </t>
  </si>
  <si>
    <t>EJERCICIO:</t>
  </si>
  <si>
    <t>TRIMESTRE:</t>
  </si>
  <si>
    <t>ID</t>
  </si>
  <si>
    <t>CODIGO ITEM</t>
  </si>
  <si>
    <t>RUBRO DE COMPRA</t>
  </si>
  <si>
    <t xml:space="preserve">I.P.P. </t>
  </si>
  <si>
    <t>DESCRIPCION</t>
  </si>
  <si>
    <t>UNIDAD DE MEDIDA</t>
  </si>
  <si>
    <t>CANTIDAD</t>
  </si>
  <si>
    <t>PRECIO UNITARIO ESTIMADO</t>
  </si>
  <si>
    <t xml:space="preserve">IMPORTE TOTAL ESTIMADO </t>
  </si>
  <si>
    <t>Especificidades Item N° 1:</t>
  </si>
  <si>
    <t>Descripción técnica</t>
  </si>
  <si>
    <t>Plazos y lugares de entrega</t>
  </si>
  <si>
    <t>Calidad Minima esperada</t>
  </si>
  <si>
    <t>Mantenimiento</t>
  </si>
  <si>
    <t>Garantia</t>
  </si>
  <si>
    <t>NOTA DE PEDIDO</t>
  </si>
  <si>
    <t>N°</t>
  </si>
  <si>
    <t>PERIODO UTILIZACIÓN:</t>
  </si>
  <si>
    <t>OBJETO:</t>
  </si>
  <si>
    <t>Ítem</t>
  </si>
  <si>
    <t>Codigo Item</t>
  </si>
  <si>
    <t>DESCRIPCIÓN</t>
  </si>
  <si>
    <t>Adjunta Detalle Técnico</t>
  </si>
  <si>
    <t>Unidad Medida</t>
  </si>
  <si>
    <t>Precio Unitario Estimado</t>
  </si>
  <si>
    <t>Cantidad Solicitada</t>
  </si>
  <si>
    <t>AUTORIZACION PARA GASTAR</t>
  </si>
  <si>
    <t>JURISDICCIÓN:</t>
  </si>
  <si>
    <t>UNIDAD EJECUTORA:</t>
  </si>
  <si>
    <r>
      <rPr>
        <b/>
        <u/>
        <sz val="10"/>
        <rFont val="Arial"/>
        <family val="2"/>
        <charset val="1"/>
      </rPr>
      <t>AUTORIZACIÓN</t>
    </r>
    <r>
      <rPr>
        <b/>
        <sz val="10"/>
        <rFont val="Arial"/>
        <family val="2"/>
        <charset val="1"/>
      </rPr>
      <t>:</t>
    </r>
  </si>
  <si>
    <t>Señor Jefe de Servicio Administrativo Financiero:</t>
  </si>
  <si>
    <t>IMPUTACIÓN PRESUPUESTARIA</t>
  </si>
  <si>
    <t>CÓDIGO</t>
  </si>
  <si>
    <t xml:space="preserve"> DENOMINACIÓN DE LA PARTIDA PRESUPUESTARIA</t>
  </si>
  <si>
    <t>IMPORTE</t>
  </si>
  <si>
    <t>PR</t>
  </si>
  <si>
    <t>SB</t>
  </si>
  <si>
    <t>PY</t>
  </si>
  <si>
    <t>AC</t>
  </si>
  <si>
    <t>OB</t>
  </si>
  <si>
    <t>UG</t>
  </si>
  <si>
    <t>FIN</t>
  </si>
  <si>
    <t>FUN</t>
  </si>
  <si>
    <t>I</t>
  </si>
  <si>
    <t>P</t>
  </si>
  <si>
    <t>SubP</t>
  </si>
  <si>
    <t>M</t>
  </si>
  <si>
    <t>FF</t>
  </si>
  <si>
    <t>JUSTIFICACIÓN:</t>
  </si>
  <si>
    <t xml:space="preserve">JURISDICCIÓN: </t>
  </si>
  <si>
    <t>SAF:</t>
  </si>
  <si>
    <t xml:space="preserve">DEPENDENCIA SOLICITANTE: </t>
  </si>
  <si>
    <t>Ministerio de Desarrollo Social y Deporte</t>
  </si>
  <si>
    <t>Combustibles y Lubricantes</t>
  </si>
  <si>
    <t>COMBUSTIBLES Y LUBRICANTES</t>
  </si>
  <si>
    <t>LITROS</t>
  </si>
  <si>
    <t>Adquisición de COMBUSTIBLE para el normal funcionamiento de las distintas dependencias del Ministerio de Desarrollo Social y Deporte.</t>
  </si>
  <si>
    <t>45- Ministerio de Desarrollo Social y Deporte</t>
  </si>
  <si>
    <t>25- Direccion Provincial de Gestion Administrativa y RRHH</t>
  </si>
  <si>
    <t>Actividad Central</t>
  </si>
  <si>
    <t>Ministerio de Desarrollo Social y Deportes</t>
  </si>
  <si>
    <t>2.5.6-793.30</t>
  </si>
  <si>
    <t>GAS OIL; PRESENTACION: POR LITRO, USO: MOTORES DIESEL, COMERCIALIZACION: GRADO 2</t>
  </si>
  <si>
    <t>Media</t>
  </si>
  <si>
    <t>Plazo de Mantinimiento 30 dias</t>
  </si>
  <si>
    <t>NO</t>
  </si>
  <si>
    <r>
      <rPr>
        <u/>
        <sz val="10"/>
        <rFont val="Times New Roman"/>
        <family val="1"/>
      </rPr>
      <t xml:space="preserve">Plazo de Entrega: </t>
    </r>
    <r>
      <rPr>
        <sz val="10"/>
        <rFont val="Times New Roman"/>
        <family val="1"/>
      </rPr>
      <t>Dentro de los 05 (cinco) dias de Notificada la Orden de Compra</t>
    </r>
  </si>
  <si>
    <r>
      <rPr>
        <u/>
        <sz val="10"/>
        <rFont val="Times New Roman"/>
        <family val="1"/>
      </rPr>
      <t>Lugar y Forma de Entrega:</t>
    </r>
    <r>
      <rPr>
        <sz val="10"/>
        <rFont val="Times New Roman"/>
        <family val="1"/>
      </rPr>
      <t xml:space="preserve"> Se Entregara en el Pabellon 25 CAPE Av. Venezuela S/N- San Fernando del Valle de Catamarca (CP 4700) en las oficinas del Ministerio de Desarrollo Social y Deporte. Fraccionado bajo la forma de vales de 10lts. Cada uno, cuando la cantidad adjudicada no permita la confeccion de dichos vales, para completar se emitara uno por una cantidad menor, corriendo los gastos de flete, acarreo, carga, descarga y seguros por cuenta del adjudicatario.-</t>
    </r>
  </si>
  <si>
    <t>130/20</t>
  </si>
  <si>
    <t>Costo total estimado: UN MILLON CUATROCIENTOS NOVENTA Y NUEVE MIL CUATROCIENTOS SETENTA Y SEIS CON/100.-</t>
  </si>
  <si>
    <t>TOTAL DE PESOS: UN MILLON CUATROCIENTOS NOVENTA Y NUEVE MIL CUATROCIENTOS SETENTA Y SEIS CON 00/100.-</t>
  </si>
  <si>
    <r>
      <rPr>
        <u/>
        <sz val="10"/>
        <rFont val="Times New Roman"/>
        <family val="1"/>
      </rPr>
      <t>Boca de Expendio:</t>
    </r>
    <r>
      <rPr>
        <sz val="10"/>
        <rFont val="Times New Roman"/>
        <family val="1"/>
      </rPr>
      <t xml:space="preserve"> San Fernando del Valle de Catamaraca (CP 4700)</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</si>
</sst>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_(\$* #,##0.00_);_(\$* \(#,##0.00\);_(\$* \-??_);_(@_)"/>
    <numFmt numFmtId="165" formatCode="_-* #,##0.00&quot; €&quot;_-;\-* #,##0.00&quot; €&quot;_-;_-* \-??&quot; €&quot;_-;_-@_-"/>
    <numFmt numFmtId="166" formatCode="[$$-2C0A]\ #,##0.00;[$$-2C0A]&quot; -&quot;#,##0.00"/>
    <numFmt numFmtId="167" formatCode="[$$-2C0A]\ #,##0.00"/>
    <numFmt numFmtId="168" formatCode="dd\-mm\-yy;@"/>
  </numFmts>
  <fonts count="27" x14ac:knownFonts="1">
    <font>
      <sz val="10"/>
      <name val="Arial"/>
      <charset val="1"/>
    </font>
    <font>
      <b/>
      <sz val="15"/>
      <color rgb="FF666699"/>
      <name val="Calibri"/>
      <family val="2"/>
      <charset val="1"/>
    </font>
    <font>
      <sz val="10"/>
      <name val="Arial"/>
      <family val="2"/>
      <charset val="1"/>
    </font>
    <font>
      <sz val="11"/>
      <color rgb="FF993300"/>
      <name val="Calibri"/>
      <family val="2"/>
      <charset val="1"/>
    </font>
    <font>
      <sz val="10"/>
      <name val="Times New Roman"/>
      <family val="1"/>
      <charset val="1"/>
    </font>
    <font>
      <b/>
      <u/>
      <sz val="12"/>
      <name val="Times New Roman"/>
      <family val="1"/>
      <charset val="1"/>
    </font>
    <font>
      <b/>
      <sz val="12"/>
      <name val="Times New Roman"/>
      <family val="1"/>
      <charset val="1"/>
    </font>
    <font>
      <sz val="12"/>
      <name val="Times New Roman"/>
      <family val="1"/>
      <charset val="1"/>
    </font>
    <font>
      <b/>
      <sz val="11"/>
      <name val="Times New Roman"/>
      <family val="1"/>
      <charset val="1"/>
    </font>
    <font>
      <sz val="11"/>
      <name val="Times New Roman"/>
      <family val="1"/>
      <charset val="1"/>
    </font>
    <font>
      <b/>
      <sz val="11"/>
      <name val="Arial"/>
      <family val="2"/>
      <charset val="1"/>
    </font>
    <font>
      <b/>
      <sz val="12"/>
      <name val="Arial"/>
      <family val="2"/>
      <charset val="1"/>
    </font>
    <font>
      <sz val="11"/>
      <name val="Arial"/>
      <family val="2"/>
      <charset val="1"/>
    </font>
    <font>
      <b/>
      <u/>
      <sz val="10"/>
      <name val="Arial"/>
      <family val="2"/>
      <charset val="1"/>
    </font>
    <font>
      <b/>
      <sz val="10"/>
      <name val="Arial"/>
      <family val="2"/>
      <charset val="1"/>
    </font>
    <font>
      <sz val="10"/>
      <name val="Arial"/>
      <charset val="1"/>
    </font>
    <font>
      <sz val="10"/>
      <name val="Times New Roman"/>
      <family val="1"/>
    </font>
    <font>
      <b/>
      <sz val="22"/>
      <name val="Times New Roman"/>
      <family val="1"/>
    </font>
    <font>
      <b/>
      <sz val="11"/>
      <color rgb="FF000000"/>
      <name val="Times New Roman"/>
      <family val="1"/>
    </font>
    <font>
      <sz val="10"/>
      <color rgb="FF000000"/>
      <name val="Times New Roman"/>
      <family val="1"/>
    </font>
    <font>
      <b/>
      <sz val="10"/>
      <color rgb="FF000000"/>
      <name val="Times New Roman"/>
      <family val="1"/>
    </font>
    <font>
      <sz val="9"/>
      <name val="Times New Roman"/>
      <family val="1"/>
    </font>
    <font>
      <sz val="9"/>
      <color rgb="FF000000"/>
      <name val="Times New Roman"/>
      <family val="1"/>
    </font>
    <font>
      <u/>
      <sz val="10"/>
      <name val="Times New Roman"/>
      <family val="1"/>
    </font>
    <font>
      <b/>
      <sz val="12"/>
      <color rgb="FF000000"/>
      <name val="Times New Roman"/>
      <family val="1"/>
    </font>
    <font>
      <b/>
      <sz val="12"/>
      <name val="Times New Roman"/>
      <family val="1"/>
    </font>
    <font>
      <sz val="10"/>
      <name val="Arial"/>
      <family val="2"/>
    </font>
  </fonts>
  <fills count="5">
    <fill>
      <patternFill patternType="none"/>
    </fill>
    <fill>
      <patternFill patternType="gray125"/>
    </fill>
    <fill>
      <patternFill patternType="solid">
        <fgColor rgb="FFFFFF99"/>
        <bgColor rgb="FFFFFFCC"/>
      </patternFill>
    </fill>
    <fill>
      <patternFill patternType="solid">
        <fgColor rgb="FFFFFF00"/>
        <bgColor rgb="FFFFFF00"/>
      </patternFill>
    </fill>
    <fill>
      <patternFill patternType="solid">
        <fgColor rgb="FFFFFF00"/>
        <bgColor indexed="64"/>
      </patternFill>
    </fill>
  </fills>
  <borders count="71">
    <border>
      <left/>
      <right/>
      <top/>
      <bottom/>
      <diagonal/>
    </border>
    <border>
      <left/>
      <right/>
      <top/>
      <bottom style="thick">
        <color rgb="FF33CCCC"/>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right style="medium">
        <color rgb="FF3D3D3D"/>
      </right>
      <top/>
      <bottom/>
      <diagonal/>
    </border>
    <border>
      <left style="medium">
        <color rgb="FF3D3D3D"/>
      </left>
      <right style="medium">
        <color rgb="FF3D3D3D"/>
      </right>
      <top style="medium">
        <color rgb="FF3D3D3D"/>
      </top>
      <bottom style="medium">
        <color rgb="FF3D3D3D"/>
      </bottom>
      <diagonal/>
    </border>
    <border>
      <left/>
      <right/>
      <top/>
      <bottom style="medium">
        <color rgb="FF3D3D3D"/>
      </bottom>
      <diagonal/>
    </border>
    <border>
      <left style="medium">
        <color rgb="FF3D3D3D"/>
      </left>
      <right/>
      <top style="medium">
        <color rgb="FF3D3D3D"/>
      </top>
      <bottom style="medium">
        <color rgb="FF3D3D3D"/>
      </bottom>
      <diagonal/>
    </border>
    <border>
      <left style="medium">
        <color auto="1"/>
      </left>
      <right style="medium">
        <color auto="1"/>
      </right>
      <top style="medium">
        <color auto="1"/>
      </top>
      <bottom style="medium">
        <color auto="1"/>
      </bottom>
      <diagonal/>
    </border>
    <border>
      <left style="medium">
        <color rgb="FF3D3D3D"/>
      </left>
      <right/>
      <top style="medium">
        <color rgb="FF3D3D3D"/>
      </top>
      <bottom/>
      <diagonal/>
    </border>
    <border>
      <left style="medium">
        <color auto="1"/>
      </left>
      <right style="medium">
        <color rgb="FF3D3D3D"/>
      </right>
      <top style="medium">
        <color auto="1"/>
      </top>
      <bottom style="medium">
        <color auto="1"/>
      </bottom>
      <diagonal/>
    </border>
    <border>
      <left style="medium">
        <color rgb="FF3D3D3D"/>
      </left>
      <right style="medium">
        <color auto="1"/>
      </right>
      <top style="medium">
        <color auto="1"/>
      </top>
      <bottom style="medium">
        <color auto="1"/>
      </bottom>
      <diagonal/>
    </border>
    <border>
      <left style="medium">
        <color rgb="FF3D3D3D"/>
      </left>
      <right style="medium">
        <color rgb="FF3D3D3D"/>
      </right>
      <top style="medium">
        <color auto="1"/>
      </top>
      <bottom style="medium">
        <color auto="1"/>
      </bottom>
      <diagonal/>
    </border>
    <border>
      <left style="medium">
        <color auto="1"/>
      </left>
      <right style="medium">
        <color auto="1"/>
      </right>
      <top style="medium">
        <color auto="1"/>
      </top>
      <bottom style="thin">
        <color auto="1"/>
      </bottom>
      <diagonal/>
    </border>
    <border>
      <left style="medium">
        <color auto="1"/>
      </left>
      <right style="medium">
        <color auto="1"/>
      </right>
      <top style="thin">
        <color auto="1"/>
      </top>
      <bottom style="thin">
        <color auto="1"/>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medium">
        <color rgb="FF3D3D3D"/>
      </left>
      <right style="medium">
        <color rgb="FF3D3D3D"/>
      </right>
      <top style="medium">
        <color rgb="FF3D3D3D"/>
      </top>
      <bottom/>
      <diagonal/>
    </border>
    <border>
      <left style="medium">
        <color rgb="FF3D3D3D"/>
      </left>
      <right/>
      <top/>
      <bottom/>
      <diagonal/>
    </border>
    <border>
      <left style="medium">
        <color rgb="FF3D3D3D"/>
      </left>
      <right style="medium">
        <color rgb="FF3D3D3D"/>
      </right>
      <top/>
      <bottom/>
      <diagonal/>
    </border>
    <border>
      <left style="medium">
        <color rgb="FF3D3D3D"/>
      </left>
      <right/>
      <top/>
      <bottom style="medium">
        <color rgb="FF3D3D3D"/>
      </bottom>
      <diagonal/>
    </border>
    <border>
      <left/>
      <right style="medium">
        <color rgb="FF3D3D3D"/>
      </right>
      <top/>
      <bottom style="medium">
        <color rgb="FF3D3D3D"/>
      </bottom>
      <diagonal/>
    </border>
    <border>
      <left/>
      <right style="medium">
        <color rgb="FF3D3D3D"/>
      </right>
      <top style="medium">
        <color rgb="FF3D3D3D"/>
      </top>
      <bottom/>
      <diagonal/>
    </border>
    <border>
      <left style="medium">
        <color rgb="FF3D3D3D"/>
      </left>
      <right style="thin">
        <color rgb="FF3D3D3D"/>
      </right>
      <top/>
      <bottom/>
      <diagonal/>
    </border>
    <border>
      <left style="thin">
        <color rgb="FF3D3D3D"/>
      </left>
      <right style="thin">
        <color rgb="FF3D3D3D"/>
      </right>
      <top/>
      <bottom/>
      <diagonal/>
    </border>
    <border>
      <left style="thin">
        <color rgb="FF3D3D3D"/>
      </left>
      <right/>
      <top/>
      <bottom/>
      <diagonal/>
    </border>
    <border>
      <left style="thin">
        <color rgb="FF3D3D3D"/>
      </left>
      <right style="medium">
        <color rgb="FF3D3D3D"/>
      </right>
      <top style="medium">
        <color rgb="FF3D3D3D"/>
      </top>
      <bottom style="thin">
        <color rgb="FF3D3D3D"/>
      </bottom>
      <diagonal/>
    </border>
    <border>
      <left style="medium">
        <color rgb="FF3D3D3D"/>
      </left>
      <right style="thin">
        <color rgb="FF3D3D3D"/>
      </right>
      <top/>
      <bottom style="thin">
        <color rgb="FF3D3D3D"/>
      </bottom>
      <diagonal/>
    </border>
    <border>
      <left style="thin">
        <color rgb="FF3D3D3D"/>
      </left>
      <right style="thin">
        <color rgb="FF3D3D3D"/>
      </right>
      <top/>
      <bottom style="thin">
        <color rgb="FF3D3D3D"/>
      </bottom>
      <diagonal/>
    </border>
    <border>
      <left style="thin">
        <color rgb="FF3D3D3D"/>
      </left>
      <right/>
      <top/>
      <bottom style="thin">
        <color rgb="FF3D3D3D"/>
      </bottom>
      <diagonal/>
    </border>
    <border>
      <left style="thin">
        <color rgb="FF3D3D3D"/>
      </left>
      <right style="thin">
        <color rgb="FF3D3D3D"/>
      </right>
      <top style="thin">
        <color rgb="FF3D3D3D"/>
      </top>
      <bottom style="thin">
        <color rgb="FF3D3D3D"/>
      </bottom>
      <diagonal/>
    </border>
    <border>
      <left style="thin">
        <color rgb="FF3D3D3D"/>
      </left>
      <right style="medium">
        <color rgb="FF3D3D3D"/>
      </right>
      <top style="thin">
        <color rgb="FF3D3D3D"/>
      </top>
      <bottom style="thin">
        <color rgb="FF3D3D3D"/>
      </bottom>
      <diagonal/>
    </border>
    <border>
      <left style="medium">
        <color rgb="FF3D3D3D"/>
      </left>
      <right style="thin">
        <color rgb="FF3D3D3D"/>
      </right>
      <top style="thin">
        <color rgb="FF3D3D3D"/>
      </top>
      <bottom style="medium">
        <color rgb="FF3D3D3D"/>
      </bottom>
      <diagonal/>
    </border>
    <border>
      <left style="thin">
        <color rgb="FF3D3D3D"/>
      </left>
      <right style="thin">
        <color rgb="FF3D3D3D"/>
      </right>
      <top style="thin">
        <color rgb="FF3D3D3D"/>
      </top>
      <bottom style="medium">
        <color rgb="FF3D3D3D"/>
      </bottom>
      <diagonal/>
    </border>
    <border>
      <left style="thin">
        <color rgb="FF3D3D3D"/>
      </left>
      <right/>
      <top style="thin">
        <color rgb="FF3D3D3D"/>
      </top>
      <bottom style="medium">
        <color rgb="FF3D3D3D"/>
      </bottom>
      <diagonal/>
    </border>
    <border>
      <left style="thin">
        <color rgb="FF3D3D3D"/>
      </left>
      <right style="medium">
        <color rgb="FF3D3D3D"/>
      </right>
      <top style="thin">
        <color rgb="FF3D3D3D"/>
      </top>
      <bottom style="medium">
        <color rgb="FF3D3D3D"/>
      </bottom>
      <diagonal/>
    </border>
    <border>
      <left style="medium">
        <color rgb="FF3D3D3D"/>
      </left>
      <right style="medium">
        <color rgb="FF3D3D3D"/>
      </right>
      <top/>
      <bottom style="medium">
        <color rgb="FF3D3D3D"/>
      </bottom>
      <diagonal/>
    </border>
    <border>
      <left style="medium">
        <color rgb="FF3D3D3D"/>
      </left>
      <right/>
      <top style="medium">
        <color indexed="64"/>
      </top>
      <bottom style="medium">
        <color indexed="64"/>
      </bottom>
      <diagonal/>
    </border>
    <border>
      <left/>
      <right/>
      <top style="medium">
        <color rgb="FF3D3D3D"/>
      </top>
      <bottom style="medium">
        <color rgb="FF3D3D3D"/>
      </bottom>
      <diagonal/>
    </border>
    <border>
      <left/>
      <right style="medium">
        <color rgb="FF3D3D3D"/>
      </right>
      <top style="medium">
        <color rgb="FF3D3D3D"/>
      </top>
      <bottom style="medium">
        <color rgb="FF3D3D3D"/>
      </bottom>
      <diagonal/>
    </border>
    <border>
      <left style="thin">
        <color auto="1"/>
      </left>
      <right style="thin">
        <color auto="1"/>
      </right>
      <top style="thin">
        <color auto="1"/>
      </top>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style="thin">
        <color auto="1"/>
      </right>
      <top style="thin">
        <color auto="1"/>
      </top>
      <bottom style="medium">
        <color auto="1"/>
      </bottom>
      <diagonal/>
    </border>
    <border>
      <left/>
      <right style="thick">
        <color auto="1"/>
      </right>
      <top style="medium">
        <color indexed="64"/>
      </top>
      <bottom/>
      <diagonal/>
    </border>
    <border>
      <left style="thick">
        <color auto="1"/>
      </left>
      <right style="thick">
        <color auto="1"/>
      </right>
      <top style="medium">
        <color indexed="64"/>
      </top>
      <bottom/>
      <diagonal/>
    </border>
    <border>
      <left style="thick">
        <color auto="1"/>
      </left>
      <right style="medium">
        <color indexed="64"/>
      </right>
      <top style="medium">
        <color indexed="64"/>
      </top>
      <bottom/>
      <diagonal/>
    </border>
    <border>
      <left style="thin">
        <color auto="1"/>
      </left>
      <right/>
      <top style="thin">
        <color auto="1"/>
      </top>
      <bottom style="medium">
        <color indexed="64"/>
      </bottom>
      <diagonal/>
    </border>
    <border>
      <left style="thin">
        <color auto="1"/>
      </left>
      <right style="thin">
        <color auto="1"/>
      </right>
      <top style="medium">
        <color auto="1"/>
      </top>
      <bottom/>
      <diagonal/>
    </border>
    <border>
      <left style="thin">
        <color auto="1"/>
      </left>
      <right style="medium">
        <color auto="1"/>
      </right>
      <top style="medium">
        <color auto="1"/>
      </top>
      <bottom/>
      <diagonal/>
    </border>
    <border>
      <left style="thin">
        <color auto="1"/>
      </left>
      <right style="thin">
        <color auto="1"/>
      </right>
      <top/>
      <bottom style="medium">
        <color indexed="64"/>
      </bottom>
      <diagonal/>
    </border>
    <border>
      <left style="thin">
        <color auto="1"/>
      </left>
      <right style="medium">
        <color indexed="64"/>
      </right>
      <top/>
      <bottom style="medium">
        <color indexed="64"/>
      </bottom>
      <diagonal/>
    </border>
    <border>
      <left style="medium">
        <color rgb="FF3D3D3D"/>
      </left>
      <right style="thin">
        <color rgb="FF3D3D3D"/>
      </right>
      <top style="thin">
        <color indexed="64"/>
      </top>
      <bottom style="thin">
        <color rgb="FF3D3D3D"/>
      </bottom>
      <diagonal/>
    </border>
    <border>
      <left style="medium">
        <color rgb="FF3D3D3D"/>
      </left>
      <right style="thin">
        <color rgb="FF3D3D3D"/>
      </right>
      <top style="medium">
        <color rgb="FF3D3D3D"/>
      </top>
      <bottom/>
      <diagonal/>
    </border>
    <border>
      <left style="thin">
        <color rgb="FF3D3D3D"/>
      </left>
      <right style="thin">
        <color rgb="FF3D3D3D"/>
      </right>
      <top style="medium">
        <color rgb="FF3D3D3D"/>
      </top>
      <bottom/>
      <diagonal/>
    </border>
    <border>
      <left style="thin">
        <color rgb="FF3D3D3D"/>
      </left>
      <right/>
      <top style="medium">
        <color rgb="FF3D3D3D"/>
      </top>
      <bottom/>
      <diagonal/>
    </border>
    <border>
      <left style="thin">
        <color rgb="FF3D3D3D"/>
      </left>
      <right style="thin">
        <color rgb="FF3D3D3D"/>
      </right>
      <top style="thin">
        <color indexed="64"/>
      </top>
      <bottom style="thin">
        <color rgb="FF3D3D3D"/>
      </bottom>
      <diagonal/>
    </border>
    <border>
      <left style="thin">
        <color rgb="FF3D3D3D"/>
      </left>
      <right/>
      <top style="thin">
        <color indexed="64"/>
      </top>
      <bottom style="thin">
        <color rgb="FF3D3D3D"/>
      </bottom>
      <diagonal/>
    </border>
  </borders>
  <cellStyleXfs count="5">
    <xf numFmtId="0" fontId="0" fillId="0" borderId="0"/>
    <xf numFmtId="165" fontId="15" fillId="0" borderId="0" applyBorder="0" applyProtection="0"/>
    <xf numFmtId="0" fontId="1" fillId="0" borderId="1" applyProtection="0"/>
    <xf numFmtId="164" fontId="2" fillId="0" borderId="0" applyBorder="0" applyProtection="0"/>
    <xf numFmtId="0" fontId="3" fillId="2" borderId="0" applyBorder="0" applyProtection="0"/>
  </cellStyleXfs>
  <cellXfs count="150">
    <xf numFmtId="0" fontId="0" fillId="0" borderId="0" xfId="0"/>
    <xf numFmtId="0" fontId="0" fillId="0" borderId="0" xfId="0" applyBorder="1"/>
    <xf numFmtId="0" fontId="2" fillId="0" borderId="0" xfId="0" applyFont="1" applyBorder="1" applyAlignment="1">
      <alignment vertical="center"/>
    </xf>
    <xf numFmtId="0" fontId="0" fillId="0" borderId="0" xfId="0" applyAlignment="1">
      <alignment horizontal="left"/>
    </xf>
    <xf numFmtId="3" fontId="10" fillId="0" borderId="0" xfId="0" applyNumberFormat="1" applyFont="1" applyBorder="1" applyAlignment="1"/>
    <xf numFmtId="168" fontId="0" fillId="0" borderId="0" xfId="0" applyNumberFormat="1" applyAlignment="1">
      <alignment horizontal="left"/>
    </xf>
    <xf numFmtId="0" fontId="2" fillId="0" borderId="0" xfId="0" applyFont="1"/>
    <xf numFmtId="0" fontId="0" fillId="0" borderId="17" xfId="0" applyBorder="1"/>
    <xf numFmtId="0" fontId="0" fillId="0" borderId="33" xfId="0" applyBorder="1"/>
    <xf numFmtId="0" fontId="0" fillId="0" borderId="19" xfId="0" applyBorder="1"/>
    <xf numFmtId="0" fontId="0" fillId="0" borderId="19" xfId="0" applyBorder="1" applyAlignment="1">
      <alignment horizontal="left"/>
    </xf>
    <xf numFmtId="0" fontId="0" fillId="0" borderId="34" xfId="0" applyBorder="1"/>
    <xf numFmtId="0" fontId="14" fillId="0" borderId="36" xfId="0" applyFont="1" applyBorder="1" applyAlignment="1">
      <alignment horizontal="center" vertical="center"/>
    </xf>
    <xf numFmtId="0" fontId="14" fillId="0" borderId="37" xfId="0" applyFont="1" applyBorder="1" applyAlignment="1">
      <alignment horizontal="center" vertical="center"/>
    </xf>
    <xf numFmtId="0" fontId="14" fillId="0" borderId="37" xfId="0" applyFont="1" applyBorder="1" applyAlignment="1">
      <alignment horizontal="left" vertical="center"/>
    </xf>
    <xf numFmtId="0" fontId="14" fillId="0" borderId="38" xfId="0" applyFont="1" applyBorder="1" applyAlignment="1">
      <alignment horizontal="center" vertical="center"/>
    </xf>
    <xf numFmtId="0" fontId="14" fillId="0" borderId="32" xfId="0" applyFont="1" applyBorder="1" applyAlignment="1">
      <alignment horizontal="center" vertical="center"/>
    </xf>
    <xf numFmtId="166" fontId="0" fillId="0" borderId="39" xfId="3" applyNumberFormat="1" applyFont="1" applyBorder="1" applyAlignment="1" applyProtection="1">
      <alignment horizontal="center" vertical="center"/>
    </xf>
    <xf numFmtId="0" fontId="0" fillId="0" borderId="40" xfId="0" applyFont="1" applyBorder="1" applyAlignment="1">
      <alignment horizontal="center" vertical="center"/>
    </xf>
    <xf numFmtId="0" fontId="0" fillId="0" borderId="41" xfId="0" applyFont="1" applyBorder="1" applyAlignment="1">
      <alignment horizontal="center" vertical="center"/>
    </xf>
    <xf numFmtId="0" fontId="0" fillId="0" borderId="42" xfId="0" applyFont="1" applyBorder="1" applyAlignment="1">
      <alignment horizontal="center" vertical="center"/>
    </xf>
    <xf numFmtId="0" fontId="0" fillId="0" borderId="43" xfId="0" applyFont="1" applyBorder="1" applyAlignment="1">
      <alignment horizontal="center" vertical="center"/>
    </xf>
    <xf numFmtId="166" fontId="0" fillId="0" borderId="44" xfId="3" applyNumberFormat="1" applyFont="1" applyBorder="1" applyAlignment="1" applyProtection="1">
      <alignment horizontal="center" vertical="center"/>
    </xf>
    <xf numFmtId="0" fontId="12" fillId="0" borderId="40" xfId="0" applyFont="1" applyBorder="1" applyAlignment="1">
      <alignment horizontal="center" vertical="center"/>
    </xf>
    <xf numFmtId="0" fontId="12" fillId="0" borderId="41" xfId="0" applyFont="1" applyBorder="1" applyAlignment="1">
      <alignment horizontal="center" vertical="center"/>
    </xf>
    <xf numFmtId="0" fontId="0" fillId="0" borderId="43" xfId="0" applyBorder="1" applyAlignment="1">
      <alignment horizontal="center" vertical="center"/>
    </xf>
    <xf numFmtId="0" fontId="12" fillId="0" borderId="42" xfId="0" applyFont="1" applyBorder="1" applyAlignment="1">
      <alignment horizontal="center" vertical="center"/>
    </xf>
    <xf numFmtId="0" fontId="12" fillId="0" borderId="43" xfId="0" applyFont="1" applyBorder="1" applyAlignment="1">
      <alignment horizontal="center" vertical="center"/>
    </xf>
    <xf numFmtId="0" fontId="0" fillId="0" borderId="45" xfId="0" applyBorder="1" applyAlignment="1">
      <alignment horizontal="center" vertical="center"/>
    </xf>
    <xf numFmtId="0" fontId="0" fillId="0" borderId="46" xfId="0" applyBorder="1" applyAlignment="1">
      <alignment horizontal="center" vertical="center"/>
    </xf>
    <xf numFmtId="0" fontId="0" fillId="0" borderId="47" xfId="0" applyBorder="1" applyAlignment="1">
      <alignment horizontal="center" vertical="center"/>
    </xf>
    <xf numFmtId="166" fontId="0" fillId="0" borderId="48" xfId="3" applyNumberFormat="1" applyFont="1" applyBorder="1" applyAlignment="1" applyProtection="1">
      <alignment horizontal="center" vertical="center"/>
    </xf>
    <xf numFmtId="166" fontId="14" fillId="0" borderId="49" xfId="0" applyNumberFormat="1" applyFont="1" applyBorder="1" applyAlignment="1">
      <alignment horizontal="center" vertical="center"/>
    </xf>
    <xf numFmtId="0" fontId="16" fillId="0" borderId="0" xfId="0" applyFont="1"/>
    <xf numFmtId="0" fontId="19" fillId="0" borderId="0" xfId="0" applyFont="1" applyAlignment="1">
      <alignment horizontal="left" wrapText="1"/>
    </xf>
    <xf numFmtId="0" fontId="19" fillId="0" borderId="0" xfId="0" applyFont="1" applyAlignment="1">
      <alignment horizontal="center" wrapText="1"/>
    </xf>
    <xf numFmtId="0" fontId="21" fillId="0" borderId="2" xfId="0" applyFont="1" applyBorder="1" applyAlignment="1">
      <alignment horizontal="center" vertical="center"/>
    </xf>
    <xf numFmtId="0" fontId="22" fillId="3" borderId="3" xfId="0" applyFont="1" applyFill="1" applyBorder="1" applyAlignment="1">
      <alignment horizontal="center" vertical="center" wrapText="1"/>
    </xf>
    <xf numFmtId="0" fontId="21" fillId="0" borderId="4" xfId="0" applyFont="1" applyBorder="1" applyAlignment="1">
      <alignment horizontal="center" vertical="center"/>
    </xf>
    <xf numFmtId="0" fontId="21" fillId="0" borderId="7" xfId="0" applyFont="1" applyBorder="1" applyAlignment="1">
      <alignment horizontal="center" vertical="center"/>
    </xf>
    <xf numFmtId="0" fontId="23" fillId="0" borderId="9" xfId="0" applyFont="1" applyBorder="1"/>
    <xf numFmtId="0" fontId="16" fillId="0" borderId="10" xfId="0" applyFont="1" applyBorder="1"/>
    <xf numFmtId="0" fontId="16" fillId="0" borderId="11" xfId="0" applyFont="1" applyBorder="1"/>
    <xf numFmtId="0" fontId="16" fillId="0" borderId="12" xfId="0" applyFont="1" applyBorder="1"/>
    <xf numFmtId="0" fontId="16" fillId="0" borderId="0" xfId="0" applyFont="1" applyBorder="1"/>
    <xf numFmtId="0" fontId="16" fillId="0" borderId="13" xfId="0" applyFont="1" applyBorder="1"/>
    <xf numFmtId="0" fontId="23" fillId="0" borderId="12" xfId="0" applyFont="1" applyBorder="1" applyAlignment="1">
      <alignment horizontal="left" indent="3"/>
    </xf>
    <xf numFmtId="0" fontId="16" fillId="0" borderId="12" xfId="0" applyFont="1" applyBorder="1" applyAlignment="1">
      <alignment horizontal="left" indent="3"/>
    </xf>
    <xf numFmtId="0" fontId="16" fillId="0" borderId="0" xfId="0" applyFont="1" applyBorder="1" applyAlignment="1">
      <alignment horizontal="center" wrapText="1"/>
    </xf>
    <xf numFmtId="0" fontId="16" fillId="0" borderId="13" xfId="0" applyFont="1" applyBorder="1" applyAlignment="1">
      <alignment horizontal="center" wrapText="1"/>
    </xf>
    <xf numFmtId="0" fontId="16" fillId="0" borderId="14" xfId="0" applyFont="1" applyBorder="1" applyAlignment="1">
      <alignment horizontal="left" indent="3"/>
    </xf>
    <xf numFmtId="0" fontId="16" fillId="0" borderId="15" xfId="0" applyFont="1" applyBorder="1"/>
    <xf numFmtId="0" fontId="16" fillId="0" borderId="16" xfId="0" applyFont="1" applyBorder="1"/>
    <xf numFmtId="0" fontId="24" fillId="3" borderId="0" xfId="0" applyFont="1" applyFill="1" applyAlignment="1">
      <alignment horizontal="left" wrapText="1" indent="1"/>
    </xf>
    <xf numFmtId="0" fontId="20" fillId="0" borderId="0" xfId="0" applyFont="1" applyAlignment="1">
      <alignment horizontal="left" wrapText="1"/>
    </xf>
    <xf numFmtId="0" fontId="0" fillId="0" borderId="5" xfId="0" applyBorder="1"/>
    <xf numFmtId="0" fontId="20" fillId="0" borderId="21" xfId="0" applyFont="1" applyBorder="1" applyAlignment="1">
      <alignment horizontal="center" vertical="center" wrapText="1"/>
    </xf>
    <xf numFmtId="0" fontId="0" fillId="0" borderId="54" xfId="0" applyBorder="1"/>
    <xf numFmtId="0" fontId="22" fillId="0" borderId="55" xfId="0" applyFont="1" applyBorder="1" applyAlignment="1">
      <alignment horizontal="center" vertical="center" wrapText="1"/>
    </xf>
    <xf numFmtId="0" fontId="22" fillId="0" borderId="56" xfId="0" applyFont="1" applyBorder="1" applyAlignment="1">
      <alignment horizontal="center" vertical="center" wrapText="1"/>
    </xf>
    <xf numFmtId="0" fontId="20" fillId="0" borderId="9" xfId="0" applyFont="1" applyBorder="1" applyAlignment="1">
      <alignment horizontal="center" vertical="center" wrapText="1"/>
    </xf>
    <xf numFmtId="0" fontId="20" fillId="0" borderId="57" xfId="0" applyFont="1" applyBorder="1" applyAlignment="1">
      <alignment horizontal="center" vertical="center" wrapText="1"/>
    </xf>
    <xf numFmtId="0" fontId="20" fillId="0" borderId="58" xfId="0" applyFont="1" applyBorder="1" applyAlignment="1">
      <alignment horizontal="center" vertical="center" wrapText="1"/>
    </xf>
    <xf numFmtId="0" fontId="20" fillId="0" borderId="59" xfId="0" applyFont="1" applyBorder="1" applyAlignment="1">
      <alignment horizontal="center" vertical="center" wrapText="1"/>
    </xf>
    <xf numFmtId="0" fontId="0" fillId="0" borderId="60" xfId="0" applyBorder="1"/>
    <xf numFmtId="0" fontId="0" fillId="0" borderId="8" xfId="0" applyBorder="1"/>
    <xf numFmtId="0" fontId="20" fillId="0" borderId="10" xfId="0" applyFont="1" applyBorder="1" applyAlignment="1">
      <alignment horizontal="center" vertical="center" wrapText="1"/>
    </xf>
    <xf numFmtId="0" fontId="22" fillId="3" borderId="61" xfId="0" applyFont="1" applyFill="1" applyBorder="1" applyAlignment="1">
      <alignment horizontal="center" vertical="center" wrapText="1"/>
    </xf>
    <xf numFmtId="0" fontId="22" fillId="4" borderId="5" xfId="0" applyFont="1" applyFill="1" applyBorder="1" applyAlignment="1">
      <alignment horizontal="center" vertical="center" wrapText="1"/>
    </xf>
    <xf numFmtId="0" fontId="19" fillId="4" borderId="5" xfId="0" applyFont="1" applyFill="1" applyBorder="1" applyAlignment="1">
      <alignment horizontal="center" wrapText="1"/>
    </xf>
    <xf numFmtId="0" fontId="19" fillId="4" borderId="53" xfId="0" applyFont="1" applyFill="1" applyBorder="1" applyAlignment="1">
      <alignment horizontal="center" wrapText="1"/>
    </xf>
    <xf numFmtId="0" fontId="19" fillId="4" borderId="8" xfId="0" applyFont="1" applyFill="1" applyBorder="1" applyAlignment="1">
      <alignment horizontal="center" wrapText="1"/>
    </xf>
    <xf numFmtId="166" fontId="21" fillId="3" borderId="61" xfId="1" applyNumberFormat="1" applyFont="1" applyFill="1" applyBorder="1" applyAlignment="1" applyProtection="1">
      <alignment horizontal="right" vertical="center" wrapText="1"/>
    </xf>
    <xf numFmtId="166" fontId="21" fillId="3" borderId="5" xfId="1" applyNumberFormat="1" applyFont="1" applyFill="1" applyBorder="1" applyAlignment="1" applyProtection="1">
      <alignment horizontal="right" vertical="center" wrapText="1"/>
    </xf>
    <xf numFmtId="166" fontId="21" fillId="3" borderId="62" xfId="1" applyNumberFormat="1" applyFont="1" applyFill="1" applyBorder="1" applyAlignment="1" applyProtection="1">
      <alignment horizontal="right" vertical="center" wrapText="1"/>
    </xf>
    <xf numFmtId="166" fontId="21" fillId="3" borderId="6" xfId="1" applyNumberFormat="1" applyFont="1" applyFill="1" applyBorder="1" applyAlignment="1" applyProtection="1">
      <alignment horizontal="right" vertical="center" wrapText="1"/>
    </xf>
    <xf numFmtId="0" fontId="22" fillId="4" borderId="8" xfId="0" applyFont="1" applyFill="1" applyBorder="1" applyAlignment="1">
      <alignment horizontal="center" vertical="center" wrapText="1"/>
    </xf>
    <xf numFmtId="166" fontId="21" fillId="3" borderId="63" xfId="1" applyNumberFormat="1" applyFont="1" applyFill="1" applyBorder="1" applyAlignment="1" applyProtection="1">
      <alignment horizontal="right" vertical="center" wrapText="1"/>
    </xf>
    <xf numFmtId="166" fontId="21" fillId="3" borderId="64" xfId="1" applyNumberFormat="1" applyFont="1" applyFill="1" applyBorder="1" applyAlignment="1" applyProtection="1">
      <alignment horizontal="right" vertical="center" wrapText="1"/>
    </xf>
    <xf numFmtId="0" fontId="22" fillId="0" borderId="3" xfId="0" applyFont="1" applyBorder="1" applyAlignment="1">
      <alignment horizontal="center" vertical="center" wrapText="1"/>
    </xf>
    <xf numFmtId="167" fontId="0" fillId="0" borderId="0" xfId="0" applyNumberFormat="1"/>
    <xf numFmtId="0" fontId="16" fillId="3" borderId="0" xfId="0" applyFont="1" applyFill="1" applyBorder="1" applyAlignment="1">
      <alignment horizontal="left"/>
    </xf>
    <xf numFmtId="0" fontId="16" fillId="3" borderId="13" xfId="0" applyFont="1" applyFill="1" applyBorder="1" applyAlignment="1">
      <alignment horizontal="left"/>
    </xf>
    <xf numFmtId="0" fontId="0" fillId="0" borderId="66" xfId="0" applyFont="1" applyFill="1" applyBorder="1" applyAlignment="1">
      <alignment horizontal="center" vertical="center"/>
    </xf>
    <xf numFmtId="0" fontId="0" fillId="0" borderId="67" xfId="0" applyFont="1" applyFill="1" applyBorder="1" applyAlignment="1">
      <alignment horizontal="center" vertical="center"/>
    </xf>
    <xf numFmtId="0" fontId="0" fillId="0" borderId="68" xfId="0" applyFont="1" applyFill="1" applyBorder="1" applyAlignment="1">
      <alignment horizontal="center" vertical="center"/>
    </xf>
    <xf numFmtId="0" fontId="0" fillId="0" borderId="65" xfId="0" applyFont="1" applyFill="1" applyBorder="1" applyAlignment="1">
      <alignment horizontal="center" vertical="center"/>
    </xf>
    <xf numFmtId="0" fontId="0" fillId="0" borderId="69" xfId="0" applyFont="1" applyFill="1" applyBorder="1" applyAlignment="1">
      <alignment horizontal="center" vertical="center"/>
    </xf>
    <xf numFmtId="0" fontId="0" fillId="0" borderId="70" xfId="0" applyFont="1" applyFill="1" applyBorder="1" applyAlignment="1">
      <alignment horizontal="center" vertical="center"/>
    </xf>
    <xf numFmtId="0" fontId="4" fillId="0" borderId="26" xfId="0" applyFont="1" applyFill="1" applyBorder="1" applyAlignment="1">
      <alignment horizontal="left" vertical="center"/>
    </xf>
    <xf numFmtId="0" fontId="4" fillId="0" borderId="26" xfId="0" applyFont="1" applyFill="1" applyBorder="1" applyAlignment="1">
      <alignment horizontal="center" vertical="center"/>
    </xf>
    <xf numFmtId="0" fontId="4" fillId="0" borderId="26" xfId="0" applyFont="1" applyFill="1" applyBorder="1" applyAlignment="1">
      <alignment horizontal="center" vertical="center" wrapText="1"/>
    </xf>
    <xf numFmtId="166" fontId="4" fillId="0" borderId="26" xfId="1" applyNumberFormat="1" applyFont="1" applyFill="1" applyBorder="1" applyAlignment="1" applyProtection="1">
      <alignment horizontal="right" vertical="center" wrapText="1"/>
    </xf>
    <xf numFmtId="3" fontId="4" fillId="0" borderId="26" xfId="0" applyNumberFormat="1" applyFont="1" applyFill="1" applyBorder="1" applyAlignment="1">
      <alignment horizontal="center" vertical="center"/>
    </xf>
    <xf numFmtId="0" fontId="5" fillId="0" borderId="17" xfId="0" applyFont="1" applyFill="1" applyBorder="1" applyAlignment="1">
      <alignment horizontal="right" vertical="center"/>
    </xf>
    <xf numFmtId="0" fontId="6" fillId="0" borderId="18" xfId="0" applyFont="1" applyFill="1" applyBorder="1" applyAlignment="1">
      <alignment horizontal="center" vertical="center"/>
    </xf>
    <xf numFmtId="0" fontId="5" fillId="0" borderId="19" xfId="0" applyFont="1" applyFill="1" applyBorder="1" applyAlignment="1">
      <alignment vertical="center"/>
    </xf>
    <xf numFmtId="0" fontId="5" fillId="0" borderId="0" xfId="0" applyFont="1" applyFill="1" applyBorder="1" applyAlignment="1">
      <alignment vertical="center"/>
    </xf>
    <xf numFmtId="0" fontId="7" fillId="0" borderId="0" xfId="0" applyFont="1" applyFill="1" applyBorder="1" applyAlignment="1">
      <alignment horizontal="left" vertical="center"/>
    </xf>
    <xf numFmtId="0" fontId="6" fillId="0" borderId="0" xfId="0" applyFont="1" applyFill="1" applyBorder="1" applyAlignment="1">
      <alignment horizontal="left" vertical="center" wrapText="1" indent="1"/>
    </xf>
    <xf numFmtId="0" fontId="9" fillId="0" borderId="27" xfId="0" applyFont="1" applyFill="1" applyBorder="1" applyAlignment="1">
      <alignment horizontal="center" vertical="center"/>
    </xf>
    <xf numFmtId="0" fontId="17" fillId="0" borderId="0" xfId="0" applyFont="1" applyBorder="1" applyAlignment="1">
      <alignment horizontal="center"/>
    </xf>
    <xf numFmtId="0" fontId="18" fillId="0" borderId="0" xfId="0" applyFont="1" applyBorder="1" applyAlignment="1">
      <alignment horizontal="left" vertical="center" wrapText="1"/>
    </xf>
    <xf numFmtId="0" fontId="24" fillId="3" borderId="0" xfId="0" applyFont="1" applyFill="1" applyBorder="1" applyAlignment="1">
      <alignment horizontal="left" wrapText="1" indent="1"/>
    </xf>
    <xf numFmtId="0" fontId="16" fillId="3" borderId="13" xfId="0" applyFont="1" applyFill="1" applyBorder="1" applyAlignment="1">
      <alignment horizontal="center" wrapText="1"/>
    </xf>
    <xf numFmtId="0" fontId="16" fillId="3" borderId="13" xfId="0" applyFont="1" applyFill="1" applyBorder="1" applyAlignment="1">
      <alignment horizontal="center"/>
    </xf>
    <xf numFmtId="0" fontId="16" fillId="3" borderId="0" xfId="0" applyFont="1" applyFill="1" applyBorder="1" applyAlignment="1">
      <alignment horizontal="left"/>
    </xf>
    <xf numFmtId="0" fontId="16" fillId="3" borderId="13" xfId="0" applyFont="1" applyFill="1" applyBorder="1" applyAlignment="1">
      <alignment horizontal="left"/>
    </xf>
    <xf numFmtId="0" fontId="16" fillId="3" borderId="0" xfId="0" applyFont="1" applyFill="1" applyBorder="1" applyAlignment="1">
      <alignment horizontal="left" vertical="center" wrapText="1"/>
    </xf>
    <xf numFmtId="0" fontId="16" fillId="3" borderId="13" xfId="0" applyFont="1" applyFill="1" applyBorder="1" applyAlignment="1">
      <alignment horizontal="left" vertical="center" wrapText="1"/>
    </xf>
    <xf numFmtId="0" fontId="5" fillId="0" borderId="0" xfId="0" applyFont="1" applyFill="1" applyBorder="1" applyAlignment="1">
      <alignment horizontal="center" vertical="center"/>
    </xf>
    <xf numFmtId="0" fontId="7" fillId="0" borderId="20" xfId="0" applyFont="1" applyFill="1" applyBorder="1" applyAlignment="1">
      <alignment horizontal="left" vertical="center" wrapText="1"/>
    </xf>
    <xf numFmtId="0" fontId="6" fillId="0" borderId="21" xfId="0" applyFont="1" applyFill="1" applyBorder="1" applyAlignment="1">
      <alignment horizontal="left" vertical="center" wrapText="1" indent="1"/>
    </xf>
    <xf numFmtId="0" fontId="7" fillId="0" borderId="22" xfId="0" applyFont="1" applyFill="1" applyBorder="1" applyAlignment="1">
      <alignment horizontal="left" vertical="center" wrapText="1"/>
    </xf>
    <xf numFmtId="0" fontId="7" fillId="0" borderId="23" xfId="0" applyFont="1" applyFill="1" applyBorder="1" applyAlignment="1">
      <alignment horizontal="left" vertical="center"/>
    </xf>
    <xf numFmtId="0" fontId="6" fillId="0" borderId="24" xfId="0" applyFont="1" applyFill="1" applyBorder="1" applyAlignment="1">
      <alignment horizontal="left" vertical="center" wrapText="1" indent="1"/>
    </xf>
    <xf numFmtId="0" fontId="8" fillId="0" borderId="23" xfId="0" applyFont="1" applyFill="1" applyBorder="1" applyAlignment="1">
      <alignment horizontal="center" vertical="center"/>
    </xf>
    <xf numFmtId="0" fontId="8" fillId="0" borderId="25" xfId="0" applyFont="1" applyFill="1" applyBorder="1" applyAlignment="1">
      <alignment horizontal="center" vertical="center" wrapText="1"/>
    </xf>
    <xf numFmtId="0" fontId="8" fillId="0" borderId="24" xfId="0" applyFont="1" applyFill="1" applyBorder="1" applyAlignment="1">
      <alignment horizontal="center" vertical="center" wrapText="1"/>
    </xf>
    <xf numFmtId="167" fontId="25" fillId="0" borderId="21" xfId="0" applyNumberFormat="1" applyFont="1" applyFill="1" applyBorder="1" applyAlignment="1">
      <alignment horizontal="center" vertical="center"/>
    </xf>
    <xf numFmtId="0" fontId="4" fillId="0" borderId="26" xfId="0" applyFont="1" applyFill="1" applyBorder="1" applyAlignment="1">
      <alignment horizontal="left" vertical="center" wrapText="1"/>
    </xf>
    <xf numFmtId="0" fontId="0" fillId="0" borderId="28" xfId="0" applyFont="1" applyBorder="1" applyAlignment="1">
      <alignment horizontal="center"/>
    </xf>
    <xf numFmtId="3" fontId="10" fillId="0" borderId="29" xfId="0" applyNumberFormat="1" applyFont="1" applyBorder="1" applyAlignment="1">
      <alignment horizontal="center"/>
    </xf>
    <xf numFmtId="0" fontId="11" fillId="0" borderId="18" xfId="0" applyFont="1" applyBorder="1" applyAlignment="1">
      <alignment horizontal="center" vertical="center" wrapText="1"/>
    </xf>
    <xf numFmtId="0" fontId="2" fillId="0" borderId="18" xfId="0" applyFont="1" applyBorder="1"/>
    <xf numFmtId="0" fontId="12" fillId="0" borderId="18" xfId="0" applyFont="1" applyBorder="1" applyAlignment="1">
      <alignment horizontal="left" indent="1"/>
    </xf>
    <xf numFmtId="0" fontId="4" fillId="0" borderId="20" xfId="0" applyFont="1" applyBorder="1" applyAlignment="1">
      <alignment horizontal="left" vertical="center" wrapText="1"/>
    </xf>
    <xf numFmtId="0" fontId="4" fillId="0" borderId="51" xfId="0" applyFont="1" applyBorder="1" applyAlignment="1">
      <alignment horizontal="left" vertical="center" wrapText="1"/>
    </xf>
    <xf numFmtId="0" fontId="4" fillId="0" borderId="52" xfId="0" applyFont="1" applyBorder="1" applyAlignment="1">
      <alignment horizontal="left" vertical="center" wrapText="1"/>
    </xf>
    <xf numFmtId="0" fontId="13" fillId="0" borderId="18" xfId="0" applyFont="1" applyBorder="1" applyAlignment="1">
      <alignment horizontal="left"/>
    </xf>
    <xf numFmtId="0" fontId="12" fillId="0" borderId="31" xfId="0" applyFont="1" applyBorder="1"/>
    <xf numFmtId="0" fontId="12" fillId="0" borderId="32" xfId="0" applyFont="1" applyBorder="1" applyAlignment="1">
      <alignment horizontal="left" vertical="center" wrapText="1" indent="1"/>
    </xf>
    <xf numFmtId="0" fontId="14" fillId="0" borderId="30" xfId="0" applyFont="1" applyBorder="1" applyAlignment="1">
      <alignment horizontal="center" vertical="center"/>
    </xf>
    <xf numFmtId="0" fontId="14" fillId="0" borderId="18" xfId="0" applyFont="1" applyBorder="1" applyAlignment="1">
      <alignment horizontal="center" vertical="center"/>
    </xf>
    <xf numFmtId="0" fontId="14" fillId="0" borderId="30" xfId="0" applyFont="1" applyBorder="1" applyAlignment="1">
      <alignment horizontal="center" vertical="center" wrapText="1"/>
    </xf>
    <xf numFmtId="0" fontId="14" fillId="0" borderId="35" xfId="0" applyFont="1" applyBorder="1" applyAlignment="1">
      <alignment horizontal="center" vertical="center"/>
    </xf>
    <xf numFmtId="0" fontId="26" fillId="0" borderId="67" xfId="0" applyFont="1" applyBorder="1" applyAlignment="1">
      <alignment horizontal="left" vertical="center" wrapText="1"/>
    </xf>
    <xf numFmtId="0" fontId="0" fillId="0" borderId="67" xfId="0" applyFont="1" applyBorder="1" applyAlignment="1">
      <alignment horizontal="left" vertical="center" wrapText="1"/>
    </xf>
    <xf numFmtId="0" fontId="26" fillId="0" borderId="69" xfId="0" applyFont="1" applyBorder="1" applyAlignment="1">
      <alignment horizontal="left" vertical="center" wrapText="1"/>
    </xf>
    <xf numFmtId="0" fontId="0" fillId="0" borderId="69" xfId="0" applyFont="1" applyBorder="1" applyAlignment="1">
      <alignment horizontal="left" vertical="center" wrapText="1"/>
    </xf>
    <xf numFmtId="0" fontId="0" fillId="0" borderId="43" xfId="0" applyFont="1" applyBorder="1" applyAlignment="1">
      <alignment horizontal="left" vertical="center"/>
    </xf>
    <xf numFmtId="0" fontId="10" fillId="0" borderId="28" xfId="0" applyFont="1" applyBorder="1" applyAlignment="1">
      <alignment vertical="center" wrapText="1"/>
    </xf>
    <xf numFmtId="0" fontId="10" fillId="0" borderId="50" xfId="0" applyFont="1" applyBorder="1" applyAlignment="1">
      <alignment vertical="center" wrapText="1"/>
    </xf>
    <xf numFmtId="0" fontId="10" fillId="0" borderId="24" xfId="0" applyFont="1" applyBorder="1" applyAlignment="1">
      <alignment vertical="center" wrapText="1"/>
    </xf>
    <xf numFmtId="0" fontId="12" fillId="0" borderId="35" xfId="0" applyFont="1" applyBorder="1" applyAlignment="1">
      <alignment vertical="center" wrapText="1"/>
    </xf>
    <xf numFmtId="0" fontId="12" fillId="0" borderId="49" xfId="0" applyFont="1" applyFill="1" applyBorder="1" applyAlignment="1">
      <alignment horizontal="left" vertical="center" wrapText="1" indent="1"/>
    </xf>
    <xf numFmtId="0" fontId="0" fillId="0" borderId="43" xfId="0" applyBorder="1" applyAlignment="1">
      <alignment horizontal="left" vertical="center"/>
    </xf>
    <xf numFmtId="0" fontId="0" fillId="0" borderId="46" xfId="0" applyBorder="1" applyAlignment="1">
      <alignment horizontal="left" vertical="center"/>
    </xf>
    <xf numFmtId="0" fontId="10" fillId="0" borderId="49" xfId="0" applyFont="1" applyBorder="1" applyAlignment="1">
      <alignment horizontal="left" vertical="center" wrapText="1"/>
    </xf>
    <xf numFmtId="0" fontId="0" fillId="0" borderId="30" xfId="0" applyBorder="1"/>
  </cellXfs>
  <cellStyles count="5">
    <cellStyle name="Encabezado 1" xfId="2" xr:uid="{00000000-0005-0000-0000-000000000000}"/>
    <cellStyle name="Moneda" xfId="1" builtinId="4"/>
    <cellStyle name="Moneda_AUTORIZACION Y NOTA DE PEDIDO" xfId="3" xr:uid="{00000000-0005-0000-0000-000002000000}"/>
    <cellStyle name="Neutral 1" xfId="4" xr:uid="{00000000-0005-0000-0000-000003000000}"/>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D3D3D"/>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16</xdr:col>
      <xdr:colOff>733320</xdr:colOff>
      <xdr:row>0</xdr:row>
      <xdr:rowOff>0</xdr:rowOff>
    </xdr:from>
    <xdr:to>
      <xdr:col>16</xdr:col>
      <xdr:colOff>733320</xdr:colOff>
      <xdr:row>0</xdr:row>
      <xdr:rowOff>0</xdr:rowOff>
    </xdr:to>
    <xdr:sp macro="" textlink="">
      <xdr:nvSpPr>
        <xdr:cNvPr id="2" name="Freeform 1">
          <a:extLst>
            <a:ext uri="{FF2B5EF4-FFF2-40B4-BE49-F238E27FC236}">
              <a16:creationId xmlns:a16="http://schemas.microsoft.com/office/drawing/2014/main" id="{00000000-0008-0000-0200-000002000000}"/>
            </a:ext>
          </a:extLst>
        </xdr:cNvPr>
        <xdr:cNvSpPr/>
      </xdr:nvSpPr>
      <xdr:spPr>
        <a:xfrm>
          <a:off x="6897600" y="0"/>
          <a:ext cx="360" cy="360"/>
        </a:xfrm>
        <a:custGeom>
          <a:avLst/>
          <a:gdLst/>
          <a:ahLst/>
          <a:cxnLst/>
          <a:rect l="0" t="0" r="r" b="b"/>
          <a:pathLst>
            <a:path w="1" h="1">
              <a:moveTo>
                <a:pt x="0" y="0"/>
              </a:moveTo>
              <a:lnTo>
                <a:pt x="0" y="0"/>
              </a:lnTo>
            </a:path>
          </a:pathLst>
        </a:custGeom>
        <a:ln w="28440">
          <a:solidFill>
            <a:srgbClr val="3D3D3D"/>
          </a:solidFill>
          <a:miter/>
        </a:ln>
      </xdr:spPr>
    </xdr:sp>
    <xdr:clientData/>
  </xdr:twoCellAnchor>
  <xdr:twoCellAnchor>
    <xdr:from>
      <xdr:col>16</xdr:col>
      <xdr:colOff>733320</xdr:colOff>
      <xdr:row>0</xdr:row>
      <xdr:rowOff>0</xdr:rowOff>
    </xdr:from>
    <xdr:to>
      <xdr:col>16</xdr:col>
      <xdr:colOff>733320</xdr:colOff>
      <xdr:row>0</xdr:row>
      <xdr:rowOff>0</xdr:rowOff>
    </xdr:to>
    <xdr:sp macro="" textlink="">
      <xdr:nvSpPr>
        <xdr:cNvPr id="3" name="Freeform 1">
          <a:extLst>
            <a:ext uri="{FF2B5EF4-FFF2-40B4-BE49-F238E27FC236}">
              <a16:creationId xmlns:a16="http://schemas.microsoft.com/office/drawing/2014/main" id="{00000000-0008-0000-0200-000003000000}"/>
            </a:ext>
          </a:extLst>
        </xdr:cNvPr>
        <xdr:cNvSpPr/>
      </xdr:nvSpPr>
      <xdr:spPr>
        <a:xfrm>
          <a:off x="6897600" y="0"/>
          <a:ext cx="360" cy="360"/>
        </a:xfrm>
        <a:custGeom>
          <a:avLst/>
          <a:gdLst/>
          <a:ahLst/>
          <a:cxnLst/>
          <a:rect l="0" t="0" r="r" b="b"/>
          <a:pathLst>
            <a:path w="1" h="1">
              <a:moveTo>
                <a:pt x="0" y="0"/>
              </a:moveTo>
              <a:lnTo>
                <a:pt x="0" y="0"/>
              </a:lnTo>
            </a:path>
          </a:pathLst>
        </a:custGeom>
        <a:ln w="28440">
          <a:solidFill>
            <a:srgbClr val="3D3D3D"/>
          </a:solidFill>
          <a:miter/>
        </a:ln>
      </xdr:spPr>
    </xdr:sp>
    <xdr:clientData/>
  </xdr:twoCellAnchor>
  <xdr:twoCellAnchor>
    <xdr:from>
      <xdr:col>16</xdr:col>
      <xdr:colOff>733320</xdr:colOff>
      <xdr:row>0</xdr:row>
      <xdr:rowOff>0</xdr:rowOff>
    </xdr:from>
    <xdr:to>
      <xdr:col>16</xdr:col>
      <xdr:colOff>733320</xdr:colOff>
      <xdr:row>0</xdr:row>
      <xdr:rowOff>0</xdr:rowOff>
    </xdr:to>
    <xdr:sp macro="" textlink="">
      <xdr:nvSpPr>
        <xdr:cNvPr id="4" name="Freeform 1">
          <a:extLst>
            <a:ext uri="{FF2B5EF4-FFF2-40B4-BE49-F238E27FC236}">
              <a16:creationId xmlns:a16="http://schemas.microsoft.com/office/drawing/2014/main" id="{00000000-0008-0000-0200-000004000000}"/>
            </a:ext>
          </a:extLst>
        </xdr:cNvPr>
        <xdr:cNvSpPr/>
      </xdr:nvSpPr>
      <xdr:spPr>
        <a:xfrm>
          <a:off x="6897600" y="0"/>
          <a:ext cx="360" cy="360"/>
        </a:xfrm>
        <a:custGeom>
          <a:avLst/>
          <a:gdLst/>
          <a:ahLst/>
          <a:cxnLst/>
          <a:rect l="0" t="0" r="r" b="b"/>
          <a:pathLst>
            <a:path w="1" h="1">
              <a:moveTo>
                <a:pt x="0" y="0"/>
              </a:moveTo>
              <a:lnTo>
                <a:pt x="0" y="0"/>
              </a:lnTo>
            </a:path>
          </a:pathLst>
        </a:custGeom>
        <a:ln w="28440">
          <a:solidFill>
            <a:srgbClr val="3D3D3D"/>
          </a:solidFill>
          <a:miter/>
        </a:ln>
      </xdr:spPr>
    </xdr:sp>
    <xdr:clientData/>
  </xdr:twoCellAnchor>
  <xdr:twoCellAnchor>
    <xdr:from>
      <xdr:col>16</xdr:col>
      <xdr:colOff>733320</xdr:colOff>
      <xdr:row>0</xdr:row>
      <xdr:rowOff>0</xdr:rowOff>
    </xdr:from>
    <xdr:to>
      <xdr:col>16</xdr:col>
      <xdr:colOff>733320</xdr:colOff>
      <xdr:row>0</xdr:row>
      <xdr:rowOff>0</xdr:rowOff>
    </xdr:to>
    <xdr:sp macro="" textlink="">
      <xdr:nvSpPr>
        <xdr:cNvPr id="5" name="Freeform 1">
          <a:extLst>
            <a:ext uri="{FF2B5EF4-FFF2-40B4-BE49-F238E27FC236}">
              <a16:creationId xmlns:a16="http://schemas.microsoft.com/office/drawing/2014/main" id="{00000000-0008-0000-0200-000005000000}"/>
            </a:ext>
          </a:extLst>
        </xdr:cNvPr>
        <xdr:cNvSpPr/>
      </xdr:nvSpPr>
      <xdr:spPr>
        <a:xfrm>
          <a:off x="6897600" y="0"/>
          <a:ext cx="360" cy="360"/>
        </a:xfrm>
        <a:custGeom>
          <a:avLst/>
          <a:gdLst/>
          <a:ahLst/>
          <a:cxnLst/>
          <a:rect l="0" t="0" r="r" b="b"/>
          <a:pathLst>
            <a:path w="1" h="1">
              <a:moveTo>
                <a:pt x="0" y="0"/>
              </a:moveTo>
              <a:lnTo>
                <a:pt x="0" y="0"/>
              </a:lnTo>
            </a:path>
          </a:pathLst>
        </a:custGeom>
        <a:ln w="28440">
          <a:solidFill>
            <a:srgbClr val="3D3D3D"/>
          </a:solidFill>
          <a:miter/>
        </a:ln>
      </xdr:spPr>
    </xdr:sp>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I32"/>
  <sheetViews>
    <sheetView tabSelected="1" zoomScaleNormal="100" workbookViewId="0">
      <selection activeCell="C14" sqref="C14"/>
    </sheetView>
  </sheetViews>
  <sheetFormatPr baseColWidth="10" defaultColWidth="11" defaultRowHeight="12.75" x14ac:dyDescent="0.2"/>
  <cols>
    <col min="1" max="1" width="4.5703125" style="33" customWidth="1"/>
    <col min="2" max="2" width="21.7109375" style="33" customWidth="1"/>
    <col min="3" max="3" width="32.42578125" style="33" customWidth="1"/>
    <col min="4" max="4" width="8.42578125" style="33" customWidth="1"/>
    <col min="5" max="5" width="88.28515625" style="33" bestFit="1" customWidth="1"/>
    <col min="6" max="6" width="11" style="33"/>
    <col min="7" max="8" width="10.42578125" style="33" bestFit="1" customWidth="1"/>
    <col min="9" max="9" width="15.7109375" style="33" bestFit="1" customWidth="1"/>
    <col min="10" max="16384" width="11" style="33"/>
  </cols>
  <sheetData>
    <row r="2" spans="1:9" ht="27" x14ac:dyDescent="0.35">
      <c r="B2" s="101" t="s">
        <v>0</v>
      </c>
      <c r="C2" s="101"/>
      <c r="D2" s="101"/>
      <c r="E2" s="101"/>
      <c r="F2" s="101"/>
      <c r="G2" s="101"/>
      <c r="H2" s="101"/>
    </row>
    <row r="4" spans="1:9" ht="18" customHeight="1" x14ac:dyDescent="0.25">
      <c r="A4" s="102" t="s">
        <v>1</v>
      </c>
      <c r="B4" s="102"/>
      <c r="C4" s="103" t="s">
        <v>62</v>
      </c>
      <c r="D4" s="103"/>
      <c r="E4" s="103"/>
      <c r="F4" s="34"/>
      <c r="G4" s="35"/>
      <c r="H4" s="34"/>
    </row>
    <row r="5" spans="1:9" ht="18" customHeight="1" x14ac:dyDescent="0.25">
      <c r="A5" s="102" t="s">
        <v>2</v>
      </c>
      <c r="B5" s="102"/>
      <c r="C5" s="103" t="s">
        <v>63</v>
      </c>
      <c r="D5" s="103"/>
      <c r="E5" s="103"/>
      <c r="F5" s="34"/>
      <c r="G5" s="35"/>
      <c r="H5" s="34"/>
    </row>
    <row r="6" spans="1:9" ht="16.5" customHeight="1" x14ac:dyDescent="0.25">
      <c r="A6" s="102" t="s">
        <v>3</v>
      </c>
      <c r="B6" s="102"/>
      <c r="C6" s="53">
        <v>2020</v>
      </c>
      <c r="D6" s="54"/>
      <c r="E6" s="54"/>
      <c r="F6" s="34"/>
      <c r="G6" s="35"/>
      <c r="H6" s="34"/>
    </row>
    <row r="7" spans="1:9" ht="16.5" customHeight="1" x14ac:dyDescent="0.25">
      <c r="A7" s="102" t="s">
        <v>4</v>
      </c>
      <c r="B7" s="102"/>
      <c r="C7" s="53">
        <v>4</v>
      </c>
      <c r="D7" s="54"/>
      <c r="E7" s="54"/>
      <c r="F7" s="34"/>
      <c r="G7" s="35"/>
      <c r="H7" s="34"/>
    </row>
    <row r="8" spans="1:9" ht="13.5" thickBot="1" x14ac:dyDescent="0.25">
      <c r="B8" s="34"/>
      <c r="C8" s="35"/>
      <c r="D8" s="34"/>
      <c r="E8" s="34"/>
      <c r="F8" s="34"/>
      <c r="G8" s="35"/>
      <c r="H8" s="34"/>
    </row>
    <row r="9" spans="1:9" ht="39" thickBot="1" x14ac:dyDescent="0.25">
      <c r="A9" s="60" t="s">
        <v>5</v>
      </c>
      <c r="B9" s="56" t="s">
        <v>6</v>
      </c>
      <c r="C9" s="56" t="s">
        <v>7</v>
      </c>
      <c r="D9" s="66" t="s">
        <v>8</v>
      </c>
      <c r="E9" s="56" t="s">
        <v>9</v>
      </c>
      <c r="F9" s="61" t="s">
        <v>10</v>
      </c>
      <c r="G9" s="62" t="s">
        <v>11</v>
      </c>
      <c r="H9" s="62" t="s">
        <v>12</v>
      </c>
      <c r="I9" s="63" t="s">
        <v>13</v>
      </c>
    </row>
    <row r="10" spans="1:9" x14ac:dyDescent="0.2">
      <c r="A10" s="36">
        <v>1</v>
      </c>
      <c r="B10" s="55" t="s">
        <v>66</v>
      </c>
      <c r="C10" s="55" t="s">
        <v>59</v>
      </c>
      <c r="D10" s="79" t="str">
        <f>LEFT(B10,5)</f>
        <v>2.5.6</v>
      </c>
      <c r="E10" s="55" t="s">
        <v>67</v>
      </c>
      <c r="F10" s="67" t="s">
        <v>60</v>
      </c>
      <c r="G10" s="37">
        <v>23320</v>
      </c>
      <c r="H10" s="72">
        <v>64.3</v>
      </c>
      <c r="I10" s="74">
        <f>+H10*G10</f>
        <v>1499476</v>
      </c>
    </row>
    <row r="11" spans="1:9" x14ac:dyDescent="0.2">
      <c r="A11" s="38"/>
      <c r="B11" s="1"/>
      <c r="C11" s="55"/>
      <c r="D11" s="58"/>
      <c r="E11" s="1"/>
      <c r="F11" s="68"/>
      <c r="G11" s="69"/>
      <c r="H11" s="73"/>
      <c r="I11" s="75"/>
    </row>
    <row r="12" spans="1:9" x14ac:dyDescent="0.2">
      <c r="A12" s="38"/>
      <c r="B12" s="57"/>
      <c r="C12" s="55"/>
      <c r="D12" s="58"/>
      <c r="E12" s="55"/>
      <c r="F12" s="68"/>
      <c r="G12" s="69"/>
      <c r="H12" s="73"/>
      <c r="I12" s="75"/>
    </row>
    <row r="13" spans="1:9" x14ac:dyDescent="0.2">
      <c r="A13" s="38"/>
      <c r="B13" s="57"/>
      <c r="C13" s="55"/>
      <c r="D13" s="58"/>
      <c r="E13" s="55"/>
      <c r="F13" s="68"/>
      <c r="G13" s="69"/>
      <c r="H13" s="73"/>
      <c r="I13" s="75"/>
    </row>
    <row r="14" spans="1:9" x14ac:dyDescent="0.2">
      <c r="A14" s="38"/>
      <c r="B14" s="57"/>
      <c r="C14" s="55"/>
      <c r="D14" s="58"/>
      <c r="E14" s="55"/>
      <c r="F14" s="68"/>
      <c r="G14" s="70"/>
      <c r="H14" s="73"/>
      <c r="I14" s="75"/>
    </row>
    <row r="15" spans="1:9" ht="13.5" thickBot="1" x14ac:dyDescent="0.25">
      <c r="A15" s="39"/>
      <c r="B15" s="64"/>
      <c r="C15" s="65"/>
      <c r="D15" s="59"/>
      <c r="E15" s="65"/>
      <c r="F15" s="76"/>
      <c r="G15" s="71"/>
      <c r="H15" s="77"/>
      <c r="I15" s="78"/>
    </row>
    <row r="18" spans="2:5" x14ac:dyDescent="0.2">
      <c r="B18" s="40" t="s">
        <v>14</v>
      </c>
      <c r="C18" s="41"/>
      <c r="D18" s="41"/>
      <c r="E18" s="42"/>
    </row>
    <row r="19" spans="2:5" ht="5.25" customHeight="1" x14ac:dyDescent="0.2">
      <c r="B19" s="43"/>
      <c r="C19" s="44"/>
      <c r="D19" s="44"/>
      <c r="E19" s="45"/>
    </row>
    <row r="20" spans="2:5" x14ac:dyDescent="0.2">
      <c r="B20" s="46" t="s">
        <v>15</v>
      </c>
      <c r="C20" s="44"/>
      <c r="D20" s="44"/>
      <c r="E20" s="45"/>
    </row>
    <row r="21" spans="2:5" ht="41.25" customHeight="1" x14ac:dyDescent="0.2">
      <c r="B21" s="46"/>
      <c r="C21" s="104"/>
      <c r="D21" s="104"/>
      <c r="E21" s="104"/>
    </row>
    <row r="22" spans="2:5" x14ac:dyDescent="0.2">
      <c r="B22" s="46" t="s">
        <v>16</v>
      </c>
      <c r="C22" s="44"/>
      <c r="D22" s="44"/>
      <c r="E22" s="45"/>
    </row>
    <row r="23" spans="2:5" x14ac:dyDescent="0.2">
      <c r="B23" s="47"/>
      <c r="C23" s="106" t="s">
        <v>71</v>
      </c>
      <c r="D23" s="106"/>
      <c r="E23" s="107"/>
    </row>
    <row r="24" spans="2:5" ht="50.25" customHeight="1" x14ac:dyDescent="0.2">
      <c r="B24" s="47"/>
      <c r="C24" s="108" t="s">
        <v>72</v>
      </c>
      <c r="D24" s="108"/>
      <c r="E24" s="109"/>
    </row>
    <row r="25" spans="2:5" x14ac:dyDescent="0.2">
      <c r="B25" s="47"/>
      <c r="C25" s="81" t="s">
        <v>76</v>
      </c>
      <c r="D25" s="81"/>
      <c r="E25" s="82"/>
    </row>
    <row r="26" spans="2:5" x14ac:dyDescent="0.2">
      <c r="B26" s="46" t="s">
        <v>17</v>
      </c>
      <c r="C26" s="44"/>
      <c r="D26" s="44"/>
      <c r="E26" s="45"/>
    </row>
    <row r="27" spans="2:5" ht="26.25" customHeight="1" x14ac:dyDescent="0.2">
      <c r="B27" s="47"/>
      <c r="C27" s="104" t="s">
        <v>68</v>
      </c>
      <c r="D27" s="104"/>
      <c r="E27" s="104"/>
    </row>
    <row r="28" spans="2:5" x14ac:dyDescent="0.2">
      <c r="B28" s="46" t="s">
        <v>18</v>
      </c>
      <c r="C28" s="48"/>
      <c r="D28" s="48"/>
      <c r="E28" s="49"/>
    </row>
    <row r="29" spans="2:5" ht="26.25" customHeight="1" x14ac:dyDescent="0.2">
      <c r="B29" s="47"/>
      <c r="C29" s="104" t="s">
        <v>69</v>
      </c>
      <c r="D29" s="104"/>
      <c r="E29" s="104"/>
    </row>
    <row r="30" spans="2:5" x14ac:dyDescent="0.2">
      <c r="B30" s="46" t="s">
        <v>19</v>
      </c>
      <c r="C30" s="44"/>
      <c r="D30" s="44"/>
      <c r="E30" s="45"/>
    </row>
    <row r="31" spans="2:5" ht="23.25" customHeight="1" x14ac:dyDescent="0.2">
      <c r="B31" s="46"/>
      <c r="C31" s="105"/>
      <c r="D31" s="105"/>
      <c r="E31" s="105"/>
    </row>
    <row r="32" spans="2:5" x14ac:dyDescent="0.2">
      <c r="B32" s="50"/>
      <c r="C32" s="51"/>
      <c r="D32" s="51"/>
      <c r="E32" s="52"/>
    </row>
  </sheetData>
  <mergeCells count="13">
    <mergeCell ref="C27:E27"/>
    <mergeCell ref="C29:E29"/>
    <mergeCell ref="C31:E31"/>
    <mergeCell ref="A6:B6"/>
    <mergeCell ref="A7:B7"/>
    <mergeCell ref="C21:E21"/>
    <mergeCell ref="C23:E23"/>
    <mergeCell ref="C24:E24"/>
    <mergeCell ref="B2:H2"/>
    <mergeCell ref="A4:B4"/>
    <mergeCell ref="C4:E4"/>
    <mergeCell ref="A5:B5"/>
    <mergeCell ref="C5:E5"/>
  </mergeCells>
  <pageMargins left="0" right="0" top="0.74803149606299213" bottom="0" header="0.51181102362204722" footer="0.51181102362204722"/>
  <pageSetup paperSize="5" scale="85" firstPageNumber="0"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MJ18"/>
  <sheetViews>
    <sheetView zoomScale="110" zoomScaleNormal="110" workbookViewId="0">
      <selection activeCell="L13" sqref="L13"/>
    </sheetView>
  </sheetViews>
  <sheetFormatPr baseColWidth="10" defaultColWidth="9.140625" defaultRowHeight="12.75" x14ac:dyDescent="0.2"/>
  <cols>
    <col min="1" max="1" width="5.5703125" style="2" customWidth="1"/>
    <col min="2" max="2" width="15.140625" style="2" customWidth="1"/>
    <col min="3" max="3" width="14.140625" style="2" customWidth="1"/>
    <col min="4" max="4" width="26" style="2" customWidth="1"/>
    <col min="5" max="5" width="8" style="2" customWidth="1"/>
    <col min="6" max="6" width="7.85546875" style="2" customWidth="1"/>
    <col min="7" max="7" width="42" style="2" customWidth="1"/>
    <col min="8" max="8" width="9.28515625" style="2" customWidth="1"/>
    <col min="9" max="9" width="15.5703125" style="2" customWidth="1"/>
    <col min="10" max="10" width="14.7109375" style="2" customWidth="1"/>
    <col min="11" max="11" width="15.5703125" style="2" customWidth="1"/>
    <col min="12" max="14" width="5.85546875" style="2" customWidth="1"/>
    <col min="15" max="15" width="12.5703125" style="2" customWidth="1"/>
    <col min="16" max="1024" width="9.140625" style="2"/>
  </cols>
  <sheetData>
    <row r="1" spans="1:11" ht="18" customHeight="1" x14ac:dyDescent="0.2">
      <c r="A1" s="110" t="s">
        <v>20</v>
      </c>
      <c r="B1" s="110"/>
      <c r="C1" s="110"/>
      <c r="D1" s="110"/>
      <c r="E1" s="110"/>
      <c r="F1" s="110"/>
      <c r="G1" s="110"/>
      <c r="H1" s="110"/>
      <c r="I1" s="110"/>
      <c r="J1" s="94" t="s">
        <v>21</v>
      </c>
      <c r="K1" s="95" t="s">
        <v>73</v>
      </c>
    </row>
    <row r="2" spans="1:11" ht="18.75" customHeight="1" thickBot="1" x14ac:dyDescent="0.25">
      <c r="A2" s="96"/>
      <c r="B2" s="96"/>
      <c r="C2" s="96"/>
      <c r="D2" s="97"/>
      <c r="E2" s="97"/>
      <c r="F2" s="97"/>
      <c r="G2" s="97"/>
      <c r="H2" s="97"/>
      <c r="I2" s="97"/>
      <c r="J2" s="97"/>
      <c r="K2" s="97"/>
    </row>
    <row r="3" spans="1:11" ht="18.75" customHeight="1" thickBot="1" x14ac:dyDescent="0.25">
      <c r="A3" s="111" t="s">
        <v>54</v>
      </c>
      <c r="B3" s="111"/>
      <c r="C3" s="111"/>
      <c r="D3" s="112" t="str">
        <f>'Necesidades Trimestrales'!C4</f>
        <v>45- Ministerio de Desarrollo Social y Deporte</v>
      </c>
      <c r="E3" s="112"/>
      <c r="F3" s="112"/>
      <c r="G3" s="112"/>
      <c r="H3" s="112"/>
      <c r="I3" s="112"/>
      <c r="J3" s="112"/>
      <c r="K3" s="112"/>
    </row>
    <row r="4" spans="1:11" ht="18.75" customHeight="1" thickBot="1" x14ac:dyDescent="0.25">
      <c r="A4" s="113" t="s">
        <v>55</v>
      </c>
      <c r="B4" s="113"/>
      <c r="C4" s="113"/>
      <c r="D4" s="112" t="str">
        <f>'Necesidades Trimestrales'!C5</f>
        <v>25- Direccion Provincial de Gestion Administrativa y RRHH</v>
      </c>
      <c r="E4" s="112"/>
      <c r="F4" s="112"/>
      <c r="G4" s="112"/>
      <c r="H4" s="112"/>
      <c r="I4" s="112"/>
      <c r="J4" s="112"/>
      <c r="K4" s="112"/>
    </row>
    <row r="5" spans="1:11" ht="18.75" customHeight="1" thickBot="1" x14ac:dyDescent="0.25">
      <c r="A5" s="113" t="s">
        <v>33</v>
      </c>
      <c r="B5" s="113"/>
      <c r="C5" s="113"/>
      <c r="D5" s="112" t="s">
        <v>57</v>
      </c>
      <c r="E5" s="112"/>
      <c r="F5" s="112"/>
      <c r="G5" s="112"/>
      <c r="H5" s="112"/>
      <c r="I5" s="112"/>
      <c r="J5" s="112"/>
      <c r="K5" s="112"/>
    </row>
    <row r="6" spans="1:11" ht="16.5" customHeight="1" thickBot="1" x14ac:dyDescent="0.25">
      <c r="A6" s="111" t="s">
        <v>56</v>
      </c>
      <c r="B6" s="111"/>
      <c r="C6" s="111"/>
      <c r="D6" s="112" t="s">
        <v>64</v>
      </c>
      <c r="E6" s="112"/>
      <c r="F6" s="112"/>
      <c r="G6" s="112"/>
      <c r="H6" s="112"/>
      <c r="I6" s="112"/>
      <c r="J6" s="112"/>
      <c r="K6" s="112"/>
    </row>
    <row r="7" spans="1:11" ht="16.5" customHeight="1" x14ac:dyDescent="0.2">
      <c r="A7" s="113" t="s">
        <v>22</v>
      </c>
      <c r="B7" s="113"/>
      <c r="C7" s="113"/>
      <c r="D7" s="112" t="str">
        <f>'Necesidades Trimestrales'!C7 &amp; "° Trimestre - Año " &amp; 'Necesidades Trimestrales'!C6</f>
        <v>4° Trimestre - Año 2020</v>
      </c>
      <c r="E7" s="112"/>
      <c r="F7" s="112"/>
      <c r="G7" s="112"/>
      <c r="H7" s="112"/>
      <c r="I7" s="112"/>
      <c r="J7" s="112"/>
      <c r="K7" s="112"/>
    </row>
    <row r="8" spans="1:11" ht="35.25" customHeight="1" x14ac:dyDescent="0.2">
      <c r="A8" s="114" t="s">
        <v>23</v>
      </c>
      <c r="B8" s="114"/>
      <c r="C8" s="114"/>
      <c r="D8" s="115" t="s">
        <v>61</v>
      </c>
      <c r="E8" s="115"/>
      <c r="F8" s="115"/>
      <c r="G8" s="115"/>
      <c r="H8" s="115"/>
      <c r="I8" s="115"/>
      <c r="J8" s="115"/>
      <c r="K8" s="115"/>
    </row>
    <row r="9" spans="1:11" ht="15.75" x14ac:dyDescent="0.2">
      <c r="A9" s="98"/>
      <c r="B9" s="98"/>
      <c r="C9" s="98"/>
      <c r="D9" s="99"/>
      <c r="E9" s="99"/>
      <c r="F9" s="99"/>
      <c r="G9" s="99"/>
      <c r="H9" s="99"/>
      <c r="I9" s="99"/>
      <c r="J9" s="99"/>
      <c r="K9" s="99"/>
    </row>
    <row r="10" spans="1:11" ht="18.75" customHeight="1" x14ac:dyDescent="0.2">
      <c r="A10" s="116" t="s">
        <v>24</v>
      </c>
      <c r="B10" s="117" t="s">
        <v>25</v>
      </c>
      <c r="C10" s="117" t="s">
        <v>26</v>
      </c>
      <c r="D10" s="117"/>
      <c r="E10" s="117"/>
      <c r="F10" s="117"/>
      <c r="G10" s="117"/>
      <c r="H10" s="117" t="s">
        <v>27</v>
      </c>
      <c r="I10" s="117" t="s">
        <v>28</v>
      </c>
      <c r="J10" s="117" t="s">
        <v>29</v>
      </c>
      <c r="K10" s="118" t="s">
        <v>30</v>
      </c>
    </row>
    <row r="11" spans="1:11" ht="24" customHeight="1" x14ac:dyDescent="0.2">
      <c r="A11" s="116"/>
      <c r="B11" s="117"/>
      <c r="C11" s="117"/>
      <c r="D11" s="117"/>
      <c r="E11" s="117"/>
      <c r="F11" s="117"/>
      <c r="G11" s="117"/>
      <c r="H11" s="117"/>
      <c r="I11" s="117"/>
      <c r="J11" s="117"/>
      <c r="K11" s="118"/>
    </row>
    <row r="12" spans="1:11" ht="31.5" customHeight="1" thickBot="1" x14ac:dyDescent="0.25">
      <c r="A12" s="90">
        <v>1</v>
      </c>
      <c r="B12" s="89" t="str">
        <f>'Necesidades Trimestrales'!B10</f>
        <v>2.5.6-793.30</v>
      </c>
      <c r="C12" s="120" t="str">
        <f>'Necesidades Trimestrales'!E10</f>
        <v>GAS OIL; PRESENTACION: POR LITRO, USO: MOTORES DIESEL, COMERCIALIZACION: GRADO 2</v>
      </c>
      <c r="D12" s="120"/>
      <c r="E12" s="120"/>
      <c r="F12" s="120"/>
      <c r="G12" s="120"/>
      <c r="H12" s="90" t="s">
        <v>70</v>
      </c>
      <c r="I12" s="91" t="str">
        <f>'Necesidades Trimestrales'!F10</f>
        <v>LITROS</v>
      </c>
      <c r="J12" s="92">
        <f>'Necesidades Trimestrales'!H10</f>
        <v>64.3</v>
      </c>
      <c r="K12" s="93">
        <f>'Necesidades Trimestrales'!G10</f>
        <v>23320</v>
      </c>
    </row>
    <row r="13" spans="1:11" ht="36" customHeight="1" thickBot="1" x14ac:dyDescent="0.25">
      <c r="A13" s="100">
        <v>2</v>
      </c>
      <c r="B13" s="89"/>
      <c r="C13" s="120"/>
      <c r="D13" s="120"/>
      <c r="E13" s="120"/>
      <c r="F13" s="120"/>
      <c r="G13" s="120"/>
      <c r="H13" s="90"/>
      <c r="I13" s="91"/>
      <c r="J13" s="92"/>
      <c r="K13" s="93"/>
    </row>
    <row r="14" spans="1:11" ht="33.75" customHeight="1" thickBot="1" x14ac:dyDescent="0.25">
      <c r="A14" s="100">
        <v>3</v>
      </c>
      <c r="B14" s="89"/>
      <c r="C14" s="120"/>
      <c r="D14" s="120"/>
      <c r="E14" s="120"/>
      <c r="F14" s="120"/>
      <c r="G14" s="120"/>
      <c r="H14" s="90"/>
      <c r="I14" s="91"/>
      <c r="J14" s="92"/>
      <c r="K14" s="93"/>
    </row>
    <row r="15" spans="1:11" ht="20.25" customHeight="1" thickBot="1" x14ac:dyDescent="0.25">
      <c r="A15" s="100"/>
      <c r="B15" s="89"/>
      <c r="C15" s="120"/>
      <c r="D15" s="120"/>
      <c r="E15" s="120"/>
      <c r="F15" s="120"/>
      <c r="G15" s="120"/>
      <c r="H15" s="90"/>
      <c r="I15" s="91"/>
      <c r="J15" s="92"/>
      <c r="K15" s="93"/>
    </row>
    <row r="16" spans="1:11" ht="26.25" customHeight="1" thickBot="1" x14ac:dyDescent="0.25">
      <c r="A16" s="100"/>
      <c r="B16" s="89"/>
      <c r="C16" s="120"/>
      <c r="D16" s="120"/>
      <c r="E16" s="120"/>
      <c r="F16" s="120"/>
      <c r="G16" s="120"/>
      <c r="H16" s="90"/>
      <c r="I16" s="91"/>
      <c r="J16" s="92"/>
      <c r="K16" s="93"/>
    </row>
    <row r="17" spans="1:11" ht="27.75" customHeight="1" thickBot="1" x14ac:dyDescent="0.25">
      <c r="A17" s="100"/>
      <c r="B17" s="89"/>
      <c r="C17" s="120"/>
      <c r="D17" s="120"/>
      <c r="E17" s="120"/>
      <c r="F17" s="120"/>
      <c r="G17" s="120"/>
      <c r="H17" s="90"/>
      <c r="I17" s="91"/>
      <c r="J17" s="92"/>
      <c r="K17" s="93"/>
    </row>
    <row r="18" spans="1:11" ht="26.25" customHeight="1" thickBot="1" x14ac:dyDescent="0.25">
      <c r="A18" s="112" t="s">
        <v>74</v>
      </c>
      <c r="B18" s="112"/>
      <c r="C18" s="112"/>
      <c r="D18" s="112"/>
      <c r="E18" s="112"/>
      <c r="F18" s="112"/>
      <c r="G18" s="112"/>
      <c r="H18" s="112"/>
      <c r="I18" s="112"/>
      <c r="J18" s="119">
        <f>+K12*J12</f>
        <v>1499476</v>
      </c>
      <c r="K18" s="119"/>
    </row>
  </sheetData>
  <mergeCells count="28">
    <mergeCell ref="A18:I18"/>
    <mergeCell ref="J18:K18"/>
    <mergeCell ref="C12:G12"/>
    <mergeCell ref="C13:G13"/>
    <mergeCell ref="C14:G14"/>
    <mergeCell ref="C15:G15"/>
    <mergeCell ref="C16:G16"/>
    <mergeCell ref="C17:G17"/>
    <mergeCell ref="A8:C8"/>
    <mergeCell ref="D8:K8"/>
    <mergeCell ref="A10:A11"/>
    <mergeCell ref="B10:B11"/>
    <mergeCell ref="C10:G11"/>
    <mergeCell ref="H10:H11"/>
    <mergeCell ref="I10:I11"/>
    <mergeCell ref="J10:J11"/>
    <mergeCell ref="K10:K11"/>
    <mergeCell ref="A1:I1"/>
    <mergeCell ref="A6:C6"/>
    <mergeCell ref="D6:K6"/>
    <mergeCell ref="A7:C7"/>
    <mergeCell ref="D7:K7"/>
    <mergeCell ref="A3:C3"/>
    <mergeCell ref="D3:K3"/>
    <mergeCell ref="A4:C4"/>
    <mergeCell ref="D4:K4"/>
    <mergeCell ref="A5:C5"/>
    <mergeCell ref="D5:K5"/>
  </mergeCells>
  <printOptions horizontalCentered="1"/>
  <pageMargins left="0.19685039370078741" right="0.19685039370078741" top="0.98425196850393704" bottom="0.98425196850393704" header="0.51181102362204722" footer="0.51181102362204722"/>
  <pageSetup paperSize="5" scale="90" firstPageNumber="0"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R27"/>
  <sheetViews>
    <sheetView topLeftCell="A3" zoomScale="130" zoomScaleNormal="130" workbookViewId="0">
      <selection activeCell="Q23" sqref="Q23"/>
    </sheetView>
  </sheetViews>
  <sheetFormatPr baseColWidth="10" defaultColWidth="11" defaultRowHeight="12.75" x14ac:dyDescent="0.2"/>
  <cols>
    <col min="1" max="4" width="4.42578125" customWidth="1"/>
    <col min="5" max="5" width="3.7109375" bestFit="1" customWidth="1"/>
    <col min="6" max="6" width="5" bestFit="1" customWidth="1"/>
    <col min="7" max="7" width="4.42578125" style="3" customWidth="1"/>
    <col min="8" max="11" width="4.42578125" customWidth="1"/>
    <col min="12" max="12" width="5.85546875" bestFit="1" customWidth="1"/>
    <col min="13" max="14" width="4.42578125" customWidth="1"/>
    <col min="15" max="16" width="14.85546875" customWidth="1"/>
    <col min="17" max="17" width="13.28515625" bestFit="1" customWidth="1"/>
  </cols>
  <sheetData>
    <row r="1" spans="1:18" ht="15.75" customHeight="1" x14ac:dyDescent="0.25">
      <c r="A1" s="121" t="s">
        <v>3</v>
      </c>
      <c r="B1" s="121"/>
      <c r="C1" s="121"/>
      <c r="D1" s="122">
        <f>'Necesidades Trimestrales'!C6</f>
        <v>2020</v>
      </c>
      <c r="E1" s="122"/>
      <c r="F1" s="4"/>
      <c r="G1" s="4"/>
      <c r="H1" s="5"/>
      <c r="I1" s="5"/>
      <c r="J1" s="5"/>
      <c r="K1" s="5"/>
      <c r="L1" s="5"/>
      <c r="M1" s="5"/>
      <c r="N1" s="5"/>
      <c r="P1" s="123" t="s">
        <v>31</v>
      </c>
      <c r="Q1" s="123"/>
    </row>
    <row r="2" spans="1:18" ht="15.75" customHeight="1" x14ac:dyDescent="0.2">
      <c r="H2" s="5"/>
      <c r="I2" s="5"/>
      <c r="J2" s="5"/>
      <c r="K2" s="5"/>
      <c r="L2" s="5"/>
      <c r="M2" s="5"/>
      <c r="N2" s="5"/>
      <c r="P2" s="123"/>
      <c r="Q2" s="123"/>
    </row>
    <row r="4" spans="1:18" s="6" customFormat="1" ht="18" customHeight="1" thickBot="1" x14ac:dyDescent="0.25">
      <c r="A4" s="124" t="s">
        <v>32</v>
      </c>
      <c r="B4" s="124"/>
      <c r="C4" s="124"/>
      <c r="D4" s="124"/>
      <c r="E4" s="124"/>
      <c r="F4" s="124"/>
      <c r="G4" s="125" t="str">
        <f>' NotaPedido'!D3</f>
        <v>45- Ministerio de Desarrollo Social y Deporte</v>
      </c>
      <c r="H4" s="125"/>
      <c r="I4" s="125"/>
      <c r="J4" s="125"/>
      <c r="K4" s="125"/>
      <c r="L4" s="125"/>
      <c r="M4" s="125"/>
      <c r="N4" s="125"/>
      <c r="O4" s="125"/>
      <c r="P4" s="125"/>
      <c r="Q4" s="125"/>
    </row>
    <row r="5" spans="1:18" s="6" customFormat="1" ht="18" customHeight="1" thickBot="1" x14ac:dyDescent="0.25">
      <c r="A5" s="126" t="s">
        <v>55</v>
      </c>
      <c r="B5" s="127"/>
      <c r="C5" s="127"/>
      <c r="D5" s="127"/>
      <c r="E5" s="127"/>
      <c r="F5" s="128"/>
      <c r="G5" s="125" t="str">
        <f>' NotaPedido'!D4</f>
        <v>25- Direccion Provincial de Gestion Administrativa y RRHH</v>
      </c>
      <c r="H5" s="125"/>
      <c r="I5" s="125"/>
      <c r="J5" s="125"/>
      <c r="K5" s="125"/>
      <c r="L5" s="125"/>
      <c r="M5" s="125"/>
      <c r="N5" s="125"/>
      <c r="O5" s="125"/>
      <c r="P5" s="125"/>
      <c r="Q5" s="125"/>
    </row>
    <row r="6" spans="1:18" s="6" customFormat="1" ht="18" customHeight="1" thickBot="1" x14ac:dyDescent="0.25">
      <c r="A6" s="126" t="s">
        <v>33</v>
      </c>
      <c r="B6" s="127"/>
      <c r="C6" s="127"/>
      <c r="D6" s="127"/>
      <c r="E6" s="127"/>
      <c r="F6" s="128"/>
      <c r="G6" s="125" t="s">
        <v>65</v>
      </c>
      <c r="H6" s="125"/>
      <c r="I6" s="125"/>
      <c r="J6" s="125"/>
      <c r="K6" s="125"/>
      <c r="L6" s="125"/>
      <c r="M6" s="125"/>
      <c r="N6" s="125"/>
      <c r="O6" s="125"/>
      <c r="P6" s="125"/>
      <c r="Q6" s="125"/>
    </row>
    <row r="7" spans="1:18" s="6" customFormat="1" ht="18" customHeight="1" thickBot="1" x14ac:dyDescent="0.25">
      <c r="A7" s="126" t="s">
        <v>56</v>
      </c>
      <c r="B7" s="127"/>
      <c r="C7" s="127"/>
      <c r="D7" s="127"/>
      <c r="E7" s="127"/>
      <c r="F7" s="128"/>
      <c r="G7" s="125" t="s">
        <v>64</v>
      </c>
      <c r="H7" s="125"/>
      <c r="I7" s="125"/>
      <c r="J7" s="125"/>
      <c r="K7" s="125"/>
      <c r="L7" s="125"/>
      <c r="M7" s="125"/>
      <c r="N7" s="125"/>
      <c r="O7" s="125"/>
      <c r="P7" s="125"/>
      <c r="Q7" s="125"/>
    </row>
    <row r="8" spans="1:18" ht="18" customHeight="1" thickBot="1" x14ac:dyDescent="0.25">
      <c r="A8" s="129" t="s">
        <v>34</v>
      </c>
      <c r="B8" s="129"/>
      <c r="C8" s="129"/>
      <c r="D8" s="129"/>
      <c r="E8" s="129"/>
      <c r="F8" s="129"/>
      <c r="G8" s="129"/>
      <c r="H8" s="129"/>
      <c r="I8" s="129"/>
      <c r="J8" s="129"/>
      <c r="K8" s="129"/>
      <c r="L8" s="129"/>
      <c r="M8" s="129"/>
      <c r="N8" s="129"/>
      <c r="O8" s="129"/>
      <c r="P8" s="129"/>
      <c r="Q8" s="129"/>
    </row>
    <row r="9" spans="1:18" ht="18" customHeight="1" x14ac:dyDescent="0.2">
      <c r="A9" s="130" t="s">
        <v>35</v>
      </c>
      <c r="B9" s="130"/>
      <c r="C9" s="130"/>
      <c r="D9" s="130"/>
      <c r="E9" s="130"/>
      <c r="F9" s="130"/>
      <c r="G9" s="130"/>
      <c r="H9" s="130"/>
      <c r="I9" s="130"/>
      <c r="J9" s="130"/>
      <c r="K9" s="130"/>
      <c r="L9" s="130"/>
      <c r="M9" s="130"/>
      <c r="N9" s="130"/>
      <c r="O9" s="1"/>
      <c r="P9" s="1"/>
      <c r="Q9" s="7"/>
    </row>
    <row r="10" spans="1:18" ht="54.75" customHeight="1" x14ac:dyDescent="0.2">
      <c r="A10" s="131" t="str">
        <f>"Autorizo la realización de los  trámites correspondientes, a fin de proveer a  este Organismo los bienes y/o servicios que se detallan en Nota  de Pedido N° " &amp; ' NotaPedido'!K1&amp;",  afectando la erogación resultante a los créditos presupuestarios aprobados a favor de esta Unidad Ejecutora, conforme al siguiente detalle:"</f>
        <v>Autorizo la realización de los  trámites correspondientes, a fin de proveer a  este Organismo los bienes y/o servicios que se detallan en Nota  de Pedido N° 130/20,  afectando la erogación resultante a los créditos presupuestarios aprobados a favor de esta Unidad Ejecutora, conforme al siguiente detalle:</v>
      </c>
      <c r="B10" s="131"/>
      <c r="C10" s="131"/>
      <c r="D10" s="131"/>
      <c r="E10" s="131"/>
      <c r="F10" s="131"/>
      <c r="G10" s="131"/>
      <c r="H10" s="131"/>
      <c r="I10" s="131"/>
      <c r="J10" s="131"/>
      <c r="K10" s="131"/>
      <c r="L10" s="131"/>
      <c r="M10" s="131"/>
      <c r="N10" s="131"/>
      <c r="O10" s="131"/>
      <c r="P10" s="131"/>
      <c r="Q10" s="131"/>
    </row>
    <row r="11" spans="1:18" ht="9" customHeight="1" x14ac:dyDescent="0.2">
      <c r="A11" s="8"/>
      <c r="B11" s="9"/>
      <c r="C11" s="9"/>
      <c r="D11" s="9"/>
      <c r="E11" s="9"/>
      <c r="F11" s="9"/>
      <c r="G11" s="10"/>
      <c r="H11" s="9"/>
      <c r="I11" s="9"/>
      <c r="J11" s="9"/>
      <c r="K11" s="9"/>
      <c r="L11" s="9"/>
      <c r="M11" s="9"/>
      <c r="N11" s="9"/>
      <c r="O11" s="9"/>
      <c r="P11" s="9"/>
      <c r="Q11" s="11"/>
    </row>
    <row r="12" spans="1:18" ht="15.75" customHeight="1" x14ac:dyDescent="0.2">
      <c r="A12" s="132" t="s">
        <v>36</v>
      </c>
      <c r="B12" s="132"/>
      <c r="C12" s="132"/>
      <c r="D12" s="132"/>
      <c r="E12" s="132"/>
      <c r="F12" s="132"/>
      <c r="G12" s="132"/>
      <c r="H12" s="132"/>
      <c r="I12" s="132"/>
      <c r="J12" s="132"/>
      <c r="K12" s="132"/>
      <c r="L12" s="132"/>
      <c r="M12" s="132"/>
      <c r="N12" s="132"/>
      <c r="O12" s="132"/>
      <c r="P12" s="132"/>
      <c r="Q12" s="132"/>
    </row>
    <row r="13" spans="1:18" ht="15.75" customHeight="1" x14ac:dyDescent="0.2">
      <c r="A13" s="133" t="s">
        <v>37</v>
      </c>
      <c r="B13" s="133"/>
      <c r="C13" s="133"/>
      <c r="D13" s="133"/>
      <c r="E13" s="133"/>
      <c r="F13" s="133"/>
      <c r="G13" s="133"/>
      <c r="H13" s="133"/>
      <c r="I13" s="133"/>
      <c r="J13" s="133"/>
      <c r="K13" s="133"/>
      <c r="L13" s="133"/>
      <c r="M13" s="133"/>
      <c r="N13" s="133"/>
      <c r="O13" s="134" t="s">
        <v>38</v>
      </c>
      <c r="P13" s="134"/>
      <c r="Q13" s="135" t="s">
        <v>39</v>
      </c>
    </row>
    <row r="14" spans="1:18" ht="15.75" customHeight="1" x14ac:dyDescent="0.2">
      <c r="A14" s="12" t="s">
        <v>40</v>
      </c>
      <c r="B14" s="13" t="s">
        <v>41</v>
      </c>
      <c r="C14" s="13" t="s">
        <v>42</v>
      </c>
      <c r="D14" s="13" t="s">
        <v>43</v>
      </c>
      <c r="E14" s="13" t="s">
        <v>44</v>
      </c>
      <c r="F14" s="13" t="s">
        <v>45</v>
      </c>
      <c r="G14" s="14" t="s">
        <v>46</v>
      </c>
      <c r="H14" s="13" t="s">
        <v>47</v>
      </c>
      <c r="I14" s="13" t="s">
        <v>48</v>
      </c>
      <c r="J14" s="13" t="s">
        <v>49</v>
      </c>
      <c r="K14" s="13" t="s">
        <v>49</v>
      </c>
      <c r="L14" s="13" t="s">
        <v>50</v>
      </c>
      <c r="M14" s="15" t="s">
        <v>51</v>
      </c>
      <c r="N14" s="16" t="s">
        <v>52</v>
      </c>
      <c r="O14" s="134"/>
      <c r="P14" s="134"/>
      <c r="Q14" s="135"/>
    </row>
    <row r="15" spans="1:18" ht="17.25" customHeight="1" x14ac:dyDescent="0.2">
      <c r="A15" s="83">
        <v>1</v>
      </c>
      <c r="B15" s="84"/>
      <c r="C15" s="84"/>
      <c r="D15" s="84">
        <v>1</v>
      </c>
      <c r="E15" s="84"/>
      <c r="F15" s="84">
        <v>4901</v>
      </c>
      <c r="G15" s="84">
        <v>1</v>
      </c>
      <c r="H15" s="84">
        <v>4</v>
      </c>
      <c r="I15" s="84" t="str">
        <f>LEFT('Necesidades Trimestrales'!D10,1)</f>
        <v>2</v>
      </c>
      <c r="J15" s="84">
        <v>5</v>
      </c>
      <c r="K15" s="84">
        <v>6</v>
      </c>
      <c r="L15" s="84"/>
      <c r="M15" s="85">
        <v>1</v>
      </c>
      <c r="N15" s="84">
        <v>1.1000000000000001</v>
      </c>
      <c r="O15" s="136" t="s">
        <v>58</v>
      </c>
      <c r="P15" s="137"/>
      <c r="Q15" s="17">
        <f>23320*64.3</f>
        <v>1499476</v>
      </c>
      <c r="R15" s="80"/>
    </row>
    <row r="16" spans="1:18" ht="17.25" customHeight="1" x14ac:dyDescent="0.2">
      <c r="A16" s="86"/>
      <c r="B16" s="87"/>
      <c r="C16" s="87"/>
      <c r="D16" s="87"/>
      <c r="E16" s="87"/>
      <c r="F16" s="87"/>
      <c r="G16" s="87"/>
      <c r="H16" s="87"/>
      <c r="I16" s="87"/>
      <c r="J16" s="87"/>
      <c r="K16" s="87"/>
      <c r="L16" s="87"/>
      <c r="M16" s="88"/>
      <c r="N16" s="87"/>
      <c r="O16" s="138"/>
      <c r="P16" s="139"/>
      <c r="Q16" s="22"/>
    </row>
    <row r="17" spans="1:18" ht="17.25" customHeight="1" x14ac:dyDescent="0.2">
      <c r="A17" s="18"/>
      <c r="B17" s="19"/>
      <c r="C17" s="19"/>
      <c r="D17" s="19"/>
      <c r="E17" s="19"/>
      <c r="F17" s="21"/>
      <c r="G17" s="19"/>
      <c r="H17" s="19"/>
      <c r="I17" s="19"/>
      <c r="J17" s="19"/>
      <c r="K17" s="19"/>
      <c r="L17" s="19"/>
      <c r="M17" s="20"/>
      <c r="N17" s="21"/>
      <c r="O17" s="140"/>
      <c r="P17" s="140"/>
      <c r="Q17" s="22"/>
    </row>
    <row r="18" spans="1:18" ht="17.25" customHeight="1" x14ac:dyDescent="0.2">
      <c r="A18" s="18"/>
      <c r="B18" s="19"/>
      <c r="C18" s="19"/>
      <c r="D18" s="19"/>
      <c r="E18" s="19"/>
      <c r="F18" s="19"/>
      <c r="G18" s="19"/>
      <c r="H18" s="19"/>
      <c r="I18" s="19"/>
      <c r="J18" s="19"/>
      <c r="K18" s="19"/>
      <c r="L18" s="19"/>
      <c r="M18" s="20"/>
      <c r="N18" s="21"/>
      <c r="O18" s="140"/>
      <c r="P18" s="140"/>
      <c r="Q18" s="22"/>
    </row>
    <row r="19" spans="1:18" ht="17.25" customHeight="1" x14ac:dyDescent="0.2">
      <c r="A19" s="18"/>
      <c r="B19" s="19"/>
      <c r="C19" s="19"/>
      <c r="D19" s="19"/>
      <c r="E19" s="19"/>
      <c r="F19" s="21"/>
      <c r="G19" s="19"/>
      <c r="H19" s="19"/>
      <c r="I19" s="19"/>
      <c r="J19" s="19"/>
      <c r="K19" s="19"/>
      <c r="L19" s="19"/>
      <c r="M19" s="20"/>
      <c r="N19" s="21"/>
      <c r="O19" s="140"/>
      <c r="P19" s="140"/>
      <c r="Q19" s="22"/>
    </row>
    <row r="20" spans="1:18" ht="17.25" customHeight="1" x14ac:dyDescent="0.2">
      <c r="A20" s="18"/>
      <c r="B20" s="19"/>
      <c r="C20" s="19"/>
      <c r="D20" s="19"/>
      <c r="E20" s="19"/>
      <c r="F20" s="21"/>
      <c r="G20" s="19"/>
      <c r="H20" s="19"/>
      <c r="I20" s="19"/>
      <c r="J20" s="19"/>
      <c r="K20" s="19"/>
      <c r="L20" s="19"/>
      <c r="M20" s="20"/>
      <c r="N20" s="21"/>
      <c r="O20" s="140"/>
      <c r="P20" s="140"/>
      <c r="Q20" s="22"/>
    </row>
    <row r="21" spans="1:18" ht="17.25" customHeight="1" x14ac:dyDescent="0.2">
      <c r="A21" s="23"/>
      <c r="B21" s="24"/>
      <c r="C21" s="24"/>
      <c r="D21" s="24"/>
      <c r="E21" s="24"/>
      <c r="F21" s="25"/>
      <c r="G21" s="24"/>
      <c r="H21" s="24"/>
      <c r="I21" s="24"/>
      <c r="J21" s="24"/>
      <c r="K21" s="24"/>
      <c r="L21" s="24"/>
      <c r="M21" s="26"/>
      <c r="N21" s="27"/>
      <c r="O21" s="146"/>
      <c r="P21" s="146"/>
      <c r="Q21" s="22"/>
      <c r="R21" s="1"/>
    </row>
    <row r="22" spans="1:18" ht="17.25" customHeight="1" x14ac:dyDescent="0.2">
      <c r="A22" s="28"/>
      <c r="B22" s="29"/>
      <c r="C22" s="29"/>
      <c r="D22" s="29"/>
      <c r="E22" s="29"/>
      <c r="F22" s="29"/>
      <c r="G22" s="29"/>
      <c r="H22" s="29"/>
      <c r="I22" s="29"/>
      <c r="J22" s="29"/>
      <c r="K22" s="29"/>
      <c r="L22" s="29"/>
      <c r="M22" s="30"/>
      <c r="N22" s="29"/>
      <c r="O22" s="147"/>
      <c r="P22" s="147"/>
      <c r="Q22" s="31"/>
    </row>
    <row r="23" spans="1:18" ht="30" customHeight="1" x14ac:dyDescent="0.2">
      <c r="A23" s="148" t="s">
        <v>75</v>
      </c>
      <c r="B23" s="148"/>
      <c r="C23" s="148"/>
      <c r="D23" s="148"/>
      <c r="E23" s="148"/>
      <c r="F23" s="148"/>
      <c r="G23" s="148"/>
      <c r="H23" s="148"/>
      <c r="I23" s="148"/>
      <c r="J23" s="148"/>
      <c r="K23" s="148"/>
      <c r="L23" s="148"/>
      <c r="M23" s="148"/>
      <c r="N23" s="148"/>
      <c r="O23" s="148"/>
      <c r="P23" s="148"/>
      <c r="Q23" s="32">
        <f>SUM(Q15:Q22)</f>
        <v>1499476</v>
      </c>
    </row>
    <row r="24" spans="1:18" ht="18" customHeight="1" thickBot="1" x14ac:dyDescent="0.25">
      <c r="A24" s="149"/>
      <c r="B24" s="149"/>
      <c r="C24" s="149"/>
      <c r="D24" s="149"/>
      <c r="E24" s="149"/>
      <c r="F24" s="149"/>
      <c r="G24" s="149"/>
      <c r="H24" s="149"/>
      <c r="I24" s="149"/>
      <c r="J24" s="149"/>
      <c r="K24" s="149"/>
      <c r="L24" s="149"/>
      <c r="M24" s="149"/>
      <c r="N24" s="149"/>
      <c r="O24" s="149"/>
      <c r="P24" s="149"/>
      <c r="Q24" s="149"/>
    </row>
    <row r="25" spans="1:18" ht="17.25" customHeight="1" thickBot="1" x14ac:dyDescent="0.25">
      <c r="A25" s="141" t="s">
        <v>53</v>
      </c>
      <c r="B25" s="142"/>
      <c r="C25" s="142"/>
      <c r="D25" s="142"/>
      <c r="E25" s="142"/>
      <c r="F25" s="143"/>
      <c r="G25" s="144"/>
      <c r="H25" s="144"/>
      <c r="I25" s="144"/>
      <c r="J25" s="144"/>
      <c r="K25" s="144"/>
      <c r="L25" s="144"/>
      <c r="M25" s="144"/>
      <c r="N25" s="144"/>
      <c r="O25" s="144"/>
      <c r="P25" s="144"/>
      <c r="Q25" s="144"/>
    </row>
    <row r="26" spans="1:18" ht="18" customHeight="1" thickBot="1" x14ac:dyDescent="0.25">
      <c r="A26" s="145" t="s">
        <v>61</v>
      </c>
      <c r="B26" s="145"/>
      <c r="C26" s="145"/>
      <c r="D26" s="145"/>
      <c r="E26" s="145"/>
      <c r="F26" s="145"/>
      <c r="G26" s="145"/>
      <c r="H26" s="145"/>
      <c r="I26" s="145"/>
      <c r="J26" s="145"/>
      <c r="K26" s="145"/>
      <c r="L26" s="145"/>
      <c r="M26" s="145"/>
      <c r="N26" s="145"/>
      <c r="O26" s="145"/>
      <c r="P26" s="145"/>
      <c r="Q26" s="145"/>
    </row>
    <row r="27" spans="1:18" ht="15" customHeight="1" x14ac:dyDescent="0.2">
      <c r="A27" s="145"/>
      <c r="B27" s="145"/>
      <c r="C27" s="145"/>
      <c r="D27" s="145"/>
      <c r="E27" s="145"/>
      <c r="F27" s="145"/>
      <c r="G27" s="145"/>
      <c r="H27" s="145"/>
      <c r="I27" s="145"/>
      <c r="J27" s="145"/>
      <c r="K27" s="145"/>
      <c r="L27" s="145"/>
      <c r="M27" s="145"/>
      <c r="N27" s="145"/>
      <c r="O27" s="145"/>
      <c r="P27" s="145"/>
      <c r="Q27" s="145"/>
    </row>
  </sheetData>
  <mergeCells count="31">
    <mergeCell ref="A25:F25"/>
    <mergeCell ref="G25:Q25"/>
    <mergeCell ref="A26:Q27"/>
    <mergeCell ref="O20:P20"/>
    <mergeCell ref="O21:P21"/>
    <mergeCell ref="O22:P22"/>
    <mergeCell ref="A23:P23"/>
    <mergeCell ref="A24:Q24"/>
    <mergeCell ref="O15:P15"/>
    <mergeCell ref="O16:P16"/>
    <mergeCell ref="O17:P17"/>
    <mergeCell ref="O18:P18"/>
    <mergeCell ref="O19:P19"/>
    <mergeCell ref="A9:N9"/>
    <mergeCell ref="A10:Q10"/>
    <mergeCell ref="A12:Q12"/>
    <mergeCell ref="A13:N13"/>
    <mergeCell ref="O13:P14"/>
    <mergeCell ref="Q13:Q14"/>
    <mergeCell ref="A5:F5"/>
    <mergeCell ref="G5:Q5"/>
    <mergeCell ref="A8:Q8"/>
    <mergeCell ref="A6:F6"/>
    <mergeCell ref="G6:Q6"/>
    <mergeCell ref="A7:F7"/>
    <mergeCell ref="G7:Q7"/>
    <mergeCell ref="A1:C1"/>
    <mergeCell ref="D1:E1"/>
    <mergeCell ref="P1:Q2"/>
    <mergeCell ref="A4:F4"/>
    <mergeCell ref="G4:Q4"/>
  </mergeCells>
  <printOptions horizontalCentered="1"/>
  <pageMargins left="0.39370078740157483" right="0.39370078740157483" top="0.98425196850393704" bottom="0.98425196850393704" header="0.51181102362204722" footer="0.51181102362204722"/>
  <pageSetup paperSize="5" scale="90" firstPageNumber="0" orientation="portrait" r:id="rId1"/>
  <drawing r:id="rId2"/>
</worksheet>
</file>

<file path=docProps/app.xml><?xml version="1.0" encoding="utf-8"?>
<Properties xmlns="http://schemas.openxmlformats.org/officeDocument/2006/extended-properties" xmlns:vt="http://schemas.openxmlformats.org/officeDocument/2006/docPropsVTypes">
  <Template/>
  <TotalTime>4</TotalTime>
  <Application>Microsoft Excel</Application>
  <DocSecurity>0</DocSecurity>
  <ScaleCrop>false</ScaleCrop>
  <HeadingPairs>
    <vt:vector size="4" baseType="variant">
      <vt:variant>
        <vt:lpstr>Hojas de cálculo</vt:lpstr>
      </vt:variant>
      <vt:variant>
        <vt:i4>3</vt:i4>
      </vt:variant>
      <vt:variant>
        <vt:lpstr>Rangos con nombre</vt:lpstr>
      </vt:variant>
      <vt:variant>
        <vt:i4>2</vt:i4>
      </vt:variant>
    </vt:vector>
  </HeadingPairs>
  <TitlesOfParts>
    <vt:vector size="5" baseType="lpstr">
      <vt:lpstr>Necesidades Trimestrales</vt:lpstr>
      <vt:lpstr> NotaPedido</vt:lpstr>
      <vt:lpstr>Autor Gastar</vt:lpstr>
      <vt:lpstr>' NotaPedido'!Área_de_impresión</vt:lpstr>
      <vt:lpstr>'Autor Gastar'!Área_de_impresión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Jessi</dc:creator>
  <cp:lastModifiedBy>COMPRAS</cp:lastModifiedBy>
  <cp:revision>2</cp:revision>
  <cp:lastPrinted>2020-12-03T15:10:34Z</cp:lastPrinted>
  <dcterms:created xsi:type="dcterms:W3CDTF">2020-07-17T23:44:49Z</dcterms:created>
  <dcterms:modified xsi:type="dcterms:W3CDTF">2021-08-17T15:09:03Z</dcterms:modified>
  <dc:language>es-AR</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14.0300</vt:lpwstr>
  </property>
  <property fmtid="{D5CDD505-2E9C-101B-9397-08002B2CF9AE}" pid="3" name="DocSecurity">
    <vt:i4>0</vt:i4>
  </property>
  <property fmtid="{D5CDD505-2E9C-101B-9397-08002B2CF9AE}" pid="4" name="HyperlinksChanged">
    <vt:bool>false</vt:bool>
  </property>
  <property fmtid="{D5CDD505-2E9C-101B-9397-08002B2CF9AE}" pid="5" name="LinksUpToDate">
    <vt:bool>false</vt:bool>
  </property>
  <property fmtid="{D5CDD505-2E9C-101B-9397-08002B2CF9AE}" pid="6" name="ScaleCrop">
    <vt:bool>false</vt:bool>
  </property>
  <property fmtid="{D5CDD505-2E9C-101B-9397-08002B2CF9AE}" pid="7" name="ShareDoc">
    <vt:bool>false</vt:bool>
  </property>
</Properties>
</file>