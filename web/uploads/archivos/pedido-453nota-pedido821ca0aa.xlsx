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cion\Desktop\carla\TRIMESTRALES\LIMPIEZA\"/>
    </mc:Choice>
  </mc:AlternateContent>
  <bookViews>
    <workbookView xWindow="0" yWindow="0" windowWidth="28800" windowHeight="12435" activeTab="1"/>
  </bookViews>
  <sheets>
    <sheet name="NEC.TRIMESTRALES" sheetId="1" r:id="rId1"/>
    <sheet name="ANEXO DISTRIBUCION" sheetId="2" r:id="rId2"/>
  </sheets>
  <definedNames>
    <definedName name="_xlnm._FilterDatabase" localSheetId="1" hidden="1">'ANEXO DISTRIBUCION'!$F$3:$Y$84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90" i="1" l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90" i="1" l="1"/>
  <c r="W4" i="2"/>
  <c r="X4" i="2"/>
  <c r="W5" i="2"/>
  <c r="X5" i="2" s="1"/>
  <c r="W6" i="2"/>
  <c r="X6" i="2"/>
  <c r="W7" i="2"/>
  <c r="X7" i="2" s="1"/>
  <c r="W8" i="2"/>
  <c r="X8" i="2"/>
  <c r="W9" i="2"/>
  <c r="X9" i="2" s="1"/>
  <c r="W10" i="2"/>
  <c r="X10" i="2"/>
  <c r="W11" i="2"/>
  <c r="X11" i="2" s="1"/>
  <c r="W12" i="2"/>
  <c r="X12" i="2"/>
  <c r="W13" i="2"/>
  <c r="X13" i="2" s="1"/>
  <c r="W14" i="2"/>
  <c r="X14" i="2"/>
  <c r="W15" i="2"/>
  <c r="X15" i="2" s="1"/>
  <c r="W16" i="2"/>
  <c r="X16" i="2"/>
  <c r="W17" i="2"/>
  <c r="X17" i="2" s="1"/>
  <c r="W18" i="2"/>
  <c r="X18" i="2"/>
  <c r="W19" i="2"/>
  <c r="X19" i="2" s="1"/>
  <c r="W20" i="2"/>
  <c r="X20" i="2"/>
  <c r="W21" i="2"/>
  <c r="X21" i="2" s="1"/>
  <c r="W22" i="2"/>
  <c r="X22" i="2"/>
  <c r="W23" i="2"/>
  <c r="X23" i="2" s="1"/>
  <c r="W24" i="2"/>
  <c r="X24" i="2"/>
  <c r="W25" i="2"/>
  <c r="X25" i="2" s="1"/>
  <c r="W26" i="2"/>
  <c r="X26" i="2"/>
  <c r="W27" i="2"/>
  <c r="X27" i="2" s="1"/>
  <c r="W28" i="2"/>
  <c r="X28" i="2"/>
  <c r="W29" i="2"/>
  <c r="X29" i="2" s="1"/>
  <c r="W30" i="2"/>
  <c r="X30" i="2"/>
  <c r="W31" i="2"/>
  <c r="X31" i="2" s="1"/>
  <c r="W32" i="2"/>
  <c r="X32" i="2"/>
  <c r="W33" i="2"/>
  <c r="X33" i="2" s="1"/>
  <c r="W34" i="2"/>
  <c r="X34" i="2"/>
  <c r="W35" i="2"/>
  <c r="X35" i="2" s="1"/>
  <c r="W36" i="2"/>
  <c r="X36" i="2"/>
  <c r="W37" i="2"/>
  <c r="X37" i="2" s="1"/>
  <c r="W38" i="2"/>
  <c r="X38" i="2"/>
  <c r="W39" i="2"/>
  <c r="X39" i="2" s="1"/>
  <c r="W40" i="2"/>
  <c r="X40" i="2"/>
  <c r="W41" i="2"/>
  <c r="X41" i="2" s="1"/>
  <c r="W42" i="2"/>
  <c r="X42" i="2"/>
  <c r="W43" i="2"/>
  <c r="X43" i="2" s="1"/>
  <c r="W44" i="2"/>
  <c r="X44" i="2"/>
  <c r="W45" i="2"/>
  <c r="X45" i="2" s="1"/>
  <c r="W46" i="2"/>
  <c r="X46" i="2"/>
  <c r="W47" i="2"/>
  <c r="X47" i="2" s="1"/>
  <c r="W48" i="2"/>
  <c r="X48" i="2"/>
  <c r="W49" i="2"/>
  <c r="X49" i="2" s="1"/>
  <c r="W50" i="2"/>
  <c r="X50" i="2"/>
  <c r="W51" i="2"/>
  <c r="X51" i="2" s="1"/>
  <c r="W52" i="2"/>
  <c r="X52" i="2"/>
  <c r="W53" i="2"/>
  <c r="X53" i="2" s="1"/>
  <c r="W54" i="2"/>
  <c r="X54" i="2"/>
  <c r="W55" i="2"/>
  <c r="X55" i="2" s="1"/>
  <c r="W56" i="2"/>
  <c r="X56" i="2"/>
  <c r="W57" i="2"/>
  <c r="X57" i="2" s="1"/>
  <c r="W58" i="2"/>
  <c r="X58" i="2"/>
  <c r="W59" i="2"/>
  <c r="X59" i="2" s="1"/>
  <c r="W60" i="2"/>
  <c r="X60" i="2"/>
  <c r="W61" i="2"/>
  <c r="X61" i="2" s="1"/>
  <c r="W62" i="2"/>
  <c r="X62" i="2"/>
  <c r="W63" i="2"/>
  <c r="X63" i="2" s="1"/>
  <c r="W64" i="2"/>
  <c r="X64" i="2"/>
  <c r="W65" i="2"/>
  <c r="X65" i="2" s="1"/>
  <c r="W66" i="2"/>
  <c r="X66" i="2"/>
  <c r="W67" i="2"/>
  <c r="X67" i="2" s="1"/>
  <c r="W68" i="2"/>
  <c r="X68" i="2"/>
  <c r="W69" i="2"/>
  <c r="X69" i="2" s="1"/>
  <c r="W70" i="2"/>
  <c r="X70" i="2"/>
  <c r="W71" i="2"/>
  <c r="X71" i="2" s="1"/>
  <c r="W72" i="2"/>
  <c r="X72" i="2"/>
  <c r="W73" i="2"/>
  <c r="X73" i="2" s="1"/>
  <c r="W74" i="2"/>
  <c r="X74" i="2"/>
  <c r="W75" i="2"/>
  <c r="X75" i="2" s="1"/>
  <c r="W76" i="2"/>
  <c r="X76" i="2"/>
  <c r="W77" i="2"/>
  <c r="X77" i="2" s="1"/>
  <c r="W78" i="2"/>
  <c r="X78" i="2"/>
  <c r="W79" i="2"/>
  <c r="X79" i="2" s="1"/>
  <c r="W80" i="2"/>
  <c r="X80" i="2"/>
  <c r="W81" i="2"/>
  <c r="X81" i="2" s="1"/>
  <c r="W82" i="2"/>
  <c r="X82" i="2"/>
  <c r="W83" i="2"/>
  <c r="X83" i="2" s="1"/>
  <c r="W84" i="2"/>
  <c r="X84" i="2"/>
  <c r="E85" i="2"/>
  <c r="X85" i="2" l="1"/>
</calcChain>
</file>

<file path=xl/sharedStrings.xml><?xml version="1.0" encoding="utf-8"?>
<sst xmlns="http://schemas.openxmlformats.org/spreadsheetml/2006/main" count="959" uniqueCount="472">
  <si>
    <t>JURISDICCION:</t>
  </si>
  <si>
    <t xml:space="preserve">45- Ministerio de Desarrollo Social </t>
  </si>
  <si>
    <t xml:space="preserve">SAF N°: </t>
  </si>
  <si>
    <t>25- Direccion Provincial de Gestion Administracion y RRHH</t>
  </si>
  <si>
    <t>EJERCICIO: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</si>
  <si>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</si>
  <si>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</si>
  <si>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</si>
  <si>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</si>
  <si>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</si>
  <si>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</si>
  <si>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</si>
  <si>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</si>
  <si>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</si>
  <si>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</si>
  <si>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TRIMESTRE:</t>
  </si>
  <si>
    <t>Pedido de Necesidades Trimestrales</t>
  </si>
  <si>
    <t>Domicilios de entregas (por Institución):</t>
  </si>
  <si>
    <t>CAF Nº II - EPI</t>
  </si>
  <si>
    <t>NIÑARY</t>
  </si>
  <si>
    <t>KUSICUNA</t>
  </si>
  <si>
    <t>WAWA WASI</t>
  </si>
  <si>
    <t xml:space="preserve"> Item N° 2:</t>
  </si>
  <si>
    <t xml:space="preserve"> Item N° 3:</t>
  </si>
  <si>
    <t xml:space="preserve"> Item N° 4:</t>
  </si>
  <si>
    <t xml:space="preserve"> Item N° 5:</t>
  </si>
  <si>
    <t xml:space="preserve"> Item N° 6:</t>
  </si>
  <si>
    <t xml:space="preserve"> Item N° 7:</t>
  </si>
  <si>
    <t xml:space="preserve"> Item N° 8:</t>
  </si>
  <si>
    <t xml:space="preserve"> Item N° 9:</t>
  </si>
  <si>
    <t xml:space="preserve"> Item N° 10:</t>
  </si>
  <si>
    <t xml:space="preserve"> Item N° 11:</t>
  </si>
  <si>
    <t xml:space="preserve"> Item N° 12:</t>
  </si>
  <si>
    <t xml:space="preserve"> Item N° 13:</t>
  </si>
  <si>
    <t xml:space="preserve"> Item N° 14:</t>
  </si>
  <si>
    <t xml:space="preserve"> Item N° 15:</t>
  </si>
  <si>
    <t xml:space="preserve"> Item N° 16:</t>
  </si>
  <si>
    <t xml:space="preserve"> Item N° 17:</t>
  </si>
  <si>
    <t xml:space="preserve"> Item N° 18:</t>
  </si>
  <si>
    <t xml:space="preserve"> Item N° 19:</t>
  </si>
  <si>
    <t xml:space="preserve"> Item N° 20:</t>
  </si>
  <si>
    <t xml:space="preserve"> Item N° 21:</t>
  </si>
  <si>
    <t xml:space="preserve"> Item N° 22:</t>
  </si>
  <si>
    <t xml:space="preserve"> Item N° 23:</t>
  </si>
  <si>
    <t xml:space="preserve"> Item N° 24:</t>
  </si>
  <si>
    <t xml:space="preserve"> Item N° 25:</t>
  </si>
  <si>
    <t xml:space="preserve"> Item N° 26:</t>
  </si>
  <si>
    <t xml:space="preserve"> Item N° 27:</t>
  </si>
  <si>
    <t>Item N° 1:</t>
  </si>
  <si>
    <t>Especificidades Ítems</t>
  </si>
  <si>
    <t>OBSERVACIONES</t>
  </si>
  <si>
    <t>Subtotal (x mes)</t>
  </si>
  <si>
    <t>Subtotal (x Trimestre)</t>
  </si>
  <si>
    <t>Descripción técnica</t>
  </si>
  <si>
    <t xml:space="preserve">3° (TERCERO) </t>
  </si>
  <si>
    <r>
      <rPr>
        <b/>
        <u/>
        <sz val="11"/>
        <color theme="1"/>
        <rFont val="Calibri"/>
        <family val="2"/>
        <scheme val="minor"/>
      </rPr>
      <t>Forma de Pago:</t>
    </r>
    <r>
      <rPr>
        <sz val="11"/>
        <color theme="1"/>
        <rFont val="Calibri"/>
        <family val="2"/>
        <scheme val="minor"/>
      </rPr>
      <t xml:space="preserve"> se solicitan pagos parciales mensuales, por todas las entregas realizadas en ese lapso, debiendo el o los proveedor/es  adjudicado/s presentar la factura y documentación respaldatoria correspondiente de las mismas.</t>
    </r>
  </si>
  <si>
    <r>
      <rPr>
        <b/>
        <u/>
        <sz val="11"/>
        <color theme="1"/>
        <rFont val="Calibri"/>
        <family val="2"/>
        <scheme val="minor"/>
      </rPr>
      <t>Garantia:</t>
    </r>
    <r>
      <rPr>
        <sz val="11"/>
        <color theme="1"/>
        <rFont val="Calibri"/>
        <family val="2"/>
        <scheme val="minor"/>
      </rPr>
      <t xml:space="preserve"> S/E</t>
    </r>
  </si>
  <si>
    <r>
      <rPr>
        <b/>
        <u/>
        <sz val="11"/>
        <color theme="1"/>
        <rFont val="Calibri"/>
        <family val="2"/>
        <scheme val="minor"/>
      </rPr>
      <t>Plazos y lugares de entrega:</t>
    </r>
    <r>
      <rPr>
        <sz val="11"/>
        <color theme="1"/>
        <rFont val="Calibri"/>
        <family val="2"/>
        <scheme val="minor"/>
      </rPr>
      <t xml:space="preserve"> S/ANEXO DE DISTRIBUCION ADJUNTO.</t>
    </r>
  </si>
  <si>
    <r>
      <rPr>
        <b/>
        <u/>
        <sz val="11"/>
        <color theme="1"/>
        <rFont val="Calibri"/>
        <family val="2"/>
        <scheme val="minor"/>
      </rPr>
      <t>Calidad Minima esperada:</t>
    </r>
    <r>
      <rPr>
        <sz val="11"/>
        <color theme="1"/>
        <rFont val="Calibri"/>
        <family val="2"/>
        <scheme val="minor"/>
      </rPr>
      <t xml:space="preserve"> ALTA</t>
    </r>
  </si>
  <si>
    <r>
      <t xml:space="preserve">LIMPIADORES; TIPO: LAVANDINA, </t>
    </r>
    <r>
      <rPr>
        <b/>
        <sz val="11"/>
        <color theme="1"/>
        <rFont val="Calibri"/>
        <family val="2"/>
        <scheme val="minor"/>
      </rPr>
      <t>PRESENTACION: ENVASE X 5 L</t>
    </r>
  </si>
  <si>
    <t>CDI CASA CUNA</t>
  </si>
  <si>
    <t>CENTRO DE CONTENCION HUAINA HUASI</t>
  </si>
  <si>
    <t>CENTRO DE CONTENCION SIPAS HUASI</t>
  </si>
  <si>
    <t>RESIDENCIA DE ADULTOS MAYORES</t>
  </si>
  <si>
    <t>DIR. DEL NIÑO EN CONFLICTO CON LA LEY PENAL</t>
  </si>
  <si>
    <t>CENTRO JUVENIL SANTA ROSA</t>
  </si>
  <si>
    <t>HOGAR DE ANCIANOS DE BELEN</t>
  </si>
  <si>
    <t>SECRETARIA DE FAMILIA</t>
  </si>
  <si>
    <t>CAF Nº 1-1.000 vv</t>
  </si>
  <si>
    <t>DIREC. PROV. DE PRIMERA INFANCIA</t>
  </si>
  <si>
    <t>HOGAR DE ANCIANOS DE TINOGASTA</t>
  </si>
  <si>
    <r>
      <t xml:space="preserve">LIMPIADORES; </t>
    </r>
    <r>
      <rPr>
        <b/>
        <sz val="11"/>
        <color theme="1"/>
        <rFont val="Calibri"/>
        <family val="2"/>
        <scheme val="minor"/>
      </rPr>
      <t>PRESENTACION: ENVASE X 5 L</t>
    </r>
    <r>
      <rPr>
        <sz val="11"/>
        <color theme="1"/>
        <rFont val="Calibri"/>
        <family val="2"/>
        <scheme val="minor"/>
      </rPr>
      <t>, TIPO: DETERGENTE</t>
    </r>
  </si>
  <si>
    <r>
      <t xml:space="preserve">LIMPIADORES; TIPO: LIMPIADOR DE PISOS, </t>
    </r>
    <r>
      <rPr>
        <b/>
        <sz val="11"/>
        <color theme="1"/>
        <rFont val="Calibri"/>
        <family val="2"/>
        <scheme val="minor"/>
      </rPr>
      <t>PRESENTACION: ENVASE X 5 L</t>
    </r>
  </si>
  <si>
    <r>
      <t xml:space="preserve">DESODORANTES DE AMBIENTE; FORMATO: BIDON DE PLASTICO, CONTENIDO: 5 L, FRAGANCIA: PINO, </t>
    </r>
    <r>
      <rPr>
        <b/>
        <sz val="11"/>
        <color theme="1"/>
        <rFont val="Calibri"/>
        <family val="2"/>
        <scheme val="minor"/>
      </rPr>
      <t>PRESENTACION: UNIDAD</t>
    </r>
    <r>
      <rPr>
        <sz val="11"/>
        <color theme="1"/>
        <rFont val="Calibri"/>
        <family val="2"/>
        <scheme val="minor"/>
      </rPr>
      <t>, LIBRE DE CFC: NO CORRESPONDE</t>
    </r>
  </si>
  <si>
    <r>
      <t xml:space="preserve">DESODORANTES DE AMBIENTE; FORMATO: BIDON, FRAGANCIA: AIRE FRESCO, </t>
    </r>
    <r>
      <rPr>
        <b/>
        <sz val="11"/>
        <color theme="1"/>
        <rFont val="Calibri"/>
        <family val="2"/>
        <scheme val="minor"/>
      </rPr>
      <t>PRESENTACION: ENVASE X 5 L</t>
    </r>
    <r>
      <rPr>
        <sz val="11"/>
        <color theme="1"/>
        <rFont val="Calibri"/>
        <family val="2"/>
        <scheme val="minor"/>
      </rPr>
      <t>, LIBRE DE CFC: NO CORRESPONDE</t>
    </r>
  </si>
  <si>
    <t>*SE REALIZA LA ENTREGA DE 40 UNIDADES MENSUALES (DISTRIBUIDOS SEGÚN DETALLE PARA CADA INSTITUCION)  LO QUE HACE UNA SUMA DE 120 UNIDADES  TRIMESTRALES</t>
  </si>
  <si>
    <r>
      <t xml:space="preserve">LIMPIADORES; TIPO: DESENGRASANTE, </t>
    </r>
    <r>
      <rPr>
        <b/>
        <sz val="11"/>
        <color theme="1"/>
        <rFont val="Calibri"/>
        <family val="2"/>
        <scheme val="minor"/>
      </rPr>
      <t>PRESENTACION: ENVASE X 5 L</t>
    </r>
  </si>
  <si>
    <r>
      <t xml:space="preserve">LIMPIADORES; TIPO: DESODORANTE DE AMBIENTE, </t>
    </r>
    <r>
      <rPr>
        <b/>
        <sz val="11"/>
        <color theme="1"/>
        <rFont val="Calibri"/>
        <family val="2"/>
        <scheme val="minor"/>
      </rPr>
      <t>PRESENTACION: ENVASE X 360 CM3</t>
    </r>
    <r>
      <rPr>
        <sz val="11"/>
        <color theme="1"/>
        <rFont val="Calibri"/>
        <family val="2"/>
        <scheme val="minor"/>
      </rPr>
      <t>, BIODEGRADABLE: NO</t>
    </r>
  </si>
  <si>
    <t>CEPILLOS; TIPO: ESCOBILLON, MATERIAL: PLASTICO</t>
  </si>
  <si>
    <t>TRAPOS REJILLA; COLOR: BLANCO, DIMENSION: 40 X 40 Cm, MATERIAL: PURO ALGODON</t>
  </si>
  <si>
    <t>FRANELAS; DIMENSION: 50 X 45 Cm</t>
  </si>
  <si>
    <t>ESPONJAS; MATERIAL: ESPONJA NATURAL, USO: P/COCINA, FORMA: RECTANGULAR, COLOR: AMARILLO, ADITAMENTO: SIN VALOR, LARGO X ANCHO X ESP: 9,7 X 5,7 Cm</t>
  </si>
  <si>
    <t>ESPONJA DE ACERO; PESO: 15 GR, MATERIAL: ACERO</t>
  </si>
  <si>
    <t>SECADORES DE GOMA; LARGO: 50 Cm, COLOR: ROJO</t>
  </si>
  <si>
    <t>BALDES DE PLASTICO; CAPACIDAD: 12 L, TIPO DE PLASTICO: POLIPROPILENO</t>
  </si>
  <si>
    <t>LAMPAZOS; MATERIAL: HILO, MANGO: MADERA</t>
  </si>
  <si>
    <t>TRAPOS DE PISO; DIMENSION: 50 X 70 Cm, COLOR: GRIS</t>
  </si>
  <si>
    <t>GUANTES P/LIMPIEZA; TAMAÑO: Nº 9, MATERIAL: LATEX NATURAL</t>
  </si>
  <si>
    <t>ELEM. LIMPIEZA P/INDUMENTARIA; TIPO: JABON EN PAN, PRESENTACION: 200 GR</t>
  </si>
  <si>
    <t>LIMPIADORES; TIPO: ROCIADOR DESENGRASANTE, PRESENTACION: 1 L</t>
  </si>
  <si>
    <t>R.Y A.P/EQ. Y ELEM. LIMPIEZA; PALO DE ESCOBA, MARCA EQUIPO UNIVERSAL, MODELO EQUIPO: UNIVERSAL</t>
  </si>
  <si>
    <t>BOLSAS DE RESIDUOS; COLOR: OBSCURO, DIMENSION: 35 X 50 Cm, PRESENTACION: SIN VALOR, ESPESOR: 60 Mn</t>
  </si>
  <si>
    <t>CEPILLO BARRENDERO</t>
  </si>
  <si>
    <t>MANGOS; LARGO: 1.2 M, MATERIAL: MADERA, USO: ESCOBILLON</t>
  </si>
  <si>
    <t>PEDICULICIDAS; DROGA GENERICA: FENOTRIN, FORMA FARMACEUTICA: LOCION, PRESENTACION: ENVASE X 100 mL</t>
  </si>
  <si>
    <t>PEINES; MATERIAL: FINO METAL, USO: PEDICULOSIS</t>
  </si>
  <si>
    <t>TRAPOS REPASADORES; MATERIAL: ALGODON, DIMENSION: 40 X 50 Cm</t>
  </si>
  <si>
    <t>TOALLAS DE TELA; MEDIDA: 0,80 X 0,40 Cm, VARIEDAD: SIN VALOR, ABSORCION: INTERMEDIA, USO: CARA, MOTIVO: LISA, COLOR: BLANCO</t>
  </si>
  <si>
    <t>TOALLAS FEMENINAS; USO: DIURNA, TIPO: NORMAL, ALAS: CON, PERFUME: CON, GEL: CON, ALA: CON</t>
  </si>
  <si>
    <t>CEPILLOS; TIPO: ESCOBA DOMESTICA, MATERIAL: PAJA</t>
  </si>
  <si>
    <t>ARTICULOS DE TOCADOR; TIPO: TOALLAS HUMEDAS, PRESENTACION: ENVASE X 70 UN</t>
  </si>
  <si>
    <t>ANTIMICOTICOS; TIPO: MONODROGA, DROGA GENERICA: BENCILO BENZOATO, FORMA FARMACEUTICA: SHAMPOO, PRESENTACION: 100 mL</t>
  </si>
  <si>
    <t>ESPONJAS; MATERIAL: FIBRA, USO: DIARIO, ADITAMENTO: SIN VALOR, FORMA: RECTANGULAR, LARGO X ANCHO X ESP: 90 X 65 X 55 mm, COLOR: SIN VALOR</t>
  </si>
  <si>
    <t>CESTOS P/PAPELES; SECCION: CIRCULAR, MATERIAL: PLASTICO, TAPA: SIN, MEDIDA: 10 L</t>
  </si>
  <si>
    <t>KIT DE INSTRUMENTAL ; TIPO: P/CIRUGIA, COMPONENTES: 3</t>
  </si>
  <si>
    <t>PAPELES EN BOBINA; TIPO DE PAPEL: TISSUE, GRAMAJE: 20 GR/M2, ANCHO: 20 Cm, CERTIFICADO FORESTAL (GFS): SIN, PORC. FIBRAS RECICLADAS: 0 %</t>
  </si>
  <si>
    <t>SOPAPAS DE GOMA; TIPO: COMUN</t>
  </si>
  <si>
    <t>PLUMEROS; PLUMA: NATURAL, CLASE: MEDIO, MATERIAL MANGO: MADERA, LARGO MANGO: 40 Cm, Nº VUELTAS PENACHO: 3, TIPO: MEDIO</t>
  </si>
  <si>
    <t>VELAS; TIPO: COMUN, ALTO: 12,5 Cm, DIAMETRO: 1,5 Cm</t>
  </si>
  <si>
    <t>LAMPARAS LED; EFICIENCIA ENERGETICA: CLASE A, TEMPERATURA DE COLOR: 6000 ºK, VIDA UTIL: 40000 H, TENSION NOMINAL: 220 V, POTENCIA NOMINAL: 21 W, CASQUILLO: 2G11</t>
  </si>
  <si>
    <r>
      <t xml:space="preserve">LIMPIADORES; TIPO: DESINFECTANTE, </t>
    </r>
    <r>
      <rPr>
        <b/>
        <sz val="10"/>
        <rFont val="Arial"/>
        <family val="2"/>
      </rPr>
      <t>PRESENTACION: ENVASE X 360 CM3</t>
    </r>
    <r>
      <rPr>
        <sz val="10"/>
        <rFont val="Arial"/>
        <family val="2"/>
      </rPr>
      <t>, BIODEGRADABLE: SI</t>
    </r>
  </si>
  <si>
    <t>DESINFECTANTE EN AEROSOL TIPO LYSOFORM</t>
  </si>
  <si>
    <t>*SE REALIZA LA ENTREGA DE 80 ENVASES MENSUALES (DISTRIBUIDOS SEGÚN DETALLE PARA CADA INSTITUCION)  LO QUE HACE UNA SUMA DE 240 ENVASES TRIMESTRALES</t>
  </si>
  <si>
    <r>
      <t xml:space="preserve">LIMPIADORES MULTIUSO; TIPO: P/LAMPAZO, </t>
    </r>
    <r>
      <rPr>
        <b/>
        <sz val="10"/>
        <rFont val="Arial"/>
        <family val="2"/>
      </rPr>
      <t>PRESENTACION: ENVASE X 5 L</t>
    </r>
  </si>
  <si>
    <t>LIQUIDO PARA LAMPAZO PERFUMADO SILICONADO</t>
  </si>
  <si>
    <t>PAQUETE</t>
  </si>
  <si>
    <r>
      <t xml:space="preserve">PAPEL HIGIENICO; </t>
    </r>
    <r>
      <rPr>
        <b/>
        <sz val="10"/>
        <rFont val="Arial"/>
        <family val="2"/>
      </rPr>
      <t>PRESENTACION: PAQUETE X 4 UN</t>
    </r>
    <r>
      <rPr>
        <sz val="10"/>
        <rFont val="Arial"/>
        <family val="2"/>
      </rPr>
      <t>, TIPO: PRECORTADO, HOJA: SIMPLE, ANCHO: 10 Cm, LARGO: 30 M, MATERIAL HOJA: SIMPLE, TIPO DE HOJA: SIMPLE</t>
    </r>
  </si>
  <si>
    <t>*SE REALIZA LA ENTREGA DE 178 PAQUETES MENSUALES (DISTRIBUIDOS SEGÚN DETALLE PARA CADA INSTITUCION)  LO QUE HACE UNA SUMA DE 534 PAQUETES TRIMESTRALES</t>
  </si>
  <si>
    <r>
      <t xml:space="preserve">SERVILLETAS DE PAPEL; TIPO: ROLLO, MOTIVO: SIN, DIMENSION: 25 X 10 Cm, </t>
    </r>
    <r>
      <rPr>
        <b/>
        <sz val="10"/>
        <rFont val="Arial"/>
        <family val="2"/>
      </rPr>
      <t>PRESENTACION: ENVASE X 3</t>
    </r>
  </si>
  <si>
    <t xml:space="preserve">ESCOBILLON DE PLASTICO </t>
  </si>
  <si>
    <t>*SE REALIZA LA ENTREGA DE 39 UNIDADES MENSUALES (DISTRIBUIDOS SEGÚN DETALLE PARA CADA INSTITUCION)  LO QUE HACE UNA SUMA DE 117 UNIDADES TRIMESTRALES</t>
  </si>
  <si>
    <r>
      <t>LANAS DE ACERO;</t>
    </r>
    <r>
      <rPr>
        <b/>
        <sz val="10"/>
        <rFont val="Arial"/>
        <family val="2"/>
      </rPr>
      <t xml:space="preserve"> PRESENTACION: PAQUETE</t>
    </r>
    <r>
      <rPr>
        <sz val="10"/>
        <rFont val="Arial"/>
        <family val="2"/>
      </rPr>
      <t>, CONTENIDO: MADEJA</t>
    </r>
  </si>
  <si>
    <t>*SE REALIZA LA ENTREGA DE 170 UNIDADES MENSUALES (DISTRIBUIDOS SEGÚN DETALLE PARA CADA INSTITUCION)  LO QUE HACE UNA SUMA DE 510 UNIDADES TRIMESTRALES</t>
  </si>
  <si>
    <t>*SE REALIZA LA ENTREGA DE 80 UNIDADES MENSUALES (DISTRIBUIDOS SEGÚN DETALLE PARA CADA INSTITUCION)  LO QUE HACE UNA SUMA DE 240 UNIDADES TRIMESTRALES</t>
  </si>
  <si>
    <t>*SE REALIZA LA ENTREGA DE 100 UNIDADES MENSUALES (DISTRIBUIDOS SEGÚN DETALLE PARA CADA INSTITUCION)  LO QUE HACE UNA SUMA DE 300 UNIDADES TRIMESTRALES</t>
  </si>
  <si>
    <t>*SE REALIZA LA ENTREGA DE 104 UNIDADES MENSUALES (DISTRIBUIDOS SEGÚN DETALLE PARA CADA INSTITUCION)  LO QUE HACE UNA SUMA DE 312 UNIDADES TRIMESTRALES</t>
  </si>
  <si>
    <r>
      <t xml:space="preserve">ELEM. LIMPIEZA P/INDUMENTARIA; TIPO: JABON EN POLVO, </t>
    </r>
    <r>
      <rPr>
        <b/>
        <sz val="10"/>
        <rFont val="Arial"/>
        <family val="2"/>
      </rPr>
      <t>PRESENTACION: ENVASE X 400 GR</t>
    </r>
  </si>
  <si>
    <t>JABON EN POLVO PARA ROPA BAJA ESPUMA PARA LAVARROPAS AUTOMATICO</t>
  </si>
  <si>
    <r>
      <t>LUSTRADORES; TIPO: LUSTRAMUEBLES,</t>
    </r>
    <r>
      <rPr>
        <b/>
        <sz val="10"/>
        <rFont val="Arial"/>
        <family val="2"/>
      </rPr>
      <t xml:space="preserve"> PRESENTACION: AEROSOL X 360 CM3</t>
    </r>
  </si>
  <si>
    <t>SECADORES PARA PISO DE GOMA</t>
  </si>
  <si>
    <t>*SE REALIZA LA ENTREGA DE 84 UNIDADES MENSUALES (DISTRIBUIDOS SEGÚN DETALLE PARA CADA INSTITUCION)  LO QUE HACE UNA SUMA DE 252 UNIDADES TRIMESTRALES</t>
  </si>
  <si>
    <t>*SE REALIZA LA ENTREGA DE 28 UNIDADES MENSUALES (DISTRIBUIDOS SEGÚN DETALLE PARA CADA INSTITUCION)  LO QUE HACE UNA SUMA DE 84 UNIDADES TRIMESTRALES</t>
  </si>
  <si>
    <t>LAMPAZO PARA PISO</t>
  </si>
  <si>
    <t>*SE REALIZA LA ENTREGA DE 36 UNIDADES MENSUALES (DISTRIBUIDOS SEGÚN DETALLE PARA CADA INSTITUCION)  LO QUE HACE UNA SUMA DE 108 UNIDADES TRIMESTRALES</t>
  </si>
  <si>
    <r>
      <t xml:space="preserve">BOLSAS DE RESIDUOS; DIMENSION: 60 X 90 Cm, </t>
    </r>
    <r>
      <rPr>
        <b/>
        <sz val="10"/>
        <rFont val="Arial"/>
        <family val="2"/>
      </rPr>
      <t>PRESENTACION: BOLSA X 20 UN</t>
    </r>
    <r>
      <rPr>
        <sz val="10"/>
        <rFont val="Arial"/>
        <family val="2"/>
      </rPr>
      <t>, ESPESOR: 60 Mn, COLOR: SIN VALOR</t>
    </r>
  </si>
  <si>
    <t>BOLSA</t>
  </si>
  <si>
    <t>*SE REALIZA LA ENTREGA DE 132 BOLSAS MENSUALES (DISTRIBUIDOS SEGÚN DETALLE PARA CADA INSTITUCION)  LO QUE HACE UNA SUMA DE 396 BOLSAS TRIMESTRALES</t>
  </si>
  <si>
    <t xml:space="preserve">TRAPO DE PISO 100 % ALGODÓN </t>
  </si>
  <si>
    <r>
      <t xml:space="preserve">DESINFECTANTES; PRINCIPIO ACTIVO: CLORURO DE BENZALCONIO, CONTROL: VIRUS, BACTERIAS, HONGOS, </t>
    </r>
    <r>
      <rPr>
        <b/>
        <sz val="10"/>
        <rFont val="Arial"/>
        <family val="2"/>
      </rPr>
      <t>PRESENTACION: ENVASE X 5 L</t>
    </r>
  </si>
  <si>
    <t>DESINFECTANTE LIQUIDO ANTIBACTERIAL</t>
  </si>
  <si>
    <r>
      <t xml:space="preserve">ARTICULOS DE TOCADOR; </t>
    </r>
    <r>
      <rPr>
        <b/>
        <sz val="10"/>
        <rFont val="Arial"/>
        <family val="2"/>
      </rPr>
      <t>PRESENTACION: PACK X 3 X 140 GR</t>
    </r>
    <r>
      <rPr>
        <sz val="10"/>
        <rFont val="Arial"/>
        <family val="2"/>
      </rPr>
      <t>, TIPO: JABON DE TOCADOR</t>
    </r>
  </si>
  <si>
    <t>*SE REALIZA LA ENTREGA DE 122 UNIDADES MENSUALES (DISTRIBUIDOS SEGÚN DETALLE PARA CADA INSTITUCION)  LO QUE HACE UNA SUMA DE 366 UNIDADES TRIMESTRALES</t>
  </si>
  <si>
    <t xml:space="preserve"> Item N° 28:</t>
  </si>
  <si>
    <t xml:space="preserve"> Item N° 29:</t>
  </si>
  <si>
    <r>
      <t xml:space="preserve">INSECTICIDAS; </t>
    </r>
    <r>
      <rPr>
        <b/>
        <sz val="10"/>
        <rFont val="Arial"/>
        <family val="2"/>
      </rPr>
      <t>PRESENTACION: AEROSOL X 440 CM3</t>
    </r>
    <r>
      <rPr>
        <sz val="10"/>
        <rFont val="Arial"/>
        <family val="2"/>
      </rPr>
      <t>, CAPACIDAD: 440 CM3, USO P/CONTROL: CUCARACHA, ACCION: SIN VALOR, PRINCIPIO ACTIVO: SIN VALOR, CONTROL: CUCARACHA</t>
    </r>
  </si>
  <si>
    <r>
      <t xml:space="preserve">INSECTICIDAS; CAPACIDAD: 440 CM3, ACCION: SIN VALOR, PRINCIPIO ACTIVO: SIN VALOR, </t>
    </r>
    <r>
      <rPr>
        <b/>
        <sz val="10"/>
        <rFont val="Arial"/>
        <family val="2"/>
      </rPr>
      <t>PRESENTACION: AEROSOL X 440 CM3</t>
    </r>
    <r>
      <rPr>
        <sz val="10"/>
        <rFont val="Arial"/>
        <family val="2"/>
      </rPr>
      <t>, CONTROL: MOSCAS Y MOSQUITOS, USO P/CONTROL: MOSCAS Y MOSQUITOS</t>
    </r>
  </si>
  <si>
    <r>
      <t xml:space="preserve">BOLSAS DE RESIDUOS; DIMENSION: 45 X 60 Cm, </t>
    </r>
    <r>
      <rPr>
        <b/>
        <sz val="10"/>
        <rFont val="Arial"/>
        <family val="2"/>
      </rPr>
      <t>PRESENTACION: BOLSA X 10</t>
    </r>
    <r>
      <rPr>
        <sz val="10"/>
        <rFont val="Arial"/>
        <family val="2"/>
      </rPr>
      <t>, COLOR: SIN VALOR, ESPESOR: SIN VALOR</t>
    </r>
  </si>
  <si>
    <t>*SE REALIZA LA ENTREGA DE 96 UNIDADES MENSUALES (DISTRIBUIDOS SEGÚN DETALLE PARA CADA INSTITUCION)  LO QUE HACE UNA SUMA DE 288 UNIDADES TRIMESTRALES</t>
  </si>
  <si>
    <r>
      <t xml:space="preserve">INSECTICIDAS; PRINCIPIO ACTIVO: DIFETHIALONE 0.0025 %, USO P/CONTROL: ROEDORES, ACCION: RATICIDA RODENTICIDA, </t>
    </r>
    <r>
      <rPr>
        <b/>
        <sz val="10"/>
        <rFont val="Arial"/>
        <family val="2"/>
      </rPr>
      <t>PRESENTACION: CEBOS X 15 GR</t>
    </r>
    <r>
      <rPr>
        <sz val="10"/>
        <rFont val="Arial"/>
        <family val="2"/>
      </rPr>
      <t>, CAPACIDAD: 15 GR, CONTROL: ROEDORES</t>
    </r>
  </si>
  <si>
    <r>
      <t xml:space="preserve">ELEM. LIMPIEZA P/INDUMENTARIA; TIPO: JABON EN POLVO, </t>
    </r>
    <r>
      <rPr>
        <b/>
        <sz val="10"/>
        <rFont val="Arial"/>
        <family val="2"/>
      </rPr>
      <t>PRESENTACION: ENVASE X 800 GR</t>
    </r>
  </si>
  <si>
    <t xml:space="preserve"> Item N° 30:</t>
  </si>
  <si>
    <t xml:space="preserve"> Item N° 31:</t>
  </si>
  <si>
    <t xml:space="preserve"> Item N° 32:</t>
  </si>
  <si>
    <t xml:space="preserve"> Item N° 33:</t>
  </si>
  <si>
    <t xml:space="preserve"> Item N° 34:</t>
  </si>
  <si>
    <t>JABON EN POLVO X 800 GRS BAJA ESPUMA P/LAVARROPAS AUTOMATICO</t>
  </si>
  <si>
    <r>
      <t xml:space="preserve">ELEM. LIMPIEZA P/INDUMENTARIA; TIPO: JABON LIQUIDO NEUTRO, </t>
    </r>
    <r>
      <rPr>
        <b/>
        <sz val="10"/>
        <rFont val="Arial"/>
        <family val="2"/>
      </rPr>
      <t>PRESENTACION: ENVASE X 5 L</t>
    </r>
  </si>
  <si>
    <t xml:space="preserve">JABON LIQUIDO NEUTRO BIDON X 5 LTS </t>
  </si>
  <si>
    <t xml:space="preserve"> Item N° 35:</t>
  </si>
  <si>
    <t xml:space="preserve"> Item N° 36:</t>
  </si>
  <si>
    <t xml:space="preserve"> Item N° 37:</t>
  </si>
  <si>
    <t xml:space="preserve"> Item N° 38:</t>
  </si>
  <si>
    <t>DESENGRASANTE LIQUIDO BOTELLA CON ROCIADOR X 1 LTS</t>
  </si>
  <si>
    <t>*SE REALIZA LA ENTREGA DE 40 UNIDADES MENSUALES (DISTRIBUIDOS SEGÚN DETALLE PARA CADA INSTITUCION)  LO QUE HACE UNA SUMA DE 120 UNIDADES TRIMESTRALES</t>
  </si>
  <si>
    <t>PALO DE MADERA PARA ESCOBA MODELO NIVERSAL</t>
  </si>
  <si>
    <t>*SE REALIZA LA ENTREGA DE 20 UNIDADES MENSUALES (DISTRIBUIDOS SEGÚN DETALLE PARA CADA INSTITUCION)  LO QUE HACE UNA SUMA DE 60 UNIDADES TRIMESTRALES</t>
  </si>
  <si>
    <r>
      <t xml:space="preserve">BOLSAS DE RESIDUOS; DIMENSION: 16,5 X 44 Cm, </t>
    </r>
    <r>
      <rPr>
        <b/>
        <sz val="10"/>
        <rFont val="Arial"/>
        <family val="2"/>
      </rPr>
      <t>PRESENTACION: PACK X 25 UN</t>
    </r>
    <r>
      <rPr>
        <sz val="10"/>
        <rFont val="Arial"/>
        <family val="2"/>
      </rPr>
      <t>, ESPESOR: 30 Mn, MATERIAL: POLIETILENO</t>
    </r>
  </si>
  <si>
    <t>CEPILLO BARRENDERO CERDAS DE PVC X 80 CM DE ANCHO</t>
  </si>
  <si>
    <t>*SE REALIZA LA ENTREGA DE 18 UNIDADES MENSUALES (DISTRIBUIDOS SEGÚN DETALLE PARA CADA INSTITUCION)  LO QUE HACE UNA SUMA DE 54 UNIDADES TRIMESTRALES</t>
  </si>
  <si>
    <r>
      <t xml:space="preserve">FOSFOROS; MATERIAL: MADERA, </t>
    </r>
    <r>
      <rPr>
        <b/>
        <sz val="10"/>
        <rFont val="Arial"/>
        <family val="2"/>
      </rPr>
      <t>PRESENTACION: CAJA X 222</t>
    </r>
  </si>
  <si>
    <t>CAJA</t>
  </si>
  <si>
    <r>
      <t>CERAS; TIPO: LIQUIDO, USO: UNIVERSAL,</t>
    </r>
    <r>
      <rPr>
        <b/>
        <sz val="10"/>
        <rFont val="Arial"/>
        <family val="2"/>
      </rPr>
      <t xml:space="preserve"> PRESENTACION: ENVASE X 5 L</t>
    </r>
  </si>
  <si>
    <r>
      <t xml:space="preserve">ARTICULOS DE TOCADOR; TIPO: DESODORANTE PERSONAL, </t>
    </r>
    <r>
      <rPr>
        <b/>
        <sz val="10"/>
        <rFont val="Arial"/>
        <family val="2"/>
      </rPr>
      <t>PRESENTACION: ENVASE X 120 GR</t>
    </r>
  </si>
  <si>
    <r>
      <t xml:space="preserve">UTENSILLOS P/HIGIENE PERSONAL; TIPO: CEPILLO DE DIENTES, </t>
    </r>
    <r>
      <rPr>
        <b/>
        <sz val="10"/>
        <rFont val="Arial"/>
        <family val="2"/>
      </rPr>
      <t>PRESENTACION: UNIDAD</t>
    </r>
  </si>
  <si>
    <r>
      <t xml:space="preserve">TALCOS; TIPO: TOCADOR, </t>
    </r>
    <r>
      <rPr>
        <b/>
        <sz val="10"/>
        <rFont val="Arial"/>
        <family val="2"/>
      </rPr>
      <t>PRESENTACION: ENVASE X 200 GR</t>
    </r>
  </si>
  <si>
    <r>
      <t xml:space="preserve">TALCOS; TIPO: PEDICO, </t>
    </r>
    <r>
      <rPr>
        <b/>
        <sz val="10"/>
        <rFont val="Arial"/>
        <family val="2"/>
      </rPr>
      <t>PRESENTACION: ENVASE X 100 GR</t>
    </r>
  </si>
  <si>
    <r>
      <t xml:space="preserve">PASTAS DENTALES; TIPO: COMUN, </t>
    </r>
    <r>
      <rPr>
        <b/>
        <sz val="10"/>
        <rFont val="Arial"/>
        <family val="2"/>
      </rPr>
      <t>PRESENTACION: ENVASE X 90</t>
    </r>
  </si>
  <si>
    <r>
      <t xml:space="preserve">ALCOHOL USO MEDICINAL; PUREZA: 99 %, </t>
    </r>
    <r>
      <rPr>
        <b/>
        <sz val="10"/>
        <rFont val="Arial"/>
        <family val="2"/>
      </rPr>
      <t>PRESENTACION: ENVASE X 5 L</t>
    </r>
  </si>
  <si>
    <r>
      <t xml:space="preserve">GUANTES USO MEDICINAL; TIPO: DESCARTABLE, TAMAÑO: SMALL, MATERIAL: LATEX, </t>
    </r>
    <r>
      <rPr>
        <b/>
        <sz val="10"/>
        <rFont val="Arial"/>
        <family val="2"/>
      </rPr>
      <t>PRESENTACION: ENVASE X 100 UN</t>
    </r>
  </si>
  <si>
    <r>
      <t xml:space="preserve">MAQUINAS DE AFEITAR; TIPO: DESCARTABLE DOBLE HOJA, MANGO: PLASTICO, </t>
    </r>
    <r>
      <rPr>
        <b/>
        <sz val="10"/>
        <rFont val="Arial"/>
        <family val="2"/>
      </rPr>
      <t>PRESENTACION: ENVASE X 4 UN</t>
    </r>
  </si>
  <si>
    <r>
      <t xml:space="preserve">ELEM. LIMPIEZA P/INDUMENTARIA; TIPO: LAVANDINA P/ROPA BLANCA, </t>
    </r>
    <r>
      <rPr>
        <b/>
        <sz val="10"/>
        <rFont val="Arial"/>
        <family val="2"/>
      </rPr>
      <t>PRESENTACION: ENVASE X 2 L</t>
    </r>
  </si>
  <si>
    <r>
      <t xml:space="preserve">LIMPIADORES; TIPO: QUITAMANCHA, </t>
    </r>
    <r>
      <rPr>
        <b/>
        <sz val="10"/>
        <rFont val="Arial"/>
        <family val="2"/>
      </rPr>
      <t>PRESENTACION: ENVASE X 1 L</t>
    </r>
  </si>
  <si>
    <r>
      <t xml:space="preserve">TRAPOS; TIPO: MICROFIBRA MULTIUSO, </t>
    </r>
    <r>
      <rPr>
        <b/>
        <sz val="10"/>
        <rFont val="Arial"/>
        <family val="2"/>
      </rPr>
      <t>PRESENTACION: UNIDAD</t>
    </r>
  </si>
  <si>
    <r>
      <t xml:space="preserve">ELEM. LIMPIEZA P/INDUMENTARIA; TIPO: SUAVIZANTE P/ROPA, </t>
    </r>
    <r>
      <rPr>
        <b/>
        <sz val="10"/>
        <rFont val="Arial"/>
        <family val="2"/>
      </rPr>
      <t>PRESENTACION: ENVASE X 1 L</t>
    </r>
  </si>
  <si>
    <r>
      <t xml:space="preserve">ARTICULOS DE TOCADOR; TIPO: SHAMPOO, </t>
    </r>
    <r>
      <rPr>
        <b/>
        <sz val="10"/>
        <rFont val="Arial"/>
        <family val="2"/>
      </rPr>
      <t>PRESENTACION: ENVASE X 200 mL</t>
    </r>
  </si>
  <si>
    <r>
      <t xml:space="preserve">ARTICULOS DE TOCADOR; TIPO: SHAMPOO, </t>
    </r>
    <r>
      <rPr>
        <b/>
        <sz val="10"/>
        <rFont val="Arial"/>
        <family val="2"/>
      </rPr>
      <t>PRESENTACION: ENVASE X 1 L</t>
    </r>
  </si>
  <si>
    <r>
      <t xml:space="preserve">ARTICULOS DE TOCADOR; TIPO: CREMA DE ENJUAGUE, </t>
    </r>
    <r>
      <rPr>
        <b/>
        <sz val="10"/>
        <rFont val="Arial"/>
        <family val="2"/>
      </rPr>
      <t>PRESENTACION: ENVASE X 200 mL</t>
    </r>
  </si>
  <si>
    <r>
      <t>ARTICULOS DE TOCADOR; TIPO: CREMA DE ENJUAGUE,</t>
    </r>
    <r>
      <rPr>
        <b/>
        <sz val="10"/>
        <rFont val="Arial"/>
        <family val="2"/>
      </rPr>
      <t xml:space="preserve"> PRESENTACION: ENVASE X 1 L</t>
    </r>
  </si>
  <si>
    <r>
      <t>TALCOS; TIPO: TOCADOR,</t>
    </r>
    <r>
      <rPr>
        <b/>
        <sz val="10"/>
        <rFont val="Arial"/>
        <family val="2"/>
      </rPr>
      <t xml:space="preserve"> PRESENTACION: ENVASE X 200 GR</t>
    </r>
  </si>
  <si>
    <r>
      <t xml:space="preserve">ARTICULOS DE TOCADOR; TIPO: DESODORANTE PERSONAL, </t>
    </r>
    <r>
      <rPr>
        <b/>
        <sz val="10"/>
        <rFont val="Arial"/>
        <family val="2"/>
      </rPr>
      <t>PRESENTACION: ENVASE X 170 mL</t>
    </r>
  </si>
  <si>
    <r>
      <t xml:space="preserve">INSECTICIDAS; </t>
    </r>
    <r>
      <rPr>
        <b/>
        <sz val="10"/>
        <rFont val="Arial"/>
        <family val="2"/>
      </rPr>
      <t>PRESENTACION: ESPIRAL X 4 UN</t>
    </r>
    <r>
      <rPr>
        <sz val="10"/>
        <rFont val="Arial"/>
        <family val="2"/>
      </rPr>
      <t>, CAPACIDAD: 4 UNIDADES, ACCION: SIN VALOR, PRINCIPIO ACTIVO: SIN VALOR, CONTROL: MOSCAS Y MOSQUITOS, USO P/CONTROL: MOSCAS Y MOSQUITOS</t>
    </r>
  </si>
  <si>
    <r>
      <t>REPELENTES; TIPO: INSECTOS,</t>
    </r>
    <r>
      <rPr>
        <b/>
        <sz val="10"/>
        <rFont val="Arial"/>
        <family val="2"/>
      </rPr>
      <t xml:space="preserve"> PRESENTACION: ENVASE X 165 CM3</t>
    </r>
  </si>
  <si>
    <r>
      <t xml:space="preserve">ELEM. P/LIMPIEZA SANITARIOS; TIPO: PASTILLA DESODORANTE, </t>
    </r>
    <r>
      <rPr>
        <b/>
        <sz val="10"/>
        <rFont val="Arial"/>
        <family val="2"/>
      </rPr>
      <t>PRESENTACION: UNIDAD</t>
    </r>
  </si>
  <si>
    <r>
      <t xml:space="preserve">BARBIJOS; TIPO: RECTANGULAR, MATERIAL: POLIPROPILENO, CANTIDAD DE CAPAS: 2, DESCARTABLE: SI, </t>
    </r>
    <r>
      <rPr>
        <b/>
        <sz val="10"/>
        <rFont val="Arial"/>
        <family val="2"/>
      </rPr>
      <t>PRESENTACION: ENVASE X 50 UN</t>
    </r>
  </si>
  <si>
    <r>
      <t xml:space="preserve">ALGODONES; CAPACIDAD: 150 GR, TIPO: COMUN, </t>
    </r>
    <r>
      <rPr>
        <b/>
        <sz val="10"/>
        <rFont val="Times New Roman"/>
        <family val="1"/>
      </rPr>
      <t>PRESENTACION: ENVASE X 150 GR</t>
    </r>
  </si>
  <si>
    <t xml:space="preserve">BOLSAS DE RESIDUOS; MEDIDAS 35 X 50 CM PAQUETE X 35 MTS </t>
  </si>
  <si>
    <t>*SE REALIZA LA ENTREGA DE 28 PAQUETES MENSUALES (DISTRIBUIDOS SEGÚN DETALLE PARA CADA INSTITUCION)  LO QUE HACE UNA SUMA DE 84 PAQUETES TRIMESTRALES</t>
  </si>
  <si>
    <t>*SE REALIZA LA ENTREGA DE 36 CAJAS MENSUALES (DISTRIBUIDOS SEGÚN DETALLE PARA CADA INSTITUCION)  LO QUE HACE UNA SUMA DE 108 CAJAS TRIMESTRALES</t>
  </si>
  <si>
    <t>CERA LIQUIDA PARA PISOS INCOLOHORA EN BIDON X 5 LTS</t>
  </si>
  <si>
    <t xml:space="preserve">LAVANDINA EN BIDON X 5 LTS </t>
  </si>
  <si>
    <t>DETERGENTE EN BIDON X 5 LTS</t>
  </si>
  <si>
    <t xml:space="preserve">LIMPIADOR LIQUIDO PARA PISO CON FRAGANCIA A LAVANDA EN BIDON X 5 LTS </t>
  </si>
  <si>
    <t>DESODORANTES DE AMBIENTE LIQUIDO FRAGANCIA A PINO EN BIDON X 5 LTS</t>
  </si>
  <si>
    <t>DESODORANTES DE AMBIENTE LIQUIDO FRAGANCIA AIRE FRESCO EN BIDON X 5 LTS</t>
  </si>
  <si>
    <t xml:space="preserve">DESENGRASANTE LIQUIDO EN BIDON X 5 LTS </t>
  </si>
  <si>
    <t>DESODORANTE DE AMBIENTE EN AEROSOL AROMA ORIGINAL</t>
  </si>
  <si>
    <t xml:space="preserve">LANA DE ACERO TIPO VIRULANA PAQUETE X 10 ROLLOS </t>
  </si>
  <si>
    <t>ESPONJA LAVAVAJILLAS PARA COCINA</t>
  </si>
  <si>
    <t xml:space="preserve">DESODORANTE PERSONAL PARA NIÑOS/AS EN  AEROSOL </t>
  </si>
  <si>
    <t>ALCOHOL DE USO MEDICINAL 99 % PURO EN BIDON X 5 LTS</t>
  </si>
  <si>
    <t>GUANTES DESCARTABLE DE LATEX CLORINADO, TAMAÑO SMALL CAJA X 100  UN</t>
  </si>
  <si>
    <t>TOALLAS FEMENINAS DIURNAS CON ALAS; TIPO NORMAL; PAQUETE X 8 UNIDADES</t>
  </si>
  <si>
    <t>TOALLAS HUMEDAS PARA BEBE; PAQUETE X 70 UNIDADES</t>
  </si>
  <si>
    <t xml:space="preserve">SHAMPOO PARA CABLELLOS, ENVASE X 200 ML PARA BEBE </t>
  </si>
  <si>
    <t xml:space="preserve">SHAMPOO PARA CABELLOS, ENVASE X 1 LTS, PARA ADULTOS </t>
  </si>
  <si>
    <t>SHAMPOO ANTIMOCOTICO PEDICULOSIS; ENVASE X 100 ML</t>
  </si>
  <si>
    <t>CREMA ENJUAGUE PARA CABELLOS, ENVASE X 200 ML PARA BEBE</t>
  </si>
  <si>
    <t xml:space="preserve">CREMA ENJUAGUE PARA CABELLOS; ENVASE X 1 LTS PARA ADULTOS </t>
  </si>
  <si>
    <t>ESPONJAS DE FIBRA, DE BAÑO MEDIDAS 90 X 65 X 55 MM</t>
  </si>
  <si>
    <t xml:space="preserve">TALCO TIPO TOCADOR ENVASE X 200 GRS PARA BEBE </t>
  </si>
  <si>
    <t>DESODORANTE PERSONAL PARA ADULTOS ENVASE X 170 ML</t>
  </si>
  <si>
    <t>BARBIJOS DESCARTABLES QUIRURGICOS X 2 CAPAS; CAJA X 50 UNIDADES</t>
  </si>
  <si>
    <t xml:space="preserve"> Item N° 39:</t>
  </si>
  <si>
    <t xml:space="preserve"> Item N° 40:</t>
  </si>
  <si>
    <t xml:space="preserve"> Item N° 41:</t>
  </si>
  <si>
    <t xml:space="preserve"> Item N° 42:</t>
  </si>
  <si>
    <t xml:space="preserve"> Item N° 43:</t>
  </si>
  <si>
    <t xml:space="preserve"> Item N° 44:</t>
  </si>
  <si>
    <t xml:space="preserve"> Item N° 45:</t>
  </si>
  <si>
    <t xml:space="preserve"> Item N° 46:</t>
  </si>
  <si>
    <t xml:space="preserve"> Item N° 47:</t>
  </si>
  <si>
    <t xml:space="preserve"> Item N° 48:</t>
  </si>
  <si>
    <t xml:space="preserve"> Item N° 49:</t>
  </si>
  <si>
    <t>2.9.1-6951.30</t>
  </si>
  <si>
    <t>ELEMENTOS DE LIMPIEZA</t>
  </si>
  <si>
    <t>2.9.1</t>
  </si>
  <si>
    <t>LIMPIADORES; TIPO: LAVANDINA, PRESENTACION: ENVASE X 5 L</t>
  </si>
  <si>
    <t>2.9.1-6951.12</t>
  </si>
  <si>
    <t>LIMPIADORES; PRESENTACION: ENVASE X 5 L, TIPO: DETERGENTE</t>
  </si>
  <si>
    <t>2.9.1-6951.139</t>
  </si>
  <si>
    <t>LIMPIADORES; TIPO: LIMPIADOR DE PISOS, PRESENTACION: ENVASE X 5 L</t>
  </si>
  <si>
    <t>2.9.1-544.48</t>
  </si>
  <si>
    <t>DESODORANTES DE AMBIENTE; FORMATO: BIDON DE PLASTICO, CONTENIDO: 5 L, FRAGANCIA: PINO, PRESENTACION: UNIDAD, LIBRE DE CFC: NO CORRESPONDE</t>
  </si>
  <si>
    <t>2.9.1-544.59</t>
  </si>
  <si>
    <t>DESODORANTES DE AMBIENTE; FORMATO: BIDON, FRAGANCIA: AIRE FRESCO, PRESENTACION: ENVASE X 5 L, LIBRE DE CFC: NO CORRESPONDE</t>
  </si>
  <si>
    <t>2.9.1-6951.60</t>
  </si>
  <si>
    <t>LIMPIADORES; TIPO: DESENGRASANTE, PRESENTACION: ENVASE X 5 L</t>
  </si>
  <si>
    <t>2.9.1-6951.319</t>
  </si>
  <si>
    <t>LIMPIADORES; TIPO: DESODORANTE DE AMBIENTE, PRESENTACION: ENVASE X 360 CM3, BIODEGRADABLE: NO</t>
  </si>
  <si>
    <t>2.9.1-6951.318</t>
  </si>
  <si>
    <t>2.5.4</t>
  </si>
  <si>
    <t>LIMPIADORES; TIPO: DESINFECTANTE, PRESENTACION: ENVASE X 360 CM3, BIODEGRADABLE: SI</t>
  </si>
  <si>
    <t>2.9.1-4784.37</t>
  </si>
  <si>
    <t>LIMPIADORES MULTIUSO; TIPO: P/LAMPAZO, PRESENTACION: ENVASE X 5 L</t>
  </si>
  <si>
    <t>2.3.4-786.51</t>
  </si>
  <si>
    <t>PRODUCTOS DE PAPEL Y CARTON</t>
  </si>
  <si>
    <t>2.3.4</t>
  </si>
  <si>
    <t>PAPEL HIGIENICO; PRESENTACION: PAQUETE X 4 UN, TIPO: PRECORTADO, HOJA: SIMPLE, ANCHO: 10 Cm, LARGO: 30 M, MATERIAL HOJA: SIMPLE, TIPO DE HOJA: SIMPLE</t>
  </si>
  <si>
    <t>2.3.4-938.59</t>
  </si>
  <si>
    <t>SERVILLETAS DE PAPEL; TIPO: ROLLO, MOTIVO: SIN, DIMENSION: 25 X 10 Cm, PRESENTACION: ENVASE X 3</t>
  </si>
  <si>
    <t>2.9.1-6952.54</t>
  </si>
  <si>
    <t>2.9.1-2030.1</t>
  </si>
  <si>
    <t>LANAS DE ACERO; PRESENTACION: PAQUETE, CONTENIDO: MADEJA</t>
  </si>
  <si>
    <t>2.9.1-678.3</t>
  </si>
  <si>
    <t>2.9.1-714.3</t>
  </si>
  <si>
    <t>2.9.1-1164.10</t>
  </si>
  <si>
    <t>2.9.1-1083.9</t>
  </si>
  <si>
    <t>2.9.1-6960.14</t>
  </si>
  <si>
    <t>ELEM. LIMPIEZA P/INDUMENTARIA; TIPO: JABON EN POLVO, PRESENTACION: ENVASE X 400 GR</t>
  </si>
  <si>
    <t>2.9.1-6950.30</t>
  </si>
  <si>
    <t>LUSTRADORES; TIPO: LUSTRAMUEBLES, PRESENTACION: AEROSOL X 360 CM3</t>
  </si>
  <si>
    <t>2.9.1-683.3</t>
  </si>
  <si>
    <t>2.9.1-564.23</t>
  </si>
  <si>
    <t>2.9.1-2425.2</t>
  </si>
  <si>
    <t>2.9.1-646.51</t>
  </si>
  <si>
    <t>PRODUCTOS DE MATERIAL PLASTICO</t>
  </si>
  <si>
    <t>2.5.8</t>
  </si>
  <si>
    <t>BOLSAS DE RESIDUOS; DIMENSION: 60 X 90 Cm, PRESENTACION: BOLSA X 20 UN, ESPESOR: 60 Mn, COLOR: SIN VALOR</t>
  </si>
  <si>
    <t>2.9.1-713.1</t>
  </si>
  <si>
    <t>2.5.4-505.94</t>
  </si>
  <si>
    <t>DESINFECTANTES; PRINCIPIO ACTIVO: CLORURO DE BENZALCONIO, CONTROL: VIRUS, BACTERIAS, HONGOS, PRESENTACION: ENVASE X 5 L</t>
  </si>
  <si>
    <t>2.9.1-6956.17</t>
  </si>
  <si>
    <t>2.5.9</t>
  </si>
  <si>
    <t>ARTICULOS DE TOCADOR; PRESENTACION: PACK X 3 X 140 GR, TIPO: JABON DE TOCADOR</t>
  </si>
  <si>
    <t>2.9.1-761.21</t>
  </si>
  <si>
    <t>2.5.4-506.28</t>
  </si>
  <si>
    <t>INSECTICIDAS; PRESENTACION: AEROSOL X 440 CM3, CAPACIDAD: 440 CM3, USO P/CONTROL: CUCARACHA, ACCION: SIN VALOR, PRINCIPIO ACTIVO: SIN VALOR, CONTROL: CUCARACHA</t>
  </si>
  <si>
    <t>2.5.4-506.36</t>
  </si>
  <si>
    <t>INSECTICIDAS; CAPACIDAD: 440 CM3, ACCION: SIN VALOR, PRINCIPIO ACTIVO: SIN VALOR, PRESENTACION: AEROSOL X 440 CM3, CONTROL: MOSCAS Y MOSQUITOS, USO P/CONTROL: MOSCAS Y MOSQUITOS</t>
  </si>
  <si>
    <t>2.9.1-646.6</t>
  </si>
  <si>
    <t>BOLSAS DE RESIDUOS; DIMENSION: 45 X 60 Cm, PRESENTACION: BOLSA X 10, COLOR: SIN VALOR, ESPESOR: SIN VALOR</t>
  </si>
  <si>
    <t>2.9.1-6960.27</t>
  </si>
  <si>
    <t>2.5.4-506.123</t>
  </si>
  <si>
    <t>INSECTICIDAS; PRINCIPIO ACTIVO: DIFETHIALONE 0.0025 %, USO P/CONTROL: ROEDORES, ACCION: RATICIDA RODENTICIDA, PRESENTACION: CEBOS X 15 GR, CAPACIDAD: 15 GR, CONTROL: ROEDORES</t>
  </si>
  <si>
    <t>2.9.1-6960.7</t>
  </si>
  <si>
    <t>ELEM. LIMPIEZA P/INDUMENTARIA; TIPO: JABON EN POLVO, PRESENTACION: ENVASE X 800 GR</t>
  </si>
  <si>
    <t>2.9.1-6960.53</t>
  </si>
  <si>
    <t>ELEM. LIMPIEZA P/INDUMENTARIA; TIPO: JABON LIQUIDO NEUTRO, PRESENTACION: ENVASE X 5 L</t>
  </si>
  <si>
    <t>2.9.1-6951.270</t>
  </si>
  <si>
    <t>2.9.6-8963.6</t>
  </si>
  <si>
    <t>RESPUESTOS Y ACCESORIOS</t>
  </si>
  <si>
    <t>2.9.6</t>
  </si>
  <si>
    <t>2.9.1-646.114</t>
  </si>
  <si>
    <t>BOLSAS DE RESIDUOS; DIMENSION: 16,5 X 44 Cm, PRESENTACION: PACK X 25 UN, ESPESOR: 30 Mn, MATERIAL: POLIETILENO</t>
  </si>
  <si>
    <t>2.9.1-646.20</t>
  </si>
  <si>
    <t>2.9.1-1130.10</t>
  </si>
  <si>
    <t>2.9.6-2277.9</t>
  </si>
  <si>
    <t>2.9.9-2853.1</t>
  </si>
  <si>
    <t>FERRETERIA</t>
  </si>
  <si>
    <t>2.9.9</t>
  </si>
  <si>
    <t>FOSFOROS; MATERIAL: MADERA, PRESENTACION: CAJA X 222</t>
  </si>
  <si>
    <t>2.5.9-1687.22</t>
  </si>
  <si>
    <t>PINTURAS</t>
  </si>
  <si>
    <t>CERAS; TIPO: LIQUIDO, USO: UNIVERSAL, PRESENTACION: ENVASE X 5 L</t>
  </si>
  <si>
    <t>2.9.1-6956.4</t>
  </si>
  <si>
    <t>ARTICULOS DE TOCADOR; TIPO: DESODORANTE PERSONAL, PRESENTACION: ENVASE X 120 GR</t>
  </si>
  <si>
    <t>2.9.1-6963.6</t>
  </si>
  <si>
    <t>UTENSILLOS P/HIGIENE PERSONAL; TIPO: CEPILLO DE DIENTES, PRESENTACION: UNIDAD</t>
  </si>
  <si>
    <t>2.5.9-2855.11</t>
  </si>
  <si>
    <t>PROD. MEDICO/FARMACEUTICOS/LAB</t>
  </si>
  <si>
    <t>TALCOS; TIPO: TOCADOR, PRESENTACION: ENVASE X 200 GR</t>
  </si>
  <si>
    <t>2.5.9-2855.8</t>
  </si>
  <si>
    <t>TALCOS; TIPO: PEDICO, PRESENTACION: ENVASE X 100 GR</t>
  </si>
  <si>
    <t>2.5.2-3068.12</t>
  </si>
  <si>
    <t>2.5.2</t>
  </si>
  <si>
    <t>PASTAS DENTALES; TIPO: COMUN, PRESENTACION: ENVASE X 90</t>
  </si>
  <si>
    <t>2.5.2-3097.12</t>
  </si>
  <si>
    <t>2.9.5-5623.1</t>
  </si>
  <si>
    <t>2.9.1-2029.9</t>
  </si>
  <si>
    <t>2.5.2-711.19</t>
  </si>
  <si>
    <t>ALCOHOL USO MEDICINAL; PUREZA: 99 %, PRESENTACION: ENVASE X 5 L</t>
  </si>
  <si>
    <t>2.9.5-1909.115</t>
  </si>
  <si>
    <t>2.9.5</t>
  </si>
  <si>
    <t>GUANTES USO MEDICINAL; TIPO: DESCARTABLE, TAMAÑO: SMALL, MATERIAL: LATEX, PRESENTACION: ENVASE X 100 UN</t>
  </si>
  <si>
    <t>2.2.3-942.93</t>
  </si>
  <si>
    <t>INDUMENT TEXTIL Y CONFECCIONES</t>
  </si>
  <si>
    <t>2.2.3</t>
  </si>
  <si>
    <t>2.9.9-3407.4</t>
  </si>
  <si>
    <t>ARTICULOS DEL HOGAR</t>
  </si>
  <si>
    <t>MAQUINAS DE AFEITAR; TIPO: DESCARTABLE DOBLE HOJA, MANGO: PLASTICO, PRESENTACION: ENVASE X 4 UN</t>
  </si>
  <si>
    <t>2.9.1-6960.57</t>
  </si>
  <si>
    <t>ELEM. LIMPIEZA P/INDUMENTARIA; TIPO: LAVANDINA P/ROPA BLANCA, PRESENTACION: ENVASE X 2 L</t>
  </si>
  <si>
    <t>2.9.1-6951.72</t>
  </si>
  <si>
    <t>LIMPIADORES; TIPO: QUITAMANCHA, PRESENTACION: ENVASE X 1 L</t>
  </si>
  <si>
    <t>2.9.1-1654.13</t>
  </si>
  <si>
    <t>TRAPOS; TIPO: MICROFIBRA MULTIUSO, PRESENTACION: UNIDAD</t>
  </si>
  <si>
    <t>2.9.1-6960.3</t>
  </si>
  <si>
    <t>ELEM. LIMPIEZA P/INDUMENTARIA; TIPO: SUAVIZANTE P/ROPA, PRESENTACION: ENVASE X 1 L</t>
  </si>
  <si>
    <t>2.9.9-3116.1</t>
  </si>
  <si>
    <t>2.9.1-6952.21</t>
  </si>
  <si>
    <t>2.9.1-6956.95</t>
  </si>
  <si>
    <t>2.9.1-6956.46</t>
  </si>
  <si>
    <t>ARTICULOS DE TOCADOR; TIPO: SHAMPOO, PRESENTACION: ENVASE X 200 mL</t>
  </si>
  <si>
    <t>2.9.1-6956.32</t>
  </si>
  <si>
    <t>ARTICULOS DE TOCADOR; TIPO: SHAMPOO, PRESENTACION: ENVASE X 1 L</t>
  </si>
  <si>
    <t>2.5.2-1823.45</t>
  </si>
  <si>
    <t>2.9.1-6956.44</t>
  </si>
  <si>
    <t>ARTICULOS DE TOCADOR; TIPO: CREMA DE ENJUAGUE, PRESENTACION: ENVASE X 200 mL</t>
  </si>
  <si>
    <t>2.9.1-6956.26</t>
  </si>
  <si>
    <t>ARTICULOS DE TOCADOR; TIPO: CREMA DE ENJUAGUE, PRESENTACION: ENVASE X 1 L</t>
  </si>
  <si>
    <t>2.9.1-1164.27</t>
  </si>
  <si>
    <t>2.9.1-6956.116</t>
  </si>
  <si>
    <t>ARTICULOS DE TOCADOR; TIPO: DESODORANTE PERSONAL, PRESENTACION: ENVASE X 170 mL</t>
  </si>
  <si>
    <t>2.5.4-506.47</t>
  </si>
  <si>
    <t>INSECTICIDAS; PRESENTACION: ESPIRAL X 4 UN, CAPACIDAD: 4 UNIDADES, ACCION: SIN VALOR, PRINCIPIO ACTIVO: SIN VALOR, CONTROL: MOSCAS Y MOSQUITOS, USO P/CONTROL: MOSCAS Y MOSQUITOS</t>
  </si>
  <si>
    <t>2.5.4-5668.6</t>
  </si>
  <si>
    <t>QUIMICOS</t>
  </si>
  <si>
    <t>REPELENTES; TIPO: INSECTOS, PRESENTACION: ENVASE X 165 CM3</t>
  </si>
  <si>
    <t>2.9.1-6961.6</t>
  </si>
  <si>
    <t>ELEM. P/LIMPIEZA SANITARIOS; TIPO: PASTILLA DESODORANTE, PRESENTACION: UNIDAD</t>
  </si>
  <si>
    <t>2.9.2-322.35</t>
  </si>
  <si>
    <t>LIBRERIA,PAP. Y UTILES OFICINA</t>
  </si>
  <si>
    <t>2.9.2</t>
  </si>
  <si>
    <t>2.9.5-428.26</t>
  </si>
  <si>
    <t>BARBIJOS; TIPO: RECTANGULAR, MATERIAL: POLIPROPILENO, CANTIDAD DE CAPAS: 2, DESCARTABLE: SI, PRESENTACION: ENVASE X 50 UN</t>
  </si>
  <si>
    <t>2.9.5-5697.20</t>
  </si>
  <si>
    <t>2.3.4-1119.99</t>
  </si>
  <si>
    <t>2.4.3-2335.1</t>
  </si>
  <si>
    <t>2.9.1-1156.3</t>
  </si>
  <si>
    <t>2.9.9-2266.1</t>
  </si>
  <si>
    <t>BAZAR Y MENAJE</t>
  </si>
  <si>
    <t>2.9.3-9785.23</t>
  </si>
  <si>
    <t>ELECTRICIDAD Y TELEFONIA</t>
  </si>
  <si>
    <t>2.9.5-470.9</t>
  </si>
  <si>
    <t>ALGODONES; CAPACIDAD: 150 GR, TIPO: COMUN, PRESENTACION: ENVASE X 150 GR</t>
  </si>
  <si>
    <t>Caseros Nº 1001 Barrio Centro (Casa Cuna)</t>
  </si>
  <si>
    <t>Pasaje Hernando de Pedraza S/Nº</t>
  </si>
  <si>
    <t>Pasaje los Agüeros S/Nº- Bº Villa Parque Chacabuco</t>
  </si>
  <si>
    <t>Avenida Belgrano Nº 750</t>
  </si>
  <si>
    <t>Avenida Alem Nº 908</t>
  </si>
  <si>
    <t>Manuel de Zalazar S/Nº Santa Rosa, Valle Viejo</t>
  </si>
  <si>
    <t>11 de Septiembre S/N - Dpto Belen</t>
  </si>
  <si>
    <t>Presidente Peron Esq. Ruchelly- Dpto Tinogasta</t>
  </si>
  <si>
    <t xml:space="preserve">REPUBLICA DE VENEZUELA S/N CAPE (CENTRO ADMINISTRATIVO DEL PODER EJECUTIVO) PABELLON 24  </t>
  </si>
  <si>
    <t xml:space="preserve">Barro Libertador II Peatonal 16 Avenida Ahumada y Barros esquina </t>
  </si>
  <si>
    <t>Avenida Virgen del Valle Norte esquina Calle Los Tilos</t>
  </si>
  <si>
    <t>Calle Araucarias esquina Las Orquides Barrio Los Ceibos</t>
  </si>
  <si>
    <t>Calle Francia entre España y Av. San Juan Bautista Casa Nº 47 Bº 100 vv Norte</t>
  </si>
  <si>
    <t>Caseros Nº 1001 Barrio Centro (Anexo Casa Cuna)</t>
  </si>
  <si>
    <t>Pabellon 24 CAPE (ExRegimiento)</t>
  </si>
  <si>
    <t>Barro Libertador II Peatonal 16 Avenida Ahumada y Barros esqui</t>
  </si>
  <si>
    <t>ANEXO DE DISTRIBUCION CONTROL</t>
  </si>
  <si>
    <r>
      <rPr>
        <b/>
        <u/>
        <sz val="11"/>
        <color theme="1"/>
        <rFont val="Calibri"/>
        <family val="2"/>
        <scheme val="minor"/>
      </rPr>
      <t>Mantenimiento de Oferta:</t>
    </r>
    <r>
      <rPr>
        <sz val="11"/>
        <color theme="1"/>
        <rFont val="Calibri"/>
        <family val="2"/>
        <scheme val="minor"/>
      </rPr>
      <t xml:space="preserve"> 90 DÍAS</t>
    </r>
  </si>
  <si>
    <t xml:space="preserve">TRAPO FRANELA 100 % ALGODÓN </t>
  </si>
  <si>
    <t xml:space="preserve">TALCO DE TOCADOR PARA NIÑOS </t>
  </si>
  <si>
    <t xml:space="preserve"> Item N° 50:</t>
  </si>
  <si>
    <t xml:space="preserve"> Item N° 51:</t>
  </si>
  <si>
    <t xml:space="preserve"> Item N° 52:</t>
  </si>
  <si>
    <t xml:space="preserve"> Item N° 53:</t>
  </si>
  <si>
    <t xml:space="preserve"> Item N° 54:</t>
  </si>
  <si>
    <t xml:space="preserve"> Item N° 55:</t>
  </si>
  <si>
    <t xml:space="preserve"> Item N° 56:</t>
  </si>
  <si>
    <t xml:space="preserve"> Item N° 57:</t>
  </si>
  <si>
    <t xml:space="preserve"> Item N° 58:</t>
  </si>
  <si>
    <t xml:space="preserve"> Item N° 59:</t>
  </si>
  <si>
    <t xml:space="preserve"> Item N° 60:</t>
  </si>
  <si>
    <t xml:space="preserve"> Item N° 61:</t>
  </si>
  <si>
    <t xml:space="preserve"> Item N° 62:</t>
  </si>
  <si>
    <t xml:space="preserve"> Item N° 63:</t>
  </si>
  <si>
    <t xml:space="preserve"> Item N° 64:</t>
  </si>
  <si>
    <t xml:space="preserve"> Item N° 65:</t>
  </si>
  <si>
    <t xml:space="preserve"> Item N° 66:</t>
  </si>
  <si>
    <t xml:space="preserve"> Item N° 67:</t>
  </si>
  <si>
    <t xml:space="preserve"> Item N° 68:</t>
  </si>
  <si>
    <t xml:space="preserve"> Item N° 69:</t>
  </si>
  <si>
    <t xml:space="preserve"> Item N° 70:</t>
  </si>
  <si>
    <t xml:space="preserve"> Item N° 71:</t>
  </si>
  <si>
    <t xml:space="preserve"> Item N° 72:</t>
  </si>
  <si>
    <t xml:space="preserve"> Item N° 73:</t>
  </si>
  <si>
    <t xml:space="preserve"> Item N° 74:</t>
  </si>
  <si>
    <t xml:space="preserve"> Item N° 75:</t>
  </si>
  <si>
    <t xml:space="preserve"> Item N° 76:</t>
  </si>
  <si>
    <t xml:space="preserve"> Item N° 77:</t>
  </si>
  <si>
    <t xml:space="preserve"> Item N° 78:</t>
  </si>
  <si>
    <t xml:space="preserve"> Item N° 79:</t>
  </si>
  <si>
    <t xml:space="preserve"> Item N° 80:</t>
  </si>
  <si>
    <t xml:space="preserve"> Item N° 81:</t>
  </si>
  <si>
    <t>*SE REALIZA LA ENTREGA DE 209 UNIDADES MENSUALES (DISTRIBUIDOS SEGÚN DETALLE PARA CADA INSTITUCION)  LO QUE HACE UNA SUMA DE 627 UNIDADES  TRIMESTRALES</t>
  </si>
  <si>
    <t>*SE REALIZA LA ENTREGA DE 84 UNIDADES MENSUALES (DISTRIBUIDOS SEGÚN DETALLE PARA CADA INSTITUCION)  LO QUE HACE UNA SUMA DE 252 UNIDADES  TRIMESTRALES</t>
  </si>
  <si>
    <t>*SE REALIZA LA ENTREGA DE 134 UNIDADES MENSUALES (DISTRIBUIDOS SEGÚN DETALLE PARA CADA INSTITUCION)  LO QUE HACE UNA SUMA DE 402 UNIDADES  TRIMESTRALES</t>
  </si>
  <si>
    <t>*SE REALIZA LA ENTREGA DE 192 UNIDADES MENSUALES (DISTRIBUIDOS SEGÚN DETALLE PARA CADA INSTITUCION)  LO QUE HACE UNA SUMA DE 576 UNIDADES TRIMESTRALES</t>
  </si>
  <si>
    <t>*SE REALIZA LA ENTREGA DE 142 UNIDADAES MENSUALES (DISTRIBUIDOS SEGÚN DETALLE PARA CADA INSTITUCION)  LO QUE HACE UNA SUMA DE 426 UNIDADES TRIMESTRALES</t>
  </si>
  <si>
    <t>*SE REALIZA LA ENTREGA DE 70 UNIDADES MENSUALES (DISTRIBUIDOS SEGÚN DETALLE PARA CADA INSTITUCION)  LO QUE HACE UNA SUMA DE 210 UNIDADES TRIMESTRALES</t>
  </si>
  <si>
    <t>*SE REALIZA LA ENTREGA DE 40 UNIDADES MENSUALES (DISTRIBUIDOS SEGÚN DETALLE PARA CADA INSTITUCION)  LO QUE HACE UNA SUMA DE 120 ENVASES TRIMESTRALES</t>
  </si>
  <si>
    <t>*SE REALIZA LA ENTREGA DE 60 UNIDADES MENSUALES (DISTRIBUIDOS SEGÚN DETALLE PARA CADA INSTITUCION)  LO QUE HACE UNA SUMA DE 180 UNIDADES TRIMESTRALES</t>
  </si>
  <si>
    <t>*SE REALIZA LA ENTREGA DE 63 UNIDADES MENSUALES (DISTRIBUIDOS SEGÚN DETALLE PARA CADA INSTITUCION)  LO QUE HACE UNA SUMA DE 189 UNIDADES TRIMESTRALES</t>
  </si>
  <si>
    <t>*SE REALIZA LA ENTREGA DE 69 UNIDADES MENSUALES (DISTRIBUIDOS SEGÚN DETALLE PARA CADA INSTITUCION)  LO QUE HACE UNA SUMA DE 207 UNIDADES TRIMESTRALES</t>
  </si>
  <si>
    <t>*SE REALIZA LA ENTREGA DE 99 UNIDADES MENSUALES (DISTRIBUIDOS SEGÚN DETALLE PARA CADA INSTITUCION)  LO QUE HACE UNA SUMA DE 297 UNIDADES TRIMESTRALES</t>
  </si>
  <si>
    <t>*SE REALIZA LA ENTREGA DE 50 UNIDADES MENSUALES (DISTRIBUIDOS SEGÚN DETALLE PARA CADA INSTITUCION)  LO QUE HACE UNA SUMA DE 150 UNIDADES TRIMESTRALES</t>
  </si>
  <si>
    <t>*SE REALIZA LA ENTREGA DE 52 UNIDADES MENSUALES (DISTRIBUIDOS SEGÚN DETALLE PARA CADA INSTITUCION)  LO QUE HACE UNA SUMA DE 156 UNIDADES TRIMESTRALES</t>
  </si>
  <si>
    <t>*SE REALIZA LA ENTREGA DE 32 UNIDADES MENSUALES (DISTRIBUIDOS SEGÚN DETALLE PARA CADA INSTITUCION)  LO QUE HACE UNA SUMA DE 96 UNIDADES TRIMESTRALES</t>
  </si>
  <si>
    <t>*SE REALIZA LA ENTREGA DE 6 UNIDADES MENSUALES (DISTRIBUIDOS SEGÚN DETALLE PARA CADA INSTITUCION)  LO QUE HACE UNA SUMA DE 18 UNIDADES TRIMESTRALES</t>
  </si>
  <si>
    <t>*SE REALIZA LA ENTREGA DE 16 UNIDADES MENSUALES (DISTRIBUIDOS SEGÚN DETALLE PARA CADA INSTITUCION)  LO QUE HACE UNA SUMA DE 48 UNIDADES TRIMESTRALES</t>
  </si>
  <si>
    <t>*SE REALIZA LA ENTREGA DE 48 UNIDADES MENSUALES (DISTRIBUIDOS SEGÚN DETALLE PARA CADA INSTITUCION)  LO QUE HACE UNA SUMA DE 144 UNIDADES TRIMESTRALES</t>
  </si>
  <si>
    <t>*SE REALIZA LA ENTREGA DE 12 UNIDADES MENSUALES (DISTRIBUIDOS SEGÚN DETALLE PARA CADA INSTITUCION)  LO QUE HACE UNA SUMA DE 36 UNIDADES TRIMESTRALES</t>
  </si>
  <si>
    <t>*SE REALIZA LA ENTREGA DE 19 UNIDADES MENSUALES (DISTRIBUIDOS SEGÚN DETALLE PARA CADA INSTITUCION)  LO QUE HACE UNA SUMA DE 57 UNIDADES TRIMESTRALES</t>
  </si>
  <si>
    <t>*SE REALIZA LA ENTREGA DE 30 UNIDADES MENSUALES (DISTRIBUIDOS SEGÚN DETALLE PARA CADA INSTITUCION)  LO QUE HACE UNA SUMA DE 90 UNIDADES TRIMESTRALES</t>
  </si>
  <si>
    <t>*SE REALIZA LA ENTREGA DE 42 UNIDADES MENSUALES (DISTRIBUIDOS SEGÚN DETALLE PARA CADA INSTITUCION)  LO QUE HACE UNA SUMA DE 126 UNIDADES TRIMESTRALES</t>
  </si>
  <si>
    <t>*SE REALIZA LA ENTREGA DE 24 UNIDADES MENSUALES (DISTRIBUIDOS SEGÚN DETALLE PARA CADA INSTITUCION)  LO QUE HACE UNA SUMA DE 72 UNIDADES TRIMESTRALES</t>
  </si>
  <si>
    <t>*SE REALIZA LA ENTREGA DE 44 UNIDADES MENSUALES (DISTRIBUIDOS SEGÚN DETALLE PARA CADA INSTITUCION)  LO QUE HACE UNA SUMA DE 132 UNIDADES TRIMESTRALES</t>
  </si>
  <si>
    <t>*SE REALIZA LA ENTREGA DE 46 UNIDADES MENSUALES (DISTRIBUIDOS SEGÚN DETALLE PARA CADA INSTITUCION)  LO QUE HACE UNA SUMA DE 138 UNIDADES TRIMESTRALES</t>
  </si>
  <si>
    <t>*SE REALIZA LA ENTREGA DE 8 UNIDADES MENSUALES (DISTRIBUIDOS SEGÚN DETALLE PARA CADA INSTITUCION)  LO QUE HACE UNA SUMA DE 24 UNIDADES TRIMESTRALES</t>
  </si>
  <si>
    <t>*SE REALIZA LA ENTREGA DE 10 UNIDADES MENSUALES (DISTRIBUIDOS SEGÚN DETALLE PARA CADA INSTITUCION)  LO QUE HACE UNA SUMA DE 30 UNIDADES TRIMESTRALES</t>
  </si>
  <si>
    <t>*SE REALIZA LA ENTREGA DE 4 UNIDADES MENSUALES (DISTRIBUIDOS SEGÚN DETALLE PARA CADA INSTITUCION)  LO QUE HACE UNA SUMA DE 12 UNIDADES TRIMESTRALES</t>
  </si>
  <si>
    <t>*SE REALIZA LA ENTREGA DE 2 UNIDADES MENSUALES (DISTRIBUIDOS SEGÚN DETALLE PARA CADA INSTITUCION)  LO QUE HACE UNA SUMA DE 6 UNIDADES TRIMESTRALES</t>
  </si>
  <si>
    <t>*SE REALIZA LA ENTREGA DE 76 UNIDADES MENSUALES (DISTRIBUIDOS SEGÚN DETALLE PARA CADA INSTITUCION)  LO QUE HACE UNA SUMA DE 228 UNIDADES TRIMESTRALES</t>
  </si>
  <si>
    <t>*SE REALIZA LA ENTREGA DE 1 UNIDAD MENSUALES (DISTRIBUIDOS SEGÚN DETALLE PARA CADA INSTITUCION)  LO QUE HACE UNA SUMA DE 3 UNIDADES TRIMESTRALES</t>
  </si>
  <si>
    <t>*SE REALIZA LA ENTREGA DE 43 UNIDADES MENSUALES (DISTRIBUIDOS SEGÚN DETALLE PARA CADA INSTITUCION)  LO QUE HACE UNA SUMA DE 129 UNIDADES TRIMESTRALES</t>
  </si>
  <si>
    <t xml:space="preserve"> DESODORANTES DE AMBIENTE LIQUIDO FRAGANCIA AIRE FRESCO EN BIDON X 5 LTS</t>
  </si>
  <si>
    <t xml:space="preserve"> DESENGRASANTE LIQUIDO EN BIDON X 5 LTS </t>
  </si>
  <si>
    <t>TDESINFECTANTE EN AEROSOL TIPO LYSOFORM</t>
  </si>
  <si>
    <t xml:space="preserve"> LAMPAZO PARA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</si>
</sst>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\ #,##0.00"/>
    <numFmt numFmtId="165" formatCode="[$$-2C0A]\ #,##0.00;[$$-2C0A]&quot; -&quot;#,##0.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  <charset val="1"/>
    </font>
    <font>
      <sz val="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3" fillId="0" borderId="0"/>
    <xf numFmtId="44" fontId="13" fillId="0" borderId="0" applyFont="0" applyFill="0" applyBorder="0" applyAlignment="0" applyProtection="0"/>
  </cellStyleXfs>
  <cellXfs count="204">
    <xf numFmtId="0" fontId="0" fillId="0" borderId="0" xfId="0"/>
    <xf numFmtId="0" fontId="0" fillId="0" borderId="0" xfId="0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" fillId="0" borderId="25" xfId="0" applyFont="1" applyBorder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4" fillId="0" borderId="26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164" fontId="0" fillId="4" borderId="17" xfId="0" applyNumberFormat="1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43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4" borderId="36" xfId="0" applyFill="1" applyBorder="1" applyAlignment="1">
      <alignment horizontal="left" vertical="center" wrapText="1"/>
    </xf>
    <xf numFmtId="0" fontId="0" fillId="4" borderId="43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4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vertical="center"/>
    </xf>
    <xf numFmtId="0" fontId="10" fillId="5" borderId="4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right" vertical="center"/>
    </xf>
    <xf numFmtId="0" fontId="5" fillId="3" borderId="34" xfId="0" applyFont="1" applyFill="1" applyBorder="1" applyAlignment="1">
      <alignment horizontal="right" vertical="center"/>
    </xf>
    <xf numFmtId="0" fontId="5" fillId="3" borderId="36" xfId="0" applyFont="1" applyFill="1" applyBorder="1" applyAlignment="1">
      <alignment horizontal="right" vertical="center"/>
    </xf>
    <xf numFmtId="0" fontId="12" fillId="0" borderId="0" xfId="0" applyFont="1"/>
    <xf numFmtId="0" fontId="0" fillId="4" borderId="38" xfId="0" applyFill="1" applyBorder="1" applyAlignment="1">
      <alignment horizontal="center" vertical="center"/>
    </xf>
    <xf numFmtId="0" fontId="4" fillId="0" borderId="46" xfId="0" applyFont="1" applyBorder="1" applyAlignment="1">
      <alignment vertical="center" wrapText="1"/>
    </xf>
    <xf numFmtId="0" fontId="0" fillId="5" borderId="38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45" xfId="0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0" fontId="14" fillId="0" borderId="15" xfId="1" applyFont="1" applyBorder="1" applyAlignment="1">
      <alignment vertical="center"/>
    </xf>
    <xf numFmtId="0" fontId="14" fillId="4" borderId="15" xfId="0" applyFont="1" applyFill="1" applyBorder="1" applyAlignment="1">
      <alignment vertical="center"/>
    </xf>
    <xf numFmtId="0" fontId="14" fillId="0" borderId="15" xfId="0" applyFont="1" applyBorder="1" applyAlignment="1">
      <alignment horizontal="left" vertical="center" wrapText="1"/>
    </xf>
    <xf numFmtId="0" fontId="14" fillId="4" borderId="47" xfId="0" applyFont="1" applyFill="1" applyBorder="1" applyAlignment="1">
      <alignment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4" borderId="15" xfId="0" applyFont="1" applyFill="1" applyBorder="1" applyAlignment="1">
      <alignment horizontal="left" vertical="center" wrapText="1"/>
    </xf>
    <xf numFmtId="0" fontId="14" fillId="4" borderId="47" xfId="0" applyFont="1" applyFill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4" borderId="15" xfId="0" applyFont="1" applyFill="1" applyBorder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6" fillId="2" borderId="1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14" fillId="0" borderId="47" xfId="0" applyFont="1" applyBorder="1" applyAlignment="1">
      <alignment vertical="center" wrapText="1"/>
    </xf>
    <xf numFmtId="0" fontId="15" fillId="0" borderId="48" xfId="0" applyFont="1" applyFill="1" applyBorder="1" applyAlignment="1">
      <alignment vertical="center" wrapText="1"/>
    </xf>
    <xf numFmtId="3" fontId="14" fillId="4" borderId="49" xfId="0" applyNumberFormat="1" applyFont="1" applyFill="1" applyBorder="1" applyAlignment="1">
      <alignment horizontal="center" vertical="center"/>
    </xf>
    <xf numFmtId="3" fontId="14" fillId="4" borderId="15" xfId="0" applyNumberFormat="1" applyFont="1" applyFill="1" applyBorder="1" applyAlignment="1">
      <alignment horizontal="center" vertical="center"/>
    </xf>
    <xf numFmtId="3" fontId="14" fillId="0" borderId="15" xfId="0" applyNumberFormat="1" applyFont="1" applyBorder="1" applyAlignment="1">
      <alignment horizontal="center" vertical="center"/>
    </xf>
    <xf numFmtId="3" fontId="14" fillId="4" borderId="47" xfId="0" applyNumberFormat="1" applyFont="1" applyFill="1" applyBorder="1" applyAlignment="1">
      <alignment horizontal="center" vertical="center"/>
    </xf>
    <xf numFmtId="3" fontId="14" fillId="0" borderId="47" xfId="0" applyNumberFormat="1" applyFont="1" applyBorder="1" applyAlignment="1">
      <alignment horizontal="center" vertical="center"/>
    </xf>
    <xf numFmtId="3" fontId="19" fillId="4" borderId="15" xfId="0" applyNumberFormat="1" applyFont="1" applyFill="1" applyBorder="1" applyAlignment="1">
      <alignment horizontal="center" vertical="center"/>
    </xf>
    <xf numFmtId="3" fontId="14" fillId="0" borderId="16" xfId="0" applyNumberFormat="1" applyFont="1" applyBorder="1" applyAlignment="1">
      <alignment horizontal="center" vertical="center"/>
    </xf>
    <xf numFmtId="3" fontId="0" fillId="0" borderId="0" xfId="0" applyNumberFormat="1"/>
    <xf numFmtId="0" fontId="0" fillId="4" borderId="9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14" xfId="0" applyFont="1" applyBorder="1" applyAlignment="1">
      <alignment vertical="center" wrapText="1"/>
    </xf>
    <xf numFmtId="0" fontId="0" fillId="5" borderId="2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3" fontId="14" fillId="0" borderId="15" xfId="0" applyNumberFormat="1" applyFont="1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0" fillId="3" borderId="0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37" xfId="0" applyFill="1" applyBorder="1" applyAlignment="1">
      <alignment horizontal="left" vertical="center"/>
    </xf>
    <xf numFmtId="0" fontId="14" fillId="0" borderId="49" xfId="0" applyFont="1" applyBorder="1" applyAlignment="1">
      <alignment vertical="center"/>
    </xf>
    <xf numFmtId="0" fontId="14" fillId="0" borderId="49" xfId="0" applyFont="1" applyBorder="1" applyAlignment="1">
      <alignment horizontal="center" vertical="center"/>
    </xf>
    <xf numFmtId="165" fontId="20" fillId="0" borderId="49" xfId="2" applyNumberFormat="1" applyFont="1" applyFill="1" applyBorder="1" applyAlignment="1" applyProtection="1">
      <alignment horizontal="right" vertical="center" wrapText="1"/>
    </xf>
    <xf numFmtId="0" fontId="14" fillId="0" borderId="35" xfId="0" applyFont="1" applyBorder="1" applyAlignment="1">
      <alignment vertical="center"/>
    </xf>
    <xf numFmtId="0" fontId="14" fillId="0" borderId="36" xfId="0" applyFont="1" applyBorder="1" applyAlignment="1">
      <alignment vertical="center"/>
    </xf>
    <xf numFmtId="0" fontId="14" fillId="0" borderId="15" xfId="0" applyFont="1" applyBorder="1" applyAlignment="1">
      <alignment horizontal="center" vertical="center"/>
    </xf>
    <xf numFmtId="0" fontId="14" fillId="0" borderId="50" xfId="0" applyFont="1" applyBorder="1" applyAlignment="1">
      <alignment vertical="center"/>
    </xf>
    <xf numFmtId="165" fontId="20" fillId="0" borderId="15" xfId="2" applyNumberFormat="1" applyFont="1" applyFill="1" applyBorder="1" applyAlignment="1" applyProtection="1">
      <alignment horizontal="right" vertical="center" wrapText="1"/>
    </xf>
    <xf numFmtId="0" fontId="14" fillId="0" borderId="15" xfId="0" applyFont="1" applyFill="1" applyBorder="1" applyAlignment="1">
      <alignment vertical="center"/>
    </xf>
    <xf numFmtId="0" fontId="14" fillId="0" borderId="17" xfId="0" applyFont="1" applyFill="1" applyBorder="1" applyAlignment="1">
      <alignment vertical="center"/>
    </xf>
    <xf numFmtId="0" fontId="14" fillId="4" borderId="17" xfId="0" applyFont="1" applyFill="1" applyBorder="1" applyAlignment="1">
      <alignment horizontal="left" vertical="center" wrapText="1"/>
    </xf>
    <xf numFmtId="0" fontId="14" fillId="4" borderId="15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165" fontId="20" fillId="4" borderId="15" xfId="2" applyNumberFormat="1" applyFont="1" applyFill="1" applyBorder="1" applyAlignment="1" applyProtection="1">
      <alignment horizontal="right" vertical="center" wrapText="1"/>
    </xf>
    <xf numFmtId="0" fontId="14" fillId="0" borderId="17" xfId="0" applyFont="1" applyBorder="1" applyAlignment="1">
      <alignment vertical="center"/>
    </xf>
    <xf numFmtId="0" fontId="14" fillId="0" borderId="0" xfId="0" applyFont="1" applyAlignment="1">
      <alignment vertical="center"/>
    </xf>
    <xf numFmtId="165" fontId="20" fillId="4" borderId="47" xfId="2" applyNumberFormat="1" applyFont="1" applyFill="1" applyBorder="1" applyAlignment="1" applyProtection="1">
      <alignment horizontal="right" vertical="center" wrapText="1"/>
    </xf>
    <xf numFmtId="0" fontId="14" fillId="4" borderId="47" xfId="0" applyFont="1" applyFill="1" applyBorder="1" applyAlignment="1">
      <alignment vertical="center"/>
    </xf>
    <xf numFmtId="0" fontId="14" fillId="4" borderId="47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0" fontId="14" fillId="0" borderId="47" xfId="0" applyFont="1" applyBorder="1" applyAlignment="1">
      <alignment vertical="center"/>
    </xf>
    <xf numFmtId="0" fontId="14" fillId="0" borderId="47" xfId="0" applyFont="1" applyFill="1" applyBorder="1" applyAlignment="1">
      <alignment vertical="center"/>
    </xf>
    <xf numFmtId="0" fontId="14" fillId="0" borderId="47" xfId="0" applyFont="1" applyFill="1" applyBorder="1" applyAlignment="1">
      <alignment horizontal="center" vertical="center" wrapText="1"/>
    </xf>
    <xf numFmtId="165" fontId="20" fillId="0" borderId="47" xfId="2" applyNumberFormat="1" applyFont="1" applyFill="1" applyBorder="1" applyAlignment="1" applyProtection="1">
      <alignment horizontal="right" vertical="center" wrapText="1"/>
    </xf>
    <xf numFmtId="0" fontId="14" fillId="0" borderId="15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165" fontId="20" fillId="0" borderId="17" xfId="2" applyNumberFormat="1" applyFont="1" applyFill="1" applyBorder="1" applyAlignment="1" applyProtection="1">
      <alignment horizontal="right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vertical="center"/>
    </xf>
    <xf numFmtId="0" fontId="14" fillId="0" borderId="16" xfId="0" applyFont="1" applyFill="1" applyBorder="1" applyAlignment="1">
      <alignment vertical="center"/>
    </xf>
    <xf numFmtId="0" fontId="14" fillId="0" borderId="16" xfId="0" applyFont="1" applyFill="1" applyBorder="1" applyAlignment="1">
      <alignment horizontal="center" vertical="center" wrapText="1"/>
    </xf>
    <xf numFmtId="0" fontId="15" fillId="0" borderId="48" xfId="0" applyFont="1" applyFill="1" applyBorder="1" applyAlignment="1">
      <alignment vertical="center"/>
    </xf>
    <xf numFmtId="165" fontId="20" fillId="0" borderId="16" xfId="2" applyNumberFormat="1" applyFont="1" applyFill="1" applyBorder="1" applyAlignment="1" applyProtection="1">
      <alignment horizontal="right" vertical="center" wrapText="1"/>
    </xf>
    <xf numFmtId="0" fontId="0" fillId="3" borderId="29" xfId="0" applyFill="1" applyBorder="1" applyAlignment="1">
      <alignment horizontal="left"/>
    </xf>
    <xf numFmtId="0" fontId="0" fillId="3" borderId="40" xfId="0" applyFill="1" applyBorder="1" applyAlignment="1">
      <alignment horizontal="left"/>
    </xf>
    <xf numFmtId="3" fontId="0" fillId="0" borderId="0" xfId="0" applyNumberFormat="1" applyAlignment="1">
      <alignment horizontal="center" vertical="center"/>
    </xf>
    <xf numFmtId="0" fontId="15" fillId="3" borderId="9" xfId="0" applyFont="1" applyFill="1" applyBorder="1" applyAlignment="1">
      <alignment horizontal="left"/>
    </xf>
    <xf numFmtId="0" fontId="15" fillId="3" borderId="10" xfId="0" applyFont="1" applyFill="1" applyBorder="1" applyAlignment="1">
      <alignment horizontal="left"/>
    </xf>
    <xf numFmtId="0" fontId="15" fillId="3" borderId="8" xfId="0" applyFont="1" applyFill="1" applyBorder="1" applyAlignment="1">
      <alignment horizontal="left"/>
    </xf>
    <xf numFmtId="0" fontId="15" fillId="3" borderId="1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0" fontId="15" fillId="3" borderId="3" xfId="0" applyFont="1" applyFill="1" applyBorder="1" applyAlignment="1">
      <alignment horizontal="left"/>
    </xf>
    <xf numFmtId="0" fontId="15" fillId="3" borderId="43" xfId="0" applyFont="1" applyFill="1" applyBorder="1" applyAlignment="1">
      <alignment horizontal="left"/>
    </xf>
    <xf numFmtId="0" fontId="15" fillId="3" borderId="20" xfId="0" applyFont="1" applyFill="1" applyBorder="1" applyAlignment="1">
      <alignment horizontal="left"/>
    </xf>
    <xf numFmtId="0" fontId="2" fillId="3" borderId="41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0" fillId="3" borderId="0" xfId="0" applyFill="1" applyBorder="1" applyAlignment="1">
      <alignment horizontal="left" vertical="center"/>
    </xf>
    <xf numFmtId="0" fontId="0" fillId="3" borderId="35" xfId="0" applyFill="1" applyBorder="1" applyAlignment="1">
      <alignment horizontal="left" vertical="center"/>
    </xf>
    <xf numFmtId="0" fontId="0" fillId="3" borderId="28" xfId="0" applyFill="1" applyBorder="1" applyAlignment="1">
      <alignment horizontal="left" vertical="center"/>
    </xf>
    <xf numFmtId="0" fontId="0" fillId="3" borderId="33" xfId="0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0" fillId="3" borderId="53" xfId="0" applyFill="1" applyBorder="1" applyAlignment="1">
      <alignment horizontal="left"/>
    </xf>
    <xf numFmtId="0" fontId="0" fillId="3" borderId="48" xfId="0" applyFill="1" applyBorder="1" applyAlignment="1">
      <alignment horizontal="left"/>
    </xf>
    <xf numFmtId="0" fontId="0" fillId="3" borderId="54" xfId="0" applyFill="1" applyBorder="1" applyAlignment="1">
      <alignment horizontal="left"/>
    </xf>
    <xf numFmtId="0" fontId="0" fillId="3" borderId="51" xfId="0" applyFill="1" applyBorder="1" applyAlignment="1">
      <alignment horizontal="left"/>
    </xf>
    <xf numFmtId="0" fontId="0" fillId="3" borderId="52" xfId="0" applyFill="1" applyBorder="1" applyAlignment="1">
      <alignment horizontal="left"/>
    </xf>
    <xf numFmtId="0" fontId="0" fillId="3" borderId="39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3" borderId="40" xfId="0" applyFill="1" applyBorder="1" applyAlignment="1">
      <alignment horizontal="left" vertical="center" wrapText="1"/>
    </xf>
    <xf numFmtId="0" fontId="0" fillId="3" borderId="36" xfId="0" applyFill="1" applyBorder="1" applyAlignment="1">
      <alignment horizontal="left" vertical="center" wrapText="1"/>
    </xf>
    <xf numFmtId="0" fontId="0" fillId="3" borderId="30" xfId="0" applyFill="1" applyBorder="1" applyAlignment="1">
      <alignment horizontal="left" vertical="center" wrapText="1"/>
    </xf>
    <xf numFmtId="0" fontId="0" fillId="3" borderId="37" xfId="0" applyFill="1" applyBorder="1" applyAlignment="1">
      <alignment horizontal="left" vertical="center" wrapText="1"/>
    </xf>
    <xf numFmtId="0" fontId="15" fillId="3" borderId="23" xfId="0" applyFont="1" applyFill="1" applyBorder="1" applyAlignment="1">
      <alignment horizontal="left"/>
    </xf>
    <xf numFmtId="0" fontId="15" fillId="3" borderId="24" xfId="0" applyFont="1" applyFill="1" applyBorder="1" applyAlignment="1">
      <alignment horizontal="left"/>
    </xf>
    <xf numFmtId="0" fontId="0" fillId="3" borderId="43" xfId="0" applyFill="1" applyBorder="1" applyAlignment="1">
      <alignment horizontal="left"/>
    </xf>
    <xf numFmtId="0" fontId="2" fillId="3" borderId="43" xfId="0" applyFont="1" applyFill="1" applyBorder="1" applyAlignment="1">
      <alignment horizontal="left"/>
    </xf>
    <xf numFmtId="0" fontId="2" fillId="3" borderId="51" xfId="0" applyFont="1" applyFill="1" applyBorder="1" applyAlignment="1">
      <alignment horizontal="left"/>
    </xf>
    <xf numFmtId="0" fontId="2" fillId="3" borderId="52" xfId="0" applyFont="1" applyFill="1" applyBorder="1" applyAlignment="1">
      <alignment horizontal="left"/>
    </xf>
    <xf numFmtId="0" fontId="7" fillId="4" borderId="0" xfId="0" applyFont="1" applyFill="1" applyAlignment="1">
      <alignment horizontal="right"/>
    </xf>
    <xf numFmtId="0" fontId="6" fillId="4" borderId="0" xfId="0" applyFont="1" applyFill="1" applyAlignment="1">
      <alignment horizontal="left" vertical="center"/>
    </xf>
    <xf numFmtId="0" fontId="6" fillId="3" borderId="41" xfId="0" applyFont="1" applyFill="1" applyBorder="1" applyAlignment="1">
      <alignment horizontal="center"/>
    </xf>
    <xf numFmtId="0" fontId="6" fillId="3" borderId="42" xfId="0" applyFont="1" applyFill="1" applyBorder="1" applyAlignment="1">
      <alignment horizontal="center"/>
    </xf>
    <xf numFmtId="0" fontId="15" fillId="0" borderId="43" xfId="0" applyFont="1" applyBorder="1" applyAlignment="1">
      <alignment horizontal="left"/>
    </xf>
    <xf numFmtId="0" fontId="15" fillId="0" borderId="51" xfId="0" applyFont="1" applyBorder="1" applyAlignment="1">
      <alignment horizontal="left"/>
    </xf>
    <xf numFmtId="0" fontId="15" fillId="0" borderId="52" xfId="0" applyFont="1" applyBorder="1" applyAlignment="1">
      <alignment horizontal="left"/>
    </xf>
    <xf numFmtId="0" fontId="15" fillId="0" borderId="53" xfId="0" applyFont="1" applyBorder="1" applyAlignment="1">
      <alignment horizontal="left"/>
    </xf>
    <xf numFmtId="0" fontId="15" fillId="0" borderId="48" xfId="0" applyFont="1" applyBorder="1" applyAlignment="1">
      <alignment horizontal="left"/>
    </xf>
    <xf numFmtId="0" fontId="15" fillId="0" borderId="54" xfId="0" applyFont="1" applyBorder="1" applyAlignment="1">
      <alignment horizontal="left"/>
    </xf>
    <xf numFmtId="0" fontId="15" fillId="0" borderId="43" xfId="0" applyFont="1" applyBorder="1" applyAlignment="1">
      <alignment horizontal="left" wrapText="1"/>
    </xf>
    <xf numFmtId="0" fontId="15" fillId="0" borderId="51" xfId="0" applyFont="1" applyBorder="1" applyAlignment="1">
      <alignment horizontal="left" wrapText="1"/>
    </xf>
    <xf numFmtId="0" fontId="15" fillId="0" borderId="52" xfId="0" applyFont="1" applyBorder="1" applyAlignment="1">
      <alignment horizontal="left" wrapText="1"/>
    </xf>
    <xf numFmtId="0" fontId="15" fillId="0" borderId="8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5" fillId="0" borderId="55" xfId="0" applyFont="1" applyBorder="1" applyAlignment="1">
      <alignment horizontal="left" wrapText="1"/>
    </xf>
    <xf numFmtId="0" fontId="15" fillId="0" borderId="56" xfId="0" applyFont="1" applyBorder="1" applyAlignment="1">
      <alignment horizontal="left" wrapText="1"/>
    </xf>
    <xf numFmtId="0" fontId="15" fillId="0" borderId="57" xfId="0" applyFont="1" applyBorder="1" applyAlignment="1">
      <alignment horizontal="left" wrapText="1"/>
    </xf>
    <xf numFmtId="0" fontId="0" fillId="5" borderId="9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0" fillId="3" borderId="0" xfId="0" applyFont="1" applyFill="1" applyBorder="1" applyAlignment="1">
      <alignment horizontal="left" vertical="center" wrapText="1"/>
    </xf>
    <xf numFmtId="0" fontId="0" fillId="3" borderId="30" xfId="0" applyFill="1" applyBorder="1" applyAlignment="1">
      <alignment horizontal="left"/>
    </xf>
    <xf numFmtId="0" fontId="0" fillId="3" borderId="36" xfId="0" applyFill="1" applyBorder="1" applyAlignment="1">
      <alignment horizontal="left"/>
    </xf>
    <xf numFmtId="0" fontId="0" fillId="3" borderId="37" xfId="0" applyFill="1" applyBorder="1" applyAlignment="1">
      <alignment horizontal="left"/>
    </xf>
    <xf numFmtId="0" fontId="0" fillId="3" borderId="30" xfId="0" applyFont="1" applyFill="1" applyBorder="1" applyAlignment="1">
      <alignment horizontal="left" vertical="center"/>
    </xf>
  </cellXfs>
  <cellStyles count="3">
    <cellStyle name="Moneda" xfId="2" builtinId="4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4"/>
  <sheetViews>
    <sheetView workbookViewId="0">
      <selection activeCell="I131" sqref="I131"/>
    </sheetView>
  </sheetViews>
  <sheetFormatPr baseColWidth="10" defaultColWidth="10.7109375" defaultRowHeight="15" x14ac:dyDescent="0.25"/>
  <cols>
    <col min="1" max="1" width="3.85546875" customWidth="1"/>
    <col min="2" max="2" width="15.140625" customWidth="1"/>
    <col min="3" max="3" width="35.85546875" bestFit="1" customWidth="1"/>
    <col min="4" max="4" width="6.5703125" customWidth="1"/>
    <col min="5" max="5" width="74" customWidth="1"/>
    <col min="6" max="6" width="10" style="1" customWidth="1"/>
    <col min="7" max="7" width="10.28515625" style="1" customWidth="1"/>
    <col min="8" max="8" width="13.42578125" style="1" customWidth="1"/>
    <col min="9" max="9" width="15.28515625" style="1" customWidth="1"/>
  </cols>
  <sheetData>
    <row r="1" spans="1:10" ht="15" customHeight="1" x14ac:dyDescent="0.25">
      <c r="A1" s="13"/>
      <c r="B1" s="13"/>
      <c r="C1" s="150" t="s">
        <v>16</v>
      </c>
      <c r="D1" s="150"/>
      <c r="E1" s="150"/>
      <c r="F1" s="150"/>
      <c r="G1" s="14"/>
      <c r="H1" s="14"/>
      <c r="I1" s="14"/>
      <c r="J1" s="13"/>
    </row>
    <row r="2" spans="1:10" ht="15" customHeight="1" x14ac:dyDescent="0.25">
      <c r="A2" s="13"/>
      <c r="B2" s="13"/>
      <c r="C2" s="150"/>
      <c r="D2" s="150"/>
      <c r="E2" s="150"/>
      <c r="F2" s="150"/>
      <c r="G2" s="14"/>
      <c r="H2" s="14"/>
      <c r="I2" s="14"/>
      <c r="J2" s="13"/>
    </row>
    <row r="3" spans="1:10" ht="15.75" x14ac:dyDescent="0.25">
      <c r="A3" s="168" t="s">
        <v>0</v>
      </c>
      <c r="B3" s="168"/>
      <c r="C3" s="169" t="s">
        <v>1</v>
      </c>
      <c r="D3" s="169"/>
      <c r="E3" s="169"/>
      <c r="F3" s="14"/>
      <c r="G3" s="14"/>
      <c r="H3" s="14"/>
      <c r="I3" s="14"/>
      <c r="J3" s="13"/>
    </row>
    <row r="4" spans="1:10" ht="15.75" x14ac:dyDescent="0.25">
      <c r="A4" s="168" t="s">
        <v>2</v>
      </c>
      <c r="B4" s="168"/>
      <c r="C4" s="169" t="s">
        <v>3</v>
      </c>
      <c r="D4" s="169"/>
      <c r="E4" s="169"/>
      <c r="F4" s="14"/>
      <c r="G4" s="14"/>
      <c r="H4" s="14"/>
      <c r="I4" s="14"/>
      <c r="J4" s="13"/>
    </row>
    <row r="5" spans="1:10" ht="15.75" x14ac:dyDescent="0.25">
      <c r="A5" s="168" t="s">
        <v>4</v>
      </c>
      <c r="B5" s="168"/>
      <c r="C5" s="169">
        <v>2022</v>
      </c>
      <c r="D5" s="169"/>
      <c r="E5" s="169"/>
      <c r="F5" s="14"/>
      <c r="G5" s="14"/>
      <c r="H5" s="14"/>
      <c r="I5" s="14"/>
      <c r="J5" s="13"/>
    </row>
    <row r="6" spans="1:10" ht="15.75" x14ac:dyDescent="0.25">
      <c r="A6" s="168" t="s">
        <v>15</v>
      </c>
      <c r="B6" s="168"/>
      <c r="C6" s="169" t="s">
        <v>54</v>
      </c>
      <c r="D6" s="169"/>
      <c r="E6" s="169"/>
      <c r="F6" s="14"/>
      <c r="G6" s="14"/>
      <c r="H6" s="14"/>
      <c r="I6" s="14"/>
      <c r="J6" s="13"/>
    </row>
    <row r="7" spans="1:10" ht="15.75" thickBot="1" x14ac:dyDescent="0.3">
      <c r="A7" s="13"/>
      <c r="B7" s="13"/>
      <c r="C7" s="13"/>
      <c r="D7" s="13"/>
      <c r="E7" s="13"/>
      <c r="F7" s="14"/>
      <c r="G7" s="14"/>
      <c r="H7" s="14"/>
      <c r="I7" s="14"/>
      <c r="J7" s="13"/>
    </row>
    <row r="8" spans="1:10" ht="45.75" thickBot="1" x14ac:dyDescent="0.3">
      <c r="A8" s="40" t="s">
        <v>5</v>
      </c>
      <c r="B8" s="41" t="s">
        <v>6</v>
      </c>
      <c r="C8" s="42" t="s">
        <v>7</v>
      </c>
      <c r="D8" s="43" t="s">
        <v>8</v>
      </c>
      <c r="E8" s="40" t="s">
        <v>9</v>
      </c>
      <c r="F8" s="40" t="s">
        <v>10</v>
      </c>
      <c r="G8" s="41" t="s">
        <v>11</v>
      </c>
      <c r="H8" s="43" t="s">
        <v>12</v>
      </c>
      <c r="I8" s="40" t="s">
        <v>13</v>
      </c>
      <c r="J8" s="13"/>
    </row>
    <row r="9" spans="1:10" x14ac:dyDescent="0.25">
      <c r="A9" s="15">
        <v>1</v>
      </c>
      <c r="B9" s="100" t="s">
        <v>233</v>
      </c>
      <c r="C9" s="100" t="s">
        <v>234</v>
      </c>
      <c r="D9" s="101" t="s">
        <v>235</v>
      </c>
      <c r="E9" s="100" t="s">
        <v>236</v>
      </c>
      <c r="F9" s="25" t="s">
        <v>14</v>
      </c>
      <c r="G9" s="80">
        <v>627</v>
      </c>
      <c r="H9" s="102">
        <v>450</v>
      </c>
      <c r="I9" s="16">
        <f>G9*H9</f>
        <v>282150</v>
      </c>
      <c r="J9" s="13"/>
    </row>
    <row r="10" spans="1:10" x14ac:dyDescent="0.25">
      <c r="A10" s="17">
        <v>2</v>
      </c>
      <c r="B10" s="103" t="s">
        <v>237</v>
      </c>
      <c r="C10" s="104" t="s">
        <v>234</v>
      </c>
      <c r="D10" s="105" t="s">
        <v>235</v>
      </c>
      <c r="E10" s="106" t="s">
        <v>238</v>
      </c>
      <c r="F10" s="25" t="s">
        <v>14</v>
      </c>
      <c r="G10" s="81">
        <v>252</v>
      </c>
      <c r="H10" s="107">
        <v>685</v>
      </c>
      <c r="I10" s="18">
        <f t="shared" ref="I10:I73" si="0">G10*H10</f>
        <v>172620</v>
      </c>
      <c r="J10" s="13"/>
    </row>
    <row r="11" spans="1:10" x14ac:dyDescent="0.25">
      <c r="A11" s="15">
        <v>3</v>
      </c>
      <c r="B11" s="108" t="s">
        <v>239</v>
      </c>
      <c r="C11" s="108" t="s">
        <v>234</v>
      </c>
      <c r="D11" s="105" t="s">
        <v>235</v>
      </c>
      <c r="E11" s="64" t="s">
        <v>240</v>
      </c>
      <c r="F11" s="25" t="s">
        <v>14</v>
      </c>
      <c r="G11" s="81">
        <v>402</v>
      </c>
      <c r="H11" s="107">
        <v>605</v>
      </c>
      <c r="I11" s="18">
        <f t="shared" si="0"/>
        <v>243210</v>
      </c>
      <c r="J11" s="13"/>
    </row>
    <row r="12" spans="1:10" x14ac:dyDescent="0.25">
      <c r="A12" s="17">
        <v>4</v>
      </c>
      <c r="B12" s="64" t="s">
        <v>241</v>
      </c>
      <c r="C12" s="108" t="s">
        <v>234</v>
      </c>
      <c r="D12" s="105" t="s">
        <v>235</v>
      </c>
      <c r="E12" s="109" t="s">
        <v>242</v>
      </c>
      <c r="F12" s="6" t="s">
        <v>14</v>
      </c>
      <c r="G12" s="81">
        <v>120</v>
      </c>
      <c r="H12" s="107">
        <v>540</v>
      </c>
      <c r="I12" s="18">
        <f t="shared" si="0"/>
        <v>64800</v>
      </c>
      <c r="J12" s="13"/>
    </row>
    <row r="13" spans="1:10" x14ac:dyDescent="0.25">
      <c r="A13" s="15">
        <v>5</v>
      </c>
      <c r="B13" s="64" t="s">
        <v>243</v>
      </c>
      <c r="C13" s="108" t="s">
        <v>234</v>
      </c>
      <c r="D13" s="105" t="s">
        <v>235</v>
      </c>
      <c r="E13" s="64" t="s">
        <v>244</v>
      </c>
      <c r="F13" s="6" t="s">
        <v>14</v>
      </c>
      <c r="G13" s="81">
        <v>120</v>
      </c>
      <c r="H13" s="107">
        <v>540</v>
      </c>
      <c r="I13" s="18">
        <f t="shared" si="0"/>
        <v>64800</v>
      </c>
      <c r="J13" s="13"/>
    </row>
    <row r="14" spans="1:10" x14ac:dyDescent="0.25">
      <c r="A14" s="17">
        <v>6</v>
      </c>
      <c r="B14" s="64" t="s">
        <v>245</v>
      </c>
      <c r="C14" s="64" t="s">
        <v>234</v>
      </c>
      <c r="D14" s="105" t="s">
        <v>235</v>
      </c>
      <c r="E14" s="64" t="s">
        <v>246</v>
      </c>
      <c r="F14" s="6" t="s">
        <v>14</v>
      </c>
      <c r="G14" s="82">
        <v>60</v>
      </c>
      <c r="H14" s="107">
        <v>750</v>
      </c>
      <c r="I14" s="18">
        <f t="shared" si="0"/>
        <v>45000</v>
      </c>
      <c r="J14" s="13"/>
    </row>
    <row r="15" spans="1:10" x14ac:dyDescent="0.25">
      <c r="A15" s="15">
        <v>7</v>
      </c>
      <c r="B15" s="64" t="s">
        <v>247</v>
      </c>
      <c r="C15" s="64" t="s">
        <v>234</v>
      </c>
      <c r="D15" s="105" t="s">
        <v>235</v>
      </c>
      <c r="E15" s="64" t="s">
        <v>248</v>
      </c>
      <c r="F15" s="6" t="s">
        <v>14</v>
      </c>
      <c r="G15" s="82">
        <v>576</v>
      </c>
      <c r="H15" s="107">
        <v>270</v>
      </c>
      <c r="I15" s="18">
        <f t="shared" si="0"/>
        <v>155520</v>
      </c>
      <c r="J15" s="13"/>
    </row>
    <row r="16" spans="1:10" x14ac:dyDescent="0.25">
      <c r="A16" s="17">
        <v>8</v>
      </c>
      <c r="B16" s="64" t="s">
        <v>249</v>
      </c>
      <c r="C16" s="64" t="s">
        <v>234</v>
      </c>
      <c r="D16" s="105" t="s">
        <v>250</v>
      </c>
      <c r="E16" s="64" t="s">
        <v>251</v>
      </c>
      <c r="F16" s="6" t="s">
        <v>14</v>
      </c>
      <c r="G16" s="82">
        <v>240</v>
      </c>
      <c r="H16" s="107">
        <v>290</v>
      </c>
      <c r="I16" s="18">
        <f t="shared" si="0"/>
        <v>69600</v>
      </c>
      <c r="J16" s="13"/>
    </row>
    <row r="17" spans="1:10" x14ac:dyDescent="0.25">
      <c r="A17" s="15">
        <v>9</v>
      </c>
      <c r="B17" s="65" t="s">
        <v>252</v>
      </c>
      <c r="C17" s="64" t="s">
        <v>234</v>
      </c>
      <c r="D17" s="105" t="s">
        <v>235</v>
      </c>
      <c r="E17" s="65" t="s">
        <v>253</v>
      </c>
      <c r="F17" s="6" t="s">
        <v>14</v>
      </c>
      <c r="G17" s="94">
        <v>99</v>
      </c>
      <c r="H17" s="107">
        <v>1230</v>
      </c>
      <c r="I17" s="18">
        <f t="shared" si="0"/>
        <v>121770</v>
      </c>
      <c r="J17" s="13"/>
    </row>
    <row r="18" spans="1:10" x14ac:dyDescent="0.25">
      <c r="A18" s="17">
        <v>10</v>
      </c>
      <c r="B18" s="66" t="s">
        <v>254</v>
      </c>
      <c r="C18" s="110" t="s">
        <v>255</v>
      </c>
      <c r="D18" s="111" t="s">
        <v>256</v>
      </c>
      <c r="E18" s="112" t="s">
        <v>257</v>
      </c>
      <c r="F18" s="6" t="s">
        <v>115</v>
      </c>
      <c r="G18" s="81">
        <v>534</v>
      </c>
      <c r="H18" s="113">
        <v>270</v>
      </c>
      <c r="I18" s="18">
        <f t="shared" si="0"/>
        <v>144180</v>
      </c>
      <c r="J18" s="13"/>
    </row>
    <row r="19" spans="1:10" x14ac:dyDescent="0.25">
      <c r="A19" s="15">
        <v>11</v>
      </c>
      <c r="B19" s="66" t="s">
        <v>258</v>
      </c>
      <c r="C19" s="110" t="s">
        <v>255</v>
      </c>
      <c r="D19" s="111" t="s">
        <v>256</v>
      </c>
      <c r="E19" s="66" t="s">
        <v>259</v>
      </c>
      <c r="F19" s="6" t="s">
        <v>14</v>
      </c>
      <c r="G19" s="81">
        <v>426</v>
      </c>
      <c r="H19" s="113">
        <v>220</v>
      </c>
      <c r="I19" s="18">
        <f t="shared" si="0"/>
        <v>93720</v>
      </c>
      <c r="J19" s="13"/>
    </row>
    <row r="20" spans="1:10" x14ac:dyDescent="0.25">
      <c r="A20" s="17">
        <v>12</v>
      </c>
      <c r="B20" s="64" t="s">
        <v>260</v>
      </c>
      <c r="C20" s="114" t="s">
        <v>234</v>
      </c>
      <c r="D20" s="105" t="s">
        <v>235</v>
      </c>
      <c r="E20" s="64" t="s">
        <v>78</v>
      </c>
      <c r="F20" s="6" t="s">
        <v>14</v>
      </c>
      <c r="G20" s="82">
        <v>117</v>
      </c>
      <c r="H20" s="107">
        <v>475</v>
      </c>
      <c r="I20" s="18">
        <f t="shared" si="0"/>
        <v>55575</v>
      </c>
      <c r="J20" s="13"/>
    </row>
    <row r="21" spans="1:10" x14ac:dyDescent="0.25">
      <c r="A21" s="15">
        <v>13</v>
      </c>
      <c r="B21" s="64" t="s">
        <v>261</v>
      </c>
      <c r="C21" s="64" t="s">
        <v>234</v>
      </c>
      <c r="D21" s="105" t="s">
        <v>235</v>
      </c>
      <c r="E21" s="64" t="s">
        <v>262</v>
      </c>
      <c r="F21" s="77" t="s">
        <v>14</v>
      </c>
      <c r="G21" s="82">
        <v>210</v>
      </c>
      <c r="H21" s="107">
        <v>190</v>
      </c>
      <c r="I21" s="18">
        <f t="shared" si="0"/>
        <v>39900</v>
      </c>
      <c r="J21" s="13"/>
    </row>
    <row r="22" spans="1:10" x14ac:dyDescent="0.25">
      <c r="A22" s="17">
        <v>14</v>
      </c>
      <c r="B22" s="64" t="s">
        <v>263</v>
      </c>
      <c r="C22" s="64" t="s">
        <v>234</v>
      </c>
      <c r="D22" s="105" t="s">
        <v>235</v>
      </c>
      <c r="E22" s="64" t="s">
        <v>79</v>
      </c>
      <c r="F22" s="6" t="s">
        <v>14</v>
      </c>
      <c r="G22" s="82">
        <v>510</v>
      </c>
      <c r="H22" s="107">
        <v>150</v>
      </c>
      <c r="I22" s="18">
        <f t="shared" si="0"/>
        <v>76500</v>
      </c>
      <c r="J22" s="13"/>
    </row>
    <row r="23" spans="1:10" x14ac:dyDescent="0.25">
      <c r="A23" s="15">
        <v>15</v>
      </c>
      <c r="B23" s="64" t="s">
        <v>264</v>
      </c>
      <c r="C23" s="64" t="s">
        <v>234</v>
      </c>
      <c r="D23" s="105" t="s">
        <v>235</v>
      </c>
      <c r="E23" s="64" t="s">
        <v>80</v>
      </c>
      <c r="F23" s="6" t="s">
        <v>14</v>
      </c>
      <c r="G23" s="82">
        <v>240</v>
      </c>
      <c r="H23" s="107">
        <v>210</v>
      </c>
      <c r="I23" s="18">
        <f t="shared" si="0"/>
        <v>50400</v>
      </c>
      <c r="J23" s="13"/>
    </row>
    <row r="24" spans="1:10" x14ac:dyDescent="0.25">
      <c r="A24" s="17">
        <v>16</v>
      </c>
      <c r="B24" s="64" t="s">
        <v>265</v>
      </c>
      <c r="C24" s="64" t="s">
        <v>234</v>
      </c>
      <c r="D24" s="105" t="s">
        <v>235</v>
      </c>
      <c r="E24" s="64" t="s">
        <v>81</v>
      </c>
      <c r="F24" s="6" t="s">
        <v>14</v>
      </c>
      <c r="G24" s="82">
        <v>300</v>
      </c>
      <c r="H24" s="107">
        <v>75</v>
      </c>
      <c r="I24" s="18">
        <f t="shared" si="0"/>
        <v>22500</v>
      </c>
      <c r="J24" s="13"/>
    </row>
    <row r="25" spans="1:10" x14ac:dyDescent="0.25">
      <c r="A25" s="15">
        <v>17</v>
      </c>
      <c r="B25" s="64" t="s">
        <v>266</v>
      </c>
      <c r="C25" s="108" t="s">
        <v>234</v>
      </c>
      <c r="D25" s="105" t="s">
        <v>235</v>
      </c>
      <c r="E25" s="67" t="s">
        <v>82</v>
      </c>
      <c r="F25" s="6" t="s">
        <v>14</v>
      </c>
      <c r="G25" s="82">
        <v>312</v>
      </c>
      <c r="H25" s="107">
        <v>72</v>
      </c>
      <c r="I25" s="18">
        <f t="shared" si="0"/>
        <v>22464</v>
      </c>
      <c r="J25" s="13"/>
    </row>
    <row r="26" spans="1:10" x14ac:dyDescent="0.25">
      <c r="A26" s="17">
        <v>18</v>
      </c>
      <c r="B26" s="64" t="s">
        <v>267</v>
      </c>
      <c r="C26" s="64" t="s">
        <v>234</v>
      </c>
      <c r="D26" s="105" t="s">
        <v>235</v>
      </c>
      <c r="E26" s="115" t="s">
        <v>268</v>
      </c>
      <c r="F26" s="6" t="s">
        <v>14</v>
      </c>
      <c r="G26" s="82">
        <v>120</v>
      </c>
      <c r="H26" s="107">
        <v>280</v>
      </c>
      <c r="I26" s="18">
        <f t="shared" si="0"/>
        <v>33600</v>
      </c>
      <c r="J26" s="13"/>
    </row>
    <row r="27" spans="1:10" x14ac:dyDescent="0.25">
      <c r="A27" s="15">
        <v>19</v>
      </c>
      <c r="B27" s="64" t="s">
        <v>269</v>
      </c>
      <c r="C27" s="108" t="s">
        <v>234</v>
      </c>
      <c r="D27" s="105" t="s">
        <v>235</v>
      </c>
      <c r="E27" s="64" t="s">
        <v>270</v>
      </c>
      <c r="F27" s="6" t="s">
        <v>14</v>
      </c>
      <c r="G27" s="82">
        <v>180</v>
      </c>
      <c r="H27" s="107">
        <v>420</v>
      </c>
      <c r="I27" s="18">
        <f t="shared" si="0"/>
        <v>75600</v>
      </c>
      <c r="J27" s="13"/>
    </row>
    <row r="28" spans="1:10" x14ac:dyDescent="0.25">
      <c r="A28" s="17">
        <v>20</v>
      </c>
      <c r="B28" s="64" t="s">
        <v>271</v>
      </c>
      <c r="C28" s="108" t="s">
        <v>234</v>
      </c>
      <c r="D28" s="105" t="s">
        <v>235</v>
      </c>
      <c r="E28" s="64" t="s">
        <v>83</v>
      </c>
      <c r="F28" s="6" t="s">
        <v>14</v>
      </c>
      <c r="G28" s="82">
        <v>252</v>
      </c>
      <c r="H28" s="107">
        <v>350</v>
      </c>
      <c r="I28" s="18">
        <f t="shared" si="0"/>
        <v>88200</v>
      </c>
      <c r="J28" s="13"/>
    </row>
    <row r="29" spans="1:10" x14ac:dyDescent="0.25">
      <c r="A29" s="15">
        <v>21</v>
      </c>
      <c r="B29" s="64" t="s">
        <v>272</v>
      </c>
      <c r="C29" s="108" t="s">
        <v>234</v>
      </c>
      <c r="D29" s="105" t="s">
        <v>235</v>
      </c>
      <c r="E29" s="64" t="s">
        <v>84</v>
      </c>
      <c r="F29" s="6" t="s">
        <v>14</v>
      </c>
      <c r="G29" s="82">
        <v>84</v>
      </c>
      <c r="H29" s="107">
        <v>550</v>
      </c>
      <c r="I29" s="18">
        <f t="shared" si="0"/>
        <v>46200</v>
      </c>
      <c r="J29" s="13"/>
    </row>
    <row r="30" spans="1:10" x14ac:dyDescent="0.25">
      <c r="A30" s="17">
        <v>22</v>
      </c>
      <c r="B30" s="64" t="s">
        <v>273</v>
      </c>
      <c r="C30" s="64" t="s">
        <v>234</v>
      </c>
      <c r="D30" s="105" t="s">
        <v>235</v>
      </c>
      <c r="E30" s="64" t="s">
        <v>85</v>
      </c>
      <c r="F30" s="6" t="s">
        <v>14</v>
      </c>
      <c r="G30" s="82">
        <v>108</v>
      </c>
      <c r="H30" s="107">
        <v>750</v>
      </c>
      <c r="I30" s="18">
        <f t="shared" si="0"/>
        <v>81000</v>
      </c>
      <c r="J30" s="13"/>
    </row>
    <row r="31" spans="1:10" x14ac:dyDescent="0.25">
      <c r="A31" s="15">
        <v>23</v>
      </c>
      <c r="B31" s="66" t="s">
        <v>274</v>
      </c>
      <c r="C31" s="73" t="s">
        <v>275</v>
      </c>
      <c r="D31" s="111" t="s">
        <v>276</v>
      </c>
      <c r="E31" s="66" t="s">
        <v>277</v>
      </c>
      <c r="F31" s="6" t="s">
        <v>135</v>
      </c>
      <c r="G31" s="81">
        <v>396</v>
      </c>
      <c r="H31" s="113">
        <v>325</v>
      </c>
      <c r="I31" s="18">
        <f t="shared" si="0"/>
        <v>128700</v>
      </c>
      <c r="J31" s="13"/>
    </row>
    <row r="32" spans="1:10" x14ac:dyDescent="0.25">
      <c r="A32" s="17">
        <v>24</v>
      </c>
      <c r="B32" s="66" t="s">
        <v>278</v>
      </c>
      <c r="C32" s="66" t="s">
        <v>234</v>
      </c>
      <c r="D32" s="111" t="s">
        <v>235</v>
      </c>
      <c r="E32" s="66" t="s">
        <v>86</v>
      </c>
      <c r="F32" s="6" t="s">
        <v>14</v>
      </c>
      <c r="G32" s="81">
        <v>510</v>
      </c>
      <c r="H32" s="113">
        <v>270</v>
      </c>
      <c r="I32" s="18">
        <f t="shared" si="0"/>
        <v>137700</v>
      </c>
      <c r="J32" s="13"/>
    </row>
    <row r="33" spans="1:10" x14ac:dyDescent="0.25">
      <c r="A33" s="15">
        <v>25</v>
      </c>
      <c r="B33" s="66" t="s">
        <v>279</v>
      </c>
      <c r="C33" s="66" t="s">
        <v>234</v>
      </c>
      <c r="D33" s="111" t="s">
        <v>250</v>
      </c>
      <c r="E33" s="66" t="s">
        <v>280</v>
      </c>
      <c r="F33" s="6" t="s">
        <v>14</v>
      </c>
      <c r="G33" s="83">
        <v>189</v>
      </c>
      <c r="H33" s="116">
        <v>1450</v>
      </c>
      <c r="I33" s="18">
        <f t="shared" si="0"/>
        <v>274050</v>
      </c>
      <c r="J33" s="13"/>
    </row>
    <row r="34" spans="1:10" x14ac:dyDescent="0.25">
      <c r="A34" s="17">
        <v>26</v>
      </c>
      <c r="B34" s="66" t="s">
        <v>281</v>
      </c>
      <c r="C34" s="66" t="s">
        <v>234</v>
      </c>
      <c r="D34" s="111" t="s">
        <v>282</v>
      </c>
      <c r="E34" s="112" t="s">
        <v>283</v>
      </c>
      <c r="F34" s="48" t="s">
        <v>14</v>
      </c>
      <c r="G34" s="83">
        <v>180</v>
      </c>
      <c r="H34" s="116">
        <v>235</v>
      </c>
      <c r="I34" s="18">
        <f t="shared" si="0"/>
        <v>42300</v>
      </c>
      <c r="J34" s="13"/>
    </row>
    <row r="35" spans="1:10" x14ac:dyDescent="0.25">
      <c r="A35" s="15">
        <v>27</v>
      </c>
      <c r="B35" s="66" t="s">
        <v>284</v>
      </c>
      <c r="C35" s="66" t="s">
        <v>234</v>
      </c>
      <c r="D35" s="111" t="s">
        <v>235</v>
      </c>
      <c r="E35" s="66" t="s">
        <v>87</v>
      </c>
      <c r="F35" s="48" t="s">
        <v>14</v>
      </c>
      <c r="G35" s="83">
        <v>366</v>
      </c>
      <c r="H35" s="116">
        <v>350</v>
      </c>
      <c r="I35" s="18">
        <f t="shared" si="0"/>
        <v>128100</v>
      </c>
      <c r="J35" s="13"/>
    </row>
    <row r="36" spans="1:10" ht="38.25" x14ac:dyDescent="0.25">
      <c r="A36" s="17">
        <v>28</v>
      </c>
      <c r="B36" s="117" t="s">
        <v>285</v>
      </c>
      <c r="C36" s="66" t="s">
        <v>234</v>
      </c>
      <c r="D36" s="118" t="s">
        <v>250</v>
      </c>
      <c r="E36" s="68" t="s">
        <v>286</v>
      </c>
      <c r="F36" s="48" t="s">
        <v>14</v>
      </c>
      <c r="G36" s="83">
        <v>207</v>
      </c>
      <c r="H36" s="116">
        <v>320</v>
      </c>
      <c r="I36" s="18">
        <f t="shared" si="0"/>
        <v>66240</v>
      </c>
      <c r="J36" s="13"/>
    </row>
    <row r="37" spans="1:10" ht="38.25" x14ac:dyDescent="0.25">
      <c r="A37" s="15">
        <v>29</v>
      </c>
      <c r="B37" s="117" t="s">
        <v>287</v>
      </c>
      <c r="C37" s="66" t="s">
        <v>234</v>
      </c>
      <c r="D37" s="118" t="s">
        <v>250</v>
      </c>
      <c r="E37" s="68" t="s">
        <v>288</v>
      </c>
      <c r="F37" s="48" t="s">
        <v>14</v>
      </c>
      <c r="G37" s="83">
        <v>297</v>
      </c>
      <c r="H37" s="116">
        <v>292</v>
      </c>
      <c r="I37" s="18">
        <f t="shared" si="0"/>
        <v>86724</v>
      </c>
      <c r="J37" s="13"/>
    </row>
    <row r="38" spans="1:10" x14ac:dyDescent="0.25">
      <c r="A38" s="17">
        <v>30</v>
      </c>
      <c r="B38" s="117" t="s">
        <v>289</v>
      </c>
      <c r="C38" s="73" t="s">
        <v>275</v>
      </c>
      <c r="D38" s="119" t="s">
        <v>276</v>
      </c>
      <c r="E38" s="117" t="s">
        <v>290</v>
      </c>
      <c r="F38" s="48" t="s">
        <v>135</v>
      </c>
      <c r="G38" s="83">
        <v>423</v>
      </c>
      <c r="H38" s="116">
        <v>241</v>
      </c>
      <c r="I38" s="18">
        <f t="shared" si="0"/>
        <v>101943</v>
      </c>
      <c r="J38" s="13"/>
    </row>
    <row r="39" spans="1:10" x14ac:dyDescent="0.25">
      <c r="A39" s="15">
        <v>31</v>
      </c>
      <c r="B39" s="120" t="s">
        <v>291</v>
      </c>
      <c r="C39" s="121" t="s">
        <v>234</v>
      </c>
      <c r="D39" s="122" t="s">
        <v>235</v>
      </c>
      <c r="E39" s="120" t="s">
        <v>88</v>
      </c>
      <c r="F39" s="48" t="s">
        <v>14</v>
      </c>
      <c r="G39" s="84">
        <v>288</v>
      </c>
      <c r="H39" s="123">
        <v>100</v>
      </c>
      <c r="I39" s="18">
        <f t="shared" si="0"/>
        <v>28800</v>
      </c>
      <c r="J39" s="13"/>
    </row>
    <row r="40" spans="1:10" ht="38.25" x14ac:dyDescent="0.25">
      <c r="A40" s="17">
        <v>32</v>
      </c>
      <c r="B40" s="64" t="s">
        <v>292</v>
      </c>
      <c r="C40" s="108" t="s">
        <v>234</v>
      </c>
      <c r="D40" s="124" t="s">
        <v>250</v>
      </c>
      <c r="E40" s="67" t="s">
        <v>293</v>
      </c>
      <c r="F40" s="48" t="s">
        <v>14</v>
      </c>
      <c r="G40" s="84">
        <v>150</v>
      </c>
      <c r="H40" s="107">
        <v>290</v>
      </c>
      <c r="I40" s="18">
        <f t="shared" si="0"/>
        <v>43500</v>
      </c>
      <c r="J40" s="13"/>
    </row>
    <row r="41" spans="1:10" ht="25.5" x14ac:dyDescent="0.25">
      <c r="A41" s="15">
        <v>33</v>
      </c>
      <c r="B41" s="114" t="s">
        <v>294</v>
      </c>
      <c r="C41" s="109" t="s">
        <v>234</v>
      </c>
      <c r="D41" s="125" t="s">
        <v>235</v>
      </c>
      <c r="E41" s="69" t="s">
        <v>295</v>
      </c>
      <c r="F41" s="48" t="s">
        <v>14</v>
      </c>
      <c r="G41" s="85">
        <v>156</v>
      </c>
      <c r="H41" s="126">
        <v>237</v>
      </c>
      <c r="I41" s="18">
        <f t="shared" si="0"/>
        <v>36972</v>
      </c>
      <c r="J41" s="13"/>
    </row>
    <row r="42" spans="1:10" ht="25.5" x14ac:dyDescent="0.25">
      <c r="A42" s="17">
        <v>34</v>
      </c>
      <c r="B42" s="64" t="s">
        <v>296</v>
      </c>
      <c r="C42" s="108" t="s">
        <v>234</v>
      </c>
      <c r="D42" s="124" t="s">
        <v>235</v>
      </c>
      <c r="E42" s="67" t="s">
        <v>297</v>
      </c>
      <c r="F42" s="48" t="s">
        <v>14</v>
      </c>
      <c r="G42" s="85">
        <v>96</v>
      </c>
      <c r="H42" s="107">
        <v>1650</v>
      </c>
      <c r="I42" s="18">
        <f t="shared" si="0"/>
        <v>158400</v>
      </c>
      <c r="J42" s="13"/>
    </row>
    <row r="43" spans="1:10" x14ac:dyDescent="0.25">
      <c r="A43" s="15">
        <v>35</v>
      </c>
      <c r="B43" s="64" t="s">
        <v>298</v>
      </c>
      <c r="C43" s="108" t="s">
        <v>234</v>
      </c>
      <c r="D43" s="124" t="s">
        <v>235</v>
      </c>
      <c r="E43" s="67" t="s">
        <v>89</v>
      </c>
      <c r="F43" s="48" t="s">
        <v>14</v>
      </c>
      <c r="G43" s="85">
        <v>120</v>
      </c>
      <c r="H43" s="107">
        <v>299</v>
      </c>
      <c r="I43" s="18">
        <f t="shared" si="0"/>
        <v>35880</v>
      </c>
      <c r="J43" s="13"/>
    </row>
    <row r="44" spans="1:10" ht="25.5" x14ac:dyDescent="0.25">
      <c r="A44" s="17">
        <v>36</v>
      </c>
      <c r="B44" s="64" t="s">
        <v>299</v>
      </c>
      <c r="C44" s="108" t="s">
        <v>300</v>
      </c>
      <c r="D44" s="124" t="s">
        <v>301</v>
      </c>
      <c r="E44" s="67" t="s">
        <v>90</v>
      </c>
      <c r="F44" s="48" t="s">
        <v>14</v>
      </c>
      <c r="G44" s="85">
        <v>60</v>
      </c>
      <c r="H44" s="107">
        <v>350</v>
      </c>
      <c r="I44" s="18">
        <f t="shared" si="0"/>
        <v>21000</v>
      </c>
      <c r="J44" s="13"/>
    </row>
    <row r="45" spans="1:10" ht="25.5" x14ac:dyDescent="0.25">
      <c r="A45" s="15">
        <v>37</v>
      </c>
      <c r="B45" s="64" t="s">
        <v>302</v>
      </c>
      <c r="C45" s="108" t="s">
        <v>234</v>
      </c>
      <c r="D45" s="124" t="s">
        <v>235</v>
      </c>
      <c r="E45" s="67" t="s">
        <v>303</v>
      </c>
      <c r="F45" s="48" t="s">
        <v>14</v>
      </c>
      <c r="G45" s="85">
        <v>108</v>
      </c>
      <c r="H45" s="107">
        <v>120</v>
      </c>
      <c r="I45" s="18">
        <f t="shared" si="0"/>
        <v>12960</v>
      </c>
      <c r="J45" s="13"/>
    </row>
    <row r="46" spans="1:10" ht="25.5" x14ac:dyDescent="0.25">
      <c r="A46" s="17">
        <v>38</v>
      </c>
      <c r="B46" s="64" t="s">
        <v>304</v>
      </c>
      <c r="C46" s="108" t="s">
        <v>234</v>
      </c>
      <c r="D46" s="124" t="s">
        <v>235</v>
      </c>
      <c r="E46" s="67" t="s">
        <v>91</v>
      </c>
      <c r="F46" s="48" t="s">
        <v>115</v>
      </c>
      <c r="G46" s="85">
        <v>84</v>
      </c>
      <c r="H46" s="107">
        <v>240</v>
      </c>
      <c r="I46" s="18">
        <f t="shared" si="0"/>
        <v>20160</v>
      </c>
      <c r="J46" s="13"/>
    </row>
    <row r="47" spans="1:10" x14ac:dyDescent="0.25">
      <c r="A47" s="15">
        <v>39</v>
      </c>
      <c r="B47" s="64" t="s">
        <v>305</v>
      </c>
      <c r="C47" s="108" t="s">
        <v>234</v>
      </c>
      <c r="D47" s="124" t="s">
        <v>235</v>
      </c>
      <c r="E47" s="67" t="s">
        <v>92</v>
      </c>
      <c r="F47" s="48" t="s">
        <v>14</v>
      </c>
      <c r="G47" s="85">
        <v>54</v>
      </c>
      <c r="H47" s="107">
        <v>850</v>
      </c>
      <c r="I47" s="18">
        <f t="shared" si="0"/>
        <v>45900</v>
      </c>
      <c r="J47" s="13"/>
    </row>
    <row r="48" spans="1:10" x14ac:dyDescent="0.25">
      <c r="A48" s="17">
        <v>40</v>
      </c>
      <c r="B48" s="64" t="s">
        <v>306</v>
      </c>
      <c r="C48" s="108" t="s">
        <v>300</v>
      </c>
      <c r="D48" s="124" t="s">
        <v>301</v>
      </c>
      <c r="E48" s="67" t="s">
        <v>93</v>
      </c>
      <c r="F48" s="48" t="s">
        <v>14</v>
      </c>
      <c r="G48" s="85">
        <v>18</v>
      </c>
      <c r="H48" s="107">
        <v>150</v>
      </c>
      <c r="I48" s="18">
        <f t="shared" si="0"/>
        <v>2700</v>
      </c>
      <c r="J48" s="13"/>
    </row>
    <row r="49" spans="1:10" x14ac:dyDescent="0.25">
      <c r="A49" s="15">
        <v>41</v>
      </c>
      <c r="B49" s="64" t="s">
        <v>307</v>
      </c>
      <c r="C49" s="108" t="s">
        <v>308</v>
      </c>
      <c r="D49" s="124" t="s">
        <v>309</v>
      </c>
      <c r="E49" s="67" t="s">
        <v>310</v>
      </c>
      <c r="F49" s="48" t="s">
        <v>170</v>
      </c>
      <c r="G49" s="85">
        <v>108</v>
      </c>
      <c r="H49" s="107">
        <v>159</v>
      </c>
      <c r="I49" s="18">
        <f t="shared" si="0"/>
        <v>17172</v>
      </c>
      <c r="J49" s="13"/>
    </row>
    <row r="50" spans="1:10" x14ac:dyDescent="0.25">
      <c r="A50" s="17">
        <v>42</v>
      </c>
      <c r="B50" s="66" t="s">
        <v>311</v>
      </c>
      <c r="C50" s="66" t="s">
        <v>312</v>
      </c>
      <c r="D50" s="127" t="s">
        <v>282</v>
      </c>
      <c r="E50" s="70" t="s">
        <v>313</v>
      </c>
      <c r="F50" s="48" t="s">
        <v>14</v>
      </c>
      <c r="G50" s="85">
        <v>84</v>
      </c>
      <c r="H50" s="113">
        <v>1600</v>
      </c>
      <c r="I50" s="18">
        <f t="shared" si="0"/>
        <v>134400</v>
      </c>
      <c r="J50" s="13"/>
    </row>
    <row r="51" spans="1:10" ht="25.5" x14ac:dyDescent="0.25">
      <c r="A51" s="15">
        <v>43</v>
      </c>
      <c r="B51" s="64" t="s">
        <v>314</v>
      </c>
      <c r="C51" s="108" t="s">
        <v>234</v>
      </c>
      <c r="D51" s="124" t="s">
        <v>235</v>
      </c>
      <c r="E51" s="67" t="s">
        <v>315</v>
      </c>
      <c r="F51" s="48" t="s">
        <v>14</v>
      </c>
      <c r="G51" s="82">
        <v>48</v>
      </c>
      <c r="H51" s="107">
        <v>510</v>
      </c>
      <c r="I51" s="18">
        <f t="shared" si="0"/>
        <v>24480</v>
      </c>
      <c r="J51" s="13"/>
    </row>
    <row r="52" spans="1:10" ht="25.5" x14ac:dyDescent="0.25">
      <c r="A52" s="17">
        <v>44</v>
      </c>
      <c r="B52" s="64" t="s">
        <v>316</v>
      </c>
      <c r="C52" s="108" t="s">
        <v>234</v>
      </c>
      <c r="D52" s="124" t="s">
        <v>235</v>
      </c>
      <c r="E52" s="67" t="s">
        <v>317</v>
      </c>
      <c r="F52" s="48" t="s">
        <v>14</v>
      </c>
      <c r="G52" s="82">
        <v>144</v>
      </c>
      <c r="H52" s="107">
        <v>100</v>
      </c>
      <c r="I52" s="18">
        <f t="shared" si="0"/>
        <v>14400</v>
      </c>
      <c r="J52" s="13"/>
    </row>
    <row r="53" spans="1:10" x14ac:dyDescent="0.25">
      <c r="A53" s="15">
        <v>45</v>
      </c>
      <c r="B53" s="66" t="s">
        <v>318</v>
      </c>
      <c r="C53" s="66" t="s">
        <v>319</v>
      </c>
      <c r="D53" s="127" t="s">
        <v>282</v>
      </c>
      <c r="E53" s="70" t="s">
        <v>320</v>
      </c>
      <c r="F53" s="48" t="s">
        <v>14</v>
      </c>
      <c r="G53" s="81">
        <v>36</v>
      </c>
      <c r="H53" s="113">
        <v>230</v>
      </c>
      <c r="I53" s="18">
        <f t="shared" si="0"/>
        <v>8280</v>
      </c>
      <c r="J53" s="13"/>
    </row>
    <row r="54" spans="1:10" x14ac:dyDescent="0.25">
      <c r="A54" s="17">
        <v>46</v>
      </c>
      <c r="B54" s="66" t="s">
        <v>321</v>
      </c>
      <c r="C54" s="66" t="s">
        <v>319</v>
      </c>
      <c r="D54" s="127" t="s">
        <v>282</v>
      </c>
      <c r="E54" s="70" t="s">
        <v>322</v>
      </c>
      <c r="F54" s="48" t="s">
        <v>14</v>
      </c>
      <c r="G54" s="81">
        <v>60</v>
      </c>
      <c r="H54" s="113">
        <v>170</v>
      </c>
      <c r="I54" s="18">
        <f t="shared" si="0"/>
        <v>10200</v>
      </c>
      <c r="J54" s="13"/>
    </row>
    <row r="55" spans="1:10" x14ac:dyDescent="0.25">
      <c r="A55" s="15">
        <v>47</v>
      </c>
      <c r="B55" s="66" t="s">
        <v>323</v>
      </c>
      <c r="C55" s="66" t="s">
        <v>319</v>
      </c>
      <c r="D55" s="127" t="s">
        <v>324</v>
      </c>
      <c r="E55" s="70" t="s">
        <v>325</v>
      </c>
      <c r="F55" s="48" t="s">
        <v>14</v>
      </c>
      <c r="G55" s="81">
        <v>144</v>
      </c>
      <c r="H55" s="113">
        <v>170</v>
      </c>
      <c r="I55" s="18">
        <f t="shared" si="0"/>
        <v>24480</v>
      </c>
      <c r="J55" s="13"/>
    </row>
    <row r="56" spans="1:10" ht="25.5" x14ac:dyDescent="0.25">
      <c r="A56" s="17">
        <v>48</v>
      </c>
      <c r="B56" s="66" t="s">
        <v>326</v>
      </c>
      <c r="C56" s="66" t="s">
        <v>319</v>
      </c>
      <c r="D56" s="127" t="s">
        <v>324</v>
      </c>
      <c r="E56" s="70" t="s">
        <v>94</v>
      </c>
      <c r="F56" s="48" t="s">
        <v>14</v>
      </c>
      <c r="G56" s="81">
        <v>57</v>
      </c>
      <c r="H56" s="113">
        <v>950</v>
      </c>
      <c r="I56" s="18">
        <f t="shared" si="0"/>
        <v>54150</v>
      </c>
      <c r="J56" s="13"/>
    </row>
    <row r="57" spans="1:10" x14ac:dyDescent="0.25">
      <c r="A57" s="15">
        <v>49</v>
      </c>
      <c r="B57" s="117" t="s">
        <v>327</v>
      </c>
      <c r="C57" s="117" t="s">
        <v>319</v>
      </c>
      <c r="D57" s="119" t="s">
        <v>282</v>
      </c>
      <c r="E57" s="71" t="s">
        <v>95</v>
      </c>
      <c r="F57" s="48" t="s">
        <v>14</v>
      </c>
      <c r="G57" s="83">
        <v>60</v>
      </c>
      <c r="H57" s="116">
        <v>650</v>
      </c>
      <c r="I57" s="18">
        <f t="shared" si="0"/>
        <v>39000</v>
      </c>
      <c r="J57" s="13"/>
    </row>
    <row r="58" spans="1:10" x14ac:dyDescent="0.25">
      <c r="A58" s="17">
        <v>50</v>
      </c>
      <c r="B58" s="120" t="s">
        <v>328</v>
      </c>
      <c r="C58" s="121" t="s">
        <v>234</v>
      </c>
      <c r="D58" s="122" t="s">
        <v>235</v>
      </c>
      <c r="E58" s="72" t="s">
        <v>96</v>
      </c>
      <c r="F58" s="48" t="s">
        <v>14</v>
      </c>
      <c r="G58" s="84">
        <v>180</v>
      </c>
      <c r="H58" s="123">
        <v>410</v>
      </c>
      <c r="I58" s="18">
        <f t="shared" si="0"/>
        <v>73800</v>
      </c>
      <c r="J58" s="13"/>
    </row>
    <row r="59" spans="1:10" x14ac:dyDescent="0.25">
      <c r="A59" s="15">
        <v>51</v>
      </c>
      <c r="B59" s="120" t="s">
        <v>329</v>
      </c>
      <c r="C59" s="121" t="s">
        <v>319</v>
      </c>
      <c r="D59" s="122" t="s">
        <v>324</v>
      </c>
      <c r="E59" s="72" t="s">
        <v>330</v>
      </c>
      <c r="F59" s="48" t="s">
        <v>14</v>
      </c>
      <c r="G59" s="84">
        <v>90</v>
      </c>
      <c r="H59" s="123">
        <v>2000</v>
      </c>
      <c r="I59" s="18">
        <f t="shared" si="0"/>
        <v>180000</v>
      </c>
      <c r="J59" s="13"/>
    </row>
    <row r="60" spans="1:10" ht="25.5" x14ac:dyDescent="0.25">
      <c r="A60" s="17">
        <v>52</v>
      </c>
      <c r="B60" s="120" t="s">
        <v>331</v>
      </c>
      <c r="C60" s="121" t="s">
        <v>319</v>
      </c>
      <c r="D60" s="122" t="s">
        <v>332</v>
      </c>
      <c r="E60" s="72" t="s">
        <v>333</v>
      </c>
      <c r="F60" s="48" t="s">
        <v>14</v>
      </c>
      <c r="G60" s="84">
        <v>126</v>
      </c>
      <c r="H60" s="123">
        <v>1250</v>
      </c>
      <c r="I60" s="18">
        <f t="shared" si="0"/>
        <v>157500</v>
      </c>
      <c r="J60" s="13"/>
    </row>
    <row r="61" spans="1:10" ht="25.5" x14ac:dyDescent="0.25">
      <c r="A61" s="15">
        <v>53</v>
      </c>
      <c r="B61" s="120" t="s">
        <v>334</v>
      </c>
      <c r="C61" s="121" t="s">
        <v>335</v>
      </c>
      <c r="D61" s="122" t="s">
        <v>336</v>
      </c>
      <c r="E61" s="72" t="s">
        <v>97</v>
      </c>
      <c r="F61" s="48" t="s">
        <v>14</v>
      </c>
      <c r="G61" s="84">
        <v>180</v>
      </c>
      <c r="H61" s="123">
        <v>350</v>
      </c>
      <c r="I61" s="18">
        <f t="shared" si="0"/>
        <v>63000</v>
      </c>
      <c r="J61" s="13"/>
    </row>
    <row r="62" spans="1:10" ht="25.5" x14ac:dyDescent="0.25">
      <c r="A62" s="17">
        <v>54</v>
      </c>
      <c r="B62" s="64" t="s">
        <v>337</v>
      </c>
      <c r="C62" s="108" t="s">
        <v>338</v>
      </c>
      <c r="D62" s="124" t="s">
        <v>309</v>
      </c>
      <c r="E62" s="67" t="s">
        <v>339</v>
      </c>
      <c r="F62" s="48" t="s">
        <v>14</v>
      </c>
      <c r="G62" s="82">
        <v>96</v>
      </c>
      <c r="H62" s="107">
        <v>650</v>
      </c>
      <c r="I62" s="18">
        <f t="shared" si="0"/>
        <v>62400</v>
      </c>
      <c r="J62" s="13"/>
    </row>
    <row r="63" spans="1:10" ht="25.5" x14ac:dyDescent="0.25">
      <c r="A63" s="15">
        <v>55</v>
      </c>
      <c r="B63" s="64" t="s">
        <v>340</v>
      </c>
      <c r="C63" s="108" t="s">
        <v>234</v>
      </c>
      <c r="D63" s="124" t="s">
        <v>235</v>
      </c>
      <c r="E63" s="67" t="s">
        <v>341</v>
      </c>
      <c r="F63" s="48" t="s">
        <v>14</v>
      </c>
      <c r="G63" s="82">
        <v>72</v>
      </c>
      <c r="H63" s="107">
        <v>305</v>
      </c>
      <c r="I63" s="18">
        <f t="shared" si="0"/>
        <v>21960</v>
      </c>
      <c r="J63" s="13"/>
    </row>
    <row r="64" spans="1:10" x14ac:dyDescent="0.25">
      <c r="A64" s="17">
        <v>56</v>
      </c>
      <c r="B64" s="64" t="s">
        <v>342</v>
      </c>
      <c r="C64" s="108" t="s">
        <v>234</v>
      </c>
      <c r="D64" s="124" t="s">
        <v>235</v>
      </c>
      <c r="E64" s="67" t="s">
        <v>343</v>
      </c>
      <c r="F64" s="48" t="s">
        <v>14</v>
      </c>
      <c r="G64" s="82">
        <v>132</v>
      </c>
      <c r="H64" s="107">
        <v>320</v>
      </c>
      <c r="I64" s="18">
        <f t="shared" si="0"/>
        <v>42240</v>
      </c>
      <c r="J64" s="13"/>
    </row>
    <row r="65" spans="1:10" x14ac:dyDescent="0.25">
      <c r="A65" s="15">
        <v>57</v>
      </c>
      <c r="B65" s="64" t="s">
        <v>344</v>
      </c>
      <c r="C65" s="108" t="s">
        <v>234</v>
      </c>
      <c r="D65" s="124" t="s">
        <v>235</v>
      </c>
      <c r="E65" s="67" t="s">
        <v>345</v>
      </c>
      <c r="F65" s="48" t="s">
        <v>14</v>
      </c>
      <c r="G65" s="82">
        <v>144</v>
      </c>
      <c r="H65" s="107">
        <v>150</v>
      </c>
      <c r="I65" s="18">
        <f t="shared" si="0"/>
        <v>21600</v>
      </c>
      <c r="J65" s="13"/>
    </row>
    <row r="66" spans="1:10" ht="25.5" x14ac:dyDescent="0.25">
      <c r="A66" s="17">
        <v>58</v>
      </c>
      <c r="B66" s="64" t="s">
        <v>346</v>
      </c>
      <c r="C66" s="108" t="s">
        <v>234</v>
      </c>
      <c r="D66" s="124" t="s">
        <v>235</v>
      </c>
      <c r="E66" s="67" t="s">
        <v>347</v>
      </c>
      <c r="F66" s="48" t="s">
        <v>14</v>
      </c>
      <c r="G66" s="82">
        <v>138</v>
      </c>
      <c r="H66" s="107">
        <v>282</v>
      </c>
      <c r="I66" s="18">
        <f t="shared" si="0"/>
        <v>38916</v>
      </c>
      <c r="J66" s="13"/>
    </row>
    <row r="67" spans="1:10" ht="25.5" x14ac:dyDescent="0.25">
      <c r="A67" s="15">
        <v>59</v>
      </c>
      <c r="B67" s="64" t="s">
        <v>348</v>
      </c>
      <c r="C67" s="108" t="s">
        <v>319</v>
      </c>
      <c r="D67" s="124" t="s">
        <v>309</v>
      </c>
      <c r="E67" s="67" t="s">
        <v>98</v>
      </c>
      <c r="F67" s="48" t="s">
        <v>14</v>
      </c>
      <c r="G67" s="82">
        <v>84</v>
      </c>
      <c r="H67" s="107">
        <v>263</v>
      </c>
      <c r="I67" s="18">
        <f t="shared" si="0"/>
        <v>22092</v>
      </c>
      <c r="J67" s="13"/>
    </row>
    <row r="68" spans="1:10" x14ac:dyDescent="0.25">
      <c r="A68" s="17">
        <v>60</v>
      </c>
      <c r="B68" s="64" t="s">
        <v>349</v>
      </c>
      <c r="C68" s="108" t="s">
        <v>234</v>
      </c>
      <c r="D68" s="124" t="s">
        <v>235</v>
      </c>
      <c r="E68" s="67" t="s">
        <v>99</v>
      </c>
      <c r="F68" s="48" t="s">
        <v>14</v>
      </c>
      <c r="G68" s="82">
        <v>24</v>
      </c>
      <c r="H68" s="107">
        <v>650</v>
      </c>
      <c r="I68" s="18">
        <f t="shared" si="0"/>
        <v>15600</v>
      </c>
      <c r="J68" s="13"/>
    </row>
    <row r="69" spans="1:10" ht="25.5" x14ac:dyDescent="0.25">
      <c r="A69" s="15">
        <v>61</v>
      </c>
      <c r="B69" s="64" t="s">
        <v>350</v>
      </c>
      <c r="C69" s="108" t="s">
        <v>234</v>
      </c>
      <c r="D69" s="124" t="s">
        <v>235</v>
      </c>
      <c r="E69" s="67" t="s">
        <v>100</v>
      </c>
      <c r="F69" s="48" t="s">
        <v>14</v>
      </c>
      <c r="G69" s="82">
        <v>30</v>
      </c>
      <c r="H69" s="107">
        <v>185</v>
      </c>
      <c r="I69" s="18">
        <f t="shared" si="0"/>
        <v>5550</v>
      </c>
      <c r="J69" s="13"/>
    </row>
    <row r="70" spans="1:10" ht="25.5" x14ac:dyDescent="0.25">
      <c r="A70" s="17">
        <v>62</v>
      </c>
      <c r="B70" s="64" t="s">
        <v>351</v>
      </c>
      <c r="C70" s="108" t="s">
        <v>234</v>
      </c>
      <c r="D70" s="124" t="s">
        <v>235</v>
      </c>
      <c r="E70" s="67" t="s">
        <v>352</v>
      </c>
      <c r="F70" s="48" t="s">
        <v>14</v>
      </c>
      <c r="G70" s="82">
        <v>12</v>
      </c>
      <c r="H70" s="107">
        <v>385</v>
      </c>
      <c r="I70" s="18">
        <f t="shared" si="0"/>
        <v>4620</v>
      </c>
      <c r="J70" s="13"/>
    </row>
    <row r="71" spans="1:10" x14ac:dyDescent="0.25">
      <c r="A71" s="15">
        <v>63</v>
      </c>
      <c r="B71" s="64" t="s">
        <v>353</v>
      </c>
      <c r="C71" s="108" t="s">
        <v>234</v>
      </c>
      <c r="D71" s="124" t="s">
        <v>235</v>
      </c>
      <c r="E71" s="67" t="s">
        <v>354</v>
      </c>
      <c r="F71" s="48" t="s">
        <v>14</v>
      </c>
      <c r="G71" s="82">
        <v>117</v>
      </c>
      <c r="H71" s="107">
        <v>290</v>
      </c>
      <c r="I71" s="18">
        <f t="shared" si="0"/>
        <v>33930</v>
      </c>
      <c r="J71" s="13"/>
    </row>
    <row r="72" spans="1:10" ht="25.5" x14ac:dyDescent="0.25">
      <c r="A72" s="17">
        <v>64</v>
      </c>
      <c r="B72" s="64" t="s">
        <v>355</v>
      </c>
      <c r="C72" s="108" t="s">
        <v>319</v>
      </c>
      <c r="D72" s="124" t="s">
        <v>324</v>
      </c>
      <c r="E72" s="67" t="s">
        <v>101</v>
      </c>
      <c r="F72" s="48" t="s">
        <v>14</v>
      </c>
      <c r="G72" s="82">
        <v>18</v>
      </c>
      <c r="H72" s="107">
        <v>850</v>
      </c>
      <c r="I72" s="18">
        <f t="shared" si="0"/>
        <v>15300</v>
      </c>
      <c r="J72" s="13"/>
    </row>
    <row r="73" spans="1:10" ht="25.5" x14ac:dyDescent="0.25">
      <c r="A73" s="15">
        <v>65</v>
      </c>
      <c r="B73" s="64" t="s">
        <v>356</v>
      </c>
      <c r="C73" s="108" t="s">
        <v>234</v>
      </c>
      <c r="D73" s="124" t="s">
        <v>235</v>
      </c>
      <c r="E73" s="67" t="s">
        <v>357</v>
      </c>
      <c r="F73" s="48" t="s">
        <v>14</v>
      </c>
      <c r="G73" s="82">
        <v>12</v>
      </c>
      <c r="H73" s="107">
        <v>385</v>
      </c>
      <c r="I73" s="18">
        <f t="shared" si="0"/>
        <v>4620</v>
      </c>
      <c r="J73" s="13"/>
    </row>
    <row r="74" spans="1:10" ht="25.5" x14ac:dyDescent="0.25">
      <c r="A74" s="17">
        <v>66</v>
      </c>
      <c r="B74" s="64" t="s">
        <v>358</v>
      </c>
      <c r="C74" s="108" t="s">
        <v>234</v>
      </c>
      <c r="D74" s="124" t="s">
        <v>235</v>
      </c>
      <c r="E74" s="67" t="s">
        <v>359</v>
      </c>
      <c r="F74" s="48" t="s">
        <v>14</v>
      </c>
      <c r="G74" s="82">
        <v>117</v>
      </c>
      <c r="H74" s="107">
        <v>290</v>
      </c>
      <c r="I74" s="18">
        <f t="shared" ref="I74:I89" si="1">G74*H74</f>
        <v>33930</v>
      </c>
      <c r="J74" s="13"/>
    </row>
    <row r="75" spans="1:10" ht="38.25" x14ac:dyDescent="0.25">
      <c r="A75" s="15">
        <v>67</v>
      </c>
      <c r="B75" s="120" t="s">
        <v>360</v>
      </c>
      <c r="C75" s="121" t="s">
        <v>234</v>
      </c>
      <c r="D75" s="122" t="s">
        <v>235</v>
      </c>
      <c r="E75" s="72" t="s">
        <v>102</v>
      </c>
      <c r="F75" s="48" t="s">
        <v>14</v>
      </c>
      <c r="G75" s="84">
        <v>108</v>
      </c>
      <c r="H75" s="123">
        <v>180</v>
      </c>
      <c r="I75" s="18">
        <f t="shared" si="1"/>
        <v>19440</v>
      </c>
      <c r="J75" s="13"/>
    </row>
    <row r="76" spans="1:10" x14ac:dyDescent="0.25">
      <c r="A76" s="17">
        <v>68</v>
      </c>
      <c r="B76" s="117" t="s">
        <v>318</v>
      </c>
      <c r="C76" s="117" t="s">
        <v>319</v>
      </c>
      <c r="D76" s="119" t="s">
        <v>282</v>
      </c>
      <c r="E76" s="71" t="s">
        <v>320</v>
      </c>
      <c r="F76" s="48" t="s">
        <v>14</v>
      </c>
      <c r="G76" s="83">
        <v>6</v>
      </c>
      <c r="H76" s="116">
        <v>210</v>
      </c>
      <c r="I76" s="18">
        <f t="shared" si="1"/>
        <v>1260</v>
      </c>
      <c r="J76" s="13"/>
    </row>
    <row r="77" spans="1:10" ht="25.5" x14ac:dyDescent="0.25">
      <c r="A77" s="15">
        <v>69</v>
      </c>
      <c r="B77" s="120" t="s">
        <v>361</v>
      </c>
      <c r="C77" s="121" t="s">
        <v>234</v>
      </c>
      <c r="D77" s="122" t="s">
        <v>235</v>
      </c>
      <c r="E77" s="72" t="s">
        <v>362</v>
      </c>
      <c r="F77" s="48" t="s">
        <v>14</v>
      </c>
      <c r="G77" s="84">
        <v>144</v>
      </c>
      <c r="H77" s="123">
        <v>280</v>
      </c>
      <c r="I77" s="18">
        <f t="shared" si="1"/>
        <v>40320</v>
      </c>
      <c r="J77" s="13"/>
    </row>
    <row r="78" spans="1:10" ht="38.25" x14ac:dyDescent="0.25">
      <c r="A78" s="17">
        <v>70</v>
      </c>
      <c r="B78" s="120" t="s">
        <v>363</v>
      </c>
      <c r="C78" s="121" t="s">
        <v>234</v>
      </c>
      <c r="D78" s="122" t="s">
        <v>250</v>
      </c>
      <c r="E78" s="72" t="s">
        <v>364</v>
      </c>
      <c r="F78" s="48" t="s">
        <v>14</v>
      </c>
      <c r="G78" s="84">
        <v>36</v>
      </c>
      <c r="H78" s="123">
        <v>97</v>
      </c>
      <c r="I78" s="18">
        <f t="shared" si="1"/>
        <v>3492</v>
      </c>
      <c r="J78" s="13"/>
    </row>
    <row r="79" spans="1:10" x14ac:dyDescent="0.25">
      <c r="A79" s="15">
        <v>71</v>
      </c>
      <c r="B79" s="120" t="s">
        <v>365</v>
      </c>
      <c r="C79" s="121" t="s">
        <v>366</v>
      </c>
      <c r="D79" s="122" t="s">
        <v>250</v>
      </c>
      <c r="E79" s="72" t="s">
        <v>367</v>
      </c>
      <c r="F79" s="48" t="s">
        <v>14</v>
      </c>
      <c r="G79" s="84">
        <v>180</v>
      </c>
      <c r="H79" s="123">
        <v>420</v>
      </c>
      <c r="I79" s="18">
        <f t="shared" si="1"/>
        <v>75600</v>
      </c>
      <c r="J79" s="13"/>
    </row>
    <row r="80" spans="1:10" ht="25.5" x14ac:dyDescent="0.25">
      <c r="A80" s="17">
        <v>72</v>
      </c>
      <c r="B80" s="120" t="s">
        <v>368</v>
      </c>
      <c r="C80" s="121" t="s">
        <v>234</v>
      </c>
      <c r="D80" s="122" t="s">
        <v>235</v>
      </c>
      <c r="E80" s="72" t="s">
        <v>369</v>
      </c>
      <c r="F80" s="48" t="s">
        <v>14</v>
      </c>
      <c r="G80" s="84">
        <v>228</v>
      </c>
      <c r="H80" s="123">
        <v>109</v>
      </c>
      <c r="I80" s="18">
        <f t="shared" si="1"/>
        <v>24852</v>
      </c>
      <c r="J80" s="13"/>
    </row>
    <row r="81" spans="1:10" ht="25.5" x14ac:dyDescent="0.25">
      <c r="A81" s="15">
        <v>73</v>
      </c>
      <c r="B81" s="120" t="s">
        <v>370</v>
      </c>
      <c r="C81" s="121" t="s">
        <v>371</v>
      </c>
      <c r="D81" s="122" t="s">
        <v>372</v>
      </c>
      <c r="E81" s="72" t="s">
        <v>103</v>
      </c>
      <c r="F81" s="48" t="s">
        <v>14</v>
      </c>
      <c r="G81" s="84">
        <v>3</v>
      </c>
      <c r="H81" s="123">
        <v>1100</v>
      </c>
      <c r="I81" s="18">
        <f t="shared" si="1"/>
        <v>3300</v>
      </c>
      <c r="J81" s="13"/>
    </row>
    <row r="82" spans="1:10" ht="25.5" x14ac:dyDescent="0.25">
      <c r="A82" s="17">
        <v>74</v>
      </c>
      <c r="B82" s="120" t="s">
        <v>373</v>
      </c>
      <c r="C82" s="121" t="s">
        <v>319</v>
      </c>
      <c r="D82" s="122" t="s">
        <v>332</v>
      </c>
      <c r="E82" s="72" t="s">
        <v>374</v>
      </c>
      <c r="F82" s="48" t="s">
        <v>14</v>
      </c>
      <c r="G82" s="84">
        <v>129</v>
      </c>
      <c r="H82" s="123">
        <v>450</v>
      </c>
      <c r="I82" s="18">
        <f t="shared" si="1"/>
        <v>58050</v>
      </c>
      <c r="J82" s="13"/>
    </row>
    <row r="83" spans="1:10" x14ac:dyDescent="0.25">
      <c r="A83" s="15">
        <v>75</v>
      </c>
      <c r="B83" s="120" t="s">
        <v>375</v>
      </c>
      <c r="C83" s="121" t="s">
        <v>319</v>
      </c>
      <c r="D83" s="122" t="s">
        <v>332</v>
      </c>
      <c r="E83" s="72" t="s">
        <v>104</v>
      </c>
      <c r="F83" s="48" t="s">
        <v>14</v>
      </c>
      <c r="G83" s="84">
        <v>300</v>
      </c>
      <c r="H83" s="123">
        <v>350</v>
      </c>
      <c r="I83" s="18">
        <f t="shared" si="1"/>
        <v>105000</v>
      </c>
      <c r="J83" s="13"/>
    </row>
    <row r="84" spans="1:10" ht="25.5" x14ac:dyDescent="0.25">
      <c r="A84" s="17">
        <v>76</v>
      </c>
      <c r="B84" s="120" t="s">
        <v>376</v>
      </c>
      <c r="C84" s="121" t="s">
        <v>371</v>
      </c>
      <c r="D84" s="122" t="s">
        <v>256</v>
      </c>
      <c r="E84" s="72" t="s">
        <v>105</v>
      </c>
      <c r="F84" s="48" t="s">
        <v>14</v>
      </c>
      <c r="G84" s="84">
        <v>60</v>
      </c>
      <c r="H84" s="123">
        <v>650</v>
      </c>
      <c r="I84" s="18">
        <f t="shared" si="1"/>
        <v>39000</v>
      </c>
      <c r="J84" s="13"/>
    </row>
    <row r="85" spans="1:10" x14ac:dyDescent="0.25">
      <c r="A85" s="15">
        <v>77</v>
      </c>
      <c r="B85" s="120" t="s">
        <v>377</v>
      </c>
      <c r="C85" s="121" t="s">
        <v>308</v>
      </c>
      <c r="D85" s="122" t="s">
        <v>235</v>
      </c>
      <c r="E85" s="72" t="s">
        <v>106</v>
      </c>
      <c r="F85" s="48" t="s">
        <v>14</v>
      </c>
      <c r="G85" s="84">
        <v>3</v>
      </c>
      <c r="H85" s="123">
        <v>300</v>
      </c>
      <c r="I85" s="18">
        <f t="shared" si="1"/>
        <v>900</v>
      </c>
      <c r="J85" s="13"/>
    </row>
    <row r="86" spans="1:10" ht="25.5" x14ac:dyDescent="0.25">
      <c r="A86" s="17">
        <v>78</v>
      </c>
      <c r="B86" s="120" t="s">
        <v>378</v>
      </c>
      <c r="C86" s="121" t="s">
        <v>234</v>
      </c>
      <c r="D86" s="122" t="s">
        <v>235</v>
      </c>
      <c r="E86" s="72" t="s">
        <v>107</v>
      </c>
      <c r="F86" s="48" t="s">
        <v>14</v>
      </c>
      <c r="G86" s="84">
        <v>3</v>
      </c>
      <c r="H86" s="123">
        <v>950</v>
      </c>
      <c r="I86" s="18">
        <f t="shared" si="1"/>
        <v>2850</v>
      </c>
      <c r="J86" s="13"/>
    </row>
    <row r="87" spans="1:10" x14ac:dyDescent="0.25">
      <c r="A87" s="15">
        <v>79</v>
      </c>
      <c r="B87" s="120" t="s">
        <v>379</v>
      </c>
      <c r="C87" s="121" t="s">
        <v>380</v>
      </c>
      <c r="D87" s="122" t="s">
        <v>309</v>
      </c>
      <c r="E87" s="72" t="s">
        <v>108</v>
      </c>
      <c r="F87" s="48" t="s">
        <v>14</v>
      </c>
      <c r="G87" s="84">
        <v>30</v>
      </c>
      <c r="H87" s="123">
        <v>105</v>
      </c>
      <c r="I87" s="18">
        <f t="shared" si="1"/>
        <v>3150</v>
      </c>
      <c r="J87" s="13"/>
    </row>
    <row r="88" spans="1:10" ht="38.25" x14ac:dyDescent="0.25">
      <c r="A88" s="17">
        <v>80</v>
      </c>
      <c r="B88" s="120" t="s">
        <v>381</v>
      </c>
      <c r="C88" s="121" t="s">
        <v>382</v>
      </c>
      <c r="D88" s="122" t="s">
        <v>372</v>
      </c>
      <c r="E88" s="72" t="s">
        <v>109</v>
      </c>
      <c r="F88" s="48" t="s">
        <v>14</v>
      </c>
      <c r="G88" s="84">
        <v>30</v>
      </c>
      <c r="H88" s="123">
        <v>290</v>
      </c>
      <c r="I88" s="18">
        <f t="shared" si="1"/>
        <v>8700</v>
      </c>
      <c r="J88" s="13"/>
    </row>
    <row r="89" spans="1:10" ht="15.75" thickBot="1" x14ac:dyDescent="0.3">
      <c r="A89" s="15">
        <v>81</v>
      </c>
      <c r="B89" s="128" t="s">
        <v>383</v>
      </c>
      <c r="C89" s="129" t="s">
        <v>319</v>
      </c>
      <c r="D89" s="130" t="s">
        <v>332</v>
      </c>
      <c r="E89" s="131" t="s">
        <v>384</v>
      </c>
      <c r="F89" s="88" t="s">
        <v>14</v>
      </c>
      <c r="G89" s="86">
        <v>30</v>
      </c>
      <c r="H89" s="132">
        <v>310</v>
      </c>
      <c r="I89" s="18">
        <f t="shared" si="1"/>
        <v>9300</v>
      </c>
      <c r="J89" s="13"/>
    </row>
    <row r="90" spans="1:10" ht="15.75" thickBot="1" x14ac:dyDescent="0.3">
      <c r="G90" s="135">
        <f>SUM(G9:G89)</f>
        <v>13194</v>
      </c>
      <c r="I90" s="2">
        <f>SUM(I9:I89)</f>
        <v>4940172</v>
      </c>
    </row>
    <row r="91" spans="1:10" ht="16.5" thickBot="1" x14ac:dyDescent="0.3">
      <c r="B91" s="170" t="s">
        <v>49</v>
      </c>
      <c r="C91" s="171"/>
    </row>
    <row r="92" spans="1:10" ht="15.75" thickBot="1" x14ac:dyDescent="0.3">
      <c r="B92" s="144" t="s">
        <v>53</v>
      </c>
      <c r="C92" s="145"/>
    </row>
    <row r="93" spans="1:10" x14ac:dyDescent="0.25">
      <c r="B93" s="44" t="s">
        <v>48</v>
      </c>
      <c r="C93" s="148" t="s">
        <v>199</v>
      </c>
      <c r="D93" s="148"/>
      <c r="E93" s="148"/>
      <c r="F93" s="148"/>
      <c r="G93" s="148"/>
      <c r="H93" s="149"/>
    </row>
    <row r="94" spans="1:10" x14ac:dyDescent="0.25">
      <c r="B94" s="45" t="s">
        <v>22</v>
      </c>
      <c r="C94" s="146" t="s">
        <v>200</v>
      </c>
      <c r="D94" s="146"/>
      <c r="E94" s="146"/>
      <c r="F94" s="146"/>
      <c r="G94" s="146"/>
      <c r="H94" s="147"/>
    </row>
    <row r="95" spans="1:10" x14ac:dyDescent="0.25">
      <c r="B95" s="45" t="s">
        <v>23</v>
      </c>
      <c r="C95" s="146" t="s">
        <v>201</v>
      </c>
      <c r="D95" s="146"/>
      <c r="E95" s="146"/>
      <c r="F95" s="146"/>
      <c r="G95" s="146"/>
      <c r="H95" s="147"/>
    </row>
    <row r="96" spans="1:10" x14ac:dyDescent="0.25">
      <c r="B96" s="45" t="s">
        <v>24</v>
      </c>
      <c r="C96" s="146" t="s">
        <v>202</v>
      </c>
      <c r="D96" s="146"/>
      <c r="E96" s="146"/>
      <c r="F96" s="146"/>
      <c r="G96" s="146"/>
      <c r="H96" s="147"/>
    </row>
    <row r="97" spans="2:8" x14ac:dyDescent="0.25">
      <c r="B97" s="45" t="s">
        <v>25</v>
      </c>
      <c r="C97" s="146" t="s">
        <v>468</v>
      </c>
      <c r="D97" s="146"/>
      <c r="E97" s="146"/>
      <c r="F97" s="146"/>
      <c r="G97" s="146"/>
      <c r="H97" s="147"/>
    </row>
    <row r="98" spans="2:8" x14ac:dyDescent="0.25">
      <c r="B98" s="45" t="s">
        <v>26</v>
      </c>
      <c r="C98" s="146" t="s">
        <v>469</v>
      </c>
      <c r="D98" s="146"/>
      <c r="E98" s="146"/>
      <c r="F98" s="146"/>
      <c r="G98" s="146"/>
      <c r="H98" s="147"/>
    </row>
    <row r="99" spans="2:8" x14ac:dyDescent="0.25">
      <c r="B99" s="45" t="s">
        <v>27</v>
      </c>
      <c r="C99" s="146" t="s">
        <v>205</v>
      </c>
      <c r="D99" s="146"/>
      <c r="E99" s="146"/>
      <c r="F99" s="146"/>
      <c r="G99" s="146"/>
      <c r="H99" s="147"/>
    </row>
    <row r="100" spans="2:8" x14ac:dyDescent="0.25">
      <c r="B100" s="45" t="s">
        <v>28</v>
      </c>
      <c r="C100" s="146" t="s">
        <v>470</v>
      </c>
      <c r="D100" s="146"/>
      <c r="E100" s="146"/>
      <c r="F100" s="146"/>
      <c r="G100" s="146"/>
      <c r="H100" s="147"/>
    </row>
    <row r="101" spans="2:8" x14ac:dyDescent="0.25">
      <c r="B101" s="45" t="s">
        <v>29</v>
      </c>
      <c r="C101" s="146" t="s">
        <v>114</v>
      </c>
      <c r="D101" s="146"/>
      <c r="E101" s="146"/>
      <c r="F101" s="146"/>
      <c r="G101" s="146"/>
      <c r="H101" s="147"/>
    </row>
    <row r="102" spans="2:8" x14ac:dyDescent="0.25">
      <c r="B102" s="45" t="s">
        <v>32</v>
      </c>
      <c r="C102" s="146" t="s">
        <v>119</v>
      </c>
      <c r="D102" s="146"/>
      <c r="E102" s="146"/>
      <c r="F102" s="146"/>
      <c r="G102" s="146"/>
      <c r="H102" s="147"/>
    </row>
    <row r="103" spans="2:8" x14ac:dyDescent="0.25">
      <c r="B103" s="45" t="s">
        <v>33</v>
      </c>
      <c r="C103" s="146" t="s">
        <v>206</v>
      </c>
      <c r="D103" s="146"/>
      <c r="E103" s="146"/>
      <c r="F103" s="146"/>
      <c r="G103" s="146"/>
      <c r="H103" s="147"/>
    </row>
    <row r="104" spans="2:8" x14ac:dyDescent="0.25">
      <c r="B104" s="45" t="s">
        <v>35</v>
      </c>
      <c r="C104" s="146" t="s">
        <v>403</v>
      </c>
      <c r="D104" s="146"/>
      <c r="E104" s="146"/>
      <c r="F104" s="146"/>
      <c r="G104" s="146"/>
      <c r="H104" s="147"/>
    </row>
    <row r="105" spans="2:8" x14ac:dyDescent="0.25">
      <c r="B105" s="45" t="s">
        <v>36</v>
      </c>
      <c r="C105" s="146" t="s">
        <v>207</v>
      </c>
      <c r="D105" s="146"/>
      <c r="E105" s="146"/>
      <c r="F105" s="146"/>
      <c r="G105" s="146"/>
      <c r="H105" s="147"/>
    </row>
    <row r="106" spans="2:8" x14ac:dyDescent="0.25">
      <c r="B106" s="45" t="s">
        <v>38</v>
      </c>
      <c r="C106" s="146" t="s">
        <v>127</v>
      </c>
      <c r="D106" s="146"/>
      <c r="E106" s="146"/>
      <c r="F106" s="146"/>
      <c r="G106" s="146"/>
      <c r="H106" s="147"/>
    </row>
    <row r="107" spans="2:8" x14ac:dyDescent="0.25">
      <c r="B107" s="45" t="s">
        <v>40</v>
      </c>
      <c r="C107" s="146" t="s">
        <v>129</v>
      </c>
      <c r="D107" s="146"/>
      <c r="E107" s="146"/>
      <c r="F107" s="146"/>
      <c r="G107" s="146"/>
      <c r="H107" s="147"/>
    </row>
    <row r="108" spans="2:8" x14ac:dyDescent="0.25">
      <c r="B108" s="45" t="s">
        <v>42</v>
      </c>
      <c r="C108" s="146" t="s">
        <v>471</v>
      </c>
      <c r="D108" s="146"/>
      <c r="E108" s="146"/>
      <c r="F108" s="146"/>
      <c r="G108" s="146"/>
      <c r="H108" s="147"/>
    </row>
    <row r="109" spans="2:8" x14ac:dyDescent="0.25">
      <c r="B109" s="45" t="s">
        <v>44</v>
      </c>
      <c r="C109" s="146" t="s">
        <v>137</v>
      </c>
      <c r="D109" s="146"/>
      <c r="E109" s="146"/>
      <c r="F109" s="146"/>
      <c r="G109" s="146"/>
      <c r="H109" s="147"/>
    </row>
    <row r="110" spans="2:8" x14ac:dyDescent="0.25">
      <c r="B110" s="45" t="s">
        <v>45</v>
      </c>
      <c r="C110" s="146" t="s">
        <v>139</v>
      </c>
      <c r="D110" s="146"/>
      <c r="E110" s="146"/>
      <c r="F110" s="146"/>
      <c r="G110" s="146"/>
      <c r="H110" s="147"/>
    </row>
    <row r="111" spans="2:8" x14ac:dyDescent="0.25">
      <c r="B111" s="45" t="s">
        <v>153</v>
      </c>
      <c r="C111" s="146" t="s">
        <v>155</v>
      </c>
      <c r="D111" s="146"/>
      <c r="E111" s="146"/>
      <c r="F111" s="146"/>
      <c r="G111" s="146"/>
      <c r="H111" s="147"/>
    </row>
    <row r="112" spans="2:8" x14ac:dyDescent="0.25">
      <c r="B112" s="45" t="s">
        <v>154</v>
      </c>
      <c r="C112" s="146" t="s">
        <v>157</v>
      </c>
      <c r="D112" s="146"/>
      <c r="E112" s="146"/>
      <c r="F112" s="146"/>
      <c r="G112" s="146"/>
      <c r="H112" s="147"/>
    </row>
    <row r="113" spans="2:8" x14ac:dyDescent="0.25">
      <c r="B113" s="45" t="s">
        <v>158</v>
      </c>
      <c r="C113" s="146" t="s">
        <v>162</v>
      </c>
      <c r="D113" s="146"/>
      <c r="E113" s="146"/>
      <c r="F113" s="146"/>
      <c r="G113" s="146"/>
      <c r="H113" s="147"/>
    </row>
    <row r="114" spans="2:8" x14ac:dyDescent="0.25">
      <c r="B114" s="45" t="s">
        <v>159</v>
      </c>
      <c r="C114" s="146" t="s">
        <v>164</v>
      </c>
      <c r="D114" s="146"/>
      <c r="E114" s="146"/>
      <c r="F114" s="146"/>
      <c r="G114" s="146"/>
      <c r="H114" s="147"/>
    </row>
    <row r="115" spans="2:8" x14ac:dyDescent="0.25">
      <c r="B115" s="45" t="s">
        <v>161</v>
      </c>
      <c r="C115" s="146" t="s">
        <v>195</v>
      </c>
      <c r="D115" s="146"/>
      <c r="E115" s="146"/>
      <c r="F115" s="146"/>
      <c r="G115" s="146"/>
      <c r="H115" s="147"/>
    </row>
    <row r="116" spans="2:8" x14ac:dyDescent="0.25">
      <c r="B116" s="45" t="s">
        <v>222</v>
      </c>
      <c r="C116" s="146" t="s">
        <v>167</v>
      </c>
      <c r="D116" s="146"/>
      <c r="E116" s="146"/>
      <c r="F116" s="146"/>
      <c r="G116" s="146"/>
      <c r="H116" s="147"/>
    </row>
    <row r="117" spans="2:8" x14ac:dyDescent="0.25">
      <c r="B117" s="45" t="s">
        <v>225</v>
      </c>
      <c r="C117" s="146" t="s">
        <v>198</v>
      </c>
      <c r="D117" s="146"/>
      <c r="E117" s="146"/>
      <c r="F117" s="146"/>
      <c r="G117" s="146"/>
      <c r="H117" s="147"/>
    </row>
    <row r="118" spans="2:8" x14ac:dyDescent="0.25">
      <c r="B118" s="45" t="s">
        <v>226</v>
      </c>
      <c r="C118" s="146" t="s">
        <v>208</v>
      </c>
      <c r="D118" s="146"/>
      <c r="E118" s="146"/>
      <c r="F118" s="146"/>
      <c r="G118" s="146"/>
      <c r="H118" s="147"/>
    </row>
    <row r="119" spans="2:8" x14ac:dyDescent="0.25">
      <c r="B119" s="45" t="s">
        <v>228</v>
      </c>
      <c r="C119" s="96" t="s">
        <v>404</v>
      </c>
      <c r="D119" s="96"/>
      <c r="E119" s="96"/>
      <c r="F119" s="96"/>
      <c r="G119" s="96"/>
      <c r="H119" s="97"/>
    </row>
    <row r="120" spans="2:8" x14ac:dyDescent="0.25">
      <c r="B120" s="45" t="s">
        <v>406</v>
      </c>
      <c r="C120" s="96" t="s">
        <v>209</v>
      </c>
      <c r="D120" s="96"/>
      <c r="E120" s="96"/>
      <c r="F120" s="96"/>
      <c r="G120" s="96"/>
      <c r="H120" s="97"/>
    </row>
    <row r="121" spans="2:8" x14ac:dyDescent="0.25">
      <c r="B121" s="45" t="s">
        <v>407</v>
      </c>
      <c r="C121" s="96" t="s">
        <v>210</v>
      </c>
      <c r="D121" s="96"/>
      <c r="E121" s="96"/>
      <c r="F121" s="96"/>
      <c r="G121" s="96"/>
      <c r="H121" s="97"/>
    </row>
    <row r="122" spans="2:8" x14ac:dyDescent="0.25">
      <c r="B122" s="45" t="s">
        <v>414</v>
      </c>
      <c r="C122" s="96" t="s">
        <v>211</v>
      </c>
      <c r="D122" s="96"/>
      <c r="E122" s="96"/>
      <c r="F122" s="96"/>
      <c r="G122" s="96"/>
      <c r="H122" s="97"/>
    </row>
    <row r="123" spans="2:8" x14ac:dyDescent="0.25">
      <c r="B123" s="45" t="s">
        <v>416</v>
      </c>
      <c r="C123" s="199" t="s">
        <v>212</v>
      </c>
      <c r="D123" s="199"/>
      <c r="E123" s="199"/>
      <c r="F123" s="96"/>
      <c r="G123" s="96"/>
      <c r="H123" s="97"/>
    </row>
    <row r="124" spans="2:8" x14ac:dyDescent="0.25">
      <c r="B124" s="45" t="s">
        <v>417</v>
      </c>
      <c r="C124" s="199" t="s">
        <v>213</v>
      </c>
      <c r="D124" s="199"/>
      <c r="E124" s="199"/>
      <c r="F124" s="96"/>
      <c r="G124" s="96"/>
      <c r="H124" s="97"/>
    </row>
    <row r="125" spans="2:8" x14ac:dyDescent="0.25">
      <c r="B125" s="45" t="s">
        <v>418</v>
      </c>
      <c r="C125" s="199" t="s">
        <v>214</v>
      </c>
      <c r="D125" s="199"/>
      <c r="E125" s="199"/>
      <c r="F125" s="96"/>
      <c r="G125" s="96"/>
      <c r="H125" s="97"/>
    </row>
    <row r="126" spans="2:8" x14ac:dyDescent="0.25">
      <c r="B126" s="45" t="s">
        <v>419</v>
      </c>
      <c r="C126" s="199" t="s">
        <v>215</v>
      </c>
      <c r="D126" s="199"/>
      <c r="E126" s="199"/>
      <c r="F126" s="96"/>
      <c r="G126" s="96"/>
      <c r="H126" s="97"/>
    </row>
    <row r="127" spans="2:8" x14ac:dyDescent="0.25">
      <c r="B127" s="45" t="s">
        <v>420</v>
      </c>
      <c r="C127" s="199" t="s">
        <v>216</v>
      </c>
      <c r="D127" s="199"/>
      <c r="E127" s="199"/>
      <c r="F127" s="96"/>
      <c r="G127" s="96"/>
      <c r="H127" s="97"/>
    </row>
    <row r="128" spans="2:8" x14ac:dyDescent="0.25">
      <c r="B128" s="45" t="s">
        <v>421</v>
      </c>
      <c r="C128" s="199" t="s">
        <v>217</v>
      </c>
      <c r="D128" s="199"/>
      <c r="E128" s="199"/>
      <c r="F128" s="96"/>
      <c r="G128" s="96"/>
      <c r="H128" s="97"/>
    </row>
    <row r="129" spans="2:8" x14ac:dyDescent="0.25">
      <c r="B129" s="45" t="s">
        <v>422</v>
      </c>
      <c r="C129" s="199" t="s">
        <v>218</v>
      </c>
      <c r="D129" s="199"/>
      <c r="E129" s="199"/>
      <c r="F129" s="96"/>
      <c r="G129" s="96"/>
      <c r="H129" s="97"/>
    </row>
    <row r="130" spans="2:8" x14ac:dyDescent="0.25">
      <c r="B130" s="45" t="s">
        <v>423</v>
      </c>
      <c r="C130" s="199" t="s">
        <v>219</v>
      </c>
      <c r="D130" s="199"/>
      <c r="E130" s="199"/>
      <c r="F130" s="96"/>
      <c r="G130" s="96"/>
      <c r="H130" s="97"/>
    </row>
    <row r="131" spans="2:8" x14ac:dyDescent="0.25">
      <c r="B131" s="45" t="s">
        <v>424</v>
      </c>
      <c r="C131" s="199" t="s">
        <v>220</v>
      </c>
      <c r="D131" s="199"/>
      <c r="E131" s="199"/>
      <c r="F131" s="96"/>
      <c r="G131" s="96"/>
      <c r="H131" s="97"/>
    </row>
    <row r="132" spans="2:8" x14ac:dyDescent="0.25">
      <c r="B132" s="46" t="s">
        <v>429</v>
      </c>
      <c r="C132" s="203" t="s">
        <v>221</v>
      </c>
      <c r="D132" s="203"/>
      <c r="E132" s="203"/>
      <c r="F132" s="98"/>
      <c r="G132" s="98"/>
      <c r="H132" s="99"/>
    </row>
    <row r="133" spans="2:8" x14ac:dyDescent="0.25">
      <c r="B133" s="201" t="s">
        <v>58</v>
      </c>
      <c r="C133" s="200"/>
      <c r="D133" s="200"/>
      <c r="E133" s="200"/>
      <c r="F133" s="200"/>
      <c r="G133" s="200"/>
      <c r="H133" s="202"/>
    </row>
    <row r="134" spans="2:8" x14ac:dyDescent="0.25">
      <c r="B134" s="164" t="s">
        <v>402</v>
      </c>
      <c r="C134" s="154"/>
      <c r="D134" s="154"/>
      <c r="E134" s="154"/>
      <c r="F134" s="154"/>
      <c r="G134" s="154"/>
      <c r="H134" s="155"/>
    </row>
    <row r="135" spans="2:8" x14ac:dyDescent="0.25">
      <c r="B135" s="164" t="s">
        <v>57</v>
      </c>
      <c r="C135" s="154"/>
      <c r="D135" s="154"/>
      <c r="E135" s="154"/>
      <c r="F135" s="154"/>
      <c r="G135" s="154"/>
      <c r="H135" s="155"/>
    </row>
    <row r="136" spans="2:8" ht="15.75" thickBot="1" x14ac:dyDescent="0.3">
      <c r="B136" s="165" t="s">
        <v>17</v>
      </c>
      <c r="C136" s="166"/>
      <c r="D136" s="166"/>
      <c r="E136" s="166"/>
      <c r="F136" s="166"/>
      <c r="G136" s="166"/>
      <c r="H136" s="167"/>
    </row>
    <row r="137" spans="2:8" x14ac:dyDescent="0.25">
      <c r="B137" s="162" t="s">
        <v>60</v>
      </c>
      <c r="C137" s="163"/>
      <c r="D137" s="154" t="s">
        <v>385</v>
      </c>
      <c r="E137" s="154"/>
      <c r="F137" s="154"/>
      <c r="G137" s="154"/>
      <c r="H137" s="155"/>
    </row>
    <row r="138" spans="2:8" x14ac:dyDescent="0.25">
      <c r="B138" s="138" t="s">
        <v>61</v>
      </c>
      <c r="C138" s="139"/>
      <c r="D138" s="154" t="s">
        <v>386</v>
      </c>
      <c r="E138" s="154"/>
      <c r="F138" s="154"/>
      <c r="G138" s="154"/>
      <c r="H138" s="155"/>
    </row>
    <row r="139" spans="2:8" x14ac:dyDescent="0.25">
      <c r="B139" s="138" t="s">
        <v>62</v>
      </c>
      <c r="C139" s="139"/>
      <c r="D139" s="154" t="s">
        <v>387</v>
      </c>
      <c r="E139" s="154"/>
      <c r="F139" s="154"/>
      <c r="G139" s="154"/>
      <c r="H139" s="155"/>
    </row>
    <row r="140" spans="2:8" x14ac:dyDescent="0.25">
      <c r="B140" s="138" t="s">
        <v>63</v>
      </c>
      <c r="C140" s="139"/>
      <c r="D140" s="154" t="s">
        <v>388</v>
      </c>
      <c r="E140" s="154"/>
      <c r="F140" s="154"/>
      <c r="G140" s="154"/>
      <c r="H140" s="155"/>
    </row>
    <row r="141" spans="2:8" x14ac:dyDescent="0.25">
      <c r="B141" s="138" t="s">
        <v>64</v>
      </c>
      <c r="C141" s="139"/>
      <c r="D141" s="154" t="s">
        <v>389</v>
      </c>
      <c r="E141" s="154"/>
      <c r="F141" s="154"/>
      <c r="G141" s="154"/>
      <c r="H141" s="155"/>
    </row>
    <row r="142" spans="2:8" x14ac:dyDescent="0.25">
      <c r="B142" s="140" t="s">
        <v>65</v>
      </c>
      <c r="C142" s="141"/>
      <c r="D142" s="133" t="s">
        <v>390</v>
      </c>
      <c r="E142" s="133"/>
      <c r="F142" s="133"/>
      <c r="G142" s="133"/>
      <c r="H142" s="134"/>
    </row>
    <row r="143" spans="2:8" x14ac:dyDescent="0.25">
      <c r="B143" s="142" t="s">
        <v>66</v>
      </c>
      <c r="C143" s="143"/>
      <c r="D143" s="133" t="s">
        <v>391</v>
      </c>
      <c r="E143" s="133"/>
      <c r="F143" s="133"/>
      <c r="G143" s="133"/>
      <c r="H143" s="134"/>
    </row>
    <row r="144" spans="2:8" x14ac:dyDescent="0.25">
      <c r="B144" s="138" t="s">
        <v>70</v>
      </c>
      <c r="C144" s="139"/>
      <c r="D144" s="133" t="s">
        <v>392</v>
      </c>
      <c r="E144" s="133"/>
      <c r="F144" s="133"/>
      <c r="G144" s="133"/>
      <c r="H144" s="134"/>
    </row>
    <row r="145" spans="2:8" x14ac:dyDescent="0.25">
      <c r="B145" s="142" t="s">
        <v>67</v>
      </c>
      <c r="C145" s="143"/>
      <c r="D145" s="133" t="s">
        <v>393</v>
      </c>
      <c r="E145" s="133"/>
      <c r="F145" s="133"/>
      <c r="G145" s="133"/>
      <c r="H145" s="134"/>
    </row>
    <row r="146" spans="2:8" x14ac:dyDescent="0.25">
      <c r="B146" s="138" t="s">
        <v>68</v>
      </c>
      <c r="C146" s="139"/>
      <c r="D146" s="133" t="s">
        <v>400</v>
      </c>
      <c r="E146" s="133"/>
      <c r="F146" s="133"/>
      <c r="G146" s="133"/>
      <c r="H146" s="134"/>
    </row>
    <row r="147" spans="2:8" x14ac:dyDescent="0.25">
      <c r="B147" s="138" t="s">
        <v>18</v>
      </c>
      <c r="C147" s="139"/>
      <c r="D147" s="133" t="s">
        <v>395</v>
      </c>
      <c r="E147" s="133"/>
      <c r="F147" s="133"/>
      <c r="G147" s="133"/>
      <c r="H147" s="134"/>
    </row>
    <row r="148" spans="2:8" x14ac:dyDescent="0.25">
      <c r="B148" s="138" t="s">
        <v>19</v>
      </c>
      <c r="C148" s="139"/>
      <c r="D148" s="133" t="s">
        <v>396</v>
      </c>
      <c r="E148" s="133"/>
      <c r="F148" s="133"/>
      <c r="G148" s="133"/>
      <c r="H148" s="134"/>
    </row>
    <row r="149" spans="2:8" x14ac:dyDescent="0.25">
      <c r="B149" s="140" t="s">
        <v>20</v>
      </c>
      <c r="C149" s="141"/>
      <c r="D149" s="133" t="s">
        <v>397</v>
      </c>
      <c r="E149" s="133"/>
      <c r="F149" s="133"/>
      <c r="G149" s="133"/>
      <c r="H149" s="134"/>
    </row>
    <row r="150" spans="2:8" x14ac:dyDescent="0.25">
      <c r="B150" s="142" t="s">
        <v>21</v>
      </c>
      <c r="C150" s="143"/>
      <c r="D150" s="133" t="s">
        <v>398</v>
      </c>
      <c r="E150" s="133"/>
      <c r="F150" s="133"/>
      <c r="G150" s="133"/>
      <c r="H150" s="134"/>
    </row>
    <row r="151" spans="2:8" ht="15.75" thickBot="1" x14ac:dyDescent="0.3">
      <c r="B151" s="136" t="s">
        <v>69</v>
      </c>
      <c r="C151" s="137"/>
      <c r="D151" s="133" t="s">
        <v>399</v>
      </c>
      <c r="E151" s="133"/>
      <c r="F151" s="133"/>
      <c r="G151" s="133"/>
      <c r="H151" s="134"/>
    </row>
    <row r="152" spans="2:8" ht="15" customHeight="1" x14ac:dyDescent="0.25">
      <c r="B152" s="156" t="s">
        <v>55</v>
      </c>
      <c r="C152" s="157"/>
      <c r="D152" s="157"/>
      <c r="E152" s="157"/>
      <c r="F152" s="157"/>
      <c r="G152" s="157"/>
      <c r="H152" s="158"/>
    </row>
    <row r="153" spans="2:8" x14ac:dyDescent="0.25">
      <c r="B153" s="159"/>
      <c r="C153" s="160"/>
      <c r="D153" s="160"/>
      <c r="E153" s="160"/>
      <c r="F153" s="160"/>
      <c r="G153" s="160"/>
      <c r="H153" s="161"/>
    </row>
    <row r="154" spans="2:8" ht="15.75" thickBot="1" x14ac:dyDescent="0.3">
      <c r="B154" s="151" t="s">
        <v>56</v>
      </c>
      <c r="C154" s="152"/>
      <c r="D154" s="152"/>
      <c r="E154" s="152"/>
      <c r="F154" s="152"/>
      <c r="G154" s="152"/>
      <c r="H154" s="153"/>
    </row>
  </sheetData>
  <mergeCells count="72">
    <mergeCell ref="C128:E128"/>
    <mergeCell ref="C129:E129"/>
    <mergeCell ref="C130:E130"/>
    <mergeCell ref="C131:E131"/>
    <mergeCell ref="C123:E123"/>
    <mergeCell ref="C124:E124"/>
    <mergeCell ref="C125:E125"/>
    <mergeCell ref="C126:E126"/>
    <mergeCell ref="C127:E127"/>
    <mergeCell ref="B133:H133"/>
    <mergeCell ref="B134:H134"/>
    <mergeCell ref="B135:H135"/>
    <mergeCell ref="B136:H136"/>
    <mergeCell ref="A3:B3"/>
    <mergeCell ref="A4:B4"/>
    <mergeCell ref="A5:B5"/>
    <mergeCell ref="A6:B6"/>
    <mergeCell ref="C3:E3"/>
    <mergeCell ref="C4:E4"/>
    <mergeCell ref="C5:E5"/>
    <mergeCell ref="C6:E6"/>
    <mergeCell ref="C117:H117"/>
    <mergeCell ref="C118:H118"/>
    <mergeCell ref="B91:C91"/>
    <mergeCell ref="B154:H154"/>
    <mergeCell ref="D137:H137"/>
    <mergeCell ref="D138:H138"/>
    <mergeCell ref="D139:H139"/>
    <mergeCell ref="D140:H140"/>
    <mergeCell ref="D141:H141"/>
    <mergeCell ref="B152:H153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C1:F2"/>
    <mergeCell ref="C111:H111"/>
    <mergeCell ref="C112:H112"/>
    <mergeCell ref="C113:H113"/>
    <mergeCell ref="C114:H114"/>
    <mergeCell ref="C105:H105"/>
    <mergeCell ref="C106:H106"/>
    <mergeCell ref="C107:H107"/>
    <mergeCell ref="C108:H108"/>
    <mergeCell ref="C109:H109"/>
    <mergeCell ref="C110:H110"/>
    <mergeCell ref="C99:H99"/>
    <mergeCell ref="C100:H100"/>
    <mergeCell ref="C101:H101"/>
    <mergeCell ref="C102:H102"/>
    <mergeCell ref="C103:H103"/>
    <mergeCell ref="B92:C92"/>
    <mergeCell ref="C115:H115"/>
    <mergeCell ref="C116:H116"/>
    <mergeCell ref="C104:H104"/>
    <mergeCell ref="C93:H93"/>
    <mergeCell ref="C94:H94"/>
    <mergeCell ref="C95:H95"/>
    <mergeCell ref="C96:H96"/>
    <mergeCell ref="C97:H97"/>
    <mergeCell ref="C98:H98"/>
    <mergeCell ref="B151:C151"/>
    <mergeCell ref="B146:C146"/>
    <mergeCell ref="B147:C147"/>
    <mergeCell ref="B148:C148"/>
    <mergeCell ref="B149:C149"/>
    <mergeCell ref="B150:C1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102"/>
  <sheetViews>
    <sheetView tabSelected="1" workbookViewId="0">
      <selection activeCell="K15" sqref="K15"/>
    </sheetView>
  </sheetViews>
  <sheetFormatPr baseColWidth="10" defaultColWidth="10.7109375" defaultRowHeight="15" x14ac:dyDescent="0.25"/>
  <cols>
    <col min="1" max="1" width="4.140625" customWidth="1"/>
    <col min="2" max="2" width="3" bestFit="1" customWidth="1"/>
    <col min="3" max="3" width="72.28515625" customWidth="1"/>
    <col min="4" max="4" width="10" customWidth="1"/>
    <col min="5" max="5" width="9.85546875" customWidth="1"/>
    <col min="6" max="6" width="12.28515625" customWidth="1"/>
    <col min="7" max="7" width="27.42578125" customWidth="1"/>
    <col min="8" max="8" width="7.5703125" customWidth="1"/>
    <col min="9" max="10" width="10.5703125" customWidth="1"/>
    <col min="11" max="11" width="10.28515625" customWidth="1"/>
    <col min="12" max="12" width="11.42578125" customWidth="1"/>
    <col min="13" max="13" width="10.28515625" customWidth="1"/>
    <col min="14" max="15" width="11" customWidth="1"/>
    <col min="16" max="16" width="9.7109375" customWidth="1"/>
    <col min="17" max="17" width="7.85546875" customWidth="1"/>
    <col min="18" max="18" width="7.28515625" customWidth="1"/>
    <col min="19" max="19" width="6.5703125" customWidth="1"/>
    <col min="20" max="20" width="8.5703125" customWidth="1"/>
    <col min="21" max="21" width="10.28515625" customWidth="1"/>
    <col min="22" max="24" width="11.42578125" customWidth="1"/>
    <col min="25" max="25" width="80.28515625" customWidth="1"/>
  </cols>
  <sheetData>
    <row r="1" spans="2:25" ht="18.75" x14ac:dyDescent="0.3">
      <c r="C1" s="29" t="s">
        <v>401</v>
      </c>
    </row>
    <row r="2" spans="2:25" ht="15.75" thickBot="1" x14ac:dyDescent="0.3"/>
    <row r="3" spans="2:25" ht="48.75" thickBot="1" x14ac:dyDescent="0.3">
      <c r="B3" s="26" t="s">
        <v>5</v>
      </c>
      <c r="C3" s="27" t="s">
        <v>9</v>
      </c>
      <c r="D3" s="38" t="s">
        <v>10</v>
      </c>
      <c r="E3" s="39" t="s">
        <v>11</v>
      </c>
      <c r="F3" s="189" t="s">
        <v>49</v>
      </c>
      <c r="G3" s="190"/>
      <c r="H3" s="31" t="s">
        <v>60</v>
      </c>
      <c r="I3" s="52" t="s">
        <v>61</v>
      </c>
      <c r="J3" s="52" t="s">
        <v>62</v>
      </c>
      <c r="K3" s="52" t="s">
        <v>63</v>
      </c>
      <c r="L3" s="52" t="s">
        <v>64</v>
      </c>
      <c r="M3" s="52" t="s">
        <v>65</v>
      </c>
      <c r="N3" s="52" t="s">
        <v>66</v>
      </c>
      <c r="O3" s="52" t="s">
        <v>70</v>
      </c>
      <c r="P3" s="52" t="s">
        <v>67</v>
      </c>
      <c r="Q3" s="56" t="s">
        <v>68</v>
      </c>
      <c r="R3" s="32" t="s">
        <v>18</v>
      </c>
      <c r="S3" s="32" t="s">
        <v>19</v>
      </c>
      <c r="T3" s="32" t="s">
        <v>20</v>
      </c>
      <c r="U3" s="57" t="s">
        <v>21</v>
      </c>
      <c r="V3" s="32" t="s">
        <v>69</v>
      </c>
      <c r="W3" s="33" t="s">
        <v>51</v>
      </c>
      <c r="X3" s="35" t="s">
        <v>52</v>
      </c>
      <c r="Y3" s="28" t="s">
        <v>50</v>
      </c>
    </row>
    <row r="4" spans="2:25" ht="23.25" thickBot="1" x14ac:dyDescent="0.3">
      <c r="B4" s="20">
        <v>1</v>
      </c>
      <c r="C4" s="23" t="s">
        <v>59</v>
      </c>
      <c r="D4" s="25" t="s">
        <v>14</v>
      </c>
      <c r="E4" s="80">
        <v>627</v>
      </c>
      <c r="F4" s="22" t="s">
        <v>48</v>
      </c>
      <c r="G4" s="7" t="s">
        <v>199</v>
      </c>
      <c r="H4" s="9">
        <v>18</v>
      </c>
      <c r="I4" s="53">
        <v>12</v>
      </c>
      <c r="J4" s="53">
        <v>12</v>
      </c>
      <c r="K4" s="53">
        <v>26</v>
      </c>
      <c r="L4" s="53">
        <v>8</v>
      </c>
      <c r="M4" s="53">
        <v>8</v>
      </c>
      <c r="N4" s="53">
        <v>10</v>
      </c>
      <c r="O4" s="53">
        <v>10</v>
      </c>
      <c r="P4" s="53">
        <v>10</v>
      </c>
      <c r="Q4" s="58">
        <v>17</v>
      </c>
      <c r="R4" s="11">
        <v>17</v>
      </c>
      <c r="S4" s="11">
        <v>17</v>
      </c>
      <c r="T4" s="11">
        <v>16</v>
      </c>
      <c r="U4" s="59">
        <v>16</v>
      </c>
      <c r="V4" s="59">
        <v>12</v>
      </c>
      <c r="W4" s="34">
        <f>SUM(H4:V4)</f>
        <v>209</v>
      </c>
      <c r="X4" s="36">
        <f>W4*3</f>
        <v>627</v>
      </c>
      <c r="Y4" s="4" t="s">
        <v>437</v>
      </c>
    </row>
    <row r="5" spans="2:25" ht="23.25" thickBot="1" x14ac:dyDescent="0.3">
      <c r="B5" s="21">
        <v>2</v>
      </c>
      <c r="C5" s="24" t="s">
        <v>71</v>
      </c>
      <c r="D5" s="25" t="s">
        <v>14</v>
      </c>
      <c r="E5" s="81">
        <v>252</v>
      </c>
      <c r="F5" s="3" t="s">
        <v>22</v>
      </c>
      <c r="G5" s="8" t="s">
        <v>200</v>
      </c>
      <c r="H5" s="10">
        <v>6</v>
      </c>
      <c r="I5" s="54">
        <v>4</v>
      </c>
      <c r="J5" s="54">
        <v>4</v>
      </c>
      <c r="K5" s="54">
        <v>14</v>
      </c>
      <c r="L5" s="54">
        <v>4</v>
      </c>
      <c r="M5" s="54">
        <v>4</v>
      </c>
      <c r="N5" s="54">
        <v>4</v>
      </c>
      <c r="O5" s="54">
        <v>4</v>
      </c>
      <c r="P5" s="54">
        <v>5</v>
      </c>
      <c r="Q5" s="60">
        <v>7</v>
      </c>
      <c r="R5" s="12">
        <v>7</v>
      </c>
      <c r="S5" s="12">
        <v>7</v>
      </c>
      <c r="T5" s="12">
        <v>5</v>
      </c>
      <c r="U5" s="61">
        <v>5</v>
      </c>
      <c r="V5" s="61">
        <v>4</v>
      </c>
      <c r="W5" s="34">
        <f>SUM(H5:V5)</f>
        <v>84</v>
      </c>
      <c r="X5" s="37">
        <f t="shared" ref="X5:X68" si="0">W5*3</f>
        <v>252</v>
      </c>
      <c r="Y5" s="4" t="s">
        <v>438</v>
      </c>
    </row>
    <row r="6" spans="2:25" ht="36.75" thickBot="1" x14ac:dyDescent="0.3">
      <c r="B6" s="21">
        <v>3</v>
      </c>
      <c r="C6" s="24" t="s">
        <v>72</v>
      </c>
      <c r="D6" s="25" t="s">
        <v>14</v>
      </c>
      <c r="E6" s="81">
        <v>402</v>
      </c>
      <c r="F6" s="3" t="s">
        <v>23</v>
      </c>
      <c r="G6" s="8" t="s">
        <v>201</v>
      </c>
      <c r="H6" s="10">
        <v>14</v>
      </c>
      <c r="I6" s="54">
        <v>10</v>
      </c>
      <c r="J6" s="54">
        <v>5</v>
      </c>
      <c r="K6" s="54">
        <v>22</v>
      </c>
      <c r="L6" s="54">
        <v>5</v>
      </c>
      <c r="M6" s="54">
        <v>5</v>
      </c>
      <c r="N6" s="54">
        <v>10</v>
      </c>
      <c r="O6" s="54">
        <v>10</v>
      </c>
      <c r="P6" s="54">
        <v>15</v>
      </c>
      <c r="Q6" s="60">
        <v>7</v>
      </c>
      <c r="R6" s="12">
        <v>7</v>
      </c>
      <c r="S6" s="12">
        <v>7</v>
      </c>
      <c r="T6" s="12">
        <v>5</v>
      </c>
      <c r="U6" s="61">
        <v>5</v>
      </c>
      <c r="V6" s="61">
        <v>7</v>
      </c>
      <c r="W6" s="34">
        <f>SUM(H6:V6)</f>
        <v>134</v>
      </c>
      <c r="X6" s="37">
        <f t="shared" si="0"/>
        <v>402</v>
      </c>
      <c r="Y6" s="4" t="s">
        <v>439</v>
      </c>
    </row>
    <row r="7" spans="2:25" ht="45.75" thickBot="1" x14ac:dyDescent="0.3">
      <c r="B7" s="21">
        <v>4</v>
      </c>
      <c r="C7" s="24" t="s">
        <v>73</v>
      </c>
      <c r="D7" s="6" t="s">
        <v>14</v>
      </c>
      <c r="E7" s="81">
        <v>120</v>
      </c>
      <c r="F7" s="3" t="s">
        <v>24</v>
      </c>
      <c r="G7" s="8" t="s">
        <v>202</v>
      </c>
      <c r="H7" s="10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  <c r="O7" s="76">
        <v>0</v>
      </c>
      <c r="P7" s="76">
        <v>0</v>
      </c>
      <c r="Q7" s="60">
        <v>7</v>
      </c>
      <c r="R7" s="12">
        <v>7</v>
      </c>
      <c r="S7" s="12">
        <v>7</v>
      </c>
      <c r="T7" s="12">
        <v>6</v>
      </c>
      <c r="U7" s="61">
        <v>6</v>
      </c>
      <c r="V7" s="61">
        <v>7</v>
      </c>
      <c r="W7" s="34">
        <f>SUM(H7:V7)</f>
        <v>40</v>
      </c>
      <c r="X7" s="37">
        <f t="shared" si="0"/>
        <v>120</v>
      </c>
      <c r="Y7" s="4" t="s">
        <v>75</v>
      </c>
    </row>
    <row r="8" spans="2:25" ht="36.75" thickBot="1" x14ac:dyDescent="0.3">
      <c r="B8" s="21">
        <v>5</v>
      </c>
      <c r="C8" s="24" t="s">
        <v>74</v>
      </c>
      <c r="D8" s="6" t="s">
        <v>14</v>
      </c>
      <c r="E8" s="81">
        <v>120</v>
      </c>
      <c r="F8" s="3" t="s">
        <v>25</v>
      </c>
      <c r="G8" s="8" t="s">
        <v>203</v>
      </c>
      <c r="H8" s="10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  <c r="O8" s="76">
        <v>0</v>
      </c>
      <c r="P8" s="76">
        <v>0</v>
      </c>
      <c r="Q8" s="60">
        <v>7</v>
      </c>
      <c r="R8" s="12">
        <v>7</v>
      </c>
      <c r="S8" s="12">
        <v>7</v>
      </c>
      <c r="T8" s="12">
        <v>6</v>
      </c>
      <c r="U8" s="61">
        <v>6</v>
      </c>
      <c r="V8" s="61">
        <v>7</v>
      </c>
      <c r="W8" s="34">
        <f t="shared" ref="W8:W71" si="1">SUM(H8:V8)</f>
        <v>40</v>
      </c>
      <c r="X8" s="37">
        <f t="shared" si="0"/>
        <v>120</v>
      </c>
      <c r="Y8" s="4" t="s">
        <v>163</v>
      </c>
    </row>
    <row r="9" spans="2:25" ht="24.75" thickBot="1" x14ac:dyDescent="0.3">
      <c r="B9" s="21">
        <v>6</v>
      </c>
      <c r="C9" s="24" t="s">
        <v>76</v>
      </c>
      <c r="D9" s="6" t="s">
        <v>14</v>
      </c>
      <c r="E9" s="82">
        <v>60</v>
      </c>
      <c r="F9" s="3" t="s">
        <v>26</v>
      </c>
      <c r="G9" s="8" t="s">
        <v>204</v>
      </c>
      <c r="H9" s="10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  <c r="O9" s="76">
        <v>0</v>
      </c>
      <c r="P9" s="76">
        <v>0</v>
      </c>
      <c r="Q9" s="60">
        <v>4</v>
      </c>
      <c r="R9" s="12">
        <v>4</v>
      </c>
      <c r="S9" s="12">
        <v>4</v>
      </c>
      <c r="T9" s="12">
        <v>4</v>
      </c>
      <c r="U9" s="61">
        <v>4</v>
      </c>
      <c r="V9" s="61"/>
      <c r="W9" s="34">
        <f t="shared" si="1"/>
        <v>20</v>
      </c>
      <c r="X9" s="37">
        <f t="shared" si="0"/>
        <v>60</v>
      </c>
      <c r="Y9" s="4" t="s">
        <v>165</v>
      </c>
    </row>
    <row r="10" spans="2:25" ht="30.75" thickBot="1" x14ac:dyDescent="0.3">
      <c r="B10" s="21">
        <v>7</v>
      </c>
      <c r="C10" s="24" t="s">
        <v>77</v>
      </c>
      <c r="D10" s="6" t="s">
        <v>14</v>
      </c>
      <c r="E10" s="82">
        <v>576</v>
      </c>
      <c r="F10" s="3" t="s">
        <v>27</v>
      </c>
      <c r="G10" s="8" t="s">
        <v>205</v>
      </c>
      <c r="H10" s="10">
        <v>12</v>
      </c>
      <c r="I10" s="54">
        <v>18</v>
      </c>
      <c r="J10" s="54">
        <v>10</v>
      </c>
      <c r="K10" s="54">
        <v>32</v>
      </c>
      <c r="L10" s="54">
        <v>10</v>
      </c>
      <c r="M10" s="54">
        <v>6</v>
      </c>
      <c r="N10" s="54">
        <v>7</v>
      </c>
      <c r="O10" s="54">
        <v>7</v>
      </c>
      <c r="P10" s="54">
        <v>10</v>
      </c>
      <c r="Q10" s="60">
        <v>14</v>
      </c>
      <c r="R10" s="12">
        <v>14</v>
      </c>
      <c r="S10" s="12">
        <v>14</v>
      </c>
      <c r="T10" s="12">
        <v>14</v>
      </c>
      <c r="U10" s="61">
        <v>14</v>
      </c>
      <c r="V10" s="61">
        <v>10</v>
      </c>
      <c r="W10" s="34">
        <f t="shared" si="1"/>
        <v>192</v>
      </c>
      <c r="X10" s="37">
        <f t="shared" si="0"/>
        <v>576</v>
      </c>
      <c r="Y10" s="4" t="s">
        <v>440</v>
      </c>
    </row>
    <row r="11" spans="2:25" ht="26.25" thickBot="1" x14ac:dyDescent="0.3">
      <c r="B11" s="21">
        <v>8</v>
      </c>
      <c r="C11" s="74" t="s">
        <v>110</v>
      </c>
      <c r="D11" s="6" t="s">
        <v>14</v>
      </c>
      <c r="E11" s="82">
        <v>240</v>
      </c>
      <c r="F11" s="3" t="s">
        <v>28</v>
      </c>
      <c r="G11" s="8" t="s">
        <v>111</v>
      </c>
      <c r="H11" s="10">
        <v>0</v>
      </c>
      <c r="I11" s="54">
        <v>0</v>
      </c>
      <c r="J11" s="54">
        <v>0</v>
      </c>
      <c r="K11" s="54">
        <v>0</v>
      </c>
      <c r="L11" s="54">
        <v>0</v>
      </c>
      <c r="M11" s="54">
        <v>0</v>
      </c>
      <c r="N11" s="54">
        <v>0</v>
      </c>
      <c r="O11" s="54">
        <v>0</v>
      </c>
      <c r="P11" s="54">
        <v>0</v>
      </c>
      <c r="Q11" s="60">
        <v>14</v>
      </c>
      <c r="R11" s="12">
        <v>14</v>
      </c>
      <c r="S11" s="12">
        <v>14</v>
      </c>
      <c r="T11" s="12">
        <v>14</v>
      </c>
      <c r="U11" s="61">
        <v>14</v>
      </c>
      <c r="V11" s="61">
        <v>10</v>
      </c>
      <c r="W11" s="34">
        <f t="shared" si="1"/>
        <v>80</v>
      </c>
      <c r="X11" s="37">
        <f t="shared" si="0"/>
        <v>240</v>
      </c>
      <c r="Y11" s="4" t="s">
        <v>112</v>
      </c>
    </row>
    <row r="12" spans="2:25" ht="25.5" customHeight="1" thickBot="1" x14ac:dyDescent="0.3">
      <c r="B12" s="21">
        <v>9</v>
      </c>
      <c r="C12" s="65" t="s">
        <v>113</v>
      </c>
      <c r="D12" s="6" t="s">
        <v>14</v>
      </c>
      <c r="E12" s="94">
        <v>99</v>
      </c>
      <c r="F12" s="3" t="s">
        <v>29</v>
      </c>
      <c r="G12" s="8" t="s">
        <v>114</v>
      </c>
      <c r="H12" s="10">
        <v>4</v>
      </c>
      <c r="I12" s="54">
        <v>3</v>
      </c>
      <c r="J12" s="54">
        <v>3</v>
      </c>
      <c r="K12" s="54">
        <v>4</v>
      </c>
      <c r="L12" s="54">
        <v>3</v>
      </c>
      <c r="M12" s="54">
        <v>4</v>
      </c>
      <c r="N12" s="54">
        <v>2</v>
      </c>
      <c r="O12" s="54">
        <v>0</v>
      </c>
      <c r="P12" s="54">
        <v>0</v>
      </c>
      <c r="Q12" s="60">
        <v>2</v>
      </c>
      <c r="R12" s="12">
        <v>2</v>
      </c>
      <c r="S12" s="12">
        <v>2</v>
      </c>
      <c r="T12" s="12">
        <v>2</v>
      </c>
      <c r="U12" s="61">
        <v>2</v>
      </c>
      <c r="V12" s="61">
        <v>0</v>
      </c>
      <c r="W12" s="34">
        <f t="shared" si="1"/>
        <v>33</v>
      </c>
      <c r="X12" s="75">
        <f t="shared" si="0"/>
        <v>99</v>
      </c>
      <c r="Y12" s="4" t="s">
        <v>123</v>
      </c>
    </row>
    <row r="13" spans="2:25" ht="39" thickBot="1" x14ac:dyDescent="0.3">
      <c r="B13" s="21">
        <v>10</v>
      </c>
      <c r="C13" s="73" t="s">
        <v>116</v>
      </c>
      <c r="D13" s="6" t="s">
        <v>115</v>
      </c>
      <c r="E13" s="81">
        <v>534</v>
      </c>
      <c r="F13" s="3" t="s">
        <v>30</v>
      </c>
      <c r="G13" s="8"/>
      <c r="H13" s="10">
        <v>16</v>
      </c>
      <c r="I13" s="54">
        <v>10</v>
      </c>
      <c r="J13" s="54">
        <v>10</v>
      </c>
      <c r="K13" s="54">
        <v>20</v>
      </c>
      <c r="L13" s="54">
        <v>8</v>
      </c>
      <c r="M13" s="54">
        <v>8</v>
      </c>
      <c r="N13" s="54">
        <v>10</v>
      </c>
      <c r="O13" s="54">
        <v>10</v>
      </c>
      <c r="P13" s="54">
        <v>10</v>
      </c>
      <c r="Q13" s="60">
        <v>13</v>
      </c>
      <c r="R13" s="12">
        <v>13</v>
      </c>
      <c r="S13" s="12">
        <v>12</v>
      </c>
      <c r="T13" s="12">
        <v>14</v>
      </c>
      <c r="U13" s="61">
        <v>14</v>
      </c>
      <c r="V13" s="61">
        <v>10</v>
      </c>
      <c r="W13" s="34">
        <f t="shared" si="1"/>
        <v>178</v>
      </c>
      <c r="X13" s="37">
        <f t="shared" si="0"/>
        <v>534</v>
      </c>
      <c r="Y13" s="4" t="s">
        <v>117</v>
      </c>
    </row>
    <row r="14" spans="2:25" ht="26.25" thickBot="1" x14ac:dyDescent="0.3">
      <c r="B14" s="21">
        <v>11</v>
      </c>
      <c r="C14" s="73" t="s">
        <v>118</v>
      </c>
      <c r="D14" s="6" t="s">
        <v>14</v>
      </c>
      <c r="E14" s="81">
        <v>426</v>
      </c>
      <c r="F14" s="3" t="s">
        <v>31</v>
      </c>
      <c r="G14" s="8"/>
      <c r="H14" s="10">
        <v>8</v>
      </c>
      <c r="I14" s="54">
        <v>8</v>
      </c>
      <c r="J14" s="54">
        <v>12</v>
      </c>
      <c r="K14" s="54">
        <v>20</v>
      </c>
      <c r="L14" s="54">
        <v>4</v>
      </c>
      <c r="M14" s="54">
        <v>4</v>
      </c>
      <c r="N14" s="54">
        <v>6</v>
      </c>
      <c r="O14" s="54">
        <v>0</v>
      </c>
      <c r="P14" s="54">
        <v>0</v>
      </c>
      <c r="Q14" s="60">
        <v>14</v>
      </c>
      <c r="R14" s="12">
        <v>14</v>
      </c>
      <c r="S14" s="12">
        <v>14</v>
      </c>
      <c r="T14" s="12">
        <v>14</v>
      </c>
      <c r="U14" s="61">
        <v>14</v>
      </c>
      <c r="V14" s="61">
        <v>10</v>
      </c>
      <c r="W14" s="34">
        <f t="shared" si="1"/>
        <v>142</v>
      </c>
      <c r="X14" s="37">
        <f t="shared" si="0"/>
        <v>426</v>
      </c>
      <c r="Y14" s="4" t="s">
        <v>441</v>
      </c>
    </row>
    <row r="15" spans="2:25" ht="23.25" thickBot="1" x14ac:dyDescent="0.3">
      <c r="B15" s="21">
        <v>12</v>
      </c>
      <c r="C15" s="64" t="s">
        <v>78</v>
      </c>
      <c r="D15" s="6" t="s">
        <v>14</v>
      </c>
      <c r="E15" s="82">
        <v>117</v>
      </c>
      <c r="F15" s="3" t="s">
        <v>32</v>
      </c>
      <c r="G15" s="8" t="s">
        <v>119</v>
      </c>
      <c r="H15" s="10">
        <v>3</v>
      </c>
      <c r="I15" s="54">
        <v>3</v>
      </c>
      <c r="J15" s="54">
        <v>3</v>
      </c>
      <c r="K15" s="54">
        <v>3</v>
      </c>
      <c r="L15" s="54">
        <v>3</v>
      </c>
      <c r="M15" s="54">
        <v>4</v>
      </c>
      <c r="N15" s="54">
        <v>3</v>
      </c>
      <c r="O15" s="54">
        <v>3</v>
      </c>
      <c r="P15" s="54">
        <v>2</v>
      </c>
      <c r="Q15" s="60">
        <v>2</v>
      </c>
      <c r="R15" s="12">
        <v>2</v>
      </c>
      <c r="S15" s="12">
        <v>2</v>
      </c>
      <c r="T15" s="12">
        <v>2</v>
      </c>
      <c r="U15" s="61">
        <v>2</v>
      </c>
      <c r="V15" s="61">
        <v>2</v>
      </c>
      <c r="W15" s="34">
        <f t="shared" si="1"/>
        <v>39</v>
      </c>
      <c r="X15" s="37">
        <f t="shared" si="0"/>
        <v>117</v>
      </c>
      <c r="Y15" s="4" t="s">
        <v>120</v>
      </c>
    </row>
    <row r="16" spans="2:25" ht="24.75" thickBot="1" x14ac:dyDescent="0.3">
      <c r="B16" s="21">
        <v>13</v>
      </c>
      <c r="C16" s="64" t="s">
        <v>121</v>
      </c>
      <c r="D16" s="77" t="s">
        <v>14</v>
      </c>
      <c r="E16" s="82">
        <v>210</v>
      </c>
      <c r="F16" s="3" t="s">
        <v>33</v>
      </c>
      <c r="G16" s="8" t="s">
        <v>206</v>
      </c>
      <c r="H16" s="10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0</v>
      </c>
      <c r="P16" s="54">
        <v>0</v>
      </c>
      <c r="Q16" s="60">
        <v>14</v>
      </c>
      <c r="R16" s="12">
        <v>14</v>
      </c>
      <c r="S16" s="12">
        <v>14</v>
      </c>
      <c r="T16" s="12">
        <v>14</v>
      </c>
      <c r="U16" s="61">
        <v>14</v>
      </c>
      <c r="V16" s="61">
        <v>0</v>
      </c>
      <c r="W16" s="34">
        <f t="shared" si="1"/>
        <v>70</v>
      </c>
      <c r="X16" s="75">
        <f t="shared" si="0"/>
        <v>210</v>
      </c>
      <c r="Y16" s="4" t="s">
        <v>442</v>
      </c>
    </row>
    <row r="17" spans="2:25" ht="26.25" thickBot="1" x14ac:dyDescent="0.3">
      <c r="B17" s="21">
        <v>14</v>
      </c>
      <c r="C17" s="74" t="s">
        <v>79</v>
      </c>
      <c r="D17" s="6" t="s">
        <v>14</v>
      </c>
      <c r="E17" s="82">
        <v>510</v>
      </c>
      <c r="F17" s="3" t="s">
        <v>34</v>
      </c>
      <c r="G17" s="8"/>
      <c r="H17" s="10">
        <v>12</v>
      </c>
      <c r="I17" s="54">
        <v>12</v>
      </c>
      <c r="J17" s="54">
        <v>10</v>
      </c>
      <c r="K17" s="54">
        <v>18</v>
      </c>
      <c r="L17" s="54">
        <v>12</v>
      </c>
      <c r="M17" s="54">
        <v>10</v>
      </c>
      <c r="N17" s="54">
        <v>10</v>
      </c>
      <c r="O17" s="54">
        <v>10</v>
      </c>
      <c r="P17" s="54">
        <v>10</v>
      </c>
      <c r="Q17" s="60">
        <v>12</v>
      </c>
      <c r="R17" s="12">
        <v>12</v>
      </c>
      <c r="S17" s="12">
        <v>12</v>
      </c>
      <c r="T17" s="12">
        <v>10</v>
      </c>
      <c r="U17" s="61">
        <v>10</v>
      </c>
      <c r="V17" s="61">
        <v>10</v>
      </c>
      <c r="W17" s="34">
        <f t="shared" si="1"/>
        <v>170</v>
      </c>
      <c r="X17" s="75">
        <f t="shared" si="0"/>
        <v>510</v>
      </c>
      <c r="Y17" s="4" t="s">
        <v>122</v>
      </c>
    </row>
    <row r="18" spans="2:25" ht="23.25" thickBot="1" x14ac:dyDescent="0.3">
      <c r="B18" s="21">
        <v>15</v>
      </c>
      <c r="C18" s="64" t="s">
        <v>80</v>
      </c>
      <c r="D18" s="6" t="s">
        <v>14</v>
      </c>
      <c r="E18" s="82">
        <v>240</v>
      </c>
      <c r="F18" s="3" t="s">
        <v>35</v>
      </c>
      <c r="G18" s="8" t="s">
        <v>403</v>
      </c>
      <c r="H18" s="10">
        <v>0</v>
      </c>
      <c r="I18" s="54">
        <v>0</v>
      </c>
      <c r="J18" s="54">
        <v>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54">
        <v>10</v>
      </c>
      <c r="Q18" s="60">
        <v>12</v>
      </c>
      <c r="R18" s="12">
        <v>12</v>
      </c>
      <c r="S18" s="12">
        <v>12</v>
      </c>
      <c r="T18" s="12">
        <v>12</v>
      </c>
      <c r="U18" s="61">
        <v>12</v>
      </c>
      <c r="V18" s="61">
        <v>10</v>
      </c>
      <c r="W18" s="34">
        <f t="shared" si="1"/>
        <v>80</v>
      </c>
      <c r="X18" s="75">
        <f t="shared" si="0"/>
        <v>240</v>
      </c>
      <c r="Y18" s="4" t="s">
        <v>123</v>
      </c>
    </row>
    <row r="19" spans="2:25" ht="39" thickBot="1" x14ac:dyDescent="0.3">
      <c r="B19" s="21">
        <v>16</v>
      </c>
      <c r="C19" s="74" t="s">
        <v>81</v>
      </c>
      <c r="D19" s="6" t="s">
        <v>14</v>
      </c>
      <c r="E19" s="82">
        <v>300</v>
      </c>
      <c r="F19" s="3" t="s">
        <v>36</v>
      </c>
      <c r="G19" s="8" t="s">
        <v>207</v>
      </c>
      <c r="H19" s="10">
        <v>10</v>
      </c>
      <c r="I19" s="54">
        <v>5</v>
      </c>
      <c r="J19" s="54">
        <v>5</v>
      </c>
      <c r="K19" s="54">
        <v>10</v>
      </c>
      <c r="L19" s="54">
        <v>5</v>
      </c>
      <c r="M19" s="54">
        <v>5</v>
      </c>
      <c r="N19" s="54">
        <v>5</v>
      </c>
      <c r="O19" s="54">
        <v>5</v>
      </c>
      <c r="P19" s="54">
        <v>0</v>
      </c>
      <c r="Q19" s="60">
        <v>10</v>
      </c>
      <c r="R19" s="12">
        <v>10</v>
      </c>
      <c r="S19" s="12">
        <v>10</v>
      </c>
      <c r="T19" s="12">
        <v>10</v>
      </c>
      <c r="U19" s="61">
        <v>10</v>
      </c>
      <c r="V19" s="61">
        <v>0</v>
      </c>
      <c r="W19" s="34">
        <f t="shared" si="1"/>
        <v>100</v>
      </c>
      <c r="X19" s="75">
        <f t="shared" si="0"/>
        <v>300</v>
      </c>
      <c r="Y19" s="4" t="s">
        <v>124</v>
      </c>
    </row>
    <row r="20" spans="2:25" ht="23.25" thickBot="1" x14ac:dyDescent="0.3">
      <c r="B20" s="21">
        <v>17</v>
      </c>
      <c r="C20" s="67" t="s">
        <v>82</v>
      </c>
      <c r="D20" s="6" t="s">
        <v>14</v>
      </c>
      <c r="E20" s="82">
        <v>312</v>
      </c>
      <c r="F20" s="3" t="s">
        <v>37</v>
      </c>
      <c r="G20" s="8"/>
      <c r="H20" s="10">
        <v>8</v>
      </c>
      <c r="I20" s="54">
        <v>4</v>
      </c>
      <c r="J20" s="54">
        <v>4</v>
      </c>
      <c r="K20" s="54">
        <v>16</v>
      </c>
      <c r="L20" s="54">
        <v>4</v>
      </c>
      <c r="M20" s="54">
        <v>4</v>
      </c>
      <c r="N20" s="54">
        <v>4</v>
      </c>
      <c r="O20" s="54">
        <v>4</v>
      </c>
      <c r="P20" s="54">
        <v>0</v>
      </c>
      <c r="Q20" s="60">
        <v>12</v>
      </c>
      <c r="R20" s="12">
        <v>12</v>
      </c>
      <c r="S20" s="12">
        <v>12</v>
      </c>
      <c r="T20" s="12">
        <v>10</v>
      </c>
      <c r="U20" s="61">
        <v>10</v>
      </c>
      <c r="V20" s="61">
        <v>0</v>
      </c>
      <c r="W20" s="34">
        <f t="shared" si="1"/>
        <v>104</v>
      </c>
      <c r="X20" s="75">
        <f t="shared" si="0"/>
        <v>312</v>
      </c>
      <c r="Y20" s="4" t="s">
        <v>125</v>
      </c>
    </row>
    <row r="21" spans="2:25" ht="36.75" thickBot="1" x14ac:dyDescent="0.3">
      <c r="B21" s="21">
        <v>18</v>
      </c>
      <c r="C21" s="74" t="s">
        <v>126</v>
      </c>
      <c r="D21" s="6" t="s">
        <v>14</v>
      </c>
      <c r="E21" s="82">
        <v>120</v>
      </c>
      <c r="F21" s="3" t="s">
        <v>38</v>
      </c>
      <c r="G21" s="8" t="s">
        <v>127</v>
      </c>
      <c r="H21" s="10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0</v>
      </c>
      <c r="P21" s="54">
        <v>0</v>
      </c>
      <c r="Q21" s="60">
        <v>8</v>
      </c>
      <c r="R21" s="12">
        <v>8</v>
      </c>
      <c r="S21" s="12">
        <v>8</v>
      </c>
      <c r="T21" s="12">
        <v>8</v>
      </c>
      <c r="U21" s="61">
        <v>8</v>
      </c>
      <c r="V21" s="61">
        <v>0</v>
      </c>
      <c r="W21" s="34">
        <f t="shared" si="1"/>
        <v>40</v>
      </c>
      <c r="X21" s="75">
        <f t="shared" si="0"/>
        <v>120</v>
      </c>
      <c r="Y21" s="4" t="s">
        <v>443</v>
      </c>
    </row>
    <row r="22" spans="2:25" ht="26.25" thickBot="1" x14ac:dyDescent="0.3">
      <c r="B22" s="21">
        <v>19</v>
      </c>
      <c r="C22" s="74" t="s">
        <v>128</v>
      </c>
      <c r="D22" s="6" t="s">
        <v>14</v>
      </c>
      <c r="E22" s="82">
        <v>180</v>
      </c>
      <c r="F22" s="3" t="s">
        <v>39</v>
      </c>
      <c r="G22" s="8"/>
      <c r="H22" s="10">
        <v>0</v>
      </c>
      <c r="I22" s="54">
        <v>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0</v>
      </c>
      <c r="P22" s="54">
        <v>0</v>
      </c>
      <c r="Q22" s="60">
        <v>10</v>
      </c>
      <c r="R22" s="12">
        <v>10</v>
      </c>
      <c r="S22" s="12">
        <v>10</v>
      </c>
      <c r="T22" s="12">
        <v>10</v>
      </c>
      <c r="U22" s="61">
        <v>10</v>
      </c>
      <c r="V22" s="61">
        <v>10</v>
      </c>
      <c r="W22" s="34">
        <f t="shared" si="1"/>
        <v>60</v>
      </c>
      <c r="X22" s="37">
        <f t="shared" si="0"/>
        <v>180</v>
      </c>
      <c r="Y22" s="4" t="s">
        <v>444</v>
      </c>
    </row>
    <row r="23" spans="2:25" ht="23.25" thickBot="1" x14ac:dyDescent="0.3">
      <c r="B23" s="21">
        <v>20</v>
      </c>
      <c r="C23" s="64" t="s">
        <v>83</v>
      </c>
      <c r="D23" s="6" t="s">
        <v>14</v>
      </c>
      <c r="E23" s="82">
        <v>252</v>
      </c>
      <c r="F23" s="3" t="s">
        <v>40</v>
      </c>
      <c r="G23" s="8" t="s">
        <v>129</v>
      </c>
      <c r="H23" s="10">
        <v>4</v>
      </c>
      <c r="I23" s="54">
        <v>4</v>
      </c>
      <c r="J23" s="54">
        <v>8</v>
      </c>
      <c r="K23" s="54">
        <v>16</v>
      </c>
      <c r="L23" s="54">
        <v>4</v>
      </c>
      <c r="M23" s="54">
        <v>4</v>
      </c>
      <c r="N23" s="54">
        <v>3</v>
      </c>
      <c r="O23" s="54">
        <v>3</v>
      </c>
      <c r="P23" s="54">
        <v>4</v>
      </c>
      <c r="Q23" s="60">
        <v>6</v>
      </c>
      <c r="R23" s="12">
        <v>6</v>
      </c>
      <c r="S23" s="12">
        <v>6</v>
      </c>
      <c r="T23" s="12">
        <v>6</v>
      </c>
      <c r="U23" s="61">
        <v>6</v>
      </c>
      <c r="V23" s="61">
        <v>4</v>
      </c>
      <c r="W23" s="34">
        <f t="shared" si="1"/>
        <v>84</v>
      </c>
      <c r="X23" s="37">
        <f t="shared" si="0"/>
        <v>252</v>
      </c>
      <c r="Y23" s="4" t="s">
        <v>130</v>
      </c>
    </row>
    <row r="24" spans="2:25" ht="23.25" thickBot="1" x14ac:dyDescent="0.3">
      <c r="B24" s="21">
        <v>21</v>
      </c>
      <c r="C24" s="64" t="s">
        <v>84</v>
      </c>
      <c r="D24" s="6" t="s">
        <v>14</v>
      </c>
      <c r="E24" s="82">
        <v>84</v>
      </c>
      <c r="F24" s="3" t="s">
        <v>41</v>
      </c>
      <c r="G24" s="8"/>
      <c r="H24" s="10">
        <v>0</v>
      </c>
      <c r="I24" s="54">
        <v>4</v>
      </c>
      <c r="J24" s="54">
        <v>4</v>
      </c>
      <c r="K24" s="54">
        <v>0</v>
      </c>
      <c r="L24" s="54">
        <v>4</v>
      </c>
      <c r="M24" s="54">
        <v>4</v>
      </c>
      <c r="N24" s="54">
        <v>0</v>
      </c>
      <c r="O24" s="54">
        <v>0</v>
      </c>
      <c r="P24" s="54">
        <v>2</v>
      </c>
      <c r="Q24" s="60">
        <v>2</v>
      </c>
      <c r="R24" s="12">
        <v>2</v>
      </c>
      <c r="S24" s="12">
        <v>2</v>
      </c>
      <c r="T24" s="12">
        <v>2</v>
      </c>
      <c r="U24" s="61">
        <v>2</v>
      </c>
      <c r="V24" s="61">
        <v>0</v>
      </c>
      <c r="W24" s="34">
        <f t="shared" si="1"/>
        <v>28</v>
      </c>
      <c r="X24" s="37">
        <f t="shared" si="0"/>
        <v>84</v>
      </c>
      <c r="Y24" s="4" t="s">
        <v>131</v>
      </c>
    </row>
    <row r="25" spans="2:25" ht="23.25" thickBot="1" x14ac:dyDescent="0.3">
      <c r="B25" s="21">
        <v>22</v>
      </c>
      <c r="C25" s="64" t="s">
        <v>85</v>
      </c>
      <c r="D25" s="6" t="s">
        <v>14</v>
      </c>
      <c r="E25" s="82">
        <v>108</v>
      </c>
      <c r="F25" s="3" t="s">
        <v>42</v>
      </c>
      <c r="G25" s="8" t="s">
        <v>132</v>
      </c>
      <c r="H25" s="10">
        <v>4</v>
      </c>
      <c r="I25" s="54">
        <v>4</v>
      </c>
      <c r="J25" s="54">
        <v>3</v>
      </c>
      <c r="K25" s="54">
        <v>4</v>
      </c>
      <c r="L25" s="54">
        <v>3</v>
      </c>
      <c r="M25" s="54">
        <v>4</v>
      </c>
      <c r="N25" s="54">
        <v>2</v>
      </c>
      <c r="O25" s="54">
        <v>2</v>
      </c>
      <c r="P25" s="54">
        <v>0</v>
      </c>
      <c r="Q25" s="60">
        <v>2</v>
      </c>
      <c r="R25" s="12">
        <v>2</v>
      </c>
      <c r="S25" s="12">
        <v>2</v>
      </c>
      <c r="T25" s="12">
        <v>2</v>
      </c>
      <c r="U25" s="61">
        <v>2</v>
      </c>
      <c r="V25" s="61">
        <v>0</v>
      </c>
      <c r="W25" s="34">
        <f t="shared" si="1"/>
        <v>36</v>
      </c>
      <c r="X25" s="37">
        <f t="shared" si="0"/>
        <v>108</v>
      </c>
      <c r="Y25" s="4" t="s">
        <v>133</v>
      </c>
    </row>
    <row r="26" spans="2:25" ht="26.25" thickBot="1" x14ac:dyDescent="0.3">
      <c r="B26" s="21">
        <v>23</v>
      </c>
      <c r="C26" s="73" t="s">
        <v>134</v>
      </c>
      <c r="D26" s="6" t="s">
        <v>135</v>
      </c>
      <c r="E26" s="81">
        <v>396</v>
      </c>
      <c r="F26" s="3" t="s">
        <v>43</v>
      </c>
      <c r="G26" s="8"/>
      <c r="H26" s="10">
        <v>12</v>
      </c>
      <c r="I26" s="54">
        <v>12</v>
      </c>
      <c r="J26" s="54">
        <v>12</v>
      </c>
      <c r="K26" s="54">
        <v>30</v>
      </c>
      <c r="L26" s="54">
        <v>4</v>
      </c>
      <c r="M26" s="54">
        <v>8</v>
      </c>
      <c r="N26" s="54">
        <v>5</v>
      </c>
      <c r="O26" s="54">
        <v>5</v>
      </c>
      <c r="P26" s="54">
        <v>4</v>
      </c>
      <c r="Q26" s="60">
        <v>8</v>
      </c>
      <c r="R26" s="12">
        <v>8</v>
      </c>
      <c r="S26" s="12">
        <v>8</v>
      </c>
      <c r="T26" s="12">
        <v>6</v>
      </c>
      <c r="U26" s="61">
        <v>6</v>
      </c>
      <c r="V26" s="61">
        <v>4</v>
      </c>
      <c r="W26" s="34">
        <f t="shared" si="1"/>
        <v>132</v>
      </c>
      <c r="X26" s="37">
        <f t="shared" si="0"/>
        <v>396</v>
      </c>
      <c r="Y26" s="4" t="s">
        <v>136</v>
      </c>
    </row>
    <row r="27" spans="2:25" ht="23.25" thickBot="1" x14ac:dyDescent="0.3">
      <c r="B27" s="21">
        <v>24</v>
      </c>
      <c r="C27" s="66" t="s">
        <v>86</v>
      </c>
      <c r="D27" s="6" t="s">
        <v>14</v>
      </c>
      <c r="E27" s="81">
        <v>510</v>
      </c>
      <c r="F27" s="3" t="s">
        <v>44</v>
      </c>
      <c r="G27" s="8" t="s">
        <v>137</v>
      </c>
      <c r="H27" s="10">
        <v>12</v>
      </c>
      <c r="I27" s="54">
        <v>14</v>
      </c>
      <c r="J27" s="54">
        <v>12</v>
      </c>
      <c r="K27" s="54">
        <v>30</v>
      </c>
      <c r="L27" s="54">
        <v>8</v>
      </c>
      <c r="M27" s="54">
        <v>4</v>
      </c>
      <c r="N27" s="54">
        <v>10</v>
      </c>
      <c r="O27" s="54">
        <v>4</v>
      </c>
      <c r="P27" s="54">
        <v>6</v>
      </c>
      <c r="Q27" s="60">
        <v>14</v>
      </c>
      <c r="R27" s="12">
        <v>14</v>
      </c>
      <c r="S27" s="12">
        <v>14</v>
      </c>
      <c r="T27" s="12">
        <v>12</v>
      </c>
      <c r="U27" s="61">
        <v>12</v>
      </c>
      <c r="V27" s="61">
        <v>4</v>
      </c>
      <c r="W27" s="34">
        <f t="shared" si="1"/>
        <v>170</v>
      </c>
      <c r="X27" s="75">
        <f t="shared" si="0"/>
        <v>510</v>
      </c>
      <c r="Y27" s="4" t="s">
        <v>122</v>
      </c>
    </row>
    <row r="28" spans="2:25" ht="26.25" thickBot="1" x14ac:dyDescent="0.3">
      <c r="B28" s="21">
        <v>25</v>
      </c>
      <c r="C28" s="73" t="s">
        <v>138</v>
      </c>
      <c r="D28" s="6" t="s">
        <v>14</v>
      </c>
      <c r="E28" s="83">
        <v>189</v>
      </c>
      <c r="F28" s="3" t="s">
        <v>45</v>
      </c>
      <c r="G28" s="8" t="s">
        <v>139</v>
      </c>
      <c r="H28" s="10">
        <v>5</v>
      </c>
      <c r="I28" s="54">
        <v>5</v>
      </c>
      <c r="J28" s="54">
        <v>5</v>
      </c>
      <c r="K28" s="54">
        <v>4</v>
      </c>
      <c r="L28" s="54">
        <v>4</v>
      </c>
      <c r="M28" s="54">
        <v>5</v>
      </c>
      <c r="N28" s="54">
        <v>5</v>
      </c>
      <c r="O28" s="54">
        <v>5</v>
      </c>
      <c r="P28" s="54">
        <v>0</v>
      </c>
      <c r="Q28" s="60">
        <v>5</v>
      </c>
      <c r="R28" s="12">
        <v>5</v>
      </c>
      <c r="S28" s="12">
        <v>5</v>
      </c>
      <c r="T28" s="12">
        <v>4</v>
      </c>
      <c r="U28" s="61">
        <v>4</v>
      </c>
      <c r="V28" s="61">
        <v>2</v>
      </c>
      <c r="W28" s="34">
        <f t="shared" si="1"/>
        <v>63</v>
      </c>
      <c r="X28" s="37">
        <f t="shared" si="0"/>
        <v>189</v>
      </c>
      <c r="Y28" s="4" t="s">
        <v>445</v>
      </c>
    </row>
    <row r="29" spans="2:25" ht="26.25" thickBot="1" x14ac:dyDescent="0.3">
      <c r="B29" s="21">
        <v>26</v>
      </c>
      <c r="C29" s="73" t="s">
        <v>140</v>
      </c>
      <c r="D29" s="48" t="s">
        <v>14</v>
      </c>
      <c r="E29" s="83">
        <v>180</v>
      </c>
      <c r="F29" s="3" t="s">
        <v>46</v>
      </c>
      <c r="G29" s="8"/>
      <c r="H29" s="10">
        <v>4</v>
      </c>
      <c r="I29" s="54">
        <v>7</v>
      </c>
      <c r="J29" s="54">
        <v>5</v>
      </c>
      <c r="K29" s="54">
        <v>13</v>
      </c>
      <c r="L29" s="54">
        <v>4</v>
      </c>
      <c r="M29" s="54">
        <v>3</v>
      </c>
      <c r="N29" s="54">
        <v>2</v>
      </c>
      <c r="O29" s="54">
        <v>2</v>
      </c>
      <c r="P29" s="54">
        <v>0</v>
      </c>
      <c r="Q29" s="60">
        <v>4</v>
      </c>
      <c r="R29" s="12">
        <v>4</v>
      </c>
      <c r="S29" s="12">
        <v>4</v>
      </c>
      <c r="T29" s="12">
        <v>4</v>
      </c>
      <c r="U29" s="61">
        <v>4</v>
      </c>
      <c r="V29" s="61">
        <v>0</v>
      </c>
      <c r="W29" s="34">
        <f t="shared" si="1"/>
        <v>60</v>
      </c>
      <c r="X29" s="37">
        <f t="shared" si="0"/>
        <v>180</v>
      </c>
      <c r="Y29" s="4" t="s">
        <v>444</v>
      </c>
    </row>
    <row r="30" spans="2:25" ht="23.25" thickBot="1" x14ac:dyDescent="0.3">
      <c r="B30" s="21">
        <v>27</v>
      </c>
      <c r="C30" s="66" t="s">
        <v>87</v>
      </c>
      <c r="D30" s="48" t="s">
        <v>14</v>
      </c>
      <c r="E30" s="83">
        <v>366</v>
      </c>
      <c r="F30" s="3" t="s">
        <v>47</v>
      </c>
      <c r="G30" s="49"/>
      <c r="H30" s="50">
        <v>14</v>
      </c>
      <c r="I30" s="55">
        <v>10</v>
      </c>
      <c r="J30" s="55">
        <v>12</v>
      </c>
      <c r="K30" s="55">
        <v>18</v>
      </c>
      <c r="L30" s="55">
        <v>6</v>
      </c>
      <c r="M30" s="55">
        <v>8</v>
      </c>
      <c r="N30" s="55">
        <v>10</v>
      </c>
      <c r="O30" s="55">
        <v>10</v>
      </c>
      <c r="P30" s="55">
        <v>4</v>
      </c>
      <c r="Q30" s="62">
        <v>6</v>
      </c>
      <c r="R30" s="51">
        <v>6</v>
      </c>
      <c r="S30" s="51">
        <v>6</v>
      </c>
      <c r="T30" s="51">
        <v>5</v>
      </c>
      <c r="U30" s="63">
        <v>5</v>
      </c>
      <c r="V30" s="63">
        <v>2</v>
      </c>
      <c r="W30" s="34">
        <f t="shared" si="1"/>
        <v>122</v>
      </c>
      <c r="X30" s="37">
        <f t="shared" si="0"/>
        <v>366</v>
      </c>
      <c r="Y30" s="4" t="s">
        <v>141</v>
      </c>
    </row>
    <row r="31" spans="2:25" ht="39" thickBot="1" x14ac:dyDescent="0.3">
      <c r="B31" s="21">
        <v>28</v>
      </c>
      <c r="C31" s="68" t="s">
        <v>144</v>
      </c>
      <c r="D31" s="48" t="s">
        <v>14</v>
      </c>
      <c r="E31" s="83">
        <v>207</v>
      </c>
      <c r="F31" s="3" t="s">
        <v>142</v>
      </c>
      <c r="G31" s="49"/>
      <c r="H31" s="50">
        <v>4</v>
      </c>
      <c r="I31" s="55">
        <v>4</v>
      </c>
      <c r="J31" s="55">
        <v>4</v>
      </c>
      <c r="K31" s="55">
        <v>13</v>
      </c>
      <c r="L31" s="55">
        <v>4</v>
      </c>
      <c r="M31" s="55">
        <v>4</v>
      </c>
      <c r="N31" s="55">
        <v>4</v>
      </c>
      <c r="O31" s="55">
        <v>4</v>
      </c>
      <c r="P31" s="55">
        <v>4</v>
      </c>
      <c r="Q31" s="62">
        <v>4</v>
      </c>
      <c r="R31" s="51">
        <v>4</v>
      </c>
      <c r="S31" s="51">
        <v>4</v>
      </c>
      <c r="T31" s="51">
        <v>4</v>
      </c>
      <c r="U31" s="63">
        <v>4</v>
      </c>
      <c r="V31" s="63">
        <v>4</v>
      </c>
      <c r="W31" s="34">
        <f t="shared" si="1"/>
        <v>69</v>
      </c>
      <c r="X31" s="37">
        <f t="shared" si="0"/>
        <v>207</v>
      </c>
      <c r="Y31" s="4" t="s">
        <v>446</v>
      </c>
    </row>
    <row r="32" spans="2:25" ht="39" thickBot="1" x14ac:dyDescent="0.3">
      <c r="B32" s="21">
        <v>29</v>
      </c>
      <c r="C32" s="68" t="s">
        <v>145</v>
      </c>
      <c r="D32" s="48" t="s">
        <v>14</v>
      </c>
      <c r="E32" s="83">
        <v>297</v>
      </c>
      <c r="F32" s="3" t="s">
        <v>143</v>
      </c>
      <c r="G32" s="49"/>
      <c r="H32" s="50">
        <v>12</v>
      </c>
      <c r="I32" s="55">
        <v>12</v>
      </c>
      <c r="J32" s="55">
        <v>0</v>
      </c>
      <c r="K32" s="55">
        <v>20</v>
      </c>
      <c r="L32" s="55">
        <v>4</v>
      </c>
      <c r="M32" s="55">
        <v>4</v>
      </c>
      <c r="N32" s="55">
        <v>5</v>
      </c>
      <c r="O32" s="55">
        <v>8</v>
      </c>
      <c r="P32" s="55">
        <v>4</v>
      </c>
      <c r="Q32" s="62">
        <v>6</v>
      </c>
      <c r="R32" s="51">
        <v>6</v>
      </c>
      <c r="S32" s="51">
        <v>6</v>
      </c>
      <c r="T32" s="51">
        <v>4</v>
      </c>
      <c r="U32" s="63">
        <v>4</v>
      </c>
      <c r="V32" s="63">
        <v>4</v>
      </c>
      <c r="W32" s="34">
        <f t="shared" si="1"/>
        <v>99</v>
      </c>
      <c r="X32" s="37">
        <f t="shared" si="0"/>
        <v>297</v>
      </c>
      <c r="Y32" s="4" t="s">
        <v>447</v>
      </c>
    </row>
    <row r="33" spans="2:25" ht="26.25" thickBot="1" x14ac:dyDescent="0.3">
      <c r="B33" s="21">
        <v>30</v>
      </c>
      <c r="C33" s="68" t="s">
        <v>146</v>
      </c>
      <c r="D33" s="48" t="s">
        <v>135</v>
      </c>
      <c r="E33" s="83">
        <v>423</v>
      </c>
      <c r="F33" s="3" t="s">
        <v>150</v>
      </c>
      <c r="G33" s="49"/>
      <c r="H33" s="50">
        <v>16</v>
      </c>
      <c r="I33" s="55">
        <v>12</v>
      </c>
      <c r="J33" s="55">
        <v>12</v>
      </c>
      <c r="K33" s="55">
        <v>12</v>
      </c>
      <c r="L33" s="55">
        <v>12</v>
      </c>
      <c r="M33" s="55">
        <v>12</v>
      </c>
      <c r="N33" s="55">
        <v>12</v>
      </c>
      <c r="O33" s="55">
        <v>8</v>
      </c>
      <c r="P33" s="55">
        <v>5</v>
      </c>
      <c r="Q33" s="62">
        <v>7</v>
      </c>
      <c r="R33" s="51">
        <v>7</v>
      </c>
      <c r="S33" s="51">
        <v>7</v>
      </c>
      <c r="T33" s="51">
        <v>7</v>
      </c>
      <c r="U33" s="63">
        <v>7</v>
      </c>
      <c r="V33" s="63">
        <v>5</v>
      </c>
      <c r="W33" s="34">
        <f t="shared" si="1"/>
        <v>141</v>
      </c>
      <c r="X33" s="37">
        <f t="shared" si="0"/>
        <v>423</v>
      </c>
      <c r="Y33" s="4" t="s">
        <v>136</v>
      </c>
    </row>
    <row r="34" spans="2:25" ht="26.25" thickBot="1" x14ac:dyDescent="0.3">
      <c r="B34" s="21">
        <v>31</v>
      </c>
      <c r="C34" s="78" t="s">
        <v>88</v>
      </c>
      <c r="D34" s="48" t="s">
        <v>14</v>
      </c>
      <c r="E34" s="84">
        <v>288</v>
      </c>
      <c r="F34" s="3" t="s">
        <v>151</v>
      </c>
      <c r="G34" s="49"/>
      <c r="H34" s="50">
        <v>5</v>
      </c>
      <c r="I34" s="55">
        <v>8</v>
      </c>
      <c r="J34" s="55">
        <v>8</v>
      </c>
      <c r="K34" s="55">
        <v>10</v>
      </c>
      <c r="L34" s="55">
        <v>4</v>
      </c>
      <c r="M34" s="55">
        <v>5</v>
      </c>
      <c r="N34" s="55">
        <v>10</v>
      </c>
      <c r="O34" s="55">
        <v>10</v>
      </c>
      <c r="P34" s="55">
        <v>0</v>
      </c>
      <c r="Q34" s="62">
        <v>8</v>
      </c>
      <c r="R34" s="51">
        <v>6</v>
      </c>
      <c r="S34" s="51">
        <v>8</v>
      </c>
      <c r="T34" s="51">
        <v>6</v>
      </c>
      <c r="U34" s="63">
        <v>6</v>
      </c>
      <c r="V34" s="63">
        <v>2</v>
      </c>
      <c r="W34" s="34">
        <f t="shared" si="1"/>
        <v>96</v>
      </c>
      <c r="X34" s="37">
        <f t="shared" si="0"/>
        <v>288</v>
      </c>
      <c r="Y34" s="4" t="s">
        <v>147</v>
      </c>
    </row>
    <row r="35" spans="2:25" ht="39" thickBot="1" x14ac:dyDescent="0.3">
      <c r="B35" s="21">
        <v>32</v>
      </c>
      <c r="C35" s="67" t="s">
        <v>148</v>
      </c>
      <c r="D35" s="48" t="s">
        <v>14</v>
      </c>
      <c r="E35" s="84">
        <v>150</v>
      </c>
      <c r="F35" s="3" t="s">
        <v>152</v>
      </c>
      <c r="G35" s="49"/>
      <c r="H35" s="50">
        <v>0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0</v>
      </c>
      <c r="O35" s="55">
        <v>10</v>
      </c>
      <c r="P35" s="55">
        <v>0</v>
      </c>
      <c r="Q35" s="62">
        <v>8</v>
      </c>
      <c r="R35" s="51">
        <v>8</v>
      </c>
      <c r="S35" s="51">
        <v>8</v>
      </c>
      <c r="T35" s="51">
        <v>8</v>
      </c>
      <c r="U35" s="63">
        <v>6</v>
      </c>
      <c r="V35" s="63">
        <v>2</v>
      </c>
      <c r="W35" s="34">
        <f t="shared" si="1"/>
        <v>50</v>
      </c>
      <c r="X35" s="37">
        <f t="shared" si="0"/>
        <v>150</v>
      </c>
      <c r="Y35" s="4" t="s">
        <v>448</v>
      </c>
    </row>
    <row r="36" spans="2:25" ht="36.75" thickBot="1" x14ac:dyDescent="0.3">
      <c r="B36" s="21">
        <v>33</v>
      </c>
      <c r="C36" s="69" t="s">
        <v>149</v>
      </c>
      <c r="D36" s="48" t="s">
        <v>14</v>
      </c>
      <c r="E36" s="85">
        <v>156</v>
      </c>
      <c r="F36" s="3" t="s">
        <v>153</v>
      </c>
      <c r="G36" s="49" t="s">
        <v>155</v>
      </c>
      <c r="H36" s="50">
        <v>0</v>
      </c>
      <c r="I36" s="55">
        <v>6</v>
      </c>
      <c r="J36" s="55">
        <v>0</v>
      </c>
      <c r="K36" s="55">
        <v>10</v>
      </c>
      <c r="L36" s="55">
        <v>4</v>
      </c>
      <c r="M36" s="55">
        <v>6</v>
      </c>
      <c r="N36" s="55">
        <v>13</v>
      </c>
      <c r="O36" s="55">
        <v>13</v>
      </c>
      <c r="P36" s="55">
        <v>0</v>
      </c>
      <c r="Q36" s="62">
        <v>0</v>
      </c>
      <c r="R36" s="51">
        <v>0</v>
      </c>
      <c r="S36" s="51">
        <v>0</v>
      </c>
      <c r="T36" s="51">
        <v>0</v>
      </c>
      <c r="U36" s="63">
        <v>0</v>
      </c>
      <c r="V36" s="63">
        <v>0</v>
      </c>
      <c r="W36" s="34">
        <f t="shared" si="1"/>
        <v>52</v>
      </c>
      <c r="X36" s="37">
        <f t="shared" si="0"/>
        <v>156</v>
      </c>
      <c r="Y36" s="4" t="s">
        <v>449</v>
      </c>
    </row>
    <row r="37" spans="2:25" ht="26.25" thickBot="1" x14ac:dyDescent="0.3">
      <c r="B37" s="21">
        <v>34</v>
      </c>
      <c r="C37" s="67" t="s">
        <v>156</v>
      </c>
      <c r="D37" s="48" t="s">
        <v>14</v>
      </c>
      <c r="E37" s="85">
        <v>96</v>
      </c>
      <c r="F37" s="3" t="s">
        <v>154</v>
      </c>
      <c r="G37" s="49" t="s">
        <v>157</v>
      </c>
      <c r="H37" s="50">
        <v>5</v>
      </c>
      <c r="I37" s="55">
        <v>5</v>
      </c>
      <c r="J37" s="55">
        <v>4</v>
      </c>
      <c r="K37" s="55">
        <v>12</v>
      </c>
      <c r="L37" s="55">
        <v>2</v>
      </c>
      <c r="M37" s="55">
        <v>4</v>
      </c>
      <c r="N37" s="55">
        <v>0</v>
      </c>
      <c r="O37" s="55">
        <v>0</v>
      </c>
      <c r="P37" s="55">
        <v>0</v>
      </c>
      <c r="Q37" s="62">
        <v>0</v>
      </c>
      <c r="R37" s="51">
        <v>0</v>
      </c>
      <c r="S37" s="51">
        <v>0</v>
      </c>
      <c r="T37" s="51">
        <v>0</v>
      </c>
      <c r="U37" s="63">
        <v>0</v>
      </c>
      <c r="V37" s="63">
        <v>0</v>
      </c>
      <c r="W37" s="34">
        <f t="shared" si="1"/>
        <v>32</v>
      </c>
      <c r="X37" s="37">
        <f t="shared" si="0"/>
        <v>96</v>
      </c>
      <c r="Y37" s="4" t="s">
        <v>450</v>
      </c>
    </row>
    <row r="38" spans="2:25" ht="24.75" thickBot="1" x14ac:dyDescent="0.3">
      <c r="B38" s="21">
        <v>35</v>
      </c>
      <c r="C38" s="67" t="s">
        <v>89</v>
      </c>
      <c r="D38" s="48" t="s">
        <v>14</v>
      </c>
      <c r="E38" s="85">
        <v>120</v>
      </c>
      <c r="F38" s="3" t="s">
        <v>158</v>
      </c>
      <c r="G38" s="49" t="s">
        <v>162</v>
      </c>
      <c r="H38" s="50">
        <v>8</v>
      </c>
      <c r="I38" s="55">
        <v>4</v>
      </c>
      <c r="J38" s="55">
        <v>8</v>
      </c>
      <c r="K38" s="55">
        <v>12</v>
      </c>
      <c r="L38" s="55">
        <v>4</v>
      </c>
      <c r="M38" s="55">
        <v>4</v>
      </c>
      <c r="N38" s="55">
        <v>0</v>
      </c>
      <c r="O38" s="55">
        <v>0</v>
      </c>
      <c r="P38" s="55">
        <v>0</v>
      </c>
      <c r="Q38" s="62">
        <v>0</v>
      </c>
      <c r="R38" s="51">
        <v>0</v>
      </c>
      <c r="S38" s="51">
        <v>0</v>
      </c>
      <c r="T38" s="51">
        <v>0</v>
      </c>
      <c r="U38" s="63">
        <v>0</v>
      </c>
      <c r="V38" s="63">
        <v>0</v>
      </c>
      <c r="W38" s="34">
        <f t="shared" si="1"/>
        <v>40</v>
      </c>
      <c r="X38" s="37">
        <f t="shared" si="0"/>
        <v>120</v>
      </c>
      <c r="Y38" s="4" t="s">
        <v>163</v>
      </c>
    </row>
    <row r="39" spans="2:25" ht="26.25" thickBot="1" x14ac:dyDescent="0.3">
      <c r="B39" s="21">
        <v>36</v>
      </c>
      <c r="C39" s="67" t="s">
        <v>90</v>
      </c>
      <c r="D39" s="48" t="s">
        <v>14</v>
      </c>
      <c r="E39" s="85">
        <v>60</v>
      </c>
      <c r="F39" s="3" t="s">
        <v>159</v>
      </c>
      <c r="G39" s="49" t="s">
        <v>164</v>
      </c>
      <c r="H39" s="50">
        <v>2</v>
      </c>
      <c r="I39" s="55">
        <v>2</v>
      </c>
      <c r="J39" s="55">
        <v>2</v>
      </c>
      <c r="K39" s="55">
        <v>2</v>
      </c>
      <c r="L39" s="55">
        <v>2</v>
      </c>
      <c r="M39" s="55">
        <v>2</v>
      </c>
      <c r="N39" s="55">
        <v>3</v>
      </c>
      <c r="O39" s="55">
        <v>3</v>
      </c>
      <c r="P39" s="55">
        <v>0</v>
      </c>
      <c r="Q39" s="62">
        <v>0</v>
      </c>
      <c r="R39" s="51">
        <v>0</v>
      </c>
      <c r="S39" s="51">
        <v>0</v>
      </c>
      <c r="T39" s="51">
        <v>0</v>
      </c>
      <c r="U39" s="63">
        <v>0</v>
      </c>
      <c r="V39" s="63">
        <v>2</v>
      </c>
      <c r="W39" s="34">
        <f t="shared" si="1"/>
        <v>20</v>
      </c>
      <c r="X39" s="37">
        <f t="shared" si="0"/>
        <v>60</v>
      </c>
      <c r="Y39" s="4" t="s">
        <v>165</v>
      </c>
    </row>
    <row r="40" spans="2:25" ht="26.25" thickBot="1" x14ac:dyDescent="0.3">
      <c r="B40" s="21">
        <v>37</v>
      </c>
      <c r="C40" s="67" t="s">
        <v>166</v>
      </c>
      <c r="D40" s="48" t="s">
        <v>14</v>
      </c>
      <c r="E40" s="85">
        <v>108</v>
      </c>
      <c r="F40" s="3" t="s">
        <v>160</v>
      </c>
      <c r="G40" s="49"/>
      <c r="H40" s="50">
        <v>4</v>
      </c>
      <c r="I40" s="55">
        <v>8</v>
      </c>
      <c r="J40" s="55">
        <v>8</v>
      </c>
      <c r="K40" s="55">
        <v>8</v>
      </c>
      <c r="L40" s="55">
        <v>4</v>
      </c>
      <c r="M40" s="55">
        <v>4</v>
      </c>
      <c r="N40" s="55">
        <v>0</v>
      </c>
      <c r="O40" s="55">
        <v>0</v>
      </c>
      <c r="P40" s="55">
        <v>0</v>
      </c>
      <c r="Q40" s="62">
        <v>0</v>
      </c>
      <c r="R40" s="51">
        <v>0</v>
      </c>
      <c r="S40" s="51">
        <v>0</v>
      </c>
      <c r="T40" s="51">
        <v>0</v>
      </c>
      <c r="U40" s="63">
        <v>0</v>
      </c>
      <c r="V40" s="63">
        <v>0</v>
      </c>
      <c r="W40" s="34">
        <f t="shared" si="1"/>
        <v>36</v>
      </c>
      <c r="X40" s="37">
        <f t="shared" si="0"/>
        <v>108</v>
      </c>
      <c r="Y40" s="4" t="s">
        <v>133</v>
      </c>
    </row>
    <row r="41" spans="2:25" ht="26.25" thickBot="1" x14ac:dyDescent="0.3">
      <c r="B41" s="21">
        <v>38</v>
      </c>
      <c r="C41" s="67" t="s">
        <v>91</v>
      </c>
      <c r="D41" s="48" t="s">
        <v>115</v>
      </c>
      <c r="E41" s="85">
        <v>84</v>
      </c>
      <c r="F41" s="3" t="s">
        <v>161</v>
      </c>
      <c r="G41" s="49" t="s">
        <v>195</v>
      </c>
      <c r="H41" s="50">
        <v>0</v>
      </c>
      <c r="I41" s="55">
        <v>8</v>
      </c>
      <c r="J41" s="55">
        <v>8</v>
      </c>
      <c r="K41" s="55">
        <v>4</v>
      </c>
      <c r="L41" s="55">
        <v>4</v>
      </c>
      <c r="M41" s="55">
        <v>4</v>
      </c>
      <c r="N41" s="55">
        <v>0</v>
      </c>
      <c r="O41" s="55">
        <v>0</v>
      </c>
      <c r="P41" s="55">
        <v>0</v>
      </c>
      <c r="Q41" s="62">
        <v>0</v>
      </c>
      <c r="R41" s="51">
        <v>0</v>
      </c>
      <c r="S41" s="51">
        <v>0</v>
      </c>
      <c r="T41" s="51">
        <v>0</v>
      </c>
      <c r="U41" s="63">
        <v>0</v>
      </c>
      <c r="V41" s="63">
        <v>0</v>
      </c>
      <c r="W41" s="34">
        <f t="shared" si="1"/>
        <v>28</v>
      </c>
      <c r="X41" s="37">
        <f t="shared" si="0"/>
        <v>84</v>
      </c>
      <c r="Y41" s="4" t="s">
        <v>196</v>
      </c>
    </row>
    <row r="42" spans="2:25" ht="24.75" thickBot="1" x14ac:dyDescent="0.3">
      <c r="B42" s="21">
        <v>39</v>
      </c>
      <c r="C42" s="67" t="s">
        <v>92</v>
      </c>
      <c r="D42" s="48" t="s">
        <v>14</v>
      </c>
      <c r="E42" s="85">
        <v>54</v>
      </c>
      <c r="F42" s="3" t="s">
        <v>222</v>
      </c>
      <c r="G42" s="49" t="s">
        <v>167</v>
      </c>
      <c r="H42" s="50">
        <v>2</v>
      </c>
      <c r="I42" s="55">
        <v>2</v>
      </c>
      <c r="J42" s="55">
        <v>2</v>
      </c>
      <c r="K42" s="55">
        <v>4</v>
      </c>
      <c r="L42" s="55">
        <v>2</v>
      </c>
      <c r="M42" s="55">
        <v>2</v>
      </c>
      <c r="N42" s="55">
        <v>2</v>
      </c>
      <c r="O42" s="55">
        <v>2</v>
      </c>
      <c r="P42" s="55">
        <v>0</v>
      </c>
      <c r="Q42" s="62">
        <v>0</v>
      </c>
      <c r="R42" s="51">
        <v>0</v>
      </c>
      <c r="S42" s="51">
        <v>0</v>
      </c>
      <c r="T42" s="51">
        <v>0</v>
      </c>
      <c r="U42" s="63">
        <v>0</v>
      </c>
      <c r="V42" s="63">
        <v>0</v>
      </c>
      <c r="W42" s="34">
        <f t="shared" si="1"/>
        <v>18</v>
      </c>
      <c r="X42" s="37">
        <f t="shared" si="0"/>
        <v>54</v>
      </c>
      <c r="Y42" s="4" t="s">
        <v>168</v>
      </c>
    </row>
    <row r="43" spans="2:25" ht="23.25" thickBot="1" x14ac:dyDescent="0.3">
      <c r="B43" s="21">
        <v>40</v>
      </c>
      <c r="C43" s="67" t="s">
        <v>93</v>
      </c>
      <c r="D43" s="48" t="s">
        <v>14</v>
      </c>
      <c r="E43" s="85">
        <v>18</v>
      </c>
      <c r="F43" s="3" t="s">
        <v>223</v>
      </c>
      <c r="G43" s="49"/>
      <c r="H43" s="50">
        <v>1</v>
      </c>
      <c r="I43" s="55">
        <v>1</v>
      </c>
      <c r="J43" s="55">
        <v>1</v>
      </c>
      <c r="K43" s="55">
        <v>1</v>
      </c>
      <c r="L43" s="55">
        <v>1</v>
      </c>
      <c r="M43" s="55">
        <v>1</v>
      </c>
      <c r="N43" s="55">
        <v>0</v>
      </c>
      <c r="O43" s="55">
        <v>0</v>
      </c>
      <c r="P43" s="55">
        <v>0</v>
      </c>
      <c r="Q43" s="62">
        <v>0</v>
      </c>
      <c r="R43" s="51">
        <v>0</v>
      </c>
      <c r="S43" s="51">
        <v>0</v>
      </c>
      <c r="T43" s="51">
        <v>0</v>
      </c>
      <c r="U43" s="63">
        <v>0</v>
      </c>
      <c r="V43" s="63">
        <v>0</v>
      </c>
      <c r="W43" s="34">
        <f t="shared" si="1"/>
        <v>6</v>
      </c>
      <c r="X43" s="37">
        <f t="shared" si="0"/>
        <v>18</v>
      </c>
      <c r="Y43" s="4" t="s">
        <v>451</v>
      </c>
    </row>
    <row r="44" spans="2:25" ht="23.25" thickBot="1" x14ac:dyDescent="0.3">
      <c r="B44" s="21">
        <v>41</v>
      </c>
      <c r="C44" s="67" t="s">
        <v>169</v>
      </c>
      <c r="D44" s="48" t="s">
        <v>170</v>
      </c>
      <c r="E44" s="85">
        <v>108</v>
      </c>
      <c r="F44" s="3" t="s">
        <v>224</v>
      </c>
      <c r="G44" s="49"/>
      <c r="H44" s="50">
        <v>4</v>
      </c>
      <c r="I44" s="55">
        <v>12</v>
      </c>
      <c r="J44" s="55">
        <v>12</v>
      </c>
      <c r="K44" s="55">
        <v>0</v>
      </c>
      <c r="L44" s="55">
        <v>4</v>
      </c>
      <c r="M44" s="55">
        <v>4</v>
      </c>
      <c r="N44" s="55">
        <v>0</v>
      </c>
      <c r="O44" s="55">
        <v>0</v>
      </c>
      <c r="P44" s="55">
        <v>0</v>
      </c>
      <c r="Q44" s="62">
        <v>0</v>
      </c>
      <c r="R44" s="51">
        <v>0</v>
      </c>
      <c r="S44" s="51">
        <v>0</v>
      </c>
      <c r="T44" s="51">
        <v>0</v>
      </c>
      <c r="U44" s="63">
        <v>0</v>
      </c>
      <c r="V44" s="63">
        <v>0</v>
      </c>
      <c r="W44" s="34">
        <f t="shared" si="1"/>
        <v>36</v>
      </c>
      <c r="X44" s="37">
        <f t="shared" si="0"/>
        <v>108</v>
      </c>
      <c r="Y44" s="4" t="s">
        <v>197</v>
      </c>
    </row>
    <row r="45" spans="2:25" ht="24.75" thickBot="1" x14ac:dyDescent="0.3">
      <c r="B45" s="21">
        <v>42</v>
      </c>
      <c r="C45" s="70" t="s">
        <v>171</v>
      </c>
      <c r="D45" s="48" t="s">
        <v>14</v>
      </c>
      <c r="E45" s="85">
        <v>84</v>
      </c>
      <c r="F45" s="3" t="s">
        <v>225</v>
      </c>
      <c r="G45" s="49" t="s">
        <v>198</v>
      </c>
      <c r="H45" s="50">
        <v>4</v>
      </c>
      <c r="I45" s="55">
        <v>8</v>
      </c>
      <c r="J45" s="55">
        <v>8</v>
      </c>
      <c r="K45" s="55">
        <v>0</v>
      </c>
      <c r="L45" s="55">
        <v>4</v>
      </c>
      <c r="M45" s="55">
        <v>4</v>
      </c>
      <c r="N45" s="55">
        <v>0</v>
      </c>
      <c r="O45" s="55">
        <v>0</v>
      </c>
      <c r="P45" s="55">
        <v>0</v>
      </c>
      <c r="Q45" s="62">
        <v>0</v>
      </c>
      <c r="R45" s="51">
        <v>0</v>
      </c>
      <c r="S45" s="51">
        <v>0</v>
      </c>
      <c r="T45" s="51">
        <v>0</v>
      </c>
      <c r="U45" s="63">
        <v>0</v>
      </c>
      <c r="V45" s="63">
        <v>0</v>
      </c>
      <c r="W45" s="34">
        <f t="shared" si="1"/>
        <v>28</v>
      </c>
      <c r="X45" s="37">
        <f t="shared" si="0"/>
        <v>84</v>
      </c>
      <c r="Y45" s="4" t="s">
        <v>131</v>
      </c>
    </row>
    <row r="46" spans="2:25" ht="26.25" thickBot="1" x14ac:dyDescent="0.3">
      <c r="B46" s="21">
        <v>43</v>
      </c>
      <c r="C46" s="67" t="s">
        <v>172</v>
      </c>
      <c r="D46" s="48" t="s">
        <v>14</v>
      </c>
      <c r="E46" s="82">
        <v>48</v>
      </c>
      <c r="F46" s="3" t="s">
        <v>226</v>
      </c>
      <c r="G46" s="49" t="s">
        <v>208</v>
      </c>
      <c r="H46" s="50">
        <v>0</v>
      </c>
      <c r="I46" s="55">
        <v>8</v>
      </c>
      <c r="J46" s="55">
        <v>8</v>
      </c>
      <c r="K46" s="55">
        <v>0</v>
      </c>
      <c r="L46" s="55">
        <v>0</v>
      </c>
      <c r="M46" s="55">
        <v>0</v>
      </c>
      <c r="N46" s="55">
        <v>0</v>
      </c>
      <c r="O46" s="55">
        <v>0</v>
      </c>
      <c r="P46" s="55">
        <v>0</v>
      </c>
      <c r="Q46" s="62">
        <v>0</v>
      </c>
      <c r="R46" s="51">
        <v>0</v>
      </c>
      <c r="S46" s="51">
        <v>0</v>
      </c>
      <c r="T46" s="51">
        <v>0</v>
      </c>
      <c r="U46" s="63">
        <v>0</v>
      </c>
      <c r="V46" s="63">
        <v>0</v>
      </c>
      <c r="W46" s="34">
        <f t="shared" si="1"/>
        <v>16</v>
      </c>
      <c r="X46" s="37">
        <f t="shared" si="0"/>
        <v>48</v>
      </c>
      <c r="Y46" s="4" t="s">
        <v>452</v>
      </c>
    </row>
    <row r="47" spans="2:25" ht="26.25" thickBot="1" x14ac:dyDescent="0.3">
      <c r="B47" s="21">
        <v>44</v>
      </c>
      <c r="C47" s="67" t="s">
        <v>173</v>
      </c>
      <c r="D47" s="48" t="s">
        <v>14</v>
      </c>
      <c r="E47" s="82">
        <v>144</v>
      </c>
      <c r="F47" s="3" t="s">
        <v>227</v>
      </c>
      <c r="G47" s="49"/>
      <c r="H47" s="50">
        <v>8</v>
      </c>
      <c r="I47" s="55">
        <v>14</v>
      </c>
      <c r="J47" s="55">
        <v>8</v>
      </c>
      <c r="K47" s="55">
        <v>0</v>
      </c>
      <c r="L47" s="55">
        <v>10</v>
      </c>
      <c r="M47" s="55">
        <v>8</v>
      </c>
      <c r="N47" s="55">
        <v>0</v>
      </c>
      <c r="O47" s="55">
        <v>0</v>
      </c>
      <c r="P47" s="55">
        <v>0</v>
      </c>
      <c r="Q47" s="62">
        <v>0</v>
      </c>
      <c r="R47" s="51">
        <v>0</v>
      </c>
      <c r="S47" s="51">
        <v>0</v>
      </c>
      <c r="T47" s="51">
        <v>0</v>
      </c>
      <c r="U47" s="63">
        <v>0</v>
      </c>
      <c r="V47" s="63">
        <v>0</v>
      </c>
      <c r="W47" s="34">
        <f t="shared" si="1"/>
        <v>48</v>
      </c>
      <c r="X47" s="37">
        <f t="shared" si="0"/>
        <v>144</v>
      </c>
      <c r="Y47" s="4" t="s">
        <v>453</v>
      </c>
    </row>
    <row r="48" spans="2:25" ht="23.25" thickBot="1" x14ac:dyDescent="0.3">
      <c r="B48" s="21">
        <v>45</v>
      </c>
      <c r="C48" s="70" t="s">
        <v>174</v>
      </c>
      <c r="D48" s="48" t="s">
        <v>14</v>
      </c>
      <c r="E48" s="81">
        <v>36</v>
      </c>
      <c r="F48" s="3" t="s">
        <v>228</v>
      </c>
      <c r="G48" s="49" t="s">
        <v>404</v>
      </c>
      <c r="H48" s="50">
        <v>4</v>
      </c>
      <c r="I48" s="55">
        <v>4</v>
      </c>
      <c r="J48" s="55">
        <v>4</v>
      </c>
      <c r="K48" s="55">
        <v>0</v>
      </c>
      <c r="L48" s="55">
        <v>0</v>
      </c>
      <c r="M48" s="55">
        <v>0</v>
      </c>
      <c r="N48" s="55">
        <v>0</v>
      </c>
      <c r="O48" s="55">
        <v>0</v>
      </c>
      <c r="P48" s="55">
        <v>0</v>
      </c>
      <c r="Q48" s="62">
        <v>0</v>
      </c>
      <c r="R48" s="51">
        <v>0</v>
      </c>
      <c r="S48" s="51">
        <v>0</v>
      </c>
      <c r="T48" s="51">
        <v>0</v>
      </c>
      <c r="U48" s="63">
        <v>0</v>
      </c>
      <c r="V48" s="63">
        <v>0</v>
      </c>
      <c r="W48" s="34">
        <f t="shared" si="1"/>
        <v>12</v>
      </c>
      <c r="X48" s="37">
        <f t="shared" si="0"/>
        <v>36</v>
      </c>
      <c r="Y48" s="4" t="s">
        <v>454</v>
      </c>
    </row>
    <row r="49" spans="2:25" ht="23.25" thickBot="1" x14ac:dyDescent="0.3">
      <c r="B49" s="21">
        <v>46</v>
      </c>
      <c r="C49" s="70" t="s">
        <v>175</v>
      </c>
      <c r="D49" s="48" t="s">
        <v>14</v>
      </c>
      <c r="E49" s="81">
        <v>60</v>
      </c>
      <c r="F49" s="3" t="s">
        <v>229</v>
      </c>
      <c r="G49" s="49"/>
      <c r="H49" s="50">
        <v>4</v>
      </c>
      <c r="I49" s="55">
        <v>12</v>
      </c>
      <c r="J49" s="55">
        <v>0</v>
      </c>
      <c r="K49" s="55">
        <v>0</v>
      </c>
      <c r="L49" s="55">
        <v>0</v>
      </c>
      <c r="M49" s="55">
        <v>4</v>
      </c>
      <c r="N49" s="55">
        <v>0</v>
      </c>
      <c r="O49" s="55">
        <v>0</v>
      </c>
      <c r="P49" s="55">
        <v>0</v>
      </c>
      <c r="Q49" s="62">
        <v>0</v>
      </c>
      <c r="R49" s="51">
        <v>0</v>
      </c>
      <c r="S49" s="51">
        <v>0</v>
      </c>
      <c r="T49" s="51">
        <v>0</v>
      </c>
      <c r="U49" s="63">
        <v>0</v>
      </c>
      <c r="V49" s="63">
        <v>0</v>
      </c>
      <c r="W49" s="34">
        <f t="shared" si="1"/>
        <v>20</v>
      </c>
      <c r="X49" s="37">
        <f t="shared" si="0"/>
        <v>60</v>
      </c>
      <c r="Y49" s="4" t="s">
        <v>165</v>
      </c>
    </row>
    <row r="50" spans="2:25" ht="23.25" thickBot="1" x14ac:dyDescent="0.3">
      <c r="B50" s="21">
        <v>47</v>
      </c>
      <c r="C50" s="70" t="s">
        <v>176</v>
      </c>
      <c r="D50" s="48" t="s">
        <v>14</v>
      </c>
      <c r="E50" s="81">
        <v>144</v>
      </c>
      <c r="F50" s="3" t="s">
        <v>230</v>
      </c>
      <c r="G50" s="49"/>
      <c r="H50" s="50">
        <v>8</v>
      </c>
      <c r="I50" s="55">
        <v>20</v>
      </c>
      <c r="J50" s="55">
        <v>12</v>
      </c>
      <c r="K50" s="55">
        <v>0</v>
      </c>
      <c r="L50" s="55">
        <v>4</v>
      </c>
      <c r="M50" s="55">
        <v>4</v>
      </c>
      <c r="N50" s="55">
        <v>0</v>
      </c>
      <c r="O50" s="55">
        <v>0</v>
      </c>
      <c r="P50" s="55">
        <v>0</v>
      </c>
      <c r="Q50" s="62">
        <v>0</v>
      </c>
      <c r="R50" s="51">
        <v>0</v>
      </c>
      <c r="S50" s="51">
        <v>0</v>
      </c>
      <c r="T50" s="51">
        <v>0</v>
      </c>
      <c r="U50" s="63">
        <v>0</v>
      </c>
      <c r="V50" s="63">
        <v>0</v>
      </c>
      <c r="W50" s="34">
        <f t="shared" si="1"/>
        <v>48</v>
      </c>
      <c r="X50" s="37">
        <f t="shared" si="0"/>
        <v>144</v>
      </c>
      <c r="Y50" s="4" t="s">
        <v>453</v>
      </c>
    </row>
    <row r="51" spans="2:25" ht="26.25" thickBot="1" x14ac:dyDescent="0.3">
      <c r="B51" s="21">
        <v>48</v>
      </c>
      <c r="C51" s="70" t="s">
        <v>94</v>
      </c>
      <c r="D51" s="48" t="s">
        <v>14</v>
      </c>
      <c r="E51" s="81">
        <v>57</v>
      </c>
      <c r="F51" s="3" t="s">
        <v>231</v>
      </c>
      <c r="G51" s="49"/>
      <c r="H51" s="50">
        <v>4</v>
      </c>
      <c r="I51" s="55">
        <v>5</v>
      </c>
      <c r="J51" s="55">
        <v>4</v>
      </c>
      <c r="K51" s="55">
        <v>0</v>
      </c>
      <c r="L51" s="55">
        <v>3</v>
      </c>
      <c r="M51" s="55">
        <v>3</v>
      </c>
      <c r="N51" s="55">
        <v>0</v>
      </c>
      <c r="O51" s="55">
        <v>0</v>
      </c>
      <c r="P51" s="55">
        <v>0</v>
      </c>
      <c r="Q51" s="62">
        <v>0</v>
      </c>
      <c r="R51" s="51">
        <v>0</v>
      </c>
      <c r="S51" s="51">
        <v>0</v>
      </c>
      <c r="T51" s="51">
        <v>0</v>
      </c>
      <c r="U51" s="63">
        <v>0</v>
      </c>
      <c r="V51" s="63">
        <v>0</v>
      </c>
      <c r="W51" s="34">
        <f t="shared" si="1"/>
        <v>19</v>
      </c>
      <c r="X51" s="37">
        <f t="shared" si="0"/>
        <v>57</v>
      </c>
      <c r="Y51" s="4" t="s">
        <v>455</v>
      </c>
    </row>
    <row r="52" spans="2:25" ht="23.25" thickBot="1" x14ac:dyDescent="0.3">
      <c r="B52" s="21">
        <v>49</v>
      </c>
      <c r="C52" s="71" t="s">
        <v>95</v>
      </c>
      <c r="D52" s="48" t="s">
        <v>14</v>
      </c>
      <c r="E52" s="83">
        <v>60</v>
      </c>
      <c r="F52" s="3" t="s">
        <v>232</v>
      </c>
      <c r="G52" s="49"/>
      <c r="H52" s="50">
        <v>4</v>
      </c>
      <c r="I52" s="55">
        <v>4</v>
      </c>
      <c r="J52" s="55">
        <v>4</v>
      </c>
      <c r="K52" s="55">
        <v>0</v>
      </c>
      <c r="L52" s="55">
        <v>4</v>
      </c>
      <c r="M52" s="55">
        <v>4</v>
      </c>
      <c r="N52" s="55">
        <v>0</v>
      </c>
      <c r="O52" s="55">
        <v>0</v>
      </c>
      <c r="P52" s="55">
        <v>0</v>
      </c>
      <c r="Q52" s="62">
        <v>0</v>
      </c>
      <c r="R52" s="51">
        <v>0</v>
      </c>
      <c r="S52" s="51">
        <v>0</v>
      </c>
      <c r="T52" s="51">
        <v>0</v>
      </c>
      <c r="U52" s="63">
        <v>0</v>
      </c>
      <c r="V52" s="63">
        <v>0</v>
      </c>
      <c r="W52" s="34">
        <f t="shared" si="1"/>
        <v>20</v>
      </c>
      <c r="X52" s="37">
        <f t="shared" si="0"/>
        <v>60</v>
      </c>
      <c r="Y52" s="4" t="s">
        <v>165</v>
      </c>
    </row>
    <row r="53" spans="2:25" ht="23.25" thickBot="1" x14ac:dyDescent="0.3">
      <c r="B53" s="21">
        <v>50</v>
      </c>
      <c r="C53" s="72" t="s">
        <v>96</v>
      </c>
      <c r="D53" s="48" t="s">
        <v>14</v>
      </c>
      <c r="E53" s="84">
        <v>180</v>
      </c>
      <c r="F53" s="3" t="s">
        <v>405</v>
      </c>
      <c r="G53" s="49"/>
      <c r="H53" s="50">
        <v>10</v>
      </c>
      <c r="I53" s="55">
        <v>10</v>
      </c>
      <c r="J53" s="55">
        <v>10</v>
      </c>
      <c r="K53" s="55">
        <v>10</v>
      </c>
      <c r="L53" s="55">
        <v>6</v>
      </c>
      <c r="M53" s="55">
        <v>4</v>
      </c>
      <c r="N53" s="55">
        <v>5</v>
      </c>
      <c r="O53" s="55">
        <v>5</v>
      </c>
      <c r="P53" s="55">
        <v>0</v>
      </c>
      <c r="Q53" s="62">
        <v>0</v>
      </c>
      <c r="R53" s="51">
        <v>0</v>
      </c>
      <c r="S53" s="51">
        <v>0</v>
      </c>
      <c r="T53" s="51">
        <v>0</v>
      </c>
      <c r="U53" s="63">
        <v>0</v>
      </c>
      <c r="V53" s="63">
        <v>0</v>
      </c>
      <c r="W53" s="34">
        <f t="shared" si="1"/>
        <v>60</v>
      </c>
      <c r="X53" s="37">
        <f t="shared" si="0"/>
        <v>180</v>
      </c>
      <c r="Y53" s="4" t="s">
        <v>444</v>
      </c>
    </row>
    <row r="54" spans="2:25" ht="24.75" thickBot="1" x14ac:dyDescent="0.3">
      <c r="B54" s="21">
        <v>51</v>
      </c>
      <c r="C54" s="72" t="s">
        <v>177</v>
      </c>
      <c r="D54" s="48" t="s">
        <v>14</v>
      </c>
      <c r="E54" s="84">
        <v>90</v>
      </c>
      <c r="F54" s="3" t="s">
        <v>406</v>
      </c>
      <c r="G54" s="49" t="s">
        <v>209</v>
      </c>
      <c r="H54" s="50">
        <v>3</v>
      </c>
      <c r="I54" s="55">
        <v>3</v>
      </c>
      <c r="J54" s="55">
        <v>3</v>
      </c>
      <c r="K54" s="55">
        <v>8</v>
      </c>
      <c r="L54" s="55">
        <v>4</v>
      </c>
      <c r="M54" s="55">
        <v>3</v>
      </c>
      <c r="N54" s="55">
        <v>2</v>
      </c>
      <c r="O54" s="55">
        <v>2</v>
      </c>
      <c r="P54" s="55">
        <v>0</v>
      </c>
      <c r="Q54" s="62">
        <v>0</v>
      </c>
      <c r="R54" s="51">
        <v>0</v>
      </c>
      <c r="S54" s="51">
        <v>0</v>
      </c>
      <c r="T54" s="51">
        <v>0</v>
      </c>
      <c r="U54" s="63">
        <v>0</v>
      </c>
      <c r="V54" s="63">
        <v>2</v>
      </c>
      <c r="W54" s="34">
        <f t="shared" si="1"/>
        <v>30</v>
      </c>
      <c r="X54" s="37">
        <f t="shared" si="0"/>
        <v>90</v>
      </c>
      <c r="Y54" s="4" t="s">
        <v>456</v>
      </c>
    </row>
    <row r="55" spans="2:25" ht="36.75" thickBot="1" x14ac:dyDescent="0.3">
      <c r="B55" s="21">
        <v>52</v>
      </c>
      <c r="C55" s="72" t="s">
        <v>178</v>
      </c>
      <c r="D55" s="48" t="s">
        <v>14</v>
      </c>
      <c r="E55" s="84">
        <v>126</v>
      </c>
      <c r="F55" s="3" t="s">
        <v>407</v>
      </c>
      <c r="G55" s="49" t="s">
        <v>210</v>
      </c>
      <c r="H55" s="50">
        <v>4</v>
      </c>
      <c r="I55" s="55">
        <v>3</v>
      </c>
      <c r="J55" s="55">
        <v>2</v>
      </c>
      <c r="K55" s="55">
        <v>12</v>
      </c>
      <c r="L55" s="55">
        <v>3</v>
      </c>
      <c r="M55" s="55">
        <v>4</v>
      </c>
      <c r="N55" s="55">
        <v>4</v>
      </c>
      <c r="O55" s="55">
        <v>4</v>
      </c>
      <c r="P55" s="55">
        <v>0</v>
      </c>
      <c r="Q55" s="62">
        <v>2</v>
      </c>
      <c r="R55" s="51">
        <v>1</v>
      </c>
      <c r="S55" s="51">
        <v>1</v>
      </c>
      <c r="T55" s="51">
        <v>1</v>
      </c>
      <c r="U55" s="63">
        <v>1</v>
      </c>
      <c r="V55" s="63">
        <v>0</v>
      </c>
      <c r="W55" s="34">
        <f t="shared" si="1"/>
        <v>42</v>
      </c>
      <c r="X55" s="37">
        <f t="shared" si="0"/>
        <v>126</v>
      </c>
      <c r="Y55" s="4" t="s">
        <v>457</v>
      </c>
    </row>
    <row r="56" spans="2:25" ht="26.25" thickBot="1" x14ac:dyDescent="0.3">
      <c r="B56" s="21">
        <v>53</v>
      </c>
      <c r="C56" s="72" t="s">
        <v>97</v>
      </c>
      <c r="D56" s="48" t="s">
        <v>14</v>
      </c>
      <c r="E56" s="84">
        <v>180</v>
      </c>
      <c r="F56" s="3" t="s">
        <v>408</v>
      </c>
      <c r="G56" s="49"/>
      <c r="H56" s="50">
        <v>5</v>
      </c>
      <c r="I56" s="55">
        <v>15</v>
      </c>
      <c r="J56" s="55">
        <v>16</v>
      </c>
      <c r="K56" s="55">
        <v>16</v>
      </c>
      <c r="L56" s="55">
        <v>4</v>
      </c>
      <c r="M56" s="55">
        <v>4</v>
      </c>
      <c r="N56" s="55">
        <v>0</v>
      </c>
      <c r="O56" s="55">
        <v>0</v>
      </c>
      <c r="P56" s="55">
        <v>0</v>
      </c>
      <c r="Q56" s="62">
        <v>0</v>
      </c>
      <c r="R56" s="51">
        <v>0</v>
      </c>
      <c r="S56" s="51">
        <v>0</v>
      </c>
      <c r="T56" s="51">
        <v>0</v>
      </c>
      <c r="U56" s="63">
        <v>0</v>
      </c>
      <c r="V56" s="63">
        <v>0</v>
      </c>
      <c r="W56" s="34">
        <f t="shared" si="1"/>
        <v>60</v>
      </c>
      <c r="X56" s="37">
        <f t="shared" si="0"/>
        <v>180</v>
      </c>
      <c r="Y56" s="4" t="s">
        <v>457</v>
      </c>
    </row>
    <row r="57" spans="2:25" ht="26.25" thickBot="1" x14ac:dyDescent="0.3">
      <c r="B57" s="21">
        <v>54</v>
      </c>
      <c r="C57" s="67" t="s">
        <v>179</v>
      </c>
      <c r="D57" s="48" t="s">
        <v>14</v>
      </c>
      <c r="E57" s="82">
        <v>96</v>
      </c>
      <c r="F57" s="3" t="s">
        <v>409</v>
      </c>
      <c r="G57" s="49"/>
      <c r="H57" s="50">
        <v>0</v>
      </c>
      <c r="I57" s="55">
        <v>12</v>
      </c>
      <c r="J57" s="55">
        <v>12</v>
      </c>
      <c r="K57" s="55">
        <v>4</v>
      </c>
      <c r="L57" s="55">
        <v>0</v>
      </c>
      <c r="M57" s="55">
        <v>4</v>
      </c>
      <c r="N57" s="55">
        <v>0</v>
      </c>
      <c r="O57" s="55">
        <v>0</v>
      </c>
      <c r="P57" s="55">
        <v>0</v>
      </c>
      <c r="Q57" s="62">
        <v>0</v>
      </c>
      <c r="R57" s="51">
        <v>0</v>
      </c>
      <c r="S57" s="51">
        <v>0</v>
      </c>
      <c r="T57" s="51">
        <v>0</v>
      </c>
      <c r="U57" s="63">
        <v>0</v>
      </c>
      <c r="V57" s="63">
        <v>0</v>
      </c>
      <c r="W57" s="34">
        <f t="shared" si="1"/>
        <v>32</v>
      </c>
      <c r="X57" s="37">
        <f t="shared" si="0"/>
        <v>96</v>
      </c>
      <c r="Y57" s="4" t="s">
        <v>450</v>
      </c>
    </row>
    <row r="58" spans="2:25" ht="26.25" thickBot="1" x14ac:dyDescent="0.3">
      <c r="B58" s="21">
        <v>55</v>
      </c>
      <c r="C58" s="67" t="s">
        <v>180</v>
      </c>
      <c r="D58" s="48" t="s">
        <v>14</v>
      </c>
      <c r="E58" s="82">
        <v>72</v>
      </c>
      <c r="F58" s="3" t="s">
        <v>410</v>
      </c>
      <c r="G58" s="49"/>
      <c r="H58" s="50">
        <v>4</v>
      </c>
      <c r="I58" s="55">
        <v>4</v>
      </c>
      <c r="J58" s="55">
        <v>4</v>
      </c>
      <c r="K58" s="55">
        <v>12</v>
      </c>
      <c r="L58" s="55">
        <v>0</v>
      </c>
      <c r="M58" s="55">
        <v>0</v>
      </c>
      <c r="N58" s="55">
        <v>0</v>
      </c>
      <c r="O58" s="55">
        <v>0</v>
      </c>
      <c r="P58" s="55">
        <v>0</v>
      </c>
      <c r="Q58" s="62">
        <v>0</v>
      </c>
      <c r="R58" s="51">
        <v>0</v>
      </c>
      <c r="S58" s="51">
        <v>0</v>
      </c>
      <c r="T58" s="51">
        <v>0</v>
      </c>
      <c r="U58" s="63">
        <v>0</v>
      </c>
      <c r="V58" s="63">
        <v>0</v>
      </c>
      <c r="W58" s="34">
        <f t="shared" si="1"/>
        <v>24</v>
      </c>
      <c r="X58" s="37">
        <f t="shared" si="0"/>
        <v>72</v>
      </c>
      <c r="Y58" s="4" t="s">
        <v>458</v>
      </c>
    </row>
    <row r="59" spans="2:25" ht="23.25" thickBot="1" x14ac:dyDescent="0.3">
      <c r="B59" s="21">
        <v>56</v>
      </c>
      <c r="C59" s="67" t="s">
        <v>181</v>
      </c>
      <c r="D59" s="48" t="s">
        <v>14</v>
      </c>
      <c r="E59" s="82">
        <v>132</v>
      </c>
      <c r="F59" s="3" t="s">
        <v>411</v>
      </c>
      <c r="G59" s="49"/>
      <c r="H59" s="50">
        <v>8</v>
      </c>
      <c r="I59" s="55">
        <v>8</v>
      </c>
      <c r="J59" s="55">
        <v>8</v>
      </c>
      <c r="K59" s="55">
        <v>12</v>
      </c>
      <c r="L59" s="55">
        <v>2</v>
      </c>
      <c r="M59" s="55">
        <v>2</v>
      </c>
      <c r="N59" s="55">
        <v>2</v>
      </c>
      <c r="O59" s="55">
        <v>2</v>
      </c>
      <c r="P59" s="55">
        <v>0</v>
      </c>
      <c r="Q59" s="62">
        <v>0</v>
      </c>
      <c r="R59" s="51">
        <v>0</v>
      </c>
      <c r="S59" s="51">
        <v>0</v>
      </c>
      <c r="T59" s="51">
        <v>0</v>
      </c>
      <c r="U59" s="63">
        <v>0</v>
      </c>
      <c r="V59" s="63">
        <v>0</v>
      </c>
      <c r="W59" s="34">
        <f t="shared" si="1"/>
        <v>44</v>
      </c>
      <c r="X59" s="37">
        <f t="shared" si="0"/>
        <v>132</v>
      </c>
      <c r="Y59" s="4" t="s">
        <v>459</v>
      </c>
    </row>
    <row r="60" spans="2:25" ht="23.25" thickBot="1" x14ac:dyDescent="0.3">
      <c r="B60" s="21">
        <v>57</v>
      </c>
      <c r="C60" s="67" t="s">
        <v>182</v>
      </c>
      <c r="D60" s="48" t="s">
        <v>14</v>
      </c>
      <c r="E60" s="82">
        <v>144</v>
      </c>
      <c r="F60" s="3" t="s">
        <v>412</v>
      </c>
      <c r="G60" s="49"/>
      <c r="H60" s="50">
        <v>8</v>
      </c>
      <c r="I60" s="55">
        <v>8</v>
      </c>
      <c r="J60" s="55">
        <v>8</v>
      </c>
      <c r="K60" s="55">
        <v>12</v>
      </c>
      <c r="L60" s="55">
        <v>4</v>
      </c>
      <c r="M60" s="55">
        <v>4</v>
      </c>
      <c r="N60" s="55">
        <v>2</v>
      </c>
      <c r="O60" s="55">
        <v>2</v>
      </c>
      <c r="P60" s="55">
        <v>0</v>
      </c>
      <c r="Q60" s="62">
        <v>0</v>
      </c>
      <c r="R60" s="51">
        <v>0</v>
      </c>
      <c r="S60" s="51">
        <v>0</v>
      </c>
      <c r="T60" s="51">
        <v>0</v>
      </c>
      <c r="U60" s="63">
        <v>0</v>
      </c>
      <c r="V60" s="63">
        <v>0</v>
      </c>
      <c r="W60" s="34">
        <f t="shared" si="1"/>
        <v>48</v>
      </c>
      <c r="X60" s="37">
        <f t="shared" si="0"/>
        <v>144</v>
      </c>
      <c r="Y60" s="4" t="s">
        <v>453</v>
      </c>
    </row>
    <row r="61" spans="2:25" ht="26.25" thickBot="1" x14ac:dyDescent="0.3">
      <c r="B61" s="21">
        <v>58</v>
      </c>
      <c r="C61" s="67" t="s">
        <v>183</v>
      </c>
      <c r="D61" s="48" t="s">
        <v>14</v>
      </c>
      <c r="E61" s="82">
        <v>138</v>
      </c>
      <c r="F61" s="3" t="s">
        <v>413</v>
      </c>
      <c r="G61" s="49"/>
      <c r="H61" s="50">
        <v>12</v>
      </c>
      <c r="I61" s="55">
        <v>4</v>
      </c>
      <c r="J61" s="55">
        <v>8</v>
      </c>
      <c r="K61" s="55">
        <v>12</v>
      </c>
      <c r="L61" s="55">
        <v>0</v>
      </c>
      <c r="M61" s="55">
        <v>0</v>
      </c>
      <c r="N61" s="55">
        <v>10</v>
      </c>
      <c r="O61" s="55">
        <v>0</v>
      </c>
      <c r="P61" s="55">
        <v>0</v>
      </c>
      <c r="Q61" s="62">
        <v>0</v>
      </c>
      <c r="R61" s="51">
        <v>0</v>
      </c>
      <c r="S61" s="51">
        <v>0</v>
      </c>
      <c r="T61" s="51">
        <v>0</v>
      </c>
      <c r="U61" s="63">
        <v>0</v>
      </c>
      <c r="V61" s="63">
        <v>0</v>
      </c>
      <c r="W61" s="34">
        <f t="shared" si="1"/>
        <v>46</v>
      </c>
      <c r="X61" s="37">
        <f t="shared" si="0"/>
        <v>138</v>
      </c>
      <c r="Y61" s="4" t="s">
        <v>460</v>
      </c>
    </row>
    <row r="62" spans="2:25" ht="36.75" thickBot="1" x14ac:dyDescent="0.3">
      <c r="B62" s="21">
        <v>59</v>
      </c>
      <c r="C62" s="67" t="s">
        <v>98</v>
      </c>
      <c r="D62" s="48" t="s">
        <v>14</v>
      </c>
      <c r="E62" s="82">
        <v>84</v>
      </c>
      <c r="F62" s="3" t="s">
        <v>414</v>
      </c>
      <c r="G62" s="49" t="s">
        <v>211</v>
      </c>
      <c r="H62" s="50">
        <v>0</v>
      </c>
      <c r="I62" s="55">
        <v>0</v>
      </c>
      <c r="J62" s="55">
        <v>20</v>
      </c>
      <c r="K62" s="55">
        <v>0</v>
      </c>
      <c r="L62" s="55">
        <v>8</v>
      </c>
      <c r="M62" s="55">
        <v>0</v>
      </c>
      <c r="N62" s="55">
        <v>0</v>
      </c>
      <c r="O62" s="55">
        <v>0</v>
      </c>
      <c r="P62" s="55">
        <v>0</v>
      </c>
      <c r="Q62" s="62">
        <v>0</v>
      </c>
      <c r="R62" s="51">
        <v>0</v>
      </c>
      <c r="S62" s="51">
        <v>0</v>
      </c>
      <c r="T62" s="51">
        <v>0</v>
      </c>
      <c r="U62" s="63">
        <v>0</v>
      </c>
      <c r="V62" s="63">
        <v>0</v>
      </c>
      <c r="W62" s="34">
        <f t="shared" si="1"/>
        <v>28</v>
      </c>
      <c r="X62" s="37">
        <f t="shared" si="0"/>
        <v>84</v>
      </c>
      <c r="Y62" s="4" t="s">
        <v>131</v>
      </c>
    </row>
    <row r="63" spans="2:25" ht="23.25" thickBot="1" x14ac:dyDescent="0.3">
      <c r="B63" s="21">
        <v>60</v>
      </c>
      <c r="C63" s="67" t="s">
        <v>99</v>
      </c>
      <c r="D63" s="48" t="s">
        <v>14</v>
      </c>
      <c r="E63" s="82">
        <v>24</v>
      </c>
      <c r="F63" s="3" t="s">
        <v>415</v>
      </c>
      <c r="G63" s="49"/>
      <c r="H63" s="50">
        <v>0</v>
      </c>
      <c r="I63" s="55">
        <v>0</v>
      </c>
      <c r="J63" s="55">
        <v>4</v>
      </c>
      <c r="K63" s="55">
        <v>4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62">
        <v>0</v>
      </c>
      <c r="R63" s="51">
        <v>0</v>
      </c>
      <c r="S63" s="51">
        <v>0</v>
      </c>
      <c r="T63" s="51">
        <v>0</v>
      </c>
      <c r="U63" s="63">
        <v>0</v>
      </c>
      <c r="V63" s="63">
        <v>0</v>
      </c>
      <c r="W63" s="34">
        <f t="shared" si="1"/>
        <v>8</v>
      </c>
      <c r="X63" s="37">
        <f t="shared" si="0"/>
        <v>24</v>
      </c>
      <c r="Y63" s="4" t="s">
        <v>461</v>
      </c>
    </row>
    <row r="64" spans="2:25" ht="26.25" thickBot="1" x14ac:dyDescent="0.3">
      <c r="B64" s="21">
        <v>61</v>
      </c>
      <c r="C64" s="67" t="s">
        <v>100</v>
      </c>
      <c r="D64" s="48" t="s">
        <v>14</v>
      </c>
      <c r="E64" s="82">
        <v>30</v>
      </c>
      <c r="F64" s="3" t="s">
        <v>416</v>
      </c>
      <c r="G64" s="49" t="s">
        <v>212</v>
      </c>
      <c r="H64" s="50">
        <v>10</v>
      </c>
      <c r="I64" s="55">
        <v>0</v>
      </c>
      <c r="J64" s="55">
        <v>0</v>
      </c>
      <c r="K64" s="55">
        <v>0</v>
      </c>
      <c r="L64" s="55">
        <v>0</v>
      </c>
      <c r="M64" s="55">
        <v>0</v>
      </c>
      <c r="N64" s="55">
        <v>0</v>
      </c>
      <c r="O64" s="55">
        <v>0</v>
      </c>
      <c r="P64" s="55">
        <v>0</v>
      </c>
      <c r="Q64" s="62">
        <v>0</v>
      </c>
      <c r="R64" s="51">
        <v>0</v>
      </c>
      <c r="S64" s="51">
        <v>0</v>
      </c>
      <c r="T64" s="51">
        <v>0</v>
      </c>
      <c r="U64" s="63">
        <v>0</v>
      </c>
      <c r="V64" s="63">
        <v>0</v>
      </c>
      <c r="W64" s="34">
        <f t="shared" si="1"/>
        <v>10</v>
      </c>
      <c r="X64" s="37">
        <f t="shared" si="0"/>
        <v>30</v>
      </c>
      <c r="Y64" s="4" t="s">
        <v>462</v>
      </c>
    </row>
    <row r="65" spans="2:25" ht="26.25" thickBot="1" x14ac:dyDescent="0.3">
      <c r="B65" s="21">
        <v>62</v>
      </c>
      <c r="C65" s="67" t="s">
        <v>184</v>
      </c>
      <c r="D65" s="48" t="s">
        <v>14</v>
      </c>
      <c r="E65" s="82">
        <v>12</v>
      </c>
      <c r="F65" s="3" t="s">
        <v>417</v>
      </c>
      <c r="G65" s="49" t="s">
        <v>213</v>
      </c>
      <c r="H65" s="50">
        <v>4</v>
      </c>
      <c r="I65" s="55">
        <v>0</v>
      </c>
      <c r="J65" s="55">
        <v>0</v>
      </c>
      <c r="K65" s="55">
        <v>0</v>
      </c>
      <c r="L65" s="55">
        <v>0</v>
      </c>
      <c r="M65" s="55">
        <v>0</v>
      </c>
      <c r="N65" s="55">
        <v>0</v>
      </c>
      <c r="O65" s="55">
        <v>0</v>
      </c>
      <c r="P65" s="55">
        <v>0</v>
      </c>
      <c r="Q65" s="62">
        <v>0</v>
      </c>
      <c r="R65" s="51">
        <v>0</v>
      </c>
      <c r="S65" s="51">
        <v>0</v>
      </c>
      <c r="T65" s="51">
        <v>0</v>
      </c>
      <c r="U65" s="63">
        <v>0</v>
      </c>
      <c r="V65" s="63">
        <v>0</v>
      </c>
      <c r="W65" s="34">
        <f t="shared" si="1"/>
        <v>4</v>
      </c>
      <c r="X65" s="37">
        <f t="shared" si="0"/>
        <v>12</v>
      </c>
      <c r="Y65" s="4" t="s">
        <v>463</v>
      </c>
    </row>
    <row r="66" spans="2:25" ht="22.5" customHeight="1" thickBot="1" x14ac:dyDescent="0.3">
      <c r="B66" s="21">
        <v>63</v>
      </c>
      <c r="C66" s="67" t="s">
        <v>185</v>
      </c>
      <c r="D66" s="48" t="s">
        <v>14</v>
      </c>
      <c r="E66" s="82">
        <v>117</v>
      </c>
      <c r="F66" s="3" t="s">
        <v>418</v>
      </c>
      <c r="G66" s="49" t="s">
        <v>214</v>
      </c>
      <c r="H66" s="50">
        <v>0</v>
      </c>
      <c r="I66" s="55">
        <v>4</v>
      </c>
      <c r="J66" s="55">
        <v>4</v>
      </c>
      <c r="K66" s="55">
        <v>13</v>
      </c>
      <c r="L66" s="55">
        <v>2</v>
      </c>
      <c r="M66" s="55">
        <v>4</v>
      </c>
      <c r="N66" s="55">
        <v>6</v>
      </c>
      <c r="O66" s="55">
        <v>6</v>
      </c>
      <c r="P66" s="55">
        <v>0</v>
      </c>
      <c r="Q66" s="62">
        <v>0</v>
      </c>
      <c r="R66" s="51">
        <v>0</v>
      </c>
      <c r="S66" s="51">
        <v>0</v>
      </c>
      <c r="T66" s="51">
        <v>0</v>
      </c>
      <c r="U66" s="63">
        <v>0</v>
      </c>
      <c r="V66" s="63">
        <v>0</v>
      </c>
      <c r="W66" s="34">
        <f t="shared" si="1"/>
        <v>39</v>
      </c>
      <c r="X66" s="37">
        <f t="shared" si="0"/>
        <v>117</v>
      </c>
      <c r="Y66" s="4" t="s">
        <v>120</v>
      </c>
    </row>
    <row r="67" spans="2:25" ht="26.25" thickBot="1" x14ac:dyDescent="0.3">
      <c r="B67" s="21">
        <v>64</v>
      </c>
      <c r="C67" s="67" t="s">
        <v>101</v>
      </c>
      <c r="D67" s="48" t="s">
        <v>14</v>
      </c>
      <c r="E67" s="82">
        <v>18</v>
      </c>
      <c r="F67" s="3" t="s">
        <v>419</v>
      </c>
      <c r="G67" s="49" t="s">
        <v>215</v>
      </c>
      <c r="H67" s="50">
        <v>2</v>
      </c>
      <c r="I67" s="55">
        <v>2</v>
      </c>
      <c r="J67" s="55">
        <v>2</v>
      </c>
      <c r="K67" s="55">
        <v>0</v>
      </c>
      <c r="L67" s="55">
        <v>0</v>
      </c>
      <c r="M67" s="55">
        <v>0</v>
      </c>
      <c r="N67" s="55">
        <v>0</v>
      </c>
      <c r="O67" s="55">
        <v>0</v>
      </c>
      <c r="P67" s="55">
        <v>0</v>
      </c>
      <c r="Q67" s="62">
        <v>0</v>
      </c>
      <c r="R67" s="51">
        <v>0</v>
      </c>
      <c r="S67" s="51">
        <v>0</v>
      </c>
      <c r="T67" s="51">
        <v>0</v>
      </c>
      <c r="U67" s="63">
        <v>0</v>
      </c>
      <c r="V67" s="63">
        <v>0</v>
      </c>
      <c r="W67" s="34">
        <f t="shared" si="1"/>
        <v>6</v>
      </c>
      <c r="X67" s="37">
        <f t="shared" si="0"/>
        <v>18</v>
      </c>
      <c r="Y67" s="4" t="s">
        <v>451</v>
      </c>
    </row>
    <row r="68" spans="2:25" ht="26.25" thickBot="1" x14ac:dyDescent="0.3">
      <c r="B68" s="21">
        <v>65</v>
      </c>
      <c r="C68" s="67" t="s">
        <v>186</v>
      </c>
      <c r="D68" s="48" t="s">
        <v>14</v>
      </c>
      <c r="E68" s="82">
        <v>12</v>
      </c>
      <c r="F68" s="3" t="s">
        <v>420</v>
      </c>
      <c r="G68" s="49" t="s">
        <v>216</v>
      </c>
      <c r="H68" s="50">
        <v>4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62">
        <v>0</v>
      </c>
      <c r="R68" s="51">
        <v>0</v>
      </c>
      <c r="S68" s="51">
        <v>0</v>
      </c>
      <c r="T68" s="51">
        <v>0</v>
      </c>
      <c r="U68" s="63">
        <v>0</v>
      </c>
      <c r="V68" s="63">
        <v>0</v>
      </c>
      <c r="W68" s="34">
        <f t="shared" si="1"/>
        <v>4</v>
      </c>
      <c r="X68" s="37">
        <f t="shared" si="0"/>
        <v>12</v>
      </c>
      <c r="Y68" s="4" t="s">
        <v>463</v>
      </c>
    </row>
    <row r="69" spans="2:25" ht="26.25" thickBot="1" x14ac:dyDescent="0.3">
      <c r="B69" s="21">
        <v>66</v>
      </c>
      <c r="C69" s="67" t="s">
        <v>187</v>
      </c>
      <c r="D69" s="48" t="s">
        <v>14</v>
      </c>
      <c r="E69" s="82">
        <v>117</v>
      </c>
      <c r="F69" s="3" t="s">
        <v>421</v>
      </c>
      <c r="G69" s="49" t="s">
        <v>217</v>
      </c>
      <c r="H69" s="50">
        <v>0</v>
      </c>
      <c r="I69" s="55">
        <v>4</v>
      </c>
      <c r="J69" s="55">
        <v>4</v>
      </c>
      <c r="K69" s="55">
        <v>13</v>
      </c>
      <c r="L69" s="55">
        <v>2</v>
      </c>
      <c r="M69" s="55">
        <v>4</v>
      </c>
      <c r="N69" s="55">
        <v>6</v>
      </c>
      <c r="O69" s="55">
        <v>6</v>
      </c>
      <c r="P69" s="55">
        <v>0</v>
      </c>
      <c r="Q69" s="62">
        <v>0</v>
      </c>
      <c r="R69" s="51">
        <v>0</v>
      </c>
      <c r="S69" s="51">
        <v>0</v>
      </c>
      <c r="T69" s="51">
        <v>0</v>
      </c>
      <c r="U69" s="63">
        <v>0</v>
      </c>
      <c r="V69" s="63">
        <v>0</v>
      </c>
      <c r="W69" s="34">
        <f t="shared" si="1"/>
        <v>39</v>
      </c>
      <c r="X69" s="37">
        <f t="shared" ref="X69:X84" si="2">W69*3</f>
        <v>117</v>
      </c>
      <c r="Y69" s="4" t="s">
        <v>120</v>
      </c>
    </row>
    <row r="70" spans="2:25" ht="39" thickBot="1" x14ac:dyDescent="0.3">
      <c r="B70" s="21">
        <v>67</v>
      </c>
      <c r="C70" s="72" t="s">
        <v>102</v>
      </c>
      <c r="D70" s="48" t="s">
        <v>14</v>
      </c>
      <c r="E70" s="84">
        <v>108</v>
      </c>
      <c r="F70" s="3" t="s">
        <v>422</v>
      </c>
      <c r="G70" s="49" t="s">
        <v>218</v>
      </c>
      <c r="H70" s="50">
        <v>8</v>
      </c>
      <c r="I70" s="55">
        <v>4</v>
      </c>
      <c r="J70" s="55">
        <v>4</v>
      </c>
      <c r="K70" s="55">
        <v>12</v>
      </c>
      <c r="L70" s="55">
        <v>4</v>
      </c>
      <c r="M70" s="55">
        <v>4</v>
      </c>
      <c r="N70" s="55">
        <v>0</v>
      </c>
      <c r="O70" s="55">
        <v>0</v>
      </c>
      <c r="P70" s="55">
        <v>0</v>
      </c>
      <c r="Q70" s="62">
        <v>0</v>
      </c>
      <c r="R70" s="51">
        <v>0</v>
      </c>
      <c r="S70" s="51">
        <v>0</v>
      </c>
      <c r="T70" s="51">
        <v>0</v>
      </c>
      <c r="U70" s="63">
        <v>0</v>
      </c>
      <c r="V70" s="63">
        <v>0</v>
      </c>
      <c r="W70" s="34">
        <f t="shared" si="1"/>
        <v>36</v>
      </c>
      <c r="X70" s="37">
        <f t="shared" si="2"/>
        <v>108</v>
      </c>
      <c r="Y70" s="4" t="s">
        <v>133</v>
      </c>
    </row>
    <row r="71" spans="2:25" ht="24.75" thickBot="1" x14ac:dyDescent="0.3">
      <c r="B71" s="21">
        <v>68</v>
      </c>
      <c r="C71" s="71" t="s">
        <v>188</v>
      </c>
      <c r="D71" s="48" t="s">
        <v>14</v>
      </c>
      <c r="E71" s="83">
        <v>6</v>
      </c>
      <c r="F71" s="3" t="s">
        <v>423</v>
      </c>
      <c r="G71" s="49" t="s">
        <v>219</v>
      </c>
      <c r="H71" s="50">
        <v>2</v>
      </c>
      <c r="I71" s="55">
        <v>0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5">
        <v>0</v>
      </c>
      <c r="P71" s="55">
        <v>0</v>
      </c>
      <c r="Q71" s="62">
        <v>0</v>
      </c>
      <c r="R71" s="51">
        <v>0</v>
      </c>
      <c r="S71" s="51">
        <v>0</v>
      </c>
      <c r="T71" s="51">
        <v>0</v>
      </c>
      <c r="U71" s="63">
        <v>0</v>
      </c>
      <c r="V71" s="63">
        <v>0</v>
      </c>
      <c r="W71" s="34">
        <f t="shared" si="1"/>
        <v>2</v>
      </c>
      <c r="X71" s="37">
        <f t="shared" si="2"/>
        <v>6</v>
      </c>
      <c r="Y71" s="4" t="s">
        <v>464</v>
      </c>
    </row>
    <row r="72" spans="2:25" ht="26.25" thickBot="1" x14ac:dyDescent="0.3">
      <c r="B72" s="21">
        <v>69</v>
      </c>
      <c r="C72" s="72" t="s">
        <v>189</v>
      </c>
      <c r="D72" s="48" t="s">
        <v>14</v>
      </c>
      <c r="E72" s="84">
        <v>144</v>
      </c>
      <c r="F72" s="3" t="s">
        <v>424</v>
      </c>
      <c r="G72" s="49" t="s">
        <v>220</v>
      </c>
      <c r="H72" s="50">
        <v>0</v>
      </c>
      <c r="I72" s="55">
        <v>0</v>
      </c>
      <c r="J72" s="55">
        <v>0</v>
      </c>
      <c r="K72" s="55">
        <v>48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62">
        <v>0</v>
      </c>
      <c r="R72" s="51">
        <v>0</v>
      </c>
      <c r="S72" s="51">
        <v>0</v>
      </c>
      <c r="T72" s="51">
        <v>0</v>
      </c>
      <c r="U72" s="63">
        <v>0</v>
      </c>
      <c r="V72" s="63">
        <v>0</v>
      </c>
      <c r="W72" s="34">
        <f t="shared" ref="W72:W84" si="3">SUM(H72:V72)</f>
        <v>48</v>
      </c>
      <c r="X72" s="37">
        <f t="shared" si="2"/>
        <v>144</v>
      </c>
      <c r="Y72" s="4" t="s">
        <v>453</v>
      </c>
    </row>
    <row r="73" spans="2:25" ht="39" thickBot="1" x14ac:dyDescent="0.3">
      <c r="B73" s="21">
        <v>70</v>
      </c>
      <c r="C73" s="72" t="s">
        <v>190</v>
      </c>
      <c r="D73" s="48" t="s">
        <v>14</v>
      </c>
      <c r="E73" s="84">
        <v>36</v>
      </c>
      <c r="F73" s="3" t="s">
        <v>425</v>
      </c>
      <c r="G73" s="49"/>
      <c r="H73" s="50">
        <v>0</v>
      </c>
      <c r="I73" s="55">
        <v>0</v>
      </c>
      <c r="J73" s="55">
        <v>0</v>
      </c>
      <c r="K73" s="55">
        <v>12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62">
        <v>0</v>
      </c>
      <c r="R73" s="51">
        <v>0</v>
      </c>
      <c r="S73" s="51">
        <v>0</v>
      </c>
      <c r="T73" s="51">
        <v>0</v>
      </c>
      <c r="U73" s="63">
        <v>0</v>
      </c>
      <c r="V73" s="63">
        <v>0</v>
      </c>
      <c r="W73" s="34">
        <f t="shared" si="3"/>
        <v>12</v>
      </c>
      <c r="X73" s="37">
        <f t="shared" si="2"/>
        <v>36</v>
      </c>
      <c r="Y73" s="4" t="s">
        <v>454</v>
      </c>
    </row>
    <row r="74" spans="2:25" ht="23.25" thickBot="1" x14ac:dyDescent="0.3">
      <c r="B74" s="21">
        <v>71</v>
      </c>
      <c r="C74" s="72" t="s">
        <v>191</v>
      </c>
      <c r="D74" s="48" t="s">
        <v>14</v>
      </c>
      <c r="E74" s="84">
        <v>180</v>
      </c>
      <c r="F74" s="3" t="s">
        <v>426</v>
      </c>
      <c r="G74" s="49"/>
      <c r="H74" s="50">
        <v>12</v>
      </c>
      <c r="I74" s="55">
        <v>0</v>
      </c>
      <c r="J74" s="55">
        <v>4</v>
      </c>
      <c r="K74" s="55">
        <v>32</v>
      </c>
      <c r="L74" s="55">
        <v>8</v>
      </c>
      <c r="M74" s="55">
        <v>4</v>
      </c>
      <c r="N74" s="55">
        <v>0</v>
      </c>
      <c r="O74" s="55">
        <v>0</v>
      </c>
      <c r="P74" s="55">
        <v>0</v>
      </c>
      <c r="Q74" s="62">
        <v>0</v>
      </c>
      <c r="R74" s="51">
        <v>0</v>
      </c>
      <c r="S74" s="51">
        <v>0</v>
      </c>
      <c r="T74" s="51">
        <v>0</v>
      </c>
      <c r="U74" s="63">
        <v>0</v>
      </c>
      <c r="V74" s="63">
        <v>0</v>
      </c>
      <c r="W74" s="34">
        <f t="shared" si="3"/>
        <v>60</v>
      </c>
      <c r="X74" s="37">
        <f t="shared" si="2"/>
        <v>180</v>
      </c>
      <c r="Y74" s="4" t="s">
        <v>444</v>
      </c>
    </row>
    <row r="75" spans="2:25" ht="26.25" thickBot="1" x14ac:dyDescent="0.3">
      <c r="B75" s="21">
        <v>72</v>
      </c>
      <c r="C75" s="72" t="s">
        <v>192</v>
      </c>
      <c r="D75" s="48" t="s">
        <v>14</v>
      </c>
      <c r="E75" s="84">
        <v>228</v>
      </c>
      <c r="F75" s="3" t="s">
        <v>427</v>
      </c>
      <c r="G75" s="49"/>
      <c r="H75" s="50">
        <v>8</v>
      </c>
      <c r="I75" s="55">
        <v>8</v>
      </c>
      <c r="J75" s="55">
        <v>8</v>
      </c>
      <c r="K75" s="55">
        <v>20</v>
      </c>
      <c r="L75" s="55">
        <v>8</v>
      </c>
      <c r="M75" s="55">
        <v>4</v>
      </c>
      <c r="N75" s="55">
        <v>0</v>
      </c>
      <c r="O75" s="55">
        <v>20</v>
      </c>
      <c r="P75" s="55">
        <v>0</v>
      </c>
      <c r="Q75" s="62">
        <v>0</v>
      </c>
      <c r="R75" s="51">
        <v>0</v>
      </c>
      <c r="S75" s="51">
        <v>0</v>
      </c>
      <c r="T75" s="51">
        <v>0</v>
      </c>
      <c r="U75" s="63">
        <v>0</v>
      </c>
      <c r="V75" s="63">
        <v>0</v>
      </c>
      <c r="W75" s="34">
        <f t="shared" si="3"/>
        <v>76</v>
      </c>
      <c r="X75" s="37">
        <f t="shared" si="2"/>
        <v>228</v>
      </c>
      <c r="Y75" s="4" t="s">
        <v>465</v>
      </c>
    </row>
    <row r="76" spans="2:25" ht="26.25" thickBot="1" x14ac:dyDescent="0.3">
      <c r="B76" s="21">
        <v>73</v>
      </c>
      <c r="C76" s="72" t="s">
        <v>103</v>
      </c>
      <c r="D76" s="48" t="s">
        <v>14</v>
      </c>
      <c r="E76" s="84">
        <v>3</v>
      </c>
      <c r="F76" s="3" t="s">
        <v>428</v>
      </c>
      <c r="G76" s="49"/>
      <c r="H76" s="50">
        <v>0</v>
      </c>
      <c r="I76" s="55">
        <v>0</v>
      </c>
      <c r="J76" s="55">
        <v>0</v>
      </c>
      <c r="K76" s="55">
        <v>0</v>
      </c>
      <c r="L76" s="55">
        <v>1</v>
      </c>
      <c r="M76" s="55">
        <v>0</v>
      </c>
      <c r="N76" s="55">
        <v>0</v>
      </c>
      <c r="O76" s="55">
        <v>0</v>
      </c>
      <c r="P76" s="55">
        <v>0</v>
      </c>
      <c r="Q76" s="62">
        <v>0</v>
      </c>
      <c r="R76" s="51">
        <v>0</v>
      </c>
      <c r="S76" s="51">
        <v>0</v>
      </c>
      <c r="T76" s="51">
        <v>0</v>
      </c>
      <c r="U76" s="63">
        <v>0</v>
      </c>
      <c r="V76" s="63">
        <v>0</v>
      </c>
      <c r="W76" s="34">
        <f t="shared" si="3"/>
        <v>1</v>
      </c>
      <c r="X76" s="37">
        <f t="shared" si="2"/>
        <v>3</v>
      </c>
      <c r="Y76" s="4" t="s">
        <v>466</v>
      </c>
    </row>
    <row r="77" spans="2:25" ht="36.75" thickBot="1" x14ac:dyDescent="0.3">
      <c r="B77" s="21">
        <v>74</v>
      </c>
      <c r="C77" s="72" t="s">
        <v>193</v>
      </c>
      <c r="D77" s="48" t="s">
        <v>14</v>
      </c>
      <c r="E77" s="84">
        <v>129</v>
      </c>
      <c r="F77" s="3" t="s">
        <v>429</v>
      </c>
      <c r="G77" s="49" t="s">
        <v>221</v>
      </c>
      <c r="H77" s="50">
        <v>3</v>
      </c>
      <c r="I77" s="55">
        <v>8</v>
      </c>
      <c r="J77" s="55">
        <v>10</v>
      </c>
      <c r="K77" s="55">
        <v>10</v>
      </c>
      <c r="L77" s="55">
        <v>3</v>
      </c>
      <c r="M77" s="55">
        <v>3</v>
      </c>
      <c r="N77" s="55">
        <v>3</v>
      </c>
      <c r="O77" s="55">
        <v>3</v>
      </c>
      <c r="P77" s="55">
        <v>0</v>
      </c>
      <c r="Q77" s="62">
        <v>0</v>
      </c>
      <c r="R77" s="51">
        <v>0</v>
      </c>
      <c r="S77" s="51">
        <v>0</v>
      </c>
      <c r="T77" s="51">
        <v>0</v>
      </c>
      <c r="U77" s="63">
        <v>0</v>
      </c>
      <c r="V77" s="63">
        <v>0</v>
      </c>
      <c r="W77" s="34">
        <f t="shared" si="3"/>
        <v>43</v>
      </c>
      <c r="X77" s="37">
        <f t="shared" si="2"/>
        <v>129</v>
      </c>
      <c r="Y77" s="4" t="s">
        <v>467</v>
      </c>
    </row>
    <row r="78" spans="2:25" ht="23.25" thickBot="1" x14ac:dyDescent="0.3">
      <c r="B78" s="21">
        <v>75</v>
      </c>
      <c r="C78" s="72" t="s">
        <v>104</v>
      </c>
      <c r="D78" s="48" t="s">
        <v>14</v>
      </c>
      <c r="E78" s="84">
        <v>300</v>
      </c>
      <c r="F78" s="3" t="s">
        <v>430</v>
      </c>
      <c r="G78" s="49"/>
      <c r="H78" s="50">
        <v>0</v>
      </c>
      <c r="I78" s="55">
        <v>0</v>
      </c>
      <c r="J78" s="55">
        <v>0</v>
      </c>
      <c r="K78" s="55">
        <v>100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62">
        <v>0</v>
      </c>
      <c r="R78" s="51">
        <v>0</v>
      </c>
      <c r="S78" s="51">
        <v>0</v>
      </c>
      <c r="T78" s="51">
        <v>0</v>
      </c>
      <c r="U78" s="63">
        <v>0</v>
      </c>
      <c r="V78" s="63">
        <v>0</v>
      </c>
      <c r="W78" s="34">
        <f t="shared" si="3"/>
        <v>100</v>
      </c>
      <c r="X78" s="37">
        <f t="shared" si="2"/>
        <v>300</v>
      </c>
      <c r="Y78" s="4" t="s">
        <v>124</v>
      </c>
    </row>
    <row r="79" spans="2:25" ht="39" thickBot="1" x14ac:dyDescent="0.3">
      <c r="B79" s="21">
        <v>76</v>
      </c>
      <c r="C79" s="72" t="s">
        <v>105</v>
      </c>
      <c r="D79" s="48" t="s">
        <v>14</v>
      </c>
      <c r="E79" s="84">
        <v>60</v>
      </c>
      <c r="F79" s="3" t="s">
        <v>431</v>
      </c>
      <c r="G79" s="49"/>
      <c r="H79" s="50">
        <v>0</v>
      </c>
      <c r="I79" s="55">
        <v>0</v>
      </c>
      <c r="J79" s="55">
        <v>0</v>
      </c>
      <c r="K79" s="55">
        <v>20</v>
      </c>
      <c r="L79" s="55">
        <v>0</v>
      </c>
      <c r="M79" s="55">
        <v>0</v>
      </c>
      <c r="N79" s="55">
        <v>0</v>
      </c>
      <c r="O79" s="55">
        <v>0</v>
      </c>
      <c r="P79" s="55">
        <v>0</v>
      </c>
      <c r="Q79" s="62">
        <v>0</v>
      </c>
      <c r="R79" s="51">
        <v>0</v>
      </c>
      <c r="S79" s="51">
        <v>0</v>
      </c>
      <c r="T79" s="51">
        <v>0</v>
      </c>
      <c r="U79" s="63">
        <v>0</v>
      </c>
      <c r="V79" s="63">
        <v>0</v>
      </c>
      <c r="W79" s="34">
        <f t="shared" si="3"/>
        <v>20</v>
      </c>
      <c r="X79" s="37">
        <f t="shared" si="2"/>
        <v>60</v>
      </c>
      <c r="Y79" s="4" t="s">
        <v>165</v>
      </c>
    </row>
    <row r="80" spans="2:25" ht="23.25" thickBot="1" x14ac:dyDescent="0.3">
      <c r="B80" s="21">
        <v>77</v>
      </c>
      <c r="C80" s="72" t="s">
        <v>106</v>
      </c>
      <c r="D80" s="48" t="s">
        <v>14</v>
      </c>
      <c r="E80" s="84">
        <v>3</v>
      </c>
      <c r="F80" s="3" t="s">
        <v>432</v>
      </c>
      <c r="G80" s="49"/>
      <c r="H80" s="50">
        <v>0</v>
      </c>
      <c r="I80" s="55">
        <v>0</v>
      </c>
      <c r="J80" s="55">
        <v>0</v>
      </c>
      <c r="K80" s="55">
        <v>0</v>
      </c>
      <c r="L80" s="55">
        <v>0</v>
      </c>
      <c r="M80" s="55">
        <v>0</v>
      </c>
      <c r="N80" s="55">
        <v>1</v>
      </c>
      <c r="O80" s="55">
        <v>0</v>
      </c>
      <c r="P80" s="55">
        <v>0</v>
      </c>
      <c r="Q80" s="62">
        <v>0</v>
      </c>
      <c r="R80" s="51">
        <v>0</v>
      </c>
      <c r="S80" s="51">
        <v>0</v>
      </c>
      <c r="T80" s="51">
        <v>0</v>
      </c>
      <c r="U80" s="63">
        <v>0</v>
      </c>
      <c r="V80" s="63">
        <v>0</v>
      </c>
      <c r="W80" s="34">
        <f t="shared" si="3"/>
        <v>1</v>
      </c>
      <c r="X80" s="37">
        <f t="shared" si="2"/>
        <v>3</v>
      </c>
      <c r="Y80" s="4" t="s">
        <v>466</v>
      </c>
    </row>
    <row r="81" spans="2:25" ht="26.25" thickBot="1" x14ac:dyDescent="0.3">
      <c r="B81" s="21">
        <v>78</v>
      </c>
      <c r="C81" s="72" t="s">
        <v>107</v>
      </c>
      <c r="D81" s="48" t="s">
        <v>14</v>
      </c>
      <c r="E81" s="84">
        <v>3</v>
      </c>
      <c r="F81" s="3" t="s">
        <v>433</v>
      </c>
      <c r="G81" s="49"/>
      <c r="H81" s="50">
        <v>0</v>
      </c>
      <c r="I81" s="55">
        <v>0</v>
      </c>
      <c r="J81" s="55">
        <v>0</v>
      </c>
      <c r="K81" s="55">
        <v>0</v>
      </c>
      <c r="L81" s="55">
        <v>0</v>
      </c>
      <c r="M81" s="55">
        <v>0</v>
      </c>
      <c r="N81" s="55">
        <v>1</v>
      </c>
      <c r="O81" s="55">
        <v>0</v>
      </c>
      <c r="P81" s="55">
        <v>0</v>
      </c>
      <c r="Q81" s="62">
        <v>0</v>
      </c>
      <c r="R81" s="51">
        <v>0</v>
      </c>
      <c r="S81" s="51">
        <v>0</v>
      </c>
      <c r="T81" s="51">
        <v>0</v>
      </c>
      <c r="U81" s="63">
        <v>0</v>
      </c>
      <c r="V81" s="63">
        <v>0</v>
      </c>
      <c r="W81" s="34">
        <f t="shared" si="3"/>
        <v>1</v>
      </c>
      <c r="X81" s="37">
        <f t="shared" si="2"/>
        <v>3</v>
      </c>
      <c r="Y81" s="4" t="s">
        <v>466</v>
      </c>
    </row>
    <row r="82" spans="2:25" ht="23.25" thickBot="1" x14ac:dyDescent="0.3">
      <c r="B82" s="21">
        <v>79</v>
      </c>
      <c r="C82" s="72" t="s">
        <v>108</v>
      </c>
      <c r="D82" s="48" t="s">
        <v>14</v>
      </c>
      <c r="E82" s="84">
        <v>30</v>
      </c>
      <c r="F82" s="3" t="s">
        <v>434</v>
      </c>
      <c r="G82" s="49"/>
      <c r="H82" s="50">
        <v>0</v>
      </c>
      <c r="I82" s="55">
        <v>0</v>
      </c>
      <c r="J82" s="55">
        <v>0</v>
      </c>
      <c r="K82" s="55">
        <v>0</v>
      </c>
      <c r="L82" s="55">
        <v>0</v>
      </c>
      <c r="M82" s="55">
        <v>0</v>
      </c>
      <c r="N82" s="55">
        <v>10</v>
      </c>
      <c r="O82" s="55">
        <v>0</v>
      </c>
      <c r="P82" s="55">
        <v>0</v>
      </c>
      <c r="Q82" s="62">
        <v>0</v>
      </c>
      <c r="R82" s="51">
        <v>0</v>
      </c>
      <c r="S82" s="51">
        <v>0</v>
      </c>
      <c r="T82" s="51">
        <v>0</v>
      </c>
      <c r="U82" s="63">
        <v>0</v>
      </c>
      <c r="V82" s="63">
        <v>0</v>
      </c>
      <c r="W82" s="34">
        <f t="shared" si="3"/>
        <v>10</v>
      </c>
      <c r="X82" s="37">
        <f t="shared" si="2"/>
        <v>30</v>
      </c>
      <c r="Y82" s="4" t="s">
        <v>462</v>
      </c>
    </row>
    <row r="83" spans="2:25" ht="39" thickBot="1" x14ac:dyDescent="0.3">
      <c r="B83" s="21">
        <v>80</v>
      </c>
      <c r="C83" s="72" t="s">
        <v>109</v>
      </c>
      <c r="D83" s="48" t="s">
        <v>14</v>
      </c>
      <c r="E83" s="84">
        <v>30</v>
      </c>
      <c r="F83" s="3" t="s">
        <v>435</v>
      </c>
      <c r="G83" s="49"/>
      <c r="H83" s="50">
        <v>0</v>
      </c>
      <c r="I83" s="55">
        <v>0</v>
      </c>
      <c r="J83" s="55">
        <v>0</v>
      </c>
      <c r="K83" s="55">
        <v>0</v>
      </c>
      <c r="L83" s="55">
        <v>0</v>
      </c>
      <c r="M83" s="55">
        <v>0</v>
      </c>
      <c r="N83" s="55">
        <v>10</v>
      </c>
      <c r="O83" s="55">
        <v>0</v>
      </c>
      <c r="P83" s="55">
        <v>0</v>
      </c>
      <c r="Q83" s="62">
        <v>0</v>
      </c>
      <c r="R83" s="51">
        <v>0</v>
      </c>
      <c r="S83" s="51">
        <v>0</v>
      </c>
      <c r="T83" s="51">
        <v>0</v>
      </c>
      <c r="U83" s="63">
        <v>0</v>
      </c>
      <c r="V83" s="63">
        <v>0</v>
      </c>
      <c r="W83" s="34">
        <f t="shared" si="3"/>
        <v>10</v>
      </c>
      <c r="X83" s="37">
        <f t="shared" si="2"/>
        <v>30</v>
      </c>
      <c r="Y83" s="4" t="s">
        <v>462</v>
      </c>
    </row>
    <row r="84" spans="2:25" ht="26.25" thickBot="1" x14ac:dyDescent="0.3">
      <c r="B84" s="19">
        <v>81</v>
      </c>
      <c r="C84" s="79" t="s">
        <v>194</v>
      </c>
      <c r="D84" s="88" t="s">
        <v>14</v>
      </c>
      <c r="E84" s="86">
        <v>30</v>
      </c>
      <c r="F84" s="89" t="s">
        <v>436</v>
      </c>
      <c r="G84" s="90"/>
      <c r="H84" s="194">
        <v>0</v>
      </c>
      <c r="I84" s="91">
        <v>0</v>
      </c>
      <c r="J84" s="91">
        <v>0</v>
      </c>
      <c r="K84" s="91">
        <v>0</v>
      </c>
      <c r="L84" s="91">
        <v>0</v>
      </c>
      <c r="M84" s="91">
        <v>0</v>
      </c>
      <c r="N84" s="91">
        <v>10</v>
      </c>
      <c r="O84" s="91">
        <v>0</v>
      </c>
      <c r="P84" s="91">
        <v>0</v>
      </c>
      <c r="Q84" s="195">
        <v>0</v>
      </c>
      <c r="R84" s="196">
        <v>0</v>
      </c>
      <c r="S84" s="196">
        <v>0</v>
      </c>
      <c r="T84" s="196">
        <v>0</v>
      </c>
      <c r="U84" s="197">
        <v>0</v>
      </c>
      <c r="V84" s="197">
        <v>0</v>
      </c>
      <c r="W84" s="92">
        <f t="shared" si="3"/>
        <v>10</v>
      </c>
      <c r="X84" s="93">
        <f t="shared" si="2"/>
        <v>30</v>
      </c>
      <c r="Y84" s="198" t="s">
        <v>462</v>
      </c>
    </row>
    <row r="85" spans="2:25" x14ac:dyDescent="0.25">
      <c r="E85" s="87">
        <f>SUM(E4:E84)</f>
        <v>13194</v>
      </c>
      <c r="X85" s="95">
        <f>SUM(X4:X84)</f>
        <v>13194</v>
      </c>
    </row>
    <row r="86" spans="2:25" ht="21.75" customHeight="1" x14ac:dyDescent="0.3">
      <c r="C86" s="30" t="s">
        <v>17</v>
      </c>
      <c r="R86" s="47"/>
      <c r="W86" s="5"/>
    </row>
    <row r="87" spans="2:25" ht="15.75" thickBot="1" x14ac:dyDescent="0.3"/>
    <row r="88" spans="2:25" ht="15" customHeight="1" x14ac:dyDescent="0.25">
      <c r="C88" s="187" t="s">
        <v>60</v>
      </c>
      <c r="D88" s="188"/>
      <c r="E88" s="191" t="s">
        <v>385</v>
      </c>
      <c r="F88" s="192"/>
      <c r="G88" s="192"/>
      <c r="H88" s="193"/>
    </row>
    <row r="89" spans="2:25" ht="15" customHeight="1" x14ac:dyDescent="0.25">
      <c r="C89" s="181" t="s">
        <v>61</v>
      </c>
      <c r="D89" s="182"/>
      <c r="E89" s="178" t="s">
        <v>386</v>
      </c>
      <c r="F89" s="179"/>
      <c r="G89" s="179"/>
      <c r="H89" s="180"/>
    </row>
    <row r="90" spans="2:25" ht="15" customHeight="1" x14ac:dyDescent="0.25">
      <c r="C90" s="181" t="s">
        <v>62</v>
      </c>
      <c r="D90" s="182"/>
      <c r="E90" s="178" t="s">
        <v>387</v>
      </c>
      <c r="F90" s="179"/>
      <c r="G90" s="179"/>
      <c r="H90" s="180"/>
    </row>
    <row r="91" spans="2:25" ht="15" customHeight="1" x14ac:dyDescent="0.25">
      <c r="C91" s="181" t="s">
        <v>63</v>
      </c>
      <c r="D91" s="182"/>
      <c r="E91" s="178" t="s">
        <v>388</v>
      </c>
      <c r="F91" s="179"/>
      <c r="G91" s="179"/>
      <c r="H91" s="180"/>
    </row>
    <row r="92" spans="2:25" x14ac:dyDescent="0.25">
      <c r="C92" s="181" t="s">
        <v>64</v>
      </c>
      <c r="D92" s="182"/>
      <c r="E92" s="172" t="s">
        <v>389</v>
      </c>
      <c r="F92" s="173"/>
      <c r="G92" s="173"/>
      <c r="H92" s="174"/>
    </row>
    <row r="93" spans="2:25" x14ac:dyDescent="0.25">
      <c r="C93" s="183" t="s">
        <v>65</v>
      </c>
      <c r="D93" s="184"/>
      <c r="E93" s="172" t="s">
        <v>390</v>
      </c>
      <c r="F93" s="173"/>
      <c r="G93" s="173"/>
      <c r="H93" s="174"/>
    </row>
    <row r="94" spans="2:25" x14ac:dyDescent="0.25">
      <c r="C94" s="172" t="s">
        <v>66</v>
      </c>
      <c r="D94" s="173"/>
      <c r="E94" s="172" t="s">
        <v>391</v>
      </c>
      <c r="F94" s="173"/>
      <c r="G94" s="173"/>
      <c r="H94" s="174"/>
    </row>
    <row r="95" spans="2:25" x14ac:dyDescent="0.25">
      <c r="C95" s="181" t="s">
        <v>70</v>
      </c>
      <c r="D95" s="182"/>
      <c r="E95" s="172" t="s">
        <v>392</v>
      </c>
      <c r="F95" s="173"/>
      <c r="G95" s="173"/>
      <c r="H95" s="174"/>
    </row>
    <row r="96" spans="2:25" ht="26.25" customHeight="1" x14ac:dyDescent="0.25">
      <c r="C96" s="172" t="s">
        <v>67</v>
      </c>
      <c r="D96" s="173"/>
      <c r="E96" s="178" t="s">
        <v>393</v>
      </c>
      <c r="F96" s="179"/>
      <c r="G96" s="179"/>
      <c r="H96" s="180"/>
    </row>
    <row r="97" spans="3:8" ht="24" customHeight="1" x14ac:dyDescent="0.25">
      <c r="C97" s="181" t="s">
        <v>68</v>
      </c>
      <c r="D97" s="182"/>
      <c r="E97" s="178" t="s">
        <v>394</v>
      </c>
      <c r="F97" s="179"/>
      <c r="G97" s="179"/>
      <c r="H97" s="180"/>
    </row>
    <row r="98" spans="3:8" x14ac:dyDescent="0.25">
      <c r="C98" s="181" t="s">
        <v>18</v>
      </c>
      <c r="D98" s="182"/>
      <c r="E98" s="172" t="s">
        <v>395</v>
      </c>
      <c r="F98" s="173"/>
      <c r="G98" s="173"/>
      <c r="H98" s="174"/>
    </row>
    <row r="99" spans="3:8" x14ac:dyDescent="0.25">
      <c r="C99" s="181" t="s">
        <v>19</v>
      </c>
      <c r="D99" s="182"/>
      <c r="E99" s="172" t="s">
        <v>396</v>
      </c>
      <c r="F99" s="173"/>
      <c r="G99" s="173"/>
      <c r="H99" s="174"/>
    </row>
    <row r="100" spans="3:8" ht="24.75" customHeight="1" x14ac:dyDescent="0.25">
      <c r="C100" s="183" t="s">
        <v>20</v>
      </c>
      <c r="D100" s="184"/>
      <c r="E100" s="178" t="s">
        <v>397</v>
      </c>
      <c r="F100" s="179"/>
      <c r="G100" s="179"/>
      <c r="H100" s="180"/>
    </row>
    <row r="101" spans="3:8" x14ac:dyDescent="0.25">
      <c r="C101" s="172" t="s">
        <v>21</v>
      </c>
      <c r="D101" s="173"/>
      <c r="E101" s="172" t="s">
        <v>398</v>
      </c>
      <c r="F101" s="173"/>
      <c r="G101" s="173"/>
      <c r="H101" s="174"/>
    </row>
    <row r="102" spans="3:8" ht="15.75" thickBot="1" x14ac:dyDescent="0.3">
      <c r="C102" s="185" t="s">
        <v>69</v>
      </c>
      <c r="D102" s="186"/>
      <c r="E102" s="175" t="s">
        <v>399</v>
      </c>
      <c r="F102" s="176"/>
      <c r="G102" s="176"/>
      <c r="H102" s="177"/>
    </row>
  </sheetData>
  <mergeCells count="31">
    <mergeCell ref="F3:G3"/>
    <mergeCell ref="E88:H88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E101:H101"/>
    <mergeCell ref="E102:H102"/>
    <mergeCell ref="E89:H89"/>
    <mergeCell ref="E90:H90"/>
    <mergeCell ref="E91:H91"/>
    <mergeCell ref="E92:H92"/>
    <mergeCell ref="E93:H93"/>
    <mergeCell ref="E94:H94"/>
    <mergeCell ref="E95:H95"/>
    <mergeCell ref="E96:H96"/>
    <mergeCell ref="E97:H97"/>
    <mergeCell ref="E98:H98"/>
    <mergeCell ref="E99:H99"/>
    <mergeCell ref="E100:H100"/>
  </mergeCells>
  <pageMargins left="0.70866141732283472" right="0.70866141732283472" top="0.74803149606299213" bottom="0.74803149606299213" header="0.31496062992125984" footer="0.31496062992125984"/>
  <pageSetup paperSize="5"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NEC.TRIMESTRALES</vt:lpstr>
      <vt:lpstr>ANEXO DISTRIBUCION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Administracion</cp:lastModifiedBy>
  <cp:lastPrinted>2022-08-22T11:39:17Z</cp:lastPrinted>
  <dcterms:created xsi:type="dcterms:W3CDTF">2022-08-12T13:49:07Z</dcterms:created>
  <dcterms:modified xsi:type="dcterms:W3CDTF">2022-08-22T12:54:25Z</dcterms:modified>
</cp:coreProperties>
</file>