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Q15" i="3" l="1"/>
  <c r="K12" i="2" l="1"/>
  <c r="I10" i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<sst xmlns="http://schemas.openxmlformats.org/spreadsheetml/2006/main" count="82" uniqueCount="74">
  <si>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</si>
  <si>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</si>
  <si>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</si>
  <si>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</si>
  <si>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</si>
  <si>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</si>
  <si>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</si>
  <si>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</si>
  <si>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</si>
  <si>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</si>
  <si>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</si>
  <si>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</si>
  <si>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</si>
  <si>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</si>
  <si>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</si>
  <si>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</si>
  <si>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</si>
  <si>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</si>
  <si>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</si>
  <si>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</si>
  <si>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</si>
  <si>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</si>
  <si>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</si>
  <si>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</si>
  <si>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</si>
  <si>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</si>
  <si>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</si>
  <si>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</si>
  <si>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</si>
  <si>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</si>
  <si>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</si>
  <si>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</si>
  <si>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</si>
  <si>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</si>
  <si>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</si>
  <si>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</si>
  <si>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</si>
  <si>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</si>
  <si>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</si>
  <si>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</si>
  <si>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</si>
  <si>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</si>
  <si>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</si>
  <si>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</si>
  <si>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</si>
  <si>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</si>
  <si>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</si>
  <si>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</si>
  <si>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</si>
  <si>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</si>
  <si>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</si>
  <si>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</si>
  <si>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</si>
  <si>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</si>
  <si>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</si>
  <si>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</si>
  <si>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</si>
  <si>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</si>
  <si>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</si>
  <si>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</si>
  <si>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</si>
  <si>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</si>
  <si>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</si>
  <si>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</si>
  <si>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</si>
  <si>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</si>
  <si>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</si>
  <si>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DENTRO DE LOS 15 DIAS HABILES, A PARTIR DEL PERFECCIONAMIENTO DEL DOCUMENTO CONTRACTUAL.</t>
  </si>
  <si>
    <t>30 DIAS.</t>
  </si>
  <si>
    <t>SE SUGIERE LA ENTREGA DE VALES DE 10 LITROS. CUANDO LA CANTIDAD ADJUDICADA NO PERMITA LA CONFECCIONDE DICHO VALE SE PODRA CONFECCIONAR UN VALE POR UNA CANTIDAD MENOR.</t>
  </si>
  <si>
    <t>SI</t>
  </si>
  <si>
    <t>266/2022</t>
  </si>
  <si>
    <t>Costo total estimado: Seis Millones Cuatrocientos Noventa y Nueve Mil Novecientos Noventa y Seis con 20/100</t>
  </si>
  <si>
    <t>TOTAL DE PESOS: Seis Millones Cuatrocientos Noventa y Nueve Mil Novecientos Noventa y Seis con 20/100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</si>
</sst>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31" xfId="0" applyBorder="1"/>
    <xf numFmtId="0" fontId="26" fillId="0" borderId="53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Normal="100" workbookViewId="0">
      <selection activeCell="C9" sqref="C9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59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61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3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62</v>
      </c>
      <c r="D10" s="68" t="str">
        <f>LEFT(B10,5)</f>
        <v>2.5.6</v>
      </c>
      <c r="E10" s="69" t="s">
        <v>65</v>
      </c>
      <c r="F10" s="68" t="s">
        <v>63</v>
      </c>
      <c r="G10" s="68">
        <v>41507</v>
      </c>
      <c r="H10" s="90">
        <v>156.6</v>
      </c>
      <c r="I10" s="76">
        <f>G10*H10</f>
        <v>6499996.2000000002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6499996.2000000002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69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67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57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5"/>
      <c r="D23" s="95"/>
      <c r="E23" s="95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5" t="s">
        <v>68</v>
      </c>
      <c r="D25" s="95"/>
      <c r="E25" s="95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6"/>
      <c r="D27" s="96"/>
      <c r="E27" s="96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C23:E23"/>
    <mergeCell ref="C25:E25"/>
    <mergeCell ref="C27:E2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="87" zoomScaleNormal="87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20</v>
      </c>
      <c r="B1" s="99"/>
      <c r="C1" s="99"/>
      <c r="D1" s="99"/>
      <c r="E1" s="99"/>
      <c r="F1" s="99"/>
      <c r="G1" s="99"/>
      <c r="H1" s="99"/>
      <c r="I1" s="99"/>
      <c r="J1" s="77" t="s">
        <v>21</v>
      </c>
      <c r="K1" s="78" t="s">
        <v>71</v>
      </c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0" t="s">
        <v>54</v>
      </c>
      <c r="B3" s="100"/>
      <c r="C3" s="100"/>
      <c r="D3" s="101" t="str">
        <f>'Necesidades Trimestrales'!C4</f>
        <v>35 - Ministerio de Vivienda y Urbanizacion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55</v>
      </c>
      <c r="B4" s="102"/>
      <c r="C4" s="102"/>
      <c r="D4" s="101" t="str">
        <f>'Necesidades Trimestrales'!C5</f>
        <v>48 - Direccion Provincial de Gestion de Administracion y Recursos Humanos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33</v>
      </c>
      <c r="B5" s="102"/>
      <c r="C5" s="102"/>
      <c r="D5" s="101" t="s">
        <v>60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56</v>
      </c>
      <c r="B6" s="100"/>
      <c r="C6" s="100"/>
      <c r="D6" s="101" t="s">
        <v>60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22</v>
      </c>
      <c r="B7" s="102"/>
      <c r="C7" s="102"/>
      <c r="D7" s="101" t="str">
        <f>'Necesidades Trimestrales'!C7 &amp; "° Trimestre - Año " &amp; 'Necesidades Trimestrales'!C6</f>
        <v>3° Trimestre - Año 2022</v>
      </c>
      <c r="E7" s="101"/>
      <c r="F7" s="101"/>
      <c r="G7" s="101"/>
      <c r="H7" s="101"/>
      <c r="I7" s="101"/>
      <c r="J7" s="101"/>
      <c r="K7" s="101"/>
    </row>
    <row r="8" spans="1:11" ht="33" customHeight="1" x14ac:dyDescent="0.2">
      <c r="A8" s="103" t="s">
        <v>23</v>
      </c>
      <c r="B8" s="103"/>
      <c r="C8" s="103"/>
      <c r="D8" s="104" t="s">
        <v>66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10" t="str">
        <f>'Necesidades Trimestrales'!E10</f>
        <v>GAS OIL; PRESENTACION: POR LITRO, USO: MOTORES DIESEL, COMERCIALIZACION: GRADO 3, DESTINO: DPTO. S.F.V. DE CATAMARCA</v>
      </c>
      <c r="D12" s="110"/>
      <c r="E12" s="110"/>
      <c r="F12" s="110"/>
      <c r="G12" s="110"/>
      <c r="H12" s="83" t="s">
        <v>70</v>
      </c>
      <c r="I12" s="85" t="str">
        <f>'Necesidades Trimestrales'!F10</f>
        <v>LITROS</v>
      </c>
      <c r="J12" s="91">
        <f>'Necesidades Trimestrales'!H10</f>
        <v>156.6</v>
      </c>
      <c r="K12" s="87">
        <f>'Necesidades Trimestrales'!G10</f>
        <v>41507</v>
      </c>
    </row>
    <row r="13" spans="1:11" ht="27.75" customHeight="1" x14ac:dyDescent="0.2">
      <c r="A13" s="88"/>
      <c r="B13" s="84"/>
      <c r="C13" s="110"/>
      <c r="D13" s="110"/>
      <c r="E13" s="110"/>
      <c r="F13" s="110"/>
      <c r="G13" s="110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1"/>
      <c r="D14" s="111"/>
      <c r="E14" s="111"/>
      <c r="F14" s="111"/>
      <c r="G14" s="111"/>
      <c r="H14" s="5"/>
      <c r="I14" s="6"/>
      <c r="J14" s="6"/>
      <c r="K14" s="7"/>
    </row>
    <row r="15" spans="1:11" ht="20.25" customHeight="1" x14ac:dyDescent="0.2">
      <c r="A15" s="108" t="s">
        <v>72</v>
      </c>
      <c r="B15" s="108"/>
      <c r="C15" s="108"/>
      <c r="D15" s="108"/>
      <c r="E15" s="108"/>
      <c r="F15" s="108"/>
      <c r="G15" s="108"/>
      <c r="H15" s="108"/>
      <c r="I15" s="108"/>
      <c r="J15" s="109">
        <f>SUMPRODUCT(J12:J14,K12:K14)</f>
        <v>6499996.2000000002</v>
      </c>
      <c r="K15" s="109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R20" sqref="R2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42578125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2022</v>
      </c>
      <c r="E1" s="113"/>
      <c r="F1" s="9"/>
      <c r="G1" s="9"/>
      <c r="H1" s="10"/>
      <c r="I1" s="10"/>
      <c r="J1" s="10"/>
      <c r="K1" s="10"/>
      <c r="L1" s="10"/>
      <c r="M1" s="10"/>
      <c r="N1" s="10"/>
      <c r="P1" s="114" t="s">
        <v>31</v>
      </c>
      <c r="Q1" s="114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4"/>
      <c r="Q2" s="114"/>
    </row>
    <row r="4" spans="1:17" s="11" customFormat="1" ht="18" customHeight="1" thickBot="1" x14ac:dyDescent="0.25">
      <c r="A4" s="115" t="s">
        <v>32</v>
      </c>
      <c r="B4" s="115"/>
      <c r="C4" s="115"/>
      <c r="D4" s="115"/>
      <c r="E4" s="115"/>
      <c r="F4" s="115"/>
      <c r="G4" s="116" t="str">
        <f>' NotaPedido'!D3</f>
        <v>35 - Ministerio de Vivienda y Urbanizacion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1" customFormat="1" ht="18" customHeight="1" thickBot="1" x14ac:dyDescent="0.25">
      <c r="A5" s="117" t="s">
        <v>55</v>
      </c>
      <c r="B5" s="118"/>
      <c r="C5" s="118"/>
      <c r="D5" s="118"/>
      <c r="E5" s="118"/>
      <c r="F5" s="119"/>
      <c r="G5" s="116" t="str">
        <f>' NotaPedido'!D4</f>
        <v>48 - Direccion Provincial de Gestion de Administracion y Recursos Humanos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1" customFormat="1" ht="18" customHeight="1" thickBot="1" x14ac:dyDescent="0.25">
      <c r="A6" s="117" t="s">
        <v>33</v>
      </c>
      <c r="B6" s="118"/>
      <c r="C6" s="118"/>
      <c r="D6" s="118"/>
      <c r="E6" s="118"/>
      <c r="F6" s="119"/>
      <c r="G6" s="116" t="str">
        <f>' NotaPedido'!D5</f>
        <v>Ministerio de Vivienda y Urbanizacion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1" customFormat="1" ht="18" customHeight="1" thickBot="1" x14ac:dyDescent="0.25">
      <c r="A7" s="117" t="s">
        <v>56</v>
      </c>
      <c r="B7" s="118"/>
      <c r="C7" s="118"/>
      <c r="D7" s="118"/>
      <c r="E7" s="118"/>
      <c r="F7" s="119"/>
      <c r="G7" s="116" t="str">
        <f>' NotaPedido'!D6</f>
        <v>Ministerio de Vivienda y Urbanizacion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35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2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266/2022,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3" t="s">
        <v>36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38</v>
      </c>
      <c r="P13" s="125"/>
      <c r="Q13" s="126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5"/>
      <c r="P14" s="125"/>
      <c r="Q14" s="126"/>
    </row>
    <row r="15" spans="1:17" ht="17.25" customHeight="1" x14ac:dyDescent="0.2">
      <c r="A15" s="42">
        <v>25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7" t="s">
        <v>62</v>
      </c>
      <c r="P15" s="128"/>
      <c r="Q15" s="22">
        <f>'Necesidades Trimestrales'!I10</f>
        <v>6499996.2000000002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9"/>
      <c r="P16" s="129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9"/>
      <c r="P17" s="129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9"/>
      <c r="P18" s="129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9"/>
      <c r="P19" s="129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9"/>
      <c r="P20" s="129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5"/>
      <c r="P21" s="135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6"/>
      <c r="P22" s="136"/>
      <c r="Q22" s="36"/>
    </row>
    <row r="23" spans="1:18" ht="20.25" customHeight="1" x14ac:dyDescent="0.2">
      <c r="A23" s="138" t="s">
        <v>73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37">
        <f>SUM(Q15:Q22)</f>
        <v>6499996.2000000002</v>
      </c>
    </row>
    <row r="24" spans="1:18" ht="18" customHeight="1" thickBot="1" x14ac:dyDescent="0.2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</row>
    <row r="25" spans="1:18" ht="17.25" customHeight="1" thickBot="1" x14ac:dyDescent="0.25">
      <c r="A25" s="130" t="s">
        <v>53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18" ht="23.25" customHeight="1" thickBot="1" x14ac:dyDescent="0.25">
      <c r="A26" s="134" t="s">
        <v>66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27" spans="1:18" ht="20.25" customHeight="1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2022-06-13T13:24:45Z</cp:lastPrinted>
  <dcterms:created xsi:type="dcterms:W3CDTF">2020-07-17T23:44:49Z</dcterms:created>
  <dcterms:modified xsi:type="dcterms:W3CDTF">2022-06-13T15:35:08Z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