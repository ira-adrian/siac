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8_{2AC306ED-A5CD-40D8-A2B8-5D4C300D01C2}" xr6:coauthVersionLast="47" xr6:coauthVersionMax="47" xr10:uidLastSave="{00000000-0000-0000-0000-000000000000}"/>
  <bookViews>
    <workbookView xWindow="-120" yWindow="-120" windowWidth="29040" windowHeight="15840" xr2:uid="{C6F1F7E0-C4EC-4D26-A787-6E4E474A39B6}"/>
  </bookViews>
  <sheets>
    <sheet name="Necesidades Trimestrales" sheetId="1" r:id="rId1"/>
  </sheets>
  <definedNames>
    <definedName name="_xlnm._FilterDatabase" localSheetId="0" hidden="1">'Necesidades Trimestrales'!$A$9:$I$43</definedName>
    <definedName name="_xlnm.Print_Area" localSheetId="0">'Necesidades Trimestrales'!#REF!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10" i="1"/>
</calcChain>
</file>

<file path=xl/sharedStrings.xml><?xml version="1.0" encoding="utf-8"?>
<sst xmlns="http://schemas.openxmlformats.org/spreadsheetml/2006/main" count="151" uniqueCount="93">
  <si>
    <t>Pedido de Necesidades Trimestrales</t>
  </si>
  <si>
    <t>JURISDICCION:</t>
  </si>
  <si>
    <t>040 - Ministerio de Salud</t>
  </si>
  <si>
    <t xml:space="preserve">SAF N°: </t>
  </si>
  <si>
    <t>11/ 23/ 24  o  28- "…......."</t>
  </si>
  <si>
    <t>EJERCICIO:</t>
  </si>
  <si>
    <t>TRIMESTRE:</t>
  </si>
  <si>
    <t>ID</t>
  </si>
  <si>
    <t>DESCRIPCION</t>
  </si>
  <si>
    <t>UNIDAD DE MEDIDA</t>
  </si>
  <si>
    <t>PRECIO UNITARIO ESTIMADO</t>
  </si>
  <si>
    <t xml:space="preserve">IMPORTE TOTAL ESTIMADO </t>
  </si>
  <si>
    <t>PROD. MEDICO/FARMACEUTICOS/LAB</t>
  </si>
  <si>
    <t>AMPOLLA</t>
  </si>
  <si>
    <t>FRASCO</t>
  </si>
  <si>
    <t>CODIGO</t>
  </si>
  <si>
    <t>RUBRO</t>
  </si>
  <si>
    <t>I.P.P</t>
  </si>
  <si>
    <t>2.5.2-1726.10</t>
  </si>
  <si>
    <t>SOLUCIONES P/MEDICINA; TIPO: AGUA P/IRRIGACION QUIRURGICA, PRESENTACION: SACHET X 2000 Ml</t>
  </si>
  <si>
    <t>SACHET</t>
  </si>
  <si>
    <t>2.5.2-1726.520</t>
  </si>
  <si>
    <t>SOLUCIONES P/MEDICINA; TIPO: AGUA DESTILADA, PRESENTACION: AMPOLLA DE 10 ML</t>
  </si>
  <si>
    <t>ANPOLLA</t>
  </si>
  <si>
    <t>2.5.2-1726.186</t>
  </si>
  <si>
    <t>SOLUCIONES P/MEDICINA; TIPO: AGUA DESTILADA, PRESENTACION: ENVASE X 500 mL</t>
  </si>
  <si>
    <t>2.5.2-2183.7</t>
  </si>
  <si>
    <t>EXPANSORES PLASMATICOS; PRINCIPIO ACTIVO: ALBUMINA HUMANA, CONCENTRACION: 20 %, PRESENTACION: 50ML</t>
  </si>
  <si>
    <t>2.5.2-1903.103</t>
  </si>
  <si>
    <t>RECONSTITUYENTE GENERAL; DROGA GENERICA: ALIMENTO ENTERAL PARA SONDA FORTIFICADO CON FIBRAS, FORMA FARMACEUTICA: ENVASE, PRESENTACION: 1 L, TIPO: ASOCIACION</t>
  </si>
  <si>
    <t>UNIDAD</t>
  </si>
  <si>
    <t>2.5.2-1903.104</t>
  </si>
  <si>
    <t>RECONSTITUYENTE GENERAL; DROGA GENERICA: ALIMENTO ENTERAL PARA SONDA BAJO INDICE GLUCEMICO, FORMA FARMACEUTICA: ENVASE, PRESENTACION: 1 L, TIPO: ASOCIACION</t>
  </si>
  <si>
    <t xml:space="preserve">UNIDAD </t>
  </si>
  <si>
    <t>2.5.2-1903.105</t>
  </si>
  <si>
    <t>RECONSTITUYENTE GENERAL; TIPO: ASOCIACION, DROGA GENERICA: ALIMENTO ENTERAL PARA SONDA BAJO INDICE GLUCEMICO, FORMA FARMACEUTICA: SOLUCION, PRESENTACION: ENVASE X 500 CM3</t>
  </si>
  <si>
    <t xml:space="preserve">UNIDAD  </t>
  </si>
  <si>
    <t>2.1.1-4227.56</t>
  </si>
  <si>
    <t>SUPLEMENTOS DIETARIOS; TIPO: ASOCIACION, DROGA GENERICA: S. PARENTERAL ADULTO 1501-2000 ML, PRESENTACION: UNIDAD</t>
  </si>
  <si>
    <t>2.1.1-4227.19</t>
  </si>
  <si>
    <t>SUPLEMENTOS DIETARIOS; TIPO: ASOCIACION, DROGA GENERICA: S. PARENTERAL NEONATAL 0-500 ML, PRESENTACION: UNIDAD, ACCESORIO: CON FILTRO</t>
  </si>
  <si>
    <t>2.5.2-1726.191</t>
  </si>
  <si>
    <t>SOLUCIONES P/MEDICINA; TIPO: AMINOACIDOS 10%, PRESENTACION: ENVASE X 500 ML</t>
  </si>
  <si>
    <t>2.5.2-1726.9</t>
  </si>
  <si>
    <t>SOLUCIONES P/MEDICINA; TIPO: BICARBONATO 1 MOLAR, PRESENTACION: SACHET DE 100 mL</t>
  </si>
  <si>
    <t>2.5.2-1726.305</t>
  </si>
  <si>
    <t>SOLUCIONES P/MEDICINA; TIPO: CLORURO DE POTASIO 15 MEQ, PRESENTACION: AMPOLLA DE 5 mL</t>
  </si>
  <si>
    <t>2.5.2-1726.519</t>
  </si>
  <si>
    <t>SOLUCIONES P/MEDICINA; PRESENTACION: AMPOLLA X 20 ML, TIPO: CLORURO DE SODIO MOLAR AL 20 %</t>
  </si>
  <si>
    <t>2.5.2-1726.382</t>
  </si>
  <si>
    <t>SOLUCIONES P/MEDICINA; TIPO: CLORURO DE POTASIO MOLAR, PRESENTACION: ENVASE X 100 mL</t>
  </si>
  <si>
    <t>2.5.2-2689.7</t>
  </si>
  <si>
    <t>NORMALIZADORES DE CALCEMIA; TIPO: MONODROGA, DROGA GENERICA: GLUCONATO DE CALCIO 10 %, FORMA FARMACEUTICA: AMPOLLA, PRESENTACION: ENVASE X 10 mL</t>
  </si>
  <si>
    <t>2.5.2-1726.460</t>
  </si>
  <si>
    <t>SOLUCIONES P/MEDICINA; TIPO: HEMODIALISIS ACIDA A, PRESENTACION: ENVASE X 10 L</t>
  </si>
  <si>
    <t>BIDON</t>
  </si>
  <si>
    <t>2.5.2-1726.449</t>
  </si>
  <si>
    <t>SOLUCIONES P/MEDICINA; TIPO: HEMODIALISIS BASICO B, PRESENTACION: ENVASE X 10 L</t>
  </si>
  <si>
    <t>2.5.2-1726.378</t>
  </si>
  <si>
    <t>SOLUCIONES P/MEDICINA; TIPO: DEXTROSA AL 50 %, PRESENTACION: ENVASE X 500 mL</t>
  </si>
  <si>
    <t>2.5.2-1726.464</t>
  </si>
  <si>
    <t>SOLUCIONES P/MEDICINA; TIPO: DEXTROSA AL 10 %, PRESENTACION: ENVASE X 250 mL</t>
  </si>
  <si>
    <t>2.5.2-1726.14</t>
  </si>
  <si>
    <t>SOLUCIONES P/MEDICINA; PRESENTACION: SACHET X 500 mL, TIPO: DEXTROSA AL 10 %</t>
  </si>
  <si>
    <t>2.5.2-1726.377</t>
  </si>
  <si>
    <t>SOLUCIONES P/MEDICINA; TIPO: DEXTROSA AL 25 %, PRESENTACION: ENVASE X 500 mL</t>
  </si>
  <si>
    <t>2.5.2-1726.24</t>
  </si>
  <si>
    <t>SOLUCIONES P/MEDICINA; TIPO: DEXTROSA AL 5%, PRESENTACION: ENVASE X 500 mL</t>
  </si>
  <si>
    <t>2.5.2-1726.376</t>
  </si>
  <si>
    <t>SOLUCIONES P/MEDICINA; TIPO: DEXTROSA AL 5%, PRESENTACION: ENVASE X 100 mL</t>
  </si>
  <si>
    <t>2.5.2-1726.17</t>
  </si>
  <si>
    <t>SOLUCIONES P/MEDICINA; TIPO: FISIOLOGICA CLORURO DE SODIO, PRESENTACION: 500 CM3</t>
  </si>
  <si>
    <t>2.5.2-1726.369</t>
  </si>
  <si>
    <t>SOLUCIONES P/MEDICINA; TIPO: FISIOLOGICA, PRESENTACION: ENVASE X 100 mL</t>
  </si>
  <si>
    <t>2.5.2-1726.419</t>
  </si>
  <si>
    <t>SOLUCIONES P/MEDICINA; TIPO: FISIOLOGICA, PRESENTACION: ENVASE X 10 mL</t>
  </si>
  <si>
    <t>2.5.2-1726.393</t>
  </si>
  <si>
    <t>SOLUCIONES P/MEDICINA; TIPO: GLUCOSADA HIPERTONICA AL 25%, PRESENTACION: ENVASE X 10 mL</t>
  </si>
  <si>
    <t>2.5.2-1726.381</t>
  </si>
  <si>
    <t>SOLUCIONES P/MEDICINA; TIPO: MANITOL AL 15%, PRESENTACION: ENVASE X 500 mL</t>
  </si>
  <si>
    <t>2.5.2-1726.521</t>
  </si>
  <si>
    <t>SOLUCIONES P/MEDICINA; TIPO: DIALISIS PERITONEAL DEXTROSA AL 1,5 %, PRESENTACION: ENVASE X 2 L</t>
  </si>
  <si>
    <t>2.5.2-1726.522</t>
  </si>
  <si>
    <t>SOLUCIONES P/MEDICINA; TIPO: DIALISIS PERITONEAL DEXTROSA AL 2,5 %, PRESENTACION: ENVASE X 2 L</t>
  </si>
  <si>
    <t>2.5.2-1726.182</t>
  </si>
  <si>
    <t>SOLUCIONES P/MEDICINA; TIPO: RINGER LACTATO, PRESENTACION: ENVASE X 500 mL</t>
  </si>
  <si>
    <t>2.5.2-1726.371</t>
  </si>
  <si>
    <t>SOLUCIONES P/MEDICINA; TIPO: SULFATO DE MAGNESIO AL 25%, PRESENTACION: ENVASE X 5 mL</t>
  </si>
  <si>
    <t>2.5.2-1836.10</t>
  </si>
  <si>
    <t>HIPERTENSORES; TIPO: MONODROGA, DROGA GENERICA: ZINC SULFATO, FORMA FARMACEUTICA: AMPOLLAS, PRESENTACION: 5 mL</t>
  </si>
  <si>
    <t>2.1.1-4227.55</t>
  </si>
  <si>
    <t>SUPLEMENTOS DIETARIOS; TIPO: MONODROGA, DROGA GENERICA: TRIGLICER CADENA MEDIA, PRESENTACION: ENVASE X 500 CM3</t>
  </si>
  <si>
    <t>BOTELLA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</si>
</sst>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-* #,##0.00&quot; €&quot;_-;\-* #,##0.00&quot; €&quot;_-;_-* \-??&quot; €&quot;_-;_-@_-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42424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5" fontId="1" fillId="0" borderId="0" applyBorder="0" applyProtection="0"/>
    <xf numFmtId="0" fontId="1" fillId="0" borderId="0"/>
    <xf numFmtId="0" fontId="1" fillId="0" borderId="0"/>
  </cellStyleXfs>
  <cellXfs count="4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/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wrapText="1" indent="1"/>
    </xf>
    <xf numFmtId="0" fontId="5" fillId="3" borderId="0" xfId="0" applyFont="1" applyFill="1" applyAlignment="1">
      <alignment horizontal="left" wrapText="1" indent="1"/>
    </xf>
    <xf numFmtId="0" fontId="7" fillId="2" borderId="0" xfId="0" applyFont="1" applyFill="1" applyAlignment="1">
      <alignment horizontal="left" wrapText="1"/>
    </xf>
    <xf numFmtId="0" fontId="5" fillId="5" borderId="0" xfId="0" applyFont="1" applyFill="1" applyAlignment="1">
      <alignment horizontal="left" wrapText="1" indent="1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44" fontId="1" fillId="2" borderId="1" xfId="1" applyNumberFormat="1" applyFill="1" applyBorder="1" applyAlignment="1">
      <alignment horizontal="center" vertical="center"/>
    </xf>
    <xf numFmtId="164" fontId="1" fillId="3" borderId="1" xfId="1" applyNumberFormat="1" applyFill="1" applyBorder="1" applyAlignment="1" applyProtection="1">
      <alignment horizontal="center" vertical="center" wrapText="1"/>
    </xf>
    <xf numFmtId="164" fontId="1" fillId="0" borderId="0" xfId="1" applyNumberFormat="1" applyBorder="1" applyAlignment="1" applyProtection="1">
      <alignment horizontal="left" vertical="center"/>
    </xf>
    <xf numFmtId="0" fontId="9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wrapText="1"/>
    </xf>
    <xf numFmtId="0" fontId="0" fillId="0" borderId="11" xfId="0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 2" xfId="3" xr:uid="{10D1F89C-9474-47BE-A814-E769A418D912}"/>
    <cellStyle name="Normal 2 3" xfId="2" xr:uid="{11F3BD4B-2491-48B7-8040-AECAE97FC0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E44E4-9864-4A2A-AE93-042C1A73FF9C}">
  <sheetPr>
    <pageSetUpPr fitToPage="1"/>
  </sheetPr>
  <dimension ref="A2:K44"/>
  <sheetViews>
    <sheetView tabSelected="1" topLeftCell="A16" zoomScale="106" zoomScaleNormal="106" workbookViewId="0">
      <selection activeCell="H37" sqref="H37"/>
    </sheetView>
  </sheetViews>
  <sheetFormatPr baseColWidth="10" defaultColWidth="11" defaultRowHeight="12.75" x14ac:dyDescent="0.2"/>
  <cols>
    <col min="1" max="1" width="4" style="1" customWidth="1"/>
    <col min="2" max="2" width="13.85546875" style="1" customWidth="1"/>
    <col min="3" max="3" width="37.140625" style="1" customWidth="1"/>
    <col min="4" max="4" width="7.7109375" style="1" customWidth="1"/>
    <col min="5" max="5" width="78.42578125" style="1" customWidth="1"/>
    <col min="6" max="7" width="10" style="1" customWidth="1"/>
    <col min="8" max="8" width="15.7109375" style="1" customWidth="1"/>
    <col min="9" max="9" width="18.5703125" style="3" customWidth="1"/>
    <col min="10" max="16384" width="11" style="1"/>
  </cols>
  <sheetData>
    <row r="2" spans="1:11" ht="27" x14ac:dyDescent="0.35">
      <c r="B2" s="2" t="s">
        <v>0</v>
      </c>
      <c r="C2" s="2"/>
      <c r="D2" s="2"/>
      <c r="E2" s="2"/>
      <c r="F2" s="2"/>
      <c r="G2" s="2"/>
      <c r="H2" s="2"/>
    </row>
    <row r="3" spans="1:11" ht="12" customHeight="1" x14ac:dyDescent="0.2"/>
    <row r="4" spans="1:11" ht="18" customHeight="1" x14ac:dyDescent="0.25">
      <c r="A4" s="4" t="s">
        <v>1</v>
      </c>
      <c r="B4" s="4"/>
      <c r="C4" s="5" t="s">
        <v>2</v>
      </c>
      <c r="D4" s="5"/>
      <c r="E4" s="6"/>
      <c r="F4" s="7"/>
      <c r="G4" s="7"/>
      <c r="H4" s="6"/>
    </row>
    <row r="5" spans="1:11" ht="18" customHeight="1" x14ac:dyDescent="0.25">
      <c r="A5" s="8" t="s">
        <v>3</v>
      </c>
      <c r="B5" s="8"/>
      <c r="C5" s="9" t="s">
        <v>4</v>
      </c>
      <c r="D5" s="9"/>
      <c r="E5" s="6"/>
      <c r="F5" s="7"/>
      <c r="G5" s="7"/>
      <c r="H5" s="6"/>
    </row>
    <row r="6" spans="1:11" ht="16.5" customHeight="1" x14ac:dyDescent="0.25">
      <c r="A6" s="4" t="s">
        <v>5</v>
      </c>
      <c r="B6" s="4"/>
      <c r="C6" s="10">
        <v>2022</v>
      </c>
      <c r="D6" s="11"/>
      <c r="E6" s="6"/>
      <c r="F6" s="7"/>
      <c r="G6" s="7"/>
      <c r="H6" s="6"/>
    </row>
    <row r="7" spans="1:11" ht="16.5" customHeight="1" x14ac:dyDescent="0.25">
      <c r="A7" s="8" t="s">
        <v>6</v>
      </c>
      <c r="B7" s="8"/>
      <c r="C7" s="12">
        <v>2</v>
      </c>
      <c r="D7" s="11"/>
      <c r="E7" s="6"/>
      <c r="F7" s="7"/>
      <c r="G7" s="7"/>
      <c r="H7" s="6"/>
    </row>
    <row r="8" spans="1:11" ht="13.5" thickBot="1" x14ac:dyDescent="0.25">
      <c r="B8" s="6"/>
      <c r="C8" s="7"/>
      <c r="D8" s="6"/>
      <c r="E8" s="6"/>
      <c r="F8" s="7"/>
      <c r="G8" s="7"/>
      <c r="H8" s="6"/>
    </row>
    <row r="9" spans="1:11" ht="45.75" thickBot="1" x14ac:dyDescent="0.3">
      <c r="A9" s="18" t="s">
        <v>7</v>
      </c>
      <c r="B9" s="24" t="s">
        <v>15</v>
      </c>
      <c r="C9" s="24" t="s">
        <v>16</v>
      </c>
      <c r="D9" s="29" t="s">
        <v>17</v>
      </c>
      <c r="E9" s="24" t="s">
        <v>8</v>
      </c>
      <c r="F9" s="42" t="s">
        <v>9</v>
      </c>
      <c r="G9" s="47"/>
      <c r="H9" s="13" t="s">
        <v>10</v>
      </c>
      <c r="I9" s="14" t="s">
        <v>11</v>
      </c>
    </row>
    <row r="10" spans="1:11" ht="30.75" thickBot="1" x14ac:dyDescent="0.25">
      <c r="A10" s="19">
        <v>1</v>
      </c>
      <c r="B10" s="25" t="s">
        <v>18</v>
      </c>
      <c r="C10" s="28" t="s">
        <v>12</v>
      </c>
      <c r="D10" s="28">
        <v>252</v>
      </c>
      <c r="E10" s="30" t="s">
        <v>19</v>
      </c>
      <c r="F10" s="22" t="s">
        <v>20</v>
      </c>
      <c r="G10" s="48">
        <v>1</v>
      </c>
      <c r="H10" s="15">
        <v>1140</v>
      </c>
      <c r="I10" s="16">
        <f>+G10*H10</f>
        <v>1140</v>
      </c>
    </row>
    <row r="11" spans="1:11" ht="26.25" thickBot="1" x14ac:dyDescent="0.25">
      <c r="A11" s="19">
        <v>2</v>
      </c>
      <c r="B11" s="26" t="s">
        <v>21</v>
      </c>
      <c r="C11" s="28" t="s">
        <v>12</v>
      </c>
      <c r="D11" s="28">
        <v>252</v>
      </c>
      <c r="E11" s="31" t="s">
        <v>22</v>
      </c>
      <c r="F11" s="22" t="s">
        <v>23</v>
      </c>
      <c r="G11" s="48">
        <v>1</v>
      </c>
      <c r="H11" s="15">
        <v>378.95</v>
      </c>
      <c r="I11" s="16">
        <f>+G11*H11</f>
        <v>378.95</v>
      </c>
      <c r="J11" s="45"/>
      <c r="K11" s="46"/>
    </row>
    <row r="12" spans="1:11" ht="15.75" thickBot="1" x14ac:dyDescent="0.25">
      <c r="A12" s="19">
        <v>3</v>
      </c>
      <c r="B12" s="27" t="s">
        <v>24</v>
      </c>
      <c r="C12" s="28" t="s">
        <v>12</v>
      </c>
      <c r="D12" s="28">
        <v>252</v>
      </c>
      <c r="E12" s="32" t="s">
        <v>25</v>
      </c>
      <c r="F12" s="22" t="s">
        <v>20</v>
      </c>
      <c r="G12" s="48">
        <v>1</v>
      </c>
      <c r="H12" s="15">
        <v>3.5</v>
      </c>
      <c r="I12" s="16">
        <f>+G12*H12</f>
        <v>3.5</v>
      </c>
    </row>
    <row r="13" spans="1:11" ht="26.25" thickBot="1" x14ac:dyDescent="0.25">
      <c r="A13" s="19">
        <v>4</v>
      </c>
      <c r="B13" s="27" t="s">
        <v>26</v>
      </c>
      <c r="C13" s="28" t="s">
        <v>12</v>
      </c>
      <c r="D13" s="28">
        <v>252</v>
      </c>
      <c r="E13" s="33" t="s">
        <v>27</v>
      </c>
      <c r="F13" s="43" t="s">
        <v>20</v>
      </c>
      <c r="G13" s="48">
        <v>1</v>
      </c>
      <c r="H13" s="15">
        <v>3.5</v>
      </c>
      <c r="I13" s="16">
        <f>+G13*H13</f>
        <v>3.5</v>
      </c>
    </row>
    <row r="14" spans="1:11" ht="39" thickBot="1" x14ac:dyDescent="0.25">
      <c r="A14" s="19">
        <v>5</v>
      </c>
      <c r="B14" s="26" t="s">
        <v>28</v>
      </c>
      <c r="C14" s="28" t="s">
        <v>12</v>
      </c>
      <c r="D14" s="28">
        <v>252</v>
      </c>
      <c r="E14" s="31" t="s">
        <v>29</v>
      </c>
      <c r="F14" s="22" t="s">
        <v>30</v>
      </c>
      <c r="G14" s="48">
        <v>1</v>
      </c>
      <c r="H14" s="15">
        <v>4.5</v>
      </c>
      <c r="I14" s="16">
        <f>+G14*H14</f>
        <v>4.5</v>
      </c>
    </row>
    <row r="15" spans="1:11" ht="39" thickBot="1" x14ac:dyDescent="0.25">
      <c r="A15" s="19">
        <v>6</v>
      </c>
      <c r="B15" s="26" t="s">
        <v>31</v>
      </c>
      <c r="C15" s="28" t="s">
        <v>12</v>
      </c>
      <c r="D15" s="28">
        <v>252</v>
      </c>
      <c r="E15" s="31" t="s">
        <v>32</v>
      </c>
      <c r="F15" s="22" t="s">
        <v>33</v>
      </c>
      <c r="G15" s="48">
        <v>1</v>
      </c>
      <c r="H15" s="15">
        <v>12</v>
      </c>
      <c r="I15" s="16">
        <f>+G15*H15</f>
        <v>12</v>
      </c>
    </row>
    <row r="16" spans="1:11" ht="39" thickBot="1" x14ac:dyDescent="0.25">
      <c r="A16" s="19">
        <v>7</v>
      </c>
      <c r="B16" s="26" t="s">
        <v>34</v>
      </c>
      <c r="C16" s="28" t="s">
        <v>12</v>
      </c>
      <c r="D16" s="28">
        <v>252</v>
      </c>
      <c r="E16" s="34" t="s">
        <v>35</v>
      </c>
      <c r="F16" s="22" t="s">
        <v>36</v>
      </c>
      <c r="G16" s="48">
        <v>1</v>
      </c>
      <c r="H16" s="15">
        <v>27.87</v>
      </c>
      <c r="I16" s="16">
        <f>+G16*H16</f>
        <v>27.87</v>
      </c>
    </row>
    <row r="17" spans="1:10" ht="26.25" thickBot="1" x14ac:dyDescent="0.25">
      <c r="A17" s="19">
        <v>8</v>
      </c>
      <c r="B17" s="19" t="s">
        <v>37</v>
      </c>
      <c r="C17" s="28" t="s">
        <v>12</v>
      </c>
      <c r="D17" s="28">
        <v>252</v>
      </c>
      <c r="E17" s="35" t="s">
        <v>38</v>
      </c>
      <c r="F17" s="22" t="s">
        <v>36</v>
      </c>
      <c r="G17" s="48">
        <v>1</v>
      </c>
      <c r="H17" s="15">
        <v>2850</v>
      </c>
      <c r="I17" s="16">
        <f>+G17*H17</f>
        <v>2850</v>
      </c>
    </row>
    <row r="18" spans="1:10" ht="39" thickBot="1" x14ac:dyDescent="0.25">
      <c r="A18" s="19">
        <v>9</v>
      </c>
      <c r="B18" s="19" t="s">
        <v>39</v>
      </c>
      <c r="C18" s="28" t="s">
        <v>12</v>
      </c>
      <c r="D18" s="28">
        <v>252</v>
      </c>
      <c r="E18" s="36" t="s">
        <v>40</v>
      </c>
      <c r="F18" s="19" t="s">
        <v>30</v>
      </c>
      <c r="G18" s="48">
        <v>1</v>
      </c>
      <c r="H18" s="15">
        <v>5.6</v>
      </c>
      <c r="I18" s="16">
        <f>+G18*H18</f>
        <v>5.6</v>
      </c>
    </row>
    <row r="19" spans="1:10" ht="13.5" thickBot="1" x14ac:dyDescent="0.25">
      <c r="A19" s="19">
        <v>10</v>
      </c>
      <c r="B19" s="22" t="s">
        <v>41</v>
      </c>
      <c r="C19" s="28" t="s">
        <v>12</v>
      </c>
      <c r="D19" s="28">
        <v>252</v>
      </c>
      <c r="E19" s="32" t="s">
        <v>42</v>
      </c>
      <c r="F19" s="22" t="s">
        <v>14</v>
      </c>
      <c r="G19" s="48">
        <v>1</v>
      </c>
      <c r="H19" s="15">
        <v>1516</v>
      </c>
      <c r="I19" s="16">
        <f>+G19*H19</f>
        <v>1516</v>
      </c>
    </row>
    <row r="20" spans="1:10" ht="26.25" thickBot="1" x14ac:dyDescent="0.25">
      <c r="A20" s="19">
        <v>11</v>
      </c>
      <c r="B20" s="19" t="s">
        <v>43</v>
      </c>
      <c r="C20" s="28" t="s">
        <v>12</v>
      </c>
      <c r="D20" s="28">
        <v>252</v>
      </c>
      <c r="E20" s="31" t="s">
        <v>44</v>
      </c>
      <c r="F20" s="22" t="s">
        <v>20</v>
      </c>
      <c r="G20" s="48">
        <v>1</v>
      </c>
      <c r="H20" s="15">
        <v>66</v>
      </c>
      <c r="I20" s="16">
        <f>+G20*H20</f>
        <v>66</v>
      </c>
    </row>
    <row r="21" spans="1:10" ht="26.25" thickBot="1" x14ac:dyDescent="0.25">
      <c r="A21" s="19">
        <v>12</v>
      </c>
      <c r="B21" s="19" t="s">
        <v>45</v>
      </c>
      <c r="C21" s="28" t="s">
        <v>12</v>
      </c>
      <c r="D21" s="28">
        <v>252</v>
      </c>
      <c r="E21" s="31" t="s">
        <v>46</v>
      </c>
      <c r="F21" s="22" t="s">
        <v>13</v>
      </c>
      <c r="G21" s="48">
        <v>1</v>
      </c>
      <c r="H21" s="15">
        <v>17.7</v>
      </c>
      <c r="I21" s="16">
        <f>+G21*H21</f>
        <v>17.7</v>
      </c>
    </row>
    <row r="22" spans="1:10" ht="26.25" thickBot="1" x14ac:dyDescent="0.25">
      <c r="A22" s="19">
        <v>13</v>
      </c>
      <c r="B22" s="26" t="s">
        <v>47</v>
      </c>
      <c r="C22" s="28" t="s">
        <v>12</v>
      </c>
      <c r="D22" s="28">
        <v>252</v>
      </c>
      <c r="E22" s="31" t="s">
        <v>48</v>
      </c>
      <c r="F22" s="22" t="s">
        <v>13</v>
      </c>
      <c r="G22" s="48">
        <v>1</v>
      </c>
      <c r="H22" s="15">
        <v>602</v>
      </c>
      <c r="I22" s="16">
        <f>+G22*H22</f>
        <v>602</v>
      </c>
      <c r="J22" s="17"/>
    </row>
    <row r="23" spans="1:10" ht="26.25" thickBot="1" x14ac:dyDescent="0.25">
      <c r="A23" s="19">
        <v>14</v>
      </c>
      <c r="B23" s="19" t="s">
        <v>49</v>
      </c>
      <c r="C23" s="28" t="s">
        <v>12</v>
      </c>
      <c r="D23" s="28">
        <v>252</v>
      </c>
      <c r="E23" s="31" t="s">
        <v>50</v>
      </c>
      <c r="F23" s="22" t="s">
        <v>20</v>
      </c>
      <c r="G23" s="48">
        <v>1</v>
      </c>
      <c r="H23" s="15">
        <v>42</v>
      </c>
      <c r="I23" s="16">
        <f>+G23*H23</f>
        <v>42</v>
      </c>
    </row>
    <row r="24" spans="1:10" ht="39" thickBot="1" x14ac:dyDescent="0.25">
      <c r="A24" s="19">
        <v>15</v>
      </c>
      <c r="B24" s="19" t="s">
        <v>51</v>
      </c>
      <c r="C24" s="28" t="s">
        <v>12</v>
      </c>
      <c r="D24" s="28">
        <v>252</v>
      </c>
      <c r="E24" s="31" t="s">
        <v>52</v>
      </c>
      <c r="F24" s="22" t="s">
        <v>13</v>
      </c>
      <c r="G24" s="48">
        <v>1</v>
      </c>
      <c r="H24" s="15">
        <v>565</v>
      </c>
      <c r="I24" s="16">
        <f>+G24*H24</f>
        <v>565</v>
      </c>
    </row>
    <row r="25" spans="1:10" ht="26.25" thickBot="1" x14ac:dyDescent="0.25">
      <c r="A25" s="19">
        <v>16</v>
      </c>
      <c r="B25" s="19" t="s">
        <v>53</v>
      </c>
      <c r="C25" s="28" t="s">
        <v>12</v>
      </c>
      <c r="D25" s="28">
        <v>252</v>
      </c>
      <c r="E25" s="31" t="s">
        <v>54</v>
      </c>
      <c r="F25" s="22" t="s">
        <v>55</v>
      </c>
      <c r="G25" s="48">
        <v>1</v>
      </c>
      <c r="H25" s="15">
        <v>580</v>
      </c>
      <c r="I25" s="16">
        <f>+G25*H25</f>
        <v>580</v>
      </c>
    </row>
    <row r="26" spans="1:10" ht="13.5" thickBot="1" x14ac:dyDescent="0.25">
      <c r="A26" s="19">
        <v>17</v>
      </c>
      <c r="B26" s="19" t="s">
        <v>56</v>
      </c>
      <c r="C26" s="28" t="s">
        <v>12</v>
      </c>
      <c r="D26" s="28">
        <v>252</v>
      </c>
      <c r="E26" s="32" t="s">
        <v>57</v>
      </c>
      <c r="F26" s="22" t="s">
        <v>55</v>
      </c>
      <c r="G26" s="48">
        <v>1</v>
      </c>
      <c r="H26" s="15">
        <v>626</v>
      </c>
      <c r="I26" s="16">
        <f>+G26*H26</f>
        <v>626</v>
      </c>
    </row>
    <row r="27" spans="1:10" ht="13.5" thickBot="1" x14ac:dyDescent="0.25">
      <c r="A27" s="19">
        <v>18</v>
      </c>
      <c r="B27" s="19" t="s">
        <v>58</v>
      </c>
      <c r="C27" s="28" t="s">
        <v>12</v>
      </c>
      <c r="D27" s="28">
        <v>252</v>
      </c>
      <c r="E27" s="32" t="s">
        <v>59</v>
      </c>
      <c r="F27" s="22" t="s">
        <v>20</v>
      </c>
      <c r="G27" s="48">
        <v>1</v>
      </c>
      <c r="H27" s="15">
        <v>580</v>
      </c>
      <c r="I27" s="16">
        <f>+G27*H27</f>
        <v>580</v>
      </c>
    </row>
    <row r="28" spans="1:10" ht="13.5" thickBot="1" x14ac:dyDescent="0.25">
      <c r="A28" s="20">
        <v>19</v>
      </c>
      <c r="B28" s="19" t="s">
        <v>60</v>
      </c>
      <c r="C28" s="28" t="s">
        <v>12</v>
      </c>
      <c r="D28" s="28">
        <v>252</v>
      </c>
      <c r="E28" s="32" t="s">
        <v>61</v>
      </c>
      <c r="F28" s="22" t="s">
        <v>20</v>
      </c>
      <c r="G28" s="48">
        <v>1</v>
      </c>
      <c r="H28" s="15">
        <v>54</v>
      </c>
      <c r="I28" s="16">
        <f>+G28*H28</f>
        <v>54</v>
      </c>
    </row>
    <row r="29" spans="1:10" ht="13.5" thickBot="1" x14ac:dyDescent="0.25">
      <c r="A29" s="19">
        <v>20</v>
      </c>
      <c r="B29" s="19" t="s">
        <v>62</v>
      </c>
      <c r="C29" s="28" t="s">
        <v>12</v>
      </c>
      <c r="D29" s="28">
        <v>252</v>
      </c>
      <c r="E29" s="32" t="s">
        <v>63</v>
      </c>
      <c r="F29" s="22" t="s">
        <v>20</v>
      </c>
      <c r="G29" s="48">
        <v>1</v>
      </c>
      <c r="H29" s="15">
        <v>330</v>
      </c>
      <c r="I29" s="16">
        <f>+G29*H29</f>
        <v>330</v>
      </c>
    </row>
    <row r="30" spans="1:10" ht="13.5" thickBot="1" x14ac:dyDescent="0.25">
      <c r="A30" s="19">
        <v>21</v>
      </c>
      <c r="B30" s="19" t="s">
        <v>64</v>
      </c>
      <c r="C30" s="28" t="s">
        <v>12</v>
      </c>
      <c r="D30" s="28">
        <v>252</v>
      </c>
      <c r="E30" s="32" t="s">
        <v>65</v>
      </c>
      <c r="F30" s="22" t="s">
        <v>20</v>
      </c>
      <c r="G30" s="48">
        <v>1</v>
      </c>
      <c r="H30" s="15">
        <v>3.25</v>
      </c>
      <c r="I30" s="16">
        <f>+G30*H30</f>
        <v>3.25</v>
      </c>
    </row>
    <row r="31" spans="1:10" ht="13.5" thickBot="1" x14ac:dyDescent="0.25">
      <c r="A31" s="19">
        <v>22</v>
      </c>
      <c r="B31" s="19" t="s">
        <v>66</v>
      </c>
      <c r="C31" s="28" t="s">
        <v>12</v>
      </c>
      <c r="D31" s="28">
        <v>252</v>
      </c>
      <c r="E31" s="32" t="s">
        <v>67</v>
      </c>
      <c r="F31" s="22" t="s">
        <v>20</v>
      </c>
      <c r="G31" s="48">
        <v>1</v>
      </c>
      <c r="H31" s="15">
        <v>5.0999999999999996</v>
      </c>
      <c r="I31" s="16">
        <f>+G31*H31</f>
        <v>5.0999999999999996</v>
      </c>
    </row>
    <row r="32" spans="1:10" ht="13.5" thickBot="1" x14ac:dyDescent="0.25">
      <c r="A32" s="21">
        <v>23</v>
      </c>
      <c r="B32" s="19" t="s">
        <v>68</v>
      </c>
      <c r="C32" s="28" t="s">
        <v>12</v>
      </c>
      <c r="D32" s="28">
        <v>252</v>
      </c>
      <c r="E32" s="37" t="s">
        <v>69</v>
      </c>
      <c r="F32" s="22" t="s">
        <v>20</v>
      </c>
      <c r="G32" s="48">
        <v>1</v>
      </c>
      <c r="H32" s="15">
        <v>18.21</v>
      </c>
      <c r="I32" s="16">
        <f>+G32*H32</f>
        <v>18.21</v>
      </c>
    </row>
    <row r="33" spans="1:9" ht="26.25" thickBot="1" x14ac:dyDescent="0.25">
      <c r="A33" s="22">
        <v>24</v>
      </c>
      <c r="B33" s="22" t="s">
        <v>70</v>
      </c>
      <c r="C33" s="28" t="s">
        <v>12</v>
      </c>
      <c r="D33" s="28">
        <v>252</v>
      </c>
      <c r="E33" s="38" t="s">
        <v>71</v>
      </c>
      <c r="F33" s="22" t="s">
        <v>20</v>
      </c>
      <c r="G33" s="48">
        <v>1</v>
      </c>
      <c r="H33" s="15">
        <v>165</v>
      </c>
      <c r="I33" s="16">
        <f>+G33*H33</f>
        <v>165</v>
      </c>
    </row>
    <row r="34" spans="1:9" ht="13.5" thickBot="1" x14ac:dyDescent="0.25">
      <c r="A34" s="23">
        <v>25</v>
      </c>
      <c r="B34" s="19" t="s">
        <v>72</v>
      </c>
      <c r="C34" s="28" t="s">
        <v>12</v>
      </c>
      <c r="D34" s="28">
        <v>252</v>
      </c>
      <c r="E34" s="39" t="s">
        <v>73</v>
      </c>
      <c r="F34" s="22" t="s">
        <v>20</v>
      </c>
      <c r="G34" s="48">
        <v>1</v>
      </c>
      <c r="H34" s="15">
        <v>165</v>
      </c>
      <c r="I34" s="16">
        <f>+G34*H34</f>
        <v>165</v>
      </c>
    </row>
    <row r="35" spans="1:9" ht="13.5" thickBot="1" x14ac:dyDescent="0.25">
      <c r="A35" s="19">
        <v>26</v>
      </c>
      <c r="B35" s="19" t="s">
        <v>74</v>
      </c>
      <c r="C35" s="28" t="s">
        <v>12</v>
      </c>
      <c r="D35" s="28">
        <v>252</v>
      </c>
      <c r="E35" s="32" t="s">
        <v>75</v>
      </c>
      <c r="F35" s="22" t="s">
        <v>13</v>
      </c>
      <c r="G35" s="48">
        <v>1</v>
      </c>
      <c r="H35" s="15">
        <v>45.5</v>
      </c>
      <c r="I35" s="16">
        <f>+G35*H35</f>
        <v>45.5</v>
      </c>
    </row>
    <row r="36" spans="1:9" ht="26.25" thickBot="1" x14ac:dyDescent="0.25">
      <c r="A36" s="19">
        <v>27</v>
      </c>
      <c r="B36" s="27" t="s">
        <v>76</v>
      </c>
      <c r="C36" s="28" t="s">
        <v>12</v>
      </c>
      <c r="D36" s="28">
        <v>252</v>
      </c>
      <c r="E36" s="31" t="s">
        <v>77</v>
      </c>
      <c r="F36" s="22" t="s">
        <v>13</v>
      </c>
      <c r="G36" s="48">
        <v>1</v>
      </c>
      <c r="H36" s="15">
        <v>49</v>
      </c>
      <c r="I36" s="16">
        <f>+G36*H36</f>
        <v>49</v>
      </c>
    </row>
    <row r="37" spans="1:9" ht="13.5" thickBot="1" x14ac:dyDescent="0.25">
      <c r="A37" s="19">
        <v>28</v>
      </c>
      <c r="B37" s="19" t="s">
        <v>78</v>
      </c>
      <c r="C37" s="28" t="s">
        <v>12</v>
      </c>
      <c r="D37" s="28">
        <v>252</v>
      </c>
      <c r="E37" s="40" t="s">
        <v>79</v>
      </c>
      <c r="F37" s="22" t="s">
        <v>20</v>
      </c>
      <c r="G37" s="48">
        <v>1</v>
      </c>
      <c r="H37" s="15">
        <v>89</v>
      </c>
      <c r="I37" s="16">
        <f>+G37*H37</f>
        <v>89</v>
      </c>
    </row>
    <row r="38" spans="1:9" ht="26.25" thickBot="1" x14ac:dyDescent="0.25">
      <c r="A38" s="19">
        <v>29</v>
      </c>
      <c r="B38" s="26" t="s">
        <v>80</v>
      </c>
      <c r="C38" s="28" t="s">
        <v>12</v>
      </c>
      <c r="D38" s="28">
        <v>252</v>
      </c>
      <c r="E38" s="31" t="s">
        <v>81</v>
      </c>
      <c r="F38" s="19" t="s">
        <v>30</v>
      </c>
      <c r="G38" s="48">
        <v>1</v>
      </c>
      <c r="H38" s="15">
        <v>5.2</v>
      </c>
      <c r="I38" s="16">
        <f>+G38*H38</f>
        <v>5.2</v>
      </c>
    </row>
    <row r="39" spans="1:9" ht="26.25" thickBot="1" x14ac:dyDescent="0.25">
      <c r="A39" s="19">
        <v>30</v>
      </c>
      <c r="B39" s="26" t="s">
        <v>82</v>
      </c>
      <c r="C39" s="28" t="s">
        <v>12</v>
      </c>
      <c r="D39" s="28">
        <v>252</v>
      </c>
      <c r="E39" s="31" t="s">
        <v>83</v>
      </c>
      <c r="F39" s="19" t="s">
        <v>30</v>
      </c>
      <c r="G39" s="48">
        <v>1</v>
      </c>
      <c r="H39" s="15">
        <v>4.5</v>
      </c>
      <c r="I39" s="16">
        <f>+G39*H39</f>
        <v>4.5</v>
      </c>
    </row>
    <row r="40" spans="1:9" ht="13.5" thickBot="1" x14ac:dyDescent="0.25">
      <c r="A40" s="19">
        <v>31</v>
      </c>
      <c r="B40" s="19" t="s">
        <v>84</v>
      </c>
      <c r="C40" s="28" t="s">
        <v>12</v>
      </c>
      <c r="D40" s="28">
        <v>252</v>
      </c>
      <c r="E40" s="32" t="s">
        <v>85</v>
      </c>
      <c r="F40" s="19" t="s">
        <v>20</v>
      </c>
      <c r="G40" s="48">
        <v>1</v>
      </c>
      <c r="H40" s="15">
        <v>35</v>
      </c>
      <c r="I40" s="16">
        <f>+G40*H40</f>
        <v>35</v>
      </c>
    </row>
    <row r="41" spans="1:9" ht="26.25" thickBot="1" x14ac:dyDescent="0.25">
      <c r="A41" s="19">
        <v>32</v>
      </c>
      <c r="B41" s="27" t="s">
        <v>86</v>
      </c>
      <c r="C41" s="28" t="s">
        <v>12</v>
      </c>
      <c r="D41" s="28">
        <v>252</v>
      </c>
      <c r="E41" s="31" t="s">
        <v>87</v>
      </c>
      <c r="F41" s="22" t="s">
        <v>13</v>
      </c>
      <c r="G41" s="48">
        <v>1</v>
      </c>
      <c r="H41" s="15">
        <v>41</v>
      </c>
      <c r="I41" s="16">
        <f>+G41*H41</f>
        <v>41</v>
      </c>
    </row>
    <row r="42" spans="1:9" ht="26.25" thickBot="1" x14ac:dyDescent="0.25">
      <c r="A42" s="19">
        <v>33</v>
      </c>
      <c r="B42" s="19" t="s">
        <v>88</v>
      </c>
      <c r="C42" s="28" t="s">
        <v>12</v>
      </c>
      <c r="D42" s="28">
        <v>252</v>
      </c>
      <c r="E42" s="31" t="s">
        <v>89</v>
      </c>
      <c r="F42" s="22" t="s">
        <v>13</v>
      </c>
      <c r="G42" s="48">
        <v>1</v>
      </c>
      <c r="H42" s="15">
        <v>2200</v>
      </c>
      <c r="I42" s="16">
        <f>+G42*H42</f>
        <v>2200</v>
      </c>
    </row>
    <row r="43" spans="1:9" ht="26.25" thickBot="1" x14ac:dyDescent="0.25">
      <c r="A43" s="19">
        <v>34</v>
      </c>
      <c r="B43" s="26" t="s">
        <v>90</v>
      </c>
      <c r="C43" s="28" t="s">
        <v>12</v>
      </c>
      <c r="D43" s="28">
        <v>252</v>
      </c>
      <c r="E43" s="41" t="s">
        <v>91</v>
      </c>
      <c r="F43" s="44" t="s">
        <v>92</v>
      </c>
      <c r="G43" s="48">
        <v>1</v>
      </c>
      <c r="H43" s="15">
        <v>835</v>
      </c>
      <c r="I43" s="16">
        <f>+G43*H43</f>
        <v>835</v>
      </c>
    </row>
    <row r="44" spans="1:9" x14ac:dyDescent="0.2">
      <c r="G44" s="48"/>
    </row>
  </sheetData>
  <autoFilter ref="A9:I43" xr:uid="{00000000-0009-0000-0000-000000000000}"/>
  <mergeCells count="8">
    <mergeCell ref="A7:B7"/>
    <mergeCell ref="J11:K11"/>
    <mergeCell ref="B2:H2"/>
    <mergeCell ref="A4:B4"/>
    <mergeCell ref="C4:D4"/>
    <mergeCell ref="A5:B5"/>
    <mergeCell ref="C5:D5"/>
    <mergeCell ref="A6:B6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COMPRAR</dc:creator>
  <cp:lastModifiedBy>COMPRAR</cp:lastModifiedBy>
  <dcterms:created xsi:type="dcterms:W3CDTF">2022-08-19T13:53:21Z</dcterms:created>
  <dcterms:modified xsi:type="dcterms:W3CDTF">2022-08-19T13:59:39Z</dcterms:modified>
</cp:coreProperties>
</file>