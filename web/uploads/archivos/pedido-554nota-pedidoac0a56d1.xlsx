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G:\Mi unidad\COMPARTIDA\DIRECCION DE PLANIFICACION\DOCUMENTACION\Rodolfo\Ministerio de Agric yGanaderia - Combustible\"/>
    </mc:Choice>
  </mc:AlternateContent>
  <xr:revisionPtr revIDLastSave="0" documentId="13_ncr:1_{B5B7CC76-85F5-4DBD-9259-2D25D00E5A16}" xr6:coauthVersionLast="47" xr6:coauthVersionMax="47" xr10:uidLastSave="{00000000-0000-0000-0000-000000000000}"/>
  <bookViews>
    <workbookView xWindow="-120" yWindow="-120" windowWidth="20730" windowHeight="11160" tabRatio="500" xr2:uid="{00000000-000D-0000-FFFF-FFFF00000000}"/>
  </bookViews>
  <sheets>
    <sheet name="Necesidades Trimestrales" sheetId="3" r:id="rId1"/>
    <sheet name=" NotaPedido" sheetId="1" r:id="rId2"/>
    <sheet name="Autor Gastar" sheetId="2" r:id="rId3"/>
  </sheets>
  <definedNames>
    <definedName name="_xlnm.Print_Area" localSheetId="1">' NotaPedido'!$A$1:$K$13</definedName>
    <definedName name="_xlnm.Print_Area" localSheetId="2">'Autor Gastar'!$A$1:$Q$42</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J13" i="1" l="1"/>
  <c r="I11" i="3" l="1"/>
  <c r="Q38" i="2" l="1"/>
</calcChain>
</file>

<file path=xl/sharedStrings.xml><?xml version="1.0" encoding="utf-8"?>
<sst xmlns="http://schemas.openxmlformats.org/spreadsheetml/2006/main" count="90" uniqueCount="77">
  <si>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</si>
  <si>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</si>
  <si>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</si>
  <si>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</si>
  <si>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</si>
  <si>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</si>
  <si>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</si>
  <si>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</si>
  <si>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</si>
  <si>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</si>
  <si>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</si>
  <si>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</si>
  <si>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</si>
  <si>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</si>
  <si>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</si>
  <si>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</si>
  <si>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</si>
  <si>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</si>
  <si>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</si>
  <si>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</si>
  <si>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</si>
  <si>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</si>
  <si>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</si>
  <si>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</si>
  <si>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</si>
  <si>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</si>
  <si>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</si>
  <si>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</si>
  <si>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</si>
  <si>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</si>
  <si>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</si>
  <si>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</si>
  <si>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</si>
  <si>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</si>
  <si>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</si>
  <si>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</si>
  <si>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</si>
  <si>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</si>
  <si>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62- MINISTERIO DE AGRICULTURA Y GANADERIA</t>
  </si>
  <si>
    <t>33- DIRECCION PROVINCIAL DE GESTION ADMINISTRATIVA Y R.R.H.H.</t>
  </si>
  <si>
    <t>MINISTERIO DE AGRICULTURA Y GANADERIA</t>
  </si>
  <si>
    <t>1.1</t>
  </si>
  <si>
    <t>33- DIRECCION PROVINCIAL DE GESTION ADMINISTRATIVA Y R.R.H.H</t>
  </si>
  <si>
    <t>JURISDICCION : 62- MINISTERIO DE AGRICULTURA Y GANADERIA</t>
  </si>
  <si>
    <t>SAF N°: 33- DIRECCION PROVINVIAL DE GESTION ADMINISTRATIVA Y R.R.H.H.</t>
  </si>
  <si>
    <t>EJERCICIO: 2021</t>
  </si>
  <si>
    <t>ID</t>
  </si>
  <si>
    <t>CODIGO ITEM</t>
  </si>
  <si>
    <t>RUBRO DE LA COMPRA</t>
  </si>
  <si>
    <t>I.P.P</t>
  </si>
  <si>
    <t>DESCRIPCION</t>
  </si>
  <si>
    <t>UNIDAD DE MEDIDA</t>
  </si>
  <si>
    <t>CANTIDAD</t>
  </si>
  <si>
    <t>PRECIO UNITARIO ESTIMADO</t>
  </si>
  <si>
    <t>IMPORTE TOTRAL ESTIMADO</t>
  </si>
  <si>
    <t>Garantia</t>
  </si>
  <si>
    <t>Pedido de Necesidades Trimestrales</t>
  </si>
  <si>
    <t>10 DIAS</t>
  </si>
  <si>
    <t>SEGÚN DESCRIPCION DE ITEM</t>
  </si>
  <si>
    <t>SEGÚN ITEM</t>
  </si>
  <si>
    <t>Especialidades Item N° 1</t>
  </si>
  <si>
    <t>2.5.6-793.31</t>
  </si>
  <si>
    <t>COMBUSTIBLES Y LUBRICANTES</t>
  </si>
  <si>
    <t>2.5.6</t>
  </si>
  <si>
    <t>GAS OIL; PRESENTACION: POR LITRO, USO: MOTORES DIESEL, COMERCIALIZACION: GRADO 3,  DESTINO: DPTO. S.F.V. DE CATAMARCA</t>
  </si>
  <si>
    <r>
      <t>Plazos y lugares de entrega</t>
    </r>
    <r>
      <rPr>
        <sz val="10"/>
        <rFont val="Arial"/>
        <family val="2"/>
      </rPr>
      <t>:</t>
    </r>
  </si>
  <si>
    <r>
      <t>Descripcion Técnica</t>
    </r>
    <r>
      <rPr>
        <sz val="10"/>
        <rFont val="Arial"/>
        <family val="2"/>
      </rPr>
      <t>:</t>
    </r>
  </si>
  <si>
    <r>
      <t>Calidad Minima esperada</t>
    </r>
    <r>
      <rPr>
        <sz val="10"/>
        <rFont val="Arial"/>
        <family val="2"/>
      </rPr>
      <t>:</t>
    </r>
  </si>
  <si>
    <r>
      <t>Mantenmiento</t>
    </r>
    <r>
      <rPr>
        <sz val="10"/>
        <rFont val="Arial"/>
        <family val="2"/>
      </rPr>
      <t>:</t>
    </r>
  </si>
  <si>
    <t>a)  FORMA DE LA ENTREGA  ENTREGA sera fraccionado bajo la forma de VALES de 10 Lts. cada uno y cuando la cantidad adjudicada no permita la confeccion de dicho vale, para completar se emitira uno por una cantidad menor hasta completar la cantidad solicitada, según pliego, en el Ministerio de Agriculutura y Ganadería, Av. Venezuela S/N - Pabellon 28 - Capital - De 08 a 12 horas. El COMBUSTIBLE en la boca de expendio.
b)  PLAZO DE ENTREGA: El Oferente deberá establecer plazo de entrega de los elementos cotizados, debiendo ser expresado en días hábiles; que no podrá ser superior a  tres 3 días hábiles contados a partir de la recepción de la comunicación prevista en el Artículo 80° de del Reglamento Parcial N° 2 de la ley 4938.</t>
  </si>
  <si>
    <t>LITROS</t>
  </si>
  <si>
    <t>ADQUISICION DE COMBUSTIBLE PARA EL MINISTERIO DE AGRICULTURA Y GANADERIA</t>
  </si>
  <si>
    <t>Costo total estimado: NOVECIENTOS SETENTA Y OCHO MIL TRESCIENTOS CON 00/100</t>
  </si>
  <si>
    <t>4 - TRIMESTRE 2021</t>
  </si>
  <si>
    <t>Autorizo la realización de los  trámites correspondientes, a fin de proveer a  este Organismo los bienes, servicios que se detallan en Nota  de Pedido N° 46/ 2021, afectando la erogación resultante a los créditos presupuestarios aprobados a favor de esta Unidad Ejecutora, conforme al siguiente detalle:</t>
  </si>
  <si>
    <t>TRIMESTRE: 04</t>
  </si>
  <si>
    <t>TOTAL DE PESOS: NOVECIENTOS SETENTA Y OCHO MIL TRESCIENTOS CON 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</si>
</sst>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2C0A]\ #,##0.00"/>
    <numFmt numFmtId="166" formatCode="dd\-mm\-yy;@"/>
    <numFmt numFmtId="167" formatCode="[$$-2C0A]\ #,##0.00;[$$-2C0A]&quot; -&quot;#,##0.00"/>
    <numFmt numFmtId="168" formatCode="&quot;$&quot;#,##0.00"/>
  </numFmts>
  <fonts count="26"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0"/>
      <name val="Times New Roman"/>
      <family val="1"/>
      <charset val="1"/>
    </font>
    <font>
      <b/>
      <sz val="14"/>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Times New Roman"/>
      <family val="1"/>
    </font>
    <font>
      <sz val="8"/>
      <name val="Times New Roman"/>
      <family val="1"/>
    </font>
    <font>
      <b/>
      <sz val="10"/>
      <name val="Arial"/>
      <family val="2"/>
    </font>
    <font>
      <sz val="10"/>
      <name val="Arial"/>
      <family val="2"/>
    </font>
    <font>
      <u/>
      <sz val="10"/>
      <name val="Arial"/>
      <family val="2"/>
    </font>
    <font>
      <sz val="8"/>
      <name val="Arial"/>
      <family val="2"/>
    </font>
    <font>
      <b/>
      <sz val="14"/>
      <name val="Arial"/>
      <family val="2"/>
    </font>
    <font>
      <sz val="11"/>
      <name val="Calibri"/>
      <family val="2"/>
      <scheme val="minor"/>
    </font>
    <font>
      <sz val="10"/>
      <name val="Calibri"/>
      <family val="2"/>
      <scheme val="minor"/>
    </font>
    <font>
      <b/>
      <sz val="11"/>
      <name val="Calibri"/>
      <family val="2"/>
      <scheme val="minor"/>
    </font>
  </fonts>
  <fills count="3">
    <fill>
      <patternFill patternType="none"/>
    </fill>
    <fill>
      <patternFill patternType="gray125"/>
    </fill>
    <fill>
      <patternFill patternType="solid">
        <fgColor rgb="FFFFFF99"/>
        <bgColor rgb="FFFFFFCC"/>
      </patternFill>
    </fill>
  </fills>
  <borders count="62">
    <border>
      <left/>
      <right/>
      <top/>
      <bottom/>
      <diagonal/>
    </border>
    <border>
      <left/>
      <right/>
      <top/>
      <bottom style="thick">
        <color rgb="FF33CCCC"/>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right/>
      <top style="medium">
        <color auto="1"/>
      </top>
      <bottom style="medium">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s>
  <cellStyleXfs count="4">
    <xf numFmtId="0" fontId="0" fillId="0" borderId="0"/>
    <xf numFmtId="0" fontId="1" fillId="0" borderId="1" applyProtection="0"/>
    <xf numFmtId="164" fontId="2" fillId="0" borderId="0" applyBorder="0" applyProtection="0"/>
    <xf numFmtId="0" fontId="3" fillId="2" borderId="0" applyBorder="0" applyProtection="0"/>
  </cellStyleXfs>
  <cellXfs count="121">
    <xf numFmtId="0" fontId="0" fillId="0" borderId="0" xfId="0"/>
    <xf numFmtId="0" fontId="2" fillId="0" borderId="0" xfId="0" applyFont="1" applyBorder="1" applyAlignment="1">
      <alignment vertical="center"/>
    </xf>
    <xf numFmtId="0" fontId="5" fillId="0" borderId="3" xfId="0" applyFont="1" applyBorder="1" applyAlignment="1">
      <alignment horizontal="right" vertical="center"/>
    </xf>
    <xf numFmtId="0" fontId="6" fillId="0" borderId="4" xfId="0" applyFont="1" applyBorder="1" applyAlignment="1">
      <alignment horizontal="center" vertical="center"/>
    </xf>
    <xf numFmtId="0" fontId="5" fillId="0" borderId="5" xfId="0" applyFont="1" applyBorder="1" applyAlignment="1">
      <alignment vertical="center"/>
    </xf>
    <xf numFmtId="0" fontId="5" fillId="0" borderId="6" xfId="0" applyFont="1" applyBorder="1" applyAlignment="1">
      <alignment vertical="center"/>
    </xf>
    <xf numFmtId="0" fontId="5" fillId="0" borderId="0" xfId="0" applyFont="1" applyBorder="1" applyAlignment="1">
      <alignment vertical="center"/>
    </xf>
    <xf numFmtId="0" fontId="5" fillId="0" borderId="7" xfId="0" applyFont="1" applyBorder="1" applyAlignment="1">
      <alignment vertical="center"/>
    </xf>
    <xf numFmtId="0" fontId="7" fillId="0" borderId="13" xfId="0" applyFont="1" applyBorder="1" applyAlignment="1">
      <alignment horizontal="lef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6" fillId="0" borderId="7" xfId="0" applyFont="1" applyBorder="1" applyAlignment="1">
      <alignment horizontal="left" vertical="center" wrapText="1" indent="1"/>
    </xf>
    <xf numFmtId="0" fontId="0" fillId="0" borderId="0" xfId="0" applyAlignment="1">
      <alignment horizontal="left"/>
    </xf>
    <xf numFmtId="3" fontId="11" fillId="0" borderId="23" xfId="0" applyNumberFormat="1" applyFont="1" applyBorder="1" applyAlignment="1"/>
    <xf numFmtId="166" fontId="0" fillId="0" borderId="23" xfId="0" applyNumberFormat="1" applyBorder="1" applyAlignment="1">
      <alignment horizontal="left"/>
    </xf>
    <xf numFmtId="0" fontId="0" fillId="0" borderId="23" xfId="0" applyBorder="1"/>
    <xf numFmtId="0" fontId="0" fillId="0" borderId="13"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7" xfId="0" applyBorder="1"/>
    <xf numFmtId="0" fontId="2" fillId="0" borderId="0" xfId="0" applyFont="1"/>
    <xf numFmtId="0" fontId="0" fillId="0" borderId="5" xfId="0" applyBorder="1"/>
    <xf numFmtId="0" fontId="0" fillId="0" borderId="6" xfId="0" applyBorder="1"/>
    <xf numFmtId="0" fontId="0" fillId="0" borderId="6" xfId="0" applyBorder="1" applyAlignment="1">
      <alignment horizontal="left"/>
    </xf>
    <xf numFmtId="0" fontId="0" fillId="0" borderId="29" xfId="0" applyBorder="1"/>
    <xf numFmtId="0" fontId="15" fillId="0" borderId="32" xfId="0" applyFont="1" applyBorder="1" applyAlignment="1">
      <alignment horizontal="center" vertical="center"/>
    </xf>
    <xf numFmtId="0" fontId="15" fillId="0" borderId="33" xfId="0" applyFont="1" applyBorder="1" applyAlignment="1">
      <alignment horizontal="center" vertical="center"/>
    </xf>
    <xf numFmtId="0" fontId="15" fillId="0" borderId="33" xfId="0" applyFont="1" applyBorder="1" applyAlignment="1">
      <alignment horizontal="left" vertical="center"/>
    </xf>
    <xf numFmtId="0" fontId="15" fillId="0" borderId="34" xfId="0" applyFont="1" applyBorder="1" applyAlignment="1">
      <alignment horizontal="center" vertical="center"/>
    </xf>
    <xf numFmtId="0" fontId="15" fillId="0" borderId="35" xfId="0" applyFont="1" applyBorder="1" applyAlignment="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0" fillId="0" borderId="43" xfId="0" applyFont="1" applyBorder="1" applyAlignment="1">
      <alignment horizontal="center" vertical="center"/>
    </xf>
    <xf numFmtId="167" fontId="0" fillId="0" borderId="44" xfId="2" applyNumberFormat="1" applyFont="1" applyBorder="1" applyAlignment="1" applyProtection="1">
      <alignment horizontal="center" vertical="center"/>
    </xf>
    <xf numFmtId="0" fontId="13" fillId="0" borderId="40" xfId="0" applyFont="1" applyBorder="1" applyAlignment="1">
      <alignment horizontal="center" vertical="center"/>
    </xf>
    <xf numFmtId="0" fontId="13" fillId="0" borderId="41" xfId="0" applyFont="1" applyBorder="1" applyAlignment="1">
      <alignment horizontal="center" vertical="center"/>
    </xf>
    <xf numFmtId="0" fontId="0" fillId="0" borderId="43" xfId="0" applyBorder="1" applyAlignment="1">
      <alignment horizontal="center" vertical="center"/>
    </xf>
    <xf numFmtId="0" fontId="13" fillId="0" borderId="42" xfId="0" applyFont="1" applyBorder="1" applyAlignment="1">
      <alignment horizontal="center" vertical="center"/>
    </xf>
    <xf numFmtId="0" fontId="13" fillId="0" borderId="43" xfId="0"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167" fontId="0" fillId="0" borderId="48" xfId="2" applyNumberFormat="1" applyFont="1" applyBorder="1" applyAlignment="1" applyProtection="1">
      <alignment horizontal="center" vertical="center"/>
    </xf>
    <xf numFmtId="167" fontId="15" fillId="0" borderId="50" xfId="0" applyNumberFormat="1" applyFont="1" applyBorder="1" applyAlignment="1">
      <alignment horizontal="center" vertical="center"/>
    </xf>
    <xf numFmtId="0" fontId="16" fillId="0" borderId="36" xfId="0" applyFont="1" applyBorder="1" applyAlignment="1">
      <alignment horizontal="center" vertical="center"/>
    </xf>
    <xf numFmtId="0" fontId="16" fillId="0" borderId="37" xfId="0" applyFont="1" applyBorder="1" applyAlignment="1">
      <alignment horizontal="center" vertical="center"/>
    </xf>
    <xf numFmtId="0" fontId="16" fillId="0" borderId="38" xfId="0" applyFont="1" applyBorder="1" applyAlignment="1">
      <alignment horizontal="center" vertical="center"/>
    </xf>
    <xf numFmtId="167" fontId="16" fillId="0" borderId="39" xfId="2" applyNumberFormat="1" applyFont="1" applyBorder="1" applyAlignment="1" applyProtection="1">
      <alignment horizontal="center" vertical="center"/>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8" fillId="0" borderId="54" xfId="0" applyFont="1" applyBorder="1" applyAlignment="1">
      <alignment horizontal="center" vertical="center" wrapText="1"/>
    </xf>
    <xf numFmtId="0" fontId="18" fillId="0" borderId="55" xfId="0" applyFont="1" applyBorder="1" applyAlignment="1">
      <alignment horizontal="center" vertical="center" wrapText="1"/>
    </xf>
    <xf numFmtId="0" fontId="19" fillId="0" borderId="0" xfId="0" applyFont="1" applyBorder="1"/>
    <xf numFmtId="0" fontId="20" fillId="0" borderId="0" xfId="0" applyFont="1" applyBorder="1"/>
    <xf numFmtId="0" fontId="0" fillId="0" borderId="2" xfId="0" applyBorder="1"/>
    <xf numFmtId="0" fontId="0" fillId="0" borderId="56" xfId="0" applyBorder="1"/>
    <xf numFmtId="0" fontId="20" fillId="0" borderId="13" xfId="0" applyFont="1" applyBorder="1"/>
    <xf numFmtId="0" fontId="0" fillId="0" borderId="57" xfId="0" applyBorder="1"/>
    <xf numFmtId="0" fontId="20" fillId="0" borderId="58" xfId="0" applyFont="1" applyBorder="1"/>
    <xf numFmtId="0" fontId="0" fillId="0" borderId="58" xfId="0" applyBorder="1"/>
    <xf numFmtId="0" fontId="0" fillId="0" borderId="59" xfId="0" applyBorder="1"/>
    <xf numFmtId="0" fontId="19" fillId="0" borderId="52" xfId="0" applyFont="1" applyBorder="1" applyAlignment="1">
      <alignment horizontal="center" vertical="center"/>
    </xf>
    <xf numFmtId="0" fontId="0" fillId="0" borderId="52" xfId="0" applyBorder="1" applyAlignment="1">
      <alignment horizontal="center" vertical="center"/>
    </xf>
    <xf numFmtId="0" fontId="19" fillId="0" borderId="52" xfId="0" applyFont="1" applyBorder="1" applyAlignment="1">
      <alignment horizontal="center" vertical="center" wrapText="1"/>
    </xf>
    <xf numFmtId="0" fontId="21" fillId="0" borderId="0" xfId="0" applyFont="1" applyBorder="1"/>
    <xf numFmtId="168" fontId="0" fillId="0" borderId="52" xfId="0" applyNumberFormat="1" applyBorder="1" applyAlignment="1">
      <alignment horizontal="center" vertical="center"/>
    </xf>
    <xf numFmtId="0" fontId="18" fillId="0" borderId="0" xfId="0" applyFont="1"/>
    <xf numFmtId="0" fontId="18" fillId="0" borderId="9" xfId="0" applyFont="1" applyBorder="1" applyAlignment="1">
      <alignment horizontal="center" vertical="center"/>
    </xf>
    <xf numFmtId="0" fontId="23"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8" xfId="0" applyFont="1" applyBorder="1" applyAlignment="1">
      <alignment horizontal="center" vertical="center" wrapText="1"/>
    </xf>
    <xf numFmtId="3" fontId="24" fillId="0" borderId="19" xfId="0" applyNumberFormat="1" applyFont="1" applyBorder="1" applyAlignment="1">
      <alignment horizontal="center" vertical="center"/>
    </xf>
    <xf numFmtId="0" fontId="25" fillId="0" borderId="18" xfId="0" applyFont="1" applyBorder="1" applyAlignment="1">
      <alignment horizontal="left" vertical="center"/>
    </xf>
    <xf numFmtId="3" fontId="0" fillId="0" borderId="52" xfId="0" applyNumberFormat="1" applyBorder="1" applyAlignment="1">
      <alignment horizontal="center" vertical="center"/>
    </xf>
    <xf numFmtId="0" fontId="10" fillId="0" borderId="20" xfId="0" applyFont="1" applyBorder="1" applyAlignment="1">
      <alignment horizontal="left" vertical="center" wrapText="1" indent="1"/>
    </xf>
    <xf numFmtId="165" fontId="7" fillId="0" borderId="20" xfId="0" applyNumberFormat="1" applyFont="1" applyBorder="1" applyAlignment="1">
      <alignment horizontal="center" vertical="center"/>
    </xf>
    <xf numFmtId="0" fontId="7" fillId="0" borderId="11" xfId="0" applyFont="1" applyBorder="1" applyAlignment="1">
      <alignment horizontal="left" vertical="center"/>
    </xf>
    <xf numFmtId="0" fontId="6" fillId="0" borderId="12" xfId="0" applyFont="1" applyBorder="1" applyAlignment="1">
      <alignment horizontal="left" vertical="center" wrapText="1" indent="1"/>
    </xf>
    <xf numFmtId="0" fontId="8" fillId="0" borderId="14" xfId="0" applyFont="1" applyBorder="1" applyAlignment="1">
      <alignment horizontal="center" vertical="center"/>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23" fillId="0" borderId="60" xfId="0" applyFont="1" applyBorder="1" applyAlignment="1">
      <alignment horizontal="left" vertical="center" wrapText="1"/>
    </xf>
    <xf numFmtId="0" fontId="23" fillId="0" borderId="51" xfId="0" applyFont="1" applyBorder="1" applyAlignment="1">
      <alignment horizontal="left" vertical="center" wrapText="1"/>
    </xf>
    <xf numFmtId="0" fontId="23" fillId="0" borderId="61" xfId="0" applyFont="1" applyBorder="1" applyAlignment="1">
      <alignment horizontal="left" vertical="center" wrapText="1"/>
    </xf>
    <xf numFmtId="0" fontId="7" fillId="0" borderId="10" xfId="0" applyFont="1" applyBorder="1" applyAlignment="1">
      <alignment horizontal="left" vertical="center" wrapText="1"/>
    </xf>
    <xf numFmtId="0" fontId="6" fillId="0" borderId="21" xfId="0" applyFont="1" applyBorder="1" applyAlignment="1">
      <alignment horizontal="left" vertical="center" wrapText="1" indent="1"/>
    </xf>
    <xf numFmtId="0" fontId="6" fillId="0" borderId="51" xfId="0" applyFont="1" applyBorder="1" applyAlignment="1">
      <alignment horizontal="left" vertical="center" wrapText="1" indent="1"/>
    </xf>
    <xf numFmtId="0" fontId="6" fillId="0" borderId="22" xfId="0" applyFont="1" applyBorder="1" applyAlignment="1">
      <alignment horizontal="left" vertical="center" wrapText="1" indent="1"/>
    </xf>
    <xf numFmtId="0" fontId="7" fillId="0" borderId="8" xfId="0" applyFont="1" applyBorder="1" applyAlignment="1">
      <alignment horizontal="left" vertical="center" wrapText="1"/>
    </xf>
    <xf numFmtId="0" fontId="6" fillId="0" borderId="9" xfId="0" applyFont="1" applyBorder="1" applyAlignment="1">
      <alignment horizontal="left" vertical="center" wrapText="1" indent="1"/>
    </xf>
    <xf numFmtId="0" fontId="4" fillId="0" borderId="2" xfId="0" applyFont="1" applyBorder="1" applyAlignment="1">
      <alignment horizontal="center" vertical="center"/>
    </xf>
    <xf numFmtId="0" fontId="11" fillId="0" borderId="9" xfId="0" applyFont="1" applyBorder="1" applyAlignment="1">
      <alignment vertical="center" wrapText="1"/>
    </xf>
    <xf numFmtId="0" fontId="13" fillId="0" borderId="31" xfId="0" applyFont="1" applyBorder="1" applyAlignment="1">
      <alignment vertical="center" wrapText="1"/>
    </xf>
    <xf numFmtId="0" fontId="13" fillId="0" borderId="20" xfId="0" applyFont="1" applyBorder="1" applyAlignment="1">
      <alignment horizontal="left" vertical="center" wrapText="1" indent="1"/>
    </xf>
    <xf numFmtId="0" fontId="0" fillId="0" borderId="43" xfId="0" applyFont="1" applyBorder="1" applyAlignment="1">
      <alignment horizontal="left" vertical="center"/>
    </xf>
    <xf numFmtId="0" fontId="0" fillId="0" borderId="43" xfId="0" applyBorder="1" applyAlignment="1">
      <alignment horizontal="left" vertical="center"/>
    </xf>
    <xf numFmtId="0" fontId="0" fillId="0" borderId="46" xfId="0" applyBorder="1" applyAlignment="1">
      <alignment horizontal="left" vertical="center"/>
    </xf>
    <xf numFmtId="0" fontId="11" fillId="0" borderId="49" xfId="0" applyFont="1" applyBorder="1" applyAlignment="1">
      <alignment horizontal="left" vertical="center" wrapText="1"/>
    </xf>
    <xf numFmtId="0" fontId="0" fillId="0" borderId="27" xfId="0" applyBorder="1"/>
    <xf numFmtId="0" fontId="0" fillId="0" borderId="43" xfId="0" applyFont="1" applyBorder="1" applyAlignment="1">
      <alignment horizontal="center" vertical="center"/>
    </xf>
    <xf numFmtId="0" fontId="17" fillId="0" borderId="37" xfId="0" applyFont="1" applyBorder="1" applyAlignment="1">
      <alignment horizontal="left" vertical="center" wrapText="1"/>
    </xf>
    <xf numFmtId="0" fontId="0" fillId="0" borderId="43" xfId="0" applyBorder="1" applyAlignment="1">
      <alignment horizontal="center"/>
    </xf>
    <xf numFmtId="0" fontId="14" fillId="0" borderId="26" xfId="0" applyFont="1" applyBorder="1" applyAlignment="1">
      <alignment horizontal="left"/>
    </xf>
    <xf numFmtId="0" fontId="13" fillId="0" borderId="27" xfId="0" applyFont="1" applyBorder="1" applyAlignment="1">
      <alignment horizontal="left"/>
    </xf>
    <xf numFmtId="0" fontId="13" fillId="0" borderId="28" xfId="0" applyNumberFormat="1" applyFont="1" applyBorder="1" applyAlignment="1">
      <alignment horizontal="justify" vertical="center" wrapText="1"/>
    </xf>
    <xf numFmtId="0" fontId="15" fillId="0" borderId="27" xfId="0" applyFont="1" applyBorder="1" applyAlignment="1">
      <alignment horizontal="center" vertical="center"/>
    </xf>
    <xf numFmtId="0" fontId="15" fillId="0" borderId="24" xfId="0" applyFont="1" applyBorder="1" applyAlignment="1">
      <alignment horizontal="center" vertical="center"/>
    </xf>
    <xf numFmtId="0" fontId="15" fillId="0" borderId="30" xfId="0" applyFont="1" applyBorder="1" applyAlignment="1">
      <alignment horizontal="center" vertical="center" wrapText="1"/>
    </xf>
    <xf numFmtId="0" fontId="15" fillId="0" borderId="31" xfId="0" applyFont="1" applyBorder="1" applyAlignment="1">
      <alignment horizontal="center" vertical="center"/>
    </xf>
    <xf numFmtId="0" fontId="9" fillId="0" borderId="24" xfId="0" applyFont="1" applyBorder="1" applyAlignment="1">
      <alignment horizontal="left" vertical="center" wrapText="1"/>
    </xf>
    <xf numFmtId="0" fontId="16" fillId="0" borderId="25" xfId="0" applyFont="1" applyBorder="1" applyAlignment="1">
      <alignment horizontal="left" indent="1"/>
    </xf>
    <xf numFmtId="0" fontId="0" fillId="0" borderId="21" xfId="0" applyFont="1" applyBorder="1" applyAlignment="1">
      <alignment horizontal="center"/>
    </xf>
    <xf numFmtId="3" fontId="11" fillId="0" borderId="22" xfId="0" applyNumberFormat="1" applyFont="1" applyBorder="1" applyAlignment="1">
      <alignment horizontal="center"/>
    </xf>
    <xf numFmtId="0" fontId="12" fillId="0" borderId="4" xfId="0" applyFont="1" applyBorder="1" applyAlignment="1">
      <alignment horizontal="center" vertical="center" wrapText="1"/>
    </xf>
    <xf numFmtId="0" fontId="2" fillId="0" borderId="24" xfId="0" applyFont="1" applyBorder="1"/>
    <xf numFmtId="0" fontId="22" fillId="0" borderId="0" xfId="0" applyFont="1" applyAlignment="1">
      <alignment horizontal="center" vertical="center" wrapText="1"/>
    </xf>
    <xf numFmtId="0" fontId="21" fillId="0" borderId="0" xfId="0" applyFont="1" applyBorder="1" applyAlignment="1">
      <alignment horizontal="left" vertical="top" wrapText="1"/>
    </xf>
    <xf numFmtId="0" fontId="21" fillId="0" borderId="0" xfId="0" applyFont="1" applyBorder="1" applyAlignment="1">
      <alignment horizontal="left" vertical="top"/>
    </xf>
    <xf numFmtId="0" fontId="21" fillId="0" borderId="7" xfId="0" applyFont="1" applyBorder="1" applyAlignment="1">
      <alignment horizontal="left" vertical="top"/>
    </xf>
  </cellXfs>
  <cellStyles count="4">
    <cellStyle name="Encabezado 1" xfId="1" xr:uid="{00000000-0005-0000-0000-000000000000}"/>
    <cellStyle name="Moneda_AUTORIZACION Y NOTA DE PEDIDO" xfId="2" xr:uid="{00000000-0005-0000-0000-000001000000}"/>
    <cellStyle name="Neutral 1" xfId="3" xr:uid="{00000000-0005-0000-0000-000002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1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1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1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1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25"/>
  <sheetViews>
    <sheetView tabSelected="1" topLeftCell="A4" workbookViewId="0">
      <selection activeCell="D20" sqref="D20:I21"/>
    </sheetView>
  </sheetViews>
  <sheetFormatPr baseColWidth="10" defaultRowHeight="12.75" x14ac:dyDescent="0.2"/>
  <cols>
    <col min="1" max="1" width="5.5703125" customWidth="1"/>
    <col min="2" max="2" width="20.5703125" customWidth="1"/>
    <col min="3" max="3" width="22.5703125" customWidth="1"/>
    <col min="5" max="5" width="31" customWidth="1"/>
    <col min="7" max="7" width="13.42578125" customWidth="1"/>
    <col min="8" max="8" width="11.5703125" bestFit="1" customWidth="1"/>
    <col min="9" max="9" width="13.7109375" bestFit="1" customWidth="1"/>
  </cols>
  <sheetData>
    <row r="2" spans="1:10" ht="18" x14ac:dyDescent="0.2">
      <c r="B2" s="117" t="s">
        <v>56</v>
      </c>
      <c r="C2" s="117"/>
      <c r="D2" s="117"/>
      <c r="E2" s="117"/>
      <c r="F2" s="117"/>
      <c r="G2" s="117"/>
      <c r="H2" s="117"/>
      <c r="I2" s="117"/>
    </row>
    <row r="4" spans="1:10" x14ac:dyDescent="0.2">
      <c r="A4" s="68" t="s">
        <v>43</v>
      </c>
      <c r="B4" s="68"/>
      <c r="C4" s="68"/>
      <c r="D4" s="68"/>
      <c r="E4" s="68"/>
      <c r="F4" s="68"/>
      <c r="G4" s="68"/>
      <c r="H4" s="68"/>
      <c r="I4" s="68"/>
    </row>
    <row r="5" spans="1:10" x14ac:dyDescent="0.2">
      <c r="A5" s="68" t="s">
        <v>44</v>
      </c>
      <c r="B5" s="68"/>
      <c r="C5" s="68"/>
      <c r="D5" s="68"/>
      <c r="E5" s="68"/>
      <c r="F5" s="68"/>
      <c r="G5" s="68"/>
      <c r="H5" s="68"/>
      <c r="I5" s="68"/>
    </row>
    <row r="6" spans="1:10" x14ac:dyDescent="0.2">
      <c r="A6" s="68" t="s">
        <v>45</v>
      </c>
      <c r="B6" s="68"/>
      <c r="C6" s="68"/>
      <c r="D6" s="68"/>
      <c r="E6" s="68"/>
      <c r="F6" s="68"/>
      <c r="G6" s="68"/>
      <c r="H6" s="68"/>
      <c r="I6" s="68"/>
    </row>
    <row r="7" spans="1:10" x14ac:dyDescent="0.2">
      <c r="A7" s="68" t="s">
        <v>75</v>
      </c>
      <c r="B7" s="68"/>
      <c r="C7" s="68"/>
      <c r="D7" s="68"/>
      <c r="E7" s="68"/>
      <c r="F7" s="68"/>
      <c r="G7" s="68"/>
      <c r="H7" s="68"/>
      <c r="I7" s="68"/>
    </row>
    <row r="8" spans="1:10" x14ac:dyDescent="0.2">
      <c r="A8" s="68"/>
      <c r="B8" s="68"/>
      <c r="C8" s="68"/>
      <c r="D8" s="68"/>
      <c r="E8" s="68"/>
      <c r="F8" s="68"/>
      <c r="G8" s="68"/>
      <c r="H8" s="68"/>
      <c r="I8" s="68"/>
    </row>
    <row r="9" spans="1:10" ht="13.5" thickBot="1" x14ac:dyDescent="0.25">
      <c r="A9" s="68"/>
      <c r="B9" s="68"/>
      <c r="C9" s="68"/>
      <c r="D9" s="68"/>
      <c r="E9" s="68"/>
      <c r="F9" s="68"/>
      <c r="G9" s="68"/>
      <c r="H9" s="68"/>
      <c r="I9" s="68"/>
    </row>
    <row r="10" spans="1:10" ht="38.25" customHeight="1" thickBot="1" x14ac:dyDescent="0.25">
      <c r="A10" s="69" t="s">
        <v>46</v>
      </c>
      <c r="B10" s="50" t="s">
        <v>47</v>
      </c>
      <c r="C10" s="51" t="s">
        <v>48</v>
      </c>
      <c r="D10" s="51" t="s">
        <v>49</v>
      </c>
      <c r="E10" s="51" t="s">
        <v>50</v>
      </c>
      <c r="F10" s="52" t="s">
        <v>51</v>
      </c>
      <c r="G10" s="51" t="s">
        <v>52</v>
      </c>
      <c r="H10" s="52" t="s">
        <v>53</v>
      </c>
      <c r="I10" s="53" t="s">
        <v>54</v>
      </c>
    </row>
    <row r="11" spans="1:10" ht="64.5" customHeight="1" x14ac:dyDescent="0.2">
      <c r="A11" s="64">
        <v>1</v>
      </c>
      <c r="B11" s="63" t="s">
        <v>61</v>
      </c>
      <c r="C11" s="65" t="s">
        <v>62</v>
      </c>
      <c r="D11" s="63" t="s">
        <v>63</v>
      </c>
      <c r="E11" s="65" t="s">
        <v>64</v>
      </c>
      <c r="F11" s="63" t="s">
        <v>70</v>
      </c>
      <c r="G11" s="75">
        <v>9000</v>
      </c>
      <c r="H11" s="67">
        <v>108.7</v>
      </c>
      <c r="I11" s="67">
        <f>+H11*G11</f>
        <v>978300</v>
      </c>
    </row>
    <row r="13" spans="1:10" ht="13.5" thickBot="1" x14ac:dyDescent="0.25"/>
    <row r="14" spans="1:10" x14ac:dyDescent="0.2">
      <c r="B14" s="56"/>
      <c r="C14" s="15"/>
      <c r="D14" s="15"/>
      <c r="E14" s="15"/>
      <c r="F14" s="15"/>
      <c r="G14" s="15"/>
      <c r="H14" s="15"/>
      <c r="I14" s="57"/>
      <c r="J14" s="17"/>
    </row>
    <row r="15" spans="1:10" x14ac:dyDescent="0.2">
      <c r="B15" s="58" t="s">
        <v>60</v>
      </c>
      <c r="C15" s="17"/>
      <c r="D15" s="17"/>
      <c r="E15" s="17"/>
      <c r="F15" s="17"/>
      <c r="G15" s="17"/>
      <c r="H15" s="17"/>
      <c r="I15" s="20"/>
      <c r="J15" s="17"/>
    </row>
    <row r="16" spans="1:10" x14ac:dyDescent="0.2">
      <c r="B16" s="16"/>
      <c r="C16" s="17"/>
      <c r="D16" s="17"/>
      <c r="E16" s="17"/>
      <c r="F16" s="17"/>
      <c r="G16" s="17"/>
      <c r="H16" s="17"/>
      <c r="I16" s="20"/>
      <c r="J16" s="17"/>
    </row>
    <row r="17" spans="2:10" x14ac:dyDescent="0.2">
      <c r="B17" s="16"/>
      <c r="C17" s="55" t="s">
        <v>66</v>
      </c>
      <c r="D17" s="17"/>
      <c r="E17" s="17"/>
      <c r="F17" s="17"/>
      <c r="G17" s="17"/>
      <c r="H17" s="17"/>
      <c r="I17" s="20"/>
      <c r="J17" s="17"/>
    </row>
    <row r="18" spans="2:10" x14ac:dyDescent="0.2">
      <c r="B18" s="16"/>
      <c r="C18" s="17"/>
      <c r="D18" s="66" t="s">
        <v>59</v>
      </c>
      <c r="E18" s="17"/>
      <c r="F18" s="17"/>
      <c r="G18" s="17"/>
      <c r="H18" s="17"/>
      <c r="I18" s="20"/>
      <c r="J18" s="17"/>
    </row>
    <row r="19" spans="2:10" x14ac:dyDescent="0.2">
      <c r="B19" s="16"/>
      <c r="C19" s="55" t="s">
        <v>65</v>
      </c>
      <c r="D19" s="17"/>
      <c r="E19" s="17"/>
      <c r="F19" s="17"/>
      <c r="G19" s="17"/>
      <c r="H19" s="17"/>
      <c r="I19" s="20"/>
      <c r="J19" s="17"/>
    </row>
    <row r="20" spans="2:10" ht="40.5" customHeight="1" x14ac:dyDescent="0.2">
      <c r="B20" s="16"/>
      <c r="C20" s="54"/>
      <c r="D20" s="118" t="s">
        <v>69</v>
      </c>
      <c r="E20" s="119"/>
      <c r="F20" s="119"/>
      <c r="G20" s="119"/>
      <c r="H20" s="119"/>
      <c r="I20" s="120"/>
      <c r="J20" s="17"/>
    </row>
    <row r="21" spans="2:10" ht="43.5" customHeight="1" x14ac:dyDescent="0.2">
      <c r="B21" s="16"/>
      <c r="C21" s="54"/>
      <c r="D21" s="119"/>
      <c r="E21" s="119"/>
      <c r="F21" s="119"/>
      <c r="G21" s="119"/>
      <c r="H21" s="119"/>
      <c r="I21" s="120"/>
      <c r="J21" s="17"/>
    </row>
    <row r="22" spans="2:10" x14ac:dyDescent="0.2">
      <c r="B22" s="16"/>
      <c r="C22" s="54"/>
      <c r="D22" s="17"/>
      <c r="E22" s="17"/>
      <c r="F22" s="17"/>
      <c r="G22" s="17"/>
      <c r="H22" s="17"/>
      <c r="I22" s="20"/>
      <c r="J22" s="17"/>
    </row>
    <row r="23" spans="2:10" x14ac:dyDescent="0.2">
      <c r="B23" s="16"/>
      <c r="C23" s="55" t="s">
        <v>67</v>
      </c>
      <c r="D23" s="66" t="s">
        <v>58</v>
      </c>
      <c r="E23" s="17"/>
      <c r="F23" s="17"/>
      <c r="G23" s="17"/>
      <c r="H23" s="17"/>
      <c r="I23" s="20"/>
      <c r="J23" s="17"/>
    </row>
    <row r="24" spans="2:10" x14ac:dyDescent="0.2">
      <c r="B24" s="16"/>
      <c r="C24" s="55" t="s">
        <v>68</v>
      </c>
      <c r="D24" s="66" t="s">
        <v>57</v>
      </c>
      <c r="E24" s="17"/>
      <c r="F24" s="17"/>
      <c r="G24" s="17"/>
      <c r="H24" s="17"/>
      <c r="I24" s="20"/>
      <c r="J24" s="17"/>
    </row>
    <row r="25" spans="2:10" ht="13.5" thickBot="1" x14ac:dyDescent="0.25">
      <c r="B25" s="59"/>
      <c r="C25" s="60" t="s">
        <v>55</v>
      </c>
      <c r="D25" s="61"/>
      <c r="E25" s="61"/>
      <c r="F25" s="61"/>
      <c r="G25" s="61"/>
      <c r="H25" s="61"/>
      <c r="I25" s="62"/>
      <c r="J25" s="17"/>
    </row>
  </sheetData>
  <mergeCells count="2">
    <mergeCell ref="B2:I2"/>
    <mergeCell ref="D20:I21"/>
  </mergeCells>
  <pageMargins left="0.7" right="0.7" top="0.75" bottom="0.75" header="0.3" footer="0.3"/>
  <pageSetup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3"/>
  <sheetViews>
    <sheetView zoomScaleNormal="100" workbookViewId="0">
      <selection activeCell="F9" sqref="F9"/>
    </sheetView>
  </sheetViews>
  <sheetFormatPr baseColWidth="10" defaultColWidth="9.140625" defaultRowHeight="12.75" x14ac:dyDescent="0.2"/>
  <cols>
    <col min="1" max="1" width="5.5703125" style="1" customWidth="1"/>
    <col min="2" max="2" width="15.140625" style="1" customWidth="1"/>
    <col min="3" max="3" width="14.140625" style="1" customWidth="1"/>
    <col min="4" max="4" width="26" style="1" customWidth="1"/>
    <col min="5" max="5" width="8" style="1" customWidth="1"/>
    <col min="6" max="6" width="7.85546875" style="1" customWidth="1"/>
    <col min="7" max="7" width="28.5703125" style="1" customWidth="1"/>
    <col min="8" max="8" width="9.28515625" style="1" customWidth="1"/>
    <col min="9" max="9" width="15.5703125" style="1" customWidth="1"/>
    <col min="10" max="10" width="14.7109375" style="1" customWidth="1"/>
    <col min="11" max="11" width="15.5703125" style="1" customWidth="1"/>
    <col min="12" max="14" width="5.85546875" style="1" customWidth="1"/>
    <col min="15" max="15" width="12.5703125" style="1" customWidth="1"/>
    <col min="16" max="1024" width="9.140625" style="1"/>
  </cols>
  <sheetData>
    <row r="1" spans="1:11" ht="27" customHeight="1" x14ac:dyDescent="0.2">
      <c r="A1" s="92" t="s">
        <v>0</v>
      </c>
      <c r="B1" s="92"/>
      <c r="C1" s="92"/>
      <c r="D1" s="92"/>
      <c r="E1" s="92"/>
      <c r="F1" s="92"/>
      <c r="G1" s="92"/>
      <c r="H1" s="92"/>
      <c r="I1" s="92"/>
      <c r="J1" s="2" t="s">
        <v>1</v>
      </c>
      <c r="K1" s="3">
        <v>46</v>
      </c>
    </row>
    <row r="2" spans="1:11" ht="18.75" customHeight="1" thickBot="1" x14ac:dyDescent="0.25">
      <c r="A2" s="4"/>
      <c r="B2" s="5"/>
      <c r="C2" s="5"/>
      <c r="D2" s="6"/>
      <c r="E2" s="6"/>
      <c r="F2" s="6"/>
      <c r="G2" s="6"/>
      <c r="H2" s="6"/>
      <c r="I2" s="6"/>
      <c r="J2" s="6"/>
      <c r="K2" s="7"/>
    </row>
    <row r="3" spans="1:11" ht="18.75" customHeight="1" thickBot="1" x14ac:dyDescent="0.25">
      <c r="A3" s="90" t="s">
        <v>2</v>
      </c>
      <c r="B3" s="90"/>
      <c r="C3" s="90"/>
      <c r="D3" s="87" t="s">
        <v>38</v>
      </c>
      <c r="E3" s="88"/>
      <c r="F3" s="88"/>
      <c r="G3" s="88"/>
      <c r="H3" s="88"/>
      <c r="I3" s="88"/>
      <c r="J3" s="88"/>
      <c r="K3" s="89"/>
    </row>
    <row r="4" spans="1:11" ht="18.75" customHeight="1" thickBot="1" x14ac:dyDescent="0.25">
      <c r="A4" s="86" t="s">
        <v>3</v>
      </c>
      <c r="B4" s="86"/>
      <c r="C4" s="86"/>
      <c r="D4" s="87" t="s">
        <v>42</v>
      </c>
      <c r="E4" s="88"/>
      <c r="F4" s="88"/>
      <c r="G4" s="88"/>
      <c r="H4" s="88"/>
      <c r="I4" s="88"/>
      <c r="J4" s="88"/>
      <c r="K4" s="89"/>
    </row>
    <row r="5" spans="1:11" ht="18.75" customHeight="1" thickBot="1" x14ac:dyDescent="0.25">
      <c r="A5" s="86" t="s">
        <v>4</v>
      </c>
      <c r="B5" s="86"/>
      <c r="C5" s="86"/>
      <c r="D5" s="87" t="s">
        <v>40</v>
      </c>
      <c r="E5" s="88"/>
      <c r="F5" s="88"/>
      <c r="G5" s="88"/>
      <c r="H5" s="88"/>
      <c r="I5" s="88"/>
      <c r="J5" s="88"/>
      <c r="K5" s="89"/>
    </row>
    <row r="6" spans="1:11" ht="16.5" customHeight="1" thickBot="1" x14ac:dyDescent="0.25">
      <c r="A6" s="90" t="s">
        <v>5</v>
      </c>
      <c r="B6" s="90"/>
      <c r="C6" s="90"/>
      <c r="D6" s="87" t="s">
        <v>40</v>
      </c>
      <c r="E6" s="88"/>
      <c r="F6" s="88"/>
      <c r="G6" s="88"/>
      <c r="H6" s="88"/>
      <c r="I6" s="88"/>
      <c r="J6" s="88"/>
      <c r="K6" s="89"/>
    </row>
    <row r="7" spans="1:11" ht="16.5" customHeight="1" thickBot="1" x14ac:dyDescent="0.25">
      <c r="A7" s="86" t="s">
        <v>6</v>
      </c>
      <c r="B7" s="86"/>
      <c r="C7" s="86"/>
      <c r="D7" s="91" t="s">
        <v>73</v>
      </c>
      <c r="E7" s="91"/>
      <c r="F7" s="91"/>
      <c r="G7" s="91"/>
      <c r="H7" s="91"/>
      <c r="I7" s="91"/>
      <c r="J7" s="91"/>
      <c r="K7" s="91"/>
    </row>
    <row r="8" spans="1:11" ht="40.5" customHeight="1" thickBot="1" x14ac:dyDescent="0.25">
      <c r="A8" s="78" t="s">
        <v>7</v>
      </c>
      <c r="B8" s="78"/>
      <c r="C8" s="78"/>
      <c r="D8" s="79" t="s">
        <v>71</v>
      </c>
      <c r="E8" s="79"/>
      <c r="F8" s="79"/>
      <c r="G8" s="79"/>
      <c r="H8" s="79"/>
      <c r="I8" s="79"/>
      <c r="J8" s="79"/>
      <c r="K8" s="79"/>
    </row>
    <row r="9" spans="1:11" ht="15.75" x14ac:dyDescent="0.2">
      <c r="A9" s="8"/>
      <c r="B9" s="9"/>
      <c r="C9" s="9"/>
      <c r="D9" s="10"/>
      <c r="E9" s="10"/>
      <c r="F9" s="10"/>
      <c r="G9" s="10"/>
      <c r="H9" s="10"/>
      <c r="I9" s="10"/>
      <c r="J9" s="10"/>
      <c r="K9" s="11"/>
    </row>
    <row r="10" spans="1:11" ht="18.75" customHeight="1" thickBot="1" x14ac:dyDescent="0.25">
      <c r="A10" s="80" t="s">
        <v>8</v>
      </c>
      <c r="B10" s="81" t="s">
        <v>9</v>
      </c>
      <c r="C10" s="81" t="s">
        <v>10</v>
      </c>
      <c r="D10" s="81"/>
      <c r="E10" s="81"/>
      <c r="F10" s="81"/>
      <c r="G10" s="81"/>
      <c r="H10" s="81" t="s">
        <v>11</v>
      </c>
      <c r="I10" s="81" t="s">
        <v>12</v>
      </c>
      <c r="J10" s="81" t="s">
        <v>13</v>
      </c>
      <c r="K10" s="82" t="s">
        <v>14</v>
      </c>
    </row>
    <row r="11" spans="1:11" ht="24" customHeight="1" thickBot="1" x14ac:dyDescent="0.25">
      <c r="A11" s="80"/>
      <c r="B11" s="81"/>
      <c r="C11" s="81"/>
      <c r="D11" s="81"/>
      <c r="E11" s="81"/>
      <c r="F11" s="81"/>
      <c r="G11" s="81"/>
      <c r="H11" s="81"/>
      <c r="I11" s="81"/>
      <c r="J11" s="81"/>
      <c r="K11" s="82"/>
    </row>
    <row r="12" spans="1:11" ht="51.75" customHeight="1" thickBot="1" x14ac:dyDescent="0.25">
      <c r="A12" s="70">
        <v>1</v>
      </c>
      <c r="B12" s="74" t="s">
        <v>61</v>
      </c>
      <c r="C12" s="83" t="s">
        <v>64</v>
      </c>
      <c r="D12" s="84"/>
      <c r="E12" s="84"/>
      <c r="F12" s="84"/>
      <c r="G12" s="85"/>
      <c r="H12" s="71"/>
      <c r="I12" s="72" t="s">
        <v>70</v>
      </c>
      <c r="J12" s="72">
        <v>108.7</v>
      </c>
      <c r="K12" s="73">
        <v>9000</v>
      </c>
    </row>
    <row r="13" spans="1:11" ht="25.5" customHeight="1" thickBot="1" x14ac:dyDescent="0.25">
      <c r="A13" s="76" t="s">
        <v>72</v>
      </c>
      <c r="B13" s="76"/>
      <c r="C13" s="76"/>
      <c r="D13" s="76"/>
      <c r="E13" s="76"/>
      <c r="F13" s="76"/>
      <c r="G13" s="76"/>
      <c r="H13" s="76"/>
      <c r="I13" s="76"/>
      <c r="J13" s="77">
        <f>+K12*J12</f>
        <v>978300</v>
      </c>
      <c r="K13" s="77"/>
    </row>
  </sheetData>
  <mergeCells count="23">
    <mergeCell ref="A1:I1"/>
    <mergeCell ref="A3:C3"/>
    <mergeCell ref="D3:K3"/>
    <mergeCell ref="A4:C4"/>
    <mergeCell ref="D4:K4"/>
    <mergeCell ref="A5:C5"/>
    <mergeCell ref="D5:K5"/>
    <mergeCell ref="A6:C6"/>
    <mergeCell ref="D6:K6"/>
    <mergeCell ref="A7:C7"/>
    <mergeCell ref="D7:K7"/>
    <mergeCell ref="A13:I13"/>
    <mergeCell ref="J13:K13"/>
    <mergeCell ref="A8:C8"/>
    <mergeCell ref="D8:K8"/>
    <mergeCell ref="A10:A11"/>
    <mergeCell ref="B10:B11"/>
    <mergeCell ref="C10:G11"/>
    <mergeCell ref="H10:H11"/>
    <mergeCell ref="I10:I11"/>
    <mergeCell ref="J10:J11"/>
    <mergeCell ref="K10:K11"/>
    <mergeCell ref="C12:G12"/>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topLeftCell="A13" zoomScale="110" zoomScaleNormal="110" workbookViewId="0">
      <selection activeCell="N20" sqref="N20"/>
    </sheetView>
  </sheetViews>
  <sheetFormatPr baseColWidth="10" defaultColWidth="11" defaultRowHeight="12.75" x14ac:dyDescent="0.2"/>
  <cols>
    <col min="1" max="5" width="4.42578125" customWidth="1"/>
    <col min="6" max="6" width="5.140625" bestFit="1" customWidth="1"/>
    <col min="7" max="7" width="4.42578125" style="12" customWidth="1"/>
    <col min="8" max="14" width="4.42578125" customWidth="1"/>
    <col min="15" max="16" width="14.85546875" customWidth="1"/>
    <col min="17" max="17" width="14.7109375" customWidth="1"/>
  </cols>
  <sheetData>
    <row r="1" spans="1:17" ht="15.75" customHeight="1" x14ac:dyDescent="0.25">
      <c r="A1" s="113" t="s">
        <v>15</v>
      </c>
      <c r="B1" s="113"/>
      <c r="C1" s="113"/>
      <c r="D1" s="114">
        <v>2021</v>
      </c>
      <c r="E1" s="114"/>
      <c r="F1" s="13"/>
      <c r="G1" s="13"/>
      <c r="H1" s="14"/>
      <c r="I1" s="14"/>
      <c r="J1" s="14"/>
      <c r="K1" s="14"/>
      <c r="L1" s="14"/>
      <c r="M1" s="14"/>
      <c r="N1" s="14"/>
      <c r="O1" s="15"/>
      <c r="P1" s="115" t="s">
        <v>16</v>
      </c>
      <c r="Q1" s="115"/>
    </row>
    <row r="2" spans="1:17" ht="15.75" customHeight="1" x14ac:dyDescent="0.2">
      <c r="A2" s="16"/>
      <c r="B2" s="17"/>
      <c r="C2" s="17"/>
      <c r="D2" s="17"/>
      <c r="E2" s="17"/>
      <c r="F2" s="17"/>
      <c r="G2" s="18"/>
      <c r="H2" s="19"/>
      <c r="I2" s="19"/>
      <c r="J2" s="19"/>
      <c r="K2" s="19"/>
      <c r="L2" s="19"/>
      <c r="M2" s="19"/>
      <c r="N2" s="19"/>
      <c r="O2" s="17"/>
      <c r="P2" s="115"/>
      <c r="Q2" s="115"/>
    </row>
    <row r="3" spans="1:17" x14ac:dyDescent="0.2">
      <c r="A3" s="16"/>
      <c r="B3" s="17"/>
      <c r="C3" s="17"/>
      <c r="D3" s="17"/>
      <c r="E3" s="17"/>
      <c r="F3" s="17"/>
      <c r="G3" s="18"/>
      <c r="H3" s="17"/>
      <c r="I3" s="17"/>
      <c r="J3" s="17"/>
      <c r="K3" s="17"/>
      <c r="L3" s="17"/>
      <c r="M3" s="17"/>
      <c r="N3" s="17"/>
      <c r="O3" s="17"/>
      <c r="P3" s="17"/>
      <c r="Q3" s="20"/>
    </row>
    <row r="4" spans="1:17" s="21" customFormat="1" ht="18" customHeight="1" x14ac:dyDescent="0.2">
      <c r="A4" s="116" t="s">
        <v>17</v>
      </c>
      <c r="B4" s="116"/>
      <c r="C4" s="116"/>
      <c r="D4" s="116"/>
      <c r="E4" s="116"/>
      <c r="F4" s="116"/>
      <c r="G4" s="112" t="s">
        <v>38</v>
      </c>
      <c r="H4" s="112"/>
      <c r="I4" s="112"/>
      <c r="J4" s="112"/>
      <c r="K4" s="112"/>
      <c r="L4" s="112"/>
      <c r="M4" s="112"/>
      <c r="N4" s="112"/>
      <c r="O4" s="112"/>
      <c r="P4" s="112"/>
      <c r="Q4" s="112"/>
    </row>
    <row r="5" spans="1:17" s="21" customFormat="1" ht="18" customHeight="1" x14ac:dyDescent="0.2">
      <c r="A5" s="111" t="s">
        <v>3</v>
      </c>
      <c r="B5" s="111"/>
      <c r="C5" s="111"/>
      <c r="D5" s="111"/>
      <c r="E5" s="111"/>
      <c r="F5" s="111"/>
      <c r="G5" s="112" t="s">
        <v>39</v>
      </c>
      <c r="H5" s="112"/>
      <c r="I5" s="112"/>
      <c r="J5" s="112"/>
      <c r="K5" s="112"/>
      <c r="L5" s="112"/>
      <c r="M5" s="112"/>
      <c r="N5" s="112"/>
      <c r="O5" s="112"/>
      <c r="P5" s="112"/>
      <c r="Q5" s="112"/>
    </row>
    <row r="6" spans="1:17" s="21" customFormat="1" ht="18" customHeight="1" x14ac:dyDescent="0.2">
      <c r="A6" s="111" t="s">
        <v>4</v>
      </c>
      <c r="B6" s="111"/>
      <c r="C6" s="111"/>
      <c r="D6" s="111"/>
      <c r="E6" s="111"/>
      <c r="F6" s="111"/>
      <c r="G6" s="112" t="s">
        <v>40</v>
      </c>
      <c r="H6" s="112"/>
      <c r="I6" s="112"/>
      <c r="J6" s="112"/>
      <c r="K6" s="112"/>
      <c r="L6" s="112"/>
      <c r="M6" s="112"/>
      <c r="N6" s="112"/>
      <c r="O6" s="112"/>
      <c r="P6" s="112"/>
      <c r="Q6" s="112"/>
    </row>
    <row r="7" spans="1:17" s="21" customFormat="1" ht="22.5" customHeight="1" x14ac:dyDescent="0.2">
      <c r="A7" s="111" t="s">
        <v>5</v>
      </c>
      <c r="B7" s="111"/>
      <c r="C7" s="111"/>
      <c r="D7" s="111"/>
      <c r="E7" s="111"/>
      <c r="F7" s="111"/>
      <c r="G7" s="112" t="s">
        <v>40</v>
      </c>
      <c r="H7" s="112"/>
      <c r="I7" s="112"/>
      <c r="J7" s="112"/>
      <c r="K7" s="112"/>
      <c r="L7" s="112"/>
      <c r="M7" s="112"/>
      <c r="N7" s="112"/>
      <c r="O7" s="112"/>
      <c r="P7" s="112"/>
      <c r="Q7" s="112"/>
    </row>
    <row r="8" spans="1:17" ht="18" customHeight="1" x14ac:dyDescent="0.2">
      <c r="A8" s="104" t="s">
        <v>18</v>
      </c>
      <c r="B8" s="104"/>
      <c r="C8" s="104"/>
      <c r="D8" s="104"/>
      <c r="E8" s="104"/>
      <c r="F8" s="104"/>
      <c r="G8" s="104"/>
      <c r="H8" s="104"/>
      <c r="I8" s="104"/>
      <c r="J8" s="104"/>
      <c r="K8" s="104"/>
      <c r="L8" s="104"/>
      <c r="M8" s="104"/>
      <c r="N8" s="104"/>
      <c r="O8" s="104"/>
      <c r="P8" s="104"/>
      <c r="Q8" s="104"/>
    </row>
    <row r="9" spans="1:17" ht="18" customHeight="1" x14ac:dyDescent="0.2">
      <c r="A9" s="105" t="s">
        <v>19</v>
      </c>
      <c r="B9" s="105"/>
      <c r="C9" s="105"/>
      <c r="D9" s="105"/>
      <c r="E9" s="105"/>
      <c r="F9" s="105"/>
      <c r="G9" s="105"/>
      <c r="H9" s="105"/>
      <c r="I9" s="105"/>
      <c r="J9" s="105"/>
      <c r="K9" s="105"/>
      <c r="L9" s="105"/>
      <c r="M9" s="105"/>
      <c r="N9" s="105"/>
      <c r="O9" s="105"/>
      <c r="P9" s="105"/>
      <c r="Q9" s="105"/>
    </row>
    <row r="10" spans="1:17" ht="66" customHeight="1" x14ac:dyDescent="0.2">
      <c r="A10" s="106" t="s">
        <v>74</v>
      </c>
      <c r="B10" s="106"/>
      <c r="C10" s="106"/>
      <c r="D10" s="106"/>
      <c r="E10" s="106"/>
      <c r="F10" s="106"/>
      <c r="G10" s="106"/>
      <c r="H10" s="106"/>
      <c r="I10" s="106"/>
      <c r="J10" s="106"/>
      <c r="K10" s="106"/>
      <c r="L10" s="106"/>
      <c r="M10" s="106"/>
      <c r="N10" s="106"/>
      <c r="O10" s="106"/>
      <c r="P10" s="106"/>
      <c r="Q10" s="106"/>
    </row>
    <row r="11" spans="1:17" ht="9" customHeight="1" x14ac:dyDescent="0.2">
      <c r="A11" s="22"/>
      <c r="B11" s="23"/>
      <c r="C11" s="23"/>
      <c r="D11" s="23"/>
      <c r="E11" s="23"/>
      <c r="F11" s="23"/>
      <c r="G11" s="24"/>
      <c r="H11" s="23"/>
      <c r="I11" s="23"/>
      <c r="J11" s="23"/>
      <c r="K11" s="23"/>
      <c r="L11" s="23"/>
      <c r="M11" s="23"/>
      <c r="N11" s="23"/>
      <c r="O11" s="23"/>
      <c r="P11" s="23"/>
      <c r="Q11" s="25"/>
    </row>
    <row r="12" spans="1:17" ht="15.75" customHeight="1" x14ac:dyDescent="0.2">
      <c r="A12" s="107" t="s">
        <v>20</v>
      </c>
      <c r="B12" s="107"/>
      <c r="C12" s="107"/>
      <c r="D12" s="107"/>
      <c r="E12" s="107"/>
      <c r="F12" s="107"/>
      <c r="G12" s="107"/>
      <c r="H12" s="107"/>
      <c r="I12" s="107"/>
      <c r="J12" s="107"/>
      <c r="K12" s="107"/>
      <c r="L12" s="107"/>
      <c r="M12" s="107"/>
      <c r="N12" s="107"/>
      <c r="O12" s="107"/>
      <c r="P12" s="107"/>
      <c r="Q12" s="107"/>
    </row>
    <row r="13" spans="1:17" ht="15.75" customHeight="1" x14ac:dyDescent="0.2">
      <c r="A13" s="108" t="s">
        <v>21</v>
      </c>
      <c r="B13" s="108"/>
      <c r="C13" s="108"/>
      <c r="D13" s="108"/>
      <c r="E13" s="108"/>
      <c r="F13" s="108"/>
      <c r="G13" s="108"/>
      <c r="H13" s="108"/>
      <c r="I13" s="108"/>
      <c r="J13" s="108"/>
      <c r="K13" s="108"/>
      <c r="L13" s="108"/>
      <c r="M13" s="108"/>
      <c r="N13" s="108"/>
      <c r="O13" s="109" t="s">
        <v>22</v>
      </c>
      <c r="P13" s="109"/>
      <c r="Q13" s="110" t="s">
        <v>23</v>
      </c>
    </row>
    <row r="14" spans="1:17" ht="15.75" customHeight="1" x14ac:dyDescent="0.2">
      <c r="A14" s="26" t="s">
        <v>24</v>
      </c>
      <c r="B14" s="27" t="s">
        <v>25</v>
      </c>
      <c r="C14" s="27" t="s">
        <v>26</v>
      </c>
      <c r="D14" s="27" t="s">
        <v>27</v>
      </c>
      <c r="E14" s="27" t="s">
        <v>28</v>
      </c>
      <c r="F14" s="27" t="s">
        <v>29</v>
      </c>
      <c r="G14" s="28" t="s">
        <v>30</v>
      </c>
      <c r="H14" s="27" t="s">
        <v>31</v>
      </c>
      <c r="I14" s="27" t="s">
        <v>32</v>
      </c>
      <c r="J14" s="27" t="s">
        <v>33</v>
      </c>
      <c r="K14" s="27" t="s">
        <v>33</v>
      </c>
      <c r="L14" s="27" t="s">
        <v>34</v>
      </c>
      <c r="M14" s="29" t="s">
        <v>35</v>
      </c>
      <c r="N14" s="30" t="s">
        <v>36</v>
      </c>
      <c r="O14" s="109"/>
      <c r="P14" s="109"/>
      <c r="Q14" s="110"/>
    </row>
    <row r="15" spans="1:17" ht="13.5" thickBot="1" x14ac:dyDescent="0.25">
      <c r="A15" s="46">
        <v>1</v>
      </c>
      <c r="B15" s="47">
        <v>0</v>
      </c>
      <c r="C15" s="47">
        <v>0</v>
      </c>
      <c r="D15" s="47">
        <v>1</v>
      </c>
      <c r="E15" s="47">
        <v>0</v>
      </c>
      <c r="F15" s="47">
        <v>4901</v>
      </c>
      <c r="G15" s="47">
        <v>1</v>
      </c>
      <c r="H15" s="47">
        <v>3</v>
      </c>
      <c r="I15" s="47">
        <v>2</v>
      </c>
      <c r="J15" s="47">
        <v>5</v>
      </c>
      <c r="K15" s="47">
        <v>6</v>
      </c>
      <c r="L15" s="47">
        <v>0</v>
      </c>
      <c r="M15" s="48">
        <v>1</v>
      </c>
      <c r="N15" s="47" t="s">
        <v>41</v>
      </c>
      <c r="O15" s="102" t="s">
        <v>62</v>
      </c>
      <c r="P15" s="102"/>
      <c r="Q15" s="49">
        <v>978300</v>
      </c>
    </row>
    <row r="16" spans="1:17" ht="14.25" customHeight="1" x14ac:dyDescent="0.2">
      <c r="A16" s="46"/>
      <c r="B16" s="47"/>
      <c r="C16" s="47"/>
      <c r="D16" s="47"/>
      <c r="E16" s="47"/>
      <c r="F16" s="47"/>
      <c r="G16" s="47"/>
      <c r="H16" s="47"/>
      <c r="I16" s="47"/>
      <c r="J16" s="47"/>
      <c r="K16" s="47"/>
      <c r="L16" s="47"/>
      <c r="M16" s="48"/>
      <c r="N16" s="47"/>
      <c r="O16" s="102"/>
      <c r="P16" s="102"/>
      <c r="Q16" s="49"/>
    </row>
    <row r="17" spans="1:17" ht="17.25" customHeight="1" x14ac:dyDescent="0.2">
      <c r="A17" s="31"/>
      <c r="B17" s="32"/>
      <c r="C17" s="32"/>
      <c r="D17" s="32"/>
      <c r="E17" s="32"/>
      <c r="F17" s="32"/>
      <c r="G17" s="32"/>
      <c r="H17" s="32"/>
      <c r="I17" s="32"/>
      <c r="J17" s="32"/>
      <c r="K17" s="32"/>
      <c r="L17" s="32"/>
      <c r="M17" s="33"/>
      <c r="N17" s="34"/>
      <c r="O17" s="103"/>
      <c r="P17" s="103"/>
      <c r="Q17" s="35"/>
    </row>
    <row r="18" spans="1:17" ht="17.25" customHeight="1" x14ac:dyDescent="0.2">
      <c r="A18" s="31"/>
      <c r="B18" s="32"/>
      <c r="C18" s="32"/>
      <c r="D18" s="32"/>
      <c r="E18" s="32"/>
      <c r="F18" s="32"/>
      <c r="G18" s="32"/>
      <c r="H18" s="32"/>
      <c r="I18" s="32"/>
      <c r="J18" s="32"/>
      <c r="K18" s="32"/>
      <c r="L18" s="32"/>
      <c r="M18" s="33"/>
      <c r="N18" s="34"/>
      <c r="O18" s="101"/>
      <c r="P18" s="101"/>
      <c r="Q18" s="35"/>
    </row>
    <row r="19" spans="1:17" ht="17.25" customHeight="1" x14ac:dyDescent="0.2">
      <c r="A19" s="31"/>
      <c r="B19" s="32"/>
      <c r="C19" s="32"/>
      <c r="D19" s="32"/>
      <c r="E19" s="32"/>
      <c r="F19" s="32"/>
      <c r="G19" s="32"/>
      <c r="H19" s="32"/>
      <c r="I19" s="32"/>
      <c r="J19" s="32"/>
      <c r="K19" s="32"/>
      <c r="L19" s="32"/>
      <c r="M19" s="33"/>
      <c r="N19" s="34"/>
      <c r="O19" s="101"/>
      <c r="P19" s="101"/>
      <c r="Q19" s="35"/>
    </row>
    <row r="20" spans="1:17" ht="17.25" customHeight="1" x14ac:dyDescent="0.2">
      <c r="A20" s="31"/>
      <c r="B20" s="32"/>
      <c r="C20" s="32"/>
      <c r="D20" s="32"/>
      <c r="E20" s="32"/>
      <c r="F20" s="32"/>
      <c r="G20" s="32"/>
      <c r="H20" s="32"/>
      <c r="I20" s="32"/>
      <c r="J20" s="32"/>
      <c r="K20" s="32"/>
      <c r="L20" s="32"/>
      <c r="M20" s="33"/>
      <c r="N20" s="34"/>
      <c r="O20" s="101"/>
      <c r="P20" s="101"/>
      <c r="Q20" s="35"/>
    </row>
    <row r="21" spans="1:17" ht="17.25" customHeight="1" x14ac:dyDescent="0.2">
      <c r="A21" s="31"/>
      <c r="B21" s="32"/>
      <c r="C21" s="32"/>
      <c r="D21" s="32"/>
      <c r="E21" s="32"/>
      <c r="F21" s="32"/>
      <c r="G21" s="32"/>
      <c r="H21" s="32"/>
      <c r="I21" s="32"/>
      <c r="J21" s="32"/>
      <c r="K21" s="32"/>
      <c r="L21" s="32"/>
      <c r="M21" s="33"/>
      <c r="N21" s="34"/>
      <c r="O21" s="101"/>
      <c r="P21" s="101"/>
      <c r="Q21" s="35"/>
    </row>
    <row r="22" spans="1:17" ht="17.25" customHeight="1" x14ac:dyDescent="0.2">
      <c r="A22" s="31"/>
      <c r="B22" s="32"/>
      <c r="C22" s="32"/>
      <c r="D22" s="32"/>
      <c r="E22" s="32"/>
      <c r="F22" s="32"/>
      <c r="G22" s="32"/>
      <c r="H22" s="32"/>
      <c r="I22" s="32"/>
      <c r="J22" s="32"/>
      <c r="K22" s="32"/>
      <c r="L22" s="32"/>
      <c r="M22" s="33"/>
      <c r="N22" s="34"/>
      <c r="O22" s="101"/>
      <c r="P22" s="101"/>
      <c r="Q22" s="35"/>
    </row>
    <row r="23" spans="1:17" ht="17.25" customHeight="1" x14ac:dyDescent="0.2">
      <c r="A23" s="31"/>
      <c r="B23" s="32"/>
      <c r="C23" s="32"/>
      <c r="D23" s="32"/>
      <c r="E23" s="32"/>
      <c r="F23" s="32"/>
      <c r="G23" s="32"/>
      <c r="H23" s="32"/>
      <c r="I23" s="32"/>
      <c r="J23" s="32"/>
      <c r="K23" s="32"/>
      <c r="L23" s="32"/>
      <c r="M23" s="33"/>
      <c r="N23" s="34"/>
      <c r="O23" s="101"/>
      <c r="P23" s="101"/>
      <c r="Q23" s="35"/>
    </row>
    <row r="24" spans="1:17" ht="17.25" customHeight="1" x14ac:dyDescent="0.2">
      <c r="A24" s="31"/>
      <c r="B24" s="32"/>
      <c r="C24" s="32"/>
      <c r="D24" s="32"/>
      <c r="E24" s="32"/>
      <c r="F24" s="32"/>
      <c r="G24" s="32"/>
      <c r="H24" s="32"/>
      <c r="I24" s="32"/>
      <c r="J24" s="32"/>
      <c r="K24" s="32"/>
      <c r="L24" s="32"/>
      <c r="M24" s="33"/>
      <c r="N24" s="34"/>
      <c r="O24" s="101"/>
      <c r="P24" s="101"/>
      <c r="Q24" s="35"/>
    </row>
    <row r="25" spans="1:17" ht="17.25" customHeight="1" x14ac:dyDescent="0.2">
      <c r="A25" s="31"/>
      <c r="B25" s="32"/>
      <c r="C25" s="32"/>
      <c r="D25" s="32"/>
      <c r="E25" s="32"/>
      <c r="F25" s="32"/>
      <c r="G25" s="32"/>
      <c r="H25" s="32"/>
      <c r="I25" s="32"/>
      <c r="J25" s="32"/>
      <c r="K25" s="32"/>
      <c r="L25" s="32"/>
      <c r="M25" s="33"/>
      <c r="N25" s="34"/>
      <c r="O25" s="101"/>
      <c r="P25" s="101"/>
      <c r="Q25" s="35"/>
    </row>
    <row r="26" spans="1:17" ht="17.25" customHeight="1" x14ac:dyDescent="0.2">
      <c r="A26" s="31"/>
      <c r="B26" s="32"/>
      <c r="C26" s="32"/>
      <c r="D26" s="32"/>
      <c r="E26" s="32"/>
      <c r="F26" s="32"/>
      <c r="G26" s="32"/>
      <c r="H26" s="32"/>
      <c r="I26" s="32"/>
      <c r="J26" s="32"/>
      <c r="K26" s="32"/>
      <c r="L26" s="32"/>
      <c r="M26" s="33"/>
      <c r="N26" s="34"/>
      <c r="O26" s="101"/>
      <c r="P26" s="101"/>
      <c r="Q26" s="35"/>
    </row>
    <row r="27" spans="1:17" ht="17.25" customHeight="1" x14ac:dyDescent="0.2">
      <c r="A27" s="31"/>
      <c r="B27" s="32"/>
      <c r="C27" s="32"/>
      <c r="D27" s="32"/>
      <c r="E27" s="32"/>
      <c r="F27" s="32"/>
      <c r="G27" s="32"/>
      <c r="H27" s="32"/>
      <c r="I27" s="32"/>
      <c r="J27" s="32"/>
      <c r="K27" s="32"/>
      <c r="L27" s="32"/>
      <c r="M27" s="33"/>
      <c r="N27" s="34"/>
      <c r="O27" s="101"/>
      <c r="P27" s="101"/>
      <c r="Q27" s="35"/>
    </row>
    <row r="28" spans="1:17" ht="17.25" customHeight="1" x14ac:dyDescent="0.2">
      <c r="A28" s="31"/>
      <c r="B28" s="32"/>
      <c r="C28" s="32"/>
      <c r="D28" s="32"/>
      <c r="E28" s="32"/>
      <c r="F28" s="32"/>
      <c r="G28" s="32"/>
      <c r="H28" s="32"/>
      <c r="I28" s="32"/>
      <c r="J28" s="32"/>
      <c r="K28" s="32"/>
      <c r="L28" s="32"/>
      <c r="M28" s="33"/>
      <c r="N28" s="34"/>
      <c r="O28" s="101"/>
      <c r="P28" s="101"/>
      <c r="Q28" s="35"/>
    </row>
    <row r="29" spans="1:17" ht="17.25" customHeight="1" x14ac:dyDescent="0.2">
      <c r="A29" s="31"/>
      <c r="B29" s="32"/>
      <c r="C29" s="32"/>
      <c r="D29" s="32"/>
      <c r="E29" s="32"/>
      <c r="F29" s="32"/>
      <c r="G29" s="32"/>
      <c r="H29" s="32"/>
      <c r="I29" s="32"/>
      <c r="J29" s="32"/>
      <c r="K29" s="32"/>
      <c r="L29" s="32"/>
      <c r="M29" s="33"/>
      <c r="N29" s="34"/>
      <c r="O29" s="101"/>
      <c r="P29" s="101"/>
      <c r="Q29" s="35"/>
    </row>
    <row r="30" spans="1:17" ht="17.25" customHeight="1" x14ac:dyDescent="0.2">
      <c r="A30" s="31"/>
      <c r="B30" s="32"/>
      <c r="C30" s="32"/>
      <c r="D30" s="32"/>
      <c r="E30" s="32"/>
      <c r="F30" s="32"/>
      <c r="G30" s="32"/>
      <c r="H30" s="32"/>
      <c r="I30" s="32"/>
      <c r="J30" s="32"/>
      <c r="K30" s="32"/>
      <c r="L30" s="32"/>
      <c r="M30" s="33"/>
      <c r="N30" s="34"/>
      <c r="O30" s="101"/>
      <c r="P30" s="101"/>
      <c r="Q30" s="35"/>
    </row>
    <row r="31" spans="1:17" ht="17.25" customHeight="1" x14ac:dyDescent="0.2">
      <c r="A31" s="31"/>
      <c r="B31" s="32"/>
      <c r="C31" s="32"/>
      <c r="D31" s="32"/>
      <c r="E31" s="32"/>
      <c r="F31" s="32"/>
      <c r="G31" s="32"/>
      <c r="H31" s="32"/>
      <c r="I31" s="32"/>
      <c r="J31" s="32"/>
      <c r="K31" s="32"/>
      <c r="L31" s="32"/>
      <c r="M31" s="33"/>
      <c r="N31" s="34"/>
      <c r="O31" s="101"/>
      <c r="P31" s="101"/>
      <c r="Q31" s="35"/>
    </row>
    <row r="32" spans="1:17" ht="17.25" customHeight="1" x14ac:dyDescent="0.2">
      <c r="A32" s="31"/>
      <c r="B32" s="32"/>
      <c r="C32" s="32"/>
      <c r="D32" s="32"/>
      <c r="E32" s="32"/>
      <c r="F32" s="34"/>
      <c r="G32" s="32"/>
      <c r="H32" s="32"/>
      <c r="I32" s="32"/>
      <c r="J32" s="32"/>
      <c r="K32" s="32"/>
      <c r="L32" s="32"/>
      <c r="M32" s="33"/>
      <c r="N32" s="34"/>
      <c r="O32" s="96"/>
      <c r="P32" s="96"/>
      <c r="Q32" s="35"/>
    </row>
    <row r="33" spans="1:18" ht="17.25" customHeight="1" x14ac:dyDescent="0.2">
      <c r="A33" s="31"/>
      <c r="B33" s="32"/>
      <c r="C33" s="32"/>
      <c r="D33" s="32"/>
      <c r="E33" s="32"/>
      <c r="F33" s="32"/>
      <c r="G33" s="32"/>
      <c r="H33" s="32"/>
      <c r="I33" s="32"/>
      <c r="J33" s="32"/>
      <c r="K33" s="32"/>
      <c r="L33" s="32"/>
      <c r="M33" s="33"/>
      <c r="N33" s="34"/>
      <c r="O33" s="96"/>
      <c r="P33" s="96"/>
      <c r="Q33" s="35"/>
    </row>
    <row r="34" spans="1:18" ht="17.25" customHeight="1" x14ac:dyDescent="0.2">
      <c r="A34" s="31"/>
      <c r="B34" s="32"/>
      <c r="C34" s="32"/>
      <c r="D34" s="32"/>
      <c r="E34" s="32"/>
      <c r="F34" s="34"/>
      <c r="G34" s="32"/>
      <c r="H34" s="32"/>
      <c r="I34" s="32"/>
      <c r="J34" s="32"/>
      <c r="K34" s="32"/>
      <c r="L34" s="32"/>
      <c r="M34" s="33"/>
      <c r="N34" s="34"/>
      <c r="O34" s="96"/>
      <c r="P34" s="96"/>
      <c r="Q34" s="35"/>
    </row>
    <row r="35" spans="1:18" ht="17.25" customHeight="1" x14ac:dyDescent="0.2">
      <c r="A35" s="31"/>
      <c r="B35" s="32"/>
      <c r="C35" s="32"/>
      <c r="D35" s="32"/>
      <c r="E35" s="32"/>
      <c r="F35" s="34"/>
      <c r="G35" s="32"/>
      <c r="H35" s="32"/>
      <c r="I35" s="32"/>
      <c r="J35" s="32"/>
      <c r="K35" s="32"/>
      <c r="L35" s="32"/>
      <c r="M35" s="33"/>
      <c r="N35" s="34"/>
      <c r="O35" s="96"/>
      <c r="P35" s="96"/>
      <c r="Q35" s="35"/>
    </row>
    <row r="36" spans="1:18" ht="17.25" customHeight="1" x14ac:dyDescent="0.2">
      <c r="A36" s="36"/>
      <c r="B36" s="37"/>
      <c r="C36" s="37"/>
      <c r="D36" s="37"/>
      <c r="E36" s="37"/>
      <c r="F36" s="38"/>
      <c r="G36" s="37"/>
      <c r="H36" s="37"/>
      <c r="I36" s="37"/>
      <c r="J36" s="37"/>
      <c r="K36" s="37"/>
      <c r="L36" s="37"/>
      <c r="M36" s="39"/>
      <c r="N36" s="40"/>
      <c r="O36" s="97"/>
      <c r="P36" s="97"/>
      <c r="Q36" s="35"/>
      <c r="R36" s="17"/>
    </row>
    <row r="37" spans="1:18" ht="17.25" customHeight="1" x14ac:dyDescent="0.2">
      <c r="A37" s="41"/>
      <c r="B37" s="42"/>
      <c r="C37" s="42"/>
      <c r="D37" s="42"/>
      <c r="E37" s="42"/>
      <c r="F37" s="42"/>
      <c r="G37" s="42"/>
      <c r="H37" s="42"/>
      <c r="I37" s="42"/>
      <c r="J37" s="42"/>
      <c r="K37" s="42"/>
      <c r="L37" s="42"/>
      <c r="M37" s="43"/>
      <c r="N37" s="42"/>
      <c r="O37" s="98"/>
      <c r="P37" s="98"/>
      <c r="Q37" s="44"/>
    </row>
    <row r="38" spans="1:18" ht="30" customHeight="1" x14ac:dyDescent="0.2">
      <c r="A38" s="99" t="s">
        <v>76</v>
      </c>
      <c r="B38" s="99"/>
      <c r="C38" s="99"/>
      <c r="D38" s="99"/>
      <c r="E38" s="99"/>
      <c r="F38" s="99"/>
      <c r="G38" s="99"/>
      <c r="H38" s="99"/>
      <c r="I38" s="99"/>
      <c r="J38" s="99"/>
      <c r="K38" s="99"/>
      <c r="L38" s="99"/>
      <c r="M38" s="99"/>
      <c r="N38" s="99"/>
      <c r="O38" s="99"/>
      <c r="P38" s="99"/>
      <c r="Q38" s="45">
        <f>SUM(Q15:Q37)</f>
        <v>978300</v>
      </c>
    </row>
    <row r="39" spans="1:18" ht="10.5" customHeight="1" x14ac:dyDescent="0.2">
      <c r="A39" s="100"/>
      <c r="B39" s="100"/>
      <c r="C39" s="100"/>
      <c r="D39" s="100"/>
      <c r="E39" s="100"/>
      <c r="F39" s="100"/>
      <c r="G39" s="100"/>
      <c r="H39" s="100"/>
      <c r="I39" s="100"/>
      <c r="J39" s="100"/>
      <c r="K39" s="100"/>
      <c r="L39" s="100"/>
      <c r="M39" s="100"/>
      <c r="N39" s="100"/>
      <c r="O39" s="100"/>
      <c r="P39" s="100"/>
      <c r="Q39" s="100"/>
    </row>
    <row r="40" spans="1:18" ht="17.25" customHeight="1" x14ac:dyDescent="0.2">
      <c r="A40" s="93" t="s">
        <v>37</v>
      </c>
      <c r="B40" s="93"/>
      <c r="C40" s="93"/>
      <c r="D40" s="93"/>
      <c r="E40" s="93"/>
      <c r="F40" s="93"/>
      <c r="G40" s="94"/>
      <c r="H40" s="94"/>
      <c r="I40" s="94"/>
      <c r="J40" s="94"/>
      <c r="K40" s="94"/>
      <c r="L40" s="94"/>
      <c r="M40" s="94"/>
      <c r="N40" s="94"/>
      <c r="O40" s="94"/>
      <c r="P40" s="94"/>
      <c r="Q40" s="94"/>
    </row>
    <row r="41" spans="1:18" ht="18" customHeight="1" x14ac:dyDescent="0.2">
      <c r="A41" s="95" t="s">
        <v>71</v>
      </c>
      <c r="B41" s="95"/>
      <c r="C41" s="95"/>
      <c r="D41" s="95"/>
      <c r="E41" s="95"/>
      <c r="F41" s="95"/>
      <c r="G41" s="95"/>
      <c r="H41" s="95"/>
      <c r="I41" s="95"/>
      <c r="J41" s="95"/>
      <c r="K41" s="95"/>
      <c r="L41" s="95"/>
      <c r="M41" s="95"/>
      <c r="N41" s="95"/>
      <c r="O41" s="95"/>
      <c r="P41" s="95"/>
      <c r="Q41" s="95"/>
    </row>
    <row r="42" spans="1:18" ht="63.75" customHeight="1" x14ac:dyDescent="0.2">
      <c r="A42" s="95"/>
      <c r="B42" s="95"/>
      <c r="C42" s="95"/>
      <c r="D42" s="95"/>
      <c r="E42" s="95"/>
      <c r="F42" s="95"/>
      <c r="G42" s="95"/>
      <c r="H42" s="95"/>
      <c r="I42" s="95"/>
      <c r="J42" s="95"/>
      <c r="K42" s="95"/>
      <c r="L42" s="95"/>
      <c r="M42" s="95"/>
      <c r="N42" s="95"/>
      <c r="O42" s="95"/>
      <c r="P42" s="95"/>
      <c r="Q42" s="95"/>
    </row>
  </sheetData>
  <mergeCells count="46">
    <mergeCell ref="A1:C1"/>
    <mergeCell ref="D1:E1"/>
    <mergeCell ref="P1:Q2"/>
    <mergeCell ref="A4:F4"/>
    <mergeCell ref="G4:Q4"/>
    <mergeCell ref="A5:F5"/>
    <mergeCell ref="G5:Q5"/>
    <mergeCell ref="A6:F6"/>
    <mergeCell ref="G6:Q6"/>
    <mergeCell ref="A7:F7"/>
    <mergeCell ref="G7:Q7"/>
    <mergeCell ref="A8:Q8"/>
    <mergeCell ref="A9:Q9"/>
    <mergeCell ref="A10:Q10"/>
    <mergeCell ref="A12:Q12"/>
    <mergeCell ref="A13:N13"/>
    <mergeCell ref="O13:P14"/>
    <mergeCell ref="Q13:Q14"/>
    <mergeCell ref="O15:P15"/>
    <mergeCell ref="O16:P16"/>
    <mergeCell ref="O17:P17"/>
    <mergeCell ref="O18:P18"/>
    <mergeCell ref="O19:P19"/>
    <mergeCell ref="O20:P20"/>
    <mergeCell ref="O21:P21"/>
    <mergeCell ref="O22:P22"/>
    <mergeCell ref="O23:P23"/>
    <mergeCell ref="O24:P24"/>
    <mergeCell ref="O25:P25"/>
    <mergeCell ref="O26:P26"/>
    <mergeCell ref="O27:P27"/>
    <mergeCell ref="O28:P28"/>
    <mergeCell ref="O29:P29"/>
    <mergeCell ref="O30:P30"/>
    <mergeCell ref="O31:P31"/>
    <mergeCell ref="O32:P32"/>
    <mergeCell ref="O33:P33"/>
    <mergeCell ref="O34:P34"/>
    <mergeCell ref="A40:F40"/>
    <mergeCell ref="G40:Q40"/>
    <mergeCell ref="A41:Q42"/>
    <mergeCell ref="O35:P35"/>
    <mergeCell ref="O36:P36"/>
    <mergeCell ref="O37:P37"/>
    <mergeCell ref="A38:P38"/>
    <mergeCell ref="A39:Q39"/>
  </mergeCells>
  <printOptions horizontalCentered="1"/>
  <pageMargins left="0.25" right="0.25" top="0.75" bottom="0.7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Vega</dc:creator>
  <cp:lastModifiedBy>RODOLFO SARTOR</cp:lastModifiedBy>
  <cp:revision>3</cp:revision>
  <cp:lastPrinted>2021-09-17T12:36:58Z</cp:lastPrinted>
  <dcterms:created xsi:type="dcterms:W3CDTF">2020-07-17T23:44:49Z</dcterms:created>
  <dcterms:modified xsi:type="dcterms:W3CDTF">2021-09-27T12:11:33Z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