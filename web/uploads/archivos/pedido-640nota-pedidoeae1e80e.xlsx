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i unidad\SECRETARIA COMPRAS NOVIEMBRE 2022 - F.F 1.1\SILLAS Y SILLONES DE ESCRITORIO\"/>
    </mc:Choice>
  </mc:AlternateContent>
  <bookViews>
    <workbookView xWindow="0" yWindow="0" windowWidth="20490" windowHeight="8340"/>
  </bookViews>
  <sheets>
    <sheet name="Necesidades Trimestrales_Trim 4" sheetId="1" r:id="rId1"/>
    <sheet name="NOTA PEDIDO" sheetId="2" r:id="rId2"/>
    <sheet name="APG" sheetId="3" r:id="rId3"/>
  </sheets>
  <calcPr calcId="162913"/>
  <extLst>
    <ext uri="GoogleSheetsCustomDataVersion1">
      <go:sheetsCustomData xmlns:go="http://customooxmlschemas.google.com/" r:id="rId8" roundtripDataSignature="AMtx7mgFNHsqRtNc9HVQ4GhCkfPjQOMLgw=="/>
    </ext>
  </extLst>
</workbook>
</file>

<file path=xl/calcChain.xml><?xml version="1.0" encoding="utf-8"?>
<calcChain xmlns="http://schemas.openxmlformats.org/spreadsheetml/2006/main">
  <c r="I11" i="1" l="1"/>
  <c r="D11" i="1"/>
  <c r="H11" i="2"/>
  <c r="H12" i="2"/>
  <c r="I10" i="1" l="1"/>
  <c r="D10" i="1"/>
  <c r="H15" i="2" l="1"/>
  <c r="G13" i="2"/>
  <c r="H13" i="2" s="1"/>
  <c r="L15" i="2"/>
  <c r="Q15" i="3" l="1"/>
  <c r="Q21" i="3" s="1"/>
  <c r="I15" i="2"/>
</calcChain>
</file>

<file path=xl/sharedStrings.xml><?xml version="1.0" encoding="utf-8"?>
<sst xmlns="http://schemas.openxmlformats.org/spreadsheetml/2006/main" count="111" uniqueCount="78">
  <si>
    <t>Pedido de Necesidades Trimestrales</t>
  </si>
  <si>
    <t>JURISDICCION:</t>
  </si>
  <si>
    <t>50 - Ministerio de Educación</t>
  </si>
  <si>
    <t xml:space="preserve">SAF N°: </t>
  </si>
  <si>
    <t>26- Dirección Provincial de Administración</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</si>
  <si>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</si>
  <si>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</si>
  <si>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</si>
  <si>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</si>
  <si>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</si>
  <si>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</si>
  <si>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</si>
  <si>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</si>
  <si>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</si>
  <si>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</si>
  <si>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</si>
  <si>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</si>
  <si>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</si>
  <si>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</si>
  <si>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 xml:space="preserve">Plazos y lugares de entrega: </t>
  </si>
  <si>
    <t>NOTA DE PEDIDO</t>
  </si>
  <si>
    <t xml:space="preserve">JURISDICCIÓN: </t>
  </si>
  <si>
    <t>50 - MINISTERIO DE EDUCACIÓN</t>
  </si>
  <si>
    <t>SAF:</t>
  </si>
  <si>
    <t>26 - DIRECCIÓN PROVINCIAL DE ADMINISTRACIÓN</t>
  </si>
  <si>
    <t>UNIDAD EJECUTORA:</t>
  </si>
  <si>
    <t xml:space="preserve">DEPENDENCIA SOLICITANTE: </t>
  </si>
  <si>
    <t>PERIODO UTILIZACIÓN:</t>
  </si>
  <si>
    <t>OBJETO:</t>
  </si>
  <si>
    <t>Adjunta Detalle Técnico</t>
  </si>
  <si>
    <t>SI</t>
  </si>
  <si>
    <t>AUTORIZACIÓN PARA GASTAR</t>
  </si>
  <si>
    <t>JURISDICCIÓN:</t>
  </si>
  <si>
    <r>
      <rPr>
        <b/>
        <u/>
        <sz val="11"/>
        <color theme="1"/>
        <rFont val="Times New Roman"/>
        <family val="1"/>
      </rPr>
      <t>AUTORIZACIÓN</t>
    </r>
    <r>
      <rPr>
        <b/>
        <u/>
        <sz val="11"/>
        <color theme="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</si>
  <si>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</si>
  <si>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</si>
  <si>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</si>
  <si>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</si>
  <si>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</si>
  <si>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</si>
  <si>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</si>
  <si>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</si>
  <si>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</si>
  <si>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</si>
  <si>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</si>
  <si>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</si>
  <si>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</si>
  <si>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</si>
  <si>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</si>
  <si>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</si>
  <si>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</si>
  <si>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</si>
  <si>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</si>
  <si>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Especificidades Item N° 2:</t>
  </si>
  <si>
    <t>Plazos y lugares de entrega</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</si>
  <si>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Dirección de Administración del Ministerio de Educación, sito en Avenida Republica de Venezuela S/N° - CAPE- Pabellón N° 15 San Fernando del Valle de Catamarca.  Se presentará Remito que deberá cumplimentar lo dispuesto por la R.G. AFIP  1415/03, sin excepción.</t>
  </si>
  <si>
    <t>Calidad Minima esperada</t>
  </si>
  <si>
    <t>Mantenimiento</t>
  </si>
  <si>
    <t>No corresponde</t>
  </si>
  <si>
    <t>TRES AÑOS</t>
  </si>
  <si>
    <t>1.1</t>
  </si>
  <si>
    <t>ADQUISICIÓN DE SILLAS DE OFICINA DESTINADAS A DISTINTAS DEPENDENCIAS DEL MINISTERIO DE EDUCACIÓN</t>
  </si>
  <si>
    <t>4.3.7-45.3</t>
  </si>
  <si>
    <t>SILLAS; MATERIAL ESTRUCTURA: METAL, TAPIZADO: TELA, ALTURA: FIJA, GIRATORIA: NO</t>
  </si>
  <si>
    <t>SILLAS; MATERIAL ESTRUCTURA: METAL, TAPIZADO: TELA TIPO TELAR, PATAS: BASE CENTRAL, PATAS C/RODAMIEN, Nº PATAS: 5, ALTURA: REGULACION NEUMATICA, GIRATORIA: SI, APOYA BRAZO: CON, RESPALDO: ERGONOMICO, ASIENTO: TELA, CANTIDAD PATAS: 5, APOYABRAZO: CON</t>
  </si>
  <si>
    <t>4.3.7-45.218</t>
  </si>
  <si>
    <t>Costo total estimado: PESOS DOS MILLONES VEINTICINCO MIL CON 00/100</t>
  </si>
  <si>
    <t>EQUIPOS DE OFICINA Y MUEBLES</t>
  </si>
  <si>
    <t xml:space="preserve">Calidad Minima esperada:  </t>
  </si>
  <si>
    <t>Cumplir con la especificación técnica.</t>
  </si>
  <si>
    <r>
      <t xml:space="preserve">Silla de oficina.
</t>
    </r>
    <r>
      <rPr>
        <sz val="10"/>
        <rFont val="Times New Roman"/>
        <family val="1"/>
      </rPr>
      <t xml:space="preserve">Estructura: Metalica, de 4 patas, pintada.
Tapizado: Tela, cuero, simil cuero, o similar. 
Ancho: 50cm aprox.
Altura total: 85cm aprox. 
Respaldo: 48x36cm aprox. con tapizado.
Peso máximo soportado: 120kg., como mínimo.
Color: Negro.
</t>
    </r>
  </si>
  <si>
    <t>TOTAL DE PESOS: DOS MILLONES VEINTICINCO MIL CON 00/100</t>
  </si>
  <si>
    <r>
      <t xml:space="preserve">Silla tipo sillon de oficina
</t>
    </r>
    <r>
      <rPr>
        <sz val="10"/>
        <rFont val="Times New Roman"/>
        <family val="1"/>
      </rPr>
      <t xml:space="preserve">Estructura: Metalica, de 5 patas con ruedas. Acabado pintado o cromado. 
Base giratoria 360°. 
Con altura regulable.
Tapizado: Tela, cuero, simil cuero, o similar. 
Respaldo: Reclinable, con apoya cabezas, tapizado, de 70x48cm aprox.
Asiento: 50x50 cm aprox, tapizado. 
Con apoya brazos. 
Altura total: 110cm aprox. 
Peso máximo soportado: 120kg, como mínimo.
Color: Negro. 
 </t>
    </r>
  </si>
  <si>
    <r>
      <t>Autorizo la realización de los  trámites correspondientes, a fin de proveer a este Organismo los bienes que se detallan en Nota de Pedido N° DOCFI-2022-02324948-CAT-ME</t>
    </r>
    <r>
      <rPr>
        <b/>
        <sz val="11"/>
        <color rgb="FF0C0C0C"/>
        <rFont val="Times New Roman"/>
        <family val="1"/>
      </rPr>
      <t>,</t>
    </r>
    <r>
      <rPr>
        <sz val="11"/>
        <color rgb="FF0C0C0C"/>
        <rFont val="Times New Roman"/>
        <family val="1"/>
      </rPr>
      <t xml:space="preserve"> </t>
    </r>
    <r>
      <rPr>
        <sz val="11"/>
        <color theme="1"/>
        <rFont val="Times New Roman"/>
        <family val="1"/>
      </rPr>
      <t>afectando la erogación resultante a los créditos presupuestarios aprobados a favor de esta Unidad Ejecutora, conforme al siguiente detalle:</t>
    </r>
  </si>
  <si>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la Direccion Provincial de Adminsitracion  del Ministerio de Educación, sito en Avenida Republica de Venezuela S/N° - CAPE- Pabellón N° 15 San Fernando del Valle de Catamarca.  Se presentará Remito que deberá cumplimentar lo dispuesto por la R.G. AFIP  1415/03, sin excepción.</t>
  </si>
  <si>
    <t>Mantenimiento:</t>
  </si>
  <si>
    <t>Garantia:</t>
  </si>
  <si>
    <t>Minima 6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</si>
</sst>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2C0A]\ #,##0.00;[$$-2C0A]&quot; -&quot;#,##0.00"/>
    <numFmt numFmtId="165" formatCode="&quot;$&quot;\ #,##0.00"/>
    <numFmt numFmtId="166" formatCode="_-[$$-2C0A]* #,##0.00_-;\-[$$-2C0A]* #,##0.00_-;_-[$$-2C0A]* &quot;-&quot;??_-;_-@"/>
    <numFmt numFmtId="167" formatCode="[$$-2C0A]\ #,##0.00"/>
    <numFmt numFmtId="168" formatCode="dd\-mm\-yy"/>
  </numFmts>
  <fonts count="39" x14ac:knownFonts="1">
    <font>
      <sz val="10"/>
      <color rgb="FF000000"/>
      <name val="Arial"/>
      <scheme val="minor"/>
    </font>
    <font>
      <sz val="10"/>
      <color theme="1"/>
      <name val="Times New Roman"/>
      <family val="1"/>
    </font>
    <font>
      <b/>
      <sz val="22"/>
      <color theme="1"/>
      <name val="Times New Roman"/>
      <family val="1"/>
    </font>
    <font>
      <b/>
      <sz val="11"/>
      <color rgb="FF000000"/>
      <name val="Times New Roman"/>
      <family val="1"/>
    </font>
    <font>
      <b/>
      <sz val="12"/>
      <color rgb="FF000000"/>
      <name val="Times New Roman"/>
      <family val="1"/>
    </font>
    <font>
      <sz val="10"/>
      <name val="Arial"/>
      <family val="2"/>
    </font>
    <font>
      <sz val="10"/>
      <color rgb="FF000000"/>
      <name val="Times New Roman"/>
      <family val="1"/>
    </font>
    <font>
      <b/>
      <sz val="10"/>
      <color rgb="FF000000"/>
      <name val="Times New Roman"/>
      <family val="1"/>
    </font>
    <font>
      <sz val="9"/>
      <color theme="1"/>
      <name val="Times New Roman"/>
      <family val="1"/>
    </font>
    <font>
      <sz val="9"/>
      <color rgb="FF000000"/>
      <name val="Times New Roman"/>
      <family val="1"/>
    </font>
    <font>
      <u/>
      <sz val="10"/>
      <color theme="1"/>
      <name val="Times New Roman"/>
      <family val="1"/>
    </font>
    <font>
      <u/>
      <sz val="10"/>
      <color theme="1"/>
      <name val="Times New Roman"/>
      <family val="1"/>
    </font>
    <font>
      <b/>
      <u/>
      <sz val="12"/>
      <color theme="1"/>
      <name val="Times New Roman"/>
      <family val="1"/>
    </font>
    <font>
      <b/>
      <sz val="11"/>
      <color rgb="FFFF0000"/>
      <name val="Times New Roman"/>
      <family val="1"/>
    </font>
    <font>
      <sz val="10"/>
      <color theme="1"/>
      <name val="Arial"/>
      <family val="2"/>
    </font>
    <font>
      <b/>
      <u/>
      <sz val="11"/>
      <color theme="1"/>
      <name val="Times New Roman"/>
      <family val="1"/>
    </font>
    <font>
      <b/>
      <u/>
      <sz val="11"/>
      <color theme="1"/>
      <name val="Times New Roman"/>
      <family val="1"/>
    </font>
    <font>
      <b/>
      <u/>
      <sz val="11"/>
      <color theme="1"/>
      <name val="Times New Roman"/>
      <family val="1"/>
    </font>
    <font>
      <sz val="11"/>
      <color theme="1"/>
      <name val="Times New Roman"/>
      <family val="1"/>
    </font>
    <font>
      <b/>
      <sz val="11"/>
      <color theme="1"/>
      <name val="Times New Roman"/>
      <family val="1"/>
    </font>
    <font>
      <sz val="11"/>
      <color theme="0"/>
      <name val="Calibri"/>
      <family val="2"/>
    </font>
    <font>
      <sz val="10"/>
      <color theme="0"/>
      <name val="Arial"/>
      <family val="2"/>
    </font>
    <font>
      <b/>
      <sz val="10"/>
      <color theme="1"/>
      <name val="Times New Roman"/>
      <family val="1"/>
    </font>
    <font>
      <b/>
      <sz val="11"/>
      <color theme="1"/>
      <name val="Calibri"/>
      <family val="2"/>
    </font>
    <font>
      <b/>
      <u/>
      <sz val="10"/>
      <color theme="0"/>
      <name val="Arial"/>
      <family val="2"/>
    </font>
    <font>
      <b/>
      <u/>
      <sz val="10"/>
      <color theme="0"/>
      <name val="Arial"/>
      <family val="2"/>
    </font>
    <font>
      <sz val="11"/>
      <color rgb="FF000000"/>
      <name val="Calibri"/>
      <family val="2"/>
    </font>
    <font>
      <sz val="11"/>
      <color theme="1"/>
      <name val="Calibri"/>
      <family val="2"/>
    </font>
    <font>
      <b/>
      <u/>
      <sz val="11"/>
      <color theme="1"/>
      <name val="Times New Roman"/>
      <family val="1"/>
    </font>
    <font>
      <b/>
      <sz val="9"/>
      <color theme="1"/>
      <name val="Times New Roman"/>
      <family val="1"/>
    </font>
    <font>
      <b/>
      <sz val="11"/>
      <color rgb="FF0C0C0C"/>
      <name val="Times New Roman"/>
      <family val="1"/>
    </font>
    <font>
      <sz val="11"/>
      <color rgb="FF0C0C0C"/>
      <name val="Times New Roman"/>
      <family val="1"/>
    </font>
    <font>
      <sz val="10"/>
      <name val="Times New Roman"/>
      <family val="1"/>
    </font>
    <font>
      <u/>
      <sz val="10"/>
      <name val="Times New Roman"/>
      <family val="1"/>
    </font>
    <font>
      <sz val="9"/>
      <name val="Times New Roman"/>
      <family val="1"/>
    </font>
    <font>
      <sz val="11"/>
      <name val="Times New Roman"/>
      <family val="1"/>
    </font>
    <font>
      <b/>
      <sz val="9"/>
      <name val="Times New Roman"/>
      <family val="1"/>
    </font>
    <font>
      <b/>
      <sz val="10"/>
      <name val="Times New Roman"/>
      <family val="1"/>
    </font>
    <font>
      <sz val="10"/>
      <color rgb="FFFF0000"/>
      <name val="Times New Roman"/>
      <family val="1"/>
    </font>
  </fonts>
  <fills count="3">
    <fill>
      <patternFill patternType="none"/>
    </fill>
    <fill>
      <patternFill patternType="gray125"/>
    </fill>
    <fill>
      <patternFill patternType="solid">
        <fgColor theme="0"/>
        <bgColor theme="0"/>
      </patternFill>
    </fill>
  </fills>
  <borders count="81">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thick">
        <color rgb="FF000000"/>
      </right>
      <top style="medium">
        <color rgb="FF000000"/>
      </top>
      <bottom style="medium">
        <color rgb="FF000000"/>
      </bottom>
      <diagonal/>
    </border>
    <border>
      <left style="thick">
        <color rgb="FF000000"/>
      </left>
      <right/>
      <top style="medium">
        <color rgb="FF000000"/>
      </top>
      <bottom style="medium">
        <color rgb="FF000000"/>
      </bottom>
      <diagonal/>
    </border>
    <border>
      <left style="thick">
        <color rgb="FF000000"/>
      </left>
      <right style="thick">
        <color rgb="FF000000"/>
      </right>
      <top style="medium">
        <color rgb="FF000000"/>
      </top>
      <bottom style="medium">
        <color rgb="FF000000"/>
      </bottom>
      <diagonal/>
    </border>
    <border>
      <left style="thick">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3D3D3D"/>
      </left>
      <right/>
      <top style="medium">
        <color rgb="FF000000"/>
      </top>
      <bottom/>
      <diagonal/>
    </border>
    <border>
      <left style="medium">
        <color rgb="FF3D3D3D"/>
      </left>
      <right/>
      <top/>
      <bottom style="medium">
        <color rgb="FF3D3D3D"/>
      </bottom>
      <diagonal/>
    </border>
    <border>
      <left/>
      <right style="medium">
        <color rgb="FF000000"/>
      </right>
      <top/>
      <bottom style="medium">
        <color rgb="FF3D3D3D"/>
      </bottom>
      <diagonal/>
    </border>
    <border>
      <left style="medium">
        <color rgb="FF000000"/>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style="medium">
        <color rgb="FF3D3D3D"/>
      </top>
      <bottom style="medium">
        <color rgb="FF3D3D3D"/>
      </bottom>
      <diagonal/>
    </border>
    <border>
      <left/>
      <right style="medium">
        <color rgb="FF000000"/>
      </right>
      <top style="medium">
        <color rgb="FF3D3D3D"/>
      </top>
      <bottom style="medium">
        <color rgb="FF3D3D3D"/>
      </bottom>
      <diagonal/>
    </border>
    <border>
      <left style="medium">
        <color rgb="FF000000"/>
      </left>
      <right/>
      <top style="medium">
        <color rgb="FF3D3D3D"/>
      </top>
      <bottom/>
      <diagonal/>
    </border>
    <border>
      <left/>
      <right/>
      <top style="medium">
        <color rgb="FF3D3D3D"/>
      </top>
      <bottom/>
      <diagonal/>
    </border>
    <border>
      <left/>
      <right style="medium">
        <color rgb="FF000000"/>
      </right>
      <top style="medium">
        <color rgb="FF3D3D3D"/>
      </top>
      <bottom/>
      <diagonal/>
    </border>
    <border>
      <left style="medium">
        <color rgb="FF000000"/>
      </left>
      <right/>
      <top/>
      <bottom style="medium">
        <color rgb="FF3D3D3D"/>
      </bottom>
      <diagonal/>
    </border>
    <border>
      <left/>
      <right/>
      <top/>
      <bottom style="medium">
        <color rgb="FF3D3D3D"/>
      </bottom>
      <diagonal/>
    </border>
    <border>
      <left style="medium">
        <color rgb="FF3D3D3D"/>
      </left>
      <right/>
      <top style="medium">
        <color rgb="FF3D3D3D"/>
      </top>
      <bottom/>
      <diagonal/>
    </border>
    <border>
      <left/>
      <right style="medium">
        <color rgb="FF3D3D3D"/>
      </right>
      <top style="medium">
        <color rgb="FF3D3D3D"/>
      </top>
      <bottom/>
      <diagonal/>
    </border>
    <border>
      <left style="medium">
        <color rgb="FF000000"/>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top/>
      <bottom/>
      <diagonal/>
    </border>
    <border>
      <left/>
      <right style="medium">
        <color rgb="FF3D3D3D"/>
      </right>
      <top/>
      <bottom/>
      <diagonal/>
    </border>
    <border>
      <left style="medium">
        <color rgb="FF000000"/>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right style="thin">
        <color rgb="FF3D3D3D"/>
      </right>
      <top style="medium">
        <color rgb="FF3D3D3D"/>
      </top>
      <bottom style="thin">
        <color rgb="FF3D3D3D"/>
      </bottom>
      <diagonal/>
    </border>
    <border>
      <left style="thin">
        <color rgb="FF3D3D3D"/>
      </left>
      <right style="medium">
        <color rgb="FF000000"/>
      </right>
      <top style="medium">
        <color rgb="FF3D3D3D"/>
      </top>
      <bottom style="thin">
        <color rgb="FF3D3D3D"/>
      </bottom>
      <diagonal/>
    </border>
    <border>
      <left style="thin">
        <color rgb="FF3D3D3D"/>
      </left>
      <right style="medium">
        <color rgb="FF000000"/>
      </right>
      <top style="thin">
        <color rgb="FF3D3D3D"/>
      </top>
      <bottom style="thin">
        <color rgb="FF3D3D3D"/>
      </bottom>
      <diagonal/>
    </border>
    <border>
      <left style="medium">
        <color rgb="FF000000"/>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rgb="FF000000"/>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right style="thin">
        <color rgb="FF3D3D3D"/>
      </right>
      <top style="thin">
        <color rgb="FF3D3D3D"/>
      </top>
      <bottom style="medium">
        <color rgb="FF3D3D3D"/>
      </bottom>
      <diagonal/>
    </border>
    <border>
      <left style="thin">
        <color rgb="FF3D3D3D"/>
      </left>
      <right style="medium">
        <color rgb="FF000000"/>
      </right>
      <top style="thin">
        <color rgb="FF3D3D3D"/>
      </top>
      <bottom style="medium">
        <color rgb="FF3D3D3D"/>
      </bottom>
      <diagonal/>
    </border>
    <border>
      <left/>
      <right style="medium">
        <color rgb="FF3D3D3D"/>
      </right>
      <top/>
      <bottom style="medium">
        <color rgb="FF3D3D3D"/>
      </bottom>
      <diagonal/>
    </border>
    <border>
      <left style="medium">
        <color rgb="FF3D3D3D"/>
      </left>
      <right style="medium">
        <color rgb="FF000000"/>
      </right>
      <top/>
      <bottom style="medium">
        <color rgb="FF3D3D3D"/>
      </bottom>
      <diagonal/>
    </border>
    <border>
      <left/>
      <right style="medium">
        <color auto="1"/>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185">
    <xf numFmtId="0" fontId="0" fillId="0" borderId="0" xfId="0" applyFont="1" applyAlignment="1"/>
    <xf numFmtId="0" fontId="1" fillId="0" borderId="0" xfId="0" applyFont="1"/>
    <xf numFmtId="0" fontId="6" fillId="0" borderId="0" xfId="0" applyFont="1" applyAlignment="1">
      <alignment horizontal="left" wrapText="1"/>
    </xf>
    <xf numFmtId="0" fontId="6" fillId="0" borderId="0" xfId="0" applyFont="1" applyAlignment="1">
      <alignment horizont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10"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0" borderId="14" xfId="0" applyFont="1" applyBorder="1"/>
    <xf numFmtId="0" fontId="11" fillId="0" borderId="13" xfId="0" applyFont="1" applyBorder="1" applyAlignment="1">
      <alignment horizontal="left"/>
    </xf>
    <xf numFmtId="0" fontId="1" fillId="0" borderId="13" xfId="0" applyFont="1" applyBorder="1" applyAlignment="1">
      <alignment horizontal="left"/>
    </xf>
    <xf numFmtId="0" fontId="1" fillId="0" borderId="15" xfId="0" applyFont="1" applyBorder="1" applyAlignment="1">
      <alignment horizontal="left"/>
    </xf>
    <xf numFmtId="0" fontId="1" fillId="0" borderId="16" xfId="0" applyFont="1" applyBorder="1"/>
    <xf numFmtId="0" fontId="1" fillId="0" borderId="17" xfId="0" applyFont="1" applyBorder="1"/>
    <xf numFmtId="0" fontId="1" fillId="0" borderId="0" xfId="0" applyFont="1" applyAlignment="1">
      <alignment horizontal="center" wrapText="1"/>
    </xf>
    <xf numFmtId="0" fontId="1" fillId="0" borderId="14" xfId="0" applyFont="1" applyBorder="1" applyAlignment="1">
      <alignment horizontal="center" wrapText="1"/>
    </xf>
    <xf numFmtId="0" fontId="14" fillId="0" borderId="0" xfId="0" applyFont="1"/>
    <xf numFmtId="0" fontId="15" fillId="0" borderId="13" xfId="0" applyFont="1" applyBorder="1" applyAlignment="1">
      <alignment vertical="center"/>
    </xf>
    <xf numFmtId="0" fontId="16" fillId="0" borderId="0" xfId="0" applyFont="1" applyAlignment="1">
      <alignment vertical="center"/>
    </xf>
    <xf numFmtId="0" fontId="17" fillId="0" borderId="14" xfId="0" applyFont="1" applyBorder="1" applyAlignment="1">
      <alignment vertical="center"/>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19" fillId="0" borderId="22" xfId="0" applyFont="1" applyBorder="1" applyAlignment="1">
      <alignment horizontal="center" vertical="center" wrapText="1"/>
    </xf>
    <xf numFmtId="0" fontId="3" fillId="0" borderId="23" xfId="0" applyFont="1" applyBorder="1" applyAlignment="1">
      <alignment horizontal="center" vertical="center" wrapText="1"/>
    </xf>
    <xf numFmtId="0" fontId="1" fillId="0" borderId="24" xfId="0" applyFont="1" applyBorder="1" applyAlignment="1">
      <alignment horizontal="center" vertical="center"/>
    </xf>
    <xf numFmtId="0" fontId="1" fillId="0" borderId="24" xfId="0" applyFont="1" applyBorder="1" applyAlignment="1">
      <alignment horizontal="center" vertical="center" wrapText="1"/>
    </xf>
    <xf numFmtId="166" fontId="1" fillId="0" borderId="24" xfId="0" applyNumberFormat="1" applyFont="1" applyBorder="1" applyAlignment="1">
      <alignment vertical="center"/>
    </xf>
    <xf numFmtId="3" fontId="1" fillId="0" borderId="25" xfId="0" applyNumberFormat="1" applyFont="1" applyBorder="1" applyAlignment="1">
      <alignment horizontal="center" vertical="center"/>
    </xf>
    <xf numFmtId="167" fontId="20" fillId="0" borderId="0" xfId="0" applyNumberFormat="1" applyFont="1"/>
    <xf numFmtId="0" fontId="21" fillId="0" borderId="0" xfId="0" applyFont="1"/>
    <xf numFmtId="167" fontId="21" fillId="0" borderId="0" xfId="0" applyNumberFormat="1" applyFont="1"/>
    <xf numFmtId="0" fontId="22" fillId="0" borderId="26" xfId="0" applyFont="1" applyBorder="1" applyAlignment="1">
      <alignment horizontal="center" vertical="center"/>
    </xf>
    <xf numFmtId="165" fontId="21" fillId="0" borderId="0" xfId="0" applyNumberFormat="1" applyFont="1"/>
    <xf numFmtId="0" fontId="1" fillId="0" borderId="9" xfId="0" applyFont="1" applyBorder="1" applyAlignment="1">
      <alignment horizontal="center" vertical="center" wrapText="1"/>
    </xf>
    <xf numFmtId="0" fontId="1" fillId="0" borderId="27" xfId="0" applyFont="1" applyBorder="1" applyAlignment="1">
      <alignment horizontal="left" vertical="center" wrapText="1"/>
    </xf>
    <xf numFmtId="167" fontId="14" fillId="0" borderId="9" xfId="0" applyNumberFormat="1" applyFont="1" applyBorder="1"/>
    <xf numFmtId="0" fontId="24" fillId="0" borderId="0" xfId="0" applyFont="1"/>
    <xf numFmtId="165" fontId="25" fillId="0" borderId="0" xfId="0" applyNumberFormat="1" applyFont="1"/>
    <xf numFmtId="0" fontId="26" fillId="0" borderId="0" xfId="0" applyFont="1" applyAlignment="1">
      <alignment horizontal="left" vertical="center"/>
    </xf>
    <xf numFmtId="0" fontId="26" fillId="0" borderId="0" xfId="0" applyFont="1" applyAlignment="1">
      <alignment vertical="center"/>
    </xf>
    <xf numFmtId="0" fontId="27" fillId="0" borderId="0" xfId="0" applyFont="1"/>
    <xf numFmtId="3" fontId="19" fillId="0" borderId="11" xfId="0" applyNumberFormat="1" applyFont="1" applyBorder="1"/>
    <xf numFmtId="168" fontId="18" fillId="0" borderId="11" xfId="0" applyNumberFormat="1" applyFont="1" applyBorder="1" applyAlignment="1">
      <alignment horizontal="left"/>
    </xf>
    <xf numFmtId="0" fontId="18" fillId="0" borderId="11" xfId="0" applyFont="1" applyBorder="1"/>
    <xf numFmtId="0" fontId="18" fillId="0" borderId="13" xfId="0" applyFont="1" applyBorder="1"/>
    <xf numFmtId="0" fontId="18" fillId="0" borderId="0" xfId="0" applyFont="1"/>
    <xf numFmtId="0" fontId="18" fillId="0" borderId="0" xfId="0" applyFont="1" applyAlignment="1">
      <alignment horizontal="left"/>
    </xf>
    <xf numFmtId="168" fontId="18" fillId="0" borderId="0" xfId="0" applyNumberFormat="1" applyFont="1" applyAlignment="1">
      <alignment horizontal="left"/>
    </xf>
    <xf numFmtId="0" fontId="18" fillId="0" borderId="14" xfId="0" applyFont="1" applyBorder="1"/>
    <xf numFmtId="0" fontId="18" fillId="0" borderId="42" xfId="0" applyFont="1" applyBorder="1"/>
    <xf numFmtId="0" fontId="18" fillId="0" borderId="43" xfId="0" applyFont="1" applyBorder="1"/>
    <xf numFmtId="0" fontId="18" fillId="0" borderId="43" xfId="0" applyFont="1" applyBorder="1" applyAlignment="1">
      <alignment horizontal="left"/>
    </xf>
    <xf numFmtId="0" fontId="18" fillId="0" borderId="33" xfId="0" applyFont="1" applyBorder="1"/>
    <xf numFmtId="0" fontId="29" fillId="0" borderId="46" xfId="0" applyFont="1" applyBorder="1" applyAlignment="1">
      <alignment vertical="center"/>
    </xf>
    <xf numFmtId="0" fontId="29" fillId="0" borderId="47" xfId="0" applyFont="1" applyBorder="1" applyAlignment="1">
      <alignment vertical="center"/>
    </xf>
    <xf numFmtId="0" fontId="29" fillId="0" borderId="48" xfId="0" applyFont="1" applyBorder="1" applyAlignment="1">
      <alignment vertical="center"/>
    </xf>
    <xf numFmtId="0" fontId="29" fillId="0" borderId="49" xfId="0" applyFont="1" applyBorder="1" applyAlignment="1">
      <alignment vertical="center"/>
    </xf>
    <xf numFmtId="0" fontId="8" fillId="0" borderId="52"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18" fillId="0" borderId="58" xfId="0" applyFont="1" applyBorder="1" applyAlignment="1">
      <alignment horizontal="center" vertical="center"/>
    </xf>
    <xf numFmtId="0" fontId="18" fillId="0" borderId="59" xfId="0" applyFont="1" applyBorder="1" applyAlignment="1">
      <alignment horizontal="center" vertical="center"/>
    </xf>
    <xf numFmtId="0" fontId="18" fillId="0" borderId="60" xfId="0" applyFont="1" applyBorder="1" applyAlignment="1">
      <alignment horizontal="center" vertical="center"/>
    </xf>
    <xf numFmtId="0" fontId="18" fillId="0" borderId="61" xfId="0" applyFont="1" applyBorder="1" applyAlignment="1">
      <alignment horizontal="center" vertical="center"/>
    </xf>
    <xf numFmtId="0" fontId="18" fillId="0" borderId="64" xfId="0" applyFont="1" applyBorder="1" applyAlignment="1">
      <alignment horizontal="center" vertical="center"/>
    </xf>
    <xf numFmtId="0" fontId="18" fillId="0" borderId="65" xfId="0" applyFont="1" applyBorder="1" applyAlignment="1">
      <alignment horizontal="center" vertical="center"/>
    </xf>
    <xf numFmtId="0" fontId="18" fillId="0" borderId="66" xfId="0" applyFont="1" applyBorder="1" applyAlignment="1">
      <alignment horizontal="center" vertical="center"/>
    </xf>
    <xf numFmtId="164" fontId="34" fillId="0" borderId="56" xfId="0" applyNumberFormat="1" applyFont="1" applyBorder="1" applyAlignment="1">
      <alignment horizontal="center" vertical="center"/>
    </xf>
    <xf numFmtId="164" fontId="34" fillId="0" borderId="57" xfId="0" applyNumberFormat="1" applyFont="1" applyBorder="1" applyAlignment="1">
      <alignment horizontal="center" vertical="center"/>
    </xf>
    <xf numFmtId="164" fontId="35" fillId="0" borderId="57" xfId="0" applyNumberFormat="1" applyFont="1" applyBorder="1" applyAlignment="1">
      <alignment horizontal="center" vertical="center"/>
    </xf>
    <xf numFmtId="164" fontId="35" fillId="0" borderId="68" xfId="0" applyNumberFormat="1" applyFont="1" applyBorder="1" applyAlignment="1">
      <alignment horizontal="center" vertical="center"/>
    </xf>
    <xf numFmtId="164" fontId="36" fillId="0" borderId="70" xfId="0" applyNumberFormat="1" applyFont="1" applyBorder="1" applyAlignment="1">
      <alignment horizontal="center" vertical="center"/>
    </xf>
    <xf numFmtId="0" fontId="0" fillId="0" borderId="0" xfId="0" applyFont="1" applyAlignment="1"/>
    <xf numFmtId="0" fontId="6" fillId="2" borderId="9" xfId="0" applyFont="1" applyFill="1" applyBorder="1" applyAlignment="1">
      <alignment horizontal="center" vertical="center" wrapText="1"/>
    </xf>
    <xf numFmtId="0" fontId="6" fillId="0" borderId="9" xfId="0" applyFont="1" applyBorder="1" applyAlignment="1">
      <alignment horizontal="left" vertical="center" wrapText="1"/>
    </xf>
    <xf numFmtId="0" fontId="9" fillId="0" borderId="72" xfId="0" applyFont="1" applyBorder="1" applyAlignment="1">
      <alignment horizontal="left" vertical="center" wrapText="1"/>
    </xf>
    <xf numFmtId="0" fontId="29" fillId="0" borderId="47" xfId="0" applyFont="1" applyBorder="1" applyAlignment="1">
      <alignment horizontal="center" vertical="center"/>
    </xf>
    <xf numFmtId="0" fontId="8" fillId="0" borderId="73" xfId="0" applyFont="1" applyBorder="1" applyAlignment="1">
      <alignment horizontal="center" vertical="center"/>
    </xf>
    <xf numFmtId="0" fontId="9" fillId="0" borderId="73" xfId="0" applyFont="1" applyBorder="1" applyAlignment="1">
      <alignment horizontal="center" vertical="center" wrapText="1"/>
    </xf>
    <xf numFmtId="0" fontId="9" fillId="0" borderId="73" xfId="0" applyFont="1" applyBorder="1" applyAlignment="1">
      <alignment horizontal="left" vertical="center" wrapText="1"/>
    </xf>
    <xf numFmtId="164" fontId="8" fillId="0" borderId="73" xfId="0" applyNumberFormat="1" applyFont="1" applyBorder="1" applyAlignment="1">
      <alignment horizontal="right" vertical="center" wrapText="1"/>
    </xf>
    <xf numFmtId="165" fontId="8" fillId="0" borderId="73" xfId="0" applyNumberFormat="1" applyFont="1" applyBorder="1" applyAlignment="1">
      <alignment horizontal="right" vertical="center" wrapText="1"/>
    </xf>
    <xf numFmtId="0" fontId="9" fillId="2" borderId="72" xfId="0" applyFont="1" applyFill="1" applyBorder="1" applyAlignment="1">
      <alignment horizontal="center" vertical="center" wrapText="1"/>
    </xf>
    <xf numFmtId="0" fontId="9" fillId="0" borderId="72" xfId="0" applyFont="1" applyBorder="1" applyAlignment="1">
      <alignment horizontal="center" vertical="center" wrapText="1"/>
    </xf>
    <xf numFmtId="164" fontId="8" fillId="0" borderId="72" xfId="0" applyNumberFormat="1" applyFont="1" applyBorder="1" applyAlignment="1">
      <alignment horizontal="right" vertical="center" wrapText="1"/>
    </xf>
    <xf numFmtId="165" fontId="8" fillId="0" borderId="72" xfId="0" applyNumberFormat="1" applyFont="1" applyBorder="1" applyAlignment="1">
      <alignment horizontal="right" vertical="center" wrapText="1"/>
    </xf>
    <xf numFmtId="0" fontId="33" fillId="0" borderId="74" xfId="0" applyFont="1" applyBorder="1"/>
    <xf numFmtId="0" fontId="32" fillId="0" borderId="75" xfId="0" applyFont="1" applyBorder="1"/>
    <xf numFmtId="0" fontId="32" fillId="0" borderId="76" xfId="0" applyFont="1" applyBorder="1"/>
    <xf numFmtId="0" fontId="32" fillId="0" borderId="77" xfId="0" applyFont="1" applyBorder="1"/>
    <xf numFmtId="0" fontId="32" fillId="0" borderId="4" xfId="0" applyFont="1" applyBorder="1"/>
    <xf numFmtId="0" fontId="32" fillId="0" borderId="71" xfId="0" applyFont="1" applyBorder="1"/>
    <xf numFmtId="0" fontId="33" fillId="0" borderId="77" xfId="0" applyFont="1" applyBorder="1" applyAlignment="1">
      <alignment horizontal="left" indent="3"/>
    </xf>
    <xf numFmtId="0" fontId="32" fillId="0" borderId="4" xfId="0" applyFont="1" applyFill="1" applyBorder="1"/>
    <xf numFmtId="0" fontId="32" fillId="0" borderId="71" xfId="0" applyFont="1" applyFill="1" applyBorder="1"/>
    <xf numFmtId="0" fontId="32" fillId="0" borderId="77" xfId="0" applyFont="1" applyBorder="1" applyAlignment="1">
      <alignment horizontal="left" indent="3"/>
    </xf>
    <xf numFmtId="0" fontId="32" fillId="0" borderId="4" xfId="0" applyFont="1" applyFill="1" applyBorder="1" applyAlignment="1">
      <alignment horizontal="center" wrapText="1"/>
    </xf>
    <xf numFmtId="0" fontId="32" fillId="0" borderId="71" xfId="0" applyFont="1" applyFill="1" applyBorder="1" applyAlignment="1">
      <alignment horizontal="center" wrapText="1"/>
    </xf>
    <xf numFmtId="0" fontId="32" fillId="0" borderId="78" xfId="0" applyFont="1" applyBorder="1" applyAlignment="1">
      <alignment horizontal="left" indent="3"/>
    </xf>
    <xf numFmtId="0" fontId="32" fillId="0" borderId="79" xfId="0" applyFont="1" applyFill="1" applyBorder="1"/>
    <xf numFmtId="0" fontId="32" fillId="0" borderId="80" xfId="0" applyFont="1" applyFill="1" applyBorder="1"/>
    <xf numFmtId="0" fontId="8" fillId="0" borderId="72" xfId="0" applyFont="1" applyBorder="1" applyAlignment="1">
      <alignment horizontal="center" vertical="center"/>
    </xf>
    <xf numFmtId="0" fontId="10" fillId="0" borderId="13" xfId="0" applyFont="1" applyBorder="1" applyAlignment="1">
      <alignment horizontal="left"/>
    </xf>
    <xf numFmtId="0" fontId="3" fillId="0" borderId="0" xfId="0" applyFont="1" applyAlignment="1">
      <alignment horizontal="left" vertical="center" wrapText="1"/>
    </xf>
    <xf numFmtId="0" fontId="0" fillId="0" borderId="0" xfId="0" applyFont="1" applyAlignment="1"/>
    <xf numFmtId="0" fontId="2" fillId="0" borderId="0" xfId="0" applyFont="1" applyAlignment="1">
      <alignment horizontal="center"/>
    </xf>
    <xf numFmtId="0" fontId="1" fillId="0" borderId="0" xfId="0" applyFont="1" applyAlignment="1">
      <alignment horizontal="left" wrapText="1"/>
    </xf>
    <xf numFmtId="0" fontId="0" fillId="0" borderId="0" xfId="0" applyFont="1" applyAlignment="1">
      <alignment horizontal="left"/>
    </xf>
    <xf numFmtId="0" fontId="5" fillId="0" borderId="14" xfId="0" applyFont="1" applyBorder="1" applyAlignment="1">
      <alignment horizontal="left"/>
    </xf>
    <xf numFmtId="0" fontId="5" fillId="0" borderId="14" xfId="0" applyFont="1" applyBorder="1"/>
    <xf numFmtId="0" fontId="1" fillId="0" borderId="0" xfId="0" applyFont="1" applyAlignment="1">
      <alignment horizontal="center"/>
    </xf>
    <xf numFmtId="0" fontId="37" fillId="0" borderId="71" xfId="0" applyFont="1" applyFill="1" applyBorder="1" applyAlignment="1">
      <alignment horizontal="left" vertical="top" wrapText="1"/>
    </xf>
    <xf numFmtId="0" fontId="32" fillId="0" borderId="71" xfId="0" applyFont="1" applyFill="1" applyBorder="1" applyAlignment="1">
      <alignment horizontal="left" vertical="top" wrapText="1"/>
    </xf>
    <xf numFmtId="0" fontId="1" fillId="0" borderId="71" xfId="0" applyFont="1" applyFill="1" applyBorder="1" applyAlignment="1">
      <alignment horizontal="left" wrapText="1"/>
    </xf>
    <xf numFmtId="0" fontId="38" fillId="0" borderId="71" xfId="0" applyFont="1" applyFill="1" applyBorder="1" applyAlignment="1">
      <alignment horizontal="center"/>
    </xf>
    <xf numFmtId="0" fontId="32" fillId="0" borderId="71" xfId="0" applyFont="1" applyFill="1" applyBorder="1" applyAlignment="1">
      <alignment horizontal="left" wrapText="1"/>
    </xf>
    <xf numFmtId="0" fontId="32" fillId="0" borderId="71" xfId="0" applyFont="1" applyFill="1" applyBorder="1" applyAlignment="1">
      <alignment wrapText="1"/>
    </xf>
    <xf numFmtId="0" fontId="32" fillId="0" borderId="71" xfId="0" applyFont="1" applyFill="1" applyBorder="1" applyAlignment="1">
      <alignment horizontal="left"/>
    </xf>
    <xf numFmtId="0" fontId="18" fillId="0" borderId="10" xfId="0" applyFont="1" applyBorder="1" applyAlignment="1">
      <alignment horizontal="left" vertical="center"/>
    </xf>
    <xf numFmtId="0" fontId="5" fillId="0" borderId="11" xfId="0" applyFont="1" applyBorder="1"/>
    <xf numFmtId="0" fontId="5" fillId="0" borderId="12" xfId="0" applyFont="1" applyBorder="1"/>
    <xf numFmtId="0" fontId="23" fillId="0" borderId="28" xfId="0" applyFont="1" applyBorder="1" applyAlignment="1">
      <alignment horizontal="left" vertical="top" wrapText="1"/>
    </xf>
    <xf numFmtId="0" fontId="5" fillId="0" borderId="29" xfId="0" applyFont="1" applyBorder="1"/>
    <xf numFmtId="0" fontId="5" fillId="0" borderId="30" xfId="0" applyFont="1" applyBorder="1"/>
    <xf numFmtId="0" fontId="12" fillId="0" borderId="10" xfId="0" applyFont="1" applyBorder="1" applyAlignment="1">
      <alignment horizontal="center" vertical="center" wrapText="1"/>
    </xf>
    <xf numFmtId="0" fontId="18" fillId="0" borderId="18" xfId="0" applyFont="1" applyBorder="1" applyAlignment="1">
      <alignment horizontal="left" vertical="center" wrapText="1"/>
    </xf>
    <xf numFmtId="0" fontId="5" fillId="0" borderId="19" xfId="0" applyFont="1" applyBorder="1"/>
    <xf numFmtId="0" fontId="19" fillId="0" borderId="18" xfId="0" applyFont="1" applyBorder="1" applyAlignment="1">
      <alignment vertical="center" wrapText="1"/>
    </xf>
    <xf numFmtId="0" fontId="5" fillId="0" borderId="20" xfId="0" applyFont="1" applyBorder="1"/>
    <xf numFmtId="0" fontId="19" fillId="0" borderId="18" xfId="0" applyFont="1" applyBorder="1" applyAlignment="1">
      <alignment horizontal="left" vertical="center" wrapText="1"/>
    </xf>
    <xf numFmtId="0" fontId="14" fillId="0" borderId="20" xfId="0" applyFont="1" applyBorder="1"/>
    <xf numFmtId="0" fontId="14" fillId="0" borderId="19" xfId="0" applyFont="1" applyBorder="1"/>
    <xf numFmtId="0" fontId="18" fillId="0" borderId="18" xfId="0" applyFont="1" applyBorder="1" applyAlignment="1">
      <alignment horizontal="center"/>
    </xf>
    <xf numFmtId="0" fontId="19" fillId="0" borderId="20" xfId="0" applyFont="1" applyBorder="1" applyAlignment="1">
      <alignment horizontal="center"/>
    </xf>
    <xf numFmtId="0" fontId="19" fillId="0" borderId="31" xfId="0" applyFont="1" applyBorder="1" applyAlignment="1">
      <alignment horizontal="center" vertical="center" wrapText="1"/>
    </xf>
    <xf numFmtId="0" fontId="5" fillId="0" borderId="32" xfId="0" applyFont="1" applyBorder="1"/>
    <xf numFmtId="0" fontId="5" fillId="0" borderId="33" xfId="0" applyFont="1" applyBorder="1"/>
    <xf numFmtId="0" fontId="18" fillId="0" borderId="34" xfId="0" applyFont="1" applyBorder="1"/>
    <xf numFmtId="0" fontId="5" fillId="0" borderId="35" xfId="0" applyFont="1" applyBorder="1"/>
    <xf numFmtId="0" fontId="5" fillId="0" borderId="36" xfId="0" applyFont="1" applyBorder="1"/>
    <xf numFmtId="0" fontId="18" fillId="0" borderId="37" xfId="0" applyFont="1" applyBorder="1"/>
    <xf numFmtId="0" fontId="5" fillId="0" borderId="38" xfId="0" applyFont="1" applyBorder="1"/>
    <xf numFmtId="0" fontId="18" fillId="0" borderId="34" xfId="0" applyFont="1" applyBorder="1" applyAlignment="1">
      <alignment horizontal="left" vertical="center" wrapText="1"/>
    </xf>
    <xf numFmtId="0" fontId="18" fillId="2" borderId="34" xfId="0" applyFont="1" applyFill="1" applyBorder="1" applyAlignment="1">
      <alignment horizontal="left" vertical="center"/>
    </xf>
    <xf numFmtId="0" fontId="18" fillId="0" borderId="34" xfId="0" applyFont="1" applyBorder="1" applyAlignment="1">
      <alignment horizontal="left" vertical="center"/>
    </xf>
    <xf numFmtId="0" fontId="28" fillId="0" borderId="34" xfId="0" applyFont="1" applyBorder="1" applyAlignment="1">
      <alignment horizontal="left"/>
    </xf>
    <xf numFmtId="0" fontId="18" fillId="0" borderId="39" xfId="0" applyFont="1" applyBorder="1" applyAlignment="1">
      <alignment horizontal="left"/>
    </xf>
    <xf numFmtId="0" fontId="5" fillId="0" borderId="40" xfId="0" applyFont="1" applyBorder="1"/>
    <xf numFmtId="0" fontId="5" fillId="0" borderId="41" xfId="0" applyFont="1" applyBorder="1"/>
    <xf numFmtId="0" fontId="18" fillId="0" borderId="13" xfId="0" applyFont="1" applyBorder="1" applyAlignment="1">
      <alignment horizontal="left" vertical="center" wrapText="1"/>
    </xf>
    <xf numFmtId="0" fontId="18" fillId="0" borderId="62" xfId="0" applyFont="1" applyBorder="1" applyAlignment="1">
      <alignment horizontal="center" vertical="center"/>
    </xf>
    <xf numFmtId="0" fontId="5" fillId="0" borderId="63" xfId="0" applyFont="1" applyBorder="1"/>
    <xf numFmtId="0" fontId="8" fillId="0" borderId="13" xfId="0" applyFont="1" applyBorder="1" applyAlignment="1">
      <alignment horizontal="left" vertical="center" wrapText="1"/>
    </xf>
    <xf numFmtId="0" fontId="5" fillId="0" borderId="15" xfId="0" applyFont="1" applyBorder="1"/>
    <xf numFmtId="0" fontId="5" fillId="0" borderId="16" xfId="0" applyFont="1" applyBorder="1"/>
    <xf numFmtId="0" fontId="5" fillId="0" borderId="17" xfId="0" applyFont="1" applyBorder="1"/>
    <xf numFmtId="0" fontId="29" fillId="0" borderId="39" xfId="0" applyFont="1" applyBorder="1" applyAlignment="1">
      <alignment horizontal="center" vertical="center"/>
    </xf>
    <xf numFmtId="0" fontId="29" fillId="0" borderId="34" xfId="0" applyFont="1" applyBorder="1" applyAlignment="1">
      <alignment horizontal="center" vertical="center"/>
    </xf>
    <xf numFmtId="0" fontId="29" fillId="0" borderId="44" xfId="0" applyFont="1" applyBorder="1" applyAlignment="1">
      <alignment horizontal="center" vertical="center" wrapText="1"/>
    </xf>
    <xf numFmtId="0" fontId="5" fillId="0" borderId="45" xfId="0" applyFont="1" applyBorder="1"/>
    <xf numFmtId="0" fontId="5" fillId="0" borderId="50" xfId="0" applyFont="1" applyBorder="1"/>
    <xf numFmtId="0" fontId="5" fillId="0" borderId="51" xfId="0" applyFont="1" applyBorder="1"/>
    <xf numFmtId="0" fontId="29" fillId="0" borderId="41" xfId="0" applyFont="1" applyBorder="1" applyAlignment="1">
      <alignment horizontal="center" vertical="center"/>
    </xf>
    <xf numFmtId="0" fontId="8" fillId="0" borderId="54" xfId="0" applyFont="1" applyBorder="1" applyAlignment="1">
      <alignment horizontal="left" vertical="center" wrapText="1"/>
    </xf>
    <xf numFmtId="0" fontId="5" fillId="0" borderId="55" xfId="0" applyFont="1" applyBorder="1"/>
    <xf numFmtId="0" fontId="18" fillId="0" borderId="66" xfId="0" applyFont="1" applyBorder="1" applyAlignment="1">
      <alignment horizontal="left" vertical="center"/>
    </xf>
    <xf numFmtId="0" fontId="5" fillId="0" borderId="67" xfId="0" applyFont="1" applyBorder="1"/>
    <xf numFmtId="0" fontId="29" fillId="0" borderId="42" xfId="0" applyFont="1" applyBorder="1" applyAlignment="1">
      <alignment horizontal="left" vertical="center" wrapText="1"/>
    </xf>
    <xf numFmtId="0" fontId="5" fillId="0" borderId="43" xfId="0" applyFont="1" applyBorder="1"/>
    <xf numFmtId="0" fontId="5" fillId="0" borderId="69" xfId="0" applyFont="1" applyBorder="1"/>
    <xf numFmtId="0" fontId="8" fillId="0" borderId="39" xfId="0" applyFont="1" applyBorder="1"/>
    <xf numFmtId="0" fontId="29" fillId="0" borderId="18" xfId="0" applyFont="1" applyBorder="1" applyAlignment="1">
      <alignment vertical="center" wrapText="1"/>
    </xf>
    <xf numFmtId="0" fontId="8" fillId="0" borderId="40" xfId="0" applyFont="1" applyBorder="1" applyAlignment="1">
      <alignment vertical="center" wrapText="1"/>
    </xf>
    <xf numFmtId="0" fontId="13" fillId="0" borderId="12" xfId="0" applyFont="1" applyBorder="1" applyAlignment="1">
      <alignment horizontal="left" vertical="center"/>
    </xf>
    <xf numFmtId="0" fontId="14" fillId="0" borderId="4" xfId="0" applyFont="1" applyBorder="1"/>
    <xf numFmtId="0" fontId="4" fillId="0" borderId="1" xfId="0" applyFont="1" applyFill="1" applyBorder="1" applyAlignment="1">
      <alignment horizontal="left" wrapText="1"/>
    </xf>
    <xf numFmtId="0" fontId="5" fillId="0" borderId="2" xfId="0" applyFont="1" applyFill="1" applyBorder="1"/>
    <xf numFmtId="0" fontId="5" fillId="0" borderId="3" xfId="0" applyFont="1" applyFill="1" applyBorder="1"/>
    <xf numFmtId="0" fontId="4" fillId="0" borderId="4" xfId="0" applyFont="1" applyFill="1" applyBorder="1" applyAlignment="1">
      <alignment horizontal="left" wrapText="1"/>
    </xf>
    <xf numFmtId="0" fontId="7" fillId="0" borderId="4" xfId="0" applyFont="1" applyFill="1" applyBorder="1" applyAlignment="1">
      <alignment horizontal="left" wrapText="1"/>
    </xf>
    <xf numFmtId="0" fontId="1" fillId="0" borderId="0" xfId="0" applyFont="1" applyAlignment="1">
      <alignment horizontal="left"/>
    </xf>
  </cellXfs>
  <cellStyles count="1">
    <cellStyle name="Normal" xfId="0" builtinId="0"/>
  </cellStyles>
  <dxfs count="24">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0"/>
          <bgColor theme="0"/>
        </patternFill>
      </fill>
    </dxf>
    <dxf>
      <fill>
        <patternFill patternType="solid">
          <fgColor theme="4"/>
          <bgColor theme="4"/>
        </patternFill>
      </fill>
    </dxf>
  </dxfs>
  <tableStyles count="6">
    <tableStyle name="cuadro comparativo-style" pivot="0" count="4">
      <tableStyleElement type="headerRow" dxfId="23"/>
      <tableStyleElement type="totalRow" dxfId="22"/>
      <tableStyleElement type="firstRowStripe" dxfId="21"/>
      <tableStyleElement type="secondRowStripe" dxfId="20"/>
    </tableStyle>
    <tableStyle name="cuadro comparativo-style 2" pivot="0" count="4">
      <tableStyleElement type="headerRow" dxfId="19"/>
      <tableStyleElement type="totalRow" dxfId="18"/>
      <tableStyleElement type="firstRowStripe" dxfId="17"/>
      <tableStyleElement type="secondRowStripe" dxfId="16"/>
    </tableStyle>
    <tableStyle name="cuadro comparativo-style 3" pivot="0" count="4">
      <tableStyleElement type="headerRow" dxfId="15"/>
      <tableStyleElement type="totalRow" dxfId="14"/>
      <tableStyleElement type="firstRowStripe" dxfId="13"/>
      <tableStyleElement type="secondRowStripe" dxfId="12"/>
    </tableStyle>
    <tableStyle name="cuadro comparativo-style 4" pivot="0" count="4">
      <tableStyleElement type="headerRow" dxfId="11"/>
      <tableStyleElement type="totalRow" dxfId="10"/>
      <tableStyleElement type="firstRowStripe" dxfId="9"/>
      <tableStyleElement type="secondRowStripe" dxfId="8"/>
    </tableStyle>
    <tableStyle name="cuadro comparativo-style 5" pivot="0" count="4">
      <tableStyleElement type="headerRow" dxfId="7"/>
      <tableStyleElement type="totalRow" dxfId="6"/>
      <tableStyleElement type="firstRowStripe" dxfId="5"/>
      <tableStyleElement type="secondRowStripe" dxfId="4"/>
    </tableStyle>
    <tableStyle name="cuadro comparativo-style 6" pivot="0" count="4">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41"/>
  <sheetViews>
    <sheetView tabSelected="1" topLeftCell="A8" workbookViewId="0">
      <selection activeCell="C27" sqref="C27"/>
    </sheetView>
  </sheetViews>
  <sheetFormatPr baseColWidth="10" defaultColWidth="12.5703125" defaultRowHeight="15" customHeight="1" x14ac:dyDescent="0.2"/>
  <cols>
    <col min="1" max="1" width="4.5703125" customWidth="1"/>
    <col min="2" max="2" width="12.85546875" customWidth="1"/>
    <col min="3" max="3" width="32.42578125" customWidth="1"/>
    <col min="4" max="4" width="8.42578125" customWidth="1"/>
    <col min="5" max="5" width="79" customWidth="1"/>
    <col min="6" max="6" width="11" customWidth="1"/>
    <col min="7" max="7" width="12.7109375" customWidth="1"/>
    <col min="8" max="8" width="13.85546875" customWidth="1"/>
    <col min="9" max="9" width="18.5703125" customWidth="1"/>
    <col min="10" max="26" width="11" customWidth="1"/>
  </cols>
  <sheetData>
    <row r="1" spans="1:26" ht="12.75" customHeight="1" x14ac:dyDescent="0.2">
      <c r="A1" s="1"/>
      <c r="B1" s="1"/>
      <c r="C1" s="1"/>
      <c r="D1" s="1"/>
      <c r="E1" s="1"/>
      <c r="F1" s="1"/>
      <c r="G1" s="1"/>
      <c r="H1" s="1"/>
      <c r="I1" s="1"/>
      <c r="J1" s="1"/>
      <c r="K1" s="1"/>
      <c r="L1" s="1"/>
      <c r="M1" s="1"/>
      <c r="N1" s="1"/>
      <c r="O1" s="1"/>
      <c r="P1" s="1"/>
      <c r="Q1" s="1"/>
      <c r="R1" s="1"/>
      <c r="S1" s="1"/>
      <c r="T1" s="1"/>
      <c r="U1" s="1"/>
      <c r="V1" s="1"/>
      <c r="W1" s="1"/>
      <c r="X1" s="1"/>
      <c r="Y1" s="1"/>
      <c r="Z1" s="1"/>
    </row>
    <row r="2" spans="1:26" ht="22.7" customHeight="1" x14ac:dyDescent="0.35">
      <c r="A2" s="1"/>
      <c r="B2" s="109" t="s">
        <v>0</v>
      </c>
      <c r="C2" s="108"/>
      <c r="D2" s="108"/>
      <c r="E2" s="108"/>
      <c r="F2" s="108"/>
      <c r="G2" s="108"/>
      <c r="H2" s="108"/>
      <c r="I2" s="1"/>
      <c r="J2" s="1"/>
      <c r="K2" s="1"/>
      <c r="L2" s="1"/>
      <c r="M2" s="1"/>
      <c r="N2" s="1"/>
      <c r="O2" s="1"/>
      <c r="P2" s="1"/>
      <c r="Q2" s="1"/>
      <c r="R2" s="1"/>
      <c r="S2" s="1"/>
      <c r="T2" s="1"/>
      <c r="U2" s="1"/>
      <c r="V2" s="1"/>
      <c r="W2" s="1"/>
      <c r="X2" s="1"/>
      <c r="Y2" s="1"/>
      <c r="Z2" s="1"/>
    </row>
    <row r="3" spans="1:26" ht="12.75" customHeight="1" x14ac:dyDescent="0.2">
      <c r="A3" s="1"/>
      <c r="B3" s="1"/>
      <c r="C3" s="1"/>
      <c r="D3" s="1"/>
      <c r="E3" s="1"/>
      <c r="F3" s="1"/>
      <c r="G3" s="1"/>
      <c r="H3" s="1"/>
      <c r="I3" s="1"/>
      <c r="J3" s="1"/>
      <c r="K3" s="1"/>
      <c r="L3" s="1"/>
      <c r="M3" s="1"/>
      <c r="N3" s="1"/>
      <c r="O3" s="1"/>
      <c r="P3" s="1"/>
      <c r="Q3" s="1"/>
      <c r="R3" s="1"/>
      <c r="S3" s="1"/>
      <c r="T3" s="1"/>
      <c r="U3" s="1"/>
      <c r="V3" s="1"/>
      <c r="W3" s="1"/>
      <c r="X3" s="1"/>
      <c r="Y3" s="1"/>
      <c r="Z3" s="1"/>
    </row>
    <row r="4" spans="1:26" ht="18" customHeight="1" x14ac:dyDescent="0.25">
      <c r="A4" s="107" t="s">
        <v>1</v>
      </c>
      <c r="B4" s="108"/>
      <c r="C4" s="179" t="s">
        <v>2</v>
      </c>
      <c r="D4" s="180"/>
      <c r="E4" s="181"/>
      <c r="F4" s="2"/>
      <c r="G4" s="3"/>
      <c r="H4" s="2"/>
      <c r="I4" s="1"/>
      <c r="J4" s="1"/>
      <c r="K4" s="1"/>
      <c r="L4" s="1"/>
      <c r="M4" s="1"/>
      <c r="N4" s="1"/>
      <c r="O4" s="1"/>
      <c r="P4" s="1"/>
      <c r="Q4" s="1"/>
      <c r="R4" s="1"/>
      <c r="S4" s="1"/>
      <c r="T4" s="1"/>
      <c r="U4" s="1"/>
      <c r="V4" s="1"/>
      <c r="W4" s="1"/>
      <c r="X4" s="1"/>
      <c r="Y4" s="1"/>
      <c r="Z4" s="1"/>
    </row>
    <row r="5" spans="1:26" ht="18" customHeight="1" x14ac:dyDescent="0.25">
      <c r="A5" s="107" t="s">
        <v>3</v>
      </c>
      <c r="B5" s="108"/>
      <c r="C5" s="179" t="s">
        <v>4</v>
      </c>
      <c r="D5" s="180"/>
      <c r="E5" s="181"/>
      <c r="F5" s="2"/>
      <c r="G5" s="3"/>
      <c r="H5" s="2"/>
      <c r="I5" s="1"/>
      <c r="J5" s="1"/>
      <c r="K5" s="1"/>
      <c r="L5" s="1"/>
      <c r="M5" s="1"/>
      <c r="N5" s="1"/>
      <c r="O5" s="1"/>
      <c r="P5" s="1"/>
      <c r="Q5" s="1"/>
      <c r="R5" s="1"/>
      <c r="S5" s="1"/>
      <c r="T5" s="1"/>
      <c r="U5" s="1"/>
      <c r="V5" s="1"/>
      <c r="W5" s="1"/>
      <c r="X5" s="1"/>
      <c r="Y5" s="1"/>
      <c r="Z5" s="1"/>
    </row>
    <row r="6" spans="1:26" ht="16.899999999999999" customHeight="1" x14ac:dyDescent="0.25">
      <c r="A6" s="107" t="s">
        <v>5</v>
      </c>
      <c r="B6" s="108"/>
      <c r="C6" s="182">
        <v>2022</v>
      </c>
      <c r="D6" s="183"/>
      <c r="E6" s="183"/>
      <c r="F6" s="2"/>
      <c r="G6" s="3"/>
      <c r="H6" s="2"/>
      <c r="I6" s="1"/>
      <c r="J6" s="1"/>
      <c r="K6" s="1"/>
      <c r="L6" s="1"/>
      <c r="M6" s="1"/>
      <c r="N6" s="1"/>
      <c r="O6" s="1"/>
      <c r="P6" s="1"/>
      <c r="Q6" s="1"/>
      <c r="R6" s="1"/>
      <c r="S6" s="1"/>
      <c r="T6" s="1"/>
      <c r="U6" s="1"/>
      <c r="V6" s="1"/>
      <c r="W6" s="1"/>
      <c r="X6" s="1"/>
      <c r="Y6" s="1"/>
      <c r="Z6" s="1"/>
    </row>
    <row r="7" spans="1:26" ht="16.899999999999999" customHeight="1" x14ac:dyDescent="0.25">
      <c r="A7" s="107" t="s">
        <v>6</v>
      </c>
      <c r="B7" s="108"/>
      <c r="C7" s="182">
        <v>4</v>
      </c>
      <c r="D7" s="183"/>
      <c r="E7" s="183"/>
      <c r="F7" s="2"/>
      <c r="G7" s="3"/>
      <c r="H7" s="2"/>
      <c r="I7" s="1"/>
      <c r="J7" s="1"/>
      <c r="K7" s="1"/>
      <c r="L7" s="1"/>
      <c r="M7" s="1"/>
      <c r="N7" s="1"/>
      <c r="O7" s="1"/>
      <c r="P7" s="1"/>
      <c r="Q7" s="1"/>
      <c r="R7" s="1"/>
      <c r="S7" s="1"/>
      <c r="T7" s="1"/>
      <c r="U7" s="1"/>
      <c r="V7" s="1"/>
      <c r="W7" s="1"/>
      <c r="X7" s="1"/>
      <c r="Y7" s="1"/>
      <c r="Z7" s="1"/>
    </row>
    <row r="8" spans="1:26" ht="12.75" customHeight="1" x14ac:dyDescent="0.2">
      <c r="A8" s="1"/>
      <c r="B8" s="2"/>
      <c r="C8" s="3"/>
      <c r="D8" s="2"/>
      <c r="E8" s="2"/>
      <c r="F8" s="2"/>
      <c r="G8" s="3"/>
      <c r="H8" s="2"/>
      <c r="I8" s="1"/>
      <c r="J8" s="1"/>
      <c r="K8" s="1"/>
      <c r="L8" s="1"/>
      <c r="M8" s="1"/>
      <c r="N8" s="1"/>
      <c r="O8" s="1"/>
      <c r="P8" s="1"/>
      <c r="Q8" s="1"/>
      <c r="R8" s="1"/>
      <c r="S8" s="1"/>
      <c r="T8" s="1"/>
      <c r="U8" s="1"/>
      <c r="V8" s="1"/>
      <c r="W8" s="1"/>
      <c r="X8" s="1"/>
      <c r="Y8" s="1"/>
      <c r="Z8" s="1"/>
    </row>
    <row r="9" spans="1:26" ht="12.75" customHeight="1" thickBot="1" x14ac:dyDescent="0.25">
      <c r="A9" s="4" t="s">
        <v>7</v>
      </c>
      <c r="B9" s="5" t="s">
        <v>8</v>
      </c>
      <c r="C9" s="4" t="s">
        <v>9</v>
      </c>
      <c r="D9" s="6" t="s">
        <v>10</v>
      </c>
      <c r="E9" s="6" t="s">
        <v>11</v>
      </c>
      <c r="F9" s="6" t="s">
        <v>12</v>
      </c>
      <c r="G9" s="6" t="s">
        <v>13</v>
      </c>
      <c r="H9" s="6" t="s">
        <v>14</v>
      </c>
      <c r="I9" s="7" t="s">
        <v>15</v>
      </c>
      <c r="J9" s="1"/>
      <c r="K9" s="1"/>
      <c r="L9" s="1"/>
      <c r="M9" s="1"/>
      <c r="N9" s="1"/>
      <c r="O9" s="1"/>
      <c r="P9" s="1"/>
      <c r="Q9" s="1"/>
      <c r="R9" s="1"/>
      <c r="S9" s="1"/>
      <c r="T9" s="1"/>
      <c r="U9" s="1"/>
      <c r="V9" s="1"/>
      <c r="W9" s="1"/>
      <c r="X9" s="1"/>
      <c r="Y9" s="1"/>
      <c r="Z9" s="1"/>
    </row>
    <row r="10" spans="1:26" ht="35.25" customHeight="1" x14ac:dyDescent="0.2">
      <c r="A10" s="81">
        <v>1</v>
      </c>
      <c r="B10" s="82" t="s">
        <v>62</v>
      </c>
      <c r="C10" s="83" t="s">
        <v>67</v>
      </c>
      <c r="D10" s="82" t="str">
        <f t="shared" ref="D10:D11" si="0">LEFT(B10,5)</f>
        <v>4.3.7</v>
      </c>
      <c r="E10" s="83" t="s">
        <v>63</v>
      </c>
      <c r="F10" s="82" t="s">
        <v>16</v>
      </c>
      <c r="G10" s="82">
        <v>70</v>
      </c>
      <c r="H10" s="84">
        <v>17500</v>
      </c>
      <c r="I10" s="85">
        <f t="shared" ref="I10:I11" si="1">H10*G10</f>
        <v>1225000</v>
      </c>
      <c r="J10" s="1"/>
      <c r="K10" s="1"/>
      <c r="L10" s="1"/>
      <c r="M10" s="1"/>
      <c r="N10" s="1"/>
      <c r="O10" s="1"/>
      <c r="P10" s="1"/>
      <c r="Q10" s="1"/>
      <c r="R10" s="1"/>
      <c r="S10" s="1"/>
      <c r="T10" s="1"/>
      <c r="U10" s="1"/>
      <c r="V10" s="1"/>
      <c r="W10" s="1"/>
      <c r="X10" s="1"/>
      <c r="Y10" s="1"/>
      <c r="Z10" s="1"/>
    </row>
    <row r="11" spans="1:26" ht="46.7" customHeight="1" x14ac:dyDescent="0.2">
      <c r="A11" s="105">
        <v>2</v>
      </c>
      <c r="B11" s="86" t="s">
        <v>65</v>
      </c>
      <c r="C11" s="79" t="s">
        <v>67</v>
      </c>
      <c r="D11" s="87" t="str">
        <f t="shared" si="0"/>
        <v>4.3.7</v>
      </c>
      <c r="E11" s="79" t="s">
        <v>64</v>
      </c>
      <c r="F11" s="87" t="s">
        <v>16</v>
      </c>
      <c r="G11" s="87">
        <v>20</v>
      </c>
      <c r="H11" s="88">
        <v>40000</v>
      </c>
      <c r="I11" s="89">
        <f t="shared" si="1"/>
        <v>800000</v>
      </c>
      <c r="J11" s="1"/>
      <c r="K11" s="1"/>
      <c r="L11" s="1"/>
      <c r="M11" s="1"/>
      <c r="N11" s="1"/>
      <c r="O11" s="1"/>
      <c r="P11" s="1"/>
      <c r="Q11" s="1"/>
      <c r="R11" s="1"/>
      <c r="S11" s="1"/>
      <c r="T11" s="1"/>
      <c r="U11" s="1"/>
      <c r="V11" s="1"/>
      <c r="W11" s="1"/>
      <c r="X11" s="1"/>
      <c r="Y11" s="1"/>
      <c r="Z11" s="1"/>
    </row>
    <row r="12" spans="1:26" ht="12.75" customHeight="1" thickBo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2.75" customHeight="1" x14ac:dyDescent="0.2">
      <c r="A13" s="1"/>
      <c r="B13" s="8" t="s">
        <v>17</v>
      </c>
      <c r="C13" s="9"/>
      <c r="D13" s="9"/>
      <c r="E13" s="10"/>
      <c r="F13" s="1"/>
      <c r="G13" s="1"/>
      <c r="H13" s="1"/>
      <c r="I13" s="1"/>
      <c r="J13" s="1"/>
      <c r="K13" s="1"/>
      <c r="L13" s="1"/>
      <c r="M13" s="1"/>
      <c r="N13" s="1"/>
      <c r="O13" s="1"/>
      <c r="P13" s="1"/>
      <c r="Q13" s="1"/>
      <c r="R13" s="1"/>
      <c r="S13" s="1"/>
      <c r="T13" s="1"/>
      <c r="U13" s="1"/>
      <c r="V13" s="1"/>
      <c r="W13" s="1"/>
      <c r="X13" s="1"/>
      <c r="Y13" s="1"/>
      <c r="Z13" s="1"/>
    </row>
    <row r="14" spans="1:26" ht="12.75" customHeight="1" x14ac:dyDescent="0.2">
      <c r="A14" s="1"/>
      <c r="B14" s="11"/>
      <c r="C14" s="1"/>
      <c r="D14" s="1"/>
      <c r="E14" s="12"/>
      <c r="F14" s="1"/>
      <c r="G14" s="1"/>
      <c r="H14" s="1"/>
      <c r="I14" s="1"/>
      <c r="J14" s="1"/>
      <c r="K14" s="1"/>
      <c r="L14" s="1"/>
      <c r="M14" s="1"/>
      <c r="N14" s="1"/>
      <c r="O14" s="1"/>
      <c r="P14" s="1"/>
      <c r="Q14" s="1"/>
      <c r="R14" s="1"/>
      <c r="S14" s="1"/>
      <c r="T14" s="1"/>
      <c r="U14" s="1"/>
      <c r="V14" s="1"/>
      <c r="W14" s="1"/>
      <c r="X14" s="1"/>
      <c r="Y14" s="1"/>
      <c r="Z14" s="1"/>
    </row>
    <row r="15" spans="1:26" ht="12.75" customHeight="1" x14ac:dyDescent="0.2">
      <c r="A15" s="1"/>
      <c r="B15" s="13" t="s">
        <v>18</v>
      </c>
      <c r="C15" s="1"/>
      <c r="D15" s="1"/>
      <c r="E15" s="12"/>
      <c r="F15" s="1"/>
      <c r="G15" s="1"/>
      <c r="H15" s="1"/>
      <c r="I15" s="1"/>
      <c r="J15" s="1"/>
      <c r="K15" s="1"/>
      <c r="L15" s="1"/>
      <c r="M15" s="1"/>
      <c r="N15" s="1"/>
      <c r="O15" s="1"/>
      <c r="P15" s="1"/>
      <c r="Q15" s="1"/>
      <c r="R15" s="1"/>
      <c r="S15" s="1"/>
      <c r="T15" s="1"/>
      <c r="U15" s="1"/>
      <c r="V15" s="1"/>
      <c r="W15" s="1"/>
      <c r="X15" s="1"/>
      <c r="Y15" s="1"/>
      <c r="Z15" s="1"/>
    </row>
    <row r="16" spans="1:26" ht="120" customHeight="1" x14ac:dyDescent="0.2">
      <c r="A16" s="1"/>
      <c r="B16" s="13"/>
      <c r="C16" s="115" t="s">
        <v>70</v>
      </c>
      <c r="D16" s="116"/>
      <c r="E16" s="116"/>
      <c r="F16" s="1"/>
      <c r="G16" s="1"/>
      <c r="H16" s="1"/>
      <c r="I16" s="1"/>
      <c r="J16" s="1"/>
      <c r="K16" s="1"/>
      <c r="L16" s="1"/>
      <c r="M16" s="1"/>
      <c r="N16" s="1"/>
      <c r="O16" s="1"/>
      <c r="P16" s="1"/>
      <c r="Q16" s="1"/>
      <c r="R16" s="1"/>
      <c r="S16" s="1"/>
      <c r="T16" s="1"/>
      <c r="U16" s="1"/>
      <c r="V16" s="1"/>
      <c r="W16" s="1"/>
      <c r="X16" s="1"/>
      <c r="Y16" s="1"/>
      <c r="Z16" s="1"/>
    </row>
    <row r="17" spans="1:26" ht="12.75" customHeight="1" x14ac:dyDescent="0.2">
      <c r="A17" s="1"/>
      <c r="B17" s="13" t="s">
        <v>19</v>
      </c>
      <c r="C17" s="1"/>
      <c r="D17" s="1"/>
      <c r="E17" s="12"/>
      <c r="F17" s="1"/>
      <c r="G17" s="1"/>
      <c r="H17" s="1"/>
      <c r="I17" s="1"/>
      <c r="J17" s="1"/>
      <c r="K17" s="1"/>
      <c r="L17" s="1"/>
      <c r="M17" s="1"/>
      <c r="N17" s="1"/>
      <c r="O17" s="1"/>
      <c r="P17" s="1"/>
      <c r="Q17" s="1"/>
      <c r="R17" s="1"/>
      <c r="S17" s="1"/>
      <c r="T17" s="1"/>
      <c r="U17" s="1"/>
      <c r="V17" s="1"/>
      <c r="W17" s="1"/>
      <c r="X17" s="1"/>
      <c r="Y17" s="1"/>
      <c r="Z17" s="1"/>
    </row>
    <row r="18" spans="1:26" ht="63.75" customHeight="1" x14ac:dyDescent="0.2">
      <c r="A18" s="1"/>
      <c r="B18" s="14"/>
      <c r="C18" s="110" t="s">
        <v>74</v>
      </c>
      <c r="D18" s="108"/>
      <c r="E18" s="113"/>
      <c r="F18" s="1"/>
      <c r="G18" s="1"/>
      <c r="H18" s="1"/>
      <c r="I18" s="1"/>
      <c r="J18" s="1"/>
      <c r="K18" s="1"/>
      <c r="L18" s="1"/>
      <c r="M18" s="1"/>
      <c r="N18" s="1"/>
      <c r="O18" s="1"/>
      <c r="P18" s="1"/>
      <c r="Q18" s="1"/>
      <c r="R18" s="1"/>
      <c r="S18" s="1"/>
      <c r="T18" s="1"/>
      <c r="U18" s="1"/>
      <c r="V18" s="1"/>
      <c r="W18" s="1"/>
      <c r="X18" s="1"/>
      <c r="Y18" s="1"/>
      <c r="Z18" s="1"/>
    </row>
    <row r="19" spans="1:26" ht="12.75" customHeight="1" x14ac:dyDescent="0.2">
      <c r="A19" s="1"/>
      <c r="B19" s="14"/>
      <c r="C19" s="114"/>
      <c r="D19" s="108"/>
      <c r="E19" s="113"/>
      <c r="F19" s="1"/>
      <c r="G19" s="1"/>
      <c r="H19" s="1"/>
      <c r="I19" s="1"/>
      <c r="J19" s="1"/>
      <c r="K19" s="1"/>
      <c r="L19" s="1"/>
      <c r="M19" s="1"/>
      <c r="N19" s="1"/>
      <c r="O19" s="1"/>
      <c r="P19" s="1"/>
      <c r="Q19" s="1"/>
      <c r="R19" s="1"/>
      <c r="S19" s="1"/>
      <c r="T19" s="1"/>
      <c r="U19" s="1"/>
      <c r="V19" s="1"/>
      <c r="W19" s="1"/>
      <c r="X19" s="1"/>
      <c r="Y19" s="1"/>
      <c r="Z19" s="1"/>
    </row>
    <row r="20" spans="1:26" ht="12.75" customHeight="1" x14ac:dyDescent="0.2">
      <c r="A20" s="1"/>
      <c r="B20" s="106" t="s">
        <v>68</v>
      </c>
      <c r="C20" s="1"/>
      <c r="D20" s="1"/>
      <c r="E20" s="12"/>
      <c r="F20" s="1"/>
      <c r="G20" s="1"/>
      <c r="H20" s="1"/>
      <c r="I20" s="1"/>
      <c r="J20" s="1"/>
      <c r="K20" s="1"/>
      <c r="L20" s="1"/>
      <c r="M20" s="1"/>
      <c r="N20" s="1"/>
      <c r="O20" s="1"/>
      <c r="P20" s="1"/>
      <c r="Q20" s="1"/>
      <c r="R20" s="1"/>
      <c r="S20" s="1"/>
      <c r="T20" s="1"/>
      <c r="U20" s="1"/>
      <c r="V20" s="1"/>
      <c r="W20" s="1"/>
      <c r="X20" s="1"/>
      <c r="Y20" s="1"/>
      <c r="Z20" s="1"/>
    </row>
    <row r="21" spans="1:26" ht="12.75" customHeight="1" x14ac:dyDescent="0.2">
      <c r="A21" s="1"/>
      <c r="B21" s="14"/>
      <c r="C21" s="110" t="s">
        <v>69</v>
      </c>
      <c r="D21" s="111"/>
      <c r="E21" s="112"/>
      <c r="F21" s="1"/>
      <c r="G21" s="1"/>
      <c r="H21" s="1"/>
      <c r="I21" s="1"/>
      <c r="J21" s="1"/>
      <c r="K21" s="1"/>
      <c r="L21" s="1"/>
      <c r="M21" s="1"/>
      <c r="N21" s="1"/>
      <c r="O21" s="1"/>
      <c r="P21" s="1"/>
      <c r="Q21" s="1"/>
      <c r="R21" s="1"/>
      <c r="S21" s="1"/>
      <c r="T21" s="1"/>
      <c r="U21" s="1"/>
      <c r="V21" s="1"/>
      <c r="W21" s="1"/>
      <c r="X21" s="1"/>
      <c r="Y21" s="1"/>
      <c r="Z21" s="1"/>
    </row>
    <row r="22" spans="1:26" ht="12.75" customHeight="1" x14ac:dyDescent="0.2">
      <c r="A22" s="1"/>
      <c r="B22" s="106" t="s">
        <v>75</v>
      </c>
      <c r="C22" s="18"/>
      <c r="D22" s="18"/>
      <c r="E22" s="19"/>
      <c r="F22" s="1"/>
      <c r="G22" s="1"/>
      <c r="H22" s="1"/>
      <c r="I22" s="1"/>
      <c r="J22" s="1"/>
      <c r="K22" s="1"/>
      <c r="L22" s="1"/>
      <c r="M22" s="1"/>
      <c r="N22" s="1"/>
      <c r="O22" s="1"/>
      <c r="P22" s="1"/>
      <c r="Q22" s="1"/>
      <c r="R22" s="1"/>
      <c r="S22" s="1"/>
      <c r="T22" s="1"/>
      <c r="U22" s="1"/>
      <c r="V22" s="1"/>
      <c r="W22" s="1"/>
      <c r="X22" s="1"/>
      <c r="Y22" s="1"/>
      <c r="Z22" s="1"/>
    </row>
    <row r="23" spans="1:26" ht="12.75" customHeight="1" x14ac:dyDescent="0.2">
      <c r="A23" s="1"/>
      <c r="B23" s="14"/>
      <c r="C23" s="120" t="s">
        <v>58</v>
      </c>
      <c r="D23" s="120"/>
      <c r="E23" s="120"/>
      <c r="F23" s="1"/>
      <c r="G23" s="1"/>
      <c r="H23" s="1"/>
      <c r="I23" s="1"/>
      <c r="J23" s="1"/>
      <c r="K23" s="1"/>
      <c r="L23" s="1"/>
      <c r="M23" s="1"/>
      <c r="N23" s="1"/>
      <c r="O23" s="1"/>
      <c r="P23" s="1"/>
      <c r="Q23" s="1"/>
      <c r="R23" s="1"/>
      <c r="S23" s="1"/>
      <c r="T23" s="1"/>
      <c r="U23" s="1"/>
      <c r="V23" s="1"/>
      <c r="W23" s="1"/>
      <c r="X23" s="1"/>
      <c r="Y23" s="1"/>
      <c r="Z23" s="1"/>
    </row>
    <row r="24" spans="1:26" ht="12.75" customHeight="1" x14ac:dyDescent="0.2">
      <c r="A24" s="1"/>
      <c r="B24" s="106" t="s">
        <v>76</v>
      </c>
      <c r="C24" s="1"/>
      <c r="D24" s="1"/>
      <c r="E24" s="12"/>
      <c r="F24" s="1"/>
      <c r="G24" s="1"/>
      <c r="H24" s="1"/>
      <c r="I24" s="1"/>
      <c r="J24" s="1"/>
      <c r="K24" s="1"/>
      <c r="L24" s="1"/>
      <c r="M24" s="1"/>
      <c r="N24" s="1"/>
      <c r="O24" s="1"/>
      <c r="P24" s="1"/>
      <c r="Q24" s="1"/>
      <c r="R24" s="1"/>
      <c r="S24" s="1"/>
      <c r="T24" s="1"/>
      <c r="U24" s="1"/>
      <c r="V24" s="1"/>
      <c r="W24" s="1"/>
      <c r="X24" s="1"/>
      <c r="Y24" s="1"/>
      <c r="Z24" s="1"/>
    </row>
    <row r="25" spans="1:26" ht="12.75" customHeight="1" x14ac:dyDescent="0.2">
      <c r="A25" s="1"/>
      <c r="B25" s="13"/>
      <c r="C25" s="184" t="s">
        <v>77</v>
      </c>
      <c r="D25" s="111"/>
      <c r="E25" s="112"/>
      <c r="F25" s="1"/>
      <c r="G25" s="1"/>
      <c r="H25" s="1"/>
      <c r="I25" s="1"/>
      <c r="J25" s="1"/>
      <c r="K25" s="1"/>
      <c r="L25" s="1"/>
      <c r="M25" s="1"/>
      <c r="N25" s="1"/>
      <c r="O25" s="1"/>
      <c r="P25" s="1"/>
      <c r="Q25" s="1"/>
      <c r="R25" s="1"/>
      <c r="S25" s="1"/>
      <c r="T25" s="1"/>
      <c r="U25" s="1"/>
      <c r="V25" s="1"/>
      <c r="W25" s="1"/>
      <c r="X25" s="1"/>
      <c r="Y25" s="1"/>
      <c r="Z25" s="1"/>
    </row>
    <row r="26" spans="1:26" ht="12.75" customHeight="1" x14ac:dyDescent="0.2">
      <c r="A26" s="1"/>
      <c r="B26" s="15"/>
      <c r="C26" s="16"/>
      <c r="D26" s="16"/>
      <c r="E26" s="17"/>
      <c r="F26" s="1"/>
      <c r="G26" s="1"/>
      <c r="H26" s="1"/>
      <c r="I26" s="1"/>
      <c r="J26" s="1"/>
      <c r="K26" s="1"/>
      <c r="L26" s="1"/>
      <c r="M26" s="1"/>
      <c r="N26" s="1"/>
      <c r="O26" s="1"/>
      <c r="P26" s="1"/>
      <c r="Q26" s="1"/>
      <c r="R26" s="1"/>
      <c r="S26" s="1"/>
      <c r="T26" s="1"/>
      <c r="U26" s="1"/>
      <c r="V26" s="1"/>
      <c r="W26" s="1"/>
      <c r="X26" s="1"/>
      <c r="Y26" s="1"/>
      <c r="Z26" s="1"/>
    </row>
    <row r="27" spans="1:26" ht="12.75" customHeight="1" thickBo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x14ac:dyDescent="0.2">
      <c r="A28" s="1"/>
      <c r="B28" s="90" t="s">
        <v>53</v>
      </c>
      <c r="C28" s="91"/>
      <c r="D28" s="91"/>
      <c r="E28" s="92"/>
      <c r="F28" s="1"/>
      <c r="G28" s="1"/>
      <c r="H28" s="1"/>
      <c r="I28" s="1"/>
      <c r="J28" s="1"/>
      <c r="K28" s="1"/>
      <c r="L28" s="1"/>
      <c r="M28" s="1"/>
      <c r="N28" s="1"/>
      <c r="O28" s="1"/>
      <c r="P28" s="1"/>
      <c r="Q28" s="1"/>
      <c r="R28" s="1"/>
      <c r="S28" s="1"/>
      <c r="T28" s="1"/>
      <c r="U28" s="1"/>
      <c r="V28" s="1"/>
      <c r="W28" s="1"/>
      <c r="X28" s="1"/>
      <c r="Y28" s="1"/>
      <c r="Z28" s="1"/>
    </row>
    <row r="29" spans="1:26" ht="12.75" customHeight="1" x14ac:dyDescent="0.2">
      <c r="A29" s="1"/>
      <c r="B29" s="93"/>
      <c r="C29" s="94"/>
      <c r="D29" s="94"/>
      <c r="E29" s="95"/>
      <c r="F29" s="1"/>
      <c r="G29" s="1"/>
      <c r="H29" s="1"/>
      <c r="I29" s="1"/>
      <c r="J29" s="1"/>
      <c r="K29" s="1"/>
      <c r="L29" s="1"/>
      <c r="M29" s="1"/>
      <c r="N29" s="1"/>
      <c r="O29" s="1"/>
      <c r="P29" s="1"/>
      <c r="Q29" s="1"/>
      <c r="R29" s="1"/>
      <c r="S29" s="1"/>
      <c r="T29" s="1"/>
      <c r="U29" s="1"/>
      <c r="V29" s="1"/>
      <c r="W29" s="1"/>
      <c r="X29" s="1"/>
      <c r="Y29" s="1"/>
      <c r="Z29" s="1"/>
    </row>
    <row r="30" spans="1:26" ht="12.75" customHeight="1" x14ac:dyDescent="0.2">
      <c r="A30" s="1"/>
      <c r="B30" s="96" t="s">
        <v>18</v>
      </c>
      <c r="C30" s="94"/>
      <c r="D30" s="94"/>
      <c r="E30" s="95"/>
      <c r="F30" s="1"/>
      <c r="G30" s="1"/>
      <c r="H30" s="1"/>
      <c r="I30" s="1"/>
      <c r="J30" s="1"/>
      <c r="K30" s="1"/>
      <c r="L30" s="1"/>
      <c r="M30" s="1"/>
      <c r="N30" s="1"/>
      <c r="O30" s="1"/>
      <c r="P30" s="1"/>
      <c r="Q30" s="1"/>
      <c r="R30" s="1"/>
      <c r="S30" s="1"/>
      <c r="T30" s="1"/>
      <c r="U30" s="1"/>
      <c r="V30" s="1"/>
      <c r="W30" s="1"/>
      <c r="X30" s="1"/>
      <c r="Y30" s="1"/>
      <c r="Z30" s="1"/>
    </row>
    <row r="31" spans="1:26" ht="155.25" customHeight="1" x14ac:dyDescent="0.2">
      <c r="A31" s="1"/>
      <c r="B31" s="96"/>
      <c r="C31" s="115" t="s">
        <v>72</v>
      </c>
      <c r="D31" s="116"/>
      <c r="E31" s="116"/>
      <c r="F31" s="1"/>
      <c r="G31" s="1"/>
      <c r="H31" s="1"/>
      <c r="I31" s="1"/>
      <c r="J31" s="1"/>
      <c r="K31" s="1"/>
      <c r="L31" s="1"/>
      <c r="M31" s="1"/>
      <c r="N31" s="1"/>
      <c r="O31" s="1"/>
      <c r="P31" s="1"/>
      <c r="Q31" s="1"/>
      <c r="R31" s="1"/>
      <c r="S31" s="1"/>
      <c r="T31" s="1"/>
      <c r="U31" s="1"/>
      <c r="V31" s="1"/>
      <c r="W31" s="1"/>
      <c r="X31" s="1"/>
      <c r="Y31" s="1"/>
      <c r="Z31" s="1"/>
    </row>
    <row r="32" spans="1:26" ht="12.75" customHeight="1" x14ac:dyDescent="0.2">
      <c r="A32" s="1"/>
      <c r="B32" s="96" t="s">
        <v>54</v>
      </c>
      <c r="C32" s="97"/>
      <c r="D32" s="97"/>
      <c r="E32" s="98"/>
      <c r="F32" s="1"/>
      <c r="G32" s="1"/>
      <c r="H32" s="1"/>
      <c r="I32" s="1"/>
      <c r="J32" s="1"/>
      <c r="K32" s="1"/>
      <c r="L32" s="1"/>
      <c r="M32" s="1"/>
      <c r="N32" s="1"/>
      <c r="O32" s="1"/>
      <c r="P32" s="1"/>
      <c r="Q32" s="1"/>
      <c r="R32" s="1"/>
      <c r="S32" s="1"/>
      <c r="T32" s="1"/>
      <c r="U32" s="1"/>
      <c r="V32" s="1"/>
      <c r="W32" s="1"/>
      <c r="X32" s="1"/>
      <c r="Y32" s="1"/>
      <c r="Z32" s="1"/>
    </row>
    <row r="33" spans="1:26" ht="65.650000000000006" customHeight="1" x14ac:dyDescent="0.2">
      <c r="A33" s="1"/>
      <c r="B33" s="99"/>
      <c r="C33" s="117" t="s">
        <v>55</v>
      </c>
      <c r="D33" s="117"/>
      <c r="E33" s="117"/>
      <c r="F33" s="1"/>
      <c r="G33" s="1"/>
      <c r="H33" s="1"/>
      <c r="I33" s="1"/>
      <c r="J33" s="1"/>
      <c r="K33" s="1"/>
      <c r="L33" s="1"/>
      <c r="M33" s="1"/>
      <c r="N33" s="1"/>
      <c r="O33" s="1"/>
      <c r="P33" s="1"/>
      <c r="Q33" s="1"/>
      <c r="R33" s="1"/>
      <c r="S33" s="1"/>
      <c r="T33" s="1"/>
      <c r="U33" s="1"/>
      <c r="V33" s="1"/>
      <c r="W33" s="1"/>
      <c r="X33" s="1"/>
      <c r="Y33" s="1"/>
      <c r="Z33" s="1"/>
    </row>
    <row r="34" spans="1:26" ht="12.75" customHeight="1" x14ac:dyDescent="0.2">
      <c r="A34" s="1"/>
      <c r="B34" s="99"/>
      <c r="C34" s="118"/>
      <c r="D34" s="118"/>
      <c r="E34" s="118"/>
      <c r="F34" s="1"/>
      <c r="G34" s="1"/>
      <c r="H34" s="1"/>
      <c r="I34" s="1"/>
      <c r="J34" s="1"/>
      <c r="K34" s="1"/>
      <c r="L34" s="1"/>
      <c r="M34" s="1"/>
      <c r="N34" s="1"/>
      <c r="O34" s="1"/>
      <c r="P34" s="1"/>
      <c r="Q34" s="1"/>
      <c r="R34" s="1"/>
      <c r="S34" s="1"/>
      <c r="T34" s="1"/>
      <c r="U34" s="1"/>
      <c r="V34" s="1"/>
      <c r="W34" s="1"/>
      <c r="X34" s="1"/>
      <c r="Y34" s="1"/>
      <c r="Z34" s="1"/>
    </row>
    <row r="35" spans="1:26" ht="12.75" customHeight="1" x14ac:dyDescent="0.2">
      <c r="A35" s="1"/>
      <c r="B35" s="96" t="s">
        <v>56</v>
      </c>
      <c r="C35" s="97"/>
      <c r="D35" s="97"/>
      <c r="E35" s="98"/>
      <c r="F35" s="1"/>
      <c r="G35" s="1"/>
      <c r="H35" s="1"/>
      <c r="I35" s="1"/>
      <c r="J35" s="1"/>
      <c r="K35" s="1"/>
      <c r="L35" s="1"/>
      <c r="M35" s="1"/>
      <c r="N35" s="1"/>
      <c r="O35" s="1"/>
      <c r="P35" s="1"/>
      <c r="Q35" s="1"/>
      <c r="R35" s="1"/>
      <c r="S35" s="1"/>
      <c r="T35" s="1"/>
      <c r="U35" s="1"/>
      <c r="V35" s="1"/>
      <c r="W35" s="1"/>
      <c r="X35" s="1"/>
      <c r="Y35" s="1"/>
      <c r="Z35" s="1"/>
    </row>
    <row r="36" spans="1:26" ht="12.75" customHeight="1" x14ac:dyDescent="0.2">
      <c r="A36" s="1"/>
      <c r="B36" s="99"/>
      <c r="C36" s="119" t="s">
        <v>69</v>
      </c>
      <c r="D36" s="119"/>
      <c r="E36" s="119"/>
      <c r="F36" s="1"/>
      <c r="G36" s="1"/>
      <c r="H36" s="1"/>
      <c r="I36" s="1"/>
      <c r="J36" s="1"/>
      <c r="K36" s="1"/>
      <c r="L36" s="1"/>
      <c r="M36" s="1"/>
      <c r="N36" s="1"/>
      <c r="O36" s="1"/>
      <c r="P36" s="1"/>
      <c r="Q36" s="1"/>
      <c r="R36" s="1"/>
      <c r="S36" s="1"/>
      <c r="T36" s="1"/>
      <c r="U36" s="1"/>
      <c r="V36" s="1"/>
      <c r="W36" s="1"/>
      <c r="X36" s="1"/>
      <c r="Y36" s="1"/>
      <c r="Z36" s="1"/>
    </row>
    <row r="37" spans="1:26" ht="12.75" customHeight="1" x14ac:dyDescent="0.2">
      <c r="A37" s="1"/>
      <c r="B37" s="96" t="s">
        <v>57</v>
      </c>
      <c r="C37" s="100"/>
      <c r="D37" s="100"/>
      <c r="E37" s="101"/>
      <c r="F37" s="1"/>
      <c r="G37" s="1"/>
      <c r="H37" s="1"/>
      <c r="I37" s="1"/>
      <c r="J37" s="1"/>
      <c r="K37" s="1"/>
      <c r="L37" s="1"/>
      <c r="M37" s="1"/>
      <c r="N37" s="1"/>
      <c r="O37" s="1"/>
      <c r="P37" s="1"/>
      <c r="Q37" s="1"/>
      <c r="R37" s="1"/>
      <c r="S37" s="1"/>
      <c r="T37" s="1"/>
      <c r="U37" s="1"/>
      <c r="V37" s="1"/>
      <c r="W37" s="1"/>
      <c r="X37" s="1"/>
      <c r="Y37" s="1"/>
      <c r="Z37" s="1"/>
    </row>
    <row r="38" spans="1:26" ht="12.75" customHeight="1" x14ac:dyDescent="0.2">
      <c r="A38" s="1"/>
      <c r="B38" s="99"/>
      <c r="C38" s="120" t="s">
        <v>58</v>
      </c>
      <c r="D38" s="120"/>
      <c r="E38" s="120"/>
      <c r="F38" s="1"/>
      <c r="G38" s="1"/>
      <c r="H38" s="1"/>
      <c r="I38" s="1"/>
      <c r="J38" s="1"/>
      <c r="K38" s="1"/>
      <c r="L38" s="1"/>
      <c r="M38" s="1"/>
      <c r="N38" s="1"/>
      <c r="O38" s="1"/>
      <c r="P38" s="1"/>
      <c r="Q38" s="1"/>
      <c r="R38" s="1"/>
      <c r="S38" s="1"/>
      <c r="T38" s="1"/>
      <c r="U38" s="1"/>
      <c r="V38" s="1"/>
      <c r="W38" s="1"/>
      <c r="X38" s="1"/>
      <c r="Y38" s="1"/>
      <c r="Z38" s="1"/>
    </row>
    <row r="39" spans="1:26" ht="12.75" customHeight="1" x14ac:dyDescent="0.2">
      <c r="A39" s="1"/>
      <c r="B39" s="96" t="s">
        <v>76</v>
      </c>
      <c r="C39" s="97"/>
      <c r="D39" s="97"/>
      <c r="E39" s="98"/>
      <c r="F39" s="1"/>
      <c r="G39" s="1"/>
      <c r="H39" s="1"/>
      <c r="I39" s="1"/>
      <c r="J39" s="1"/>
      <c r="K39" s="1"/>
      <c r="L39" s="1"/>
      <c r="M39" s="1"/>
      <c r="N39" s="1"/>
      <c r="O39" s="1"/>
      <c r="P39" s="1"/>
      <c r="Q39" s="1"/>
      <c r="R39" s="1"/>
      <c r="S39" s="1"/>
      <c r="T39" s="1"/>
      <c r="U39" s="1"/>
      <c r="V39" s="1"/>
      <c r="W39" s="1"/>
      <c r="X39" s="1"/>
      <c r="Y39" s="1"/>
      <c r="Z39" s="1"/>
    </row>
    <row r="40" spans="1:26" ht="12.75" customHeight="1" x14ac:dyDescent="0.2">
      <c r="A40" s="1"/>
      <c r="B40" s="96"/>
      <c r="C40" s="121" t="s">
        <v>77</v>
      </c>
      <c r="D40" s="121"/>
      <c r="E40" s="121"/>
      <c r="F40" s="1"/>
      <c r="G40" s="1"/>
      <c r="H40" s="1"/>
      <c r="I40" s="1"/>
      <c r="J40" s="1"/>
      <c r="K40" s="1"/>
      <c r="L40" s="1"/>
      <c r="M40" s="1"/>
      <c r="N40" s="1"/>
      <c r="O40" s="1"/>
      <c r="P40" s="1"/>
      <c r="Q40" s="1"/>
      <c r="R40" s="1"/>
      <c r="S40" s="1"/>
      <c r="T40" s="1"/>
      <c r="U40" s="1"/>
      <c r="V40" s="1"/>
      <c r="W40" s="1"/>
      <c r="X40" s="1"/>
      <c r="Y40" s="1"/>
      <c r="Z40" s="1"/>
    </row>
    <row r="41" spans="1:26" ht="12.75" customHeight="1" thickBot="1" x14ac:dyDescent="0.25">
      <c r="A41" s="1"/>
      <c r="B41" s="102"/>
      <c r="C41" s="103"/>
      <c r="D41" s="103"/>
      <c r="E41" s="104"/>
      <c r="F41" s="1"/>
      <c r="G41" s="1"/>
      <c r="H41" s="1"/>
      <c r="I41" s="1"/>
      <c r="J41" s="1"/>
      <c r="K41" s="1"/>
      <c r="L41" s="1"/>
      <c r="M41" s="1"/>
      <c r="N41" s="1"/>
      <c r="O41" s="1"/>
      <c r="P41" s="1"/>
      <c r="Q41" s="1"/>
      <c r="R41" s="1"/>
      <c r="S41" s="1"/>
      <c r="T41" s="1"/>
      <c r="U41" s="1"/>
      <c r="V41" s="1"/>
      <c r="W41" s="1"/>
      <c r="X41" s="1"/>
      <c r="Y41" s="1"/>
      <c r="Z41" s="1"/>
    </row>
    <row r="42" spans="1:26" ht="12.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sheetData>
  <mergeCells count="19">
    <mergeCell ref="C40:E40"/>
    <mergeCell ref="C31:E31"/>
    <mergeCell ref="C33:E33"/>
    <mergeCell ref="C34:E34"/>
    <mergeCell ref="C36:E36"/>
    <mergeCell ref="C38:E38"/>
    <mergeCell ref="C21:E21"/>
    <mergeCell ref="C23:E23"/>
    <mergeCell ref="C25:E25"/>
    <mergeCell ref="C16:E16"/>
    <mergeCell ref="C18:E18"/>
    <mergeCell ref="C19:E19"/>
    <mergeCell ref="A6:B6"/>
    <mergeCell ref="A7:B7"/>
    <mergeCell ref="B2:H2"/>
    <mergeCell ref="A4:B4"/>
    <mergeCell ref="C4:E4"/>
    <mergeCell ref="A5:B5"/>
    <mergeCell ref="C5:E5"/>
  </mergeCells>
  <pageMargins left="0.70866141732283472" right="0.70866141732283472" top="0.74803149606299213" bottom="0.74803149606299213" header="0" footer="0"/>
  <pageSetup paperSize="5"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
  <sheetViews>
    <sheetView topLeftCell="A7" workbookViewId="0">
      <selection activeCell="I12" sqref="I12"/>
    </sheetView>
  </sheetViews>
  <sheetFormatPr baseColWidth="10" defaultColWidth="12.5703125" defaultRowHeight="15" customHeight="1" x14ac:dyDescent="0.2"/>
  <cols>
    <col min="1" max="1" width="4.5703125" customWidth="1"/>
    <col min="2" max="2" width="20.7109375" customWidth="1"/>
    <col min="3" max="3" width="53" customWidth="1"/>
    <col min="4" max="4" width="9.42578125" customWidth="1"/>
    <col min="5" max="5" width="11.28515625" customWidth="1"/>
    <col min="6" max="6" width="12.5703125" customWidth="1"/>
    <col min="7" max="7" width="14.28515625" customWidth="1"/>
    <col min="8" max="9" width="13.140625" customWidth="1"/>
    <col min="10" max="10" width="13.85546875" customWidth="1"/>
    <col min="11" max="11" width="14.5703125" customWidth="1"/>
    <col min="12" max="12" width="12.85546875" customWidth="1"/>
    <col min="13" max="26" width="11.42578125" customWidth="1"/>
  </cols>
  <sheetData>
    <row r="1" spans="1:26" ht="12.75" customHeight="1" x14ac:dyDescent="0.2">
      <c r="A1" s="128" t="s">
        <v>20</v>
      </c>
      <c r="B1" s="123"/>
      <c r="C1" s="123"/>
      <c r="D1" s="123"/>
      <c r="E1" s="123"/>
      <c r="F1" s="123"/>
      <c r="G1" s="177"/>
      <c r="H1" s="20"/>
      <c r="I1" s="20"/>
      <c r="J1" s="20"/>
      <c r="K1" s="20"/>
      <c r="L1" s="20"/>
      <c r="M1" s="20"/>
      <c r="N1" s="20"/>
      <c r="O1" s="20"/>
      <c r="P1" s="20"/>
      <c r="Q1" s="20"/>
      <c r="R1" s="20"/>
      <c r="S1" s="20"/>
      <c r="T1" s="20"/>
      <c r="U1" s="20"/>
      <c r="V1" s="20"/>
      <c r="W1" s="20"/>
      <c r="X1" s="20"/>
      <c r="Y1" s="20"/>
      <c r="Z1" s="20"/>
    </row>
    <row r="2" spans="1:26" ht="12.75" customHeight="1" thickBot="1" x14ac:dyDescent="0.25">
      <c r="A2" s="21"/>
      <c r="B2" s="22"/>
      <c r="C2" s="22"/>
      <c r="D2" s="22"/>
      <c r="E2" s="22"/>
      <c r="F2" s="22"/>
      <c r="G2" s="23"/>
      <c r="H2" s="20"/>
      <c r="I2" s="20"/>
      <c r="J2" s="20"/>
      <c r="K2" s="20"/>
      <c r="L2" s="20"/>
      <c r="M2" s="20"/>
      <c r="N2" s="20"/>
      <c r="O2" s="20"/>
      <c r="P2" s="20"/>
      <c r="Q2" s="20"/>
      <c r="R2" s="20"/>
      <c r="S2" s="20"/>
      <c r="T2" s="20"/>
      <c r="U2" s="20"/>
      <c r="V2" s="20"/>
      <c r="W2" s="20"/>
      <c r="X2" s="20"/>
      <c r="Y2" s="20"/>
      <c r="Z2" s="20"/>
    </row>
    <row r="3" spans="1:26" ht="12.75" customHeight="1" x14ac:dyDescent="0.2">
      <c r="A3" s="129" t="s">
        <v>21</v>
      </c>
      <c r="B3" s="130"/>
      <c r="C3" s="131" t="s">
        <v>22</v>
      </c>
      <c r="D3" s="132"/>
      <c r="E3" s="132"/>
      <c r="F3" s="132"/>
      <c r="G3" s="130"/>
      <c r="H3" s="20"/>
      <c r="I3" s="20"/>
      <c r="J3" s="20"/>
      <c r="K3" s="20"/>
      <c r="L3" s="20"/>
      <c r="M3" s="20"/>
      <c r="N3" s="20"/>
      <c r="O3" s="20"/>
      <c r="P3" s="20"/>
      <c r="Q3" s="20"/>
      <c r="R3" s="20"/>
      <c r="S3" s="20"/>
      <c r="T3" s="20"/>
      <c r="U3" s="20"/>
      <c r="V3" s="20"/>
      <c r="W3" s="20"/>
      <c r="X3" s="20"/>
      <c r="Y3" s="20"/>
      <c r="Z3" s="20"/>
    </row>
    <row r="4" spans="1:26" ht="12.75" customHeight="1" thickBot="1" x14ac:dyDescent="0.25">
      <c r="A4" s="129" t="s">
        <v>23</v>
      </c>
      <c r="B4" s="130"/>
      <c r="C4" s="133" t="s">
        <v>24</v>
      </c>
      <c r="D4" s="132"/>
      <c r="E4" s="132"/>
      <c r="F4" s="132"/>
      <c r="G4" s="130"/>
      <c r="H4" s="20"/>
      <c r="I4" s="20"/>
      <c r="J4" s="20"/>
      <c r="K4" s="20"/>
      <c r="L4" s="20"/>
      <c r="M4" s="20"/>
      <c r="N4" s="20"/>
      <c r="O4" s="20"/>
      <c r="P4" s="20"/>
      <c r="Q4" s="20"/>
      <c r="R4" s="20"/>
      <c r="S4" s="20"/>
      <c r="T4" s="20"/>
      <c r="U4" s="20"/>
      <c r="V4" s="20"/>
      <c r="W4" s="20"/>
      <c r="X4" s="20"/>
      <c r="Y4" s="20"/>
      <c r="Z4" s="20"/>
    </row>
    <row r="5" spans="1:26" ht="12.75" customHeight="1" thickBot="1" x14ac:dyDescent="0.25">
      <c r="A5" s="129" t="s">
        <v>25</v>
      </c>
      <c r="B5" s="130"/>
      <c r="C5" s="131" t="s">
        <v>22</v>
      </c>
      <c r="D5" s="132"/>
      <c r="E5" s="132"/>
      <c r="F5" s="132"/>
      <c r="G5" s="130"/>
      <c r="H5" s="20"/>
      <c r="I5" s="20"/>
      <c r="J5" s="20"/>
      <c r="K5" s="20"/>
      <c r="L5" s="20"/>
      <c r="M5" s="20"/>
      <c r="N5" s="20"/>
      <c r="O5" s="20"/>
      <c r="P5" s="20"/>
      <c r="Q5" s="20"/>
      <c r="R5" s="20"/>
      <c r="S5" s="20"/>
      <c r="T5" s="20"/>
      <c r="U5" s="20"/>
      <c r="V5" s="20"/>
      <c r="W5" s="20"/>
      <c r="X5" s="20"/>
      <c r="Y5" s="20"/>
      <c r="Z5" s="20"/>
    </row>
    <row r="6" spans="1:26" ht="12.75" customHeight="1" thickBot="1" x14ac:dyDescent="0.25">
      <c r="A6" s="129" t="s">
        <v>26</v>
      </c>
      <c r="B6" s="130"/>
      <c r="C6" s="131" t="s">
        <v>22</v>
      </c>
      <c r="D6" s="132"/>
      <c r="E6" s="132"/>
      <c r="F6" s="132"/>
      <c r="G6" s="130"/>
      <c r="H6" s="20"/>
      <c r="I6" s="20"/>
      <c r="J6" s="20"/>
      <c r="K6" s="20"/>
      <c r="L6" s="20"/>
      <c r="M6" s="20"/>
      <c r="N6" s="20"/>
      <c r="O6" s="20"/>
      <c r="P6" s="20"/>
      <c r="Q6" s="20"/>
      <c r="R6" s="20"/>
      <c r="S6" s="20"/>
      <c r="T6" s="20"/>
      <c r="U6" s="20"/>
      <c r="V6" s="20"/>
      <c r="W6" s="20"/>
      <c r="X6" s="20"/>
      <c r="Y6" s="20"/>
      <c r="Z6" s="20"/>
    </row>
    <row r="7" spans="1:26" ht="12.75" customHeight="1" thickBot="1" x14ac:dyDescent="0.25">
      <c r="A7" s="129" t="s">
        <v>27</v>
      </c>
      <c r="B7" s="130"/>
      <c r="C7" s="131" t="s">
        <v>59</v>
      </c>
      <c r="D7" s="134"/>
      <c r="E7" s="134"/>
      <c r="F7" s="134"/>
      <c r="G7" s="135"/>
      <c r="H7" s="20"/>
      <c r="I7" s="20"/>
      <c r="J7" s="178"/>
      <c r="K7" s="20"/>
      <c r="L7" s="20"/>
      <c r="M7" s="20"/>
      <c r="N7" s="20"/>
      <c r="O7" s="20"/>
      <c r="P7" s="20"/>
      <c r="Q7" s="20"/>
      <c r="R7" s="20"/>
      <c r="S7" s="20"/>
      <c r="T7" s="20"/>
      <c r="U7" s="20"/>
      <c r="V7" s="20"/>
      <c r="W7" s="20"/>
      <c r="X7" s="20"/>
      <c r="Y7" s="20"/>
      <c r="Z7" s="20"/>
    </row>
    <row r="8" spans="1:26" ht="30.75" customHeight="1" x14ac:dyDescent="0.2">
      <c r="A8" s="129" t="s">
        <v>28</v>
      </c>
      <c r="B8" s="130"/>
      <c r="C8" s="131" t="s">
        <v>61</v>
      </c>
      <c r="D8" s="132"/>
      <c r="E8" s="132"/>
      <c r="F8" s="132"/>
      <c r="G8" s="130"/>
      <c r="H8" s="20"/>
      <c r="I8" s="20"/>
      <c r="J8" s="20"/>
      <c r="K8" s="20"/>
      <c r="L8" s="20"/>
      <c r="M8" s="20"/>
      <c r="N8" s="20"/>
      <c r="O8" s="20"/>
      <c r="P8" s="20"/>
      <c r="Q8" s="20"/>
      <c r="R8" s="20"/>
      <c r="S8" s="20"/>
      <c r="T8" s="20"/>
      <c r="U8" s="20"/>
      <c r="V8" s="20"/>
      <c r="W8" s="20"/>
      <c r="X8" s="20"/>
      <c r="Y8" s="20"/>
      <c r="Z8" s="20"/>
    </row>
    <row r="9" spans="1:26" ht="12.75" customHeight="1" x14ac:dyDescent="0.2">
      <c r="A9" s="122"/>
      <c r="B9" s="123"/>
      <c r="C9" s="123"/>
      <c r="D9" s="123"/>
      <c r="E9" s="123"/>
      <c r="F9" s="123"/>
      <c r="G9" s="124"/>
      <c r="H9" s="20"/>
      <c r="I9" s="20"/>
      <c r="J9" s="20"/>
      <c r="K9" s="20"/>
      <c r="L9" s="20"/>
      <c r="M9" s="20"/>
      <c r="N9" s="20"/>
      <c r="O9" s="20"/>
      <c r="P9" s="20"/>
      <c r="Q9" s="20"/>
      <c r="R9" s="20"/>
      <c r="S9" s="20"/>
      <c r="T9" s="20"/>
      <c r="U9" s="20"/>
      <c r="V9" s="20"/>
      <c r="W9" s="20"/>
      <c r="X9" s="20"/>
      <c r="Y9" s="20"/>
      <c r="Z9" s="20"/>
    </row>
    <row r="10" spans="1:26" ht="45" customHeight="1" thickBot="1" x14ac:dyDescent="0.25">
      <c r="A10" s="24" t="s">
        <v>7</v>
      </c>
      <c r="B10" s="25" t="s">
        <v>8</v>
      </c>
      <c r="C10" s="25" t="s">
        <v>11</v>
      </c>
      <c r="D10" s="26" t="s">
        <v>29</v>
      </c>
      <c r="E10" s="25" t="s">
        <v>12</v>
      </c>
      <c r="F10" s="25" t="s">
        <v>14</v>
      </c>
      <c r="G10" s="27" t="s">
        <v>13</v>
      </c>
      <c r="H10" s="20"/>
      <c r="I10" s="20"/>
      <c r="J10" s="20"/>
      <c r="K10" s="20"/>
      <c r="L10" s="20"/>
      <c r="M10" s="20"/>
      <c r="N10" s="20"/>
      <c r="O10" s="20"/>
      <c r="P10" s="20"/>
      <c r="Q10" s="20"/>
      <c r="R10" s="20"/>
      <c r="S10" s="20"/>
      <c r="T10" s="20"/>
      <c r="U10" s="20"/>
      <c r="V10" s="20"/>
      <c r="W10" s="20"/>
      <c r="X10" s="20"/>
      <c r="Y10" s="20"/>
      <c r="Z10" s="20"/>
    </row>
    <row r="11" spans="1:26" s="76" customFormat="1" ht="45" customHeight="1" thickBot="1" x14ac:dyDescent="0.3">
      <c r="A11" s="35">
        <v>1</v>
      </c>
      <c r="B11" s="37" t="s">
        <v>62</v>
      </c>
      <c r="C11" s="38" t="s">
        <v>63</v>
      </c>
      <c r="D11" s="28" t="s">
        <v>30</v>
      </c>
      <c r="E11" s="29" t="s">
        <v>16</v>
      </c>
      <c r="F11" s="30">
        <v>17500</v>
      </c>
      <c r="G11" s="31">
        <v>70</v>
      </c>
      <c r="H11" s="32">
        <f t="shared" ref="H11:H13" si="0">F11*G11</f>
        <v>1225000</v>
      </c>
      <c r="I11" s="20"/>
      <c r="J11" s="20"/>
      <c r="K11" s="20"/>
      <c r="L11" s="20"/>
      <c r="M11" s="20"/>
      <c r="N11" s="20"/>
      <c r="O11" s="20"/>
      <c r="P11" s="20"/>
      <c r="Q11" s="20"/>
      <c r="R11" s="20"/>
      <c r="S11" s="20"/>
      <c r="T11" s="20"/>
      <c r="U11" s="20"/>
      <c r="V11" s="20"/>
      <c r="W11" s="20"/>
      <c r="X11" s="20"/>
      <c r="Y11" s="20"/>
      <c r="Z11" s="20"/>
    </row>
    <row r="12" spans="1:26" s="76" customFormat="1" ht="87.6" customHeight="1" x14ac:dyDescent="0.25">
      <c r="A12" s="35">
        <v>2</v>
      </c>
      <c r="B12" s="77" t="s">
        <v>65</v>
      </c>
      <c r="C12" s="78" t="s">
        <v>64</v>
      </c>
      <c r="D12" s="28" t="s">
        <v>30</v>
      </c>
      <c r="E12" s="29" t="s">
        <v>16</v>
      </c>
      <c r="F12" s="30">
        <v>40000</v>
      </c>
      <c r="G12" s="31">
        <v>20</v>
      </c>
      <c r="H12" s="32">
        <f t="shared" si="0"/>
        <v>800000</v>
      </c>
      <c r="I12" s="20"/>
      <c r="J12" s="20"/>
      <c r="K12" s="20"/>
      <c r="L12" s="20"/>
      <c r="M12" s="20"/>
      <c r="N12" s="20"/>
      <c r="O12" s="20"/>
      <c r="P12" s="20"/>
      <c r="Q12" s="20"/>
      <c r="R12" s="20"/>
      <c r="S12" s="20"/>
      <c r="T12" s="20"/>
      <c r="U12" s="20"/>
      <c r="V12" s="20"/>
      <c r="W12" s="20"/>
      <c r="X12" s="20"/>
      <c r="Y12" s="20"/>
      <c r="Z12" s="20"/>
    </row>
    <row r="13" spans="1:26" ht="12.75" customHeight="1" x14ac:dyDescent="0.25">
      <c r="A13" s="125" t="s">
        <v>66</v>
      </c>
      <c r="B13" s="126"/>
      <c r="C13" s="126"/>
      <c r="D13" s="126"/>
      <c r="E13" s="126"/>
      <c r="F13" s="127"/>
      <c r="G13" s="39">
        <f>SUM(H11:H12)</f>
        <v>2025000</v>
      </c>
      <c r="H13" s="32">
        <f t="shared" si="0"/>
        <v>0</v>
      </c>
      <c r="I13" s="33"/>
      <c r="J13" s="34"/>
      <c r="K13" s="40"/>
      <c r="L13" s="41"/>
      <c r="M13" s="33"/>
      <c r="N13" s="33"/>
      <c r="O13" s="20"/>
      <c r="P13" s="20"/>
      <c r="Q13" s="20"/>
      <c r="R13" s="20"/>
      <c r="S13" s="20"/>
      <c r="T13" s="20"/>
      <c r="U13" s="20"/>
      <c r="V13" s="20"/>
      <c r="W13" s="20"/>
      <c r="X13" s="20"/>
      <c r="Y13" s="20"/>
      <c r="Z13" s="20"/>
    </row>
    <row r="14" spans="1:26" ht="12.75" customHeight="1" x14ac:dyDescent="0.2">
      <c r="A14" s="20"/>
      <c r="B14" s="20"/>
      <c r="C14" s="20"/>
      <c r="D14" s="20"/>
      <c r="E14" s="20"/>
      <c r="F14" s="20"/>
      <c r="G14" s="20"/>
      <c r="H14" s="33"/>
      <c r="I14" s="33"/>
      <c r="J14" s="33"/>
      <c r="K14" s="33"/>
      <c r="L14" s="33"/>
      <c r="M14" s="33"/>
      <c r="N14" s="33"/>
      <c r="O14" s="20"/>
      <c r="P14" s="20"/>
      <c r="Q14" s="20"/>
      <c r="R14" s="20"/>
      <c r="S14" s="20"/>
      <c r="T14" s="20"/>
      <c r="U14" s="20"/>
      <c r="V14" s="20"/>
      <c r="W14" s="20"/>
      <c r="X14" s="20"/>
      <c r="Y14" s="20"/>
      <c r="Z14" s="20"/>
    </row>
    <row r="15" spans="1:26" ht="12.75" customHeight="1" x14ac:dyDescent="0.2">
      <c r="A15" s="20"/>
      <c r="B15" s="20"/>
      <c r="C15" s="20"/>
      <c r="D15" s="20"/>
      <c r="E15" s="20"/>
      <c r="F15" s="20"/>
      <c r="G15" s="20"/>
      <c r="H15" s="34" t="e">
        <f>#REF!+#REF!+#REF!</f>
        <v>#REF!</v>
      </c>
      <c r="I15" s="36" t="e">
        <f>#REF!+#REF!</f>
        <v>#REF!</v>
      </c>
      <c r="J15" s="33"/>
      <c r="K15" s="33"/>
      <c r="L15" s="34" t="e">
        <f>#REF!+#REF!</f>
        <v>#REF!</v>
      </c>
      <c r="M15" s="33"/>
      <c r="N15" s="33"/>
      <c r="O15" s="20"/>
      <c r="P15" s="20"/>
      <c r="Q15" s="20"/>
      <c r="R15" s="20"/>
      <c r="S15" s="20"/>
      <c r="T15" s="20"/>
      <c r="U15" s="20"/>
      <c r="V15" s="20"/>
      <c r="W15" s="20"/>
      <c r="X15" s="20"/>
      <c r="Y15" s="20"/>
      <c r="Z15" s="20"/>
    </row>
    <row r="16" spans="1:26" ht="12.75" customHeight="1" x14ac:dyDescent="0.2">
      <c r="A16" s="20"/>
      <c r="B16" s="20"/>
      <c r="C16" s="42"/>
      <c r="D16" s="20"/>
      <c r="E16" s="20"/>
      <c r="F16" s="20"/>
      <c r="G16" s="20"/>
      <c r="H16" s="33"/>
      <c r="I16" s="33"/>
      <c r="J16" s="33"/>
      <c r="K16" s="33"/>
      <c r="L16" s="33"/>
      <c r="M16" s="33"/>
      <c r="N16" s="33"/>
      <c r="O16" s="20"/>
      <c r="P16" s="20"/>
      <c r="Q16" s="20"/>
      <c r="R16" s="20"/>
      <c r="S16" s="20"/>
      <c r="T16" s="20"/>
      <c r="U16" s="20"/>
      <c r="V16" s="20"/>
      <c r="W16" s="20"/>
      <c r="X16" s="20"/>
      <c r="Y16" s="20"/>
      <c r="Z16" s="20"/>
    </row>
    <row r="17" spans="1:26" ht="12.75" customHeight="1" x14ac:dyDescent="0.2">
      <c r="A17" s="20"/>
      <c r="B17" s="20"/>
      <c r="C17" s="42"/>
      <c r="D17" s="20"/>
      <c r="E17" s="20"/>
      <c r="F17" s="20"/>
      <c r="G17" s="20"/>
      <c r="H17" s="33"/>
      <c r="I17" s="33"/>
      <c r="J17" s="33"/>
      <c r="K17" s="33"/>
      <c r="L17" s="33"/>
      <c r="M17" s="33"/>
      <c r="N17" s="33"/>
      <c r="O17" s="20"/>
      <c r="P17" s="20"/>
      <c r="Q17" s="20"/>
      <c r="R17" s="20"/>
      <c r="S17" s="20"/>
      <c r="T17" s="20"/>
      <c r="U17" s="20"/>
      <c r="V17" s="20"/>
      <c r="W17" s="20"/>
      <c r="X17" s="20"/>
      <c r="Y17" s="20"/>
      <c r="Z17" s="20"/>
    </row>
    <row r="18" spans="1:26" ht="12.75" customHeight="1" x14ac:dyDescent="0.2">
      <c r="A18" s="20"/>
      <c r="B18" s="20"/>
      <c r="C18" s="42"/>
      <c r="D18" s="20"/>
      <c r="E18" s="20"/>
      <c r="F18" s="20"/>
      <c r="G18" s="20"/>
      <c r="H18" s="20"/>
      <c r="I18" s="20"/>
      <c r="J18" s="20"/>
      <c r="K18" s="20"/>
      <c r="L18" s="20"/>
      <c r="M18" s="20"/>
      <c r="N18" s="20"/>
      <c r="O18" s="20"/>
      <c r="P18" s="20"/>
      <c r="Q18" s="20"/>
      <c r="R18" s="20"/>
      <c r="S18" s="20"/>
      <c r="T18" s="20"/>
      <c r="U18" s="20"/>
      <c r="V18" s="20"/>
      <c r="W18" s="20"/>
      <c r="X18" s="20"/>
      <c r="Y18" s="20"/>
      <c r="Z18" s="20"/>
    </row>
    <row r="19" spans="1:26" ht="12.75" customHeight="1" x14ac:dyDescent="0.2">
      <c r="A19" s="20"/>
      <c r="B19" s="20"/>
      <c r="C19" s="42"/>
      <c r="D19" s="20"/>
      <c r="E19" s="20"/>
      <c r="F19" s="20"/>
      <c r="G19" s="20"/>
      <c r="H19" s="20"/>
      <c r="I19" s="20"/>
      <c r="J19" s="20"/>
      <c r="K19" s="20"/>
      <c r="L19" s="20"/>
      <c r="M19" s="20"/>
      <c r="N19" s="20"/>
      <c r="O19" s="20"/>
      <c r="P19" s="20"/>
      <c r="Q19" s="20"/>
      <c r="R19" s="20"/>
      <c r="S19" s="20"/>
      <c r="T19" s="20"/>
      <c r="U19" s="20"/>
      <c r="V19" s="20"/>
      <c r="W19" s="20"/>
      <c r="X19" s="20"/>
      <c r="Y19" s="20"/>
      <c r="Z19" s="20"/>
    </row>
    <row r="20" spans="1:26" ht="12.75" customHeight="1" x14ac:dyDescent="0.2">
      <c r="A20" s="20"/>
      <c r="B20" s="20"/>
      <c r="C20" s="42"/>
      <c r="D20" s="20"/>
      <c r="E20" s="20"/>
      <c r="F20" s="20"/>
      <c r="G20" s="20"/>
      <c r="H20" s="20"/>
      <c r="I20" s="20"/>
      <c r="J20" s="20"/>
      <c r="K20" s="20"/>
      <c r="L20" s="20"/>
      <c r="M20" s="20"/>
      <c r="N20" s="20"/>
      <c r="O20" s="20"/>
      <c r="P20" s="20"/>
      <c r="Q20" s="20"/>
      <c r="R20" s="20"/>
      <c r="S20" s="20"/>
      <c r="T20" s="20"/>
      <c r="U20" s="20"/>
      <c r="V20" s="20"/>
      <c r="W20" s="20"/>
      <c r="X20" s="20"/>
      <c r="Y20" s="20"/>
      <c r="Z20" s="20"/>
    </row>
    <row r="21" spans="1:26" ht="12.75" customHeight="1" x14ac:dyDescent="0.2">
      <c r="A21" s="20"/>
      <c r="B21" s="20"/>
      <c r="C21" s="43"/>
      <c r="D21" s="20"/>
      <c r="E21" s="20"/>
      <c r="F21" s="20"/>
      <c r="G21" s="20"/>
      <c r="H21" s="20"/>
      <c r="I21" s="20"/>
      <c r="J21" s="20"/>
      <c r="K21" s="20"/>
      <c r="L21" s="20"/>
      <c r="M21" s="20"/>
      <c r="N21" s="20"/>
      <c r="O21" s="20"/>
      <c r="P21" s="20"/>
      <c r="Q21" s="20"/>
      <c r="R21" s="20"/>
      <c r="S21" s="20"/>
      <c r="T21" s="20"/>
      <c r="U21" s="20"/>
      <c r="V21" s="20"/>
      <c r="W21" s="20"/>
      <c r="X21" s="20"/>
      <c r="Y21" s="20"/>
      <c r="Z21" s="20"/>
    </row>
    <row r="22" spans="1:26" ht="12.75" customHeight="1" x14ac:dyDescent="0.2">
      <c r="A22" s="20"/>
      <c r="B22" s="20"/>
      <c r="C22" s="43"/>
      <c r="D22" s="20"/>
      <c r="E22" s="20"/>
      <c r="F22" s="20"/>
      <c r="G22" s="20"/>
      <c r="H22" s="20"/>
      <c r="I22" s="20"/>
      <c r="J22" s="20"/>
      <c r="K22" s="20"/>
      <c r="L22" s="20"/>
      <c r="M22" s="20"/>
      <c r="N22" s="20"/>
      <c r="O22" s="20"/>
      <c r="P22" s="20"/>
      <c r="Q22" s="20"/>
      <c r="R22" s="20"/>
      <c r="S22" s="20"/>
      <c r="T22" s="20"/>
      <c r="U22" s="20"/>
      <c r="V22" s="20"/>
      <c r="W22" s="20"/>
      <c r="X22" s="20"/>
      <c r="Y22" s="20"/>
      <c r="Z22" s="20"/>
    </row>
    <row r="23" spans="1:26" ht="12.75" customHeight="1" x14ac:dyDescent="0.2">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spans="1:26" ht="12.75" customHeight="1" x14ac:dyDescent="0.2">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spans="1:26" ht="12.75" customHeight="1" x14ac:dyDescent="0.2">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spans="1:26" ht="12.7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5.7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5.7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5.7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5.7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5.7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5.7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5.7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5.7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5.7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5.7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5.7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5.7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5.7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5.7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5.7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5.7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5.7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5.7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5.7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5.7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5.7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5.7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5.7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5.7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5.7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5.7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5.7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5.7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5.7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5.7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5.7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5.7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5.7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5.7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5.7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5.7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5.7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5.7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5.7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5.7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5.7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5.7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5.7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5.7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5.7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5.7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5.7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5.7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5.7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5.7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5.7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5.7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5.7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5.7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5.7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5.7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5.7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5.7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5.7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5.7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5.7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5.7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5.7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5.7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5.7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5.7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5.7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5.7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5.7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5.7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5.7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5.7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5.7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5.7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5.7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5.7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5.7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5.7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5.7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5.7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5.7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5.7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5.7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5.7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5.7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5.7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5.7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5.7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5.7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5.7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5.7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5.7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5.7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5.7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5.7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5.7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5.7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5.7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5.7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5.7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5.7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5.7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5.7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5.7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5.7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5.7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5.7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5.7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5.7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5.7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5.7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5.7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5.7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5.7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5.7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5.7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5.7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5.7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5.7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5.7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5.7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5.7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5.7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5.7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5.7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5.7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5.7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5.7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5.7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5.7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5.7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5.7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5.7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5.7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5.7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5.7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5.7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5.7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5.7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5.7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5.7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5.7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5.7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5.7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5.7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5.7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5.7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5.7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5.7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5.7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5.7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5.7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5.7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5.7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5.7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5.7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5.7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5.7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5.7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5.7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5.7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5.7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5.7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5.7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5.7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5.7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5.7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5.7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5.7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5.7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5.7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5.7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5.7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5.7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5.7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5.7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5.7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5.7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5.7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5.7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5.7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5.7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5.7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5.7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5.7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5.7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5.7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5.7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5.7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5.7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5.7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5.7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5.7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5.7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5.7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5.7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5.7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5.7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5.7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5.7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5.7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5.7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5.7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5.7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5.7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5.7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5.7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5.7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5.7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5.7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5.7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5.7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5.7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5.7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5.7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5.7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5.7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5.7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5.7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5.7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5.7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5.7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5.7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5.7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5.7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5.7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5.7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5.7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5.7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5.7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5.7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5.7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5.7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5.7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5.7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5.7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5.7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5.7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5.7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5.7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5.7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5.7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5.7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5.7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5.7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5.7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5.7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5.7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5.7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5.7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5.7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5.7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5.7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5.7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5.7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5.7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5.7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5.7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5.7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5.7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5.7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5.7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5.7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5.7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5.7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5.7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5.7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5.7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5.7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5.7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5.7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5.7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5.7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5.7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5.7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5.7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5.7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5.7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5.7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5.7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5.7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5.7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5.7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5.7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5.7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5.7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5.7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5.7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5.7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5.7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5.7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5.7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5.7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5.7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5.7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5.7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5.7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5.7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5.7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5.7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5.7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5.7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5.7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5.7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5.7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5.7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5.7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5.7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5.7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5.7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5.7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5.7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5.7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5.7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5.7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5.7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5.7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5.7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5.7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5.7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5.7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5.7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5.7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5.7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5.7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5.7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5.7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5.7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5.7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5.7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5.7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5.7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5.7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5.7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5.7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5.7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5.7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5.7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5.7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5.7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5.7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5.7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5.7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5.7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5.7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5.7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5.7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5.7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5.7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5.7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5.7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5.7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5.7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5.7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5.7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5.7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5.7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5.7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5.7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5.7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5.7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5.7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5.7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5.7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5.7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5.7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5.7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5.7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5.7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5.7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5.7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5.7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5.7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5.7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5.7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5.7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5.7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5.7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5.7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5.7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5.7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5.7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5.7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5.7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5.7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5.7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5.7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5.7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5.7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5.7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5.7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5.7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5.7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5.7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5.7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5.7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5.7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5.7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5.7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5.7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5.7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5.7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5.7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5.7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5.7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5.7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5.7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5.7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5.7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5.7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5.7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5.7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5.7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5.7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5.7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5.7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5.7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5.7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5.7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5.7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5.7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5.7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5.7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5.7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5.7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5.7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5.7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5.7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5.7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5.7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5.7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5.7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5.7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5.7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5.7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5.7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5.7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5.7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5.7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5.7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5.7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5.7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5.7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5.7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5.7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5.7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5.7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5.7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5.7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5.7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5.7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5.7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5.7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5.7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5.7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5.7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5.7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5.7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5.7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5.7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5.7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5.7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5.7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5.7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5.7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5.7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5.7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5.7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5.7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5.7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5.7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5.7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5.7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5.7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5.7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5.7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5.7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5.7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5.7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5.7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5.7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5.7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5.7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5.7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5.7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5.7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5.7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5.7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5.7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5.7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5.7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5.7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5.7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5.7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5.7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5.7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5.7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5.7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5.7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5.7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5.7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5.7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5.7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5.7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5.7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5.7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5.7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5.7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5.7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5.7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5.7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5.7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5.7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5.7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5.7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5.7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5.7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5.7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5.7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5.7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5.7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5.7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5.7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5.7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5.7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5.7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5.7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5.7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5.7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5.7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5.7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5.7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5.7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5.7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5.7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5.7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5.7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5.7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5.7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5.7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5.7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5.7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5.7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5.7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5.7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5.7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5.7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5.7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5.7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5.7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5.7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5.7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5.7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5.7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5.7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5.7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5.7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5.7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5.7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5.7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5.7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5.7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5.7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5.7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5.7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5.7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5.7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5.7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5.7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5.7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5.7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5.7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5.7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5.7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5.7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5.7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5.7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5.7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5.7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5.7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5.7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5.7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5.7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5.7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5.7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5.7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5.7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5.7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5.7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5.7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5.7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5.7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5.7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5.7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5.7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5.7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5.7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5.7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5.7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5.7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5.7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5.7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5.7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5.7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5.7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5.7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5.7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5.7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5.7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5.7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5.7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5.7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5.7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5.7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5.7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5.7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5.7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5.7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5.7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5.7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5.7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5.7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5.7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5.7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5.7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5.7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5.7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5.7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5.7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5.7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5.7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5.7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5.7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5.7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5.7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5.7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5.7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5.7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5.7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5.7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5.7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5.7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5.7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5.7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5.7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5.7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5.7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5.7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5.7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5.7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5.7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5.7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5.7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5.7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5.7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5.7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5.7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5.7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5.7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5.7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5.7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5.7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5.7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5.7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5.7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5.7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5.7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5.7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5.7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5.7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5.7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5.7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5.7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5.7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5.7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5.7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5.7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5.7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5.7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5.7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5.7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5.7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5.7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5.7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5.7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5.7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5.7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5.7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5.7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5.7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5.7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5.7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5.7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5.7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5.7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5.7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5.7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5.7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5.7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5.7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5.7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5.7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5.7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5.7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5.7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5.7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5.7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5.7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5.7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5.7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5.7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5.7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5.7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5.7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5.7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5.7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5.7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5.7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5.7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5.7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5.7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5.7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5.7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5.7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5.7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5.7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5.7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5.7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5.7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5.7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5.7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5.7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5.7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5.7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5.7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5.7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5.7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5.7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5.7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5.7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5.7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5.7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5.7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5.7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5.7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5.7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5.7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5.7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5.7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5.7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5.7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5.7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5.7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5.7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5.7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5.7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5.7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5.7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5.7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5.7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5.7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5.7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5.7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5.7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5.7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5.7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5.7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5.7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5.7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5.7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5.7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5.7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5.7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5.7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5.7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5.7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5.75" customHeight="1" x14ac:dyDescent="0.25">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5.75" customHeight="1" x14ac:dyDescent="0.25">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5.75" customHeight="1" x14ac:dyDescent="0.25">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sheetData>
  <mergeCells count="15">
    <mergeCell ref="A9:G9"/>
    <mergeCell ref="A13:F13"/>
    <mergeCell ref="A1:F1"/>
    <mergeCell ref="A3:B3"/>
    <mergeCell ref="C3:G3"/>
    <mergeCell ref="A4:B4"/>
    <mergeCell ref="C4:G4"/>
    <mergeCell ref="A5:B5"/>
    <mergeCell ref="C5:G5"/>
    <mergeCell ref="A6:B6"/>
    <mergeCell ref="C6:G6"/>
    <mergeCell ref="A7:B7"/>
    <mergeCell ref="C7:G7"/>
    <mergeCell ref="A8:B8"/>
    <mergeCell ref="C8:G8"/>
  </mergeCells>
  <pageMargins left="0.7" right="0.7" top="0.75" bottom="0.75" header="0" footer="0"/>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0" workbookViewId="0">
      <selection activeCell="A8" sqref="A8:Q8"/>
    </sheetView>
  </sheetViews>
  <sheetFormatPr baseColWidth="10" defaultColWidth="12.5703125" defaultRowHeight="15" customHeight="1" x14ac:dyDescent="0.2"/>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 min="18" max="26" width="11.42578125" customWidth="1"/>
  </cols>
  <sheetData>
    <row r="1" spans="1:26" ht="12.75" customHeight="1" x14ac:dyDescent="0.25">
      <c r="A1" s="136" t="s">
        <v>5</v>
      </c>
      <c r="B1" s="132"/>
      <c r="C1" s="132"/>
      <c r="D1" s="137">
        <v>2022</v>
      </c>
      <c r="E1" s="130"/>
      <c r="F1" s="45"/>
      <c r="G1" s="45"/>
      <c r="H1" s="46"/>
      <c r="I1" s="46"/>
      <c r="J1" s="46"/>
      <c r="K1" s="46"/>
      <c r="L1" s="46"/>
      <c r="M1" s="46"/>
      <c r="N1" s="46"/>
      <c r="O1" s="47"/>
      <c r="P1" s="138" t="s">
        <v>31</v>
      </c>
      <c r="Q1" s="124"/>
      <c r="R1" s="20"/>
      <c r="S1" s="20"/>
      <c r="T1" s="20"/>
      <c r="U1" s="20"/>
      <c r="V1" s="20"/>
      <c r="W1" s="20"/>
      <c r="X1" s="20"/>
      <c r="Y1" s="20"/>
      <c r="Z1" s="20"/>
    </row>
    <row r="2" spans="1:26" ht="13.9" customHeight="1" x14ac:dyDescent="0.25">
      <c r="A2" s="48"/>
      <c r="B2" s="49"/>
      <c r="C2" s="49"/>
      <c r="D2" s="49"/>
      <c r="E2" s="49"/>
      <c r="F2" s="49"/>
      <c r="G2" s="50"/>
      <c r="H2" s="51"/>
      <c r="I2" s="51"/>
      <c r="J2" s="51"/>
      <c r="K2" s="51"/>
      <c r="L2" s="51"/>
      <c r="M2" s="51"/>
      <c r="N2" s="51"/>
      <c r="O2" s="49"/>
      <c r="P2" s="139"/>
      <c r="Q2" s="140"/>
      <c r="R2" s="20"/>
      <c r="S2" s="20"/>
      <c r="T2" s="20"/>
      <c r="U2" s="20"/>
      <c r="V2" s="20"/>
      <c r="W2" s="20"/>
      <c r="X2" s="20"/>
      <c r="Y2" s="20"/>
      <c r="Z2" s="20"/>
    </row>
    <row r="3" spans="1:26" ht="12.75" customHeight="1" x14ac:dyDescent="0.25">
      <c r="A3" s="48"/>
      <c r="B3" s="49"/>
      <c r="C3" s="49"/>
      <c r="D3" s="49"/>
      <c r="E3" s="49"/>
      <c r="F3" s="49"/>
      <c r="G3" s="50"/>
      <c r="H3" s="49"/>
      <c r="I3" s="49"/>
      <c r="J3" s="49"/>
      <c r="K3" s="49"/>
      <c r="L3" s="49"/>
      <c r="M3" s="49"/>
      <c r="N3" s="49"/>
      <c r="O3" s="49"/>
      <c r="P3" s="49"/>
      <c r="Q3" s="52"/>
      <c r="R3" s="20"/>
      <c r="S3" s="20"/>
      <c r="T3" s="20"/>
      <c r="U3" s="20"/>
      <c r="V3" s="20"/>
      <c r="W3" s="20"/>
      <c r="X3" s="20"/>
      <c r="Y3" s="20"/>
      <c r="Z3" s="20"/>
    </row>
    <row r="4" spans="1:26" ht="12.75" customHeight="1" x14ac:dyDescent="0.25">
      <c r="A4" s="141" t="s">
        <v>32</v>
      </c>
      <c r="B4" s="142"/>
      <c r="C4" s="142"/>
      <c r="D4" s="142"/>
      <c r="E4" s="142"/>
      <c r="F4" s="143"/>
      <c r="G4" s="144" t="s">
        <v>22</v>
      </c>
      <c r="H4" s="142"/>
      <c r="I4" s="142"/>
      <c r="J4" s="142"/>
      <c r="K4" s="142"/>
      <c r="L4" s="142"/>
      <c r="M4" s="142"/>
      <c r="N4" s="142"/>
      <c r="O4" s="142"/>
      <c r="P4" s="142"/>
      <c r="Q4" s="145"/>
      <c r="R4" s="20"/>
      <c r="S4" s="20"/>
      <c r="T4" s="20"/>
      <c r="U4" s="20"/>
      <c r="V4" s="20"/>
      <c r="W4" s="20"/>
      <c r="X4" s="20"/>
      <c r="Y4" s="20"/>
      <c r="Z4" s="20"/>
    </row>
    <row r="5" spans="1:26" ht="12.75" customHeight="1" x14ac:dyDescent="0.25">
      <c r="A5" s="146" t="s">
        <v>23</v>
      </c>
      <c r="B5" s="142"/>
      <c r="C5" s="142"/>
      <c r="D5" s="142"/>
      <c r="E5" s="142"/>
      <c r="F5" s="143"/>
      <c r="G5" s="144" t="s">
        <v>24</v>
      </c>
      <c r="H5" s="142"/>
      <c r="I5" s="142"/>
      <c r="J5" s="142"/>
      <c r="K5" s="142"/>
      <c r="L5" s="142"/>
      <c r="M5" s="142"/>
      <c r="N5" s="142"/>
      <c r="O5" s="142"/>
      <c r="P5" s="142"/>
      <c r="Q5" s="145"/>
      <c r="R5" s="20"/>
      <c r="S5" s="20"/>
      <c r="T5" s="20"/>
      <c r="U5" s="20"/>
      <c r="V5" s="20"/>
      <c r="W5" s="20"/>
      <c r="X5" s="20"/>
      <c r="Y5" s="20"/>
      <c r="Z5" s="20"/>
    </row>
    <row r="6" spans="1:26" ht="12.75" customHeight="1" x14ac:dyDescent="0.25">
      <c r="A6" s="147" t="s">
        <v>25</v>
      </c>
      <c r="B6" s="142"/>
      <c r="C6" s="142"/>
      <c r="D6" s="142"/>
      <c r="E6" s="142"/>
      <c r="F6" s="143"/>
      <c r="G6" s="144" t="s">
        <v>22</v>
      </c>
      <c r="H6" s="142"/>
      <c r="I6" s="142"/>
      <c r="J6" s="142"/>
      <c r="K6" s="142"/>
      <c r="L6" s="142"/>
      <c r="M6" s="142"/>
      <c r="N6" s="142"/>
      <c r="O6" s="142"/>
      <c r="P6" s="142"/>
      <c r="Q6" s="145"/>
      <c r="R6" s="20"/>
      <c r="S6" s="20"/>
      <c r="T6" s="20"/>
      <c r="U6" s="20"/>
      <c r="V6" s="20"/>
      <c r="W6" s="20"/>
      <c r="X6" s="20"/>
      <c r="Y6" s="20"/>
      <c r="Z6" s="20"/>
    </row>
    <row r="7" spans="1:26" ht="12.75" customHeight="1" x14ac:dyDescent="0.25">
      <c r="A7" s="148" t="s">
        <v>26</v>
      </c>
      <c r="B7" s="142"/>
      <c r="C7" s="142"/>
      <c r="D7" s="142"/>
      <c r="E7" s="142"/>
      <c r="F7" s="143"/>
      <c r="G7" s="144" t="s">
        <v>22</v>
      </c>
      <c r="H7" s="142"/>
      <c r="I7" s="142"/>
      <c r="J7" s="142"/>
      <c r="K7" s="142"/>
      <c r="L7" s="142"/>
      <c r="M7" s="142"/>
      <c r="N7" s="142"/>
      <c r="O7" s="142"/>
      <c r="P7" s="142"/>
      <c r="Q7" s="145"/>
      <c r="R7" s="20"/>
      <c r="S7" s="20"/>
      <c r="T7" s="20"/>
      <c r="U7" s="20"/>
      <c r="V7" s="20"/>
      <c r="W7" s="20"/>
      <c r="X7" s="20"/>
      <c r="Y7" s="20"/>
      <c r="Z7" s="20"/>
    </row>
    <row r="8" spans="1:26" ht="12.75" customHeight="1" x14ac:dyDescent="0.2">
      <c r="A8" s="149" t="s">
        <v>33</v>
      </c>
      <c r="B8" s="142"/>
      <c r="C8" s="142"/>
      <c r="D8" s="142"/>
      <c r="E8" s="142"/>
      <c r="F8" s="142"/>
      <c r="G8" s="142"/>
      <c r="H8" s="142"/>
      <c r="I8" s="142"/>
      <c r="J8" s="142"/>
      <c r="K8" s="142"/>
      <c r="L8" s="142"/>
      <c r="M8" s="142"/>
      <c r="N8" s="142"/>
      <c r="O8" s="142"/>
      <c r="P8" s="142"/>
      <c r="Q8" s="145"/>
      <c r="R8" s="20"/>
      <c r="S8" s="20"/>
      <c r="T8" s="20"/>
      <c r="U8" s="20"/>
      <c r="V8" s="20"/>
      <c r="W8" s="20"/>
      <c r="X8" s="20"/>
      <c r="Y8" s="20"/>
      <c r="Z8" s="20"/>
    </row>
    <row r="9" spans="1:26" ht="17.25" customHeight="1" x14ac:dyDescent="0.25">
      <c r="A9" s="150" t="s">
        <v>34</v>
      </c>
      <c r="B9" s="151"/>
      <c r="C9" s="151"/>
      <c r="D9" s="151"/>
      <c r="E9" s="151"/>
      <c r="F9" s="151"/>
      <c r="G9" s="151"/>
      <c r="H9" s="151"/>
      <c r="I9" s="151"/>
      <c r="J9" s="151"/>
      <c r="K9" s="151"/>
      <c r="L9" s="151"/>
      <c r="M9" s="151"/>
      <c r="N9" s="151"/>
      <c r="O9" s="151"/>
      <c r="P9" s="151"/>
      <c r="Q9" s="152"/>
      <c r="R9" s="20"/>
      <c r="S9" s="20"/>
      <c r="T9" s="20"/>
      <c r="U9" s="20"/>
      <c r="V9" s="20"/>
      <c r="W9" s="20"/>
      <c r="X9" s="20"/>
      <c r="Y9" s="20"/>
      <c r="Z9" s="20"/>
    </row>
    <row r="10" spans="1:26" ht="48" customHeight="1" x14ac:dyDescent="0.2">
      <c r="A10" s="153" t="s">
        <v>73</v>
      </c>
      <c r="B10" s="108"/>
      <c r="C10" s="108"/>
      <c r="D10" s="108"/>
      <c r="E10" s="108"/>
      <c r="F10" s="108"/>
      <c r="G10" s="108"/>
      <c r="H10" s="108"/>
      <c r="I10" s="108"/>
      <c r="J10" s="108"/>
      <c r="K10" s="108"/>
      <c r="L10" s="108"/>
      <c r="M10" s="108"/>
      <c r="N10" s="108"/>
      <c r="O10" s="108"/>
      <c r="P10" s="108"/>
      <c r="Q10" s="113"/>
      <c r="R10" s="20"/>
      <c r="S10" s="20"/>
      <c r="T10" s="20"/>
      <c r="U10" s="20"/>
      <c r="V10" s="20"/>
      <c r="W10" s="20"/>
      <c r="X10" s="20"/>
      <c r="Y10" s="20"/>
      <c r="Z10" s="20"/>
    </row>
    <row r="11" spans="1:26" ht="12.75" customHeight="1" x14ac:dyDescent="0.25">
      <c r="A11" s="53"/>
      <c r="B11" s="54"/>
      <c r="C11" s="54"/>
      <c r="D11" s="54"/>
      <c r="E11" s="54"/>
      <c r="F11" s="54"/>
      <c r="G11" s="55"/>
      <c r="H11" s="54"/>
      <c r="I11" s="54"/>
      <c r="J11" s="54"/>
      <c r="K11" s="54"/>
      <c r="L11" s="54"/>
      <c r="M11" s="54"/>
      <c r="N11" s="54"/>
      <c r="O11" s="54"/>
      <c r="P11" s="54"/>
      <c r="Q11" s="56"/>
      <c r="R11" s="20"/>
      <c r="S11" s="20"/>
      <c r="T11" s="20"/>
      <c r="U11" s="20"/>
      <c r="V11" s="20"/>
      <c r="W11" s="20"/>
      <c r="X11" s="20"/>
      <c r="Y11" s="20"/>
      <c r="Z11" s="20"/>
    </row>
    <row r="12" spans="1:26" ht="12.75" customHeight="1" x14ac:dyDescent="0.2">
      <c r="A12" s="160" t="s">
        <v>35</v>
      </c>
      <c r="B12" s="151"/>
      <c r="C12" s="151"/>
      <c r="D12" s="151"/>
      <c r="E12" s="151"/>
      <c r="F12" s="151"/>
      <c r="G12" s="151"/>
      <c r="H12" s="151"/>
      <c r="I12" s="151"/>
      <c r="J12" s="151"/>
      <c r="K12" s="151"/>
      <c r="L12" s="151"/>
      <c r="M12" s="151"/>
      <c r="N12" s="151"/>
      <c r="O12" s="151"/>
      <c r="P12" s="151"/>
      <c r="Q12" s="152"/>
      <c r="R12" s="20"/>
      <c r="S12" s="20"/>
      <c r="T12" s="20"/>
      <c r="U12" s="20"/>
      <c r="V12" s="20"/>
      <c r="W12" s="20"/>
      <c r="X12" s="20"/>
      <c r="Y12" s="20"/>
      <c r="Z12" s="20"/>
    </row>
    <row r="13" spans="1:26" ht="12.75" customHeight="1" x14ac:dyDescent="0.2">
      <c r="A13" s="161" t="s">
        <v>36</v>
      </c>
      <c r="B13" s="142"/>
      <c r="C13" s="142"/>
      <c r="D13" s="142"/>
      <c r="E13" s="142"/>
      <c r="F13" s="142"/>
      <c r="G13" s="142"/>
      <c r="H13" s="142"/>
      <c r="I13" s="142"/>
      <c r="J13" s="142"/>
      <c r="K13" s="142"/>
      <c r="L13" s="142"/>
      <c r="M13" s="142"/>
      <c r="N13" s="143"/>
      <c r="O13" s="162" t="s">
        <v>37</v>
      </c>
      <c r="P13" s="163"/>
      <c r="Q13" s="166" t="s">
        <v>38</v>
      </c>
      <c r="R13" s="20"/>
      <c r="S13" s="20"/>
      <c r="T13" s="20"/>
      <c r="U13" s="20"/>
      <c r="V13" s="20"/>
      <c r="W13" s="20"/>
      <c r="X13" s="20"/>
      <c r="Y13" s="20"/>
      <c r="Z13" s="20"/>
    </row>
    <row r="14" spans="1:26" ht="25.9" customHeight="1" x14ac:dyDescent="0.2">
      <c r="A14" s="57" t="s">
        <v>39</v>
      </c>
      <c r="B14" s="58" t="s">
        <v>40</v>
      </c>
      <c r="C14" s="58" t="s">
        <v>41</v>
      </c>
      <c r="D14" s="58" t="s">
        <v>42</v>
      </c>
      <c r="E14" s="58" t="s">
        <v>43</v>
      </c>
      <c r="F14" s="58" t="s">
        <v>44</v>
      </c>
      <c r="G14" s="58" t="s">
        <v>45</v>
      </c>
      <c r="H14" s="80" t="s">
        <v>46</v>
      </c>
      <c r="I14" s="58" t="s">
        <v>47</v>
      </c>
      <c r="J14" s="58" t="s">
        <v>48</v>
      </c>
      <c r="K14" s="58" t="s">
        <v>48</v>
      </c>
      <c r="L14" s="58" t="s">
        <v>49</v>
      </c>
      <c r="M14" s="59" t="s">
        <v>50</v>
      </c>
      <c r="N14" s="60" t="s">
        <v>51</v>
      </c>
      <c r="O14" s="164"/>
      <c r="P14" s="165"/>
      <c r="Q14" s="113"/>
      <c r="R14" s="20"/>
      <c r="S14" s="20"/>
      <c r="T14" s="20"/>
      <c r="U14" s="20"/>
      <c r="V14" s="20"/>
      <c r="W14" s="20"/>
      <c r="X14" s="20"/>
      <c r="Y14" s="20"/>
      <c r="Z14" s="20"/>
    </row>
    <row r="15" spans="1:26" ht="25.9" customHeight="1" x14ac:dyDescent="0.2">
      <c r="A15" s="61">
        <v>1</v>
      </c>
      <c r="B15" s="62">
        <v>0</v>
      </c>
      <c r="C15" s="62">
        <v>0</v>
      </c>
      <c r="D15" s="62">
        <v>1</v>
      </c>
      <c r="E15" s="62">
        <v>0</v>
      </c>
      <c r="F15" s="62">
        <v>4901</v>
      </c>
      <c r="G15" s="62">
        <v>3</v>
      </c>
      <c r="H15" s="62">
        <v>4</v>
      </c>
      <c r="I15" s="62">
        <v>4</v>
      </c>
      <c r="J15" s="62">
        <v>3</v>
      </c>
      <c r="K15" s="62">
        <v>7</v>
      </c>
      <c r="L15" s="62">
        <v>0</v>
      </c>
      <c r="M15" s="63">
        <v>1</v>
      </c>
      <c r="N15" s="62" t="s">
        <v>60</v>
      </c>
      <c r="O15" s="167" t="s">
        <v>67</v>
      </c>
      <c r="P15" s="168"/>
      <c r="Q15" s="71">
        <f>'NOTA PEDIDO'!G13</f>
        <v>2025000</v>
      </c>
      <c r="R15" s="20"/>
      <c r="S15" s="20"/>
      <c r="T15" s="20"/>
      <c r="U15" s="20"/>
      <c r="V15" s="20"/>
      <c r="W15" s="20"/>
      <c r="X15" s="20"/>
      <c r="Y15" s="20"/>
      <c r="Z15" s="20"/>
    </row>
    <row r="16" spans="1:26" ht="12.75" customHeight="1" x14ac:dyDescent="0.2">
      <c r="A16" s="61"/>
      <c r="B16" s="62"/>
      <c r="C16" s="62"/>
      <c r="D16" s="62"/>
      <c r="E16" s="62"/>
      <c r="F16" s="62"/>
      <c r="G16" s="62"/>
      <c r="H16" s="62"/>
      <c r="I16" s="62"/>
      <c r="J16" s="62"/>
      <c r="K16" s="62"/>
      <c r="L16" s="62"/>
      <c r="M16" s="63"/>
      <c r="N16" s="62"/>
      <c r="O16" s="167"/>
      <c r="P16" s="168"/>
      <c r="Q16" s="72"/>
      <c r="R16" s="20"/>
      <c r="S16" s="20"/>
      <c r="T16" s="20"/>
      <c r="U16" s="20"/>
      <c r="V16" s="20"/>
      <c r="W16" s="20"/>
      <c r="X16" s="20"/>
      <c r="Y16" s="20"/>
      <c r="Z16" s="20"/>
    </row>
    <row r="17" spans="1:26" ht="15.75" customHeight="1" x14ac:dyDescent="0.2">
      <c r="A17" s="64"/>
      <c r="B17" s="65"/>
      <c r="C17" s="65"/>
      <c r="D17" s="65"/>
      <c r="E17" s="65"/>
      <c r="F17" s="65"/>
      <c r="G17" s="65"/>
      <c r="H17" s="65"/>
      <c r="I17" s="65"/>
      <c r="J17" s="65"/>
      <c r="K17" s="65"/>
      <c r="L17" s="65"/>
      <c r="M17" s="66"/>
      <c r="N17" s="67"/>
      <c r="O17" s="167"/>
      <c r="P17" s="168"/>
      <c r="Q17" s="73"/>
      <c r="R17" s="20"/>
      <c r="S17" s="20"/>
      <c r="T17" s="20"/>
      <c r="U17" s="20"/>
      <c r="V17" s="20"/>
      <c r="W17" s="20"/>
      <c r="X17" s="20"/>
      <c r="Y17" s="20"/>
      <c r="Z17" s="20"/>
    </row>
    <row r="18" spans="1:26" ht="12.75" customHeight="1" x14ac:dyDescent="0.2">
      <c r="A18" s="64"/>
      <c r="B18" s="65"/>
      <c r="C18" s="65"/>
      <c r="D18" s="65"/>
      <c r="E18" s="65"/>
      <c r="F18" s="65"/>
      <c r="G18" s="65"/>
      <c r="H18" s="65"/>
      <c r="I18" s="65"/>
      <c r="J18" s="65"/>
      <c r="K18" s="65"/>
      <c r="L18" s="65"/>
      <c r="M18" s="66"/>
      <c r="N18" s="67"/>
      <c r="O18" s="154"/>
      <c r="P18" s="155"/>
      <c r="Q18" s="73"/>
      <c r="R18" s="20"/>
      <c r="S18" s="20"/>
      <c r="T18" s="20"/>
      <c r="U18" s="20"/>
      <c r="V18" s="20"/>
      <c r="W18" s="20"/>
      <c r="X18" s="20"/>
      <c r="Y18" s="20"/>
      <c r="Z18" s="20"/>
    </row>
    <row r="19" spans="1:26" ht="12.75" customHeight="1" x14ac:dyDescent="0.2">
      <c r="A19" s="64"/>
      <c r="B19" s="65"/>
      <c r="C19" s="65"/>
      <c r="D19" s="65"/>
      <c r="E19" s="65"/>
      <c r="F19" s="65"/>
      <c r="G19" s="65"/>
      <c r="H19" s="65"/>
      <c r="I19" s="65"/>
      <c r="J19" s="65"/>
      <c r="K19" s="65"/>
      <c r="L19" s="65"/>
      <c r="M19" s="66"/>
      <c r="N19" s="67"/>
      <c r="O19" s="154"/>
      <c r="P19" s="155"/>
      <c r="Q19" s="73"/>
      <c r="R19" s="20"/>
      <c r="S19" s="20"/>
      <c r="T19" s="20"/>
      <c r="U19" s="20"/>
      <c r="V19" s="20"/>
      <c r="W19" s="20"/>
      <c r="X19" s="20"/>
      <c r="Y19" s="20"/>
      <c r="Z19" s="20"/>
    </row>
    <row r="20" spans="1:26" ht="12.75" customHeight="1" x14ac:dyDescent="0.2">
      <c r="A20" s="68"/>
      <c r="B20" s="69"/>
      <c r="C20" s="69"/>
      <c r="D20" s="69"/>
      <c r="E20" s="69"/>
      <c r="F20" s="69"/>
      <c r="G20" s="69"/>
      <c r="H20" s="69"/>
      <c r="I20" s="69"/>
      <c r="J20" s="69"/>
      <c r="K20" s="69"/>
      <c r="L20" s="69"/>
      <c r="M20" s="70"/>
      <c r="N20" s="69"/>
      <c r="O20" s="169"/>
      <c r="P20" s="170"/>
      <c r="Q20" s="74"/>
      <c r="R20" s="20"/>
      <c r="S20" s="20"/>
      <c r="T20" s="20"/>
      <c r="U20" s="20"/>
      <c r="V20" s="20"/>
      <c r="W20" s="20"/>
      <c r="X20" s="20"/>
      <c r="Y20" s="20"/>
      <c r="Z20" s="20"/>
    </row>
    <row r="21" spans="1:26" ht="19.899999999999999" customHeight="1" x14ac:dyDescent="0.2">
      <c r="A21" s="171" t="s">
        <v>71</v>
      </c>
      <c r="B21" s="172"/>
      <c r="C21" s="172"/>
      <c r="D21" s="172"/>
      <c r="E21" s="172"/>
      <c r="F21" s="172"/>
      <c r="G21" s="172"/>
      <c r="H21" s="172"/>
      <c r="I21" s="172"/>
      <c r="J21" s="172"/>
      <c r="K21" s="172"/>
      <c r="L21" s="172"/>
      <c r="M21" s="172"/>
      <c r="N21" s="172"/>
      <c r="O21" s="172"/>
      <c r="P21" s="173"/>
      <c r="Q21" s="75">
        <f>SUM(Q15:Q20)</f>
        <v>2025000</v>
      </c>
      <c r="R21" s="20"/>
      <c r="S21" s="20"/>
      <c r="T21" s="20"/>
      <c r="U21" s="20"/>
      <c r="V21" s="20"/>
      <c r="W21" s="20"/>
      <c r="X21" s="20"/>
      <c r="Y21" s="20"/>
      <c r="Z21" s="20"/>
    </row>
    <row r="22" spans="1:26" ht="12.75" customHeight="1" x14ac:dyDescent="0.2">
      <c r="A22" s="174"/>
      <c r="B22" s="151"/>
      <c r="C22" s="151"/>
      <c r="D22" s="151"/>
      <c r="E22" s="151"/>
      <c r="F22" s="151"/>
      <c r="G22" s="151"/>
      <c r="H22" s="151"/>
      <c r="I22" s="151"/>
      <c r="J22" s="151"/>
      <c r="K22" s="151"/>
      <c r="L22" s="151"/>
      <c r="M22" s="151"/>
      <c r="N22" s="151"/>
      <c r="O22" s="151"/>
      <c r="P22" s="151"/>
      <c r="Q22" s="152"/>
      <c r="R22" s="20"/>
      <c r="S22" s="20"/>
      <c r="T22" s="20"/>
      <c r="U22" s="20"/>
      <c r="V22" s="20"/>
      <c r="W22" s="20"/>
      <c r="X22" s="20"/>
      <c r="Y22" s="20"/>
      <c r="Z22" s="20"/>
    </row>
    <row r="23" spans="1:26" ht="12.75" customHeight="1" x14ac:dyDescent="0.2">
      <c r="A23" s="175" t="s">
        <v>52</v>
      </c>
      <c r="B23" s="132"/>
      <c r="C23" s="132"/>
      <c r="D23" s="132"/>
      <c r="E23" s="132"/>
      <c r="F23" s="130"/>
      <c r="G23" s="176"/>
      <c r="H23" s="151"/>
      <c r="I23" s="151"/>
      <c r="J23" s="151"/>
      <c r="K23" s="151"/>
      <c r="L23" s="151"/>
      <c r="M23" s="151"/>
      <c r="N23" s="151"/>
      <c r="O23" s="151"/>
      <c r="P23" s="151"/>
      <c r="Q23" s="152"/>
      <c r="R23" s="20"/>
      <c r="S23" s="20"/>
      <c r="T23" s="20"/>
      <c r="U23" s="20"/>
      <c r="V23" s="20"/>
      <c r="W23" s="20"/>
      <c r="X23" s="20"/>
      <c r="Y23" s="20"/>
      <c r="Z23" s="20"/>
    </row>
    <row r="24" spans="1:26" ht="12.75" customHeight="1" x14ac:dyDescent="0.2">
      <c r="A24" s="156" t="s">
        <v>61</v>
      </c>
      <c r="B24" s="108"/>
      <c r="C24" s="108"/>
      <c r="D24" s="108"/>
      <c r="E24" s="108"/>
      <c r="F24" s="108"/>
      <c r="G24" s="108"/>
      <c r="H24" s="108"/>
      <c r="I24" s="108"/>
      <c r="J24" s="108"/>
      <c r="K24" s="108"/>
      <c r="L24" s="108"/>
      <c r="M24" s="108"/>
      <c r="N24" s="108"/>
      <c r="O24" s="108"/>
      <c r="P24" s="108"/>
      <c r="Q24" s="113"/>
      <c r="R24" s="20"/>
      <c r="S24" s="20"/>
      <c r="T24" s="20"/>
      <c r="U24" s="20"/>
      <c r="V24" s="20"/>
      <c r="W24" s="20"/>
      <c r="X24" s="20"/>
      <c r="Y24" s="20"/>
      <c r="Z24" s="20"/>
    </row>
    <row r="25" spans="1:26" ht="12.75" customHeight="1" x14ac:dyDescent="0.2">
      <c r="A25" s="157"/>
      <c r="B25" s="158"/>
      <c r="C25" s="158"/>
      <c r="D25" s="158"/>
      <c r="E25" s="158"/>
      <c r="F25" s="158"/>
      <c r="G25" s="158"/>
      <c r="H25" s="158"/>
      <c r="I25" s="158"/>
      <c r="J25" s="158"/>
      <c r="K25" s="158"/>
      <c r="L25" s="158"/>
      <c r="M25" s="158"/>
      <c r="N25" s="158"/>
      <c r="O25" s="158"/>
      <c r="P25" s="158"/>
      <c r="Q25" s="159"/>
      <c r="R25" s="20"/>
      <c r="S25" s="20"/>
      <c r="T25" s="20"/>
      <c r="U25" s="20"/>
      <c r="V25" s="20"/>
      <c r="W25" s="20"/>
      <c r="X25" s="20"/>
      <c r="Y25" s="20"/>
      <c r="Z25" s="20"/>
    </row>
    <row r="26" spans="1:26" ht="12.75"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2.75" customHeight="1" x14ac:dyDescent="0.2">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spans="1:26" ht="12.75" customHeight="1" x14ac:dyDescent="0.2">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spans="1:26" ht="12.75" customHeight="1" x14ac:dyDescent="0.2">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spans="1:26" ht="12.75" customHeight="1" x14ac:dyDescent="0.2">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spans="1:26" ht="12.75" customHeight="1" x14ac:dyDescent="0.2">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spans="1:26" ht="12.75" customHeight="1" x14ac:dyDescent="0.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spans="1:26" ht="12.75" customHeight="1" x14ac:dyDescent="0.2">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spans="1:26" ht="12.75" customHeight="1" x14ac:dyDescent="0.2">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spans="1:26" ht="12.75" customHeight="1" x14ac:dyDescent="0.2">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spans="1:26" ht="12.75" customHeight="1" x14ac:dyDescent="0.2">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spans="1:26" ht="12.75" customHeight="1" x14ac:dyDescent="0.2">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spans="1:26" ht="12.75" customHeight="1" x14ac:dyDescent="0.2">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spans="1:26" ht="12.75" customHeight="1" x14ac:dyDescent="0.2">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spans="1:26" ht="12.75" customHeight="1" x14ac:dyDescent="0.2">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ht="12.75" customHeight="1" x14ac:dyDescent="0.2">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ht="12.75" customHeight="1" x14ac:dyDescent="0.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ht="12.75" customHeight="1" x14ac:dyDescent="0.2">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2.75" customHeight="1" x14ac:dyDescent="0.2">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ht="12.75" customHeight="1" x14ac:dyDescent="0.2">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ht="12.75" customHeight="1" x14ac:dyDescent="0.2">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spans="1:26" ht="12.75" customHeight="1" x14ac:dyDescent="0.2">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spans="1:26" ht="12.75" customHeight="1" x14ac:dyDescent="0.2">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spans="1:26" ht="12.75" customHeight="1" x14ac:dyDescent="0.2">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spans="1:26" ht="12.75" customHeight="1" x14ac:dyDescent="0.2">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2.75" customHeight="1" x14ac:dyDescent="0.2">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2.75" customHeight="1" x14ac:dyDescent="0.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2.75" customHeight="1" x14ac:dyDescent="0.2">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2.75" customHeight="1" x14ac:dyDescent="0.2">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spans="1:26" ht="12.75" customHeight="1" x14ac:dyDescent="0.2">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2.75" customHeight="1" x14ac:dyDescent="0.2">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2.75" customHeight="1" x14ac:dyDescent="0.2">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2.75" customHeight="1" x14ac:dyDescent="0.2">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2.75" customHeight="1" x14ac:dyDescent="0.2">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2.75" customHeight="1" x14ac:dyDescent="0.2">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2.75" customHeight="1" x14ac:dyDescent="0.2">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2.75" customHeight="1" x14ac:dyDescent="0.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2.75" customHeight="1" x14ac:dyDescent="0.2">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2.75" customHeight="1" x14ac:dyDescent="0.2">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2.75" customHeight="1" x14ac:dyDescent="0.2">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2.75" customHeight="1" x14ac:dyDescent="0.2">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2.75" customHeight="1" x14ac:dyDescent="0.2">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2.75" customHeight="1" x14ac:dyDescent="0.2">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2.75" customHeight="1" x14ac:dyDescent="0.2">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2.75" customHeight="1" x14ac:dyDescent="0.2">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2.75" customHeight="1" x14ac:dyDescent="0.2">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2.75" customHeight="1" x14ac:dyDescent="0.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2.75" customHeight="1" x14ac:dyDescent="0.2">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2.75" customHeight="1" x14ac:dyDescent="0.2">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2.75" customHeight="1" x14ac:dyDescent="0.2">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2.75" customHeight="1" x14ac:dyDescent="0.2">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2.75" customHeight="1" x14ac:dyDescent="0.2">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2.75" customHeight="1" x14ac:dyDescent="0.2">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2.75" customHeight="1" x14ac:dyDescent="0.2">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2.75" customHeight="1" x14ac:dyDescent="0.2">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2.75" customHeight="1" x14ac:dyDescent="0.2">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2.75" customHeight="1" x14ac:dyDescent="0.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2.75" customHeight="1" x14ac:dyDescent="0.2">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2.75" customHeight="1" x14ac:dyDescent="0.2">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2.75" customHeight="1" x14ac:dyDescent="0.2">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2.75" customHeight="1" x14ac:dyDescent="0.2">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2.7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2.75" customHeight="1" x14ac:dyDescent="0.2">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2.75" customHeight="1" x14ac:dyDescent="0.2">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2.75" customHeight="1" x14ac:dyDescent="0.2">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2.75" customHeight="1" x14ac:dyDescent="0.2">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2.75" customHeight="1" x14ac:dyDescent="0.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2.75" customHeight="1" x14ac:dyDescent="0.2">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2.75" customHeight="1" x14ac:dyDescent="0.2">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2.75" customHeight="1" x14ac:dyDescent="0.2">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2.75" customHeight="1" x14ac:dyDescent="0.2">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2.75" customHeight="1" x14ac:dyDescent="0.2">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2.75" customHeight="1" x14ac:dyDescent="0.2">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2.75" customHeight="1" x14ac:dyDescent="0.2">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2.75" customHeight="1" x14ac:dyDescent="0.2">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2.75" customHeight="1" x14ac:dyDescent="0.2">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2.75" customHeight="1" x14ac:dyDescent="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2.75" customHeight="1" x14ac:dyDescent="0.2">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2.75" customHeight="1" x14ac:dyDescent="0.2">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2.75" customHeight="1" x14ac:dyDescent="0.2">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2.75" customHeight="1" x14ac:dyDescent="0.2">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2.75" customHeight="1" x14ac:dyDescent="0.2">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2.75" customHeight="1" x14ac:dyDescent="0.2">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2.75" customHeight="1" x14ac:dyDescent="0.2">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2.75" customHeight="1" x14ac:dyDescent="0.2">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2.75" customHeight="1" x14ac:dyDescent="0.2">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2.75" customHeight="1" x14ac:dyDescent="0.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2.75" customHeight="1" x14ac:dyDescent="0.2">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2.75" customHeight="1" x14ac:dyDescent="0.2">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2.75" customHeight="1" x14ac:dyDescent="0.2">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2.75" customHeight="1" x14ac:dyDescent="0.2">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2.75" customHeight="1" x14ac:dyDescent="0.2">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2.75" customHeight="1" x14ac:dyDescent="0.2">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2.75" customHeight="1" x14ac:dyDescent="0.2">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2.75" customHeight="1" x14ac:dyDescent="0.2">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2.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2.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2.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2.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2.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2.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2.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2.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2.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2.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2.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2.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2.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2.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2.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2.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2.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2.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2.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2.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2.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2.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2.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2.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2.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2.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2.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2.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2.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2.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2.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2.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2.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2.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2.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2.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2.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2.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2.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2.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2.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2.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2.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2.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2.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2.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2.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2.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2.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2.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2.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2.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2.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2.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2.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2.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2.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2.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2.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2.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2.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2.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2.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2.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2.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2.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2.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2.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2.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2.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2.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2.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2.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2.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2.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2.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2.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2.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2.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2.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2.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2.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2.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2.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2.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2.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2.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2.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2.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2.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2.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2.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2.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2.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2.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2.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2.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2.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2.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2.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2.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2.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2.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2.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5.7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5.7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5.7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5.7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5.7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5.7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5.7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5.7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5.7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5.7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5.7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5.7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5.7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5.7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5.7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5.7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5.7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5.7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5.7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5.7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5.7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5.7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5.7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5.7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5.7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5.7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5.7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5.7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5.7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5.7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5.7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5.7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5.7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5.7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5.7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5.7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5.7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5.7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5.7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5.7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5.7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5.7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5.7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5.7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5.7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5.7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5.7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5.7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5.7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5.7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5.7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5.7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5.7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5.7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5.7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5.7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5.7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5.7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5.7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5.7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5.7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5.7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5.7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5.7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5.7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5.7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5.7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5.7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5.7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5.7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5.7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5.7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5.7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5.7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5.7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5.7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5.7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5.7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5.7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5.7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5.7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5.7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5.7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5.7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5.7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5.7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5.7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5.7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5.7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5.7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5.7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5.7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5.7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5.7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5.7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5.7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5.7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5.7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5.7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5.7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5.7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5.7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5.7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5.7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5.7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5.7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5.7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5.7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5.7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5.7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5.7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5.7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5.7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5.7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5.7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5.7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5.7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5.7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5.7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5.7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5.7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5.7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5.7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5.7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5.7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5.7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5.7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5.7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5.7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5.7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5.7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5.7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5.7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5.7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5.7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5.7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5.7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5.7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5.7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5.7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5.7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5.7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5.7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5.7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5.7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5.7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5.7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5.7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5.7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5.7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5.7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5.7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5.7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5.7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5.7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5.7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5.7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5.7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5.7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5.7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5.7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5.7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5.7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5.7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5.7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5.7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5.7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5.7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5.7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5.7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5.7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5.7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5.7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5.7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5.7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5.7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5.7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5.7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5.7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5.7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5.7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5.7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5.7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5.7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5.7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5.7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5.7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5.7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5.7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5.7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5.7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5.7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5.7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5.7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5.7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5.7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5.7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5.7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5.7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5.7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5.7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5.7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5.7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5.7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5.7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5.7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5.7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5.7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5.7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5.7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5.7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5.7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5.7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5.7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5.7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5.7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5.7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5.7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5.7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5.7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5.7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5.7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5.7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5.7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5.7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5.7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5.7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5.7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5.7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5.7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5.7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5.7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5.7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5.7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5.7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5.7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5.7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5.7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5.7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5.7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5.7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5.7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5.7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5.7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5.7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5.7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5.7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5.7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5.7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5.7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5.7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5.7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5.7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5.7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5.7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5.7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5.7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5.7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5.7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5.7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5.7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5.7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5.7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5.7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5.7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5.7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5.7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5.7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5.7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5.7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5.7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5.7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5.7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5.7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5.7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5.7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5.7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5.7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5.7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5.7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5.7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5.7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5.7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5.7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5.7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5.7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5.7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5.7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5.7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5.7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5.7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5.7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5.7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5.7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5.7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5.7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5.7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5.7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5.7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5.7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5.7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5.7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5.7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5.7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5.7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5.7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5.7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5.7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5.7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5.7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5.7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5.7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5.7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5.7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5.7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5.7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5.7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5.7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5.7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5.7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5.7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5.7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5.7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5.7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5.7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5.7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5.7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5.7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5.7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5.7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5.7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5.7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5.7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5.7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5.7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5.7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5.7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5.7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5.7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5.7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5.7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5.7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5.7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5.7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5.7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5.7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5.7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5.7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5.7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5.7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5.7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5.7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5.7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5.7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5.7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5.7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5.7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5.7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5.7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5.7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5.7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5.7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5.7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5.7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5.7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5.7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5.7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5.7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5.7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5.7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5.7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5.7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5.7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5.7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5.7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5.7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5.7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5.7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5.7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5.7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5.7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5.7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5.7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5.7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5.7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5.7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5.7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5.7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5.7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5.7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5.7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5.7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5.7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5.7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5.7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5.7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5.7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5.7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5.7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5.7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5.7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5.7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5.7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5.7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5.7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5.7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5.7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5.7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5.7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5.7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5.7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5.7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5.7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5.7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5.7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5.7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5.7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5.7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5.7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5.7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5.7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5.7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5.7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5.7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5.7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5.7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5.7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5.7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5.7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5.7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5.7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5.7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5.7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5.7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5.7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5.7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5.7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5.7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5.7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5.7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5.7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5.7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5.7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5.7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5.7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5.7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5.7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5.7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5.7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5.7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5.7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5.7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5.7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5.7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5.7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5.7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5.7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5.7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5.7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5.7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5.7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5.7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5.7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5.7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5.7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5.7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5.7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5.7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5.7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5.7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5.7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5.7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5.7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5.7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5.7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5.7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5.7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5.7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5.7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5.7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5.7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5.7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5.7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5.7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5.7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5.7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5.7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5.7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5.7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5.7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5.7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5.7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5.7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5.7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5.7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5.7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5.7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5.7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5.7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5.7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5.7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5.7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5.7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5.7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5.7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5.7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5.7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5.7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5.7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5.7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5.7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5.7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5.7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5.7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5.7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5.7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5.7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5.7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5.7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5.7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5.7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5.7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5.7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5.7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5.7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5.7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5.7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5.7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5.7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5.7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5.7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5.7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5.7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5.7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5.7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5.7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5.7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5.7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5.7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5.7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5.7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5.7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5.7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5.7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5.7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5.7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5.7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5.7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5.7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5.7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5.7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5.7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5.7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5.7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5.7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5.7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5.7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5.7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5.7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5.7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5.7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5.7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5.7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5.7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5.7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5.7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5.7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5.7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5.7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5.7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5.7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5.7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5.7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5.7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5.7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5.7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5.7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5.7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5.7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5.7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5.7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5.7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5.7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5.7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5.7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5.7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5.7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5.7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5.7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5.7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5.7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5.7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5.7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5.7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5.7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5.7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5.7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5.7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5.7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5.7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5.7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5.7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5.7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5.7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5.7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5.7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5.7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5.7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5.7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5.7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5.7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5.7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5.7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5.7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5.7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5.7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5.7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5.7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5.7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5.7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5.7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5.7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5.7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5.7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5.7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5.7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5.7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5.7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5.7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5.7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5.7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5.7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5.7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5.7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5.7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5.7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5.7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5.7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5.7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5.7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5.7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5.7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5.7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5.7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5.7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5.7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5.7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5.7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5.7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5.7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5.7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5.7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5.7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5.7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5.7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5.7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5.7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5.7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5.7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5.7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5.7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5.7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5.7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5.7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5.7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5.7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5.7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5.7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5.7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5.7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5.7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5.7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5.7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5.7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5.7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5.7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5.7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5.7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5.7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5.7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5.7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5.7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5.7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5.7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5.7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5.7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5.7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5.7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5.7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5.7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5.7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5.7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5.7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5.7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5.7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5.7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5.7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5.7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5.7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5.7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5.7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5.7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5.7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5.7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5.7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5.7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5.7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5.7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5.7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5.7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5.7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5.7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5.7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5.7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5.7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5.7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5.7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5.7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5.7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5.7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5.7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5.7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5.7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5.7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5.7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5.7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5.7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5.7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5.7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5.7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5.7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5.7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5.7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5.7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5.7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5.7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5.7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5.7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5.7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5.7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5.7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5.7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5.7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5.7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5.7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5.7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5.7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5.7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5.7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5.7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5.7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5.7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5.7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5.7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5.7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5.7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5.7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5.7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5.7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5.7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5.7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5.7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5.7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5.7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5.7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5.7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5.7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5.7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5.7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5.7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5.7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5.75" customHeight="1" x14ac:dyDescent="0.25">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5.75" customHeight="1" x14ac:dyDescent="0.25">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5.75" customHeight="1" x14ac:dyDescent="0.25">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15.75" customHeight="1" x14ac:dyDescent="0.2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sheetData>
  <mergeCells count="29">
    <mergeCell ref="A24:Q25"/>
    <mergeCell ref="A12:Q12"/>
    <mergeCell ref="A13:N13"/>
    <mergeCell ref="O13:P14"/>
    <mergeCell ref="Q13:Q14"/>
    <mergeCell ref="O15:P15"/>
    <mergeCell ref="O16:P16"/>
    <mergeCell ref="O17:P17"/>
    <mergeCell ref="O20:P20"/>
    <mergeCell ref="A21:P21"/>
    <mergeCell ref="A22:Q22"/>
    <mergeCell ref="A23:F23"/>
    <mergeCell ref="G23:Q23"/>
    <mergeCell ref="A8:Q8"/>
    <mergeCell ref="A9:Q9"/>
    <mergeCell ref="A10:Q10"/>
    <mergeCell ref="O18:P18"/>
    <mergeCell ref="O19:P19"/>
    <mergeCell ref="A5:F5"/>
    <mergeCell ref="G5:Q5"/>
    <mergeCell ref="A6:F6"/>
    <mergeCell ref="G6:Q6"/>
    <mergeCell ref="A7:F7"/>
    <mergeCell ref="G7:Q7"/>
    <mergeCell ref="A1:C1"/>
    <mergeCell ref="D1:E1"/>
    <mergeCell ref="P1:Q2"/>
    <mergeCell ref="A4:F4"/>
    <mergeCell ref="G4:Q4"/>
  </mergeCells>
  <pageMargins left="0.7" right="0.7" top="0.75" bottom="0.75" header="0" footer="0"/>
  <pageSetup paperSize="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Trimestrales_Trim 4</vt:lpstr>
      <vt:lpstr>NOTA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Jimena</cp:lastModifiedBy>
  <cp:lastPrinted>2022-11-28T14:09:05Z</cp:lastPrinted>
  <dcterms:created xsi:type="dcterms:W3CDTF">2020-07-17T23:44:49Z</dcterms:created>
  <dcterms:modified xsi:type="dcterms:W3CDTF">2022-11-30T16:15:21Z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