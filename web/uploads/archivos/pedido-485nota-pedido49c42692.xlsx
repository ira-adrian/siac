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228"/>
  <workbookPr defaultThemeVersion="124226"/>
  <mc:AlternateContent xmlns:mc="http://schemas.openxmlformats.org/markup-compatibility/2006">
    <mc:Choice Requires="x15">
      <x15ac:absPath xmlns:x15ac="http://schemas.microsoft.com/office/spreadsheetml/2010/11/ac" url="G:\Mi unidad\COMPARTIDA\DIRECCION DE PLANIFICACION\DOCUMENTACION\Nair\PEDIDOS 2022\3 TRIMESTRE 2022\MS\agua\corregido\"/>
    </mc:Choice>
  </mc:AlternateContent>
  <xr:revisionPtr revIDLastSave="0" documentId="13_ncr:1_{E6795B46-F44B-4770-92AF-488FC34A125C}" xr6:coauthVersionLast="47" xr6:coauthVersionMax="47" xr10:uidLastSave="{00000000-0000-0000-0000-000000000000}"/>
  <bookViews>
    <workbookView xWindow="-120" yWindow="-120" windowWidth="29040" windowHeight="15840" xr2:uid="{00000000-000D-0000-FFFF-FFFF00000000}"/>
  </bookViews>
  <sheets>
    <sheet name="SAF 011" sheetId="1" r:id="rId1"/>
    <sheet name="NP SMPyPS" sheetId="2" r:id="rId2"/>
    <sheet name="APG SMPyPS" sheetId="3" r:id="rId3"/>
    <sheet name="NP Lab." sheetId="25" r:id="rId4"/>
    <sheet name="APG Lab." sheetId="24" r:id="rId5"/>
    <sheet name="NP DPBS" sheetId="4" r:id="rId6"/>
    <sheet name="APG DPBS" sheetId="5" r:id="rId7"/>
    <sheet name="NP DPMIA" sheetId="6" r:id="rId8"/>
    <sheet name="APG DPMIA" sheetId="7" r:id="rId9"/>
    <sheet name="NP SASP" sheetId="8" r:id="rId10"/>
    <sheet name="APG SASP" sheetId="9" r:id="rId11"/>
    <sheet name="NP DCVyZ" sheetId="10" r:id="rId12"/>
    <sheet name="APG DCVyZ" sheetId="11" r:id="rId13"/>
    <sheet name="NP DPAIPD" sheetId="12" r:id="rId14"/>
    <sheet name="APG DPAIPD" sheetId="13" r:id="rId15"/>
    <sheet name="NP SPyGS" sheetId="14" r:id="rId16"/>
    <sheet name="APG SPyGS" sheetId="15" r:id="rId17"/>
    <sheet name="NP SSMyA" sheetId="16" r:id="rId18"/>
    <sheet name="APG SSMyA" sheetId="17" r:id="rId19"/>
    <sheet name="NP DPE" sheetId="18" r:id="rId20"/>
    <sheet name="APG DPE" sheetId="19" r:id="rId21"/>
    <sheet name="NP MS" sheetId="20" r:id="rId22"/>
    <sheet name="APG MS" sheetId="21" r:id="rId23"/>
    <sheet name="NP SUMAR" sheetId="22" r:id="rId24"/>
    <sheet name="APG SUMAR" sheetId="23" r:id="rId25"/>
  </sheets>
  <definedNames>
    <definedName name="_xlnm._FilterDatabase" localSheetId="0" hidden="1">'SAF 011'!$A$9:$I$11</definedName>
  </definedNames>
  <calcPr calcId="181029"/>
</workbook>
</file>

<file path=xl/calcChain.xml><?xml version="1.0" encoding="utf-8"?>
<calcChain xmlns="http://schemas.openxmlformats.org/spreadsheetml/2006/main">
  <c r="A41" i="24" l="1"/>
  <c r="Q38" i="24"/>
  <c r="J12" i="25" l="1"/>
  <c r="J14" i="25" s="1"/>
  <c r="C12" i="25"/>
  <c r="B12" i="25"/>
  <c r="D4" i="25"/>
  <c r="D3" i="25"/>
  <c r="K12" i="22" l="1"/>
  <c r="K12" i="20"/>
  <c r="K12" i="16"/>
  <c r="K12" i="14"/>
  <c r="K12" i="12" l="1"/>
  <c r="K12" i="10"/>
  <c r="K12" i="8"/>
  <c r="K12" i="6"/>
  <c r="K12" i="4"/>
  <c r="A41" i="23"/>
  <c r="G7" i="23"/>
  <c r="G6" i="23"/>
  <c r="J12" i="22"/>
  <c r="J14" i="22" s="1"/>
  <c r="Q15" i="23" s="1"/>
  <c r="Q38" i="23" s="1"/>
  <c r="C12" i="22"/>
  <c r="B12" i="22"/>
  <c r="D4" i="22"/>
  <c r="G5" i="23" s="1"/>
  <c r="D3" i="22"/>
  <c r="G4" i="23" s="1"/>
  <c r="A41" i="21"/>
  <c r="G7" i="21"/>
  <c r="G6" i="21"/>
  <c r="J12" i="20"/>
  <c r="J14" i="20" s="1"/>
  <c r="Q15" i="21" s="1"/>
  <c r="Q38" i="21" s="1"/>
  <c r="C12" i="20"/>
  <c r="B12" i="20"/>
  <c r="D4" i="20"/>
  <c r="G5" i="21" s="1"/>
  <c r="D3" i="20"/>
  <c r="G4" i="21" s="1"/>
  <c r="A41" i="19"/>
  <c r="G7" i="19"/>
  <c r="G6" i="19"/>
  <c r="J12" i="18"/>
  <c r="C12" i="18"/>
  <c r="B12" i="18"/>
  <c r="D4" i="18"/>
  <c r="G5" i="19" s="1"/>
  <c r="D3" i="18"/>
  <c r="G4" i="19" s="1"/>
  <c r="A41" i="17"/>
  <c r="G7" i="17"/>
  <c r="G6" i="17"/>
  <c r="J12" i="16"/>
  <c r="J14" i="16" s="1"/>
  <c r="Q15" i="17" s="1"/>
  <c r="Q38" i="17" s="1"/>
  <c r="C12" i="16"/>
  <c r="B12" i="16"/>
  <c r="D4" i="16"/>
  <c r="G5" i="17" s="1"/>
  <c r="D3" i="16"/>
  <c r="G4" i="17" s="1"/>
  <c r="A41" i="15"/>
  <c r="G7" i="15"/>
  <c r="G6" i="15"/>
  <c r="J12" i="14"/>
  <c r="C12" i="14"/>
  <c r="B12" i="14"/>
  <c r="D4" i="14"/>
  <c r="G5" i="15" s="1"/>
  <c r="D3" i="14"/>
  <c r="G4" i="15" s="1"/>
  <c r="A41" i="13"/>
  <c r="G7" i="13"/>
  <c r="G6" i="13"/>
  <c r="J12" i="12"/>
  <c r="C12" i="12"/>
  <c r="B12" i="12"/>
  <c r="D4" i="12"/>
  <c r="G5" i="13" s="1"/>
  <c r="D3" i="12"/>
  <c r="G4" i="13" s="1"/>
  <c r="A41" i="11"/>
  <c r="G7" i="11"/>
  <c r="G6" i="11"/>
  <c r="J12" i="10"/>
  <c r="C12" i="10"/>
  <c r="B12" i="10"/>
  <c r="D4" i="10"/>
  <c r="G5" i="11" s="1"/>
  <c r="D3" i="10"/>
  <c r="G4" i="11" s="1"/>
  <c r="A41" i="9"/>
  <c r="G7" i="9"/>
  <c r="G6" i="9"/>
  <c r="J12" i="8"/>
  <c r="J14" i="8" s="1"/>
  <c r="Q15" i="9" s="1"/>
  <c r="Q38" i="9" s="1"/>
  <c r="C12" i="8"/>
  <c r="B12" i="8"/>
  <c r="D4" i="8"/>
  <c r="G5" i="9" s="1"/>
  <c r="D3" i="8"/>
  <c r="G4" i="9" s="1"/>
  <c r="A41" i="7"/>
  <c r="G7" i="7"/>
  <c r="G6" i="7"/>
  <c r="J12" i="6"/>
  <c r="J14" i="6" s="1"/>
  <c r="Q15" i="7" s="1"/>
  <c r="Q38" i="7" s="1"/>
  <c r="C12" i="6"/>
  <c r="B12" i="6"/>
  <c r="D4" i="6"/>
  <c r="G5" i="7" s="1"/>
  <c r="D3" i="6"/>
  <c r="G4" i="7" s="1"/>
  <c r="A41" i="5"/>
  <c r="G7" i="5"/>
  <c r="G6" i="5"/>
  <c r="J12" i="4"/>
  <c r="C12" i="4"/>
  <c r="B12" i="4"/>
  <c r="D4" i="4"/>
  <c r="G5" i="5" s="1"/>
  <c r="D3" i="4"/>
  <c r="G4" i="5" s="1"/>
  <c r="A41" i="3"/>
  <c r="G6" i="3"/>
  <c r="G7" i="3"/>
  <c r="K12" i="2"/>
  <c r="J12" i="2"/>
  <c r="C12" i="2"/>
  <c r="B12" i="2"/>
  <c r="J14" i="10" l="1"/>
  <c r="Q15" i="11" s="1"/>
  <c r="Q38" i="11" s="1"/>
  <c r="J14" i="2"/>
  <c r="J14" i="12"/>
  <c r="Q15" i="13" s="1"/>
  <c r="Q38" i="13" s="1"/>
  <c r="J14" i="14"/>
  <c r="Q15" i="15" s="1"/>
  <c r="Q38" i="15" s="1"/>
  <c r="J14" i="18"/>
  <c r="Q15" i="19" s="1"/>
  <c r="Q38" i="19" s="1"/>
  <c r="J14" i="4"/>
  <c r="Q15" i="5" s="1"/>
  <c r="Q38" i="5" s="1"/>
  <c r="D4" i="2"/>
  <c r="D3" i="2"/>
  <c r="G4" i="3" l="1"/>
  <c r="G4" i="24"/>
  <c r="G5" i="3"/>
  <c r="G5" i="24"/>
  <c r="Q38" i="3" l="1"/>
  <c r="I11" i="1" l="1"/>
</calcChain>
</file>

<file path=xl/sharedStrings.xml><?xml version="1.0" encoding="utf-8"?>
<sst xmlns="http://schemas.openxmlformats.org/spreadsheetml/2006/main" count="679" uniqueCount="115">
  <si>
    <t>Pedido de Necesidades Trimestrales</t>
  </si>
  <si>
    <t>JURISDICCION:</t>
  </si>
  <si>
    <t>040 - MINISTERIO DE SALUD</t>
  </si>
  <si>
    <t xml:space="preserve">SAF N°: </t>
  </si>
  <si>
    <t>011 - DIRECCION PROVINCIAL DE ADMINISTRACION - MINISTERIO DE SALUD</t>
  </si>
  <si>
    <t>EJERCICIO:</t>
  </si>
  <si>
    <t>TRIMESTRE:</t>
  </si>
  <si>
    <t>ID</t>
  </si>
  <si>
    <t>CODIGO ITEM</t>
  </si>
  <si>
    <t>RUBRO DE COMPRA</t>
  </si>
  <si>
    <t xml:space="preserve">I.P.P. </t>
  </si>
  <si>
    <t>DESCRIPCION</t>
  </si>
  <si>
    <t>UNIDAD DE MEDIDA</t>
  </si>
  <si>
    <t>CANTIDAD TOTAL</t>
  </si>
  <si>
    <t>PRECIO UNITARIO ESTIMADO</t>
  </si>
  <si>
    <t xml:space="preserve">IMPORTE TOTAL ESTIMADO </t>
  </si>
  <si>
    <t>ESPECIFICACION TECNICA</t>
  </si>
  <si>
    <t>ALIMENTOS</t>
  </si>
  <si>
    <t>2.1.1</t>
  </si>
  <si>
    <t>BIDON</t>
  </si>
  <si>
    <t>TERCERO</t>
  </si>
  <si>
    <t>TOTAL RUBRO ALIMENTOS (BIDONES DE AGUA)</t>
  </si>
  <si>
    <t>NOTA DE PEDIDO</t>
  </si>
  <si>
    <t>N°</t>
  </si>
  <si>
    <t xml:space="preserve">JURISDICCIÓN: </t>
  </si>
  <si>
    <t>SAF:</t>
  </si>
  <si>
    <t>UNIDAD EJECUTORA:</t>
  </si>
  <si>
    <t xml:space="preserve">DEPENDENCIA SOLICITANTE: </t>
  </si>
  <si>
    <t>PERIODO UTILIZACIÓN:</t>
  </si>
  <si>
    <t>OBJETO:</t>
  </si>
  <si>
    <t>Ítem</t>
  </si>
  <si>
    <t>Codigo Item</t>
  </si>
  <si>
    <t>DESCRIPCIÓN</t>
  </si>
  <si>
    <t>Adjunta Detalle Técnico</t>
  </si>
  <si>
    <t>Unidad Medida</t>
  </si>
  <si>
    <t>Precio Unitario Estimado</t>
  </si>
  <si>
    <t>Cantidad Solicitada</t>
  </si>
  <si>
    <t>AUTORIZACION PARA GASTAR</t>
  </si>
  <si>
    <t>JURISDICCIÓN:</t>
  </si>
  <si>
    <r>
      <rPr>
        <b/>
        <u/>
        <sz val="10"/>
        <rFont val="Arial"/>
        <family val="2"/>
        <charset val="1"/>
      </rPr>
      <t>AUTORIZACIÓN</t>
    </r>
    <r>
      <rPr>
        <b/>
        <sz val="10"/>
        <rFont val="Arial"/>
        <family val="2"/>
        <charset val="1"/>
      </rPr>
      <t>:</t>
    </r>
  </si>
  <si>
    <t>Señor Director de Administración o Titular del Servicio Administrativo Financiero:</t>
  </si>
  <si>
    <t>IMPUTACIÓN PRESUPUESTARIA</t>
  </si>
  <si>
    <t>CÓDIGO</t>
  </si>
  <si>
    <t xml:space="preserve"> DENOMINACIÓN DE LA PARTIDA PRESUPUESTARIA</t>
  </si>
  <si>
    <t>IMPORTE</t>
  </si>
  <si>
    <t>PR</t>
  </si>
  <si>
    <t>SB</t>
  </si>
  <si>
    <t>PY</t>
  </si>
  <si>
    <t>AC</t>
  </si>
  <si>
    <t>OB</t>
  </si>
  <si>
    <t>UG</t>
  </si>
  <si>
    <t>FIN</t>
  </si>
  <si>
    <t>FUN</t>
  </si>
  <si>
    <t>I</t>
  </si>
  <si>
    <t>P</t>
  </si>
  <si>
    <t>SubP</t>
  </si>
  <si>
    <t>M</t>
  </si>
  <si>
    <t>FF</t>
  </si>
  <si>
    <t>JUSTIFICACIÓN:</t>
  </si>
  <si>
    <t>Autorizo la realización de los  trámites correspondientes, a fin de proveer a  este Organismo los bienes que se detallan en Nota  de Pedido N°....... , afectando la erogación resultante a los créditos presupuestarios aprobados a favor de esta Unidad Ejecutora, conforme al siguiente detalle:</t>
  </si>
  <si>
    <t>Descripción técnica                       Item 1</t>
  </si>
  <si>
    <t xml:space="preserve"> - Cumplir con los requisitos establecidos por el Código Alimentario Argentino (ley 18.284 modificaciones y reglamentaciones) para este tipo de bienes.</t>
  </si>
  <si>
    <t xml:space="preserve">Plazos de entrega: </t>
  </si>
  <si>
    <t>Lugar de Entrega:</t>
  </si>
  <si>
    <t>SECRETARIA DE AMINISTRACION - CHACABUCO N° 169 - en el horario de 8:00 hs a 12:00 hs de lunes a viernes</t>
  </si>
  <si>
    <t xml:space="preserve">Mantenimiento: </t>
  </si>
  <si>
    <t xml:space="preserve"> - Contar con habilitacion bromatologica.</t>
  </si>
  <si>
    <t xml:space="preserve"> - Indicar marca comercial.</t>
  </si>
  <si>
    <t>1.1</t>
  </si>
  <si>
    <t>ALIMENTOS PARA PERSONAS</t>
  </si>
  <si>
    <t>744 - SECRETARIA DE MEDICINA PREVENTIVA Y PROMOCION EN SALUD</t>
  </si>
  <si>
    <t>ADQ. DEL RUBRO ALIMENTOS PARA PERSONAS (BIDONES DE AGUA)</t>
  </si>
  <si>
    <t>NO</t>
  </si>
  <si>
    <t>Costo total estimado: PESOS SETENTA Y CINCO MIL CON 00/100.-</t>
  </si>
  <si>
    <t>TOTAL DE PESOS: SETENTA Y CINCO MIL CON 00/100.-</t>
  </si>
  <si>
    <t>747 - DIRECCION PROVINCIAL BANCO DE SANGRE</t>
  </si>
  <si>
    <t>Costo total estimado: PESOS SESENTA MIL CON 00/100.-</t>
  </si>
  <si>
    <t>TOTAL DE PESOS: SESENTA MIL CON 00/100.-</t>
  </si>
  <si>
    <t>Costo total estimado: PESOS CIENTO VEINTE MIL CON 00/100.-</t>
  </si>
  <si>
    <t>TOTAL DE PESOS: CIENTO VEINTE MIL CON 00/100.-</t>
  </si>
  <si>
    <t>Costo total estimado: PESOS CIENTO CINCUENTA MIL CON 00/100.-</t>
  </si>
  <si>
    <t>162 - DIRECCION PROVINCIAL MATERNIDAD, INFANCIA Y ADOLESCENCIA</t>
  </si>
  <si>
    <t>743 - SECRETARIA DE ASISTENCIA EN SALUD PUBLICA</t>
  </si>
  <si>
    <t>TOTAL DE PESOS: CIENTO CINCUENTA MIL CON 00/100.-</t>
  </si>
  <si>
    <t>746 - DIRECCION DE CONTROL DE VECTORES Y ZOONOSIS</t>
  </si>
  <si>
    <t>Costo total estimado: PESOS SETENTA Y OCHO MIL CON 00/100.-</t>
  </si>
  <si>
    <t>TOTAL DE PESOS: SETENTA Y OCHO MIL CON 00/100.-</t>
  </si>
  <si>
    <t>096 - DIRECCION PROVINCIAL DE ATENCION INTEGRAL A PERSONAS CON DISCAPACIDAD</t>
  </si>
  <si>
    <t>Costo total estimado: PESOS CIENTO OCHO MIL CON 00/100.-</t>
  </si>
  <si>
    <t>TOTAL DE PESOS: CIENTO OCHO MIL CON 00/100.-</t>
  </si>
  <si>
    <t>382 - SECRETARIA DE PLANIFICACION Y GESTION EN SALUD</t>
  </si>
  <si>
    <t>745 - SECRETARIA DE SALUD MENTAL Y ADICCIONES</t>
  </si>
  <si>
    <t>Costo total estimado: PESOS CUARENTA Y OCHO MIL CON 00/100.-</t>
  </si>
  <si>
    <t>TOTAL DE PESOS: CUARENTA Y OCHO MIL CON 00/100.-</t>
  </si>
  <si>
    <t>482 - DIRECCION PROVINCIAL DE EPIDEMIOLOGIA</t>
  </si>
  <si>
    <t>352 - MINISTERIO DE SALUD</t>
  </si>
  <si>
    <t>318 - U.G.S.P.CATAMARCA - SUMAR</t>
  </si>
  <si>
    <t>Costo total estimado: PESOS NUEVE MIL CON 00/100.-</t>
  </si>
  <si>
    <t>TOTAL DE PESOS: NUEVE MIL CON 00/100.-</t>
  </si>
  <si>
    <t>TRES (3) MESES</t>
  </si>
  <si>
    <t>Costo total estimado: PESOS TREINTA MIL CON 00/100.-</t>
  </si>
  <si>
    <t>Costo total estimado: PESOS VEINTICUATRO MIL CON 00/100.-</t>
  </si>
  <si>
    <t>468 - DIRECCIÓN PROVINCIAL DE LABORATORIO</t>
  </si>
  <si>
    <t>TOTAL DE PESOS: VEINTICUATRO MIL CON 00/100.-</t>
  </si>
  <si>
    <t>TOTAL DE PESOS: TREINTA MIL CON 00/100.-</t>
  </si>
  <si>
    <t>2.1.1-7915.14</t>
  </si>
  <si>
    <t>AGUA POTABLE; TIPO: POTABILIZADA SIN GASIFICAR; PRESENTACION: SEGÚN PLIEGO, MATERIAL ENVASE: SEGÚN PLIEGO, TIPO ENVASE: SEGÚN PLIEGO</t>
  </si>
  <si>
    <t>UNIDAD</t>
  </si>
  <si>
    <t>SEMANAL, siendo la 1° entregabdentro de los cinco (5) dias hábiles de notificada la Orden de Compra. Pago: MENSUAL.</t>
  </si>
  <si>
    <t xml:space="preserve">Calidad Minima esperada: </t>
  </si>
  <si>
    <t>ALTA</t>
  </si>
  <si>
    <t xml:space="preserve"> - Proveer con los bidones 100 dispenser aprox. de agua fria y caliente, incluyendo el mantenimiento de los mismos, hasta 5 días posteriores a la última entrega de bidones. La entrega deberá ser libre de flete, acarreo, embalaje y libre de cualquier riesgo de pérdida o destrucción total o parcialpor causas ajenas  a la instalación.</t>
  </si>
  <si>
    <t xml:space="preserve">Se realizará la entrega de 123 bidones de 20 Lts. En las primeras 3 semanas y, 124 bidones de 20 lts. En la última semana de cada mes, lo que hace la suma de de 490 bidones mensuales que representaun total de 1470 bidones trimestrales. </t>
  </si>
  <si>
    <t>CUARENTA Y CINCO (45) DÍAS.</t>
  </si>
  <si>
    <t xml:space="preserve"> - Proveer con los bidones 100 dispenser aprox. de agua fria y caliente, incluyendo el mantenimiento de los mismos, hasta 5 días posteriores a la última entrega de bidones. La entrega deberá ser libre de flete, acarreo, embalaje y libre de cualquier riesgo de pérdida o destrucción total o parcialpor causas ajenas  a la instalación.                                                                       - Indicar marca comercial                                                                                          - Cumplir con los requisitos establecidos por el Código Alimentario Argentino (ley 18.284 modificaciones y reglamentaciones)                                                                                   - Contar con habilitacion bromatologica para este tipo de bienes.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</si>
</sst>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4" formatCode="_-&quot;$&quot;\ * #,##0.00_-;\-&quot;$&quot;\ * #,##0.00_-;_-&quot;$&quot;\ * &quot;-&quot;??_-;_-@_-"/>
    <numFmt numFmtId="43" formatCode="_-* #,##0.00_-;\-* #,##0.00_-;_-* &quot;-&quot;??_-;_-@_-"/>
    <numFmt numFmtId="164" formatCode="_ &quot;$&quot;\ * #,##0.00_ ;_ &quot;$&quot;\ * \-#,##0.00_ ;_ &quot;$&quot;\ * &quot;-&quot;??_ ;_ @_ "/>
    <numFmt numFmtId="166" formatCode="[$$-2C0A]\ #,##0.00"/>
    <numFmt numFmtId="167" formatCode="_-[$$-2C0A]\ * #,##0.00_-;\-[$$-2C0A]\ * #,##0.00_-;_-[$$-2C0A]\ * &quot;-&quot;??_-;_-@_-"/>
    <numFmt numFmtId="168" formatCode="_-* #,##0.00&quot; €&quot;_-;\-* #,##0.00&quot; €&quot;_-;_-* \-??&quot; €&quot;_-;_-@_-"/>
    <numFmt numFmtId="169" formatCode="_(\$* #,##0.00_);_(\$* \(#,##0.00\);_(\$* \-??_);_(@_)"/>
    <numFmt numFmtId="170" formatCode="dd\-mm\-yy;@"/>
    <numFmt numFmtId="171" formatCode="[$$-2C0A]\ #,##0.00;[$$-2C0A]&quot; -&quot;#,##0.00"/>
  </numFmts>
  <fonts count="35" x14ac:knownFonts="1">
    <font>
      <sz val="11"/>
      <color theme="1"/>
      <name val="Calibri"/>
      <family val="2"/>
      <scheme val="minor"/>
    </font>
    <font>
      <sz val="11"/>
      <color theme="1"/>
      <name val="Calibri"/>
      <family val="2"/>
      <scheme val="minor"/>
    </font>
    <font>
      <b/>
      <sz val="11"/>
      <color theme="1"/>
      <name val="Calibri"/>
      <family val="2"/>
      <scheme val="minor"/>
    </font>
    <font>
      <sz val="10"/>
      <name val="Times New Roman"/>
      <family val="1"/>
    </font>
    <font>
      <b/>
      <sz val="10"/>
      <name val="Times New Roman"/>
      <family val="1"/>
    </font>
    <font>
      <b/>
      <sz val="10"/>
      <color rgb="FF000000"/>
      <name val="Times New Roman"/>
      <family val="1"/>
    </font>
    <font>
      <sz val="10"/>
      <color rgb="FF000000"/>
      <name val="Times New Roman"/>
      <family val="1"/>
    </font>
    <font>
      <sz val="10"/>
      <name val="Calibri"/>
      <family val="2"/>
      <scheme val="minor"/>
    </font>
    <font>
      <sz val="10"/>
      <name val="Arial"/>
      <family val="2"/>
    </font>
    <font>
      <sz val="10"/>
      <color theme="1"/>
      <name val="Calibri"/>
      <family val="2"/>
      <scheme val="minor"/>
    </font>
    <font>
      <b/>
      <sz val="10"/>
      <color rgb="FFFF0000"/>
      <name val="Calibri"/>
      <family val="2"/>
      <scheme val="minor"/>
    </font>
    <font>
      <sz val="10"/>
      <name val="Arial"/>
      <family val="2"/>
    </font>
    <font>
      <b/>
      <sz val="15"/>
      <color rgb="FF666699"/>
      <name val="Calibri"/>
      <family val="2"/>
      <charset val="1"/>
    </font>
    <font>
      <sz val="11"/>
      <color rgb="FF993300"/>
      <name val="Calibri"/>
      <family val="2"/>
      <charset val="1"/>
    </font>
    <font>
      <b/>
      <sz val="10"/>
      <color theme="1"/>
      <name val="Calibri"/>
      <family val="2"/>
      <scheme val="minor"/>
    </font>
    <font>
      <sz val="10"/>
      <name val="Arial"/>
      <family val="2"/>
    </font>
    <font>
      <sz val="10"/>
      <name val="Arial"/>
      <family val="2"/>
    </font>
    <font>
      <sz val="10"/>
      <name val="Arial"/>
      <family val="2"/>
      <charset val="1"/>
    </font>
    <font>
      <sz val="14"/>
      <name val="Times New Roman"/>
      <family val="1"/>
    </font>
    <font>
      <b/>
      <sz val="14"/>
      <name val="Times New Roman"/>
      <family val="1"/>
    </font>
    <font>
      <sz val="14"/>
      <color theme="1"/>
      <name val="Calibri"/>
      <family val="2"/>
      <scheme val="minor"/>
    </font>
    <font>
      <b/>
      <u/>
      <sz val="24"/>
      <name val="Times New Roman"/>
      <family val="1"/>
      <charset val="1"/>
    </font>
    <font>
      <b/>
      <u/>
      <sz val="12"/>
      <name val="Times New Roman"/>
      <family val="1"/>
      <charset val="1"/>
    </font>
    <font>
      <b/>
      <sz val="12"/>
      <name val="Times New Roman"/>
      <family val="1"/>
      <charset val="1"/>
    </font>
    <font>
      <sz val="12"/>
      <name val="Times New Roman"/>
      <family val="1"/>
      <charset val="1"/>
    </font>
    <font>
      <b/>
      <sz val="11"/>
      <name val="Times New Roman"/>
      <family val="1"/>
      <charset val="1"/>
    </font>
    <font>
      <sz val="11"/>
      <name val="Times New Roman"/>
      <family val="1"/>
      <charset val="1"/>
    </font>
    <font>
      <sz val="10"/>
      <name val="Times New Roman"/>
      <family val="1"/>
      <charset val="1"/>
    </font>
    <font>
      <b/>
      <sz val="14"/>
      <name val="Times New Roman"/>
      <family val="1"/>
      <charset val="1"/>
    </font>
    <font>
      <b/>
      <sz val="11"/>
      <name val="Arial"/>
      <family val="2"/>
      <charset val="1"/>
    </font>
    <font>
      <b/>
      <sz val="12"/>
      <name val="Arial"/>
      <family val="2"/>
      <charset val="1"/>
    </font>
    <font>
      <sz val="11"/>
      <name val="Arial"/>
      <family val="2"/>
      <charset val="1"/>
    </font>
    <font>
      <b/>
      <u/>
      <sz val="10"/>
      <name val="Arial"/>
      <family val="2"/>
      <charset val="1"/>
    </font>
    <font>
      <b/>
      <sz val="10"/>
      <name val="Arial"/>
      <family val="2"/>
      <charset val="1"/>
    </font>
    <font>
      <sz val="11"/>
      <name val="Times New Roman"/>
      <family val="1"/>
    </font>
  </fonts>
  <fills count="4">
    <fill>
      <patternFill patternType="none"/>
    </fill>
    <fill>
      <patternFill patternType="gray125"/>
    </fill>
    <fill>
      <patternFill patternType="solid">
        <fgColor theme="0"/>
        <bgColor indexed="64"/>
      </patternFill>
    </fill>
    <fill>
      <patternFill patternType="solid">
        <fgColor rgb="FFFFFF99"/>
        <bgColor rgb="FFFFFFCC"/>
      </patternFill>
    </fill>
  </fills>
  <borders count="67">
    <border>
      <left/>
      <right/>
      <top/>
      <bottom/>
      <diagonal/>
    </border>
    <border>
      <left style="thin">
        <color auto="1"/>
      </left>
      <right style="thin">
        <color auto="1"/>
      </right>
      <top style="thin">
        <color auto="1"/>
      </top>
      <bottom style="thin">
        <color auto="1"/>
      </bottom>
      <diagonal/>
    </border>
    <border>
      <left style="medium">
        <color indexed="64"/>
      </left>
      <right style="thin">
        <color auto="1"/>
      </right>
      <top style="medium">
        <color indexed="64"/>
      </top>
      <bottom style="medium">
        <color indexed="64"/>
      </bottom>
      <diagonal/>
    </border>
    <border>
      <left style="thin">
        <color auto="1"/>
      </left>
      <right style="thin">
        <color auto="1"/>
      </right>
      <top style="medium">
        <color indexed="64"/>
      </top>
      <bottom style="medium">
        <color indexed="64"/>
      </bottom>
      <diagonal/>
    </border>
    <border>
      <left style="thin">
        <color indexed="64"/>
      </left>
      <right style="thin">
        <color auto="1"/>
      </right>
      <top/>
      <bottom/>
      <diagonal/>
    </border>
    <border>
      <left/>
      <right style="thin">
        <color auto="1"/>
      </right>
      <top style="thin">
        <color auto="1"/>
      </top>
      <bottom style="thin">
        <color auto="1"/>
      </bottom>
      <diagonal/>
    </border>
    <border>
      <left style="thin">
        <color auto="1"/>
      </left>
      <right style="medium">
        <color indexed="64"/>
      </right>
      <top style="medium">
        <color indexed="64"/>
      </top>
      <bottom style="medium">
        <color indexed="64"/>
      </bottom>
      <diagonal/>
    </border>
    <border>
      <left/>
      <right/>
      <top/>
      <bottom style="thick">
        <color rgb="FF33CCCC"/>
      </bottom>
      <diagonal/>
    </border>
    <border>
      <left style="thin">
        <color auto="1"/>
      </left>
      <right style="thin">
        <color auto="1"/>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medium">
        <color auto="1"/>
      </left>
      <right/>
      <top style="medium">
        <color auto="1"/>
      </top>
      <bottom/>
      <diagonal/>
    </border>
    <border>
      <left/>
      <right style="medium">
        <color rgb="FF3D3D3D"/>
      </right>
      <top style="medium">
        <color auto="1"/>
      </top>
      <bottom/>
      <diagonal/>
    </border>
    <border>
      <left style="medium">
        <color rgb="FF3D3D3D"/>
      </left>
      <right style="medium">
        <color auto="1"/>
      </right>
      <top style="medium">
        <color auto="1"/>
      </top>
      <bottom style="medium">
        <color rgb="FF3D3D3D"/>
      </bottom>
      <diagonal/>
    </border>
    <border>
      <left style="medium">
        <color auto="1"/>
      </left>
      <right/>
      <top/>
      <bottom style="medium">
        <color rgb="FF3D3D3D"/>
      </bottom>
      <diagonal/>
    </border>
    <border>
      <left/>
      <right/>
      <top/>
      <bottom style="medium">
        <color rgb="FF3D3D3D"/>
      </bottom>
      <diagonal/>
    </border>
    <border>
      <left/>
      <right style="medium">
        <color auto="1"/>
      </right>
      <top/>
      <bottom/>
      <diagonal/>
    </border>
    <border>
      <left style="medium">
        <color auto="1"/>
      </left>
      <right/>
      <top style="medium">
        <color rgb="FF3D3D3D"/>
      </top>
      <bottom style="medium">
        <color rgb="FF3D3D3D"/>
      </bottom>
      <diagonal/>
    </border>
    <border>
      <left style="medium">
        <color auto="1"/>
      </left>
      <right style="medium">
        <color auto="1"/>
      </right>
      <top style="medium">
        <color auto="1"/>
      </top>
      <bottom style="medium">
        <color auto="1"/>
      </bottom>
      <diagonal/>
    </border>
    <border>
      <left style="medium">
        <color auto="1"/>
      </left>
      <right/>
      <top style="medium">
        <color rgb="FF3D3D3D"/>
      </top>
      <bottom/>
      <diagonal/>
    </border>
    <border>
      <left style="medium">
        <color auto="1"/>
      </left>
      <right style="medium">
        <color rgb="FF3D3D3D"/>
      </right>
      <top style="medium">
        <color auto="1"/>
      </top>
      <bottom style="medium">
        <color auto="1"/>
      </bottom>
      <diagonal/>
    </border>
    <border>
      <left style="medium">
        <color auto="1"/>
      </left>
      <right/>
      <top/>
      <bottom/>
      <diagonal/>
    </border>
    <border>
      <left style="medium">
        <color auto="1"/>
      </left>
      <right style="medium">
        <color rgb="FF3D3D3D"/>
      </right>
      <top style="medium">
        <color auto="1"/>
      </top>
      <bottom/>
      <diagonal/>
    </border>
    <border>
      <left style="medium">
        <color rgb="FF3D3D3D"/>
      </left>
      <right style="medium">
        <color rgb="FF3D3D3D"/>
      </right>
      <top style="medium">
        <color auto="1"/>
      </top>
      <bottom/>
      <diagonal/>
    </border>
    <border>
      <left style="medium">
        <color rgb="FF3D3D3D"/>
      </left>
      <right style="medium">
        <color auto="1"/>
      </right>
      <top style="medium">
        <color auto="1"/>
      </top>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bottom style="medium">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right/>
      <top style="medium">
        <color auto="1"/>
      </top>
      <bottom/>
      <diagonal/>
    </border>
    <border>
      <left style="medium">
        <color auto="1"/>
      </left>
      <right style="medium">
        <color rgb="FF3D3D3D"/>
      </right>
      <top style="medium">
        <color rgb="FF3D3D3D"/>
      </top>
      <bottom style="medium">
        <color rgb="FF3D3D3D"/>
      </bottom>
      <diagonal/>
    </border>
    <border>
      <left style="medium">
        <color rgb="FF3D3D3D"/>
      </left>
      <right style="medium">
        <color auto="1"/>
      </right>
      <top style="medium">
        <color rgb="FF3D3D3D"/>
      </top>
      <bottom style="medium">
        <color rgb="FF3D3D3D"/>
      </bottom>
      <diagonal/>
    </border>
    <border>
      <left style="medium">
        <color auto="1"/>
      </left>
      <right style="medium">
        <color auto="1"/>
      </right>
      <top style="medium">
        <color rgb="FF3D3D3D"/>
      </top>
      <bottom style="medium">
        <color rgb="FF3D3D3D"/>
      </bottom>
      <diagonal/>
    </border>
    <border>
      <left style="medium">
        <color auto="1"/>
      </left>
      <right style="medium">
        <color auto="1"/>
      </right>
      <top style="medium">
        <color rgb="FF3D3D3D"/>
      </top>
      <bottom/>
      <diagonal/>
    </border>
    <border>
      <left style="medium">
        <color auto="1"/>
      </left>
      <right style="medium">
        <color auto="1"/>
      </right>
      <top/>
      <bottom/>
      <diagonal/>
    </border>
    <border>
      <left/>
      <right style="medium">
        <color auto="1"/>
      </right>
      <top/>
      <bottom style="medium">
        <color rgb="FF3D3D3D"/>
      </bottom>
      <diagonal/>
    </border>
    <border>
      <left style="medium">
        <color rgb="FF3D3D3D"/>
      </left>
      <right style="medium">
        <color rgb="FF3D3D3D"/>
      </right>
      <top style="medium">
        <color rgb="FF3D3D3D"/>
      </top>
      <bottom/>
      <diagonal/>
    </border>
    <border>
      <left/>
      <right style="medium">
        <color auto="1"/>
      </right>
      <top style="medium">
        <color rgb="FF3D3D3D"/>
      </top>
      <bottom/>
      <diagonal/>
    </border>
    <border>
      <left style="medium">
        <color auto="1"/>
      </left>
      <right style="thin">
        <color rgb="FF3D3D3D"/>
      </right>
      <top/>
      <bottom/>
      <diagonal/>
    </border>
    <border>
      <left style="thin">
        <color rgb="FF3D3D3D"/>
      </left>
      <right style="thin">
        <color rgb="FF3D3D3D"/>
      </right>
      <top/>
      <bottom/>
      <diagonal/>
    </border>
    <border>
      <left style="thin">
        <color rgb="FF3D3D3D"/>
      </left>
      <right/>
      <top/>
      <bottom/>
      <diagonal/>
    </border>
    <border>
      <left style="medium">
        <color rgb="FF3D3D3D"/>
      </left>
      <right style="medium">
        <color rgb="FF3D3D3D"/>
      </right>
      <top/>
      <bottom/>
      <diagonal/>
    </border>
    <border>
      <left style="medium">
        <color auto="1"/>
      </left>
      <right style="thin">
        <color rgb="FF3D3D3D"/>
      </right>
      <top style="medium">
        <color rgb="FF3D3D3D"/>
      </top>
      <bottom style="thin">
        <color rgb="FF3D3D3D"/>
      </bottom>
      <diagonal/>
    </border>
    <border>
      <left style="thin">
        <color rgb="FF3D3D3D"/>
      </left>
      <right style="thin">
        <color rgb="FF3D3D3D"/>
      </right>
      <top style="medium">
        <color rgb="FF3D3D3D"/>
      </top>
      <bottom style="thin">
        <color rgb="FF3D3D3D"/>
      </bottom>
      <diagonal/>
    </border>
    <border>
      <left style="thin">
        <color rgb="FF3D3D3D"/>
      </left>
      <right/>
      <top style="medium">
        <color rgb="FF3D3D3D"/>
      </top>
      <bottom style="thin">
        <color rgb="FF3D3D3D"/>
      </bottom>
      <diagonal/>
    </border>
    <border>
      <left style="thin">
        <color rgb="FF3D3D3D"/>
      </left>
      <right style="medium">
        <color auto="1"/>
      </right>
      <top style="medium">
        <color rgb="FF3D3D3D"/>
      </top>
      <bottom style="thin">
        <color rgb="FF3D3D3D"/>
      </bottom>
      <diagonal/>
    </border>
    <border>
      <left style="medium">
        <color auto="1"/>
      </left>
      <right style="thin">
        <color rgb="FF3D3D3D"/>
      </right>
      <top/>
      <bottom style="thin">
        <color rgb="FF3D3D3D"/>
      </bottom>
      <diagonal/>
    </border>
    <border>
      <left style="thin">
        <color rgb="FF3D3D3D"/>
      </left>
      <right style="thin">
        <color rgb="FF3D3D3D"/>
      </right>
      <top/>
      <bottom style="thin">
        <color rgb="FF3D3D3D"/>
      </bottom>
      <diagonal/>
    </border>
    <border>
      <left style="thin">
        <color rgb="FF3D3D3D"/>
      </left>
      <right/>
      <top/>
      <bottom style="thin">
        <color rgb="FF3D3D3D"/>
      </bottom>
      <diagonal/>
    </border>
    <border>
      <left style="thin">
        <color rgb="FF3D3D3D"/>
      </left>
      <right style="thin">
        <color rgb="FF3D3D3D"/>
      </right>
      <top style="thin">
        <color rgb="FF3D3D3D"/>
      </top>
      <bottom style="thin">
        <color rgb="FF3D3D3D"/>
      </bottom>
      <diagonal/>
    </border>
    <border>
      <left style="thin">
        <color rgb="FF3D3D3D"/>
      </left>
      <right style="medium">
        <color auto="1"/>
      </right>
      <top style="thin">
        <color rgb="FF3D3D3D"/>
      </top>
      <bottom style="thin">
        <color rgb="FF3D3D3D"/>
      </bottom>
      <diagonal/>
    </border>
    <border>
      <left style="medium">
        <color auto="1"/>
      </left>
      <right style="thin">
        <color rgb="FF3D3D3D"/>
      </right>
      <top style="thin">
        <color rgb="FF3D3D3D"/>
      </top>
      <bottom style="medium">
        <color rgb="FF3D3D3D"/>
      </bottom>
      <diagonal/>
    </border>
    <border>
      <left style="thin">
        <color rgb="FF3D3D3D"/>
      </left>
      <right style="thin">
        <color rgb="FF3D3D3D"/>
      </right>
      <top style="thin">
        <color rgb="FF3D3D3D"/>
      </top>
      <bottom style="medium">
        <color rgb="FF3D3D3D"/>
      </bottom>
      <diagonal/>
    </border>
    <border>
      <left style="thin">
        <color rgb="FF3D3D3D"/>
      </left>
      <right/>
      <top style="thin">
        <color rgb="FF3D3D3D"/>
      </top>
      <bottom style="medium">
        <color rgb="FF3D3D3D"/>
      </bottom>
      <diagonal/>
    </border>
    <border>
      <left style="thin">
        <color rgb="FF3D3D3D"/>
      </left>
      <right style="medium">
        <color auto="1"/>
      </right>
      <top style="thin">
        <color rgb="FF3D3D3D"/>
      </top>
      <bottom style="medium">
        <color rgb="FF3D3D3D"/>
      </bottom>
      <diagonal/>
    </border>
    <border>
      <left style="medium">
        <color auto="1"/>
      </left>
      <right style="medium">
        <color rgb="FF3D3D3D"/>
      </right>
      <top/>
      <bottom style="medium">
        <color rgb="FF3D3D3D"/>
      </bottom>
      <diagonal/>
    </border>
    <border>
      <left style="medium">
        <color rgb="FF3D3D3D"/>
      </left>
      <right style="medium">
        <color auto="1"/>
      </right>
      <top/>
      <bottom style="medium">
        <color rgb="FF3D3D3D"/>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medium">
        <color auto="1"/>
      </top>
      <bottom style="medium">
        <color auto="1"/>
      </bottom>
      <diagonal/>
    </border>
    <border>
      <left style="medium">
        <color rgb="FF3D3D3D"/>
      </left>
      <right/>
      <top style="medium">
        <color auto="1"/>
      </top>
      <bottom style="medium">
        <color auto="1"/>
      </bottom>
      <diagonal/>
    </border>
    <border>
      <left style="medium">
        <color auto="1"/>
      </left>
      <right/>
      <top style="thin">
        <color indexed="64"/>
      </top>
      <bottom style="medium">
        <color auto="1"/>
      </bottom>
      <diagonal/>
    </border>
    <border>
      <left/>
      <right style="medium">
        <color auto="1"/>
      </right>
      <top style="thin">
        <color indexed="64"/>
      </top>
      <bottom style="medium">
        <color auto="1"/>
      </bottom>
      <diagonal/>
    </border>
  </borders>
  <cellStyleXfs count="34">
    <xf numFmtId="0" fontId="0" fillId="0" borderId="0"/>
    <xf numFmtId="44" fontId="1" fillId="0" borderId="0" applyFont="0" applyFill="0" applyBorder="0" applyAlignment="0" applyProtection="0"/>
    <xf numFmtId="0" fontId="8" fillId="0" borderId="0"/>
    <xf numFmtId="164" fontId="8" fillId="0" borderId="0" applyBorder="0" applyAlignment="0" applyProtection="0"/>
    <xf numFmtId="0" fontId="1" fillId="0" borderId="0"/>
    <xf numFmtId="0" fontId="8" fillId="0" borderId="0"/>
    <xf numFmtId="0" fontId="8" fillId="0" borderId="0"/>
    <xf numFmtId="0" fontId="8" fillId="0" borderId="0"/>
    <xf numFmtId="0" fontId="11" fillId="0" borderId="0"/>
    <xf numFmtId="168" fontId="8" fillId="0" borderId="0" applyBorder="0" applyProtection="0"/>
    <xf numFmtId="0" fontId="12" fillId="0" borderId="7" applyProtection="0"/>
    <xf numFmtId="0" fontId="13" fillId="3" borderId="0" applyBorder="0" applyProtection="0"/>
    <xf numFmtId="0" fontId="8" fillId="0" borderId="0"/>
    <xf numFmtId="0" fontId="8" fillId="0" borderId="0"/>
    <xf numFmtId="168" fontId="8" fillId="0" borderId="0" applyBorder="0" applyProtection="0"/>
    <xf numFmtId="0" fontId="12" fillId="0" borderId="7" applyProtection="0"/>
    <xf numFmtId="164" fontId="8" fillId="0" borderId="0" applyBorder="0" applyAlignment="0" applyProtection="0"/>
    <xf numFmtId="0" fontId="8" fillId="0" borderId="0"/>
    <xf numFmtId="0" fontId="8" fillId="0" borderId="0"/>
    <xf numFmtId="0" fontId="8" fillId="0" borderId="0"/>
    <xf numFmtId="43" fontId="1" fillId="0" borderId="0" applyFont="0" applyFill="0" applyBorder="0" applyAlignment="0" applyProtection="0"/>
    <xf numFmtId="168" fontId="8" fillId="0" borderId="0" applyBorder="0" applyProtection="0"/>
    <xf numFmtId="0" fontId="1" fillId="0" borderId="0"/>
    <xf numFmtId="0" fontId="1" fillId="0" borderId="0"/>
    <xf numFmtId="0" fontId="8" fillId="0" borderId="0"/>
    <xf numFmtId="0" fontId="1" fillId="0" borderId="0"/>
    <xf numFmtId="43" fontId="1" fillId="0" borderId="0" applyFont="0" applyFill="0" applyBorder="0" applyAlignment="0" applyProtection="0"/>
    <xf numFmtId="0" fontId="1" fillId="0" borderId="0"/>
    <xf numFmtId="0" fontId="1" fillId="0" borderId="0"/>
    <xf numFmtId="0" fontId="8" fillId="0" borderId="0"/>
    <xf numFmtId="0" fontId="15" fillId="0" borderId="0"/>
    <xf numFmtId="0" fontId="16" fillId="0" borderId="0"/>
    <xf numFmtId="0" fontId="8" fillId="0" borderId="0"/>
    <xf numFmtId="169" fontId="17" fillId="0" borderId="0" applyBorder="0" applyProtection="0"/>
  </cellStyleXfs>
  <cellXfs count="164">
    <xf numFmtId="0" fontId="0" fillId="0" borderId="0" xfId="0"/>
    <xf numFmtId="3" fontId="3" fillId="2" borderId="1" xfId="0" applyNumberFormat="1" applyFont="1" applyFill="1" applyBorder="1" applyAlignment="1">
      <alignment horizontal="center" vertical="center" wrapText="1"/>
    </xf>
    <xf numFmtId="0" fontId="3" fillId="0" borderId="0" xfId="0" applyFont="1" applyAlignment="1">
      <alignment horizontal="center" vertical="center" wrapText="1"/>
    </xf>
    <xf numFmtId="0" fontId="3" fillId="0" borderId="0" xfId="0" applyFont="1" applyAlignment="1">
      <alignment horizontal="center" vertical="center"/>
    </xf>
    <xf numFmtId="0" fontId="3" fillId="0" borderId="0" xfId="0" applyFont="1" applyAlignment="1">
      <alignment horizontal="left" vertical="center" wrapText="1"/>
    </xf>
    <xf numFmtId="3" fontId="3" fillId="0" borderId="0" xfId="0" applyNumberFormat="1" applyFont="1" applyAlignment="1">
      <alignment horizontal="center" vertical="center"/>
    </xf>
    <xf numFmtId="167" fontId="3" fillId="0" borderId="0" xfId="1" applyNumberFormat="1" applyFont="1" applyAlignment="1">
      <alignment horizontal="center" vertical="center"/>
    </xf>
    <xf numFmtId="167" fontId="3" fillId="0" borderId="0" xfId="0" applyNumberFormat="1" applyFont="1" applyAlignment="1">
      <alignment horizontal="center" vertical="center"/>
    </xf>
    <xf numFmtId="0" fontId="6" fillId="0" borderId="0" xfId="0" applyFont="1" applyAlignment="1">
      <alignment horizontal="center" vertical="center" wrapText="1"/>
    </xf>
    <xf numFmtId="3" fontId="6" fillId="0" borderId="0" xfId="0" applyNumberFormat="1" applyFont="1" applyAlignment="1">
      <alignment horizontal="center" vertical="center" wrapText="1"/>
    </xf>
    <xf numFmtId="0" fontId="6" fillId="0" borderId="0" xfId="0" applyFont="1" applyAlignment="1">
      <alignment horizontal="left" vertical="center" wrapText="1"/>
    </xf>
    <xf numFmtId="0" fontId="5" fillId="0" borderId="1" xfId="0" applyFont="1" applyBorder="1" applyAlignment="1">
      <alignment horizontal="center" vertical="center"/>
    </xf>
    <xf numFmtId="0" fontId="5" fillId="0" borderId="1" xfId="0" applyFont="1" applyBorder="1" applyAlignment="1">
      <alignment horizontal="center" vertical="center" wrapText="1"/>
    </xf>
    <xf numFmtId="0" fontId="5" fillId="0" borderId="1" xfId="0" applyFont="1" applyBorder="1" applyAlignment="1">
      <alignment horizontal="left" vertical="center" wrapText="1"/>
    </xf>
    <xf numFmtId="3" fontId="5" fillId="0" borderId="1" xfId="0" applyNumberFormat="1" applyFont="1" applyBorder="1" applyAlignment="1">
      <alignment horizontal="center" vertical="center" wrapText="1"/>
    </xf>
    <xf numFmtId="167" fontId="4" fillId="0" borderId="1" xfId="1" applyNumberFormat="1" applyFont="1" applyBorder="1" applyAlignment="1">
      <alignment horizontal="center" vertical="center" wrapText="1"/>
    </xf>
    <xf numFmtId="167" fontId="5" fillId="0" borderId="1" xfId="0" applyNumberFormat="1" applyFont="1" applyBorder="1" applyAlignment="1">
      <alignment horizontal="center" vertical="center" wrapText="1"/>
    </xf>
    <xf numFmtId="0" fontId="2" fillId="0" borderId="1" xfId="0" applyFont="1" applyBorder="1" applyAlignment="1">
      <alignment horizontal="center" vertical="center"/>
    </xf>
    <xf numFmtId="0" fontId="10" fillId="0" borderId="3" xfId="0" applyFont="1" applyFill="1" applyBorder="1" applyAlignment="1">
      <alignment horizontal="left" vertical="center" wrapText="1"/>
    </xf>
    <xf numFmtId="0" fontId="9" fillId="0" borderId="1" xfId="0" applyFont="1" applyFill="1" applyBorder="1" applyAlignment="1">
      <alignment horizontal="left" vertical="center" wrapText="1"/>
    </xf>
    <xf numFmtId="0" fontId="10" fillId="0" borderId="3" xfId="0" applyFont="1" applyBorder="1" applyAlignment="1">
      <alignment horizontal="center" vertical="center"/>
    </xf>
    <xf numFmtId="0" fontId="0" fillId="0" borderId="0" xfId="0" applyAlignment="1">
      <alignment horizontal="center" vertical="center"/>
    </xf>
    <xf numFmtId="0" fontId="0" fillId="0" borderId="0" xfId="0" applyAlignment="1">
      <alignment horizontal="left" vertical="center" wrapText="1"/>
    </xf>
    <xf numFmtId="3" fontId="0" fillId="0" borderId="0" xfId="0" applyNumberFormat="1" applyAlignment="1">
      <alignment horizontal="center" vertical="center"/>
    </xf>
    <xf numFmtId="167" fontId="0" fillId="0" borderId="0" xfId="0" applyNumberFormat="1" applyAlignment="1">
      <alignment horizontal="center" vertical="center"/>
    </xf>
    <xf numFmtId="0" fontId="0" fillId="0" borderId="0" xfId="0"/>
    <xf numFmtId="167" fontId="9" fillId="0" borderId="4" xfId="1" applyNumberFormat="1" applyFont="1" applyFill="1" applyBorder="1" applyAlignment="1">
      <alignment horizontal="center" vertical="center"/>
    </xf>
    <xf numFmtId="0" fontId="0" fillId="0" borderId="0" xfId="0" applyAlignment="1">
      <alignment horizontal="center" vertical="center"/>
    </xf>
    <xf numFmtId="0" fontId="10" fillId="0" borderId="2" xfId="0" applyFont="1" applyBorder="1" applyAlignment="1">
      <alignment horizontal="center" vertical="center"/>
    </xf>
    <xf numFmtId="0" fontId="9" fillId="0" borderId="0" xfId="0" applyFont="1" applyFill="1"/>
    <xf numFmtId="0" fontId="10" fillId="0" borderId="0" xfId="0" applyFont="1" applyFill="1"/>
    <xf numFmtId="3" fontId="10" fillId="0" borderId="3" xfId="2" applyNumberFormat="1" applyFont="1" applyBorder="1" applyAlignment="1">
      <alignment horizontal="center" vertical="center" wrapText="1"/>
    </xf>
    <xf numFmtId="167" fontId="0" fillId="0" borderId="0" xfId="0" applyNumberFormat="1" applyAlignment="1">
      <alignment horizontal="center" vertical="center"/>
    </xf>
    <xf numFmtId="167" fontId="10" fillId="2" borderId="6" xfId="2" applyNumberFormat="1" applyFont="1" applyFill="1" applyBorder="1" applyAlignment="1">
      <alignment horizontal="center" vertical="center" wrapText="1"/>
    </xf>
    <xf numFmtId="0" fontId="18" fillId="0" borderId="0" xfId="0" applyFont="1" applyAlignment="1">
      <alignment horizontal="center" vertical="center"/>
    </xf>
    <xf numFmtId="167" fontId="18" fillId="0" borderId="0" xfId="0" applyNumberFormat="1" applyFont="1" applyAlignment="1">
      <alignment horizontal="center" vertical="center"/>
    </xf>
    <xf numFmtId="0" fontId="20" fillId="0" borderId="0" xfId="0" applyFont="1"/>
    <xf numFmtId="167" fontId="10" fillId="0" borderId="3" xfId="1" applyNumberFormat="1" applyFont="1" applyFill="1" applyBorder="1" applyAlignment="1">
      <alignment horizontal="center" vertical="center"/>
    </xf>
    <xf numFmtId="0" fontId="10" fillId="0" borderId="5" xfId="0" applyFont="1" applyFill="1" applyBorder="1" applyAlignment="1">
      <alignment horizontal="left" vertical="center" wrapText="1"/>
    </xf>
    <xf numFmtId="0" fontId="22" fillId="0" borderId="11" xfId="0" applyFont="1" applyBorder="1" applyAlignment="1">
      <alignment horizontal="right" vertical="center"/>
    </xf>
    <xf numFmtId="0" fontId="23" fillId="0" borderId="12" xfId="0" applyFont="1" applyBorder="1" applyAlignment="1">
      <alignment horizontal="center" vertical="center"/>
    </xf>
    <xf numFmtId="0" fontId="22" fillId="0" borderId="13" xfId="0" applyFont="1" applyBorder="1" applyAlignment="1">
      <alignment vertical="center"/>
    </xf>
    <xf numFmtId="0" fontId="22" fillId="0" borderId="14" xfId="0" applyFont="1" applyBorder="1" applyAlignment="1">
      <alignment vertical="center"/>
    </xf>
    <xf numFmtId="0" fontId="22" fillId="0" borderId="0" xfId="0" applyFont="1" applyBorder="1" applyAlignment="1">
      <alignment vertical="center"/>
    </xf>
    <xf numFmtId="0" fontId="22" fillId="0" borderId="15" xfId="0" applyFont="1" applyBorder="1" applyAlignment="1">
      <alignment vertical="center"/>
    </xf>
    <xf numFmtId="0" fontId="24" fillId="0" borderId="20" xfId="0" applyFont="1" applyBorder="1" applyAlignment="1">
      <alignment horizontal="left" vertical="center"/>
    </xf>
    <xf numFmtId="0" fontId="24" fillId="0" borderId="0" xfId="0" applyFont="1" applyBorder="1" applyAlignment="1">
      <alignment horizontal="left" vertical="center"/>
    </xf>
    <xf numFmtId="0" fontId="23" fillId="0" borderId="0" xfId="0" applyFont="1" applyBorder="1" applyAlignment="1">
      <alignment horizontal="left" vertical="center" wrapText="1" indent="1"/>
    </xf>
    <xf numFmtId="0" fontId="23" fillId="0" borderId="15" xfId="0" applyFont="1" applyBorder="1" applyAlignment="1">
      <alignment horizontal="left" vertical="center" wrapText="1" indent="1"/>
    </xf>
    <xf numFmtId="0" fontId="26" fillId="0" borderId="24" xfId="0" applyFont="1" applyBorder="1" applyAlignment="1">
      <alignment horizontal="center" vertical="center"/>
    </xf>
    <xf numFmtId="0" fontId="27" fillId="0" borderId="8" xfId="0" applyFont="1" applyBorder="1" applyAlignment="1">
      <alignment horizontal="center" vertical="center"/>
    </xf>
    <xf numFmtId="0" fontId="27" fillId="0" borderId="8" xfId="0" applyFont="1" applyBorder="1" applyAlignment="1">
      <alignment horizontal="center" vertical="center" wrapText="1"/>
    </xf>
    <xf numFmtId="3" fontId="27" fillId="0" borderId="25" xfId="0" applyNumberFormat="1" applyFont="1" applyBorder="1" applyAlignment="1">
      <alignment horizontal="center" vertical="center"/>
    </xf>
    <xf numFmtId="0" fontId="26" fillId="0" borderId="26" xfId="0" applyFont="1" applyBorder="1" applyAlignment="1">
      <alignment horizontal="center" vertical="center"/>
    </xf>
    <xf numFmtId="0" fontId="26" fillId="0" borderId="9" xfId="0" applyFont="1" applyBorder="1" applyAlignment="1">
      <alignment horizontal="left" vertical="center"/>
    </xf>
    <xf numFmtId="0" fontId="27" fillId="0" borderId="9" xfId="0" applyFont="1" applyBorder="1" applyAlignment="1">
      <alignment horizontal="center" vertical="center"/>
    </xf>
    <xf numFmtId="0" fontId="27" fillId="0" borderId="9" xfId="0" applyFont="1" applyBorder="1" applyAlignment="1">
      <alignment horizontal="center" vertical="center" wrapText="1"/>
    </xf>
    <xf numFmtId="3" fontId="27" fillId="0" borderId="27" xfId="0" applyNumberFormat="1" applyFont="1" applyBorder="1" applyAlignment="1">
      <alignment horizontal="center" vertical="center"/>
    </xf>
    <xf numFmtId="3" fontId="29" fillId="0" borderId="31" xfId="0" applyNumberFormat="1" applyFont="1" applyBorder="1" applyAlignment="1"/>
    <xf numFmtId="170" fontId="0" fillId="0" borderId="31" xfId="0" applyNumberFormat="1" applyBorder="1" applyAlignment="1">
      <alignment horizontal="left"/>
    </xf>
    <xf numFmtId="0" fontId="0" fillId="0" borderId="31" xfId="0" applyBorder="1"/>
    <xf numFmtId="0" fontId="0" fillId="0" borderId="20" xfId="0" applyBorder="1"/>
    <xf numFmtId="0" fontId="0" fillId="0" borderId="0" xfId="0" applyBorder="1"/>
    <xf numFmtId="0" fontId="0" fillId="0" borderId="0" xfId="0" applyBorder="1" applyAlignment="1">
      <alignment horizontal="left"/>
    </xf>
    <xf numFmtId="170" fontId="0" fillId="0" borderId="0" xfId="0" applyNumberFormat="1" applyBorder="1" applyAlignment="1">
      <alignment horizontal="left"/>
    </xf>
    <xf numFmtId="0" fontId="0" fillId="0" borderId="15" xfId="0" applyBorder="1"/>
    <xf numFmtId="0" fontId="0" fillId="0" borderId="13" xfId="0" applyBorder="1"/>
    <xf numFmtId="0" fontId="0" fillId="0" borderId="14" xfId="0" applyBorder="1"/>
    <xf numFmtId="0" fontId="0" fillId="0" borderId="14" xfId="0" applyBorder="1" applyAlignment="1">
      <alignment horizontal="left"/>
    </xf>
    <xf numFmtId="0" fontId="0" fillId="0" borderId="37" xfId="0" applyBorder="1"/>
    <xf numFmtId="0" fontId="33" fillId="0" borderId="40" xfId="0" applyFont="1" applyBorder="1" applyAlignment="1">
      <alignment horizontal="center" vertical="center"/>
    </xf>
    <xf numFmtId="0" fontId="33" fillId="0" borderId="41" xfId="0" applyFont="1" applyBorder="1" applyAlignment="1">
      <alignment horizontal="center" vertical="center"/>
    </xf>
    <xf numFmtId="0" fontId="33" fillId="0" borderId="41" xfId="0" applyFont="1" applyBorder="1" applyAlignment="1">
      <alignment horizontal="left" vertical="center"/>
    </xf>
    <xf numFmtId="0" fontId="33" fillId="0" borderId="42" xfId="0" applyFont="1" applyBorder="1" applyAlignment="1">
      <alignment horizontal="center" vertical="center"/>
    </xf>
    <xf numFmtId="0" fontId="33" fillId="0" borderId="43" xfId="0" applyFont="1" applyBorder="1" applyAlignment="1">
      <alignment horizontal="center" vertical="center"/>
    </xf>
    <xf numFmtId="0" fontId="0" fillId="0" borderId="44" xfId="0" applyFont="1" applyBorder="1" applyAlignment="1">
      <alignment horizontal="center" vertical="center"/>
    </xf>
    <xf numFmtId="0" fontId="0" fillId="0" borderId="45" xfId="0" applyFont="1" applyBorder="1" applyAlignment="1">
      <alignment horizontal="center" vertical="center"/>
    </xf>
    <xf numFmtId="0" fontId="0" fillId="0" borderId="46" xfId="0" applyFont="1" applyBorder="1" applyAlignment="1">
      <alignment horizontal="center" vertical="center"/>
    </xf>
    <xf numFmtId="171" fontId="0" fillId="0" borderId="47" xfId="33" applyNumberFormat="1" applyFont="1" applyBorder="1" applyAlignment="1" applyProtection="1">
      <alignment horizontal="center" vertical="center"/>
    </xf>
    <xf numFmtId="0" fontId="0" fillId="0" borderId="48" xfId="0" applyFont="1" applyBorder="1" applyAlignment="1">
      <alignment horizontal="center" vertical="center"/>
    </xf>
    <xf numFmtId="0" fontId="0" fillId="0" borderId="49" xfId="0" applyFont="1" applyBorder="1" applyAlignment="1">
      <alignment horizontal="center" vertical="center"/>
    </xf>
    <xf numFmtId="0" fontId="0" fillId="0" borderId="50" xfId="0" applyFont="1" applyBorder="1" applyAlignment="1">
      <alignment horizontal="center" vertical="center"/>
    </xf>
    <xf numFmtId="0" fontId="0" fillId="0" borderId="51" xfId="0" applyFont="1" applyBorder="1" applyAlignment="1">
      <alignment horizontal="center" vertical="center"/>
    </xf>
    <xf numFmtId="171" fontId="0" fillId="0" borderId="52" xfId="33" applyNumberFormat="1" applyFont="1" applyBorder="1" applyAlignment="1" applyProtection="1">
      <alignment horizontal="center" vertical="center"/>
    </xf>
    <xf numFmtId="0" fontId="31" fillId="0" borderId="48" xfId="0" applyFont="1" applyBorder="1" applyAlignment="1">
      <alignment horizontal="center" vertical="center"/>
    </xf>
    <xf numFmtId="0" fontId="31" fillId="0" borderId="49" xfId="0" applyFont="1" applyBorder="1" applyAlignment="1">
      <alignment horizontal="center" vertical="center"/>
    </xf>
    <xf numFmtId="0" fontId="0" fillId="0" borderId="51" xfId="0" applyBorder="1" applyAlignment="1">
      <alignment horizontal="center" vertical="center"/>
    </xf>
    <xf numFmtId="0" fontId="31" fillId="0" borderId="50" xfId="0" applyFont="1" applyBorder="1" applyAlignment="1">
      <alignment horizontal="center" vertical="center"/>
    </xf>
    <xf numFmtId="0" fontId="31" fillId="0" borderId="51" xfId="0" applyFont="1" applyBorder="1" applyAlignment="1">
      <alignment horizontal="center" vertical="center"/>
    </xf>
    <xf numFmtId="0" fontId="0" fillId="0" borderId="53" xfId="0" applyBorder="1" applyAlignment="1">
      <alignment horizontal="center" vertical="center"/>
    </xf>
    <xf numFmtId="0" fontId="0" fillId="0" borderId="54" xfId="0" applyBorder="1" applyAlignment="1">
      <alignment horizontal="center" vertical="center"/>
    </xf>
    <xf numFmtId="0" fontId="0" fillId="0" borderId="55" xfId="0" applyBorder="1" applyAlignment="1">
      <alignment horizontal="center" vertical="center"/>
    </xf>
    <xf numFmtId="171" fontId="0" fillId="0" borderId="56" xfId="33" applyNumberFormat="1" applyFont="1" applyBorder="1" applyAlignment="1" applyProtection="1">
      <alignment horizontal="center" vertical="center"/>
    </xf>
    <xf numFmtId="171" fontId="33" fillId="0" borderId="58" xfId="0" applyNumberFormat="1" applyFont="1" applyBorder="1" applyAlignment="1">
      <alignment horizontal="center" vertical="center"/>
    </xf>
    <xf numFmtId="0" fontId="0" fillId="0" borderId="51" xfId="0" applyFont="1" applyBorder="1" applyAlignment="1">
      <alignment horizontal="center" vertical="center"/>
    </xf>
    <xf numFmtId="0" fontId="14" fillId="0" borderId="4" xfId="0" applyFont="1" applyFill="1" applyBorder="1" applyAlignment="1">
      <alignment horizontal="center" vertical="center"/>
    </xf>
    <xf numFmtId="0" fontId="14" fillId="0" borderId="4" xfId="0" applyFont="1" applyFill="1" applyBorder="1" applyAlignment="1">
      <alignment vertical="center" wrapText="1"/>
    </xf>
    <xf numFmtId="3" fontId="7" fillId="0" borderId="4" xfId="2" applyNumberFormat="1" applyFont="1" applyFill="1" applyBorder="1" applyAlignment="1">
      <alignment horizontal="center" vertical="center" wrapText="1"/>
    </xf>
    <xf numFmtId="167" fontId="7" fillId="0" borderId="4" xfId="2" applyNumberFormat="1" applyFont="1" applyFill="1" applyBorder="1" applyAlignment="1">
      <alignment horizontal="center" vertical="center" wrapText="1"/>
    </xf>
    <xf numFmtId="0" fontId="3" fillId="0" borderId="0" xfId="0" applyFont="1" applyBorder="1" applyAlignment="1">
      <alignment horizontal="center" vertical="center"/>
    </xf>
    <xf numFmtId="0" fontId="3" fillId="0" borderId="15" xfId="0" applyFont="1" applyBorder="1" applyAlignment="1">
      <alignment horizontal="center" vertical="center" wrapText="1"/>
    </xf>
    <xf numFmtId="0" fontId="3" fillId="0" borderId="0" xfId="0" applyFont="1" applyBorder="1" applyAlignment="1">
      <alignment vertical="center"/>
    </xf>
    <xf numFmtId="0" fontId="3" fillId="0" borderId="15" xfId="0" applyFont="1" applyBorder="1" applyAlignment="1">
      <alignment vertical="center"/>
    </xf>
    <xf numFmtId="0" fontId="34" fillId="0" borderId="60" xfId="0" applyFont="1" applyBorder="1" applyAlignment="1">
      <alignment horizontal="center" wrapText="1"/>
    </xf>
    <xf numFmtId="0" fontId="3" fillId="0" borderId="61" xfId="0" applyFont="1" applyBorder="1" applyAlignment="1">
      <alignment horizontal="center" vertical="center"/>
    </xf>
    <xf numFmtId="0" fontId="3" fillId="0" borderId="61" xfId="0" applyFont="1" applyBorder="1" applyAlignment="1">
      <alignment horizontal="center"/>
    </xf>
    <xf numFmtId="0" fontId="3" fillId="0" borderId="62" xfId="0" applyFont="1" applyBorder="1" applyAlignment="1">
      <alignment horizontal="center" vertical="center" wrapText="1"/>
    </xf>
    <xf numFmtId="0" fontId="5" fillId="0" borderId="0" xfId="0" applyFont="1" applyFill="1" applyBorder="1" applyAlignment="1">
      <alignment vertical="center"/>
    </xf>
    <xf numFmtId="0" fontId="5" fillId="0" borderId="0" xfId="0" applyFont="1" applyFill="1" applyAlignment="1">
      <alignment horizontal="left" vertical="center"/>
    </xf>
    <xf numFmtId="0" fontId="5" fillId="0" borderId="0" xfId="0" applyFont="1" applyFill="1" applyAlignment="1">
      <alignment horizontal="center" vertical="center"/>
    </xf>
    <xf numFmtId="0" fontId="23" fillId="0" borderId="29" xfId="0" applyFont="1" applyBorder="1" applyAlignment="1">
      <alignment vertical="center"/>
    </xf>
    <xf numFmtId="0" fontId="23" fillId="0" borderId="63" xfId="0" applyFont="1" applyBorder="1" applyAlignment="1">
      <alignment vertical="center"/>
    </xf>
    <xf numFmtId="0" fontId="23" fillId="0" borderId="30" xfId="0" applyFont="1" applyBorder="1" applyAlignment="1">
      <alignment vertical="center"/>
    </xf>
    <xf numFmtId="0" fontId="23" fillId="0" borderId="64" xfId="0" applyFont="1" applyBorder="1" applyAlignment="1">
      <alignment vertical="center"/>
    </xf>
    <xf numFmtId="0" fontId="26" fillId="0" borderId="8" xfId="0" applyFont="1" applyBorder="1" applyAlignment="1">
      <alignment horizontal="center" vertical="center"/>
    </xf>
    <xf numFmtId="0" fontId="34" fillId="0" borderId="20" xfId="0" applyFont="1" applyBorder="1" applyAlignment="1">
      <alignment horizontal="center" vertical="center" wrapText="1"/>
    </xf>
    <xf numFmtId="0" fontId="3" fillId="0" borderId="0" xfId="0" applyFont="1" applyBorder="1" applyAlignment="1">
      <alignment horizontal="left" vertical="center"/>
    </xf>
    <xf numFmtId="0" fontId="0" fillId="0" borderId="51" xfId="0" applyFont="1" applyBorder="1" applyAlignment="1">
      <alignment horizontal="center" vertical="center"/>
    </xf>
    <xf numFmtId="0" fontId="3" fillId="0" borderId="0" xfId="0" applyFont="1" applyBorder="1" applyAlignment="1">
      <alignment horizontal="left" vertical="center" wrapText="1"/>
    </xf>
    <xf numFmtId="0" fontId="3" fillId="0" borderId="15" xfId="0" applyFont="1" applyBorder="1" applyAlignment="1">
      <alignment horizontal="left" vertical="center" wrapText="1"/>
    </xf>
    <xf numFmtId="0" fontId="3" fillId="0" borderId="0" xfId="0" applyFont="1" applyBorder="1" applyAlignment="1">
      <alignment horizontal="left" vertical="center"/>
    </xf>
    <xf numFmtId="0" fontId="3" fillId="0" borderId="15" xfId="0" applyFont="1" applyBorder="1" applyAlignment="1">
      <alignment horizontal="left" vertical="center"/>
    </xf>
    <xf numFmtId="0" fontId="5" fillId="0" borderId="0" xfId="0" applyFont="1" applyBorder="1" applyAlignment="1">
      <alignment horizontal="center" vertical="center" wrapText="1"/>
    </xf>
    <xf numFmtId="0" fontId="19" fillId="0" borderId="0" xfId="0" applyFont="1" applyBorder="1" applyAlignment="1">
      <alignment horizontal="center" vertical="center"/>
    </xf>
    <xf numFmtId="0" fontId="3" fillId="0" borderId="31" xfId="0" applyFont="1" applyBorder="1" applyAlignment="1">
      <alignment horizontal="left" vertical="center" wrapText="1"/>
    </xf>
    <xf numFmtId="0" fontId="3" fillId="0" borderId="59" xfId="0" applyFont="1" applyBorder="1" applyAlignment="1">
      <alignment horizontal="left" vertical="center" wrapText="1"/>
    </xf>
    <xf numFmtId="0" fontId="34" fillId="0" borderId="10" xfId="0" applyFont="1" applyBorder="1" applyAlignment="1">
      <alignment horizontal="center" vertical="center" wrapText="1"/>
    </xf>
    <xf numFmtId="0" fontId="34" fillId="0" borderId="20" xfId="0" applyFont="1" applyBorder="1" applyAlignment="1">
      <alignment horizontal="center" vertical="center" wrapText="1"/>
    </xf>
    <xf numFmtId="0" fontId="28" fillId="0" borderId="28" xfId="0" applyFont="1" applyBorder="1" applyAlignment="1">
      <alignment horizontal="left" vertical="center" wrapText="1" indent="1"/>
    </xf>
    <xf numFmtId="166" fontId="24" fillId="0" borderId="65" xfId="0" applyNumberFormat="1" applyFont="1" applyBorder="1" applyAlignment="1">
      <alignment horizontal="center" vertical="center"/>
    </xf>
    <xf numFmtId="166" fontId="24" fillId="0" borderId="66" xfId="0" applyNumberFormat="1" applyFont="1" applyBorder="1" applyAlignment="1">
      <alignment horizontal="center" vertical="center"/>
    </xf>
    <xf numFmtId="0" fontId="24" fillId="0" borderId="9" xfId="0" applyFont="1" applyBorder="1" applyAlignment="1">
      <alignment horizontal="center" vertical="center" wrapText="1"/>
    </xf>
    <xf numFmtId="0" fontId="25" fillId="0" borderId="23" xfId="0" applyFont="1" applyBorder="1" applyAlignment="1">
      <alignment horizontal="center" vertical="center" wrapText="1"/>
    </xf>
    <xf numFmtId="0" fontId="24" fillId="0" borderId="8" xfId="0" applyFont="1" applyBorder="1" applyAlignment="1">
      <alignment horizontal="center" vertical="center" wrapText="1"/>
    </xf>
    <xf numFmtId="0" fontId="25" fillId="0" borderId="22" xfId="0" applyFont="1" applyBorder="1" applyAlignment="1">
      <alignment horizontal="center" vertical="center" wrapText="1"/>
    </xf>
    <xf numFmtId="0" fontId="25" fillId="0" borderId="21" xfId="0" applyFont="1" applyBorder="1" applyAlignment="1">
      <alignment horizontal="center" vertical="center"/>
    </xf>
    <xf numFmtId="0" fontId="24" fillId="0" borderId="16" xfId="0" applyFont="1" applyBorder="1" applyAlignment="1">
      <alignment horizontal="left" vertical="center" wrapText="1"/>
    </xf>
    <xf numFmtId="0" fontId="24" fillId="0" borderId="18" xfId="0" applyFont="1" applyBorder="1" applyAlignment="1">
      <alignment horizontal="left" vertical="center" wrapText="1"/>
    </xf>
    <xf numFmtId="0" fontId="24" fillId="0" borderId="19" xfId="0" applyFont="1" applyBorder="1" applyAlignment="1">
      <alignment horizontal="left" vertical="center"/>
    </xf>
    <xf numFmtId="0" fontId="21" fillId="0" borderId="10" xfId="0" applyFont="1" applyBorder="1" applyAlignment="1">
      <alignment horizontal="center" vertical="center"/>
    </xf>
    <xf numFmtId="0" fontId="29" fillId="0" borderId="17" xfId="0" applyFont="1" applyBorder="1" applyAlignment="1">
      <alignment vertical="center" wrapText="1"/>
    </xf>
    <xf numFmtId="0" fontId="31" fillId="0" borderId="39" xfId="0" applyFont="1" applyBorder="1" applyAlignment="1">
      <alignment vertical="center" wrapText="1"/>
    </xf>
    <xf numFmtId="0" fontId="31" fillId="0" borderId="28" xfId="0" applyFont="1" applyBorder="1" applyAlignment="1">
      <alignment horizontal="left" vertical="center" wrapText="1" indent="1"/>
    </xf>
    <xf numFmtId="0" fontId="0" fillId="0" borderId="51" xfId="0" applyFont="1" applyBorder="1" applyAlignment="1">
      <alignment horizontal="left" vertical="center"/>
    </xf>
    <xf numFmtId="0" fontId="0" fillId="0" borderId="51" xfId="0" applyBorder="1" applyAlignment="1">
      <alignment horizontal="left" vertical="center"/>
    </xf>
    <xf numFmtId="0" fontId="0" fillId="0" borderId="54" xfId="0" applyBorder="1" applyAlignment="1">
      <alignment horizontal="left" vertical="center"/>
    </xf>
    <xf numFmtId="0" fontId="29" fillId="0" borderId="57" xfId="0" applyFont="1" applyBorder="1" applyAlignment="1">
      <alignment horizontal="left" vertical="center" wrapText="1"/>
    </xf>
    <xf numFmtId="0" fontId="0" fillId="0" borderId="35" xfId="0" applyBorder="1"/>
    <xf numFmtId="0" fontId="0" fillId="0" borderId="51" xfId="0" applyFont="1" applyBorder="1" applyAlignment="1">
      <alignment horizontal="center" vertical="center"/>
    </xf>
    <xf numFmtId="49" fontId="31" fillId="0" borderId="36" xfId="0" applyNumberFormat="1" applyFont="1" applyBorder="1" applyAlignment="1">
      <alignment horizontal="justify" vertical="center" wrapText="1"/>
    </xf>
    <xf numFmtId="0" fontId="33" fillId="0" borderId="35" xfId="0" applyFont="1" applyBorder="1" applyAlignment="1">
      <alignment horizontal="center" vertical="center"/>
    </xf>
    <xf numFmtId="0" fontId="33" fillId="0" borderId="32" xfId="0" applyFont="1" applyBorder="1" applyAlignment="1">
      <alignment horizontal="center" vertical="center"/>
    </xf>
    <xf numFmtId="0" fontId="33" fillId="0" borderId="38" xfId="0" applyFont="1" applyBorder="1" applyAlignment="1">
      <alignment horizontal="center" vertical="center" wrapText="1"/>
    </xf>
    <xf numFmtId="0" fontId="33" fillId="0" borderId="39" xfId="0" applyFont="1" applyBorder="1" applyAlignment="1">
      <alignment horizontal="center" vertical="center"/>
    </xf>
    <xf numFmtId="0" fontId="0" fillId="0" borderId="45" xfId="0" applyFont="1" applyBorder="1" applyAlignment="1">
      <alignment horizontal="left" vertical="center" wrapText="1"/>
    </xf>
    <xf numFmtId="0" fontId="0" fillId="0" borderId="51" xfId="0" applyBorder="1" applyAlignment="1">
      <alignment horizontal="center"/>
    </xf>
    <xf numFmtId="0" fontId="31" fillId="0" borderId="35" xfId="0" applyFont="1" applyBorder="1" applyAlignment="1">
      <alignment horizontal="left"/>
    </xf>
    <xf numFmtId="0" fontId="0" fillId="0" borderId="29" xfId="0" applyFont="1" applyBorder="1" applyAlignment="1">
      <alignment horizontal="center"/>
    </xf>
    <xf numFmtId="3" fontId="29" fillId="0" borderId="30" xfId="0" applyNumberFormat="1" applyFont="1" applyBorder="1" applyAlignment="1">
      <alignment horizontal="center"/>
    </xf>
    <xf numFmtId="0" fontId="30" fillId="0" borderId="12" xfId="0" applyFont="1" applyBorder="1" applyAlignment="1">
      <alignment horizontal="center" vertical="center" wrapText="1"/>
    </xf>
    <xf numFmtId="0" fontId="17" fillId="0" borderId="32" xfId="0" applyFont="1" applyBorder="1"/>
    <xf numFmtId="0" fontId="31" fillId="0" borderId="33" xfId="0" applyFont="1" applyBorder="1" applyAlignment="1">
      <alignment horizontal="left" indent="1"/>
    </xf>
    <xf numFmtId="0" fontId="27" fillId="0" borderId="32" xfId="0" applyFont="1" applyBorder="1" applyAlignment="1">
      <alignment horizontal="left" vertical="center" wrapText="1"/>
    </xf>
    <xf numFmtId="0" fontId="32" fillId="0" borderId="34" xfId="0" applyFont="1" applyBorder="1" applyAlignment="1">
      <alignment horizontal="left"/>
    </xf>
  </cellXfs>
  <cellStyles count="34">
    <cellStyle name="Encabezado 1" xfId="10" xr:uid="{00000000-0005-0000-0000-000000000000}"/>
    <cellStyle name="Encabezado 1 2" xfId="15" xr:uid="{00000000-0005-0000-0000-000001000000}"/>
    <cellStyle name="Millares 2" xfId="20" xr:uid="{00000000-0005-0000-0000-000002000000}"/>
    <cellStyle name="Millares 2 2" xfId="26" xr:uid="{00000000-0005-0000-0000-000003000000}"/>
    <cellStyle name="Moneda" xfId="1" builtinId="4"/>
    <cellStyle name="Moneda 2" xfId="3" xr:uid="{00000000-0005-0000-0000-000005000000}"/>
    <cellStyle name="Moneda 2 2" xfId="16" xr:uid="{00000000-0005-0000-0000-000006000000}"/>
    <cellStyle name="Moneda 3" xfId="14" xr:uid="{00000000-0005-0000-0000-000007000000}"/>
    <cellStyle name="Moneda 4" xfId="21" xr:uid="{00000000-0005-0000-0000-000008000000}"/>
    <cellStyle name="Moneda 5" xfId="9" xr:uid="{00000000-0005-0000-0000-000009000000}"/>
    <cellStyle name="Moneda_AUTORIZACION Y NOTA DE PEDIDO" xfId="33" xr:uid="{00000000-0005-0000-0000-00000A000000}"/>
    <cellStyle name="Neutral 1" xfId="11" xr:uid="{00000000-0005-0000-0000-00000B000000}"/>
    <cellStyle name="Normal" xfId="0" builtinId="0"/>
    <cellStyle name="Normal 2" xfId="2" xr:uid="{00000000-0005-0000-0000-00000D000000}"/>
    <cellStyle name="Normal 2 2" xfId="5" xr:uid="{00000000-0005-0000-0000-00000E000000}"/>
    <cellStyle name="Normal 2 3" xfId="32" xr:uid="{00000000-0005-0000-0000-00000F000000}"/>
    <cellStyle name="Normal 3" xfId="7" xr:uid="{00000000-0005-0000-0000-000010000000}"/>
    <cellStyle name="Normal 3 2" xfId="12" xr:uid="{00000000-0005-0000-0000-000011000000}"/>
    <cellStyle name="Normal 3 2 2" xfId="18" xr:uid="{00000000-0005-0000-0000-000012000000}"/>
    <cellStyle name="Normal 3 3" xfId="17" xr:uid="{00000000-0005-0000-0000-000013000000}"/>
    <cellStyle name="Normal 3 4" xfId="22" xr:uid="{00000000-0005-0000-0000-000014000000}"/>
    <cellStyle name="Normal 3 4 2" xfId="27" xr:uid="{00000000-0005-0000-0000-000015000000}"/>
    <cellStyle name="Normal 4" xfId="6" xr:uid="{00000000-0005-0000-0000-000016000000}"/>
    <cellStyle name="Normal 4 2" xfId="19" xr:uid="{00000000-0005-0000-0000-000017000000}"/>
    <cellStyle name="Normal 4 3" xfId="23" xr:uid="{00000000-0005-0000-0000-000018000000}"/>
    <cellStyle name="Normal 4 3 2" xfId="28" xr:uid="{00000000-0005-0000-0000-000019000000}"/>
    <cellStyle name="Normal 5" xfId="4" xr:uid="{00000000-0005-0000-0000-00001A000000}"/>
    <cellStyle name="Normal 5 2" xfId="25" xr:uid="{00000000-0005-0000-0000-00001B000000}"/>
    <cellStyle name="Normal 6" xfId="13" xr:uid="{00000000-0005-0000-0000-00001C000000}"/>
    <cellStyle name="Normal 7" xfId="24" xr:uid="{00000000-0005-0000-0000-00001D000000}"/>
    <cellStyle name="Normal 8" xfId="8" xr:uid="{00000000-0005-0000-0000-00001E000000}"/>
    <cellStyle name="Normal 8 2" xfId="29" xr:uid="{00000000-0005-0000-0000-00001F000000}"/>
    <cellStyle name="Normal 8 3" xfId="30" xr:uid="{00000000-0005-0000-0000-000020000000}"/>
    <cellStyle name="Normal 8 4" xfId="31" xr:uid="{00000000-0005-0000-0000-000021000000}"/>
  </cellStyles>
  <dxfs count="26">
    <dxf>
      <font>
        <condense val="0"/>
        <extend val="0"/>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ndense val="0"/>
        <extend val="0"/>
        <color rgb="FF9C6500"/>
      </font>
      <fill>
        <patternFill>
          <bgColor rgb="FFFFEB9C"/>
        </patternFill>
      </fill>
    </dxf>
    <dxf>
      <font>
        <condense val="0"/>
        <extend val="0"/>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ndense val="0"/>
        <extend val="0"/>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9C6500"/>
      </font>
      <fill>
        <patternFill>
          <bgColor rgb="FFFFEB9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16</xdr:col>
      <xdr:colOff>733320</xdr:colOff>
      <xdr:row>0</xdr:row>
      <xdr:rowOff>0</xdr:rowOff>
    </xdr:from>
    <xdr:to>
      <xdr:col>16</xdr:col>
      <xdr:colOff>733680</xdr:colOff>
      <xdr:row>0</xdr:row>
      <xdr:rowOff>360</xdr:rowOff>
    </xdr:to>
    <xdr:sp macro="" textlink="">
      <xdr:nvSpPr>
        <xdr:cNvPr id="6" name="CustomShape 1" hidden="1">
          <a:extLst>
            <a:ext uri="{FF2B5EF4-FFF2-40B4-BE49-F238E27FC236}">
              <a16:creationId xmlns:a16="http://schemas.microsoft.com/office/drawing/2014/main" id="{00000000-0008-0000-0200-000006000000}"/>
            </a:ext>
          </a:extLst>
        </xdr:cNvPr>
        <xdr:cNvSpPr/>
      </xdr:nvSpPr>
      <xdr:spPr>
        <a:xfrm>
          <a:off x="6848370"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7" name="CustomShape 1" hidden="1">
          <a:extLst>
            <a:ext uri="{FF2B5EF4-FFF2-40B4-BE49-F238E27FC236}">
              <a16:creationId xmlns:a16="http://schemas.microsoft.com/office/drawing/2014/main" id="{00000000-0008-0000-0200-000007000000}"/>
            </a:ext>
          </a:extLst>
        </xdr:cNvPr>
        <xdr:cNvSpPr/>
      </xdr:nvSpPr>
      <xdr:spPr>
        <a:xfrm>
          <a:off x="6848370"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8" name="CustomShape 1" hidden="1">
          <a:extLst>
            <a:ext uri="{FF2B5EF4-FFF2-40B4-BE49-F238E27FC236}">
              <a16:creationId xmlns:a16="http://schemas.microsoft.com/office/drawing/2014/main" id="{00000000-0008-0000-0200-000008000000}"/>
            </a:ext>
          </a:extLst>
        </xdr:cNvPr>
        <xdr:cNvSpPr/>
      </xdr:nvSpPr>
      <xdr:spPr>
        <a:xfrm>
          <a:off x="6848370"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9" name="CustomShape 1" hidden="1">
          <a:extLst>
            <a:ext uri="{FF2B5EF4-FFF2-40B4-BE49-F238E27FC236}">
              <a16:creationId xmlns:a16="http://schemas.microsoft.com/office/drawing/2014/main" id="{00000000-0008-0000-0200-000009000000}"/>
            </a:ext>
          </a:extLst>
        </xdr:cNvPr>
        <xdr:cNvSpPr/>
      </xdr:nvSpPr>
      <xdr:spPr>
        <a:xfrm>
          <a:off x="6848370"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wsDr>
</file>

<file path=xl/drawings/drawing2.xml><?xml version="1.0" encoding="utf-8"?>
<xdr:wsDr xmlns:xdr="http://schemas.openxmlformats.org/drawingml/2006/spreadsheetDrawing" xmlns:a="http://schemas.openxmlformats.org/drawingml/2006/main">
  <xdr:twoCellAnchor>
    <xdr:from>
      <xdr:col>16</xdr:col>
      <xdr:colOff>733320</xdr:colOff>
      <xdr:row>0</xdr:row>
      <xdr:rowOff>0</xdr:rowOff>
    </xdr:from>
    <xdr:to>
      <xdr:col>16</xdr:col>
      <xdr:colOff>733680</xdr:colOff>
      <xdr:row>0</xdr:row>
      <xdr:rowOff>360</xdr:rowOff>
    </xdr:to>
    <xdr:sp macro="" textlink="">
      <xdr:nvSpPr>
        <xdr:cNvPr id="2" name="CustomShape 1" hidden="1">
          <a:extLst>
            <a:ext uri="{FF2B5EF4-FFF2-40B4-BE49-F238E27FC236}">
              <a16:creationId xmlns:a16="http://schemas.microsoft.com/office/drawing/2014/main" id="{00000000-0008-0000-0400-000002000000}"/>
            </a:ext>
          </a:extLst>
        </xdr:cNvPr>
        <xdr:cNvSpPr/>
      </xdr:nvSpPr>
      <xdr:spPr>
        <a:xfrm>
          <a:off x="6895995"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3" name="CustomShape 1" hidden="1">
          <a:extLst>
            <a:ext uri="{FF2B5EF4-FFF2-40B4-BE49-F238E27FC236}">
              <a16:creationId xmlns:a16="http://schemas.microsoft.com/office/drawing/2014/main" id="{00000000-0008-0000-0400-000003000000}"/>
            </a:ext>
          </a:extLst>
        </xdr:cNvPr>
        <xdr:cNvSpPr/>
      </xdr:nvSpPr>
      <xdr:spPr>
        <a:xfrm>
          <a:off x="6895995"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4" name="CustomShape 1" hidden="1">
          <a:extLst>
            <a:ext uri="{FF2B5EF4-FFF2-40B4-BE49-F238E27FC236}">
              <a16:creationId xmlns:a16="http://schemas.microsoft.com/office/drawing/2014/main" id="{00000000-0008-0000-0400-000004000000}"/>
            </a:ext>
          </a:extLst>
        </xdr:cNvPr>
        <xdr:cNvSpPr/>
      </xdr:nvSpPr>
      <xdr:spPr>
        <a:xfrm>
          <a:off x="6895995"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5" name="CustomShape 1" hidden="1">
          <a:extLst>
            <a:ext uri="{FF2B5EF4-FFF2-40B4-BE49-F238E27FC236}">
              <a16:creationId xmlns:a16="http://schemas.microsoft.com/office/drawing/2014/main" id="{00000000-0008-0000-0400-000005000000}"/>
            </a:ext>
          </a:extLst>
        </xdr:cNvPr>
        <xdr:cNvSpPr/>
      </xdr:nvSpPr>
      <xdr:spPr>
        <a:xfrm>
          <a:off x="6895995"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wsDr>
</file>

<file path=xl/drawings/drawing3.xml><?xml version="1.0" encoding="utf-8"?>
<xdr:wsDr xmlns:xdr="http://schemas.openxmlformats.org/drawingml/2006/spreadsheetDrawing" xmlns:a="http://schemas.openxmlformats.org/drawingml/2006/main">
  <xdr:twoCellAnchor>
    <xdr:from>
      <xdr:col>16</xdr:col>
      <xdr:colOff>733320</xdr:colOff>
      <xdr:row>0</xdr:row>
      <xdr:rowOff>0</xdr:rowOff>
    </xdr:from>
    <xdr:to>
      <xdr:col>16</xdr:col>
      <xdr:colOff>733680</xdr:colOff>
      <xdr:row>0</xdr:row>
      <xdr:rowOff>360</xdr:rowOff>
    </xdr:to>
    <xdr:sp macro="" textlink="">
      <xdr:nvSpPr>
        <xdr:cNvPr id="2" name="CustomShape 1" hidden="1">
          <a:extLst>
            <a:ext uri="{FF2B5EF4-FFF2-40B4-BE49-F238E27FC236}">
              <a16:creationId xmlns:a16="http://schemas.microsoft.com/office/drawing/2014/main" id="{00000000-0008-0000-0600-000002000000}"/>
            </a:ext>
          </a:extLst>
        </xdr:cNvPr>
        <xdr:cNvSpPr/>
      </xdr:nvSpPr>
      <xdr:spPr>
        <a:xfrm>
          <a:off x="6895995"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3" name="CustomShape 1" hidden="1">
          <a:extLst>
            <a:ext uri="{FF2B5EF4-FFF2-40B4-BE49-F238E27FC236}">
              <a16:creationId xmlns:a16="http://schemas.microsoft.com/office/drawing/2014/main" id="{00000000-0008-0000-0600-000003000000}"/>
            </a:ext>
          </a:extLst>
        </xdr:cNvPr>
        <xdr:cNvSpPr/>
      </xdr:nvSpPr>
      <xdr:spPr>
        <a:xfrm>
          <a:off x="6895995"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4" name="CustomShape 1" hidden="1">
          <a:extLst>
            <a:ext uri="{FF2B5EF4-FFF2-40B4-BE49-F238E27FC236}">
              <a16:creationId xmlns:a16="http://schemas.microsoft.com/office/drawing/2014/main" id="{00000000-0008-0000-0600-000004000000}"/>
            </a:ext>
          </a:extLst>
        </xdr:cNvPr>
        <xdr:cNvSpPr/>
      </xdr:nvSpPr>
      <xdr:spPr>
        <a:xfrm>
          <a:off x="6895995"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5" name="CustomShape 1" hidden="1">
          <a:extLst>
            <a:ext uri="{FF2B5EF4-FFF2-40B4-BE49-F238E27FC236}">
              <a16:creationId xmlns:a16="http://schemas.microsoft.com/office/drawing/2014/main" id="{00000000-0008-0000-0600-000005000000}"/>
            </a:ext>
          </a:extLst>
        </xdr:cNvPr>
        <xdr:cNvSpPr/>
      </xdr:nvSpPr>
      <xdr:spPr>
        <a:xfrm>
          <a:off x="6895995"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wsDr>
</file>

<file path=xl/drawings/drawing4.xml><?xml version="1.0" encoding="utf-8"?>
<xdr:wsDr xmlns:xdr="http://schemas.openxmlformats.org/drawingml/2006/spreadsheetDrawing" xmlns:a="http://schemas.openxmlformats.org/drawingml/2006/main">
  <xdr:twoCellAnchor>
    <xdr:from>
      <xdr:col>16</xdr:col>
      <xdr:colOff>733320</xdr:colOff>
      <xdr:row>0</xdr:row>
      <xdr:rowOff>0</xdr:rowOff>
    </xdr:from>
    <xdr:to>
      <xdr:col>16</xdr:col>
      <xdr:colOff>733680</xdr:colOff>
      <xdr:row>0</xdr:row>
      <xdr:rowOff>360</xdr:rowOff>
    </xdr:to>
    <xdr:sp macro="" textlink="">
      <xdr:nvSpPr>
        <xdr:cNvPr id="2" name="CustomShape 1" hidden="1">
          <a:extLst>
            <a:ext uri="{FF2B5EF4-FFF2-40B4-BE49-F238E27FC236}">
              <a16:creationId xmlns:a16="http://schemas.microsoft.com/office/drawing/2014/main" id="{00000000-0008-0000-0800-000002000000}"/>
            </a:ext>
          </a:extLst>
        </xdr:cNvPr>
        <xdr:cNvSpPr/>
      </xdr:nvSpPr>
      <xdr:spPr>
        <a:xfrm>
          <a:off x="6895995"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3" name="CustomShape 1" hidden="1">
          <a:extLst>
            <a:ext uri="{FF2B5EF4-FFF2-40B4-BE49-F238E27FC236}">
              <a16:creationId xmlns:a16="http://schemas.microsoft.com/office/drawing/2014/main" id="{00000000-0008-0000-0800-000003000000}"/>
            </a:ext>
          </a:extLst>
        </xdr:cNvPr>
        <xdr:cNvSpPr/>
      </xdr:nvSpPr>
      <xdr:spPr>
        <a:xfrm>
          <a:off x="6895995"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4" name="CustomShape 1" hidden="1">
          <a:extLst>
            <a:ext uri="{FF2B5EF4-FFF2-40B4-BE49-F238E27FC236}">
              <a16:creationId xmlns:a16="http://schemas.microsoft.com/office/drawing/2014/main" id="{00000000-0008-0000-0800-000004000000}"/>
            </a:ext>
          </a:extLst>
        </xdr:cNvPr>
        <xdr:cNvSpPr/>
      </xdr:nvSpPr>
      <xdr:spPr>
        <a:xfrm>
          <a:off x="6895995"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5" name="CustomShape 1" hidden="1">
          <a:extLst>
            <a:ext uri="{FF2B5EF4-FFF2-40B4-BE49-F238E27FC236}">
              <a16:creationId xmlns:a16="http://schemas.microsoft.com/office/drawing/2014/main" id="{00000000-0008-0000-0800-000005000000}"/>
            </a:ext>
          </a:extLst>
        </xdr:cNvPr>
        <xdr:cNvSpPr/>
      </xdr:nvSpPr>
      <xdr:spPr>
        <a:xfrm>
          <a:off x="6895995"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wsDr>
</file>

<file path=xl/drawings/drawing5.xml><?xml version="1.0" encoding="utf-8"?>
<xdr:wsDr xmlns:xdr="http://schemas.openxmlformats.org/drawingml/2006/spreadsheetDrawing" xmlns:a="http://schemas.openxmlformats.org/drawingml/2006/main">
  <xdr:twoCellAnchor>
    <xdr:from>
      <xdr:col>16</xdr:col>
      <xdr:colOff>733320</xdr:colOff>
      <xdr:row>0</xdr:row>
      <xdr:rowOff>0</xdr:rowOff>
    </xdr:from>
    <xdr:to>
      <xdr:col>16</xdr:col>
      <xdr:colOff>733680</xdr:colOff>
      <xdr:row>0</xdr:row>
      <xdr:rowOff>360</xdr:rowOff>
    </xdr:to>
    <xdr:sp macro="" textlink="">
      <xdr:nvSpPr>
        <xdr:cNvPr id="2" name="CustomShape 1" hidden="1">
          <a:extLst>
            <a:ext uri="{FF2B5EF4-FFF2-40B4-BE49-F238E27FC236}">
              <a16:creationId xmlns:a16="http://schemas.microsoft.com/office/drawing/2014/main" id="{00000000-0008-0000-0A00-000002000000}"/>
            </a:ext>
          </a:extLst>
        </xdr:cNvPr>
        <xdr:cNvSpPr/>
      </xdr:nvSpPr>
      <xdr:spPr>
        <a:xfrm>
          <a:off x="6895995"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3" name="CustomShape 1" hidden="1">
          <a:extLst>
            <a:ext uri="{FF2B5EF4-FFF2-40B4-BE49-F238E27FC236}">
              <a16:creationId xmlns:a16="http://schemas.microsoft.com/office/drawing/2014/main" id="{00000000-0008-0000-0A00-000003000000}"/>
            </a:ext>
          </a:extLst>
        </xdr:cNvPr>
        <xdr:cNvSpPr/>
      </xdr:nvSpPr>
      <xdr:spPr>
        <a:xfrm>
          <a:off x="6895995"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4" name="CustomShape 1" hidden="1">
          <a:extLst>
            <a:ext uri="{FF2B5EF4-FFF2-40B4-BE49-F238E27FC236}">
              <a16:creationId xmlns:a16="http://schemas.microsoft.com/office/drawing/2014/main" id="{00000000-0008-0000-0A00-000004000000}"/>
            </a:ext>
          </a:extLst>
        </xdr:cNvPr>
        <xdr:cNvSpPr/>
      </xdr:nvSpPr>
      <xdr:spPr>
        <a:xfrm>
          <a:off x="6895995"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5" name="CustomShape 1" hidden="1">
          <a:extLst>
            <a:ext uri="{FF2B5EF4-FFF2-40B4-BE49-F238E27FC236}">
              <a16:creationId xmlns:a16="http://schemas.microsoft.com/office/drawing/2014/main" id="{00000000-0008-0000-0A00-000005000000}"/>
            </a:ext>
          </a:extLst>
        </xdr:cNvPr>
        <xdr:cNvSpPr/>
      </xdr:nvSpPr>
      <xdr:spPr>
        <a:xfrm>
          <a:off x="6895995"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wsDr>
</file>

<file path=xl/drawings/drawing6.xml><?xml version="1.0" encoding="utf-8"?>
<xdr:wsDr xmlns:xdr="http://schemas.openxmlformats.org/drawingml/2006/spreadsheetDrawing" xmlns:a="http://schemas.openxmlformats.org/drawingml/2006/main">
  <xdr:twoCellAnchor>
    <xdr:from>
      <xdr:col>16</xdr:col>
      <xdr:colOff>733320</xdr:colOff>
      <xdr:row>0</xdr:row>
      <xdr:rowOff>0</xdr:rowOff>
    </xdr:from>
    <xdr:to>
      <xdr:col>16</xdr:col>
      <xdr:colOff>733680</xdr:colOff>
      <xdr:row>0</xdr:row>
      <xdr:rowOff>360</xdr:rowOff>
    </xdr:to>
    <xdr:sp macro="" textlink="">
      <xdr:nvSpPr>
        <xdr:cNvPr id="2" name="CustomShape 1" hidden="1">
          <a:extLst>
            <a:ext uri="{FF2B5EF4-FFF2-40B4-BE49-F238E27FC236}">
              <a16:creationId xmlns:a16="http://schemas.microsoft.com/office/drawing/2014/main" id="{00000000-0008-0000-0C00-000002000000}"/>
            </a:ext>
          </a:extLst>
        </xdr:cNvPr>
        <xdr:cNvSpPr/>
      </xdr:nvSpPr>
      <xdr:spPr>
        <a:xfrm>
          <a:off x="6895995"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3" name="CustomShape 1" hidden="1">
          <a:extLst>
            <a:ext uri="{FF2B5EF4-FFF2-40B4-BE49-F238E27FC236}">
              <a16:creationId xmlns:a16="http://schemas.microsoft.com/office/drawing/2014/main" id="{00000000-0008-0000-0C00-000003000000}"/>
            </a:ext>
          </a:extLst>
        </xdr:cNvPr>
        <xdr:cNvSpPr/>
      </xdr:nvSpPr>
      <xdr:spPr>
        <a:xfrm>
          <a:off x="6895995"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4" name="CustomShape 1" hidden="1">
          <a:extLst>
            <a:ext uri="{FF2B5EF4-FFF2-40B4-BE49-F238E27FC236}">
              <a16:creationId xmlns:a16="http://schemas.microsoft.com/office/drawing/2014/main" id="{00000000-0008-0000-0C00-000004000000}"/>
            </a:ext>
          </a:extLst>
        </xdr:cNvPr>
        <xdr:cNvSpPr/>
      </xdr:nvSpPr>
      <xdr:spPr>
        <a:xfrm>
          <a:off x="6895995"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5" name="CustomShape 1" hidden="1">
          <a:extLst>
            <a:ext uri="{FF2B5EF4-FFF2-40B4-BE49-F238E27FC236}">
              <a16:creationId xmlns:a16="http://schemas.microsoft.com/office/drawing/2014/main" id="{00000000-0008-0000-0C00-000005000000}"/>
            </a:ext>
          </a:extLst>
        </xdr:cNvPr>
        <xdr:cNvSpPr/>
      </xdr:nvSpPr>
      <xdr:spPr>
        <a:xfrm>
          <a:off x="6895995"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wsDr>
</file>

<file path=xl/drawings/drawing7.xml><?xml version="1.0" encoding="utf-8"?>
<xdr:wsDr xmlns:xdr="http://schemas.openxmlformats.org/drawingml/2006/spreadsheetDrawing" xmlns:a="http://schemas.openxmlformats.org/drawingml/2006/main">
  <xdr:twoCellAnchor>
    <xdr:from>
      <xdr:col>16</xdr:col>
      <xdr:colOff>733320</xdr:colOff>
      <xdr:row>0</xdr:row>
      <xdr:rowOff>0</xdr:rowOff>
    </xdr:from>
    <xdr:to>
      <xdr:col>16</xdr:col>
      <xdr:colOff>733680</xdr:colOff>
      <xdr:row>0</xdr:row>
      <xdr:rowOff>360</xdr:rowOff>
    </xdr:to>
    <xdr:sp macro="" textlink="">
      <xdr:nvSpPr>
        <xdr:cNvPr id="2" name="CustomShape 1" hidden="1">
          <a:extLst>
            <a:ext uri="{FF2B5EF4-FFF2-40B4-BE49-F238E27FC236}">
              <a16:creationId xmlns:a16="http://schemas.microsoft.com/office/drawing/2014/main" id="{00000000-0008-0000-0E00-000002000000}"/>
            </a:ext>
          </a:extLst>
        </xdr:cNvPr>
        <xdr:cNvSpPr/>
      </xdr:nvSpPr>
      <xdr:spPr>
        <a:xfrm>
          <a:off x="6895995"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3" name="CustomShape 1" hidden="1">
          <a:extLst>
            <a:ext uri="{FF2B5EF4-FFF2-40B4-BE49-F238E27FC236}">
              <a16:creationId xmlns:a16="http://schemas.microsoft.com/office/drawing/2014/main" id="{00000000-0008-0000-0E00-000003000000}"/>
            </a:ext>
          </a:extLst>
        </xdr:cNvPr>
        <xdr:cNvSpPr/>
      </xdr:nvSpPr>
      <xdr:spPr>
        <a:xfrm>
          <a:off x="6895995"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4" name="CustomShape 1" hidden="1">
          <a:extLst>
            <a:ext uri="{FF2B5EF4-FFF2-40B4-BE49-F238E27FC236}">
              <a16:creationId xmlns:a16="http://schemas.microsoft.com/office/drawing/2014/main" id="{00000000-0008-0000-0E00-000004000000}"/>
            </a:ext>
          </a:extLst>
        </xdr:cNvPr>
        <xdr:cNvSpPr/>
      </xdr:nvSpPr>
      <xdr:spPr>
        <a:xfrm>
          <a:off x="6895995"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5" name="CustomShape 1" hidden="1">
          <a:extLst>
            <a:ext uri="{FF2B5EF4-FFF2-40B4-BE49-F238E27FC236}">
              <a16:creationId xmlns:a16="http://schemas.microsoft.com/office/drawing/2014/main" id="{00000000-0008-0000-0E00-000005000000}"/>
            </a:ext>
          </a:extLst>
        </xdr:cNvPr>
        <xdr:cNvSpPr/>
      </xdr:nvSpPr>
      <xdr:spPr>
        <a:xfrm>
          <a:off x="6895995"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wsDr>
</file>

<file path=xl/drawings/drawing8.xml><?xml version="1.0" encoding="utf-8"?>
<xdr:wsDr xmlns:xdr="http://schemas.openxmlformats.org/drawingml/2006/spreadsheetDrawing" xmlns:a="http://schemas.openxmlformats.org/drawingml/2006/main">
  <xdr:twoCellAnchor>
    <xdr:from>
      <xdr:col>16</xdr:col>
      <xdr:colOff>733320</xdr:colOff>
      <xdr:row>0</xdr:row>
      <xdr:rowOff>0</xdr:rowOff>
    </xdr:from>
    <xdr:to>
      <xdr:col>16</xdr:col>
      <xdr:colOff>733680</xdr:colOff>
      <xdr:row>0</xdr:row>
      <xdr:rowOff>360</xdr:rowOff>
    </xdr:to>
    <xdr:sp macro="" textlink="">
      <xdr:nvSpPr>
        <xdr:cNvPr id="2" name="CustomShape 1" hidden="1">
          <a:extLst>
            <a:ext uri="{FF2B5EF4-FFF2-40B4-BE49-F238E27FC236}">
              <a16:creationId xmlns:a16="http://schemas.microsoft.com/office/drawing/2014/main" id="{00000000-0008-0000-1000-000002000000}"/>
            </a:ext>
          </a:extLst>
        </xdr:cNvPr>
        <xdr:cNvSpPr/>
      </xdr:nvSpPr>
      <xdr:spPr>
        <a:xfrm>
          <a:off x="6895995"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3" name="CustomShape 1" hidden="1">
          <a:extLst>
            <a:ext uri="{FF2B5EF4-FFF2-40B4-BE49-F238E27FC236}">
              <a16:creationId xmlns:a16="http://schemas.microsoft.com/office/drawing/2014/main" id="{00000000-0008-0000-1000-000003000000}"/>
            </a:ext>
          </a:extLst>
        </xdr:cNvPr>
        <xdr:cNvSpPr/>
      </xdr:nvSpPr>
      <xdr:spPr>
        <a:xfrm>
          <a:off x="6895995"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4" name="CustomShape 1" hidden="1">
          <a:extLst>
            <a:ext uri="{FF2B5EF4-FFF2-40B4-BE49-F238E27FC236}">
              <a16:creationId xmlns:a16="http://schemas.microsoft.com/office/drawing/2014/main" id="{00000000-0008-0000-1000-000004000000}"/>
            </a:ext>
          </a:extLst>
        </xdr:cNvPr>
        <xdr:cNvSpPr/>
      </xdr:nvSpPr>
      <xdr:spPr>
        <a:xfrm>
          <a:off x="6895995"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5" name="CustomShape 1" hidden="1">
          <a:extLst>
            <a:ext uri="{FF2B5EF4-FFF2-40B4-BE49-F238E27FC236}">
              <a16:creationId xmlns:a16="http://schemas.microsoft.com/office/drawing/2014/main" id="{00000000-0008-0000-1000-000005000000}"/>
            </a:ext>
          </a:extLst>
        </xdr:cNvPr>
        <xdr:cNvSpPr/>
      </xdr:nvSpPr>
      <xdr:spPr>
        <a:xfrm>
          <a:off x="6895995"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wsDr>
</file>

<file path=xl/drawings/drawing9.xml><?xml version="1.0" encoding="utf-8"?>
<xdr:wsDr xmlns:xdr="http://schemas.openxmlformats.org/drawingml/2006/spreadsheetDrawing" xmlns:a="http://schemas.openxmlformats.org/drawingml/2006/main">
  <xdr:twoCellAnchor>
    <xdr:from>
      <xdr:col>16</xdr:col>
      <xdr:colOff>733320</xdr:colOff>
      <xdr:row>0</xdr:row>
      <xdr:rowOff>0</xdr:rowOff>
    </xdr:from>
    <xdr:to>
      <xdr:col>16</xdr:col>
      <xdr:colOff>733680</xdr:colOff>
      <xdr:row>0</xdr:row>
      <xdr:rowOff>360</xdr:rowOff>
    </xdr:to>
    <xdr:sp macro="" textlink="">
      <xdr:nvSpPr>
        <xdr:cNvPr id="2" name="CustomShape 1" hidden="1">
          <a:extLst>
            <a:ext uri="{FF2B5EF4-FFF2-40B4-BE49-F238E27FC236}">
              <a16:creationId xmlns:a16="http://schemas.microsoft.com/office/drawing/2014/main" id="{00000000-0008-0000-1200-000002000000}"/>
            </a:ext>
          </a:extLst>
        </xdr:cNvPr>
        <xdr:cNvSpPr/>
      </xdr:nvSpPr>
      <xdr:spPr>
        <a:xfrm>
          <a:off x="6895995"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3" name="CustomShape 1" hidden="1">
          <a:extLst>
            <a:ext uri="{FF2B5EF4-FFF2-40B4-BE49-F238E27FC236}">
              <a16:creationId xmlns:a16="http://schemas.microsoft.com/office/drawing/2014/main" id="{00000000-0008-0000-1200-000003000000}"/>
            </a:ext>
          </a:extLst>
        </xdr:cNvPr>
        <xdr:cNvSpPr/>
      </xdr:nvSpPr>
      <xdr:spPr>
        <a:xfrm>
          <a:off x="6895995"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4" name="CustomShape 1" hidden="1">
          <a:extLst>
            <a:ext uri="{FF2B5EF4-FFF2-40B4-BE49-F238E27FC236}">
              <a16:creationId xmlns:a16="http://schemas.microsoft.com/office/drawing/2014/main" id="{00000000-0008-0000-1200-000004000000}"/>
            </a:ext>
          </a:extLst>
        </xdr:cNvPr>
        <xdr:cNvSpPr/>
      </xdr:nvSpPr>
      <xdr:spPr>
        <a:xfrm>
          <a:off x="6895995"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5" name="CustomShape 1" hidden="1">
          <a:extLst>
            <a:ext uri="{FF2B5EF4-FFF2-40B4-BE49-F238E27FC236}">
              <a16:creationId xmlns:a16="http://schemas.microsoft.com/office/drawing/2014/main" id="{00000000-0008-0000-1200-000005000000}"/>
            </a:ext>
          </a:extLst>
        </xdr:cNvPr>
        <xdr:cNvSpPr/>
      </xdr:nvSpPr>
      <xdr:spPr>
        <a:xfrm>
          <a:off x="6895995"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wsDr>
</file>

<file path=xl/drawings/drawing10.xml><?xml version="1.0" encoding="utf-8"?>
<xdr:wsDr xmlns:xdr="http://schemas.openxmlformats.org/drawingml/2006/spreadsheetDrawing" xmlns:a="http://schemas.openxmlformats.org/drawingml/2006/main">
  <xdr:twoCellAnchor>
    <xdr:from>
      <xdr:col>16</xdr:col>
      <xdr:colOff>733320</xdr:colOff>
      <xdr:row>0</xdr:row>
      <xdr:rowOff>0</xdr:rowOff>
    </xdr:from>
    <xdr:to>
      <xdr:col>16</xdr:col>
      <xdr:colOff>733680</xdr:colOff>
      <xdr:row>0</xdr:row>
      <xdr:rowOff>360</xdr:rowOff>
    </xdr:to>
    <xdr:sp macro="" textlink="">
      <xdr:nvSpPr>
        <xdr:cNvPr id="2" name="CustomShape 1" hidden="1">
          <a:extLst>
            <a:ext uri="{FF2B5EF4-FFF2-40B4-BE49-F238E27FC236}">
              <a16:creationId xmlns:a16="http://schemas.microsoft.com/office/drawing/2014/main" id="{00000000-0008-0000-1400-000002000000}"/>
            </a:ext>
          </a:extLst>
        </xdr:cNvPr>
        <xdr:cNvSpPr/>
      </xdr:nvSpPr>
      <xdr:spPr>
        <a:xfrm>
          <a:off x="6895995"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3" name="CustomShape 1" hidden="1">
          <a:extLst>
            <a:ext uri="{FF2B5EF4-FFF2-40B4-BE49-F238E27FC236}">
              <a16:creationId xmlns:a16="http://schemas.microsoft.com/office/drawing/2014/main" id="{00000000-0008-0000-1400-000003000000}"/>
            </a:ext>
          </a:extLst>
        </xdr:cNvPr>
        <xdr:cNvSpPr/>
      </xdr:nvSpPr>
      <xdr:spPr>
        <a:xfrm>
          <a:off x="6895995"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4" name="CustomShape 1" hidden="1">
          <a:extLst>
            <a:ext uri="{FF2B5EF4-FFF2-40B4-BE49-F238E27FC236}">
              <a16:creationId xmlns:a16="http://schemas.microsoft.com/office/drawing/2014/main" id="{00000000-0008-0000-1400-000004000000}"/>
            </a:ext>
          </a:extLst>
        </xdr:cNvPr>
        <xdr:cNvSpPr/>
      </xdr:nvSpPr>
      <xdr:spPr>
        <a:xfrm>
          <a:off x="6895995"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5" name="CustomShape 1" hidden="1">
          <a:extLst>
            <a:ext uri="{FF2B5EF4-FFF2-40B4-BE49-F238E27FC236}">
              <a16:creationId xmlns:a16="http://schemas.microsoft.com/office/drawing/2014/main" id="{00000000-0008-0000-1400-000005000000}"/>
            </a:ext>
          </a:extLst>
        </xdr:cNvPr>
        <xdr:cNvSpPr/>
      </xdr:nvSpPr>
      <xdr:spPr>
        <a:xfrm>
          <a:off x="6895995"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wsDr>
</file>

<file path=xl/drawings/drawing11.xml><?xml version="1.0" encoding="utf-8"?>
<xdr:wsDr xmlns:xdr="http://schemas.openxmlformats.org/drawingml/2006/spreadsheetDrawing" xmlns:a="http://schemas.openxmlformats.org/drawingml/2006/main">
  <xdr:twoCellAnchor>
    <xdr:from>
      <xdr:col>16</xdr:col>
      <xdr:colOff>733320</xdr:colOff>
      <xdr:row>0</xdr:row>
      <xdr:rowOff>0</xdr:rowOff>
    </xdr:from>
    <xdr:to>
      <xdr:col>16</xdr:col>
      <xdr:colOff>733680</xdr:colOff>
      <xdr:row>0</xdr:row>
      <xdr:rowOff>360</xdr:rowOff>
    </xdr:to>
    <xdr:sp macro="" textlink="">
      <xdr:nvSpPr>
        <xdr:cNvPr id="2" name="CustomShape 1" hidden="1">
          <a:extLst>
            <a:ext uri="{FF2B5EF4-FFF2-40B4-BE49-F238E27FC236}">
              <a16:creationId xmlns:a16="http://schemas.microsoft.com/office/drawing/2014/main" id="{00000000-0008-0000-1600-000002000000}"/>
            </a:ext>
          </a:extLst>
        </xdr:cNvPr>
        <xdr:cNvSpPr/>
      </xdr:nvSpPr>
      <xdr:spPr>
        <a:xfrm>
          <a:off x="6895995"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3" name="CustomShape 1" hidden="1">
          <a:extLst>
            <a:ext uri="{FF2B5EF4-FFF2-40B4-BE49-F238E27FC236}">
              <a16:creationId xmlns:a16="http://schemas.microsoft.com/office/drawing/2014/main" id="{00000000-0008-0000-1600-000003000000}"/>
            </a:ext>
          </a:extLst>
        </xdr:cNvPr>
        <xdr:cNvSpPr/>
      </xdr:nvSpPr>
      <xdr:spPr>
        <a:xfrm>
          <a:off x="6895995"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4" name="CustomShape 1" hidden="1">
          <a:extLst>
            <a:ext uri="{FF2B5EF4-FFF2-40B4-BE49-F238E27FC236}">
              <a16:creationId xmlns:a16="http://schemas.microsoft.com/office/drawing/2014/main" id="{00000000-0008-0000-1600-000004000000}"/>
            </a:ext>
          </a:extLst>
        </xdr:cNvPr>
        <xdr:cNvSpPr/>
      </xdr:nvSpPr>
      <xdr:spPr>
        <a:xfrm>
          <a:off x="6895995"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5" name="CustomShape 1" hidden="1">
          <a:extLst>
            <a:ext uri="{FF2B5EF4-FFF2-40B4-BE49-F238E27FC236}">
              <a16:creationId xmlns:a16="http://schemas.microsoft.com/office/drawing/2014/main" id="{00000000-0008-0000-1600-000005000000}"/>
            </a:ext>
          </a:extLst>
        </xdr:cNvPr>
        <xdr:cNvSpPr/>
      </xdr:nvSpPr>
      <xdr:spPr>
        <a:xfrm>
          <a:off x="6895995"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wsDr>
</file>

<file path=xl/drawings/drawing12.xml><?xml version="1.0" encoding="utf-8"?>
<xdr:wsDr xmlns:xdr="http://schemas.openxmlformats.org/drawingml/2006/spreadsheetDrawing" xmlns:a="http://schemas.openxmlformats.org/drawingml/2006/main">
  <xdr:twoCellAnchor>
    <xdr:from>
      <xdr:col>16</xdr:col>
      <xdr:colOff>733320</xdr:colOff>
      <xdr:row>0</xdr:row>
      <xdr:rowOff>0</xdr:rowOff>
    </xdr:from>
    <xdr:to>
      <xdr:col>16</xdr:col>
      <xdr:colOff>733680</xdr:colOff>
      <xdr:row>0</xdr:row>
      <xdr:rowOff>360</xdr:rowOff>
    </xdr:to>
    <xdr:sp macro="" textlink="">
      <xdr:nvSpPr>
        <xdr:cNvPr id="2" name="CustomShape 1" hidden="1">
          <a:extLst>
            <a:ext uri="{FF2B5EF4-FFF2-40B4-BE49-F238E27FC236}">
              <a16:creationId xmlns:a16="http://schemas.microsoft.com/office/drawing/2014/main" id="{00000000-0008-0000-1800-000002000000}"/>
            </a:ext>
          </a:extLst>
        </xdr:cNvPr>
        <xdr:cNvSpPr/>
      </xdr:nvSpPr>
      <xdr:spPr>
        <a:xfrm>
          <a:off x="6895995"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3" name="CustomShape 1" hidden="1">
          <a:extLst>
            <a:ext uri="{FF2B5EF4-FFF2-40B4-BE49-F238E27FC236}">
              <a16:creationId xmlns:a16="http://schemas.microsoft.com/office/drawing/2014/main" id="{00000000-0008-0000-1800-000003000000}"/>
            </a:ext>
          </a:extLst>
        </xdr:cNvPr>
        <xdr:cNvSpPr/>
      </xdr:nvSpPr>
      <xdr:spPr>
        <a:xfrm>
          <a:off x="6895995"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4" name="CustomShape 1" hidden="1">
          <a:extLst>
            <a:ext uri="{FF2B5EF4-FFF2-40B4-BE49-F238E27FC236}">
              <a16:creationId xmlns:a16="http://schemas.microsoft.com/office/drawing/2014/main" id="{00000000-0008-0000-1800-000004000000}"/>
            </a:ext>
          </a:extLst>
        </xdr:cNvPr>
        <xdr:cNvSpPr/>
      </xdr:nvSpPr>
      <xdr:spPr>
        <a:xfrm>
          <a:off x="6895995"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5" name="CustomShape 1" hidden="1">
          <a:extLst>
            <a:ext uri="{FF2B5EF4-FFF2-40B4-BE49-F238E27FC236}">
              <a16:creationId xmlns:a16="http://schemas.microsoft.com/office/drawing/2014/main" id="{00000000-0008-0000-1800-000005000000}"/>
            </a:ext>
          </a:extLst>
        </xdr:cNvPr>
        <xdr:cNvSpPr/>
      </xdr:nvSpPr>
      <xdr:spPr>
        <a:xfrm>
          <a:off x="6895995"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1.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2.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R26"/>
  <sheetViews>
    <sheetView tabSelected="1" zoomScale="90" zoomScaleNormal="90" workbookViewId="0">
      <selection activeCell="J15" sqref="J15"/>
    </sheetView>
  </sheetViews>
  <sheetFormatPr baseColWidth="10" defaultRowHeight="15" x14ac:dyDescent="0.25"/>
  <cols>
    <col min="1" max="1" width="5.42578125" style="21" bestFit="1" customWidth="1"/>
    <col min="2" max="2" width="13.85546875" style="21" bestFit="1" customWidth="1"/>
    <col min="3" max="3" width="27.28515625" style="21" customWidth="1"/>
    <col min="4" max="4" width="5.5703125" style="21" customWidth="1"/>
    <col min="5" max="5" width="89.85546875" style="22" bestFit="1" customWidth="1"/>
    <col min="6" max="6" width="15.5703125" style="21" bestFit="1" customWidth="1"/>
    <col min="7" max="7" width="11.28515625" style="23" bestFit="1" customWidth="1"/>
    <col min="8" max="8" width="13.85546875" style="32" customWidth="1"/>
    <col min="9" max="9" width="16.28515625" style="24" bestFit="1" customWidth="1"/>
    <col min="10" max="10" width="62" customWidth="1"/>
  </cols>
  <sheetData>
    <row r="1" spans="1:11" x14ac:dyDescent="0.25">
      <c r="A1" s="1">
        <v>2022</v>
      </c>
      <c r="B1" s="2"/>
      <c r="C1" s="3"/>
      <c r="D1" s="3"/>
      <c r="E1" s="4"/>
      <c r="F1" s="3"/>
      <c r="G1" s="5"/>
      <c r="H1" s="6"/>
      <c r="I1" s="7"/>
    </row>
    <row r="2" spans="1:11" s="36" customFormat="1" ht="18.75" x14ac:dyDescent="0.3">
      <c r="A2" s="34"/>
      <c r="B2" s="123" t="s">
        <v>0</v>
      </c>
      <c r="C2" s="123"/>
      <c r="D2" s="123"/>
      <c r="E2" s="123"/>
      <c r="F2" s="123"/>
      <c r="G2" s="123"/>
      <c r="H2" s="123"/>
      <c r="I2" s="35"/>
    </row>
    <row r="3" spans="1:11" x14ac:dyDescent="0.25">
      <c r="A3" s="3"/>
      <c r="B3" s="2"/>
      <c r="C3" s="3"/>
      <c r="D3" s="3"/>
      <c r="E3" s="4"/>
      <c r="F3" s="3"/>
      <c r="G3" s="5"/>
      <c r="H3" s="6"/>
      <c r="I3" s="7"/>
    </row>
    <row r="4" spans="1:11" x14ac:dyDescent="0.25">
      <c r="A4" s="122" t="s">
        <v>1</v>
      </c>
      <c r="B4" s="122"/>
      <c r="C4" s="107" t="s">
        <v>2</v>
      </c>
      <c r="D4" s="107"/>
      <c r="E4" s="107"/>
      <c r="F4" s="8"/>
      <c r="G4" s="9"/>
      <c r="H4" s="6"/>
      <c r="I4" s="7"/>
    </row>
    <row r="5" spans="1:11" ht="15" customHeight="1" x14ac:dyDescent="0.25">
      <c r="A5" s="122" t="s">
        <v>3</v>
      </c>
      <c r="B5" s="122"/>
      <c r="C5" s="107" t="s">
        <v>4</v>
      </c>
      <c r="D5" s="107"/>
      <c r="E5" s="107"/>
      <c r="F5" s="8"/>
      <c r="G5" s="9"/>
      <c r="H5" s="6"/>
      <c r="I5" s="7"/>
    </row>
    <row r="6" spans="1:11" x14ac:dyDescent="0.25">
      <c r="A6" s="122" t="s">
        <v>5</v>
      </c>
      <c r="B6" s="122"/>
      <c r="C6" s="108">
        <v>2022</v>
      </c>
      <c r="D6" s="109"/>
      <c r="E6" s="108"/>
      <c r="F6" s="8"/>
      <c r="G6" s="9"/>
      <c r="H6" s="6"/>
      <c r="I6" s="7"/>
    </row>
    <row r="7" spans="1:11" x14ac:dyDescent="0.25">
      <c r="A7" s="122" t="s">
        <v>6</v>
      </c>
      <c r="B7" s="122"/>
      <c r="C7" s="108" t="s">
        <v>20</v>
      </c>
      <c r="D7" s="109"/>
      <c r="E7" s="108"/>
      <c r="F7" s="8"/>
      <c r="G7" s="9"/>
      <c r="H7" s="6"/>
      <c r="I7" s="7"/>
    </row>
    <row r="8" spans="1:11" x14ac:dyDescent="0.25">
      <c r="A8" s="3"/>
      <c r="B8" s="8"/>
      <c r="C8" s="8"/>
      <c r="D8" s="8"/>
      <c r="E8" s="10"/>
      <c r="F8" s="8"/>
      <c r="G8" s="9"/>
      <c r="H8" s="6"/>
      <c r="I8" s="7"/>
    </row>
    <row r="9" spans="1:11" ht="38.25" x14ac:dyDescent="0.25">
      <c r="A9" s="11" t="s">
        <v>7</v>
      </c>
      <c r="B9" s="11" t="s">
        <v>8</v>
      </c>
      <c r="C9" s="12" t="s">
        <v>9</v>
      </c>
      <c r="D9" s="11" t="s">
        <v>10</v>
      </c>
      <c r="E9" s="13" t="s">
        <v>11</v>
      </c>
      <c r="F9" s="12" t="s">
        <v>12</v>
      </c>
      <c r="G9" s="14" t="s">
        <v>13</v>
      </c>
      <c r="H9" s="15" t="s">
        <v>14</v>
      </c>
      <c r="I9" s="16" t="s">
        <v>15</v>
      </c>
      <c r="J9" s="17" t="s">
        <v>16</v>
      </c>
      <c r="K9" s="25"/>
    </row>
    <row r="10" spans="1:11" s="29" customFormat="1" ht="128.25" thickBot="1" x14ac:dyDescent="0.25">
      <c r="A10" s="95">
        <v>1</v>
      </c>
      <c r="B10" s="95" t="s">
        <v>105</v>
      </c>
      <c r="C10" s="95" t="s">
        <v>17</v>
      </c>
      <c r="D10" s="95" t="s">
        <v>18</v>
      </c>
      <c r="E10" s="96" t="s">
        <v>106</v>
      </c>
      <c r="F10" s="95" t="s">
        <v>19</v>
      </c>
      <c r="G10" s="97">
        <v>1470</v>
      </c>
      <c r="H10" s="26">
        <v>600</v>
      </c>
      <c r="I10" s="98">
        <v>882000</v>
      </c>
      <c r="J10" s="19" t="s">
        <v>114</v>
      </c>
    </row>
    <row r="11" spans="1:11" s="30" customFormat="1" ht="13.5" thickBot="1" x14ac:dyDescent="0.25">
      <c r="A11" s="28"/>
      <c r="B11" s="20"/>
      <c r="C11" s="20"/>
      <c r="D11" s="20"/>
      <c r="E11" s="18" t="s">
        <v>21</v>
      </c>
      <c r="F11" s="20"/>
      <c r="G11" s="31"/>
      <c r="H11" s="37"/>
      <c r="I11" s="33">
        <f>+I10</f>
        <v>882000</v>
      </c>
      <c r="J11" s="38"/>
    </row>
    <row r="13" spans="1:11" ht="15.75" thickBot="1" x14ac:dyDescent="0.3"/>
    <row r="14" spans="1:11" ht="36.75" customHeight="1" x14ac:dyDescent="0.25">
      <c r="C14" s="126" t="s">
        <v>60</v>
      </c>
      <c r="D14" s="124" t="s">
        <v>111</v>
      </c>
      <c r="E14" s="124"/>
      <c r="F14" s="125"/>
    </row>
    <row r="15" spans="1:11" ht="21" customHeight="1" x14ac:dyDescent="0.25">
      <c r="C15" s="127"/>
      <c r="D15" s="118" t="s">
        <v>67</v>
      </c>
      <c r="E15" s="120"/>
      <c r="F15" s="121"/>
    </row>
    <row r="16" spans="1:11" s="25" customFormat="1" ht="33.75" customHeight="1" x14ac:dyDescent="0.25">
      <c r="A16" s="27"/>
      <c r="B16" s="27"/>
      <c r="C16" s="127"/>
      <c r="D16" s="118" t="s">
        <v>61</v>
      </c>
      <c r="E16" s="118"/>
      <c r="F16" s="119"/>
      <c r="G16" s="23"/>
      <c r="H16" s="32"/>
      <c r="I16" s="32"/>
    </row>
    <row r="17" spans="3:6" ht="18" customHeight="1" x14ac:dyDescent="0.25">
      <c r="C17" s="127"/>
      <c r="D17" s="120" t="s">
        <v>66</v>
      </c>
      <c r="E17" s="120"/>
      <c r="F17" s="121"/>
    </row>
    <row r="18" spans="3:6" x14ac:dyDescent="0.25">
      <c r="C18" s="115"/>
      <c r="D18" s="99"/>
      <c r="E18" s="99"/>
      <c r="F18" s="100"/>
    </row>
    <row r="19" spans="3:6" x14ac:dyDescent="0.25">
      <c r="C19" s="115" t="s">
        <v>62</v>
      </c>
      <c r="D19" s="116" t="s">
        <v>108</v>
      </c>
      <c r="E19" s="99"/>
      <c r="F19" s="100"/>
    </row>
    <row r="20" spans="3:6" ht="33" customHeight="1" x14ac:dyDescent="0.25">
      <c r="C20" s="115"/>
      <c r="D20" s="118" t="s">
        <v>112</v>
      </c>
      <c r="E20" s="118"/>
      <c r="F20" s="100"/>
    </row>
    <row r="21" spans="3:6" ht="30" customHeight="1" x14ac:dyDescent="0.25">
      <c r="C21" s="115" t="s">
        <v>63</v>
      </c>
      <c r="D21" s="118" t="s">
        <v>64</v>
      </c>
      <c r="E21" s="118"/>
      <c r="F21" s="119"/>
    </row>
    <row r="22" spans="3:6" x14ac:dyDescent="0.25">
      <c r="C22" s="115"/>
      <c r="D22" s="101"/>
      <c r="E22" s="101"/>
      <c r="F22" s="102"/>
    </row>
    <row r="23" spans="3:6" x14ac:dyDescent="0.25">
      <c r="C23" s="115" t="s">
        <v>109</v>
      </c>
      <c r="D23" s="99" t="s">
        <v>110</v>
      </c>
      <c r="E23" s="99"/>
      <c r="F23" s="100"/>
    </row>
    <row r="24" spans="3:6" x14ac:dyDescent="0.25">
      <c r="C24" s="115"/>
      <c r="D24" s="99"/>
      <c r="E24" s="99"/>
      <c r="F24" s="100"/>
    </row>
    <row r="25" spans="3:6" x14ac:dyDescent="0.25">
      <c r="C25" s="115" t="s">
        <v>65</v>
      </c>
      <c r="D25" s="120" t="s">
        <v>113</v>
      </c>
      <c r="E25" s="120"/>
      <c r="F25" s="121"/>
    </row>
    <row r="26" spans="3:6" ht="15.75" thickBot="1" x14ac:dyDescent="0.3">
      <c r="C26" s="103"/>
      <c r="D26" s="104"/>
      <c r="E26" s="105"/>
      <c r="F26" s="106"/>
    </row>
  </sheetData>
  <mergeCells count="13">
    <mergeCell ref="D21:F21"/>
    <mergeCell ref="D25:F25"/>
    <mergeCell ref="A7:B7"/>
    <mergeCell ref="B2:H2"/>
    <mergeCell ref="A4:B4"/>
    <mergeCell ref="A5:B5"/>
    <mergeCell ref="A6:B6"/>
    <mergeCell ref="D14:F14"/>
    <mergeCell ref="D15:F15"/>
    <mergeCell ref="D16:F16"/>
    <mergeCell ref="D17:F17"/>
    <mergeCell ref="C14:C17"/>
    <mergeCell ref="D20:E20"/>
  </mergeCells>
  <conditionalFormatting sqref="B1:B9 E1:E9">
    <cfRule type="duplicateValues" dxfId="25" priority="251"/>
  </conditionalFormatting>
  <conditionalFormatting sqref="E1:E9 B1:B9">
    <cfRule type="duplicateValues" dxfId="24" priority="252"/>
  </conditionalFormatting>
  <conditionalFormatting sqref="E11">
    <cfRule type="duplicateValues" dxfId="23" priority="22"/>
  </conditionalFormatting>
  <conditionalFormatting sqref="E11">
    <cfRule type="duplicateValues" dxfId="22" priority="23"/>
  </conditionalFormatting>
  <conditionalFormatting sqref="E11">
    <cfRule type="duplicateValues" dxfId="21" priority="24"/>
  </conditionalFormatting>
  <conditionalFormatting sqref="E11">
    <cfRule type="duplicateValues" dxfId="20" priority="25"/>
    <cfRule type="duplicateValues" dxfId="19" priority="26"/>
  </conditionalFormatting>
  <conditionalFormatting sqref="E11">
    <cfRule type="duplicateValues" dxfId="18" priority="21"/>
  </conditionalFormatting>
  <conditionalFormatting sqref="B1:B9">
    <cfRule type="duplicateValues" dxfId="17" priority="585"/>
  </conditionalFormatting>
  <conditionalFormatting sqref="E1:E9">
    <cfRule type="duplicateValues" dxfId="16" priority="586"/>
  </conditionalFormatting>
  <conditionalFormatting sqref="E1:E9">
    <cfRule type="duplicateValues" dxfId="15" priority="587"/>
    <cfRule type="duplicateValues" dxfId="14" priority="588"/>
  </conditionalFormatting>
  <conditionalFormatting sqref="C26">
    <cfRule type="duplicateValues" dxfId="13" priority="6"/>
  </conditionalFormatting>
  <conditionalFormatting sqref="F26">
    <cfRule type="duplicateValues" dxfId="12" priority="7"/>
  </conditionalFormatting>
  <conditionalFormatting sqref="C26 F26">
    <cfRule type="duplicateValues" dxfId="11" priority="8"/>
  </conditionalFormatting>
  <conditionalFormatting sqref="F26">
    <cfRule type="duplicateValues" dxfId="10" priority="9"/>
  </conditionalFormatting>
  <conditionalFormatting sqref="C26">
    <cfRule type="duplicateValues" dxfId="9" priority="10"/>
  </conditionalFormatting>
  <conditionalFormatting sqref="F26">
    <cfRule type="duplicateValues" dxfId="8" priority="11"/>
    <cfRule type="duplicateValues" dxfId="7" priority="12"/>
  </conditionalFormatting>
  <conditionalFormatting sqref="F23:F24 F18:F20">
    <cfRule type="duplicateValues" dxfId="6" priority="1"/>
  </conditionalFormatting>
  <conditionalFormatting sqref="C14 F23:F24 F18:F20 C18:C25">
    <cfRule type="duplicateValues" dxfId="5" priority="2"/>
  </conditionalFormatting>
  <conditionalFormatting sqref="F23:F24">
    <cfRule type="duplicateValues" dxfId="4" priority="3"/>
  </conditionalFormatting>
  <conditionalFormatting sqref="F23:F24 F18:F20">
    <cfRule type="duplicateValues" dxfId="3" priority="4"/>
    <cfRule type="duplicateValues" dxfId="2" priority="5"/>
  </conditionalFormatting>
  <conditionalFormatting sqref="C14 C18:C25">
    <cfRule type="duplicateValues" dxfId="1" priority="13"/>
  </conditionalFormatting>
  <conditionalFormatting sqref="C14 C18:C25">
    <cfRule type="duplicateValues" dxfId="0" priority="14"/>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4"/>
  <sheetViews>
    <sheetView workbookViewId="0">
      <selection activeCell="J18" sqref="J18"/>
    </sheetView>
  </sheetViews>
  <sheetFormatPr baseColWidth="10" defaultRowHeight="15" x14ac:dyDescent="0.25"/>
  <cols>
    <col min="1" max="1" width="5.5703125" customWidth="1"/>
    <col min="2" max="2" width="15.140625" customWidth="1"/>
    <col min="3" max="3" width="14.140625" customWidth="1"/>
    <col min="4" max="4" width="26" customWidth="1"/>
    <col min="5" max="5" width="8" customWidth="1"/>
    <col min="6" max="6" width="7.85546875" customWidth="1"/>
    <col min="7" max="7" width="28.5703125" customWidth="1"/>
    <col min="8" max="8" width="9.28515625" customWidth="1"/>
    <col min="9" max="9" width="15.5703125" customWidth="1"/>
    <col min="10" max="10" width="14.7109375" customWidth="1"/>
    <col min="11" max="11" width="15.5703125" customWidth="1"/>
  </cols>
  <sheetData>
    <row r="1" spans="1:11" ht="30.75" thickBot="1" x14ac:dyDescent="0.3">
      <c r="A1" s="139" t="s">
        <v>22</v>
      </c>
      <c r="B1" s="139"/>
      <c r="C1" s="139"/>
      <c r="D1" s="139"/>
      <c r="E1" s="139"/>
      <c r="F1" s="139"/>
      <c r="G1" s="139"/>
      <c r="H1" s="139"/>
      <c r="I1" s="139"/>
      <c r="J1" s="39" t="s">
        <v>23</v>
      </c>
      <c r="K1" s="40"/>
    </row>
    <row r="2" spans="1:11" ht="16.5" thickBot="1" x14ac:dyDescent="0.3">
      <c r="A2" s="41"/>
      <c r="B2" s="42"/>
      <c r="C2" s="42"/>
      <c r="D2" s="43"/>
      <c r="E2" s="43"/>
      <c r="F2" s="43"/>
      <c r="G2" s="43"/>
      <c r="H2" s="43"/>
      <c r="I2" s="43"/>
      <c r="J2" s="43"/>
      <c r="K2" s="44"/>
    </row>
    <row r="3" spans="1:11" ht="16.5" customHeight="1" thickBot="1" x14ac:dyDescent="0.3">
      <c r="A3" s="136" t="s">
        <v>24</v>
      </c>
      <c r="B3" s="136"/>
      <c r="C3" s="136"/>
      <c r="D3" s="110" t="str">
        <f>'SAF 011'!C4</f>
        <v>040 - MINISTERIO DE SALUD</v>
      </c>
      <c r="E3" s="111"/>
      <c r="F3" s="111"/>
      <c r="G3" s="111"/>
      <c r="H3" s="111"/>
      <c r="I3" s="111"/>
      <c r="J3" s="111"/>
      <c r="K3" s="112"/>
    </row>
    <row r="4" spans="1:11" ht="16.5" customHeight="1" thickBot="1" x14ac:dyDescent="0.3">
      <c r="A4" s="137" t="s">
        <v>25</v>
      </c>
      <c r="B4" s="137"/>
      <c r="C4" s="137"/>
      <c r="D4" s="110" t="str">
        <f>'SAF 011'!C5</f>
        <v>011 - DIRECCION PROVINCIAL DE ADMINISTRACION - MINISTERIO DE SALUD</v>
      </c>
      <c r="E4" s="111"/>
      <c r="F4" s="111"/>
      <c r="G4" s="111"/>
      <c r="H4" s="111"/>
      <c r="I4" s="111"/>
      <c r="J4" s="111"/>
      <c r="K4" s="112"/>
    </row>
    <row r="5" spans="1:11" ht="16.5" thickBot="1" x14ac:dyDescent="0.3">
      <c r="A5" s="137" t="s">
        <v>26</v>
      </c>
      <c r="B5" s="137"/>
      <c r="C5" s="137"/>
      <c r="D5" s="110" t="s">
        <v>70</v>
      </c>
      <c r="E5" s="111"/>
      <c r="F5" s="111"/>
      <c r="G5" s="111"/>
      <c r="H5" s="111"/>
      <c r="I5" s="111"/>
      <c r="J5" s="111"/>
      <c r="K5" s="112"/>
    </row>
    <row r="6" spans="1:11" ht="16.5" thickBot="1" x14ac:dyDescent="0.3">
      <c r="A6" s="136" t="s">
        <v>27</v>
      </c>
      <c r="B6" s="136"/>
      <c r="C6" s="136"/>
      <c r="D6" s="110" t="s">
        <v>70</v>
      </c>
      <c r="E6" s="111"/>
      <c r="F6" s="111"/>
      <c r="G6" s="111"/>
      <c r="H6" s="111"/>
      <c r="I6" s="111"/>
      <c r="J6" s="111"/>
      <c r="K6" s="112"/>
    </row>
    <row r="7" spans="1:11" ht="16.5" thickBot="1" x14ac:dyDescent="0.3">
      <c r="A7" s="137" t="s">
        <v>28</v>
      </c>
      <c r="B7" s="137"/>
      <c r="C7" s="137"/>
      <c r="D7" s="110" t="s">
        <v>99</v>
      </c>
      <c r="E7" s="111"/>
      <c r="F7" s="111"/>
      <c r="G7" s="111"/>
      <c r="H7" s="111"/>
      <c r="I7" s="111"/>
      <c r="J7" s="111"/>
      <c r="K7" s="112"/>
    </row>
    <row r="8" spans="1:11" ht="16.5" thickBot="1" x14ac:dyDescent="0.3">
      <c r="A8" s="138" t="s">
        <v>29</v>
      </c>
      <c r="B8" s="138"/>
      <c r="C8" s="138"/>
      <c r="D8" s="113" t="s">
        <v>71</v>
      </c>
      <c r="E8" s="111"/>
      <c r="F8" s="111"/>
      <c r="G8" s="111"/>
      <c r="H8" s="111"/>
      <c r="I8" s="111"/>
      <c r="J8" s="111"/>
      <c r="K8" s="112"/>
    </row>
    <row r="9" spans="1:11" ht="16.5" thickBot="1" x14ac:dyDescent="0.3">
      <c r="A9" s="45"/>
      <c r="B9" s="46"/>
      <c r="C9" s="46"/>
      <c r="D9" s="47"/>
      <c r="E9" s="47"/>
      <c r="F9" s="47"/>
      <c r="G9" s="47"/>
      <c r="H9" s="47"/>
      <c r="I9" s="47"/>
      <c r="J9" s="47"/>
      <c r="K9" s="48"/>
    </row>
    <row r="10" spans="1:11" ht="15.75" thickBot="1" x14ac:dyDescent="0.3">
      <c r="A10" s="135" t="s">
        <v>30</v>
      </c>
      <c r="B10" s="134" t="s">
        <v>31</v>
      </c>
      <c r="C10" s="134" t="s">
        <v>32</v>
      </c>
      <c r="D10" s="134"/>
      <c r="E10" s="134"/>
      <c r="F10" s="134"/>
      <c r="G10" s="134"/>
      <c r="H10" s="134" t="s">
        <v>33</v>
      </c>
      <c r="I10" s="134" t="s">
        <v>34</v>
      </c>
      <c r="J10" s="134" t="s">
        <v>35</v>
      </c>
      <c r="K10" s="132" t="s">
        <v>36</v>
      </c>
    </row>
    <row r="11" spans="1:11" ht="24.75" customHeight="1" thickBot="1" x14ac:dyDescent="0.3">
      <c r="A11" s="135"/>
      <c r="B11" s="134"/>
      <c r="C11" s="134"/>
      <c r="D11" s="134"/>
      <c r="E11" s="134"/>
      <c r="F11" s="134"/>
      <c r="G11" s="134"/>
      <c r="H11" s="134"/>
      <c r="I11" s="134"/>
      <c r="J11" s="134"/>
      <c r="K11" s="132"/>
    </row>
    <row r="12" spans="1:11" ht="54" customHeight="1" x14ac:dyDescent="0.25">
      <c r="A12" s="49">
        <v>1</v>
      </c>
      <c r="B12" s="114" t="str">
        <f>'SAF 011'!B10</f>
        <v>2.1.1-7915.14</v>
      </c>
      <c r="C12" s="133" t="str">
        <f>'SAF 011'!E10</f>
        <v>AGUA POTABLE; TIPO: POTABILIZADA SIN GASIFICAR; PRESENTACION: SEGÚN PLIEGO, MATERIAL ENVASE: SEGÚN PLIEGO, TIPO ENVASE: SEGÚN PLIEGO</v>
      </c>
      <c r="D12" s="133"/>
      <c r="E12" s="133"/>
      <c r="F12" s="133"/>
      <c r="G12" s="133"/>
      <c r="H12" s="50" t="s">
        <v>72</v>
      </c>
      <c r="I12" s="51" t="s">
        <v>107</v>
      </c>
      <c r="J12" s="51">
        <f>'SAF 011'!H10</f>
        <v>600</v>
      </c>
      <c r="K12" s="52" t="e">
        <f>'SAF 011'!#REF!</f>
        <v>#REF!</v>
      </c>
    </row>
    <row r="13" spans="1:11" ht="15.75" x14ac:dyDescent="0.25">
      <c r="A13" s="53"/>
      <c r="B13" s="54"/>
      <c r="C13" s="131"/>
      <c r="D13" s="131"/>
      <c r="E13" s="131"/>
      <c r="F13" s="131"/>
      <c r="G13" s="131"/>
      <c r="H13" s="55"/>
      <c r="I13" s="56"/>
      <c r="J13" s="56"/>
      <c r="K13" s="57"/>
    </row>
    <row r="14" spans="1:11" ht="19.5" thickBot="1" x14ac:dyDescent="0.3">
      <c r="A14" s="128" t="s">
        <v>73</v>
      </c>
      <c r="B14" s="128"/>
      <c r="C14" s="128"/>
      <c r="D14" s="128"/>
      <c r="E14" s="128"/>
      <c r="F14" s="128"/>
      <c r="G14" s="128"/>
      <c r="H14" s="128"/>
      <c r="I14" s="128"/>
      <c r="J14" s="129" t="e">
        <f>+J12*K12</f>
        <v>#REF!</v>
      </c>
      <c r="K14" s="130"/>
    </row>
  </sheetData>
  <mergeCells count="18">
    <mergeCell ref="A6:C6"/>
    <mergeCell ref="A7:C7"/>
    <mergeCell ref="A8:C8"/>
    <mergeCell ref="A5:C5"/>
    <mergeCell ref="A1:I1"/>
    <mergeCell ref="A3:C3"/>
    <mergeCell ref="A4:C4"/>
    <mergeCell ref="A14:I14"/>
    <mergeCell ref="J14:K14"/>
    <mergeCell ref="C13:G13"/>
    <mergeCell ref="K10:K11"/>
    <mergeCell ref="C12:G12"/>
    <mergeCell ref="I10:I11"/>
    <mergeCell ref="J10:J11"/>
    <mergeCell ref="A10:A11"/>
    <mergeCell ref="B10:B11"/>
    <mergeCell ref="C10:G11"/>
    <mergeCell ref="H10:H1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Q42"/>
  <sheetViews>
    <sheetView workbookViewId="0">
      <selection activeCell="Q19" sqref="Q19"/>
    </sheetView>
  </sheetViews>
  <sheetFormatPr baseColWidth="10" defaultRowHeight="15" x14ac:dyDescent="0.25"/>
  <cols>
    <col min="1" max="5" width="4.42578125" customWidth="1"/>
    <col min="6" max="6" width="5.5703125" customWidth="1"/>
    <col min="7" max="7" width="4" bestFit="1" customWidth="1"/>
    <col min="8" max="14" width="4.42578125" customWidth="1"/>
    <col min="15" max="16" width="14.85546875" customWidth="1"/>
    <col min="17" max="17" width="14.7109375" customWidth="1"/>
  </cols>
  <sheetData>
    <row r="1" spans="1:17" ht="15.75" thickBot="1" x14ac:dyDescent="0.3">
      <c r="A1" s="157" t="s">
        <v>5</v>
      </c>
      <c r="B1" s="157"/>
      <c r="C1" s="157"/>
      <c r="D1" s="158">
        <v>2022</v>
      </c>
      <c r="E1" s="158"/>
      <c r="F1" s="58"/>
      <c r="G1" s="58"/>
      <c r="H1" s="59"/>
      <c r="I1" s="59"/>
      <c r="J1" s="59"/>
      <c r="K1" s="59"/>
      <c r="L1" s="59"/>
      <c r="M1" s="59"/>
      <c r="N1" s="59"/>
      <c r="O1" s="60"/>
      <c r="P1" s="159" t="s">
        <v>37</v>
      </c>
      <c r="Q1" s="159"/>
    </row>
    <row r="2" spans="1:17" ht="15.75" thickBot="1" x14ac:dyDescent="0.3">
      <c r="A2" s="61"/>
      <c r="B2" s="62"/>
      <c r="C2" s="62"/>
      <c r="D2" s="62"/>
      <c r="E2" s="62"/>
      <c r="F2" s="62"/>
      <c r="G2" s="63"/>
      <c r="H2" s="64"/>
      <c r="I2" s="64"/>
      <c r="J2" s="64"/>
      <c r="K2" s="64"/>
      <c r="L2" s="64"/>
      <c r="M2" s="64"/>
      <c r="N2" s="64"/>
      <c r="O2" s="62"/>
      <c r="P2" s="159"/>
      <c r="Q2" s="159"/>
    </row>
    <row r="3" spans="1:17" ht="15.75" thickBot="1" x14ac:dyDescent="0.3">
      <c r="A3" s="61"/>
      <c r="B3" s="62"/>
      <c r="C3" s="62"/>
      <c r="D3" s="62"/>
      <c r="E3" s="62"/>
      <c r="F3" s="62"/>
      <c r="G3" s="63"/>
      <c r="H3" s="62"/>
      <c r="I3" s="62"/>
      <c r="J3" s="62"/>
      <c r="K3" s="62"/>
      <c r="L3" s="62"/>
      <c r="M3" s="62"/>
      <c r="N3" s="62"/>
      <c r="O3" s="62"/>
      <c r="P3" s="62"/>
      <c r="Q3" s="65"/>
    </row>
    <row r="4" spans="1:17" ht="15.75" thickBot="1" x14ac:dyDescent="0.3">
      <c r="A4" s="160" t="s">
        <v>38</v>
      </c>
      <c r="B4" s="160"/>
      <c r="C4" s="160"/>
      <c r="D4" s="160"/>
      <c r="E4" s="160"/>
      <c r="F4" s="160"/>
      <c r="G4" s="161" t="str">
        <f>'NP SMPyPS'!D3</f>
        <v>040 - MINISTERIO DE SALUD</v>
      </c>
      <c r="H4" s="161"/>
      <c r="I4" s="161"/>
      <c r="J4" s="161"/>
      <c r="K4" s="161"/>
      <c r="L4" s="161"/>
      <c r="M4" s="161"/>
      <c r="N4" s="161"/>
      <c r="O4" s="161"/>
      <c r="P4" s="161"/>
      <c r="Q4" s="161"/>
    </row>
    <row r="5" spans="1:17" ht="15.75" thickBot="1" x14ac:dyDescent="0.3">
      <c r="A5" s="162" t="s">
        <v>25</v>
      </c>
      <c r="B5" s="162"/>
      <c r="C5" s="162"/>
      <c r="D5" s="162"/>
      <c r="E5" s="162"/>
      <c r="F5" s="162"/>
      <c r="G5" s="161" t="str">
        <f>'NP SMPyPS'!D4</f>
        <v>011 - DIRECCION PROVINCIAL DE ADMINISTRACION - MINISTERIO DE SALUD</v>
      </c>
      <c r="H5" s="161"/>
      <c r="I5" s="161"/>
      <c r="J5" s="161"/>
      <c r="K5" s="161"/>
      <c r="L5" s="161"/>
      <c r="M5" s="161"/>
      <c r="N5" s="161"/>
      <c r="O5" s="161"/>
      <c r="P5" s="161"/>
      <c r="Q5" s="161"/>
    </row>
    <row r="6" spans="1:17" ht="15.75" thickBot="1" x14ac:dyDescent="0.3">
      <c r="A6" s="162" t="s">
        <v>26</v>
      </c>
      <c r="B6" s="162"/>
      <c r="C6" s="162"/>
      <c r="D6" s="162"/>
      <c r="E6" s="162"/>
      <c r="F6" s="162"/>
      <c r="G6" s="161" t="str">
        <f>'NP SMPyPS'!D5</f>
        <v>744 - SECRETARIA DE MEDICINA PREVENTIVA Y PROMOCION EN SALUD</v>
      </c>
      <c r="H6" s="161"/>
      <c r="I6" s="161"/>
      <c r="J6" s="161"/>
      <c r="K6" s="161"/>
      <c r="L6" s="161"/>
      <c r="M6" s="161"/>
      <c r="N6" s="161"/>
      <c r="O6" s="161"/>
      <c r="P6" s="161"/>
      <c r="Q6" s="161"/>
    </row>
    <row r="7" spans="1:17" ht="15.75" thickBot="1" x14ac:dyDescent="0.3">
      <c r="A7" s="162" t="s">
        <v>27</v>
      </c>
      <c r="B7" s="162"/>
      <c r="C7" s="162"/>
      <c r="D7" s="162"/>
      <c r="E7" s="162"/>
      <c r="F7" s="162"/>
      <c r="G7" s="161" t="str">
        <f>'NP SMPyPS'!D6</f>
        <v>744 - SECRETARIA DE MEDICINA PREVENTIVA Y PROMOCION EN SALUD</v>
      </c>
      <c r="H7" s="161"/>
      <c r="I7" s="161"/>
      <c r="J7" s="161"/>
      <c r="K7" s="161"/>
      <c r="L7" s="161"/>
      <c r="M7" s="161"/>
      <c r="N7" s="161"/>
      <c r="O7" s="161"/>
      <c r="P7" s="161"/>
      <c r="Q7" s="161"/>
    </row>
    <row r="8" spans="1:17" ht="15.75" thickBot="1" x14ac:dyDescent="0.3">
      <c r="A8" s="163" t="s">
        <v>39</v>
      </c>
      <c r="B8" s="163"/>
      <c r="C8" s="163"/>
      <c r="D8" s="163"/>
      <c r="E8" s="163"/>
      <c r="F8" s="163"/>
      <c r="G8" s="163"/>
      <c r="H8" s="163"/>
      <c r="I8" s="163"/>
      <c r="J8" s="163"/>
      <c r="K8" s="163"/>
      <c r="L8" s="163"/>
      <c r="M8" s="163"/>
      <c r="N8" s="163"/>
      <c r="O8" s="163"/>
      <c r="P8" s="163"/>
      <c r="Q8" s="163"/>
    </row>
    <row r="9" spans="1:17" ht="27.75" customHeight="1" x14ac:dyDescent="0.25">
      <c r="A9" s="156" t="s">
        <v>40</v>
      </c>
      <c r="B9" s="156"/>
      <c r="C9" s="156"/>
      <c r="D9" s="156"/>
      <c r="E9" s="156"/>
      <c r="F9" s="156"/>
      <c r="G9" s="156"/>
      <c r="H9" s="156"/>
      <c r="I9" s="156"/>
      <c r="J9" s="156"/>
      <c r="K9" s="156"/>
      <c r="L9" s="156"/>
      <c r="M9" s="156"/>
      <c r="N9" s="156"/>
      <c r="O9" s="156"/>
      <c r="P9" s="156"/>
      <c r="Q9" s="156"/>
    </row>
    <row r="10" spans="1:17" ht="57" customHeight="1" x14ac:dyDescent="0.25">
      <c r="A10" s="149" t="s">
        <v>59</v>
      </c>
      <c r="B10" s="149"/>
      <c r="C10" s="149"/>
      <c r="D10" s="149"/>
      <c r="E10" s="149"/>
      <c r="F10" s="149"/>
      <c r="G10" s="149"/>
      <c r="H10" s="149"/>
      <c r="I10" s="149"/>
      <c r="J10" s="149"/>
      <c r="K10" s="149"/>
      <c r="L10" s="149"/>
      <c r="M10" s="149"/>
      <c r="N10" s="149"/>
      <c r="O10" s="149"/>
      <c r="P10" s="149"/>
      <c r="Q10" s="149"/>
    </row>
    <row r="11" spans="1:17" ht="15.75" thickBot="1" x14ac:dyDescent="0.3">
      <c r="A11" s="66"/>
      <c r="B11" s="67"/>
      <c r="C11" s="67"/>
      <c r="D11" s="67"/>
      <c r="E11" s="67"/>
      <c r="F11" s="67"/>
      <c r="G11" s="68"/>
      <c r="H11" s="67"/>
      <c r="I11" s="67"/>
      <c r="J11" s="67"/>
      <c r="K11" s="67"/>
      <c r="L11" s="67"/>
      <c r="M11" s="67"/>
      <c r="N11" s="67"/>
      <c r="O11" s="67"/>
      <c r="P11" s="67"/>
      <c r="Q11" s="69"/>
    </row>
    <row r="12" spans="1:17" ht="15.75" thickBot="1" x14ac:dyDescent="0.3">
      <c r="A12" s="150" t="s">
        <v>41</v>
      </c>
      <c r="B12" s="150"/>
      <c r="C12" s="150"/>
      <c r="D12" s="150"/>
      <c r="E12" s="150"/>
      <c r="F12" s="150"/>
      <c r="G12" s="150"/>
      <c r="H12" s="150"/>
      <c r="I12" s="150"/>
      <c r="J12" s="150"/>
      <c r="K12" s="150"/>
      <c r="L12" s="150"/>
      <c r="M12" s="150"/>
      <c r="N12" s="150"/>
      <c r="O12" s="150"/>
      <c r="P12" s="150"/>
      <c r="Q12" s="150"/>
    </row>
    <row r="13" spans="1:17" ht="15.75" thickBot="1" x14ac:dyDescent="0.3">
      <c r="A13" s="151" t="s">
        <v>42</v>
      </c>
      <c r="B13" s="151"/>
      <c r="C13" s="151"/>
      <c r="D13" s="151"/>
      <c r="E13" s="151"/>
      <c r="F13" s="151"/>
      <c r="G13" s="151"/>
      <c r="H13" s="151"/>
      <c r="I13" s="151"/>
      <c r="J13" s="151"/>
      <c r="K13" s="151"/>
      <c r="L13" s="151"/>
      <c r="M13" s="151"/>
      <c r="N13" s="151"/>
      <c r="O13" s="152" t="s">
        <v>43</v>
      </c>
      <c r="P13" s="152"/>
      <c r="Q13" s="153" t="s">
        <v>44</v>
      </c>
    </row>
    <row r="14" spans="1:17" ht="15.75" thickBot="1" x14ac:dyDescent="0.3">
      <c r="A14" s="70" t="s">
        <v>45</v>
      </c>
      <c r="B14" s="71" t="s">
        <v>46</v>
      </c>
      <c r="C14" s="71" t="s">
        <v>47</v>
      </c>
      <c r="D14" s="71" t="s">
        <v>48</v>
      </c>
      <c r="E14" s="71" t="s">
        <v>49</v>
      </c>
      <c r="F14" s="71" t="s">
        <v>50</v>
      </c>
      <c r="G14" s="72" t="s">
        <v>51</v>
      </c>
      <c r="H14" s="71" t="s">
        <v>52</v>
      </c>
      <c r="I14" s="71" t="s">
        <v>53</v>
      </c>
      <c r="J14" s="71" t="s">
        <v>54</v>
      </c>
      <c r="K14" s="71" t="s">
        <v>54</v>
      </c>
      <c r="L14" s="71" t="s">
        <v>55</v>
      </c>
      <c r="M14" s="73" t="s">
        <v>56</v>
      </c>
      <c r="N14" s="74" t="s">
        <v>57</v>
      </c>
      <c r="O14" s="152"/>
      <c r="P14" s="152"/>
      <c r="Q14" s="153"/>
    </row>
    <row r="15" spans="1:17" x14ac:dyDescent="0.25">
      <c r="A15" s="75">
        <v>4</v>
      </c>
      <c r="B15" s="76"/>
      <c r="C15" s="76"/>
      <c r="D15" s="76">
        <v>1</v>
      </c>
      <c r="E15" s="76"/>
      <c r="F15" s="76">
        <v>4901</v>
      </c>
      <c r="G15" s="76">
        <v>1</v>
      </c>
      <c r="H15" s="76">
        <v>3</v>
      </c>
      <c r="I15" s="76">
        <v>2</v>
      </c>
      <c r="J15" s="76">
        <v>1</v>
      </c>
      <c r="K15" s="76">
        <v>1</v>
      </c>
      <c r="L15" s="76"/>
      <c r="M15" s="77">
        <v>1</v>
      </c>
      <c r="N15" s="76" t="s">
        <v>68</v>
      </c>
      <c r="O15" s="154" t="s">
        <v>69</v>
      </c>
      <c r="P15" s="154"/>
      <c r="Q15" s="78">
        <v>5000</v>
      </c>
    </row>
    <row r="16" spans="1:17" x14ac:dyDescent="0.25">
      <c r="A16" s="79">
        <v>4</v>
      </c>
      <c r="B16" s="80"/>
      <c r="C16" s="80"/>
      <c r="D16" s="80">
        <v>2</v>
      </c>
      <c r="E16" s="80"/>
      <c r="F16" s="80">
        <v>4901</v>
      </c>
      <c r="G16" s="80">
        <v>3</v>
      </c>
      <c r="H16" s="80">
        <v>1</v>
      </c>
      <c r="I16" s="80">
        <v>2</v>
      </c>
      <c r="J16" s="80">
        <v>1</v>
      </c>
      <c r="K16" s="80">
        <v>1</v>
      </c>
      <c r="L16" s="80"/>
      <c r="M16" s="81">
        <v>1</v>
      </c>
      <c r="N16" s="82" t="s">
        <v>68</v>
      </c>
      <c r="O16" s="143" t="s">
        <v>69</v>
      </c>
      <c r="P16" s="143"/>
      <c r="Q16" s="83">
        <v>70000</v>
      </c>
    </row>
    <row r="17" spans="1:17" x14ac:dyDescent="0.25">
      <c r="A17" s="79"/>
      <c r="B17" s="80"/>
      <c r="C17" s="80"/>
      <c r="D17" s="80"/>
      <c r="E17" s="80"/>
      <c r="F17" s="80"/>
      <c r="G17" s="80"/>
      <c r="H17" s="80"/>
      <c r="I17" s="80"/>
      <c r="J17" s="80"/>
      <c r="K17" s="80"/>
      <c r="L17" s="80"/>
      <c r="M17" s="81"/>
      <c r="N17" s="82"/>
      <c r="O17" s="155"/>
      <c r="P17" s="155"/>
      <c r="Q17" s="83"/>
    </row>
    <row r="18" spans="1:17" x14ac:dyDescent="0.25">
      <c r="A18" s="79"/>
      <c r="B18" s="80"/>
      <c r="C18" s="80"/>
      <c r="D18" s="80"/>
      <c r="E18" s="80"/>
      <c r="F18" s="80"/>
      <c r="G18" s="80"/>
      <c r="H18" s="80"/>
      <c r="I18" s="80"/>
      <c r="J18" s="80"/>
      <c r="K18" s="80"/>
      <c r="L18" s="80"/>
      <c r="M18" s="81"/>
      <c r="N18" s="82"/>
      <c r="O18" s="148"/>
      <c r="P18" s="148"/>
      <c r="Q18" s="83"/>
    </row>
    <row r="19" spans="1:17" x14ac:dyDescent="0.25">
      <c r="A19" s="79"/>
      <c r="B19" s="80"/>
      <c r="C19" s="80"/>
      <c r="D19" s="80"/>
      <c r="E19" s="80"/>
      <c r="F19" s="80"/>
      <c r="G19" s="80"/>
      <c r="H19" s="80"/>
      <c r="I19" s="80"/>
      <c r="J19" s="80"/>
      <c r="K19" s="80"/>
      <c r="L19" s="80"/>
      <c r="M19" s="81"/>
      <c r="N19" s="82"/>
      <c r="O19" s="148"/>
      <c r="P19" s="148"/>
      <c r="Q19" s="83"/>
    </row>
    <row r="20" spans="1:17" x14ac:dyDescent="0.25">
      <c r="A20" s="79"/>
      <c r="B20" s="80"/>
      <c r="C20" s="80"/>
      <c r="D20" s="80"/>
      <c r="E20" s="80"/>
      <c r="F20" s="80"/>
      <c r="G20" s="80"/>
      <c r="H20" s="80"/>
      <c r="I20" s="80"/>
      <c r="J20" s="80"/>
      <c r="K20" s="80"/>
      <c r="L20" s="80"/>
      <c r="M20" s="81"/>
      <c r="N20" s="82"/>
      <c r="O20" s="148"/>
      <c r="P20" s="148"/>
      <c r="Q20" s="83"/>
    </row>
    <row r="21" spans="1:17" x14ac:dyDescent="0.25">
      <c r="A21" s="79"/>
      <c r="B21" s="80"/>
      <c r="C21" s="80"/>
      <c r="D21" s="80"/>
      <c r="E21" s="80"/>
      <c r="F21" s="80"/>
      <c r="G21" s="80"/>
      <c r="H21" s="80"/>
      <c r="I21" s="80"/>
      <c r="J21" s="80"/>
      <c r="K21" s="80"/>
      <c r="L21" s="80"/>
      <c r="M21" s="81"/>
      <c r="N21" s="82"/>
      <c r="O21" s="148"/>
      <c r="P21" s="148"/>
      <c r="Q21" s="83"/>
    </row>
    <row r="22" spans="1:17" x14ac:dyDescent="0.25">
      <c r="A22" s="79"/>
      <c r="B22" s="80"/>
      <c r="C22" s="80"/>
      <c r="D22" s="80"/>
      <c r="E22" s="80"/>
      <c r="F22" s="80"/>
      <c r="G22" s="80"/>
      <c r="H22" s="80"/>
      <c r="I22" s="80"/>
      <c r="J22" s="80"/>
      <c r="K22" s="80"/>
      <c r="L22" s="80"/>
      <c r="M22" s="81"/>
      <c r="N22" s="82"/>
      <c r="O22" s="148"/>
      <c r="P22" s="148"/>
      <c r="Q22" s="83"/>
    </row>
    <row r="23" spans="1:17" x14ac:dyDescent="0.25">
      <c r="A23" s="79"/>
      <c r="B23" s="80"/>
      <c r="C23" s="80"/>
      <c r="D23" s="80"/>
      <c r="E23" s="80"/>
      <c r="F23" s="80"/>
      <c r="G23" s="80"/>
      <c r="H23" s="80"/>
      <c r="I23" s="80"/>
      <c r="J23" s="80"/>
      <c r="K23" s="80"/>
      <c r="L23" s="80"/>
      <c r="M23" s="81"/>
      <c r="N23" s="82"/>
      <c r="O23" s="148"/>
      <c r="P23" s="148"/>
      <c r="Q23" s="83"/>
    </row>
    <row r="24" spans="1:17" x14ac:dyDescent="0.25">
      <c r="A24" s="79"/>
      <c r="B24" s="80"/>
      <c r="C24" s="80"/>
      <c r="D24" s="80"/>
      <c r="E24" s="80"/>
      <c r="F24" s="80"/>
      <c r="G24" s="80"/>
      <c r="H24" s="80"/>
      <c r="I24" s="80"/>
      <c r="J24" s="80"/>
      <c r="K24" s="80"/>
      <c r="L24" s="80"/>
      <c r="M24" s="81"/>
      <c r="N24" s="82"/>
      <c r="O24" s="148"/>
      <c r="P24" s="148"/>
      <c r="Q24" s="83"/>
    </row>
    <row r="25" spans="1:17" x14ac:dyDescent="0.25">
      <c r="A25" s="79"/>
      <c r="B25" s="80"/>
      <c r="C25" s="80"/>
      <c r="D25" s="80"/>
      <c r="E25" s="80"/>
      <c r="F25" s="80"/>
      <c r="G25" s="80"/>
      <c r="H25" s="80"/>
      <c r="I25" s="80"/>
      <c r="J25" s="80"/>
      <c r="K25" s="80"/>
      <c r="L25" s="80"/>
      <c r="M25" s="81"/>
      <c r="N25" s="82"/>
      <c r="O25" s="148"/>
      <c r="P25" s="148"/>
      <c r="Q25" s="83"/>
    </row>
    <row r="26" spans="1:17" x14ac:dyDescent="0.25">
      <c r="A26" s="79"/>
      <c r="B26" s="80"/>
      <c r="C26" s="80"/>
      <c r="D26" s="80"/>
      <c r="E26" s="80"/>
      <c r="F26" s="80"/>
      <c r="G26" s="80"/>
      <c r="H26" s="80"/>
      <c r="I26" s="80"/>
      <c r="J26" s="80"/>
      <c r="K26" s="80"/>
      <c r="L26" s="80"/>
      <c r="M26" s="81"/>
      <c r="N26" s="82"/>
      <c r="O26" s="148"/>
      <c r="P26" s="148"/>
      <c r="Q26" s="83"/>
    </row>
    <row r="27" spans="1:17" x14ac:dyDescent="0.25">
      <c r="A27" s="79"/>
      <c r="B27" s="80"/>
      <c r="C27" s="80"/>
      <c r="D27" s="80"/>
      <c r="E27" s="80"/>
      <c r="F27" s="80"/>
      <c r="G27" s="80"/>
      <c r="H27" s="80"/>
      <c r="I27" s="80"/>
      <c r="J27" s="80"/>
      <c r="K27" s="80"/>
      <c r="L27" s="80"/>
      <c r="M27" s="81"/>
      <c r="N27" s="82"/>
      <c r="O27" s="148"/>
      <c r="P27" s="148"/>
      <c r="Q27" s="83"/>
    </row>
    <row r="28" spans="1:17" x14ac:dyDescent="0.25">
      <c r="A28" s="79"/>
      <c r="B28" s="80"/>
      <c r="C28" s="80"/>
      <c r="D28" s="80"/>
      <c r="E28" s="80"/>
      <c r="F28" s="80"/>
      <c r="G28" s="80"/>
      <c r="H28" s="80"/>
      <c r="I28" s="80"/>
      <c r="J28" s="80"/>
      <c r="K28" s="80"/>
      <c r="L28" s="80"/>
      <c r="M28" s="81"/>
      <c r="N28" s="82"/>
      <c r="O28" s="148"/>
      <c r="P28" s="148"/>
      <c r="Q28" s="83"/>
    </row>
    <row r="29" spans="1:17" x14ac:dyDescent="0.25">
      <c r="A29" s="79"/>
      <c r="B29" s="80"/>
      <c r="C29" s="80"/>
      <c r="D29" s="80"/>
      <c r="E29" s="80"/>
      <c r="F29" s="80"/>
      <c r="G29" s="80"/>
      <c r="H29" s="80"/>
      <c r="I29" s="80"/>
      <c r="J29" s="80"/>
      <c r="K29" s="80"/>
      <c r="L29" s="80"/>
      <c r="M29" s="81"/>
      <c r="N29" s="82"/>
      <c r="O29" s="148"/>
      <c r="P29" s="148"/>
      <c r="Q29" s="83"/>
    </row>
    <row r="30" spans="1:17" x14ac:dyDescent="0.25">
      <c r="A30" s="79"/>
      <c r="B30" s="80"/>
      <c r="C30" s="80"/>
      <c r="D30" s="80"/>
      <c r="E30" s="80"/>
      <c r="F30" s="80"/>
      <c r="G30" s="80"/>
      <c r="H30" s="80"/>
      <c r="I30" s="80"/>
      <c r="J30" s="80"/>
      <c r="K30" s="80"/>
      <c r="L30" s="80"/>
      <c r="M30" s="81"/>
      <c r="N30" s="82"/>
      <c r="O30" s="148"/>
      <c r="P30" s="148"/>
      <c r="Q30" s="83"/>
    </row>
    <row r="31" spans="1:17" x14ac:dyDescent="0.25">
      <c r="A31" s="79"/>
      <c r="B31" s="80"/>
      <c r="C31" s="80"/>
      <c r="D31" s="80"/>
      <c r="E31" s="80"/>
      <c r="F31" s="80"/>
      <c r="G31" s="80"/>
      <c r="H31" s="80"/>
      <c r="I31" s="80"/>
      <c r="J31" s="80"/>
      <c r="K31" s="80"/>
      <c r="L31" s="80"/>
      <c r="M31" s="81"/>
      <c r="N31" s="82"/>
      <c r="O31" s="148"/>
      <c r="P31" s="148"/>
      <c r="Q31" s="83"/>
    </row>
    <row r="32" spans="1:17" x14ac:dyDescent="0.25">
      <c r="A32" s="79"/>
      <c r="B32" s="80"/>
      <c r="C32" s="80"/>
      <c r="D32" s="80"/>
      <c r="E32" s="80"/>
      <c r="F32" s="82"/>
      <c r="G32" s="80"/>
      <c r="H32" s="80"/>
      <c r="I32" s="80"/>
      <c r="J32" s="80"/>
      <c r="K32" s="80"/>
      <c r="L32" s="80"/>
      <c r="M32" s="81"/>
      <c r="N32" s="82"/>
      <c r="O32" s="143"/>
      <c r="P32" s="143"/>
      <c r="Q32" s="83"/>
    </row>
    <row r="33" spans="1:17" x14ac:dyDescent="0.25">
      <c r="A33" s="79"/>
      <c r="B33" s="80"/>
      <c r="C33" s="80"/>
      <c r="D33" s="80"/>
      <c r="E33" s="80"/>
      <c r="F33" s="80"/>
      <c r="G33" s="80"/>
      <c r="H33" s="80"/>
      <c r="I33" s="80"/>
      <c r="J33" s="80"/>
      <c r="K33" s="80"/>
      <c r="L33" s="80"/>
      <c r="M33" s="81"/>
      <c r="N33" s="82"/>
      <c r="O33" s="143"/>
      <c r="P33" s="143"/>
      <c r="Q33" s="83"/>
    </row>
    <row r="34" spans="1:17" x14ac:dyDescent="0.25">
      <c r="A34" s="79"/>
      <c r="B34" s="80"/>
      <c r="C34" s="80"/>
      <c r="D34" s="80"/>
      <c r="E34" s="80"/>
      <c r="F34" s="82"/>
      <c r="G34" s="80"/>
      <c r="H34" s="80"/>
      <c r="I34" s="80"/>
      <c r="J34" s="80"/>
      <c r="K34" s="80"/>
      <c r="L34" s="80"/>
      <c r="M34" s="81"/>
      <c r="N34" s="82"/>
      <c r="O34" s="143"/>
      <c r="P34" s="143"/>
      <c r="Q34" s="83"/>
    </row>
    <row r="35" spans="1:17" x14ac:dyDescent="0.25">
      <c r="A35" s="79"/>
      <c r="B35" s="80"/>
      <c r="C35" s="80"/>
      <c r="D35" s="80"/>
      <c r="E35" s="80"/>
      <c r="F35" s="82"/>
      <c r="G35" s="80"/>
      <c r="H35" s="80"/>
      <c r="I35" s="80"/>
      <c r="J35" s="80"/>
      <c r="K35" s="80"/>
      <c r="L35" s="80"/>
      <c r="M35" s="81"/>
      <c r="N35" s="82"/>
      <c r="O35" s="143"/>
      <c r="P35" s="143"/>
      <c r="Q35" s="83"/>
    </row>
    <row r="36" spans="1:17" x14ac:dyDescent="0.25">
      <c r="A36" s="84"/>
      <c r="B36" s="85"/>
      <c r="C36" s="85"/>
      <c r="D36" s="85"/>
      <c r="E36" s="85"/>
      <c r="F36" s="86"/>
      <c r="G36" s="85"/>
      <c r="H36" s="85"/>
      <c r="I36" s="85"/>
      <c r="J36" s="85"/>
      <c r="K36" s="85"/>
      <c r="L36" s="85"/>
      <c r="M36" s="87"/>
      <c r="N36" s="88"/>
      <c r="O36" s="144"/>
      <c r="P36" s="144"/>
      <c r="Q36" s="83"/>
    </row>
    <row r="37" spans="1:17" ht="15.75" thickBot="1" x14ac:dyDescent="0.3">
      <c r="A37" s="89"/>
      <c r="B37" s="90"/>
      <c r="C37" s="90"/>
      <c r="D37" s="90"/>
      <c r="E37" s="90"/>
      <c r="F37" s="90"/>
      <c r="G37" s="90"/>
      <c r="H37" s="90"/>
      <c r="I37" s="90"/>
      <c r="J37" s="90"/>
      <c r="K37" s="90"/>
      <c r="L37" s="90"/>
      <c r="M37" s="91"/>
      <c r="N37" s="90"/>
      <c r="O37" s="145"/>
      <c r="P37" s="145"/>
      <c r="Q37" s="92"/>
    </row>
    <row r="38" spans="1:17" ht="15.75" thickBot="1" x14ac:dyDescent="0.3">
      <c r="A38" s="146" t="s">
        <v>74</v>
      </c>
      <c r="B38" s="146"/>
      <c r="C38" s="146"/>
      <c r="D38" s="146"/>
      <c r="E38" s="146"/>
      <c r="F38" s="146"/>
      <c r="G38" s="146"/>
      <c r="H38" s="146"/>
      <c r="I38" s="146"/>
      <c r="J38" s="146"/>
      <c r="K38" s="146"/>
      <c r="L38" s="146"/>
      <c r="M38" s="146"/>
      <c r="N38" s="146"/>
      <c r="O38" s="146"/>
      <c r="P38" s="146"/>
      <c r="Q38" s="93">
        <f>SUM(Q15:Q37)</f>
        <v>75000</v>
      </c>
    </row>
    <row r="39" spans="1:17" ht="15.75" thickBot="1" x14ac:dyDescent="0.3">
      <c r="A39" s="147"/>
      <c r="B39" s="147"/>
      <c r="C39" s="147"/>
      <c r="D39" s="147"/>
      <c r="E39" s="147"/>
      <c r="F39" s="147"/>
      <c r="G39" s="147"/>
      <c r="H39" s="147"/>
      <c r="I39" s="147"/>
      <c r="J39" s="147"/>
      <c r="K39" s="147"/>
      <c r="L39" s="147"/>
      <c r="M39" s="147"/>
      <c r="N39" s="147"/>
      <c r="O39" s="147"/>
      <c r="P39" s="147"/>
      <c r="Q39" s="147"/>
    </row>
    <row r="40" spans="1:17" ht="15.75" thickBot="1" x14ac:dyDescent="0.3">
      <c r="A40" s="140" t="s">
        <v>58</v>
      </c>
      <c r="B40" s="140"/>
      <c r="C40" s="140"/>
      <c r="D40" s="140"/>
      <c r="E40" s="140"/>
      <c r="F40" s="140"/>
      <c r="G40" s="141"/>
      <c r="H40" s="141"/>
      <c r="I40" s="141"/>
      <c r="J40" s="141"/>
      <c r="K40" s="141"/>
      <c r="L40" s="141"/>
      <c r="M40" s="141"/>
      <c r="N40" s="141"/>
      <c r="O40" s="141"/>
      <c r="P40" s="141"/>
      <c r="Q40" s="141"/>
    </row>
    <row r="41" spans="1:17" ht="15.75" thickBot="1" x14ac:dyDescent="0.3">
      <c r="A41" s="142" t="str">
        <f>'NP SMPyPS'!D8</f>
        <v>ADQ. DEL RUBRO ALIMENTOS PARA PERSONAS (BIDONES DE AGUA)</v>
      </c>
      <c r="B41" s="142"/>
      <c r="C41" s="142"/>
      <c r="D41" s="142"/>
      <c r="E41" s="142"/>
      <c r="F41" s="142"/>
      <c r="G41" s="142"/>
      <c r="H41" s="142"/>
      <c r="I41" s="142"/>
      <c r="J41" s="142"/>
      <c r="K41" s="142"/>
      <c r="L41" s="142"/>
      <c r="M41" s="142"/>
      <c r="N41" s="142"/>
      <c r="O41" s="142"/>
      <c r="P41" s="142"/>
      <c r="Q41" s="142"/>
    </row>
    <row r="42" spans="1:17" ht="15.75" thickBot="1" x14ac:dyDescent="0.3">
      <c r="A42" s="142"/>
      <c r="B42" s="142"/>
      <c r="C42" s="142"/>
      <c r="D42" s="142"/>
      <c r="E42" s="142"/>
      <c r="F42" s="142"/>
      <c r="G42" s="142"/>
      <c r="H42" s="142"/>
      <c r="I42" s="142"/>
      <c r="J42" s="142"/>
      <c r="K42" s="142"/>
      <c r="L42" s="142"/>
      <c r="M42" s="142"/>
      <c r="N42" s="142"/>
      <c r="O42" s="142"/>
      <c r="P42" s="142"/>
      <c r="Q42" s="142"/>
    </row>
  </sheetData>
  <mergeCells count="46">
    <mergeCell ref="A9:Q9"/>
    <mergeCell ref="A1:C1"/>
    <mergeCell ref="D1:E1"/>
    <mergeCell ref="P1:Q2"/>
    <mergeCell ref="A4:F4"/>
    <mergeCell ref="G4:Q4"/>
    <mergeCell ref="A5:F5"/>
    <mergeCell ref="G5:Q5"/>
    <mergeCell ref="A6:F6"/>
    <mergeCell ref="G6:Q6"/>
    <mergeCell ref="A7:F7"/>
    <mergeCell ref="G7:Q7"/>
    <mergeCell ref="A8:Q8"/>
    <mergeCell ref="O21:P21"/>
    <mergeCell ref="A10:Q10"/>
    <mergeCell ref="A12:Q12"/>
    <mergeCell ref="A13:N13"/>
    <mergeCell ref="O13:P14"/>
    <mergeCell ref="Q13:Q14"/>
    <mergeCell ref="O15:P15"/>
    <mergeCell ref="O16:P16"/>
    <mergeCell ref="O17:P17"/>
    <mergeCell ref="O18:P18"/>
    <mergeCell ref="O19:P19"/>
    <mergeCell ref="O20:P20"/>
    <mergeCell ref="O33:P33"/>
    <mergeCell ref="O22:P22"/>
    <mergeCell ref="O23:P23"/>
    <mergeCell ref="O24:P24"/>
    <mergeCell ref="O25:P25"/>
    <mergeCell ref="O26:P26"/>
    <mergeCell ref="O27:P27"/>
    <mergeCell ref="O28:P28"/>
    <mergeCell ref="O29:P29"/>
    <mergeCell ref="O30:P30"/>
    <mergeCell ref="O31:P31"/>
    <mergeCell ref="O32:P32"/>
    <mergeCell ref="A40:F40"/>
    <mergeCell ref="G40:Q40"/>
    <mergeCell ref="A41:Q42"/>
    <mergeCell ref="O34:P34"/>
    <mergeCell ref="O35:P35"/>
    <mergeCell ref="O36:P36"/>
    <mergeCell ref="O37:P37"/>
    <mergeCell ref="A38:P38"/>
    <mergeCell ref="A39:Q39"/>
  </mergeCells>
  <pageMargins left="0.7" right="0.7" top="0.75" bottom="0.75" header="0.3" footer="0.3"/>
  <pageSetup paperSize="5" scale="84"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14"/>
  <sheetViews>
    <sheetView workbookViewId="0">
      <selection activeCell="I19" sqref="I19"/>
    </sheetView>
  </sheetViews>
  <sheetFormatPr baseColWidth="10" defaultRowHeight="15" x14ac:dyDescent="0.25"/>
  <cols>
    <col min="7" max="7" width="31.7109375" customWidth="1"/>
    <col min="8" max="8" width="13.28515625" customWidth="1"/>
    <col min="9" max="9" width="15.28515625" customWidth="1"/>
    <col min="10" max="10" width="18.85546875" customWidth="1"/>
  </cols>
  <sheetData>
    <row r="1" spans="1:11" ht="30.75" thickBot="1" x14ac:dyDescent="0.3">
      <c r="A1" s="139" t="s">
        <v>22</v>
      </c>
      <c r="B1" s="139"/>
      <c r="C1" s="139"/>
      <c r="D1" s="139"/>
      <c r="E1" s="139"/>
      <c r="F1" s="139"/>
      <c r="G1" s="139"/>
      <c r="H1" s="139"/>
      <c r="I1" s="139"/>
      <c r="J1" s="39" t="s">
        <v>23</v>
      </c>
      <c r="K1" s="40"/>
    </row>
    <row r="2" spans="1:11" ht="16.5" thickBot="1" x14ac:dyDescent="0.3">
      <c r="A2" s="41"/>
      <c r="B2" s="42"/>
      <c r="C2" s="42"/>
      <c r="D2" s="43"/>
      <c r="E2" s="43"/>
      <c r="F2" s="43"/>
      <c r="G2" s="43"/>
      <c r="H2" s="43"/>
      <c r="I2" s="43"/>
      <c r="J2" s="43"/>
      <c r="K2" s="44"/>
    </row>
    <row r="3" spans="1:11" ht="16.5" thickBot="1" x14ac:dyDescent="0.3">
      <c r="A3" s="136" t="s">
        <v>24</v>
      </c>
      <c r="B3" s="136"/>
      <c r="C3" s="136"/>
      <c r="D3" s="110" t="str">
        <f>'SAF 011'!C4</f>
        <v>040 - MINISTERIO DE SALUD</v>
      </c>
      <c r="E3" s="111"/>
      <c r="F3" s="111"/>
      <c r="G3" s="111"/>
      <c r="H3" s="111"/>
      <c r="I3" s="111"/>
      <c r="J3" s="111"/>
      <c r="K3" s="112"/>
    </row>
    <row r="4" spans="1:11" ht="16.5" thickBot="1" x14ac:dyDescent="0.3">
      <c r="A4" s="137" t="s">
        <v>25</v>
      </c>
      <c r="B4" s="137"/>
      <c r="C4" s="137"/>
      <c r="D4" s="110" t="str">
        <f>'SAF 011'!C5</f>
        <v>011 - DIRECCION PROVINCIAL DE ADMINISTRACION - MINISTERIO DE SALUD</v>
      </c>
      <c r="E4" s="111"/>
      <c r="F4" s="111"/>
      <c r="G4" s="111"/>
      <c r="H4" s="111"/>
      <c r="I4" s="111"/>
      <c r="J4" s="111"/>
      <c r="K4" s="112"/>
    </row>
    <row r="5" spans="1:11" ht="16.5" thickBot="1" x14ac:dyDescent="0.3">
      <c r="A5" s="137" t="s">
        <v>26</v>
      </c>
      <c r="B5" s="137"/>
      <c r="C5" s="137"/>
      <c r="D5" s="110" t="s">
        <v>102</v>
      </c>
      <c r="E5" s="111"/>
      <c r="F5" s="111"/>
      <c r="G5" s="111"/>
      <c r="H5" s="111"/>
      <c r="I5" s="111"/>
      <c r="J5" s="111"/>
      <c r="K5" s="112"/>
    </row>
    <row r="6" spans="1:11" ht="16.5" thickBot="1" x14ac:dyDescent="0.3">
      <c r="A6" s="136" t="s">
        <v>27</v>
      </c>
      <c r="B6" s="136"/>
      <c r="C6" s="136"/>
      <c r="D6" s="110" t="s">
        <v>102</v>
      </c>
      <c r="E6" s="111"/>
      <c r="F6" s="111"/>
      <c r="G6" s="111"/>
      <c r="H6" s="111"/>
      <c r="I6" s="111"/>
      <c r="J6" s="111"/>
      <c r="K6" s="112"/>
    </row>
    <row r="7" spans="1:11" ht="16.5" thickBot="1" x14ac:dyDescent="0.3">
      <c r="A7" s="137" t="s">
        <v>28</v>
      </c>
      <c r="B7" s="137"/>
      <c r="C7" s="137"/>
      <c r="D7" s="110" t="s">
        <v>99</v>
      </c>
      <c r="E7" s="111"/>
      <c r="F7" s="111"/>
      <c r="G7" s="111"/>
      <c r="H7" s="111"/>
      <c r="I7" s="111"/>
      <c r="J7" s="111"/>
      <c r="K7" s="112"/>
    </row>
    <row r="8" spans="1:11" ht="16.5" thickBot="1" x14ac:dyDescent="0.3">
      <c r="A8" s="138" t="s">
        <v>29</v>
      </c>
      <c r="B8" s="138"/>
      <c r="C8" s="138"/>
      <c r="D8" s="113" t="s">
        <v>71</v>
      </c>
      <c r="E8" s="111"/>
      <c r="F8" s="111"/>
      <c r="G8" s="111"/>
      <c r="H8" s="111"/>
      <c r="I8" s="111"/>
      <c r="J8" s="111"/>
      <c r="K8" s="112"/>
    </row>
    <row r="9" spans="1:11" ht="16.5" thickBot="1" x14ac:dyDescent="0.3">
      <c r="A9" s="45"/>
      <c r="B9" s="46"/>
      <c r="C9" s="46"/>
      <c r="D9" s="47"/>
      <c r="E9" s="47"/>
      <c r="F9" s="47"/>
      <c r="G9" s="47"/>
      <c r="H9" s="47"/>
      <c r="I9" s="47"/>
      <c r="J9" s="47"/>
      <c r="K9" s="48"/>
    </row>
    <row r="10" spans="1:11" ht="15.75" thickBot="1" x14ac:dyDescent="0.3">
      <c r="A10" s="135" t="s">
        <v>30</v>
      </c>
      <c r="B10" s="134" t="s">
        <v>31</v>
      </c>
      <c r="C10" s="134" t="s">
        <v>32</v>
      </c>
      <c r="D10" s="134"/>
      <c r="E10" s="134"/>
      <c r="F10" s="134"/>
      <c r="G10" s="134"/>
      <c r="H10" s="134" t="s">
        <v>33</v>
      </c>
      <c r="I10" s="134" t="s">
        <v>34</v>
      </c>
      <c r="J10" s="134" t="s">
        <v>35</v>
      </c>
      <c r="K10" s="132" t="s">
        <v>36</v>
      </c>
    </row>
    <row r="11" spans="1:11" ht="26.25" customHeight="1" thickBot="1" x14ac:dyDescent="0.3">
      <c r="A11" s="135"/>
      <c r="B11" s="134"/>
      <c r="C11" s="134"/>
      <c r="D11" s="134"/>
      <c r="E11" s="134"/>
      <c r="F11" s="134"/>
      <c r="G11" s="134"/>
      <c r="H11" s="134"/>
      <c r="I11" s="134"/>
      <c r="J11" s="134"/>
      <c r="K11" s="132"/>
    </row>
    <row r="12" spans="1:11" ht="69" customHeight="1" x14ac:dyDescent="0.25">
      <c r="A12" s="49">
        <v>1</v>
      </c>
      <c r="B12" s="114" t="str">
        <f>'SAF 011'!B10</f>
        <v>2.1.1-7915.14</v>
      </c>
      <c r="C12" s="133" t="str">
        <f>'SAF 011'!E10</f>
        <v>AGUA POTABLE; TIPO: POTABILIZADA SIN GASIFICAR; PRESENTACION: SEGÚN PLIEGO, MATERIAL ENVASE: SEGÚN PLIEGO, TIPO ENVASE: SEGÚN PLIEGO</v>
      </c>
      <c r="D12" s="133"/>
      <c r="E12" s="133"/>
      <c r="F12" s="133"/>
      <c r="G12" s="133"/>
      <c r="H12" s="50" t="s">
        <v>72</v>
      </c>
      <c r="I12" s="51" t="s">
        <v>107</v>
      </c>
      <c r="J12" s="51">
        <f>'SAF 011'!H10</f>
        <v>600</v>
      </c>
      <c r="K12" s="52">
        <v>40</v>
      </c>
    </row>
    <row r="13" spans="1:11" ht="15.75" x14ac:dyDescent="0.25">
      <c r="A13" s="53"/>
      <c r="B13" s="54"/>
      <c r="C13" s="131"/>
      <c r="D13" s="131"/>
      <c r="E13" s="131"/>
      <c r="F13" s="131"/>
      <c r="G13" s="131"/>
      <c r="H13" s="55"/>
      <c r="I13" s="56"/>
      <c r="J13" s="56"/>
      <c r="K13" s="57"/>
    </row>
    <row r="14" spans="1:11" ht="19.5" thickBot="1" x14ac:dyDescent="0.3">
      <c r="A14" s="128" t="s">
        <v>101</v>
      </c>
      <c r="B14" s="128"/>
      <c r="C14" s="128"/>
      <c r="D14" s="128"/>
      <c r="E14" s="128"/>
      <c r="F14" s="128"/>
      <c r="G14" s="128"/>
      <c r="H14" s="128"/>
      <c r="I14" s="128"/>
      <c r="J14" s="129">
        <f>+J12*K12</f>
        <v>24000</v>
      </c>
      <c r="K14" s="130"/>
    </row>
  </sheetData>
  <mergeCells count="18">
    <mergeCell ref="J10:J11"/>
    <mergeCell ref="K10:K11"/>
    <mergeCell ref="C12:G12"/>
    <mergeCell ref="C13:G13"/>
    <mergeCell ref="A14:I14"/>
    <mergeCell ref="J14:K14"/>
    <mergeCell ref="I10:I11"/>
    <mergeCell ref="A8:C8"/>
    <mergeCell ref="A10:A11"/>
    <mergeCell ref="B10:B11"/>
    <mergeCell ref="C10:G11"/>
    <mergeCell ref="H10:H11"/>
    <mergeCell ref="A7:C7"/>
    <mergeCell ref="A1:I1"/>
    <mergeCell ref="A3:C3"/>
    <mergeCell ref="A4:C4"/>
    <mergeCell ref="A5:C5"/>
    <mergeCell ref="A6:C6"/>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Q42"/>
  <sheetViews>
    <sheetView topLeftCell="A10" workbookViewId="0">
      <selection activeCell="X16" sqref="X16"/>
    </sheetView>
  </sheetViews>
  <sheetFormatPr baseColWidth="10" defaultRowHeight="15" x14ac:dyDescent="0.25"/>
  <cols>
    <col min="1" max="5" width="4.42578125" customWidth="1"/>
    <col min="6" max="6" width="5.85546875" customWidth="1"/>
    <col min="7" max="14" width="4.42578125" customWidth="1"/>
    <col min="15" max="17" width="15.140625" customWidth="1"/>
  </cols>
  <sheetData>
    <row r="1" spans="1:17" ht="15.75" thickBot="1" x14ac:dyDescent="0.3">
      <c r="A1" s="157" t="s">
        <v>5</v>
      </c>
      <c r="B1" s="157"/>
      <c r="C1" s="157"/>
      <c r="D1" s="158">
        <v>2022</v>
      </c>
      <c r="E1" s="158"/>
      <c r="F1" s="58"/>
      <c r="G1" s="58"/>
      <c r="H1" s="59"/>
      <c r="I1" s="59"/>
      <c r="J1" s="59"/>
      <c r="K1" s="59"/>
      <c r="L1" s="59"/>
      <c r="M1" s="59"/>
      <c r="N1" s="59"/>
      <c r="O1" s="60"/>
      <c r="P1" s="159" t="s">
        <v>37</v>
      </c>
      <c r="Q1" s="159"/>
    </row>
    <row r="2" spans="1:17" ht="15.75" thickBot="1" x14ac:dyDescent="0.3">
      <c r="A2" s="61"/>
      <c r="B2" s="62"/>
      <c r="C2" s="62"/>
      <c r="D2" s="62"/>
      <c r="E2" s="62"/>
      <c r="F2" s="62"/>
      <c r="G2" s="63"/>
      <c r="H2" s="64"/>
      <c r="I2" s="64"/>
      <c r="J2" s="64"/>
      <c r="K2" s="64"/>
      <c r="L2" s="64"/>
      <c r="M2" s="64"/>
      <c r="N2" s="64"/>
      <c r="O2" s="62"/>
      <c r="P2" s="159"/>
      <c r="Q2" s="159"/>
    </row>
    <row r="3" spans="1:17" ht="15.75" thickBot="1" x14ac:dyDescent="0.3">
      <c r="A3" s="61"/>
      <c r="B3" s="62"/>
      <c r="C3" s="62"/>
      <c r="D3" s="62"/>
      <c r="E3" s="62"/>
      <c r="F3" s="62"/>
      <c r="G3" s="63"/>
      <c r="H3" s="62"/>
      <c r="I3" s="62"/>
      <c r="J3" s="62"/>
      <c r="K3" s="62"/>
      <c r="L3" s="62"/>
      <c r="M3" s="62"/>
      <c r="N3" s="62"/>
      <c r="O3" s="62"/>
      <c r="P3" s="62"/>
      <c r="Q3" s="65"/>
    </row>
    <row r="4" spans="1:17" ht="15.75" thickBot="1" x14ac:dyDescent="0.3">
      <c r="A4" s="160" t="s">
        <v>38</v>
      </c>
      <c r="B4" s="160"/>
      <c r="C4" s="160"/>
      <c r="D4" s="160"/>
      <c r="E4" s="160"/>
      <c r="F4" s="160"/>
      <c r="G4" s="161" t="str">
        <f>'NP SMPyPS'!D3</f>
        <v>040 - MINISTERIO DE SALUD</v>
      </c>
      <c r="H4" s="161"/>
      <c r="I4" s="161"/>
      <c r="J4" s="161"/>
      <c r="K4" s="161"/>
      <c r="L4" s="161"/>
      <c r="M4" s="161"/>
      <c r="N4" s="161"/>
      <c r="O4" s="161"/>
      <c r="P4" s="161"/>
      <c r="Q4" s="161"/>
    </row>
    <row r="5" spans="1:17" ht="15.75" thickBot="1" x14ac:dyDescent="0.3">
      <c r="A5" s="162" t="s">
        <v>25</v>
      </c>
      <c r="B5" s="162"/>
      <c r="C5" s="162"/>
      <c r="D5" s="162"/>
      <c r="E5" s="162"/>
      <c r="F5" s="162"/>
      <c r="G5" s="161" t="str">
        <f>'NP SMPyPS'!D4</f>
        <v>011 - DIRECCION PROVINCIAL DE ADMINISTRACION - MINISTERIO DE SALUD</v>
      </c>
      <c r="H5" s="161"/>
      <c r="I5" s="161"/>
      <c r="J5" s="161"/>
      <c r="K5" s="161"/>
      <c r="L5" s="161"/>
      <c r="M5" s="161"/>
      <c r="N5" s="161"/>
      <c r="O5" s="161"/>
      <c r="P5" s="161"/>
      <c r="Q5" s="161"/>
    </row>
    <row r="6" spans="1:17" ht="15.75" thickBot="1" x14ac:dyDescent="0.3">
      <c r="A6" s="162" t="s">
        <v>26</v>
      </c>
      <c r="B6" s="162"/>
      <c r="C6" s="162"/>
      <c r="D6" s="162"/>
      <c r="E6" s="162"/>
      <c r="F6" s="162"/>
      <c r="G6" s="161" t="s">
        <v>102</v>
      </c>
      <c r="H6" s="161"/>
      <c r="I6" s="161"/>
      <c r="J6" s="161"/>
      <c r="K6" s="161"/>
      <c r="L6" s="161"/>
      <c r="M6" s="161"/>
      <c r="N6" s="161"/>
      <c r="O6" s="161"/>
      <c r="P6" s="161"/>
      <c r="Q6" s="161"/>
    </row>
    <row r="7" spans="1:17" ht="15.75" thickBot="1" x14ac:dyDescent="0.3">
      <c r="A7" s="162" t="s">
        <v>27</v>
      </c>
      <c r="B7" s="162"/>
      <c r="C7" s="162"/>
      <c r="D7" s="162"/>
      <c r="E7" s="162"/>
      <c r="F7" s="162"/>
      <c r="G7" s="161" t="s">
        <v>102</v>
      </c>
      <c r="H7" s="161"/>
      <c r="I7" s="161"/>
      <c r="J7" s="161"/>
      <c r="K7" s="161"/>
      <c r="L7" s="161"/>
      <c r="M7" s="161"/>
      <c r="N7" s="161"/>
      <c r="O7" s="161"/>
      <c r="P7" s="161"/>
      <c r="Q7" s="161"/>
    </row>
    <row r="8" spans="1:17" ht="15.75" thickBot="1" x14ac:dyDescent="0.3">
      <c r="A8" s="163" t="s">
        <v>39</v>
      </c>
      <c r="B8" s="163"/>
      <c r="C8" s="163"/>
      <c r="D8" s="163"/>
      <c r="E8" s="163"/>
      <c r="F8" s="163"/>
      <c r="G8" s="163"/>
      <c r="H8" s="163"/>
      <c r="I8" s="163"/>
      <c r="J8" s="163"/>
      <c r="K8" s="163"/>
      <c r="L8" s="163"/>
      <c r="M8" s="163"/>
      <c r="N8" s="163"/>
      <c r="O8" s="163"/>
      <c r="P8" s="163"/>
      <c r="Q8" s="163"/>
    </row>
    <row r="9" spans="1:17" x14ac:dyDescent="0.25">
      <c r="A9" s="156" t="s">
        <v>40</v>
      </c>
      <c r="B9" s="156"/>
      <c r="C9" s="156"/>
      <c r="D9" s="156"/>
      <c r="E9" s="156"/>
      <c r="F9" s="156"/>
      <c r="G9" s="156"/>
      <c r="H9" s="156"/>
      <c r="I9" s="156"/>
      <c r="J9" s="156"/>
      <c r="K9" s="156"/>
      <c r="L9" s="156"/>
      <c r="M9" s="156"/>
      <c r="N9" s="156"/>
      <c r="O9" s="156"/>
      <c r="P9" s="156"/>
      <c r="Q9" s="156"/>
    </row>
    <row r="10" spans="1:17" x14ac:dyDescent="0.25">
      <c r="A10" s="149" t="s">
        <v>59</v>
      </c>
      <c r="B10" s="149"/>
      <c r="C10" s="149"/>
      <c r="D10" s="149"/>
      <c r="E10" s="149"/>
      <c r="F10" s="149"/>
      <c r="G10" s="149"/>
      <c r="H10" s="149"/>
      <c r="I10" s="149"/>
      <c r="J10" s="149"/>
      <c r="K10" s="149"/>
      <c r="L10" s="149"/>
      <c r="M10" s="149"/>
      <c r="N10" s="149"/>
      <c r="O10" s="149"/>
      <c r="P10" s="149"/>
      <c r="Q10" s="149"/>
    </row>
    <row r="11" spans="1:17" ht="15.75" thickBot="1" x14ac:dyDescent="0.3">
      <c r="A11" s="66"/>
      <c r="B11" s="67"/>
      <c r="C11" s="67"/>
      <c r="D11" s="67"/>
      <c r="E11" s="67"/>
      <c r="F11" s="67"/>
      <c r="G11" s="68"/>
      <c r="H11" s="67"/>
      <c r="I11" s="67"/>
      <c r="J11" s="67"/>
      <c r="K11" s="67"/>
      <c r="L11" s="67"/>
      <c r="M11" s="67"/>
      <c r="N11" s="67"/>
      <c r="O11" s="67"/>
      <c r="P11" s="67"/>
      <c r="Q11" s="69"/>
    </row>
    <row r="12" spans="1:17" ht="15.75" thickBot="1" x14ac:dyDescent="0.3">
      <c r="A12" s="150" t="s">
        <v>41</v>
      </c>
      <c r="B12" s="150"/>
      <c r="C12" s="150"/>
      <c r="D12" s="150"/>
      <c r="E12" s="150"/>
      <c r="F12" s="150"/>
      <c r="G12" s="150"/>
      <c r="H12" s="150"/>
      <c r="I12" s="150"/>
      <c r="J12" s="150"/>
      <c r="K12" s="150"/>
      <c r="L12" s="150"/>
      <c r="M12" s="150"/>
      <c r="N12" s="150"/>
      <c r="O12" s="150"/>
      <c r="P12" s="150"/>
      <c r="Q12" s="150"/>
    </row>
    <row r="13" spans="1:17" ht="15.75" thickBot="1" x14ac:dyDescent="0.3">
      <c r="A13" s="151" t="s">
        <v>42</v>
      </c>
      <c r="B13" s="151"/>
      <c r="C13" s="151"/>
      <c r="D13" s="151"/>
      <c r="E13" s="151"/>
      <c r="F13" s="151"/>
      <c r="G13" s="151"/>
      <c r="H13" s="151"/>
      <c r="I13" s="151"/>
      <c r="J13" s="151"/>
      <c r="K13" s="151"/>
      <c r="L13" s="151"/>
      <c r="M13" s="151"/>
      <c r="N13" s="151"/>
      <c r="O13" s="152" t="s">
        <v>43</v>
      </c>
      <c r="P13" s="152"/>
      <c r="Q13" s="153" t="s">
        <v>44</v>
      </c>
    </row>
    <row r="14" spans="1:17" ht="15.75" thickBot="1" x14ac:dyDescent="0.3">
      <c r="A14" s="70" t="s">
        <v>45</v>
      </c>
      <c r="B14" s="71" t="s">
        <v>46</v>
      </c>
      <c r="C14" s="71" t="s">
        <v>47</v>
      </c>
      <c r="D14" s="71" t="s">
        <v>48</v>
      </c>
      <c r="E14" s="71" t="s">
        <v>49</v>
      </c>
      <c r="F14" s="71" t="s">
        <v>50</v>
      </c>
      <c r="G14" s="72" t="s">
        <v>51</v>
      </c>
      <c r="H14" s="71" t="s">
        <v>52</v>
      </c>
      <c r="I14" s="71" t="s">
        <v>53</v>
      </c>
      <c r="J14" s="71" t="s">
        <v>54</v>
      </c>
      <c r="K14" s="71" t="s">
        <v>54</v>
      </c>
      <c r="L14" s="71" t="s">
        <v>55</v>
      </c>
      <c r="M14" s="73" t="s">
        <v>56</v>
      </c>
      <c r="N14" s="74" t="s">
        <v>57</v>
      </c>
      <c r="O14" s="152"/>
      <c r="P14" s="152"/>
      <c r="Q14" s="153"/>
    </row>
    <row r="15" spans="1:17" x14ac:dyDescent="0.25">
      <c r="A15" s="75">
        <v>62</v>
      </c>
      <c r="B15" s="76"/>
      <c r="C15" s="76"/>
      <c r="D15" s="76">
        <v>1</v>
      </c>
      <c r="E15" s="76"/>
      <c r="F15" s="76">
        <v>4901</v>
      </c>
      <c r="G15" s="76">
        <v>1</v>
      </c>
      <c r="H15" s="76">
        <v>3</v>
      </c>
      <c r="I15" s="76">
        <v>2</v>
      </c>
      <c r="J15" s="76">
        <v>1</v>
      </c>
      <c r="K15" s="76">
        <v>1</v>
      </c>
      <c r="L15" s="76"/>
      <c r="M15" s="77">
        <v>1</v>
      </c>
      <c r="N15" s="76" t="s">
        <v>68</v>
      </c>
      <c r="O15" s="154" t="s">
        <v>69</v>
      </c>
      <c r="P15" s="154"/>
      <c r="Q15" s="78">
        <v>24000</v>
      </c>
    </row>
    <row r="16" spans="1:17" x14ac:dyDescent="0.25">
      <c r="A16" s="79"/>
      <c r="B16" s="80"/>
      <c r="C16" s="80"/>
      <c r="D16" s="80"/>
      <c r="E16" s="80"/>
      <c r="F16" s="80"/>
      <c r="G16" s="80"/>
      <c r="H16" s="80"/>
      <c r="I16" s="80"/>
      <c r="J16" s="80"/>
      <c r="K16" s="80"/>
      <c r="L16" s="80"/>
      <c r="M16" s="81"/>
      <c r="N16" s="117"/>
      <c r="O16" s="143"/>
      <c r="P16" s="143"/>
      <c r="Q16" s="83"/>
    </row>
    <row r="17" spans="1:17" x14ac:dyDescent="0.25">
      <c r="A17" s="79"/>
      <c r="B17" s="80"/>
      <c r="C17" s="80"/>
      <c r="D17" s="80"/>
      <c r="E17" s="80"/>
      <c r="F17" s="80"/>
      <c r="G17" s="80"/>
      <c r="H17" s="80"/>
      <c r="I17" s="80"/>
      <c r="J17" s="80"/>
      <c r="K17" s="80"/>
      <c r="L17" s="80"/>
      <c r="M17" s="81"/>
      <c r="N17" s="117"/>
      <c r="O17" s="155"/>
      <c r="P17" s="155"/>
      <c r="Q17" s="83"/>
    </row>
    <row r="18" spans="1:17" x14ac:dyDescent="0.25">
      <c r="A18" s="79"/>
      <c r="B18" s="80"/>
      <c r="C18" s="80"/>
      <c r="D18" s="80"/>
      <c r="E18" s="80"/>
      <c r="F18" s="80"/>
      <c r="G18" s="80"/>
      <c r="H18" s="80"/>
      <c r="I18" s="80"/>
      <c r="J18" s="80"/>
      <c r="K18" s="80"/>
      <c r="L18" s="80"/>
      <c r="M18" s="81"/>
      <c r="N18" s="117"/>
      <c r="O18" s="148"/>
      <c r="P18" s="148"/>
      <c r="Q18" s="83"/>
    </row>
    <row r="19" spans="1:17" x14ac:dyDescent="0.25">
      <c r="A19" s="79"/>
      <c r="B19" s="80"/>
      <c r="C19" s="80"/>
      <c r="D19" s="80"/>
      <c r="E19" s="80"/>
      <c r="F19" s="80"/>
      <c r="G19" s="80"/>
      <c r="H19" s="80"/>
      <c r="I19" s="80"/>
      <c r="J19" s="80"/>
      <c r="K19" s="80"/>
      <c r="L19" s="80"/>
      <c r="M19" s="81"/>
      <c r="N19" s="117"/>
      <c r="O19" s="148"/>
      <c r="P19" s="148"/>
      <c r="Q19" s="83"/>
    </row>
    <row r="20" spans="1:17" x14ac:dyDescent="0.25">
      <c r="A20" s="79"/>
      <c r="B20" s="80"/>
      <c r="C20" s="80"/>
      <c r="D20" s="80"/>
      <c r="E20" s="80"/>
      <c r="F20" s="80"/>
      <c r="G20" s="80"/>
      <c r="H20" s="80"/>
      <c r="I20" s="80"/>
      <c r="J20" s="80"/>
      <c r="K20" s="80"/>
      <c r="L20" s="80"/>
      <c r="M20" s="81"/>
      <c r="N20" s="117"/>
      <c r="O20" s="148"/>
      <c r="P20" s="148"/>
      <c r="Q20" s="83"/>
    </row>
    <row r="21" spans="1:17" x14ac:dyDescent="0.25">
      <c r="A21" s="79"/>
      <c r="B21" s="80"/>
      <c r="C21" s="80"/>
      <c r="D21" s="80"/>
      <c r="E21" s="80"/>
      <c r="F21" s="80"/>
      <c r="G21" s="80"/>
      <c r="H21" s="80"/>
      <c r="I21" s="80"/>
      <c r="J21" s="80"/>
      <c r="K21" s="80"/>
      <c r="L21" s="80"/>
      <c r="M21" s="81"/>
      <c r="N21" s="117"/>
      <c r="O21" s="148"/>
      <c r="P21" s="148"/>
      <c r="Q21" s="83"/>
    </row>
    <row r="22" spans="1:17" x14ac:dyDescent="0.25">
      <c r="A22" s="79"/>
      <c r="B22" s="80"/>
      <c r="C22" s="80"/>
      <c r="D22" s="80"/>
      <c r="E22" s="80"/>
      <c r="F22" s="80"/>
      <c r="G22" s="80"/>
      <c r="H22" s="80"/>
      <c r="I22" s="80"/>
      <c r="J22" s="80"/>
      <c r="K22" s="80"/>
      <c r="L22" s="80"/>
      <c r="M22" s="81"/>
      <c r="N22" s="117"/>
      <c r="O22" s="148"/>
      <c r="P22" s="148"/>
      <c r="Q22" s="83"/>
    </row>
    <row r="23" spans="1:17" x14ac:dyDescent="0.25">
      <c r="A23" s="79"/>
      <c r="B23" s="80"/>
      <c r="C23" s="80"/>
      <c r="D23" s="80"/>
      <c r="E23" s="80"/>
      <c r="F23" s="80"/>
      <c r="G23" s="80"/>
      <c r="H23" s="80"/>
      <c r="I23" s="80"/>
      <c r="J23" s="80"/>
      <c r="K23" s="80"/>
      <c r="L23" s="80"/>
      <c r="M23" s="81"/>
      <c r="N23" s="117"/>
      <c r="O23" s="148"/>
      <c r="P23" s="148"/>
      <c r="Q23" s="83"/>
    </row>
    <row r="24" spans="1:17" x14ac:dyDescent="0.25">
      <c r="A24" s="79"/>
      <c r="B24" s="80"/>
      <c r="C24" s="80"/>
      <c r="D24" s="80"/>
      <c r="E24" s="80"/>
      <c r="F24" s="80"/>
      <c r="G24" s="80"/>
      <c r="H24" s="80"/>
      <c r="I24" s="80"/>
      <c r="J24" s="80"/>
      <c r="K24" s="80"/>
      <c r="L24" s="80"/>
      <c r="M24" s="81"/>
      <c r="N24" s="117"/>
      <c r="O24" s="148"/>
      <c r="P24" s="148"/>
      <c r="Q24" s="83"/>
    </row>
    <row r="25" spans="1:17" x14ac:dyDescent="0.25">
      <c r="A25" s="79"/>
      <c r="B25" s="80"/>
      <c r="C25" s="80"/>
      <c r="D25" s="80"/>
      <c r="E25" s="80"/>
      <c r="F25" s="80"/>
      <c r="G25" s="80"/>
      <c r="H25" s="80"/>
      <c r="I25" s="80"/>
      <c r="J25" s="80"/>
      <c r="K25" s="80"/>
      <c r="L25" s="80"/>
      <c r="M25" s="81"/>
      <c r="N25" s="117"/>
      <c r="O25" s="148"/>
      <c r="P25" s="148"/>
      <c r="Q25" s="83"/>
    </row>
    <row r="26" spans="1:17" x14ac:dyDescent="0.25">
      <c r="A26" s="79"/>
      <c r="B26" s="80"/>
      <c r="C26" s="80"/>
      <c r="D26" s="80"/>
      <c r="E26" s="80"/>
      <c r="F26" s="80"/>
      <c r="G26" s="80"/>
      <c r="H26" s="80"/>
      <c r="I26" s="80"/>
      <c r="J26" s="80"/>
      <c r="K26" s="80"/>
      <c r="L26" s="80"/>
      <c r="M26" s="81"/>
      <c r="N26" s="117"/>
      <c r="O26" s="148"/>
      <c r="P26" s="148"/>
      <c r="Q26" s="83"/>
    </row>
    <row r="27" spans="1:17" x14ac:dyDescent="0.25">
      <c r="A27" s="79"/>
      <c r="B27" s="80"/>
      <c r="C27" s="80"/>
      <c r="D27" s="80"/>
      <c r="E27" s="80"/>
      <c r="F27" s="80"/>
      <c r="G27" s="80"/>
      <c r="H27" s="80"/>
      <c r="I27" s="80"/>
      <c r="J27" s="80"/>
      <c r="K27" s="80"/>
      <c r="L27" s="80"/>
      <c r="M27" s="81"/>
      <c r="N27" s="117"/>
      <c r="O27" s="148"/>
      <c r="P27" s="148"/>
      <c r="Q27" s="83"/>
    </row>
    <row r="28" spans="1:17" x14ac:dyDescent="0.25">
      <c r="A28" s="79"/>
      <c r="B28" s="80"/>
      <c r="C28" s="80"/>
      <c r="D28" s="80"/>
      <c r="E28" s="80"/>
      <c r="F28" s="80"/>
      <c r="G28" s="80"/>
      <c r="H28" s="80"/>
      <c r="I28" s="80"/>
      <c r="J28" s="80"/>
      <c r="K28" s="80"/>
      <c r="L28" s="80"/>
      <c r="M28" s="81"/>
      <c r="N28" s="117"/>
      <c r="O28" s="148"/>
      <c r="P28" s="148"/>
      <c r="Q28" s="83"/>
    </row>
    <row r="29" spans="1:17" x14ac:dyDescent="0.25">
      <c r="A29" s="79"/>
      <c r="B29" s="80"/>
      <c r="C29" s="80"/>
      <c r="D29" s="80"/>
      <c r="E29" s="80"/>
      <c r="F29" s="80"/>
      <c r="G29" s="80"/>
      <c r="H29" s="80"/>
      <c r="I29" s="80"/>
      <c r="J29" s="80"/>
      <c r="K29" s="80"/>
      <c r="L29" s="80"/>
      <c r="M29" s="81"/>
      <c r="N29" s="117"/>
      <c r="O29" s="148"/>
      <c r="P29" s="148"/>
      <c r="Q29" s="83"/>
    </row>
    <row r="30" spans="1:17" x14ac:dyDescent="0.25">
      <c r="A30" s="79"/>
      <c r="B30" s="80"/>
      <c r="C30" s="80"/>
      <c r="D30" s="80"/>
      <c r="E30" s="80"/>
      <c r="F30" s="80"/>
      <c r="G30" s="80"/>
      <c r="H30" s="80"/>
      <c r="I30" s="80"/>
      <c r="J30" s="80"/>
      <c r="K30" s="80"/>
      <c r="L30" s="80"/>
      <c r="M30" s="81"/>
      <c r="N30" s="117"/>
      <c r="O30" s="148"/>
      <c r="P30" s="148"/>
      <c r="Q30" s="83"/>
    </row>
    <row r="31" spans="1:17" x14ac:dyDescent="0.25">
      <c r="A31" s="79"/>
      <c r="B31" s="80"/>
      <c r="C31" s="80"/>
      <c r="D31" s="80"/>
      <c r="E31" s="80"/>
      <c r="F31" s="80"/>
      <c r="G31" s="80"/>
      <c r="H31" s="80"/>
      <c r="I31" s="80"/>
      <c r="J31" s="80"/>
      <c r="K31" s="80"/>
      <c r="L31" s="80"/>
      <c r="M31" s="81"/>
      <c r="N31" s="117"/>
      <c r="O31" s="148"/>
      <c r="P31" s="148"/>
      <c r="Q31" s="83"/>
    </row>
    <row r="32" spans="1:17" x14ac:dyDescent="0.25">
      <c r="A32" s="79"/>
      <c r="B32" s="80"/>
      <c r="C32" s="80"/>
      <c r="D32" s="80"/>
      <c r="E32" s="80"/>
      <c r="F32" s="117"/>
      <c r="G32" s="80"/>
      <c r="H32" s="80"/>
      <c r="I32" s="80"/>
      <c r="J32" s="80"/>
      <c r="K32" s="80"/>
      <c r="L32" s="80"/>
      <c r="M32" s="81"/>
      <c r="N32" s="117"/>
      <c r="O32" s="143"/>
      <c r="P32" s="143"/>
      <c r="Q32" s="83"/>
    </row>
    <row r="33" spans="1:17" x14ac:dyDescent="0.25">
      <c r="A33" s="79"/>
      <c r="B33" s="80"/>
      <c r="C33" s="80"/>
      <c r="D33" s="80"/>
      <c r="E33" s="80"/>
      <c r="F33" s="80"/>
      <c r="G33" s="80"/>
      <c r="H33" s="80"/>
      <c r="I33" s="80"/>
      <c r="J33" s="80"/>
      <c r="K33" s="80"/>
      <c r="L33" s="80"/>
      <c r="M33" s="81"/>
      <c r="N33" s="117"/>
      <c r="O33" s="143"/>
      <c r="P33" s="143"/>
      <c r="Q33" s="83"/>
    </row>
    <row r="34" spans="1:17" x14ac:dyDescent="0.25">
      <c r="A34" s="79"/>
      <c r="B34" s="80"/>
      <c r="C34" s="80"/>
      <c r="D34" s="80"/>
      <c r="E34" s="80"/>
      <c r="F34" s="117"/>
      <c r="G34" s="80"/>
      <c r="H34" s="80"/>
      <c r="I34" s="80"/>
      <c r="J34" s="80"/>
      <c r="K34" s="80"/>
      <c r="L34" s="80"/>
      <c r="M34" s="81"/>
      <c r="N34" s="117"/>
      <c r="O34" s="143"/>
      <c r="P34" s="143"/>
      <c r="Q34" s="83"/>
    </row>
    <row r="35" spans="1:17" x14ac:dyDescent="0.25">
      <c r="A35" s="79"/>
      <c r="B35" s="80"/>
      <c r="C35" s="80"/>
      <c r="D35" s="80"/>
      <c r="E35" s="80"/>
      <c r="F35" s="117"/>
      <c r="G35" s="80"/>
      <c r="H35" s="80"/>
      <c r="I35" s="80"/>
      <c r="J35" s="80"/>
      <c r="K35" s="80"/>
      <c r="L35" s="80"/>
      <c r="M35" s="81"/>
      <c r="N35" s="117"/>
      <c r="O35" s="143"/>
      <c r="P35" s="143"/>
      <c r="Q35" s="83"/>
    </row>
    <row r="36" spans="1:17" x14ac:dyDescent="0.25">
      <c r="A36" s="84"/>
      <c r="B36" s="85"/>
      <c r="C36" s="85"/>
      <c r="D36" s="85"/>
      <c r="E36" s="85"/>
      <c r="F36" s="86"/>
      <c r="G36" s="85"/>
      <c r="H36" s="85"/>
      <c r="I36" s="85"/>
      <c r="J36" s="85"/>
      <c r="K36" s="85"/>
      <c r="L36" s="85"/>
      <c r="M36" s="87"/>
      <c r="N36" s="88"/>
      <c r="O36" s="144"/>
      <c r="P36" s="144"/>
      <c r="Q36" s="83"/>
    </row>
    <row r="37" spans="1:17" ht="15.75" thickBot="1" x14ac:dyDescent="0.3">
      <c r="A37" s="89"/>
      <c r="B37" s="90"/>
      <c r="C37" s="90"/>
      <c r="D37" s="90"/>
      <c r="E37" s="90"/>
      <c r="F37" s="90"/>
      <c r="G37" s="90"/>
      <c r="H37" s="90"/>
      <c r="I37" s="90"/>
      <c r="J37" s="90"/>
      <c r="K37" s="90"/>
      <c r="L37" s="90"/>
      <c r="M37" s="91"/>
      <c r="N37" s="90"/>
      <c r="O37" s="145"/>
      <c r="P37" s="145"/>
      <c r="Q37" s="92"/>
    </row>
    <row r="38" spans="1:17" ht="15.75" thickBot="1" x14ac:dyDescent="0.3">
      <c r="A38" s="146" t="s">
        <v>103</v>
      </c>
      <c r="B38" s="146"/>
      <c r="C38" s="146"/>
      <c r="D38" s="146"/>
      <c r="E38" s="146"/>
      <c r="F38" s="146"/>
      <c r="G38" s="146"/>
      <c r="H38" s="146"/>
      <c r="I38" s="146"/>
      <c r="J38" s="146"/>
      <c r="K38" s="146"/>
      <c r="L38" s="146"/>
      <c r="M38" s="146"/>
      <c r="N38" s="146"/>
      <c r="O38" s="146"/>
      <c r="P38" s="146"/>
      <c r="Q38" s="93">
        <f>SUM(Q15:Q37)</f>
        <v>24000</v>
      </c>
    </row>
    <row r="39" spans="1:17" ht="15.75" thickBot="1" x14ac:dyDescent="0.3">
      <c r="A39" s="147"/>
      <c r="B39" s="147"/>
      <c r="C39" s="147"/>
      <c r="D39" s="147"/>
      <c r="E39" s="147"/>
      <c r="F39" s="147"/>
      <c r="G39" s="147"/>
      <c r="H39" s="147"/>
      <c r="I39" s="147"/>
      <c r="J39" s="147"/>
      <c r="K39" s="147"/>
      <c r="L39" s="147"/>
      <c r="M39" s="147"/>
      <c r="N39" s="147"/>
      <c r="O39" s="147"/>
      <c r="P39" s="147"/>
      <c r="Q39" s="147"/>
    </row>
    <row r="40" spans="1:17" ht="15.75" thickBot="1" x14ac:dyDescent="0.3">
      <c r="A40" s="140" t="s">
        <v>58</v>
      </c>
      <c r="B40" s="140"/>
      <c r="C40" s="140"/>
      <c r="D40" s="140"/>
      <c r="E40" s="140"/>
      <c r="F40" s="140"/>
      <c r="G40" s="141"/>
      <c r="H40" s="141"/>
      <c r="I40" s="141"/>
      <c r="J40" s="141"/>
      <c r="K40" s="141"/>
      <c r="L40" s="141"/>
      <c r="M40" s="141"/>
      <c r="N40" s="141"/>
      <c r="O40" s="141"/>
      <c r="P40" s="141"/>
      <c r="Q40" s="141"/>
    </row>
    <row r="41" spans="1:17" ht="15.75" thickBot="1" x14ac:dyDescent="0.3">
      <c r="A41" s="142" t="str">
        <f>'NP SMPyPS'!D8</f>
        <v>ADQ. DEL RUBRO ALIMENTOS PARA PERSONAS (BIDONES DE AGUA)</v>
      </c>
      <c r="B41" s="142"/>
      <c r="C41" s="142"/>
      <c r="D41" s="142"/>
      <c r="E41" s="142"/>
      <c r="F41" s="142"/>
      <c r="G41" s="142"/>
      <c r="H41" s="142"/>
      <c r="I41" s="142"/>
      <c r="J41" s="142"/>
      <c r="K41" s="142"/>
      <c r="L41" s="142"/>
      <c r="M41" s="142"/>
      <c r="N41" s="142"/>
      <c r="O41" s="142"/>
      <c r="P41" s="142"/>
      <c r="Q41" s="142"/>
    </row>
    <row r="42" spans="1:17" ht="15.75" thickBot="1" x14ac:dyDescent="0.3">
      <c r="A42" s="142"/>
      <c r="B42" s="142"/>
      <c r="C42" s="142"/>
      <c r="D42" s="142"/>
      <c r="E42" s="142"/>
      <c r="F42" s="142"/>
      <c r="G42" s="142"/>
      <c r="H42" s="142"/>
      <c r="I42" s="142"/>
      <c r="J42" s="142"/>
      <c r="K42" s="142"/>
      <c r="L42" s="142"/>
      <c r="M42" s="142"/>
      <c r="N42" s="142"/>
      <c r="O42" s="142"/>
      <c r="P42" s="142"/>
      <c r="Q42" s="142"/>
    </row>
  </sheetData>
  <mergeCells count="46">
    <mergeCell ref="A40:F40"/>
    <mergeCell ref="G40:Q40"/>
    <mergeCell ref="A41:Q42"/>
    <mergeCell ref="O34:P34"/>
    <mergeCell ref="O35:P35"/>
    <mergeCell ref="O36:P36"/>
    <mergeCell ref="O37:P37"/>
    <mergeCell ref="A38:P38"/>
    <mergeCell ref="A39:Q39"/>
    <mergeCell ref="O33:P33"/>
    <mergeCell ref="O22:P22"/>
    <mergeCell ref="O23:P23"/>
    <mergeCell ref="O24:P24"/>
    <mergeCell ref="O25:P25"/>
    <mergeCell ref="O26:P26"/>
    <mergeCell ref="O27:P27"/>
    <mergeCell ref="O28:P28"/>
    <mergeCell ref="O29:P29"/>
    <mergeCell ref="O30:P30"/>
    <mergeCell ref="O31:P31"/>
    <mergeCell ref="O32:P32"/>
    <mergeCell ref="O21:P21"/>
    <mergeCell ref="A10:Q10"/>
    <mergeCell ref="A12:Q12"/>
    <mergeCell ref="A13:N13"/>
    <mergeCell ref="O13:P14"/>
    <mergeCell ref="Q13:Q14"/>
    <mergeCell ref="O15:P15"/>
    <mergeCell ref="O16:P16"/>
    <mergeCell ref="O17:P17"/>
    <mergeCell ref="O18:P18"/>
    <mergeCell ref="O19:P19"/>
    <mergeCell ref="O20:P20"/>
    <mergeCell ref="A9:Q9"/>
    <mergeCell ref="A1:C1"/>
    <mergeCell ref="D1:E1"/>
    <mergeCell ref="P1:Q2"/>
    <mergeCell ref="A4:F4"/>
    <mergeCell ref="G4:Q4"/>
    <mergeCell ref="A5:F5"/>
    <mergeCell ref="G5:Q5"/>
    <mergeCell ref="A6:F6"/>
    <mergeCell ref="G6:Q6"/>
    <mergeCell ref="A7:F7"/>
    <mergeCell ref="G7:Q7"/>
    <mergeCell ref="A8:Q8"/>
  </mergeCells>
  <pageMargins left="0.7" right="0.7" top="0.75" bottom="0.75" header="0.3" footer="0.3"/>
  <pageSetup paperSize="9" scale="80"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14"/>
  <sheetViews>
    <sheetView workbookViewId="0">
      <selection activeCell="H24" sqref="H24"/>
    </sheetView>
  </sheetViews>
  <sheetFormatPr baseColWidth="10" defaultRowHeight="15" x14ac:dyDescent="0.25"/>
  <cols>
    <col min="1" max="1" width="5.5703125" style="25" customWidth="1"/>
    <col min="2" max="2" width="15.140625" style="25" customWidth="1"/>
    <col min="3" max="3" width="14.140625" style="25" customWidth="1"/>
    <col min="4" max="4" width="26" style="25" customWidth="1"/>
    <col min="5" max="5" width="8" style="25" customWidth="1"/>
    <col min="6" max="6" width="7.85546875" style="25" customWidth="1"/>
    <col min="7" max="7" width="28.5703125" style="25" customWidth="1"/>
    <col min="8" max="8" width="9.28515625" style="25" customWidth="1"/>
    <col min="9" max="9" width="15.5703125" style="25" customWidth="1"/>
    <col min="10" max="10" width="14.7109375" style="25" customWidth="1"/>
    <col min="11" max="11" width="15.5703125" style="25" customWidth="1"/>
    <col min="12" max="16384" width="11.42578125" style="25"/>
  </cols>
  <sheetData>
    <row r="1" spans="1:11" ht="30.75" thickBot="1" x14ac:dyDescent="0.3">
      <c r="A1" s="139" t="s">
        <v>22</v>
      </c>
      <c r="B1" s="139"/>
      <c r="C1" s="139"/>
      <c r="D1" s="139"/>
      <c r="E1" s="139"/>
      <c r="F1" s="139"/>
      <c r="G1" s="139"/>
      <c r="H1" s="139"/>
      <c r="I1" s="139"/>
      <c r="J1" s="39" t="s">
        <v>23</v>
      </c>
      <c r="K1" s="40"/>
    </row>
    <row r="2" spans="1:11" ht="16.5" thickBot="1" x14ac:dyDescent="0.3">
      <c r="A2" s="41"/>
      <c r="B2" s="42"/>
      <c r="C2" s="42"/>
      <c r="D2" s="43"/>
      <c r="E2" s="43"/>
      <c r="F2" s="43"/>
      <c r="G2" s="43"/>
      <c r="H2" s="43"/>
      <c r="I2" s="43"/>
      <c r="J2" s="43"/>
      <c r="K2" s="44"/>
    </row>
    <row r="3" spans="1:11" ht="16.5" customHeight="1" thickBot="1" x14ac:dyDescent="0.3">
      <c r="A3" s="136" t="s">
        <v>24</v>
      </c>
      <c r="B3" s="136"/>
      <c r="C3" s="136"/>
      <c r="D3" s="110" t="str">
        <f>'SAF 011'!C4</f>
        <v>040 - MINISTERIO DE SALUD</v>
      </c>
      <c r="E3" s="111"/>
      <c r="F3" s="111"/>
      <c r="G3" s="111"/>
      <c r="H3" s="111"/>
      <c r="I3" s="111"/>
      <c r="J3" s="111"/>
      <c r="K3" s="112"/>
    </row>
    <row r="4" spans="1:11" ht="16.5" customHeight="1" thickBot="1" x14ac:dyDescent="0.3">
      <c r="A4" s="137" t="s">
        <v>25</v>
      </c>
      <c r="B4" s="137"/>
      <c r="C4" s="137"/>
      <c r="D4" s="110" t="str">
        <f>'SAF 011'!C5</f>
        <v>011 - DIRECCION PROVINCIAL DE ADMINISTRACION - MINISTERIO DE SALUD</v>
      </c>
      <c r="E4" s="111"/>
      <c r="F4" s="111"/>
      <c r="G4" s="111"/>
      <c r="H4" s="111"/>
      <c r="I4" s="111"/>
      <c r="J4" s="111"/>
      <c r="K4" s="112"/>
    </row>
    <row r="5" spans="1:11" ht="16.5" thickBot="1" x14ac:dyDescent="0.3">
      <c r="A5" s="137" t="s">
        <v>26</v>
      </c>
      <c r="B5" s="137"/>
      <c r="C5" s="137"/>
      <c r="D5" s="110" t="s">
        <v>75</v>
      </c>
      <c r="E5" s="111"/>
      <c r="F5" s="111"/>
      <c r="G5" s="111"/>
      <c r="H5" s="111"/>
      <c r="I5" s="111"/>
      <c r="J5" s="111"/>
      <c r="K5" s="112"/>
    </row>
    <row r="6" spans="1:11" ht="16.5" thickBot="1" x14ac:dyDescent="0.3">
      <c r="A6" s="136" t="s">
        <v>27</v>
      </c>
      <c r="B6" s="136"/>
      <c r="C6" s="136"/>
      <c r="D6" s="110" t="s">
        <v>75</v>
      </c>
      <c r="E6" s="111"/>
      <c r="F6" s="111"/>
      <c r="G6" s="111"/>
      <c r="H6" s="111"/>
      <c r="I6" s="111"/>
      <c r="J6" s="111"/>
      <c r="K6" s="112"/>
    </row>
    <row r="7" spans="1:11" ht="16.5" thickBot="1" x14ac:dyDescent="0.3">
      <c r="A7" s="137" t="s">
        <v>28</v>
      </c>
      <c r="B7" s="137"/>
      <c r="C7" s="137"/>
      <c r="D7" s="110" t="s">
        <v>99</v>
      </c>
      <c r="E7" s="111"/>
      <c r="F7" s="111"/>
      <c r="G7" s="111"/>
      <c r="H7" s="111"/>
      <c r="I7" s="111"/>
      <c r="J7" s="111"/>
      <c r="K7" s="112"/>
    </row>
    <row r="8" spans="1:11" ht="16.5" thickBot="1" x14ac:dyDescent="0.3">
      <c r="A8" s="138" t="s">
        <v>29</v>
      </c>
      <c r="B8" s="138"/>
      <c r="C8" s="138"/>
      <c r="D8" s="113" t="s">
        <v>71</v>
      </c>
      <c r="E8" s="111"/>
      <c r="F8" s="111"/>
      <c r="G8" s="111"/>
      <c r="H8" s="111"/>
      <c r="I8" s="111"/>
      <c r="J8" s="111"/>
      <c r="K8" s="112"/>
    </row>
    <row r="9" spans="1:11" ht="16.5" thickBot="1" x14ac:dyDescent="0.3">
      <c r="A9" s="45"/>
      <c r="B9" s="46"/>
      <c r="C9" s="46"/>
      <c r="D9" s="47"/>
      <c r="E9" s="47"/>
      <c r="F9" s="47"/>
      <c r="G9" s="47"/>
      <c r="H9" s="47"/>
      <c r="I9" s="47"/>
      <c r="J9" s="47"/>
      <c r="K9" s="48"/>
    </row>
    <row r="10" spans="1:11" ht="15.75" thickBot="1" x14ac:dyDescent="0.3">
      <c r="A10" s="135" t="s">
        <v>30</v>
      </c>
      <c r="B10" s="134" t="s">
        <v>31</v>
      </c>
      <c r="C10" s="134" t="s">
        <v>32</v>
      </c>
      <c r="D10" s="134"/>
      <c r="E10" s="134"/>
      <c r="F10" s="134"/>
      <c r="G10" s="134"/>
      <c r="H10" s="134" t="s">
        <v>33</v>
      </c>
      <c r="I10" s="134" t="s">
        <v>34</v>
      </c>
      <c r="J10" s="134" t="s">
        <v>35</v>
      </c>
      <c r="K10" s="132" t="s">
        <v>36</v>
      </c>
    </row>
    <row r="11" spans="1:11" ht="24.75" customHeight="1" thickBot="1" x14ac:dyDescent="0.3">
      <c r="A11" s="135"/>
      <c r="B11" s="134"/>
      <c r="C11" s="134"/>
      <c r="D11" s="134"/>
      <c r="E11" s="134"/>
      <c r="F11" s="134"/>
      <c r="G11" s="134"/>
      <c r="H11" s="134"/>
      <c r="I11" s="134"/>
      <c r="J11" s="134"/>
      <c r="K11" s="132"/>
    </row>
    <row r="12" spans="1:11" ht="54" customHeight="1" x14ac:dyDescent="0.25">
      <c r="A12" s="49">
        <v>1</v>
      </c>
      <c r="B12" s="114" t="str">
        <f>'SAF 011'!B10</f>
        <v>2.1.1-7915.14</v>
      </c>
      <c r="C12" s="133" t="str">
        <f>'SAF 011'!E10</f>
        <v>AGUA POTABLE; TIPO: POTABILIZADA SIN GASIFICAR; PRESENTACION: SEGÚN PLIEGO, MATERIAL ENVASE: SEGÚN PLIEGO, TIPO ENVASE: SEGÚN PLIEGO</v>
      </c>
      <c r="D12" s="133"/>
      <c r="E12" s="133"/>
      <c r="F12" s="133"/>
      <c r="G12" s="133"/>
      <c r="H12" s="50" t="s">
        <v>72</v>
      </c>
      <c r="I12" s="51" t="s">
        <v>107</v>
      </c>
      <c r="J12" s="51">
        <f>'SAF 011'!H10</f>
        <v>600</v>
      </c>
      <c r="K12" s="52" t="e">
        <f>'SAF 011'!#REF!</f>
        <v>#REF!</v>
      </c>
    </row>
    <row r="13" spans="1:11" ht="15.75" x14ac:dyDescent="0.25">
      <c r="A13" s="53"/>
      <c r="B13" s="54"/>
      <c r="C13" s="131"/>
      <c r="D13" s="131"/>
      <c r="E13" s="131"/>
      <c r="F13" s="131"/>
      <c r="G13" s="131"/>
      <c r="H13" s="55"/>
      <c r="I13" s="56"/>
      <c r="J13" s="56"/>
      <c r="K13" s="57"/>
    </row>
    <row r="14" spans="1:11" ht="19.5" thickBot="1" x14ac:dyDescent="0.3">
      <c r="A14" s="128" t="s">
        <v>76</v>
      </c>
      <c r="B14" s="128"/>
      <c r="C14" s="128"/>
      <c r="D14" s="128"/>
      <c r="E14" s="128"/>
      <c r="F14" s="128"/>
      <c r="G14" s="128"/>
      <c r="H14" s="128"/>
      <c r="I14" s="128"/>
      <c r="J14" s="129" t="e">
        <f>+J12*K12</f>
        <v>#REF!</v>
      </c>
      <c r="K14" s="130"/>
    </row>
  </sheetData>
  <mergeCells count="18">
    <mergeCell ref="A7:C7"/>
    <mergeCell ref="A1:I1"/>
    <mergeCell ref="A3:C3"/>
    <mergeCell ref="A4:C4"/>
    <mergeCell ref="A5:C5"/>
    <mergeCell ref="A6:C6"/>
    <mergeCell ref="A8:C8"/>
    <mergeCell ref="A10:A11"/>
    <mergeCell ref="B10:B11"/>
    <mergeCell ref="C10:G11"/>
    <mergeCell ref="H10:H11"/>
    <mergeCell ref="J10:J11"/>
    <mergeCell ref="K10:K11"/>
    <mergeCell ref="C12:G12"/>
    <mergeCell ref="C13:G13"/>
    <mergeCell ref="A14:I14"/>
    <mergeCell ref="J14:K14"/>
    <mergeCell ref="I10:I1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Q42"/>
  <sheetViews>
    <sheetView topLeftCell="A16" workbookViewId="0">
      <selection activeCell="A39" sqref="A39:Q39"/>
    </sheetView>
  </sheetViews>
  <sheetFormatPr baseColWidth="10" defaultRowHeight="15" x14ac:dyDescent="0.25"/>
  <cols>
    <col min="1" max="5" width="4.42578125" style="25" customWidth="1"/>
    <col min="6" max="6" width="5.5703125" style="25" customWidth="1"/>
    <col min="7" max="7" width="4" style="25" bestFit="1" customWidth="1"/>
    <col min="8" max="14" width="4.42578125" style="25" customWidth="1"/>
    <col min="15" max="16" width="14.85546875" style="25" customWidth="1"/>
    <col min="17" max="17" width="14.7109375" style="25" customWidth="1"/>
    <col min="18" max="16384" width="11.42578125" style="25"/>
  </cols>
  <sheetData>
    <row r="1" spans="1:17" ht="15.75" thickBot="1" x14ac:dyDescent="0.3">
      <c r="A1" s="157" t="s">
        <v>5</v>
      </c>
      <c r="B1" s="157"/>
      <c r="C1" s="157"/>
      <c r="D1" s="158">
        <v>2022</v>
      </c>
      <c r="E1" s="158"/>
      <c r="F1" s="58"/>
      <c r="G1" s="58"/>
      <c r="H1" s="59"/>
      <c r="I1" s="59"/>
      <c r="J1" s="59"/>
      <c r="K1" s="59"/>
      <c r="L1" s="59"/>
      <c r="M1" s="59"/>
      <c r="N1" s="59"/>
      <c r="O1" s="60"/>
      <c r="P1" s="159" t="s">
        <v>37</v>
      </c>
      <c r="Q1" s="159"/>
    </row>
    <row r="2" spans="1:17" ht="15.75" thickBot="1" x14ac:dyDescent="0.3">
      <c r="A2" s="61"/>
      <c r="B2" s="62"/>
      <c r="C2" s="62"/>
      <c r="D2" s="62"/>
      <c r="E2" s="62"/>
      <c r="F2" s="62"/>
      <c r="G2" s="63"/>
      <c r="H2" s="64"/>
      <c r="I2" s="64"/>
      <c r="J2" s="64"/>
      <c r="K2" s="64"/>
      <c r="L2" s="64"/>
      <c r="M2" s="64"/>
      <c r="N2" s="64"/>
      <c r="O2" s="62"/>
      <c r="P2" s="159"/>
      <c r="Q2" s="159"/>
    </row>
    <row r="3" spans="1:17" ht="15.75" thickBot="1" x14ac:dyDescent="0.3">
      <c r="A3" s="61"/>
      <c r="B3" s="62"/>
      <c r="C3" s="62"/>
      <c r="D3" s="62"/>
      <c r="E3" s="62"/>
      <c r="F3" s="62"/>
      <c r="G3" s="63"/>
      <c r="H3" s="62"/>
      <c r="I3" s="62"/>
      <c r="J3" s="62"/>
      <c r="K3" s="62"/>
      <c r="L3" s="62"/>
      <c r="M3" s="62"/>
      <c r="N3" s="62"/>
      <c r="O3" s="62"/>
      <c r="P3" s="62"/>
      <c r="Q3" s="65"/>
    </row>
    <row r="4" spans="1:17" ht="15.75" thickBot="1" x14ac:dyDescent="0.3">
      <c r="A4" s="160" t="s">
        <v>38</v>
      </c>
      <c r="B4" s="160"/>
      <c r="C4" s="160"/>
      <c r="D4" s="160"/>
      <c r="E4" s="160"/>
      <c r="F4" s="160"/>
      <c r="G4" s="161" t="str">
        <f>'NP DPBS'!D3</f>
        <v>040 - MINISTERIO DE SALUD</v>
      </c>
      <c r="H4" s="161"/>
      <c r="I4" s="161"/>
      <c r="J4" s="161"/>
      <c r="K4" s="161"/>
      <c r="L4" s="161"/>
      <c r="M4" s="161"/>
      <c r="N4" s="161"/>
      <c r="O4" s="161"/>
      <c r="P4" s="161"/>
      <c r="Q4" s="161"/>
    </row>
    <row r="5" spans="1:17" ht="15.75" thickBot="1" x14ac:dyDescent="0.3">
      <c r="A5" s="162" t="s">
        <v>25</v>
      </c>
      <c r="B5" s="162"/>
      <c r="C5" s="162"/>
      <c r="D5" s="162"/>
      <c r="E5" s="162"/>
      <c r="F5" s="162"/>
      <c r="G5" s="161" t="str">
        <f>'NP DPBS'!D4</f>
        <v>011 - DIRECCION PROVINCIAL DE ADMINISTRACION - MINISTERIO DE SALUD</v>
      </c>
      <c r="H5" s="161"/>
      <c r="I5" s="161"/>
      <c r="J5" s="161"/>
      <c r="K5" s="161"/>
      <c r="L5" s="161"/>
      <c r="M5" s="161"/>
      <c r="N5" s="161"/>
      <c r="O5" s="161"/>
      <c r="P5" s="161"/>
      <c r="Q5" s="161"/>
    </row>
    <row r="6" spans="1:17" ht="15.75" thickBot="1" x14ac:dyDescent="0.3">
      <c r="A6" s="162" t="s">
        <v>26</v>
      </c>
      <c r="B6" s="162"/>
      <c r="C6" s="162"/>
      <c r="D6" s="162"/>
      <c r="E6" s="162"/>
      <c r="F6" s="162"/>
      <c r="G6" s="161" t="str">
        <f>'NP DPBS'!D5</f>
        <v>747 - DIRECCION PROVINCIAL BANCO DE SANGRE</v>
      </c>
      <c r="H6" s="161"/>
      <c r="I6" s="161"/>
      <c r="J6" s="161"/>
      <c r="K6" s="161"/>
      <c r="L6" s="161"/>
      <c r="M6" s="161"/>
      <c r="N6" s="161"/>
      <c r="O6" s="161"/>
      <c r="P6" s="161"/>
      <c r="Q6" s="161"/>
    </row>
    <row r="7" spans="1:17" ht="15.75" thickBot="1" x14ac:dyDescent="0.3">
      <c r="A7" s="162" t="s">
        <v>27</v>
      </c>
      <c r="B7" s="162"/>
      <c r="C7" s="162"/>
      <c r="D7" s="162"/>
      <c r="E7" s="162"/>
      <c r="F7" s="162"/>
      <c r="G7" s="161" t="str">
        <f>'NP DPBS'!D6</f>
        <v>747 - DIRECCION PROVINCIAL BANCO DE SANGRE</v>
      </c>
      <c r="H7" s="161"/>
      <c r="I7" s="161"/>
      <c r="J7" s="161"/>
      <c r="K7" s="161"/>
      <c r="L7" s="161"/>
      <c r="M7" s="161"/>
      <c r="N7" s="161"/>
      <c r="O7" s="161"/>
      <c r="P7" s="161"/>
      <c r="Q7" s="161"/>
    </row>
    <row r="8" spans="1:17" ht="15.75" thickBot="1" x14ac:dyDescent="0.3">
      <c r="A8" s="163" t="s">
        <v>39</v>
      </c>
      <c r="B8" s="163"/>
      <c r="C8" s="163"/>
      <c r="D8" s="163"/>
      <c r="E8" s="163"/>
      <c r="F8" s="163"/>
      <c r="G8" s="163"/>
      <c r="H8" s="163"/>
      <c r="I8" s="163"/>
      <c r="J8" s="163"/>
      <c r="K8" s="163"/>
      <c r="L8" s="163"/>
      <c r="M8" s="163"/>
      <c r="N8" s="163"/>
      <c r="O8" s="163"/>
      <c r="P8" s="163"/>
      <c r="Q8" s="163"/>
    </row>
    <row r="9" spans="1:17" ht="27.75" customHeight="1" x14ac:dyDescent="0.25">
      <c r="A9" s="156" t="s">
        <v>40</v>
      </c>
      <c r="B9" s="156"/>
      <c r="C9" s="156"/>
      <c r="D9" s="156"/>
      <c r="E9" s="156"/>
      <c r="F9" s="156"/>
      <c r="G9" s="156"/>
      <c r="H9" s="156"/>
      <c r="I9" s="156"/>
      <c r="J9" s="156"/>
      <c r="K9" s="156"/>
      <c r="L9" s="156"/>
      <c r="M9" s="156"/>
      <c r="N9" s="156"/>
      <c r="O9" s="156"/>
      <c r="P9" s="156"/>
      <c r="Q9" s="156"/>
    </row>
    <row r="10" spans="1:17" ht="57" customHeight="1" x14ac:dyDescent="0.25">
      <c r="A10" s="149" t="s">
        <v>59</v>
      </c>
      <c r="B10" s="149"/>
      <c r="C10" s="149"/>
      <c r="D10" s="149"/>
      <c r="E10" s="149"/>
      <c r="F10" s="149"/>
      <c r="G10" s="149"/>
      <c r="H10" s="149"/>
      <c r="I10" s="149"/>
      <c r="J10" s="149"/>
      <c r="K10" s="149"/>
      <c r="L10" s="149"/>
      <c r="M10" s="149"/>
      <c r="N10" s="149"/>
      <c r="O10" s="149"/>
      <c r="P10" s="149"/>
      <c r="Q10" s="149"/>
    </row>
    <row r="11" spans="1:17" ht="15.75" thickBot="1" x14ac:dyDescent="0.3">
      <c r="A11" s="66"/>
      <c r="B11" s="67"/>
      <c r="C11" s="67"/>
      <c r="D11" s="67"/>
      <c r="E11" s="67"/>
      <c r="F11" s="67"/>
      <c r="G11" s="68"/>
      <c r="H11" s="67"/>
      <c r="I11" s="67"/>
      <c r="J11" s="67"/>
      <c r="K11" s="67"/>
      <c r="L11" s="67"/>
      <c r="M11" s="67"/>
      <c r="N11" s="67"/>
      <c r="O11" s="67"/>
      <c r="P11" s="67"/>
      <c r="Q11" s="69"/>
    </row>
    <row r="12" spans="1:17" ht="15.75" thickBot="1" x14ac:dyDescent="0.3">
      <c r="A12" s="150" t="s">
        <v>41</v>
      </c>
      <c r="B12" s="150"/>
      <c r="C12" s="150"/>
      <c r="D12" s="150"/>
      <c r="E12" s="150"/>
      <c r="F12" s="150"/>
      <c r="G12" s="150"/>
      <c r="H12" s="150"/>
      <c r="I12" s="150"/>
      <c r="J12" s="150"/>
      <c r="K12" s="150"/>
      <c r="L12" s="150"/>
      <c r="M12" s="150"/>
      <c r="N12" s="150"/>
      <c r="O12" s="150"/>
      <c r="P12" s="150"/>
      <c r="Q12" s="150"/>
    </row>
    <row r="13" spans="1:17" ht="15.75" thickBot="1" x14ac:dyDescent="0.3">
      <c r="A13" s="151" t="s">
        <v>42</v>
      </c>
      <c r="B13" s="151"/>
      <c r="C13" s="151"/>
      <c r="D13" s="151"/>
      <c r="E13" s="151"/>
      <c r="F13" s="151"/>
      <c r="G13" s="151"/>
      <c r="H13" s="151"/>
      <c r="I13" s="151"/>
      <c r="J13" s="151"/>
      <c r="K13" s="151"/>
      <c r="L13" s="151"/>
      <c r="M13" s="151"/>
      <c r="N13" s="151"/>
      <c r="O13" s="152" t="s">
        <v>43</v>
      </c>
      <c r="P13" s="152"/>
      <c r="Q13" s="153" t="s">
        <v>44</v>
      </c>
    </row>
    <row r="14" spans="1:17" ht="15.75" thickBot="1" x14ac:dyDescent="0.3">
      <c r="A14" s="70" t="s">
        <v>45</v>
      </c>
      <c r="B14" s="71" t="s">
        <v>46</v>
      </c>
      <c r="C14" s="71" t="s">
        <v>47</v>
      </c>
      <c r="D14" s="71" t="s">
        <v>48</v>
      </c>
      <c r="E14" s="71" t="s">
        <v>49</v>
      </c>
      <c r="F14" s="71" t="s">
        <v>50</v>
      </c>
      <c r="G14" s="72" t="s">
        <v>51</v>
      </c>
      <c r="H14" s="71" t="s">
        <v>52</v>
      </c>
      <c r="I14" s="71" t="s">
        <v>53</v>
      </c>
      <c r="J14" s="71" t="s">
        <v>54</v>
      </c>
      <c r="K14" s="71" t="s">
        <v>54</v>
      </c>
      <c r="L14" s="71" t="s">
        <v>55</v>
      </c>
      <c r="M14" s="73" t="s">
        <v>56</v>
      </c>
      <c r="N14" s="74" t="s">
        <v>57</v>
      </c>
      <c r="O14" s="152"/>
      <c r="P14" s="152"/>
      <c r="Q14" s="153"/>
    </row>
    <row r="15" spans="1:17" x14ac:dyDescent="0.25">
      <c r="A15" s="75">
        <v>27</v>
      </c>
      <c r="B15" s="76"/>
      <c r="C15" s="76"/>
      <c r="D15" s="76">
        <v>1</v>
      </c>
      <c r="E15" s="76"/>
      <c r="F15" s="76">
        <v>4901</v>
      </c>
      <c r="G15" s="76">
        <v>3</v>
      </c>
      <c r="H15" s="76">
        <v>1</v>
      </c>
      <c r="I15" s="76">
        <v>2</v>
      </c>
      <c r="J15" s="76">
        <v>1</v>
      </c>
      <c r="K15" s="76">
        <v>1</v>
      </c>
      <c r="L15" s="76"/>
      <c r="M15" s="77">
        <v>1</v>
      </c>
      <c r="N15" s="76" t="s">
        <v>68</v>
      </c>
      <c r="O15" s="154" t="s">
        <v>69</v>
      </c>
      <c r="P15" s="154"/>
      <c r="Q15" s="78" t="e">
        <f>'NP DPBS'!J14</f>
        <v>#REF!</v>
      </c>
    </row>
    <row r="16" spans="1:17" x14ac:dyDescent="0.25">
      <c r="A16" s="79"/>
      <c r="B16" s="80"/>
      <c r="C16" s="80"/>
      <c r="D16" s="80"/>
      <c r="E16" s="80"/>
      <c r="F16" s="80"/>
      <c r="G16" s="80"/>
      <c r="H16" s="80"/>
      <c r="I16" s="80"/>
      <c r="J16" s="80"/>
      <c r="K16" s="80"/>
      <c r="L16" s="80"/>
      <c r="M16" s="81"/>
      <c r="N16" s="94"/>
      <c r="O16" s="143"/>
      <c r="P16" s="143"/>
      <c r="Q16" s="83"/>
    </row>
    <row r="17" spans="1:17" x14ac:dyDescent="0.25">
      <c r="A17" s="79"/>
      <c r="B17" s="80"/>
      <c r="C17" s="80"/>
      <c r="D17" s="80"/>
      <c r="E17" s="80"/>
      <c r="F17" s="80"/>
      <c r="G17" s="80"/>
      <c r="H17" s="80"/>
      <c r="I17" s="80"/>
      <c r="J17" s="80"/>
      <c r="K17" s="80"/>
      <c r="L17" s="80"/>
      <c r="M17" s="81"/>
      <c r="N17" s="94"/>
      <c r="O17" s="155"/>
      <c r="P17" s="155"/>
      <c r="Q17" s="83"/>
    </row>
    <row r="18" spans="1:17" x14ac:dyDescent="0.25">
      <c r="A18" s="79"/>
      <c r="B18" s="80"/>
      <c r="C18" s="80"/>
      <c r="D18" s="80"/>
      <c r="E18" s="80"/>
      <c r="F18" s="80"/>
      <c r="G18" s="80"/>
      <c r="H18" s="80"/>
      <c r="I18" s="80"/>
      <c r="J18" s="80"/>
      <c r="K18" s="80"/>
      <c r="L18" s="80"/>
      <c r="M18" s="81"/>
      <c r="N18" s="94"/>
      <c r="O18" s="148"/>
      <c r="P18" s="148"/>
      <c r="Q18" s="83"/>
    </row>
    <row r="19" spans="1:17" x14ac:dyDescent="0.25">
      <c r="A19" s="79"/>
      <c r="B19" s="80"/>
      <c r="C19" s="80"/>
      <c r="D19" s="80"/>
      <c r="E19" s="80"/>
      <c r="F19" s="80"/>
      <c r="G19" s="80"/>
      <c r="H19" s="80"/>
      <c r="I19" s="80"/>
      <c r="J19" s="80"/>
      <c r="K19" s="80"/>
      <c r="L19" s="80"/>
      <c r="M19" s="81"/>
      <c r="N19" s="94"/>
      <c r="O19" s="148"/>
      <c r="P19" s="148"/>
      <c r="Q19" s="83"/>
    </row>
    <row r="20" spans="1:17" x14ac:dyDescent="0.25">
      <c r="A20" s="79"/>
      <c r="B20" s="80"/>
      <c r="C20" s="80"/>
      <c r="D20" s="80"/>
      <c r="E20" s="80"/>
      <c r="F20" s="80"/>
      <c r="G20" s="80"/>
      <c r="H20" s="80"/>
      <c r="I20" s="80"/>
      <c r="J20" s="80"/>
      <c r="K20" s="80"/>
      <c r="L20" s="80"/>
      <c r="M20" s="81"/>
      <c r="N20" s="94"/>
      <c r="O20" s="148"/>
      <c r="P20" s="148"/>
      <c r="Q20" s="83"/>
    </row>
    <row r="21" spans="1:17" x14ac:dyDescent="0.25">
      <c r="A21" s="79"/>
      <c r="B21" s="80"/>
      <c r="C21" s="80"/>
      <c r="D21" s="80"/>
      <c r="E21" s="80"/>
      <c r="F21" s="80"/>
      <c r="G21" s="80"/>
      <c r="H21" s="80"/>
      <c r="I21" s="80"/>
      <c r="J21" s="80"/>
      <c r="K21" s="80"/>
      <c r="L21" s="80"/>
      <c r="M21" s="81"/>
      <c r="N21" s="94"/>
      <c r="O21" s="148"/>
      <c r="P21" s="148"/>
      <c r="Q21" s="83"/>
    </row>
    <row r="22" spans="1:17" x14ac:dyDescent="0.25">
      <c r="A22" s="79"/>
      <c r="B22" s="80"/>
      <c r="C22" s="80"/>
      <c r="D22" s="80"/>
      <c r="E22" s="80"/>
      <c r="F22" s="80"/>
      <c r="G22" s="80"/>
      <c r="H22" s="80"/>
      <c r="I22" s="80"/>
      <c r="J22" s="80"/>
      <c r="K22" s="80"/>
      <c r="L22" s="80"/>
      <c r="M22" s="81"/>
      <c r="N22" s="94"/>
      <c r="O22" s="148"/>
      <c r="P22" s="148"/>
      <c r="Q22" s="83"/>
    </row>
    <row r="23" spans="1:17" x14ac:dyDescent="0.25">
      <c r="A23" s="79"/>
      <c r="B23" s="80"/>
      <c r="C23" s="80"/>
      <c r="D23" s="80"/>
      <c r="E23" s="80"/>
      <c r="F23" s="80"/>
      <c r="G23" s="80"/>
      <c r="H23" s="80"/>
      <c r="I23" s="80"/>
      <c r="J23" s="80"/>
      <c r="K23" s="80"/>
      <c r="L23" s="80"/>
      <c r="M23" s="81"/>
      <c r="N23" s="94"/>
      <c r="O23" s="148"/>
      <c r="P23" s="148"/>
      <c r="Q23" s="83"/>
    </row>
    <row r="24" spans="1:17" x14ac:dyDescent="0.25">
      <c r="A24" s="79"/>
      <c r="B24" s="80"/>
      <c r="C24" s="80"/>
      <c r="D24" s="80"/>
      <c r="E24" s="80"/>
      <c r="F24" s="80"/>
      <c r="G24" s="80"/>
      <c r="H24" s="80"/>
      <c r="I24" s="80"/>
      <c r="J24" s="80"/>
      <c r="K24" s="80"/>
      <c r="L24" s="80"/>
      <c r="M24" s="81"/>
      <c r="N24" s="94"/>
      <c r="O24" s="148"/>
      <c r="P24" s="148"/>
      <c r="Q24" s="83"/>
    </row>
    <row r="25" spans="1:17" x14ac:dyDescent="0.25">
      <c r="A25" s="79"/>
      <c r="B25" s="80"/>
      <c r="C25" s="80"/>
      <c r="D25" s="80"/>
      <c r="E25" s="80"/>
      <c r="F25" s="80"/>
      <c r="G25" s="80"/>
      <c r="H25" s="80"/>
      <c r="I25" s="80"/>
      <c r="J25" s="80"/>
      <c r="K25" s="80"/>
      <c r="L25" s="80"/>
      <c r="M25" s="81"/>
      <c r="N25" s="94"/>
      <c r="O25" s="148"/>
      <c r="P25" s="148"/>
      <c r="Q25" s="83"/>
    </row>
    <row r="26" spans="1:17" x14ac:dyDescent="0.25">
      <c r="A26" s="79"/>
      <c r="B26" s="80"/>
      <c r="C26" s="80"/>
      <c r="D26" s="80"/>
      <c r="E26" s="80"/>
      <c r="F26" s="80"/>
      <c r="G26" s="80"/>
      <c r="H26" s="80"/>
      <c r="I26" s="80"/>
      <c r="J26" s="80"/>
      <c r="K26" s="80"/>
      <c r="L26" s="80"/>
      <c r="M26" s="81"/>
      <c r="N26" s="94"/>
      <c r="O26" s="148"/>
      <c r="P26" s="148"/>
      <c r="Q26" s="83"/>
    </row>
    <row r="27" spans="1:17" x14ac:dyDescent="0.25">
      <c r="A27" s="79"/>
      <c r="B27" s="80"/>
      <c r="C27" s="80"/>
      <c r="D27" s="80"/>
      <c r="E27" s="80"/>
      <c r="F27" s="80"/>
      <c r="G27" s="80"/>
      <c r="H27" s="80"/>
      <c r="I27" s="80"/>
      <c r="J27" s="80"/>
      <c r="K27" s="80"/>
      <c r="L27" s="80"/>
      <c r="M27" s="81"/>
      <c r="N27" s="94"/>
      <c r="O27" s="148"/>
      <c r="P27" s="148"/>
      <c r="Q27" s="83"/>
    </row>
    <row r="28" spans="1:17" x14ac:dyDescent="0.25">
      <c r="A28" s="79"/>
      <c r="B28" s="80"/>
      <c r="C28" s="80"/>
      <c r="D28" s="80"/>
      <c r="E28" s="80"/>
      <c r="F28" s="80"/>
      <c r="G28" s="80"/>
      <c r="H28" s="80"/>
      <c r="I28" s="80"/>
      <c r="J28" s="80"/>
      <c r="K28" s="80"/>
      <c r="L28" s="80"/>
      <c r="M28" s="81"/>
      <c r="N28" s="94"/>
      <c r="O28" s="148"/>
      <c r="P28" s="148"/>
      <c r="Q28" s="83"/>
    </row>
    <row r="29" spans="1:17" x14ac:dyDescent="0.25">
      <c r="A29" s="79"/>
      <c r="B29" s="80"/>
      <c r="C29" s="80"/>
      <c r="D29" s="80"/>
      <c r="E29" s="80"/>
      <c r="F29" s="80"/>
      <c r="G29" s="80"/>
      <c r="H29" s="80"/>
      <c r="I29" s="80"/>
      <c r="J29" s="80"/>
      <c r="K29" s="80"/>
      <c r="L29" s="80"/>
      <c r="M29" s="81"/>
      <c r="N29" s="94"/>
      <c r="O29" s="148"/>
      <c r="P29" s="148"/>
      <c r="Q29" s="83"/>
    </row>
    <row r="30" spans="1:17" x14ac:dyDescent="0.25">
      <c r="A30" s="79"/>
      <c r="B30" s="80"/>
      <c r="C30" s="80"/>
      <c r="D30" s="80"/>
      <c r="E30" s="80"/>
      <c r="F30" s="80"/>
      <c r="G30" s="80"/>
      <c r="H30" s="80"/>
      <c r="I30" s="80"/>
      <c r="J30" s="80"/>
      <c r="K30" s="80"/>
      <c r="L30" s="80"/>
      <c r="M30" s="81"/>
      <c r="N30" s="94"/>
      <c r="O30" s="148"/>
      <c r="P30" s="148"/>
      <c r="Q30" s="83"/>
    </row>
    <row r="31" spans="1:17" x14ac:dyDescent="0.25">
      <c r="A31" s="79"/>
      <c r="B31" s="80"/>
      <c r="C31" s="80"/>
      <c r="D31" s="80"/>
      <c r="E31" s="80"/>
      <c r="F31" s="80"/>
      <c r="G31" s="80"/>
      <c r="H31" s="80"/>
      <c r="I31" s="80"/>
      <c r="J31" s="80"/>
      <c r="K31" s="80"/>
      <c r="L31" s="80"/>
      <c r="M31" s="81"/>
      <c r="N31" s="94"/>
      <c r="O31" s="148"/>
      <c r="P31" s="148"/>
      <c r="Q31" s="83"/>
    </row>
    <row r="32" spans="1:17" x14ac:dyDescent="0.25">
      <c r="A32" s="79"/>
      <c r="B32" s="80"/>
      <c r="C32" s="80"/>
      <c r="D32" s="80"/>
      <c r="E32" s="80"/>
      <c r="F32" s="94"/>
      <c r="G32" s="80"/>
      <c r="H32" s="80"/>
      <c r="I32" s="80"/>
      <c r="J32" s="80"/>
      <c r="K32" s="80"/>
      <c r="L32" s="80"/>
      <c r="M32" s="81"/>
      <c r="N32" s="94"/>
      <c r="O32" s="143"/>
      <c r="P32" s="143"/>
      <c r="Q32" s="83"/>
    </row>
    <row r="33" spans="1:17" x14ac:dyDescent="0.25">
      <c r="A33" s="79"/>
      <c r="B33" s="80"/>
      <c r="C33" s="80"/>
      <c r="D33" s="80"/>
      <c r="E33" s="80"/>
      <c r="F33" s="80"/>
      <c r="G33" s="80"/>
      <c r="H33" s="80"/>
      <c r="I33" s="80"/>
      <c r="J33" s="80"/>
      <c r="K33" s="80"/>
      <c r="L33" s="80"/>
      <c r="M33" s="81"/>
      <c r="N33" s="94"/>
      <c r="O33" s="143"/>
      <c r="P33" s="143"/>
      <c r="Q33" s="83"/>
    </row>
    <row r="34" spans="1:17" x14ac:dyDescent="0.25">
      <c r="A34" s="79"/>
      <c r="B34" s="80"/>
      <c r="C34" s="80"/>
      <c r="D34" s="80"/>
      <c r="E34" s="80"/>
      <c r="F34" s="94"/>
      <c r="G34" s="80"/>
      <c r="H34" s="80"/>
      <c r="I34" s="80"/>
      <c r="J34" s="80"/>
      <c r="K34" s="80"/>
      <c r="L34" s="80"/>
      <c r="M34" s="81"/>
      <c r="N34" s="94"/>
      <c r="O34" s="143"/>
      <c r="P34" s="143"/>
      <c r="Q34" s="83"/>
    </row>
    <row r="35" spans="1:17" x14ac:dyDescent="0.25">
      <c r="A35" s="79"/>
      <c r="B35" s="80"/>
      <c r="C35" s="80"/>
      <c r="D35" s="80"/>
      <c r="E35" s="80"/>
      <c r="F35" s="94"/>
      <c r="G35" s="80"/>
      <c r="H35" s="80"/>
      <c r="I35" s="80"/>
      <c r="J35" s="80"/>
      <c r="K35" s="80"/>
      <c r="L35" s="80"/>
      <c r="M35" s="81"/>
      <c r="N35" s="94"/>
      <c r="O35" s="143"/>
      <c r="P35" s="143"/>
      <c r="Q35" s="83"/>
    </row>
    <row r="36" spans="1:17" x14ac:dyDescent="0.25">
      <c r="A36" s="84"/>
      <c r="B36" s="85"/>
      <c r="C36" s="85"/>
      <c r="D36" s="85"/>
      <c r="E36" s="85"/>
      <c r="F36" s="86"/>
      <c r="G36" s="85"/>
      <c r="H36" s="85"/>
      <c r="I36" s="85"/>
      <c r="J36" s="85"/>
      <c r="K36" s="85"/>
      <c r="L36" s="85"/>
      <c r="M36" s="87"/>
      <c r="N36" s="88"/>
      <c r="O36" s="144"/>
      <c r="P36" s="144"/>
      <c r="Q36" s="83"/>
    </row>
    <row r="37" spans="1:17" ht="15.75" thickBot="1" x14ac:dyDescent="0.3">
      <c r="A37" s="89"/>
      <c r="B37" s="90"/>
      <c r="C37" s="90"/>
      <c r="D37" s="90"/>
      <c r="E37" s="90"/>
      <c r="F37" s="90"/>
      <c r="G37" s="90"/>
      <c r="H37" s="90"/>
      <c r="I37" s="90"/>
      <c r="J37" s="90"/>
      <c r="K37" s="90"/>
      <c r="L37" s="90"/>
      <c r="M37" s="91"/>
      <c r="N37" s="90"/>
      <c r="O37" s="145"/>
      <c r="P37" s="145"/>
      <c r="Q37" s="92"/>
    </row>
    <row r="38" spans="1:17" ht="15.75" thickBot="1" x14ac:dyDescent="0.3">
      <c r="A38" s="146" t="s">
        <v>77</v>
      </c>
      <c r="B38" s="146"/>
      <c r="C38" s="146"/>
      <c r="D38" s="146"/>
      <c r="E38" s="146"/>
      <c r="F38" s="146"/>
      <c r="G38" s="146"/>
      <c r="H38" s="146"/>
      <c r="I38" s="146"/>
      <c r="J38" s="146"/>
      <c r="K38" s="146"/>
      <c r="L38" s="146"/>
      <c r="M38" s="146"/>
      <c r="N38" s="146"/>
      <c r="O38" s="146"/>
      <c r="P38" s="146"/>
      <c r="Q38" s="93" t="e">
        <f>SUM(Q15:Q37)</f>
        <v>#REF!</v>
      </c>
    </row>
    <row r="39" spans="1:17" ht="15.75" thickBot="1" x14ac:dyDescent="0.3">
      <c r="A39" s="147"/>
      <c r="B39" s="147"/>
      <c r="C39" s="147"/>
      <c r="D39" s="147"/>
      <c r="E39" s="147"/>
      <c r="F39" s="147"/>
      <c r="G39" s="147"/>
      <c r="H39" s="147"/>
      <c r="I39" s="147"/>
      <c r="J39" s="147"/>
      <c r="K39" s="147"/>
      <c r="L39" s="147"/>
      <c r="M39" s="147"/>
      <c r="N39" s="147"/>
      <c r="O39" s="147"/>
      <c r="P39" s="147"/>
      <c r="Q39" s="147"/>
    </row>
    <row r="40" spans="1:17" ht="15.75" thickBot="1" x14ac:dyDescent="0.3">
      <c r="A40" s="140" t="s">
        <v>58</v>
      </c>
      <c r="B40" s="140"/>
      <c r="C40" s="140"/>
      <c r="D40" s="140"/>
      <c r="E40" s="140"/>
      <c r="F40" s="140"/>
      <c r="G40" s="141"/>
      <c r="H40" s="141"/>
      <c r="I40" s="141"/>
      <c r="J40" s="141"/>
      <c r="K40" s="141"/>
      <c r="L40" s="141"/>
      <c r="M40" s="141"/>
      <c r="N40" s="141"/>
      <c r="O40" s="141"/>
      <c r="P40" s="141"/>
      <c r="Q40" s="141"/>
    </row>
    <row r="41" spans="1:17" ht="15.75" thickBot="1" x14ac:dyDescent="0.3">
      <c r="A41" s="142" t="str">
        <f>'NP DPBS'!D8</f>
        <v>ADQ. DEL RUBRO ALIMENTOS PARA PERSONAS (BIDONES DE AGUA)</v>
      </c>
      <c r="B41" s="142"/>
      <c r="C41" s="142"/>
      <c r="D41" s="142"/>
      <c r="E41" s="142"/>
      <c r="F41" s="142"/>
      <c r="G41" s="142"/>
      <c r="H41" s="142"/>
      <c r="I41" s="142"/>
      <c r="J41" s="142"/>
      <c r="K41" s="142"/>
      <c r="L41" s="142"/>
      <c r="M41" s="142"/>
      <c r="N41" s="142"/>
      <c r="O41" s="142"/>
      <c r="P41" s="142"/>
      <c r="Q41" s="142"/>
    </row>
    <row r="42" spans="1:17" ht="15.75" thickBot="1" x14ac:dyDescent="0.3">
      <c r="A42" s="142"/>
      <c r="B42" s="142"/>
      <c r="C42" s="142"/>
      <c r="D42" s="142"/>
      <c r="E42" s="142"/>
      <c r="F42" s="142"/>
      <c r="G42" s="142"/>
      <c r="H42" s="142"/>
      <c r="I42" s="142"/>
      <c r="J42" s="142"/>
      <c r="K42" s="142"/>
      <c r="L42" s="142"/>
      <c r="M42" s="142"/>
      <c r="N42" s="142"/>
      <c r="O42" s="142"/>
      <c r="P42" s="142"/>
      <c r="Q42" s="142"/>
    </row>
  </sheetData>
  <mergeCells count="46">
    <mergeCell ref="A9:Q9"/>
    <mergeCell ref="A1:C1"/>
    <mergeCell ref="D1:E1"/>
    <mergeCell ref="P1:Q2"/>
    <mergeCell ref="A4:F4"/>
    <mergeCell ref="G4:Q4"/>
    <mergeCell ref="A5:F5"/>
    <mergeCell ref="G5:Q5"/>
    <mergeCell ref="A6:F6"/>
    <mergeCell ref="G6:Q6"/>
    <mergeCell ref="A7:F7"/>
    <mergeCell ref="G7:Q7"/>
    <mergeCell ref="A8:Q8"/>
    <mergeCell ref="O21:P21"/>
    <mergeCell ref="A10:Q10"/>
    <mergeCell ref="A12:Q12"/>
    <mergeCell ref="A13:N13"/>
    <mergeCell ref="O13:P14"/>
    <mergeCell ref="Q13:Q14"/>
    <mergeCell ref="O15:P15"/>
    <mergeCell ref="O16:P16"/>
    <mergeCell ref="O17:P17"/>
    <mergeCell ref="O18:P18"/>
    <mergeCell ref="O19:P19"/>
    <mergeCell ref="O20:P20"/>
    <mergeCell ref="O33:P33"/>
    <mergeCell ref="O22:P22"/>
    <mergeCell ref="O23:P23"/>
    <mergeCell ref="O24:P24"/>
    <mergeCell ref="O25:P25"/>
    <mergeCell ref="O26:P26"/>
    <mergeCell ref="O27:P27"/>
    <mergeCell ref="O28:P28"/>
    <mergeCell ref="O29:P29"/>
    <mergeCell ref="O30:P30"/>
    <mergeCell ref="O31:P31"/>
    <mergeCell ref="O32:P32"/>
    <mergeCell ref="A40:F40"/>
    <mergeCell ref="G40:Q40"/>
    <mergeCell ref="A41:Q42"/>
    <mergeCell ref="O34:P34"/>
    <mergeCell ref="O35:P35"/>
    <mergeCell ref="O36:P36"/>
    <mergeCell ref="O37:P37"/>
    <mergeCell ref="A38:P38"/>
    <mergeCell ref="A39:Q39"/>
  </mergeCells>
  <pageMargins left="0.7" right="0.7" top="0.75" bottom="0.75" header="0.3" footer="0.3"/>
  <pageSetup paperSize="9" scale="81"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K14"/>
  <sheetViews>
    <sheetView workbookViewId="0">
      <selection activeCell="I22" sqref="I22"/>
    </sheetView>
  </sheetViews>
  <sheetFormatPr baseColWidth="10" defaultRowHeight="15" x14ac:dyDescent="0.25"/>
  <cols>
    <col min="1" max="1" width="5.5703125" style="25" customWidth="1"/>
    <col min="2" max="2" width="15.140625" style="25" customWidth="1"/>
    <col min="3" max="3" width="14.140625" style="25" customWidth="1"/>
    <col min="4" max="4" width="26" style="25" customWidth="1"/>
    <col min="5" max="5" width="8" style="25" customWidth="1"/>
    <col min="6" max="6" width="7.85546875" style="25" customWidth="1"/>
    <col min="7" max="7" width="28.5703125" style="25" customWidth="1"/>
    <col min="8" max="8" width="9.28515625" style="25" customWidth="1"/>
    <col min="9" max="9" width="15.5703125" style="25" customWidth="1"/>
    <col min="10" max="10" width="14.7109375" style="25" customWidth="1"/>
    <col min="11" max="11" width="15.5703125" style="25" customWidth="1"/>
    <col min="12" max="16384" width="11.42578125" style="25"/>
  </cols>
  <sheetData>
    <row r="1" spans="1:11" ht="30.75" thickBot="1" x14ac:dyDescent="0.3">
      <c r="A1" s="139" t="s">
        <v>22</v>
      </c>
      <c r="B1" s="139"/>
      <c r="C1" s="139"/>
      <c r="D1" s="139"/>
      <c r="E1" s="139"/>
      <c r="F1" s="139"/>
      <c r="G1" s="139"/>
      <c r="H1" s="139"/>
      <c r="I1" s="139"/>
      <c r="J1" s="39" t="s">
        <v>23</v>
      </c>
      <c r="K1" s="40"/>
    </row>
    <row r="2" spans="1:11" ht="16.5" thickBot="1" x14ac:dyDescent="0.3">
      <c r="A2" s="41"/>
      <c r="B2" s="42"/>
      <c r="C2" s="42"/>
      <c r="D2" s="43"/>
      <c r="E2" s="43"/>
      <c r="F2" s="43"/>
      <c r="G2" s="43"/>
      <c r="H2" s="43"/>
      <c r="I2" s="43"/>
      <c r="J2" s="43"/>
      <c r="K2" s="44"/>
    </row>
    <row r="3" spans="1:11" ht="16.5" customHeight="1" thickBot="1" x14ac:dyDescent="0.3">
      <c r="A3" s="136" t="s">
        <v>24</v>
      </c>
      <c r="B3" s="136"/>
      <c r="C3" s="136"/>
      <c r="D3" s="110" t="str">
        <f>'SAF 011'!C4</f>
        <v>040 - MINISTERIO DE SALUD</v>
      </c>
      <c r="E3" s="111"/>
      <c r="F3" s="111"/>
      <c r="G3" s="111"/>
      <c r="H3" s="111"/>
      <c r="I3" s="111"/>
      <c r="J3" s="111"/>
      <c r="K3" s="112"/>
    </row>
    <row r="4" spans="1:11" ht="16.5" customHeight="1" thickBot="1" x14ac:dyDescent="0.3">
      <c r="A4" s="137" t="s">
        <v>25</v>
      </c>
      <c r="B4" s="137"/>
      <c r="C4" s="137"/>
      <c r="D4" s="110" t="str">
        <f>'SAF 011'!C5</f>
        <v>011 - DIRECCION PROVINCIAL DE ADMINISTRACION - MINISTERIO DE SALUD</v>
      </c>
      <c r="E4" s="111"/>
      <c r="F4" s="111"/>
      <c r="G4" s="111"/>
      <c r="H4" s="111"/>
      <c r="I4" s="111"/>
      <c r="J4" s="111"/>
      <c r="K4" s="112"/>
    </row>
    <row r="5" spans="1:11" ht="16.5" thickBot="1" x14ac:dyDescent="0.3">
      <c r="A5" s="137" t="s">
        <v>26</v>
      </c>
      <c r="B5" s="137"/>
      <c r="C5" s="137"/>
      <c r="D5" s="110" t="s">
        <v>81</v>
      </c>
      <c r="E5" s="111"/>
      <c r="F5" s="111"/>
      <c r="G5" s="111"/>
      <c r="H5" s="111"/>
      <c r="I5" s="111"/>
      <c r="J5" s="111"/>
      <c r="K5" s="112"/>
    </row>
    <row r="6" spans="1:11" ht="16.5" thickBot="1" x14ac:dyDescent="0.3">
      <c r="A6" s="136" t="s">
        <v>27</v>
      </c>
      <c r="B6" s="136"/>
      <c r="C6" s="136"/>
      <c r="D6" s="110" t="s">
        <v>81</v>
      </c>
      <c r="E6" s="111"/>
      <c r="F6" s="111"/>
      <c r="G6" s="111"/>
      <c r="H6" s="111"/>
      <c r="I6" s="111"/>
      <c r="J6" s="111"/>
      <c r="K6" s="112"/>
    </row>
    <row r="7" spans="1:11" ht="16.5" thickBot="1" x14ac:dyDescent="0.3">
      <c r="A7" s="137" t="s">
        <v>28</v>
      </c>
      <c r="B7" s="137"/>
      <c r="C7" s="137"/>
      <c r="D7" s="110" t="s">
        <v>99</v>
      </c>
      <c r="E7" s="111"/>
      <c r="F7" s="111"/>
      <c r="G7" s="111"/>
      <c r="H7" s="111"/>
      <c r="I7" s="111"/>
      <c r="J7" s="111"/>
      <c r="K7" s="112"/>
    </row>
    <row r="8" spans="1:11" ht="16.5" thickBot="1" x14ac:dyDescent="0.3">
      <c r="A8" s="138" t="s">
        <v>29</v>
      </c>
      <c r="B8" s="138"/>
      <c r="C8" s="138"/>
      <c r="D8" s="113" t="s">
        <v>71</v>
      </c>
      <c r="E8" s="111"/>
      <c r="F8" s="111"/>
      <c r="G8" s="111"/>
      <c r="H8" s="111"/>
      <c r="I8" s="111"/>
      <c r="J8" s="111"/>
      <c r="K8" s="112"/>
    </row>
    <row r="9" spans="1:11" ht="16.5" thickBot="1" x14ac:dyDescent="0.3">
      <c r="A9" s="45"/>
      <c r="B9" s="46"/>
      <c r="C9" s="46"/>
      <c r="D9" s="47"/>
      <c r="E9" s="47"/>
      <c r="F9" s="47"/>
      <c r="G9" s="47"/>
      <c r="H9" s="47"/>
      <c r="I9" s="47"/>
      <c r="J9" s="47"/>
      <c r="K9" s="48"/>
    </row>
    <row r="10" spans="1:11" ht="15.75" thickBot="1" x14ac:dyDescent="0.3">
      <c r="A10" s="135" t="s">
        <v>30</v>
      </c>
      <c r="B10" s="134" t="s">
        <v>31</v>
      </c>
      <c r="C10" s="134" t="s">
        <v>32</v>
      </c>
      <c r="D10" s="134"/>
      <c r="E10" s="134"/>
      <c r="F10" s="134"/>
      <c r="G10" s="134"/>
      <c r="H10" s="134" t="s">
        <v>33</v>
      </c>
      <c r="I10" s="134" t="s">
        <v>34</v>
      </c>
      <c r="J10" s="134" t="s">
        <v>35</v>
      </c>
      <c r="K10" s="132" t="s">
        <v>36</v>
      </c>
    </row>
    <row r="11" spans="1:11" ht="24.75" customHeight="1" thickBot="1" x14ac:dyDescent="0.3">
      <c r="A11" s="135"/>
      <c r="B11" s="134"/>
      <c r="C11" s="134"/>
      <c r="D11" s="134"/>
      <c r="E11" s="134"/>
      <c r="F11" s="134"/>
      <c r="G11" s="134"/>
      <c r="H11" s="134"/>
      <c r="I11" s="134"/>
      <c r="J11" s="134"/>
      <c r="K11" s="132"/>
    </row>
    <row r="12" spans="1:11" ht="54" customHeight="1" x14ac:dyDescent="0.25">
      <c r="A12" s="49">
        <v>1</v>
      </c>
      <c r="B12" s="114" t="str">
        <f>'SAF 011'!B10</f>
        <v>2.1.1-7915.14</v>
      </c>
      <c r="C12" s="133" t="str">
        <f>'SAF 011'!E10</f>
        <v>AGUA POTABLE; TIPO: POTABILIZADA SIN GASIFICAR; PRESENTACION: SEGÚN PLIEGO, MATERIAL ENVASE: SEGÚN PLIEGO, TIPO ENVASE: SEGÚN PLIEGO</v>
      </c>
      <c r="D12" s="133"/>
      <c r="E12" s="133"/>
      <c r="F12" s="133"/>
      <c r="G12" s="133"/>
      <c r="H12" s="50" t="s">
        <v>72</v>
      </c>
      <c r="I12" s="51" t="s">
        <v>107</v>
      </c>
      <c r="J12" s="51">
        <f>'SAF 011'!H10</f>
        <v>600</v>
      </c>
      <c r="K12" s="52" t="e">
        <f>'SAF 011'!#REF!</f>
        <v>#REF!</v>
      </c>
    </row>
    <row r="13" spans="1:11" ht="15.75" x14ac:dyDescent="0.25">
      <c r="A13" s="53"/>
      <c r="B13" s="54"/>
      <c r="C13" s="131"/>
      <c r="D13" s="131"/>
      <c r="E13" s="131"/>
      <c r="F13" s="131"/>
      <c r="G13" s="131"/>
      <c r="H13" s="55"/>
      <c r="I13" s="56"/>
      <c r="J13" s="56"/>
      <c r="K13" s="57"/>
    </row>
    <row r="14" spans="1:11" ht="19.5" thickBot="1" x14ac:dyDescent="0.3">
      <c r="A14" s="128" t="s">
        <v>78</v>
      </c>
      <c r="B14" s="128"/>
      <c r="C14" s="128"/>
      <c r="D14" s="128"/>
      <c r="E14" s="128"/>
      <c r="F14" s="128"/>
      <c r="G14" s="128"/>
      <c r="H14" s="128"/>
      <c r="I14" s="128"/>
      <c r="J14" s="129" t="e">
        <f>+J12*K12</f>
        <v>#REF!</v>
      </c>
      <c r="K14" s="130"/>
    </row>
  </sheetData>
  <mergeCells count="18">
    <mergeCell ref="A7:C7"/>
    <mergeCell ref="A1:I1"/>
    <mergeCell ref="A3:C3"/>
    <mergeCell ref="A4:C4"/>
    <mergeCell ref="A5:C5"/>
    <mergeCell ref="A6:C6"/>
    <mergeCell ref="A8:C8"/>
    <mergeCell ref="A10:A11"/>
    <mergeCell ref="B10:B11"/>
    <mergeCell ref="C10:G11"/>
    <mergeCell ref="H10:H11"/>
    <mergeCell ref="J10:J11"/>
    <mergeCell ref="K10:K11"/>
    <mergeCell ref="C12:G12"/>
    <mergeCell ref="C13:G13"/>
    <mergeCell ref="A14:I14"/>
    <mergeCell ref="J14:K14"/>
    <mergeCell ref="I10:I1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Q42"/>
  <sheetViews>
    <sheetView workbookViewId="0">
      <selection activeCell="A41" sqref="A41:Q42"/>
    </sheetView>
  </sheetViews>
  <sheetFormatPr baseColWidth="10" defaultRowHeight="15" x14ac:dyDescent="0.25"/>
  <cols>
    <col min="1" max="5" width="4.42578125" style="25" customWidth="1"/>
    <col min="6" max="6" width="5.5703125" style="25" customWidth="1"/>
    <col min="7" max="7" width="4" style="25" bestFit="1" customWidth="1"/>
    <col min="8" max="14" width="4.42578125" style="25" customWidth="1"/>
    <col min="15" max="16" width="14.85546875" style="25" customWidth="1"/>
    <col min="17" max="17" width="14.7109375" style="25" customWidth="1"/>
    <col min="18" max="16384" width="11.42578125" style="25"/>
  </cols>
  <sheetData>
    <row r="1" spans="1:17" ht="15.75" thickBot="1" x14ac:dyDescent="0.3">
      <c r="A1" s="157" t="s">
        <v>5</v>
      </c>
      <c r="B1" s="157"/>
      <c r="C1" s="157"/>
      <c r="D1" s="158">
        <v>2022</v>
      </c>
      <c r="E1" s="158"/>
      <c r="F1" s="58"/>
      <c r="G1" s="58"/>
      <c r="H1" s="59"/>
      <c r="I1" s="59"/>
      <c r="J1" s="59"/>
      <c r="K1" s="59"/>
      <c r="L1" s="59"/>
      <c r="M1" s="59"/>
      <c r="N1" s="59"/>
      <c r="O1" s="60"/>
      <c r="P1" s="159" t="s">
        <v>37</v>
      </c>
      <c r="Q1" s="159"/>
    </row>
    <row r="2" spans="1:17" ht="15.75" thickBot="1" x14ac:dyDescent="0.3">
      <c r="A2" s="61"/>
      <c r="B2" s="62"/>
      <c r="C2" s="62"/>
      <c r="D2" s="62"/>
      <c r="E2" s="62"/>
      <c r="F2" s="62"/>
      <c r="G2" s="63"/>
      <c r="H2" s="64"/>
      <c r="I2" s="64"/>
      <c r="J2" s="64"/>
      <c r="K2" s="64"/>
      <c r="L2" s="64"/>
      <c r="M2" s="64"/>
      <c r="N2" s="64"/>
      <c r="O2" s="62"/>
      <c r="P2" s="159"/>
      <c r="Q2" s="159"/>
    </row>
    <row r="3" spans="1:17" ht="15.75" thickBot="1" x14ac:dyDescent="0.3">
      <c r="A3" s="61"/>
      <c r="B3" s="62"/>
      <c r="C3" s="62"/>
      <c r="D3" s="62"/>
      <c r="E3" s="62"/>
      <c r="F3" s="62"/>
      <c r="G3" s="63"/>
      <c r="H3" s="62"/>
      <c r="I3" s="62"/>
      <c r="J3" s="62"/>
      <c r="K3" s="62"/>
      <c r="L3" s="62"/>
      <c r="M3" s="62"/>
      <c r="N3" s="62"/>
      <c r="O3" s="62"/>
      <c r="P3" s="62"/>
      <c r="Q3" s="65"/>
    </row>
    <row r="4" spans="1:17" ht="15.75" thickBot="1" x14ac:dyDescent="0.3">
      <c r="A4" s="160" t="s">
        <v>38</v>
      </c>
      <c r="B4" s="160"/>
      <c r="C4" s="160"/>
      <c r="D4" s="160"/>
      <c r="E4" s="160"/>
      <c r="F4" s="160"/>
      <c r="G4" s="161" t="str">
        <f>'NP DPMIA'!D3</f>
        <v>040 - MINISTERIO DE SALUD</v>
      </c>
      <c r="H4" s="161"/>
      <c r="I4" s="161"/>
      <c r="J4" s="161"/>
      <c r="K4" s="161"/>
      <c r="L4" s="161"/>
      <c r="M4" s="161"/>
      <c r="N4" s="161"/>
      <c r="O4" s="161"/>
      <c r="P4" s="161"/>
      <c r="Q4" s="161"/>
    </row>
    <row r="5" spans="1:17" ht="15.75" thickBot="1" x14ac:dyDescent="0.3">
      <c r="A5" s="162" t="s">
        <v>25</v>
      </c>
      <c r="B5" s="162"/>
      <c r="C5" s="162"/>
      <c r="D5" s="162"/>
      <c r="E5" s="162"/>
      <c r="F5" s="162"/>
      <c r="G5" s="161" t="str">
        <f>'NP DPMIA'!D4</f>
        <v>011 - DIRECCION PROVINCIAL DE ADMINISTRACION - MINISTERIO DE SALUD</v>
      </c>
      <c r="H5" s="161"/>
      <c r="I5" s="161"/>
      <c r="J5" s="161"/>
      <c r="K5" s="161"/>
      <c r="L5" s="161"/>
      <c r="M5" s="161"/>
      <c r="N5" s="161"/>
      <c r="O5" s="161"/>
      <c r="P5" s="161"/>
      <c r="Q5" s="161"/>
    </row>
    <row r="6" spans="1:17" ht="15.75" thickBot="1" x14ac:dyDescent="0.3">
      <c r="A6" s="162" t="s">
        <v>26</v>
      </c>
      <c r="B6" s="162"/>
      <c r="C6" s="162"/>
      <c r="D6" s="162"/>
      <c r="E6" s="162"/>
      <c r="F6" s="162"/>
      <c r="G6" s="161" t="str">
        <f>'NP DPMIA'!D5</f>
        <v>162 - DIRECCION PROVINCIAL MATERNIDAD, INFANCIA Y ADOLESCENCIA</v>
      </c>
      <c r="H6" s="161"/>
      <c r="I6" s="161"/>
      <c r="J6" s="161"/>
      <c r="K6" s="161"/>
      <c r="L6" s="161"/>
      <c r="M6" s="161"/>
      <c r="N6" s="161"/>
      <c r="O6" s="161"/>
      <c r="P6" s="161"/>
      <c r="Q6" s="161"/>
    </row>
    <row r="7" spans="1:17" ht="15.75" thickBot="1" x14ac:dyDescent="0.3">
      <c r="A7" s="162" t="s">
        <v>27</v>
      </c>
      <c r="B7" s="162"/>
      <c r="C7" s="162"/>
      <c r="D7" s="162"/>
      <c r="E7" s="162"/>
      <c r="F7" s="162"/>
      <c r="G7" s="161" t="str">
        <f>'NP DPMIA'!D6</f>
        <v>162 - DIRECCION PROVINCIAL MATERNIDAD, INFANCIA Y ADOLESCENCIA</v>
      </c>
      <c r="H7" s="161"/>
      <c r="I7" s="161"/>
      <c r="J7" s="161"/>
      <c r="K7" s="161"/>
      <c r="L7" s="161"/>
      <c r="M7" s="161"/>
      <c r="N7" s="161"/>
      <c r="O7" s="161"/>
      <c r="P7" s="161"/>
      <c r="Q7" s="161"/>
    </row>
    <row r="8" spans="1:17" ht="15.75" thickBot="1" x14ac:dyDescent="0.3">
      <c r="A8" s="163" t="s">
        <v>39</v>
      </c>
      <c r="B8" s="163"/>
      <c r="C8" s="163"/>
      <c r="D8" s="163"/>
      <c r="E8" s="163"/>
      <c r="F8" s="163"/>
      <c r="G8" s="163"/>
      <c r="H8" s="163"/>
      <c r="I8" s="163"/>
      <c r="J8" s="163"/>
      <c r="K8" s="163"/>
      <c r="L8" s="163"/>
      <c r="M8" s="163"/>
      <c r="N8" s="163"/>
      <c r="O8" s="163"/>
      <c r="P8" s="163"/>
      <c r="Q8" s="163"/>
    </row>
    <row r="9" spans="1:17" ht="27.75" customHeight="1" x14ac:dyDescent="0.25">
      <c r="A9" s="156" t="s">
        <v>40</v>
      </c>
      <c r="B9" s="156"/>
      <c r="C9" s="156"/>
      <c r="D9" s="156"/>
      <c r="E9" s="156"/>
      <c r="F9" s="156"/>
      <c r="G9" s="156"/>
      <c r="H9" s="156"/>
      <c r="I9" s="156"/>
      <c r="J9" s="156"/>
      <c r="K9" s="156"/>
      <c r="L9" s="156"/>
      <c r="M9" s="156"/>
      <c r="N9" s="156"/>
      <c r="O9" s="156"/>
      <c r="P9" s="156"/>
      <c r="Q9" s="156"/>
    </row>
    <row r="10" spans="1:17" ht="57" customHeight="1" x14ac:dyDescent="0.25">
      <c r="A10" s="149" t="s">
        <v>59</v>
      </c>
      <c r="B10" s="149"/>
      <c r="C10" s="149"/>
      <c r="D10" s="149"/>
      <c r="E10" s="149"/>
      <c r="F10" s="149"/>
      <c r="G10" s="149"/>
      <c r="H10" s="149"/>
      <c r="I10" s="149"/>
      <c r="J10" s="149"/>
      <c r="K10" s="149"/>
      <c r="L10" s="149"/>
      <c r="M10" s="149"/>
      <c r="N10" s="149"/>
      <c r="O10" s="149"/>
      <c r="P10" s="149"/>
      <c r="Q10" s="149"/>
    </row>
    <row r="11" spans="1:17" ht="15.75" thickBot="1" x14ac:dyDescent="0.3">
      <c r="A11" s="66"/>
      <c r="B11" s="67"/>
      <c r="C11" s="67"/>
      <c r="D11" s="67"/>
      <c r="E11" s="67"/>
      <c r="F11" s="67"/>
      <c r="G11" s="68"/>
      <c r="H11" s="67"/>
      <c r="I11" s="67"/>
      <c r="J11" s="67"/>
      <c r="K11" s="67"/>
      <c r="L11" s="67"/>
      <c r="M11" s="67"/>
      <c r="N11" s="67"/>
      <c r="O11" s="67"/>
      <c r="P11" s="67"/>
      <c r="Q11" s="69"/>
    </row>
    <row r="12" spans="1:17" ht="15.75" thickBot="1" x14ac:dyDescent="0.3">
      <c r="A12" s="150" t="s">
        <v>41</v>
      </c>
      <c r="B12" s="150"/>
      <c r="C12" s="150"/>
      <c r="D12" s="150"/>
      <c r="E12" s="150"/>
      <c r="F12" s="150"/>
      <c r="G12" s="150"/>
      <c r="H12" s="150"/>
      <c r="I12" s="150"/>
      <c r="J12" s="150"/>
      <c r="K12" s="150"/>
      <c r="L12" s="150"/>
      <c r="M12" s="150"/>
      <c r="N12" s="150"/>
      <c r="O12" s="150"/>
      <c r="P12" s="150"/>
      <c r="Q12" s="150"/>
    </row>
    <row r="13" spans="1:17" ht="15.75" thickBot="1" x14ac:dyDescent="0.3">
      <c r="A13" s="151" t="s">
        <v>42</v>
      </c>
      <c r="B13" s="151"/>
      <c r="C13" s="151"/>
      <c r="D13" s="151"/>
      <c r="E13" s="151"/>
      <c r="F13" s="151"/>
      <c r="G13" s="151"/>
      <c r="H13" s="151"/>
      <c r="I13" s="151"/>
      <c r="J13" s="151"/>
      <c r="K13" s="151"/>
      <c r="L13" s="151"/>
      <c r="M13" s="151"/>
      <c r="N13" s="151"/>
      <c r="O13" s="152" t="s">
        <v>43</v>
      </c>
      <c r="P13" s="152"/>
      <c r="Q13" s="153" t="s">
        <v>44</v>
      </c>
    </row>
    <row r="14" spans="1:17" ht="15.75" thickBot="1" x14ac:dyDescent="0.3">
      <c r="A14" s="70" t="s">
        <v>45</v>
      </c>
      <c r="B14" s="71" t="s">
        <v>46</v>
      </c>
      <c r="C14" s="71" t="s">
        <v>47</v>
      </c>
      <c r="D14" s="71" t="s">
        <v>48</v>
      </c>
      <c r="E14" s="71" t="s">
        <v>49</v>
      </c>
      <c r="F14" s="71" t="s">
        <v>50</v>
      </c>
      <c r="G14" s="72" t="s">
        <v>51</v>
      </c>
      <c r="H14" s="71" t="s">
        <v>52</v>
      </c>
      <c r="I14" s="71" t="s">
        <v>53</v>
      </c>
      <c r="J14" s="71" t="s">
        <v>54</v>
      </c>
      <c r="K14" s="71" t="s">
        <v>54</v>
      </c>
      <c r="L14" s="71" t="s">
        <v>55</v>
      </c>
      <c r="M14" s="73" t="s">
        <v>56</v>
      </c>
      <c r="N14" s="74" t="s">
        <v>57</v>
      </c>
      <c r="O14" s="152"/>
      <c r="P14" s="152"/>
      <c r="Q14" s="153"/>
    </row>
    <row r="15" spans="1:17" x14ac:dyDescent="0.25">
      <c r="A15" s="75">
        <v>20</v>
      </c>
      <c r="B15" s="76"/>
      <c r="C15" s="76"/>
      <c r="D15" s="76">
        <v>1</v>
      </c>
      <c r="E15" s="76"/>
      <c r="F15" s="76">
        <v>4901</v>
      </c>
      <c r="G15" s="76">
        <v>3</v>
      </c>
      <c r="H15" s="76">
        <v>1</v>
      </c>
      <c r="I15" s="76">
        <v>2</v>
      </c>
      <c r="J15" s="76">
        <v>1</v>
      </c>
      <c r="K15" s="76">
        <v>1</v>
      </c>
      <c r="L15" s="76"/>
      <c r="M15" s="77">
        <v>1</v>
      </c>
      <c r="N15" s="76" t="s">
        <v>68</v>
      </c>
      <c r="O15" s="154" t="s">
        <v>69</v>
      </c>
      <c r="P15" s="154"/>
      <c r="Q15" s="78" t="e">
        <f>'NP DPMIA'!J14</f>
        <v>#REF!</v>
      </c>
    </row>
    <row r="16" spans="1:17" x14ac:dyDescent="0.25">
      <c r="A16" s="79"/>
      <c r="B16" s="80"/>
      <c r="C16" s="80"/>
      <c r="D16" s="80"/>
      <c r="E16" s="80"/>
      <c r="F16" s="80"/>
      <c r="G16" s="80"/>
      <c r="H16" s="80"/>
      <c r="I16" s="80"/>
      <c r="J16" s="80"/>
      <c r="K16" s="80"/>
      <c r="L16" s="80"/>
      <c r="M16" s="81"/>
      <c r="N16" s="94"/>
      <c r="O16" s="143"/>
      <c r="P16" s="143"/>
      <c r="Q16" s="83"/>
    </row>
    <row r="17" spans="1:17" x14ac:dyDescent="0.25">
      <c r="A17" s="79"/>
      <c r="B17" s="80"/>
      <c r="C17" s="80"/>
      <c r="D17" s="80"/>
      <c r="E17" s="80"/>
      <c r="F17" s="80"/>
      <c r="G17" s="80"/>
      <c r="H17" s="80"/>
      <c r="I17" s="80"/>
      <c r="J17" s="80"/>
      <c r="K17" s="80"/>
      <c r="L17" s="80"/>
      <c r="M17" s="81"/>
      <c r="N17" s="94"/>
      <c r="O17" s="155"/>
      <c r="P17" s="155"/>
      <c r="Q17" s="83"/>
    </row>
    <row r="18" spans="1:17" x14ac:dyDescent="0.25">
      <c r="A18" s="79"/>
      <c r="B18" s="80"/>
      <c r="C18" s="80"/>
      <c r="D18" s="80"/>
      <c r="E18" s="80"/>
      <c r="F18" s="80"/>
      <c r="G18" s="80"/>
      <c r="H18" s="80"/>
      <c r="I18" s="80"/>
      <c r="J18" s="80"/>
      <c r="K18" s="80"/>
      <c r="L18" s="80"/>
      <c r="M18" s="81"/>
      <c r="N18" s="94"/>
      <c r="O18" s="148"/>
      <c r="P18" s="148"/>
      <c r="Q18" s="83"/>
    </row>
    <row r="19" spans="1:17" x14ac:dyDescent="0.25">
      <c r="A19" s="79"/>
      <c r="B19" s="80"/>
      <c r="C19" s="80"/>
      <c r="D19" s="80"/>
      <c r="E19" s="80"/>
      <c r="F19" s="80"/>
      <c r="G19" s="80"/>
      <c r="H19" s="80"/>
      <c r="I19" s="80"/>
      <c r="J19" s="80"/>
      <c r="K19" s="80"/>
      <c r="L19" s="80"/>
      <c r="M19" s="81"/>
      <c r="N19" s="94"/>
      <c r="O19" s="148"/>
      <c r="P19" s="148"/>
      <c r="Q19" s="83"/>
    </row>
    <row r="20" spans="1:17" x14ac:dyDescent="0.25">
      <c r="A20" s="79"/>
      <c r="B20" s="80"/>
      <c r="C20" s="80"/>
      <c r="D20" s="80"/>
      <c r="E20" s="80"/>
      <c r="F20" s="80"/>
      <c r="G20" s="80"/>
      <c r="H20" s="80"/>
      <c r="I20" s="80"/>
      <c r="J20" s="80"/>
      <c r="K20" s="80"/>
      <c r="L20" s="80"/>
      <c r="M20" s="81"/>
      <c r="N20" s="94"/>
      <c r="O20" s="148"/>
      <c r="P20" s="148"/>
      <c r="Q20" s="83"/>
    </row>
    <row r="21" spans="1:17" x14ac:dyDescent="0.25">
      <c r="A21" s="79"/>
      <c r="B21" s="80"/>
      <c r="C21" s="80"/>
      <c r="D21" s="80"/>
      <c r="E21" s="80"/>
      <c r="F21" s="80"/>
      <c r="G21" s="80"/>
      <c r="H21" s="80"/>
      <c r="I21" s="80"/>
      <c r="J21" s="80"/>
      <c r="K21" s="80"/>
      <c r="L21" s="80"/>
      <c r="M21" s="81"/>
      <c r="N21" s="94"/>
      <c r="O21" s="148"/>
      <c r="P21" s="148"/>
      <c r="Q21" s="83"/>
    </row>
    <row r="22" spans="1:17" x14ac:dyDescent="0.25">
      <c r="A22" s="79"/>
      <c r="B22" s="80"/>
      <c r="C22" s="80"/>
      <c r="D22" s="80"/>
      <c r="E22" s="80"/>
      <c r="F22" s="80"/>
      <c r="G22" s="80"/>
      <c r="H22" s="80"/>
      <c r="I22" s="80"/>
      <c r="J22" s="80"/>
      <c r="K22" s="80"/>
      <c r="L22" s="80"/>
      <c r="M22" s="81"/>
      <c r="N22" s="94"/>
      <c r="O22" s="148"/>
      <c r="P22" s="148"/>
      <c r="Q22" s="83"/>
    </row>
    <row r="23" spans="1:17" x14ac:dyDescent="0.25">
      <c r="A23" s="79"/>
      <c r="B23" s="80"/>
      <c r="C23" s="80"/>
      <c r="D23" s="80"/>
      <c r="E23" s="80"/>
      <c r="F23" s="80"/>
      <c r="G23" s="80"/>
      <c r="H23" s="80"/>
      <c r="I23" s="80"/>
      <c r="J23" s="80"/>
      <c r="K23" s="80"/>
      <c r="L23" s="80"/>
      <c r="M23" s="81"/>
      <c r="N23" s="94"/>
      <c r="O23" s="148"/>
      <c r="P23" s="148"/>
      <c r="Q23" s="83"/>
    </row>
    <row r="24" spans="1:17" x14ac:dyDescent="0.25">
      <c r="A24" s="79"/>
      <c r="B24" s="80"/>
      <c r="C24" s="80"/>
      <c r="D24" s="80"/>
      <c r="E24" s="80"/>
      <c r="F24" s="80"/>
      <c r="G24" s="80"/>
      <c r="H24" s="80"/>
      <c r="I24" s="80"/>
      <c r="J24" s="80"/>
      <c r="K24" s="80"/>
      <c r="L24" s="80"/>
      <c r="M24" s="81"/>
      <c r="N24" s="94"/>
      <c r="O24" s="148"/>
      <c r="P24" s="148"/>
      <c r="Q24" s="83"/>
    </row>
    <row r="25" spans="1:17" x14ac:dyDescent="0.25">
      <c r="A25" s="79"/>
      <c r="B25" s="80"/>
      <c r="C25" s="80"/>
      <c r="D25" s="80"/>
      <c r="E25" s="80"/>
      <c r="F25" s="80"/>
      <c r="G25" s="80"/>
      <c r="H25" s="80"/>
      <c r="I25" s="80"/>
      <c r="J25" s="80"/>
      <c r="K25" s="80"/>
      <c r="L25" s="80"/>
      <c r="M25" s="81"/>
      <c r="N25" s="94"/>
      <c r="O25" s="148"/>
      <c r="P25" s="148"/>
      <c r="Q25" s="83"/>
    </row>
    <row r="26" spans="1:17" x14ac:dyDescent="0.25">
      <c r="A26" s="79"/>
      <c r="B26" s="80"/>
      <c r="C26" s="80"/>
      <c r="D26" s="80"/>
      <c r="E26" s="80"/>
      <c r="F26" s="80"/>
      <c r="G26" s="80"/>
      <c r="H26" s="80"/>
      <c r="I26" s="80"/>
      <c r="J26" s="80"/>
      <c r="K26" s="80"/>
      <c r="L26" s="80"/>
      <c r="M26" s="81"/>
      <c r="N26" s="94"/>
      <c r="O26" s="148"/>
      <c r="P26" s="148"/>
      <c r="Q26" s="83"/>
    </row>
    <row r="27" spans="1:17" x14ac:dyDescent="0.25">
      <c r="A27" s="79"/>
      <c r="B27" s="80"/>
      <c r="C27" s="80"/>
      <c r="D27" s="80"/>
      <c r="E27" s="80"/>
      <c r="F27" s="80"/>
      <c r="G27" s="80"/>
      <c r="H27" s="80"/>
      <c r="I27" s="80"/>
      <c r="J27" s="80"/>
      <c r="K27" s="80"/>
      <c r="L27" s="80"/>
      <c r="M27" s="81"/>
      <c r="N27" s="94"/>
      <c r="O27" s="148"/>
      <c r="P27" s="148"/>
      <c r="Q27" s="83"/>
    </row>
    <row r="28" spans="1:17" x14ac:dyDescent="0.25">
      <c r="A28" s="79"/>
      <c r="B28" s="80"/>
      <c r="C28" s="80"/>
      <c r="D28" s="80"/>
      <c r="E28" s="80"/>
      <c r="F28" s="80"/>
      <c r="G28" s="80"/>
      <c r="H28" s="80"/>
      <c r="I28" s="80"/>
      <c r="J28" s="80"/>
      <c r="K28" s="80"/>
      <c r="L28" s="80"/>
      <c r="M28" s="81"/>
      <c r="N28" s="94"/>
      <c r="O28" s="148"/>
      <c r="P28" s="148"/>
      <c r="Q28" s="83"/>
    </row>
    <row r="29" spans="1:17" x14ac:dyDescent="0.25">
      <c r="A29" s="79"/>
      <c r="B29" s="80"/>
      <c r="C29" s="80"/>
      <c r="D29" s="80"/>
      <c r="E29" s="80"/>
      <c r="F29" s="80"/>
      <c r="G29" s="80"/>
      <c r="H29" s="80"/>
      <c r="I29" s="80"/>
      <c r="J29" s="80"/>
      <c r="K29" s="80"/>
      <c r="L29" s="80"/>
      <c r="M29" s="81"/>
      <c r="N29" s="94"/>
      <c r="O29" s="148"/>
      <c r="P29" s="148"/>
      <c r="Q29" s="83"/>
    </row>
    <row r="30" spans="1:17" x14ac:dyDescent="0.25">
      <c r="A30" s="79"/>
      <c r="B30" s="80"/>
      <c r="C30" s="80"/>
      <c r="D30" s="80"/>
      <c r="E30" s="80"/>
      <c r="F30" s="80"/>
      <c r="G30" s="80"/>
      <c r="H30" s="80"/>
      <c r="I30" s="80"/>
      <c r="J30" s="80"/>
      <c r="K30" s="80"/>
      <c r="L30" s="80"/>
      <c r="M30" s="81"/>
      <c r="N30" s="94"/>
      <c r="O30" s="148"/>
      <c r="P30" s="148"/>
      <c r="Q30" s="83"/>
    </row>
    <row r="31" spans="1:17" x14ac:dyDescent="0.25">
      <c r="A31" s="79"/>
      <c r="B31" s="80"/>
      <c r="C31" s="80"/>
      <c r="D31" s="80"/>
      <c r="E31" s="80"/>
      <c r="F31" s="80"/>
      <c r="G31" s="80"/>
      <c r="H31" s="80"/>
      <c r="I31" s="80"/>
      <c r="J31" s="80"/>
      <c r="K31" s="80"/>
      <c r="L31" s="80"/>
      <c r="M31" s="81"/>
      <c r="N31" s="94"/>
      <c r="O31" s="148"/>
      <c r="P31" s="148"/>
      <c r="Q31" s="83"/>
    </row>
    <row r="32" spans="1:17" x14ac:dyDescent="0.25">
      <c r="A32" s="79"/>
      <c r="B32" s="80"/>
      <c r="C32" s="80"/>
      <c r="D32" s="80"/>
      <c r="E32" s="80"/>
      <c r="F32" s="94"/>
      <c r="G32" s="80"/>
      <c r="H32" s="80"/>
      <c r="I32" s="80"/>
      <c r="J32" s="80"/>
      <c r="K32" s="80"/>
      <c r="L32" s="80"/>
      <c r="M32" s="81"/>
      <c r="N32" s="94"/>
      <c r="O32" s="143"/>
      <c r="P32" s="143"/>
      <c r="Q32" s="83"/>
    </row>
    <row r="33" spans="1:17" x14ac:dyDescent="0.25">
      <c r="A33" s="79"/>
      <c r="B33" s="80"/>
      <c r="C33" s="80"/>
      <c r="D33" s="80"/>
      <c r="E33" s="80"/>
      <c r="F33" s="80"/>
      <c r="G33" s="80"/>
      <c r="H33" s="80"/>
      <c r="I33" s="80"/>
      <c r="J33" s="80"/>
      <c r="K33" s="80"/>
      <c r="L33" s="80"/>
      <c r="M33" s="81"/>
      <c r="N33" s="94"/>
      <c r="O33" s="143"/>
      <c r="P33" s="143"/>
      <c r="Q33" s="83"/>
    </row>
    <row r="34" spans="1:17" x14ac:dyDescent="0.25">
      <c r="A34" s="79"/>
      <c r="B34" s="80"/>
      <c r="C34" s="80"/>
      <c r="D34" s="80"/>
      <c r="E34" s="80"/>
      <c r="F34" s="94"/>
      <c r="G34" s="80"/>
      <c r="H34" s="80"/>
      <c r="I34" s="80"/>
      <c r="J34" s="80"/>
      <c r="K34" s="80"/>
      <c r="L34" s="80"/>
      <c r="M34" s="81"/>
      <c r="N34" s="94"/>
      <c r="O34" s="143"/>
      <c r="P34" s="143"/>
      <c r="Q34" s="83"/>
    </row>
    <row r="35" spans="1:17" x14ac:dyDescent="0.25">
      <c r="A35" s="79"/>
      <c r="B35" s="80"/>
      <c r="C35" s="80"/>
      <c r="D35" s="80"/>
      <c r="E35" s="80"/>
      <c r="F35" s="94"/>
      <c r="G35" s="80"/>
      <c r="H35" s="80"/>
      <c r="I35" s="80"/>
      <c r="J35" s="80"/>
      <c r="K35" s="80"/>
      <c r="L35" s="80"/>
      <c r="M35" s="81"/>
      <c r="N35" s="94"/>
      <c r="O35" s="143"/>
      <c r="P35" s="143"/>
      <c r="Q35" s="83"/>
    </row>
    <row r="36" spans="1:17" x14ac:dyDescent="0.25">
      <c r="A36" s="84"/>
      <c r="B36" s="85"/>
      <c r="C36" s="85"/>
      <c r="D36" s="85"/>
      <c r="E36" s="85"/>
      <c r="F36" s="86"/>
      <c r="G36" s="85"/>
      <c r="H36" s="85"/>
      <c r="I36" s="85"/>
      <c r="J36" s="85"/>
      <c r="K36" s="85"/>
      <c r="L36" s="85"/>
      <c r="M36" s="87"/>
      <c r="N36" s="88"/>
      <c r="O36" s="144"/>
      <c r="P36" s="144"/>
      <c r="Q36" s="83"/>
    </row>
    <row r="37" spans="1:17" ht="15.75" thickBot="1" x14ac:dyDescent="0.3">
      <c r="A37" s="89"/>
      <c r="B37" s="90"/>
      <c r="C37" s="90"/>
      <c r="D37" s="90"/>
      <c r="E37" s="90"/>
      <c r="F37" s="90"/>
      <c r="G37" s="90"/>
      <c r="H37" s="90"/>
      <c r="I37" s="90"/>
      <c r="J37" s="90"/>
      <c r="K37" s="90"/>
      <c r="L37" s="90"/>
      <c r="M37" s="91"/>
      <c r="N37" s="90"/>
      <c r="O37" s="145"/>
      <c r="P37" s="145"/>
      <c r="Q37" s="92"/>
    </row>
    <row r="38" spans="1:17" ht="15.75" thickBot="1" x14ac:dyDescent="0.3">
      <c r="A38" s="146" t="s">
        <v>79</v>
      </c>
      <c r="B38" s="146"/>
      <c r="C38" s="146"/>
      <c r="D38" s="146"/>
      <c r="E38" s="146"/>
      <c r="F38" s="146"/>
      <c r="G38" s="146"/>
      <c r="H38" s="146"/>
      <c r="I38" s="146"/>
      <c r="J38" s="146"/>
      <c r="K38" s="146"/>
      <c r="L38" s="146"/>
      <c r="M38" s="146"/>
      <c r="N38" s="146"/>
      <c r="O38" s="146"/>
      <c r="P38" s="146"/>
      <c r="Q38" s="93" t="e">
        <f>SUM(Q15:Q37)</f>
        <v>#REF!</v>
      </c>
    </row>
    <row r="39" spans="1:17" ht="15.75" thickBot="1" x14ac:dyDescent="0.3">
      <c r="A39" s="147"/>
      <c r="B39" s="147"/>
      <c r="C39" s="147"/>
      <c r="D39" s="147"/>
      <c r="E39" s="147"/>
      <c r="F39" s="147"/>
      <c r="G39" s="147"/>
      <c r="H39" s="147"/>
      <c r="I39" s="147"/>
      <c r="J39" s="147"/>
      <c r="K39" s="147"/>
      <c r="L39" s="147"/>
      <c r="M39" s="147"/>
      <c r="N39" s="147"/>
      <c r="O39" s="147"/>
      <c r="P39" s="147"/>
      <c r="Q39" s="147"/>
    </row>
    <row r="40" spans="1:17" ht="15.75" thickBot="1" x14ac:dyDescent="0.3">
      <c r="A40" s="140" t="s">
        <v>58</v>
      </c>
      <c r="B40" s="140"/>
      <c r="C40" s="140"/>
      <c r="D40" s="140"/>
      <c r="E40" s="140"/>
      <c r="F40" s="140"/>
      <c r="G40" s="141"/>
      <c r="H40" s="141"/>
      <c r="I40" s="141"/>
      <c r="J40" s="141"/>
      <c r="K40" s="141"/>
      <c r="L40" s="141"/>
      <c r="M40" s="141"/>
      <c r="N40" s="141"/>
      <c r="O40" s="141"/>
      <c r="P40" s="141"/>
      <c r="Q40" s="141"/>
    </row>
    <row r="41" spans="1:17" ht="15.75" thickBot="1" x14ac:dyDescent="0.3">
      <c r="A41" s="142" t="str">
        <f>'NP DPMIA'!D8</f>
        <v>ADQ. DEL RUBRO ALIMENTOS PARA PERSONAS (BIDONES DE AGUA)</v>
      </c>
      <c r="B41" s="142"/>
      <c r="C41" s="142"/>
      <c r="D41" s="142"/>
      <c r="E41" s="142"/>
      <c r="F41" s="142"/>
      <c r="G41" s="142"/>
      <c r="H41" s="142"/>
      <c r="I41" s="142"/>
      <c r="J41" s="142"/>
      <c r="K41" s="142"/>
      <c r="L41" s="142"/>
      <c r="M41" s="142"/>
      <c r="N41" s="142"/>
      <c r="O41" s="142"/>
      <c r="P41" s="142"/>
      <c r="Q41" s="142"/>
    </row>
    <row r="42" spans="1:17" ht="15.75" thickBot="1" x14ac:dyDescent="0.3">
      <c r="A42" s="142"/>
      <c r="B42" s="142"/>
      <c r="C42" s="142"/>
      <c r="D42" s="142"/>
      <c r="E42" s="142"/>
      <c r="F42" s="142"/>
      <c r="G42" s="142"/>
      <c r="H42" s="142"/>
      <c r="I42" s="142"/>
      <c r="J42" s="142"/>
      <c r="K42" s="142"/>
      <c r="L42" s="142"/>
      <c r="M42" s="142"/>
      <c r="N42" s="142"/>
      <c r="O42" s="142"/>
      <c r="P42" s="142"/>
      <c r="Q42" s="142"/>
    </row>
  </sheetData>
  <mergeCells count="46">
    <mergeCell ref="A9:Q9"/>
    <mergeCell ref="A1:C1"/>
    <mergeCell ref="D1:E1"/>
    <mergeCell ref="P1:Q2"/>
    <mergeCell ref="A4:F4"/>
    <mergeCell ref="G4:Q4"/>
    <mergeCell ref="A5:F5"/>
    <mergeCell ref="G5:Q5"/>
    <mergeCell ref="A6:F6"/>
    <mergeCell ref="G6:Q6"/>
    <mergeCell ref="A7:F7"/>
    <mergeCell ref="G7:Q7"/>
    <mergeCell ref="A8:Q8"/>
    <mergeCell ref="O21:P21"/>
    <mergeCell ref="A10:Q10"/>
    <mergeCell ref="A12:Q12"/>
    <mergeCell ref="A13:N13"/>
    <mergeCell ref="O13:P14"/>
    <mergeCell ref="Q13:Q14"/>
    <mergeCell ref="O15:P15"/>
    <mergeCell ref="O16:P16"/>
    <mergeCell ref="O17:P17"/>
    <mergeCell ref="O18:P18"/>
    <mergeCell ref="O19:P19"/>
    <mergeCell ref="O20:P20"/>
    <mergeCell ref="O33:P33"/>
    <mergeCell ref="O22:P22"/>
    <mergeCell ref="O23:P23"/>
    <mergeCell ref="O24:P24"/>
    <mergeCell ref="O25:P25"/>
    <mergeCell ref="O26:P26"/>
    <mergeCell ref="O27:P27"/>
    <mergeCell ref="O28:P28"/>
    <mergeCell ref="O29:P29"/>
    <mergeCell ref="O30:P30"/>
    <mergeCell ref="O31:P31"/>
    <mergeCell ref="O32:P32"/>
    <mergeCell ref="A40:F40"/>
    <mergeCell ref="G40:Q40"/>
    <mergeCell ref="A41:Q42"/>
    <mergeCell ref="O34:P34"/>
    <mergeCell ref="O35:P35"/>
    <mergeCell ref="O36:P36"/>
    <mergeCell ref="O37:P37"/>
    <mergeCell ref="A38:P38"/>
    <mergeCell ref="A39:Q39"/>
  </mergeCells>
  <pageMargins left="0.7" right="0.7" top="0.75" bottom="0.75" header="0.3" footer="0.3"/>
  <pageSetup paperSize="9" scale="81"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K14"/>
  <sheetViews>
    <sheetView workbookViewId="0">
      <selection activeCell="J23" sqref="J23"/>
    </sheetView>
  </sheetViews>
  <sheetFormatPr baseColWidth="10" defaultRowHeight="15" x14ac:dyDescent="0.25"/>
  <cols>
    <col min="1" max="1" width="5.5703125" style="25" customWidth="1"/>
    <col min="2" max="2" width="15.140625" style="25" customWidth="1"/>
    <col min="3" max="3" width="14.140625" style="25" customWidth="1"/>
    <col min="4" max="4" width="26" style="25" customWidth="1"/>
    <col min="5" max="5" width="8" style="25" customWidth="1"/>
    <col min="6" max="6" width="7.85546875" style="25" customWidth="1"/>
    <col min="7" max="7" width="28.5703125" style="25" customWidth="1"/>
    <col min="8" max="8" width="9.28515625" style="25" customWidth="1"/>
    <col min="9" max="9" width="15.5703125" style="25" customWidth="1"/>
    <col min="10" max="10" width="14.7109375" style="25" customWidth="1"/>
    <col min="11" max="11" width="15.5703125" style="25" customWidth="1"/>
    <col min="12" max="16384" width="11.42578125" style="25"/>
  </cols>
  <sheetData>
    <row r="1" spans="1:11" ht="30.75" thickBot="1" x14ac:dyDescent="0.3">
      <c r="A1" s="139" t="s">
        <v>22</v>
      </c>
      <c r="B1" s="139"/>
      <c r="C1" s="139"/>
      <c r="D1" s="139"/>
      <c r="E1" s="139"/>
      <c r="F1" s="139"/>
      <c r="G1" s="139"/>
      <c r="H1" s="139"/>
      <c r="I1" s="139"/>
      <c r="J1" s="39" t="s">
        <v>23</v>
      </c>
      <c r="K1" s="40"/>
    </row>
    <row r="2" spans="1:11" ht="16.5" thickBot="1" x14ac:dyDescent="0.3">
      <c r="A2" s="41"/>
      <c r="B2" s="42"/>
      <c r="C2" s="42"/>
      <c r="D2" s="43"/>
      <c r="E2" s="43"/>
      <c r="F2" s="43"/>
      <c r="G2" s="43"/>
      <c r="H2" s="43"/>
      <c r="I2" s="43"/>
      <c r="J2" s="43"/>
      <c r="K2" s="44"/>
    </row>
    <row r="3" spans="1:11" ht="16.5" customHeight="1" thickBot="1" x14ac:dyDescent="0.3">
      <c r="A3" s="136" t="s">
        <v>24</v>
      </c>
      <c r="B3" s="136"/>
      <c r="C3" s="136"/>
      <c r="D3" s="110" t="str">
        <f>'SAF 011'!C4</f>
        <v>040 - MINISTERIO DE SALUD</v>
      </c>
      <c r="E3" s="111"/>
      <c r="F3" s="111"/>
      <c r="G3" s="111"/>
      <c r="H3" s="111"/>
      <c r="I3" s="111"/>
      <c r="J3" s="111"/>
      <c r="K3" s="112"/>
    </row>
    <row r="4" spans="1:11" ht="16.5" customHeight="1" thickBot="1" x14ac:dyDescent="0.3">
      <c r="A4" s="137" t="s">
        <v>25</v>
      </c>
      <c r="B4" s="137"/>
      <c r="C4" s="137"/>
      <c r="D4" s="110" t="str">
        <f>'SAF 011'!C5</f>
        <v>011 - DIRECCION PROVINCIAL DE ADMINISTRACION - MINISTERIO DE SALUD</v>
      </c>
      <c r="E4" s="111"/>
      <c r="F4" s="111"/>
      <c r="G4" s="111"/>
      <c r="H4" s="111"/>
      <c r="I4" s="111"/>
      <c r="J4" s="111"/>
      <c r="K4" s="112"/>
    </row>
    <row r="5" spans="1:11" ht="16.5" thickBot="1" x14ac:dyDescent="0.3">
      <c r="A5" s="137" t="s">
        <v>26</v>
      </c>
      <c r="B5" s="137"/>
      <c r="C5" s="137"/>
      <c r="D5" s="110" t="s">
        <v>82</v>
      </c>
      <c r="E5" s="111"/>
      <c r="F5" s="111"/>
      <c r="G5" s="111"/>
      <c r="H5" s="111"/>
      <c r="I5" s="111"/>
      <c r="J5" s="111"/>
      <c r="K5" s="112"/>
    </row>
    <row r="6" spans="1:11" ht="16.5" thickBot="1" x14ac:dyDescent="0.3">
      <c r="A6" s="136" t="s">
        <v>27</v>
      </c>
      <c r="B6" s="136"/>
      <c r="C6" s="136"/>
      <c r="D6" s="110" t="s">
        <v>82</v>
      </c>
      <c r="E6" s="111"/>
      <c r="F6" s="111"/>
      <c r="G6" s="111"/>
      <c r="H6" s="111"/>
      <c r="I6" s="111"/>
      <c r="J6" s="111"/>
      <c r="K6" s="112"/>
    </row>
    <row r="7" spans="1:11" ht="16.5" thickBot="1" x14ac:dyDescent="0.3">
      <c r="A7" s="137" t="s">
        <v>28</v>
      </c>
      <c r="B7" s="137"/>
      <c r="C7" s="137"/>
      <c r="D7" s="110" t="s">
        <v>99</v>
      </c>
      <c r="E7" s="111"/>
      <c r="F7" s="111"/>
      <c r="G7" s="111"/>
      <c r="H7" s="111"/>
      <c r="I7" s="111"/>
      <c r="J7" s="111"/>
      <c r="K7" s="112"/>
    </row>
    <row r="8" spans="1:11" ht="16.5" thickBot="1" x14ac:dyDescent="0.3">
      <c r="A8" s="138" t="s">
        <v>29</v>
      </c>
      <c r="B8" s="138"/>
      <c r="C8" s="138"/>
      <c r="D8" s="113" t="s">
        <v>71</v>
      </c>
      <c r="E8" s="111"/>
      <c r="F8" s="111"/>
      <c r="G8" s="111"/>
      <c r="H8" s="111"/>
      <c r="I8" s="111"/>
      <c r="J8" s="111"/>
      <c r="K8" s="112"/>
    </row>
    <row r="9" spans="1:11" ht="16.5" thickBot="1" x14ac:dyDescent="0.3">
      <c r="A9" s="45"/>
      <c r="B9" s="46"/>
      <c r="C9" s="46"/>
      <c r="D9" s="47"/>
      <c r="E9" s="47"/>
      <c r="F9" s="47"/>
      <c r="G9" s="47"/>
      <c r="H9" s="47"/>
      <c r="I9" s="47"/>
      <c r="J9" s="47"/>
      <c r="K9" s="48"/>
    </row>
    <row r="10" spans="1:11" ht="15.75" thickBot="1" x14ac:dyDescent="0.3">
      <c r="A10" s="135" t="s">
        <v>30</v>
      </c>
      <c r="B10" s="134" t="s">
        <v>31</v>
      </c>
      <c r="C10" s="134" t="s">
        <v>32</v>
      </c>
      <c r="D10" s="134"/>
      <c r="E10" s="134"/>
      <c r="F10" s="134"/>
      <c r="G10" s="134"/>
      <c r="H10" s="134" t="s">
        <v>33</v>
      </c>
      <c r="I10" s="134" t="s">
        <v>34</v>
      </c>
      <c r="J10" s="134" t="s">
        <v>35</v>
      </c>
      <c r="K10" s="132" t="s">
        <v>36</v>
      </c>
    </row>
    <row r="11" spans="1:11" ht="24.75" customHeight="1" thickBot="1" x14ac:dyDescent="0.3">
      <c r="A11" s="135"/>
      <c r="B11" s="134"/>
      <c r="C11" s="134"/>
      <c r="D11" s="134"/>
      <c r="E11" s="134"/>
      <c r="F11" s="134"/>
      <c r="G11" s="134"/>
      <c r="H11" s="134"/>
      <c r="I11" s="134"/>
      <c r="J11" s="134"/>
      <c r="K11" s="132"/>
    </row>
    <row r="12" spans="1:11" ht="54" customHeight="1" x14ac:dyDescent="0.25">
      <c r="A12" s="49">
        <v>1</v>
      </c>
      <c r="B12" s="114" t="str">
        <f>'SAF 011'!B10</f>
        <v>2.1.1-7915.14</v>
      </c>
      <c r="C12" s="133" t="str">
        <f>'SAF 011'!E10</f>
        <v>AGUA POTABLE; TIPO: POTABILIZADA SIN GASIFICAR; PRESENTACION: SEGÚN PLIEGO, MATERIAL ENVASE: SEGÚN PLIEGO, TIPO ENVASE: SEGÚN PLIEGO</v>
      </c>
      <c r="D12" s="133"/>
      <c r="E12" s="133"/>
      <c r="F12" s="133"/>
      <c r="G12" s="133"/>
      <c r="H12" s="50" t="s">
        <v>72</v>
      </c>
      <c r="I12" s="51" t="s">
        <v>107</v>
      </c>
      <c r="J12" s="51">
        <f>'SAF 011'!H10</f>
        <v>600</v>
      </c>
      <c r="K12" s="52" t="e">
        <f>'SAF 011'!#REF!</f>
        <v>#REF!</v>
      </c>
    </row>
    <row r="13" spans="1:11" ht="15.75" x14ac:dyDescent="0.25">
      <c r="A13" s="53"/>
      <c r="B13" s="54"/>
      <c r="C13" s="131"/>
      <c r="D13" s="131"/>
      <c r="E13" s="131"/>
      <c r="F13" s="131"/>
      <c r="G13" s="131"/>
      <c r="H13" s="55"/>
      <c r="I13" s="56"/>
      <c r="J13" s="56"/>
      <c r="K13" s="57"/>
    </row>
    <row r="14" spans="1:11" ht="19.5" thickBot="1" x14ac:dyDescent="0.3">
      <c r="A14" s="128" t="s">
        <v>80</v>
      </c>
      <c r="B14" s="128"/>
      <c r="C14" s="128"/>
      <c r="D14" s="128"/>
      <c r="E14" s="128"/>
      <c r="F14" s="128"/>
      <c r="G14" s="128"/>
      <c r="H14" s="128"/>
      <c r="I14" s="128"/>
      <c r="J14" s="129" t="e">
        <f>+J12*K12</f>
        <v>#REF!</v>
      </c>
      <c r="K14" s="130"/>
    </row>
  </sheetData>
  <mergeCells count="18">
    <mergeCell ref="A7:C7"/>
    <mergeCell ref="A1:I1"/>
    <mergeCell ref="A3:C3"/>
    <mergeCell ref="A4:C4"/>
    <mergeCell ref="A5:C5"/>
    <mergeCell ref="A6:C6"/>
    <mergeCell ref="A8:C8"/>
    <mergeCell ref="A10:A11"/>
    <mergeCell ref="B10:B11"/>
    <mergeCell ref="C10:G11"/>
    <mergeCell ref="H10:H11"/>
    <mergeCell ref="J10:J11"/>
    <mergeCell ref="K10:K11"/>
    <mergeCell ref="C12:G12"/>
    <mergeCell ref="C13:G13"/>
    <mergeCell ref="A14:I14"/>
    <mergeCell ref="J14:K14"/>
    <mergeCell ref="I10:I1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Q42"/>
  <sheetViews>
    <sheetView topLeftCell="A13" workbookViewId="0">
      <selection activeCell="O24" sqref="O24:P24"/>
    </sheetView>
  </sheetViews>
  <sheetFormatPr baseColWidth="10" defaultRowHeight="15" x14ac:dyDescent="0.25"/>
  <cols>
    <col min="1" max="5" width="4.42578125" style="25" customWidth="1"/>
    <col min="6" max="6" width="5.5703125" style="25" customWidth="1"/>
    <col min="7" max="7" width="4" style="25" bestFit="1" customWidth="1"/>
    <col min="8" max="14" width="4.42578125" style="25" customWidth="1"/>
    <col min="15" max="16" width="14.85546875" style="25" customWidth="1"/>
    <col min="17" max="17" width="14.7109375" style="25" customWidth="1"/>
    <col min="18" max="16384" width="11.42578125" style="25"/>
  </cols>
  <sheetData>
    <row r="1" spans="1:17" ht="15.75" thickBot="1" x14ac:dyDescent="0.3">
      <c r="A1" s="157" t="s">
        <v>5</v>
      </c>
      <c r="B1" s="157"/>
      <c r="C1" s="157"/>
      <c r="D1" s="158">
        <v>2022</v>
      </c>
      <c r="E1" s="158"/>
      <c r="F1" s="58"/>
      <c r="G1" s="58"/>
      <c r="H1" s="59"/>
      <c r="I1" s="59"/>
      <c r="J1" s="59"/>
      <c r="K1" s="59"/>
      <c r="L1" s="59"/>
      <c r="M1" s="59"/>
      <c r="N1" s="59"/>
      <c r="O1" s="60"/>
      <c r="P1" s="159" t="s">
        <v>37</v>
      </c>
      <c r="Q1" s="159"/>
    </row>
    <row r="2" spans="1:17" ht="15.75" thickBot="1" x14ac:dyDescent="0.3">
      <c r="A2" s="61"/>
      <c r="B2" s="62"/>
      <c r="C2" s="62"/>
      <c r="D2" s="62"/>
      <c r="E2" s="62"/>
      <c r="F2" s="62"/>
      <c r="G2" s="63"/>
      <c r="H2" s="64"/>
      <c r="I2" s="64"/>
      <c r="J2" s="64"/>
      <c r="K2" s="64"/>
      <c r="L2" s="64"/>
      <c r="M2" s="64"/>
      <c r="N2" s="64"/>
      <c r="O2" s="62"/>
      <c r="P2" s="159"/>
      <c r="Q2" s="159"/>
    </row>
    <row r="3" spans="1:17" ht="15.75" thickBot="1" x14ac:dyDescent="0.3">
      <c r="A3" s="61"/>
      <c r="B3" s="62"/>
      <c r="C3" s="62"/>
      <c r="D3" s="62"/>
      <c r="E3" s="62"/>
      <c r="F3" s="62"/>
      <c r="G3" s="63"/>
      <c r="H3" s="62"/>
      <c r="I3" s="62"/>
      <c r="J3" s="62"/>
      <c r="K3" s="62"/>
      <c r="L3" s="62"/>
      <c r="M3" s="62"/>
      <c r="N3" s="62"/>
      <c r="O3" s="62"/>
      <c r="P3" s="62"/>
      <c r="Q3" s="65"/>
    </row>
    <row r="4" spans="1:17" ht="15.75" thickBot="1" x14ac:dyDescent="0.3">
      <c r="A4" s="160" t="s">
        <v>38</v>
      </c>
      <c r="B4" s="160"/>
      <c r="C4" s="160"/>
      <c r="D4" s="160"/>
      <c r="E4" s="160"/>
      <c r="F4" s="160"/>
      <c r="G4" s="161" t="str">
        <f>'NP SASP'!D3</f>
        <v>040 - MINISTERIO DE SALUD</v>
      </c>
      <c r="H4" s="161"/>
      <c r="I4" s="161"/>
      <c r="J4" s="161"/>
      <c r="K4" s="161"/>
      <c r="L4" s="161"/>
      <c r="M4" s="161"/>
      <c r="N4" s="161"/>
      <c r="O4" s="161"/>
      <c r="P4" s="161"/>
      <c r="Q4" s="161"/>
    </row>
    <row r="5" spans="1:17" ht="15.75" thickBot="1" x14ac:dyDescent="0.3">
      <c r="A5" s="162" t="s">
        <v>25</v>
      </c>
      <c r="B5" s="162"/>
      <c r="C5" s="162"/>
      <c r="D5" s="162"/>
      <c r="E5" s="162"/>
      <c r="F5" s="162"/>
      <c r="G5" s="161" t="str">
        <f>'NP SASP'!D4</f>
        <v>011 - DIRECCION PROVINCIAL DE ADMINISTRACION - MINISTERIO DE SALUD</v>
      </c>
      <c r="H5" s="161"/>
      <c r="I5" s="161"/>
      <c r="J5" s="161"/>
      <c r="K5" s="161"/>
      <c r="L5" s="161"/>
      <c r="M5" s="161"/>
      <c r="N5" s="161"/>
      <c r="O5" s="161"/>
      <c r="P5" s="161"/>
      <c r="Q5" s="161"/>
    </row>
    <row r="6" spans="1:17" ht="15.75" thickBot="1" x14ac:dyDescent="0.3">
      <c r="A6" s="162" t="s">
        <v>26</v>
      </c>
      <c r="B6" s="162"/>
      <c r="C6" s="162"/>
      <c r="D6" s="162"/>
      <c r="E6" s="162"/>
      <c r="F6" s="162"/>
      <c r="G6" s="161" t="str">
        <f>'NP SASP'!D5</f>
        <v>743 - SECRETARIA DE ASISTENCIA EN SALUD PUBLICA</v>
      </c>
      <c r="H6" s="161"/>
      <c r="I6" s="161"/>
      <c r="J6" s="161"/>
      <c r="K6" s="161"/>
      <c r="L6" s="161"/>
      <c r="M6" s="161"/>
      <c r="N6" s="161"/>
      <c r="O6" s="161"/>
      <c r="P6" s="161"/>
      <c r="Q6" s="161"/>
    </row>
    <row r="7" spans="1:17" ht="15.75" thickBot="1" x14ac:dyDescent="0.3">
      <c r="A7" s="162" t="s">
        <v>27</v>
      </c>
      <c r="B7" s="162"/>
      <c r="C7" s="162"/>
      <c r="D7" s="162"/>
      <c r="E7" s="162"/>
      <c r="F7" s="162"/>
      <c r="G7" s="161" t="str">
        <f>'NP SASP'!D6</f>
        <v>743 - SECRETARIA DE ASISTENCIA EN SALUD PUBLICA</v>
      </c>
      <c r="H7" s="161"/>
      <c r="I7" s="161"/>
      <c r="J7" s="161"/>
      <c r="K7" s="161"/>
      <c r="L7" s="161"/>
      <c r="M7" s="161"/>
      <c r="N7" s="161"/>
      <c r="O7" s="161"/>
      <c r="P7" s="161"/>
      <c r="Q7" s="161"/>
    </row>
    <row r="8" spans="1:17" ht="15.75" thickBot="1" x14ac:dyDescent="0.3">
      <c r="A8" s="163" t="s">
        <v>39</v>
      </c>
      <c r="B8" s="163"/>
      <c r="C8" s="163"/>
      <c r="D8" s="163"/>
      <c r="E8" s="163"/>
      <c r="F8" s="163"/>
      <c r="G8" s="163"/>
      <c r="H8" s="163"/>
      <c r="I8" s="163"/>
      <c r="J8" s="163"/>
      <c r="K8" s="163"/>
      <c r="L8" s="163"/>
      <c r="M8" s="163"/>
      <c r="N8" s="163"/>
      <c r="O8" s="163"/>
      <c r="P8" s="163"/>
      <c r="Q8" s="163"/>
    </row>
    <row r="9" spans="1:17" ht="27.75" customHeight="1" x14ac:dyDescent="0.25">
      <c r="A9" s="156" t="s">
        <v>40</v>
      </c>
      <c r="B9" s="156"/>
      <c r="C9" s="156"/>
      <c r="D9" s="156"/>
      <c r="E9" s="156"/>
      <c r="F9" s="156"/>
      <c r="G9" s="156"/>
      <c r="H9" s="156"/>
      <c r="I9" s="156"/>
      <c r="J9" s="156"/>
      <c r="K9" s="156"/>
      <c r="L9" s="156"/>
      <c r="M9" s="156"/>
      <c r="N9" s="156"/>
      <c r="O9" s="156"/>
      <c r="P9" s="156"/>
      <c r="Q9" s="156"/>
    </row>
    <row r="10" spans="1:17" ht="57" customHeight="1" x14ac:dyDescent="0.25">
      <c r="A10" s="149" t="s">
        <v>59</v>
      </c>
      <c r="B10" s="149"/>
      <c r="C10" s="149"/>
      <c r="D10" s="149"/>
      <c r="E10" s="149"/>
      <c r="F10" s="149"/>
      <c r="G10" s="149"/>
      <c r="H10" s="149"/>
      <c r="I10" s="149"/>
      <c r="J10" s="149"/>
      <c r="K10" s="149"/>
      <c r="L10" s="149"/>
      <c r="M10" s="149"/>
      <c r="N10" s="149"/>
      <c r="O10" s="149"/>
      <c r="P10" s="149"/>
      <c r="Q10" s="149"/>
    </row>
    <row r="11" spans="1:17" ht="15.75" thickBot="1" x14ac:dyDescent="0.3">
      <c r="A11" s="66"/>
      <c r="B11" s="67"/>
      <c r="C11" s="67"/>
      <c r="D11" s="67"/>
      <c r="E11" s="67"/>
      <c r="F11" s="67"/>
      <c r="G11" s="68"/>
      <c r="H11" s="67"/>
      <c r="I11" s="67"/>
      <c r="J11" s="67"/>
      <c r="K11" s="67"/>
      <c r="L11" s="67"/>
      <c r="M11" s="67"/>
      <c r="N11" s="67"/>
      <c r="O11" s="67"/>
      <c r="P11" s="67"/>
      <c r="Q11" s="69"/>
    </row>
    <row r="12" spans="1:17" ht="15.75" thickBot="1" x14ac:dyDescent="0.3">
      <c r="A12" s="150" t="s">
        <v>41</v>
      </c>
      <c r="B12" s="150"/>
      <c r="C12" s="150"/>
      <c r="D12" s="150"/>
      <c r="E12" s="150"/>
      <c r="F12" s="150"/>
      <c r="G12" s="150"/>
      <c r="H12" s="150"/>
      <c r="I12" s="150"/>
      <c r="J12" s="150"/>
      <c r="K12" s="150"/>
      <c r="L12" s="150"/>
      <c r="M12" s="150"/>
      <c r="N12" s="150"/>
      <c r="O12" s="150"/>
      <c r="P12" s="150"/>
      <c r="Q12" s="150"/>
    </row>
    <row r="13" spans="1:17" ht="15.75" thickBot="1" x14ac:dyDescent="0.3">
      <c r="A13" s="151" t="s">
        <v>42</v>
      </c>
      <c r="B13" s="151"/>
      <c r="C13" s="151"/>
      <c r="D13" s="151"/>
      <c r="E13" s="151"/>
      <c r="F13" s="151"/>
      <c r="G13" s="151"/>
      <c r="H13" s="151"/>
      <c r="I13" s="151"/>
      <c r="J13" s="151"/>
      <c r="K13" s="151"/>
      <c r="L13" s="151"/>
      <c r="M13" s="151"/>
      <c r="N13" s="151"/>
      <c r="O13" s="152" t="s">
        <v>43</v>
      </c>
      <c r="P13" s="152"/>
      <c r="Q13" s="153" t="s">
        <v>44</v>
      </c>
    </row>
    <row r="14" spans="1:17" ht="15.75" thickBot="1" x14ac:dyDescent="0.3">
      <c r="A14" s="70" t="s">
        <v>45</v>
      </c>
      <c r="B14" s="71" t="s">
        <v>46</v>
      </c>
      <c r="C14" s="71" t="s">
        <v>47</v>
      </c>
      <c r="D14" s="71" t="s">
        <v>48</v>
      </c>
      <c r="E14" s="71" t="s">
        <v>49</v>
      </c>
      <c r="F14" s="71" t="s">
        <v>50</v>
      </c>
      <c r="G14" s="72" t="s">
        <v>51</v>
      </c>
      <c r="H14" s="71" t="s">
        <v>52</v>
      </c>
      <c r="I14" s="71" t="s">
        <v>53</v>
      </c>
      <c r="J14" s="71" t="s">
        <v>54</v>
      </c>
      <c r="K14" s="71" t="s">
        <v>54</v>
      </c>
      <c r="L14" s="71" t="s">
        <v>55</v>
      </c>
      <c r="M14" s="73" t="s">
        <v>56</v>
      </c>
      <c r="N14" s="74" t="s">
        <v>57</v>
      </c>
      <c r="O14" s="152"/>
      <c r="P14" s="152"/>
      <c r="Q14" s="153"/>
    </row>
    <row r="15" spans="1:17" x14ac:dyDescent="0.25">
      <c r="A15" s="75">
        <v>3</v>
      </c>
      <c r="B15" s="76"/>
      <c r="C15" s="76"/>
      <c r="D15" s="76">
        <v>1</v>
      </c>
      <c r="E15" s="76"/>
      <c r="F15" s="76">
        <v>4901</v>
      </c>
      <c r="G15" s="76">
        <v>1</v>
      </c>
      <c r="H15" s="76">
        <v>3</v>
      </c>
      <c r="I15" s="76">
        <v>2</v>
      </c>
      <c r="J15" s="76">
        <v>1</v>
      </c>
      <c r="K15" s="76">
        <v>1</v>
      </c>
      <c r="L15" s="76"/>
      <c r="M15" s="77">
        <v>1</v>
      </c>
      <c r="N15" s="76" t="s">
        <v>68</v>
      </c>
      <c r="O15" s="154" t="s">
        <v>69</v>
      </c>
      <c r="P15" s="154"/>
      <c r="Q15" s="78" t="e">
        <f>'NP SASP'!J14</f>
        <v>#REF!</v>
      </c>
    </row>
    <row r="16" spans="1:17" x14ac:dyDescent="0.25">
      <c r="A16" s="79"/>
      <c r="B16" s="80"/>
      <c r="C16" s="80"/>
      <c r="D16" s="80"/>
      <c r="E16" s="80"/>
      <c r="F16" s="80"/>
      <c r="G16" s="80"/>
      <c r="H16" s="80"/>
      <c r="I16" s="80"/>
      <c r="J16" s="80"/>
      <c r="K16" s="80"/>
      <c r="L16" s="80"/>
      <c r="M16" s="81"/>
      <c r="N16" s="94"/>
      <c r="O16" s="143"/>
      <c r="P16" s="143"/>
      <c r="Q16" s="83"/>
    </row>
    <row r="17" spans="1:17" x14ac:dyDescent="0.25">
      <c r="A17" s="79"/>
      <c r="B17" s="80"/>
      <c r="C17" s="80"/>
      <c r="D17" s="80"/>
      <c r="E17" s="80"/>
      <c r="F17" s="80"/>
      <c r="G17" s="80"/>
      <c r="H17" s="80"/>
      <c r="I17" s="80"/>
      <c r="J17" s="80"/>
      <c r="K17" s="80"/>
      <c r="L17" s="80"/>
      <c r="M17" s="81"/>
      <c r="N17" s="94"/>
      <c r="O17" s="155"/>
      <c r="P17" s="155"/>
      <c r="Q17" s="83"/>
    </row>
    <row r="18" spans="1:17" x14ac:dyDescent="0.25">
      <c r="A18" s="79"/>
      <c r="B18" s="80"/>
      <c r="C18" s="80"/>
      <c r="D18" s="80"/>
      <c r="E18" s="80"/>
      <c r="F18" s="80"/>
      <c r="G18" s="80"/>
      <c r="H18" s="80"/>
      <c r="I18" s="80"/>
      <c r="J18" s="80"/>
      <c r="K18" s="80"/>
      <c r="L18" s="80"/>
      <c r="M18" s="81"/>
      <c r="N18" s="94"/>
      <c r="O18" s="148"/>
      <c r="P18" s="148"/>
      <c r="Q18" s="83"/>
    </row>
    <row r="19" spans="1:17" x14ac:dyDescent="0.25">
      <c r="A19" s="79"/>
      <c r="B19" s="80"/>
      <c r="C19" s="80"/>
      <c r="D19" s="80"/>
      <c r="E19" s="80"/>
      <c r="F19" s="80"/>
      <c r="G19" s="80"/>
      <c r="H19" s="80"/>
      <c r="I19" s="80"/>
      <c r="J19" s="80"/>
      <c r="K19" s="80"/>
      <c r="L19" s="80"/>
      <c r="M19" s="81"/>
      <c r="N19" s="94"/>
      <c r="O19" s="148"/>
      <c r="P19" s="148"/>
      <c r="Q19" s="83"/>
    </row>
    <row r="20" spans="1:17" x14ac:dyDescent="0.25">
      <c r="A20" s="79"/>
      <c r="B20" s="80"/>
      <c r="C20" s="80"/>
      <c r="D20" s="80"/>
      <c r="E20" s="80"/>
      <c r="F20" s="80"/>
      <c r="G20" s="80"/>
      <c r="H20" s="80"/>
      <c r="I20" s="80"/>
      <c r="J20" s="80"/>
      <c r="K20" s="80"/>
      <c r="L20" s="80"/>
      <c r="M20" s="81"/>
      <c r="N20" s="94"/>
      <c r="O20" s="148"/>
      <c r="P20" s="148"/>
      <c r="Q20" s="83"/>
    </row>
    <row r="21" spans="1:17" x14ac:dyDescent="0.25">
      <c r="A21" s="79"/>
      <c r="B21" s="80"/>
      <c r="C21" s="80"/>
      <c r="D21" s="80"/>
      <c r="E21" s="80"/>
      <c r="F21" s="80"/>
      <c r="G21" s="80"/>
      <c r="H21" s="80"/>
      <c r="I21" s="80"/>
      <c r="J21" s="80"/>
      <c r="K21" s="80"/>
      <c r="L21" s="80"/>
      <c r="M21" s="81"/>
      <c r="N21" s="94"/>
      <c r="O21" s="148"/>
      <c r="P21" s="148"/>
      <c r="Q21" s="83"/>
    </row>
    <row r="22" spans="1:17" x14ac:dyDescent="0.25">
      <c r="A22" s="79"/>
      <c r="B22" s="80"/>
      <c r="C22" s="80"/>
      <c r="D22" s="80"/>
      <c r="E22" s="80"/>
      <c r="F22" s="80"/>
      <c r="G22" s="80"/>
      <c r="H22" s="80"/>
      <c r="I22" s="80"/>
      <c r="J22" s="80"/>
      <c r="K22" s="80"/>
      <c r="L22" s="80"/>
      <c r="M22" s="81"/>
      <c r="N22" s="94"/>
      <c r="O22" s="148"/>
      <c r="P22" s="148"/>
      <c r="Q22" s="83"/>
    </row>
    <row r="23" spans="1:17" x14ac:dyDescent="0.25">
      <c r="A23" s="79"/>
      <c r="B23" s="80"/>
      <c r="C23" s="80"/>
      <c r="D23" s="80"/>
      <c r="E23" s="80"/>
      <c r="F23" s="80"/>
      <c r="G23" s="80"/>
      <c r="H23" s="80"/>
      <c r="I23" s="80"/>
      <c r="J23" s="80"/>
      <c r="K23" s="80"/>
      <c r="L23" s="80"/>
      <c r="M23" s="81"/>
      <c r="N23" s="94"/>
      <c r="O23" s="148"/>
      <c r="P23" s="148"/>
      <c r="Q23" s="83"/>
    </row>
    <row r="24" spans="1:17" x14ac:dyDescent="0.25">
      <c r="A24" s="79"/>
      <c r="B24" s="80"/>
      <c r="C24" s="80"/>
      <c r="D24" s="80"/>
      <c r="E24" s="80"/>
      <c r="F24" s="80"/>
      <c r="G24" s="80"/>
      <c r="H24" s="80"/>
      <c r="I24" s="80"/>
      <c r="J24" s="80"/>
      <c r="K24" s="80"/>
      <c r="L24" s="80"/>
      <c r="M24" s="81"/>
      <c r="N24" s="94"/>
      <c r="O24" s="148"/>
      <c r="P24" s="148"/>
      <c r="Q24" s="83"/>
    </row>
    <row r="25" spans="1:17" x14ac:dyDescent="0.25">
      <c r="A25" s="79"/>
      <c r="B25" s="80"/>
      <c r="C25" s="80"/>
      <c r="D25" s="80"/>
      <c r="E25" s="80"/>
      <c r="F25" s="80"/>
      <c r="G25" s="80"/>
      <c r="H25" s="80"/>
      <c r="I25" s="80"/>
      <c r="J25" s="80"/>
      <c r="K25" s="80"/>
      <c r="L25" s="80"/>
      <c r="M25" s="81"/>
      <c r="N25" s="94"/>
      <c r="O25" s="148"/>
      <c r="P25" s="148"/>
      <c r="Q25" s="83"/>
    </row>
    <row r="26" spans="1:17" x14ac:dyDescent="0.25">
      <c r="A26" s="79"/>
      <c r="B26" s="80"/>
      <c r="C26" s="80"/>
      <c r="D26" s="80"/>
      <c r="E26" s="80"/>
      <c r="F26" s="80"/>
      <c r="G26" s="80"/>
      <c r="H26" s="80"/>
      <c r="I26" s="80"/>
      <c r="J26" s="80"/>
      <c r="K26" s="80"/>
      <c r="L26" s="80"/>
      <c r="M26" s="81"/>
      <c r="N26" s="94"/>
      <c r="O26" s="148"/>
      <c r="P26" s="148"/>
      <c r="Q26" s="83"/>
    </row>
    <row r="27" spans="1:17" x14ac:dyDescent="0.25">
      <c r="A27" s="79"/>
      <c r="B27" s="80"/>
      <c r="C27" s="80"/>
      <c r="D27" s="80"/>
      <c r="E27" s="80"/>
      <c r="F27" s="80"/>
      <c r="G27" s="80"/>
      <c r="H27" s="80"/>
      <c r="I27" s="80"/>
      <c r="J27" s="80"/>
      <c r="K27" s="80"/>
      <c r="L27" s="80"/>
      <c r="M27" s="81"/>
      <c r="N27" s="94"/>
      <c r="O27" s="148"/>
      <c r="P27" s="148"/>
      <c r="Q27" s="83"/>
    </row>
    <row r="28" spans="1:17" x14ac:dyDescent="0.25">
      <c r="A28" s="79"/>
      <c r="B28" s="80"/>
      <c r="C28" s="80"/>
      <c r="D28" s="80"/>
      <c r="E28" s="80"/>
      <c r="F28" s="80"/>
      <c r="G28" s="80"/>
      <c r="H28" s="80"/>
      <c r="I28" s="80"/>
      <c r="J28" s="80"/>
      <c r="K28" s="80"/>
      <c r="L28" s="80"/>
      <c r="M28" s="81"/>
      <c r="N28" s="94"/>
      <c r="O28" s="148"/>
      <c r="P28" s="148"/>
      <c r="Q28" s="83"/>
    </row>
    <row r="29" spans="1:17" x14ac:dyDescent="0.25">
      <c r="A29" s="79"/>
      <c r="B29" s="80"/>
      <c r="C29" s="80"/>
      <c r="D29" s="80"/>
      <c r="E29" s="80"/>
      <c r="F29" s="80"/>
      <c r="G29" s="80"/>
      <c r="H29" s="80"/>
      <c r="I29" s="80"/>
      <c r="J29" s="80"/>
      <c r="K29" s="80"/>
      <c r="L29" s="80"/>
      <c r="M29" s="81"/>
      <c r="N29" s="94"/>
      <c r="O29" s="148"/>
      <c r="P29" s="148"/>
      <c r="Q29" s="83"/>
    </row>
    <row r="30" spans="1:17" x14ac:dyDescent="0.25">
      <c r="A30" s="79"/>
      <c r="B30" s="80"/>
      <c r="C30" s="80"/>
      <c r="D30" s="80"/>
      <c r="E30" s="80"/>
      <c r="F30" s="80"/>
      <c r="G30" s="80"/>
      <c r="H30" s="80"/>
      <c r="I30" s="80"/>
      <c r="J30" s="80"/>
      <c r="K30" s="80"/>
      <c r="L30" s="80"/>
      <c r="M30" s="81"/>
      <c r="N30" s="94"/>
      <c r="O30" s="148"/>
      <c r="P30" s="148"/>
      <c r="Q30" s="83"/>
    </row>
    <row r="31" spans="1:17" x14ac:dyDescent="0.25">
      <c r="A31" s="79"/>
      <c r="B31" s="80"/>
      <c r="C31" s="80"/>
      <c r="D31" s="80"/>
      <c r="E31" s="80"/>
      <c r="F31" s="80"/>
      <c r="G31" s="80"/>
      <c r="H31" s="80"/>
      <c r="I31" s="80"/>
      <c r="J31" s="80"/>
      <c r="K31" s="80"/>
      <c r="L31" s="80"/>
      <c r="M31" s="81"/>
      <c r="N31" s="94"/>
      <c r="O31" s="148"/>
      <c r="P31" s="148"/>
      <c r="Q31" s="83"/>
    </row>
    <row r="32" spans="1:17" x14ac:dyDescent="0.25">
      <c r="A32" s="79"/>
      <c r="B32" s="80"/>
      <c r="C32" s="80"/>
      <c r="D32" s="80"/>
      <c r="E32" s="80"/>
      <c r="F32" s="94"/>
      <c r="G32" s="80"/>
      <c r="H32" s="80"/>
      <c r="I32" s="80"/>
      <c r="J32" s="80"/>
      <c r="K32" s="80"/>
      <c r="L32" s="80"/>
      <c r="M32" s="81"/>
      <c r="N32" s="94"/>
      <c r="O32" s="143"/>
      <c r="P32" s="143"/>
      <c r="Q32" s="83"/>
    </row>
    <row r="33" spans="1:17" x14ac:dyDescent="0.25">
      <c r="A33" s="79"/>
      <c r="B33" s="80"/>
      <c r="C33" s="80"/>
      <c r="D33" s="80"/>
      <c r="E33" s="80"/>
      <c r="F33" s="80"/>
      <c r="G33" s="80"/>
      <c r="H33" s="80"/>
      <c r="I33" s="80"/>
      <c r="J33" s="80"/>
      <c r="K33" s="80"/>
      <c r="L33" s="80"/>
      <c r="M33" s="81"/>
      <c r="N33" s="94"/>
      <c r="O33" s="143"/>
      <c r="P33" s="143"/>
      <c r="Q33" s="83"/>
    </row>
    <row r="34" spans="1:17" x14ac:dyDescent="0.25">
      <c r="A34" s="79"/>
      <c r="B34" s="80"/>
      <c r="C34" s="80"/>
      <c r="D34" s="80"/>
      <c r="E34" s="80"/>
      <c r="F34" s="94"/>
      <c r="G34" s="80"/>
      <c r="H34" s="80"/>
      <c r="I34" s="80"/>
      <c r="J34" s="80"/>
      <c r="K34" s="80"/>
      <c r="L34" s="80"/>
      <c r="M34" s="81"/>
      <c r="N34" s="94"/>
      <c r="O34" s="143"/>
      <c r="P34" s="143"/>
      <c r="Q34" s="83"/>
    </row>
    <row r="35" spans="1:17" x14ac:dyDescent="0.25">
      <c r="A35" s="79"/>
      <c r="B35" s="80"/>
      <c r="C35" s="80"/>
      <c r="D35" s="80"/>
      <c r="E35" s="80"/>
      <c r="F35" s="94"/>
      <c r="G35" s="80"/>
      <c r="H35" s="80"/>
      <c r="I35" s="80"/>
      <c r="J35" s="80"/>
      <c r="K35" s="80"/>
      <c r="L35" s="80"/>
      <c r="M35" s="81"/>
      <c r="N35" s="94"/>
      <c r="O35" s="143"/>
      <c r="P35" s="143"/>
      <c r="Q35" s="83"/>
    </row>
    <row r="36" spans="1:17" x14ac:dyDescent="0.25">
      <c r="A36" s="84"/>
      <c r="B36" s="85"/>
      <c r="C36" s="85"/>
      <c r="D36" s="85"/>
      <c r="E36" s="85"/>
      <c r="F36" s="86"/>
      <c r="G36" s="85"/>
      <c r="H36" s="85"/>
      <c r="I36" s="85"/>
      <c r="J36" s="85"/>
      <c r="K36" s="85"/>
      <c r="L36" s="85"/>
      <c r="M36" s="87"/>
      <c r="N36" s="88"/>
      <c r="O36" s="144"/>
      <c r="P36" s="144"/>
      <c r="Q36" s="83"/>
    </row>
    <row r="37" spans="1:17" ht="15.75" thickBot="1" x14ac:dyDescent="0.3">
      <c r="A37" s="89"/>
      <c r="B37" s="90"/>
      <c r="C37" s="90"/>
      <c r="D37" s="90"/>
      <c r="E37" s="90"/>
      <c r="F37" s="90"/>
      <c r="G37" s="90"/>
      <c r="H37" s="90"/>
      <c r="I37" s="90"/>
      <c r="J37" s="90"/>
      <c r="K37" s="90"/>
      <c r="L37" s="90"/>
      <c r="M37" s="91"/>
      <c r="N37" s="90"/>
      <c r="O37" s="145"/>
      <c r="P37" s="145"/>
      <c r="Q37" s="92"/>
    </row>
    <row r="38" spans="1:17" ht="15.75" thickBot="1" x14ac:dyDescent="0.3">
      <c r="A38" s="146" t="s">
        <v>83</v>
      </c>
      <c r="B38" s="146"/>
      <c r="C38" s="146"/>
      <c r="D38" s="146"/>
      <c r="E38" s="146"/>
      <c r="F38" s="146"/>
      <c r="G38" s="146"/>
      <c r="H38" s="146"/>
      <c r="I38" s="146"/>
      <c r="J38" s="146"/>
      <c r="K38" s="146"/>
      <c r="L38" s="146"/>
      <c r="M38" s="146"/>
      <c r="N38" s="146"/>
      <c r="O38" s="146"/>
      <c r="P38" s="146"/>
      <c r="Q38" s="93" t="e">
        <f>SUM(Q15:Q37)</f>
        <v>#REF!</v>
      </c>
    </row>
    <row r="39" spans="1:17" ht="15.75" thickBot="1" x14ac:dyDescent="0.3">
      <c r="A39" s="147"/>
      <c r="B39" s="147"/>
      <c r="C39" s="147"/>
      <c r="D39" s="147"/>
      <c r="E39" s="147"/>
      <c r="F39" s="147"/>
      <c r="G39" s="147"/>
      <c r="H39" s="147"/>
      <c r="I39" s="147"/>
      <c r="J39" s="147"/>
      <c r="K39" s="147"/>
      <c r="L39" s="147"/>
      <c r="M39" s="147"/>
      <c r="N39" s="147"/>
      <c r="O39" s="147"/>
      <c r="P39" s="147"/>
      <c r="Q39" s="147"/>
    </row>
    <row r="40" spans="1:17" ht="15.75" thickBot="1" x14ac:dyDescent="0.3">
      <c r="A40" s="140" t="s">
        <v>58</v>
      </c>
      <c r="B40" s="140"/>
      <c r="C40" s="140"/>
      <c r="D40" s="140"/>
      <c r="E40" s="140"/>
      <c r="F40" s="140"/>
      <c r="G40" s="141"/>
      <c r="H40" s="141"/>
      <c r="I40" s="141"/>
      <c r="J40" s="141"/>
      <c r="K40" s="141"/>
      <c r="L40" s="141"/>
      <c r="M40" s="141"/>
      <c r="N40" s="141"/>
      <c r="O40" s="141"/>
      <c r="P40" s="141"/>
      <c r="Q40" s="141"/>
    </row>
    <row r="41" spans="1:17" ht="15.75" thickBot="1" x14ac:dyDescent="0.3">
      <c r="A41" s="142" t="str">
        <f>'NP SASP'!D8</f>
        <v>ADQ. DEL RUBRO ALIMENTOS PARA PERSONAS (BIDONES DE AGUA)</v>
      </c>
      <c r="B41" s="142"/>
      <c r="C41" s="142"/>
      <c r="D41" s="142"/>
      <c r="E41" s="142"/>
      <c r="F41" s="142"/>
      <c r="G41" s="142"/>
      <c r="H41" s="142"/>
      <c r="I41" s="142"/>
      <c r="J41" s="142"/>
      <c r="K41" s="142"/>
      <c r="L41" s="142"/>
      <c r="M41" s="142"/>
      <c r="N41" s="142"/>
      <c r="O41" s="142"/>
      <c r="P41" s="142"/>
      <c r="Q41" s="142"/>
    </row>
    <row r="42" spans="1:17" ht="15.75" thickBot="1" x14ac:dyDescent="0.3">
      <c r="A42" s="142"/>
      <c r="B42" s="142"/>
      <c r="C42" s="142"/>
      <c r="D42" s="142"/>
      <c r="E42" s="142"/>
      <c r="F42" s="142"/>
      <c r="G42" s="142"/>
      <c r="H42" s="142"/>
      <c r="I42" s="142"/>
      <c r="J42" s="142"/>
      <c r="K42" s="142"/>
      <c r="L42" s="142"/>
      <c r="M42" s="142"/>
      <c r="N42" s="142"/>
      <c r="O42" s="142"/>
      <c r="P42" s="142"/>
      <c r="Q42" s="142"/>
    </row>
  </sheetData>
  <mergeCells count="46">
    <mergeCell ref="A9:Q9"/>
    <mergeCell ref="A1:C1"/>
    <mergeCell ref="D1:E1"/>
    <mergeCell ref="P1:Q2"/>
    <mergeCell ref="A4:F4"/>
    <mergeCell ref="G4:Q4"/>
    <mergeCell ref="A5:F5"/>
    <mergeCell ref="G5:Q5"/>
    <mergeCell ref="A6:F6"/>
    <mergeCell ref="G6:Q6"/>
    <mergeCell ref="A7:F7"/>
    <mergeCell ref="G7:Q7"/>
    <mergeCell ref="A8:Q8"/>
    <mergeCell ref="O21:P21"/>
    <mergeCell ref="A10:Q10"/>
    <mergeCell ref="A12:Q12"/>
    <mergeCell ref="A13:N13"/>
    <mergeCell ref="O13:P14"/>
    <mergeCell ref="Q13:Q14"/>
    <mergeCell ref="O15:P15"/>
    <mergeCell ref="O16:P16"/>
    <mergeCell ref="O17:P17"/>
    <mergeCell ref="O18:P18"/>
    <mergeCell ref="O19:P19"/>
    <mergeCell ref="O20:P20"/>
    <mergeCell ref="O33:P33"/>
    <mergeCell ref="O22:P22"/>
    <mergeCell ref="O23:P23"/>
    <mergeCell ref="O24:P24"/>
    <mergeCell ref="O25:P25"/>
    <mergeCell ref="O26:P26"/>
    <mergeCell ref="O27:P27"/>
    <mergeCell ref="O28:P28"/>
    <mergeCell ref="O29:P29"/>
    <mergeCell ref="O30:P30"/>
    <mergeCell ref="O31:P31"/>
    <mergeCell ref="O32:P32"/>
    <mergeCell ref="A40:F40"/>
    <mergeCell ref="G40:Q40"/>
    <mergeCell ref="A41:Q42"/>
    <mergeCell ref="O34:P34"/>
    <mergeCell ref="O35:P35"/>
    <mergeCell ref="O36:P36"/>
    <mergeCell ref="O37:P37"/>
    <mergeCell ref="A38:P38"/>
    <mergeCell ref="A39:Q39"/>
  </mergeCells>
  <pageMargins left="0.7" right="0.7" top="0.75" bottom="0.75" header="0.3" footer="0.3"/>
  <pageSetup paperSize="9" scale="81"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K14"/>
  <sheetViews>
    <sheetView workbookViewId="0">
      <selection activeCell="G20" sqref="G20"/>
    </sheetView>
  </sheetViews>
  <sheetFormatPr baseColWidth="10" defaultRowHeight="15" x14ac:dyDescent="0.25"/>
  <cols>
    <col min="1" max="1" width="5.5703125" style="25" customWidth="1"/>
    <col min="2" max="2" width="15.140625" style="25" customWidth="1"/>
    <col min="3" max="3" width="14.140625" style="25" customWidth="1"/>
    <col min="4" max="4" width="26" style="25" customWidth="1"/>
    <col min="5" max="5" width="8" style="25" customWidth="1"/>
    <col min="6" max="6" width="7.85546875" style="25" customWidth="1"/>
    <col min="7" max="7" width="28.5703125" style="25" customWidth="1"/>
    <col min="8" max="8" width="9.28515625" style="25" customWidth="1"/>
    <col min="9" max="9" width="15.5703125" style="25" customWidth="1"/>
    <col min="10" max="10" width="14.7109375" style="25" customWidth="1"/>
    <col min="11" max="11" width="15.5703125" style="25" customWidth="1"/>
    <col min="12" max="16384" width="11.42578125" style="25"/>
  </cols>
  <sheetData>
    <row r="1" spans="1:11" ht="30.75" thickBot="1" x14ac:dyDescent="0.3">
      <c r="A1" s="139" t="s">
        <v>22</v>
      </c>
      <c r="B1" s="139"/>
      <c r="C1" s="139"/>
      <c r="D1" s="139"/>
      <c r="E1" s="139"/>
      <c r="F1" s="139"/>
      <c r="G1" s="139"/>
      <c r="H1" s="139"/>
      <c r="I1" s="139"/>
      <c r="J1" s="39" t="s">
        <v>23</v>
      </c>
      <c r="K1" s="40"/>
    </row>
    <row r="2" spans="1:11" ht="16.5" thickBot="1" x14ac:dyDescent="0.3">
      <c r="A2" s="41"/>
      <c r="B2" s="42"/>
      <c r="C2" s="42"/>
      <c r="D2" s="43"/>
      <c r="E2" s="43"/>
      <c r="F2" s="43"/>
      <c r="G2" s="43"/>
      <c r="H2" s="43"/>
      <c r="I2" s="43"/>
      <c r="J2" s="43"/>
      <c r="K2" s="44"/>
    </row>
    <row r="3" spans="1:11" ht="16.5" customHeight="1" thickBot="1" x14ac:dyDescent="0.3">
      <c r="A3" s="136" t="s">
        <v>24</v>
      </c>
      <c r="B3" s="136"/>
      <c r="C3" s="136"/>
      <c r="D3" s="110" t="str">
        <f>'SAF 011'!C4</f>
        <v>040 - MINISTERIO DE SALUD</v>
      </c>
      <c r="E3" s="111"/>
      <c r="F3" s="111"/>
      <c r="G3" s="111"/>
      <c r="H3" s="111"/>
      <c r="I3" s="111"/>
      <c r="J3" s="111"/>
      <c r="K3" s="112"/>
    </row>
    <row r="4" spans="1:11" ht="16.5" customHeight="1" thickBot="1" x14ac:dyDescent="0.3">
      <c r="A4" s="137" t="s">
        <v>25</v>
      </c>
      <c r="B4" s="137"/>
      <c r="C4" s="137"/>
      <c r="D4" s="110" t="str">
        <f>'SAF 011'!C5</f>
        <v>011 - DIRECCION PROVINCIAL DE ADMINISTRACION - MINISTERIO DE SALUD</v>
      </c>
      <c r="E4" s="111"/>
      <c r="F4" s="111"/>
      <c r="G4" s="111"/>
      <c r="H4" s="111"/>
      <c r="I4" s="111"/>
      <c r="J4" s="111"/>
      <c r="K4" s="112"/>
    </row>
    <row r="5" spans="1:11" ht="16.5" thickBot="1" x14ac:dyDescent="0.3">
      <c r="A5" s="137" t="s">
        <v>26</v>
      </c>
      <c r="B5" s="137"/>
      <c r="C5" s="137"/>
      <c r="D5" s="110" t="s">
        <v>84</v>
      </c>
      <c r="E5" s="111"/>
      <c r="F5" s="111"/>
      <c r="G5" s="111"/>
      <c r="H5" s="111"/>
      <c r="I5" s="111"/>
      <c r="J5" s="111"/>
      <c r="K5" s="112"/>
    </row>
    <row r="6" spans="1:11" ht="16.5" thickBot="1" x14ac:dyDescent="0.3">
      <c r="A6" s="136" t="s">
        <v>27</v>
      </c>
      <c r="B6" s="136"/>
      <c r="C6" s="136"/>
      <c r="D6" s="110" t="s">
        <v>84</v>
      </c>
      <c r="E6" s="111"/>
      <c r="F6" s="111"/>
      <c r="G6" s="111"/>
      <c r="H6" s="111"/>
      <c r="I6" s="111"/>
      <c r="J6" s="111"/>
      <c r="K6" s="112"/>
    </row>
    <row r="7" spans="1:11" ht="16.5" thickBot="1" x14ac:dyDescent="0.3">
      <c r="A7" s="137" t="s">
        <v>28</v>
      </c>
      <c r="B7" s="137"/>
      <c r="C7" s="137"/>
      <c r="D7" s="110" t="s">
        <v>99</v>
      </c>
      <c r="E7" s="111"/>
      <c r="F7" s="111"/>
      <c r="G7" s="111"/>
      <c r="H7" s="111"/>
      <c r="I7" s="111"/>
      <c r="J7" s="111"/>
      <c r="K7" s="112"/>
    </row>
    <row r="8" spans="1:11" ht="16.5" thickBot="1" x14ac:dyDescent="0.3">
      <c r="A8" s="138" t="s">
        <v>29</v>
      </c>
      <c r="B8" s="138"/>
      <c r="C8" s="138"/>
      <c r="D8" s="113" t="s">
        <v>71</v>
      </c>
      <c r="E8" s="111"/>
      <c r="F8" s="111"/>
      <c r="G8" s="111"/>
      <c r="H8" s="111"/>
      <c r="I8" s="111"/>
      <c r="J8" s="111"/>
      <c r="K8" s="112"/>
    </row>
    <row r="9" spans="1:11" ht="16.5" thickBot="1" x14ac:dyDescent="0.3">
      <c r="A9" s="45"/>
      <c r="B9" s="46"/>
      <c r="C9" s="46"/>
      <c r="D9" s="47"/>
      <c r="E9" s="47"/>
      <c r="F9" s="47"/>
      <c r="G9" s="47"/>
      <c r="H9" s="47"/>
      <c r="I9" s="47"/>
      <c r="J9" s="47"/>
      <c r="K9" s="48"/>
    </row>
    <row r="10" spans="1:11" ht="15.75" thickBot="1" x14ac:dyDescent="0.3">
      <c r="A10" s="135" t="s">
        <v>30</v>
      </c>
      <c r="B10" s="134" t="s">
        <v>31</v>
      </c>
      <c r="C10" s="134" t="s">
        <v>32</v>
      </c>
      <c r="D10" s="134"/>
      <c r="E10" s="134"/>
      <c r="F10" s="134"/>
      <c r="G10" s="134"/>
      <c r="H10" s="134" t="s">
        <v>33</v>
      </c>
      <c r="I10" s="134" t="s">
        <v>34</v>
      </c>
      <c r="J10" s="134" t="s">
        <v>35</v>
      </c>
      <c r="K10" s="132" t="s">
        <v>36</v>
      </c>
    </row>
    <row r="11" spans="1:11" ht="24.75" customHeight="1" thickBot="1" x14ac:dyDescent="0.3">
      <c r="A11" s="135"/>
      <c r="B11" s="134"/>
      <c r="C11" s="134"/>
      <c r="D11" s="134"/>
      <c r="E11" s="134"/>
      <c r="F11" s="134"/>
      <c r="G11" s="134"/>
      <c r="H11" s="134"/>
      <c r="I11" s="134"/>
      <c r="J11" s="134"/>
      <c r="K11" s="132"/>
    </row>
    <row r="12" spans="1:11" ht="54" customHeight="1" x14ac:dyDescent="0.25">
      <c r="A12" s="49">
        <v>1</v>
      </c>
      <c r="B12" s="114" t="str">
        <f>'SAF 011'!B10</f>
        <v>2.1.1-7915.14</v>
      </c>
      <c r="C12" s="133" t="str">
        <f>'SAF 011'!E10</f>
        <v>AGUA POTABLE; TIPO: POTABILIZADA SIN GASIFICAR; PRESENTACION: SEGÚN PLIEGO, MATERIAL ENVASE: SEGÚN PLIEGO, TIPO ENVASE: SEGÚN PLIEGO</v>
      </c>
      <c r="D12" s="133"/>
      <c r="E12" s="133"/>
      <c r="F12" s="133"/>
      <c r="G12" s="133"/>
      <c r="H12" s="50" t="s">
        <v>72</v>
      </c>
      <c r="I12" s="51" t="s">
        <v>107</v>
      </c>
      <c r="J12" s="51">
        <f>'SAF 011'!H10</f>
        <v>600</v>
      </c>
      <c r="K12" s="52" t="e">
        <f>'SAF 011'!#REF!</f>
        <v>#REF!</v>
      </c>
    </row>
    <row r="13" spans="1:11" ht="15.75" x14ac:dyDescent="0.25">
      <c r="A13" s="53"/>
      <c r="B13" s="54"/>
      <c r="C13" s="131"/>
      <c r="D13" s="131"/>
      <c r="E13" s="131"/>
      <c r="F13" s="131"/>
      <c r="G13" s="131"/>
      <c r="H13" s="55"/>
      <c r="I13" s="56"/>
      <c r="J13" s="56"/>
      <c r="K13" s="57"/>
    </row>
    <row r="14" spans="1:11" ht="19.5" thickBot="1" x14ac:dyDescent="0.3">
      <c r="A14" s="128" t="s">
        <v>85</v>
      </c>
      <c r="B14" s="128"/>
      <c r="C14" s="128"/>
      <c r="D14" s="128"/>
      <c r="E14" s="128"/>
      <c r="F14" s="128"/>
      <c r="G14" s="128"/>
      <c r="H14" s="128"/>
      <c r="I14" s="128"/>
      <c r="J14" s="129" t="e">
        <f>+J12*K12</f>
        <v>#REF!</v>
      </c>
      <c r="K14" s="130"/>
    </row>
  </sheetData>
  <mergeCells count="18">
    <mergeCell ref="A7:C7"/>
    <mergeCell ref="A1:I1"/>
    <mergeCell ref="A3:C3"/>
    <mergeCell ref="A4:C4"/>
    <mergeCell ref="A5:C5"/>
    <mergeCell ref="A6:C6"/>
    <mergeCell ref="A8:C8"/>
    <mergeCell ref="A10:A11"/>
    <mergeCell ref="B10:B11"/>
    <mergeCell ref="C10:G11"/>
    <mergeCell ref="H10:H11"/>
    <mergeCell ref="J10:J11"/>
    <mergeCell ref="K10:K11"/>
    <mergeCell ref="C12:G12"/>
    <mergeCell ref="C13:G13"/>
    <mergeCell ref="A14:I14"/>
    <mergeCell ref="J14:K14"/>
    <mergeCell ref="I10:I11"/>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Q42"/>
  <sheetViews>
    <sheetView topLeftCell="A16" workbookViewId="0">
      <selection activeCell="A39" sqref="A39:Q39"/>
    </sheetView>
  </sheetViews>
  <sheetFormatPr baseColWidth="10" defaultRowHeight="15" x14ac:dyDescent="0.25"/>
  <cols>
    <col min="1" max="5" width="4.42578125" style="25" customWidth="1"/>
    <col min="6" max="6" width="5.5703125" style="25" customWidth="1"/>
    <col min="7" max="7" width="4" style="25" bestFit="1" customWidth="1"/>
    <col min="8" max="14" width="4.42578125" style="25" customWidth="1"/>
    <col min="15" max="16" width="14.85546875" style="25" customWidth="1"/>
    <col min="17" max="17" width="14.7109375" style="25" customWidth="1"/>
    <col min="18" max="16384" width="11.42578125" style="25"/>
  </cols>
  <sheetData>
    <row r="1" spans="1:17" ht="15.75" thickBot="1" x14ac:dyDescent="0.3">
      <c r="A1" s="157" t="s">
        <v>5</v>
      </c>
      <c r="B1" s="157"/>
      <c r="C1" s="157"/>
      <c r="D1" s="158">
        <v>2022</v>
      </c>
      <c r="E1" s="158"/>
      <c r="F1" s="58"/>
      <c r="G1" s="58"/>
      <c r="H1" s="59"/>
      <c r="I1" s="59"/>
      <c r="J1" s="59"/>
      <c r="K1" s="59"/>
      <c r="L1" s="59"/>
      <c r="M1" s="59"/>
      <c r="N1" s="59"/>
      <c r="O1" s="60"/>
      <c r="P1" s="159" t="s">
        <v>37</v>
      </c>
      <c r="Q1" s="159"/>
    </row>
    <row r="2" spans="1:17" ht="15.75" thickBot="1" x14ac:dyDescent="0.3">
      <c r="A2" s="61"/>
      <c r="B2" s="62"/>
      <c r="C2" s="62"/>
      <c r="D2" s="62"/>
      <c r="E2" s="62"/>
      <c r="F2" s="62"/>
      <c r="G2" s="63"/>
      <c r="H2" s="64"/>
      <c r="I2" s="64"/>
      <c r="J2" s="64"/>
      <c r="K2" s="64"/>
      <c r="L2" s="64"/>
      <c r="M2" s="64"/>
      <c r="N2" s="64"/>
      <c r="O2" s="62"/>
      <c r="P2" s="159"/>
      <c r="Q2" s="159"/>
    </row>
    <row r="3" spans="1:17" ht="15.75" thickBot="1" x14ac:dyDescent="0.3">
      <c r="A3" s="61"/>
      <c r="B3" s="62"/>
      <c r="C3" s="62"/>
      <c r="D3" s="62"/>
      <c r="E3" s="62"/>
      <c r="F3" s="62"/>
      <c r="G3" s="63"/>
      <c r="H3" s="62"/>
      <c r="I3" s="62"/>
      <c r="J3" s="62"/>
      <c r="K3" s="62"/>
      <c r="L3" s="62"/>
      <c r="M3" s="62"/>
      <c r="N3" s="62"/>
      <c r="O3" s="62"/>
      <c r="P3" s="62"/>
      <c r="Q3" s="65"/>
    </row>
    <row r="4" spans="1:17" ht="15.75" thickBot="1" x14ac:dyDescent="0.3">
      <c r="A4" s="160" t="s">
        <v>38</v>
      </c>
      <c r="B4" s="160"/>
      <c r="C4" s="160"/>
      <c r="D4" s="160"/>
      <c r="E4" s="160"/>
      <c r="F4" s="160"/>
      <c r="G4" s="161" t="str">
        <f>'NP DCVyZ'!D3</f>
        <v>040 - MINISTERIO DE SALUD</v>
      </c>
      <c r="H4" s="161"/>
      <c r="I4" s="161"/>
      <c r="J4" s="161"/>
      <c r="K4" s="161"/>
      <c r="L4" s="161"/>
      <c r="M4" s="161"/>
      <c r="N4" s="161"/>
      <c r="O4" s="161"/>
      <c r="P4" s="161"/>
      <c r="Q4" s="161"/>
    </row>
    <row r="5" spans="1:17" ht="15.75" thickBot="1" x14ac:dyDescent="0.3">
      <c r="A5" s="162" t="s">
        <v>25</v>
      </c>
      <c r="B5" s="162"/>
      <c r="C5" s="162"/>
      <c r="D5" s="162"/>
      <c r="E5" s="162"/>
      <c r="F5" s="162"/>
      <c r="G5" s="161" t="str">
        <f>'NP DCVyZ'!D4</f>
        <v>011 - DIRECCION PROVINCIAL DE ADMINISTRACION - MINISTERIO DE SALUD</v>
      </c>
      <c r="H5" s="161"/>
      <c r="I5" s="161"/>
      <c r="J5" s="161"/>
      <c r="K5" s="161"/>
      <c r="L5" s="161"/>
      <c r="M5" s="161"/>
      <c r="N5" s="161"/>
      <c r="O5" s="161"/>
      <c r="P5" s="161"/>
      <c r="Q5" s="161"/>
    </row>
    <row r="6" spans="1:17" ht="15.75" thickBot="1" x14ac:dyDescent="0.3">
      <c r="A6" s="162" t="s">
        <v>26</v>
      </c>
      <c r="B6" s="162"/>
      <c r="C6" s="162"/>
      <c r="D6" s="162"/>
      <c r="E6" s="162"/>
      <c r="F6" s="162"/>
      <c r="G6" s="161" t="str">
        <f>'NP DCVyZ'!D5</f>
        <v>746 - DIRECCION DE CONTROL DE VECTORES Y ZOONOSIS</v>
      </c>
      <c r="H6" s="161"/>
      <c r="I6" s="161"/>
      <c r="J6" s="161"/>
      <c r="K6" s="161"/>
      <c r="L6" s="161"/>
      <c r="M6" s="161"/>
      <c r="N6" s="161"/>
      <c r="O6" s="161"/>
      <c r="P6" s="161"/>
      <c r="Q6" s="161"/>
    </row>
    <row r="7" spans="1:17" ht="15.75" thickBot="1" x14ac:dyDescent="0.3">
      <c r="A7" s="162" t="s">
        <v>27</v>
      </c>
      <c r="B7" s="162"/>
      <c r="C7" s="162"/>
      <c r="D7" s="162"/>
      <c r="E7" s="162"/>
      <c r="F7" s="162"/>
      <c r="G7" s="161" t="str">
        <f>'NP DCVyZ'!D6</f>
        <v>746 - DIRECCION DE CONTROL DE VECTORES Y ZOONOSIS</v>
      </c>
      <c r="H7" s="161"/>
      <c r="I7" s="161"/>
      <c r="J7" s="161"/>
      <c r="K7" s="161"/>
      <c r="L7" s="161"/>
      <c r="M7" s="161"/>
      <c r="N7" s="161"/>
      <c r="O7" s="161"/>
      <c r="P7" s="161"/>
      <c r="Q7" s="161"/>
    </row>
    <row r="8" spans="1:17" ht="15.75" thickBot="1" x14ac:dyDescent="0.3">
      <c r="A8" s="163" t="s">
        <v>39</v>
      </c>
      <c r="B8" s="163"/>
      <c r="C8" s="163"/>
      <c r="D8" s="163"/>
      <c r="E8" s="163"/>
      <c r="F8" s="163"/>
      <c r="G8" s="163"/>
      <c r="H8" s="163"/>
      <c r="I8" s="163"/>
      <c r="J8" s="163"/>
      <c r="K8" s="163"/>
      <c r="L8" s="163"/>
      <c r="M8" s="163"/>
      <c r="N8" s="163"/>
      <c r="O8" s="163"/>
      <c r="P8" s="163"/>
      <c r="Q8" s="163"/>
    </row>
    <row r="9" spans="1:17" ht="27.75" customHeight="1" x14ac:dyDescent="0.25">
      <c r="A9" s="156" t="s">
        <v>40</v>
      </c>
      <c r="B9" s="156"/>
      <c r="C9" s="156"/>
      <c r="D9" s="156"/>
      <c r="E9" s="156"/>
      <c r="F9" s="156"/>
      <c r="G9" s="156"/>
      <c r="H9" s="156"/>
      <c r="I9" s="156"/>
      <c r="J9" s="156"/>
      <c r="K9" s="156"/>
      <c r="L9" s="156"/>
      <c r="M9" s="156"/>
      <c r="N9" s="156"/>
      <c r="O9" s="156"/>
      <c r="P9" s="156"/>
      <c r="Q9" s="156"/>
    </row>
    <row r="10" spans="1:17" ht="57" customHeight="1" x14ac:dyDescent="0.25">
      <c r="A10" s="149" t="s">
        <v>59</v>
      </c>
      <c r="B10" s="149"/>
      <c r="C10" s="149"/>
      <c r="D10" s="149"/>
      <c r="E10" s="149"/>
      <c r="F10" s="149"/>
      <c r="G10" s="149"/>
      <c r="H10" s="149"/>
      <c r="I10" s="149"/>
      <c r="J10" s="149"/>
      <c r="K10" s="149"/>
      <c r="L10" s="149"/>
      <c r="M10" s="149"/>
      <c r="N10" s="149"/>
      <c r="O10" s="149"/>
      <c r="P10" s="149"/>
      <c r="Q10" s="149"/>
    </row>
    <row r="11" spans="1:17" ht="15.75" thickBot="1" x14ac:dyDescent="0.3">
      <c r="A11" s="66"/>
      <c r="B11" s="67"/>
      <c r="C11" s="67"/>
      <c r="D11" s="67"/>
      <c r="E11" s="67"/>
      <c r="F11" s="67"/>
      <c r="G11" s="68"/>
      <c r="H11" s="67"/>
      <c r="I11" s="67"/>
      <c r="J11" s="67"/>
      <c r="K11" s="67"/>
      <c r="L11" s="67"/>
      <c r="M11" s="67"/>
      <c r="N11" s="67"/>
      <c r="O11" s="67"/>
      <c r="P11" s="67"/>
      <c r="Q11" s="69"/>
    </row>
    <row r="12" spans="1:17" ht="15.75" thickBot="1" x14ac:dyDescent="0.3">
      <c r="A12" s="150" t="s">
        <v>41</v>
      </c>
      <c r="B12" s="150"/>
      <c r="C12" s="150"/>
      <c r="D12" s="150"/>
      <c r="E12" s="150"/>
      <c r="F12" s="150"/>
      <c r="G12" s="150"/>
      <c r="H12" s="150"/>
      <c r="I12" s="150"/>
      <c r="J12" s="150"/>
      <c r="K12" s="150"/>
      <c r="L12" s="150"/>
      <c r="M12" s="150"/>
      <c r="N12" s="150"/>
      <c r="O12" s="150"/>
      <c r="P12" s="150"/>
      <c r="Q12" s="150"/>
    </row>
    <row r="13" spans="1:17" ht="15.75" thickBot="1" x14ac:dyDescent="0.3">
      <c r="A13" s="151" t="s">
        <v>42</v>
      </c>
      <c r="B13" s="151"/>
      <c r="C13" s="151"/>
      <c r="D13" s="151"/>
      <c r="E13" s="151"/>
      <c r="F13" s="151"/>
      <c r="G13" s="151"/>
      <c r="H13" s="151"/>
      <c r="I13" s="151"/>
      <c r="J13" s="151"/>
      <c r="K13" s="151"/>
      <c r="L13" s="151"/>
      <c r="M13" s="151"/>
      <c r="N13" s="151"/>
      <c r="O13" s="152" t="s">
        <v>43</v>
      </c>
      <c r="P13" s="152"/>
      <c r="Q13" s="153" t="s">
        <v>44</v>
      </c>
    </row>
    <row r="14" spans="1:17" ht="15.75" thickBot="1" x14ac:dyDescent="0.3">
      <c r="A14" s="70" t="s">
        <v>45</v>
      </c>
      <c r="B14" s="71" t="s">
        <v>46</v>
      </c>
      <c r="C14" s="71" t="s">
        <v>47</v>
      </c>
      <c r="D14" s="71" t="s">
        <v>48</v>
      </c>
      <c r="E14" s="71" t="s">
        <v>49</v>
      </c>
      <c r="F14" s="71" t="s">
        <v>50</v>
      </c>
      <c r="G14" s="72" t="s">
        <v>51</v>
      </c>
      <c r="H14" s="71" t="s">
        <v>52</v>
      </c>
      <c r="I14" s="71" t="s">
        <v>53</v>
      </c>
      <c r="J14" s="71" t="s">
        <v>54</v>
      </c>
      <c r="K14" s="71" t="s">
        <v>54</v>
      </c>
      <c r="L14" s="71" t="s">
        <v>55</v>
      </c>
      <c r="M14" s="73" t="s">
        <v>56</v>
      </c>
      <c r="N14" s="74" t="s">
        <v>57</v>
      </c>
      <c r="O14" s="152"/>
      <c r="P14" s="152"/>
      <c r="Q14" s="153"/>
    </row>
    <row r="15" spans="1:17" x14ac:dyDescent="0.25">
      <c r="A15" s="75">
        <v>23</v>
      </c>
      <c r="B15" s="76"/>
      <c r="C15" s="76"/>
      <c r="D15" s="76">
        <v>1</v>
      </c>
      <c r="E15" s="76"/>
      <c r="F15" s="76">
        <v>4901</v>
      </c>
      <c r="G15" s="76">
        <v>3</v>
      </c>
      <c r="H15" s="76">
        <v>1</v>
      </c>
      <c r="I15" s="76">
        <v>2</v>
      </c>
      <c r="J15" s="76">
        <v>1</v>
      </c>
      <c r="K15" s="76">
        <v>1</v>
      </c>
      <c r="L15" s="76"/>
      <c r="M15" s="77">
        <v>1</v>
      </c>
      <c r="N15" s="76" t="s">
        <v>68</v>
      </c>
      <c r="O15" s="154" t="s">
        <v>69</v>
      </c>
      <c r="P15" s="154"/>
      <c r="Q15" s="78" t="e">
        <f>'NP DCVyZ'!J14</f>
        <v>#REF!</v>
      </c>
    </row>
    <row r="16" spans="1:17" x14ac:dyDescent="0.25">
      <c r="A16" s="79"/>
      <c r="B16" s="80"/>
      <c r="C16" s="80"/>
      <c r="D16" s="80"/>
      <c r="E16" s="80"/>
      <c r="F16" s="80"/>
      <c r="G16" s="80"/>
      <c r="H16" s="80"/>
      <c r="I16" s="80"/>
      <c r="J16" s="80"/>
      <c r="K16" s="80"/>
      <c r="L16" s="80"/>
      <c r="M16" s="81"/>
      <c r="N16" s="94"/>
      <c r="O16" s="143"/>
      <c r="P16" s="143"/>
      <c r="Q16" s="83"/>
    </row>
    <row r="17" spans="1:17" x14ac:dyDescent="0.25">
      <c r="A17" s="79"/>
      <c r="B17" s="80"/>
      <c r="C17" s="80"/>
      <c r="D17" s="80"/>
      <c r="E17" s="80"/>
      <c r="F17" s="80"/>
      <c r="G17" s="80"/>
      <c r="H17" s="80"/>
      <c r="I17" s="80"/>
      <c r="J17" s="80"/>
      <c r="K17" s="80"/>
      <c r="L17" s="80"/>
      <c r="M17" s="81"/>
      <c r="N17" s="94"/>
      <c r="O17" s="155"/>
      <c r="P17" s="155"/>
      <c r="Q17" s="83"/>
    </row>
    <row r="18" spans="1:17" x14ac:dyDescent="0.25">
      <c r="A18" s="79"/>
      <c r="B18" s="80"/>
      <c r="C18" s="80"/>
      <c r="D18" s="80"/>
      <c r="E18" s="80"/>
      <c r="F18" s="80"/>
      <c r="G18" s="80"/>
      <c r="H18" s="80"/>
      <c r="I18" s="80"/>
      <c r="J18" s="80"/>
      <c r="K18" s="80"/>
      <c r="L18" s="80"/>
      <c r="M18" s="81"/>
      <c r="N18" s="94"/>
      <c r="O18" s="148"/>
      <c r="P18" s="148"/>
      <c r="Q18" s="83"/>
    </row>
    <row r="19" spans="1:17" x14ac:dyDescent="0.25">
      <c r="A19" s="79"/>
      <c r="B19" s="80"/>
      <c r="C19" s="80"/>
      <c r="D19" s="80"/>
      <c r="E19" s="80"/>
      <c r="F19" s="80"/>
      <c r="G19" s="80"/>
      <c r="H19" s="80"/>
      <c r="I19" s="80"/>
      <c r="J19" s="80"/>
      <c r="K19" s="80"/>
      <c r="L19" s="80"/>
      <c r="M19" s="81"/>
      <c r="N19" s="94"/>
      <c r="O19" s="148"/>
      <c r="P19" s="148"/>
      <c r="Q19" s="83"/>
    </row>
    <row r="20" spans="1:17" x14ac:dyDescent="0.25">
      <c r="A20" s="79"/>
      <c r="B20" s="80"/>
      <c r="C20" s="80"/>
      <c r="D20" s="80"/>
      <c r="E20" s="80"/>
      <c r="F20" s="80"/>
      <c r="G20" s="80"/>
      <c r="H20" s="80"/>
      <c r="I20" s="80"/>
      <c r="J20" s="80"/>
      <c r="K20" s="80"/>
      <c r="L20" s="80"/>
      <c r="M20" s="81"/>
      <c r="N20" s="94"/>
      <c r="O20" s="148"/>
      <c r="P20" s="148"/>
      <c r="Q20" s="83"/>
    </row>
    <row r="21" spans="1:17" x14ac:dyDescent="0.25">
      <c r="A21" s="79"/>
      <c r="B21" s="80"/>
      <c r="C21" s="80"/>
      <c r="D21" s="80"/>
      <c r="E21" s="80"/>
      <c r="F21" s="80"/>
      <c r="G21" s="80"/>
      <c r="H21" s="80"/>
      <c r="I21" s="80"/>
      <c r="J21" s="80"/>
      <c r="K21" s="80"/>
      <c r="L21" s="80"/>
      <c r="M21" s="81"/>
      <c r="N21" s="94"/>
      <c r="O21" s="148"/>
      <c r="P21" s="148"/>
      <c r="Q21" s="83"/>
    </row>
    <row r="22" spans="1:17" x14ac:dyDescent="0.25">
      <c r="A22" s="79"/>
      <c r="B22" s="80"/>
      <c r="C22" s="80"/>
      <c r="D22" s="80"/>
      <c r="E22" s="80"/>
      <c r="F22" s="80"/>
      <c r="G22" s="80"/>
      <c r="H22" s="80"/>
      <c r="I22" s="80"/>
      <c r="J22" s="80"/>
      <c r="K22" s="80"/>
      <c r="L22" s="80"/>
      <c r="M22" s="81"/>
      <c r="N22" s="94"/>
      <c r="O22" s="148"/>
      <c r="P22" s="148"/>
      <c r="Q22" s="83"/>
    </row>
    <row r="23" spans="1:17" x14ac:dyDescent="0.25">
      <c r="A23" s="79"/>
      <c r="B23" s="80"/>
      <c r="C23" s="80"/>
      <c r="D23" s="80"/>
      <c r="E23" s="80"/>
      <c r="F23" s="80"/>
      <c r="G23" s="80"/>
      <c r="H23" s="80"/>
      <c r="I23" s="80"/>
      <c r="J23" s="80"/>
      <c r="K23" s="80"/>
      <c r="L23" s="80"/>
      <c r="M23" s="81"/>
      <c r="N23" s="94"/>
      <c r="O23" s="148"/>
      <c r="P23" s="148"/>
      <c r="Q23" s="83"/>
    </row>
    <row r="24" spans="1:17" x14ac:dyDescent="0.25">
      <c r="A24" s="79"/>
      <c r="B24" s="80"/>
      <c r="C24" s="80"/>
      <c r="D24" s="80"/>
      <c r="E24" s="80"/>
      <c r="F24" s="80"/>
      <c r="G24" s="80"/>
      <c r="H24" s="80"/>
      <c r="I24" s="80"/>
      <c r="J24" s="80"/>
      <c r="K24" s="80"/>
      <c r="L24" s="80"/>
      <c r="M24" s="81"/>
      <c r="N24" s="94"/>
      <c r="O24" s="148"/>
      <c r="P24" s="148"/>
      <c r="Q24" s="83"/>
    </row>
    <row r="25" spans="1:17" x14ac:dyDescent="0.25">
      <c r="A25" s="79"/>
      <c r="B25" s="80"/>
      <c r="C25" s="80"/>
      <c r="D25" s="80"/>
      <c r="E25" s="80"/>
      <c r="F25" s="80"/>
      <c r="G25" s="80"/>
      <c r="H25" s="80"/>
      <c r="I25" s="80"/>
      <c r="J25" s="80"/>
      <c r="K25" s="80"/>
      <c r="L25" s="80"/>
      <c r="M25" s="81"/>
      <c r="N25" s="94"/>
      <c r="O25" s="148"/>
      <c r="P25" s="148"/>
      <c r="Q25" s="83"/>
    </row>
    <row r="26" spans="1:17" x14ac:dyDescent="0.25">
      <c r="A26" s="79"/>
      <c r="B26" s="80"/>
      <c r="C26" s="80"/>
      <c r="D26" s="80"/>
      <c r="E26" s="80"/>
      <c r="F26" s="80"/>
      <c r="G26" s="80"/>
      <c r="H26" s="80"/>
      <c r="I26" s="80"/>
      <c r="J26" s="80"/>
      <c r="K26" s="80"/>
      <c r="L26" s="80"/>
      <c r="M26" s="81"/>
      <c r="N26" s="94"/>
      <c r="O26" s="148"/>
      <c r="P26" s="148"/>
      <c r="Q26" s="83"/>
    </row>
    <row r="27" spans="1:17" x14ac:dyDescent="0.25">
      <c r="A27" s="79"/>
      <c r="B27" s="80"/>
      <c r="C27" s="80"/>
      <c r="D27" s="80"/>
      <c r="E27" s="80"/>
      <c r="F27" s="80"/>
      <c r="G27" s="80"/>
      <c r="H27" s="80"/>
      <c r="I27" s="80"/>
      <c r="J27" s="80"/>
      <c r="K27" s="80"/>
      <c r="L27" s="80"/>
      <c r="M27" s="81"/>
      <c r="N27" s="94"/>
      <c r="O27" s="148"/>
      <c r="P27" s="148"/>
      <c r="Q27" s="83"/>
    </row>
    <row r="28" spans="1:17" x14ac:dyDescent="0.25">
      <c r="A28" s="79"/>
      <c r="B28" s="80"/>
      <c r="C28" s="80"/>
      <c r="D28" s="80"/>
      <c r="E28" s="80"/>
      <c r="F28" s="80"/>
      <c r="G28" s="80"/>
      <c r="H28" s="80"/>
      <c r="I28" s="80"/>
      <c r="J28" s="80"/>
      <c r="K28" s="80"/>
      <c r="L28" s="80"/>
      <c r="M28" s="81"/>
      <c r="N28" s="94"/>
      <c r="O28" s="148"/>
      <c r="P28" s="148"/>
      <c r="Q28" s="83"/>
    </row>
    <row r="29" spans="1:17" x14ac:dyDescent="0.25">
      <c r="A29" s="79"/>
      <c r="B29" s="80"/>
      <c r="C29" s="80"/>
      <c r="D29" s="80"/>
      <c r="E29" s="80"/>
      <c r="F29" s="80"/>
      <c r="G29" s="80"/>
      <c r="H29" s="80"/>
      <c r="I29" s="80"/>
      <c r="J29" s="80"/>
      <c r="K29" s="80"/>
      <c r="L29" s="80"/>
      <c r="M29" s="81"/>
      <c r="N29" s="94"/>
      <c r="O29" s="148"/>
      <c r="P29" s="148"/>
      <c r="Q29" s="83"/>
    </row>
    <row r="30" spans="1:17" x14ac:dyDescent="0.25">
      <c r="A30" s="79"/>
      <c r="B30" s="80"/>
      <c r="C30" s="80"/>
      <c r="D30" s="80"/>
      <c r="E30" s="80"/>
      <c r="F30" s="80"/>
      <c r="G30" s="80"/>
      <c r="H30" s="80"/>
      <c r="I30" s="80"/>
      <c r="J30" s="80"/>
      <c r="K30" s="80"/>
      <c r="L30" s="80"/>
      <c r="M30" s="81"/>
      <c r="N30" s="94"/>
      <c r="O30" s="148"/>
      <c r="P30" s="148"/>
      <c r="Q30" s="83"/>
    </row>
    <row r="31" spans="1:17" x14ac:dyDescent="0.25">
      <c r="A31" s="79"/>
      <c r="B31" s="80"/>
      <c r="C31" s="80"/>
      <c r="D31" s="80"/>
      <c r="E31" s="80"/>
      <c r="F31" s="80"/>
      <c r="G31" s="80"/>
      <c r="H31" s="80"/>
      <c r="I31" s="80"/>
      <c r="J31" s="80"/>
      <c r="K31" s="80"/>
      <c r="L31" s="80"/>
      <c r="M31" s="81"/>
      <c r="N31" s="94"/>
      <c r="O31" s="148"/>
      <c r="P31" s="148"/>
      <c r="Q31" s="83"/>
    </row>
    <row r="32" spans="1:17" x14ac:dyDescent="0.25">
      <c r="A32" s="79"/>
      <c r="B32" s="80"/>
      <c r="C32" s="80"/>
      <c r="D32" s="80"/>
      <c r="E32" s="80"/>
      <c r="F32" s="94"/>
      <c r="G32" s="80"/>
      <c r="H32" s="80"/>
      <c r="I32" s="80"/>
      <c r="J32" s="80"/>
      <c r="K32" s="80"/>
      <c r="L32" s="80"/>
      <c r="M32" s="81"/>
      <c r="N32" s="94"/>
      <c r="O32" s="143"/>
      <c r="P32" s="143"/>
      <c r="Q32" s="83"/>
    </row>
    <row r="33" spans="1:17" x14ac:dyDescent="0.25">
      <c r="A33" s="79"/>
      <c r="B33" s="80"/>
      <c r="C33" s="80"/>
      <c r="D33" s="80"/>
      <c r="E33" s="80"/>
      <c r="F33" s="80"/>
      <c r="G33" s="80"/>
      <c r="H33" s="80"/>
      <c r="I33" s="80"/>
      <c r="J33" s="80"/>
      <c r="K33" s="80"/>
      <c r="L33" s="80"/>
      <c r="M33" s="81"/>
      <c r="N33" s="94"/>
      <c r="O33" s="143"/>
      <c r="P33" s="143"/>
      <c r="Q33" s="83"/>
    </row>
    <row r="34" spans="1:17" x14ac:dyDescent="0.25">
      <c r="A34" s="79"/>
      <c r="B34" s="80"/>
      <c r="C34" s="80"/>
      <c r="D34" s="80"/>
      <c r="E34" s="80"/>
      <c r="F34" s="94"/>
      <c r="G34" s="80"/>
      <c r="H34" s="80"/>
      <c r="I34" s="80"/>
      <c r="J34" s="80"/>
      <c r="K34" s="80"/>
      <c r="L34" s="80"/>
      <c r="M34" s="81"/>
      <c r="N34" s="94"/>
      <c r="O34" s="143"/>
      <c r="P34" s="143"/>
      <c r="Q34" s="83"/>
    </row>
    <row r="35" spans="1:17" x14ac:dyDescent="0.25">
      <c r="A35" s="79"/>
      <c r="B35" s="80"/>
      <c r="C35" s="80"/>
      <c r="D35" s="80"/>
      <c r="E35" s="80"/>
      <c r="F35" s="94"/>
      <c r="G35" s="80"/>
      <c r="H35" s="80"/>
      <c r="I35" s="80"/>
      <c r="J35" s="80"/>
      <c r="K35" s="80"/>
      <c r="L35" s="80"/>
      <c r="M35" s="81"/>
      <c r="N35" s="94"/>
      <c r="O35" s="143"/>
      <c r="P35" s="143"/>
      <c r="Q35" s="83"/>
    </row>
    <row r="36" spans="1:17" x14ac:dyDescent="0.25">
      <c r="A36" s="84"/>
      <c r="B36" s="85"/>
      <c r="C36" s="85"/>
      <c r="D36" s="85"/>
      <c r="E36" s="85"/>
      <c r="F36" s="86"/>
      <c r="G36" s="85"/>
      <c r="H36" s="85"/>
      <c r="I36" s="85"/>
      <c r="J36" s="85"/>
      <c r="K36" s="85"/>
      <c r="L36" s="85"/>
      <c r="M36" s="87"/>
      <c r="N36" s="88"/>
      <c r="O36" s="144"/>
      <c r="P36" s="144"/>
      <c r="Q36" s="83"/>
    </row>
    <row r="37" spans="1:17" ht="15.75" thickBot="1" x14ac:dyDescent="0.3">
      <c r="A37" s="89"/>
      <c r="B37" s="90"/>
      <c r="C37" s="90"/>
      <c r="D37" s="90"/>
      <c r="E37" s="90"/>
      <c r="F37" s="90"/>
      <c r="G37" s="90"/>
      <c r="H37" s="90"/>
      <c r="I37" s="90"/>
      <c r="J37" s="90"/>
      <c r="K37" s="90"/>
      <c r="L37" s="90"/>
      <c r="M37" s="91"/>
      <c r="N37" s="90"/>
      <c r="O37" s="145"/>
      <c r="P37" s="145"/>
      <c r="Q37" s="92"/>
    </row>
    <row r="38" spans="1:17" ht="15.75" thickBot="1" x14ac:dyDescent="0.3">
      <c r="A38" s="146" t="s">
        <v>86</v>
      </c>
      <c r="B38" s="146"/>
      <c r="C38" s="146"/>
      <c r="D38" s="146"/>
      <c r="E38" s="146"/>
      <c r="F38" s="146"/>
      <c r="G38" s="146"/>
      <c r="H38" s="146"/>
      <c r="I38" s="146"/>
      <c r="J38" s="146"/>
      <c r="K38" s="146"/>
      <c r="L38" s="146"/>
      <c r="M38" s="146"/>
      <c r="N38" s="146"/>
      <c r="O38" s="146"/>
      <c r="P38" s="146"/>
      <c r="Q38" s="93" t="e">
        <f>SUM(Q15:Q37)</f>
        <v>#REF!</v>
      </c>
    </row>
    <row r="39" spans="1:17" ht="15.75" thickBot="1" x14ac:dyDescent="0.3">
      <c r="A39" s="147"/>
      <c r="B39" s="147"/>
      <c r="C39" s="147"/>
      <c r="D39" s="147"/>
      <c r="E39" s="147"/>
      <c r="F39" s="147"/>
      <c r="G39" s="147"/>
      <c r="H39" s="147"/>
      <c r="I39" s="147"/>
      <c r="J39" s="147"/>
      <c r="K39" s="147"/>
      <c r="L39" s="147"/>
      <c r="M39" s="147"/>
      <c r="N39" s="147"/>
      <c r="O39" s="147"/>
      <c r="P39" s="147"/>
      <c r="Q39" s="147"/>
    </row>
    <row r="40" spans="1:17" ht="15.75" thickBot="1" x14ac:dyDescent="0.3">
      <c r="A40" s="140" t="s">
        <v>58</v>
      </c>
      <c r="B40" s="140"/>
      <c r="C40" s="140"/>
      <c r="D40" s="140"/>
      <c r="E40" s="140"/>
      <c r="F40" s="140"/>
      <c r="G40" s="141"/>
      <c r="H40" s="141"/>
      <c r="I40" s="141"/>
      <c r="J40" s="141"/>
      <c r="K40" s="141"/>
      <c r="L40" s="141"/>
      <c r="M40" s="141"/>
      <c r="N40" s="141"/>
      <c r="O40" s="141"/>
      <c r="P40" s="141"/>
      <c r="Q40" s="141"/>
    </row>
    <row r="41" spans="1:17" ht="15.75" thickBot="1" x14ac:dyDescent="0.3">
      <c r="A41" s="142" t="str">
        <f>'NP DCVyZ'!D8</f>
        <v>ADQ. DEL RUBRO ALIMENTOS PARA PERSONAS (BIDONES DE AGUA)</v>
      </c>
      <c r="B41" s="142"/>
      <c r="C41" s="142"/>
      <c r="D41" s="142"/>
      <c r="E41" s="142"/>
      <c r="F41" s="142"/>
      <c r="G41" s="142"/>
      <c r="H41" s="142"/>
      <c r="I41" s="142"/>
      <c r="J41" s="142"/>
      <c r="K41" s="142"/>
      <c r="L41" s="142"/>
      <c r="M41" s="142"/>
      <c r="N41" s="142"/>
      <c r="O41" s="142"/>
      <c r="P41" s="142"/>
      <c r="Q41" s="142"/>
    </row>
    <row r="42" spans="1:17" ht="15.75" thickBot="1" x14ac:dyDescent="0.3">
      <c r="A42" s="142"/>
      <c r="B42" s="142"/>
      <c r="C42" s="142"/>
      <c r="D42" s="142"/>
      <c r="E42" s="142"/>
      <c r="F42" s="142"/>
      <c r="G42" s="142"/>
      <c r="H42" s="142"/>
      <c r="I42" s="142"/>
      <c r="J42" s="142"/>
      <c r="K42" s="142"/>
      <c r="L42" s="142"/>
      <c r="M42" s="142"/>
      <c r="N42" s="142"/>
      <c r="O42" s="142"/>
      <c r="P42" s="142"/>
      <c r="Q42" s="142"/>
    </row>
  </sheetData>
  <mergeCells count="46">
    <mergeCell ref="A9:Q9"/>
    <mergeCell ref="A1:C1"/>
    <mergeCell ref="D1:E1"/>
    <mergeCell ref="P1:Q2"/>
    <mergeCell ref="A4:F4"/>
    <mergeCell ref="G4:Q4"/>
    <mergeCell ref="A5:F5"/>
    <mergeCell ref="G5:Q5"/>
    <mergeCell ref="A6:F6"/>
    <mergeCell ref="G6:Q6"/>
    <mergeCell ref="A7:F7"/>
    <mergeCell ref="G7:Q7"/>
    <mergeCell ref="A8:Q8"/>
    <mergeCell ref="O21:P21"/>
    <mergeCell ref="A10:Q10"/>
    <mergeCell ref="A12:Q12"/>
    <mergeCell ref="A13:N13"/>
    <mergeCell ref="O13:P14"/>
    <mergeCell ref="Q13:Q14"/>
    <mergeCell ref="O15:P15"/>
    <mergeCell ref="O16:P16"/>
    <mergeCell ref="O17:P17"/>
    <mergeCell ref="O18:P18"/>
    <mergeCell ref="O19:P19"/>
    <mergeCell ref="O20:P20"/>
    <mergeCell ref="O33:P33"/>
    <mergeCell ref="O22:P22"/>
    <mergeCell ref="O23:P23"/>
    <mergeCell ref="O24:P24"/>
    <mergeCell ref="O25:P25"/>
    <mergeCell ref="O26:P26"/>
    <mergeCell ref="O27:P27"/>
    <mergeCell ref="O28:P28"/>
    <mergeCell ref="O29:P29"/>
    <mergeCell ref="O30:P30"/>
    <mergeCell ref="O31:P31"/>
    <mergeCell ref="O32:P32"/>
    <mergeCell ref="A40:F40"/>
    <mergeCell ref="G40:Q40"/>
    <mergeCell ref="A41:Q42"/>
    <mergeCell ref="O34:P34"/>
    <mergeCell ref="O35:P35"/>
    <mergeCell ref="O36:P36"/>
    <mergeCell ref="O37:P37"/>
    <mergeCell ref="A38:P38"/>
    <mergeCell ref="A39:Q39"/>
  </mergeCells>
  <pageMargins left="0.7" right="0.7" top="0.75" bottom="0.75" header="0.3" footer="0.3"/>
  <pageSetup paperSize="9" scale="81"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K14"/>
  <sheetViews>
    <sheetView workbookViewId="0">
      <selection activeCell="J19" sqref="J19"/>
    </sheetView>
  </sheetViews>
  <sheetFormatPr baseColWidth="10" defaultRowHeight="15" x14ac:dyDescent="0.25"/>
  <cols>
    <col min="1" max="1" width="5.5703125" style="25" customWidth="1"/>
    <col min="2" max="2" width="15.140625" style="25" customWidth="1"/>
    <col min="3" max="3" width="14.140625" style="25" customWidth="1"/>
    <col min="4" max="4" width="26" style="25" customWidth="1"/>
    <col min="5" max="5" width="8" style="25" customWidth="1"/>
    <col min="6" max="6" width="7.85546875" style="25" customWidth="1"/>
    <col min="7" max="7" width="28.5703125" style="25" customWidth="1"/>
    <col min="8" max="8" width="9.28515625" style="25" customWidth="1"/>
    <col min="9" max="9" width="15.5703125" style="25" customWidth="1"/>
    <col min="10" max="10" width="14.7109375" style="25" customWidth="1"/>
    <col min="11" max="11" width="15.5703125" style="25" customWidth="1"/>
    <col min="12" max="16384" width="11.42578125" style="25"/>
  </cols>
  <sheetData>
    <row r="1" spans="1:11" ht="30.75" thickBot="1" x14ac:dyDescent="0.3">
      <c r="A1" s="139" t="s">
        <v>22</v>
      </c>
      <c r="B1" s="139"/>
      <c r="C1" s="139"/>
      <c r="D1" s="139"/>
      <c r="E1" s="139"/>
      <c r="F1" s="139"/>
      <c r="G1" s="139"/>
      <c r="H1" s="139"/>
      <c r="I1" s="139"/>
      <c r="J1" s="39" t="s">
        <v>23</v>
      </c>
      <c r="K1" s="40"/>
    </row>
    <row r="2" spans="1:11" ht="16.5" thickBot="1" x14ac:dyDescent="0.3">
      <c r="A2" s="41"/>
      <c r="B2" s="42"/>
      <c r="C2" s="42"/>
      <c r="D2" s="43"/>
      <c r="E2" s="43"/>
      <c r="F2" s="43"/>
      <c r="G2" s="43"/>
      <c r="H2" s="43"/>
      <c r="I2" s="43"/>
      <c r="J2" s="43"/>
      <c r="K2" s="44"/>
    </row>
    <row r="3" spans="1:11" ht="16.5" customHeight="1" thickBot="1" x14ac:dyDescent="0.3">
      <c r="A3" s="136" t="s">
        <v>24</v>
      </c>
      <c r="B3" s="136"/>
      <c r="C3" s="136"/>
      <c r="D3" s="110" t="str">
        <f>'SAF 011'!C4</f>
        <v>040 - MINISTERIO DE SALUD</v>
      </c>
      <c r="E3" s="111"/>
      <c r="F3" s="111"/>
      <c r="G3" s="111"/>
      <c r="H3" s="111"/>
      <c r="I3" s="111"/>
      <c r="J3" s="111"/>
      <c r="K3" s="112"/>
    </row>
    <row r="4" spans="1:11" ht="16.5" customHeight="1" thickBot="1" x14ac:dyDescent="0.3">
      <c r="A4" s="137" t="s">
        <v>25</v>
      </c>
      <c r="B4" s="137"/>
      <c r="C4" s="137"/>
      <c r="D4" s="110" t="str">
        <f>'SAF 011'!C5</f>
        <v>011 - DIRECCION PROVINCIAL DE ADMINISTRACION - MINISTERIO DE SALUD</v>
      </c>
      <c r="E4" s="111"/>
      <c r="F4" s="111"/>
      <c r="G4" s="111"/>
      <c r="H4" s="111"/>
      <c r="I4" s="111"/>
      <c r="J4" s="111"/>
      <c r="K4" s="112"/>
    </row>
    <row r="5" spans="1:11" ht="16.5" thickBot="1" x14ac:dyDescent="0.3">
      <c r="A5" s="137" t="s">
        <v>26</v>
      </c>
      <c r="B5" s="137"/>
      <c r="C5" s="137"/>
      <c r="D5" s="110" t="s">
        <v>87</v>
      </c>
      <c r="E5" s="111"/>
      <c r="F5" s="111"/>
      <c r="G5" s="111"/>
      <c r="H5" s="111"/>
      <c r="I5" s="111"/>
      <c r="J5" s="111"/>
      <c r="K5" s="112"/>
    </row>
    <row r="6" spans="1:11" ht="16.5" thickBot="1" x14ac:dyDescent="0.3">
      <c r="A6" s="136" t="s">
        <v>27</v>
      </c>
      <c r="B6" s="136"/>
      <c r="C6" s="136"/>
      <c r="D6" s="110" t="s">
        <v>87</v>
      </c>
      <c r="E6" s="111"/>
      <c r="F6" s="111"/>
      <c r="G6" s="111"/>
      <c r="H6" s="111"/>
      <c r="I6" s="111"/>
      <c r="J6" s="111"/>
      <c r="K6" s="112"/>
    </row>
    <row r="7" spans="1:11" ht="16.5" thickBot="1" x14ac:dyDescent="0.3">
      <c r="A7" s="137" t="s">
        <v>28</v>
      </c>
      <c r="B7" s="137"/>
      <c r="C7" s="137"/>
      <c r="D7" s="110" t="s">
        <v>99</v>
      </c>
      <c r="E7" s="111"/>
      <c r="F7" s="111"/>
      <c r="G7" s="111"/>
      <c r="H7" s="111"/>
      <c r="I7" s="111"/>
      <c r="J7" s="111"/>
      <c r="K7" s="112"/>
    </row>
    <row r="8" spans="1:11" ht="16.5" thickBot="1" x14ac:dyDescent="0.3">
      <c r="A8" s="138" t="s">
        <v>29</v>
      </c>
      <c r="B8" s="138"/>
      <c r="C8" s="138"/>
      <c r="D8" s="113" t="s">
        <v>71</v>
      </c>
      <c r="E8" s="111"/>
      <c r="F8" s="111"/>
      <c r="G8" s="111"/>
      <c r="H8" s="111"/>
      <c r="I8" s="111"/>
      <c r="J8" s="111"/>
      <c r="K8" s="112"/>
    </row>
    <row r="9" spans="1:11" ht="16.5" thickBot="1" x14ac:dyDescent="0.3">
      <c r="A9" s="45"/>
      <c r="B9" s="46"/>
      <c r="C9" s="46"/>
      <c r="D9" s="47"/>
      <c r="E9" s="47"/>
      <c r="F9" s="47"/>
      <c r="G9" s="47"/>
      <c r="H9" s="47"/>
      <c r="I9" s="47"/>
      <c r="J9" s="47"/>
      <c r="K9" s="48"/>
    </row>
    <row r="10" spans="1:11" ht="15.75" thickBot="1" x14ac:dyDescent="0.3">
      <c r="A10" s="135" t="s">
        <v>30</v>
      </c>
      <c r="B10" s="134" t="s">
        <v>31</v>
      </c>
      <c r="C10" s="134" t="s">
        <v>32</v>
      </c>
      <c r="D10" s="134"/>
      <c r="E10" s="134"/>
      <c r="F10" s="134"/>
      <c r="G10" s="134"/>
      <c r="H10" s="134" t="s">
        <v>33</v>
      </c>
      <c r="I10" s="134" t="s">
        <v>34</v>
      </c>
      <c r="J10" s="134" t="s">
        <v>35</v>
      </c>
      <c r="K10" s="132" t="s">
        <v>36</v>
      </c>
    </row>
    <row r="11" spans="1:11" ht="24.75" customHeight="1" thickBot="1" x14ac:dyDescent="0.3">
      <c r="A11" s="135"/>
      <c r="B11" s="134"/>
      <c r="C11" s="134"/>
      <c r="D11" s="134"/>
      <c r="E11" s="134"/>
      <c r="F11" s="134"/>
      <c r="G11" s="134"/>
      <c r="H11" s="134"/>
      <c r="I11" s="134"/>
      <c r="J11" s="134"/>
      <c r="K11" s="132"/>
    </row>
    <row r="12" spans="1:11" ht="54" customHeight="1" x14ac:dyDescent="0.25">
      <c r="A12" s="49">
        <v>1</v>
      </c>
      <c r="B12" s="114" t="str">
        <f>'SAF 011'!B10</f>
        <v>2.1.1-7915.14</v>
      </c>
      <c r="C12" s="133" t="str">
        <f>'SAF 011'!E10</f>
        <v>AGUA POTABLE; TIPO: POTABILIZADA SIN GASIFICAR; PRESENTACION: SEGÚN PLIEGO, MATERIAL ENVASE: SEGÚN PLIEGO, TIPO ENVASE: SEGÚN PLIEGO</v>
      </c>
      <c r="D12" s="133"/>
      <c r="E12" s="133"/>
      <c r="F12" s="133"/>
      <c r="G12" s="133"/>
      <c r="H12" s="50" t="s">
        <v>72</v>
      </c>
      <c r="I12" s="51" t="s">
        <v>107</v>
      </c>
      <c r="J12" s="51">
        <f>'SAF 011'!H10</f>
        <v>600</v>
      </c>
      <c r="K12" s="52" t="e">
        <f>'SAF 011'!#REF!</f>
        <v>#REF!</v>
      </c>
    </row>
    <row r="13" spans="1:11" ht="15.75" x14ac:dyDescent="0.25">
      <c r="A13" s="53"/>
      <c r="B13" s="54"/>
      <c r="C13" s="131"/>
      <c r="D13" s="131"/>
      <c r="E13" s="131"/>
      <c r="F13" s="131"/>
      <c r="G13" s="131"/>
      <c r="H13" s="55"/>
      <c r="I13" s="56"/>
      <c r="J13" s="56"/>
      <c r="K13" s="57"/>
    </row>
    <row r="14" spans="1:11" ht="19.5" thickBot="1" x14ac:dyDescent="0.3">
      <c r="A14" s="128" t="s">
        <v>88</v>
      </c>
      <c r="B14" s="128"/>
      <c r="C14" s="128"/>
      <c r="D14" s="128"/>
      <c r="E14" s="128"/>
      <c r="F14" s="128"/>
      <c r="G14" s="128"/>
      <c r="H14" s="128"/>
      <c r="I14" s="128"/>
      <c r="J14" s="129" t="e">
        <f>+J12*K12</f>
        <v>#REF!</v>
      </c>
      <c r="K14" s="130"/>
    </row>
  </sheetData>
  <mergeCells count="18">
    <mergeCell ref="A7:C7"/>
    <mergeCell ref="A1:I1"/>
    <mergeCell ref="A3:C3"/>
    <mergeCell ref="A4:C4"/>
    <mergeCell ref="A5:C5"/>
    <mergeCell ref="A6:C6"/>
    <mergeCell ref="A8:C8"/>
    <mergeCell ref="A10:A11"/>
    <mergeCell ref="B10:B11"/>
    <mergeCell ref="C10:G11"/>
    <mergeCell ref="H10:H11"/>
    <mergeCell ref="J10:J11"/>
    <mergeCell ref="K10:K11"/>
    <mergeCell ref="C12:G12"/>
    <mergeCell ref="C13:G13"/>
    <mergeCell ref="A14:I14"/>
    <mergeCell ref="J14:K14"/>
    <mergeCell ref="I10:I11"/>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Q42"/>
  <sheetViews>
    <sheetView topLeftCell="A25" workbookViewId="0">
      <selection activeCell="T35" sqref="T35"/>
    </sheetView>
  </sheetViews>
  <sheetFormatPr baseColWidth="10" defaultRowHeight="15" x14ac:dyDescent="0.25"/>
  <cols>
    <col min="1" max="5" width="4.42578125" style="25" customWidth="1"/>
    <col min="6" max="6" width="5.5703125" style="25" customWidth="1"/>
    <col min="7" max="7" width="4" style="25" bestFit="1" customWidth="1"/>
    <col min="8" max="14" width="4.42578125" style="25" customWidth="1"/>
    <col min="15" max="16" width="14.85546875" style="25" customWidth="1"/>
    <col min="17" max="17" width="14.7109375" style="25" customWidth="1"/>
    <col min="18" max="16384" width="11.42578125" style="25"/>
  </cols>
  <sheetData>
    <row r="1" spans="1:17" ht="15.75" thickBot="1" x14ac:dyDescent="0.3">
      <c r="A1" s="157" t="s">
        <v>5</v>
      </c>
      <c r="B1" s="157"/>
      <c r="C1" s="157"/>
      <c r="D1" s="158">
        <v>2022</v>
      </c>
      <c r="E1" s="158"/>
      <c r="F1" s="58"/>
      <c r="G1" s="58"/>
      <c r="H1" s="59"/>
      <c r="I1" s="59"/>
      <c r="J1" s="59"/>
      <c r="K1" s="59"/>
      <c r="L1" s="59"/>
      <c r="M1" s="59"/>
      <c r="N1" s="59"/>
      <c r="O1" s="60"/>
      <c r="P1" s="159" t="s">
        <v>37</v>
      </c>
      <c r="Q1" s="159"/>
    </row>
    <row r="2" spans="1:17" ht="15.75" thickBot="1" x14ac:dyDescent="0.3">
      <c r="A2" s="61"/>
      <c r="B2" s="62"/>
      <c r="C2" s="62"/>
      <c r="D2" s="62"/>
      <c r="E2" s="62"/>
      <c r="F2" s="62"/>
      <c r="G2" s="63"/>
      <c r="H2" s="64"/>
      <c r="I2" s="64"/>
      <c r="J2" s="64"/>
      <c r="K2" s="64"/>
      <c r="L2" s="64"/>
      <c r="M2" s="64"/>
      <c r="N2" s="64"/>
      <c r="O2" s="62"/>
      <c r="P2" s="159"/>
      <c r="Q2" s="159"/>
    </row>
    <row r="3" spans="1:17" ht="15.75" thickBot="1" x14ac:dyDescent="0.3">
      <c r="A3" s="61"/>
      <c r="B3" s="62"/>
      <c r="C3" s="62"/>
      <c r="D3" s="62"/>
      <c r="E3" s="62"/>
      <c r="F3" s="62"/>
      <c r="G3" s="63"/>
      <c r="H3" s="62"/>
      <c r="I3" s="62"/>
      <c r="J3" s="62"/>
      <c r="K3" s="62"/>
      <c r="L3" s="62"/>
      <c r="M3" s="62"/>
      <c r="N3" s="62"/>
      <c r="O3" s="62"/>
      <c r="P3" s="62"/>
      <c r="Q3" s="65"/>
    </row>
    <row r="4" spans="1:17" ht="15.75" thickBot="1" x14ac:dyDescent="0.3">
      <c r="A4" s="160" t="s">
        <v>38</v>
      </c>
      <c r="B4" s="160"/>
      <c r="C4" s="160"/>
      <c r="D4" s="160"/>
      <c r="E4" s="160"/>
      <c r="F4" s="160"/>
      <c r="G4" s="161" t="str">
        <f>'NP DPAIPD'!D3</f>
        <v>040 - MINISTERIO DE SALUD</v>
      </c>
      <c r="H4" s="161"/>
      <c r="I4" s="161"/>
      <c r="J4" s="161"/>
      <c r="K4" s="161"/>
      <c r="L4" s="161"/>
      <c r="M4" s="161"/>
      <c r="N4" s="161"/>
      <c r="O4" s="161"/>
      <c r="P4" s="161"/>
      <c r="Q4" s="161"/>
    </row>
    <row r="5" spans="1:17" ht="15.75" thickBot="1" x14ac:dyDescent="0.3">
      <c r="A5" s="162" t="s">
        <v>25</v>
      </c>
      <c r="B5" s="162"/>
      <c r="C5" s="162"/>
      <c r="D5" s="162"/>
      <c r="E5" s="162"/>
      <c r="F5" s="162"/>
      <c r="G5" s="161" t="str">
        <f>'NP DPAIPD'!D4</f>
        <v>011 - DIRECCION PROVINCIAL DE ADMINISTRACION - MINISTERIO DE SALUD</v>
      </c>
      <c r="H5" s="161"/>
      <c r="I5" s="161"/>
      <c r="J5" s="161"/>
      <c r="K5" s="161"/>
      <c r="L5" s="161"/>
      <c r="M5" s="161"/>
      <c r="N5" s="161"/>
      <c r="O5" s="161"/>
      <c r="P5" s="161"/>
      <c r="Q5" s="161"/>
    </row>
    <row r="6" spans="1:17" ht="15.75" thickBot="1" x14ac:dyDescent="0.3">
      <c r="A6" s="162" t="s">
        <v>26</v>
      </c>
      <c r="B6" s="162"/>
      <c r="C6" s="162"/>
      <c r="D6" s="162"/>
      <c r="E6" s="162"/>
      <c r="F6" s="162"/>
      <c r="G6" s="161" t="str">
        <f>'NP DPAIPD'!D5</f>
        <v>096 - DIRECCION PROVINCIAL DE ATENCION INTEGRAL A PERSONAS CON DISCAPACIDAD</v>
      </c>
      <c r="H6" s="161"/>
      <c r="I6" s="161"/>
      <c r="J6" s="161"/>
      <c r="K6" s="161"/>
      <c r="L6" s="161"/>
      <c r="M6" s="161"/>
      <c r="N6" s="161"/>
      <c r="O6" s="161"/>
      <c r="P6" s="161"/>
      <c r="Q6" s="161"/>
    </row>
    <row r="7" spans="1:17" ht="15.75" thickBot="1" x14ac:dyDescent="0.3">
      <c r="A7" s="162" t="s">
        <v>27</v>
      </c>
      <c r="B7" s="162"/>
      <c r="C7" s="162"/>
      <c r="D7" s="162"/>
      <c r="E7" s="162"/>
      <c r="F7" s="162"/>
      <c r="G7" s="161" t="str">
        <f>'NP DPAIPD'!D6</f>
        <v>096 - DIRECCION PROVINCIAL DE ATENCION INTEGRAL A PERSONAS CON DISCAPACIDAD</v>
      </c>
      <c r="H7" s="161"/>
      <c r="I7" s="161"/>
      <c r="J7" s="161"/>
      <c r="K7" s="161"/>
      <c r="L7" s="161"/>
      <c r="M7" s="161"/>
      <c r="N7" s="161"/>
      <c r="O7" s="161"/>
      <c r="P7" s="161"/>
      <c r="Q7" s="161"/>
    </row>
    <row r="8" spans="1:17" ht="15.75" thickBot="1" x14ac:dyDescent="0.3">
      <c r="A8" s="163" t="s">
        <v>39</v>
      </c>
      <c r="B8" s="163"/>
      <c r="C8" s="163"/>
      <c r="D8" s="163"/>
      <c r="E8" s="163"/>
      <c r="F8" s="163"/>
      <c r="G8" s="163"/>
      <c r="H8" s="163"/>
      <c r="I8" s="163"/>
      <c r="J8" s="163"/>
      <c r="K8" s="163"/>
      <c r="L8" s="163"/>
      <c r="M8" s="163"/>
      <c r="N8" s="163"/>
      <c r="O8" s="163"/>
      <c r="P8" s="163"/>
      <c r="Q8" s="163"/>
    </row>
    <row r="9" spans="1:17" ht="27.75" customHeight="1" x14ac:dyDescent="0.25">
      <c r="A9" s="156" t="s">
        <v>40</v>
      </c>
      <c r="B9" s="156"/>
      <c r="C9" s="156"/>
      <c r="D9" s="156"/>
      <c r="E9" s="156"/>
      <c r="F9" s="156"/>
      <c r="G9" s="156"/>
      <c r="H9" s="156"/>
      <c r="I9" s="156"/>
      <c r="J9" s="156"/>
      <c r="K9" s="156"/>
      <c r="L9" s="156"/>
      <c r="M9" s="156"/>
      <c r="N9" s="156"/>
      <c r="O9" s="156"/>
      <c r="P9" s="156"/>
      <c r="Q9" s="156"/>
    </row>
    <row r="10" spans="1:17" ht="57" customHeight="1" x14ac:dyDescent="0.25">
      <c r="A10" s="149" t="s">
        <v>59</v>
      </c>
      <c r="B10" s="149"/>
      <c r="C10" s="149"/>
      <c r="D10" s="149"/>
      <c r="E10" s="149"/>
      <c r="F10" s="149"/>
      <c r="G10" s="149"/>
      <c r="H10" s="149"/>
      <c r="I10" s="149"/>
      <c r="J10" s="149"/>
      <c r="K10" s="149"/>
      <c r="L10" s="149"/>
      <c r="M10" s="149"/>
      <c r="N10" s="149"/>
      <c r="O10" s="149"/>
      <c r="P10" s="149"/>
      <c r="Q10" s="149"/>
    </row>
    <row r="11" spans="1:17" ht="15.75" thickBot="1" x14ac:dyDescent="0.3">
      <c r="A11" s="66"/>
      <c r="B11" s="67"/>
      <c r="C11" s="67"/>
      <c r="D11" s="67"/>
      <c r="E11" s="67"/>
      <c r="F11" s="67"/>
      <c r="G11" s="68"/>
      <c r="H11" s="67"/>
      <c r="I11" s="67"/>
      <c r="J11" s="67"/>
      <c r="K11" s="67"/>
      <c r="L11" s="67"/>
      <c r="M11" s="67"/>
      <c r="N11" s="67"/>
      <c r="O11" s="67"/>
      <c r="P11" s="67"/>
      <c r="Q11" s="69"/>
    </row>
    <row r="12" spans="1:17" ht="15.75" thickBot="1" x14ac:dyDescent="0.3">
      <c r="A12" s="150" t="s">
        <v>41</v>
      </c>
      <c r="B12" s="150"/>
      <c r="C12" s="150"/>
      <c r="D12" s="150"/>
      <c r="E12" s="150"/>
      <c r="F12" s="150"/>
      <c r="G12" s="150"/>
      <c r="H12" s="150"/>
      <c r="I12" s="150"/>
      <c r="J12" s="150"/>
      <c r="K12" s="150"/>
      <c r="L12" s="150"/>
      <c r="M12" s="150"/>
      <c r="N12" s="150"/>
      <c r="O12" s="150"/>
      <c r="P12" s="150"/>
      <c r="Q12" s="150"/>
    </row>
    <row r="13" spans="1:17" ht="15.75" thickBot="1" x14ac:dyDescent="0.3">
      <c r="A13" s="151" t="s">
        <v>42</v>
      </c>
      <c r="B13" s="151"/>
      <c r="C13" s="151"/>
      <c r="D13" s="151"/>
      <c r="E13" s="151"/>
      <c r="F13" s="151"/>
      <c r="G13" s="151"/>
      <c r="H13" s="151"/>
      <c r="I13" s="151"/>
      <c r="J13" s="151"/>
      <c r="K13" s="151"/>
      <c r="L13" s="151"/>
      <c r="M13" s="151"/>
      <c r="N13" s="151"/>
      <c r="O13" s="152" t="s">
        <v>43</v>
      </c>
      <c r="P13" s="152"/>
      <c r="Q13" s="153" t="s">
        <v>44</v>
      </c>
    </row>
    <row r="14" spans="1:17" ht="15.75" thickBot="1" x14ac:dyDescent="0.3">
      <c r="A14" s="70" t="s">
        <v>45</v>
      </c>
      <c r="B14" s="71" t="s">
        <v>46</v>
      </c>
      <c r="C14" s="71" t="s">
        <v>47</v>
      </c>
      <c r="D14" s="71" t="s">
        <v>48</v>
      </c>
      <c r="E14" s="71" t="s">
        <v>49</v>
      </c>
      <c r="F14" s="71" t="s">
        <v>50</v>
      </c>
      <c r="G14" s="72" t="s">
        <v>51</v>
      </c>
      <c r="H14" s="71" t="s">
        <v>52</v>
      </c>
      <c r="I14" s="71" t="s">
        <v>53</v>
      </c>
      <c r="J14" s="71" t="s">
        <v>54</v>
      </c>
      <c r="K14" s="71" t="s">
        <v>54</v>
      </c>
      <c r="L14" s="71" t="s">
        <v>55</v>
      </c>
      <c r="M14" s="73" t="s">
        <v>56</v>
      </c>
      <c r="N14" s="74" t="s">
        <v>57</v>
      </c>
      <c r="O14" s="152"/>
      <c r="P14" s="152"/>
      <c r="Q14" s="153"/>
    </row>
    <row r="15" spans="1:17" x14ac:dyDescent="0.25">
      <c r="A15" s="75">
        <v>26</v>
      </c>
      <c r="B15" s="76"/>
      <c r="C15" s="76"/>
      <c r="D15" s="76">
        <v>1</v>
      </c>
      <c r="E15" s="76"/>
      <c r="F15" s="76">
        <v>4901</v>
      </c>
      <c r="G15" s="76">
        <v>3</v>
      </c>
      <c r="H15" s="76">
        <v>1</v>
      </c>
      <c r="I15" s="76">
        <v>2</v>
      </c>
      <c r="J15" s="76">
        <v>1</v>
      </c>
      <c r="K15" s="76">
        <v>1</v>
      </c>
      <c r="L15" s="76"/>
      <c r="M15" s="77">
        <v>1</v>
      </c>
      <c r="N15" s="76" t="s">
        <v>68</v>
      </c>
      <c r="O15" s="154" t="s">
        <v>69</v>
      </c>
      <c r="P15" s="154"/>
      <c r="Q15" s="78" t="e">
        <f>'NP DPAIPD'!J14</f>
        <v>#REF!</v>
      </c>
    </row>
    <row r="16" spans="1:17" x14ac:dyDescent="0.25">
      <c r="A16" s="79"/>
      <c r="B16" s="80"/>
      <c r="C16" s="80"/>
      <c r="D16" s="80"/>
      <c r="E16" s="80"/>
      <c r="F16" s="80"/>
      <c r="G16" s="80"/>
      <c r="H16" s="80"/>
      <c r="I16" s="80"/>
      <c r="J16" s="80"/>
      <c r="K16" s="80"/>
      <c r="L16" s="80"/>
      <c r="M16" s="81"/>
      <c r="N16" s="94"/>
      <c r="O16" s="143"/>
      <c r="P16" s="143"/>
      <c r="Q16" s="83"/>
    </row>
    <row r="17" spans="1:17" x14ac:dyDescent="0.25">
      <c r="A17" s="79"/>
      <c r="B17" s="80"/>
      <c r="C17" s="80"/>
      <c r="D17" s="80"/>
      <c r="E17" s="80"/>
      <c r="F17" s="80"/>
      <c r="G17" s="80"/>
      <c r="H17" s="80"/>
      <c r="I17" s="80"/>
      <c r="J17" s="80"/>
      <c r="K17" s="80"/>
      <c r="L17" s="80"/>
      <c r="M17" s="81"/>
      <c r="N17" s="94"/>
      <c r="O17" s="155"/>
      <c r="P17" s="155"/>
      <c r="Q17" s="83"/>
    </row>
    <row r="18" spans="1:17" x14ac:dyDescent="0.25">
      <c r="A18" s="79"/>
      <c r="B18" s="80"/>
      <c r="C18" s="80"/>
      <c r="D18" s="80"/>
      <c r="E18" s="80"/>
      <c r="F18" s="80"/>
      <c r="G18" s="80"/>
      <c r="H18" s="80"/>
      <c r="I18" s="80"/>
      <c r="J18" s="80"/>
      <c r="K18" s="80"/>
      <c r="L18" s="80"/>
      <c r="M18" s="81"/>
      <c r="N18" s="94"/>
      <c r="O18" s="148"/>
      <c r="P18" s="148"/>
      <c r="Q18" s="83"/>
    </row>
    <row r="19" spans="1:17" x14ac:dyDescent="0.25">
      <c r="A19" s="79"/>
      <c r="B19" s="80"/>
      <c r="C19" s="80"/>
      <c r="D19" s="80"/>
      <c r="E19" s="80"/>
      <c r="F19" s="80"/>
      <c r="G19" s="80"/>
      <c r="H19" s="80"/>
      <c r="I19" s="80"/>
      <c r="J19" s="80"/>
      <c r="K19" s="80"/>
      <c r="L19" s="80"/>
      <c r="M19" s="81"/>
      <c r="N19" s="94"/>
      <c r="O19" s="148"/>
      <c r="P19" s="148"/>
      <c r="Q19" s="83"/>
    </row>
    <row r="20" spans="1:17" x14ac:dyDescent="0.25">
      <c r="A20" s="79"/>
      <c r="B20" s="80"/>
      <c r="C20" s="80"/>
      <c r="D20" s="80"/>
      <c r="E20" s="80"/>
      <c r="F20" s="80"/>
      <c r="G20" s="80"/>
      <c r="H20" s="80"/>
      <c r="I20" s="80"/>
      <c r="J20" s="80"/>
      <c r="K20" s="80"/>
      <c r="L20" s="80"/>
      <c r="M20" s="81"/>
      <c r="N20" s="94"/>
      <c r="O20" s="148"/>
      <c r="P20" s="148"/>
      <c r="Q20" s="83"/>
    </row>
    <row r="21" spans="1:17" x14ac:dyDescent="0.25">
      <c r="A21" s="79"/>
      <c r="B21" s="80"/>
      <c r="C21" s="80"/>
      <c r="D21" s="80"/>
      <c r="E21" s="80"/>
      <c r="F21" s="80"/>
      <c r="G21" s="80"/>
      <c r="H21" s="80"/>
      <c r="I21" s="80"/>
      <c r="J21" s="80"/>
      <c r="K21" s="80"/>
      <c r="L21" s="80"/>
      <c r="M21" s="81"/>
      <c r="N21" s="94"/>
      <c r="O21" s="148"/>
      <c r="P21" s="148"/>
      <c r="Q21" s="83"/>
    </row>
    <row r="22" spans="1:17" x14ac:dyDescent="0.25">
      <c r="A22" s="79"/>
      <c r="B22" s="80"/>
      <c r="C22" s="80"/>
      <c r="D22" s="80"/>
      <c r="E22" s="80"/>
      <c r="F22" s="80"/>
      <c r="G22" s="80"/>
      <c r="H22" s="80"/>
      <c r="I22" s="80"/>
      <c r="J22" s="80"/>
      <c r="K22" s="80"/>
      <c r="L22" s="80"/>
      <c r="M22" s="81"/>
      <c r="N22" s="94"/>
      <c r="O22" s="148"/>
      <c r="P22" s="148"/>
      <c r="Q22" s="83"/>
    </row>
    <row r="23" spans="1:17" x14ac:dyDescent="0.25">
      <c r="A23" s="79"/>
      <c r="B23" s="80"/>
      <c r="C23" s="80"/>
      <c r="D23" s="80"/>
      <c r="E23" s="80"/>
      <c r="F23" s="80"/>
      <c r="G23" s="80"/>
      <c r="H23" s="80"/>
      <c r="I23" s="80"/>
      <c r="J23" s="80"/>
      <c r="K23" s="80"/>
      <c r="L23" s="80"/>
      <c r="M23" s="81"/>
      <c r="N23" s="94"/>
      <c r="O23" s="148"/>
      <c r="P23" s="148"/>
      <c r="Q23" s="83"/>
    </row>
    <row r="24" spans="1:17" x14ac:dyDescent="0.25">
      <c r="A24" s="79"/>
      <c r="B24" s="80"/>
      <c r="C24" s="80"/>
      <c r="D24" s="80"/>
      <c r="E24" s="80"/>
      <c r="F24" s="80"/>
      <c r="G24" s="80"/>
      <c r="H24" s="80"/>
      <c r="I24" s="80"/>
      <c r="J24" s="80"/>
      <c r="K24" s="80"/>
      <c r="L24" s="80"/>
      <c r="M24" s="81"/>
      <c r="N24" s="94"/>
      <c r="O24" s="148"/>
      <c r="P24" s="148"/>
      <c r="Q24" s="83"/>
    </row>
    <row r="25" spans="1:17" x14ac:dyDescent="0.25">
      <c r="A25" s="79"/>
      <c r="B25" s="80"/>
      <c r="C25" s="80"/>
      <c r="D25" s="80"/>
      <c r="E25" s="80"/>
      <c r="F25" s="80"/>
      <c r="G25" s="80"/>
      <c r="H25" s="80"/>
      <c r="I25" s="80"/>
      <c r="J25" s="80"/>
      <c r="K25" s="80"/>
      <c r="L25" s="80"/>
      <c r="M25" s="81"/>
      <c r="N25" s="94"/>
      <c r="O25" s="148"/>
      <c r="P25" s="148"/>
      <c r="Q25" s="83"/>
    </row>
    <row r="26" spans="1:17" x14ac:dyDescent="0.25">
      <c r="A26" s="79"/>
      <c r="B26" s="80"/>
      <c r="C26" s="80"/>
      <c r="D26" s="80"/>
      <c r="E26" s="80"/>
      <c r="F26" s="80"/>
      <c r="G26" s="80"/>
      <c r="H26" s="80"/>
      <c r="I26" s="80"/>
      <c r="J26" s="80"/>
      <c r="K26" s="80"/>
      <c r="L26" s="80"/>
      <c r="M26" s="81"/>
      <c r="N26" s="94"/>
      <c r="O26" s="148"/>
      <c r="P26" s="148"/>
      <c r="Q26" s="83"/>
    </row>
    <row r="27" spans="1:17" x14ac:dyDescent="0.25">
      <c r="A27" s="79"/>
      <c r="B27" s="80"/>
      <c r="C27" s="80"/>
      <c r="D27" s="80"/>
      <c r="E27" s="80"/>
      <c r="F27" s="80"/>
      <c r="G27" s="80"/>
      <c r="H27" s="80"/>
      <c r="I27" s="80"/>
      <c r="J27" s="80"/>
      <c r="K27" s="80"/>
      <c r="L27" s="80"/>
      <c r="M27" s="81"/>
      <c r="N27" s="94"/>
      <c r="O27" s="148"/>
      <c r="P27" s="148"/>
      <c r="Q27" s="83"/>
    </row>
    <row r="28" spans="1:17" x14ac:dyDescent="0.25">
      <c r="A28" s="79"/>
      <c r="B28" s="80"/>
      <c r="C28" s="80"/>
      <c r="D28" s="80"/>
      <c r="E28" s="80"/>
      <c r="F28" s="80"/>
      <c r="G28" s="80"/>
      <c r="H28" s="80"/>
      <c r="I28" s="80"/>
      <c r="J28" s="80"/>
      <c r="K28" s="80"/>
      <c r="L28" s="80"/>
      <c r="M28" s="81"/>
      <c r="N28" s="94"/>
      <c r="O28" s="148"/>
      <c r="P28" s="148"/>
      <c r="Q28" s="83"/>
    </row>
    <row r="29" spans="1:17" x14ac:dyDescent="0.25">
      <c r="A29" s="79"/>
      <c r="B29" s="80"/>
      <c r="C29" s="80"/>
      <c r="D29" s="80"/>
      <c r="E29" s="80"/>
      <c r="F29" s="80"/>
      <c r="G29" s="80"/>
      <c r="H29" s="80"/>
      <c r="I29" s="80"/>
      <c r="J29" s="80"/>
      <c r="K29" s="80"/>
      <c r="L29" s="80"/>
      <c r="M29" s="81"/>
      <c r="N29" s="94"/>
      <c r="O29" s="148"/>
      <c r="P29" s="148"/>
      <c r="Q29" s="83"/>
    </row>
    <row r="30" spans="1:17" x14ac:dyDescent="0.25">
      <c r="A30" s="79"/>
      <c r="B30" s="80"/>
      <c r="C30" s="80"/>
      <c r="D30" s="80"/>
      <c r="E30" s="80"/>
      <c r="F30" s="80"/>
      <c r="G30" s="80"/>
      <c r="H30" s="80"/>
      <c r="I30" s="80"/>
      <c r="J30" s="80"/>
      <c r="K30" s="80"/>
      <c r="L30" s="80"/>
      <c r="M30" s="81"/>
      <c r="N30" s="94"/>
      <c r="O30" s="148"/>
      <c r="P30" s="148"/>
      <c r="Q30" s="83"/>
    </row>
    <row r="31" spans="1:17" x14ac:dyDescent="0.25">
      <c r="A31" s="79"/>
      <c r="B31" s="80"/>
      <c r="C31" s="80"/>
      <c r="D31" s="80"/>
      <c r="E31" s="80"/>
      <c r="F31" s="80"/>
      <c r="G31" s="80"/>
      <c r="H31" s="80"/>
      <c r="I31" s="80"/>
      <c r="J31" s="80"/>
      <c r="K31" s="80"/>
      <c r="L31" s="80"/>
      <c r="M31" s="81"/>
      <c r="N31" s="94"/>
      <c r="O31" s="148"/>
      <c r="P31" s="148"/>
      <c r="Q31" s="83"/>
    </row>
    <row r="32" spans="1:17" x14ac:dyDescent="0.25">
      <c r="A32" s="79"/>
      <c r="B32" s="80"/>
      <c r="C32" s="80"/>
      <c r="D32" s="80"/>
      <c r="E32" s="80"/>
      <c r="F32" s="94"/>
      <c r="G32" s="80"/>
      <c r="H32" s="80"/>
      <c r="I32" s="80"/>
      <c r="J32" s="80"/>
      <c r="K32" s="80"/>
      <c r="L32" s="80"/>
      <c r="M32" s="81"/>
      <c r="N32" s="94"/>
      <c r="O32" s="143"/>
      <c r="P32" s="143"/>
      <c r="Q32" s="83"/>
    </row>
    <row r="33" spans="1:17" x14ac:dyDescent="0.25">
      <c r="A33" s="79"/>
      <c r="B33" s="80"/>
      <c r="C33" s="80"/>
      <c r="D33" s="80"/>
      <c r="E33" s="80"/>
      <c r="F33" s="80"/>
      <c r="G33" s="80"/>
      <c r="H33" s="80"/>
      <c r="I33" s="80"/>
      <c r="J33" s="80"/>
      <c r="K33" s="80"/>
      <c r="L33" s="80"/>
      <c r="M33" s="81"/>
      <c r="N33" s="94"/>
      <c r="O33" s="143"/>
      <c r="P33" s="143"/>
      <c r="Q33" s="83"/>
    </row>
    <row r="34" spans="1:17" x14ac:dyDescent="0.25">
      <c r="A34" s="79"/>
      <c r="B34" s="80"/>
      <c r="C34" s="80"/>
      <c r="D34" s="80"/>
      <c r="E34" s="80"/>
      <c r="F34" s="94"/>
      <c r="G34" s="80"/>
      <c r="H34" s="80"/>
      <c r="I34" s="80"/>
      <c r="J34" s="80"/>
      <c r="K34" s="80"/>
      <c r="L34" s="80"/>
      <c r="M34" s="81"/>
      <c r="N34" s="94"/>
      <c r="O34" s="143"/>
      <c r="P34" s="143"/>
      <c r="Q34" s="83"/>
    </row>
    <row r="35" spans="1:17" x14ac:dyDescent="0.25">
      <c r="A35" s="79"/>
      <c r="B35" s="80"/>
      <c r="C35" s="80"/>
      <c r="D35" s="80"/>
      <c r="E35" s="80"/>
      <c r="F35" s="94"/>
      <c r="G35" s="80"/>
      <c r="H35" s="80"/>
      <c r="I35" s="80"/>
      <c r="J35" s="80"/>
      <c r="K35" s="80"/>
      <c r="L35" s="80"/>
      <c r="M35" s="81"/>
      <c r="N35" s="94"/>
      <c r="O35" s="143"/>
      <c r="P35" s="143"/>
      <c r="Q35" s="83"/>
    </row>
    <row r="36" spans="1:17" x14ac:dyDescent="0.25">
      <c r="A36" s="84"/>
      <c r="B36" s="85"/>
      <c r="C36" s="85"/>
      <c r="D36" s="85"/>
      <c r="E36" s="85"/>
      <c r="F36" s="86"/>
      <c r="G36" s="85"/>
      <c r="H36" s="85"/>
      <c r="I36" s="85"/>
      <c r="J36" s="85"/>
      <c r="K36" s="85"/>
      <c r="L36" s="85"/>
      <c r="M36" s="87"/>
      <c r="N36" s="88"/>
      <c r="O36" s="144"/>
      <c r="P36" s="144"/>
      <c r="Q36" s="83"/>
    </row>
    <row r="37" spans="1:17" ht="15.75" thickBot="1" x14ac:dyDescent="0.3">
      <c r="A37" s="89"/>
      <c r="B37" s="90"/>
      <c r="C37" s="90"/>
      <c r="D37" s="90"/>
      <c r="E37" s="90"/>
      <c r="F37" s="90"/>
      <c r="G37" s="90"/>
      <c r="H37" s="90"/>
      <c r="I37" s="90"/>
      <c r="J37" s="90"/>
      <c r="K37" s="90"/>
      <c r="L37" s="90"/>
      <c r="M37" s="91"/>
      <c r="N37" s="90"/>
      <c r="O37" s="145"/>
      <c r="P37" s="145"/>
      <c r="Q37" s="92"/>
    </row>
    <row r="38" spans="1:17" ht="15.75" thickBot="1" x14ac:dyDescent="0.3">
      <c r="A38" s="146" t="s">
        <v>89</v>
      </c>
      <c r="B38" s="146"/>
      <c r="C38" s="146"/>
      <c r="D38" s="146"/>
      <c r="E38" s="146"/>
      <c r="F38" s="146"/>
      <c r="G38" s="146"/>
      <c r="H38" s="146"/>
      <c r="I38" s="146"/>
      <c r="J38" s="146"/>
      <c r="K38" s="146"/>
      <c r="L38" s="146"/>
      <c r="M38" s="146"/>
      <c r="N38" s="146"/>
      <c r="O38" s="146"/>
      <c r="P38" s="146"/>
      <c r="Q38" s="93" t="e">
        <f>SUM(Q15:Q37)</f>
        <v>#REF!</v>
      </c>
    </row>
    <row r="39" spans="1:17" ht="15.75" thickBot="1" x14ac:dyDescent="0.3">
      <c r="A39" s="147"/>
      <c r="B39" s="147"/>
      <c r="C39" s="147"/>
      <c r="D39" s="147"/>
      <c r="E39" s="147"/>
      <c r="F39" s="147"/>
      <c r="G39" s="147"/>
      <c r="H39" s="147"/>
      <c r="I39" s="147"/>
      <c r="J39" s="147"/>
      <c r="K39" s="147"/>
      <c r="L39" s="147"/>
      <c r="M39" s="147"/>
      <c r="N39" s="147"/>
      <c r="O39" s="147"/>
      <c r="P39" s="147"/>
      <c r="Q39" s="147"/>
    </row>
    <row r="40" spans="1:17" ht="15.75" thickBot="1" x14ac:dyDescent="0.3">
      <c r="A40" s="140" t="s">
        <v>58</v>
      </c>
      <c r="B40" s="140"/>
      <c r="C40" s="140"/>
      <c r="D40" s="140"/>
      <c r="E40" s="140"/>
      <c r="F40" s="140"/>
      <c r="G40" s="141"/>
      <c r="H40" s="141"/>
      <c r="I40" s="141"/>
      <c r="J40" s="141"/>
      <c r="K40" s="141"/>
      <c r="L40" s="141"/>
      <c r="M40" s="141"/>
      <c r="N40" s="141"/>
      <c r="O40" s="141"/>
      <c r="P40" s="141"/>
      <c r="Q40" s="141"/>
    </row>
    <row r="41" spans="1:17" ht="15.75" thickBot="1" x14ac:dyDescent="0.3">
      <c r="A41" s="142" t="str">
        <f>'NP DPAIPD'!D8</f>
        <v>ADQ. DEL RUBRO ALIMENTOS PARA PERSONAS (BIDONES DE AGUA)</v>
      </c>
      <c r="B41" s="142"/>
      <c r="C41" s="142"/>
      <c r="D41" s="142"/>
      <c r="E41" s="142"/>
      <c r="F41" s="142"/>
      <c r="G41" s="142"/>
      <c r="H41" s="142"/>
      <c r="I41" s="142"/>
      <c r="J41" s="142"/>
      <c r="K41" s="142"/>
      <c r="L41" s="142"/>
      <c r="M41" s="142"/>
      <c r="N41" s="142"/>
      <c r="O41" s="142"/>
      <c r="P41" s="142"/>
      <c r="Q41" s="142"/>
    </row>
    <row r="42" spans="1:17" ht="15.75" thickBot="1" x14ac:dyDescent="0.3">
      <c r="A42" s="142"/>
      <c r="B42" s="142"/>
      <c r="C42" s="142"/>
      <c r="D42" s="142"/>
      <c r="E42" s="142"/>
      <c r="F42" s="142"/>
      <c r="G42" s="142"/>
      <c r="H42" s="142"/>
      <c r="I42" s="142"/>
      <c r="J42" s="142"/>
      <c r="K42" s="142"/>
      <c r="L42" s="142"/>
      <c r="M42" s="142"/>
      <c r="N42" s="142"/>
      <c r="O42" s="142"/>
      <c r="P42" s="142"/>
      <c r="Q42" s="142"/>
    </row>
  </sheetData>
  <mergeCells count="46">
    <mergeCell ref="A9:Q9"/>
    <mergeCell ref="A1:C1"/>
    <mergeCell ref="D1:E1"/>
    <mergeCell ref="P1:Q2"/>
    <mergeCell ref="A4:F4"/>
    <mergeCell ref="G4:Q4"/>
    <mergeCell ref="A5:F5"/>
    <mergeCell ref="G5:Q5"/>
    <mergeCell ref="A6:F6"/>
    <mergeCell ref="G6:Q6"/>
    <mergeCell ref="A7:F7"/>
    <mergeCell ref="G7:Q7"/>
    <mergeCell ref="A8:Q8"/>
    <mergeCell ref="O21:P21"/>
    <mergeCell ref="A10:Q10"/>
    <mergeCell ref="A12:Q12"/>
    <mergeCell ref="A13:N13"/>
    <mergeCell ref="O13:P14"/>
    <mergeCell ref="Q13:Q14"/>
    <mergeCell ref="O15:P15"/>
    <mergeCell ref="O16:P16"/>
    <mergeCell ref="O17:P17"/>
    <mergeCell ref="O18:P18"/>
    <mergeCell ref="O19:P19"/>
    <mergeCell ref="O20:P20"/>
    <mergeCell ref="O33:P33"/>
    <mergeCell ref="O22:P22"/>
    <mergeCell ref="O23:P23"/>
    <mergeCell ref="O24:P24"/>
    <mergeCell ref="O25:P25"/>
    <mergeCell ref="O26:P26"/>
    <mergeCell ref="O27:P27"/>
    <mergeCell ref="O28:P28"/>
    <mergeCell ref="O29:P29"/>
    <mergeCell ref="O30:P30"/>
    <mergeCell ref="O31:P31"/>
    <mergeCell ref="O32:P32"/>
    <mergeCell ref="A40:F40"/>
    <mergeCell ref="G40:Q40"/>
    <mergeCell ref="A41:Q42"/>
    <mergeCell ref="O34:P34"/>
    <mergeCell ref="O35:P35"/>
    <mergeCell ref="O36:P36"/>
    <mergeCell ref="O37:P37"/>
    <mergeCell ref="A38:P38"/>
    <mergeCell ref="A39:Q39"/>
  </mergeCells>
  <pageMargins left="0.7" right="0.7" top="0.75" bottom="0.75" header="0.3" footer="0.3"/>
  <pageSetup paperSize="9" scale="81"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K14"/>
  <sheetViews>
    <sheetView workbookViewId="0">
      <selection activeCell="I22" sqref="I22"/>
    </sheetView>
  </sheetViews>
  <sheetFormatPr baseColWidth="10" defaultRowHeight="15" x14ac:dyDescent="0.25"/>
  <cols>
    <col min="1" max="1" width="5.5703125" style="25" customWidth="1"/>
    <col min="2" max="2" width="15.140625" style="25" customWidth="1"/>
    <col min="3" max="3" width="14.140625" style="25" customWidth="1"/>
    <col min="4" max="4" width="26" style="25" customWidth="1"/>
    <col min="5" max="5" width="8" style="25" customWidth="1"/>
    <col min="6" max="6" width="7.85546875" style="25" customWidth="1"/>
    <col min="7" max="7" width="28.5703125" style="25" customWidth="1"/>
    <col min="8" max="8" width="9.28515625" style="25" customWidth="1"/>
    <col min="9" max="9" width="15.5703125" style="25" customWidth="1"/>
    <col min="10" max="10" width="14.7109375" style="25" customWidth="1"/>
    <col min="11" max="11" width="15.5703125" style="25" customWidth="1"/>
    <col min="12" max="16384" width="11.42578125" style="25"/>
  </cols>
  <sheetData>
    <row r="1" spans="1:11" ht="30.75" thickBot="1" x14ac:dyDescent="0.3">
      <c r="A1" s="139" t="s">
        <v>22</v>
      </c>
      <c r="B1" s="139"/>
      <c r="C1" s="139"/>
      <c r="D1" s="139"/>
      <c r="E1" s="139"/>
      <c r="F1" s="139"/>
      <c r="G1" s="139"/>
      <c r="H1" s="139"/>
      <c r="I1" s="139"/>
      <c r="J1" s="39" t="s">
        <v>23</v>
      </c>
      <c r="K1" s="40"/>
    </row>
    <row r="2" spans="1:11" ht="16.5" thickBot="1" x14ac:dyDescent="0.3">
      <c r="A2" s="41"/>
      <c r="B2" s="42"/>
      <c r="C2" s="42"/>
      <c r="D2" s="43"/>
      <c r="E2" s="43"/>
      <c r="F2" s="43"/>
      <c r="G2" s="43"/>
      <c r="H2" s="43"/>
      <c r="I2" s="43"/>
      <c r="J2" s="43"/>
      <c r="K2" s="44"/>
    </row>
    <row r="3" spans="1:11" ht="16.5" customHeight="1" thickBot="1" x14ac:dyDescent="0.3">
      <c r="A3" s="136" t="s">
        <v>24</v>
      </c>
      <c r="B3" s="136"/>
      <c r="C3" s="136"/>
      <c r="D3" s="110" t="str">
        <f>'SAF 011'!C4</f>
        <v>040 - MINISTERIO DE SALUD</v>
      </c>
      <c r="E3" s="111"/>
      <c r="F3" s="111"/>
      <c r="G3" s="111"/>
      <c r="H3" s="111"/>
      <c r="I3" s="111"/>
      <c r="J3" s="111"/>
      <c r="K3" s="112"/>
    </row>
    <row r="4" spans="1:11" ht="16.5" customHeight="1" thickBot="1" x14ac:dyDescent="0.3">
      <c r="A4" s="137" t="s">
        <v>25</v>
      </c>
      <c r="B4" s="137"/>
      <c r="C4" s="137"/>
      <c r="D4" s="110" t="str">
        <f>'SAF 011'!C5</f>
        <v>011 - DIRECCION PROVINCIAL DE ADMINISTRACION - MINISTERIO DE SALUD</v>
      </c>
      <c r="E4" s="111"/>
      <c r="F4" s="111"/>
      <c r="G4" s="111"/>
      <c r="H4" s="111"/>
      <c r="I4" s="111"/>
      <c r="J4" s="111"/>
      <c r="K4" s="112"/>
    </row>
    <row r="5" spans="1:11" ht="16.5" thickBot="1" x14ac:dyDescent="0.3">
      <c r="A5" s="137" t="s">
        <v>26</v>
      </c>
      <c r="B5" s="137"/>
      <c r="C5" s="137"/>
      <c r="D5" s="110" t="s">
        <v>90</v>
      </c>
      <c r="E5" s="111"/>
      <c r="F5" s="111"/>
      <c r="G5" s="111"/>
      <c r="H5" s="111"/>
      <c r="I5" s="111"/>
      <c r="J5" s="111"/>
      <c r="K5" s="112"/>
    </row>
    <row r="6" spans="1:11" ht="16.5" thickBot="1" x14ac:dyDescent="0.3">
      <c r="A6" s="136" t="s">
        <v>27</v>
      </c>
      <c r="B6" s="136"/>
      <c r="C6" s="136"/>
      <c r="D6" s="110" t="s">
        <v>90</v>
      </c>
      <c r="E6" s="111"/>
      <c r="F6" s="111"/>
      <c r="G6" s="111"/>
      <c r="H6" s="111"/>
      <c r="I6" s="111"/>
      <c r="J6" s="111"/>
      <c r="K6" s="112"/>
    </row>
    <row r="7" spans="1:11" ht="16.5" thickBot="1" x14ac:dyDescent="0.3">
      <c r="A7" s="137" t="s">
        <v>28</v>
      </c>
      <c r="B7" s="137"/>
      <c r="C7" s="137"/>
      <c r="D7" s="110" t="s">
        <v>99</v>
      </c>
      <c r="E7" s="111"/>
      <c r="F7" s="111"/>
      <c r="G7" s="111"/>
      <c r="H7" s="111"/>
      <c r="I7" s="111"/>
      <c r="J7" s="111"/>
      <c r="K7" s="112"/>
    </row>
    <row r="8" spans="1:11" ht="16.5" thickBot="1" x14ac:dyDescent="0.3">
      <c r="A8" s="138" t="s">
        <v>29</v>
      </c>
      <c r="B8" s="138"/>
      <c r="C8" s="138"/>
      <c r="D8" s="113" t="s">
        <v>71</v>
      </c>
      <c r="E8" s="111"/>
      <c r="F8" s="111"/>
      <c r="G8" s="111"/>
      <c r="H8" s="111"/>
      <c r="I8" s="111"/>
      <c r="J8" s="111"/>
      <c r="K8" s="112"/>
    </row>
    <row r="9" spans="1:11" ht="16.5" thickBot="1" x14ac:dyDescent="0.3">
      <c r="A9" s="45"/>
      <c r="B9" s="46"/>
      <c r="C9" s="46"/>
      <c r="D9" s="47"/>
      <c r="E9" s="47"/>
      <c r="F9" s="47"/>
      <c r="G9" s="47"/>
      <c r="H9" s="47"/>
      <c r="I9" s="47"/>
      <c r="J9" s="47"/>
      <c r="K9" s="48"/>
    </row>
    <row r="10" spans="1:11" ht="15.75" thickBot="1" x14ac:dyDescent="0.3">
      <c r="A10" s="135" t="s">
        <v>30</v>
      </c>
      <c r="B10" s="134" t="s">
        <v>31</v>
      </c>
      <c r="C10" s="134" t="s">
        <v>32</v>
      </c>
      <c r="D10" s="134"/>
      <c r="E10" s="134"/>
      <c r="F10" s="134"/>
      <c r="G10" s="134"/>
      <c r="H10" s="134" t="s">
        <v>33</v>
      </c>
      <c r="I10" s="134" t="s">
        <v>34</v>
      </c>
      <c r="J10" s="134" t="s">
        <v>35</v>
      </c>
      <c r="K10" s="132" t="s">
        <v>36</v>
      </c>
    </row>
    <row r="11" spans="1:11" ht="24.75" customHeight="1" thickBot="1" x14ac:dyDescent="0.3">
      <c r="A11" s="135"/>
      <c r="B11" s="134"/>
      <c r="C11" s="134"/>
      <c r="D11" s="134"/>
      <c r="E11" s="134"/>
      <c r="F11" s="134"/>
      <c r="G11" s="134"/>
      <c r="H11" s="134"/>
      <c r="I11" s="134"/>
      <c r="J11" s="134"/>
      <c r="K11" s="132"/>
    </row>
    <row r="12" spans="1:11" ht="54" customHeight="1" x14ac:dyDescent="0.25">
      <c r="A12" s="49">
        <v>1</v>
      </c>
      <c r="B12" s="114" t="str">
        <f>'SAF 011'!B10</f>
        <v>2.1.1-7915.14</v>
      </c>
      <c r="C12" s="133" t="str">
        <f>'SAF 011'!E10</f>
        <v>AGUA POTABLE; TIPO: POTABILIZADA SIN GASIFICAR; PRESENTACION: SEGÚN PLIEGO, MATERIAL ENVASE: SEGÚN PLIEGO, TIPO ENVASE: SEGÚN PLIEGO</v>
      </c>
      <c r="D12" s="133"/>
      <c r="E12" s="133"/>
      <c r="F12" s="133"/>
      <c r="G12" s="133"/>
      <c r="H12" s="50" t="s">
        <v>72</v>
      </c>
      <c r="I12" s="51" t="s">
        <v>107</v>
      </c>
      <c r="J12" s="51">
        <f>'SAF 011'!H10</f>
        <v>600</v>
      </c>
      <c r="K12" s="52" t="e">
        <f>'SAF 011'!#REF!</f>
        <v>#REF!</v>
      </c>
    </row>
    <row r="13" spans="1:11" ht="15.75" x14ac:dyDescent="0.25">
      <c r="A13" s="53"/>
      <c r="B13" s="54"/>
      <c r="C13" s="131"/>
      <c r="D13" s="131"/>
      <c r="E13" s="131"/>
      <c r="F13" s="131"/>
      <c r="G13" s="131"/>
      <c r="H13" s="55"/>
      <c r="I13" s="56"/>
      <c r="J13" s="56"/>
      <c r="K13" s="57"/>
    </row>
    <row r="14" spans="1:11" ht="19.5" thickBot="1" x14ac:dyDescent="0.3">
      <c r="A14" s="128" t="s">
        <v>78</v>
      </c>
      <c r="B14" s="128"/>
      <c r="C14" s="128"/>
      <c r="D14" s="128"/>
      <c r="E14" s="128"/>
      <c r="F14" s="128"/>
      <c r="G14" s="128"/>
      <c r="H14" s="128"/>
      <c r="I14" s="128"/>
      <c r="J14" s="129" t="e">
        <f>+J12*K12</f>
        <v>#REF!</v>
      </c>
      <c r="K14" s="130"/>
    </row>
  </sheetData>
  <mergeCells count="18">
    <mergeCell ref="A7:C7"/>
    <mergeCell ref="A1:I1"/>
    <mergeCell ref="A3:C3"/>
    <mergeCell ref="A4:C4"/>
    <mergeCell ref="A5:C5"/>
    <mergeCell ref="A6:C6"/>
    <mergeCell ref="A8:C8"/>
    <mergeCell ref="A10:A11"/>
    <mergeCell ref="B10:B11"/>
    <mergeCell ref="C10:G11"/>
    <mergeCell ref="H10:H11"/>
    <mergeCell ref="J10:J11"/>
    <mergeCell ref="K10:K11"/>
    <mergeCell ref="C12:G12"/>
    <mergeCell ref="C13:G13"/>
    <mergeCell ref="A14:I14"/>
    <mergeCell ref="J14:K14"/>
    <mergeCell ref="I10:I11"/>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Q42"/>
  <sheetViews>
    <sheetView topLeftCell="A16" workbookViewId="0">
      <selection activeCell="O21" sqref="O21:P21"/>
    </sheetView>
  </sheetViews>
  <sheetFormatPr baseColWidth="10" defaultRowHeight="15" x14ac:dyDescent="0.25"/>
  <cols>
    <col min="1" max="5" width="4.42578125" style="25" customWidth="1"/>
    <col min="6" max="6" width="5.5703125" style="25" customWidth="1"/>
    <col min="7" max="7" width="4" style="25" bestFit="1" customWidth="1"/>
    <col min="8" max="14" width="4.42578125" style="25" customWidth="1"/>
    <col min="15" max="16" width="14.85546875" style="25" customWidth="1"/>
    <col min="17" max="17" width="14.7109375" style="25" customWidth="1"/>
    <col min="18" max="16384" width="11.42578125" style="25"/>
  </cols>
  <sheetData>
    <row r="1" spans="1:17" ht="15.75" thickBot="1" x14ac:dyDescent="0.3">
      <c r="A1" s="157" t="s">
        <v>5</v>
      </c>
      <c r="B1" s="157"/>
      <c r="C1" s="157"/>
      <c r="D1" s="158">
        <v>2022</v>
      </c>
      <c r="E1" s="158"/>
      <c r="F1" s="58"/>
      <c r="G1" s="58"/>
      <c r="H1" s="59"/>
      <c r="I1" s="59"/>
      <c r="J1" s="59"/>
      <c r="K1" s="59"/>
      <c r="L1" s="59"/>
      <c r="M1" s="59"/>
      <c r="N1" s="59"/>
      <c r="O1" s="60"/>
      <c r="P1" s="159" t="s">
        <v>37</v>
      </c>
      <c r="Q1" s="159"/>
    </row>
    <row r="2" spans="1:17" ht="15.75" thickBot="1" x14ac:dyDescent="0.3">
      <c r="A2" s="61"/>
      <c r="B2" s="62"/>
      <c r="C2" s="62"/>
      <c r="D2" s="62"/>
      <c r="E2" s="62"/>
      <c r="F2" s="62"/>
      <c r="G2" s="63"/>
      <c r="H2" s="64"/>
      <c r="I2" s="64"/>
      <c r="J2" s="64"/>
      <c r="K2" s="64"/>
      <c r="L2" s="64"/>
      <c r="M2" s="64"/>
      <c r="N2" s="64"/>
      <c r="O2" s="62"/>
      <c r="P2" s="159"/>
      <c r="Q2" s="159"/>
    </row>
    <row r="3" spans="1:17" ht="15.75" thickBot="1" x14ac:dyDescent="0.3">
      <c r="A3" s="61"/>
      <c r="B3" s="62"/>
      <c r="C3" s="62"/>
      <c r="D3" s="62"/>
      <c r="E3" s="62"/>
      <c r="F3" s="62"/>
      <c r="G3" s="63"/>
      <c r="H3" s="62"/>
      <c r="I3" s="62"/>
      <c r="J3" s="62"/>
      <c r="K3" s="62"/>
      <c r="L3" s="62"/>
      <c r="M3" s="62"/>
      <c r="N3" s="62"/>
      <c r="O3" s="62"/>
      <c r="P3" s="62"/>
      <c r="Q3" s="65"/>
    </row>
    <row r="4" spans="1:17" ht="15.75" thickBot="1" x14ac:dyDescent="0.3">
      <c r="A4" s="160" t="s">
        <v>38</v>
      </c>
      <c r="B4" s="160"/>
      <c r="C4" s="160"/>
      <c r="D4" s="160"/>
      <c r="E4" s="160"/>
      <c r="F4" s="160"/>
      <c r="G4" s="161" t="str">
        <f>'NP SPyGS'!D3</f>
        <v>040 - MINISTERIO DE SALUD</v>
      </c>
      <c r="H4" s="161"/>
      <c r="I4" s="161"/>
      <c r="J4" s="161"/>
      <c r="K4" s="161"/>
      <c r="L4" s="161"/>
      <c r="M4" s="161"/>
      <c r="N4" s="161"/>
      <c r="O4" s="161"/>
      <c r="P4" s="161"/>
      <c r="Q4" s="161"/>
    </row>
    <row r="5" spans="1:17" ht="15.75" thickBot="1" x14ac:dyDescent="0.3">
      <c r="A5" s="162" t="s">
        <v>25</v>
      </c>
      <c r="B5" s="162"/>
      <c r="C5" s="162"/>
      <c r="D5" s="162"/>
      <c r="E5" s="162"/>
      <c r="F5" s="162"/>
      <c r="G5" s="161" t="str">
        <f>'NP SPyGS'!D4</f>
        <v>011 - DIRECCION PROVINCIAL DE ADMINISTRACION - MINISTERIO DE SALUD</v>
      </c>
      <c r="H5" s="161"/>
      <c r="I5" s="161"/>
      <c r="J5" s="161"/>
      <c r="K5" s="161"/>
      <c r="L5" s="161"/>
      <c r="M5" s="161"/>
      <c r="N5" s="161"/>
      <c r="O5" s="161"/>
      <c r="P5" s="161"/>
      <c r="Q5" s="161"/>
    </row>
    <row r="6" spans="1:17" ht="15.75" thickBot="1" x14ac:dyDescent="0.3">
      <c r="A6" s="162" t="s">
        <v>26</v>
      </c>
      <c r="B6" s="162"/>
      <c r="C6" s="162"/>
      <c r="D6" s="162"/>
      <c r="E6" s="162"/>
      <c r="F6" s="162"/>
      <c r="G6" s="161" t="str">
        <f>'NP SPyGS'!D5</f>
        <v>382 - SECRETARIA DE PLANIFICACION Y GESTION EN SALUD</v>
      </c>
      <c r="H6" s="161"/>
      <c r="I6" s="161"/>
      <c r="J6" s="161"/>
      <c r="K6" s="161"/>
      <c r="L6" s="161"/>
      <c r="M6" s="161"/>
      <c r="N6" s="161"/>
      <c r="O6" s="161"/>
      <c r="P6" s="161"/>
      <c r="Q6" s="161"/>
    </row>
    <row r="7" spans="1:17" ht="15.75" thickBot="1" x14ac:dyDescent="0.3">
      <c r="A7" s="162" t="s">
        <v>27</v>
      </c>
      <c r="B7" s="162"/>
      <c r="C7" s="162"/>
      <c r="D7" s="162"/>
      <c r="E7" s="162"/>
      <c r="F7" s="162"/>
      <c r="G7" s="161" t="str">
        <f>'NP SPyGS'!D6</f>
        <v>382 - SECRETARIA DE PLANIFICACION Y GESTION EN SALUD</v>
      </c>
      <c r="H7" s="161"/>
      <c r="I7" s="161"/>
      <c r="J7" s="161"/>
      <c r="K7" s="161"/>
      <c r="L7" s="161"/>
      <c r="M7" s="161"/>
      <c r="N7" s="161"/>
      <c r="O7" s="161"/>
      <c r="P7" s="161"/>
      <c r="Q7" s="161"/>
    </row>
    <row r="8" spans="1:17" ht="15.75" thickBot="1" x14ac:dyDescent="0.3">
      <c r="A8" s="163" t="s">
        <v>39</v>
      </c>
      <c r="B8" s="163"/>
      <c r="C8" s="163"/>
      <c r="D8" s="163"/>
      <c r="E8" s="163"/>
      <c r="F8" s="163"/>
      <c r="G8" s="163"/>
      <c r="H8" s="163"/>
      <c r="I8" s="163"/>
      <c r="J8" s="163"/>
      <c r="K8" s="163"/>
      <c r="L8" s="163"/>
      <c r="M8" s="163"/>
      <c r="N8" s="163"/>
      <c r="O8" s="163"/>
      <c r="P8" s="163"/>
      <c r="Q8" s="163"/>
    </row>
    <row r="9" spans="1:17" ht="27.75" customHeight="1" x14ac:dyDescent="0.25">
      <c r="A9" s="156" t="s">
        <v>40</v>
      </c>
      <c r="B9" s="156"/>
      <c r="C9" s="156"/>
      <c r="D9" s="156"/>
      <c r="E9" s="156"/>
      <c r="F9" s="156"/>
      <c r="G9" s="156"/>
      <c r="H9" s="156"/>
      <c r="I9" s="156"/>
      <c r="J9" s="156"/>
      <c r="K9" s="156"/>
      <c r="L9" s="156"/>
      <c r="M9" s="156"/>
      <c r="N9" s="156"/>
      <c r="O9" s="156"/>
      <c r="P9" s="156"/>
      <c r="Q9" s="156"/>
    </row>
    <row r="10" spans="1:17" ht="57" customHeight="1" x14ac:dyDescent="0.25">
      <c r="A10" s="149" t="s">
        <v>59</v>
      </c>
      <c r="B10" s="149"/>
      <c r="C10" s="149"/>
      <c r="D10" s="149"/>
      <c r="E10" s="149"/>
      <c r="F10" s="149"/>
      <c r="G10" s="149"/>
      <c r="H10" s="149"/>
      <c r="I10" s="149"/>
      <c r="J10" s="149"/>
      <c r="K10" s="149"/>
      <c r="L10" s="149"/>
      <c r="M10" s="149"/>
      <c r="N10" s="149"/>
      <c r="O10" s="149"/>
      <c r="P10" s="149"/>
      <c r="Q10" s="149"/>
    </row>
    <row r="11" spans="1:17" ht="15.75" thickBot="1" x14ac:dyDescent="0.3">
      <c r="A11" s="66"/>
      <c r="B11" s="67"/>
      <c r="C11" s="67"/>
      <c r="D11" s="67"/>
      <c r="E11" s="67"/>
      <c r="F11" s="67"/>
      <c r="G11" s="68"/>
      <c r="H11" s="67"/>
      <c r="I11" s="67"/>
      <c r="J11" s="67"/>
      <c r="K11" s="67"/>
      <c r="L11" s="67"/>
      <c r="M11" s="67"/>
      <c r="N11" s="67"/>
      <c r="O11" s="67"/>
      <c r="P11" s="67"/>
      <c r="Q11" s="69"/>
    </row>
    <row r="12" spans="1:17" ht="15.75" thickBot="1" x14ac:dyDescent="0.3">
      <c r="A12" s="150" t="s">
        <v>41</v>
      </c>
      <c r="B12" s="150"/>
      <c r="C12" s="150"/>
      <c r="D12" s="150"/>
      <c r="E12" s="150"/>
      <c r="F12" s="150"/>
      <c r="G12" s="150"/>
      <c r="H12" s="150"/>
      <c r="I12" s="150"/>
      <c r="J12" s="150"/>
      <c r="K12" s="150"/>
      <c r="L12" s="150"/>
      <c r="M12" s="150"/>
      <c r="N12" s="150"/>
      <c r="O12" s="150"/>
      <c r="P12" s="150"/>
      <c r="Q12" s="150"/>
    </row>
    <row r="13" spans="1:17" ht="15.75" thickBot="1" x14ac:dyDescent="0.3">
      <c r="A13" s="151" t="s">
        <v>42</v>
      </c>
      <c r="B13" s="151"/>
      <c r="C13" s="151"/>
      <c r="D13" s="151"/>
      <c r="E13" s="151"/>
      <c r="F13" s="151"/>
      <c r="G13" s="151"/>
      <c r="H13" s="151"/>
      <c r="I13" s="151"/>
      <c r="J13" s="151"/>
      <c r="K13" s="151"/>
      <c r="L13" s="151"/>
      <c r="M13" s="151"/>
      <c r="N13" s="151"/>
      <c r="O13" s="152" t="s">
        <v>43</v>
      </c>
      <c r="P13" s="152"/>
      <c r="Q13" s="153" t="s">
        <v>44</v>
      </c>
    </row>
    <row r="14" spans="1:17" ht="15.75" thickBot="1" x14ac:dyDescent="0.3">
      <c r="A14" s="70" t="s">
        <v>45</v>
      </c>
      <c r="B14" s="71" t="s">
        <v>46</v>
      </c>
      <c r="C14" s="71" t="s">
        <v>47</v>
      </c>
      <c r="D14" s="71" t="s">
        <v>48</v>
      </c>
      <c r="E14" s="71" t="s">
        <v>49</v>
      </c>
      <c r="F14" s="71" t="s">
        <v>50</v>
      </c>
      <c r="G14" s="72" t="s">
        <v>51</v>
      </c>
      <c r="H14" s="71" t="s">
        <v>52</v>
      </c>
      <c r="I14" s="71" t="s">
        <v>53</v>
      </c>
      <c r="J14" s="71" t="s">
        <v>54</v>
      </c>
      <c r="K14" s="71" t="s">
        <v>54</v>
      </c>
      <c r="L14" s="71" t="s">
        <v>55</v>
      </c>
      <c r="M14" s="73" t="s">
        <v>56</v>
      </c>
      <c r="N14" s="74" t="s">
        <v>57</v>
      </c>
      <c r="O14" s="152"/>
      <c r="P14" s="152"/>
      <c r="Q14" s="153"/>
    </row>
    <row r="15" spans="1:17" x14ac:dyDescent="0.25">
      <c r="A15" s="75">
        <v>2</v>
      </c>
      <c r="B15" s="76"/>
      <c r="C15" s="76"/>
      <c r="D15" s="76">
        <v>1</v>
      </c>
      <c r="E15" s="76"/>
      <c r="F15" s="76">
        <v>4901</v>
      </c>
      <c r="G15" s="76">
        <v>1</v>
      </c>
      <c r="H15" s="76">
        <v>3</v>
      </c>
      <c r="I15" s="76">
        <v>2</v>
      </c>
      <c r="J15" s="76">
        <v>1</v>
      </c>
      <c r="K15" s="76">
        <v>1</v>
      </c>
      <c r="L15" s="76"/>
      <c r="M15" s="77">
        <v>1</v>
      </c>
      <c r="N15" s="76" t="s">
        <v>68</v>
      </c>
      <c r="O15" s="154" t="s">
        <v>69</v>
      </c>
      <c r="P15" s="154"/>
      <c r="Q15" s="78" t="e">
        <f>'NP SPyGS'!J14</f>
        <v>#REF!</v>
      </c>
    </row>
    <row r="16" spans="1:17" x14ac:dyDescent="0.25">
      <c r="A16" s="79"/>
      <c r="B16" s="80"/>
      <c r="C16" s="80"/>
      <c r="D16" s="80"/>
      <c r="E16" s="80"/>
      <c r="F16" s="80"/>
      <c r="G16" s="80"/>
      <c r="H16" s="80"/>
      <c r="I16" s="80"/>
      <c r="J16" s="80"/>
      <c r="K16" s="80"/>
      <c r="L16" s="80"/>
      <c r="M16" s="81"/>
      <c r="N16" s="94"/>
      <c r="O16" s="143"/>
      <c r="P16" s="143"/>
      <c r="Q16" s="83"/>
    </row>
    <row r="17" spans="1:17" x14ac:dyDescent="0.25">
      <c r="A17" s="79"/>
      <c r="B17" s="80"/>
      <c r="C17" s="80"/>
      <c r="D17" s="80"/>
      <c r="E17" s="80"/>
      <c r="F17" s="80"/>
      <c r="G17" s="80"/>
      <c r="H17" s="80"/>
      <c r="I17" s="80"/>
      <c r="J17" s="80"/>
      <c r="K17" s="80"/>
      <c r="L17" s="80"/>
      <c r="M17" s="81"/>
      <c r="N17" s="94"/>
      <c r="O17" s="155"/>
      <c r="P17" s="155"/>
      <c r="Q17" s="83"/>
    </row>
    <row r="18" spans="1:17" x14ac:dyDescent="0.25">
      <c r="A18" s="79"/>
      <c r="B18" s="80"/>
      <c r="C18" s="80"/>
      <c r="D18" s="80"/>
      <c r="E18" s="80"/>
      <c r="F18" s="80"/>
      <c r="G18" s="80"/>
      <c r="H18" s="80"/>
      <c r="I18" s="80"/>
      <c r="J18" s="80"/>
      <c r="K18" s="80"/>
      <c r="L18" s="80"/>
      <c r="M18" s="81"/>
      <c r="N18" s="94"/>
      <c r="O18" s="148"/>
      <c r="P18" s="148"/>
      <c r="Q18" s="83"/>
    </row>
    <row r="19" spans="1:17" x14ac:dyDescent="0.25">
      <c r="A19" s="79"/>
      <c r="B19" s="80"/>
      <c r="C19" s="80"/>
      <c r="D19" s="80"/>
      <c r="E19" s="80"/>
      <c r="F19" s="80"/>
      <c r="G19" s="80"/>
      <c r="H19" s="80"/>
      <c r="I19" s="80"/>
      <c r="J19" s="80"/>
      <c r="K19" s="80"/>
      <c r="L19" s="80"/>
      <c r="M19" s="81"/>
      <c r="N19" s="94"/>
      <c r="O19" s="148"/>
      <c r="P19" s="148"/>
      <c r="Q19" s="83"/>
    </row>
    <row r="20" spans="1:17" x14ac:dyDescent="0.25">
      <c r="A20" s="79"/>
      <c r="B20" s="80"/>
      <c r="C20" s="80"/>
      <c r="D20" s="80"/>
      <c r="E20" s="80"/>
      <c r="F20" s="80"/>
      <c r="G20" s="80"/>
      <c r="H20" s="80"/>
      <c r="I20" s="80"/>
      <c r="J20" s="80"/>
      <c r="K20" s="80"/>
      <c r="L20" s="80"/>
      <c r="M20" s="81"/>
      <c r="N20" s="94"/>
      <c r="O20" s="148"/>
      <c r="P20" s="148"/>
      <c r="Q20" s="83"/>
    </row>
    <row r="21" spans="1:17" x14ac:dyDescent="0.25">
      <c r="A21" s="79"/>
      <c r="B21" s="80"/>
      <c r="C21" s="80"/>
      <c r="D21" s="80"/>
      <c r="E21" s="80"/>
      <c r="F21" s="80"/>
      <c r="G21" s="80"/>
      <c r="H21" s="80"/>
      <c r="I21" s="80"/>
      <c r="J21" s="80"/>
      <c r="K21" s="80"/>
      <c r="L21" s="80"/>
      <c r="M21" s="81"/>
      <c r="N21" s="94"/>
      <c r="O21" s="148"/>
      <c r="P21" s="148"/>
      <c r="Q21" s="83"/>
    </row>
    <row r="22" spans="1:17" x14ac:dyDescent="0.25">
      <c r="A22" s="79"/>
      <c r="B22" s="80"/>
      <c r="C22" s="80"/>
      <c r="D22" s="80"/>
      <c r="E22" s="80"/>
      <c r="F22" s="80"/>
      <c r="G22" s="80"/>
      <c r="H22" s="80"/>
      <c r="I22" s="80"/>
      <c r="J22" s="80"/>
      <c r="K22" s="80"/>
      <c r="L22" s="80"/>
      <c r="M22" s="81"/>
      <c r="N22" s="94"/>
      <c r="O22" s="148"/>
      <c r="P22" s="148"/>
      <c r="Q22" s="83"/>
    </row>
    <row r="23" spans="1:17" x14ac:dyDescent="0.25">
      <c r="A23" s="79"/>
      <c r="B23" s="80"/>
      <c r="C23" s="80"/>
      <c r="D23" s="80"/>
      <c r="E23" s="80"/>
      <c r="F23" s="80"/>
      <c r="G23" s="80"/>
      <c r="H23" s="80"/>
      <c r="I23" s="80"/>
      <c r="J23" s="80"/>
      <c r="K23" s="80"/>
      <c r="L23" s="80"/>
      <c r="M23" s="81"/>
      <c r="N23" s="94"/>
      <c r="O23" s="148"/>
      <c r="P23" s="148"/>
      <c r="Q23" s="83"/>
    </row>
    <row r="24" spans="1:17" x14ac:dyDescent="0.25">
      <c r="A24" s="79"/>
      <c r="B24" s="80"/>
      <c r="C24" s="80"/>
      <c r="D24" s="80"/>
      <c r="E24" s="80"/>
      <c r="F24" s="80"/>
      <c r="G24" s="80"/>
      <c r="H24" s="80"/>
      <c r="I24" s="80"/>
      <c r="J24" s="80"/>
      <c r="K24" s="80"/>
      <c r="L24" s="80"/>
      <c r="M24" s="81"/>
      <c r="N24" s="94"/>
      <c r="O24" s="148"/>
      <c r="P24" s="148"/>
      <c r="Q24" s="83"/>
    </row>
    <row r="25" spans="1:17" x14ac:dyDescent="0.25">
      <c r="A25" s="79"/>
      <c r="B25" s="80"/>
      <c r="C25" s="80"/>
      <c r="D25" s="80"/>
      <c r="E25" s="80"/>
      <c r="F25" s="80"/>
      <c r="G25" s="80"/>
      <c r="H25" s="80"/>
      <c r="I25" s="80"/>
      <c r="J25" s="80"/>
      <c r="K25" s="80"/>
      <c r="L25" s="80"/>
      <c r="M25" s="81"/>
      <c r="N25" s="94"/>
      <c r="O25" s="148"/>
      <c r="P25" s="148"/>
      <c r="Q25" s="83"/>
    </row>
    <row r="26" spans="1:17" x14ac:dyDescent="0.25">
      <c r="A26" s="79"/>
      <c r="B26" s="80"/>
      <c r="C26" s="80"/>
      <c r="D26" s="80"/>
      <c r="E26" s="80"/>
      <c r="F26" s="80"/>
      <c r="G26" s="80"/>
      <c r="H26" s="80"/>
      <c r="I26" s="80"/>
      <c r="J26" s="80"/>
      <c r="K26" s="80"/>
      <c r="L26" s="80"/>
      <c r="M26" s="81"/>
      <c r="N26" s="94"/>
      <c r="O26" s="148"/>
      <c r="P26" s="148"/>
      <c r="Q26" s="83"/>
    </row>
    <row r="27" spans="1:17" x14ac:dyDescent="0.25">
      <c r="A27" s="79"/>
      <c r="B27" s="80"/>
      <c r="C27" s="80"/>
      <c r="D27" s="80"/>
      <c r="E27" s="80"/>
      <c r="F27" s="80"/>
      <c r="G27" s="80"/>
      <c r="H27" s="80"/>
      <c r="I27" s="80"/>
      <c r="J27" s="80"/>
      <c r="K27" s="80"/>
      <c r="L27" s="80"/>
      <c r="M27" s="81"/>
      <c r="N27" s="94"/>
      <c r="O27" s="148"/>
      <c r="P27" s="148"/>
      <c r="Q27" s="83"/>
    </row>
    <row r="28" spans="1:17" x14ac:dyDescent="0.25">
      <c r="A28" s="79"/>
      <c r="B28" s="80"/>
      <c r="C28" s="80"/>
      <c r="D28" s="80"/>
      <c r="E28" s="80"/>
      <c r="F28" s="80"/>
      <c r="G28" s="80"/>
      <c r="H28" s="80"/>
      <c r="I28" s="80"/>
      <c r="J28" s="80"/>
      <c r="K28" s="80"/>
      <c r="L28" s="80"/>
      <c r="M28" s="81"/>
      <c r="N28" s="94"/>
      <c r="O28" s="148"/>
      <c r="P28" s="148"/>
      <c r="Q28" s="83"/>
    </row>
    <row r="29" spans="1:17" x14ac:dyDescent="0.25">
      <c r="A29" s="79"/>
      <c r="B29" s="80"/>
      <c r="C29" s="80"/>
      <c r="D29" s="80"/>
      <c r="E29" s="80"/>
      <c r="F29" s="80"/>
      <c r="G29" s="80"/>
      <c r="H29" s="80"/>
      <c r="I29" s="80"/>
      <c r="J29" s="80"/>
      <c r="K29" s="80"/>
      <c r="L29" s="80"/>
      <c r="M29" s="81"/>
      <c r="N29" s="94"/>
      <c r="O29" s="148"/>
      <c r="P29" s="148"/>
      <c r="Q29" s="83"/>
    </row>
    <row r="30" spans="1:17" x14ac:dyDescent="0.25">
      <c r="A30" s="79"/>
      <c r="B30" s="80"/>
      <c r="C30" s="80"/>
      <c r="D30" s="80"/>
      <c r="E30" s="80"/>
      <c r="F30" s="80"/>
      <c r="G30" s="80"/>
      <c r="H30" s="80"/>
      <c r="I30" s="80"/>
      <c r="J30" s="80"/>
      <c r="K30" s="80"/>
      <c r="L30" s="80"/>
      <c r="M30" s="81"/>
      <c r="N30" s="94"/>
      <c r="O30" s="148"/>
      <c r="P30" s="148"/>
      <c r="Q30" s="83"/>
    </row>
    <row r="31" spans="1:17" x14ac:dyDescent="0.25">
      <c r="A31" s="79"/>
      <c r="B31" s="80"/>
      <c r="C31" s="80"/>
      <c r="D31" s="80"/>
      <c r="E31" s="80"/>
      <c r="F31" s="80"/>
      <c r="G31" s="80"/>
      <c r="H31" s="80"/>
      <c r="I31" s="80"/>
      <c r="J31" s="80"/>
      <c r="K31" s="80"/>
      <c r="L31" s="80"/>
      <c r="M31" s="81"/>
      <c r="N31" s="94"/>
      <c r="O31" s="148"/>
      <c r="P31" s="148"/>
      <c r="Q31" s="83"/>
    </row>
    <row r="32" spans="1:17" x14ac:dyDescent="0.25">
      <c r="A32" s="79"/>
      <c r="B32" s="80"/>
      <c r="C32" s="80"/>
      <c r="D32" s="80"/>
      <c r="E32" s="80"/>
      <c r="F32" s="94"/>
      <c r="G32" s="80"/>
      <c r="H32" s="80"/>
      <c r="I32" s="80"/>
      <c r="J32" s="80"/>
      <c r="K32" s="80"/>
      <c r="L32" s="80"/>
      <c r="M32" s="81"/>
      <c r="N32" s="94"/>
      <c r="O32" s="143"/>
      <c r="P32" s="143"/>
      <c r="Q32" s="83"/>
    </row>
    <row r="33" spans="1:17" x14ac:dyDescent="0.25">
      <c r="A33" s="79"/>
      <c r="B33" s="80"/>
      <c r="C33" s="80"/>
      <c r="D33" s="80"/>
      <c r="E33" s="80"/>
      <c r="F33" s="80"/>
      <c r="G33" s="80"/>
      <c r="H33" s="80"/>
      <c r="I33" s="80"/>
      <c r="J33" s="80"/>
      <c r="K33" s="80"/>
      <c r="L33" s="80"/>
      <c r="M33" s="81"/>
      <c r="N33" s="94"/>
      <c r="O33" s="143"/>
      <c r="P33" s="143"/>
      <c r="Q33" s="83"/>
    </row>
    <row r="34" spans="1:17" x14ac:dyDescent="0.25">
      <c r="A34" s="79"/>
      <c r="B34" s="80"/>
      <c r="C34" s="80"/>
      <c r="D34" s="80"/>
      <c r="E34" s="80"/>
      <c r="F34" s="94"/>
      <c r="G34" s="80"/>
      <c r="H34" s="80"/>
      <c r="I34" s="80"/>
      <c r="J34" s="80"/>
      <c r="K34" s="80"/>
      <c r="L34" s="80"/>
      <c r="M34" s="81"/>
      <c r="N34" s="94"/>
      <c r="O34" s="143"/>
      <c r="P34" s="143"/>
      <c r="Q34" s="83"/>
    </row>
    <row r="35" spans="1:17" x14ac:dyDescent="0.25">
      <c r="A35" s="79"/>
      <c r="B35" s="80"/>
      <c r="C35" s="80"/>
      <c r="D35" s="80"/>
      <c r="E35" s="80"/>
      <c r="F35" s="94"/>
      <c r="G35" s="80"/>
      <c r="H35" s="80"/>
      <c r="I35" s="80"/>
      <c r="J35" s="80"/>
      <c r="K35" s="80"/>
      <c r="L35" s="80"/>
      <c r="M35" s="81"/>
      <c r="N35" s="94"/>
      <c r="O35" s="143"/>
      <c r="P35" s="143"/>
      <c r="Q35" s="83"/>
    </row>
    <row r="36" spans="1:17" x14ac:dyDescent="0.25">
      <c r="A36" s="84"/>
      <c r="B36" s="85"/>
      <c r="C36" s="85"/>
      <c r="D36" s="85"/>
      <c r="E36" s="85"/>
      <c r="F36" s="86"/>
      <c r="G36" s="85"/>
      <c r="H36" s="85"/>
      <c r="I36" s="85"/>
      <c r="J36" s="85"/>
      <c r="K36" s="85"/>
      <c r="L36" s="85"/>
      <c r="M36" s="87"/>
      <c r="N36" s="88"/>
      <c r="O36" s="144"/>
      <c r="P36" s="144"/>
      <c r="Q36" s="83"/>
    </row>
    <row r="37" spans="1:17" ht="15.75" thickBot="1" x14ac:dyDescent="0.3">
      <c r="A37" s="89"/>
      <c r="B37" s="90"/>
      <c r="C37" s="90"/>
      <c r="D37" s="90"/>
      <c r="E37" s="90"/>
      <c r="F37" s="90"/>
      <c r="G37" s="90"/>
      <c r="H37" s="90"/>
      <c r="I37" s="90"/>
      <c r="J37" s="90"/>
      <c r="K37" s="90"/>
      <c r="L37" s="90"/>
      <c r="M37" s="91"/>
      <c r="N37" s="90"/>
      <c r="O37" s="145"/>
      <c r="P37" s="145"/>
      <c r="Q37" s="92"/>
    </row>
    <row r="38" spans="1:17" ht="15.75" thickBot="1" x14ac:dyDescent="0.3">
      <c r="A38" s="146" t="s">
        <v>79</v>
      </c>
      <c r="B38" s="146"/>
      <c r="C38" s="146"/>
      <c r="D38" s="146"/>
      <c r="E38" s="146"/>
      <c r="F38" s="146"/>
      <c r="G38" s="146"/>
      <c r="H38" s="146"/>
      <c r="I38" s="146"/>
      <c r="J38" s="146"/>
      <c r="K38" s="146"/>
      <c r="L38" s="146"/>
      <c r="M38" s="146"/>
      <c r="N38" s="146"/>
      <c r="O38" s="146"/>
      <c r="P38" s="146"/>
      <c r="Q38" s="93" t="e">
        <f>SUM(Q15:Q37)</f>
        <v>#REF!</v>
      </c>
    </row>
    <row r="39" spans="1:17" ht="15.75" thickBot="1" x14ac:dyDescent="0.3">
      <c r="A39" s="147"/>
      <c r="B39" s="147"/>
      <c r="C39" s="147"/>
      <c r="D39" s="147"/>
      <c r="E39" s="147"/>
      <c r="F39" s="147"/>
      <c r="G39" s="147"/>
      <c r="H39" s="147"/>
      <c r="I39" s="147"/>
      <c r="J39" s="147"/>
      <c r="K39" s="147"/>
      <c r="L39" s="147"/>
      <c r="M39" s="147"/>
      <c r="N39" s="147"/>
      <c r="O39" s="147"/>
      <c r="P39" s="147"/>
      <c r="Q39" s="147"/>
    </row>
    <row r="40" spans="1:17" ht="15.75" thickBot="1" x14ac:dyDescent="0.3">
      <c r="A40" s="140" t="s">
        <v>58</v>
      </c>
      <c r="B40" s="140"/>
      <c r="C40" s="140"/>
      <c r="D40" s="140"/>
      <c r="E40" s="140"/>
      <c r="F40" s="140"/>
      <c r="G40" s="141"/>
      <c r="H40" s="141"/>
      <c r="I40" s="141"/>
      <c r="J40" s="141"/>
      <c r="K40" s="141"/>
      <c r="L40" s="141"/>
      <c r="M40" s="141"/>
      <c r="N40" s="141"/>
      <c r="O40" s="141"/>
      <c r="P40" s="141"/>
      <c r="Q40" s="141"/>
    </row>
    <row r="41" spans="1:17" ht="15.75" thickBot="1" x14ac:dyDescent="0.3">
      <c r="A41" s="142" t="str">
        <f>'NP SPyGS'!D8</f>
        <v>ADQ. DEL RUBRO ALIMENTOS PARA PERSONAS (BIDONES DE AGUA)</v>
      </c>
      <c r="B41" s="142"/>
      <c r="C41" s="142"/>
      <c r="D41" s="142"/>
      <c r="E41" s="142"/>
      <c r="F41" s="142"/>
      <c r="G41" s="142"/>
      <c r="H41" s="142"/>
      <c r="I41" s="142"/>
      <c r="J41" s="142"/>
      <c r="K41" s="142"/>
      <c r="L41" s="142"/>
      <c r="M41" s="142"/>
      <c r="N41" s="142"/>
      <c r="O41" s="142"/>
      <c r="P41" s="142"/>
      <c r="Q41" s="142"/>
    </row>
    <row r="42" spans="1:17" ht="15.75" thickBot="1" x14ac:dyDescent="0.3">
      <c r="A42" s="142"/>
      <c r="B42" s="142"/>
      <c r="C42" s="142"/>
      <c r="D42" s="142"/>
      <c r="E42" s="142"/>
      <c r="F42" s="142"/>
      <c r="G42" s="142"/>
      <c r="H42" s="142"/>
      <c r="I42" s="142"/>
      <c r="J42" s="142"/>
      <c r="K42" s="142"/>
      <c r="L42" s="142"/>
      <c r="M42" s="142"/>
      <c r="N42" s="142"/>
      <c r="O42" s="142"/>
      <c r="P42" s="142"/>
      <c r="Q42" s="142"/>
    </row>
  </sheetData>
  <mergeCells count="46">
    <mergeCell ref="A9:Q9"/>
    <mergeCell ref="A1:C1"/>
    <mergeCell ref="D1:E1"/>
    <mergeCell ref="P1:Q2"/>
    <mergeCell ref="A4:F4"/>
    <mergeCell ref="G4:Q4"/>
    <mergeCell ref="A5:F5"/>
    <mergeCell ref="G5:Q5"/>
    <mergeCell ref="A6:F6"/>
    <mergeCell ref="G6:Q6"/>
    <mergeCell ref="A7:F7"/>
    <mergeCell ref="G7:Q7"/>
    <mergeCell ref="A8:Q8"/>
    <mergeCell ref="O21:P21"/>
    <mergeCell ref="A10:Q10"/>
    <mergeCell ref="A12:Q12"/>
    <mergeCell ref="A13:N13"/>
    <mergeCell ref="O13:P14"/>
    <mergeCell ref="Q13:Q14"/>
    <mergeCell ref="O15:P15"/>
    <mergeCell ref="O16:P16"/>
    <mergeCell ref="O17:P17"/>
    <mergeCell ref="O18:P18"/>
    <mergeCell ref="O19:P19"/>
    <mergeCell ref="O20:P20"/>
    <mergeCell ref="O33:P33"/>
    <mergeCell ref="O22:P22"/>
    <mergeCell ref="O23:P23"/>
    <mergeCell ref="O24:P24"/>
    <mergeCell ref="O25:P25"/>
    <mergeCell ref="O26:P26"/>
    <mergeCell ref="O27:P27"/>
    <mergeCell ref="O28:P28"/>
    <mergeCell ref="O29:P29"/>
    <mergeCell ref="O30:P30"/>
    <mergeCell ref="O31:P31"/>
    <mergeCell ref="O32:P32"/>
    <mergeCell ref="A40:F40"/>
    <mergeCell ref="G40:Q40"/>
    <mergeCell ref="A41:Q42"/>
    <mergeCell ref="O34:P34"/>
    <mergeCell ref="O35:P35"/>
    <mergeCell ref="O36:P36"/>
    <mergeCell ref="O37:P37"/>
    <mergeCell ref="A38:P38"/>
    <mergeCell ref="A39:Q39"/>
  </mergeCells>
  <pageMargins left="0.7" right="0.7" top="0.75" bottom="0.75" header="0.3" footer="0.3"/>
  <pageSetup paperSize="9" scale="81" orientation="portrait"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K14"/>
  <sheetViews>
    <sheetView workbookViewId="0">
      <selection activeCell="I12" sqref="I12"/>
    </sheetView>
  </sheetViews>
  <sheetFormatPr baseColWidth="10" defaultRowHeight="15" x14ac:dyDescent="0.25"/>
  <cols>
    <col min="1" max="1" width="5.5703125" style="25" customWidth="1"/>
    <col min="2" max="2" width="15.140625" style="25" customWidth="1"/>
    <col min="3" max="3" width="14.140625" style="25" customWidth="1"/>
    <col min="4" max="4" width="26" style="25" customWidth="1"/>
    <col min="5" max="5" width="8" style="25" customWidth="1"/>
    <col min="6" max="6" width="7.85546875" style="25" customWidth="1"/>
    <col min="7" max="7" width="28.5703125" style="25" customWidth="1"/>
    <col min="8" max="8" width="9.28515625" style="25" customWidth="1"/>
    <col min="9" max="9" width="15.5703125" style="25" customWidth="1"/>
    <col min="10" max="10" width="14.7109375" style="25" customWidth="1"/>
    <col min="11" max="11" width="15.5703125" style="25" customWidth="1"/>
    <col min="12" max="16384" width="11.42578125" style="25"/>
  </cols>
  <sheetData>
    <row r="1" spans="1:11" ht="30.75" thickBot="1" x14ac:dyDescent="0.3">
      <c r="A1" s="139" t="s">
        <v>22</v>
      </c>
      <c r="B1" s="139"/>
      <c r="C1" s="139"/>
      <c r="D1" s="139"/>
      <c r="E1" s="139"/>
      <c r="F1" s="139"/>
      <c r="G1" s="139"/>
      <c r="H1" s="139"/>
      <c r="I1" s="139"/>
      <c r="J1" s="39" t="s">
        <v>23</v>
      </c>
      <c r="K1" s="40"/>
    </row>
    <row r="2" spans="1:11" ht="16.5" thickBot="1" x14ac:dyDescent="0.3">
      <c r="A2" s="41"/>
      <c r="B2" s="42"/>
      <c r="C2" s="42"/>
      <c r="D2" s="43"/>
      <c r="E2" s="43"/>
      <c r="F2" s="43"/>
      <c r="G2" s="43"/>
      <c r="H2" s="43"/>
      <c r="I2" s="43"/>
      <c r="J2" s="43"/>
      <c r="K2" s="44"/>
    </row>
    <row r="3" spans="1:11" ht="16.5" customHeight="1" thickBot="1" x14ac:dyDescent="0.3">
      <c r="A3" s="136" t="s">
        <v>24</v>
      </c>
      <c r="B3" s="136"/>
      <c r="C3" s="136"/>
      <c r="D3" s="110" t="str">
        <f>'SAF 011'!C4</f>
        <v>040 - MINISTERIO DE SALUD</v>
      </c>
      <c r="E3" s="111"/>
      <c r="F3" s="111"/>
      <c r="G3" s="111"/>
      <c r="H3" s="111"/>
      <c r="I3" s="111"/>
      <c r="J3" s="111"/>
      <c r="K3" s="112"/>
    </row>
    <row r="4" spans="1:11" ht="16.5" customHeight="1" thickBot="1" x14ac:dyDescent="0.3">
      <c r="A4" s="137" t="s">
        <v>25</v>
      </c>
      <c r="B4" s="137"/>
      <c r="C4" s="137"/>
      <c r="D4" s="110" t="str">
        <f>'SAF 011'!C5</f>
        <v>011 - DIRECCION PROVINCIAL DE ADMINISTRACION - MINISTERIO DE SALUD</v>
      </c>
      <c r="E4" s="111"/>
      <c r="F4" s="111"/>
      <c r="G4" s="111"/>
      <c r="H4" s="111"/>
      <c r="I4" s="111"/>
      <c r="J4" s="111"/>
      <c r="K4" s="112"/>
    </row>
    <row r="5" spans="1:11" ht="16.5" thickBot="1" x14ac:dyDescent="0.3">
      <c r="A5" s="137" t="s">
        <v>26</v>
      </c>
      <c r="B5" s="137"/>
      <c r="C5" s="137"/>
      <c r="D5" s="110" t="s">
        <v>91</v>
      </c>
      <c r="E5" s="111"/>
      <c r="F5" s="111"/>
      <c r="G5" s="111"/>
      <c r="H5" s="111"/>
      <c r="I5" s="111"/>
      <c r="J5" s="111"/>
      <c r="K5" s="112"/>
    </row>
    <row r="6" spans="1:11" ht="16.5" thickBot="1" x14ac:dyDescent="0.3">
      <c r="A6" s="136" t="s">
        <v>27</v>
      </c>
      <c r="B6" s="136"/>
      <c r="C6" s="136"/>
      <c r="D6" s="110" t="s">
        <v>91</v>
      </c>
      <c r="E6" s="111"/>
      <c r="F6" s="111"/>
      <c r="G6" s="111"/>
      <c r="H6" s="111"/>
      <c r="I6" s="111"/>
      <c r="J6" s="111"/>
      <c r="K6" s="112"/>
    </row>
    <row r="7" spans="1:11" ht="16.5" thickBot="1" x14ac:dyDescent="0.3">
      <c r="A7" s="137" t="s">
        <v>28</v>
      </c>
      <c r="B7" s="137"/>
      <c r="C7" s="137"/>
      <c r="D7" s="110" t="s">
        <v>99</v>
      </c>
      <c r="E7" s="111"/>
      <c r="F7" s="111"/>
      <c r="G7" s="111"/>
      <c r="H7" s="111"/>
      <c r="I7" s="111"/>
      <c r="J7" s="111"/>
      <c r="K7" s="112"/>
    </row>
    <row r="8" spans="1:11" ht="16.5" thickBot="1" x14ac:dyDescent="0.3">
      <c r="A8" s="138" t="s">
        <v>29</v>
      </c>
      <c r="B8" s="138"/>
      <c r="C8" s="138"/>
      <c r="D8" s="113" t="s">
        <v>71</v>
      </c>
      <c r="E8" s="111"/>
      <c r="F8" s="111"/>
      <c r="G8" s="111"/>
      <c r="H8" s="111"/>
      <c r="I8" s="111"/>
      <c r="J8" s="111"/>
      <c r="K8" s="112"/>
    </row>
    <row r="9" spans="1:11" ht="16.5" thickBot="1" x14ac:dyDescent="0.3">
      <c r="A9" s="45"/>
      <c r="B9" s="46"/>
      <c r="C9" s="46"/>
      <c r="D9" s="47"/>
      <c r="E9" s="47"/>
      <c r="F9" s="47"/>
      <c r="G9" s="47"/>
      <c r="H9" s="47"/>
      <c r="I9" s="47"/>
      <c r="J9" s="47"/>
      <c r="K9" s="48"/>
    </row>
    <row r="10" spans="1:11" ht="15.75" thickBot="1" x14ac:dyDescent="0.3">
      <c r="A10" s="135" t="s">
        <v>30</v>
      </c>
      <c r="B10" s="134" t="s">
        <v>31</v>
      </c>
      <c r="C10" s="134" t="s">
        <v>32</v>
      </c>
      <c r="D10" s="134"/>
      <c r="E10" s="134"/>
      <c r="F10" s="134"/>
      <c r="G10" s="134"/>
      <c r="H10" s="134" t="s">
        <v>33</v>
      </c>
      <c r="I10" s="134" t="s">
        <v>34</v>
      </c>
      <c r="J10" s="134" t="s">
        <v>35</v>
      </c>
      <c r="K10" s="132" t="s">
        <v>36</v>
      </c>
    </row>
    <row r="11" spans="1:11" ht="24.75" customHeight="1" thickBot="1" x14ac:dyDescent="0.3">
      <c r="A11" s="135"/>
      <c r="B11" s="134"/>
      <c r="C11" s="134"/>
      <c r="D11" s="134"/>
      <c r="E11" s="134"/>
      <c r="F11" s="134"/>
      <c r="G11" s="134"/>
      <c r="H11" s="134"/>
      <c r="I11" s="134"/>
      <c r="J11" s="134"/>
      <c r="K11" s="132"/>
    </row>
    <row r="12" spans="1:11" ht="54" customHeight="1" x14ac:dyDescent="0.25">
      <c r="A12" s="49">
        <v>1</v>
      </c>
      <c r="B12" s="114" t="str">
        <f>'SAF 011'!B10</f>
        <v>2.1.1-7915.14</v>
      </c>
      <c r="C12" s="133" t="str">
        <f>'SAF 011'!E10</f>
        <v>AGUA POTABLE; TIPO: POTABILIZADA SIN GASIFICAR; PRESENTACION: SEGÚN PLIEGO, MATERIAL ENVASE: SEGÚN PLIEGO, TIPO ENVASE: SEGÚN PLIEGO</v>
      </c>
      <c r="D12" s="133"/>
      <c r="E12" s="133"/>
      <c r="F12" s="133"/>
      <c r="G12" s="133"/>
      <c r="H12" s="50" t="s">
        <v>72</v>
      </c>
      <c r="I12" s="51" t="s">
        <v>107</v>
      </c>
      <c r="J12" s="51">
        <f>'SAF 011'!H10</f>
        <v>600</v>
      </c>
      <c r="K12" s="52" t="e">
        <f>'SAF 011'!#REF!</f>
        <v>#REF!</v>
      </c>
    </row>
    <row r="13" spans="1:11" ht="15.75" x14ac:dyDescent="0.25">
      <c r="A13" s="53"/>
      <c r="B13" s="54"/>
      <c r="C13" s="131"/>
      <c r="D13" s="131"/>
      <c r="E13" s="131"/>
      <c r="F13" s="131"/>
      <c r="G13" s="131"/>
      <c r="H13" s="55"/>
      <c r="I13" s="56"/>
      <c r="J13" s="56"/>
      <c r="K13" s="57"/>
    </row>
    <row r="14" spans="1:11" ht="19.5" thickBot="1" x14ac:dyDescent="0.3">
      <c r="A14" s="128" t="s">
        <v>92</v>
      </c>
      <c r="B14" s="128"/>
      <c r="C14" s="128"/>
      <c r="D14" s="128"/>
      <c r="E14" s="128"/>
      <c r="F14" s="128"/>
      <c r="G14" s="128"/>
      <c r="H14" s="128"/>
      <c r="I14" s="128"/>
      <c r="J14" s="129" t="e">
        <f>+J12*K12</f>
        <v>#REF!</v>
      </c>
      <c r="K14" s="130"/>
    </row>
  </sheetData>
  <mergeCells count="18">
    <mergeCell ref="A7:C7"/>
    <mergeCell ref="A1:I1"/>
    <mergeCell ref="A3:C3"/>
    <mergeCell ref="A4:C4"/>
    <mergeCell ref="A5:C5"/>
    <mergeCell ref="A6:C6"/>
    <mergeCell ref="A8:C8"/>
    <mergeCell ref="A10:A11"/>
    <mergeCell ref="B10:B11"/>
    <mergeCell ref="C10:G11"/>
    <mergeCell ref="H10:H11"/>
    <mergeCell ref="J10:J11"/>
    <mergeCell ref="K10:K11"/>
    <mergeCell ref="C12:G12"/>
    <mergeCell ref="C13:G13"/>
    <mergeCell ref="A14:I14"/>
    <mergeCell ref="J14:K14"/>
    <mergeCell ref="I10:I11"/>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Q42"/>
  <sheetViews>
    <sheetView topLeftCell="A13" workbookViewId="0">
      <selection activeCell="G6" sqref="G6:Q6"/>
    </sheetView>
  </sheetViews>
  <sheetFormatPr baseColWidth="10" defaultRowHeight="15" x14ac:dyDescent="0.25"/>
  <cols>
    <col min="1" max="5" width="4.42578125" style="25" customWidth="1"/>
    <col min="6" max="6" width="5.5703125" style="25" customWidth="1"/>
    <col min="7" max="7" width="4" style="25" bestFit="1" customWidth="1"/>
    <col min="8" max="14" width="4.42578125" style="25" customWidth="1"/>
    <col min="15" max="16" width="14.85546875" style="25" customWidth="1"/>
    <col min="17" max="17" width="14.7109375" style="25" customWidth="1"/>
    <col min="18" max="16384" width="11.42578125" style="25"/>
  </cols>
  <sheetData>
    <row r="1" spans="1:17" ht="15.75" thickBot="1" x14ac:dyDescent="0.3">
      <c r="A1" s="157" t="s">
        <v>5</v>
      </c>
      <c r="B1" s="157"/>
      <c r="C1" s="157"/>
      <c r="D1" s="158">
        <v>2022</v>
      </c>
      <c r="E1" s="158"/>
      <c r="F1" s="58"/>
      <c r="G1" s="58"/>
      <c r="H1" s="59"/>
      <c r="I1" s="59"/>
      <c r="J1" s="59"/>
      <c r="K1" s="59"/>
      <c r="L1" s="59"/>
      <c r="M1" s="59"/>
      <c r="N1" s="59"/>
      <c r="O1" s="60"/>
      <c r="P1" s="159" t="s">
        <v>37</v>
      </c>
      <c r="Q1" s="159"/>
    </row>
    <row r="2" spans="1:17" ht="15.75" thickBot="1" x14ac:dyDescent="0.3">
      <c r="A2" s="61"/>
      <c r="B2" s="62"/>
      <c r="C2" s="62"/>
      <c r="D2" s="62"/>
      <c r="E2" s="62"/>
      <c r="F2" s="62"/>
      <c r="G2" s="63"/>
      <c r="H2" s="64"/>
      <c r="I2" s="64"/>
      <c r="J2" s="64"/>
      <c r="K2" s="64"/>
      <c r="L2" s="64"/>
      <c r="M2" s="64"/>
      <c r="N2" s="64"/>
      <c r="O2" s="62"/>
      <c r="P2" s="159"/>
      <c r="Q2" s="159"/>
    </row>
    <row r="3" spans="1:17" ht="15.75" thickBot="1" x14ac:dyDescent="0.3">
      <c r="A3" s="61"/>
      <c r="B3" s="62"/>
      <c r="C3" s="62"/>
      <c r="D3" s="62"/>
      <c r="E3" s="62"/>
      <c r="F3" s="62"/>
      <c r="G3" s="63"/>
      <c r="H3" s="62"/>
      <c r="I3" s="62"/>
      <c r="J3" s="62"/>
      <c r="K3" s="62"/>
      <c r="L3" s="62"/>
      <c r="M3" s="62"/>
      <c r="N3" s="62"/>
      <c r="O3" s="62"/>
      <c r="P3" s="62"/>
      <c r="Q3" s="65"/>
    </row>
    <row r="4" spans="1:17" ht="15.75" thickBot="1" x14ac:dyDescent="0.3">
      <c r="A4" s="160" t="s">
        <v>38</v>
      </c>
      <c r="B4" s="160"/>
      <c r="C4" s="160"/>
      <c r="D4" s="160"/>
      <c r="E4" s="160"/>
      <c r="F4" s="160"/>
      <c r="G4" s="161" t="str">
        <f>'NP SSMyA'!D3</f>
        <v>040 - MINISTERIO DE SALUD</v>
      </c>
      <c r="H4" s="161"/>
      <c r="I4" s="161"/>
      <c r="J4" s="161"/>
      <c r="K4" s="161"/>
      <c r="L4" s="161"/>
      <c r="M4" s="161"/>
      <c r="N4" s="161"/>
      <c r="O4" s="161"/>
      <c r="P4" s="161"/>
      <c r="Q4" s="161"/>
    </row>
    <row r="5" spans="1:17" ht="15.75" thickBot="1" x14ac:dyDescent="0.3">
      <c r="A5" s="162" t="s">
        <v>25</v>
      </c>
      <c r="B5" s="162"/>
      <c r="C5" s="162"/>
      <c r="D5" s="162"/>
      <c r="E5" s="162"/>
      <c r="F5" s="162"/>
      <c r="G5" s="161" t="str">
        <f>'NP SSMyA'!D4</f>
        <v>011 - DIRECCION PROVINCIAL DE ADMINISTRACION - MINISTERIO DE SALUD</v>
      </c>
      <c r="H5" s="161"/>
      <c r="I5" s="161"/>
      <c r="J5" s="161"/>
      <c r="K5" s="161"/>
      <c r="L5" s="161"/>
      <c r="M5" s="161"/>
      <c r="N5" s="161"/>
      <c r="O5" s="161"/>
      <c r="P5" s="161"/>
      <c r="Q5" s="161"/>
    </row>
    <row r="6" spans="1:17" ht="15.75" thickBot="1" x14ac:dyDescent="0.3">
      <c r="A6" s="162" t="s">
        <v>26</v>
      </c>
      <c r="B6" s="162"/>
      <c r="C6" s="162"/>
      <c r="D6" s="162"/>
      <c r="E6" s="162"/>
      <c r="F6" s="162"/>
      <c r="G6" s="161" t="str">
        <f>'NP SSMyA'!D5</f>
        <v>745 - SECRETARIA DE SALUD MENTAL Y ADICCIONES</v>
      </c>
      <c r="H6" s="161"/>
      <c r="I6" s="161"/>
      <c r="J6" s="161"/>
      <c r="K6" s="161"/>
      <c r="L6" s="161"/>
      <c r="M6" s="161"/>
      <c r="N6" s="161"/>
      <c r="O6" s="161"/>
      <c r="P6" s="161"/>
      <c r="Q6" s="161"/>
    </row>
    <row r="7" spans="1:17" ht="15.75" thickBot="1" x14ac:dyDescent="0.3">
      <c r="A7" s="162" t="s">
        <v>27</v>
      </c>
      <c r="B7" s="162"/>
      <c r="C7" s="162"/>
      <c r="D7" s="162"/>
      <c r="E7" s="162"/>
      <c r="F7" s="162"/>
      <c r="G7" s="161" t="str">
        <f>'NP SSMyA'!D6</f>
        <v>745 - SECRETARIA DE SALUD MENTAL Y ADICCIONES</v>
      </c>
      <c r="H7" s="161"/>
      <c r="I7" s="161"/>
      <c r="J7" s="161"/>
      <c r="K7" s="161"/>
      <c r="L7" s="161"/>
      <c r="M7" s="161"/>
      <c r="N7" s="161"/>
      <c r="O7" s="161"/>
      <c r="P7" s="161"/>
      <c r="Q7" s="161"/>
    </row>
    <row r="8" spans="1:17" ht="15.75" thickBot="1" x14ac:dyDescent="0.3">
      <c r="A8" s="163" t="s">
        <v>39</v>
      </c>
      <c r="B8" s="163"/>
      <c r="C8" s="163"/>
      <c r="D8" s="163"/>
      <c r="E8" s="163"/>
      <c r="F8" s="163"/>
      <c r="G8" s="163"/>
      <c r="H8" s="163"/>
      <c r="I8" s="163"/>
      <c r="J8" s="163"/>
      <c r="K8" s="163"/>
      <c r="L8" s="163"/>
      <c r="M8" s="163"/>
      <c r="N8" s="163"/>
      <c r="O8" s="163"/>
      <c r="P8" s="163"/>
      <c r="Q8" s="163"/>
    </row>
    <row r="9" spans="1:17" ht="27.75" customHeight="1" x14ac:dyDescent="0.25">
      <c r="A9" s="156" t="s">
        <v>40</v>
      </c>
      <c r="B9" s="156"/>
      <c r="C9" s="156"/>
      <c r="D9" s="156"/>
      <c r="E9" s="156"/>
      <c r="F9" s="156"/>
      <c r="G9" s="156"/>
      <c r="H9" s="156"/>
      <c r="I9" s="156"/>
      <c r="J9" s="156"/>
      <c r="K9" s="156"/>
      <c r="L9" s="156"/>
      <c r="M9" s="156"/>
      <c r="N9" s="156"/>
      <c r="O9" s="156"/>
      <c r="P9" s="156"/>
      <c r="Q9" s="156"/>
    </row>
    <row r="10" spans="1:17" ht="57" customHeight="1" x14ac:dyDescent="0.25">
      <c r="A10" s="149" t="s">
        <v>59</v>
      </c>
      <c r="B10" s="149"/>
      <c r="C10" s="149"/>
      <c r="D10" s="149"/>
      <c r="E10" s="149"/>
      <c r="F10" s="149"/>
      <c r="G10" s="149"/>
      <c r="H10" s="149"/>
      <c r="I10" s="149"/>
      <c r="J10" s="149"/>
      <c r="K10" s="149"/>
      <c r="L10" s="149"/>
      <c r="M10" s="149"/>
      <c r="N10" s="149"/>
      <c r="O10" s="149"/>
      <c r="P10" s="149"/>
      <c r="Q10" s="149"/>
    </row>
    <row r="11" spans="1:17" ht="15.75" thickBot="1" x14ac:dyDescent="0.3">
      <c r="A11" s="66"/>
      <c r="B11" s="67"/>
      <c r="C11" s="67"/>
      <c r="D11" s="67"/>
      <c r="E11" s="67"/>
      <c r="F11" s="67"/>
      <c r="G11" s="68"/>
      <c r="H11" s="67"/>
      <c r="I11" s="67"/>
      <c r="J11" s="67"/>
      <c r="K11" s="67"/>
      <c r="L11" s="67"/>
      <c r="M11" s="67"/>
      <c r="N11" s="67"/>
      <c r="O11" s="67"/>
      <c r="P11" s="67"/>
      <c r="Q11" s="69"/>
    </row>
    <row r="12" spans="1:17" ht="15.75" thickBot="1" x14ac:dyDescent="0.3">
      <c r="A12" s="150" t="s">
        <v>41</v>
      </c>
      <c r="B12" s="150"/>
      <c r="C12" s="150"/>
      <c r="D12" s="150"/>
      <c r="E12" s="150"/>
      <c r="F12" s="150"/>
      <c r="G12" s="150"/>
      <c r="H12" s="150"/>
      <c r="I12" s="150"/>
      <c r="J12" s="150"/>
      <c r="K12" s="150"/>
      <c r="L12" s="150"/>
      <c r="M12" s="150"/>
      <c r="N12" s="150"/>
      <c r="O12" s="150"/>
      <c r="P12" s="150"/>
      <c r="Q12" s="150"/>
    </row>
    <row r="13" spans="1:17" ht="15.75" thickBot="1" x14ac:dyDescent="0.3">
      <c r="A13" s="151" t="s">
        <v>42</v>
      </c>
      <c r="B13" s="151"/>
      <c r="C13" s="151"/>
      <c r="D13" s="151"/>
      <c r="E13" s="151"/>
      <c r="F13" s="151"/>
      <c r="G13" s="151"/>
      <c r="H13" s="151"/>
      <c r="I13" s="151"/>
      <c r="J13" s="151"/>
      <c r="K13" s="151"/>
      <c r="L13" s="151"/>
      <c r="M13" s="151"/>
      <c r="N13" s="151"/>
      <c r="O13" s="152" t="s">
        <v>43</v>
      </c>
      <c r="P13" s="152"/>
      <c r="Q13" s="153" t="s">
        <v>44</v>
      </c>
    </row>
    <row r="14" spans="1:17" ht="15.75" thickBot="1" x14ac:dyDescent="0.3">
      <c r="A14" s="70" t="s">
        <v>45</v>
      </c>
      <c r="B14" s="71" t="s">
        <v>46</v>
      </c>
      <c r="C14" s="71" t="s">
        <v>47</v>
      </c>
      <c r="D14" s="71" t="s">
        <v>48</v>
      </c>
      <c r="E14" s="71" t="s">
        <v>49</v>
      </c>
      <c r="F14" s="71" t="s">
        <v>50</v>
      </c>
      <c r="G14" s="72" t="s">
        <v>51</v>
      </c>
      <c r="H14" s="71" t="s">
        <v>52</v>
      </c>
      <c r="I14" s="71" t="s">
        <v>53</v>
      </c>
      <c r="J14" s="71" t="s">
        <v>54</v>
      </c>
      <c r="K14" s="71" t="s">
        <v>54</v>
      </c>
      <c r="L14" s="71" t="s">
        <v>55</v>
      </c>
      <c r="M14" s="73" t="s">
        <v>56</v>
      </c>
      <c r="N14" s="74" t="s">
        <v>57</v>
      </c>
      <c r="O14" s="152"/>
      <c r="P14" s="152"/>
      <c r="Q14" s="153"/>
    </row>
    <row r="15" spans="1:17" x14ac:dyDescent="0.25">
      <c r="A15" s="75">
        <v>5</v>
      </c>
      <c r="B15" s="76"/>
      <c r="C15" s="76"/>
      <c r="D15" s="76">
        <v>4</v>
      </c>
      <c r="E15" s="76"/>
      <c r="F15" s="76">
        <v>4901</v>
      </c>
      <c r="G15" s="76">
        <v>3</v>
      </c>
      <c r="H15" s="76">
        <v>1</v>
      </c>
      <c r="I15" s="76">
        <v>2</v>
      </c>
      <c r="J15" s="76">
        <v>1</v>
      </c>
      <c r="K15" s="76">
        <v>1</v>
      </c>
      <c r="L15" s="76"/>
      <c r="M15" s="77">
        <v>1</v>
      </c>
      <c r="N15" s="76" t="s">
        <v>68</v>
      </c>
      <c r="O15" s="154" t="s">
        <v>69</v>
      </c>
      <c r="P15" s="154"/>
      <c r="Q15" s="78" t="e">
        <f>'NP SSMyA'!J14</f>
        <v>#REF!</v>
      </c>
    </row>
    <row r="16" spans="1:17" x14ac:dyDescent="0.25">
      <c r="A16" s="79"/>
      <c r="B16" s="80"/>
      <c r="C16" s="80"/>
      <c r="D16" s="80"/>
      <c r="E16" s="80"/>
      <c r="F16" s="80"/>
      <c r="G16" s="80"/>
      <c r="H16" s="80"/>
      <c r="I16" s="80"/>
      <c r="J16" s="80"/>
      <c r="K16" s="80"/>
      <c r="L16" s="80"/>
      <c r="M16" s="81"/>
      <c r="N16" s="94"/>
      <c r="O16" s="143"/>
      <c r="P16" s="143"/>
      <c r="Q16" s="83"/>
    </row>
    <row r="17" spans="1:17" x14ac:dyDescent="0.25">
      <c r="A17" s="79"/>
      <c r="B17" s="80"/>
      <c r="C17" s="80"/>
      <c r="D17" s="80"/>
      <c r="E17" s="80"/>
      <c r="F17" s="80"/>
      <c r="G17" s="80"/>
      <c r="H17" s="80"/>
      <c r="I17" s="80"/>
      <c r="J17" s="80"/>
      <c r="K17" s="80"/>
      <c r="L17" s="80"/>
      <c r="M17" s="81"/>
      <c r="N17" s="94"/>
      <c r="O17" s="155"/>
      <c r="P17" s="155"/>
      <c r="Q17" s="83"/>
    </row>
    <row r="18" spans="1:17" x14ac:dyDescent="0.25">
      <c r="A18" s="79"/>
      <c r="B18" s="80"/>
      <c r="C18" s="80"/>
      <c r="D18" s="80"/>
      <c r="E18" s="80"/>
      <c r="F18" s="80"/>
      <c r="G18" s="80"/>
      <c r="H18" s="80"/>
      <c r="I18" s="80"/>
      <c r="J18" s="80"/>
      <c r="K18" s="80"/>
      <c r="L18" s="80"/>
      <c r="M18" s="81"/>
      <c r="N18" s="94"/>
      <c r="O18" s="148"/>
      <c r="P18" s="148"/>
      <c r="Q18" s="83"/>
    </row>
    <row r="19" spans="1:17" x14ac:dyDescent="0.25">
      <c r="A19" s="79"/>
      <c r="B19" s="80"/>
      <c r="C19" s="80"/>
      <c r="D19" s="80"/>
      <c r="E19" s="80"/>
      <c r="F19" s="80"/>
      <c r="G19" s="80"/>
      <c r="H19" s="80"/>
      <c r="I19" s="80"/>
      <c r="J19" s="80"/>
      <c r="K19" s="80"/>
      <c r="L19" s="80"/>
      <c r="M19" s="81"/>
      <c r="N19" s="94"/>
      <c r="O19" s="148"/>
      <c r="P19" s="148"/>
      <c r="Q19" s="83"/>
    </row>
    <row r="20" spans="1:17" x14ac:dyDescent="0.25">
      <c r="A20" s="79"/>
      <c r="B20" s="80"/>
      <c r="C20" s="80"/>
      <c r="D20" s="80"/>
      <c r="E20" s="80"/>
      <c r="F20" s="80"/>
      <c r="G20" s="80"/>
      <c r="H20" s="80"/>
      <c r="I20" s="80"/>
      <c r="J20" s="80"/>
      <c r="K20" s="80"/>
      <c r="L20" s="80"/>
      <c r="M20" s="81"/>
      <c r="N20" s="94"/>
      <c r="O20" s="148"/>
      <c r="P20" s="148"/>
      <c r="Q20" s="83"/>
    </row>
    <row r="21" spans="1:17" x14ac:dyDescent="0.25">
      <c r="A21" s="79"/>
      <c r="B21" s="80"/>
      <c r="C21" s="80"/>
      <c r="D21" s="80"/>
      <c r="E21" s="80"/>
      <c r="F21" s="80"/>
      <c r="G21" s="80"/>
      <c r="H21" s="80"/>
      <c r="I21" s="80"/>
      <c r="J21" s="80"/>
      <c r="K21" s="80"/>
      <c r="L21" s="80"/>
      <c r="M21" s="81"/>
      <c r="N21" s="94"/>
      <c r="O21" s="148"/>
      <c r="P21" s="148"/>
      <c r="Q21" s="83"/>
    </row>
    <row r="22" spans="1:17" x14ac:dyDescent="0.25">
      <c r="A22" s="79"/>
      <c r="B22" s="80"/>
      <c r="C22" s="80"/>
      <c r="D22" s="80"/>
      <c r="E22" s="80"/>
      <c r="F22" s="80"/>
      <c r="G22" s="80"/>
      <c r="H22" s="80"/>
      <c r="I22" s="80"/>
      <c r="J22" s="80"/>
      <c r="K22" s="80"/>
      <c r="L22" s="80"/>
      <c r="M22" s="81"/>
      <c r="N22" s="94"/>
      <c r="O22" s="148"/>
      <c r="P22" s="148"/>
      <c r="Q22" s="83"/>
    </row>
    <row r="23" spans="1:17" x14ac:dyDescent="0.25">
      <c r="A23" s="79"/>
      <c r="B23" s="80"/>
      <c r="C23" s="80"/>
      <c r="D23" s="80"/>
      <c r="E23" s="80"/>
      <c r="F23" s="80"/>
      <c r="G23" s="80"/>
      <c r="H23" s="80"/>
      <c r="I23" s="80"/>
      <c r="J23" s="80"/>
      <c r="K23" s="80"/>
      <c r="L23" s="80"/>
      <c r="M23" s="81"/>
      <c r="N23" s="94"/>
      <c r="O23" s="148"/>
      <c r="P23" s="148"/>
      <c r="Q23" s="83"/>
    </row>
    <row r="24" spans="1:17" x14ac:dyDescent="0.25">
      <c r="A24" s="79"/>
      <c r="B24" s="80"/>
      <c r="C24" s="80"/>
      <c r="D24" s="80"/>
      <c r="E24" s="80"/>
      <c r="F24" s="80"/>
      <c r="G24" s="80"/>
      <c r="H24" s="80"/>
      <c r="I24" s="80"/>
      <c r="J24" s="80"/>
      <c r="K24" s="80"/>
      <c r="L24" s="80"/>
      <c r="M24" s="81"/>
      <c r="N24" s="94"/>
      <c r="O24" s="148"/>
      <c r="P24" s="148"/>
      <c r="Q24" s="83"/>
    </row>
    <row r="25" spans="1:17" x14ac:dyDescent="0.25">
      <c r="A25" s="79"/>
      <c r="B25" s="80"/>
      <c r="C25" s="80"/>
      <c r="D25" s="80"/>
      <c r="E25" s="80"/>
      <c r="F25" s="80"/>
      <c r="G25" s="80"/>
      <c r="H25" s="80"/>
      <c r="I25" s="80"/>
      <c r="J25" s="80"/>
      <c r="K25" s="80"/>
      <c r="L25" s="80"/>
      <c r="M25" s="81"/>
      <c r="N25" s="94"/>
      <c r="O25" s="148"/>
      <c r="P25" s="148"/>
      <c r="Q25" s="83"/>
    </row>
    <row r="26" spans="1:17" x14ac:dyDescent="0.25">
      <c r="A26" s="79"/>
      <c r="B26" s="80"/>
      <c r="C26" s="80"/>
      <c r="D26" s="80"/>
      <c r="E26" s="80"/>
      <c r="F26" s="80"/>
      <c r="G26" s="80"/>
      <c r="H26" s="80"/>
      <c r="I26" s="80"/>
      <c r="J26" s="80"/>
      <c r="K26" s="80"/>
      <c r="L26" s="80"/>
      <c r="M26" s="81"/>
      <c r="N26" s="94"/>
      <c r="O26" s="148"/>
      <c r="P26" s="148"/>
      <c r="Q26" s="83"/>
    </row>
    <row r="27" spans="1:17" x14ac:dyDescent="0.25">
      <c r="A27" s="79"/>
      <c r="B27" s="80"/>
      <c r="C27" s="80"/>
      <c r="D27" s="80"/>
      <c r="E27" s="80"/>
      <c r="F27" s="80"/>
      <c r="G27" s="80"/>
      <c r="H27" s="80"/>
      <c r="I27" s="80"/>
      <c r="J27" s="80"/>
      <c r="K27" s="80"/>
      <c r="L27" s="80"/>
      <c r="M27" s="81"/>
      <c r="N27" s="94"/>
      <c r="O27" s="148"/>
      <c r="P27" s="148"/>
      <c r="Q27" s="83"/>
    </row>
    <row r="28" spans="1:17" x14ac:dyDescent="0.25">
      <c r="A28" s="79"/>
      <c r="B28" s="80"/>
      <c r="C28" s="80"/>
      <c r="D28" s="80"/>
      <c r="E28" s="80"/>
      <c r="F28" s="80"/>
      <c r="G28" s="80"/>
      <c r="H28" s="80"/>
      <c r="I28" s="80"/>
      <c r="J28" s="80"/>
      <c r="K28" s="80"/>
      <c r="L28" s="80"/>
      <c r="M28" s="81"/>
      <c r="N28" s="94"/>
      <c r="O28" s="148"/>
      <c r="P28" s="148"/>
      <c r="Q28" s="83"/>
    </row>
    <row r="29" spans="1:17" x14ac:dyDescent="0.25">
      <c r="A29" s="79"/>
      <c r="B29" s="80"/>
      <c r="C29" s="80"/>
      <c r="D29" s="80"/>
      <c r="E29" s="80"/>
      <c r="F29" s="80"/>
      <c r="G29" s="80"/>
      <c r="H29" s="80"/>
      <c r="I29" s="80"/>
      <c r="J29" s="80"/>
      <c r="K29" s="80"/>
      <c r="L29" s="80"/>
      <c r="M29" s="81"/>
      <c r="N29" s="94"/>
      <c r="O29" s="148"/>
      <c r="P29" s="148"/>
      <c r="Q29" s="83"/>
    </row>
    <row r="30" spans="1:17" x14ac:dyDescent="0.25">
      <c r="A30" s="79"/>
      <c r="B30" s="80"/>
      <c r="C30" s="80"/>
      <c r="D30" s="80"/>
      <c r="E30" s="80"/>
      <c r="F30" s="80"/>
      <c r="G30" s="80"/>
      <c r="H30" s="80"/>
      <c r="I30" s="80"/>
      <c r="J30" s="80"/>
      <c r="K30" s="80"/>
      <c r="L30" s="80"/>
      <c r="M30" s="81"/>
      <c r="N30" s="94"/>
      <c r="O30" s="148"/>
      <c r="P30" s="148"/>
      <c r="Q30" s="83"/>
    </row>
    <row r="31" spans="1:17" x14ac:dyDescent="0.25">
      <c r="A31" s="79"/>
      <c r="B31" s="80"/>
      <c r="C31" s="80"/>
      <c r="D31" s="80"/>
      <c r="E31" s="80"/>
      <c r="F31" s="80"/>
      <c r="G31" s="80"/>
      <c r="H31" s="80"/>
      <c r="I31" s="80"/>
      <c r="J31" s="80"/>
      <c r="K31" s="80"/>
      <c r="L31" s="80"/>
      <c r="M31" s="81"/>
      <c r="N31" s="94"/>
      <c r="O31" s="148"/>
      <c r="P31" s="148"/>
      <c r="Q31" s="83"/>
    </row>
    <row r="32" spans="1:17" x14ac:dyDescent="0.25">
      <c r="A32" s="79"/>
      <c r="B32" s="80"/>
      <c r="C32" s="80"/>
      <c r="D32" s="80"/>
      <c r="E32" s="80"/>
      <c r="F32" s="94"/>
      <c r="G32" s="80"/>
      <c r="H32" s="80"/>
      <c r="I32" s="80"/>
      <c r="J32" s="80"/>
      <c r="K32" s="80"/>
      <c r="L32" s="80"/>
      <c r="M32" s="81"/>
      <c r="N32" s="94"/>
      <c r="O32" s="143"/>
      <c r="P32" s="143"/>
      <c r="Q32" s="83"/>
    </row>
    <row r="33" spans="1:17" x14ac:dyDescent="0.25">
      <c r="A33" s="79"/>
      <c r="B33" s="80"/>
      <c r="C33" s="80"/>
      <c r="D33" s="80"/>
      <c r="E33" s="80"/>
      <c r="F33" s="80"/>
      <c r="G33" s="80"/>
      <c r="H33" s="80"/>
      <c r="I33" s="80"/>
      <c r="J33" s="80"/>
      <c r="K33" s="80"/>
      <c r="L33" s="80"/>
      <c r="M33" s="81"/>
      <c r="N33" s="94"/>
      <c r="O33" s="143"/>
      <c r="P33" s="143"/>
      <c r="Q33" s="83"/>
    </row>
    <row r="34" spans="1:17" x14ac:dyDescent="0.25">
      <c r="A34" s="79"/>
      <c r="B34" s="80"/>
      <c r="C34" s="80"/>
      <c r="D34" s="80"/>
      <c r="E34" s="80"/>
      <c r="F34" s="94"/>
      <c r="G34" s="80"/>
      <c r="H34" s="80"/>
      <c r="I34" s="80"/>
      <c r="J34" s="80"/>
      <c r="K34" s="80"/>
      <c r="L34" s="80"/>
      <c r="M34" s="81"/>
      <c r="N34" s="94"/>
      <c r="O34" s="143"/>
      <c r="P34" s="143"/>
      <c r="Q34" s="83"/>
    </row>
    <row r="35" spans="1:17" x14ac:dyDescent="0.25">
      <c r="A35" s="79"/>
      <c r="B35" s="80"/>
      <c r="C35" s="80"/>
      <c r="D35" s="80"/>
      <c r="E35" s="80"/>
      <c r="F35" s="94"/>
      <c r="G35" s="80"/>
      <c r="H35" s="80"/>
      <c r="I35" s="80"/>
      <c r="J35" s="80"/>
      <c r="K35" s="80"/>
      <c r="L35" s="80"/>
      <c r="M35" s="81"/>
      <c r="N35" s="94"/>
      <c r="O35" s="143"/>
      <c r="P35" s="143"/>
      <c r="Q35" s="83"/>
    </row>
    <row r="36" spans="1:17" x14ac:dyDescent="0.25">
      <c r="A36" s="84"/>
      <c r="B36" s="85"/>
      <c r="C36" s="85"/>
      <c r="D36" s="85"/>
      <c r="E36" s="85"/>
      <c r="F36" s="86"/>
      <c r="G36" s="85"/>
      <c r="H36" s="85"/>
      <c r="I36" s="85"/>
      <c r="J36" s="85"/>
      <c r="K36" s="85"/>
      <c r="L36" s="85"/>
      <c r="M36" s="87"/>
      <c r="N36" s="88"/>
      <c r="O36" s="144"/>
      <c r="P36" s="144"/>
      <c r="Q36" s="83"/>
    </row>
    <row r="37" spans="1:17" ht="15.75" thickBot="1" x14ac:dyDescent="0.3">
      <c r="A37" s="89"/>
      <c r="B37" s="90"/>
      <c r="C37" s="90"/>
      <c r="D37" s="90"/>
      <c r="E37" s="90"/>
      <c r="F37" s="90"/>
      <c r="G37" s="90"/>
      <c r="H37" s="90"/>
      <c r="I37" s="90"/>
      <c r="J37" s="90"/>
      <c r="K37" s="90"/>
      <c r="L37" s="90"/>
      <c r="M37" s="91"/>
      <c r="N37" s="90"/>
      <c r="O37" s="145"/>
      <c r="P37" s="145"/>
      <c r="Q37" s="92"/>
    </row>
    <row r="38" spans="1:17" ht="15.75" thickBot="1" x14ac:dyDescent="0.3">
      <c r="A38" s="146" t="s">
        <v>93</v>
      </c>
      <c r="B38" s="146"/>
      <c r="C38" s="146"/>
      <c r="D38" s="146"/>
      <c r="E38" s="146"/>
      <c r="F38" s="146"/>
      <c r="G38" s="146"/>
      <c r="H38" s="146"/>
      <c r="I38" s="146"/>
      <c r="J38" s="146"/>
      <c r="K38" s="146"/>
      <c r="L38" s="146"/>
      <c r="M38" s="146"/>
      <c r="N38" s="146"/>
      <c r="O38" s="146"/>
      <c r="P38" s="146"/>
      <c r="Q38" s="93" t="e">
        <f>SUM(Q15:Q37)</f>
        <v>#REF!</v>
      </c>
    </row>
    <row r="39" spans="1:17" ht="15.75" thickBot="1" x14ac:dyDescent="0.3">
      <c r="A39" s="147"/>
      <c r="B39" s="147"/>
      <c r="C39" s="147"/>
      <c r="D39" s="147"/>
      <c r="E39" s="147"/>
      <c r="F39" s="147"/>
      <c r="G39" s="147"/>
      <c r="H39" s="147"/>
      <c r="I39" s="147"/>
      <c r="J39" s="147"/>
      <c r="K39" s="147"/>
      <c r="L39" s="147"/>
      <c r="M39" s="147"/>
      <c r="N39" s="147"/>
      <c r="O39" s="147"/>
      <c r="P39" s="147"/>
      <c r="Q39" s="147"/>
    </row>
    <row r="40" spans="1:17" ht="15.75" thickBot="1" x14ac:dyDescent="0.3">
      <c r="A40" s="140" t="s">
        <v>58</v>
      </c>
      <c r="B40" s="140"/>
      <c r="C40" s="140"/>
      <c r="D40" s="140"/>
      <c r="E40" s="140"/>
      <c r="F40" s="140"/>
      <c r="G40" s="141"/>
      <c r="H40" s="141"/>
      <c r="I40" s="141"/>
      <c r="J40" s="141"/>
      <c r="K40" s="141"/>
      <c r="L40" s="141"/>
      <c r="M40" s="141"/>
      <c r="N40" s="141"/>
      <c r="O40" s="141"/>
      <c r="P40" s="141"/>
      <c r="Q40" s="141"/>
    </row>
    <row r="41" spans="1:17" ht="15.75" thickBot="1" x14ac:dyDescent="0.3">
      <c r="A41" s="142" t="str">
        <f>'NP SSMyA'!D8</f>
        <v>ADQ. DEL RUBRO ALIMENTOS PARA PERSONAS (BIDONES DE AGUA)</v>
      </c>
      <c r="B41" s="142"/>
      <c r="C41" s="142"/>
      <c r="D41" s="142"/>
      <c r="E41" s="142"/>
      <c r="F41" s="142"/>
      <c r="G41" s="142"/>
      <c r="H41" s="142"/>
      <c r="I41" s="142"/>
      <c r="J41" s="142"/>
      <c r="K41" s="142"/>
      <c r="L41" s="142"/>
      <c r="M41" s="142"/>
      <c r="N41" s="142"/>
      <c r="O41" s="142"/>
      <c r="P41" s="142"/>
      <c r="Q41" s="142"/>
    </row>
    <row r="42" spans="1:17" ht="15.75" thickBot="1" x14ac:dyDescent="0.3">
      <c r="A42" s="142"/>
      <c r="B42" s="142"/>
      <c r="C42" s="142"/>
      <c r="D42" s="142"/>
      <c r="E42" s="142"/>
      <c r="F42" s="142"/>
      <c r="G42" s="142"/>
      <c r="H42" s="142"/>
      <c r="I42" s="142"/>
      <c r="J42" s="142"/>
      <c r="K42" s="142"/>
      <c r="L42" s="142"/>
      <c r="M42" s="142"/>
      <c r="N42" s="142"/>
      <c r="O42" s="142"/>
      <c r="P42" s="142"/>
      <c r="Q42" s="142"/>
    </row>
  </sheetData>
  <mergeCells count="46">
    <mergeCell ref="A9:Q9"/>
    <mergeCell ref="A1:C1"/>
    <mergeCell ref="D1:E1"/>
    <mergeCell ref="P1:Q2"/>
    <mergeCell ref="A4:F4"/>
    <mergeCell ref="G4:Q4"/>
    <mergeCell ref="A5:F5"/>
    <mergeCell ref="G5:Q5"/>
    <mergeCell ref="A6:F6"/>
    <mergeCell ref="G6:Q6"/>
    <mergeCell ref="A7:F7"/>
    <mergeCell ref="G7:Q7"/>
    <mergeCell ref="A8:Q8"/>
    <mergeCell ref="O21:P21"/>
    <mergeCell ref="A10:Q10"/>
    <mergeCell ref="A12:Q12"/>
    <mergeCell ref="A13:N13"/>
    <mergeCell ref="O13:P14"/>
    <mergeCell ref="Q13:Q14"/>
    <mergeCell ref="O15:P15"/>
    <mergeCell ref="O16:P16"/>
    <mergeCell ref="O17:P17"/>
    <mergeCell ref="O18:P18"/>
    <mergeCell ref="O19:P19"/>
    <mergeCell ref="O20:P20"/>
    <mergeCell ref="O33:P33"/>
    <mergeCell ref="O22:P22"/>
    <mergeCell ref="O23:P23"/>
    <mergeCell ref="O24:P24"/>
    <mergeCell ref="O25:P25"/>
    <mergeCell ref="O26:P26"/>
    <mergeCell ref="O27:P27"/>
    <mergeCell ref="O28:P28"/>
    <mergeCell ref="O29:P29"/>
    <mergeCell ref="O30:P30"/>
    <mergeCell ref="O31:P31"/>
    <mergeCell ref="O32:P32"/>
    <mergeCell ref="A40:F40"/>
    <mergeCell ref="G40:Q40"/>
    <mergeCell ref="A41:Q42"/>
    <mergeCell ref="O34:P34"/>
    <mergeCell ref="O35:P35"/>
    <mergeCell ref="O36:P36"/>
    <mergeCell ref="O37:P37"/>
    <mergeCell ref="A38:P38"/>
    <mergeCell ref="A39:Q39"/>
  </mergeCells>
  <pageMargins left="0.7" right="0.7" top="0.75" bottom="0.75" header="0.3" footer="0.3"/>
  <pageSetup paperSize="9" scale="81" orientation="portrait"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K14"/>
  <sheetViews>
    <sheetView workbookViewId="0">
      <selection activeCell="I12" sqref="I12"/>
    </sheetView>
  </sheetViews>
  <sheetFormatPr baseColWidth="10" defaultRowHeight="15" x14ac:dyDescent="0.25"/>
  <cols>
    <col min="1" max="1" width="5.5703125" style="25" customWidth="1"/>
    <col min="2" max="2" width="15.140625" style="25" customWidth="1"/>
    <col min="3" max="3" width="14.140625" style="25" customWidth="1"/>
    <col min="4" max="4" width="26" style="25" customWidth="1"/>
    <col min="5" max="5" width="8" style="25" customWidth="1"/>
    <col min="6" max="6" width="7.85546875" style="25" customWidth="1"/>
    <col min="7" max="7" width="28.5703125" style="25" customWidth="1"/>
    <col min="8" max="8" width="9.28515625" style="25" customWidth="1"/>
    <col min="9" max="9" width="15.5703125" style="25" customWidth="1"/>
    <col min="10" max="10" width="14.7109375" style="25" customWidth="1"/>
    <col min="11" max="11" width="15.5703125" style="25" customWidth="1"/>
    <col min="12" max="16384" width="11.42578125" style="25"/>
  </cols>
  <sheetData>
    <row r="1" spans="1:11" ht="30.75" thickBot="1" x14ac:dyDescent="0.3">
      <c r="A1" s="139" t="s">
        <v>22</v>
      </c>
      <c r="B1" s="139"/>
      <c r="C1" s="139"/>
      <c r="D1" s="139"/>
      <c r="E1" s="139"/>
      <c r="F1" s="139"/>
      <c r="G1" s="139"/>
      <c r="H1" s="139"/>
      <c r="I1" s="139"/>
      <c r="J1" s="39" t="s">
        <v>23</v>
      </c>
      <c r="K1" s="40"/>
    </row>
    <row r="2" spans="1:11" ht="16.5" thickBot="1" x14ac:dyDescent="0.3">
      <c r="A2" s="41"/>
      <c r="B2" s="42"/>
      <c r="C2" s="42"/>
      <c r="D2" s="43"/>
      <c r="E2" s="43"/>
      <c r="F2" s="43"/>
      <c r="G2" s="43"/>
      <c r="H2" s="43"/>
      <c r="I2" s="43"/>
      <c r="J2" s="43"/>
      <c r="K2" s="44"/>
    </row>
    <row r="3" spans="1:11" ht="16.5" customHeight="1" thickBot="1" x14ac:dyDescent="0.3">
      <c r="A3" s="136" t="s">
        <v>24</v>
      </c>
      <c r="B3" s="136"/>
      <c r="C3" s="136"/>
      <c r="D3" s="110" t="str">
        <f>'SAF 011'!C4</f>
        <v>040 - MINISTERIO DE SALUD</v>
      </c>
      <c r="E3" s="111"/>
      <c r="F3" s="111"/>
      <c r="G3" s="111"/>
      <c r="H3" s="111"/>
      <c r="I3" s="111"/>
      <c r="J3" s="111"/>
      <c r="K3" s="112"/>
    </row>
    <row r="4" spans="1:11" ht="16.5" customHeight="1" thickBot="1" x14ac:dyDescent="0.3">
      <c r="A4" s="137" t="s">
        <v>25</v>
      </c>
      <c r="B4" s="137"/>
      <c r="C4" s="137"/>
      <c r="D4" s="110" t="str">
        <f>'SAF 011'!C5</f>
        <v>011 - DIRECCION PROVINCIAL DE ADMINISTRACION - MINISTERIO DE SALUD</v>
      </c>
      <c r="E4" s="111"/>
      <c r="F4" s="111"/>
      <c r="G4" s="111"/>
      <c r="H4" s="111"/>
      <c r="I4" s="111"/>
      <c r="J4" s="111"/>
      <c r="K4" s="112"/>
    </row>
    <row r="5" spans="1:11" ht="16.5" thickBot="1" x14ac:dyDescent="0.3">
      <c r="A5" s="137" t="s">
        <v>26</v>
      </c>
      <c r="B5" s="137"/>
      <c r="C5" s="137"/>
      <c r="D5" s="110" t="s">
        <v>94</v>
      </c>
      <c r="E5" s="111"/>
      <c r="F5" s="111"/>
      <c r="G5" s="111"/>
      <c r="H5" s="111"/>
      <c r="I5" s="111"/>
      <c r="J5" s="111"/>
      <c r="K5" s="112"/>
    </row>
    <row r="6" spans="1:11" ht="16.5" thickBot="1" x14ac:dyDescent="0.3">
      <c r="A6" s="136" t="s">
        <v>27</v>
      </c>
      <c r="B6" s="136"/>
      <c r="C6" s="136"/>
      <c r="D6" s="110" t="s">
        <v>94</v>
      </c>
      <c r="E6" s="111"/>
      <c r="F6" s="111"/>
      <c r="G6" s="111"/>
      <c r="H6" s="111"/>
      <c r="I6" s="111"/>
      <c r="J6" s="111"/>
      <c r="K6" s="112"/>
    </row>
    <row r="7" spans="1:11" ht="16.5" thickBot="1" x14ac:dyDescent="0.3">
      <c r="A7" s="137" t="s">
        <v>28</v>
      </c>
      <c r="B7" s="137"/>
      <c r="C7" s="137"/>
      <c r="D7" s="110" t="s">
        <v>99</v>
      </c>
      <c r="E7" s="111"/>
      <c r="F7" s="111"/>
      <c r="G7" s="111"/>
      <c r="H7" s="111"/>
      <c r="I7" s="111"/>
      <c r="J7" s="111"/>
      <c r="K7" s="112"/>
    </row>
    <row r="8" spans="1:11" ht="16.5" thickBot="1" x14ac:dyDescent="0.3">
      <c r="A8" s="138" t="s">
        <v>29</v>
      </c>
      <c r="B8" s="138"/>
      <c r="C8" s="138"/>
      <c r="D8" s="113" t="s">
        <v>71</v>
      </c>
      <c r="E8" s="111"/>
      <c r="F8" s="111"/>
      <c r="G8" s="111"/>
      <c r="H8" s="111"/>
      <c r="I8" s="111"/>
      <c r="J8" s="111"/>
      <c r="K8" s="112"/>
    </row>
    <row r="9" spans="1:11" ht="16.5" thickBot="1" x14ac:dyDescent="0.3">
      <c r="A9" s="45"/>
      <c r="B9" s="46"/>
      <c r="C9" s="46"/>
      <c r="D9" s="47"/>
      <c r="E9" s="47"/>
      <c r="F9" s="47"/>
      <c r="G9" s="47"/>
      <c r="H9" s="47"/>
      <c r="I9" s="47"/>
      <c r="J9" s="47"/>
      <c r="K9" s="48"/>
    </row>
    <row r="10" spans="1:11" ht="15.75" thickBot="1" x14ac:dyDescent="0.3">
      <c r="A10" s="135" t="s">
        <v>30</v>
      </c>
      <c r="B10" s="134" t="s">
        <v>31</v>
      </c>
      <c r="C10" s="134" t="s">
        <v>32</v>
      </c>
      <c r="D10" s="134"/>
      <c r="E10" s="134"/>
      <c r="F10" s="134"/>
      <c r="G10" s="134"/>
      <c r="H10" s="134" t="s">
        <v>33</v>
      </c>
      <c r="I10" s="134" t="s">
        <v>34</v>
      </c>
      <c r="J10" s="134" t="s">
        <v>35</v>
      </c>
      <c r="K10" s="132" t="s">
        <v>36</v>
      </c>
    </row>
    <row r="11" spans="1:11" ht="24.75" customHeight="1" thickBot="1" x14ac:dyDescent="0.3">
      <c r="A11" s="135"/>
      <c r="B11" s="134"/>
      <c r="C11" s="134"/>
      <c r="D11" s="134"/>
      <c r="E11" s="134"/>
      <c r="F11" s="134"/>
      <c r="G11" s="134"/>
      <c r="H11" s="134"/>
      <c r="I11" s="134"/>
      <c r="J11" s="134"/>
      <c r="K11" s="132"/>
    </row>
    <row r="12" spans="1:11" ht="54" customHeight="1" x14ac:dyDescent="0.25">
      <c r="A12" s="49">
        <v>1</v>
      </c>
      <c r="B12" s="114" t="str">
        <f>'SAF 011'!B10</f>
        <v>2.1.1-7915.14</v>
      </c>
      <c r="C12" s="133" t="str">
        <f>'SAF 011'!E10</f>
        <v>AGUA POTABLE; TIPO: POTABILIZADA SIN GASIFICAR; PRESENTACION: SEGÚN PLIEGO, MATERIAL ENVASE: SEGÚN PLIEGO, TIPO ENVASE: SEGÚN PLIEGO</v>
      </c>
      <c r="D12" s="133"/>
      <c r="E12" s="133"/>
      <c r="F12" s="133"/>
      <c r="G12" s="133"/>
      <c r="H12" s="50" t="s">
        <v>72</v>
      </c>
      <c r="I12" s="51" t="s">
        <v>107</v>
      </c>
      <c r="J12" s="51">
        <f>'SAF 011'!H10</f>
        <v>600</v>
      </c>
      <c r="K12" s="52">
        <v>50</v>
      </c>
    </row>
    <row r="13" spans="1:11" ht="15.75" x14ac:dyDescent="0.25">
      <c r="A13" s="53"/>
      <c r="B13" s="54"/>
      <c r="C13" s="131"/>
      <c r="D13" s="131"/>
      <c r="E13" s="131"/>
      <c r="F13" s="131"/>
      <c r="G13" s="131"/>
      <c r="H13" s="55"/>
      <c r="I13" s="56"/>
      <c r="J13" s="56"/>
      <c r="K13" s="57"/>
    </row>
    <row r="14" spans="1:11" ht="19.5" thickBot="1" x14ac:dyDescent="0.3">
      <c r="A14" s="128" t="s">
        <v>100</v>
      </c>
      <c r="B14" s="128"/>
      <c r="C14" s="128"/>
      <c r="D14" s="128"/>
      <c r="E14" s="128"/>
      <c r="F14" s="128"/>
      <c r="G14" s="128"/>
      <c r="H14" s="128"/>
      <c r="I14" s="128"/>
      <c r="J14" s="129">
        <f>+J12*K12</f>
        <v>30000</v>
      </c>
      <c r="K14" s="130"/>
    </row>
  </sheetData>
  <mergeCells count="18">
    <mergeCell ref="A7:C7"/>
    <mergeCell ref="A1:I1"/>
    <mergeCell ref="A3:C3"/>
    <mergeCell ref="A4:C4"/>
    <mergeCell ref="A5:C5"/>
    <mergeCell ref="A6:C6"/>
    <mergeCell ref="A8:C8"/>
    <mergeCell ref="A10:A11"/>
    <mergeCell ref="B10:B11"/>
    <mergeCell ref="C10:G11"/>
    <mergeCell ref="H10:H11"/>
    <mergeCell ref="J10:J11"/>
    <mergeCell ref="K10:K11"/>
    <mergeCell ref="C12:G12"/>
    <mergeCell ref="C13:G13"/>
    <mergeCell ref="A14:I14"/>
    <mergeCell ref="J14:K14"/>
    <mergeCell ref="I10:I11"/>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Q42"/>
  <sheetViews>
    <sheetView topLeftCell="A19" workbookViewId="0">
      <selection activeCell="U48" sqref="U48"/>
    </sheetView>
  </sheetViews>
  <sheetFormatPr baseColWidth="10" defaultRowHeight="15" x14ac:dyDescent="0.25"/>
  <cols>
    <col min="1" max="5" width="4.42578125" style="25" customWidth="1"/>
    <col min="6" max="6" width="5.5703125" style="25" customWidth="1"/>
    <col min="7" max="7" width="4" style="25" bestFit="1" customWidth="1"/>
    <col min="8" max="14" width="4.42578125" style="25" customWidth="1"/>
    <col min="15" max="16" width="14.85546875" style="25" customWidth="1"/>
    <col min="17" max="17" width="14.7109375" style="25" customWidth="1"/>
    <col min="18" max="16384" width="11.42578125" style="25"/>
  </cols>
  <sheetData>
    <row r="1" spans="1:17" ht="15.75" thickBot="1" x14ac:dyDescent="0.3">
      <c r="A1" s="157" t="s">
        <v>5</v>
      </c>
      <c r="B1" s="157"/>
      <c r="C1" s="157"/>
      <c r="D1" s="158">
        <v>2022</v>
      </c>
      <c r="E1" s="158"/>
      <c r="F1" s="58"/>
      <c r="G1" s="58"/>
      <c r="H1" s="59"/>
      <c r="I1" s="59"/>
      <c r="J1" s="59"/>
      <c r="K1" s="59"/>
      <c r="L1" s="59"/>
      <c r="M1" s="59"/>
      <c r="N1" s="59"/>
      <c r="O1" s="60"/>
      <c r="P1" s="159" t="s">
        <v>37</v>
      </c>
      <c r="Q1" s="159"/>
    </row>
    <row r="2" spans="1:17" ht="15.75" thickBot="1" x14ac:dyDescent="0.3">
      <c r="A2" s="61"/>
      <c r="B2" s="62"/>
      <c r="C2" s="62"/>
      <c r="D2" s="62"/>
      <c r="E2" s="62"/>
      <c r="F2" s="62"/>
      <c r="G2" s="63"/>
      <c r="H2" s="64"/>
      <c r="I2" s="64"/>
      <c r="J2" s="64"/>
      <c r="K2" s="64"/>
      <c r="L2" s="64"/>
      <c r="M2" s="64"/>
      <c r="N2" s="64"/>
      <c r="O2" s="62"/>
      <c r="P2" s="159"/>
      <c r="Q2" s="159"/>
    </row>
    <row r="3" spans="1:17" ht="15.75" thickBot="1" x14ac:dyDescent="0.3">
      <c r="A3" s="61"/>
      <c r="B3" s="62"/>
      <c r="C3" s="62"/>
      <c r="D3" s="62"/>
      <c r="E3" s="62"/>
      <c r="F3" s="62"/>
      <c r="G3" s="63"/>
      <c r="H3" s="62"/>
      <c r="I3" s="62"/>
      <c r="J3" s="62"/>
      <c r="K3" s="62"/>
      <c r="L3" s="62"/>
      <c r="M3" s="62"/>
      <c r="N3" s="62"/>
      <c r="O3" s="62"/>
      <c r="P3" s="62"/>
      <c r="Q3" s="65"/>
    </row>
    <row r="4" spans="1:17" ht="15.75" thickBot="1" x14ac:dyDescent="0.3">
      <c r="A4" s="160" t="s">
        <v>38</v>
      </c>
      <c r="B4" s="160"/>
      <c r="C4" s="160"/>
      <c r="D4" s="160"/>
      <c r="E4" s="160"/>
      <c r="F4" s="160"/>
      <c r="G4" s="161" t="str">
        <f>'NP DPE'!D3</f>
        <v>040 - MINISTERIO DE SALUD</v>
      </c>
      <c r="H4" s="161"/>
      <c r="I4" s="161"/>
      <c r="J4" s="161"/>
      <c r="K4" s="161"/>
      <c r="L4" s="161"/>
      <c r="M4" s="161"/>
      <c r="N4" s="161"/>
      <c r="O4" s="161"/>
      <c r="P4" s="161"/>
      <c r="Q4" s="161"/>
    </row>
    <row r="5" spans="1:17" ht="15.75" thickBot="1" x14ac:dyDescent="0.3">
      <c r="A5" s="162" t="s">
        <v>25</v>
      </c>
      <c r="B5" s="162"/>
      <c r="C5" s="162"/>
      <c r="D5" s="162"/>
      <c r="E5" s="162"/>
      <c r="F5" s="162"/>
      <c r="G5" s="161" t="str">
        <f>'NP DPE'!D4</f>
        <v>011 - DIRECCION PROVINCIAL DE ADMINISTRACION - MINISTERIO DE SALUD</v>
      </c>
      <c r="H5" s="161"/>
      <c r="I5" s="161"/>
      <c r="J5" s="161"/>
      <c r="K5" s="161"/>
      <c r="L5" s="161"/>
      <c r="M5" s="161"/>
      <c r="N5" s="161"/>
      <c r="O5" s="161"/>
      <c r="P5" s="161"/>
      <c r="Q5" s="161"/>
    </row>
    <row r="6" spans="1:17" ht="15.75" thickBot="1" x14ac:dyDescent="0.3">
      <c r="A6" s="162" t="s">
        <v>26</v>
      </c>
      <c r="B6" s="162"/>
      <c r="C6" s="162"/>
      <c r="D6" s="162"/>
      <c r="E6" s="162"/>
      <c r="F6" s="162"/>
      <c r="G6" s="161" t="str">
        <f>'NP DPE'!D5</f>
        <v>482 - DIRECCION PROVINCIAL DE EPIDEMIOLOGIA</v>
      </c>
      <c r="H6" s="161"/>
      <c r="I6" s="161"/>
      <c r="J6" s="161"/>
      <c r="K6" s="161"/>
      <c r="L6" s="161"/>
      <c r="M6" s="161"/>
      <c r="N6" s="161"/>
      <c r="O6" s="161"/>
      <c r="P6" s="161"/>
      <c r="Q6" s="161"/>
    </row>
    <row r="7" spans="1:17" ht="15.75" thickBot="1" x14ac:dyDescent="0.3">
      <c r="A7" s="162" t="s">
        <v>27</v>
      </c>
      <c r="B7" s="162"/>
      <c r="C7" s="162"/>
      <c r="D7" s="162"/>
      <c r="E7" s="162"/>
      <c r="F7" s="162"/>
      <c r="G7" s="161" t="str">
        <f>'NP DPE'!D6</f>
        <v>482 - DIRECCION PROVINCIAL DE EPIDEMIOLOGIA</v>
      </c>
      <c r="H7" s="161"/>
      <c r="I7" s="161"/>
      <c r="J7" s="161"/>
      <c r="K7" s="161"/>
      <c r="L7" s="161"/>
      <c r="M7" s="161"/>
      <c r="N7" s="161"/>
      <c r="O7" s="161"/>
      <c r="P7" s="161"/>
      <c r="Q7" s="161"/>
    </row>
    <row r="8" spans="1:17" ht="15.75" thickBot="1" x14ac:dyDescent="0.3">
      <c r="A8" s="163" t="s">
        <v>39</v>
      </c>
      <c r="B8" s="163"/>
      <c r="C8" s="163"/>
      <c r="D8" s="163"/>
      <c r="E8" s="163"/>
      <c r="F8" s="163"/>
      <c r="G8" s="163"/>
      <c r="H8" s="163"/>
      <c r="I8" s="163"/>
      <c r="J8" s="163"/>
      <c r="K8" s="163"/>
      <c r="L8" s="163"/>
      <c r="M8" s="163"/>
      <c r="N8" s="163"/>
      <c r="O8" s="163"/>
      <c r="P8" s="163"/>
      <c r="Q8" s="163"/>
    </row>
    <row r="9" spans="1:17" ht="27.75" customHeight="1" x14ac:dyDescent="0.25">
      <c r="A9" s="156" t="s">
        <v>40</v>
      </c>
      <c r="B9" s="156"/>
      <c r="C9" s="156"/>
      <c r="D9" s="156"/>
      <c r="E9" s="156"/>
      <c r="F9" s="156"/>
      <c r="G9" s="156"/>
      <c r="H9" s="156"/>
      <c r="I9" s="156"/>
      <c r="J9" s="156"/>
      <c r="K9" s="156"/>
      <c r="L9" s="156"/>
      <c r="M9" s="156"/>
      <c r="N9" s="156"/>
      <c r="O9" s="156"/>
      <c r="P9" s="156"/>
      <c r="Q9" s="156"/>
    </row>
    <row r="10" spans="1:17" ht="57" customHeight="1" x14ac:dyDescent="0.25">
      <c r="A10" s="149" t="s">
        <v>59</v>
      </c>
      <c r="B10" s="149"/>
      <c r="C10" s="149"/>
      <c r="D10" s="149"/>
      <c r="E10" s="149"/>
      <c r="F10" s="149"/>
      <c r="G10" s="149"/>
      <c r="H10" s="149"/>
      <c r="I10" s="149"/>
      <c r="J10" s="149"/>
      <c r="K10" s="149"/>
      <c r="L10" s="149"/>
      <c r="M10" s="149"/>
      <c r="N10" s="149"/>
      <c r="O10" s="149"/>
      <c r="P10" s="149"/>
      <c r="Q10" s="149"/>
    </row>
    <row r="11" spans="1:17" ht="15.75" thickBot="1" x14ac:dyDescent="0.3">
      <c r="A11" s="66"/>
      <c r="B11" s="67"/>
      <c r="C11" s="67"/>
      <c r="D11" s="67"/>
      <c r="E11" s="67"/>
      <c r="F11" s="67"/>
      <c r="G11" s="68"/>
      <c r="H11" s="67"/>
      <c r="I11" s="67"/>
      <c r="J11" s="67"/>
      <c r="K11" s="67"/>
      <c r="L11" s="67"/>
      <c r="M11" s="67"/>
      <c r="N11" s="67"/>
      <c r="O11" s="67"/>
      <c r="P11" s="67"/>
      <c r="Q11" s="69"/>
    </row>
    <row r="12" spans="1:17" ht="15.75" thickBot="1" x14ac:dyDescent="0.3">
      <c r="A12" s="150" t="s">
        <v>41</v>
      </c>
      <c r="B12" s="150"/>
      <c r="C12" s="150"/>
      <c r="D12" s="150"/>
      <c r="E12" s="150"/>
      <c r="F12" s="150"/>
      <c r="G12" s="150"/>
      <c r="H12" s="150"/>
      <c r="I12" s="150"/>
      <c r="J12" s="150"/>
      <c r="K12" s="150"/>
      <c r="L12" s="150"/>
      <c r="M12" s="150"/>
      <c r="N12" s="150"/>
      <c r="O12" s="150"/>
      <c r="P12" s="150"/>
      <c r="Q12" s="150"/>
    </row>
    <row r="13" spans="1:17" ht="15.75" thickBot="1" x14ac:dyDescent="0.3">
      <c r="A13" s="151" t="s">
        <v>42</v>
      </c>
      <c r="B13" s="151"/>
      <c r="C13" s="151"/>
      <c r="D13" s="151"/>
      <c r="E13" s="151"/>
      <c r="F13" s="151"/>
      <c r="G13" s="151"/>
      <c r="H13" s="151"/>
      <c r="I13" s="151"/>
      <c r="J13" s="151"/>
      <c r="K13" s="151"/>
      <c r="L13" s="151"/>
      <c r="M13" s="151"/>
      <c r="N13" s="151"/>
      <c r="O13" s="152" t="s">
        <v>43</v>
      </c>
      <c r="P13" s="152"/>
      <c r="Q13" s="153" t="s">
        <v>44</v>
      </c>
    </row>
    <row r="14" spans="1:17" ht="15.75" thickBot="1" x14ac:dyDescent="0.3">
      <c r="A14" s="70" t="s">
        <v>45</v>
      </c>
      <c r="B14" s="71" t="s">
        <v>46</v>
      </c>
      <c r="C14" s="71" t="s">
        <v>47</v>
      </c>
      <c r="D14" s="71" t="s">
        <v>48</v>
      </c>
      <c r="E14" s="71" t="s">
        <v>49</v>
      </c>
      <c r="F14" s="71" t="s">
        <v>50</v>
      </c>
      <c r="G14" s="72" t="s">
        <v>51</v>
      </c>
      <c r="H14" s="71" t="s">
        <v>52</v>
      </c>
      <c r="I14" s="71" t="s">
        <v>53</v>
      </c>
      <c r="J14" s="71" t="s">
        <v>54</v>
      </c>
      <c r="K14" s="71" t="s">
        <v>54</v>
      </c>
      <c r="L14" s="71" t="s">
        <v>55</v>
      </c>
      <c r="M14" s="73" t="s">
        <v>56</v>
      </c>
      <c r="N14" s="74" t="s">
        <v>57</v>
      </c>
      <c r="O14" s="152"/>
      <c r="P14" s="152"/>
      <c r="Q14" s="153"/>
    </row>
    <row r="15" spans="1:17" x14ac:dyDescent="0.25">
      <c r="A15" s="75">
        <v>28</v>
      </c>
      <c r="B15" s="76"/>
      <c r="C15" s="76"/>
      <c r="D15" s="76">
        <v>1</v>
      </c>
      <c r="E15" s="76"/>
      <c r="F15" s="76">
        <v>4901</v>
      </c>
      <c r="G15" s="76">
        <v>3</v>
      </c>
      <c r="H15" s="76">
        <v>1</v>
      </c>
      <c r="I15" s="76">
        <v>2</v>
      </c>
      <c r="J15" s="76">
        <v>1</v>
      </c>
      <c r="K15" s="76">
        <v>1</v>
      </c>
      <c r="L15" s="76"/>
      <c r="M15" s="77">
        <v>1</v>
      </c>
      <c r="N15" s="76" t="s">
        <v>68</v>
      </c>
      <c r="O15" s="154" t="s">
        <v>69</v>
      </c>
      <c r="P15" s="154"/>
      <c r="Q15" s="78">
        <f>'NP DPE'!J14</f>
        <v>30000</v>
      </c>
    </row>
    <row r="16" spans="1:17" x14ac:dyDescent="0.25">
      <c r="A16" s="79"/>
      <c r="B16" s="80"/>
      <c r="C16" s="80"/>
      <c r="D16" s="80"/>
      <c r="E16" s="80"/>
      <c r="F16" s="80"/>
      <c r="G16" s="80"/>
      <c r="H16" s="80"/>
      <c r="I16" s="80"/>
      <c r="J16" s="80"/>
      <c r="K16" s="80"/>
      <c r="L16" s="80"/>
      <c r="M16" s="81"/>
      <c r="N16" s="94"/>
      <c r="O16" s="143"/>
      <c r="P16" s="143"/>
      <c r="Q16" s="83"/>
    </row>
    <row r="17" spans="1:17" x14ac:dyDescent="0.25">
      <c r="A17" s="79"/>
      <c r="B17" s="80"/>
      <c r="C17" s="80"/>
      <c r="D17" s="80"/>
      <c r="E17" s="80"/>
      <c r="F17" s="80"/>
      <c r="G17" s="80"/>
      <c r="H17" s="80"/>
      <c r="I17" s="80"/>
      <c r="J17" s="80"/>
      <c r="K17" s="80"/>
      <c r="L17" s="80"/>
      <c r="M17" s="81"/>
      <c r="N17" s="94"/>
      <c r="O17" s="155"/>
      <c r="P17" s="155"/>
      <c r="Q17" s="83"/>
    </row>
    <row r="18" spans="1:17" x14ac:dyDescent="0.25">
      <c r="A18" s="79"/>
      <c r="B18" s="80"/>
      <c r="C18" s="80"/>
      <c r="D18" s="80"/>
      <c r="E18" s="80"/>
      <c r="F18" s="80"/>
      <c r="G18" s="80"/>
      <c r="H18" s="80"/>
      <c r="I18" s="80"/>
      <c r="J18" s="80"/>
      <c r="K18" s="80"/>
      <c r="L18" s="80"/>
      <c r="M18" s="81"/>
      <c r="N18" s="94"/>
      <c r="O18" s="148"/>
      <c r="P18" s="148"/>
      <c r="Q18" s="83"/>
    </row>
    <row r="19" spans="1:17" x14ac:dyDescent="0.25">
      <c r="A19" s="79"/>
      <c r="B19" s="80"/>
      <c r="C19" s="80"/>
      <c r="D19" s="80"/>
      <c r="E19" s="80"/>
      <c r="F19" s="80"/>
      <c r="G19" s="80"/>
      <c r="H19" s="80"/>
      <c r="I19" s="80"/>
      <c r="J19" s="80"/>
      <c r="K19" s="80"/>
      <c r="L19" s="80"/>
      <c r="M19" s="81"/>
      <c r="N19" s="94"/>
      <c r="O19" s="148"/>
      <c r="P19" s="148"/>
      <c r="Q19" s="83"/>
    </row>
    <row r="20" spans="1:17" x14ac:dyDescent="0.25">
      <c r="A20" s="79"/>
      <c r="B20" s="80"/>
      <c r="C20" s="80"/>
      <c r="D20" s="80"/>
      <c r="E20" s="80"/>
      <c r="F20" s="80"/>
      <c r="G20" s="80"/>
      <c r="H20" s="80"/>
      <c r="I20" s="80"/>
      <c r="J20" s="80"/>
      <c r="K20" s="80"/>
      <c r="L20" s="80"/>
      <c r="M20" s="81"/>
      <c r="N20" s="94"/>
      <c r="O20" s="148"/>
      <c r="P20" s="148"/>
      <c r="Q20" s="83"/>
    </row>
    <row r="21" spans="1:17" x14ac:dyDescent="0.25">
      <c r="A21" s="79"/>
      <c r="B21" s="80"/>
      <c r="C21" s="80"/>
      <c r="D21" s="80"/>
      <c r="E21" s="80"/>
      <c r="F21" s="80"/>
      <c r="G21" s="80"/>
      <c r="H21" s="80"/>
      <c r="I21" s="80"/>
      <c r="J21" s="80"/>
      <c r="K21" s="80"/>
      <c r="L21" s="80"/>
      <c r="M21" s="81"/>
      <c r="N21" s="94"/>
      <c r="O21" s="148"/>
      <c r="P21" s="148"/>
      <c r="Q21" s="83"/>
    </row>
    <row r="22" spans="1:17" x14ac:dyDescent="0.25">
      <c r="A22" s="79"/>
      <c r="B22" s="80"/>
      <c r="C22" s="80"/>
      <c r="D22" s="80"/>
      <c r="E22" s="80"/>
      <c r="F22" s="80"/>
      <c r="G22" s="80"/>
      <c r="H22" s="80"/>
      <c r="I22" s="80"/>
      <c r="J22" s="80"/>
      <c r="K22" s="80"/>
      <c r="L22" s="80"/>
      <c r="M22" s="81"/>
      <c r="N22" s="94"/>
      <c r="O22" s="148"/>
      <c r="P22" s="148"/>
      <c r="Q22" s="83"/>
    </row>
    <row r="23" spans="1:17" x14ac:dyDescent="0.25">
      <c r="A23" s="79"/>
      <c r="B23" s="80"/>
      <c r="C23" s="80"/>
      <c r="D23" s="80"/>
      <c r="E23" s="80"/>
      <c r="F23" s="80"/>
      <c r="G23" s="80"/>
      <c r="H23" s="80"/>
      <c r="I23" s="80"/>
      <c r="J23" s="80"/>
      <c r="K23" s="80"/>
      <c r="L23" s="80"/>
      <c r="M23" s="81"/>
      <c r="N23" s="94"/>
      <c r="O23" s="148"/>
      <c r="P23" s="148"/>
      <c r="Q23" s="83"/>
    </row>
    <row r="24" spans="1:17" x14ac:dyDescent="0.25">
      <c r="A24" s="79"/>
      <c r="B24" s="80"/>
      <c r="C24" s="80"/>
      <c r="D24" s="80"/>
      <c r="E24" s="80"/>
      <c r="F24" s="80"/>
      <c r="G24" s="80"/>
      <c r="H24" s="80"/>
      <c r="I24" s="80"/>
      <c r="J24" s="80"/>
      <c r="K24" s="80"/>
      <c r="L24" s="80"/>
      <c r="M24" s="81"/>
      <c r="N24" s="94"/>
      <c r="O24" s="148"/>
      <c r="P24" s="148"/>
      <c r="Q24" s="83"/>
    </row>
    <row r="25" spans="1:17" x14ac:dyDescent="0.25">
      <c r="A25" s="79"/>
      <c r="B25" s="80"/>
      <c r="C25" s="80"/>
      <c r="D25" s="80"/>
      <c r="E25" s="80"/>
      <c r="F25" s="80"/>
      <c r="G25" s="80"/>
      <c r="H25" s="80"/>
      <c r="I25" s="80"/>
      <c r="J25" s="80"/>
      <c r="K25" s="80"/>
      <c r="L25" s="80"/>
      <c r="M25" s="81"/>
      <c r="N25" s="94"/>
      <c r="O25" s="148"/>
      <c r="P25" s="148"/>
      <c r="Q25" s="83"/>
    </row>
    <row r="26" spans="1:17" x14ac:dyDescent="0.25">
      <c r="A26" s="79"/>
      <c r="B26" s="80"/>
      <c r="C26" s="80"/>
      <c r="D26" s="80"/>
      <c r="E26" s="80"/>
      <c r="F26" s="80"/>
      <c r="G26" s="80"/>
      <c r="H26" s="80"/>
      <c r="I26" s="80"/>
      <c r="J26" s="80"/>
      <c r="K26" s="80"/>
      <c r="L26" s="80"/>
      <c r="M26" s="81"/>
      <c r="N26" s="94"/>
      <c r="O26" s="148"/>
      <c r="P26" s="148"/>
      <c r="Q26" s="83"/>
    </row>
    <row r="27" spans="1:17" x14ac:dyDescent="0.25">
      <c r="A27" s="79"/>
      <c r="B27" s="80"/>
      <c r="C27" s="80"/>
      <c r="D27" s="80"/>
      <c r="E27" s="80"/>
      <c r="F27" s="80"/>
      <c r="G27" s="80"/>
      <c r="H27" s="80"/>
      <c r="I27" s="80"/>
      <c r="J27" s="80"/>
      <c r="K27" s="80"/>
      <c r="L27" s="80"/>
      <c r="M27" s="81"/>
      <c r="N27" s="94"/>
      <c r="O27" s="148"/>
      <c r="P27" s="148"/>
      <c r="Q27" s="83"/>
    </row>
    <row r="28" spans="1:17" x14ac:dyDescent="0.25">
      <c r="A28" s="79"/>
      <c r="B28" s="80"/>
      <c r="C28" s="80"/>
      <c r="D28" s="80"/>
      <c r="E28" s="80"/>
      <c r="F28" s="80"/>
      <c r="G28" s="80"/>
      <c r="H28" s="80"/>
      <c r="I28" s="80"/>
      <c r="J28" s="80"/>
      <c r="K28" s="80"/>
      <c r="L28" s="80"/>
      <c r="M28" s="81"/>
      <c r="N28" s="94"/>
      <c r="O28" s="148"/>
      <c r="P28" s="148"/>
      <c r="Q28" s="83"/>
    </row>
    <row r="29" spans="1:17" x14ac:dyDescent="0.25">
      <c r="A29" s="79"/>
      <c r="B29" s="80"/>
      <c r="C29" s="80"/>
      <c r="D29" s="80"/>
      <c r="E29" s="80"/>
      <c r="F29" s="80"/>
      <c r="G29" s="80"/>
      <c r="H29" s="80"/>
      <c r="I29" s="80"/>
      <c r="J29" s="80"/>
      <c r="K29" s="80"/>
      <c r="L29" s="80"/>
      <c r="M29" s="81"/>
      <c r="N29" s="94"/>
      <c r="O29" s="148"/>
      <c r="P29" s="148"/>
      <c r="Q29" s="83"/>
    </row>
    <row r="30" spans="1:17" x14ac:dyDescent="0.25">
      <c r="A30" s="79"/>
      <c r="B30" s="80"/>
      <c r="C30" s="80"/>
      <c r="D30" s="80"/>
      <c r="E30" s="80"/>
      <c r="F30" s="80"/>
      <c r="G30" s="80"/>
      <c r="H30" s="80"/>
      <c r="I30" s="80"/>
      <c r="J30" s="80"/>
      <c r="K30" s="80"/>
      <c r="L30" s="80"/>
      <c r="M30" s="81"/>
      <c r="N30" s="94"/>
      <c r="O30" s="148"/>
      <c r="P30" s="148"/>
      <c r="Q30" s="83"/>
    </row>
    <row r="31" spans="1:17" x14ac:dyDescent="0.25">
      <c r="A31" s="79"/>
      <c r="B31" s="80"/>
      <c r="C31" s="80"/>
      <c r="D31" s="80"/>
      <c r="E31" s="80"/>
      <c r="F31" s="80"/>
      <c r="G31" s="80"/>
      <c r="H31" s="80"/>
      <c r="I31" s="80"/>
      <c r="J31" s="80"/>
      <c r="K31" s="80"/>
      <c r="L31" s="80"/>
      <c r="M31" s="81"/>
      <c r="N31" s="94"/>
      <c r="O31" s="148"/>
      <c r="P31" s="148"/>
      <c r="Q31" s="83"/>
    </row>
    <row r="32" spans="1:17" x14ac:dyDescent="0.25">
      <c r="A32" s="79"/>
      <c r="B32" s="80"/>
      <c r="C32" s="80"/>
      <c r="D32" s="80"/>
      <c r="E32" s="80"/>
      <c r="F32" s="94"/>
      <c r="G32" s="80"/>
      <c r="H32" s="80"/>
      <c r="I32" s="80"/>
      <c r="J32" s="80"/>
      <c r="K32" s="80"/>
      <c r="L32" s="80"/>
      <c r="M32" s="81"/>
      <c r="N32" s="94"/>
      <c r="O32" s="143"/>
      <c r="P32" s="143"/>
      <c r="Q32" s="83"/>
    </row>
    <row r="33" spans="1:17" x14ac:dyDescent="0.25">
      <c r="A33" s="79"/>
      <c r="B33" s="80"/>
      <c r="C33" s="80"/>
      <c r="D33" s="80"/>
      <c r="E33" s="80"/>
      <c r="F33" s="80"/>
      <c r="G33" s="80"/>
      <c r="H33" s="80"/>
      <c r="I33" s="80"/>
      <c r="J33" s="80"/>
      <c r="K33" s="80"/>
      <c r="L33" s="80"/>
      <c r="M33" s="81"/>
      <c r="N33" s="94"/>
      <c r="O33" s="143"/>
      <c r="P33" s="143"/>
      <c r="Q33" s="83"/>
    </row>
    <row r="34" spans="1:17" x14ac:dyDescent="0.25">
      <c r="A34" s="79"/>
      <c r="B34" s="80"/>
      <c r="C34" s="80"/>
      <c r="D34" s="80"/>
      <c r="E34" s="80"/>
      <c r="F34" s="94"/>
      <c r="G34" s="80"/>
      <c r="H34" s="80"/>
      <c r="I34" s="80"/>
      <c r="J34" s="80"/>
      <c r="K34" s="80"/>
      <c r="L34" s="80"/>
      <c r="M34" s="81"/>
      <c r="N34" s="94"/>
      <c r="O34" s="143"/>
      <c r="P34" s="143"/>
      <c r="Q34" s="83"/>
    </row>
    <row r="35" spans="1:17" x14ac:dyDescent="0.25">
      <c r="A35" s="79"/>
      <c r="B35" s="80"/>
      <c r="C35" s="80"/>
      <c r="D35" s="80"/>
      <c r="E35" s="80"/>
      <c r="F35" s="94"/>
      <c r="G35" s="80"/>
      <c r="H35" s="80"/>
      <c r="I35" s="80"/>
      <c r="J35" s="80"/>
      <c r="K35" s="80"/>
      <c r="L35" s="80"/>
      <c r="M35" s="81"/>
      <c r="N35" s="94"/>
      <c r="O35" s="143"/>
      <c r="P35" s="143"/>
      <c r="Q35" s="83"/>
    </row>
    <row r="36" spans="1:17" x14ac:dyDescent="0.25">
      <c r="A36" s="84"/>
      <c r="B36" s="85"/>
      <c r="C36" s="85"/>
      <c r="D36" s="85"/>
      <c r="E36" s="85"/>
      <c r="F36" s="86"/>
      <c r="G36" s="85"/>
      <c r="H36" s="85"/>
      <c r="I36" s="85"/>
      <c r="J36" s="85"/>
      <c r="K36" s="85"/>
      <c r="L36" s="85"/>
      <c r="M36" s="87"/>
      <c r="N36" s="88"/>
      <c r="O36" s="144"/>
      <c r="P36" s="144"/>
      <c r="Q36" s="83"/>
    </row>
    <row r="37" spans="1:17" ht="15.75" thickBot="1" x14ac:dyDescent="0.3">
      <c r="A37" s="89"/>
      <c r="B37" s="90"/>
      <c r="C37" s="90"/>
      <c r="D37" s="90"/>
      <c r="E37" s="90"/>
      <c r="F37" s="90"/>
      <c r="G37" s="90"/>
      <c r="H37" s="90"/>
      <c r="I37" s="90"/>
      <c r="J37" s="90"/>
      <c r="K37" s="90"/>
      <c r="L37" s="90"/>
      <c r="M37" s="91"/>
      <c r="N37" s="90"/>
      <c r="O37" s="145"/>
      <c r="P37" s="145"/>
      <c r="Q37" s="92"/>
    </row>
    <row r="38" spans="1:17" ht="15.75" thickBot="1" x14ac:dyDescent="0.3">
      <c r="A38" s="146" t="s">
        <v>104</v>
      </c>
      <c r="B38" s="146"/>
      <c r="C38" s="146"/>
      <c r="D38" s="146"/>
      <c r="E38" s="146"/>
      <c r="F38" s="146"/>
      <c r="G38" s="146"/>
      <c r="H38" s="146"/>
      <c r="I38" s="146"/>
      <c r="J38" s="146"/>
      <c r="K38" s="146"/>
      <c r="L38" s="146"/>
      <c r="M38" s="146"/>
      <c r="N38" s="146"/>
      <c r="O38" s="146"/>
      <c r="P38" s="146"/>
      <c r="Q38" s="93">
        <f>SUM(Q15:Q37)</f>
        <v>30000</v>
      </c>
    </row>
    <row r="39" spans="1:17" ht="15.75" thickBot="1" x14ac:dyDescent="0.3">
      <c r="A39" s="147"/>
      <c r="B39" s="147"/>
      <c r="C39" s="147"/>
      <c r="D39" s="147"/>
      <c r="E39" s="147"/>
      <c r="F39" s="147"/>
      <c r="G39" s="147"/>
      <c r="H39" s="147"/>
      <c r="I39" s="147"/>
      <c r="J39" s="147"/>
      <c r="K39" s="147"/>
      <c r="L39" s="147"/>
      <c r="M39" s="147"/>
      <c r="N39" s="147"/>
      <c r="O39" s="147"/>
      <c r="P39" s="147"/>
      <c r="Q39" s="147"/>
    </row>
    <row r="40" spans="1:17" ht="15.75" thickBot="1" x14ac:dyDescent="0.3">
      <c r="A40" s="140" t="s">
        <v>58</v>
      </c>
      <c r="B40" s="140"/>
      <c r="C40" s="140"/>
      <c r="D40" s="140"/>
      <c r="E40" s="140"/>
      <c r="F40" s="140"/>
      <c r="G40" s="141"/>
      <c r="H40" s="141"/>
      <c r="I40" s="141"/>
      <c r="J40" s="141"/>
      <c r="K40" s="141"/>
      <c r="L40" s="141"/>
      <c r="M40" s="141"/>
      <c r="N40" s="141"/>
      <c r="O40" s="141"/>
      <c r="P40" s="141"/>
      <c r="Q40" s="141"/>
    </row>
    <row r="41" spans="1:17" ht="15.75" thickBot="1" x14ac:dyDescent="0.3">
      <c r="A41" s="142" t="str">
        <f>'NP DPE'!D8</f>
        <v>ADQ. DEL RUBRO ALIMENTOS PARA PERSONAS (BIDONES DE AGUA)</v>
      </c>
      <c r="B41" s="142"/>
      <c r="C41" s="142"/>
      <c r="D41" s="142"/>
      <c r="E41" s="142"/>
      <c r="F41" s="142"/>
      <c r="G41" s="142"/>
      <c r="H41" s="142"/>
      <c r="I41" s="142"/>
      <c r="J41" s="142"/>
      <c r="K41" s="142"/>
      <c r="L41" s="142"/>
      <c r="M41" s="142"/>
      <c r="N41" s="142"/>
      <c r="O41" s="142"/>
      <c r="P41" s="142"/>
      <c r="Q41" s="142"/>
    </row>
    <row r="42" spans="1:17" ht="15.75" thickBot="1" x14ac:dyDescent="0.3">
      <c r="A42" s="142"/>
      <c r="B42" s="142"/>
      <c r="C42" s="142"/>
      <c r="D42" s="142"/>
      <c r="E42" s="142"/>
      <c r="F42" s="142"/>
      <c r="G42" s="142"/>
      <c r="H42" s="142"/>
      <c r="I42" s="142"/>
      <c r="J42" s="142"/>
      <c r="K42" s="142"/>
      <c r="L42" s="142"/>
      <c r="M42" s="142"/>
      <c r="N42" s="142"/>
      <c r="O42" s="142"/>
      <c r="P42" s="142"/>
      <c r="Q42" s="142"/>
    </row>
  </sheetData>
  <mergeCells count="46">
    <mergeCell ref="A9:Q9"/>
    <mergeCell ref="A1:C1"/>
    <mergeCell ref="D1:E1"/>
    <mergeCell ref="P1:Q2"/>
    <mergeCell ref="A4:F4"/>
    <mergeCell ref="G4:Q4"/>
    <mergeCell ref="A5:F5"/>
    <mergeCell ref="G5:Q5"/>
    <mergeCell ref="A6:F6"/>
    <mergeCell ref="G6:Q6"/>
    <mergeCell ref="A7:F7"/>
    <mergeCell ref="G7:Q7"/>
    <mergeCell ref="A8:Q8"/>
    <mergeCell ref="O21:P21"/>
    <mergeCell ref="A10:Q10"/>
    <mergeCell ref="A12:Q12"/>
    <mergeCell ref="A13:N13"/>
    <mergeCell ref="O13:P14"/>
    <mergeCell ref="Q13:Q14"/>
    <mergeCell ref="O15:P15"/>
    <mergeCell ref="O16:P16"/>
    <mergeCell ref="O17:P17"/>
    <mergeCell ref="O18:P18"/>
    <mergeCell ref="O19:P19"/>
    <mergeCell ref="O20:P20"/>
    <mergeCell ref="O33:P33"/>
    <mergeCell ref="O22:P22"/>
    <mergeCell ref="O23:P23"/>
    <mergeCell ref="O24:P24"/>
    <mergeCell ref="O25:P25"/>
    <mergeCell ref="O26:P26"/>
    <mergeCell ref="O27:P27"/>
    <mergeCell ref="O28:P28"/>
    <mergeCell ref="O29:P29"/>
    <mergeCell ref="O30:P30"/>
    <mergeCell ref="O31:P31"/>
    <mergeCell ref="O32:P32"/>
    <mergeCell ref="A40:F40"/>
    <mergeCell ref="G40:Q40"/>
    <mergeCell ref="A41:Q42"/>
    <mergeCell ref="O34:P34"/>
    <mergeCell ref="O35:P35"/>
    <mergeCell ref="O36:P36"/>
    <mergeCell ref="O37:P37"/>
    <mergeCell ref="A38:P38"/>
    <mergeCell ref="A39:Q39"/>
  </mergeCells>
  <pageMargins left="0.7" right="0.7" top="0.75" bottom="0.75" header="0.3" footer="0.3"/>
  <pageSetup paperSize="9" scale="81" orientation="portrait"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K14"/>
  <sheetViews>
    <sheetView workbookViewId="0">
      <selection activeCell="I12" sqref="I12"/>
    </sheetView>
  </sheetViews>
  <sheetFormatPr baseColWidth="10" defaultRowHeight="15" x14ac:dyDescent="0.25"/>
  <cols>
    <col min="1" max="1" width="5.5703125" style="25" customWidth="1"/>
    <col min="2" max="2" width="15.140625" style="25" customWidth="1"/>
    <col min="3" max="3" width="14.140625" style="25" customWidth="1"/>
    <col min="4" max="4" width="26" style="25" customWidth="1"/>
    <col min="5" max="5" width="8" style="25" customWidth="1"/>
    <col min="6" max="6" width="7.85546875" style="25" customWidth="1"/>
    <col min="7" max="7" width="28.5703125" style="25" customWidth="1"/>
    <col min="8" max="8" width="9.28515625" style="25" customWidth="1"/>
    <col min="9" max="9" width="15.5703125" style="25" customWidth="1"/>
    <col min="10" max="10" width="14.7109375" style="25" customWidth="1"/>
    <col min="11" max="11" width="15.5703125" style="25" customWidth="1"/>
    <col min="12" max="16384" width="11.42578125" style="25"/>
  </cols>
  <sheetData>
    <row r="1" spans="1:11" ht="30.75" thickBot="1" x14ac:dyDescent="0.3">
      <c r="A1" s="139" t="s">
        <v>22</v>
      </c>
      <c r="B1" s="139"/>
      <c r="C1" s="139"/>
      <c r="D1" s="139"/>
      <c r="E1" s="139"/>
      <c r="F1" s="139"/>
      <c r="G1" s="139"/>
      <c r="H1" s="139"/>
      <c r="I1" s="139"/>
      <c r="J1" s="39" t="s">
        <v>23</v>
      </c>
      <c r="K1" s="40"/>
    </row>
    <row r="2" spans="1:11" ht="16.5" thickBot="1" x14ac:dyDescent="0.3">
      <c r="A2" s="41"/>
      <c r="B2" s="42"/>
      <c r="C2" s="42"/>
      <c r="D2" s="43"/>
      <c r="E2" s="43"/>
      <c r="F2" s="43"/>
      <c r="G2" s="43"/>
      <c r="H2" s="43"/>
      <c r="I2" s="43"/>
      <c r="J2" s="43"/>
      <c r="K2" s="44"/>
    </row>
    <row r="3" spans="1:11" ht="16.5" customHeight="1" thickBot="1" x14ac:dyDescent="0.3">
      <c r="A3" s="136" t="s">
        <v>24</v>
      </c>
      <c r="B3" s="136"/>
      <c r="C3" s="136"/>
      <c r="D3" s="110" t="str">
        <f>'SAF 011'!C4</f>
        <v>040 - MINISTERIO DE SALUD</v>
      </c>
      <c r="E3" s="111"/>
      <c r="F3" s="111"/>
      <c r="G3" s="111"/>
      <c r="H3" s="111"/>
      <c r="I3" s="111"/>
      <c r="J3" s="111"/>
      <c r="K3" s="112"/>
    </row>
    <row r="4" spans="1:11" ht="16.5" customHeight="1" thickBot="1" x14ac:dyDescent="0.3">
      <c r="A4" s="137" t="s">
        <v>25</v>
      </c>
      <c r="B4" s="137"/>
      <c r="C4" s="137"/>
      <c r="D4" s="110" t="str">
        <f>'SAF 011'!C5</f>
        <v>011 - DIRECCION PROVINCIAL DE ADMINISTRACION - MINISTERIO DE SALUD</v>
      </c>
      <c r="E4" s="111"/>
      <c r="F4" s="111"/>
      <c r="G4" s="111"/>
      <c r="H4" s="111"/>
      <c r="I4" s="111"/>
      <c r="J4" s="111"/>
      <c r="K4" s="112"/>
    </row>
    <row r="5" spans="1:11" ht="16.5" thickBot="1" x14ac:dyDescent="0.3">
      <c r="A5" s="137" t="s">
        <v>26</v>
      </c>
      <c r="B5" s="137"/>
      <c r="C5" s="137"/>
      <c r="D5" s="110" t="s">
        <v>95</v>
      </c>
      <c r="E5" s="111"/>
      <c r="F5" s="111"/>
      <c r="G5" s="111"/>
      <c r="H5" s="111"/>
      <c r="I5" s="111"/>
      <c r="J5" s="111"/>
      <c r="K5" s="112"/>
    </row>
    <row r="6" spans="1:11" ht="16.5" thickBot="1" x14ac:dyDescent="0.3">
      <c r="A6" s="136" t="s">
        <v>27</v>
      </c>
      <c r="B6" s="136"/>
      <c r="C6" s="136"/>
      <c r="D6" s="110" t="s">
        <v>95</v>
      </c>
      <c r="E6" s="111"/>
      <c r="F6" s="111"/>
      <c r="G6" s="111"/>
      <c r="H6" s="111"/>
      <c r="I6" s="111"/>
      <c r="J6" s="111"/>
      <c r="K6" s="112"/>
    </row>
    <row r="7" spans="1:11" ht="16.5" thickBot="1" x14ac:dyDescent="0.3">
      <c r="A7" s="137" t="s">
        <v>28</v>
      </c>
      <c r="B7" s="137"/>
      <c r="C7" s="137"/>
      <c r="D7" s="110" t="s">
        <v>99</v>
      </c>
      <c r="E7" s="111"/>
      <c r="F7" s="111"/>
      <c r="G7" s="111"/>
      <c r="H7" s="111"/>
      <c r="I7" s="111"/>
      <c r="J7" s="111"/>
      <c r="K7" s="112"/>
    </row>
    <row r="8" spans="1:11" ht="16.5" thickBot="1" x14ac:dyDescent="0.3">
      <c r="A8" s="138" t="s">
        <v>29</v>
      </c>
      <c r="B8" s="138"/>
      <c r="C8" s="138"/>
      <c r="D8" s="113" t="s">
        <v>71</v>
      </c>
      <c r="E8" s="111"/>
      <c r="F8" s="111"/>
      <c r="G8" s="111"/>
      <c r="H8" s="111"/>
      <c r="I8" s="111"/>
      <c r="J8" s="111"/>
      <c r="K8" s="112"/>
    </row>
    <row r="9" spans="1:11" ht="16.5" thickBot="1" x14ac:dyDescent="0.3">
      <c r="A9" s="45"/>
      <c r="B9" s="46"/>
      <c r="C9" s="46"/>
      <c r="D9" s="47"/>
      <c r="E9" s="47"/>
      <c r="F9" s="47"/>
      <c r="G9" s="47"/>
      <c r="H9" s="47"/>
      <c r="I9" s="47"/>
      <c r="J9" s="47"/>
      <c r="K9" s="48"/>
    </row>
    <row r="10" spans="1:11" ht="15.75" thickBot="1" x14ac:dyDescent="0.3">
      <c r="A10" s="135" t="s">
        <v>30</v>
      </c>
      <c r="B10" s="134" t="s">
        <v>31</v>
      </c>
      <c r="C10" s="134" t="s">
        <v>32</v>
      </c>
      <c r="D10" s="134"/>
      <c r="E10" s="134"/>
      <c r="F10" s="134"/>
      <c r="G10" s="134"/>
      <c r="H10" s="134" t="s">
        <v>33</v>
      </c>
      <c r="I10" s="134" t="s">
        <v>34</v>
      </c>
      <c r="J10" s="134" t="s">
        <v>35</v>
      </c>
      <c r="K10" s="132" t="s">
        <v>36</v>
      </c>
    </row>
    <row r="11" spans="1:11" ht="24.75" customHeight="1" thickBot="1" x14ac:dyDescent="0.3">
      <c r="A11" s="135"/>
      <c r="B11" s="134"/>
      <c r="C11" s="134"/>
      <c r="D11" s="134"/>
      <c r="E11" s="134"/>
      <c r="F11" s="134"/>
      <c r="G11" s="134"/>
      <c r="H11" s="134"/>
      <c r="I11" s="134"/>
      <c r="J11" s="134"/>
      <c r="K11" s="132"/>
    </row>
    <row r="12" spans="1:11" ht="54" customHeight="1" x14ac:dyDescent="0.25">
      <c r="A12" s="49">
        <v>1</v>
      </c>
      <c r="B12" s="114" t="str">
        <f>'SAF 011'!B10</f>
        <v>2.1.1-7915.14</v>
      </c>
      <c r="C12" s="133" t="str">
        <f>'SAF 011'!E10</f>
        <v>AGUA POTABLE; TIPO: POTABILIZADA SIN GASIFICAR; PRESENTACION: SEGÚN PLIEGO, MATERIAL ENVASE: SEGÚN PLIEGO, TIPO ENVASE: SEGÚN PLIEGO</v>
      </c>
      <c r="D12" s="133"/>
      <c r="E12" s="133"/>
      <c r="F12" s="133"/>
      <c r="G12" s="133"/>
      <c r="H12" s="50" t="s">
        <v>72</v>
      </c>
      <c r="I12" s="51" t="s">
        <v>107</v>
      </c>
      <c r="J12" s="51">
        <f>'SAF 011'!H10</f>
        <v>600</v>
      </c>
      <c r="K12" s="52" t="e">
        <f>'SAF 011'!#REF!</f>
        <v>#REF!</v>
      </c>
    </row>
    <row r="13" spans="1:11" ht="15.75" x14ac:dyDescent="0.25">
      <c r="A13" s="53"/>
      <c r="B13" s="54"/>
      <c r="C13" s="131"/>
      <c r="D13" s="131"/>
      <c r="E13" s="131"/>
      <c r="F13" s="131"/>
      <c r="G13" s="131"/>
      <c r="H13" s="55"/>
      <c r="I13" s="56"/>
      <c r="J13" s="56"/>
      <c r="K13" s="57"/>
    </row>
    <row r="14" spans="1:11" ht="19.5" thickBot="1" x14ac:dyDescent="0.3">
      <c r="A14" s="128" t="s">
        <v>76</v>
      </c>
      <c r="B14" s="128"/>
      <c r="C14" s="128"/>
      <c r="D14" s="128"/>
      <c r="E14" s="128"/>
      <c r="F14" s="128"/>
      <c r="G14" s="128"/>
      <c r="H14" s="128"/>
      <c r="I14" s="128"/>
      <c r="J14" s="129" t="e">
        <f>+J12*K12</f>
        <v>#REF!</v>
      </c>
      <c r="K14" s="130"/>
    </row>
  </sheetData>
  <mergeCells count="18">
    <mergeCell ref="A7:C7"/>
    <mergeCell ref="A1:I1"/>
    <mergeCell ref="A3:C3"/>
    <mergeCell ref="A4:C4"/>
    <mergeCell ref="A5:C5"/>
    <mergeCell ref="A6:C6"/>
    <mergeCell ref="A8:C8"/>
    <mergeCell ref="A10:A11"/>
    <mergeCell ref="B10:B11"/>
    <mergeCell ref="C10:G11"/>
    <mergeCell ref="H10:H11"/>
    <mergeCell ref="J10:J11"/>
    <mergeCell ref="K10:K11"/>
    <mergeCell ref="C12:G12"/>
    <mergeCell ref="C13:G13"/>
    <mergeCell ref="A14:I14"/>
    <mergeCell ref="J14:K14"/>
    <mergeCell ref="I10:I11"/>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Q42"/>
  <sheetViews>
    <sheetView topLeftCell="A16" workbookViewId="0">
      <selection activeCell="AC34" sqref="AC34"/>
    </sheetView>
  </sheetViews>
  <sheetFormatPr baseColWidth="10" defaultRowHeight="15" x14ac:dyDescent="0.25"/>
  <cols>
    <col min="1" max="5" width="4.42578125" style="25" customWidth="1"/>
    <col min="6" max="6" width="5.5703125" style="25" customWidth="1"/>
    <col min="7" max="7" width="4" style="25" bestFit="1" customWidth="1"/>
    <col min="8" max="14" width="4.42578125" style="25" customWidth="1"/>
    <col min="15" max="16" width="14.85546875" style="25" customWidth="1"/>
    <col min="17" max="17" width="14.7109375" style="25" customWidth="1"/>
    <col min="18" max="16384" width="11.42578125" style="25"/>
  </cols>
  <sheetData>
    <row r="1" spans="1:17" ht="15.75" thickBot="1" x14ac:dyDescent="0.3">
      <c r="A1" s="157" t="s">
        <v>5</v>
      </c>
      <c r="B1" s="157"/>
      <c r="C1" s="157"/>
      <c r="D1" s="158">
        <v>2022</v>
      </c>
      <c r="E1" s="158"/>
      <c r="F1" s="58"/>
      <c r="G1" s="58"/>
      <c r="H1" s="59"/>
      <c r="I1" s="59"/>
      <c r="J1" s="59"/>
      <c r="K1" s="59"/>
      <c r="L1" s="59"/>
      <c r="M1" s="59"/>
      <c r="N1" s="59"/>
      <c r="O1" s="60"/>
      <c r="P1" s="159" t="s">
        <v>37</v>
      </c>
      <c r="Q1" s="159"/>
    </row>
    <row r="2" spans="1:17" ht="15.75" thickBot="1" x14ac:dyDescent="0.3">
      <c r="A2" s="61"/>
      <c r="B2" s="62"/>
      <c r="C2" s="62"/>
      <c r="D2" s="62"/>
      <c r="E2" s="62"/>
      <c r="F2" s="62"/>
      <c r="G2" s="63"/>
      <c r="H2" s="64"/>
      <c r="I2" s="64"/>
      <c r="J2" s="64"/>
      <c r="K2" s="64"/>
      <c r="L2" s="64"/>
      <c r="M2" s="64"/>
      <c r="N2" s="64"/>
      <c r="O2" s="62"/>
      <c r="P2" s="159"/>
      <c r="Q2" s="159"/>
    </row>
    <row r="3" spans="1:17" ht="15.75" thickBot="1" x14ac:dyDescent="0.3">
      <c r="A3" s="61"/>
      <c r="B3" s="62"/>
      <c r="C3" s="62"/>
      <c r="D3" s="62"/>
      <c r="E3" s="62"/>
      <c r="F3" s="62"/>
      <c r="G3" s="63"/>
      <c r="H3" s="62"/>
      <c r="I3" s="62"/>
      <c r="J3" s="62"/>
      <c r="K3" s="62"/>
      <c r="L3" s="62"/>
      <c r="M3" s="62"/>
      <c r="N3" s="62"/>
      <c r="O3" s="62"/>
      <c r="P3" s="62"/>
      <c r="Q3" s="65"/>
    </row>
    <row r="4" spans="1:17" ht="15.75" thickBot="1" x14ac:dyDescent="0.3">
      <c r="A4" s="160" t="s">
        <v>38</v>
      </c>
      <c r="B4" s="160"/>
      <c r="C4" s="160"/>
      <c r="D4" s="160"/>
      <c r="E4" s="160"/>
      <c r="F4" s="160"/>
      <c r="G4" s="161" t="str">
        <f>'NP MS'!D3</f>
        <v>040 - MINISTERIO DE SALUD</v>
      </c>
      <c r="H4" s="161"/>
      <c r="I4" s="161"/>
      <c r="J4" s="161"/>
      <c r="K4" s="161"/>
      <c r="L4" s="161"/>
      <c r="M4" s="161"/>
      <c r="N4" s="161"/>
      <c r="O4" s="161"/>
      <c r="P4" s="161"/>
      <c r="Q4" s="161"/>
    </row>
    <row r="5" spans="1:17" ht="15.75" thickBot="1" x14ac:dyDescent="0.3">
      <c r="A5" s="162" t="s">
        <v>25</v>
      </c>
      <c r="B5" s="162"/>
      <c r="C5" s="162"/>
      <c r="D5" s="162"/>
      <c r="E5" s="162"/>
      <c r="F5" s="162"/>
      <c r="G5" s="161" t="str">
        <f>'NP MS'!D4</f>
        <v>011 - DIRECCION PROVINCIAL DE ADMINISTRACION - MINISTERIO DE SALUD</v>
      </c>
      <c r="H5" s="161"/>
      <c r="I5" s="161"/>
      <c r="J5" s="161"/>
      <c r="K5" s="161"/>
      <c r="L5" s="161"/>
      <c r="M5" s="161"/>
      <c r="N5" s="161"/>
      <c r="O5" s="161"/>
      <c r="P5" s="161"/>
      <c r="Q5" s="161"/>
    </row>
    <row r="6" spans="1:17" ht="15.75" thickBot="1" x14ac:dyDescent="0.3">
      <c r="A6" s="162" t="s">
        <v>26</v>
      </c>
      <c r="B6" s="162"/>
      <c r="C6" s="162"/>
      <c r="D6" s="162"/>
      <c r="E6" s="162"/>
      <c r="F6" s="162"/>
      <c r="G6" s="161" t="str">
        <f>'NP MS'!D5</f>
        <v>352 - MINISTERIO DE SALUD</v>
      </c>
      <c r="H6" s="161"/>
      <c r="I6" s="161"/>
      <c r="J6" s="161"/>
      <c r="K6" s="161"/>
      <c r="L6" s="161"/>
      <c r="M6" s="161"/>
      <c r="N6" s="161"/>
      <c r="O6" s="161"/>
      <c r="P6" s="161"/>
      <c r="Q6" s="161"/>
    </row>
    <row r="7" spans="1:17" ht="15.75" thickBot="1" x14ac:dyDescent="0.3">
      <c r="A7" s="162" t="s">
        <v>27</v>
      </c>
      <c r="B7" s="162"/>
      <c r="C7" s="162"/>
      <c r="D7" s="162"/>
      <c r="E7" s="162"/>
      <c r="F7" s="162"/>
      <c r="G7" s="161" t="str">
        <f>'NP MS'!D6</f>
        <v>352 - MINISTERIO DE SALUD</v>
      </c>
      <c r="H7" s="161"/>
      <c r="I7" s="161"/>
      <c r="J7" s="161"/>
      <c r="K7" s="161"/>
      <c r="L7" s="161"/>
      <c r="M7" s="161"/>
      <c r="N7" s="161"/>
      <c r="O7" s="161"/>
      <c r="P7" s="161"/>
      <c r="Q7" s="161"/>
    </row>
    <row r="8" spans="1:17" ht="15.75" thickBot="1" x14ac:dyDescent="0.3">
      <c r="A8" s="163" t="s">
        <v>39</v>
      </c>
      <c r="B8" s="163"/>
      <c r="C8" s="163"/>
      <c r="D8" s="163"/>
      <c r="E8" s="163"/>
      <c r="F8" s="163"/>
      <c r="G8" s="163"/>
      <c r="H8" s="163"/>
      <c r="I8" s="163"/>
      <c r="J8" s="163"/>
      <c r="K8" s="163"/>
      <c r="L8" s="163"/>
      <c r="M8" s="163"/>
      <c r="N8" s="163"/>
      <c r="O8" s="163"/>
      <c r="P8" s="163"/>
      <c r="Q8" s="163"/>
    </row>
    <row r="9" spans="1:17" ht="27.75" customHeight="1" x14ac:dyDescent="0.25">
      <c r="A9" s="156" t="s">
        <v>40</v>
      </c>
      <c r="B9" s="156"/>
      <c r="C9" s="156"/>
      <c r="D9" s="156"/>
      <c r="E9" s="156"/>
      <c r="F9" s="156"/>
      <c r="G9" s="156"/>
      <c r="H9" s="156"/>
      <c r="I9" s="156"/>
      <c r="J9" s="156"/>
      <c r="K9" s="156"/>
      <c r="L9" s="156"/>
      <c r="M9" s="156"/>
      <c r="N9" s="156"/>
      <c r="O9" s="156"/>
      <c r="P9" s="156"/>
      <c r="Q9" s="156"/>
    </row>
    <row r="10" spans="1:17" ht="57" customHeight="1" x14ac:dyDescent="0.25">
      <c r="A10" s="149" t="s">
        <v>59</v>
      </c>
      <c r="B10" s="149"/>
      <c r="C10" s="149"/>
      <c r="D10" s="149"/>
      <c r="E10" s="149"/>
      <c r="F10" s="149"/>
      <c r="G10" s="149"/>
      <c r="H10" s="149"/>
      <c r="I10" s="149"/>
      <c r="J10" s="149"/>
      <c r="K10" s="149"/>
      <c r="L10" s="149"/>
      <c r="M10" s="149"/>
      <c r="N10" s="149"/>
      <c r="O10" s="149"/>
      <c r="P10" s="149"/>
      <c r="Q10" s="149"/>
    </row>
    <row r="11" spans="1:17" ht="15.75" thickBot="1" x14ac:dyDescent="0.3">
      <c r="A11" s="66"/>
      <c r="B11" s="67"/>
      <c r="C11" s="67"/>
      <c r="D11" s="67"/>
      <c r="E11" s="67"/>
      <c r="F11" s="67"/>
      <c r="G11" s="68"/>
      <c r="H11" s="67"/>
      <c r="I11" s="67"/>
      <c r="J11" s="67"/>
      <c r="K11" s="67"/>
      <c r="L11" s="67"/>
      <c r="M11" s="67"/>
      <c r="N11" s="67"/>
      <c r="O11" s="67"/>
      <c r="P11" s="67"/>
      <c r="Q11" s="69"/>
    </row>
    <row r="12" spans="1:17" ht="15.75" thickBot="1" x14ac:dyDescent="0.3">
      <c r="A12" s="150" t="s">
        <v>41</v>
      </c>
      <c r="B12" s="150"/>
      <c r="C12" s="150"/>
      <c r="D12" s="150"/>
      <c r="E12" s="150"/>
      <c r="F12" s="150"/>
      <c r="G12" s="150"/>
      <c r="H12" s="150"/>
      <c r="I12" s="150"/>
      <c r="J12" s="150"/>
      <c r="K12" s="150"/>
      <c r="L12" s="150"/>
      <c r="M12" s="150"/>
      <c r="N12" s="150"/>
      <c r="O12" s="150"/>
      <c r="P12" s="150"/>
      <c r="Q12" s="150"/>
    </row>
    <row r="13" spans="1:17" ht="15.75" thickBot="1" x14ac:dyDescent="0.3">
      <c r="A13" s="151" t="s">
        <v>42</v>
      </c>
      <c r="B13" s="151"/>
      <c r="C13" s="151"/>
      <c r="D13" s="151"/>
      <c r="E13" s="151"/>
      <c r="F13" s="151"/>
      <c r="G13" s="151"/>
      <c r="H13" s="151"/>
      <c r="I13" s="151"/>
      <c r="J13" s="151"/>
      <c r="K13" s="151"/>
      <c r="L13" s="151"/>
      <c r="M13" s="151"/>
      <c r="N13" s="151"/>
      <c r="O13" s="152" t="s">
        <v>43</v>
      </c>
      <c r="P13" s="152"/>
      <c r="Q13" s="153" t="s">
        <v>44</v>
      </c>
    </row>
    <row r="14" spans="1:17" ht="15.75" thickBot="1" x14ac:dyDescent="0.3">
      <c r="A14" s="70" t="s">
        <v>45</v>
      </c>
      <c r="B14" s="71" t="s">
        <v>46</v>
      </c>
      <c r="C14" s="71" t="s">
        <v>47</v>
      </c>
      <c r="D14" s="71" t="s">
        <v>48</v>
      </c>
      <c r="E14" s="71" t="s">
        <v>49</v>
      </c>
      <c r="F14" s="71" t="s">
        <v>50</v>
      </c>
      <c r="G14" s="72" t="s">
        <v>51</v>
      </c>
      <c r="H14" s="71" t="s">
        <v>52</v>
      </c>
      <c r="I14" s="71" t="s">
        <v>53</v>
      </c>
      <c r="J14" s="71" t="s">
        <v>54</v>
      </c>
      <c r="K14" s="71" t="s">
        <v>54</v>
      </c>
      <c r="L14" s="71" t="s">
        <v>55</v>
      </c>
      <c r="M14" s="73" t="s">
        <v>56</v>
      </c>
      <c r="N14" s="74" t="s">
        <v>57</v>
      </c>
      <c r="O14" s="152"/>
      <c r="P14" s="152"/>
      <c r="Q14" s="153"/>
    </row>
    <row r="15" spans="1:17" x14ac:dyDescent="0.25">
      <c r="A15" s="75">
        <v>1</v>
      </c>
      <c r="B15" s="76"/>
      <c r="C15" s="76"/>
      <c r="D15" s="76">
        <v>1</v>
      </c>
      <c r="E15" s="76"/>
      <c r="F15" s="76">
        <v>4901</v>
      </c>
      <c r="G15" s="76">
        <v>3</v>
      </c>
      <c r="H15" s="76">
        <v>1</v>
      </c>
      <c r="I15" s="76">
        <v>2</v>
      </c>
      <c r="J15" s="76">
        <v>1</v>
      </c>
      <c r="K15" s="76">
        <v>1</v>
      </c>
      <c r="L15" s="76"/>
      <c r="M15" s="77">
        <v>1</v>
      </c>
      <c r="N15" s="76" t="s">
        <v>68</v>
      </c>
      <c r="O15" s="154" t="s">
        <v>69</v>
      </c>
      <c r="P15" s="154"/>
      <c r="Q15" s="78" t="e">
        <f>'NP MS'!J14</f>
        <v>#REF!</v>
      </c>
    </row>
    <row r="16" spans="1:17" x14ac:dyDescent="0.25">
      <c r="A16" s="79"/>
      <c r="B16" s="80"/>
      <c r="C16" s="80"/>
      <c r="D16" s="80"/>
      <c r="E16" s="80"/>
      <c r="F16" s="80"/>
      <c r="G16" s="80"/>
      <c r="H16" s="80"/>
      <c r="I16" s="80"/>
      <c r="J16" s="80"/>
      <c r="K16" s="80"/>
      <c r="L16" s="80"/>
      <c r="M16" s="81"/>
      <c r="N16" s="94"/>
      <c r="O16" s="143"/>
      <c r="P16" s="143"/>
      <c r="Q16" s="83"/>
    </row>
    <row r="17" spans="1:17" x14ac:dyDescent="0.25">
      <c r="A17" s="79"/>
      <c r="B17" s="80"/>
      <c r="C17" s="80"/>
      <c r="D17" s="80"/>
      <c r="E17" s="80"/>
      <c r="F17" s="80"/>
      <c r="G17" s="80"/>
      <c r="H17" s="80"/>
      <c r="I17" s="80"/>
      <c r="J17" s="80"/>
      <c r="K17" s="80"/>
      <c r="L17" s="80"/>
      <c r="M17" s="81"/>
      <c r="N17" s="94"/>
      <c r="O17" s="155"/>
      <c r="P17" s="155"/>
      <c r="Q17" s="83"/>
    </row>
    <row r="18" spans="1:17" x14ac:dyDescent="0.25">
      <c r="A18" s="79"/>
      <c r="B18" s="80"/>
      <c r="C18" s="80"/>
      <c r="D18" s="80"/>
      <c r="E18" s="80"/>
      <c r="F18" s="80"/>
      <c r="G18" s="80"/>
      <c r="H18" s="80"/>
      <c r="I18" s="80"/>
      <c r="J18" s="80"/>
      <c r="K18" s="80"/>
      <c r="L18" s="80"/>
      <c r="M18" s="81"/>
      <c r="N18" s="94"/>
      <c r="O18" s="148"/>
      <c r="P18" s="148"/>
      <c r="Q18" s="83"/>
    </row>
    <row r="19" spans="1:17" x14ac:dyDescent="0.25">
      <c r="A19" s="79"/>
      <c r="B19" s="80"/>
      <c r="C19" s="80"/>
      <c r="D19" s="80"/>
      <c r="E19" s="80"/>
      <c r="F19" s="80"/>
      <c r="G19" s="80"/>
      <c r="H19" s="80"/>
      <c r="I19" s="80"/>
      <c r="J19" s="80"/>
      <c r="K19" s="80"/>
      <c r="L19" s="80"/>
      <c r="M19" s="81"/>
      <c r="N19" s="94"/>
      <c r="O19" s="148"/>
      <c r="P19" s="148"/>
      <c r="Q19" s="83"/>
    </row>
    <row r="20" spans="1:17" x14ac:dyDescent="0.25">
      <c r="A20" s="79"/>
      <c r="B20" s="80"/>
      <c r="C20" s="80"/>
      <c r="D20" s="80"/>
      <c r="E20" s="80"/>
      <c r="F20" s="80"/>
      <c r="G20" s="80"/>
      <c r="H20" s="80"/>
      <c r="I20" s="80"/>
      <c r="J20" s="80"/>
      <c r="K20" s="80"/>
      <c r="L20" s="80"/>
      <c r="M20" s="81"/>
      <c r="N20" s="94"/>
      <c r="O20" s="148"/>
      <c r="P20" s="148"/>
      <c r="Q20" s="83"/>
    </row>
    <row r="21" spans="1:17" x14ac:dyDescent="0.25">
      <c r="A21" s="79"/>
      <c r="B21" s="80"/>
      <c r="C21" s="80"/>
      <c r="D21" s="80"/>
      <c r="E21" s="80"/>
      <c r="F21" s="80"/>
      <c r="G21" s="80"/>
      <c r="H21" s="80"/>
      <c r="I21" s="80"/>
      <c r="J21" s="80"/>
      <c r="K21" s="80"/>
      <c r="L21" s="80"/>
      <c r="M21" s="81"/>
      <c r="N21" s="94"/>
      <c r="O21" s="148"/>
      <c r="P21" s="148"/>
      <c r="Q21" s="83"/>
    </row>
    <row r="22" spans="1:17" x14ac:dyDescent="0.25">
      <c r="A22" s="79"/>
      <c r="B22" s="80"/>
      <c r="C22" s="80"/>
      <c r="D22" s="80"/>
      <c r="E22" s="80"/>
      <c r="F22" s="80"/>
      <c r="G22" s="80"/>
      <c r="H22" s="80"/>
      <c r="I22" s="80"/>
      <c r="J22" s="80"/>
      <c r="K22" s="80"/>
      <c r="L22" s="80"/>
      <c r="M22" s="81"/>
      <c r="N22" s="94"/>
      <c r="O22" s="148"/>
      <c r="P22" s="148"/>
      <c r="Q22" s="83"/>
    </row>
    <row r="23" spans="1:17" x14ac:dyDescent="0.25">
      <c r="A23" s="79"/>
      <c r="B23" s="80"/>
      <c r="C23" s="80"/>
      <c r="D23" s="80"/>
      <c r="E23" s="80"/>
      <c r="F23" s="80"/>
      <c r="G23" s="80"/>
      <c r="H23" s="80"/>
      <c r="I23" s="80"/>
      <c r="J23" s="80"/>
      <c r="K23" s="80"/>
      <c r="L23" s="80"/>
      <c r="M23" s="81"/>
      <c r="N23" s="94"/>
      <c r="O23" s="148"/>
      <c r="P23" s="148"/>
      <c r="Q23" s="83"/>
    </row>
    <row r="24" spans="1:17" x14ac:dyDescent="0.25">
      <c r="A24" s="79"/>
      <c r="B24" s="80"/>
      <c r="C24" s="80"/>
      <c r="D24" s="80"/>
      <c r="E24" s="80"/>
      <c r="F24" s="80"/>
      <c r="G24" s="80"/>
      <c r="H24" s="80"/>
      <c r="I24" s="80"/>
      <c r="J24" s="80"/>
      <c r="K24" s="80"/>
      <c r="L24" s="80"/>
      <c r="M24" s="81"/>
      <c r="N24" s="94"/>
      <c r="O24" s="148"/>
      <c r="P24" s="148"/>
      <c r="Q24" s="83"/>
    </row>
    <row r="25" spans="1:17" x14ac:dyDescent="0.25">
      <c r="A25" s="79"/>
      <c r="B25" s="80"/>
      <c r="C25" s="80"/>
      <c r="D25" s="80"/>
      <c r="E25" s="80"/>
      <c r="F25" s="80"/>
      <c r="G25" s="80"/>
      <c r="H25" s="80"/>
      <c r="I25" s="80"/>
      <c r="J25" s="80"/>
      <c r="K25" s="80"/>
      <c r="L25" s="80"/>
      <c r="M25" s="81"/>
      <c r="N25" s="94"/>
      <c r="O25" s="148"/>
      <c r="P25" s="148"/>
      <c r="Q25" s="83"/>
    </row>
    <row r="26" spans="1:17" x14ac:dyDescent="0.25">
      <c r="A26" s="79"/>
      <c r="B26" s="80"/>
      <c r="C26" s="80"/>
      <c r="D26" s="80"/>
      <c r="E26" s="80"/>
      <c r="F26" s="80"/>
      <c r="G26" s="80"/>
      <c r="H26" s="80"/>
      <c r="I26" s="80"/>
      <c r="J26" s="80"/>
      <c r="K26" s="80"/>
      <c r="L26" s="80"/>
      <c r="M26" s="81"/>
      <c r="N26" s="94"/>
      <c r="O26" s="148"/>
      <c r="P26" s="148"/>
      <c r="Q26" s="83"/>
    </row>
    <row r="27" spans="1:17" x14ac:dyDescent="0.25">
      <c r="A27" s="79"/>
      <c r="B27" s="80"/>
      <c r="C27" s="80"/>
      <c r="D27" s="80"/>
      <c r="E27" s="80"/>
      <c r="F27" s="80"/>
      <c r="G27" s="80"/>
      <c r="H27" s="80"/>
      <c r="I27" s="80"/>
      <c r="J27" s="80"/>
      <c r="K27" s="80"/>
      <c r="L27" s="80"/>
      <c r="M27" s="81"/>
      <c r="N27" s="94"/>
      <c r="O27" s="148"/>
      <c r="P27" s="148"/>
      <c r="Q27" s="83"/>
    </row>
    <row r="28" spans="1:17" x14ac:dyDescent="0.25">
      <c r="A28" s="79"/>
      <c r="B28" s="80"/>
      <c r="C28" s="80"/>
      <c r="D28" s="80"/>
      <c r="E28" s="80"/>
      <c r="F28" s="80"/>
      <c r="G28" s="80"/>
      <c r="H28" s="80"/>
      <c r="I28" s="80"/>
      <c r="J28" s="80"/>
      <c r="K28" s="80"/>
      <c r="L28" s="80"/>
      <c r="M28" s="81"/>
      <c r="N28" s="94"/>
      <c r="O28" s="148"/>
      <c r="P28" s="148"/>
      <c r="Q28" s="83"/>
    </row>
    <row r="29" spans="1:17" x14ac:dyDescent="0.25">
      <c r="A29" s="79"/>
      <c r="B29" s="80"/>
      <c r="C29" s="80"/>
      <c r="D29" s="80"/>
      <c r="E29" s="80"/>
      <c r="F29" s="80"/>
      <c r="G29" s="80"/>
      <c r="H29" s="80"/>
      <c r="I29" s="80"/>
      <c r="J29" s="80"/>
      <c r="K29" s="80"/>
      <c r="L29" s="80"/>
      <c r="M29" s="81"/>
      <c r="N29" s="94"/>
      <c r="O29" s="148"/>
      <c r="P29" s="148"/>
      <c r="Q29" s="83"/>
    </row>
    <row r="30" spans="1:17" x14ac:dyDescent="0.25">
      <c r="A30" s="79"/>
      <c r="B30" s="80"/>
      <c r="C30" s="80"/>
      <c r="D30" s="80"/>
      <c r="E30" s="80"/>
      <c r="F30" s="80"/>
      <c r="G30" s="80"/>
      <c r="H30" s="80"/>
      <c r="I30" s="80"/>
      <c r="J30" s="80"/>
      <c r="K30" s="80"/>
      <c r="L30" s="80"/>
      <c r="M30" s="81"/>
      <c r="N30" s="94"/>
      <c r="O30" s="148"/>
      <c r="P30" s="148"/>
      <c r="Q30" s="83"/>
    </row>
    <row r="31" spans="1:17" x14ac:dyDescent="0.25">
      <c r="A31" s="79"/>
      <c r="B31" s="80"/>
      <c r="C31" s="80"/>
      <c r="D31" s="80"/>
      <c r="E31" s="80"/>
      <c r="F31" s="80"/>
      <c r="G31" s="80"/>
      <c r="H31" s="80"/>
      <c r="I31" s="80"/>
      <c r="J31" s="80"/>
      <c r="K31" s="80"/>
      <c r="L31" s="80"/>
      <c r="M31" s="81"/>
      <c r="N31" s="94"/>
      <c r="O31" s="148"/>
      <c r="P31" s="148"/>
      <c r="Q31" s="83"/>
    </row>
    <row r="32" spans="1:17" x14ac:dyDescent="0.25">
      <c r="A32" s="79"/>
      <c r="B32" s="80"/>
      <c r="C32" s="80"/>
      <c r="D32" s="80"/>
      <c r="E32" s="80"/>
      <c r="F32" s="94"/>
      <c r="G32" s="80"/>
      <c r="H32" s="80"/>
      <c r="I32" s="80"/>
      <c r="J32" s="80"/>
      <c r="K32" s="80"/>
      <c r="L32" s="80"/>
      <c r="M32" s="81"/>
      <c r="N32" s="94"/>
      <c r="O32" s="143"/>
      <c r="P32" s="143"/>
      <c r="Q32" s="83"/>
    </row>
    <row r="33" spans="1:17" x14ac:dyDescent="0.25">
      <c r="A33" s="79"/>
      <c r="B33" s="80"/>
      <c r="C33" s="80"/>
      <c r="D33" s="80"/>
      <c r="E33" s="80"/>
      <c r="F33" s="80"/>
      <c r="G33" s="80"/>
      <c r="H33" s="80"/>
      <c r="I33" s="80"/>
      <c r="J33" s="80"/>
      <c r="K33" s="80"/>
      <c r="L33" s="80"/>
      <c r="M33" s="81"/>
      <c r="N33" s="94"/>
      <c r="O33" s="143"/>
      <c r="P33" s="143"/>
      <c r="Q33" s="83"/>
    </row>
    <row r="34" spans="1:17" x14ac:dyDescent="0.25">
      <c r="A34" s="79"/>
      <c r="B34" s="80"/>
      <c r="C34" s="80"/>
      <c r="D34" s="80"/>
      <c r="E34" s="80"/>
      <c r="F34" s="94"/>
      <c r="G34" s="80"/>
      <c r="H34" s="80"/>
      <c r="I34" s="80"/>
      <c r="J34" s="80"/>
      <c r="K34" s="80"/>
      <c r="L34" s="80"/>
      <c r="M34" s="81"/>
      <c r="N34" s="94"/>
      <c r="O34" s="143"/>
      <c r="P34" s="143"/>
      <c r="Q34" s="83"/>
    </row>
    <row r="35" spans="1:17" x14ac:dyDescent="0.25">
      <c r="A35" s="79"/>
      <c r="B35" s="80"/>
      <c r="C35" s="80"/>
      <c r="D35" s="80"/>
      <c r="E35" s="80"/>
      <c r="F35" s="94"/>
      <c r="G35" s="80"/>
      <c r="H35" s="80"/>
      <c r="I35" s="80"/>
      <c r="J35" s="80"/>
      <c r="K35" s="80"/>
      <c r="L35" s="80"/>
      <c r="M35" s="81"/>
      <c r="N35" s="94"/>
      <c r="O35" s="143"/>
      <c r="P35" s="143"/>
      <c r="Q35" s="83"/>
    </row>
    <row r="36" spans="1:17" x14ac:dyDescent="0.25">
      <c r="A36" s="84"/>
      <c r="B36" s="85"/>
      <c r="C36" s="85"/>
      <c r="D36" s="85"/>
      <c r="E36" s="85"/>
      <c r="F36" s="86"/>
      <c r="G36" s="85"/>
      <c r="H36" s="85"/>
      <c r="I36" s="85"/>
      <c r="J36" s="85"/>
      <c r="K36" s="85"/>
      <c r="L36" s="85"/>
      <c r="M36" s="87"/>
      <c r="N36" s="88"/>
      <c r="O36" s="144"/>
      <c r="P36" s="144"/>
      <c r="Q36" s="83"/>
    </row>
    <row r="37" spans="1:17" ht="15.75" thickBot="1" x14ac:dyDescent="0.3">
      <c r="A37" s="89"/>
      <c r="B37" s="90"/>
      <c r="C37" s="90"/>
      <c r="D37" s="90"/>
      <c r="E37" s="90"/>
      <c r="F37" s="90"/>
      <c r="G37" s="90"/>
      <c r="H37" s="90"/>
      <c r="I37" s="90"/>
      <c r="J37" s="90"/>
      <c r="K37" s="90"/>
      <c r="L37" s="90"/>
      <c r="M37" s="91"/>
      <c r="N37" s="90"/>
      <c r="O37" s="145"/>
      <c r="P37" s="145"/>
      <c r="Q37" s="92"/>
    </row>
    <row r="38" spans="1:17" ht="15.75" thickBot="1" x14ac:dyDescent="0.3">
      <c r="A38" s="146" t="s">
        <v>77</v>
      </c>
      <c r="B38" s="146"/>
      <c r="C38" s="146"/>
      <c r="D38" s="146"/>
      <c r="E38" s="146"/>
      <c r="F38" s="146"/>
      <c r="G38" s="146"/>
      <c r="H38" s="146"/>
      <c r="I38" s="146"/>
      <c r="J38" s="146"/>
      <c r="K38" s="146"/>
      <c r="L38" s="146"/>
      <c r="M38" s="146"/>
      <c r="N38" s="146"/>
      <c r="O38" s="146"/>
      <c r="P38" s="146"/>
      <c r="Q38" s="93" t="e">
        <f>SUM(Q15:Q37)</f>
        <v>#REF!</v>
      </c>
    </row>
    <row r="39" spans="1:17" ht="15.75" thickBot="1" x14ac:dyDescent="0.3">
      <c r="A39" s="147"/>
      <c r="B39" s="147"/>
      <c r="C39" s="147"/>
      <c r="D39" s="147"/>
      <c r="E39" s="147"/>
      <c r="F39" s="147"/>
      <c r="G39" s="147"/>
      <c r="H39" s="147"/>
      <c r="I39" s="147"/>
      <c r="J39" s="147"/>
      <c r="K39" s="147"/>
      <c r="L39" s="147"/>
      <c r="M39" s="147"/>
      <c r="N39" s="147"/>
      <c r="O39" s="147"/>
      <c r="P39" s="147"/>
      <c r="Q39" s="147"/>
    </row>
    <row r="40" spans="1:17" ht="15.75" thickBot="1" x14ac:dyDescent="0.3">
      <c r="A40" s="140" t="s">
        <v>58</v>
      </c>
      <c r="B40" s="140"/>
      <c r="C40" s="140"/>
      <c r="D40" s="140"/>
      <c r="E40" s="140"/>
      <c r="F40" s="140"/>
      <c r="G40" s="141"/>
      <c r="H40" s="141"/>
      <c r="I40" s="141"/>
      <c r="J40" s="141"/>
      <c r="K40" s="141"/>
      <c r="L40" s="141"/>
      <c r="M40" s="141"/>
      <c r="N40" s="141"/>
      <c r="O40" s="141"/>
      <c r="P40" s="141"/>
      <c r="Q40" s="141"/>
    </row>
    <row r="41" spans="1:17" ht="15.75" thickBot="1" x14ac:dyDescent="0.3">
      <c r="A41" s="142" t="str">
        <f>'NP MS'!D8</f>
        <v>ADQ. DEL RUBRO ALIMENTOS PARA PERSONAS (BIDONES DE AGUA)</v>
      </c>
      <c r="B41" s="142"/>
      <c r="C41" s="142"/>
      <c r="D41" s="142"/>
      <c r="E41" s="142"/>
      <c r="F41" s="142"/>
      <c r="G41" s="142"/>
      <c r="H41" s="142"/>
      <c r="I41" s="142"/>
      <c r="J41" s="142"/>
      <c r="K41" s="142"/>
      <c r="L41" s="142"/>
      <c r="M41" s="142"/>
      <c r="N41" s="142"/>
      <c r="O41" s="142"/>
      <c r="P41" s="142"/>
      <c r="Q41" s="142"/>
    </row>
    <row r="42" spans="1:17" ht="15.75" thickBot="1" x14ac:dyDescent="0.3">
      <c r="A42" s="142"/>
      <c r="B42" s="142"/>
      <c r="C42" s="142"/>
      <c r="D42" s="142"/>
      <c r="E42" s="142"/>
      <c r="F42" s="142"/>
      <c r="G42" s="142"/>
      <c r="H42" s="142"/>
      <c r="I42" s="142"/>
      <c r="J42" s="142"/>
      <c r="K42" s="142"/>
      <c r="L42" s="142"/>
      <c r="M42" s="142"/>
      <c r="N42" s="142"/>
      <c r="O42" s="142"/>
      <c r="P42" s="142"/>
      <c r="Q42" s="142"/>
    </row>
  </sheetData>
  <mergeCells count="46">
    <mergeCell ref="A9:Q9"/>
    <mergeCell ref="A1:C1"/>
    <mergeCell ref="D1:E1"/>
    <mergeCell ref="P1:Q2"/>
    <mergeCell ref="A4:F4"/>
    <mergeCell ref="G4:Q4"/>
    <mergeCell ref="A5:F5"/>
    <mergeCell ref="G5:Q5"/>
    <mergeCell ref="A6:F6"/>
    <mergeCell ref="G6:Q6"/>
    <mergeCell ref="A7:F7"/>
    <mergeCell ref="G7:Q7"/>
    <mergeCell ref="A8:Q8"/>
    <mergeCell ref="O21:P21"/>
    <mergeCell ref="A10:Q10"/>
    <mergeCell ref="A12:Q12"/>
    <mergeCell ref="A13:N13"/>
    <mergeCell ref="O13:P14"/>
    <mergeCell ref="Q13:Q14"/>
    <mergeCell ref="O15:P15"/>
    <mergeCell ref="O16:P16"/>
    <mergeCell ref="O17:P17"/>
    <mergeCell ref="O18:P18"/>
    <mergeCell ref="O19:P19"/>
    <mergeCell ref="O20:P20"/>
    <mergeCell ref="O33:P33"/>
    <mergeCell ref="O22:P22"/>
    <mergeCell ref="O23:P23"/>
    <mergeCell ref="O24:P24"/>
    <mergeCell ref="O25:P25"/>
    <mergeCell ref="O26:P26"/>
    <mergeCell ref="O27:P27"/>
    <mergeCell ref="O28:P28"/>
    <mergeCell ref="O29:P29"/>
    <mergeCell ref="O30:P30"/>
    <mergeCell ref="O31:P31"/>
    <mergeCell ref="O32:P32"/>
    <mergeCell ref="A40:F40"/>
    <mergeCell ref="G40:Q40"/>
    <mergeCell ref="A41:Q42"/>
    <mergeCell ref="O34:P34"/>
    <mergeCell ref="O35:P35"/>
    <mergeCell ref="O36:P36"/>
    <mergeCell ref="O37:P37"/>
    <mergeCell ref="A38:P38"/>
    <mergeCell ref="A39:Q39"/>
  </mergeCells>
  <pageMargins left="0.7" right="0.7" top="0.75" bottom="0.75" header="0.3" footer="0.3"/>
  <pageSetup paperSize="9" scale="81" orientation="portrait"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K14"/>
  <sheetViews>
    <sheetView workbookViewId="0">
      <selection activeCell="I21" sqref="I21:I22"/>
    </sheetView>
  </sheetViews>
  <sheetFormatPr baseColWidth="10" defaultRowHeight="15" x14ac:dyDescent="0.25"/>
  <cols>
    <col min="1" max="1" width="5.5703125" style="25" customWidth="1"/>
    <col min="2" max="2" width="15.140625" style="25" customWidth="1"/>
    <col min="3" max="3" width="14.140625" style="25" customWidth="1"/>
    <col min="4" max="4" width="26" style="25" customWidth="1"/>
    <col min="5" max="5" width="8" style="25" customWidth="1"/>
    <col min="6" max="6" width="7.85546875" style="25" customWidth="1"/>
    <col min="7" max="7" width="28.5703125" style="25" customWidth="1"/>
    <col min="8" max="8" width="9.28515625" style="25" customWidth="1"/>
    <col min="9" max="9" width="15.5703125" style="25" customWidth="1"/>
    <col min="10" max="10" width="14.7109375" style="25" customWidth="1"/>
    <col min="11" max="11" width="15.5703125" style="25" customWidth="1"/>
    <col min="12" max="16384" width="11.42578125" style="25"/>
  </cols>
  <sheetData>
    <row r="1" spans="1:11" ht="30.75" thickBot="1" x14ac:dyDescent="0.3">
      <c r="A1" s="139" t="s">
        <v>22</v>
      </c>
      <c r="B1" s="139"/>
      <c r="C1" s="139"/>
      <c r="D1" s="139"/>
      <c r="E1" s="139"/>
      <c r="F1" s="139"/>
      <c r="G1" s="139"/>
      <c r="H1" s="139"/>
      <c r="I1" s="139"/>
      <c r="J1" s="39" t="s">
        <v>23</v>
      </c>
      <c r="K1" s="40"/>
    </row>
    <row r="2" spans="1:11" ht="16.5" thickBot="1" x14ac:dyDescent="0.3">
      <c r="A2" s="41"/>
      <c r="B2" s="42"/>
      <c r="C2" s="42"/>
      <c r="D2" s="43"/>
      <c r="E2" s="43"/>
      <c r="F2" s="43"/>
      <c r="G2" s="43"/>
      <c r="H2" s="43"/>
      <c r="I2" s="43"/>
      <c r="J2" s="43"/>
      <c r="K2" s="44"/>
    </row>
    <row r="3" spans="1:11" ht="16.5" customHeight="1" thickBot="1" x14ac:dyDescent="0.3">
      <c r="A3" s="136" t="s">
        <v>24</v>
      </c>
      <c r="B3" s="136"/>
      <c r="C3" s="136"/>
      <c r="D3" s="110" t="str">
        <f>'SAF 011'!C4</f>
        <v>040 - MINISTERIO DE SALUD</v>
      </c>
      <c r="E3" s="111"/>
      <c r="F3" s="111"/>
      <c r="G3" s="111"/>
      <c r="H3" s="111"/>
      <c r="I3" s="111"/>
      <c r="J3" s="111"/>
      <c r="K3" s="112"/>
    </row>
    <row r="4" spans="1:11" ht="16.5" customHeight="1" thickBot="1" x14ac:dyDescent="0.3">
      <c r="A4" s="137" t="s">
        <v>25</v>
      </c>
      <c r="B4" s="137"/>
      <c r="C4" s="137"/>
      <c r="D4" s="110" t="str">
        <f>'SAF 011'!C5</f>
        <v>011 - DIRECCION PROVINCIAL DE ADMINISTRACION - MINISTERIO DE SALUD</v>
      </c>
      <c r="E4" s="111"/>
      <c r="F4" s="111"/>
      <c r="G4" s="111"/>
      <c r="H4" s="111"/>
      <c r="I4" s="111"/>
      <c r="J4" s="111"/>
      <c r="K4" s="112"/>
    </row>
    <row r="5" spans="1:11" ht="16.5" thickBot="1" x14ac:dyDescent="0.3">
      <c r="A5" s="137" t="s">
        <v>26</v>
      </c>
      <c r="B5" s="137"/>
      <c r="C5" s="137"/>
      <c r="D5" s="110" t="s">
        <v>96</v>
      </c>
      <c r="E5" s="111"/>
      <c r="F5" s="111"/>
      <c r="G5" s="111"/>
      <c r="H5" s="111"/>
      <c r="I5" s="111"/>
      <c r="J5" s="111"/>
      <c r="K5" s="112"/>
    </row>
    <row r="6" spans="1:11" ht="16.5" thickBot="1" x14ac:dyDescent="0.3">
      <c r="A6" s="136" t="s">
        <v>27</v>
      </c>
      <c r="B6" s="136"/>
      <c r="C6" s="136"/>
      <c r="D6" s="110" t="s">
        <v>96</v>
      </c>
      <c r="E6" s="111"/>
      <c r="F6" s="111"/>
      <c r="G6" s="111"/>
      <c r="H6" s="111"/>
      <c r="I6" s="111"/>
      <c r="J6" s="111"/>
      <c r="K6" s="112"/>
    </row>
    <row r="7" spans="1:11" ht="16.5" thickBot="1" x14ac:dyDescent="0.3">
      <c r="A7" s="137" t="s">
        <v>28</v>
      </c>
      <c r="B7" s="137"/>
      <c r="C7" s="137"/>
      <c r="D7" s="110" t="s">
        <v>99</v>
      </c>
      <c r="E7" s="111"/>
      <c r="F7" s="111"/>
      <c r="G7" s="111"/>
      <c r="H7" s="111"/>
      <c r="I7" s="111"/>
      <c r="J7" s="111"/>
      <c r="K7" s="112"/>
    </row>
    <row r="8" spans="1:11" ht="16.5" thickBot="1" x14ac:dyDescent="0.3">
      <c r="A8" s="138" t="s">
        <v>29</v>
      </c>
      <c r="B8" s="138"/>
      <c r="C8" s="138"/>
      <c r="D8" s="113" t="s">
        <v>71</v>
      </c>
      <c r="E8" s="111"/>
      <c r="F8" s="111"/>
      <c r="G8" s="111"/>
      <c r="H8" s="111"/>
      <c r="I8" s="111"/>
      <c r="J8" s="111"/>
      <c r="K8" s="112"/>
    </row>
    <row r="9" spans="1:11" ht="16.5" thickBot="1" x14ac:dyDescent="0.3">
      <c r="A9" s="45"/>
      <c r="B9" s="46"/>
      <c r="C9" s="46"/>
      <c r="D9" s="47"/>
      <c r="E9" s="47"/>
      <c r="F9" s="47"/>
      <c r="G9" s="47"/>
      <c r="H9" s="47"/>
      <c r="I9" s="47"/>
      <c r="J9" s="47"/>
      <c r="K9" s="48"/>
    </row>
    <row r="10" spans="1:11" ht="15.75" thickBot="1" x14ac:dyDescent="0.3">
      <c r="A10" s="135" t="s">
        <v>30</v>
      </c>
      <c r="B10" s="134" t="s">
        <v>31</v>
      </c>
      <c r="C10" s="134" t="s">
        <v>32</v>
      </c>
      <c r="D10" s="134"/>
      <c r="E10" s="134"/>
      <c r="F10" s="134"/>
      <c r="G10" s="134"/>
      <c r="H10" s="134" t="s">
        <v>33</v>
      </c>
      <c r="I10" s="134" t="s">
        <v>34</v>
      </c>
      <c r="J10" s="134" t="s">
        <v>35</v>
      </c>
      <c r="K10" s="132" t="s">
        <v>36</v>
      </c>
    </row>
    <row r="11" spans="1:11" ht="24.75" customHeight="1" thickBot="1" x14ac:dyDescent="0.3">
      <c r="A11" s="135"/>
      <c r="B11" s="134"/>
      <c r="C11" s="134"/>
      <c r="D11" s="134"/>
      <c r="E11" s="134"/>
      <c r="F11" s="134"/>
      <c r="G11" s="134"/>
      <c r="H11" s="134"/>
      <c r="I11" s="134"/>
      <c r="J11" s="134"/>
      <c r="K11" s="132"/>
    </row>
    <row r="12" spans="1:11" ht="54" customHeight="1" x14ac:dyDescent="0.25">
      <c r="A12" s="49">
        <v>1</v>
      </c>
      <c r="B12" s="114" t="str">
        <f>'SAF 011'!B10</f>
        <v>2.1.1-7915.14</v>
      </c>
      <c r="C12" s="133" t="str">
        <f>'SAF 011'!E10</f>
        <v>AGUA POTABLE; TIPO: POTABILIZADA SIN GASIFICAR; PRESENTACION: SEGÚN PLIEGO, MATERIAL ENVASE: SEGÚN PLIEGO, TIPO ENVASE: SEGÚN PLIEGO</v>
      </c>
      <c r="D12" s="133"/>
      <c r="E12" s="133"/>
      <c r="F12" s="133"/>
      <c r="G12" s="133"/>
      <c r="H12" s="50" t="s">
        <v>72</v>
      </c>
      <c r="I12" s="51" t="s">
        <v>107</v>
      </c>
      <c r="J12" s="51">
        <f>'SAF 011'!H10</f>
        <v>600</v>
      </c>
      <c r="K12" s="52" t="e">
        <f>'SAF 011'!#REF!</f>
        <v>#REF!</v>
      </c>
    </row>
    <row r="13" spans="1:11" ht="15.75" x14ac:dyDescent="0.25">
      <c r="A13" s="53"/>
      <c r="B13" s="54"/>
      <c r="C13" s="131"/>
      <c r="D13" s="131"/>
      <c r="E13" s="131"/>
      <c r="F13" s="131"/>
      <c r="G13" s="131"/>
      <c r="H13" s="55"/>
      <c r="I13" s="56"/>
      <c r="J13" s="56"/>
      <c r="K13" s="57"/>
    </row>
    <row r="14" spans="1:11" ht="19.5" thickBot="1" x14ac:dyDescent="0.3">
      <c r="A14" s="128" t="s">
        <v>97</v>
      </c>
      <c r="B14" s="128"/>
      <c r="C14" s="128"/>
      <c r="D14" s="128"/>
      <c r="E14" s="128"/>
      <c r="F14" s="128"/>
      <c r="G14" s="128"/>
      <c r="H14" s="128"/>
      <c r="I14" s="128"/>
      <c r="J14" s="129" t="e">
        <f>+J12*K12</f>
        <v>#REF!</v>
      </c>
      <c r="K14" s="130"/>
    </row>
  </sheetData>
  <mergeCells count="18">
    <mergeCell ref="A7:C7"/>
    <mergeCell ref="A1:I1"/>
    <mergeCell ref="A3:C3"/>
    <mergeCell ref="A4:C4"/>
    <mergeCell ref="A5:C5"/>
    <mergeCell ref="A6:C6"/>
    <mergeCell ref="A8:C8"/>
    <mergeCell ref="A10:A11"/>
    <mergeCell ref="B10:B11"/>
    <mergeCell ref="C10:G11"/>
    <mergeCell ref="H10:H11"/>
    <mergeCell ref="J10:J11"/>
    <mergeCell ref="K10:K11"/>
    <mergeCell ref="C12:G12"/>
    <mergeCell ref="C13:G13"/>
    <mergeCell ref="A14:I14"/>
    <mergeCell ref="J14:K14"/>
    <mergeCell ref="I10:I11"/>
  </mergeCell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A1:Q42"/>
  <sheetViews>
    <sheetView workbookViewId="0">
      <selection activeCell="A41" sqref="A41:Q42"/>
    </sheetView>
  </sheetViews>
  <sheetFormatPr baseColWidth="10" defaultRowHeight="15" x14ac:dyDescent="0.25"/>
  <cols>
    <col min="1" max="5" width="4.42578125" style="25" customWidth="1"/>
    <col min="6" max="6" width="5.5703125" style="25" customWidth="1"/>
    <col min="7" max="7" width="4" style="25" bestFit="1" customWidth="1"/>
    <col min="8" max="14" width="4.42578125" style="25" customWidth="1"/>
    <col min="15" max="16" width="14.85546875" style="25" customWidth="1"/>
    <col min="17" max="17" width="14.7109375" style="25" customWidth="1"/>
    <col min="18" max="16384" width="11.42578125" style="25"/>
  </cols>
  <sheetData>
    <row r="1" spans="1:17" ht="15.75" thickBot="1" x14ac:dyDescent="0.3">
      <c r="A1" s="157" t="s">
        <v>5</v>
      </c>
      <c r="B1" s="157"/>
      <c r="C1" s="157"/>
      <c r="D1" s="158">
        <v>2022</v>
      </c>
      <c r="E1" s="158"/>
      <c r="F1" s="58"/>
      <c r="G1" s="58"/>
      <c r="H1" s="59"/>
      <c r="I1" s="59"/>
      <c r="J1" s="59"/>
      <c r="K1" s="59"/>
      <c r="L1" s="59"/>
      <c r="M1" s="59"/>
      <c r="N1" s="59"/>
      <c r="O1" s="60"/>
      <c r="P1" s="159" t="s">
        <v>37</v>
      </c>
      <c r="Q1" s="159"/>
    </row>
    <row r="2" spans="1:17" ht="15.75" thickBot="1" x14ac:dyDescent="0.3">
      <c r="A2" s="61"/>
      <c r="B2" s="62"/>
      <c r="C2" s="62"/>
      <c r="D2" s="62"/>
      <c r="E2" s="62"/>
      <c r="F2" s="62"/>
      <c r="G2" s="63"/>
      <c r="H2" s="64"/>
      <c r="I2" s="64"/>
      <c r="J2" s="64"/>
      <c r="K2" s="64"/>
      <c r="L2" s="64"/>
      <c r="M2" s="64"/>
      <c r="N2" s="64"/>
      <c r="O2" s="62"/>
      <c r="P2" s="159"/>
      <c r="Q2" s="159"/>
    </row>
    <row r="3" spans="1:17" ht="15.75" thickBot="1" x14ac:dyDescent="0.3">
      <c r="A3" s="61"/>
      <c r="B3" s="62"/>
      <c r="C3" s="62"/>
      <c r="D3" s="62"/>
      <c r="E3" s="62"/>
      <c r="F3" s="62"/>
      <c r="G3" s="63"/>
      <c r="H3" s="62"/>
      <c r="I3" s="62"/>
      <c r="J3" s="62"/>
      <c r="K3" s="62"/>
      <c r="L3" s="62"/>
      <c r="M3" s="62"/>
      <c r="N3" s="62"/>
      <c r="O3" s="62"/>
      <c r="P3" s="62"/>
      <c r="Q3" s="65"/>
    </row>
    <row r="4" spans="1:17" ht="15.75" thickBot="1" x14ac:dyDescent="0.3">
      <c r="A4" s="160" t="s">
        <v>38</v>
      </c>
      <c r="B4" s="160"/>
      <c r="C4" s="160"/>
      <c r="D4" s="160"/>
      <c r="E4" s="160"/>
      <c r="F4" s="160"/>
      <c r="G4" s="161" t="str">
        <f>'NP SUMAR'!D3</f>
        <v>040 - MINISTERIO DE SALUD</v>
      </c>
      <c r="H4" s="161"/>
      <c r="I4" s="161"/>
      <c r="J4" s="161"/>
      <c r="K4" s="161"/>
      <c r="L4" s="161"/>
      <c r="M4" s="161"/>
      <c r="N4" s="161"/>
      <c r="O4" s="161"/>
      <c r="P4" s="161"/>
      <c r="Q4" s="161"/>
    </row>
    <row r="5" spans="1:17" ht="15.75" thickBot="1" x14ac:dyDescent="0.3">
      <c r="A5" s="162" t="s">
        <v>25</v>
      </c>
      <c r="B5" s="162"/>
      <c r="C5" s="162"/>
      <c r="D5" s="162"/>
      <c r="E5" s="162"/>
      <c r="F5" s="162"/>
      <c r="G5" s="161" t="str">
        <f>'NP SUMAR'!D4</f>
        <v>011 - DIRECCION PROVINCIAL DE ADMINISTRACION - MINISTERIO DE SALUD</v>
      </c>
      <c r="H5" s="161"/>
      <c r="I5" s="161"/>
      <c r="J5" s="161"/>
      <c r="K5" s="161"/>
      <c r="L5" s="161"/>
      <c r="M5" s="161"/>
      <c r="N5" s="161"/>
      <c r="O5" s="161"/>
      <c r="P5" s="161"/>
      <c r="Q5" s="161"/>
    </row>
    <row r="6" spans="1:17" ht="15.75" thickBot="1" x14ac:dyDescent="0.3">
      <c r="A6" s="162" t="s">
        <v>26</v>
      </c>
      <c r="B6" s="162"/>
      <c r="C6" s="162"/>
      <c r="D6" s="162"/>
      <c r="E6" s="162"/>
      <c r="F6" s="162"/>
      <c r="G6" s="161" t="str">
        <f>'NP SUMAR'!D5</f>
        <v>318 - U.G.S.P.CATAMARCA - SUMAR</v>
      </c>
      <c r="H6" s="161"/>
      <c r="I6" s="161"/>
      <c r="J6" s="161"/>
      <c r="K6" s="161"/>
      <c r="L6" s="161"/>
      <c r="M6" s="161"/>
      <c r="N6" s="161"/>
      <c r="O6" s="161"/>
      <c r="P6" s="161"/>
      <c r="Q6" s="161"/>
    </row>
    <row r="7" spans="1:17" ht="15.75" thickBot="1" x14ac:dyDescent="0.3">
      <c r="A7" s="162" t="s">
        <v>27</v>
      </c>
      <c r="B7" s="162"/>
      <c r="C7" s="162"/>
      <c r="D7" s="162"/>
      <c r="E7" s="162"/>
      <c r="F7" s="162"/>
      <c r="G7" s="161" t="str">
        <f>'NP SUMAR'!D6</f>
        <v>318 - U.G.S.P.CATAMARCA - SUMAR</v>
      </c>
      <c r="H7" s="161"/>
      <c r="I7" s="161"/>
      <c r="J7" s="161"/>
      <c r="K7" s="161"/>
      <c r="L7" s="161"/>
      <c r="M7" s="161"/>
      <c r="N7" s="161"/>
      <c r="O7" s="161"/>
      <c r="P7" s="161"/>
      <c r="Q7" s="161"/>
    </row>
    <row r="8" spans="1:17" ht="15.75" thickBot="1" x14ac:dyDescent="0.3">
      <c r="A8" s="163" t="s">
        <v>39</v>
      </c>
      <c r="B8" s="163"/>
      <c r="C8" s="163"/>
      <c r="D8" s="163"/>
      <c r="E8" s="163"/>
      <c r="F8" s="163"/>
      <c r="G8" s="163"/>
      <c r="H8" s="163"/>
      <c r="I8" s="163"/>
      <c r="J8" s="163"/>
      <c r="K8" s="163"/>
      <c r="L8" s="163"/>
      <c r="M8" s="163"/>
      <c r="N8" s="163"/>
      <c r="O8" s="163"/>
      <c r="P8" s="163"/>
      <c r="Q8" s="163"/>
    </row>
    <row r="9" spans="1:17" ht="27.75" customHeight="1" x14ac:dyDescent="0.25">
      <c r="A9" s="156" t="s">
        <v>40</v>
      </c>
      <c r="B9" s="156"/>
      <c r="C9" s="156"/>
      <c r="D9" s="156"/>
      <c r="E9" s="156"/>
      <c r="F9" s="156"/>
      <c r="G9" s="156"/>
      <c r="H9" s="156"/>
      <c r="I9" s="156"/>
      <c r="J9" s="156"/>
      <c r="K9" s="156"/>
      <c r="L9" s="156"/>
      <c r="M9" s="156"/>
      <c r="N9" s="156"/>
      <c r="O9" s="156"/>
      <c r="P9" s="156"/>
      <c r="Q9" s="156"/>
    </row>
    <row r="10" spans="1:17" ht="57" customHeight="1" x14ac:dyDescent="0.25">
      <c r="A10" s="149" t="s">
        <v>59</v>
      </c>
      <c r="B10" s="149"/>
      <c r="C10" s="149"/>
      <c r="D10" s="149"/>
      <c r="E10" s="149"/>
      <c r="F10" s="149"/>
      <c r="G10" s="149"/>
      <c r="H10" s="149"/>
      <c r="I10" s="149"/>
      <c r="J10" s="149"/>
      <c r="K10" s="149"/>
      <c r="L10" s="149"/>
      <c r="M10" s="149"/>
      <c r="N10" s="149"/>
      <c r="O10" s="149"/>
      <c r="P10" s="149"/>
      <c r="Q10" s="149"/>
    </row>
    <row r="11" spans="1:17" ht="15.75" thickBot="1" x14ac:dyDescent="0.3">
      <c r="A11" s="66"/>
      <c r="B11" s="67"/>
      <c r="C11" s="67"/>
      <c r="D11" s="67"/>
      <c r="E11" s="67"/>
      <c r="F11" s="67"/>
      <c r="G11" s="68"/>
      <c r="H11" s="67"/>
      <c r="I11" s="67"/>
      <c r="J11" s="67"/>
      <c r="K11" s="67"/>
      <c r="L11" s="67"/>
      <c r="M11" s="67"/>
      <c r="N11" s="67"/>
      <c r="O11" s="67"/>
      <c r="P11" s="67"/>
      <c r="Q11" s="69"/>
    </row>
    <row r="12" spans="1:17" ht="15.75" thickBot="1" x14ac:dyDescent="0.3">
      <c r="A12" s="150" t="s">
        <v>41</v>
      </c>
      <c r="B12" s="150"/>
      <c r="C12" s="150"/>
      <c r="D12" s="150"/>
      <c r="E12" s="150"/>
      <c r="F12" s="150"/>
      <c r="G12" s="150"/>
      <c r="H12" s="150"/>
      <c r="I12" s="150"/>
      <c r="J12" s="150"/>
      <c r="K12" s="150"/>
      <c r="L12" s="150"/>
      <c r="M12" s="150"/>
      <c r="N12" s="150"/>
      <c r="O12" s="150"/>
      <c r="P12" s="150"/>
      <c r="Q12" s="150"/>
    </row>
    <row r="13" spans="1:17" ht="15.75" thickBot="1" x14ac:dyDescent="0.3">
      <c r="A13" s="151" t="s">
        <v>42</v>
      </c>
      <c r="B13" s="151"/>
      <c r="C13" s="151"/>
      <c r="D13" s="151"/>
      <c r="E13" s="151"/>
      <c r="F13" s="151"/>
      <c r="G13" s="151"/>
      <c r="H13" s="151"/>
      <c r="I13" s="151"/>
      <c r="J13" s="151"/>
      <c r="K13" s="151"/>
      <c r="L13" s="151"/>
      <c r="M13" s="151"/>
      <c r="N13" s="151"/>
      <c r="O13" s="152" t="s">
        <v>43</v>
      </c>
      <c r="P13" s="152"/>
      <c r="Q13" s="153" t="s">
        <v>44</v>
      </c>
    </row>
    <row r="14" spans="1:17" ht="15.75" thickBot="1" x14ac:dyDescent="0.3">
      <c r="A14" s="70" t="s">
        <v>45</v>
      </c>
      <c r="B14" s="71" t="s">
        <v>46</v>
      </c>
      <c r="C14" s="71" t="s">
        <v>47</v>
      </c>
      <c r="D14" s="71" t="s">
        <v>48</v>
      </c>
      <c r="E14" s="71" t="s">
        <v>49</v>
      </c>
      <c r="F14" s="71" t="s">
        <v>50</v>
      </c>
      <c r="G14" s="72" t="s">
        <v>51</v>
      </c>
      <c r="H14" s="71" t="s">
        <v>52</v>
      </c>
      <c r="I14" s="71" t="s">
        <v>53</v>
      </c>
      <c r="J14" s="71" t="s">
        <v>54</v>
      </c>
      <c r="K14" s="71" t="s">
        <v>54</v>
      </c>
      <c r="L14" s="71" t="s">
        <v>55</v>
      </c>
      <c r="M14" s="73" t="s">
        <v>56</v>
      </c>
      <c r="N14" s="74" t="s">
        <v>57</v>
      </c>
      <c r="O14" s="152"/>
      <c r="P14" s="152"/>
      <c r="Q14" s="153"/>
    </row>
    <row r="15" spans="1:17" x14ac:dyDescent="0.25">
      <c r="A15" s="75">
        <v>40</v>
      </c>
      <c r="B15" s="76"/>
      <c r="C15" s="76"/>
      <c r="D15" s="76">
        <v>1</v>
      </c>
      <c r="E15" s="76"/>
      <c r="F15" s="76">
        <v>4901</v>
      </c>
      <c r="G15" s="76">
        <v>3</v>
      </c>
      <c r="H15" s="76">
        <v>1</v>
      </c>
      <c r="I15" s="76">
        <v>2</v>
      </c>
      <c r="J15" s="76">
        <v>1</v>
      </c>
      <c r="K15" s="76">
        <v>1</v>
      </c>
      <c r="L15" s="76"/>
      <c r="M15" s="77">
        <v>1</v>
      </c>
      <c r="N15" s="76" t="s">
        <v>68</v>
      </c>
      <c r="O15" s="154" t="s">
        <v>69</v>
      </c>
      <c r="P15" s="154"/>
      <c r="Q15" s="78" t="e">
        <f>'NP SUMAR'!J14</f>
        <v>#REF!</v>
      </c>
    </row>
    <row r="16" spans="1:17" x14ac:dyDescent="0.25">
      <c r="A16" s="79"/>
      <c r="B16" s="80"/>
      <c r="C16" s="80"/>
      <c r="D16" s="80"/>
      <c r="E16" s="80"/>
      <c r="F16" s="80"/>
      <c r="G16" s="80"/>
      <c r="H16" s="80"/>
      <c r="I16" s="80"/>
      <c r="J16" s="80"/>
      <c r="K16" s="80"/>
      <c r="L16" s="80"/>
      <c r="M16" s="81"/>
      <c r="N16" s="94"/>
      <c r="O16" s="143"/>
      <c r="P16" s="143"/>
      <c r="Q16" s="83"/>
    </row>
    <row r="17" spans="1:17" x14ac:dyDescent="0.25">
      <c r="A17" s="79"/>
      <c r="B17" s="80"/>
      <c r="C17" s="80"/>
      <c r="D17" s="80"/>
      <c r="E17" s="80"/>
      <c r="F17" s="80"/>
      <c r="G17" s="80"/>
      <c r="H17" s="80"/>
      <c r="I17" s="80"/>
      <c r="J17" s="80"/>
      <c r="K17" s="80"/>
      <c r="L17" s="80"/>
      <c r="M17" s="81"/>
      <c r="N17" s="94"/>
      <c r="O17" s="155"/>
      <c r="P17" s="155"/>
      <c r="Q17" s="83"/>
    </row>
    <row r="18" spans="1:17" x14ac:dyDescent="0.25">
      <c r="A18" s="79"/>
      <c r="B18" s="80"/>
      <c r="C18" s="80"/>
      <c r="D18" s="80"/>
      <c r="E18" s="80"/>
      <c r="F18" s="80"/>
      <c r="G18" s="80"/>
      <c r="H18" s="80"/>
      <c r="I18" s="80"/>
      <c r="J18" s="80"/>
      <c r="K18" s="80"/>
      <c r="L18" s="80"/>
      <c r="M18" s="81"/>
      <c r="N18" s="94"/>
      <c r="O18" s="148"/>
      <c r="P18" s="148"/>
      <c r="Q18" s="83"/>
    </row>
    <row r="19" spans="1:17" x14ac:dyDescent="0.25">
      <c r="A19" s="79"/>
      <c r="B19" s="80"/>
      <c r="C19" s="80"/>
      <c r="D19" s="80"/>
      <c r="E19" s="80"/>
      <c r="F19" s="80"/>
      <c r="G19" s="80"/>
      <c r="H19" s="80"/>
      <c r="I19" s="80"/>
      <c r="J19" s="80"/>
      <c r="K19" s="80"/>
      <c r="L19" s="80"/>
      <c r="M19" s="81"/>
      <c r="N19" s="94"/>
      <c r="O19" s="148"/>
      <c r="P19" s="148"/>
      <c r="Q19" s="83"/>
    </row>
    <row r="20" spans="1:17" x14ac:dyDescent="0.25">
      <c r="A20" s="79"/>
      <c r="B20" s="80"/>
      <c r="C20" s="80"/>
      <c r="D20" s="80"/>
      <c r="E20" s="80"/>
      <c r="F20" s="80"/>
      <c r="G20" s="80"/>
      <c r="H20" s="80"/>
      <c r="I20" s="80"/>
      <c r="J20" s="80"/>
      <c r="K20" s="80"/>
      <c r="L20" s="80"/>
      <c r="M20" s="81"/>
      <c r="N20" s="94"/>
      <c r="O20" s="148"/>
      <c r="P20" s="148"/>
      <c r="Q20" s="83"/>
    </row>
    <row r="21" spans="1:17" x14ac:dyDescent="0.25">
      <c r="A21" s="79"/>
      <c r="B21" s="80"/>
      <c r="C21" s="80"/>
      <c r="D21" s="80"/>
      <c r="E21" s="80"/>
      <c r="F21" s="80"/>
      <c r="G21" s="80"/>
      <c r="H21" s="80"/>
      <c r="I21" s="80"/>
      <c r="J21" s="80"/>
      <c r="K21" s="80"/>
      <c r="L21" s="80"/>
      <c r="M21" s="81"/>
      <c r="N21" s="94"/>
      <c r="O21" s="148"/>
      <c r="P21" s="148"/>
      <c r="Q21" s="83"/>
    </row>
    <row r="22" spans="1:17" x14ac:dyDescent="0.25">
      <c r="A22" s="79"/>
      <c r="B22" s="80"/>
      <c r="C22" s="80"/>
      <c r="D22" s="80"/>
      <c r="E22" s="80"/>
      <c r="F22" s="80"/>
      <c r="G22" s="80"/>
      <c r="H22" s="80"/>
      <c r="I22" s="80"/>
      <c r="J22" s="80"/>
      <c r="K22" s="80"/>
      <c r="L22" s="80"/>
      <c r="M22" s="81"/>
      <c r="N22" s="94"/>
      <c r="O22" s="148"/>
      <c r="P22" s="148"/>
      <c r="Q22" s="83"/>
    </row>
    <row r="23" spans="1:17" x14ac:dyDescent="0.25">
      <c r="A23" s="79"/>
      <c r="B23" s="80"/>
      <c r="C23" s="80"/>
      <c r="D23" s="80"/>
      <c r="E23" s="80"/>
      <c r="F23" s="80"/>
      <c r="G23" s="80"/>
      <c r="H23" s="80"/>
      <c r="I23" s="80"/>
      <c r="J23" s="80"/>
      <c r="K23" s="80"/>
      <c r="L23" s="80"/>
      <c r="M23" s="81"/>
      <c r="N23" s="94"/>
      <c r="O23" s="148"/>
      <c r="P23" s="148"/>
      <c r="Q23" s="83"/>
    </row>
    <row r="24" spans="1:17" x14ac:dyDescent="0.25">
      <c r="A24" s="79"/>
      <c r="B24" s="80"/>
      <c r="C24" s="80"/>
      <c r="D24" s="80"/>
      <c r="E24" s="80"/>
      <c r="F24" s="80"/>
      <c r="G24" s="80"/>
      <c r="H24" s="80"/>
      <c r="I24" s="80"/>
      <c r="J24" s="80"/>
      <c r="K24" s="80"/>
      <c r="L24" s="80"/>
      <c r="M24" s="81"/>
      <c r="N24" s="94"/>
      <c r="O24" s="148"/>
      <c r="P24" s="148"/>
      <c r="Q24" s="83"/>
    </row>
    <row r="25" spans="1:17" x14ac:dyDescent="0.25">
      <c r="A25" s="79"/>
      <c r="B25" s="80"/>
      <c r="C25" s="80"/>
      <c r="D25" s="80"/>
      <c r="E25" s="80"/>
      <c r="F25" s="80"/>
      <c r="G25" s="80"/>
      <c r="H25" s="80"/>
      <c r="I25" s="80"/>
      <c r="J25" s="80"/>
      <c r="K25" s="80"/>
      <c r="L25" s="80"/>
      <c r="M25" s="81"/>
      <c r="N25" s="94"/>
      <c r="O25" s="148"/>
      <c r="P25" s="148"/>
      <c r="Q25" s="83"/>
    </row>
    <row r="26" spans="1:17" x14ac:dyDescent="0.25">
      <c r="A26" s="79"/>
      <c r="B26" s="80"/>
      <c r="C26" s="80"/>
      <c r="D26" s="80"/>
      <c r="E26" s="80"/>
      <c r="F26" s="80"/>
      <c r="G26" s="80"/>
      <c r="H26" s="80"/>
      <c r="I26" s="80"/>
      <c r="J26" s="80"/>
      <c r="K26" s="80"/>
      <c r="L26" s="80"/>
      <c r="M26" s="81"/>
      <c r="N26" s="94"/>
      <c r="O26" s="148"/>
      <c r="P26" s="148"/>
      <c r="Q26" s="83"/>
    </row>
    <row r="27" spans="1:17" x14ac:dyDescent="0.25">
      <c r="A27" s="79"/>
      <c r="B27" s="80"/>
      <c r="C27" s="80"/>
      <c r="D27" s="80"/>
      <c r="E27" s="80"/>
      <c r="F27" s="80"/>
      <c r="G27" s="80"/>
      <c r="H27" s="80"/>
      <c r="I27" s="80"/>
      <c r="J27" s="80"/>
      <c r="K27" s="80"/>
      <c r="L27" s="80"/>
      <c r="M27" s="81"/>
      <c r="N27" s="94"/>
      <c r="O27" s="148"/>
      <c r="P27" s="148"/>
      <c r="Q27" s="83"/>
    </row>
    <row r="28" spans="1:17" x14ac:dyDescent="0.25">
      <c r="A28" s="79"/>
      <c r="B28" s="80"/>
      <c r="C28" s="80"/>
      <c r="D28" s="80"/>
      <c r="E28" s="80"/>
      <c r="F28" s="80"/>
      <c r="G28" s="80"/>
      <c r="H28" s="80"/>
      <c r="I28" s="80"/>
      <c r="J28" s="80"/>
      <c r="K28" s="80"/>
      <c r="L28" s="80"/>
      <c r="M28" s="81"/>
      <c r="N28" s="94"/>
      <c r="O28" s="148"/>
      <c r="P28" s="148"/>
      <c r="Q28" s="83"/>
    </row>
    <row r="29" spans="1:17" x14ac:dyDescent="0.25">
      <c r="A29" s="79"/>
      <c r="B29" s="80"/>
      <c r="C29" s="80"/>
      <c r="D29" s="80"/>
      <c r="E29" s="80"/>
      <c r="F29" s="80"/>
      <c r="G29" s="80"/>
      <c r="H29" s="80"/>
      <c r="I29" s="80"/>
      <c r="J29" s="80"/>
      <c r="K29" s="80"/>
      <c r="L29" s="80"/>
      <c r="M29" s="81"/>
      <c r="N29" s="94"/>
      <c r="O29" s="148"/>
      <c r="P29" s="148"/>
      <c r="Q29" s="83"/>
    </row>
    <row r="30" spans="1:17" x14ac:dyDescent="0.25">
      <c r="A30" s="79"/>
      <c r="B30" s="80"/>
      <c r="C30" s="80"/>
      <c r="D30" s="80"/>
      <c r="E30" s="80"/>
      <c r="F30" s="80"/>
      <c r="G30" s="80"/>
      <c r="H30" s="80"/>
      <c r="I30" s="80"/>
      <c r="J30" s="80"/>
      <c r="K30" s="80"/>
      <c r="L30" s="80"/>
      <c r="M30" s="81"/>
      <c r="N30" s="94"/>
      <c r="O30" s="148"/>
      <c r="P30" s="148"/>
      <c r="Q30" s="83"/>
    </row>
    <row r="31" spans="1:17" x14ac:dyDescent="0.25">
      <c r="A31" s="79"/>
      <c r="B31" s="80"/>
      <c r="C31" s="80"/>
      <c r="D31" s="80"/>
      <c r="E31" s="80"/>
      <c r="F31" s="80"/>
      <c r="G31" s="80"/>
      <c r="H31" s="80"/>
      <c r="I31" s="80"/>
      <c r="J31" s="80"/>
      <c r="K31" s="80"/>
      <c r="L31" s="80"/>
      <c r="M31" s="81"/>
      <c r="N31" s="94"/>
      <c r="O31" s="148"/>
      <c r="P31" s="148"/>
      <c r="Q31" s="83"/>
    </row>
    <row r="32" spans="1:17" x14ac:dyDescent="0.25">
      <c r="A32" s="79"/>
      <c r="B32" s="80"/>
      <c r="C32" s="80"/>
      <c r="D32" s="80"/>
      <c r="E32" s="80"/>
      <c r="F32" s="94"/>
      <c r="G32" s="80"/>
      <c r="H32" s="80"/>
      <c r="I32" s="80"/>
      <c r="J32" s="80"/>
      <c r="K32" s="80"/>
      <c r="L32" s="80"/>
      <c r="M32" s="81"/>
      <c r="N32" s="94"/>
      <c r="O32" s="143"/>
      <c r="P32" s="143"/>
      <c r="Q32" s="83"/>
    </row>
    <row r="33" spans="1:17" x14ac:dyDescent="0.25">
      <c r="A33" s="79"/>
      <c r="B33" s="80"/>
      <c r="C33" s="80"/>
      <c r="D33" s="80"/>
      <c r="E33" s="80"/>
      <c r="F33" s="80"/>
      <c r="G33" s="80"/>
      <c r="H33" s="80"/>
      <c r="I33" s="80"/>
      <c r="J33" s="80"/>
      <c r="K33" s="80"/>
      <c r="L33" s="80"/>
      <c r="M33" s="81"/>
      <c r="N33" s="94"/>
      <c r="O33" s="143"/>
      <c r="P33" s="143"/>
      <c r="Q33" s="83"/>
    </row>
    <row r="34" spans="1:17" x14ac:dyDescent="0.25">
      <c r="A34" s="79"/>
      <c r="B34" s="80"/>
      <c r="C34" s="80"/>
      <c r="D34" s="80"/>
      <c r="E34" s="80"/>
      <c r="F34" s="94"/>
      <c r="G34" s="80"/>
      <c r="H34" s="80"/>
      <c r="I34" s="80"/>
      <c r="J34" s="80"/>
      <c r="K34" s="80"/>
      <c r="L34" s="80"/>
      <c r="M34" s="81"/>
      <c r="N34" s="94"/>
      <c r="O34" s="143"/>
      <c r="P34" s="143"/>
      <c r="Q34" s="83"/>
    </row>
    <row r="35" spans="1:17" x14ac:dyDescent="0.25">
      <c r="A35" s="79"/>
      <c r="B35" s="80"/>
      <c r="C35" s="80"/>
      <c r="D35" s="80"/>
      <c r="E35" s="80"/>
      <c r="F35" s="94"/>
      <c r="G35" s="80"/>
      <c r="H35" s="80"/>
      <c r="I35" s="80"/>
      <c r="J35" s="80"/>
      <c r="K35" s="80"/>
      <c r="L35" s="80"/>
      <c r="M35" s="81"/>
      <c r="N35" s="94"/>
      <c r="O35" s="143"/>
      <c r="P35" s="143"/>
      <c r="Q35" s="83"/>
    </row>
    <row r="36" spans="1:17" x14ac:dyDescent="0.25">
      <c r="A36" s="84"/>
      <c r="B36" s="85"/>
      <c r="C36" s="85"/>
      <c r="D36" s="85"/>
      <c r="E36" s="85"/>
      <c r="F36" s="86"/>
      <c r="G36" s="85"/>
      <c r="H36" s="85"/>
      <c r="I36" s="85"/>
      <c r="J36" s="85"/>
      <c r="K36" s="85"/>
      <c r="L36" s="85"/>
      <c r="M36" s="87"/>
      <c r="N36" s="88"/>
      <c r="O36" s="144"/>
      <c r="P36" s="144"/>
      <c r="Q36" s="83"/>
    </row>
    <row r="37" spans="1:17" ht="15.75" thickBot="1" x14ac:dyDescent="0.3">
      <c r="A37" s="89"/>
      <c r="B37" s="90"/>
      <c r="C37" s="90"/>
      <c r="D37" s="90"/>
      <c r="E37" s="90"/>
      <c r="F37" s="90"/>
      <c r="G37" s="90"/>
      <c r="H37" s="90"/>
      <c r="I37" s="90"/>
      <c r="J37" s="90"/>
      <c r="K37" s="90"/>
      <c r="L37" s="90"/>
      <c r="M37" s="91"/>
      <c r="N37" s="90"/>
      <c r="O37" s="145"/>
      <c r="P37" s="145"/>
      <c r="Q37" s="92"/>
    </row>
    <row r="38" spans="1:17" ht="15.75" thickBot="1" x14ac:dyDescent="0.3">
      <c r="A38" s="146" t="s">
        <v>98</v>
      </c>
      <c r="B38" s="146"/>
      <c r="C38" s="146"/>
      <c r="D38" s="146"/>
      <c r="E38" s="146"/>
      <c r="F38" s="146"/>
      <c r="G38" s="146"/>
      <c r="H38" s="146"/>
      <c r="I38" s="146"/>
      <c r="J38" s="146"/>
      <c r="K38" s="146"/>
      <c r="L38" s="146"/>
      <c r="M38" s="146"/>
      <c r="N38" s="146"/>
      <c r="O38" s="146"/>
      <c r="P38" s="146"/>
      <c r="Q38" s="93" t="e">
        <f>SUM(Q15:Q37)</f>
        <v>#REF!</v>
      </c>
    </row>
    <row r="39" spans="1:17" ht="15.75" thickBot="1" x14ac:dyDescent="0.3">
      <c r="A39" s="147"/>
      <c r="B39" s="147"/>
      <c r="C39" s="147"/>
      <c r="D39" s="147"/>
      <c r="E39" s="147"/>
      <c r="F39" s="147"/>
      <c r="G39" s="147"/>
      <c r="H39" s="147"/>
      <c r="I39" s="147"/>
      <c r="J39" s="147"/>
      <c r="K39" s="147"/>
      <c r="L39" s="147"/>
      <c r="M39" s="147"/>
      <c r="N39" s="147"/>
      <c r="O39" s="147"/>
      <c r="P39" s="147"/>
      <c r="Q39" s="147"/>
    </row>
    <row r="40" spans="1:17" ht="15.75" thickBot="1" x14ac:dyDescent="0.3">
      <c r="A40" s="140" t="s">
        <v>58</v>
      </c>
      <c r="B40" s="140"/>
      <c r="C40" s="140"/>
      <c r="D40" s="140"/>
      <c r="E40" s="140"/>
      <c r="F40" s="140"/>
      <c r="G40" s="141"/>
      <c r="H40" s="141"/>
      <c r="I40" s="141"/>
      <c r="J40" s="141"/>
      <c r="K40" s="141"/>
      <c r="L40" s="141"/>
      <c r="M40" s="141"/>
      <c r="N40" s="141"/>
      <c r="O40" s="141"/>
      <c r="P40" s="141"/>
      <c r="Q40" s="141"/>
    </row>
    <row r="41" spans="1:17" ht="15.75" thickBot="1" x14ac:dyDescent="0.3">
      <c r="A41" s="142" t="str">
        <f>'NP SUMAR'!D8</f>
        <v>ADQ. DEL RUBRO ALIMENTOS PARA PERSONAS (BIDONES DE AGUA)</v>
      </c>
      <c r="B41" s="142"/>
      <c r="C41" s="142"/>
      <c r="D41" s="142"/>
      <c r="E41" s="142"/>
      <c r="F41" s="142"/>
      <c r="G41" s="142"/>
      <c r="H41" s="142"/>
      <c r="I41" s="142"/>
      <c r="J41" s="142"/>
      <c r="K41" s="142"/>
      <c r="L41" s="142"/>
      <c r="M41" s="142"/>
      <c r="N41" s="142"/>
      <c r="O41" s="142"/>
      <c r="P41" s="142"/>
      <c r="Q41" s="142"/>
    </row>
    <row r="42" spans="1:17" ht="15.75" thickBot="1" x14ac:dyDescent="0.3">
      <c r="A42" s="142"/>
      <c r="B42" s="142"/>
      <c r="C42" s="142"/>
      <c r="D42" s="142"/>
      <c r="E42" s="142"/>
      <c r="F42" s="142"/>
      <c r="G42" s="142"/>
      <c r="H42" s="142"/>
      <c r="I42" s="142"/>
      <c r="J42" s="142"/>
      <c r="K42" s="142"/>
      <c r="L42" s="142"/>
      <c r="M42" s="142"/>
      <c r="N42" s="142"/>
      <c r="O42" s="142"/>
      <c r="P42" s="142"/>
      <c r="Q42" s="142"/>
    </row>
  </sheetData>
  <mergeCells count="46">
    <mergeCell ref="A9:Q9"/>
    <mergeCell ref="A1:C1"/>
    <mergeCell ref="D1:E1"/>
    <mergeCell ref="P1:Q2"/>
    <mergeCell ref="A4:F4"/>
    <mergeCell ref="G4:Q4"/>
    <mergeCell ref="A5:F5"/>
    <mergeCell ref="G5:Q5"/>
    <mergeCell ref="A6:F6"/>
    <mergeCell ref="G6:Q6"/>
    <mergeCell ref="A7:F7"/>
    <mergeCell ref="G7:Q7"/>
    <mergeCell ref="A8:Q8"/>
    <mergeCell ref="O21:P21"/>
    <mergeCell ref="A10:Q10"/>
    <mergeCell ref="A12:Q12"/>
    <mergeCell ref="A13:N13"/>
    <mergeCell ref="O13:P14"/>
    <mergeCell ref="Q13:Q14"/>
    <mergeCell ref="O15:P15"/>
    <mergeCell ref="O16:P16"/>
    <mergeCell ref="O17:P17"/>
    <mergeCell ref="O18:P18"/>
    <mergeCell ref="O19:P19"/>
    <mergeCell ref="O20:P20"/>
    <mergeCell ref="O33:P33"/>
    <mergeCell ref="O22:P22"/>
    <mergeCell ref="O23:P23"/>
    <mergeCell ref="O24:P24"/>
    <mergeCell ref="O25:P25"/>
    <mergeCell ref="O26:P26"/>
    <mergeCell ref="O27:P27"/>
    <mergeCell ref="O28:P28"/>
    <mergeCell ref="O29:P29"/>
    <mergeCell ref="O30:P30"/>
    <mergeCell ref="O31:P31"/>
    <mergeCell ref="O32:P32"/>
    <mergeCell ref="A40:F40"/>
    <mergeCell ref="G40:Q40"/>
    <mergeCell ref="A41:Q42"/>
    <mergeCell ref="O34:P34"/>
    <mergeCell ref="O35:P35"/>
    <mergeCell ref="O36:P36"/>
    <mergeCell ref="O37:P37"/>
    <mergeCell ref="A38:P38"/>
    <mergeCell ref="A39:Q39"/>
  </mergeCells>
  <pageMargins left="0.7" right="0.7" top="0.75" bottom="0.75" header="0.3" footer="0.3"/>
  <pageSetup paperSize="9" scale="81"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25</vt:i4>
      </vt:variant>
    </vt:vector>
  </HeadingPairs>
  <TitlesOfParts>
    <vt:vector size="25" baseType="lpstr">
      <vt:lpstr>SAF 011</vt:lpstr>
      <vt:lpstr>NP SMPyPS</vt:lpstr>
      <vt:lpstr>APG SMPyPS</vt:lpstr>
      <vt:lpstr>NP Lab.</vt:lpstr>
      <vt:lpstr>APG Lab.</vt:lpstr>
      <vt:lpstr>NP DPBS</vt:lpstr>
      <vt:lpstr>APG DPBS</vt:lpstr>
      <vt:lpstr>NP DPMIA</vt:lpstr>
      <vt:lpstr>APG DPMIA</vt:lpstr>
      <vt:lpstr>NP SASP</vt:lpstr>
      <vt:lpstr>APG SASP</vt:lpstr>
      <vt:lpstr>NP DCVyZ</vt:lpstr>
      <vt:lpstr>APG DCVyZ</vt:lpstr>
      <vt:lpstr>NP DPAIPD</vt:lpstr>
      <vt:lpstr>APG DPAIPD</vt:lpstr>
      <vt:lpstr>NP SPyGS</vt:lpstr>
      <vt:lpstr>APG SPyGS</vt:lpstr>
      <vt:lpstr>NP SSMyA</vt:lpstr>
      <vt:lpstr>APG SSMyA</vt:lpstr>
      <vt:lpstr>NP DPE</vt:lpstr>
      <vt:lpstr>APG DPE</vt:lpstr>
      <vt:lpstr>NP MS</vt:lpstr>
      <vt:lpstr>APG MS</vt:lpstr>
      <vt:lpstr>NP SUMAR</vt:lpstr>
      <vt:lpstr>APG SUMAR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dc:creator>
  <cp:lastModifiedBy>COMPRAS</cp:lastModifiedBy>
  <cp:lastPrinted>2022-08-24T12:43:22Z</cp:lastPrinted>
  <dcterms:created xsi:type="dcterms:W3CDTF">2021-11-12T17:27:33Z</dcterms:created>
  <dcterms:modified xsi:type="dcterms:W3CDTF">2022-09-22T13:36:55Z</dcterms:modified>
</cp:coreProperties>
</file>