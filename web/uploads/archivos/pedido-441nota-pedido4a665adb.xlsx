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e77e39648923f4/Escritorio/DULCES/"/>
    </mc:Choice>
  </mc:AlternateContent>
  <xr:revisionPtr revIDLastSave="6" documentId="11_7448EAB7970CADC6CE9A45295C72CD5C83C93CB9" xr6:coauthVersionLast="45" xr6:coauthVersionMax="45" xr10:uidLastSave="{D5EF5921-F5F0-4F83-8074-26258959AFC5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NotaPedido'!$A$1:$K$24</definedName>
    <definedName name="_xlnm.Print_Area" localSheetId="2">'Autor Gastar'!$A$1:$Q$27</definedName>
  </definedNames>
  <calcPr calcId="191029"/>
</workbook>
</file>

<file path=xl/calcChain.xml><?xml version="1.0" encoding="utf-8"?>
<calcChain xmlns="http://schemas.openxmlformats.org/spreadsheetml/2006/main">
  <c r="K14" i="2" l="1"/>
  <c r="K15" i="2"/>
  <c r="K16" i="2"/>
  <c r="K17" i="2"/>
  <c r="K18" i="2"/>
  <c r="K19" i="2"/>
  <c r="K20" i="2"/>
  <c r="K21" i="2"/>
  <c r="J14" i="2"/>
  <c r="J15" i="2"/>
  <c r="J16" i="2"/>
  <c r="J17" i="2"/>
  <c r="J18" i="2"/>
  <c r="J19" i="2"/>
  <c r="J20" i="2"/>
  <c r="J21" i="2"/>
  <c r="I14" i="2"/>
  <c r="I15" i="2"/>
  <c r="I16" i="2"/>
  <c r="I17" i="2"/>
  <c r="I18" i="2"/>
  <c r="I19" i="2"/>
  <c r="I20" i="2"/>
  <c r="I21" i="2"/>
  <c r="C14" i="2"/>
  <c r="C15" i="2"/>
  <c r="C16" i="2"/>
  <c r="C17" i="2"/>
  <c r="C18" i="2"/>
  <c r="C19" i="2"/>
  <c r="C20" i="2"/>
  <c r="C21" i="2"/>
  <c r="B14" i="2"/>
  <c r="B15" i="2"/>
  <c r="B16" i="2"/>
  <c r="B17" i="2"/>
  <c r="B18" i="2"/>
  <c r="B19" i="2"/>
  <c r="B20" i="2"/>
  <c r="B21" i="2"/>
  <c r="I25" i="1"/>
  <c r="I12" i="1"/>
  <c r="I13" i="1"/>
  <c r="I14" i="1"/>
  <c r="I15" i="1"/>
  <c r="I16" i="1"/>
  <c r="I17" i="1"/>
  <c r="I18" i="1"/>
  <c r="I19" i="1"/>
  <c r="I11" i="1" l="1"/>
  <c r="I10" i="1"/>
  <c r="I20" i="1" l="1"/>
  <c r="I24" i="1" s="1"/>
  <c r="I15" i="3"/>
  <c r="Q23" i="3" l="1"/>
  <c r="K13" i="2"/>
  <c r="J13" i="2"/>
  <c r="I13" i="2"/>
  <c r="C13" i="2"/>
  <c r="B13" i="2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22" i="2" l="1"/>
</calcChain>
</file>

<file path=xl/sharedStrings.xml><?xml version="1.0" encoding="utf-8"?>
<sst xmlns="http://schemas.openxmlformats.org/spreadsheetml/2006/main" count="238" uniqueCount="101">
  <si>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</si>
  <si>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</si>
  <si>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</si>
  <si>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</si>
  <si>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</si>
  <si>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</si>
  <si>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</si>
  <si>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</si>
  <si>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</si>
  <si>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</si>
  <si>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</si>
  <si>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</si>
  <si>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</si>
  <si>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</si>
  <si>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</si>
  <si>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</si>
  <si>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</si>
  <si>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</si>
  <si>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</si>
  <si>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</si>
  <si>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</si>
  <si>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</si>
  <si>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</si>
  <si>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</si>
  <si>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</si>
  <si>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</si>
  <si>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</si>
  <si>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</si>
  <si>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</si>
  <si>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</si>
  <si>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</si>
  <si>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</si>
  <si>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</si>
  <si>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</si>
  <si>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</si>
  <si>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</si>
  <si>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</si>
  <si>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</si>
  <si>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</si>
  <si>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</si>
  <si>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</si>
  <si>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</si>
  <si>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</si>
  <si>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</si>
  <si>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</si>
  <si>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</si>
  <si>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</si>
  <si>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</si>
  <si>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</si>
  <si>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</si>
  <si>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</si>
  <si>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</si>
  <si>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</si>
  <si>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</si>
  <si>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</si>
  <si>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</si>
  <si>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</si>
  <si>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</si>
  <si>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</si>
  <si>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</si>
  <si>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</si>
  <si>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</si>
  <si>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ALTA</t>
  </si>
  <si>
    <t>S/E</t>
  </si>
  <si>
    <t>Especificidades Item N° 3:</t>
  </si>
  <si>
    <t>Especificidades Item N°4:</t>
  </si>
  <si>
    <t>30 DIAS</t>
  </si>
  <si>
    <t>Especificidades Item N°5:</t>
  </si>
  <si>
    <t>Especificidades Item N°6:</t>
  </si>
  <si>
    <t>MEDIA</t>
  </si>
  <si>
    <t>45- Ministerio de Desarrollo Social y Deporte.-</t>
  </si>
  <si>
    <t>2.1.1</t>
  </si>
  <si>
    <t>NO</t>
  </si>
  <si>
    <t>2.1.1-2113.5</t>
  </si>
  <si>
    <t>DULCES; TIPO: DE MEMBRILLO, PRESENTACION: CAJON, PESO: 1 Kg</t>
  </si>
  <si>
    <t>2.1.1-2125.54</t>
  </si>
  <si>
    <t>MERMELADAS; SABOR: CIRUELA, TIPO: UNTABLE, PRESENTACION: ENVASE X 454 GR, MATERIAL ENVASE: VIDRIO, ELEM. TRANSPORTE: SIN, MATERIAL ELEM. TRANSPORTE: SIN, LIBRE DE GLUTEN: SI</t>
  </si>
  <si>
    <t>2.1.1-2125.63</t>
  </si>
  <si>
    <t>MERMELADAS; SABOR: HIGO, TIPO: NATURAL, PRESENTACION: ENVASE X 454 GR, MATERIAL ENVASE: VIDRIO, ELEM. TRANSPORTE: SIN, MATERIAL ELEM. TRANSPORTE: SIN, LIBRE DE GLUTEN: SI</t>
  </si>
  <si>
    <t>Adquisición de Dulces y Mermeladas.-</t>
  </si>
  <si>
    <t>Direccion Provincial de Accion Social Directa- Ministerio de Desarrollo Social y Deporte</t>
  </si>
  <si>
    <t>PRO.VI.ME Programa Vivir Mejor</t>
  </si>
  <si>
    <t>327/2020</t>
  </si>
  <si>
    <t>2.1.1-2125.57</t>
  </si>
  <si>
    <t>MERMELADAS; SABOR: DAMASCO, TIPO: UNTABLE, PRESENTACION: ENVASE X 454 GR, MATERIAL ENVASE: VIDRIO, ELEM. TRANSPORTE: SIN, MATERIAL ELEM. TRANSPORTE: SIN, LIBRE DE GLUTEN: SI</t>
  </si>
  <si>
    <t>2.1.1-2125.58</t>
  </si>
  <si>
    <t>MERMELADAS; SABOR: NARANJA, TIPO: NATURAL, PRESENTACION: ENVASE X 454 GR, MATERIAL ENVASE: VIDRIO, ELEM. TRANSPORTE: SIN, MATERIAL ELEM. TRANSPORTE: SIN, LIBRE DE GLUTEN: SI</t>
  </si>
  <si>
    <t>2.1.1-2125.64</t>
  </si>
  <si>
    <t>MERMELADAS; SABOR: MANZANA, TIPO: NATURAL, PRESENTACION: ENVASE X 454 GR, MATERIAL ENVASE: VIDRIO, ELEM. TRANSPORTE: SIN, MATERIAL ELEM. TRANSPORTE: SIN, LIBRE DE GLUTEN: SI</t>
  </si>
  <si>
    <t>2.1.1-2125.65</t>
  </si>
  <si>
    <t>MERMELADAS; SABOR: PERA, TIPO: NATURAL, PRESENTACION: ENVASE X 454 GR, MATERIAL ENVASE: VIDRIO, ELEM. TRANSPORTE: SIN, MATERIAL ELEM. TRANSPORTE: SIN, LIBRE DE GLUTEN: SI</t>
  </si>
  <si>
    <t>2.1.1-2125.77</t>
  </si>
  <si>
    <t>MERMELADAS; SABOR: DURAZNO, TIPO: UNTABLE, PRESENTACION: ENVASE X 454 GR, MATERIAL ENVASE: VIDRIO, ELEM. TRANSPORTE: SIN, MATERIAL ELEM. TRANSPORTE: SIN, LIBRE DE GLUTEN: SI</t>
  </si>
  <si>
    <t>2.1.1-2125.78</t>
  </si>
  <si>
    <t>MERMELADAS; SABOR: FRUTILLA, TIPO: UNTABLE, PRESENTACION: ENVASE X 454 GR, MATERIAL ENVASE: VIDRIO, ELEM. TRANSPORTE: SIN, MATERIAL ELEM. TRANSPORTE: SIN, LIBRE DE GLUTEN: SI</t>
  </si>
  <si>
    <t>2.1.1-2113.6</t>
  </si>
  <si>
    <t>DULCES; TIPO: DE BATATA, PRESENTACION: CAJON, PESO: 1 Kg</t>
  </si>
  <si>
    <t>05 DIAS contados a partir de la recepcion de la Orden de Compra</t>
  </si>
  <si>
    <t>los bienes se entregaran en el parque industrial el Pantanillo- Deposito del Ministerio de Desarrollo Social y Deporte.-</t>
  </si>
  <si>
    <t>Costo total estimado:  DOS MILLONES CUATROCIENTOS CUARENTA Y CINCO MIL DIEZ CON 00/100.-</t>
  </si>
  <si>
    <t>TOTAL DE PESOS: DOS MILLONES CUATROCIENTOS CUARENTA Y CINCO MIL DIEZ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</si>
</sst>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3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0" xfId="0" applyFont="1" applyBorder="1"/>
    <xf numFmtId="0" fontId="16" fillId="0" borderId="11" xfId="0" applyFont="1" applyBorder="1"/>
    <xf numFmtId="0" fontId="23" fillId="0" borderId="10" xfId="0" applyFont="1" applyBorder="1" applyAlignment="1">
      <alignment horizontal="left" indent="3"/>
    </xf>
    <xf numFmtId="0" fontId="16" fillId="0" borderId="10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left" indent="3"/>
    </xf>
    <xf numFmtId="0" fontId="16" fillId="0" borderId="13" xfId="0" applyFont="1" applyBorder="1"/>
    <xf numFmtId="0" fontId="16" fillId="0" borderId="14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20" fillId="0" borderId="19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2" fillId="3" borderId="5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50" xfId="0" applyFont="1" applyFill="1" applyBorder="1" applyAlignment="1">
      <alignment horizontal="center" wrapText="1"/>
    </xf>
    <xf numFmtId="0" fontId="19" fillId="4" borderId="6" xfId="0" applyFont="1" applyFill="1" applyBorder="1" applyAlignment="1">
      <alignment horizontal="center" wrapText="1"/>
    </xf>
    <xf numFmtId="166" fontId="21" fillId="3" borderId="54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5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21" fillId="3" borderId="56" xfId="1" applyNumberFormat="1" applyFont="1" applyFill="1" applyBorder="1" applyAlignment="1" applyProtection="1">
      <alignment horizontal="right" vertical="center" wrapText="1"/>
    </xf>
    <xf numFmtId="166" fontId="0" fillId="0" borderId="57" xfId="3" applyNumberFormat="1" applyFont="1" applyBorder="1" applyAlignment="1" applyProtection="1">
      <alignment horizontal="center" vertical="center"/>
    </xf>
    <xf numFmtId="166" fontId="0" fillId="0" borderId="61" xfId="3" applyNumberFormat="1" applyFont="1" applyBorder="1" applyAlignment="1" applyProtection="1">
      <alignment horizontal="center" vertical="center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/>
    </xf>
    <xf numFmtId="0" fontId="0" fillId="4" borderId="4" xfId="0" applyFill="1" applyBorder="1"/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166" fontId="16" fillId="0" borderId="0" xfId="0" applyNumberFormat="1" applyFont="1"/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12" fillId="0" borderId="16" xfId="0" applyFont="1" applyBorder="1" applyAlignment="1">
      <alignment horizontal="left" indent="1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26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10" fillId="0" borderId="2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5" fillId="0" borderId="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18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167" fontId="25" fillId="0" borderId="19" xfId="0" applyNumberFormat="1" applyFont="1" applyFill="1" applyBorder="1" applyAlignment="1">
      <alignment horizontal="center" vertical="center"/>
    </xf>
    <xf numFmtId="0" fontId="12" fillId="0" borderId="46" xfId="0" applyFont="1" applyFill="1" applyBorder="1" applyAlignment="1">
      <alignment horizontal="left" vertical="center" wrapText="1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0"/>
  <sheetViews>
    <sheetView topLeftCell="B1" zoomScaleNormal="100" workbookViewId="0">
      <selection activeCell="I10" sqref="I10:I19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customWidth="1"/>
    <col min="4" max="4" width="8.42578125" style="32" customWidth="1"/>
    <col min="5" max="5" width="157.85546875" style="32" customWidth="1"/>
    <col min="6" max="6" width="10.5703125" style="32" bestFit="1" customWidth="1"/>
    <col min="7" max="8" width="10.42578125" style="32" bestFit="1" customWidth="1"/>
    <col min="9" max="9" width="15.7109375" style="32" bestFit="1" customWidth="1"/>
    <col min="10" max="16384" width="11" style="32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70</v>
      </c>
      <c r="D4" s="85"/>
      <c r="E4" s="85"/>
      <c r="F4" s="33"/>
      <c r="G4" s="34"/>
      <c r="H4" s="33"/>
    </row>
    <row r="5" spans="1:9" ht="18" customHeight="1" x14ac:dyDescent="0.25">
      <c r="A5" s="84" t="s">
        <v>2</v>
      </c>
      <c r="B5" s="84"/>
      <c r="C5" s="85" t="s">
        <v>61</v>
      </c>
      <c r="D5" s="85"/>
      <c r="E5" s="85"/>
      <c r="F5" s="33"/>
      <c r="G5" s="34"/>
      <c r="H5" s="33"/>
    </row>
    <row r="6" spans="1:9" ht="16.5" customHeight="1" x14ac:dyDescent="0.25">
      <c r="A6" s="84" t="s">
        <v>3</v>
      </c>
      <c r="B6" s="84"/>
      <c r="C6" s="50">
        <v>2020</v>
      </c>
      <c r="D6" s="51"/>
      <c r="E6" s="51"/>
      <c r="F6" s="33"/>
      <c r="G6" s="34"/>
      <c r="H6" s="33"/>
    </row>
    <row r="7" spans="1:9" ht="16.5" customHeight="1" x14ac:dyDescent="0.25">
      <c r="A7" s="84" t="s">
        <v>4</v>
      </c>
      <c r="B7" s="84"/>
      <c r="C7" s="50">
        <v>4</v>
      </c>
      <c r="D7" s="51"/>
      <c r="E7" s="51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" thickBot="1" x14ac:dyDescent="0.25">
      <c r="A9" s="68" t="s">
        <v>5</v>
      </c>
      <c r="B9" s="52" t="s">
        <v>6</v>
      </c>
      <c r="C9" s="52" t="s">
        <v>7</v>
      </c>
      <c r="D9" s="69" t="s">
        <v>8</v>
      </c>
      <c r="E9" s="52" t="s">
        <v>9</v>
      </c>
      <c r="F9" s="53" t="s">
        <v>10</v>
      </c>
      <c r="G9" s="54" t="s">
        <v>11</v>
      </c>
      <c r="H9" s="54" t="s">
        <v>12</v>
      </c>
      <c r="I9" s="55" t="s">
        <v>13</v>
      </c>
    </row>
    <row r="10" spans="1:9" x14ac:dyDescent="0.2">
      <c r="A10" s="70">
        <v>1</v>
      </c>
      <c r="B10" s="71" t="s">
        <v>75</v>
      </c>
      <c r="C10" s="71" t="s">
        <v>59</v>
      </c>
      <c r="D10" s="75" t="s">
        <v>71</v>
      </c>
      <c r="E10" s="71" t="s">
        <v>76</v>
      </c>
      <c r="F10" s="56" t="s">
        <v>14</v>
      </c>
      <c r="G10" s="35">
        <v>1000</v>
      </c>
      <c r="H10" s="61">
        <v>151</v>
      </c>
      <c r="I10" s="63">
        <f>+H10*G10</f>
        <v>151000</v>
      </c>
    </row>
    <row r="11" spans="1:9" x14ac:dyDescent="0.2">
      <c r="A11" s="72">
        <v>2</v>
      </c>
      <c r="B11" s="71" t="s">
        <v>83</v>
      </c>
      <c r="C11" s="71" t="s">
        <v>59</v>
      </c>
      <c r="D11" s="75" t="s">
        <v>71</v>
      </c>
      <c r="E11" s="71" t="s">
        <v>84</v>
      </c>
      <c r="F11" s="57" t="s">
        <v>14</v>
      </c>
      <c r="G11" s="58">
        <v>1000</v>
      </c>
      <c r="H11" s="62">
        <v>151</v>
      </c>
      <c r="I11" s="64">
        <f>+H11*G11</f>
        <v>151000</v>
      </c>
    </row>
    <row r="12" spans="1:9" x14ac:dyDescent="0.2">
      <c r="A12" s="74">
        <v>3</v>
      </c>
      <c r="B12" s="71" t="s">
        <v>85</v>
      </c>
      <c r="C12" s="71" t="s">
        <v>59</v>
      </c>
      <c r="D12" s="75" t="s">
        <v>71</v>
      </c>
      <c r="E12" s="71" t="s">
        <v>86</v>
      </c>
      <c r="F12" s="57" t="s">
        <v>14</v>
      </c>
      <c r="G12" s="58">
        <v>1000</v>
      </c>
      <c r="H12" s="62">
        <v>151</v>
      </c>
      <c r="I12" s="64">
        <f t="shared" ref="I12:I19" si="0">+H12*G12</f>
        <v>151000</v>
      </c>
    </row>
    <row r="13" spans="1:9" x14ac:dyDescent="0.2">
      <c r="A13" s="74">
        <v>4</v>
      </c>
      <c r="B13" s="71" t="s">
        <v>77</v>
      </c>
      <c r="C13" s="71" t="s">
        <v>59</v>
      </c>
      <c r="D13" s="75" t="s">
        <v>71</v>
      </c>
      <c r="E13" s="71" t="s">
        <v>78</v>
      </c>
      <c r="F13" s="57" t="s">
        <v>14</v>
      </c>
      <c r="G13" s="58">
        <v>1000</v>
      </c>
      <c r="H13" s="62">
        <v>151</v>
      </c>
      <c r="I13" s="64">
        <f t="shared" si="0"/>
        <v>151000</v>
      </c>
    </row>
    <row r="14" spans="1:9" x14ac:dyDescent="0.2">
      <c r="A14" s="74">
        <v>5</v>
      </c>
      <c r="B14" s="71" t="s">
        <v>87</v>
      </c>
      <c r="C14" s="71" t="s">
        <v>59</v>
      </c>
      <c r="D14" s="75" t="s">
        <v>71</v>
      </c>
      <c r="E14" s="71" t="s">
        <v>88</v>
      </c>
      <c r="F14" s="57" t="s">
        <v>14</v>
      </c>
      <c r="G14" s="58">
        <v>1000</v>
      </c>
      <c r="H14" s="62">
        <v>151</v>
      </c>
      <c r="I14" s="64">
        <f t="shared" si="0"/>
        <v>151000</v>
      </c>
    </row>
    <row r="15" spans="1:9" x14ac:dyDescent="0.2">
      <c r="A15" s="74">
        <v>6</v>
      </c>
      <c r="B15" s="71" t="s">
        <v>89</v>
      </c>
      <c r="C15" s="71" t="s">
        <v>59</v>
      </c>
      <c r="D15" s="75" t="s">
        <v>71</v>
      </c>
      <c r="E15" s="71" t="s">
        <v>90</v>
      </c>
      <c r="F15" s="57" t="s">
        <v>14</v>
      </c>
      <c r="G15" s="58">
        <v>1000</v>
      </c>
      <c r="H15" s="62">
        <v>151</v>
      </c>
      <c r="I15" s="64">
        <f t="shared" si="0"/>
        <v>151000</v>
      </c>
    </row>
    <row r="16" spans="1:9" x14ac:dyDescent="0.2">
      <c r="A16" s="74">
        <v>7</v>
      </c>
      <c r="B16" s="71" t="s">
        <v>91</v>
      </c>
      <c r="C16" s="71" t="s">
        <v>59</v>
      </c>
      <c r="D16" s="75" t="s">
        <v>71</v>
      </c>
      <c r="E16" s="71" t="s">
        <v>92</v>
      </c>
      <c r="F16" s="57" t="s">
        <v>14</v>
      </c>
      <c r="G16" s="58">
        <v>1000</v>
      </c>
      <c r="H16" s="62">
        <v>151</v>
      </c>
      <c r="I16" s="64">
        <f t="shared" si="0"/>
        <v>151000</v>
      </c>
    </row>
    <row r="17" spans="1:9" x14ac:dyDescent="0.2">
      <c r="A17" s="74">
        <v>8</v>
      </c>
      <c r="B17" s="71" t="s">
        <v>93</v>
      </c>
      <c r="C17" s="71" t="s">
        <v>59</v>
      </c>
      <c r="D17" s="75" t="s">
        <v>71</v>
      </c>
      <c r="E17" s="71" t="s">
        <v>94</v>
      </c>
      <c r="F17" s="57" t="s">
        <v>14</v>
      </c>
      <c r="G17" s="59">
        <v>1000</v>
      </c>
      <c r="H17" s="62">
        <v>188</v>
      </c>
      <c r="I17" s="64">
        <f t="shared" si="0"/>
        <v>188000</v>
      </c>
    </row>
    <row r="18" spans="1:9" x14ac:dyDescent="0.2">
      <c r="A18" s="73">
        <v>9</v>
      </c>
      <c r="B18" s="71" t="s">
        <v>73</v>
      </c>
      <c r="C18" s="71" t="s">
        <v>59</v>
      </c>
      <c r="D18" s="75" t="s">
        <v>71</v>
      </c>
      <c r="E18" s="71" t="s">
        <v>74</v>
      </c>
      <c r="F18" s="57" t="s">
        <v>14</v>
      </c>
      <c r="G18" s="59">
        <v>3871</v>
      </c>
      <c r="H18" s="62">
        <v>155</v>
      </c>
      <c r="I18" s="64">
        <f t="shared" si="0"/>
        <v>600005</v>
      </c>
    </row>
    <row r="19" spans="1:9" ht="13.5" thickBot="1" x14ac:dyDescent="0.25">
      <c r="A19" s="36">
        <v>10</v>
      </c>
      <c r="B19" s="71" t="s">
        <v>95</v>
      </c>
      <c r="C19" s="71" t="s">
        <v>59</v>
      </c>
      <c r="D19" s="75" t="s">
        <v>71</v>
      </c>
      <c r="E19" s="71" t="s">
        <v>96</v>
      </c>
      <c r="F19" s="57" t="s">
        <v>14</v>
      </c>
      <c r="G19" s="60">
        <v>3871</v>
      </c>
      <c r="H19" s="65">
        <v>155</v>
      </c>
      <c r="I19" s="64">
        <f t="shared" si="0"/>
        <v>600005</v>
      </c>
    </row>
    <row r="20" spans="1:9" x14ac:dyDescent="0.2">
      <c r="I20" s="76">
        <f>SUM(I10:I19)</f>
        <v>2445010</v>
      </c>
    </row>
    <row r="22" spans="1:9" x14ac:dyDescent="0.2">
      <c r="B22" s="37" t="s">
        <v>15</v>
      </c>
      <c r="C22" s="38"/>
      <c r="D22" s="38"/>
      <c r="E22" s="39"/>
    </row>
    <row r="23" spans="1:9" ht="5.25" customHeight="1" x14ac:dyDescent="0.2">
      <c r="B23" s="40"/>
      <c r="C23" s="41"/>
      <c r="D23" s="41"/>
      <c r="E23" s="42"/>
    </row>
    <row r="24" spans="1:9" x14ac:dyDescent="0.2">
      <c r="B24" s="43" t="s">
        <v>16</v>
      </c>
      <c r="C24" s="41"/>
      <c r="D24" s="41"/>
      <c r="E24" s="42"/>
      <c r="I24" s="32">
        <f>+I25-I20</f>
        <v>-14836</v>
      </c>
    </row>
    <row r="25" spans="1:9" ht="41.25" customHeight="1" x14ac:dyDescent="0.2">
      <c r="B25" s="43"/>
      <c r="C25" s="81"/>
      <c r="D25" s="81"/>
      <c r="E25" s="81"/>
      <c r="I25" s="32">
        <f>1230164+1200010</f>
        <v>2430174</v>
      </c>
    </row>
    <row r="26" spans="1:9" x14ac:dyDescent="0.2">
      <c r="B26" s="43" t="s">
        <v>17</v>
      </c>
      <c r="C26" s="41"/>
      <c r="D26" s="41"/>
      <c r="E26" s="42"/>
    </row>
    <row r="27" spans="1:9" x14ac:dyDescent="0.2">
      <c r="B27" s="44"/>
      <c r="C27" s="80" t="s">
        <v>97</v>
      </c>
      <c r="D27" s="80"/>
      <c r="E27" s="80"/>
    </row>
    <row r="28" spans="1:9" x14ac:dyDescent="0.2">
      <c r="B28" s="44"/>
      <c r="C28" s="80" t="s">
        <v>98</v>
      </c>
      <c r="D28" s="80"/>
      <c r="E28" s="80"/>
    </row>
    <row r="29" spans="1:9" x14ac:dyDescent="0.2">
      <c r="B29" s="43" t="s">
        <v>18</v>
      </c>
      <c r="C29" s="41"/>
      <c r="D29" s="41"/>
      <c r="E29" s="42"/>
    </row>
    <row r="30" spans="1:9" ht="26.25" customHeight="1" x14ac:dyDescent="0.2">
      <c r="B30" s="44"/>
      <c r="C30" s="81" t="s">
        <v>69</v>
      </c>
      <c r="D30" s="81"/>
      <c r="E30" s="81"/>
    </row>
    <row r="31" spans="1:9" x14ac:dyDescent="0.2">
      <c r="B31" s="43" t="s">
        <v>19</v>
      </c>
      <c r="C31" s="45"/>
      <c r="D31" s="45"/>
      <c r="E31" s="46"/>
    </row>
    <row r="32" spans="1:9" ht="26.25" customHeight="1" x14ac:dyDescent="0.2">
      <c r="B32" s="44"/>
      <c r="C32" s="81" t="s">
        <v>66</v>
      </c>
      <c r="D32" s="81"/>
      <c r="E32" s="81"/>
    </row>
    <row r="33" spans="2:5" x14ac:dyDescent="0.2">
      <c r="B33" s="43" t="s">
        <v>20</v>
      </c>
      <c r="C33" s="41"/>
      <c r="D33" s="41"/>
      <c r="E33" s="42"/>
    </row>
    <row r="34" spans="2:5" ht="23.25" customHeight="1" x14ac:dyDescent="0.2">
      <c r="B34" s="43"/>
      <c r="C34" s="80" t="s">
        <v>63</v>
      </c>
      <c r="D34" s="80"/>
      <c r="E34" s="80"/>
    </row>
    <row r="35" spans="2:5" x14ac:dyDescent="0.2">
      <c r="B35" s="47"/>
      <c r="C35" s="48"/>
      <c r="D35" s="48"/>
      <c r="E35" s="49"/>
    </row>
    <row r="37" spans="2:5" x14ac:dyDescent="0.2">
      <c r="B37" s="37" t="s">
        <v>21</v>
      </c>
      <c r="C37" s="38"/>
      <c r="D37" s="38"/>
      <c r="E37" s="39"/>
    </row>
    <row r="38" spans="2:5" ht="7.5" customHeight="1" x14ac:dyDescent="0.2">
      <c r="B38" s="40"/>
      <c r="C38" s="41"/>
      <c r="D38" s="41"/>
      <c r="E38" s="42"/>
    </row>
    <row r="39" spans="2:5" x14ac:dyDescent="0.2">
      <c r="B39" s="43" t="s">
        <v>16</v>
      </c>
      <c r="C39" s="41"/>
      <c r="D39" s="41"/>
      <c r="E39" s="42"/>
    </row>
    <row r="40" spans="2:5" ht="39" customHeight="1" x14ac:dyDescent="0.2">
      <c r="B40" s="43"/>
      <c r="C40" s="81"/>
      <c r="D40" s="81"/>
      <c r="E40" s="81"/>
    </row>
    <row r="41" spans="2:5" x14ac:dyDescent="0.2">
      <c r="B41" s="43" t="s">
        <v>17</v>
      </c>
      <c r="C41" s="41"/>
      <c r="D41" s="41"/>
      <c r="E41" s="42"/>
    </row>
    <row r="42" spans="2:5" x14ac:dyDescent="0.2">
      <c r="B42" s="44"/>
      <c r="C42" s="80" t="s">
        <v>97</v>
      </c>
      <c r="D42" s="80"/>
      <c r="E42" s="80"/>
    </row>
    <row r="43" spans="2:5" x14ac:dyDescent="0.2">
      <c r="B43" s="44"/>
      <c r="C43" s="80" t="s">
        <v>98</v>
      </c>
      <c r="D43" s="80"/>
      <c r="E43" s="80"/>
    </row>
    <row r="44" spans="2:5" x14ac:dyDescent="0.2">
      <c r="B44" s="43" t="s">
        <v>18</v>
      </c>
      <c r="C44" s="41"/>
      <c r="D44" s="41"/>
      <c r="E44" s="42"/>
    </row>
    <row r="45" spans="2:5" x14ac:dyDescent="0.2">
      <c r="B45" s="44"/>
      <c r="C45" s="81" t="s">
        <v>62</v>
      </c>
      <c r="D45" s="81"/>
      <c r="E45" s="81"/>
    </row>
    <row r="46" spans="2:5" x14ac:dyDescent="0.2">
      <c r="B46" s="43" t="s">
        <v>19</v>
      </c>
      <c r="C46" s="45"/>
      <c r="D46" s="45"/>
      <c r="E46" s="46"/>
    </row>
    <row r="47" spans="2:5" x14ac:dyDescent="0.2">
      <c r="B47" s="44"/>
      <c r="C47" s="81" t="s">
        <v>66</v>
      </c>
      <c r="D47" s="81"/>
      <c r="E47" s="81"/>
    </row>
    <row r="48" spans="2:5" x14ac:dyDescent="0.2">
      <c r="B48" s="43" t="s">
        <v>20</v>
      </c>
      <c r="C48" s="41"/>
      <c r="D48" s="41"/>
      <c r="E48" s="42"/>
    </row>
    <row r="49" spans="2:5" x14ac:dyDescent="0.2">
      <c r="B49" s="43"/>
      <c r="C49" s="80" t="s">
        <v>63</v>
      </c>
      <c r="D49" s="80"/>
      <c r="E49" s="80"/>
    </row>
    <row r="50" spans="2:5" ht="13.5" thickBot="1" x14ac:dyDescent="0.25">
      <c r="B50" s="47"/>
      <c r="C50" s="48"/>
      <c r="D50" s="48"/>
      <c r="E50" s="49"/>
    </row>
    <row r="51" spans="2:5" ht="13.5" thickBot="1" x14ac:dyDescent="0.25"/>
    <row r="52" spans="2:5" x14ac:dyDescent="0.2">
      <c r="B52" s="37" t="s">
        <v>64</v>
      </c>
      <c r="C52" s="38"/>
      <c r="D52" s="38"/>
      <c r="E52" s="39"/>
    </row>
    <row r="53" spans="2:5" x14ac:dyDescent="0.2">
      <c r="B53" s="40"/>
      <c r="C53" s="41"/>
      <c r="D53" s="41"/>
      <c r="E53" s="42"/>
    </row>
    <row r="54" spans="2:5" x14ac:dyDescent="0.2">
      <c r="B54" s="43" t="s">
        <v>16</v>
      </c>
      <c r="C54" s="41"/>
      <c r="D54" s="41"/>
      <c r="E54" s="42"/>
    </row>
    <row r="55" spans="2:5" x14ac:dyDescent="0.2">
      <c r="B55" s="43"/>
      <c r="C55" s="81"/>
      <c r="D55" s="81"/>
      <c r="E55" s="81"/>
    </row>
    <row r="56" spans="2:5" x14ac:dyDescent="0.2">
      <c r="B56" s="43" t="s">
        <v>17</v>
      </c>
      <c r="C56" s="41"/>
      <c r="D56" s="41"/>
      <c r="E56" s="42"/>
    </row>
    <row r="57" spans="2:5" x14ac:dyDescent="0.2">
      <c r="B57" s="44"/>
      <c r="C57" s="80" t="s">
        <v>97</v>
      </c>
      <c r="D57" s="80"/>
      <c r="E57" s="80"/>
    </row>
    <row r="58" spans="2:5" x14ac:dyDescent="0.2">
      <c r="B58" s="44"/>
      <c r="C58" s="80" t="s">
        <v>98</v>
      </c>
      <c r="D58" s="80"/>
      <c r="E58" s="80"/>
    </row>
    <row r="59" spans="2:5" x14ac:dyDescent="0.2">
      <c r="B59" s="43" t="s">
        <v>18</v>
      </c>
      <c r="C59" s="41"/>
      <c r="D59" s="41"/>
      <c r="E59" s="42"/>
    </row>
    <row r="60" spans="2:5" x14ac:dyDescent="0.2">
      <c r="B60" s="44"/>
      <c r="C60" s="81" t="s">
        <v>69</v>
      </c>
      <c r="D60" s="81"/>
      <c r="E60" s="81"/>
    </row>
    <row r="61" spans="2:5" x14ac:dyDescent="0.2">
      <c r="B61" s="43" t="s">
        <v>19</v>
      </c>
      <c r="C61" s="45"/>
      <c r="D61" s="45"/>
      <c r="E61" s="46"/>
    </row>
    <row r="62" spans="2:5" x14ac:dyDescent="0.2">
      <c r="B62" s="44"/>
      <c r="C62" s="81" t="s">
        <v>66</v>
      </c>
      <c r="D62" s="81"/>
      <c r="E62" s="81"/>
    </row>
    <row r="63" spans="2:5" x14ac:dyDescent="0.2">
      <c r="B63" s="43" t="s">
        <v>20</v>
      </c>
      <c r="C63" s="41"/>
      <c r="D63" s="41"/>
      <c r="E63" s="42"/>
    </row>
    <row r="64" spans="2:5" x14ac:dyDescent="0.2">
      <c r="B64" s="43"/>
      <c r="C64" s="80" t="s">
        <v>63</v>
      </c>
      <c r="D64" s="80"/>
      <c r="E64" s="80"/>
    </row>
    <row r="65" spans="2:5" ht="13.5" thickBot="1" x14ac:dyDescent="0.25">
      <c r="B65" s="47"/>
      <c r="C65" s="48"/>
      <c r="D65" s="48"/>
      <c r="E65" s="49"/>
    </row>
    <row r="66" spans="2:5" ht="13.5" thickBot="1" x14ac:dyDescent="0.25"/>
    <row r="67" spans="2:5" x14ac:dyDescent="0.2">
      <c r="B67" s="37" t="s">
        <v>65</v>
      </c>
      <c r="C67" s="38"/>
      <c r="D67" s="38"/>
      <c r="E67" s="39"/>
    </row>
    <row r="68" spans="2:5" x14ac:dyDescent="0.2">
      <c r="B68" s="40"/>
      <c r="C68" s="41"/>
      <c r="D68" s="41"/>
      <c r="E68" s="42"/>
    </row>
    <row r="69" spans="2:5" x14ac:dyDescent="0.2">
      <c r="B69" s="43" t="s">
        <v>16</v>
      </c>
      <c r="C69" s="41"/>
      <c r="D69" s="41"/>
      <c r="E69" s="42"/>
    </row>
    <row r="70" spans="2:5" x14ac:dyDescent="0.2">
      <c r="B70" s="43"/>
      <c r="C70" s="81"/>
      <c r="D70" s="81"/>
      <c r="E70" s="81"/>
    </row>
    <row r="71" spans="2:5" x14ac:dyDescent="0.2">
      <c r="B71" s="43" t="s">
        <v>17</v>
      </c>
      <c r="C71" s="41"/>
      <c r="D71" s="41"/>
      <c r="E71" s="42"/>
    </row>
    <row r="72" spans="2:5" x14ac:dyDescent="0.2">
      <c r="B72" s="44"/>
      <c r="C72" s="80" t="s">
        <v>97</v>
      </c>
      <c r="D72" s="80"/>
      <c r="E72" s="80"/>
    </row>
    <row r="73" spans="2:5" x14ac:dyDescent="0.2">
      <c r="B73" s="44"/>
      <c r="C73" s="80" t="s">
        <v>98</v>
      </c>
      <c r="D73" s="80"/>
      <c r="E73" s="80"/>
    </row>
    <row r="74" spans="2:5" x14ac:dyDescent="0.2">
      <c r="B74" s="43" t="s">
        <v>18</v>
      </c>
      <c r="C74" s="41"/>
      <c r="D74" s="41"/>
      <c r="E74" s="42"/>
    </row>
    <row r="75" spans="2:5" x14ac:dyDescent="0.2">
      <c r="B75" s="44"/>
      <c r="C75" s="81" t="s">
        <v>62</v>
      </c>
      <c r="D75" s="81"/>
      <c r="E75" s="81"/>
    </row>
    <row r="76" spans="2:5" x14ac:dyDescent="0.2">
      <c r="B76" s="43" t="s">
        <v>19</v>
      </c>
      <c r="C76" s="45"/>
      <c r="D76" s="45"/>
      <c r="E76" s="46"/>
    </row>
    <row r="77" spans="2:5" x14ac:dyDescent="0.2">
      <c r="B77" s="44"/>
      <c r="C77" s="81" t="s">
        <v>66</v>
      </c>
      <c r="D77" s="81"/>
      <c r="E77" s="81"/>
    </row>
    <row r="78" spans="2:5" x14ac:dyDescent="0.2">
      <c r="B78" s="43" t="s">
        <v>20</v>
      </c>
      <c r="C78" s="41"/>
      <c r="D78" s="41"/>
      <c r="E78" s="42"/>
    </row>
    <row r="79" spans="2:5" x14ac:dyDescent="0.2">
      <c r="B79" s="43"/>
      <c r="C79" s="80" t="s">
        <v>63</v>
      </c>
      <c r="D79" s="80"/>
      <c r="E79" s="80"/>
    </row>
    <row r="80" spans="2:5" ht="13.5" thickBot="1" x14ac:dyDescent="0.25">
      <c r="B80" s="47"/>
      <c r="C80" s="48"/>
      <c r="D80" s="48"/>
      <c r="E80" s="49"/>
    </row>
    <row r="81" spans="2:5" ht="13.5" thickBot="1" x14ac:dyDescent="0.25"/>
    <row r="82" spans="2:5" x14ac:dyDescent="0.2">
      <c r="B82" s="37" t="s">
        <v>67</v>
      </c>
      <c r="C82" s="38"/>
      <c r="D82" s="38"/>
      <c r="E82" s="39"/>
    </row>
    <row r="83" spans="2:5" x14ac:dyDescent="0.2">
      <c r="B83" s="40"/>
      <c r="C83" s="41"/>
      <c r="D83" s="41"/>
      <c r="E83" s="42"/>
    </row>
    <row r="84" spans="2:5" x14ac:dyDescent="0.2">
      <c r="B84" s="43" t="s">
        <v>16</v>
      </c>
      <c r="C84" s="41"/>
      <c r="D84" s="41"/>
      <c r="E84" s="42"/>
    </row>
    <row r="85" spans="2:5" x14ac:dyDescent="0.2">
      <c r="B85" s="43"/>
      <c r="C85" s="81"/>
      <c r="D85" s="81"/>
      <c r="E85" s="81"/>
    </row>
    <row r="86" spans="2:5" x14ac:dyDescent="0.2">
      <c r="B86" s="43" t="s">
        <v>17</v>
      </c>
      <c r="C86" s="41"/>
      <c r="D86" s="41"/>
      <c r="E86" s="42"/>
    </row>
    <row r="87" spans="2:5" x14ac:dyDescent="0.2">
      <c r="B87" s="44"/>
      <c r="C87" s="80" t="s">
        <v>97</v>
      </c>
      <c r="D87" s="80"/>
      <c r="E87" s="80"/>
    </row>
    <row r="88" spans="2:5" x14ac:dyDescent="0.2">
      <c r="B88" s="44"/>
      <c r="C88" s="80" t="s">
        <v>98</v>
      </c>
      <c r="D88" s="80"/>
      <c r="E88" s="80"/>
    </row>
    <row r="89" spans="2:5" x14ac:dyDescent="0.2">
      <c r="B89" s="43" t="s">
        <v>18</v>
      </c>
      <c r="C89" s="41"/>
      <c r="D89" s="41"/>
      <c r="E89" s="42"/>
    </row>
    <row r="90" spans="2:5" x14ac:dyDescent="0.2">
      <c r="B90" s="44"/>
      <c r="C90" s="81" t="s">
        <v>69</v>
      </c>
      <c r="D90" s="81"/>
      <c r="E90" s="81"/>
    </row>
    <row r="91" spans="2:5" x14ac:dyDescent="0.2">
      <c r="B91" s="43" t="s">
        <v>19</v>
      </c>
      <c r="C91" s="45"/>
      <c r="D91" s="45"/>
      <c r="E91" s="46"/>
    </row>
    <row r="92" spans="2:5" x14ac:dyDescent="0.2">
      <c r="B92" s="44"/>
      <c r="C92" s="81" t="s">
        <v>66</v>
      </c>
      <c r="D92" s="81"/>
      <c r="E92" s="81"/>
    </row>
    <row r="93" spans="2:5" x14ac:dyDescent="0.2">
      <c r="B93" s="43" t="s">
        <v>20</v>
      </c>
      <c r="C93" s="41"/>
      <c r="D93" s="41"/>
      <c r="E93" s="42"/>
    </row>
    <row r="94" spans="2:5" x14ac:dyDescent="0.2">
      <c r="B94" s="43"/>
      <c r="C94" s="80" t="s">
        <v>63</v>
      </c>
      <c r="D94" s="80"/>
      <c r="E94" s="80"/>
    </row>
    <row r="95" spans="2:5" ht="13.5" thickBot="1" x14ac:dyDescent="0.25">
      <c r="B95" s="47"/>
      <c r="C95" s="48"/>
      <c r="D95" s="48"/>
      <c r="E95" s="49"/>
    </row>
    <row r="96" spans="2:5" ht="13.5" thickBot="1" x14ac:dyDescent="0.25"/>
    <row r="97" spans="2:5" x14ac:dyDescent="0.2">
      <c r="B97" s="37" t="s">
        <v>68</v>
      </c>
      <c r="C97" s="38"/>
      <c r="D97" s="38"/>
      <c r="E97" s="39"/>
    </row>
    <row r="98" spans="2:5" x14ac:dyDescent="0.2">
      <c r="B98" s="40"/>
      <c r="C98" s="41"/>
      <c r="D98" s="41"/>
      <c r="E98" s="42"/>
    </row>
    <row r="99" spans="2:5" x14ac:dyDescent="0.2">
      <c r="B99" s="43" t="s">
        <v>16</v>
      </c>
      <c r="C99" s="41"/>
      <c r="D99" s="41"/>
      <c r="E99" s="42"/>
    </row>
    <row r="100" spans="2:5" x14ac:dyDescent="0.2">
      <c r="B100" s="43"/>
      <c r="C100" s="81"/>
      <c r="D100" s="81"/>
      <c r="E100" s="81"/>
    </row>
    <row r="101" spans="2:5" x14ac:dyDescent="0.2">
      <c r="B101" s="43" t="s">
        <v>17</v>
      </c>
      <c r="C101" s="41"/>
      <c r="D101" s="41"/>
      <c r="E101" s="42"/>
    </row>
    <row r="102" spans="2:5" x14ac:dyDescent="0.2">
      <c r="B102" s="44"/>
      <c r="C102" s="80" t="s">
        <v>97</v>
      </c>
      <c r="D102" s="80"/>
      <c r="E102" s="80"/>
    </row>
    <row r="103" spans="2:5" x14ac:dyDescent="0.2">
      <c r="B103" s="44"/>
      <c r="C103" s="80" t="s">
        <v>98</v>
      </c>
      <c r="D103" s="80"/>
      <c r="E103" s="80"/>
    </row>
    <row r="104" spans="2:5" x14ac:dyDescent="0.2">
      <c r="B104" s="43" t="s">
        <v>18</v>
      </c>
      <c r="C104" s="41"/>
      <c r="D104" s="41"/>
      <c r="E104" s="42"/>
    </row>
    <row r="105" spans="2:5" x14ac:dyDescent="0.2">
      <c r="B105" s="44"/>
      <c r="C105" s="81" t="s">
        <v>69</v>
      </c>
      <c r="D105" s="81"/>
      <c r="E105" s="81"/>
    </row>
    <row r="106" spans="2:5" x14ac:dyDescent="0.2">
      <c r="B106" s="43" t="s">
        <v>19</v>
      </c>
      <c r="C106" s="45"/>
      <c r="D106" s="45"/>
      <c r="E106" s="46"/>
    </row>
    <row r="107" spans="2:5" x14ac:dyDescent="0.2">
      <c r="B107" s="44"/>
      <c r="C107" s="81" t="s">
        <v>66</v>
      </c>
      <c r="D107" s="81"/>
      <c r="E107" s="81"/>
    </row>
    <row r="108" spans="2:5" x14ac:dyDescent="0.2">
      <c r="B108" s="43" t="s">
        <v>20</v>
      </c>
      <c r="C108" s="41"/>
      <c r="D108" s="41"/>
      <c r="E108" s="42"/>
    </row>
    <row r="109" spans="2:5" x14ac:dyDescent="0.2">
      <c r="B109" s="43"/>
      <c r="C109" s="80" t="s">
        <v>63</v>
      </c>
      <c r="D109" s="80"/>
      <c r="E109" s="80"/>
    </row>
    <row r="110" spans="2:5" ht="13.5" thickBot="1" x14ac:dyDescent="0.25">
      <c r="B110" s="47"/>
      <c r="C110" s="48"/>
      <c r="D110" s="48"/>
      <c r="E110" s="49"/>
    </row>
    <row r="111" spans="2:5" ht="13.5" thickBot="1" x14ac:dyDescent="0.25"/>
    <row r="112" spans="2:5" x14ac:dyDescent="0.2">
      <c r="B112" s="37" t="s">
        <v>64</v>
      </c>
      <c r="C112" s="38"/>
      <c r="D112" s="38"/>
      <c r="E112" s="39"/>
    </row>
    <row r="113" spans="2:5" x14ac:dyDescent="0.2">
      <c r="B113" s="40"/>
      <c r="C113" s="41"/>
      <c r="D113" s="41"/>
      <c r="E113" s="42"/>
    </row>
    <row r="114" spans="2:5" x14ac:dyDescent="0.2">
      <c r="B114" s="43" t="s">
        <v>16</v>
      </c>
      <c r="C114" s="41"/>
      <c r="D114" s="41"/>
      <c r="E114" s="42"/>
    </row>
    <row r="115" spans="2:5" x14ac:dyDescent="0.2">
      <c r="B115" s="43"/>
      <c r="C115" s="81"/>
      <c r="D115" s="81"/>
      <c r="E115" s="81"/>
    </row>
    <row r="116" spans="2:5" x14ac:dyDescent="0.2">
      <c r="B116" s="43" t="s">
        <v>17</v>
      </c>
      <c r="C116" s="41"/>
      <c r="D116" s="41"/>
      <c r="E116" s="42"/>
    </row>
    <row r="117" spans="2:5" x14ac:dyDescent="0.2">
      <c r="B117" s="44"/>
      <c r="C117" s="80" t="s">
        <v>97</v>
      </c>
      <c r="D117" s="80"/>
      <c r="E117" s="80"/>
    </row>
    <row r="118" spans="2:5" x14ac:dyDescent="0.2">
      <c r="B118" s="44"/>
      <c r="C118" s="80" t="s">
        <v>98</v>
      </c>
      <c r="D118" s="80"/>
      <c r="E118" s="80"/>
    </row>
    <row r="119" spans="2:5" x14ac:dyDescent="0.2">
      <c r="B119" s="43" t="s">
        <v>18</v>
      </c>
      <c r="C119" s="41"/>
      <c r="D119" s="41"/>
      <c r="E119" s="42"/>
    </row>
    <row r="120" spans="2:5" x14ac:dyDescent="0.2">
      <c r="B120" s="44"/>
      <c r="C120" s="81" t="s">
        <v>69</v>
      </c>
      <c r="D120" s="81"/>
      <c r="E120" s="81"/>
    </row>
    <row r="121" spans="2:5" x14ac:dyDescent="0.2">
      <c r="B121" s="43" t="s">
        <v>19</v>
      </c>
      <c r="C121" s="45"/>
      <c r="D121" s="45"/>
      <c r="E121" s="46"/>
    </row>
    <row r="122" spans="2:5" x14ac:dyDescent="0.2">
      <c r="B122" s="44"/>
      <c r="C122" s="81" t="s">
        <v>66</v>
      </c>
      <c r="D122" s="81"/>
      <c r="E122" s="81"/>
    </row>
    <row r="123" spans="2:5" x14ac:dyDescent="0.2">
      <c r="B123" s="43" t="s">
        <v>20</v>
      </c>
      <c r="C123" s="41"/>
      <c r="D123" s="41"/>
      <c r="E123" s="42"/>
    </row>
    <row r="124" spans="2:5" x14ac:dyDescent="0.2">
      <c r="B124" s="43"/>
      <c r="C124" s="80" t="s">
        <v>63</v>
      </c>
      <c r="D124" s="80"/>
      <c r="E124" s="80"/>
    </row>
    <row r="125" spans="2:5" ht="13.5" thickBot="1" x14ac:dyDescent="0.25">
      <c r="B125" s="47"/>
      <c r="C125" s="48"/>
      <c r="D125" s="48"/>
      <c r="E125" s="49"/>
    </row>
    <row r="126" spans="2:5" ht="13.5" thickBot="1" x14ac:dyDescent="0.25"/>
    <row r="127" spans="2:5" x14ac:dyDescent="0.2">
      <c r="B127" s="37" t="s">
        <v>65</v>
      </c>
      <c r="C127" s="38"/>
      <c r="D127" s="38"/>
      <c r="E127" s="39"/>
    </row>
    <row r="128" spans="2:5" x14ac:dyDescent="0.2">
      <c r="B128" s="40"/>
      <c r="C128" s="41"/>
      <c r="D128" s="41"/>
      <c r="E128" s="42"/>
    </row>
    <row r="129" spans="2:5" x14ac:dyDescent="0.2">
      <c r="B129" s="43" t="s">
        <v>16</v>
      </c>
      <c r="C129" s="41"/>
      <c r="D129" s="41"/>
      <c r="E129" s="42"/>
    </row>
    <row r="130" spans="2:5" x14ac:dyDescent="0.2">
      <c r="B130" s="43"/>
      <c r="C130" s="81"/>
      <c r="D130" s="81"/>
      <c r="E130" s="81"/>
    </row>
    <row r="131" spans="2:5" x14ac:dyDescent="0.2">
      <c r="B131" s="43" t="s">
        <v>17</v>
      </c>
      <c r="C131" s="41"/>
      <c r="D131" s="41"/>
      <c r="E131" s="42"/>
    </row>
    <row r="132" spans="2:5" x14ac:dyDescent="0.2">
      <c r="B132" s="44"/>
      <c r="C132" s="80" t="s">
        <v>97</v>
      </c>
      <c r="D132" s="80"/>
      <c r="E132" s="80"/>
    </row>
    <row r="133" spans="2:5" x14ac:dyDescent="0.2">
      <c r="B133" s="44"/>
      <c r="C133" s="80" t="s">
        <v>98</v>
      </c>
      <c r="D133" s="80"/>
      <c r="E133" s="80"/>
    </row>
    <row r="134" spans="2:5" x14ac:dyDescent="0.2">
      <c r="B134" s="43" t="s">
        <v>18</v>
      </c>
      <c r="C134" s="41"/>
      <c r="D134" s="41"/>
      <c r="E134" s="42"/>
    </row>
    <row r="135" spans="2:5" x14ac:dyDescent="0.2">
      <c r="B135" s="44"/>
      <c r="C135" s="81" t="s">
        <v>62</v>
      </c>
      <c r="D135" s="81"/>
      <c r="E135" s="81"/>
    </row>
    <row r="136" spans="2:5" x14ac:dyDescent="0.2">
      <c r="B136" s="43" t="s">
        <v>19</v>
      </c>
      <c r="C136" s="45"/>
      <c r="D136" s="45"/>
      <c r="E136" s="46"/>
    </row>
    <row r="137" spans="2:5" x14ac:dyDescent="0.2">
      <c r="B137" s="44"/>
      <c r="C137" s="81" t="s">
        <v>66</v>
      </c>
      <c r="D137" s="81"/>
      <c r="E137" s="81"/>
    </row>
    <row r="138" spans="2:5" x14ac:dyDescent="0.2">
      <c r="B138" s="43" t="s">
        <v>20</v>
      </c>
      <c r="C138" s="41"/>
      <c r="D138" s="41"/>
      <c r="E138" s="42"/>
    </row>
    <row r="139" spans="2:5" x14ac:dyDescent="0.2">
      <c r="B139" s="43"/>
      <c r="C139" s="80" t="s">
        <v>63</v>
      </c>
      <c r="D139" s="80"/>
      <c r="E139" s="80"/>
    </row>
    <row r="140" spans="2:5" ht="13.5" thickBot="1" x14ac:dyDescent="0.25">
      <c r="B140" s="47"/>
      <c r="C140" s="48"/>
      <c r="D140" s="48"/>
      <c r="E140" s="49"/>
    </row>
    <row r="141" spans="2:5" ht="13.5" thickBot="1" x14ac:dyDescent="0.25"/>
    <row r="142" spans="2:5" x14ac:dyDescent="0.2">
      <c r="B142" s="37" t="s">
        <v>67</v>
      </c>
      <c r="C142" s="38"/>
      <c r="D142" s="38"/>
      <c r="E142" s="39"/>
    </row>
    <row r="143" spans="2:5" x14ac:dyDescent="0.2">
      <c r="B143" s="40"/>
      <c r="C143" s="41"/>
      <c r="D143" s="41"/>
      <c r="E143" s="42"/>
    </row>
    <row r="144" spans="2:5" x14ac:dyDescent="0.2">
      <c r="B144" s="43" t="s">
        <v>16</v>
      </c>
      <c r="C144" s="41"/>
      <c r="D144" s="41"/>
      <c r="E144" s="42"/>
    </row>
    <row r="145" spans="2:5" x14ac:dyDescent="0.2">
      <c r="B145" s="43"/>
      <c r="C145" s="81"/>
      <c r="D145" s="81"/>
      <c r="E145" s="81"/>
    </row>
    <row r="146" spans="2:5" x14ac:dyDescent="0.2">
      <c r="B146" s="43" t="s">
        <v>17</v>
      </c>
      <c r="C146" s="41"/>
      <c r="D146" s="41"/>
      <c r="E146" s="42"/>
    </row>
    <row r="147" spans="2:5" x14ac:dyDescent="0.2">
      <c r="B147" s="44"/>
      <c r="C147" s="82" t="s">
        <v>97</v>
      </c>
      <c r="D147" s="82"/>
      <c r="E147" s="80"/>
    </row>
    <row r="148" spans="2:5" x14ac:dyDescent="0.2">
      <c r="B148" s="44"/>
      <c r="C148" s="82" t="s">
        <v>98</v>
      </c>
      <c r="D148" s="82"/>
      <c r="E148" s="80"/>
    </row>
    <row r="149" spans="2:5" x14ac:dyDescent="0.2">
      <c r="B149" s="43" t="s">
        <v>18</v>
      </c>
      <c r="C149" s="41"/>
      <c r="D149" s="41"/>
      <c r="E149" s="42"/>
    </row>
    <row r="150" spans="2:5" x14ac:dyDescent="0.2">
      <c r="B150" s="44"/>
      <c r="C150" s="81" t="s">
        <v>69</v>
      </c>
      <c r="D150" s="81"/>
      <c r="E150" s="81"/>
    </row>
    <row r="151" spans="2:5" x14ac:dyDescent="0.2">
      <c r="B151" s="43" t="s">
        <v>19</v>
      </c>
      <c r="C151" s="45"/>
      <c r="D151" s="45"/>
      <c r="E151" s="46"/>
    </row>
    <row r="152" spans="2:5" x14ac:dyDescent="0.2">
      <c r="B152" s="44"/>
      <c r="C152" s="81" t="s">
        <v>66</v>
      </c>
      <c r="D152" s="81"/>
      <c r="E152" s="81"/>
    </row>
    <row r="153" spans="2:5" x14ac:dyDescent="0.2">
      <c r="B153" s="43" t="s">
        <v>20</v>
      </c>
      <c r="C153" s="41"/>
      <c r="D153" s="41"/>
      <c r="E153" s="42"/>
    </row>
    <row r="154" spans="2:5" x14ac:dyDescent="0.2">
      <c r="B154" s="43"/>
      <c r="C154" s="80" t="s">
        <v>63</v>
      </c>
      <c r="D154" s="80"/>
      <c r="E154" s="80"/>
    </row>
    <row r="155" spans="2:5" ht="13.5" thickBot="1" x14ac:dyDescent="0.25">
      <c r="B155" s="47"/>
      <c r="C155" s="48"/>
      <c r="D155" s="48"/>
      <c r="E155" s="49"/>
    </row>
    <row r="156" spans="2:5" ht="13.5" thickBot="1" x14ac:dyDescent="0.25"/>
    <row r="157" spans="2:5" x14ac:dyDescent="0.2">
      <c r="B157" s="37" t="s">
        <v>68</v>
      </c>
      <c r="C157" s="38"/>
      <c r="D157" s="38"/>
      <c r="E157" s="39"/>
    </row>
    <row r="158" spans="2:5" x14ac:dyDescent="0.2">
      <c r="B158" s="40"/>
      <c r="C158" s="41"/>
      <c r="D158" s="41"/>
      <c r="E158" s="42"/>
    </row>
    <row r="159" spans="2:5" x14ac:dyDescent="0.2">
      <c r="B159" s="43" t="s">
        <v>16</v>
      </c>
      <c r="C159" s="41"/>
      <c r="D159" s="41"/>
      <c r="E159" s="42"/>
    </row>
    <row r="160" spans="2:5" x14ac:dyDescent="0.2">
      <c r="B160" s="43"/>
      <c r="C160" s="81"/>
      <c r="D160" s="81"/>
      <c r="E160" s="81"/>
    </row>
    <row r="161" spans="2:5" x14ac:dyDescent="0.2">
      <c r="B161" s="43" t="s">
        <v>17</v>
      </c>
      <c r="C161" s="41"/>
      <c r="D161" s="41"/>
      <c r="E161" s="42"/>
    </row>
    <row r="162" spans="2:5" x14ac:dyDescent="0.2">
      <c r="B162" s="44"/>
      <c r="C162" s="80" t="s">
        <v>97</v>
      </c>
      <c r="D162" s="80"/>
      <c r="E162" s="80"/>
    </row>
    <row r="163" spans="2:5" x14ac:dyDescent="0.2">
      <c r="B163" s="44"/>
      <c r="C163" s="80" t="s">
        <v>98</v>
      </c>
      <c r="D163" s="80"/>
      <c r="E163" s="80"/>
    </row>
    <row r="164" spans="2:5" x14ac:dyDescent="0.2">
      <c r="B164" s="43" t="s">
        <v>18</v>
      </c>
      <c r="C164" s="41"/>
      <c r="D164" s="41"/>
      <c r="E164" s="42"/>
    </row>
    <row r="165" spans="2:5" x14ac:dyDescent="0.2">
      <c r="B165" s="44"/>
      <c r="C165" s="81" t="s">
        <v>69</v>
      </c>
      <c r="D165" s="81"/>
      <c r="E165" s="81"/>
    </row>
    <row r="166" spans="2:5" x14ac:dyDescent="0.2">
      <c r="B166" s="43" t="s">
        <v>19</v>
      </c>
      <c r="C166" s="45"/>
      <c r="D166" s="45"/>
      <c r="E166" s="46"/>
    </row>
    <row r="167" spans="2:5" x14ac:dyDescent="0.2">
      <c r="B167" s="44"/>
      <c r="C167" s="81" t="s">
        <v>66</v>
      </c>
      <c r="D167" s="81"/>
      <c r="E167" s="81"/>
    </row>
    <row r="168" spans="2:5" x14ac:dyDescent="0.2">
      <c r="B168" s="43" t="s">
        <v>20</v>
      </c>
      <c r="C168" s="41"/>
      <c r="D168" s="41"/>
      <c r="E168" s="42"/>
    </row>
    <row r="169" spans="2:5" x14ac:dyDescent="0.2">
      <c r="B169" s="43"/>
      <c r="C169" s="80" t="s">
        <v>63</v>
      </c>
      <c r="D169" s="80"/>
      <c r="E169" s="80"/>
    </row>
    <row r="170" spans="2:5" ht="13.5" thickBot="1" x14ac:dyDescent="0.25">
      <c r="B170" s="47"/>
      <c r="C170" s="48"/>
      <c r="D170" s="48"/>
      <c r="E170" s="49"/>
    </row>
  </sheetData>
  <mergeCells count="67">
    <mergeCell ref="C103:E103"/>
    <mergeCell ref="C105:E105"/>
    <mergeCell ref="C107:E107"/>
    <mergeCell ref="C109:E109"/>
    <mergeCell ref="C90:E90"/>
    <mergeCell ref="C92:E92"/>
    <mergeCell ref="C94:E94"/>
    <mergeCell ref="C100:E100"/>
    <mergeCell ref="C102:E102"/>
    <mergeCell ref="C77:E77"/>
    <mergeCell ref="C79:E79"/>
    <mergeCell ref="C85:E85"/>
    <mergeCell ref="C87:E87"/>
    <mergeCell ref="C88:E88"/>
    <mergeCell ref="C64:E64"/>
    <mergeCell ref="C70:E70"/>
    <mergeCell ref="C72:E72"/>
    <mergeCell ref="C73:E73"/>
    <mergeCell ref="C75:E75"/>
    <mergeCell ref="C55:E55"/>
    <mergeCell ref="C57:E57"/>
    <mergeCell ref="C58:E58"/>
    <mergeCell ref="C60:E60"/>
    <mergeCell ref="C62:E62"/>
    <mergeCell ref="C43:E43"/>
    <mergeCell ref="C45:E45"/>
    <mergeCell ref="C47:E47"/>
    <mergeCell ref="C49:E49"/>
    <mergeCell ref="C30:E30"/>
    <mergeCell ref="C32:E32"/>
    <mergeCell ref="C34:E34"/>
    <mergeCell ref="C40:E40"/>
    <mergeCell ref="C42:E42"/>
    <mergeCell ref="A6:B6"/>
    <mergeCell ref="A7:B7"/>
    <mergeCell ref="C25:E25"/>
    <mergeCell ref="C27:E27"/>
    <mergeCell ref="C28:E28"/>
    <mergeCell ref="B2:H2"/>
    <mergeCell ref="A4:B4"/>
    <mergeCell ref="C4:E4"/>
    <mergeCell ref="A5:B5"/>
    <mergeCell ref="C5:E5"/>
    <mergeCell ref="C115:E115"/>
    <mergeCell ref="C117:E117"/>
    <mergeCell ref="C118:E118"/>
    <mergeCell ref="C120:E120"/>
    <mergeCell ref="C122:E122"/>
    <mergeCell ref="C124:E124"/>
    <mergeCell ref="C130:E130"/>
    <mergeCell ref="C132:E132"/>
    <mergeCell ref="C133:E133"/>
    <mergeCell ref="C135:E135"/>
    <mergeCell ref="C137:E137"/>
    <mergeCell ref="C139:E139"/>
    <mergeCell ref="C145:E145"/>
    <mergeCell ref="C147:E147"/>
    <mergeCell ref="C148:E148"/>
    <mergeCell ref="C163:E163"/>
    <mergeCell ref="C165:E165"/>
    <mergeCell ref="C167:E167"/>
    <mergeCell ref="C169:E169"/>
    <mergeCell ref="C150:E150"/>
    <mergeCell ref="C152:E152"/>
    <mergeCell ref="C154:E154"/>
    <mergeCell ref="C160:E160"/>
    <mergeCell ref="C162:E162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"/>
  <sheetViews>
    <sheetView topLeftCell="A2" zoomScale="106" zoomScaleNormal="106" workbookViewId="0">
      <selection sqref="A1: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3" t="s">
        <v>22</v>
      </c>
      <c r="B1" s="113"/>
      <c r="C1" s="113"/>
      <c r="D1" s="113"/>
      <c r="E1" s="113"/>
      <c r="F1" s="113"/>
      <c r="G1" s="113"/>
      <c r="H1" s="113"/>
      <c r="I1" s="113"/>
      <c r="J1" s="114" t="s">
        <v>23</v>
      </c>
      <c r="K1" s="115" t="s">
        <v>82</v>
      </c>
    </row>
    <row r="2" spans="1:11" ht="18.75" customHeight="1" thickBot="1" x14ac:dyDescent="0.25">
      <c r="A2" s="116"/>
      <c r="B2" s="116"/>
      <c r="C2" s="116"/>
      <c r="D2" s="117"/>
      <c r="E2" s="117"/>
      <c r="F2" s="117"/>
      <c r="G2" s="117"/>
      <c r="H2" s="117"/>
      <c r="I2" s="117"/>
      <c r="J2" s="117"/>
      <c r="K2" s="117"/>
    </row>
    <row r="3" spans="1:11" ht="18.75" customHeight="1" thickBot="1" x14ac:dyDescent="0.25">
      <c r="A3" s="118" t="s">
        <v>56</v>
      </c>
      <c r="B3" s="118"/>
      <c r="C3" s="118"/>
      <c r="D3" s="119" t="str">
        <f>'Necesidades Trimestrales'!C4</f>
        <v>45- Ministerio de Desarrollo Social y Deporte.-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57</v>
      </c>
      <c r="B4" s="120"/>
      <c r="C4" s="120"/>
      <c r="D4" s="119" t="str">
        <f>'Necesidades Trimestrales'!C5</f>
        <v>25- Direccion Provincial de Gestion Administracion y RRHH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35</v>
      </c>
      <c r="B5" s="120"/>
      <c r="C5" s="120"/>
      <c r="D5" s="119" t="s">
        <v>80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58</v>
      </c>
      <c r="B6" s="118"/>
      <c r="C6" s="118"/>
      <c r="D6" s="119" t="s">
        <v>81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24</v>
      </c>
      <c r="B7" s="120"/>
      <c r="C7" s="120"/>
      <c r="D7" s="119" t="str">
        <f>'Necesidades Trimestrales'!C7 &amp; "° Trimestre - Año " &amp; 'Necesidades Trimestrales'!C6</f>
        <v>4° Trimestre - Año 2020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21" t="s">
        <v>25</v>
      </c>
      <c r="B8" s="121"/>
      <c r="C8" s="121"/>
      <c r="D8" s="122" t="s">
        <v>79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123"/>
      <c r="B9" s="123"/>
      <c r="C9" s="123"/>
      <c r="D9" s="124"/>
      <c r="E9" s="124"/>
      <c r="F9" s="124"/>
      <c r="G9" s="124"/>
      <c r="H9" s="124"/>
      <c r="I9" s="124"/>
      <c r="J9" s="124"/>
      <c r="K9" s="124"/>
    </row>
    <row r="10" spans="1:11" ht="18.75" customHeight="1" x14ac:dyDescent="0.2">
      <c r="A10" s="125" t="s">
        <v>26</v>
      </c>
      <c r="B10" s="126" t="s">
        <v>27</v>
      </c>
      <c r="C10" s="126" t="s">
        <v>28</v>
      </c>
      <c r="D10" s="126"/>
      <c r="E10" s="126"/>
      <c r="F10" s="126"/>
      <c r="G10" s="126"/>
      <c r="H10" s="126" t="s">
        <v>29</v>
      </c>
      <c r="I10" s="126" t="s">
        <v>30</v>
      </c>
      <c r="J10" s="126" t="s">
        <v>31</v>
      </c>
      <c r="K10" s="127" t="s">
        <v>32</v>
      </c>
    </row>
    <row r="11" spans="1:11" ht="24" customHeight="1" x14ac:dyDescent="0.2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31.5" customHeight="1" thickBot="1" x14ac:dyDescent="0.25">
      <c r="A12" s="128">
        <v>1</v>
      </c>
      <c r="B12" s="129" t="str">
        <f>'Necesidades Trimestrales'!B10</f>
        <v>2.1.1-2125.54</v>
      </c>
      <c r="C12" s="130" t="str">
        <f>'Necesidades Trimestrales'!E10</f>
        <v>MERMELADAS; SABOR: CIRUELA, TIPO: UNTABLE, PRESENTACION: ENVASE X 454 GR, MATERIAL ENVASE: VIDRIO, ELEM. TRANSPORTE: SIN, MATERIAL ELEM. TRANSPORTE: SIN, LIBRE DE GLUTEN: SI</v>
      </c>
      <c r="D12" s="130"/>
      <c r="E12" s="130"/>
      <c r="F12" s="130"/>
      <c r="G12" s="130"/>
      <c r="H12" s="128" t="s">
        <v>72</v>
      </c>
      <c r="I12" s="131" t="str">
        <f>'Necesidades Trimestrales'!F10</f>
        <v>UNIDAD</v>
      </c>
      <c r="J12" s="132">
        <f>'Necesidades Trimestrales'!H10</f>
        <v>151</v>
      </c>
      <c r="K12" s="133">
        <f>'Necesidades Trimestrales'!G10</f>
        <v>1000</v>
      </c>
    </row>
    <row r="13" spans="1:11" ht="36" customHeight="1" thickBot="1" x14ac:dyDescent="0.25">
      <c r="A13" s="134">
        <v>2</v>
      </c>
      <c r="B13" s="129" t="str">
        <f>'Necesidades Trimestrales'!B11</f>
        <v>2.1.1-2125.57</v>
      </c>
      <c r="C13" s="130" t="str">
        <f>'Necesidades Trimestrales'!E11</f>
        <v>MERMELADAS; SABOR: DAMASCO, TIPO: UNTABLE, PRESENTACION: ENVASE X 454 GR, MATERIAL ENVASE: VIDRIO, ELEM. TRANSPORTE: SIN, MATERIAL ELEM. TRANSPORTE: SIN, LIBRE DE GLUTEN: SI</v>
      </c>
      <c r="D13" s="130"/>
      <c r="E13" s="130"/>
      <c r="F13" s="130"/>
      <c r="G13" s="130"/>
      <c r="H13" s="128" t="s">
        <v>72</v>
      </c>
      <c r="I13" s="131" t="str">
        <f>'Necesidades Trimestrales'!F11</f>
        <v>UNIDAD</v>
      </c>
      <c r="J13" s="132">
        <f>'Necesidades Trimestrales'!H11</f>
        <v>151</v>
      </c>
      <c r="K13" s="133">
        <f>'Necesidades Trimestrales'!G11</f>
        <v>1000</v>
      </c>
    </row>
    <row r="14" spans="1:11" ht="36" customHeight="1" thickBot="1" x14ac:dyDescent="0.25">
      <c r="A14" s="134">
        <v>3</v>
      </c>
      <c r="B14" s="129" t="str">
        <f>'Necesidades Trimestrales'!B12</f>
        <v>2.1.1-2125.58</v>
      </c>
      <c r="C14" s="130" t="str">
        <f>'Necesidades Trimestrales'!E12</f>
        <v>MERMELADAS; SABOR: NARANJA, TIPO: NATURAL, PRESENTACION: ENVASE X 454 GR, MATERIAL ENVASE: VIDRIO, ELEM. TRANSPORTE: SIN, MATERIAL ELEM. TRANSPORTE: SIN, LIBRE DE GLUTEN: SI</v>
      </c>
      <c r="D14" s="130"/>
      <c r="E14" s="130"/>
      <c r="F14" s="130"/>
      <c r="G14" s="130"/>
      <c r="H14" s="128" t="s">
        <v>72</v>
      </c>
      <c r="I14" s="131" t="str">
        <f>'Necesidades Trimestrales'!F12</f>
        <v>UNIDAD</v>
      </c>
      <c r="J14" s="132">
        <f>'Necesidades Trimestrales'!H12</f>
        <v>151</v>
      </c>
      <c r="K14" s="133">
        <f>'Necesidades Trimestrales'!G12</f>
        <v>1000</v>
      </c>
    </row>
    <row r="15" spans="1:11" ht="36" customHeight="1" thickBot="1" x14ac:dyDescent="0.25">
      <c r="A15" s="134">
        <v>4</v>
      </c>
      <c r="B15" s="129" t="str">
        <f>'Necesidades Trimestrales'!B13</f>
        <v>2.1.1-2125.63</v>
      </c>
      <c r="C15" s="130" t="str">
        <f>'Necesidades Trimestrales'!E13</f>
        <v>MERMELADAS; SABOR: HIGO, TIPO: NATURAL, PRESENTACION: ENVASE X 454 GR, MATERIAL ENVASE: VIDRIO, ELEM. TRANSPORTE: SIN, MATERIAL ELEM. TRANSPORTE: SIN, LIBRE DE GLUTEN: SI</v>
      </c>
      <c r="D15" s="130"/>
      <c r="E15" s="130"/>
      <c r="F15" s="130"/>
      <c r="G15" s="130"/>
      <c r="H15" s="128" t="s">
        <v>72</v>
      </c>
      <c r="I15" s="131" t="str">
        <f>'Necesidades Trimestrales'!F13</f>
        <v>UNIDAD</v>
      </c>
      <c r="J15" s="132">
        <f>'Necesidades Trimestrales'!H13</f>
        <v>151</v>
      </c>
      <c r="K15" s="133">
        <f>'Necesidades Trimestrales'!G13</f>
        <v>1000</v>
      </c>
    </row>
    <row r="16" spans="1:11" ht="36" customHeight="1" thickBot="1" x14ac:dyDescent="0.25">
      <c r="A16" s="134">
        <v>5</v>
      </c>
      <c r="B16" s="129" t="str">
        <f>'Necesidades Trimestrales'!B14</f>
        <v>2.1.1-2125.64</v>
      </c>
      <c r="C16" s="130" t="str">
        <f>'Necesidades Trimestrales'!E14</f>
        <v>MERMELADAS; SABOR: MANZANA, TIPO: NATURAL, PRESENTACION: ENVASE X 454 GR, MATERIAL ENVASE: VIDRIO, ELEM. TRANSPORTE: SIN, MATERIAL ELEM. TRANSPORTE: SIN, LIBRE DE GLUTEN: SI</v>
      </c>
      <c r="D16" s="130"/>
      <c r="E16" s="130"/>
      <c r="F16" s="130"/>
      <c r="G16" s="130"/>
      <c r="H16" s="128" t="s">
        <v>72</v>
      </c>
      <c r="I16" s="131" t="str">
        <f>'Necesidades Trimestrales'!F14</f>
        <v>UNIDAD</v>
      </c>
      <c r="J16" s="132">
        <f>'Necesidades Trimestrales'!H14</f>
        <v>151</v>
      </c>
      <c r="K16" s="133">
        <f>'Necesidades Trimestrales'!G14</f>
        <v>1000</v>
      </c>
    </row>
    <row r="17" spans="1:11" ht="36" customHeight="1" thickBot="1" x14ac:dyDescent="0.25">
      <c r="A17" s="134">
        <v>6</v>
      </c>
      <c r="B17" s="129" t="str">
        <f>'Necesidades Trimestrales'!B15</f>
        <v>2.1.1-2125.65</v>
      </c>
      <c r="C17" s="130" t="str">
        <f>'Necesidades Trimestrales'!E15</f>
        <v>MERMELADAS; SABOR: PERA, TIPO: NATURAL, PRESENTACION: ENVASE X 454 GR, MATERIAL ENVASE: VIDRIO, ELEM. TRANSPORTE: SIN, MATERIAL ELEM. TRANSPORTE: SIN, LIBRE DE GLUTEN: SI</v>
      </c>
      <c r="D17" s="130"/>
      <c r="E17" s="130"/>
      <c r="F17" s="130"/>
      <c r="G17" s="130"/>
      <c r="H17" s="128" t="s">
        <v>72</v>
      </c>
      <c r="I17" s="131" t="str">
        <f>'Necesidades Trimestrales'!F15</f>
        <v>UNIDAD</v>
      </c>
      <c r="J17" s="132">
        <f>'Necesidades Trimestrales'!H15</f>
        <v>151</v>
      </c>
      <c r="K17" s="133">
        <f>'Necesidades Trimestrales'!G15</f>
        <v>1000</v>
      </c>
    </row>
    <row r="18" spans="1:11" ht="36" customHeight="1" thickBot="1" x14ac:dyDescent="0.25">
      <c r="A18" s="134">
        <v>7</v>
      </c>
      <c r="B18" s="129" t="str">
        <f>'Necesidades Trimestrales'!B16</f>
        <v>2.1.1-2125.77</v>
      </c>
      <c r="C18" s="130" t="str">
        <f>'Necesidades Trimestrales'!E16</f>
        <v>MERMELADAS; SABOR: DURAZNO, TIPO: UNTABLE, PRESENTACION: ENVASE X 454 GR, MATERIAL ENVASE: VIDRIO, ELEM. TRANSPORTE: SIN, MATERIAL ELEM. TRANSPORTE: SIN, LIBRE DE GLUTEN: SI</v>
      </c>
      <c r="D18" s="130"/>
      <c r="E18" s="130"/>
      <c r="F18" s="130"/>
      <c r="G18" s="130"/>
      <c r="H18" s="128" t="s">
        <v>72</v>
      </c>
      <c r="I18" s="131" t="str">
        <f>'Necesidades Trimestrales'!F16</f>
        <v>UNIDAD</v>
      </c>
      <c r="J18" s="132">
        <f>'Necesidades Trimestrales'!H16</f>
        <v>151</v>
      </c>
      <c r="K18" s="133">
        <f>'Necesidades Trimestrales'!G16</f>
        <v>1000</v>
      </c>
    </row>
    <row r="19" spans="1:11" ht="36" customHeight="1" thickBot="1" x14ac:dyDescent="0.25">
      <c r="A19" s="134">
        <v>8</v>
      </c>
      <c r="B19" s="129" t="str">
        <f>'Necesidades Trimestrales'!B17</f>
        <v>2.1.1-2125.78</v>
      </c>
      <c r="C19" s="130" t="str">
        <f>'Necesidades Trimestrales'!E17</f>
        <v>MERMELADAS; SABOR: FRUTILLA, TIPO: UNTABLE, PRESENTACION: ENVASE X 454 GR, MATERIAL ENVASE: VIDRIO, ELEM. TRANSPORTE: SIN, MATERIAL ELEM. TRANSPORTE: SIN, LIBRE DE GLUTEN: SI</v>
      </c>
      <c r="D19" s="130"/>
      <c r="E19" s="130"/>
      <c r="F19" s="130"/>
      <c r="G19" s="130"/>
      <c r="H19" s="128" t="s">
        <v>72</v>
      </c>
      <c r="I19" s="131" t="str">
        <f>'Necesidades Trimestrales'!F17</f>
        <v>UNIDAD</v>
      </c>
      <c r="J19" s="132">
        <f>'Necesidades Trimestrales'!H17</f>
        <v>188</v>
      </c>
      <c r="K19" s="133">
        <f>'Necesidades Trimestrales'!G17</f>
        <v>1000</v>
      </c>
    </row>
    <row r="20" spans="1:11" ht="15.75" thickBot="1" x14ac:dyDescent="0.25">
      <c r="A20" s="134">
        <v>9</v>
      </c>
      <c r="B20" s="129" t="str">
        <f>'Necesidades Trimestrales'!B18</f>
        <v>2.1.1-2113.5</v>
      </c>
      <c r="C20" s="130" t="str">
        <f>'Necesidades Trimestrales'!E18</f>
        <v>DULCES; TIPO: DE MEMBRILLO, PRESENTACION: CAJON, PESO: 1 Kg</v>
      </c>
      <c r="D20" s="130"/>
      <c r="E20" s="130"/>
      <c r="F20" s="130"/>
      <c r="G20" s="130"/>
      <c r="H20" s="128" t="s">
        <v>72</v>
      </c>
      <c r="I20" s="131" t="str">
        <f>'Necesidades Trimestrales'!F18</f>
        <v>UNIDAD</v>
      </c>
      <c r="J20" s="132">
        <f>'Necesidades Trimestrales'!H18</f>
        <v>155</v>
      </c>
      <c r="K20" s="133">
        <f>'Necesidades Trimestrales'!G18</f>
        <v>3871</v>
      </c>
    </row>
    <row r="21" spans="1:11" ht="15.75" thickBot="1" x14ac:dyDescent="0.25">
      <c r="A21" s="134">
        <v>10</v>
      </c>
      <c r="B21" s="129" t="str">
        <f>'Necesidades Trimestrales'!B19</f>
        <v>2.1.1-2113.6</v>
      </c>
      <c r="C21" s="130" t="str">
        <f>'Necesidades Trimestrales'!E19</f>
        <v>DULCES; TIPO: DE BATATA, PRESENTACION: CAJON, PESO: 1 Kg</v>
      </c>
      <c r="D21" s="130"/>
      <c r="E21" s="130"/>
      <c r="F21" s="130"/>
      <c r="G21" s="130"/>
      <c r="H21" s="128" t="s">
        <v>72</v>
      </c>
      <c r="I21" s="131" t="str">
        <f>'Necesidades Trimestrales'!F19</f>
        <v>UNIDAD</v>
      </c>
      <c r="J21" s="132">
        <f>'Necesidades Trimestrales'!H19</f>
        <v>155</v>
      </c>
      <c r="K21" s="133">
        <f>'Necesidades Trimestrales'!G19</f>
        <v>3871</v>
      </c>
    </row>
    <row r="22" spans="1:11" ht="26.25" customHeight="1" thickBot="1" x14ac:dyDescent="0.25">
      <c r="A22" s="119" t="s">
        <v>99</v>
      </c>
      <c r="B22" s="119"/>
      <c r="C22" s="119"/>
      <c r="D22" s="119"/>
      <c r="E22" s="119"/>
      <c r="F22" s="119"/>
      <c r="G22" s="119"/>
      <c r="H22" s="119"/>
      <c r="I22" s="119"/>
      <c r="J22" s="135">
        <f>+J12*K12+J13*K13+J14*K14+J15*K15+J16*K16+J17*K17+J18*K18+J19*K19+J20*K20+J21*K21</f>
        <v>2445010</v>
      </c>
      <c r="K22" s="135"/>
    </row>
  </sheetData>
  <mergeCells count="32"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abSelected="1" zoomScale="130" zoomScaleNormal="130" workbookViewId="0">
      <selection activeCell="L22" sqref="L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9.42578125" customWidth="1"/>
  </cols>
  <sheetData>
    <row r="1" spans="1:17" ht="15.75" customHeight="1" x14ac:dyDescent="0.25">
      <c r="A1" s="86" t="s">
        <v>3</v>
      </c>
      <c r="B1" s="86"/>
      <c r="C1" s="86"/>
      <c r="D1" s="87">
        <f>'Necesidades Trimestrales'!C6</f>
        <v>2020</v>
      </c>
      <c r="E1" s="87"/>
      <c r="F1" s="4"/>
      <c r="G1" s="4"/>
      <c r="H1" s="5"/>
      <c r="I1" s="5"/>
      <c r="J1" s="5"/>
      <c r="K1" s="5"/>
      <c r="L1" s="5"/>
      <c r="M1" s="5"/>
      <c r="N1" s="5"/>
      <c r="P1" s="88" t="s">
        <v>33</v>
      </c>
      <c r="Q1" s="88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88"/>
      <c r="Q2" s="88"/>
    </row>
    <row r="4" spans="1:17" s="6" customFormat="1" ht="18" customHeight="1" thickBot="1" x14ac:dyDescent="0.25">
      <c r="A4" s="89" t="s">
        <v>34</v>
      </c>
      <c r="B4" s="89"/>
      <c r="C4" s="89"/>
      <c r="D4" s="89"/>
      <c r="E4" s="89"/>
      <c r="F4" s="89"/>
      <c r="G4" s="90" t="str">
        <f>' NotaPedido'!D3</f>
        <v>45- Ministerio de Desarrollo Social y Deporte.-</v>
      </c>
      <c r="H4" s="90"/>
      <c r="I4" s="90"/>
      <c r="J4" s="90"/>
      <c r="K4" s="90"/>
      <c r="L4" s="90"/>
      <c r="M4" s="90"/>
      <c r="N4" s="90"/>
      <c r="O4" s="90"/>
      <c r="P4" s="90"/>
      <c r="Q4" s="90"/>
    </row>
    <row r="5" spans="1:17" s="6" customFormat="1" ht="18" customHeight="1" thickBot="1" x14ac:dyDescent="0.25">
      <c r="A5" s="91" t="s">
        <v>57</v>
      </c>
      <c r="B5" s="92"/>
      <c r="C5" s="92"/>
      <c r="D5" s="92"/>
      <c r="E5" s="92"/>
      <c r="F5" s="93"/>
      <c r="G5" s="90" t="str">
        <f>' NotaPedido'!D4</f>
        <v>25- Direccion Provincial de Gestion Administracion y RRHH</v>
      </c>
      <c r="H5" s="90"/>
      <c r="I5" s="90"/>
      <c r="J5" s="90"/>
      <c r="K5" s="90"/>
      <c r="L5" s="90"/>
      <c r="M5" s="90"/>
      <c r="N5" s="90"/>
      <c r="O5" s="90"/>
      <c r="P5" s="90"/>
      <c r="Q5" s="90"/>
    </row>
    <row r="6" spans="1:17" s="6" customFormat="1" ht="18" customHeight="1" thickBot="1" x14ac:dyDescent="0.25">
      <c r="A6" s="91" t="s">
        <v>35</v>
      </c>
      <c r="B6" s="92"/>
      <c r="C6" s="92"/>
      <c r="D6" s="92"/>
      <c r="E6" s="92"/>
      <c r="F6" s="93"/>
      <c r="G6" s="90" t="s">
        <v>80</v>
      </c>
      <c r="H6" s="90"/>
      <c r="I6" s="90"/>
      <c r="J6" s="90"/>
      <c r="K6" s="90"/>
      <c r="L6" s="90"/>
      <c r="M6" s="90"/>
      <c r="N6" s="90"/>
      <c r="O6" s="90"/>
      <c r="P6" s="90"/>
      <c r="Q6" s="90"/>
    </row>
    <row r="7" spans="1:17" s="6" customFormat="1" ht="18" customHeight="1" thickBot="1" x14ac:dyDescent="0.25">
      <c r="A7" s="91" t="s">
        <v>58</v>
      </c>
      <c r="B7" s="92"/>
      <c r="C7" s="92"/>
      <c r="D7" s="92"/>
      <c r="E7" s="92"/>
      <c r="F7" s="93"/>
      <c r="G7" s="90" t="s">
        <v>81</v>
      </c>
      <c r="H7" s="90"/>
      <c r="I7" s="90"/>
      <c r="J7" s="90"/>
      <c r="K7" s="90"/>
      <c r="L7" s="90"/>
      <c r="M7" s="90"/>
      <c r="N7" s="90"/>
      <c r="O7" s="90"/>
      <c r="P7" s="90"/>
      <c r="Q7" s="90"/>
    </row>
    <row r="8" spans="1:17" ht="18" customHeight="1" thickBot="1" x14ac:dyDescent="0.25">
      <c r="A8" s="94" t="s">
        <v>36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1:17" ht="18" customHeight="1" x14ac:dyDescent="0.2">
      <c r="A9" s="95" t="s">
        <v>37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1"/>
      <c r="P9" s="1"/>
      <c r="Q9" s="7"/>
    </row>
    <row r="10" spans="1:17" ht="54.75" customHeight="1" x14ac:dyDescent="0.2">
      <c r="A10" s="9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327/2020,  afectando la erogación resultante a los créditos presupuestarios aprobados a favor de esta Unidad Ejecutora, conforme al siguiente detalle: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97" t="s">
        <v>38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.75" customHeight="1" x14ac:dyDescent="0.2">
      <c r="A13" s="98" t="s">
        <v>39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40</v>
      </c>
      <c r="P13" s="99"/>
      <c r="Q13" s="100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99"/>
      <c r="P14" s="99"/>
      <c r="Q14" s="100"/>
    </row>
    <row r="15" spans="1:17" ht="17.25" customHeight="1" x14ac:dyDescent="0.2">
      <c r="A15" s="77">
        <v>16</v>
      </c>
      <c r="B15" s="78"/>
      <c r="C15" s="78"/>
      <c r="D15" s="78">
        <v>2</v>
      </c>
      <c r="E15" s="78"/>
      <c r="F15" s="78">
        <v>4901</v>
      </c>
      <c r="G15" s="78">
        <v>1</v>
      </c>
      <c r="H15" s="78">
        <v>4</v>
      </c>
      <c r="I15" s="78" t="str">
        <f>LEFT('[1]Necesidades Trimestrales'!D10,1)</f>
        <v>2</v>
      </c>
      <c r="J15" s="78">
        <v>1</v>
      </c>
      <c r="K15" s="78">
        <v>1</v>
      </c>
      <c r="L15" s="78"/>
      <c r="M15" s="79">
        <v>1</v>
      </c>
      <c r="N15" s="78">
        <v>1.1000000000000001</v>
      </c>
      <c r="O15" s="101" t="s">
        <v>60</v>
      </c>
      <c r="P15" s="102"/>
      <c r="Q15" s="67">
        <v>2445010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03"/>
      <c r="P16" s="103"/>
      <c r="Q16" s="66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04"/>
      <c r="P17" s="10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04"/>
      <c r="P18" s="10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04"/>
      <c r="P19" s="10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04"/>
      <c r="P20" s="10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09"/>
      <c r="P21" s="109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10"/>
      <c r="P22" s="110"/>
      <c r="Q22" s="30"/>
    </row>
    <row r="23" spans="1:18" ht="33" customHeight="1" x14ac:dyDescent="0.2">
      <c r="A23" s="111" t="s">
        <v>100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31">
        <f>SUM(Q15:Q22)</f>
        <v>2445010</v>
      </c>
    </row>
    <row r="24" spans="1:18" ht="18" customHeight="1" thickBot="1" x14ac:dyDescent="0.25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</row>
    <row r="25" spans="1:18" ht="17.25" customHeight="1" thickBot="1" x14ac:dyDescent="0.25">
      <c r="A25" s="105" t="s">
        <v>55</v>
      </c>
      <c r="B25" s="106"/>
      <c r="C25" s="106"/>
      <c r="D25" s="106"/>
      <c r="E25" s="106"/>
      <c r="F25" s="107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26" spans="1:18" ht="18" customHeight="1" thickBot="1" x14ac:dyDescent="0.25">
      <c r="A26" s="136" t="s">
        <v>79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</row>
    <row r="27" spans="1:18" ht="15" customHeight="1" x14ac:dyDescent="0.2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3" footer="0.3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Pedro Salinas</cp:lastModifiedBy>
  <cp:revision>2</cp:revision>
  <cp:lastPrinted>2020-12-02T22:26:29Z</cp:lastPrinted>
  <dcterms:created xsi:type="dcterms:W3CDTF">2020-07-17T23:44:49Z</dcterms:created>
  <dcterms:modified xsi:type="dcterms:W3CDTF">2020-12-02T22:27:08Z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