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codeName="ThisWorkbook"/>
  <mc:AlternateContent xmlns:mc="http://schemas.openxmlformats.org/markup-compatibility/2006">
    <mc:Choice Requires="x15">
      <x15ac:absPath xmlns:x15ac="http://schemas.microsoft.com/office/spreadsheetml/2010/11/ac" url="C:\Users\ADRIAN\Downloads\"/>
    </mc:Choice>
  </mc:AlternateContent>
  <xr:revisionPtr revIDLastSave="0" documentId="13_ncr:1_{BA8F8910-46D9-47E6-A8DF-DE20E63C95CA}" xr6:coauthVersionLast="47" xr6:coauthVersionMax="47" xr10:uidLastSave="{00000000-0000-0000-0000-000000000000}"/>
  <bookViews>
    <workbookView xWindow="-120" yWindow="-120" windowWidth="29040" windowHeight="15840" xr2:uid="{00000000-000D-0000-FFFF-FFFF00000000}"/>
  </bookViews>
  <sheets>
    <sheet name="Cuadro comparativo" sheetId="2" r:id="rId1"/>
  </sheets>
  <definedNames>
    <definedName name="Datos">'Cuadro comparativo'!$E$1:$E$5</definedName>
    <definedName name="DatosTitulos">'Cuadro comparativo'!$D$1:$D$5</definedName>
    <definedName name="PROVEEDOR">'Cuadro comparativo'!$G$8:$J$8,'Cuadro comparativo'!$K$8:$N$8</definedName>
    <definedName name="Titles">'Cuadro comparativo'!$A$8:$F$8</definedName>
  </definedNames>
  <calcPr calcId="181029"/>
</workbook>
</file>

<file path=xl/calcChain.xml><?xml version="1.0" encoding="utf-8"?>
<calcChain xmlns="http://schemas.openxmlformats.org/spreadsheetml/2006/main">
  <c r="I24" i="2" l="1"/>
  <c r="M24" i="2"/>
</calcChain>
</file>

<file path=xl/sharedStrings.xml><?xml version="1.0" encoding="utf-8"?>
<sst xmlns="http://schemas.openxmlformats.org/spreadsheetml/2006/main" count="116" uniqueCount="70">
  <si>
    <t>Número expediente:</t>
  </si>
  <si>
    <t>EX-2022-01452466-   -CAT-DPCBS#MEC</t>
  </si>
  <si>
    <t>Número proceso de compra:</t>
  </si>
  <si>
    <t>100-0143-CDI22</t>
  </si>
  <si>
    <t>Nombre descriptivo proceso de compra:</t>
  </si>
  <si>
    <t>Adquisición de Equipos Informáticos para distintos Organismos del Ministerio de Economía.</t>
  </si>
  <si>
    <t>Unidad Operativa de Compras:</t>
  </si>
  <si>
    <t>Secretaria de Compras y Abastecimiento</t>
  </si>
  <si>
    <t>Fecha de Apertura:</t>
  </si>
  <si>
    <t>22/08/2022</t>
  </si>
  <si>
    <t>Renglón</t>
  </si>
  <si>
    <t>MARTIN ABEL LAGORIA</t>
  </si>
  <si>
    <t>soluciones informaticas sigma srl</t>
  </si>
  <si>
    <t>Alternativa</t>
  </si>
  <si>
    <t>Código</t>
  </si>
  <si>
    <t>Descripción</t>
  </si>
  <si>
    <t>Cantidad solicitada</t>
  </si>
  <si>
    <t>Unidad de medida</t>
  </si>
  <si>
    <t>Precio unitario</t>
  </si>
  <si>
    <t>Cantidad ofertada</t>
  </si>
  <si>
    <t>Total por renglón</t>
  </si>
  <si>
    <t>Especificacion técnica</t>
  </si>
  <si>
    <t xml:space="preserve">1 </t>
  </si>
  <si>
    <t xml:space="preserve">4.3.6-6169.72 </t>
  </si>
  <si>
    <t xml:space="preserve">MONITORES; TIPO: TFT/LCD/LED MEDIANO, CODIGO ETAP: MN-006, VERSION ETAP: INVIERNO 
2010 (V16.1) </t>
  </si>
  <si>
    <t xml:space="preserve">UNIDAD </t>
  </si>
  <si>
    <t xml:space="preserve">2 </t>
  </si>
  <si>
    <t xml:space="preserve">4.3.6-6160.221 </t>
  </si>
  <si>
    <t xml:space="preserve">COMPUTADORAS; TIPO: DE ESCRITORIO, CODIGO ETAP: PC-002-00, VERSION ETAP: 23.0 
</t>
  </si>
  <si>
    <t xml:space="preserve">"PC EXO READY D4-S7785L 11? Generación - Intel® Core™ i7-11700 
de 2,5 GHz (máxima 4,9 GHz) - 8 nucleos / 
16 subprocesos / 16 MB Intel® Smart Cache Sin Sistema 
Operativo 16 GB DDR4 | 2666 Mhz SSD 512GB + 
HD 1TB SATAIII Chipset Intel® H510 / RED GLan / 
HDMI / VGA / 2 x USB 3.2 + 4 
x USB 2.0 Gráficos UHD Intel® 750 - Memoria máxima 
de video de gráficos de 64GB - Compatibilidad con 4K 
GABINETE EXO WN-60 con fuente de 650W - Teclado Español 
Multimedia extendido + Mouse optico + Parlantes "  </t>
  </si>
  <si>
    <t xml:space="preserve">3 </t>
  </si>
  <si>
    <t xml:space="preserve">"PC EXO READY D4-S5485L. 10MaGen - Intel® Core™ i5-10400 de 
4,30 GHz - 6 nucleos / 12 subprocesos / 12 
MB Intel® Smart Cache Sin Sistema Operativo 8 GB DDR4 
| 2666 Mhz SSD 256GB  + HD 1TB SATAIII 
Chipset Intel® H510 / RED GLan / HDMI / VGA 
/ 2 x USB 3.2 + 4 x USB 2.0 
Gráficos UHD Intel® 630 - Memoria máxima de video de 
gráficos de 64GB - Compatibilidad con 4K GABINETE EXO WN-60 
con fuente de 650W - Teclado Español Multimedia extendido + 
Mouse optico + Parlantes "  </t>
  </si>
  <si>
    <t xml:space="preserve">4 </t>
  </si>
  <si>
    <t xml:space="preserve">4.3.6-1335.71 </t>
  </si>
  <si>
    <t xml:space="preserve">ESTABILIZADORES DE TENSION; TIPO: UPS, POTENCIA: 500 A 1000 VA, 
TENSION DE ENTRADA: 200 A 230 V, ACCESORIO: SIN, TENSION 
DE SALIDA: 200 A 230 V </t>
  </si>
  <si>
    <t xml:space="preserve">UPS TRV NEO 850VA  </t>
  </si>
  <si>
    <t xml:space="preserve">0201030010 TRV UPS NEO 850A   El UPS protegerá 
la carga de las variaciones de tensión y de los 
corte del suministro eléctrico por un tiempo acotado, esta autonomía 
depende de los equipos conectados, por ejemplo una PC de 
escritorio con monitor LED de 17” su autonomía es aproximadamente 
10 minutos. Es del tipo off-line con estabilizador incorporado lo 
que le permite tener un amplio rango de trabajo. Cuando 
la tensión de la red de distribución eléctrica está presente 
(modo línea) el UPS acondiciona la tensión de entrada, estabilizándola 
para energizar los equipos conectados y además carga la batería. 
Si la tensión de entrada es anormal o se interrumpe 
(modo batería), el UPS podrá abastecer a los equipos conectados 
inmediatamente a partir de la energía almacenada en la batería. 
Está equipado con batería de electrolito absorbido, libre de mantenimiento. 
El circuito cargador carga la batería estando apagado y enchufado 
a la red eléctrica.    Para realizar estas 
funciones utiliza un microprocesador que se encarga del control optimizando 
la confiabilidad del equipo. Tensión de salida en modo inversor 
con forma de onda sinusoidal equivalente modulada por ancho de 
pulso (PWM). Cuenta con dispositivos supresores de picos de tensión 
evitando que estos lleguen a los equipos a proteger. Dispone 
de un fusible del tipo con reposición manual en la 
entrada de tensión al UPS. El UPS puede ser encendido 
sin la energía de la red eléctrica presente comúnmente denominado 
arranque en frio. La función ahorro de energía le permite 
detectar si la carga está apagada (PC) en un corte 
de energía, verificada esta condición, el UPS se apaga resguardando 
la energía almacenada en la batería y cuando retorne la 
energía automáticamente se encenderá. </t>
  </si>
  <si>
    <t xml:space="preserve">5 </t>
  </si>
  <si>
    <t xml:space="preserve">4.3.6-6191.97 </t>
  </si>
  <si>
    <t xml:space="preserve">UPS; TIPO: P/ SERVIDORES Y/O RACKS, CODIGO ETAP: UPS-002, VERSION 
ETAP: 23.0 </t>
  </si>
  <si>
    <t xml:space="preserve">UPS TRV NEO 2000  </t>
  </si>
  <si>
    <t xml:space="preserve">0201030004 TRV UPS NEO 2000   El UPS protegerá 
la carga de las variaciones de tensión y de los 
corte del suministro eléctrico por un tiempo acotado, esta autonomía 
depende de los equipos conectados, por ejemplo una PC de 
escritorio con monitor LED de 17” su autonomía es aproximadamente 
40 minutos.  Es del tipo off-line con estabilizador incorporado 
lo que le permite tener un amplio rango de trabajo. 
Cuando la tensión de la red de distribución eléctrica está 
presente (modo línea) el UPS acondiciona la tensión de entrada, 
estabilizándola para energizar los equipos conectados y además carga la 
batería. Si la tensión de entrada es anormal o se 
interrumpe (modo batería), el UPS podrá abastecer a los equipos 
conectados inmediatamente a partir de la energía almacenada en la 
batería, permitiendo al usuario hacer un sierre de sistema ordenado 
a través del software de interface UPSMON evitando así la 
perdida de información por rotura de archivos, bases de datos, 
etc. Está equipado con batería de electrolito absorbido, libres de 
mantenimiento. El circuito cargador carga aún la batería estando apagado 
y enchufado a la red eléctrica.  Para realizar estas 
funciones utiliza un microprocesador que se encarga del control optimizando 
la confiabilidad del equipo. Dispone de conectores RJ-45 con protección 
contra descargas atmosféricas y sobre picos tensiones en línea telefónica 
y de RED. Tensión de salida en modo inversor con 
forma de onda senoidal equivalente modulada por ancho de pulso 
(PWM). Cuenta con dispositivos supresores de picos de tensión evitando 
que estos lleguen a los equipos a proteger. Dispone de 
un fusible del tipo con reposición manual en la entrada 
de tensión al UPS. El UPS puede ser encendido sin 
la energía de la red eléctrica presente comúnmente denominado arranque 
en frio. La función ahorro de energía le permite detectar 
si la carga está apagada (PC) en un corte de 
energía, verificada esta condición, el UPS se apaga resguardando la 
energía almacenada en la batería y cuando retorne la energía 
automáticamente se encenderá. </t>
  </si>
  <si>
    <t xml:space="preserve">6 </t>
  </si>
  <si>
    <t xml:space="preserve">4.3.6-6161.340 </t>
  </si>
  <si>
    <t xml:space="preserve">IMPRESORAS; TIPO: MULTIFUNSION ELECTROFOTOG B/N, CODIGO ETAP: PR-024-00, VERSION ETAP: 
23,0 </t>
  </si>
  <si>
    <t xml:space="preserve">IMPRESORA MULTIFUNCION HP LASER MONO M236SDW - 9YG09A-D   
</t>
  </si>
  <si>
    <t xml:space="preserve">PANTUM BM5100ADW MULTIFUNCIONAL LASER A4 1200 X 1200 DPI 40 
PPM WIFI  </t>
  </si>
  <si>
    <t xml:space="preserve">7 </t>
  </si>
  <si>
    <t xml:space="preserve">"PC EXO READY D4-S5485L. 10MaGen - Intel® Core™ i5-10400 de 
4,30 GHz - 6 nucleos / 12 subprocesos / 12 
MB Intel® Smart Cache Sin Sistema Operativo 8 GB DDR4 
| 2666 Mhz SSD 256GB Chipset Intel® H510 / RED 
GLan / HDMI / VGA / 2 x USB 3.2 
+ 4 x USB 2.0 Gráficos UHD Intel® 630 - 
Memoria máxima de video de gráficos de 64GB - Compatibilidad 
con 4K GABINETE EXO WN-60 con fuente de 650W - 
Teclado Español Multimedia extendido + Mouse optico + Parlantes " 
 </t>
  </si>
  <si>
    <t xml:space="preserve">8 </t>
  </si>
  <si>
    <t xml:space="preserve">9 </t>
  </si>
  <si>
    <t xml:space="preserve">4.3.6-6161.251 </t>
  </si>
  <si>
    <t xml:space="preserve">IMPRESORAS; TIPO: MULTIFUNCION LASER MONOCROM., CODIGO ETAP: PR-026, VERSION ETAP: 
VERSION 18.1 </t>
  </si>
  <si>
    <t xml:space="preserve">10 </t>
  </si>
  <si>
    <t xml:space="preserve">4.3.6-1335.24 </t>
  </si>
  <si>
    <t xml:space="preserve">ESTABILIZADORES DE TENSION; TIPO: ELECTRONICO, POTENCIA: 2000 VA, RANGO TENSION 
ENT.: 176 A 230 V, TENSION SALIDA: 220 V, ACCESORIO: 
SIN, TENSION DE SALIDA: 220 V, TENSION DE ENTRADA: 176 
A 230 V </t>
  </si>
  <si>
    <t xml:space="preserve">ESTABILIZADOR DE TENSION, TRV powersafe USB, 6 TOMAS DE SALIDA 
IRAM  </t>
  </si>
  <si>
    <t xml:space="preserve">0200030004 TRV ESTABILIZADOR POWERSAFE  </t>
  </si>
  <si>
    <t xml:space="preserve">11 </t>
  </si>
  <si>
    <t xml:space="preserve">12 </t>
  </si>
  <si>
    <t xml:space="preserve">IMPRESORA MULTIFUNSION HP LASER MONO M428FDW W1A30A-L  </t>
  </si>
  <si>
    <t xml:space="preserve">13 </t>
  </si>
  <si>
    <t xml:space="preserve">4.3.6-6161.253 </t>
  </si>
  <si>
    <t xml:space="preserve">IMPRESORAS; TIPO: LASER MONOCROMATICA, CODIGO ETAP: PR-017, VERSION ETAP: VERSION 
18.1 </t>
  </si>
  <si>
    <t xml:space="preserve">IMPRESORA LEXMARK MS622de </t>
  </si>
  <si>
    <t xml:space="preserve">14 </t>
  </si>
  <si>
    <t xml:space="preserve">4.3.6-6160.219 </t>
  </si>
  <si>
    <t xml:space="preserve">COMPUTADORAS; TIPO: NOTEBOOK, CODIGO ETAP: PC-008, VERSION ETAP: 23.0 </t>
  </si>
  <si>
    <t xml:space="preserve">"Notebook EXO SmartPro Q5–S7585L R2 Lector de Huellas 10ma Gen 
- Intel® Core™ i7-10510U Windows 11 8 GB DDR4 SSD 
512GB / CReader Teclado númerico / RJ-45 / WIFI ac 
+ BT / HDMI / VGA / USB Intel® UHD 
Graphics 620 / WCam HD LED 15,6” | Resolución FULL 
HD de 1920x1080 16:9 2049 gramos / Kensington Lock / 
Lector de Huellas "  </t>
  </si>
  <si>
    <t xml:space="preserve">Total: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</si>
</sst>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 #,##0.00"/>
    <numFmt numFmtId="165" formatCode="\$\ #,##0.00"/>
  </numFmts>
  <fonts count="2" x14ac:knownFonts="1">
    <font>
      <sz val="11"/>
      <color rgb="FF000000"/>
      <name val="Calibri"/>
      <family val="2"/>
    </font>
    <font>
      <b/>
      <sz val="11"/>
      <color rgb="FF000000"/>
      <name val="Calibri"/>
      <family val="2"/>
    </font>
  </fonts>
  <fills count="3">
    <fill>
      <patternFill patternType="none"/>
    </fill>
    <fill>
      <patternFill patternType="gray125"/>
    </fill>
    <fill>
      <patternFill patternType="solid">
        <fgColor rgb="FFA2ADD0"/>
        <bgColor rgb="FFA2ADD0"/>
      </patternFill>
    </fill>
  </fills>
  <borders count="1">
    <border>
      <left/>
      <right/>
      <top/>
      <bottom/>
      <diagonal/>
    </border>
  </borders>
  <cellStyleXfs count="1">
    <xf numFmtId="0" fontId="0" fillId="0" borderId="0" applyBorder="0"/>
  </cellStyleXfs>
  <cellXfs count="6">
    <xf numFmtId="0" fontId="0" fillId="0" borderId="0" xfId="0" applyNumberFormat="1" applyFill="1" applyAlignment="1" applyProtection="1"/>
    <xf numFmtId="0" fontId="1" fillId="2" borderId="0" xfId="0" applyNumberFormat="1" applyFont="1" applyFill="1" applyAlignment="1" applyProtection="1">
      <alignment horizontal="center"/>
    </xf>
    <xf numFmtId="0" fontId="1" fillId="2" borderId="0" xfId="0" applyNumberFormat="1" applyFont="1" applyFill="1" applyAlignment="1" applyProtection="1">
      <alignment horizontal="left"/>
    </xf>
    <xf numFmtId="164" fontId="0" fillId="0" borderId="0" xfId="0" applyNumberFormat="1" applyFill="1" applyAlignment="1" applyProtection="1"/>
    <xf numFmtId="0" fontId="0" fillId="0" borderId="0" xfId="0" applyNumberFormat="1" applyFill="1" applyAlignment="1" applyProtection="1">
      <alignment wrapText="1"/>
    </xf>
    <xf numFmtId="165" fontId="0" fillId="0" borderId="0" xfId="0" applyNumberFormat="1" applyFill="1" applyAlignment="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9:F24" totalsRowCount="1">
  <tableColumns count="6">
    <tableColumn id="1" xr3:uid="{00000000-0010-0000-0000-000001000000}" name="Renglón"/>
    <tableColumn id="2" xr3:uid="{00000000-0010-0000-0000-000002000000}" name="Alternativa"/>
    <tableColumn id="3" xr3:uid="{00000000-0010-0000-0000-000003000000}" name="Código" totalsRowLabel="Total: "/>
    <tableColumn id="4" xr3:uid="{00000000-0010-0000-0000-000004000000}" name="Descripción"/>
    <tableColumn id="5" xr3:uid="{00000000-0010-0000-0000-000005000000}" name="Cantidad solicitada"/>
    <tableColumn id="6" xr3:uid="{00000000-0010-0000-0000-000006000000}" name="Unidad de medida"/>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G9:J24" totalsRowCount="1">
  <tableColumns count="4">
    <tableColumn id="1" xr3:uid="{00000000-0010-0000-0100-000001000000}" name="Precio unitario"/>
    <tableColumn id="2" xr3:uid="{00000000-0010-0000-0100-000002000000}" name="Cantidad ofertada"/>
    <tableColumn id="3" xr3:uid="{00000000-0010-0000-0100-000003000000}" name="Total por renglón" totalsRowFunction="sum"/>
    <tableColumn id="4" xr3:uid="{00000000-0010-0000-0100-000004000000}" name="Especificacion técnica"/>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3" displayName="Table3" ref="K9:N24" totalsRowCount="1">
  <tableColumns count="4">
    <tableColumn id="1" xr3:uid="{00000000-0010-0000-0200-000001000000}" name="Precio unitario"/>
    <tableColumn id="2" xr3:uid="{00000000-0010-0000-0200-000002000000}" name="Cantidad ofertada"/>
    <tableColumn id="3" xr3:uid="{00000000-0010-0000-0200-000003000000}" name="Total por renglón" totalsRowFunction="sum"/>
    <tableColumn id="4" xr3:uid="{00000000-0010-0000-0200-000004000000}" name="Especificacion técnica"/>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4"/>
  <sheetViews>
    <sheetView tabSelected="1" workbookViewId="0">
      <pane xSplit="3" ySplit="9" topLeftCell="D10" activePane="bottomRight" state="frozenSplit"/>
      <selection pane="topRight"/>
      <selection pane="bottomLeft"/>
      <selection pane="bottomRight" activeCell="D10" sqref="D10"/>
    </sheetView>
  </sheetViews>
  <sheetFormatPr baseColWidth="10" defaultColWidth="9.140625" defaultRowHeight="15" x14ac:dyDescent="0.25"/>
  <cols>
    <col min="1" max="1" width="8.85546875" customWidth="1"/>
    <col min="2" max="2" width="11.28515625" customWidth="1"/>
    <col min="3" max="3" width="14.7109375" customWidth="1"/>
    <col min="4" max="4" width="87.140625" customWidth="1"/>
    <col min="5" max="5" width="81.5703125" customWidth="1"/>
    <col min="6" max="6" width="17.42578125" customWidth="1"/>
    <col min="7" max="7" width="14.28515625" customWidth="1"/>
    <col min="8" max="8" width="17.28515625" customWidth="1"/>
    <col min="9" max="9" width="16.5703125" customWidth="1"/>
    <col min="10" max="10" width="62" customWidth="1"/>
    <col min="11" max="11" width="14.28515625" customWidth="1"/>
    <col min="12" max="12" width="17.28515625" customWidth="1"/>
    <col min="13" max="13" width="16.5703125" customWidth="1"/>
    <col min="14" max="14" width="67.42578125" customWidth="1"/>
  </cols>
  <sheetData>
    <row r="1" spans="1:14" x14ac:dyDescent="0.25">
      <c r="D1" s="2" t="s">
        <v>0</v>
      </c>
      <c r="E1" s="2" t="s">
        <v>1</v>
      </c>
    </row>
    <row r="2" spans="1:14" x14ac:dyDescent="0.25">
      <c r="D2" s="2" t="s">
        <v>2</v>
      </c>
      <c r="E2" s="2" t="s">
        <v>3</v>
      </c>
    </row>
    <row r="3" spans="1:14" x14ac:dyDescent="0.25">
      <c r="D3" s="2" t="s">
        <v>4</v>
      </c>
      <c r="E3" s="2" t="s">
        <v>5</v>
      </c>
    </row>
    <row r="4" spans="1:14" x14ac:dyDescent="0.25">
      <c r="D4" s="2" t="s">
        <v>6</v>
      </c>
      <c r="E4" s="2" t="s">
        <v>7</v>
      </c>
    </row>
    <row r="5" spans="1:14" x14ac:dyDescent="0.25">
      <c r="D5" s="2" t="s">
        <v>8</v>
      </c>
      <c r="E5" s="2" t="s">
        <v>9</v>
      </c>
    </row>
    <row r="8" spans="1:14" x14ac:dyDescent="0.25">
      <c r="A8" s="1" t="s">
        <v>10</v>
      </c>
      <c r="B8" s="1"/>
      <c r="C8" s="1"/>
      <c r="D8" s="1"/>
      <c r="E8" s="1"/>
      <c r="F8" s="1"/>
      <c r="G8" s="1" t="s">
        <v>11</v>
      </c>
      <c r="H8" s="1"/>
      <c r="I8" s="1"/>
      <c r="J8" s="1"/>
      <c r="K8" s="1" t="s">
        <v>12</v>
      </c>
      <c r="L8" s="1"/>
      <c r="M8" s="1"/>
      <c r="N8" s="1"/>
    </row>
    <row r="9" spans="1:14" x14ac:dyDescent="0.25">
      <c r="A9" t="s">
        <v>10</v>
      </c>
      <c r="B9" t="s">
        <v>13</v>
      </c>
      <c r="C9" t="s">
        <v>14</v>
      </c>
      <c r="D9" t="s">
        <v>15</v>
      </c>
      <c r="E9" t="s">
        <v>16</v>
      </c>
      <c r="F9" t="s">
        <v>17</v>
      </c>
      <c r="G9" s="3" t="s">
        <v>18</v>
      </c>
      <c r="H9" s="3" t="s">
        <v>19</v>
      </c>
      <c r="I9" t="s">
        <v>20</v>
      </c>
      <c r="J9" t="s">
        <v>21</v>
      </c>
      <c r="K9" s="3" t="s">
        <v>18</v>
      </c>
      <c r="L9" s="3" t="s">
        <v>19</v>
      </c>
      <c r="M9" t="s">
        <v>20</v>
      </c>
      <c r="N9" t="s">
        <v>21</v>
      </c>
    </row>
    <row r="10" spans="1:14" ht="30" x14ac:dyDescent="0.25">
      <c r="A10" t="s">
        <v>22</v>
      </c>
      <c r="B10" t="s">
        <v>22</v>
      </c>
      <c r="C10" t="s">
        <v>23</v>
      </c>
      <c r="D10" s="4" t="s">
        <v>24</v>
      </c>
      <c r="E10">
        <v>25</v>
      </c>
      <c r="F10" t="s">
        <v>25</v>
      </c>
      <c r="G10" s="3"/>
      <c r="H10" s="3"/>
      <c r="I10" s="5"/>
      <c r="K10" s="3"/>
      <c r="L10" s="3"/>
      <c r="M10" s="5"/>
    </row>
    <row r="11" spans="1:14" ht="150" x14ac:dyDescent="0.25">
      <c r="A11" t="s">
        <v>26</v>
      </c>
      <c r="B11" t="s">
        <v>22</v>
      </c>
      <c r="C11" t="s">
        <v>27</v>
      </c>
      <c r="D11" s="4" t="s">
        <v>28</v>
      </c>
      <c r="E11">
        <v>2</v>
      </c>
      <c r="F11" t="s">
        <v>25</v>
      </c>
      <c r="G11" s="3">
        <v>189990</v>
      </c>
      <c r="H11" s="3">
        <v>2</v>
      </c>
      <c r="I11" s="5">
        <v>379980</v>
      </c>
      <c r="J11" s="4" t="s">
        <v>29</v>
      </c>
      <c r="K11" s="3"/>
      <c r="L11" s="3"/>
      <c r="M11" s="5"/>
    </row>
    <row r="12" spans="1:14" ht="150" x14ac:dyDescent="0.25">
      <c r="A12" t="s">
        <v>30</v>
      </c>
      <c r="B12" t="s">
        <v>22</v>
      </c>
      <c r="C12" t="s">
        <v>27</v>
      </c>
      <c r="D12" s="4" t="s">
        <v>28</v>
      </c>
      <c r="E12">
        <v>13</v>
      </c>
      <c r="F12" t="s">
        <v>25</v>
      </c>
      <c r="G12" s="3">
        <v>124990</v>
      </c>
      <c r="H12" s="3">
        <v>13</v>
      </c>
      <c r="I12" s="5">
        <v>1624870</v>
      </c>
      <c r="J12" s="4" t="s">
        <v>31</v>
      </c>
      <c r="K12" s="3"/>
      <c r="L12" s="3"/>
      <c r="M12" s="5"/>
    </row>
    <row r="13" spans="1:14" ht="409.5" x14ac:dyDescent="0.25">
      <c r="A13" t="s">
        <v>32</v>
      </c>
      <c r="B13" t="s">
        <v>22</v>
      </c>
      <c r="C13" t="s">
        <v>33</v>
      </c>
      <c r="D13" s="4" t="s">
        <v>34</v>
      </c>
      <c r="E13">
        <v>44</v>
      </c>
      <c r="F13" t="s">
        <v>25</v>
      </c>
      <c r="G13" s="3">
        <v>13090</v>
      </c>
      <c r="H13" s="3">
        <v>44</v>
      </c>
      <c r="I13" s="5">
        <v>575960</v>
      </c>
      <c r="J13" t="s">
        <v>35</v>
      </c>
      <c r="K13" s="3">
        <v>15488</v>
      </c>
      <c r="L13" s="3">
        <v>44</v>
      </c>
      <c r="M13" s="5">
        <v>681472</v>
      </c>
      <c r="N13" s="4" t="s">
        <v>36</v>
      </c>
    </row>
    <row r="14" spans="1:14" ht="409.5" x14ac:dyDescent="0.25">
      <c r="A14" t="s">
        <v>37</v>
      </c>
      <c r="B14" t="s">
        <v>22</v>
      </c>
      <c r="C14" t="s">
        <v>38</v>
      </c>
      <c r="D14" s="4" t="s">
        <v>39</v>
      </c>
      <c r="E14">
        <v>1</v>
      </c>
      <c r="F14" t="s">
        <v>25</v>
      </c>
      <c r="G14" s="3">
        <v>49990</v>
      </c>
      <c r="H14" s="3">
        <v>1</v>
      </c>
      <c r="I14" s="5">
        <v>49990</v>
      </c>
      <c r="J14" t="s">
        <v>40</v>
      </c>
      <c r="K14" s="3">
        <v>57843</v>
      </c>
      <c r="L14" s="3">
        <v>1</v>
      </c>
      <c r="M14" s="5">
        <v>57843</v>
      </c>
      <c r="N14" s="4" t="s">
        <v>41</v>
      </c>
    </row>
    <row r="15" spans="1:14" ht="45" x14ac:dyDescent="0.25">
      <c r="A15" t="s">
        <v>42</v>
      </c>
      <c r="B15" t="s">
        <v>22</v>
      </c>
      <c r="C15" t="s">
        <v>43</v>
      </c>
      <c r="D15" s="4" t="s">
        <v>44</v>
      </c>
      <c r="E15">
        <v>2</v>
      </c>
      <c r="F15" t="s">
        <v>25</v>
      </c>
      <c r="G15" s="3">
        <v>149990</v>
      </c>
      <c r="H15" s="3">
        <v>2</v>
      </c>
      <c r="I15" s="5">
        <v>299980</v>
      </c>
      <c r="J15" s="4" t="s">
        <v>45</v>
      </c>
      <c r="K15" s="3">
        <v>85989</v>
      </c>
      <c r="L15" s="3">
        <v>2</v>
      </c>
      <c r="M15" s="5">
        <v>171978</v>
      </c>
      <c r="N15" s="4" t="s">
        <v>46</v>
      </c>
    </row>
    <row r="16" spans="1:14" ht="150" x14ac:dyDescent="0.25">
      <c r="A16" t="s">
        <v>47</v>
      </c>
      <c r="B16" t="s">
        <v>22</v>
      </c>
      <c r="C16" t="s">
        <v>27</v>
      </c>
      <c r="D16" s="4" t="s">
        <v>28</v>
      </c>
      <c r="E16">
        <v>6</v>
      </c>
      <c r="F16" t="s">
        <v>25</v>
      </c>
      <c r="G16" s="3">
        <v>109990</v>
      </c>
      <c r="H16" s="3">
        <v>6</v>
      </c>
      <c r="I16" s="5">
        <v>659940</v>
      </c>
      <c r="J16" s="4" t="s">
        <v>48</v>
      </c>
      <c r="K16" s="3"/>
      <c r="L16" s="3"/>
      <c r="M16" s="5"/>
    </row>
    <row r="17" spans="1:14" ht="30" x14ac:dyDescent="0.25">
      <c r="A17" t="s">
        <v>49</v>
      </c>
      <c r="B17" t="s">
        <v>22</v>
      </c>
      <c r="C17" t="s">
        <v>23</v>
      </c>
      <c r="D17" s="4" t="s">
        <v>24</v>
      </c>
      <c r="E17">
        <v>12</v>
      </c>
      <c r="F17" t="s">
        <v>25</v>
      </c>
      <c r="G17" s="3"/>
      <c r="H17" s="3"/>
      <c r="I17" s="5"/>
      <c r="K17" s="3"/>
      <c r="L17" s="3"/>
      <c r="M17" s="5"/>
    </row>
    <row r="18" spans="1:14" ht="30" x14ac:dyDescent="0.25">
      <c r="A18" t="s">
        <v>50</v>
      </c>
      <c r="B18" t="s">
        <v>22</v>
      </c>
      <c r="C18" t="s">
        <v>51</v>
      </c>
      <c r="D18" s="4" t="s">
        <v>52</v>
      </c>
      <c r="E18">
        <v>3</v>
      </c>
      <c r="F18" t="s">
        <v>25</v>
      </c>
      <c r="G18" s="3">
        <v>149990</v>
      </c>
      <c r="H18" s="3">
        <v>3</v>
      </c>
      <c r="I18" s="5">
        <v>449970</v>
      </c>
      <c r="J18" s="4" t="s">
        <v>45</v>
      </c>
      <c r="K18" s="3">
        <v>85989</v>
      </c>
      <c r="L18" s="3">
        <v>3</v>
      </c>
      <c r="M18" s="5">
        <v>257967</v>
      </c>
      <c r="N18" s="4" t="s">
        <v>46</v>
      </c>
    </row>
    <row r="19" spans="1:14" ht="60" x14ac:dyDescent="0.25">
      <c r="A19" t="s">
        <v>53</v>
      </c>
      <c r="B19" t="s">
        <v>22</v>
      </c>
      <c r="C19" t="s">
        <v>54</v>
      </c>
      <c r="D19" s="4" t="s">
        <v>55</v>
      </c>
      <c r="E19">
        <v>50</v>
      </c>
      <c r="F19" t="s">
        <v>25</v>
      </c>
      <c r="G19" s="3">
        <v>5790</v>
      </c>
      <c r="H19" s="3">
        <v>50</v>
      </c>
      <c r="I19" s="5">
        <v>289500</v>
      </c>
      <c r="J19" s="4" t="s">
        <v>56</v>
      </c>
      <c r="K19" s="3">
        <v>6454</v>
      </c>
      <c r="L19" s="3">
        <v>50</v>
      </c>
      <c r="M19" s="5">
        <v>322700</v>
      </c>
      <c r="N19" t="s">
        <v>57</v>
      </c>
    </row>
    <row r="20" spans="1:14" ht="30" x14ac:dyDescent="0.25">
      <c r="A20" t="s">
        <v>58</v>
      </c>
      <c r="B20" t="s">
        <v>22</v>
      </c>
      <c r="C20" t="s">
        <v>27</v>
      </c>
      <c r="D20" s="4" t="s">
        <v>28</v>
      </c>
      <c r="E20">
        <v>10</v>
      </c>
      <c r="F20" t="s">
        <v>25</v>
      </c>
      <c r="G20" s="3"/>
      <c r="H20" s="3"/>
      <c r="I20" s="5"/>
      <c r="K20" s="3"/>
      <c r="L20" s="3"/>
      <c r="M20" s="5"/>
    </row>
    <row r="21" spans="1:14" ht="30" x14ac:dyDescent="0.25">
      <c r="A21" t="s">
        <v>59</v>
      </c>
      <c r="B21" t="s">
        <v>22</v>
      </c>
      <c r="C21" t="s">
        <v>51</v>
      </c>
      <c r="D21" s="4" t="s">
        <v>52</v>
      </c>
      <c r="E21">
        <v>3</v>
      </c>
      <c r="F21" t="s">
        <v>25</v>
      </c>
      <c r="G21" s="3">
        <v>215990</v>
      </c>
      <c r="H21" s="3">
        <v>3</v>
      </c>
      <c r="I21" s="5">
        <v>647970</v>
      </c>
      <c r="J21" t="s">
        <v>60</v>
      </c>
      <c r="K21" s="3">
        <v>85989</v>
      </c>
      <c r="L21" s="3">
        <v>3</v>
      </c>
      <c r="M21" s="5">
        <v>257967</v>
      </c>
      <c r="N21" s="4" t="s">
        <v>46</v>
      </c>
    </row>
    <row r="22" spans="1:14" ht="30" x14ac:dyDescent="0.25">
      <c r="A22" t="s">
        <v>61</v>
      </c>
      <c r="B22" t="s">
        <v>22</v>
      </c>
      <c r="C22" t="s">
        <v>62</v>
      </c>
      <c r="D22" s="4" t="s">
        <v>63</v>
      </c>
      <c r="E22">
        <v>1</v>
      </c>
      <c r="F22" t="s">
        <v>25</v>
      </c>
      <c r="G22" s="3">
        <v>149990</v>
      </c>
      <c r="H22" s="3">
        <v>1</v>
      </c>
      <c r="I22" s="5">
        <v>149990</v>
      </c>
      <c r="J22" s="4" t="s">
        <v>45</v>
      </c>
      <c r="K22" s="3">
        <v>97585</v>
      </c>
      <c r="L22" s="3">
        <v>1</v>
      </c>
      <c r="M22" s="5">
        <v>97585</v>
      </c>
      <c r="N22" t="s">
        <v>64</v>
      </c>
    </row>
    <row r="23" spans="1:14" ht="105" x14ac:dyDescent="0.25">
      <c r="A23" t="s">
        <v>65</v>
      </c>
      <c r="B23" t="s">
        <v>22</v>
      </c>
      <c r="C23" t="s">
        <v>66</v>
      </c>
      <c r="D23" t="s">
        <v>67</v>
      </c>
      <c r="E23">
        <v>3</v>
      </c>
      <c r="F23" t="s">
        <v>25</v>
      </c>
      <c r="G23" s="3">
        <v>224990</v>
      </c>
      <c r="H23" s="3">
        <v>3</v>
      </c>
      <c r="I23" s="5">
        <v>674970</v>
      </c>
      <c r="J23" s="4" t="s">
        <v>68</v>
      </c>
      <c r="K23" s="3"/>
      <c r="L23" s="3"/>
      <c r="M23" s="5"/>
    </row>
    <row r="24" spans="1:14" x14ac:dyDescent="0.25">
      <c r="C24" t="s">
        <v>69</v>
      </c>
      <c r="G24" s="3"/>
      <c r="H24" s="3"/>
      <c r="I24" s="5">
        <f>SUBTOTAL(109,Table2[Total por renglón])</f>
        <v>5803120</v>
      </c>
      <c r="J24" s="4"/>
      <c r="K24" s="3"/>
      <c r="L24" s="3"/>
      <c r="M24" s="5">
        <f>SUBTOTAL(109,Table3[Total por renglón])</f>
        <v>1847512</v>
      </c>
    </row>
  </sheetData>
  <mergeCells count="3">
    <mergeCell ref="G8:J8"/>
    <mergeCell ref="K8:N8"/>
    <mergeCell ref="A8:F8"/>
  </mergeCells>
  <pageMargins left="0.75" right="0.75" top="0.75" bottom="0.5" header="0.5" footer="0.75"/>
  <tableParts count="3">
    <tablePart r:id="rId1"/>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4</vt:i4>
      </vt:variant>
    </vt:vector>
  </HeadingPairs>
  <TitlesOfParts>
    <vt:vector size="5" baseType="lpstr">
      <vt:lpstr>Cuadro comparativo</vt:lpstr>
      <vt:lpstr>Datos</vt:lpstr>
      <vt:lpstr>DatosTitulos</vt:lpstr>
      <vt:lpstr>PROVEEDOR</vt:lpstr>
      <vt:lpstr>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ADRIAN</cp:lastModifiedBy>
  <dcterms:created xsi:type="dcterms:W3CDTF">2022-08-22T13:58:21Z</dcterms:created>
  <dcterms:modified xsi:type="dcterms:W3CDTF">2022-08-22T13:59:41Z</dcterms:modified>
</cp:coreProperties>
</file>