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SJB\Descartable 1er Trim.2022\Antisepticos y Desinfectantes consolidado\"/>
    </mc:Choice>
  </mc:AlternateContent>
  <xr:revisionPtr revIDLastSave="0" documentId="13_ncr:1_{8D88D45B-371E-4F8F-B1F9-6C5D8E9D870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4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Trimestrales'!$A$9:$I$27</definedName>
    <definedName name="_xlnm.Print_Area" localSheetId="2">'Autor Gastar'!$A$1:$Q$26</definedName>
    <definedName name="_xlnm.Print_Area" localSheetId="1">NotaPedido!$A$1:$K$30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9" i="4" l="1"/>
  <c r="J29" i="4"/>
  <c r="I29" i="4"/>
  <c r="C29" i="4"/>
  <c r="B29" i="4"/>
  <c r="K28" i="4"/>
  <c r="J28" i="4"/>
  <c r="I28" i="4"/>
  <c r="C28" i="4"/>
  <c r="B28" i="4"/>
  <c r="K27" i="4"/>
  <c r="J27" i="4"/>
  <c r="I27" i="4"/>
  <c r="C27" i="4"/>
  <c r="B27" i="4"/>
  <c r="K26" i="4"/>
  <c r="J26" i="4"/>
  <c r="I26" i="4"/>
  <c r="C26" i="4"/>
  <c r="B26" i="4"/>
  <c r="K25" i="4"/>
  <c r="J25" i="4"/>
  <c r="I25" i="4"/>
  <c r="C25" i="4"/>
  <c r="B25" i="4"/>
  <c r="K24" i="4"/>
  <c r="J24" i="4"/>
  <c r="I24" i="4"/>
  <c r="C24" i="4"/>
  <c r="B24" i="4"/>
  <c r="K23" i="4"/>
  <c r="J23" i="4"/>
  <c r="I23" i="4"/>
  <c r="C23" i="4"/>
  <c r="B23" i="4"/>
  <c r="K22" i="4"/>
  <c r="J22" i="4"/>
  <c r="I22" i="4"/>
  <c r="C22" i="4"/>
  <c r="B22" i="4"/>
  <c r="K21" i="4"/>
  <c r="J21" i="4"/>
  <c r="I21" i="4"/>
  <c r="C21" i="4"/>
  <c r="B21" i="4"/>
  <c r="K20" i="4"/>
  <c r="J20" i="4"/>
  <c r="I20" i="4"/>
  <c r="C20" i="4"/>
  <c r="B20" i="4"/>
  <c r="K19" i="4"/>
  <c r="J19" i="4"/>
  <c r="I19" i="4"/>
  <c r="C19" i="4"/>
  <c r="B19" i="4"/>
  <c r="K18" i="4"/>
  <c r="J18" i="4"/>
  <c r="I18" i="4"/>
  <c r="C18" i="4"/>
  <c r="B18" i="4"/>
  <c r="K17" i="4"/>
  <c r="J17" i="4"/>
  <c r="I17" i="4"/>
  <c r="C17" i="4"/>
  <c r="B17" i="4"/>
  <c r="K16" i="4"/>
  <c r="J16" i="4"/>
  <c r="I16" i="4"/>
  <c r="C16" i="4"/>
  <c r="B16" i="4"/>
  <c r="K15" i="4"/>
  <c r="J15" i="4"/>
  <c r="I15" i="4"/>
  <c r="C15" i="4"/>
  <c r="B15" i="4"/>
  <c r="K14" i="4"/>
  <c r="J14" i="4"/>
  <c r="I14" i="4"/>
  <c r="C14" i="4"/>
  <c r="B14" i="4"/>
  <c r="K13" i="4"/>
  <c r="J13" i="4"/>
  <c r="I13" i="4"/>
  <c r="C13" i="4"/>
  <c r="B13" i="4"/>
  <c r="K12" i="4"/>
  <c r="J12" i="4"/>
  <c r="I12" i="4"/>
  <c r="C12" i="4"/>
  <c r="B12" i="4"/>
  <c r="D4" i="4"/>
  <c r="D3" i="4"/>
  <c r="J30" i="4" l="1"/>
  <c r="D22" i="1"/>
  <c r="D21" i="1"/>
  <c r="D20" i="1"/>
  <c r="D19" i="1"/>
  <c r="D16" i="1"/>
  <c r="I13" i="1" l="1"/>
  <c r="I14" i="1"/>
  <c r="I15" i="1"/>
  <c r="I16" i="1"/>
  <c r="I17" i="1"/>
  <c r="D15" i="1" l="1"/>
  <c r="A25" i="3"/>
  <c r="A10" i="3"/>
  <c r="I27" i="1"/>
  <c r="I26" i="1"/>
  <c r="I25" i="1"/>
  <c r="I24" i="1"/>
  <c r="I23" i="1"/>
  <c r="I22" i="1"/>
  <c r="I21" i="1"/>
  <c r="I20" i="1"/>
  <c r="I19" i="1"/>
  <c r="I18" i="1"/>
  <c r="I12" i="1"/>
  <c r="I11" i="1"/>
  <c r="I10" i="1"/>
  <c r="G6" i="3" l="1"/>
  <c r="G7" i="3"/>
  <c r="G4" i="3"/>
  <c r="G5" i="3"/>
  <c r="D1" i="3" l="1"/>
  <c r="Q22" i="3"/>
</calcChain>
</file>

<file path=xl/sharedStrings.xml><?xml version="1.0" encoding="utf-8"?>
<sst xmlns="http://schemas.openxmlformats.org/spreadsheetml/2006/main" count="230" uniqueCount="136">
  <si>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</si>
  <si>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</si>
  <si>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</si>
  <si>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</si>
  <si>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</si>
  <si>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</si>
  <si>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</si>
  <si>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</si>
  <si>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</si>
  <si>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</si>
  <si>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</si>
  <si>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</si>
  <si>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</si>
  <si>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</si>
  <si>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</si>
  <si>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</si>
  <si>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</si>
  <si>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</si>
  <si>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</si>
  <si>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</si>
  <si>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</si>
  <si>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</si>
  <si>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</si>
  <si>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</si>
  <si>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</si>
  <si>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</si>
  <si>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</si>
  <si>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</si>
  <si>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</si>
  <si>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</si>
  <si>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</si>
  <si>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</si>
  <si>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</si>
  <si>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</si>
  <si>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</si>
  <si>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</si>
  <si>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</si>
  <si>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</si>
  <si>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</si>
  <si>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</si>
  <si>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</si>
  <si>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</si>
  <si>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</si>
  <si>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</si>
  <si>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</si>
  <si>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</si>
  <si>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</si>
  <si>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</si>
  <si>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</si>
  <si>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</si>
  <si>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</si>
  <si>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</si>
  <si>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</si>
  <si>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</si>
  <si>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</si>
  <si>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</si>
  <si>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</si>
  <si>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</si>
  <si>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</si>
  <si>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</si>
  <si>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</si>
  <si>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Compuestos Quimicos</t>
  </si>
  <si>
    <t>Productos Farmaceuticos y Medicinales</t>
  </si>
  <si>
    <t xml:space="preserve">45 dias habiles </t>
  </si>
  <si>
    <t>3.1</t>
  </si>
  <si>
    <t>1.1</t>
  </si>
  <si>
    <t>Adquisición de Antisepticos y Desinfectantes</t>
  </si>
  <si>
    <t xml:space="preserve">UNIDAD </t>
  </si>
  <si>
    <t>2.5.1</t>
  </si>
  <si>
    <t>SI</t>
  </si>
  <si>
    <t>2.5.1-9009.497</t>
  </si>
  <si>
    <t>ACIDOS; COMPUESTO QUIMICO: AC. ACETICO; ESTADO SOLIDO; CALIDAD: FARMACEUTICA; CONCENTRACION/PUREZA 25/30%; PRESENTACION: 5KG</t>
  </si>
  <si>
    <t xml:space="preserve">BIDON </t>
  </si>
  <si>
    <t xml:space="preserve"> QUIMICOS </t>
  </si>
  <si>
    <t xml:space="preserve">QUIMICOS </t>
  </si>
  <si>
    <t>ACIDOS; COMPUESTO QUIMICO: AC. CITRICO, ESTADO: SOLIDO, CALIDAD: BIOLOGIA MOLECULAR, CONCENTRACION/PUREZA: 99,99 %, PRESENTACION: ENVASE X 1 Kg</t>
  </si>
  <si>
    <t>2.5.1-9009.262</t>
  </si>
  <si>
    <t>AGUA OXIGENADA; CAPACIDAD: 1000 CM3, VOLUMEN: 10, PRESENTACION: ENVASE X 1000 CM3</t>
  </si>
  <si>
    <t>2.5.2-710.4</t>
  </si>
  <si>
    <t>PROD. MEDICO/FARMACEUTICOS/LAB</t>
  </si>
  <si>
    <t>2.5.2</t>
  </si>
  <si>
    <t xml:space="preserve">BOTELLA </t>
  </si>
  <si>
    <t>2.5.2-711.32</t>
  </si>
  <si>
    <t>ALCOHOL USO MEDICINAL; PUREZA: 96 %, PRESENTACION: ENVASE X 1000 CM3</t>
  </si>
  <si>
    <t>ANTISEPTICOS LOCALES P/PERSONA; TIPO: DESINFECTANTE, DROGA GENERICA: ALCOHOL YODADO, FORMA FARMACEUTICA: SOLUCION, PRESENTACION: ENVASE X 1000 Ml</t>
  </si>
  <si>
    <t>2.5.2-1723.110</t>
  </si>
  <si>
    <t>2.5.2-1723.69</t>
  </si>
  <si>
    <t>ANTISEPTICOS LOCALES P/PERSONA; TIPO: MONODROGA, DROGA GENERICA: CLOROXILENOL, FORMA FARMACEUTICA: SOLUCION, PRESENTACION: ENVASE X 5 L</t>
  </si>
  <si>
    <t>2.5.1-9065.16</t>
  </si>
  <si>
    <t>QUIMICOS</t>
  </si>
  <si>
    <t>DESINFECTANTES Y DETERGENTES; PRINCIPIO ACTIVO: AMILASA, PROTEASA, LIPASA, CALIDAD: COMERCIAL, CONCENTRACION/PUREZA: 100 %, PRESENTACION: ENVASE X 5 L</t>
  </si>
  <si>
    <t>2.5.2-1726.492</t>
  </si>
  <si>
    <t>SOLUCIONES P/MEDICINA; TIPO: FORMOL AL 40 %, PRESENTACION: ENVASE X 1 L</t>
  </si>
  <si>
    <t>2.5.2-1723.30</t>
  </si>
  <si>
    <t>ANTISEPTICOS LOCALES P/PERSONA; TIPO: MONODROGA, DROGA GENERICA: IODOPOVIDONA, FORMA FARMACEUTICA: SOLUCION, PRESENTACION: BIDON X 5 L</t>
  </si>
  <si>
    <t>Especificidades Item N° 6:</t>
  </si>
  <si>
    <t>Especificidades Item N° 11:</t>
  </si>
  <si>
    <t>2.5.2-1723.50</t>
  </si>
  <si>
    <t>ANTISEPTICOS LOCALES P/PERSONA; DROGA GENERICA: IODOPOVIDONA 10%, FORMA FARMACEUTICA: SOLUCION, PRESENTACION: ENVASE X 1 L, TIPO: MONODROGA</t>
  </si>
  <si>
    <t>Especificidades Item N° 12:</t>
  </si>
  <si>
    <t>2.5.2-1723.104</t>
  </si>
  <si>
    <t>ANTISEPTICOS LOCALES P/PERSONA; TIPO: MONODROGA, DROGA GENERICA: IODOPOVIDONA 5 %, FORMA FARMACEUTICA: JABON LIQUIDO, PRESENTACION: ENVASE X 1 L</t>
  </si>
  <si>
    <t>2.5.2-1723.146</t>
  </si>
  <si>
    <t>ANTISEPTICOS LOCALES P/PERSONA; TIPO: MONODROGA, DROGA GENERICA: IODOPOVIDONA 5 %, FORMA FARMACEUTICA: JABON LIQUIDO, PRESENTACION: ENVASE X 5 L</t>
  </si>
  <si>
    <t>2.9.1-6956.122</t>
  </si>
  <si>
    <t>ELEMENTOS DE LIMPIEZA</t>
  </si>
  <si>
    <t>ARTICULOS DE TOCADOR; TIPO: JABON LIQUIDO HIPOALERGENICO, PRESENTACION: ENVASE X 800 ML BAG IN BOX</t>
  </si>
  <si>
    <t>BAG IN BOX</t>
  </si>
  <si>
    <t>Especificidades Item N° 14:</t>
  </si>
  <si>
    <t>Especificidades Item N° 15:</t>
  </si>
  <si>
    <t>2.5.2-1723.175</t>
  </si>
  <si>
    <t>ANTISEPTICOS LOCALES P/PERSONA; TIPO: ANTIBACTERIANO, DROGA GENERICA: CLORHEXIDINA, FORMA FARMACEUTICA: LOCION ALCOHOLICA BACTERICIDA, PRESENTACION: ENVASE X 800 ML BAG IN BOX</t>
  </si>
  <si>
    <t>Especificidades Item N° 8:</t>
  </si>
  <si>
    <t>2.5.4-505.99</t>
  </si>
  <si>
    <t>DESINFECTANTES; PRINCIPIO ACTIVO: MONOPERSUFATO DE POTASIO, CONTROL: BACTERIAS, HONGOS, VIRUS, PRESENTACION: ENVASE X 20 G</t>
  </si>
  <si>
    <t>SOBRE</t>
  </si>
  <si>
    <t>2.5.2-1723.35</t>
  </si>
  <si>
    <t>ANTISEPTICOS LOCALES P/PERSONA; TIPO: MONODROGA, DROGA GENERICA: NITROFURAZONA, FORMA FARMACEUTICA: SOLUCION, PRESENTACION: FRASCO X 1 L</t>
  </si>
  <si>
    <t>BOTELLA</t>
  </si>
  <si>
    <t>2.5.2-1723.89</t>
  </si>
  <si>
    <t>ANTISEPTICOS LOCALES P/PERSONA; TIPO: MONODROGA, DROGA GENERICA: TINTURA DE IODO FUERTE, FORMA FARMACEUTICA: SOLUCION, PRESENTACION: ENVASE X 1 L</t>
  </si>
  <si>
    <t>Un Semestre</t>
  </si>
  <si>
    <t>027 - 2022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</si>
  <si>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</si>
  <si>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</si>
  <si>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11:00 HORAS </t>
  </si>
  <si>
    <t xml:space="preserve">15 dias habiles - Servicio de Farmacia del HISJB - Avda. Illia y Mariano Moreno de lunes a viernes de 08:00 a 11:00 horas </t>
  </si>
  <si>
    <t>concentracion ALCOHOL IODADO 2%</t>
  </si>
  <si>
    <t xml:space="preserve">Detergente trienzimatico (proteada, lipasa y amilasa). Concentración: 3 a 5 ml/litro. Libre de fenoles, Atoxico. Aprobación ANMAT. Proveer 1 válvula dosificadora cada 5 unidades. </t>
  </si>
  <si>
    <t>con valvula atomizadora</t>
  </si>
  <si>
    <t xml:space="preserve">Jabón Líquido hipoalergenico. Ph Dérmico. No contiene cloruro de sodio, ni parabenos. Envase BAG IN BOX por 800 ml.Tipo JL4  ADOX. </t>
  </si>
  <si>
    <t>Loción alcohólica bactericida con clorhexidina + emolientes y suavizantes. Envase BAG IN BOX por 800 ml. Tipo L 9 ADOX.</t>
  </si>
  <si>
    <t>2.5.1-5771.11</t>
  </si>
  <si>
    <t>ANTISEPTICOS P/MATERIALES; TIPO: ASOCIACION, DROGA GENERICA: PEROXIDO DE HIDROGENO+ ACIDO PERACETICO, FORMA FARMACEUTICA: SOLUCION, PRESENTACION: ENVASE X 5LT, USO: EQUIPO</t>
  </si>
  <si>
    <t>Costo total estimado: Pesos Un millon doscientos cuarenta y dos mil quinientos veinticuatro con 00/100.-</t>
  </si>
  <si>
    <t>TOTAL DE PESOS: UN MILLON DOSCIENTOS CUARENTA Y DOS MIL QUINIENTOS VEINTICUATRO CON 00/100.----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</si>
</sst>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8"/>
      <name val="Arial"/>
      <family val="2"/>
      <charset val="1"/>
    </font>
    <font>
      <sz val="8"/>
      <name val="Arial"/>
      <family val="2"/>
    </font>
    <font>
      <sz val="9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0D9"/>
      </patternFill>
    </fill>
    <fill>
      <patternFill patternType="solid">
        <fgColor theme="0"/>
        <bgColor rgb="FF92D05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0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0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Border="1" applyAlignment="1">
      <alignment horizontal="left" indent="3"/>
    </xf>
    <xf numFmtId="0" fontId="23" fillId="5" borderId="14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5" borderId="14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 wrapText="1"/>
    </xf>
    <xf numFmtId="166" fontId="23" fillId="4" borderId="14" xfId="1" applyNumberFormat="1" applyFont="1" applyFill="1" applyBorder="1" applyAlignment="1" applyProtection="1">
      <alignment horizontal="center" vertical="center" wrapText="1"/>
    </xf>
    <xf numFmtId="166" fontId="23" fillId="4" borderId="14" xfId="1" applyNumberFormat="1" applyFont="1" applyFill="1" applyBorder="1" applyAlignment="1" applyProtection="1">
      <alignment horizontal="right" vertical="center" wrapText="1"/>
    </xf>
    <xf numFmtId="0" fontId="25" fillId="6" borderId="14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left" vertical="center" wrapText="1"/>
    </xf>
    <xf numFmtId="0" fontId="25" fillId="7" borderId="14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8" fillId="8" borderId="20" xfId="0" applyFont="1" applyFill="1" applyBorder="1" applyAlignment="1">
      <alignment horizontal="center" vertical="center" wrapText="1"/>
    </xf>
    <xf numFmtId="0" fontId="28" fillId="8" borderId="48" xfId="0" applyFont="1" applyFill="1" applyBorder="1" applyAlignment="1">
      <alignment horizontal="center" vertical="center" wrapText="1"/>
    </xf>
    <xf numFmtId="0" fontId="28" fillId="8" borderId="21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/>
    </xf>
    <xf numFmtId="0" fontId="15" fillId="8" borderId="48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left" wrapText="1" indent="1"/>
    </xf>
    <xf numFmtId="0" fontId="7" fillId="0" borderId="15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0" fontId="22" fillId="0" borderId="32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/>
    </xf>
    <xf numFmtId="0" fontId="22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PE%20027%20-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Pedido"/>
    </sheetNames>
    <sheetDataSet>
      <sheetData sheetId="0">
        <row r="1">
          <cell r="K1" t="str">
            <v>027 - 2022</v>
          </cell>
        </row>
        <row r="3">
          <cell r="D3" t="str">
            <v>40 - Ministerio de Salud</v>
          </cell>
        </row>
        <row r="4">
          <cell r="D4" t="str">
            <v>23 - Hospital Interzonal San Juan Bautista</v>
          </cell>
        </row>
        <row r="5">
          <cell r="D5" t="str">
            <v>168 - Direccion Asistencial</v>
          </cell>
        </row>
        <row r="6">
          <cell r="D6" t="str">
            <v>Servicio de Farmacia</v>
          </cell>
        </row>
        <row r="8">
          <cell r="D8" t="str">
            <v>Adquisición de Antisepticos y Desinfectantes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8"/>
  <sheetViews>
    <sheetView tabSelected="1" topLeftCell="A19" zoomScale="85" zoomScaleNormal="85" workbookViewId="0">
      <selection activeCell="I27" sqref="I27"/>
    </sheetView>
  </sheetViews>
  <sheetFormatPr baseColWidth="10" defaultColWidth="11" defaultRowHeight="12.75" x14ac:dyDescent="0.2"/>
  <cols>
    <col min="1" max="1" width="4.5703125" style="39" customWidth="1"/>
    <col min="2" max="2" width="13.57031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8" t="s">
        <v>0</v>
      </c>
      <c r="C2" s="108"/>
      <c r="D2" s="108"/>
      <c r="E2" s="108"/>
      <c r="F2" s="108"/>
      <c r="G2" s="108"/>
      <c r="H2" s="108"/>
    </row>
    <row r="4" spans="1:9" ht="18" customHeight="1" x14ac:dyDescent="0.25">
      <c r="A4" s="95" t="s">
        <v>1</v>
      </c>
      <c r="B4" s="95"/>
      <c r="C4" s="109" t="s">
        <v>57</v>
      </c>
      <c r="D4" s="109"/>
      <c r="E4" s="109"/>
      <c r="F4" s="40"/>
      <c r="G4" s="41"/>
      <c r="H4" s="40"/>
    </row>
    <row r="5" spans="1:9" ht="18" customHeight="1" x14ac:dyDescent="0.25">
      <c r="A5" s="95" t="s">
        <v>2</v>
      </c>
      <c r="B5" s="95"/>
      <c r="C5" s="109" t="s">
        <v>58</v>
      </c>
      <c r="D5" s="109"/>
      <c r="E5" s="109"/>
      <c r="F5" s="40"/>
      <c r="G5" s="41"/>
      <c r="H5" s="40"/>
    </row>
    <row r="6" spans="1:9" ht="16.5" customHeight="1" x14ac:dyDescent="0.25">
      <c r="A6" s="95" t="s">
        <v>3</v>
      </c>
      <c r="B6" s="95"/>
      <c r="C6" s="56">
        <v>2022</v>
      </c>
      <c r="D6" s="57"/>
      <c r="E6" s="57"/>
      <c r="F6" s="40"/>
      <c r="G6" s="41"/>
      <c r="H6" s="40"/>
    </row>
    <row r="7" spans="1:9" ht="16.5" customHeight="1" x14ac:dyDescent="0.25">
      <c r="A7" s="95" t="s">
        <v>4</v>
      </c>
      <c r="B7" s="95"/>
      <c r="C7" s="56">
        <v>1</v>
      </c>
      <c r="D7" s="57"/>
      <c r="E7" s="57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50.25" customHeight="1" thickBot="1" x14ac:dyDescent="0.25">
      <c r="A10" s="75">
        <v>1</v>
      </c>
      <c r="B10" s="76" t="s">
        <v>70</v>
      </c>
      <c r="C10" s="89" t="s">
        <v>73</v>
      </c>
      <c r="D10" s="77" t="s">
        <v>68</v>
      </c>
      <c r="E10" s="73" t="s">
        <v>71</v>
      </c>
      <c r="F10" s="76" t="s">
        <v>72</v>
      </c>
      <c r="G10" s="76">
        <v>20</v>
      </c>
      <c r="H10" s="78">
        <v>3300</v>
      </c>
      <c r="I10" s="79">
        <f>G10*H10</f>
        <v>66000</v>
      </c>
    </row>
    <row r="11" spans="1:9" ht="53.25" customHeight="1" thickBot="1" x14ac:dyDescent="0.25">
      <c r="A11" s="75">
        <v>2</v>
      </c>
      <c r="B11" s="76" t="s">
        <v>132</v>
      </c>
      <c r="C11" s="89" t="s">
        <v>79</v>
      </c>
      <c r="D11" s="77" t="s">
        <v>68</v>
      </c>
      <c r="E11" s="73" t="s">
        <v>133</v>
      </c>
      <c r="F11" s="76" t="s">
        <v>72</v>
      </c>
      <c r="G11" s="76">
        <v>20</v>
      </c>
      <c r="H11" s="78">
        <v>1880</v>
      </c>
      <c r="I11" s="79">
        <f>G11*H11</f>
        <v>37600</v>
      </c>
    </row>
    <row r="12" spans="1:9" ht="52.5" customHeight="1" thickBot="1" x14ac:dyDescent="0.25">
      <c r="A12" s="75">
        <v>3</v>
      </c>
      <c r="B12" s="76" t="s">
        <v>76</v>
      </c>
      <c r="C12" s="89" t="s">
        <v>74</v>
      </c>
      <c r="D12" s="77" t="s">
        <v>68</v>
      </c>
      <c r="E12" s="73" t="s">
        <v>75</v>
      </c>
      <c r="F12" s="76" t="s">
        <v>67</v>
      </c>
      <c r="G12" s="76">
        <v>10</v>
      </c>
      <c r="H12" s="78">
        <v>1560</v>
      </c>
      <c r="I12" s="79">
        <f>G12*H12</f>
        <v>15600</v>
      </c>
    </row>
    <row r="13" spans="1:9" ht="37.5" customHeight="1" thickBot="1" x14ac:dyDescent="0.25">
      <c r="A13" s="75">
        <v>4</v>
      </c>
      <c r="B13" s="76" t="s">
        <v>78</v>
      </c>
      <c r="C13" s="73" t="s">
        <v>79</v>
      </c>
      <c r="D13" s="77" t="s">
        <v>80</v>
      </c>
      <c r="E13" s="73" t="s">
        <v>77</v>
      </c>
      <c r="F13" s="76" t="s">
        <v>81</v>
      </c>
      <c r="G13" s="76">
        <v>300</v>
      </c>
      <c r="H13" s="78">
        <v>128.59</v>
      </c>
      <c r="I13" s="79">
        <f t="shared" ref="I13:I17" si="0">G13*H13</f>
        <v>38577</v>
      </c>
    </row>
    <row r="14" spans="1:9" ht="31.9" customHeight="1" thickBot="1" x14ac:dyDescent="0.25">
      <c r="A14" s="75">
        <v>5</v>
      </c>
      <c r="B14" s="80" t="s">
        <v>82</v>
      </c>
      <c r="C14" s="73" t="s">
        <v>79</v>
      </c>
      <c r="D14" s="77" t="s">
        <v>80</v>
      </c>
      <c r="E14" s="81" t="s">
        <v>83</v>
      </c>
      <c r="F14" s="76" t="s">
        <v>81</v>
      </c>
      <c r="G14" s="76">
        <v>100</v>
      </c>
      <c r="H14" s="78">
        <v>201</v>
      </c>
      <c r="I14" s="79">
        <f t="shared" si="0"/>
        <v>20100</v>
      </c>
    </row>
    <row r="15" spans="1:9" ht="57" customHeight="1" thickBot="1" x14ac:dyDescent="0.25">
      <c r="A15" s="82">
        <v>6</v>
      </c>
      <c r="B15" s="76" t="s">
        <v>85</v>
      </c>
      <c r="C15" s="73" t="s">
        <v>79</v>
      </c>
      <c r="D15" s="83" t="str">
        <f t="shared" ref="D15:D22" si="1">LEFT(B15,5)</f>
        <v>2.5.2</v>
      </c>
      <c r="E15" s="74" t="s">
        <v>84</v>
      </c>
      <c r="F15" s="76" t="s">
        <v>81</v>
      </c>
      <c r="G15" s="76">
        <v>90</v>
      </c>
      <c r="H15" s="78">
        <v>1200</v>
      </c>
      <c r="I15" s="79">
        <f t="shared" si="0"/>
        <v>108000</v>
      </c>
    </row>
    <row r="16" spans="1:9" ht="42" customHeight="1" thickBot="1" x14ac:dyDescent="0.25">
      <c r="A16" s="82">
        <v>7</v>
      </c>
      <c r="B16" s="80" t="s">
        <v>86</v>
      </c>
      <c r="C16" s="73" t="s">
        <v>79</v>
      </c>
      <c r="D16" s="77" t="str">
        <f t="shared" si="1"/>
        <v>2.5.2</v>
      </c>
      <c r="E16" s="81" t="s">
        <v>87</v>
      </c>
      <c r="F16" s="76" t="s">
        <v>72</v>
      </c>
      <c r="G16" s="76">
        <v>10</v>
      </c>
      <c r="H16" s="78">
        <v>4500</v>
      </c>
      <c r="I16" s="79">
        <f t="shared" si="0"/>
        <v>45000</v>
      </c>
    </row>
    <row r="17" spans="1:9" ht="42.75" customHeight="1" thickBot="1" x14ac:dyDescent="0.25">
      <c r="A17" s="82">
        <v>8</v>
      </c>
      <c r="B17" s="84" t="s">
        <v>88</v>
      </c>
      <c r="C17" s="90" t="s">
        <v>89</v>
      </c>
      <c r="D17" s="77" t="s">
        <v>68</v>
      </c>
      <c r="E17" s="85" t="s">
        <v>90</v>
      </c>
      <c r="F17" s="76" t="s">
        <v>72</v>
      </c>
      <c r="G17" s="76">
        <v>60</v>
      </c>
      <c r="H17" s="78">
        <v>4900.5</v>
      </c>
      <c r="I17" s="79">
        <f t="shared" si="0"/>
        <v>294030</v>
      </c>
    </row>
    <row r="18" spans="1:9" ht="31.9" customHeight="1" thickBot="1" x14ac:dyDescent="0.25">
      <c r="A18" s="82">
        <v>9</v>
      </c>
      <c r="B18" s="86" t="s">
        <v>91</v>
      </c>
      <c r="C18" s="90" t="s">
        <v>79</v>
      </c>
      <c r="D18" s="77" t="s">
        <v>68</v>
      </c>
      <c r="E18" s="87" t="s">
        <v>92</v>
      </c>
      <c r="F18" s="76" t="s">
        <v>81</v>
      </c>
      <c r="G18" s="76">
        <v>30</v>
      </c>
      <c r="H18" s="78">
        <v>661</v>
      </c>
      <c r="I18" s="79">
        <f t="shared" ref="I18:I27" si="2">G18*H18</f>
        <v>19830</v>
      </c>
    </row>
    <row r="19" spans="1:9" ht="47.25" customHeight="1" thickBot="1" x14ac:dyDescent="0.25">
      <c r="A19" s="82">
        <v>10</v>
      </c>
      <c r="B19" s="80" t="s">
        <v>93</v>
      </c>
      <c r="C19" s="90" t="s">
        <v>79</v>
      </c>
      <c r="D19" s="77" t="str">
        <f t="shared" si="1"/>
        <v>2.5.2</v>
      </c>
      <c r="E19" s="81" t="s">
        <v>94</v>
      </c>
      <c r="F19" s="76" t="s">
        <v>72</v>
      </c>
      <c r="G19" s="76">
        <v>30</v>
      </c>
      <c r="H19" s="78">
        <v>2250</v>
      </c>
      <c r="I19" s="79">
        <f t="shared" si="2"/>
        <v>67500</v>
      </c>
    </row>
    <row r="20" spans="1:9" ht="49.5" customHeight="1" thickBot="1" x14ac:dyDescent="0.25">
      <c r="A20" s="82">
        <v>11</v>
      </c>
      <c r="B20" s="80" t="s">
        <v>97</v>
      </c>
      <c r="C20" s="90" t="s">
        <v>79</v>
      </c>
      <c r="D20" s="77" t="str">
        <f t="shared" si="1"/>
        <v>2.5.2</v>
      </c>
      <c r="E20" s="87" t="s">
        <v>98</v>
      </c>
      <c r="F20" s="76" t="s">
        <v>81</v>
      </c>
      <c r="G20" s="76">
        <v>240</v>
      </c>
      <c r="H20" s="78">
        <v>573</v>
      </c>
      <c r="I20" s="79">
        <f t="shared" si="2"/>
        <v>137520</v>
      </c>
    </row>
    <row r="21" spans="1:9" ht="57.75" customHeight="1" thickBot="1" x14ac:dyDescent="0.25">
      <c r="A21" s="82">
        <v>12</v>
      </c>
      <c r="B21" s="80" t="s">
        <v>100</v>
      </c>
      <c r="C21" s="90" t="s">
        <v>79</v>
      </c>
      <c r="D21" s="77" t="str">
        <f t="shared" si="1"/>
        <v>2.5.2</v>
      </c>
      <c r="E21" s="87" t="s">
        <v>101</v>
      </c>
      <c r="F21" s="76" t="s">
        <v>81</v>
      </c>
      <c r="G21" s="76">
        <v>30</v>
      </c>
      <c r="H21" s="78">
        <v>450</v>
      </c>
      <c r="I21" s="79">
        <f t="shared" si="2"/>
        <v>13500</v>
      </c>
    </row>
    <row r="22" spans="1:9" ht="66.75" customHeight="1" thickBot="1" x14ac:dyDescent="0.25">
      <c r="A22" s="82">
        <v>13</v>
      </c>
      <c r="B22" s="80" t="s">
        <v>102</v>
      </c>
      <c r="C22" s="90" t="s">
        <v>79</v>
      </c>
      <c r="D22" s="77" t="str">
        <f t="shared" si="1"/>
        <v>2.5.2</v>
      </c>
      <c r="E22" s="81" t="s">
        <v>103</v>
      </c>
      <c r="F22" s="76" t="s">
        <v>72</v>
      </c>
      <c r="G22" s="76">
        <v>20</v>
      </c>
      <c r="H22" s="78">
        <v>1520</v>
      </c>
      <c r="I22" s="79">
        <f t="shared" si="2"/>
        <v>30400</v>
      </c>
    </row>
    <row r="23" spans="1:9" ht="51" customHeight="1" thickBot="1" x14ac:dyDescent="0.25">
      <c r="A23" s="82">
        <v>14</v>
      </c>
      <c r="B23" s="80" t="s">
        <v>104</v>
      </c>
      <c r="C23" s="90" t="s">
        <v>105</v>
      </c>
      <c r="D23" s="77" t="s">
        <v>80</v>
      </c>
      <c r="E23" s="87" t="s">
        <v>106</v>
      </c>
      <c r="F23" s="75" t="s">
        <v>107</v>
      </c>
      <c r="G23" s="76">
        <v>100</v>
      </c>
      <c r="H23" s="78">
        <v>1150</v>
      </c>
      <c r="I23" s="79">
        <f t="shared" si="2"/>
        <v>115000</v>
      </c>
    </row>
    <row r="24" spans="1:9" ht="61.5" customHeight="1" thickBot="1" x14ac:dyDescent="0.25">
      <c r="A24" s="82">
        <v>15</v>
      </c>
      <c r="B24" s="80" t="s">
        <v>110</v>
      </c>
      <c r="C24" s="73" t="s">
        <v>79</v>
      </c>
      <c r="D24" s="88" t="s">
        <v>80</v>
      </c>
      <c r="E24" s="87" t="s">
        <v>111</v>
      </c>
      <c r="F24" s="75" t="s">
        <v>107</v>
      </c>
      <c r="G24" s="76">
        <v>100</v>
      </c>
      <c r="H24" s="78">
        <v>1270.5</v>
      </c>
      <c r="I24" s="79">
        <f t="shared" si="2"/>
        <v>127050</v>
      </c>
    </row>
    <row r="25" spans="1:9" ht="64.5" customHeight="1" thickBot="1" x14ac:dyDescent="0.25">
      <c r="A25" s="82">
        <v>16</v>
      </c>
      <c r="B25" s="84" t="s">
        <v>113</v>
      </c>
      <c r="C25" s="90" t="s">
        <v>105</v>
      </c>
      <c r="D25" s="77" t="s">
        <v>68</v>
      </c>
      <c r="E25" s="87" t="s">
        <v>114</v>
      </c>
      <c r="F25" s="75" t="s">
        <v>115</v>
      </c>
      <c r="G25" s="76">
        <v>80</v>
      </c>
      <c r="H25" s="78">
        <v>199.65</v>
      </c>
      <c r="I25" s="79">
        <f t="shared" si="2"/>
        <v>15972</v>
      </c>
    </row>
    <row r="26" spans="1:9" ht="56.25" customHeight="1" thickBot="1" x14ac:dyDescent="0.25">
      <c r="A26" s="82">
        <v>17</v>
      </c>
      <c r="B26" s="80" t="s">
        <v>116</v>
      </c>
      <c r="C26" s="90" t="s">
        <v>79</v>
      </c>
      <c r="D26" s="77" t="s">
        <v>80</v>
      </c>
      <c r="E26" s="81" t="s">
        <v>117</v>
      </c>
      <c r="F26" s="75" t="s">
        <v>118</v>
      </c>
      <c r="G26" s="76">
        <v>100</v>
      </c>
      <c r="H26" s="78">
        <v>859</v>
      </c>
      <c r="I26" s="79">
        <f t="shared" si="2"/>
        <v>85900</v>
      </c>
    </row>
    <row r="27" spans="1:9" ht="53.25" customHeight="1" thickBot="1" x14ac:dyDescent="0.25">
      <c r="A27" s="82">
        <v>18</v>
      </c>
      <c r="B27" s="82" t="s">
        <v>119</v>
      </c>
      <c r="C27" s="90" t="s">
        <v>79</v>
      </c>
      <c r="D27" s="77" t="s">
        <v>80</v>
      </c>
      <c r="E27" s="81" t="s">
        <v>120</v>
      </c>
      <c r="F27" s="76" t="s">
        <v>81</v>
      </c>
      <c r="G27" s="76">
        <v>5</v>
      </c>
      <c r="H27" s="78">
        <v>989</v>
      </c>
      <c r="I27" s="79">
        <f t="shared" si="2"/>
        <v>4945</v>
      </c>
    </row>
    <row r="29" spans="1:9" ht="13.5" thickBot="1" x14ac:dyDescent="0.25"/>
    <row r="30" spans="1:9" ht="76.5" customHeight="1" thickBot="1" x14ac:dyDescent="0.25">
      <c r="B30" s="99" t="s">
        <v>123</v>
      </c>
      <c r="C30" s="100"/>
      <c r="D30" s="100"/>
      <c r="E30" s="101"/>
    </row>
    <row r="31" spans="1:9" ht="33" customHeight="1" thickBot="1" x14ac:dyDescent="0.25">
      <c r="B31" s="102" t="s">
        <v>124</v>
      </c>
      <c r="C31" s="103"/>
      <c r="D31" s="103"/>
      <c r="E31" s="104"/>
    </row>
    <row r="32" spans="1:9" ht="49.5" customHeight="1" thickBot="1" x14ac:dyDescent="0.25">
      <c r="B32" s="105" t="s">
        <v>125</v>
      </c>
      <c r="C32" s="106"/>
      <c r="D32" s="106"/>
      <c r="E32" s="107"/>
    </row>
    <row r="33" spans="2:5" ht="13.5" thickBot="1" x14ac:dyDescent="0.25"/>
    <row r="34" spans="2:5" x14ac:dyDescent="0.2">
      <c r="B34" s="42" t="s">
        <v>95</v>
      </c>
      <c r="C34" s="43"/>
      <c r="D34" s="43"/>
      <c r="E34" s="44"/>
    </row>
    <row r="35" spans="2:5" ht="5.25" customHeight="1" x14ac:dyDescent="0.2">
      <c r="B35" s="45"/>
      <c r="C35" s="46"/>
      <c r="D35" s="46"/>
      <c r="E35" s="47"/>
    </row>
    <row r="36" spans="2:5" x14ac:dyDescent="0.2">
      <c r="B36" s="48" t="s">
        <v>14</v>
      </c>
      <c r="C36" s="46"/>
      <c r="D36" s="46"/>
      <c r="E36" s="47"/>
    </row>
    <row r="37" spans="2:5" ht="41.25" customHeight="1" x14ac:dyDescent="0.2">
      <c r="B37" s="48"/>
      <c r="C37" s="92" t="s">
        <v>127</v>
      </c>
      <c r="D37" s="92"/>
      <c r="E37" s="93"/>
    </row>
    <row r="38" spans="2:5" x14ac:dyDescent="0.2">
      <c r="B38" s="48" t="s">
        <v>15</v>
      </c>
      <c r="C38" s="46"/>
      <c r="D38" s="46"/>
      <c r="E38" s="47"/>
    </row>
    <row r="39" spans="2:5" ht="30" customHeight="1" x14ac:dyDescent="0.2">
      <c r="B39" s="49"/>
      <c r="C39" s="96" t="s">
        <v>126</v>
      </c>
      <c r="D39" s="96"/>
      <c r="E39" s="97"/>
    </row>
    <row r="40" spans="2:5" x14ac:dyDescent="0.2">
      <c r="B40" s="49"/>
      <c r="C40" s="98"/>
      <c r="D40" s="98"/>
      <c r="E40" s="98"/>
    </row>
    <row r="41" spans="2:5" x14ac:dyDescent="0.2">
      <c r="B41" s="48" t="s">
        <v>16</v>
      </c>
      <c r="C41" s="46"/>
      <c r="D41" s="46"/>
      <c r="E41" s="47"/>
    </row>
    <row r="42" spans="2:5" ht="21.75" customHeight="1" x14ac:dyDescent="0.2">
      <c r="B42" s="49"/>
      <c r="C42" s="91"/>
      <c r="D42" s="91"/>
      <c r="E42" s="91"/>
    </row>
    <row r="43" spans="2:5" x14ac:dyDescent="0.2">
      <c r="B43" s="48" t="s">
        <v>17</v>
      </c>
      <c r="C43" s="50"/>
      <c r="D43" s="50"/>
      <c r="E43" s="51"/>
    </row>
    <row r="44" spans="2:5" ht="26.25" customHeight="1" x14ac:dyDescent="0.2">
      <c r="B44" s="49"/>
      <c r="C44" s="92" t="s">
        <v>63</v>
      </c>
      <c r="D44" s="92"/>
      <c r="E44" s="93"/>
    </row>
    <row r="45" spans="2:5" x14ac:dyDescent="0.2">
      <c r="B45" s="48" t="s">
        <v>18</v>
      </c>
      <c r="C45" s="46"/>
      <c r="D45" s="46"/>
      <c r="E45" s="47"/>
    </row>
    <row r="46" spans="2:5" ht="23.25" customHeight="1" x14ac:dyDescent="0.2">
      <c r="B46" s="48"/>
      <c r="C46" s="94"/>
      <c r="D46" s="94"/>
      <c r="E46" s="94"/>
    </row>
    <row r="47" spans="2:5" ht="13.5" thickBot="1" x14ac:dyDescent="0.25">
      <c r="B47" s="52"/>
      <c r="C47" s="53"/>
      <c r="D47" s="53"/>
      <c r="E47" s="54"/>
    </row>
    <row r="48" spans="2:5" x14ac:dyDescent="0.2">
      <c r="B48" s="72"/>
      <c r="C48" s="46"/>
      <c r="D48" s="46"/>
      <c r="E48" s="46"/>
    </row>
    <row r="49" spans="2:5" ht="13.5" thickBot="1" x14ac:dyDescent="0.25">
      <c r="B49" s="72"/>
      <c r="C49" s="46"/>
      <c r="D49" s="46"/>
      <c r="E49" s="46"/>
    </row>
    <row r="50" spans="2:5" x14ac:dyDescent="0.2">
      <c r="B50" s="42" t="s">
        <v>112</v>
      </c>
      <c r="C50" s="43"/>
      <c r="D50" s="43"/>
      <c r="E50" s="44"/>
    </row>
    <row r="51" spans="2:5" x14ac:dyDescent="0.2">
      <c r="B51" s="45"/>
      <c r="C51" s="46"/>
      <c r="D51" s="46"/>
      <c r="E51" s="47"/>
    </row>
    <row r="52" spans="2:5" x14ac:dyDescent="0.2">
      <c r="B52" s="48" t="s">
        <v>14</v>
      </c>
      <c r="C52" s="46"/>
      <c r="D52" s="46"/>
      <c r="E52" s="47"/>
    </row>
    <row r="53" spans="2:5" ht="45" customHeight="1" x14ac:dyDescent="0.2">
      <c r="B53" s="48"/>
      <c r="C53" s="92" t="s">
        <v>128</v>
      </c>
      <c r="D53" s="92"/>
      <c r="E53" s="93"/>
    </row>
    <row r="54" spans="2:5" ht="21" customHeight="1" x14ac:dyDescent="0.2">
      <c r="B54" s="48" t="s">
        <v>15</v>
      </c>
      <c r="C54" s="46"/>
      <c r="D54" s="46"/>
      <c r="E54" s="47"/>
    </row>
    <row r="55" spans="2:5" ht="28.5" customHeight="1" x14ac:dyDescent="0.2">
      <c r="B55" s="49"/>
      <c r="C55" s="96" t="s">
        <v>126</v>
      </c>
      <c r="D55" s="96"/>
      <c r="E55" s="97"/>
    </row>
    <row r="56" spans="2:5" x14ac:dyDescent="0.2">
      <c r="B56" s="49"/>
      <c r="C56" s="98"/>
      <c r="D56" s="98"/>
      <c r="E56" s="98"/>
    </row>
    <row r="57" spans="2:5" x14ac:dyDescent="0.2">
      <c r="B57" s="48" t="s">
        <v>16</v>
      </c>
      <c r="C57" s="46"/>
      <c r="D57" s="46"/>
      <c r="E57" s="47"/>
    </row>
    <row r="58" spans="2:5" ht="21.75" customHeight="1" x14ac:dyDescent="0.2">
      <c r="B58" s="49"/>
      <c r="C58" s="91"/>
      <c r="D58" s="91"/>
      <c r="E58" s="91"/>
    </row>
    <row r="59" spans="2:5" x14ac:dyDescent="0.2">
      <c r="B59" s="48" t="s">
        <v>17</v>
      </c>
      <c r="C59" s="50"/>
      <c r="D59" s="50"/>
      <c r="E59" s="51"/>
    </row>
    <row r="60" spans="2:5" ht="28.5" customHeight="1" x14ac:dyDescent="0.2">
      <c r="B60" s="49"/>
      <c r="C60" s="92" t="s">
        <v>63</v>
      </c>
      <c r="D60" s="92"/>
      <c r="E60" s="93"/>
    </row>
    <row r="61" spans="2:5" x14ac:dyDescent="0.2">
      <c r="B61" s="48" t="s">
        <v>18</v>
      </c>
      <c r="C61" s="46"/>
      <c r="D61" s="46"/>
      <c r="E61" s="47"/>
    </row>
    <row r="62" spans="2:5" x14ac:dyDescent="0.2">
      <c r="B62" s="48"/>
      <c r="C62" s="94"/>
      <c r="D62" s="94"/>
      <c r="E62" s="94"/>
    </row>
    <row r="63" spans="2:5" ht="33" customHeight="1" thickBot="1" x14ac:dyDescent="0.25">
      <c r="B63" s="52"/>
      <c r="C63" s="53"/>
      <c r="D63" s="53"/>
      <c r="E63" s="54"/>
    </row>
    <row r="64" spans="2:5" x14ac:dyDescent="0.2">
      <c r="B64" s="72"/>
      <c r="C64" s="46"/>
      <c r="D64" s="46"/>
      <c r="E64" s="46"/>
    </row>
    <row r="65" spans="2:5" x14ac:dyDescent="0.2">
      <c r="B65" s="72"/>
      <c r="C65" s="46"/>
      <c r="D65" s="46"/>
      <c r="E65" s="46"/>
    </row>
    <row r="66" spans="2:5" ht="13.5" thickBot="1" x14ac:dyDescent="0.25"/>
    <row r="67" spans="2:5" x14ac:dyDescent="0.2">
      <c r="B67" s="42" t="s">
        <v>96</v>
      </c>
      <c r="C67" s="43"/>
      <c r="D67" s="43"/>
      <c r="E67" s="44"/>
    </row>
    <row r="68" spans="2:5" x14ac:dyDescent="0.2">
      <c r="B68" s="45"/>
      <c r="C68" s="46"/>
      <c r="D68" s="46"/>
      <c r="E68" s="47"/>
    </row>
    <row r="69" spans="2:5" x14ac:dyDescent="0.2">
      <c r="B69" s="48" t="s">
        <v>14</v>
      </c>
      <c r="C69" s="46"/>
      <c r="D69" s="46"/>
      <c r="E69" s="47"/>
    </row>
    <row r="70" spans="2:5" ht="29.25" customHeight="1" x14ac:dyDescent="0.2">
      <c r="B70" s="48"/>
      <c r="C70" s="92" t="s">
        <v>129</v>
      </c>
      <c r="D70" s="92"/>
      <c r="E70" s="93"/>
    </row>
    <row r="71" spans="2:5" x14ac:dyDescent="0.2">
      <c r="B71" s="48" t="s">
        <v>15</v>
      </c>
      <c r="C71" s="46"/>
      <c r="D71" s="46"/>
      <c r="E71" s="47"/>
    </row>
    <row r="72" spans="2:5" ht="23.25" customHeight="1" x14ac:dyDescent="0.2">
      <c r="B72" s="49"/>
      <c r="C72" s="96" t="s">
        <v>126</v>
      </c>
      <c r="D72" s="96"/>
      <c r="E72" s="97"/>
    </row>
    <row r="73" spans="2:5" x14ac:dyDescent="0.2">
      <c r="B73" s="49"/>
      <c r="C73" s="94"/>
      <c r="D73" s="94"/>
      <c r="E73" s="94"/>
    </row>
    <row r="74" spans="2:5" x14ac:dyDescent="0.2">
      <c r="B74" s="48" t="s">
        <v>16</v>
      </c>
      <c r="C74" s="46"/>
      <c r="D74" s="46"/>
      <c r="E74" s="47"/>
    </row>
    <row r="75" spans="2:5" x14ac:dyDescent="0.2">
      <c r="B75" s="49"/>
      <c r="C75" s="91"/>
      <c r="D75" s="91"/>
      <c r="E75" s="91"/>
    </row>
    <row r="76" spans="2:5" x14ac:dyDescent="0.2">
      <c r="B76" s="48" t="s">
        <v>17</v>
      </c>
      <c r="C76" s="50"/>
      <c r="D76" s="50"/>
      <c r="E76" s="51"/>
    </row>
    <row r="77" spans="2:5" ht="27.75" customHeight="1" x14ac:dyDescent="0.2">
      <c r="B77" s="49"/>
      <c r="C77" s="92" t="s">
        <v>63</v>
      </c>
      <c r="D77" s="92"/>
      <c r="E77" s="93"/>
    </row>
    <row r="78" spans="2:5" x14ac:dyDescent="0.2">
      <c r="B78" s="48" t="s">
        <v>18</v>
      </c>
      <c r="C78" s="46"/>
      <c r="D78" s="46"/>
      <c r="E78" s="47"/>
    </row>
    <row r="79" spans="2:5" x14ac:dyDescent="0.2">
      <c r="B79" s="48"/>
      <c r="C79" s="94"/>
      <c r="D79" s="94"/>
      <c r="E79" s="94"/>
    </row>
    <row r="80" spans="2:5" ht="13.5" thickBot="1" x14ac:dyDescent="0.25">
      <c r="B80" s="52"/>
      <c r="C80" s="53"/>
      <c r="D80" s="53"/>
      <c r="E80" s="54"/>
    </row>
    <row r="82" spans="2:5" ht="13.5" thickBot="1" x14ac:dyDescent="0.25"/>
    <row r="83" spans="2:5" x14ac:dyDescent="0.2">
      <c r="B83" s="42" t="s">
        <v>99</v>
      </c>
      <c r="C83" s="43"/>
      <c r="D83" s="43"/>
      <c r="E83" s="44"/>
    </row>
    <row r="84" spans="2:5" x14ac:dyDescent="0.2">
      <c r="B84" s="45"/>
      <c r="C84" s="46"/>
      <c r="D84" s="46"/>
      <c r="E84" s="47"/>
    </row>
    <row r="85" spans="2:5" x14ac:dyDescent="0.2">
      <c r="B85" s="48" t="s">
        <v>14</v>
      </c>
      <c r="C85" s="46"/>
      <c r="D85" s="46"/>
      <c r="E85" s="47"/>
    </row>
    <row r="86" spans="2:5" ht="34.5" customHeight="1" x14ac:dyDescent="0.2">
      <c r="B86" s="48"/>
      <c r="C86" s="92" t="s">
        <v>129</v>
      </c>
      <c r="D86" s="92"/>
      <c r="E86" s="93"/>
    </row>
    <row r="87" spans="2:5" x14ac:dyDescent="0.2">
      <c r="B87" s="48" t="s">
        <v>15</v>
      </c>
      <c r="C87" s="46"/>
      <c r="D87" s="46"/>
      <c r="E87" s="47"/>
    </row>
    <row r="88" spans="2:5" ht="24.75" customHeight="1" x14ac:dyDescent="0.2">
      <c r="B88" s="49"/>
      <c r="C88" s="96" t="s">
        <v>126</v>
      </c>
      <c r="D88" s="96"/>
      <c r="E88" s="97"/>
    </row>
    <row r="89" spans="2:5" x14ac:dyDescent="0.2">
      <c r="B89" s="49"/>
      <c r="C89" s="94"/>
      <c r="D89" s="94"/>
      <c r="E89" s="94"/>
    </row>
    <row r="90" spans="2:5" x14ac:dyDescent="0.2">
      <c r="B90" s="48" t="s">
        <v>16</v>
      </c>
      <c r="C90" s="46"/>
      <c r="D90" s="46"/>
      <c r="E90" s="47"/>
    </row>
    <row r="91" spans="2:5" x14ac:dyDescent="0.2">
      <c r="B91" s="49"/>
      <c r="C91" s="91"/>
      <c r="D91" s="91"/>
      <c r="E91" s="91"/>
    </row>
    <row r="92" spans="2:5" x14ac:dyDescent="0.2">
      <c r="B92" s="48" t="s">
        <v>17</v>
      </c>
      <c r="C92" s="50"/>
      <c r="D92" s="50"/>
      <c r="E92" s="51"/>
    </row>
    <row r="93" spans="2:5" ht="33" customHeight="1" x14ac:dyDescent="0.2">
      <c r="B93" s="49"/>
      <c r="C93" s="92" t="s">
        <v>63</v>
      </c>
      <c r="D93" s="92"/>
      <c r="E93" s="93"/>
    </row>
    <row r="94" spans="2:5" x14ac:dyDescent="0.2">
      <c r="B94" s="48" t="s">
        <v>18</v>
      </c>
      <c r="C94" s="46"/>
      <c r="D94" s="46"/>
      <c r="E94" s="47"/>
    </row>
    <row r="95" spans="2:5" x14ac:dyDescent="0.2">
      <c r="B95" s="48"/>
      <c r="C95" s="94"/>
      <c r="D95" s="94"/>
      <c r="E95" s="94"/>
    </row>
    <row r="96" spans="2:5" ht="13.5" thickBot="1" x14ac:dyDescent="0.25">
      <c r="B96" s="52"/>
      <c r="C96" s="53"/>
      <c r="D96" s="53"/>
      <c r="E96" s="54"/>
    </row>
    <row r="98" spans="2:5" ht="13.5" thickBot="1" x14ac:dyDescent="0.25"/>
    <row r="99" spans="2:5" x14ac:dyDescent="0.2">
      <c r="B99" s="42" t="s">
        <v>108</v>
      </c>
      <c r="C99" s="43"/>
      <c r="D99" s="43"/>
      <c r="E99" s="44"/>
    </row>
    <row r="100" spans="2:5" x14ac:dyDescent="0.2">
      <c r="B100" s="45"/>
      <c r="C100" s="46"/>
      <c r="D100" s="46"/>
      <c r="E100" s="47"/>
    </row>
    <row r="101" spans="2:5" x14ac:dyDescent="0.2">
      <c r="B101" s="48" t="s">
        <v>14</v>
      </c>
      <c r="C101" s="46"/>
      <c r="D101" s="46"/>
      <c r="E101" s="47"/>
    </row>
    <row r="102" spans="2:5" ht="30.75" customHeight="1" x14ac:dyDescent="0.2">
      <c r="B102" s="48"/>
      <c r="C102" s="92" t="s">
        <v>130</v>
      </c>
      <c r="D102" s="92"/>
      <c r="E102" s="93"/>
    </row>
    <row r="103" spans="2:5" x14ac:dyDescent="0.2">
      <c r="B103" s="48" t="s">
        <v>15</v>
      </c>
      <c r="C103" s="46"/>
      <c r="D103" s="46"/>
      <c r="E103" s="47"/>
    </row>
    <row r="104" spans="2:5" x14ac:dyDescent="0.2">
      <c r="B104" s="49"/>
      <c r="C104" s="94"/>
      <c r="D104" s="94"/>
      <c r="E104" s="94"/>
    </row>
    <row r="105" spans="2:5" ht="24" customHeight="1" x14ac:dyDescent="0.2">
      <c r="B105" s="49"/>
      <c r="C105" s="96" t="s">
        <v>126</v>
      </c>
      <c r="D105" s="96"/>
      <c r="E105" s="97"/>
    </row>
    <row r="106" spans="2:5" x14ac:dyDescent="0.2">
      <c r="B106" s="48" t="s">
        <v>16</v>
      </c>
      <c r="C106" s="46"/>
      <c r="D106" s="46"/>
      <c r="E106" s="47"/>
    </row>
    <row r="107" spans="2:5" x14ac:dyDescent="0.2">
      <c r="B107" s="49"/>
      <c r="C107" s="91"/>
      <c r="D107" s="91"/>
      <c r="E107" s="91"/>
    </row>
    <row r="108" spans="2:5" x14ac:dyDescent="0.2">
      <c r="B108" s="48" t="s">
        <v>17</v>
      </c>
      <c r="C108" s="50"/>
      <c r="D108" s="50"/>
      <c r="E108" s="51"/>
    </row>
    <row r="109" spans="2:5" ht="27.75" customHeight="1" x14ac:dyDescent="0.2">
      <c r="B109" s="49"/>
      <c r="C109" s="92" t="s">
        <v>63</v>
      </c>
      <c r="D109" s="92"/>
      <c r="E109" s="93"/>
    </row>
    <row r="110" spans="2:5" x14ac:dyDescent="0.2">
      <c r="B110" s="48" t="s">
        <v>18</v>
      </c>
      <c r="C110" s="46"/>
      <c r="D110" s="46"/>
      <c r="E110" s="47"/>
    </row>
    <row r="111" spans="2:5" x14ac:dyDescent="0.2">
      <c r="B111" s="48"/>
      <c r="C111" s="94"/>
      <c r="D111" s="94"/>
      <c r="E111" s="94"/>
    </row>
    <row r="112" spans="2:5" ht="13.5" thickBot="1" x14ac:dyDescent="0.25">
      <c r="B112" s="52"/>
      <c r="C112" s="53"/>
      <c r="D112" s="53"/>
      <c r="E112" s="54"/>
    </row>
    <row r="114" spans="2:5" ht="13.5" thickBot="1" x14ac:dyDescent="0.25"/>
    <row r="115" spans="2:5" x14ac:dyDescent="0.2">
      <c r="B115" s="42" t="s">
        <v>109</v>
      </c>
      <c r="C115" s="43"/>
      <c r="D115" s="43"/>
      <c r="E115" s="44"/>
    </row>
    <row r="116" spans="2:5" x14ac:dyDescent="0.2">
      <c r="B116" s="45"/>
      <c r="C116" s="46"/>
      <c r="D116" s="46"/>
      <c r="E116" s="47"/>
    </row>
    <row r="117" spans="2:5" x14ac:dyDescent="0.2">
      <c r="B117" s="48" t="s">
        <v>14</v>
      </c>
      <c r="C117" s="46"/>
      <c r="D117" s="46"/>
      <c r="E117" s="47"/>
    </row>
    <row r="118" spans="2:5" ht="21" customHeight="1" x14ac:dyDescent="0.2">
      <c r="B118" s="48"/>
      <c r="C118" s="92" t="s">
        <v>131</v>
      </c>
      <c r="D118" s="92"/>
      <c r="E118" s="93"/>
    </row>
    <row r="119" spans="2:5" x14ac:dyDescent="0.2">
      <c r="B119" s="48" t="s">
        <v>15</v>
      </c>
      <c r="C119" s="46"/>
      <c r="D119" s="46"/>
      <c r="E119" s="47"/>
    </row>
    <row r="120" spans="2:5" ht="24.75" customHeight="1" x14ac:dyDescent="0.2">
      <c r="B120" s="49"/>
      <c r="C120" s="96" t="s">
        <v>126</v>
      </c>
      <c r="D120" s="96"/>
      <c r="E120" s="97"/>
    </row>
    <row r="121" spans="2:5" x14ac:dyDescent="0.2">
      <c r="B121" s="49"/>
      <c r="C121" s="94"/>
      <c r="D121" s="94"/>
      <c r="E121" s="94"/>
    </row>
    <row r="122" spans="2:5" x14ac:dyDescent="0.2">
      <c r="B122" s="48" t="s">
        <v>16</v>
      </c>
      <c r="C122" s="46"/>
      <c r="D122" s="46"/>
      <c r="E122" s="47"/>
    </row>
    <row r="123" spans="2:5" x14ac:dyDescent="0.2">
      <c r="B123" s="49"/>
      <c r="C123" s="91"/>
      <c r="D123" s="91"/>
      <c r="E123" s="91"/>
    </row>
    <row r="124" spans="2:5" x14ac:dyDescent="0.2">
      <c r="B124" s="48" t="s">
        <v>17</v>
      </c>
      <c r="C124" s="50"/>
      <c r="D124" s="50"/>
      <c r="E124" s="51"/>
    </row>
    <row r="125" spans="2:5" ht="29.25" customHeight="1" x14ac:dyDescent="0.2">
      <c r="B125" s="49"/>
      <c r="C125" s="92" t="s">
        <v>63</v>
      </c>
      <c r="D125" s="92"/>
      <c r="E125" s="93"/>
    </row>
    <row r="126" spans="2:5" x14ac:dyDescent="0.2">
      <c r="B126" s="48" t="s">
        <v>18</v>
      </c>
      <c r="C126" s="46"/>
      <c r="D126" s="46"/>
      <c r="E126" s="47"/>
    </row>
    <row r="127" spans="2:5" x14ac:dyDescent="0.2">
      <c r="B127" s="48"/>
      <c r="C127" s="94"/>
      <c r="D127" s="94"/>
      <c r="E127" s="94"/>
    </row>
    <row r="128" spans="2:5" ht="13.5" thickBot="1" x14ac:dyDescent="0.25">
      <c r="B128" s="52"/>
      <c r="C128" s="53"/>
      <c r="D128" s="53"/>
      <c r="E128" s="54"/>
    </row>
  </sheetData>
  <autoFilter ref="A9:I27" xr:uid="{00000000-0009-0000-0000-000000000000}"/>
  <sortState xmlns:xlrd2="http://schemas.microsoft.com/office/spreadsheetml/2017/richdata2" ref="A10:I13">
    <sortCondition ref="E10:E13"/>
  </sortState>
  <mergeCells count="46">
    <mergeCell ref="C125:E125"/>
    <mergeCell ref="C127:E127"/>
    <mergeCell ref="C53:E53"/>
    <mergeCell ref="C55:E55"/>
    <mergeCell ref="C56:E56"/>
    <mergeCell ref="C58:E58"/>
    <mergeCell ref="C60:E60"/>
    <mergeCell ref="C62:E62"/>
    <mergeCell ref="C111:E111"/>
    <mergeCell ref="C118:E118"/>
    <mergeCell ref="C120:E120"/>
    <mergeCell ref="C121:E121"/>
    <mergeCell ref="C123:E123"/>
    <mergeCell ref="C102:E102"/>
    <mergeCell ref="C104:E104"/>
    <mergeCell ref="C105:E105"/>
    <mergeCell ref="C107:E107"/>
    <mergeCell ref="C109:E109"/>
    <mergeCell ref="C93:E93"/>
    <mergeCell ref="C95:E95"/>
    <mergeCell ref="C79:E79"/>
    <mergeCell ref="C86:E86"/>
    <mergeCell ref="C88:E88"/>
    <mergeCell ref="C89:E89"/>
    <mergeCell ref="C91:E91"/>
    <mergeCell ref="C70:E70"/>
    <mergeCell ref="C72:E72"/>
    <mergeCell ref="C73:E73"/>
    <mergeCell ref="C75:E75"/>
    <mergeCell ref="C77:E77"/>
    <mergeCell ref="B2:H2"/>
    <mergeCell ref="A4:B4"/>
    <mergeCell ref="C4:E4"/>
    <mergeCell ref="A5:B5"/>
    <mergeCell ref="C5:E5"/>
    <mergeCell ref="C42:E42"/>
    <mergeCell ref="C44:E44"/>
    <mergeCell ref="C46:E46"/>
    <mergeCell ref="A6:B6"/>
    <mergeCell ref="A7:B7"/>
    <mergeCell ref="C37:E37"/>
    <mergeCell ref="C39:E39"/>
    <mergeCell ref="C40:E40"/>
    <mergeCell ref="B30:E30"/>
    <mergeCell ref="B31:E31"/>
    <mergeCell ref="B32:E3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zoomScale="70" zoomScaleNormal="70" workbookViewId="0">
      <selection activeCell="A31" sqref="A3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112" t="s">
        <v>19</v>
      </c>
      <c r="B1" s="112"/>
      <c r="C1" s="112"/>
      <c r="D1" s="112"/>
      <c r="E1" s="112"/>
      <c r="F1" s="112"/>
      <c r="G1" s="112"/>
      <c r="H1" s="112"/>
      <c r="I1" s="112"/>
      <c r="J1" s="3" t="s">
        <v>20</v>
      </c>
      <c r="K1" s="58" t="s">
        <v>122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3" t="s">
        <v>53</v>
      </c>
      <c r="B3" s="113"/>
      <c r="C3" s="113"/>
      <c r="D3" s="111" t="str">
        <f>'Necesidades Trimestrales'!C4</f>
        <v>40 - Ministerio de Salud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0" t="s">
        <v>54</v>
      </c>
      <c r="B4" s="110"/>
      <c r="C4" s="110"/>
      <c r="D4" s="111" t="str">
        <f>'Necesidades Trimestrales'!C5</f>
        <v>23 - Hospital Interzonal San Juan Bautista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0" t="s">
        <v>32</v>
      </c>
      <c r="B5" s="110"/>
      <c r="C5" s="110"/>
      <c r="D5" s="111" t="s">
        <v>59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3" t="s">
        <v>55</v>
      </c>
      <c r="B6" s="113"/>
      <c r="C6" s="113"/>
      <c r="D6" s="111" t="s">
        <v>60</v>
      </c>
      <c r="E6" s="111"/>
      <c r="F6" s="111"/>
      <c r="G6" s="111"/>
      <c r="H6" s="111"/>
      <c r="I6" s="111"/>
      <c r="J6" s="111"/>
      <c r="K6" s="111"/>
    </row>
    <row r="7" spans="1:11" ht="16.5" customHeight="1" thickBot="1" x14ac:dyDescent="0.25">
      <c r="A7" s="110" t="s">
        <v>21</v>
      </c>
      <c r="B7" s="110"/>
      <c r="C7" s="110"/>
      <c r="D7" s="111" t="s">
        <v>121</v>
      </c>
      <c r="E7" s="111"/>
      <c r="F7" s="111"/>
      <c r="G7" s="111"/>
      <c r="H7" s="111"/>
      <c r="I7" s="111"/>
      <c r="J7" s="111"/>
      <c r="K7" s="111"/>
    </row>
    <row r="8" spans="1:11" ht="16.5" customHeight="1" thickBot="1" x14ac:dyDescent="0.25">
      <c r="A8" s="114" t="s">
        <v>22</v>
      </c>
      <c r="B8" s="114"/>
      <c r="C8" s="114"/>
      <c r="D8" s="115" t="s">
        <v>66</v>
      </c>
      <c r="E8" s="115"/>
      <c r="F8" s="115"/>
      <c r="G8" s="115"/>
      <c r="H8" s="115"/>
      <c r="I8" s="115"/>
      <c r="J8" s="115"/>
      <c r="K8" s="115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16" t="s">
        <v>23</v>
      </c>
      <c r="B10" s="117" t="s">
        <v>24</v>
      </c>
      <c r="C10" s="117" t="s">
        <v>25</v>
      </c>
      <c r="D10" s="117"/>
      <c r="E10" s="117"/>
      <c r="F10" s="117"/>
      <c r="G10" s="117"/>
      <c r="H10" s="117" t="s">
        <v>26</v>
      </c>
      <c r="I10" s="117" t="s">
        <v>27</v>
      </c>
      <c r="J10" s="117" t="s">
        <v>28</v>
      </c>
      <c r="K10" s="119" t="s">
        <v>29</v>
      </c>
    </row>
    <row r="11" spans="1:11" ht="24" customHeight="1" thickBo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9"/>
    </row>
    <row r="12" spans="1:11" ht="39.75" customHeight="1" thickBot="1" x14ac:dyDescent="0.25">
      <c r="A12" s="8">
        <v>1</v>
      </c>
      <c r="B12" s="59" t="str">
        <f>'Necesidades Trimestrales'!B10</f>
        <v>2.5.1-9009.497</v>
      </c>
      <c r="C12" s="118" t="str">
        <f>'Necesidades Trimestrales'!E10</f>
        <v>ACIDOS; COMPUESTO QUIMICO: AC. ACETICO; ESTADO SOLIDO; CALIDAD: FARMACEUTICA; CONCENTRACION/PUREZA 25/30%; PRESENTACION: 5KG</v>
      </c>
      <c r="D12" s="118"/>
      <c r="E12" s="118"/>
      <c r="F12" s="118"/>
      <c r="G12" s="118"/>
      <c r="H12" s="60" t="s">
        <v>56</v>
      </c>
      <c r="I12" s="61" t="str">
        <f>'Necesidades Trimestrales'!F10</f>
        <v xml:space="preserve">BIDON </v>
      </c>
      <c r="J12" s="62">
        <f>'Necesidades Trimestrales'!H10</f>
        <v>3300</v>
      </c>
      <c r="K12" s="63">
        <f>'Necesidades Trimestrales'!G10</f>
        <v>20</v>
      </c>
    </row>
    <row r="13" spans="1:11" ht="42.75" customHeight="1" thickBot="1" x14ac:dyDescent="0.25">
      <c r="A13" s="8">
        <v>2</v>
      </c>
      <c r="B13" s="59" t="str">
        <f>'Necesidades Trimestrales'!B11</f>
        <v>2.5.1-5771.11</v>
      </c>
      <c r="C13" s="118" t="str">
        <f>'Necesidades Trimestrales'!E11</f>
        <v>ANTISEPTICOS P/MATERIALES; TIPO: ASOCIACION, DROGA GENERICA: PEROXIDO DE HIDROGENO+ ACIDO PERACETICO, FORMA FARMACEUTICA: SOLUCION, PRESENTACION: ENVASE X 5LT, USO: EQUIPO</v>
      </c>
      <c r="D13" s="118"/>
      <c r="E13" s="118"/>
      <c r="F13" s="118"/>
      <c r="G13" s="118"/>
      <c r="H13" s="60" t="s">
        <v>69</v>
      </c>
      <c r="I13" s="61" t="str">
        <f>'Necesidades Trimestrales'!F11</f>
        <v xml:space="preserve">BIDON </v>
      </c>
      <c r="J13" s="62">
        <f>'Necesidades Trimestrales'!H11</f>
        <v>1880</v>
      </c>
      <c r="K13" s="63">
        <f>'Necesidades Trimestrales'!G11</f>
        <v>20</v>
      </c>
    </row>
    <row r="14" spans="1:11" ht="39.75" customHeight="1" thickBot="1" x14ac:dyDescent="0.25">
      <c r="A14" s="8">
        <v>3</v>
      </c>
      <c r="B14" s="59" t="str">
        <f>'Necesidades Trimestrales'!B12</f>
        <v>2.5.1-9009.262</v>
      </c>
      <c r="C14" s="118" t="str">
        <f>'Necesidades Trimestrales'!E12</f>
        <v>ACIDOS; COMPUESTO QUIMICO: AC. CITRICO, ESTADO: SOLIDO, CALIDAD: BIOLOGIA MOLECULAR, CONCENTRACION/PUREZA: 99,99 %, PRESENTACION: ENVASE X 1 Kg</v>
      </c>
      <c r="D14" s="118"/>
      <c r="E14" s="118"/>
      <c r="F14" s="118"/>
      <c r="G14" s="118"/>
      <c r="H14" s="60" t="s">
        <v>56</v>
      </c>
      <c r="I14" s="61" t="str">
        <f>'Necesidades Trimestrales'!F12</f>
        <v xml:space="preserve">UNIDAD </v>
      </c>
      <c r="J14" s="62">
        <f>'Necesidades Trimestrales'!H12</f>
        <v>1560</v>
      </c>
      <c r="K14" s="63">
        <f>'Necesidades Trimestrales'!G12</f>
        <v>10</v>
      </c>
    </row>
    <row r="15" spans="1:11" ht="42" customHeight="1" thickBot="1" x14ac:dyDescent="0.25">
      <c r="A15" s="8">
        <v>4</v>
      </c>
      <c r="B15" s="59" t="str">
        <f>'Necesidades Trimestrales'!B13</f>
        <v>2.5.2-710.4</v>
      </c>
      <c r="C15" s="118" t="str">
        <f>'Necesidades Trimestrales'!E13</f>
        <v>AGUA OXIGENADA; CAPACIDAD: 1000 CM3, VOLUMEN: 10, PRESENTACION: ENVASE X 1000 CM3</v>
      </c>
      <c r="D15" s="118"/>
      <c r="E15" s="118"/>
      <c r="F15" s="118"/>
      <c r="G15" s="118"/>
      <c r="H15" s="60" t="s">
        <v>56</v>
      </c>
      <c r="I15" s="61" t="str">
        <f>'Necesidades Trimestrales'!F13</f>
        <v xml:space="preserve">BOTELLA </v>
      </c>
      <c r="J15" s="62">
        <f>'Necesidades Trimestrales'!H13</f>
        <v>128.59</v>
      </c>
      <c r="K15" s="63">
        <f>'Necesidades Trimestrales'!G13</f>
        <v>300</v>
      </c>
    </row>
    <row r="16" spans="1:11" ht="40.5" customHeight="1" thickBot="1" x14ac:dyDescent="0.25">
      <c r="A16" s="8">
        <v>5</v>
      </c>
      <c r="B16" s="59" t="str">
        <f>'Necesidades Trimestrales'!B14</f>
        <v>2.5.2-711.32</v>
      </c>
      <c r="C16" s="118" t="str">
        <f>'Necesidades Trimestrales'!E14</f>
        <v>ALCOHOL USO MEDICINAL; PUREZA: 96 %, PRESENTACION: ENVASE X 1000 CM3</v>
      </c>
      <c r="D16" s="118"/>
      <c r="E16" s="118"/>
      <c r="F16" s="118"/>
      <c r="G16" s="118"/>
      <c r="H16" s="60" t="s">
        <v>56</v>
      </c>
      <c r="I16" s="61" t="str">
        <f>'Necesidades Trimestrales'!F14</f>
        <v xml:space="preserve">BOTELLA </v>
      </c>
      <c r="J16" s="62">
        <f>'Necesidades Trimestrales'!H14</f>
        <v>201</v>
      </c>
      <c r="K16" s="63">
        <f>'Necesidades Trimestrales'!G14</f>
        <v>100</v>
      </c>
    </row>
    <row r="17" spans="1:1024" ht="40.5" customHeight="1" thickBot="1" x14ac:dyDescent="0.25">
      <c r="A17" s="8">
        <v>6</v>
      </c>
      <c r="B17" s="59" t="str">
        <f>'Necesidades Trimestrales'!B15</f>
        <v>2.5.2-1723.110</v>
      </c>
      <c r="C17" s="118" t="str">
        <f>'Necesidades Trimestrales'!E15</f>
        <v>ANTISEPTICOS LOCALES P/PERSONA; TIPO: DESINFECTANTE, DROGA GENERICA: ALCOHOL YODADO, FORMA FARMACEUTICA: SOLUCION, PRESENTACION: ENVASE X 1000 Ml</v>
      </c>
      <c r="D17" s="118"/>
      <c r="E17" s="118"/>
      <c r="F17" s="118"/>
      <c r="G17" s="118"/>
      <c r="H17" s="60" t="s">
        <v>69</v>
      </c>
      <c r="I17" s="61" t="str">
        <f>'Necesidades Trimestrales'!F15</f>
        <v xml:space="preserve">BOTELLA </v>
      </c>
      <c r="J17" s="62">
        <f>'Necesidades Trimestrales'!H15</f>
        <v>1200</v>
      </c>
      <c r="K17" s="63">
        <f>'Necesidades Trimestrales'!G15</f>
        <v>90</v>
      </c>
    </row>
    <row r="18" spans="1:1024" ht="45" customHeight="1" thickBot="1" x14ac:dyDescent="0.25">
      <c r="A18" s="8">
        <v>7</v>
      </c>
      <c r="B18" s="59" t="str">
        <f>'Necesidades Trimestrales'!B16</f>
        <v>2.5.2-1723.69</v>
      </c>
      <c r="C18" s="118" t="str">
        <f>'Necesidades Trimestrales'!E16</f>
        <v>ANTISEPTICOS LOCALES P/PERSONA; TIPO: MONODROGA, DROGA GENERICA: CLOROXILENOL, FORMA FARMACEUTICA: SOLUCION, PRESENTACION: ENVASE X 5 L</v>
      </c>
      <c r="D18" s="118"/>
      <c r="E18" s="118"/>
      <c r="F18" s="118"/>
      <c r="G18" s="118"/>
      <c r="H18" s="60" t="s">
        <v>56</v>
      </c>
      <c r="I18" s="61" t="str">
        <f>'Necesidades Trimestrales'!F16</f>
        <v xml:space="preserve">BIDON </v>
      </c>
      <c r="J18" s="62">
        <f>'Necesidades Trimestrales'!H16</f>
        <v>4500</v>
      </c>
      <c r="K18" s="63">
        <f>'Necesidades Trimestrales'!G16</f>
        <v>10</v>
      </c>
    </row>
    <row r="19" spans="1:1024" ht="36" customHeight="1" thickBot="1" x14ac:dyDescent="0.25">
      <c r="A19" s="8">
        <v>8</v>
      </c>
      <c r="B19" s="59" t="str">
        <f>'Necesidades Trimestrales'!B17</f>
        <v>2.5.1-9065.16</v>
      </c>
      <c r="C19" s="118" t="str">
        <f>'Necesidades Trimestrales'!E17</f>
        <v>DESINFECTANTES Y DETERGENTES; PRINCIPIO ACTIVO: AMILASA, PROTEASA, LIPASA, CALIDAD: COMERCIAL, CONCENTRACION/PUREZA: 100 %, PRESENTACION: ENVASE X 5 L</v>
      </c>
      <c r="D19" s="118"/>
      <c r="E19" s="118"/>
      <c r="F19" s="118"/>
      <c r="G19" s="118"/>
      <c r="H19" s="60" t="s">
        <v>69</v>
      </c>
      <c r="I19" s="61" t="str">
        <f>'Necesidades Trimestrales'!F17</f>
        <v xml:space="preserve">BIDON </v>
      </c>
      <c r="J19" s="62">
        <f>'Necesidades Trimestrales'!H17</f>
        <v>4900.5</v>
      </c>
      <c r="K19" s="63">
        <f>'Necesidades Trimestrales'!G17</f>
        <v>60</v>
      </c>
    </row>
    <row r="20" spans="1:1024" ht="40.5" customHeight="1" thickBot="1" x14ac:dyDescent="0.25">
      <c r="A20" s="8">
        <v>9</v>
      </c>
      <c r="B20" s="59" t="str">
        <f>'Necesidades Trimestrales'!B18</f>
        <v>2.5.2-1726.492</v>
      </c>
      <c r="C20" s="118" t="str">
        <f>'Necesidades Trimestrales'!E18</f>
        <v>SOLUCIONES P/MEDICINA; TIPO: FORMOL AL 40 %, PRESENTACION: ENVASE X 1 L</v>
      </c>
      <c r="D20" s="118"/>
      <c r="E20" s="118"/>
      <c r="F20" s="118"/>
      <c r="G20" s="118"/>
      <c r="H20" s="60" t="s">
        <v>56</v>
      </c>
      <c r="I20" s="61" t="str">
        <f>'Necesidades Trimestrales'!F18</f>
        <v xml:space="preserve">BOTELLA </v>
      </c>
      <c r="J20" s="62">
        <f>'Necesidades Trimestrales'!H18</f>
        <v>661</v>
      </c>
      <c r="K20" s="63">
        <f>'Necesidades Trimestrales'!G18</f>
        <v>30</v>
      </c>
    </row>
    <row r="21" spans="1:1024" ht="37.5" customHeight="1" thickBot="1" x14ac:dyDescent="0.25">
      <c r="A21" s="8">
        <v>10</v>
      </c>
      <c r="B21" s="59" t="str">
        <f>'Necesidades Trimestrales'!B19</f>
        <v>2.5.2-1723.30</v>
      </c>
      <c r="C21" s="118" t="str">
        <f>'Necesidades Trimestrales'!E19</f>
        <v>ANTISEPTICOS LOCALES P/PERSONA; TIPO: MONODROGA, DROGA GENERICA: IODOPOVIDONA, FORMA FARMACEUTICA: SOLUCION, PRESENTACION: BIDON X 5 L</v>
      </c>
      <c r="D21" s="118"/>
      <c r="E21" s="118"/>
      <c r="F21" s="118"/>
      <c r="G21" s="118"/>
      <c r="H21" s="60" t="s">
        <v>56</v>
      </c>
      <c r="I21" s="61" t="str">
        <f>'Necesidades Trimestrales'!F19</f>
        <v xml:space="preserve">BIDON </v>
      </c>
      <c r="J21" s="62">
        <f>'Necesidades Trimestrales'!H19</f>
        <v>2250</v>
      </c>
      <c r="K21" s="63">
        <f>'Necesidades Trimestrales'!G19</f>
        <v>30</v>
      </c>
    </row>
    <row r="22" spans="1:1024" ht="40.5" customHeight="1" thickBot="1" x14ac:dyDescent="0.25">
      <c r="A22" s="8">
        <v>11</v>
      </c>
      <c r="B22" s="59" t="str">
        <f>'Necesidades Trimestrales'!B20</f>
        <v>2.5.2-1723.50</v>
      </c>
      <c r="C22" s="118" t="str">
        <f>'Necesidades Trimestrales'!E20</f>
        <v>ANTISEPTICOS LOCALES P/PERSONA; DROGA GENERICA: IODOPOVIDONA 10%, FORMA FARMACEUTICA: SOLUCION, PRESENTACION: ENVASE X 1 L, TIPO: MONODROGA</v>
      </c>
      <c r="D22" s="118"/>
      <c r="E22" s="118"/>
      <c r="F22" s="118"/>
      <c r="G22" s="118"/>
      <c r="H22" s="60" t="s">
        <v>69</v>
      </c>
      <c r="I22" s="61" t="str">
        <f>'Necesidades Trimestrales'!F20</f>
        <v xml:space="preserve">BOTELLA </v>
      </c>
      <c r="J22" s="62">
        <f>'Necesidades Trimestrales'!H20</f>
        <v>573</v>
      </c>
      <c r="K22" s="63">
        <f>'Necesidades Trimestrales'!G20</f>
        <v>240</v>
      </c>
    </row>
    <row r="23" spans="1:1024" ht="42.75" customHeight="1" thickBot="1" x14ac:dyDescent="0.25">
      <c r="A23" s="8">
        <v>12</v>
      </c>
      <c r="B23" s="59" t="str">
        <f>'Necesidades Trimestrales'!B21</f>
        <v>2.5.2-1723.104</v>
      </c>
      <c r="C23" s="118" t="str">
        <f>'Necesidades Trimestrales'!E21</f>
        <v>ANTISEPTICOS LOCALES P/PERSONA; TIPO: MONODROGA, DROGA GENERICA: IODOPOVIDONA 5 %, FORMA FARMACEUTICA: JABON LIQUIDO, PRESENTACION: ENVASE X 1 L</v>
      </c>
      <c r="D23" s="118"/>
      <c r="E23" s="118"/>
      <c r="F23" s="118"/>
      <c r="G23" s="118"/>
      <c r="H23" s="60" t="s">
        <v>69</v>
      </c>
      <c r="I23" s="61" t="str">
        <f>'Necesidades Trimestrales'!F21</f>
        <v xml:space="preserve">BOTELLA </v>
      </c>
      <c r="J23" s="62">
        <f>'Necesidades Trimestrales'!H21</f>
        <v>450</v>
      </c>
      <c r="K23" s="63">
        <f>'Necesidades Trimestrales'!G21</f>
        <v>30</v>
      </c>
    </row>
    <row r="24" spans="1:1024" ht="45" customHeight="1" thickBot="1" x14ac:dyDescent="0.25">
      <c r="A24" s="8">
        <v>13</v>
      </c>
      <c r="B24" s="59" t="str">
        <f>'Necesidades Trimestrales'!B22</f>
        <v>2.5.2-1723.146</v>
      </c>
      <c r="C24" s="118" t="str">
        <f>'Necesidades Trimestrales'!E22</f>
        <v>ANTISEPTICOS LOCALES P/PERSONA; TIPO: MONODROGA, DROGA GENERICA: IODOPOVIDONA 5 %, FORMA FARMACEUTICA: JABON LIQUIDO, PRESENTACION: ENVASE X 5 L</v>
      </c>
      <c r="D24" s="118"/>
      <c r="E24" s="118"/>
      <c r="F24" s="118"/>
      <c r="G24" s="118"/>
      <c r="H24" s="60" t="s">
        <v>56</v>
      </c>
      <c r="I24" s="61" t="str">
        <f>'Necesidades Trimestrales'!F22</f>
        <v xml:space="preserve">BIDON </v>
      </c>
      <c r="J24" s="62">
        <f>'Necesidades Trimestrales'!H22</f>
        <v>1520</v>
      </c>
      <c r="K24" s="63">
        <f>'Necesidades Trimestrales'!G22</f>
        <v>20</v>
      </c>
    </row>
    <row r="25" spans="1:1024" ht="42" customHeight="1" thickBot="1" x14ac:dyDescent="0.25">
      <c r="A25" s="8">
        <v>14</v>
      </c>
      <c r="B25" s="59" t="str">
        <f>'Necesidades Trimestrales'!B23</f>
        <v>2.9.1-6956.122</v>
      </c>
      <c r="C25" s="118" t="str">
        <f>'Necesidades Trimestrales'!E23</f>
        <v>ARTICULOS DE TOCADOR; TIPO: JABON LIQUIDO HIPOALERGENICO, PRESENTACION: ENVASE X 800 ML BAG IN BOX</v>
      </c>
      <c r="D25" s="118"/>
      <c r="E25" s="118"/>
      <c r="F25" s="118"/>
      <c r="G25" s="118"/>
      <c r="H25" s="60" t="s">
        <v>69</v>
      </c>
      <c r="I25" s="61" t="str">
        <f>'Necesidades Trimestrales'!F23</f>
        <v>BAG IN BOX</v>
      </c>
      <c r="J25" s="62">
        <f>'Necesidades Trimestrales'!H23</f>
        <v>1150</v>
      </c>
      <c r="K25" s="63">
        <f>'Necesidades Trimestrales'!G23</f>
        <v>100</v>
      </c>
    </row>
    <row r="26" spans="1:1024" ht="43.5" customHeight="1" thickBot="1" x14ac:dyDescent="0.25">
      <c r="A26" s="8">
        <v>15</v>
      </c>
      <c r="B26" s="59" t="str">
        <f>'Necesidades Trimestrales'!B24</f>
        <v>2.5.2-1723.175</v>
      </c>
      <c r="C26" s="118" t="str">
        <f>'Necesidades Trimestrales'!E24</f>
        <v>ANTISEPTICOS LOCALES P/PERSONA; TIPO: ANTIBACTERIANO, DROGA GENERICA: CLORHEXIDINA, FORMA FARMACEUTICA: LOCION ALCOHOLICA BACTERICIDA, PRESENTACION: ENVASE X 800 ML BAG IN BOX</v>
      </c>
      <c r="D26" s="118"/>
      <c r="E26" s="118"/>
      <c r="F26" s="118"/>
      <c r="G26" s="118"/>
      <c r="H26" s="60" t="s">
        <v>69</v>
      </c>
      <c r="I26" s="61" t="str">
        <f>'Necesidades Trimestrales'!F24</f>
        <v>BAG IN BOX</v>
      </c>
      <c r="J26" s="62">
        <f>'Necesidades Trimestrales'!H24</f>
        <v>1270.5</v>
      </c>
      <c r="K26" s="63">
        <f>'Necesidades Trimestrales'!G24</f>
        <v>100</v>
      </c>
    </row>
    <row r="27" spans="1:1024" ht="42.75" customHeight="1" thickBot="1" x14ac:dyDescent="0.25">
      <c r="A27" s="8">
        <v>16</v>
      </c>
      <c r="B27" s="59" t="str">
        <f>'Necesidades Trimestrales'!B25</f>
        <v>2.5.4-505.99</v>
      </c>
      <c r="C27" s="118" t="str">
        <f>'Necesidades Trimestrales'!E25</f>
        <v>DESINFECTANTES; PRINCIPIO ACTIVO: MONOPERSUFATO DE POTASIO, CONTROL: BACTERIAS, HONGOS, VIRUS, PRESENTACION: ENVASE X 20 G</v>
      </c>
      <c r="D27" s="118"/>
      <c r="E27" s="118"/>
      <c r="F27" s="118"/>
      <c r="G27" s="118"/>
      <c r="H27" s="60" t="s">
        <v>56</v>
      </c>
      <c r="I27" s="61" t="str">
        <f>'Necesidades Trimestrales'!F25</f>
        <v>SOBRE</v>
      </c>
      <c r="J27" s="62">
        <f>'Necesidades Trimestrales'!H25</f>
        <v>199.65</v>
      </c>
      <c r="K27" s="63">
        <f>'Necesidades Trimestrales'!G25</f>
        <v>80</v>
      </c>
    </row>
    <row r="28" spans="1:1024" ht="39.75" customHeight="1" thickBot="1" x14ac:dyDescent="0.25">
      <c r="A28" s="8">
        <v>17</v>
      </c>
      <c r="B28" s="59" t="str">
        <f>'Necesidades Trimestrales'!B26</f>
        <v>2.5.2-1723.35</v>
      </c>
      <c r="C28" s="118" t="str">
        <f>'Necesidades Trimestrales'!E26</f>
        <v>ANTISEPTICOS LOCALES P/PERSONA; TIPO: MONODROGA, DROGA GENERICA: NITROFURAZONA, FORMA FARMACEUTICA: SOLUCION, PRESENTACION: FRASCO X 1 L</v>
      </c>
      <c r="D28" s="118"/>
      <c r="E28" s="118"/>
      <c r="F28" s="118"/>
      <c r="G28" s="118"/>
      <c r="H28" s="60" t="s">
        <v>56</v>
      </c>
      <c r="I28" s="61" t="str">
        <f>'Necesidades Trimestrales'!F26</f>
        <v>BOTELLA</v>
      </c>
      <c r="J28" s="62">
        <f>'Necesidades Trimestrales'!H26</f>
        <v>859</v>
      </c>
      <c r="K28" s="63">
        <f>'Necesidades Trimestrales'!G26</f>
        <v>100</v>
      </c>
    </row>
    <row r="29" spans="1:1024" ht="52.5" customHeight="1" thickBot="1" x14ac:dyDescent="0.25">
      <c r="A29" s="8">
        <v>18</v>
      </c>
      <c r="B29" s="59" t="str">
        <f>'Necesidades Trimestrales'!B27</f>
        <v>2.5.2-1723.89</v>
      </c>
      <c r="C29" s="118" t="str">
        <f>'Necesidades Trimestrales'!E27</f>
        <v>ANTISEPTICOS LOCALES P/PERSONA; TIPO: MONODROGA, DROGA GENERICA: TINTURA DE IODO FUERTE, FORMA FARMACEUTICA: SOLUCION, PRESENTACION: ENVASE X 1 L</v>
      </c>
      <c r="D29" s="118"/>
      <c r="E29" s="118"/>
      <c r="F29" s="118"/>
      <c r="G29" s="118"/>
      <c r="H29" s="60" t="s">
        <v>56</v>
      </c>
      <c r="I29" s="61" t="str">
        <f>'Necesidades Trimestrales'!F27</f>
        <v xml:space="preserve">BOTELLA </v>
      </c>
      <c r="J29" s="62">
        <f>'Necesidades Trimestrales'!H27</f>
        <v>989</v>
      </c>
      <c r="K29" s="63">
        <f>'Necesidades Trimestrales'!G27</f>
        <v>5</v>
      </c>
    </row>
    <row r="30" spans="1:1024" ht="30.75" customHeight="1" thickBot="1" x14ac:dyDescent="0.25">
      <c r="A30" s="120" t="s">
        <v>134</v>
      </c>
      <c r="B30" s="120"/>
      <c r="C30" s="120"/>
      <c r="D30" s="120"/>
      <c r="E30" s="120"/>
      <c r="F30" s="120"/>
      <c r="G30" s="120"/>
      <c r="H30" s="120"/>
      <c r="I30" s="120"/>
      <c r="J30" s="121">
        <f>SUMPRODUCT(J12:J29,K12:K29)</f>
        <v>1242524</v>
      </c>
      <c r="K30" s="121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</sheetData>
  <mergeCells count="40">
    <mergeCell ref="C29:G29"/>
    <mergeCell ref="A30:I30"/>
    <mergeCell ref="J30:K30"/>
    <mergeCell ref="C23:G23"/>
    <mergeCell ref="C24:G24"/>
    <mergeCell ref="C25:G25"/>
    <mergeCell ref="C26:G26"/>
    <mergeCell ref="C27:G27"/>
    <mergeCell ref="C28:G28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130" zoomScaleNormal="130" workbookViewId="0">
      <selection activeCell="A8" sqref="A8:Q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7" t="s">
        <v>3</v>
      </c>
      <c r="B1" s="147"/>
      <c r="C1" s="147"/>
      <c r="D1" s="148">
        <f>'Necesidades Trimestrales'!C6</f>
        <v>2022</v>
      </c>
      <c r="E1" s="148"/>
      <c r="F1" s="10"/>
      <c r="G1" s="10"/>
      <c r="H1" s="11"/>
      <c r="I1" s="11"/>
      <c r="J1" s="11"/>
      <c r="K1" s="11"/>
      <c r="L1" s="11"/>
      <c r="M1" s="11"/>
      <c r="N1" s="11"/>
      <c r="P1" s="149" t="s">
        <v>30</v>
      </c>
      <c r="Q1" s="14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9"/>
      <c r="Q2" s="149"/>
    </row>
    <row r="4" spans="1:17" s="12" customFormat="1" ht="18" customHeight="1" thickBot="1" x14ac:dyDescent="0.25">
      <c r="A4" s="150" t="s">
        <v>31</v>
      </c>
      <c r="B4" s="150"/>
      <c r="C4" s="150"/>
      <c r="D4" s="150"/>
      <c r="E4" s="150"/>
      <c r="F4" s="150"/>
      <c r="G4" s="145" t="str">
        <f>[1]NotaPedido!D3</f>
        <v>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12" customFormat="1" ht="18" customHeight="1" thickBot="1" x14ac:dyDescent="0.25">
      <c r="A5" s="142" t="s">
        <v>54</v>
      </c>
      <c r="B5" s="143"/>
      <c r="C5" s="143"/>
      <c r="D5" s="143"/>
      <c r="E5" s="143"/>
      <c r="F5" s="144"/>
      <c r="G5" s="145" t="str">
        <f>[1]NotaPedido!D4</f>
        <v>23 - Hospital Interzonal San Juan Bautista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12" customFormat="1" ht="18" customHeight="1" thickBot="1" x14ac:dyDescent="0.25">
      <c r="A6" s="142" t="s">
        <v>32</v>
      </c>
      <c r="B6" s="143"/>
      <c r="C6" s="143"/>
      <c r="D6" s="143"/>
      <c r="E6" s="143"/>
      <c r="F6" s="144"/>
      <c r="G6" s="145" t="str">
        <f>[1]NotaPedido!D5</f>
        <v>168 - Direccion Asistencial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12" customFormat="1" ht="18" customHeight="1" thickBot="1" x14ac:dyDescent="0.25">
      <c r="A7" s="142" t="s">
        <v>55</v>
      </c>
      <c r="B7" s="143"/>
      <c r="C7" s="143"/>
      <c r="D7" s="143"/>
      <c r="E7" s="143"/>
      <c r="F7" s="144"/>
      <c r="G7" s="145" t="str">
        <f>[1]NotaPedido!D6</f>
        <v>Servicio de Farmacia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6" t="s">
        <v>33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36" t="s">
        <v>34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13"/>
    </row>
    <row r="10" spans="1:17" ht="54.75" customHeight="1" x14ac:dyDescent="0.2">
      <c r="A10" s="137" t="str">
        <f>"Autorizo la realización de los  trámites correspondientes, a fin de proveer a  este Organismo los bienes y/o servicios que se detallan en Nota de Pedido N° " &amp; [1]NotaPedido!K1&amp;",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027 - 2022,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8" t="s">
        <v>35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x14ac:dyDescent="0.2">
      <c r="A13" s="139" t="s">
        <v>36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37</v>
      </c>
      <c r="P13" s="140"/>
      <c r="Q13" s="141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0"/>
      <c r="P14" s="140"/>
      <c r="Q14" s="141"/>
    </row>
    <row r="15" spans="1:17" ht="17.25" customHeight="1" x14ac:dyDescent="0.2">
      <c r="A15" s="66">
        <v>33</v>
      </c>
      <c r="B15" s="67"/>
      <c r="C15" s="67"/>
      <c r="D15" s="67">
        <v>2</v>
      </c>
      <c r="E15" s="67"/>
      <c r="F15" s="67">
        <v>4901</v>
      </c>
      <c r="G15" s="67">
        <v>3</v>
      </c>
      <c r="H15" s="68" t="s">
        <v>64</v>
      </c>
      <c r="I15" s="69">
        <v>2</v>
      </c>
      <c r="J15" s="69">
        <v>5</v>
      </c>
      <c r="K15" s="69">
        <v>1</v>
      </c>
      <c r="L15" s="67"/>
      <c r="M15" s="70">
        <v>1</v>
      </c>
      <c r="N15" s="68" t="s">
        <v>65</v>
      </c>
      <c r="O15" s="131" t="s">
        <v>61</v>
      </c>
      <c r="P15" s="131"/>
      <c r="Q15" s="23">
        <v>449032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4" t="s">
        <v>64</v>
      </c>
      <c r="I16" s="25">
        <v>2</v>
      </c>
      <c r="J16" s="25">
        <v>5</v>
      </c>
      <c r="K16" s="25">
        <v>2</v>
      </c>
      <c r="L16" s="25"/>
      <c r="M16" s="26">
        <v>1</v>
      </c>
      <c r="N16" s="65" t="s">
        <v>65</v>
      </c>
      <c r="O16" s="132" t="s">
        <v>62</v>
      </c>
      <c r="P16" s="132"/>
      <c r="Q16" s="28">
        <v>793492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4"/>
      <c r="I17" s="25"/>
      <c r="J17" s="25"/>
      <c r="K17" s="25"/>
      <c r="L17" s="25"/>
      <c r="M17" s="26"/>
      <c r="N17" s="65"/>
      <c r="O17" s="133"/>
      <c r="P17" s="133"/>
      <c r="Q17" s="28"/>
      <c r="S17" s="71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4"/>
      <c r="I18" s="25"/>
      <c r="J18" s="25"/>
      <c r="K18" s="25"/>
      <c r="L18" s="25"/>
      <c r="M18" s="26"/>
      <c r="N18" s="65"/>
      <c r="O18" s="134"/>
      <c r="P18" s="13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5"/>
      <c r="P19" s="135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7"/>
      <c r="P20" s="127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28"/>
      <c r="P21" s="128"/>
      <c r="Q21" s="37"/>
    </row>
    <row r="22" spans="1:19" ht="36.75" customHeight="1" x14ac:dyDescent="0.2">
      <c r="A22" s="129" t="s">
        <v>135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38">
        <f>SUM(Q15:Q21)</f>
        <v>1242524</v>
      </c>
    </row>
    <row r="23" spans="1:19" ht="18" customHeight="1" thickBot="1" x14ac:dyDescent="0.25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spans="1:19" ht="17.25" customHeight="1" thickBot="1" x14ac:dyDescent="0.25">
      <c r="A24" s="122" t="s">
        <v>52</v>
      </c>
      <c r="B24" s="123"/>
      <c r="C24" s="123"/>
      <c r="D24" s="123"/>
      <c r="E24" s="123"/>
      <c r="F24" s="124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9" ht="18" customHeight="1" thickBot="1" x14ac:dyDescent="0.25">
      <c r="A25" s="126" t="str">
        <f>"Para la "&amp; [1]NotaPedido!D8 &amp;" para ser destinados al " &amp; [1]NotaPedido!D6 &amp;"  del HISJB del Ministerio de Salud."</f>
        <v>Para la Adquisición de Antisepticos y Desinfectantes para ser destinados al Servicio de Farmacia  del HISJB del Ministerio de Salud.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9" ht="15" customHeight="1" x14ac:dyDescent="0.2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4:F24"/>
    <mergeCell ref="G24:Q24"/>
    <mergeCell ref="A25:Q26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COMPRAR</cp:lastModifiedBy>
  <cp:revision>2</cp:revision>
  <cp:lastPrinted>2022-03-03T13:36:20Z</cp:lastPrinted>
  <dcterms:created xsi:type="dcterms:W3CDTF">2020-07-17T23:44:49Z</dcterms:created>
  <dcterms:modified xsi:type="dcterms:W3CDTF">2022-03-07T14:58:33Z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