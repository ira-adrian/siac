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\Downloads\"/>
    </mc:Choice>
  </mc:AlternateContent>
  <xr:revisionPtr revIDLastSave="0" documentId="8_{67836598-A81E-416C-BC6D-D7A139395F9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NDP" sheetId="2" r:id="rId2"/>
    <sheet name="APG" sheetId="3" r:id="rId3"/>
  </sheets>
  <definedNames>
    <definedName name="_xlnm.Print_Area" localSheetId="0">'Necesidades Trimestrales'!$A$1:$I$25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2" l="1"/>
  <c r="Q21" i="3" l="1"/>
  <c r="D9" i="1" l="1"/>
  <c r="I9" i="1" l="1"/>
</calcChain>
</file>

<file path=xl/sharedStrings.xml><?xml version="1.0" encoding="utf-8"?>
<sst xmlns="http://schemas.openxmlformats.org/spreadsheetml/2006/main" count="88" uniqueCount="76">
  <si>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</si>
  <si>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</si>
  <si>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</si>
  <si>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</si>
  <si>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</si>
  <si>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</si>
  <si>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</si>
  <si>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</si>
  <si>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</si>
  <si>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</si>
  <si>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</si>
  <si>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</si>
  <si>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</si>
  <si>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</si>
  <si>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</si>
  <si>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Calidad Minima esperada</t>
  </si>
  <si>
    <t>Garantia</t>
  </si>
  <si>
    <t>50 - MINISTERIO DE EDUCACIÓN</t>
  </si>
  <si>
    <t>26 - DIRECCIÓN PROVINCIAL DE ADMINISTRACIÓN</t>
  </si>
  <si>
    <t>NOTA DE PEDIDO</t>
  </si>
  <si>
    <t>N°</t>
  </si>
  <si>
    <t xml:space="preserve">JURISDICCIÓN: </t>
  </si>
  <si>
    <t>MINISTERIO DE EDUCACIÓN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</si>
  <si>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</si>
  <si>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</si>
  <si>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</si>
  <si>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</si>
  <si>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</si>
  <si>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</si>
  <si>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</si>
  <si>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</si>
  <si>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</si>
  <si>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</si>
  <si>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</si>
  <si>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</si>
  <si>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AUTORIZACIÓN PARA GASTAR</t>
  </si>
  <si>
    <t>JURISDICCIÓN:</t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</si>
  <si>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</si>
  <si>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</si>
  <si>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</si>
  <si>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</si>
  <si>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</si>
  <si>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</si>
  <si>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</si>
  <si>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</si>
  <si>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</si>
  <si>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</si>
  <si>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</si>
  <si>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</si>
  <si>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</si>
  <si>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</si>
  <si>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</si>
  <si>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</si>
  <si>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</si>
  <si>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</si>
  <si>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</si>
  <si>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</si>
  <si>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3.9.9-3161.1</t>
  </si>
  <si>
    <t>ALIMENTOS</t>
  </si>
  <si>
    <t>SERVICIO DE COMIDA; DESCRIPCION: SERVICIO DE COMIDA</t>
  </si>
  <si>
    <t>DE ACUERDO A PROYECCIÓN Y PLANIFICACIÓN REALIZADA POR NUTRICIONISTA.</t>
  </si>
  <si>
    <t>Especificidades Items N°  1:</t>
  </si>
  <si>
    <t>OTROS N.E.P.</t>
  </si>
  <si>
    <t>TOTAL DE PESOS: NUEVE MILLONES CON 00/100</t>
  </si>
  <si>
    <t>PROVISIÓN DEL SERVICIO DE CATERING CON DESTINO A 80 ESTUDIANTES DE LA RESIDENCIA UNIVERSITARIA POR UN PERIODO DE 180 DÍAS.-</t>
  </si>
  <si>
    <t>D.P. DE RESIDENCIA UNIVERSITARIA</t>
  </si>
  <si>
    <t>SEIS (6) MESES</t>
  </si>
  <si>
    <t>SERVICIO DE CATERING</t>
  </si>
  <si>
    <t>NO</t>
  </si>
  <si>
    <t xml:space="preserve">Costo total estimado:  PESOS NUEVE MILLONES CON 00/100 </t>
  </si>
  <si>
    <t>SERVICIO</t>
  </si>
  <si>
    <r>
      <t>Mantenimiento:</t>
    </r>
    <r>
      <rPr>
        <sz val="10"/>
        <rFont val="Times New Roman"/>
        <family val="1"/>
      </rPr>
      <t xml:space="preserve"> 30 días corridos</t>
    </r>
  </si>
  <si>
    <t>Autorizo la realización de los  trámites correspondientes, a fin de proveer a este Organismo los bienes y/o servicios que se detallan en Nota  de Pedido N°12/21, afectando la erogación resultante a los créditos presupuestarios aprobados a favor de esta Unidad Ejecutora, conforme al siguiente detalle:</t>
  </si>
  <si>
    <r>
      <t>AUTORIZACIÓN</t>
    </r>
    <r>
      <rPr>
        <b/>
        <sz val="11"/>
        <rFont val="Times New Roman"/>
        <family val="1"/>
      </rPr>
      <t>:</t>
    </r>
  </si>
  <si>
    <t xml:space="preserve">A contar desde el momento de la firma del contrato por 4 veces al día durante 180 días en la RESIDENCIA UNIVERSITARIA "ABUELAS DE PLAZA DE MAYO". Sito en calle Maximio Victoria S/N. San Fernando del Valle de Catamarca.- </t>
  </si>
  <si>
    <t>SERVICIO DE CATERING con destino a la Residencia Universitaria, con vajilla incluída, para 80 comensales máximo, 4 veces al día, durante 180 días; incluye desayuno tipo autoservicio, almuerzo con plato principal, guarnición, postre y bebida; merienda tipo autoservicio; cena con plato principal, guarnición, postre y bebida. Se incluye un porcentaje de raciones libres de gluten de trigo, avena, cebada, centeno (sin TACC), y raciones para pacientes diabéticos, insulinodependientes o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</si>
</sst>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$&quot;* #,##0.00_-;\-&quot;$&quot;* #,##0.00_-;_-&quot;$&quot;* &quot;-&quot;??_-;_-@_-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&quot;$&quot;\ #,##0.00"/>
    <numFmt numFmtId="169" formatCode="dd\-mm\-yy;@"/>
    <numFmt numFmtId="170" formatCode="_(\$* #,##0.00_);_(\$* \(#,##0.00\);_(\$* \-??_);_(@_)"/>
  </numFmts>
  <fonts count="22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u/>
      <sz val="12"/>
      <name val="Times New Roman"/>
      <family val="1"/>
      <charset val="1"/>
    </font>
    <font>
      <b/>
      <u/>
      <sz val="11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Arial"/>
      <family val="2"/>
      <charset val="1"/>
    </font>
    <font>
      <sz val="10"/>
      <name val="Times New Roman"/>
      <family val="1"/>
      <charset val="1"/>
    </font>
    <font>
      <b/>
      <sz val="11"/>
      <name val="Times New Roman"/>
      <family val="1"/>
    </font>
    <font>
      <sz val="11"/>
      <name val="Times New Roman"/>
      <family val="1"/>
    </font>
    <font>
      <b/>
      <u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6">
    <xf numFmtId="0" fontId="0" fillId="0" borderId="0"/>
    <xf numFmtId="165" fontId="3" fillId="0" borderId="0" applyBorder="0" applyProtection="0"/>
    <xf numFmtId="0" fontId="1" fillId="0" borderId="1" applyProtection="0"/>
    <xf numFmtId="0" fontId="2" fillId="2" borderId="0" applyBorder="0" applyProtection="0"/>
    <xf numFmtId="164" fontId="3" fillId="0" borderId="0" applyFont="0" applyFill="0" applyBorder="0" applyAlignment="0" applyProtection="0"/>
    <xf numFmtId="170" fontId="17" fillId="0" borderId="0" applyBorder="0" applyProtection="0"/>
  </cellStyleXfs>
  <cellXfs count="134">
    <xf numFmtId="0" fontId="0" fillId="0" borderId="0" xfId="0"/>
    <xf numFmtId="0" fontId="4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0" xfId="0" applyFont="1" applyBorder="1"/>
    <xf numFmtId="0" fontId="4" fillId="0" borderId="9" xfId="0" applyFont="1" applyBorder="1"/>
    <xf numFmtId="0" fontId="11" fillId="0" borderId="8" xfId="0" applyFont="1" applyBorder="1" applyAlignment="1">
      <alignment horizontal="left" indent="3"/>
    </xf>
    <xf numFmtId="0" fontId="4" fillId="0" borderId="8" xfId="0" applyFont="1" applyBorder="1" applyAlignment="1">
      <alignment horizontal="left" indent="3"/>
    </xf>
    <xf numFmtId="0" fontId="4" fillId="0" borderId="0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10" xfId="0" applyFont="1" applyBorder="1" applyAlignment="1">
      <alignment horizontal="left" indent="3"/>
    </xf>
    <xf numFmtId="0" fontId="4" fillId="0" borderId="11" xfId="0" applyFont="1" applyBorder="1"/>
    <xf numFmtId="0" fontId="4" fillId="0" borderId="12" xfId="0" applyFont="1" applyBorder="1"/>
    <xf numFmtId="0" fontId="12" fillId="4" borderId="0" xfId="0" applyFont="1" applyFill="1" applyAlignment="1">
      <alignment horizontal="left" wrapText="1" indent="1"/>
    </xf>
    <xf numFmtId="0" fontId="8" fillId="3" borderId="0" xfId="0" applyFont="1" applyFill="1" applyAlignment="1">
      <alignment horizontal="left" wrapText="1"/>
    </xf>
    <xf numFmtId="0" fontId="9" fillId="0" borderId="0" xfId="0" applyFont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166" fontId="9" fillId="4" borderId="0" xfId="1" applyNumberFormat="1" applyFont="1" applyFill="1" applyBorder="1" applyAlignment="1" applyProtection="1">
      <alignment horizontal="right" vertical="center" wrapText="1"/>
    </xf>
    <xf numFmtId="0" fontId="11" fillId="0" borderId="5" xfId="0" applyFont="1" applyBorder="1"/>
    <xf numFmtId="0" fontId="10" fillId="0" borderId="0" xfId="0" applyFont="1" applyBorder="1" applyAlignment="1">
      <alignment horizontal="center" vertical="center" wrapText="1"/>
    </xf>
    <xf numFmtId="0" fontId="10" fillId="4" borderId="0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 wrapText="1"/>
    </xf>
    <xf numFmtId="167" fontId="10" fillId="0" borderId="16" xfId="0" applyNumberFormat="1" applyFont="1" applyBorder="1" applyAlignment="1">
      <alignment horizontal="right" vertical="center" wrapText="1"/>
    </xf>
    <xf numFmtId="0" fontId="8" fillId="0" borderId="13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right" vertical="center"/>
    </xf>
    <xf numFmtId="0" fontId="14" fillId="0" borderId="19" xfId="0" applyFont="1" applyBorder="1" applyAlignment="1">
      <alignment vertical="center"/>
    </xf>
    <xf numFmtId="0" fontId="14" fillId="0" borderId="20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6" fillId="0" borderId="8" xfId="0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 wrapText="1" indent="1"/>
    </xf>
    <xf numFmtId="0" fontId="15" fillId="0" borderId="9" xfId="0" applyFont="1" applyBorder="1" applyAlignment="1">
      <alignment horizontal="left" vertical="center" wrapText="1" indent="1"/>
    </xf>
    <xf numFmtId="0" fontId="16" fillId="0" borderId="29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168" fontId="16" fillId="0" borderId="2" xfId="0" applyNumberFormat="1" applyFont="1" applyBorder="1" applyAlignment="1">
      <alignment horizontal="center" vertical="center" wrapText="1"/>
    </xf>
    <xf numFmtId="3" fontId="16" fillId="0" borderId="3" xfId="0" applyNumberFormat="1" applyFont="1" applyBorder="1" applyAlignment="1">
      <alignment horizontal="center" vertical="center"/>
    </xf>
    <xf numFmtId="168" fontId="0" fillId="0" borderId="0" xfId="0" applyNumberFormat="1"/>
    <xf numFmtId="0" fontId="17" fillId="0" borderId="0" xfId="0" applyFont="1"/>
    <xf numFmtId="0" fontId="0" fillId="0" borderId="0" xfId="0" applyAlignment="1">
      <alignment horizontal="left"/>
    </xf>
    <xf numFmtId="0" fontId="8" fillId="0" borderId="60" xfId="0" applyFont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164" fontId="18" fillId="0" borderId="4" xfId="4" applyFont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left" indent="3"/>
    </xf>
    <xf numFmtId="0" fontId="15" fillId="0" borderId="18" xfId="0" applyFont="1" applyFill="1" applyBorder="1" applyAlignment="1">
      <alignment horizontal="center" vertical="center"/>
    </xf>
    <xf numFmtId="3" fontId="19" fillId="0" borderId="6" xfId="0" applyNumberFormat="1" applyFont="1" applyBorder="1" applyAlignment="1"/>
    <xf numFmtId="169" fontId="20" fillId="0" borderId="6" xfId="0" applyNumberFormat="1" applyFont="1" applyBorder="1" applyAlignment="1">
      <alignment horizontal="left"/>
    </xf>
    <xf numFmtId="0" fontId="20" fillId="0" borderId="6" xfId="0" applyFont="1" applyBorder="1"/>
    <xf numFmtId="0" fontId="20" fillId="0" borderId="8" xfId="0" applyFont="1" applyBorder="1"/>
    <xf numFmtId="0" fontId="20" fillId="0" borderId="0" xfId="0" applyFont="1" applyBorder="1"/>
    <xf numFmtId="0" fontId="20" fillId="0" borderId="0" xfId="0" applyFont="1" applyBorder="1" applyAlignment="1">
      <alignment horizontal="left"/>
    </xf>
    <xf numFmtId="169" fontId="20" fillId="0" borderId="0" xfId="0" applyNumberFormat="1" applyFont="1" applyBorder="1" applyAlignment="1">
      <alignment horizontal="left"/>
    </xf>
    <xf numFmtId="0" fontId="20" fillId="0" borderId="9" xfId="0" applyFont="1" applyBorder="1"/>
    <xf numFmtId="0" fontId="20" fillId="0" borderId="19" xfId="0" applyFont="1" applyBorder="1"/>
    <xf numFmtId="0" fontId="20" fillId="0" borderId="20" xfId="0" applyFont="1" applyBorder="1"/>
    <xf numFmtId="0" fontId="20" fillId="0" borderId="20" xfId="0" applyFont="1" applyBorder="1" applyAlignment="1">
      <alignment horizontal="left"/>
    </xf>
    <xf numFmtId="0" fontId="20" fillId="0" borderId="38" xfId="0" applyFont="1" applyBorder="1"/>
    <xf numFmtId="0" fontId="19" fillId="0" borderId="41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42" xfId="0" applyFont="1" applyBorder="1" applyAlignment="1">
      <alignment horizontal="left" vertical="center"/>
    </xf>
    <xf numFmtId="0" fontId="19" fillId="0" borderId="43" xfId="0" applyFont="1" applyBorder="1" applyAlignment="1">
      <alignment horizontal="center" vertical="center"/>
    </xf>
    <xf numFmtId="0" fontId="19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66" fontId="20" fillId="0" borderId="48" xfId="5" applyNumberFormat="1" applyFont="1" applyBorder="1" applyAlignment="1" applyProtection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66" fontId="20" fillId="0" borderId="53" xfId="5" applyNumberFormat="1" applyFont="1" applyBorder="1" applyAlignment="1" applyProtection="1">
      <alignment horizontal="center" vertical="center"/>
    </xf>
    <xf numFmtId="0" fontId="20" fillId="0" borderId="54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66" fontId="20" fillId="0" borderId="57" xfId="5" applyNumberFormat="1" applyFont="1" applyBorder="1" applyAlignment="1" applyProtection="1">
      <alignment horizontal="center" vertical="center"/>
    </xf>
    <xf numFmtId="166" fontId="19" fillId="0" borderId="59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 vertical="center" wrapText="1"/>
    </xf>
    <xf numFmtId="0" fontId="12" fillId="4" borderId="0" xfId="0" applyFont="1" applyFill="1" applyBorder="1" applyAlignment="1">
      <alignment horizontal="left" wrapText="1" indent="1"/>
    </xf>
    <xf numFmtId="0" fontId="4" fillId="4" borderId="0" xfId="0" applyFont="1" applyFill="1" applyBorder="1" applyAlignment="1">
      <alignment horizontal="left" vertical="top" wrapText="1"/>
    </xf>
    <xf numFmtId="0" fontId="4" fillId="4" borderId="9" xfId="0" applyFont="1" applyFill="1" applyBorder="1" applyAlignment="1">
      <alignment horizontal="left" vertical="top" wrapText="1"/>
    </xf>
    <xf numFmtId="0" fontId="4" fillId="4" borderId="0" xfId="0" applyFont="1" applyFill="1" applyBorder="1" applyAlignment="1">
      <alignment horizontal="left" wrapText="1"/>
    </xf>
    <xf numFmtId="0" fontId="4" fillId="4" borderId="9" xfId="0" applyFont="1" applyFill="1" applyBorder="1" applyAlignment="1">
      <alignment horizontal="left" wrapText="1"/>
    </xf>
    <xf numFmtId="0" fontId="4" fillId="4" borderId="0" xfId="0" applyFont="1" applyFill="1" applyBorder="1" applyAlignment="1">
      <alignment horizontal="left"/>
    </xf>
    <xf numFmtId="0" fontId="4" fillId="4" borderId="9" xfId="0" applyFont="1" applyFill="1" applyBorder="1" applyAlignment="1">
      <alignment horizontal="left"/>
    </xf>
    <xf numFmtId="0" fontId="10" fillId="0" borderId="0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left" vertical="top" wrapText="1"/>
    </xf>
    <xf numFmtId="0" fontId="15" fillId="0" borderId="27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left" vertical="center" wrapText="1" indent="1"/>
    </xf>
    <xf numFmtId="167" fontId="16" fillId="0" borderId="30" xfId="0" applyNumberFormat="1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 vertical="center" wrapText="1" indent="1"/>
    </xf>
    <xf numFmtId="0" fontId="16" fillId="0" borderId="22" xfId="0" applyFont="1" applyBorder="1" applyAlignment="1">
      <alignment horizontal="left" vertical="center" wrapText="1"/>
    </xf>
    <xf numFmtId="0" fontId="16" fillId="0" borderId="23" xfId="0" applyFont="1" applyBorder="1" applyAlignment="1">
      <alignment horizontal="left" vertical="center"/>
    </xf>
    <xf numFmtId="0" fontId="15" fillId="0" borderId="24" xfId="0" applyFont="1" applyBorder="1" applyAlignment="1">
      <alignment horizontal="left" vertical="center" wrapText="1" indent="1"/>
    </xf>
    <xf numFmtId="0" fontId="13" fillId="0" borderId="5" xfId="0" applyFont="1" applyBorder="1" applyAlignment="1">
      <alignment horizontal="center" vertical="center"/>
    </xf>
    <xf numFmtId="0" fontId="20" fillId="0" borderId="36" xfId="0" applyFont="1" applyBorder="1"/>
    <xf numFmtId="0" fontId="19" fillId="0" borderId="13" xfId="0" applyFont="1" applyBorder="1" applyAlignment="1">
      <alignment vertical="center" wrapText="1"/>
    </xf>
    <xf numFmtId="0" fontId="20" fillId="0" borderId="40" xfId="0" applyFont="1" applyBorder="1" applyAlignment="1">
      <alignment vertical="center" wrapText="1"/>
    </xf>
    <xf numFmtId="0" fontId="20" fillId="0" borderId="30" xfId="0" applyFont="1" applyBorder="1" applyAlignment="1">
      <alignment horizontal="left" vertical="center" wrapText="1" indent="1"/>
    </xf>
    <xf numFmtId="0" fontId="20" fillId="0" borderId="52" xfId="0" applyFont="1" applyBorder="1" applyAlignment="1">
      <alignment horizontal="left" vertical="center"/>
    </xf>
    <xf numFmtId="0" fontId="20" fillId="0" borderId="52" xfId="0" applyFont="1" applyBorder="1" applyAlignment="1">
      <alignment horizontal="center"/>
    </xf>
    <xf numFmtId="0" fontId="20" fillId="0" borderId="52" xfId="0" applyFont="1" applyBorder="1" applyAlignment="1">
      <alignment horizontal="center" vertical="center"/>
    </xf>
    <xf numFmtId="0" fontId="20" fillId="0" borderId="55" xfId="0" applyFont="1" applyBorder="1" applyAlignment="1">
      <alignment horizontal="left" vertical="center"/>
    </xf>
    <xf numFmtId="0" fontId="19" fillId="0" borderId="58" xfId="0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 wrapText="1"/>
    </xf>
    <xf numFmtId="0" fontId="20" fillId="0" borderId="33" xfId="0" applyFont="1" applyBorder="1" applyAlignment="1">
      <alignment horizontal="left" vertical="center" wrapText="1"/>
    </xf>
    <xf numFmtId="0" fontId="20" fillId="0" borderId="34" xfId="0" applyFont="1" applyBorder="1" applyAlignment="1">
      <alignment horizontal="left" indent="1"/>
    </xf>
    <xf numFmtId="0" fontId="21" fillId="0" borderId="35" xfId="0" applyFont="1" applyBorder="1" applyAlignment="1">
      <alignment horizontal="left"/>
    </xf>
    <xf numFmtId="0" fontId="20" fillId="0" borderId="36" xfId="0" applyFont="1" applyBorder="1" applyAlignment="1">
      <alignment horizontal="left"/>
    </xf>
    <xf numFmtId="49" fontId="20" fillId="0" borderId="37" xfId="0" applyNumberFormat="1" applyFont="1" applyBorder="1" applyAlignment="1">
      <alignment horizontal="justify" vertical="center" wrapText="1"/>
    </xf>
    <xf numFmtId="0" fontId="19" fillId="0" borderId="36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/>
    </xf>
    <xf numFmtId="0" fontId="19" fillId="0" borderId="32" xfId="0" applyNumberFormat="1" applyFont="1" applyBorder="1" applyAlignment="1">
      <alignment horizontal="center"/>
    </xf>
    <xf numFmtId="0" fontId="19" fillId="0" borderId="18" xfId="0" applyFont="1" applyBorder="1" applyAlignment="1">
      <alignment horizontal="center" vertical="center" wrapText="1"/>
    </xf>
    <xf numFmtId="0" fontId="20" fillId="0" borderId="33" xfId="0" applyFont="1" applyBorder="1"/>
  </cellXfs>
  <cellStyles count="6">
    <cellStyle name="Encabezado 1" xfId="2" xr:uid="{00000000-0005-0000-0000-000000000000}"/>
    <cellStyle name="Moneda" xfId="1" builtinId="4"/>
    <cellStyle name="Moneda 2" xfId="4" xr:uid="{00000000-0005-0000-0000-000002000000}"/>
    <cellStyle name="Moneda_AUTORIZACION Y NOTA DE PEDIDO" xfId="5" xr:uid="{00000000-0005-0000-0000-000003000000}"/>
    <cellStyle name="Neutral 1" xfId="3" xr:uid="{00000000-0005-0000-0000-000004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59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59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59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59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30" zoomScaleNormal="130" workbookViewId="0">
      <selection activeCell="C22" sqref="C22"/>
    </sheetView>
  </sheetViews>
  <sheetFormatPr baseColWidth="10" defaultRowHeight="12.75" x14ac:dyDescent="0.2"/>
  <cols>
    <col min="1" max="1" width="4.5703125" style="1" customWidth="1"/>
    <col min="2" max="2" width="13.140625" style="1" customWidth="1"/>
    <col min="3" max="3" width="35.140625" style="1" customWidth="1"/>
    <col min="4" max="4" width="8.42578125" style="1" customWidth="1"/>
    <col min="5" max="5" width="64.7109375" style="1" customWidth="1"/>
    <col min="6" max="6" width="11" style="1"/>
    <col min="7" max="7" width="12.7109375" style="1" customWidth="1"/>
    <col min="8" max="8" width="13.85546875" style="1" customWidth="1"/>
    <col min="9" max="9" width="13" style="1" customWidth="1"/>
    <col min="10" max="16384" width="11.42578125" style="1"/>
  </cols>
  <sheetData>
    <row r="1" spans="1:9" ht="27" x14ac:dyDescent="0.35">
      <c r="B1" s="85" t="s">
        <v>0</v>
      </c>
      <c r="C1" s="85"/>
      <c r="D1" s="85"/>
      <c r="E1" s="85"/>
      <c r="F1" s="85"/>
      <c r="G1" s="85"/>
      <c r="H1" s="85"/>
    </row>
    <row r="3" spans="1:9" ht="18" customHeight="1" x14ac:dyDescent="0.25">
      <c r="A3" s="86" t="s">
        <v>1</v>
      </c>
      <c r="B3" s="86"/>
      <c r="C3" s="87" t="s">
        <v>17</v>
      </c>
      <c r="D3" s="87"/>
      <c r="E3" s="87"/>
      <c r="F3" s="2"/>
      <c r="G3" s="3"/>
      <c r="H3" s="2"/>
    </row>
    <row r="4" spans="1:9" ht="18" customHeight="1" x14ac:dyDescent="0.25">
      <c r="A4" s="86" t="s">
        <v>2</v>
      </c>
      <c r="B4" s="86"/>
      <c r="C4" s="87" t="s">
        <v>18</v>
      </c>
      <c r="D4" s="87"/>
      <c r="E4" s="87"/>
      <c r="F4" s="2"/>
      <c r="G4" s="3"/>
      <c r="H4" s="2"/>
    </row>
    <row r="5" spans="1:9" ht="16.5" customHeight="1" x14ac:dyDescent="0.25">
      <c r="A5" s="86" t="s">
        <v>3</v>
      </c>
      <c r="B5" s="86"/>
      <c r="C5" s="16">
        <v>2021</v>
      </c>
      <c r="D5" s="17"/>
      <c r="E5" s="17"/>
      <c r="F5" s="2"/>
      <c r="G5" s="3"/>
      <c r="H5" s="2"/>
    </row>
    <row r="6" spans="1:9" ht="16.5" customHeight="1" x14ac:dyDescent="0.25">
      <c r="A6" s="86" t="s">
        <v>4</v>
      </c>
      <c r="B6" s="86"/>
      <c r="C6" s="16">
        <v>1</v>
      </c>
      <c r="D6" s="17"/>
      <c r="E6" s="17"/>
      <c r="F6" s="2"/>
      <c r="G6" s="3"/>
      <c r="H6" s="2"/>
    </row>
    <row r="7" spans="1:9" ht="13.5" thickBot="1" x14ac:dyDescent="0.25">
      <c r="B7" s="2"/>
      <c r="C7" s="3"/>
      <c r="D7" s="2"/>
      <c r="E7" s="2"/>
      <c r="F7" s="2"/>
      <c r="G7" s="3"/>
      <c r="H7" s="2"/>
    </row>
    <row r="8" spans="1:9" ht="39" thickBot="1" x14ac:dyDescent="0.25">
      <c r="A8" s="30" t="s">
        <v>5</v>
      </c>
      <c r="B8" s="48" t="s">
        <v>6</v>
      </c>
      <c r="C8" s="48" t="s">
        <v>7</v>
      </c>
      <c r="D8" s="48" t="s">
        <v>8</v>
      </c>
      <c r="E8" s="48" t="s">
        <v>9</v>
      </c>
      <c r="F8" s="30" t="s">
        <v>10</v>
      </c>
      <c r="G8" s="30" t="s">
        <v>11</v>
      </c>
      <c r="H8" s="30" t="s">
        <v>12</v>
      </c>
      <c r="I8" s="30" t="s">
        <v>13</v>
      </c>
    </row>
    <row r="9" spans="1:9" ht="30" customHeight="1" x14ac:dyDescent="0.2">
      <c r="A9" s="27">
        <v>1</v>
      </c>
      <c r="B9" s="49" t="s">
        <v>57</v>
      </c>
      <c r="C9" s="50" t="s">
        <v>58</v>
      </c>
      <c r="D9" s="26" t="str">
        <f t="shared" ref="D9" si="0">LEFT(B9,5)</f>
        <v>3.9.9</v>
      </c>
      <c r="E9" s="50" t="s">
        <v>59</v>
      </c>
      <c r="F9" s="28" t="s">
        <v>70</v>
      </c>
      <c r="G9" s="49">
        <v>1</v>
      </c>
      <c r="H9" s="51">
        <v>9000000</v>
      </c>
      <c r="I9" s="29">
        <f>H9*G9</f>
        <v>9000000</v>
      </c>
    </row>
    <row r="10" spans="1:9" ht="22.5" customHeight="1" x14ac:dyDescent="0.2">
      <c r="A10" s="18"/>
      <c r="B10" s="25"/>
      <c r="C10" s="20"/>
      <c r="D10" s="24"/>
      <c r="E10" s="21"/>
      <c r="F10" s="19"/>
      <c r="G10" s="19"/>
      <c r="H10" s="22"/>
      <c r="I10" s="22"/>
    </row>
    <row r="11" spans="1:9" ht="13.5" thickBot="1" x14ac:dyDescent="0.25">
      <c r="A11" s="18"/>
      <c r="B11" s="25"/>
      <c r="C11" s="20"/>
      <c r="D11" s="24"/>
      <c r="E11" s="21"/>
      <c r="F11" s="19"/>
      <c r="G11" s="19"/>
      <c r="H11" s="22"/>
      <c r="I11" s="22"/>
    </row>
    <row r="12" spans="1:9" x14ac:dyDescent="0.2">
      <c r="B12" s="23" t="s">
        <v>61</v>
      </c>
      <c r="C12" s="4"/>
      <c r="D12" s="4"/>
      <c r="E12" s="5"/>
    </row>
    <row r="13" spans="1:9" ht="5.25" customHeight="1" x14ac:dyDescent="0.2">
      <c r="B13" s="6"/>
      <c r="C13" s="7"/>
      <c r="D13" s="7"/>
      <c r="E13" s="8"/>
    </row>
    <row r="14" spans="1:9" x14ac:dyDescent="0.2">
      <c r="B14" s="9"/>
      <c r="C14" s="94" t="s">
        <v>75</v>
      </c>
      <c r="D14" s="94"/>
      <c r="E14" s="95"/>
    </row>
    <row r="15" spans="1:9" ht="34.5" customHeight="1" x14ac:dyDescent="0.2">
      <c r="B15" s="9"/>
      <c r="C15" s="94"/>
      <c r="D15" s="94"/>
      <c r="E15" s="95"/>
    </row>
    <row r="16" spans="1:9" x14ac:dyDescent="0.2">
      <c r="B16" s="9" t="s">
        <v>14</v>
      </c>
      <c r="C16" s="7"/>
      <c r="D16" s="7"/>
      <c r="E16" s="8"/>
    </row>
    <row r="17" spans="2:5" ht="25.5" customHeight="1" x14ac:dyDescent="0.2">
      <c r="B17" s="10"/>
      <c r="C17" s="96" t="s">
        <v>74</v>
      </c>
      <c r="D17" s="96"/>
      <c r="E17" s="97"/>
    </row>
    <row r="18" spans="2:5" x14ac:dyDescent="0.2">
      <c r="B18" s="9" t="s">
        <v>15</v>
      </c>
      <c r="C18" s="7"/>
      <c r="D18" s="7"/>
      <c r="E18" s="8"/>
    </row>
    <row r="19" spans="2:5" ht="18" customHeight="1" x14ac:dyDescent="0.2">
      <c r="B19" s="10"/>
      <c r="C19" s="88" t="s">
        <v>60</v>
      </c>
      <c r="D19" s="88"/>
      <c r="E19" s="89"/>
    </row>
    <row r="20" spans="2:5" x14ac:dyDescent="0.2">
      <c r="B20" s="52" t="s">
        <v>71</v>
      </c>
      <c r="C20" s="11"/>
      <c r="D20" s="11"/>
      <c r="E20" s="12"/>
    </row>
    <row r="21" spans="2:5" ht="7.5" customHeight="1" x14ac:dyDescent="0.2">
      <c r="B21" s="10"/>
      <c r="C21" s="90"/>
      <c r="D21" s="90"/>
      <c r="E21" s="91"/>
    </row>
    <row r="22" spans="2:5" x14ac:dyDescent="0.2">
      <c r="B22" s="9" t="s">
        <v>16</v>
      </c>
      <c r="C22" s="7"/>
      <c r="D22" s="7"/>
      <c r="E22" s="8"/>
    </row>
    <row r="23" spans="2:5" ht="13.5" customHeight="1" x14ac:dyDescent="0.2">
      <c r="B23" s="9"/>
      <c r="C23" s="90"/>
      <c r="D23" s="92"/>
      <c r="E23" s="93"/>
    </row>
    <row r="24" spans="2:5" ht="7.5" customHeight="1" thickBot="1" x14ac:dyDescent="0.25">
      <c r="B24" s="13"/>
      <c r="C24" s="14"/>
      <c r="D24" s="14"/>
      <c r="E24" s="15"/>
    </row>
  </sheetData>
  <mergeCells count="12">
    <mergeCell ref="C19:E19"/>
    <mergeCell ref="C21:E21"/>
    <mergeCell ref="C23:E23"/>
    <mergeCell ref="A5:B5"/>
    <mergeCell ref="A6:B6"/>
    <mergeCell ref="C14:E15"/>
    <mergeCell ref="C17:E17"/>
    <mergeCell ref="B1:H1"/>
    <mergeCell ref="A3:B3"/>
    <mergeCell ref="C3:E3"/>
    <mergeCell ref="A4:B4"/>
    <mergeCell ref="C4:E4"/>
  </mergeCells>
  <pageMargins left="0.70866141732283472" right="0.70866141732283472" top="0.74803149606299213" bottom="0.74803149606299213" header="0.51181102362204722" footer="0.51181102362204722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"/>
  <sheetViews>
    <sheetView workbookViewId="0">
      <selection activeCell="J18" sqref="J18"/>
    </sheetView>
  </sheetViews>
  <sheetFormatPr baseColWidth="10" defaultColWidth="9.140625" defaultRowHeight="12.75" x14ac:dyDescent="0.2"/>
  <cols>
    <col min="1" max="1" width="5.85546875" customWidth="1"/>
    <col min="2" max="2" width="9.7109375" customWidth="1"/>
    <col min="3" max="3" width="4.7109375" customWidth="1"/>
    <col min="4" max="4" width="7.7109375" customWidth="1"/>
    <col min="5" max="5" width="7" customWidth="1"/>
    <col min="6" max="6" width="6.7109375" customWidth="1"/>
    <col min="7" max="7" width="4.42578125" customWidth="1"/>
    <col min="8" max="8" width="8.5703125" customWidth="1"/>
    <col min="9" max="9" width="10.7109375" customWidth="1"/>
    <col min="10" max="10" width="15.5703125" customWidth="1"/>
    <col min="11" max="11" width="10" customWidth="1"/>
    <col min="12" max="12" width="17" customWidth="1"/>
    <col min="15" max="15" width="18.28515625" customWidth="1"/>
  </cols>
  <sheetData>
    <row r="1" spans="1:15" ht="16.5" thickBot="1" x14ac:dyDescent="0.25">
      <c r="A1" s="110" t="s">
        <v>19</v>
      </c>
      <c r="B1" s="110"/>
      <c r="C1" s="110"/>
      <c r="D1" s="110"/>
      <c r="E1" s="110"/>
      <c r="F1" s="110"/>
      <c r="G1" s="110"/>
      <c r="H1" s="110"/>
      <c r="I1" s="110"/>
      <c r="J1" s="31" t="s">
        <v>20</v>
      </c>
      <c r="K1" s="53">
        <v>12</v>
      </c>
    </row>
    <row r="2" spans="1:15" ht="15" thickBot="1" x14ac:dyDescent="0.25">
      <c r="A2" s="32"/>
      <c r="B2" s="33"/>
      <c r="C2" s="33"/>
      <c r="D2" s="34"/>
      <c r="E2" s="34"/>
      <c r="F2" s="34"/>
      <c r="G2" s="34"/>
      <c r="H2" s="34"/>
      <c r="I2" s="34"/>
      <c r="J2" s="34"/>
      <c r="K2" s="35"/>
    </row>
    <row r="3" spans="1:15" ht="15.75" thickBot="1" x14ac:dyDescent="0.25">
      <c r="A3" s="105" t="s">
        <v>21</v>
      </c>
      <c r="B3" s="105"/>
      <c r="C3" s="105"/>
      <c r="D3" s="106" t="s">
        <v>22</v>
      </c>
      <c r="E3" s="106"/>
      <c r="F3" s="106"/>
      <c r="G3" s="106"/>
      <c r="H3" s="106"/>
      <c r="I3" s="106"/>
      <c r="J3" s="106"/>
      <c r="K3" s="106"/>
    </row>
    <row r="4" spans="1:15" ht="15.75" thickBot="1" x14ac:dyDescent="0.25">
      <c r="A4" s="107" t="s">
        <v>23</v>
      </c>
      <c r="B4" s="107"/>
      <c r="C4" s="107"/>
      <c r="D4" s="106">
        <v>26</v>
      </c>
      <c r="E4" s="106"/>
      <c r="F4" s="106"/>
      <c r="G4" s="106"/>
      <c r="H4" s="106"/>
      <c r="I4" s="106"/>
      <c r="J4" s="106"/>
      <c r="K4" s="106"/>
    </row>
    <row r="5" spans="1:15" ht="15.75" thickBot="1" x14ac:dyDescent="0.25">
      <c r="A5" s="107" t="s">
        <v>24</v>
      </c>
      <c r="B5" s="107"/>
      <c r="C5" s="107"/>
      <c r="D5" s="106" t="s">
        <v>65</v>
      </c>
      <c r="E5" s="106"/>
      <c r="F5" s="106"/>
      <c r="G5" s="106"/>
      <c r="H5" s="106"/>
      <c r="I5" s="106"/>
      <c r="J5" s="106"/>
      <c r="K5" s="106"/>
    </row>
    <row r="6" spans="1:15" ht="15.75" customHeight="1" thickBot="1" x14ac:dyDescent="0.25">
      <c r="A6" s="105" t="s">
        <v>25</v>
      </c>
      <c r="B6" s="105"/>
      <c r="C6" s="105"/>
      <c r="D6" s="106" t="s">
        <v>65</v>
      </c>
      <c r="E6" s="106"/>
      <c r="F6" s="106"/>
      <c r="G6" s="106"/>
      <c r="H6" s="106"/>
      <c r="I6" s="106"/>
      <c r="J6" s="106"/>
      <c r="K6" s="106"/>
    </row>
    <row r="7" spans="1:15" ht="15.75" thickBot="1" x14ac:dyDescent="0.25">
      <c r="A7" s="107" t="s">
        <v>26</v>
      </c>
      <c r="B7" s="107"/>
      <c r="C7" s="107"/>
      <c r="D7" s="106" t="s">
        <v>66</v>
      </c>
      <c r="E7" s="106"/>
      <c r="F7" s="106"/>
      <c r="G7" s="106"/>
      <c r="H7" s="106"/>
      <c r="I7" s="106"/>
      <c r="J7" s="106"/>
      <c r="K7" s="106"/>
    </row>
    <row r="8" spans="1:15" ht="15.75" thickBot="1" x14ac:dyDescent="0.25">
      <c r="A8" s="108" t="s">
        <v>27</v>
      </c>
      <c r="B8" s="108"/>
      <c r="C8" s="108"/>
      <c r="D8" s="109" t="s">
        <v>67</v>
      </c>
      <c r="E8" s="109"/>
      <c r="F8" s="109"/>
      <c r="G8" s="109"/>
      <c r="H8" s="109"/>
      <c r="I8" s="109"/>
      <c r="J8" s="109"/>
      <c r="K8" s="109"/>
    </row>
    <row r="9" spans="1:15" ht="15.75" thickBot="1" x14ac:dyDescent="0.25">
      <c r="A9" s="36"/>
      <c r="B9" s="37"/>
      <c r="C9" s="37"/>
      <c r="D9" s="38"/>
      <c r="E9" s="38"/>
      <c r="F9" s="38"/>
      <c r="G9" s="38"/>
      <c r="H9" s="38"/>
      <c r="I9" s="38"/>
      <c r="J9" s="38"/>
      <c r="K9" s="39"/>
    </row>
    <row r="10" spans="1:15" ht="13.5" thickBot="1" x14ac:dyDescent="0.25">
      <c r="A10" s="102" t="s">
        <v>28</v>
      </c>
      <c r="B10" s="103" t="s">
        <v>29</v>
      </c>
      <c r="C10" s="103" t="s">
        <v>30</v>
      </c>
      <c r="D10" s="103"/>
      <c r="E10" s="103"/>
      <c r="F10" s="103"/>
      <c r="G10" s="103"/>
      <c r="H10" s="103" t="s">
        <v>31</v>
      </c>
      <c r="I10" s="103" t="s">
        <v>32</v>
      </c>
      <c r="J10" s="103" t="s">
        <v>33</v>
      </c>
      <c r="K10" s="98" t="s">
        <v>34</v>
      </c>
    </row>
    <row r="11" spans="1:15" ht="13.5" thickBot="1" x14ac:dyDescent="0.25">
      <c r="A11" s="102"/>
      <c r="B11" s="104"/>
      <c r="C11" s="103"/>
      <c r="D11" s="103"/>
      <c r="E11" s="103"/>
      <c r="F11" s="103"/>
      <c r="G11" s="103"/>
      <c r="H11" s="103"/>
      <c r="I11" s="103"/>
      <c r="J11" s="103"/>
      <c r="K11" s="98"/>
    </row>
    <row r="12" spans="1:15" ht="51.75" customHeight="1" x14ac:dyDescent="0.2">
      <c r="A12" s="40">
        <v>1</v>
      </c>
      <c r="B12" s="49" t="s">
        <v>57</v>
      </c>
      <c r="C12" s="99" t="s">
        <v>59</v>
      </c>
      <c r="D12" s="99"/>
      <c r="E12" s="99"/>
      <c r="F12" s="99"/>
      <c r="G12" s="99"/>
      <c r="H12" s="41" t="s">
        <v>68</v>
      </c>
      <c r="I12" s="42" t="s">
        <v>70</v>
      </c>
      <c r="J12" s="43">
        <v>9000000</v>
      </c>
      <c r="K12" s="44">
        <v>1</v>
      </c>
      <c r="O12" s="45"/>
    </row>
    <row r="13" spans="1:15" ht="15.75" thickBot="1" x14ac:dyDescent="0.25">
      <c r="A13" s="100" t="s">
        <v>69</v>
      </c>
      <c r="B13" s="100"/>
      <c r="C13" s="100"/>
      <c r="D13" s="100"/>
      <c r="E13" s="100"/>
      <c r="F13" s="100"/>
      <c r="G13" s="100"/>
      <c r="H13" s="100"/>
      <c r="I13" s="100"/>
      <c r="J13" s="101">
        <f>J12*K12</f>
        <v>9000000</v>
      </c>
      <c r="K13" s="101"/>
    </row>
  </sheetData>
  <mergeCells count="23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K10:K11"/>
    <mergeCell ref="C12:G12"/>
    <mergeCell ref="A13:I13"/>
    <mergeCell ref="J13:K13"/>
    <mergeCell ref="A10:A11"/>
    <mergeCell ref="B10:B11"/>
    <mergeCell ref="C10:G11"/>
    <mergeCell ref="H10:H11"/>
    <mergeCell ref="I10:I11"/>
    <mergeCell ref="J10:J11"/>
  </mergeCells>
  <pageMargins left="0.7" right="0.7" top="0.75" bottom="0.75" header="0.3" footer="0.3"/>
  <pageSetup paperSize="5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5"/>
  <sheetViews>
    <sheetView workbookViewId="0">
      <selection activeCell="O28" sqref="O28"/>
    </sheetView>
  </sheetViews>
  <sheetFormatPr baseColWidth="10" defaultColWidth="11" defaultRowHeight="12.75" x14ac:dyDescent="0.2"/>
  <cols>
    <col min="1" max="1" width="3.85546875" customWidth="1"/>
    <col min="2" max="2" width="4" customWidth="1"/>
    <col min="3" max="3" width="3.7109375" customWidth="1"/>
    <col min="4" max="5" width="4" customWidth="1"/>
    <col min="6" max="6" width="5.140625" customWidth="1"/>
    <col min="7" max="7" width="4" style="47" customWidth="1"/>
    <col min="8" max="8" width="4.42578125" customWidth="1"/>
    <col min="9" max="9" width="3.7109375" customWidth="1"/>
    <col min="10" max="10" width="3.5703125" customWidth="1"/>
    <col min="11" max="11" width="3.42578125" customWidth="1"/>
    <col min="12" max="14" width="4.42578125" customWidth="1"/>
    <col min="15" max="15" width="11.5703125" customWidth="1"/>
    <col min="16" max="16" width="8.85546875" customWidth="1"/>
    <col min="17" max="17" width="14.42578125" customWidth="1"/>
  </cols>
  <sheetData>
    <row r="1" spans="1:17" ht="15.75" thickBot="1" x14ac:dyDescent="0.3">
      <c r="A1" s="130" t="s">
        <v>3</v>
      </c>
      <c r="B1" s="130"/>
      <c r="C1" s="130"/>
      <c r="D1" s="131">
        <v>2021</v>
      </c>
      <c r="E1" s="131"/>
      <c r="F1" s="54"/>
      <c r="G1" s="54"/>
      <c r="H1" s="55"/>
      <c r="I1" s="55"/>
      <c r="J1" s="55"/>
      <c r="K1" s="55"/>
      <c r="L1" s="55"/>
      <c r="M1" s="55"/>
      <c r="N1" s="55"/>
      <c r="O1" s="56"/>
      <c r="P1" s="132" t="s">
        <v>35</v>
      </c>
      <c r="Q1" s="132"/>
    </row>
    <row r="2" spans="1:17" ht="29.25" customHeight="1" thickBot="1" x14ac:dyDescent="0.3">
      <c r="A2" s="57"/>
      <c r="B2" s="58"/>
      <c r="C2" s="58"/>
      <c r="D2" s="58"/>
      <c r="E2" s="58"/>
      <c r="F2" s="58"/>
      <c r="G2" s="59"/>
      <c r="H2" s="60"/>
      <c r="I2" s="60"/>
      <c r="J2" s="60"/>
      <c r="K2" s="60"/>
      <c r="L2" s="60"/>
      <c r="M2" s="60"/>
      <c r="N2" s="60"/>
      <c r="O2" s="58"/>
      <c r="P2" s="132"/>
      <c r="Q2" s="132"/>
    </row>
    <row r="3" spans="1:17" ht="15.75" thickBot="1" x14ac:dyDescent="0.3">
      <c r="A3" s="57"/>
      <c r="B3" s="58"/>
      <c r="C3" s="58"/>
      <c r="D3" s="58"/>
      <c r="E3" s="58"/>
      <c r="F3" s="58"/>
      <c r="G3" s="59"/>
      <c r="H3" s="58"/>
      <c r="I3" s="58"/>
      <c r="J3" s="58"/>
      <c r="K3" s="58"/>
      <c r="L3" s="58"/>
      <c r="M3" s="58"/>
      <c r="N3" s="58"/>
      <c r="O3" s="58"/>
      <c r="P3" s="58"/>
      <c r="Q3" s="61"/>
    </row>
    <row r="4" spans="1:17" s="46" customFormat="1" ht="15.75" thickBot="1" x14ac:dyDescent="0.3">
      <c r="A4" s="133" t="s">
        <v>36</v>
      </c>
      <c r="B4" s="133"/>
      <c r="C4" s="133"/>
      <c r="D4" s="133"/>
      <c r="E4" s="133"/>
      <c r="F4" s="133"/>
      <c r="G4" s="122" t="s">
        <v>22</v>
      </c>
      <c r="H4" s="122"/>
      <c r="I4" s="122"/>
      <c r="J4" s="122"/>
      <c r="K4" s="122"/>
      <c r="L4" s="122"/>
      <c r="M4" s="122"/>
      <c r="N4" s="122"/>
      <c r="O4" s="122"/>
      <c r="P4" s="122"/>
      <c r="Q4" s="122"/>
    </row>
    <row r="5" spans="1:17" s="46" customFormat="1" ht="15.75" thickBot="1" x14ac:dyDescent="0.3">
      <c r="A5" s="121" t="s">
        <v>23</v>
      </c>
      <c r="B5" s="121"/>
      <c r="C5" s="121"/>
      <c r="D5" s="121"/>
      <c r="E5" s="121"/>
      <c r="F5" s="121"/>
      <c r="G5" s="122">
        <v>26</v>
      </c>
      <c r="H5" s="122"/>
      <c r="I5" s="122"/>
      <c r="J5" s="122"/>
      <c r="K5" s="122"/>
      <c r="L5" s="122"/>
      <c r="M5" s="122"/>
      <c r="N5" s="122"/>
      <c r="O5" s="122"/>
      <c r="P5" s="122"/>
      <c r="Q5" s="122"/>
    </row>
    <row r="6" spans="1:17" s="46" customFormat="1" ht="15.75" thickBot="1" x14ac:dyDescent="0.3">
      <c r="A6" s="121" t="s">
        <v>24</v>
      </c>
      <c r="B6" s="121"/>
      <c r="C6" s="121"/>
      <c r="D6" s="121"/>
      <c r="E6" s="121"/>
      <c r="F6" s="121"/>
      <c r="G6" s="122" t="s">
        <v>65</v>
      </c>
      <c r="H6" s="122"/>
      <c r="I6" s="122"/>
      <c r="J6" s="122"/>
      <c r="K6" s="122"/>
      <c r="L6" s="122"/>
      <c r="M6" s="122"/>
      <c r="N6" s="122"/>
      <c r="O6" s="122"/>
      <c r="P6" s="122"/>
      <c r="Q6" s="122"/>
    </row>
    <row r="7" spans="1:17" s="46" customFormat="1" ht="15.75" thickBot="1" x14ac:dyDescent="0.3">
      <c r="A7" s="121" t="s">
        <v>25</v>
      </c>
      <c r="B7" s="121"/>
      <c r="C7" s="121"/>
      <c r="D7" s="121"/>
      <c r="E7" s="121"/>
      <c r="F7" s="121"/>
      <c r="G7" s="122" t="s">
        <v>65</v>
      </c>
      <c r="H7" s="122"/>
      <c r="I7" s="122"/>
      <c r="J7" s="122"/>
      <c r="K7" s="122"/>
      <c r="L7" s="122"/>
      <c r="M7" s="122"/>
      <c r="N7" s="122"/>
      <c r="O7" s="122"/>
      <c r="P7" s="122"/>
      <c r="Q7" s="122"/>
    </row>
    <row r="8" spans="1:17" ht="15" thickBot="1" x14ac:dyDescent="0.25">
      <c r="A8" s="123" t="s">
        <v>73</v>
      </c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</row>
    <row r="9" spans="1:17" ht="15" x14ac:dyDescent="0.25">
      <c r="A9" s="124" t="s">
        <v>37</v>
      </c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</row>
    <row r="10" spans="1:17" ht="83.25" customHeight="1" x14ac:dyDescent="0.2">
      <c r="A10" s="125" t="s">
        <v>72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</row>
    <row r="11" spans="1:17" ht="15.75" thickBot="1" x14ac:dyDescent="0.3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ht="15" thickBot="1" x14ac:dyDescent="0.25">
      <c r="A12" s="126" t="s">
        <v>38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1:17" ht="15" thickBot="1" x14ac:dyDescent="0.25">
      <c r="A13" s="127" t="s">
        <v>39</v>
      </c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8" t="s">
        <v>40</v>
      </c>
      <c r="P13" s="128"/>
      <c r="Q13" s="129" t="s">
        <v>41</v>
      </c>
    </row>
    <row r="14" spans="1:17" ht="60.75" customHeight="1" thickBot="1" x14ac:dyDescent="0.25">
      <c r="A14" s="66" t="s">
        <v>42</v>
      </c>
      <c r="B14" s="67" t="s">
        <v>43</v>
      </c>
      <c r="C14" s="67" t="s">
        <v>44</v>
      </c>
      <c r="D14" s="67" t="s">
        <v>45</v>
      </c>
      <c r="E14" s="67" t="s">
        <v>46</v>
      </c>
      <c r="F14" s="67" t="s">
        <v>47</v>
      </c>
      <c r="G14" s="68" t="s">
        <v>48</v>
      </c>
      <c r="H14" s="67" t="s">
        <v>49</v>
      </c>
      <c r="I14" s="67" t="s">
        <v>50</v>
      </c>
      <c r="J14" s="67" t="s">
        <v>51</v>
      </c>
      <c r="K14" s="67" t="s">
        <v>51</v>
      </c>
      <c r="L14" s="67" t="s">
        <v>52</v>
      </c>
      <c r="M14" s="69" t="s">
        <v>53</v>
      </c>
      <c r="N14" s="70" t="s">
        <v>54</v>
      </c>
      <c r="O14" s="128"/>
      <c r="P14" s="128"/>
      <c r="Q14" s="129"/>
    </row>
    <row r="15" spans="1:17" ht="15" x14ac:dyDescent="0.2">
      <c r="A15" s="71">
        <v>1</v>
      </c>
      <c r="B15" s="72">
        <v>0</v>
      </c>
      <c r="C15" s="72">
        <v>0</v>
      </c>
      <c r="D15" s="72">
        <v>5</v>
      </c>
      <c r="E15" s="72">
        <v>0</v>
      </c>
      <c r="F15" s="72">
        <v>4901</v>
      </c>
      <c r="G15" s="72">
        <v>3</v>
      </c>
      <c r="H15" s="72">
        <v>4</v>
      </c>
      <c r="I15" s="72">
        <v>3</v>
      </c>
      <c r="J15" s="72">
        <v>9</v>
      </c>
      <c r="K15" s="72">
        <v>9</v>
      </c>
      <c r="L15" s="72">
        <v>0</v>
      </c>
      <c r="M15" s="73">
        <v>1</v>
      </c>
      <c r="N15" s="72" t="s">
        <v>55</v>
      </c>
      <c r="O15" s="120" t="s">
        <v>62</v>
      </c>
      <c r="P15" s="120"/>
      <c r="Q15" s="74">
        <v>9000000</v>
      </c>
    </row>
    <row r="16" spans="1:17" ht="15" x14ac:dyDescent="0.2">
      <c r="A16" s="75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7"/>
      <c r="N16" s="78"/>
      <c r="O16" s="115"/>
      <c r="P16" s="115"/>
      <c r="Q16" s="79"/>
    </row>
    <row r="17" spans="1:17" ht="15" x14ac:dyDescent="0.25">
      <c r="A17" s="75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7"/>
      <c r="N17" s="78"/>
      <c r="O17" s="116"/>
      <c r="P17" s="116"/>
      <c r="Q17" s="79"/>
    </row>
    <row r="18" spans="1:17" ht="15" x14ac:dyDescent="0.2">
      <c r="A18" s="75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7"/>
      <c r="N18" s="78"/>
      <c r="O18" s="117"/>
      <c r="P18" s="117"/>
      <c r="Q18" s="79"/>
    </row>
    <row r="19" spans="1:17" ht="15" x14ac:dyDescent="0.2">
      <c r="A19" s="75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7"/>
      <c r="N19" s="78"/>
      <c r="O19" s="117"/>
      <c r="P19" s="117"/>
      <c r="Q19" s="79"/>
    </row>
    <row r="20" spans="1:17" ht="15.75" thickBot="1" x14ac:dyDescent="0.25">
      <c r="A20" s="80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2"/>
      <c r="N20" s="81"/>
      <c r="O20" s="118"/>
      <c r="P20" s="118"/>
      <c r="Q20" s="83"/>
    </row>
    <row r="21" spans="1:17" ht="15" thickBot="1" x14ac:dyDescent="0.25">
      <c r="A21" s="119" t="s">
        <v>63</v>
      </c>
      <c r="B21" s="119"/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84">
        <f>SUM(Q15:Q20)</f>
        <v>9000000</v>
      </c>
    </row>
    <row r="22" spans="1:17" ht="15.75" thickBot="1" x14ac:dyDescent="0.3">
      <c r="A22" s="111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</row>
    <row r="23" spans="1:17" ht="15.75" thickBot="1" x14ac:dyDescent="0.25">
      <c r="A23" s="112" t="s">
        <v>56</v>
      </c>
      <c r="B23" s="112"/>
      <c r="C23" s="112"/>
      <c r="D23" s="112"/>
      <c r="E23" s="112"/>
      <c r="F23" s="112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</row>
    <row r="24" spans="1:17" ht="13.5" thickBot="1" x14ac:dyDescent="0.25">
      <c r="A24" s="114" t="s">
        <v>64</v>
      </c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</row>
    <row r="25" spans="1:17" ht="27" customHeight="1" thickBot="1" x14ac:dyDescent="0.25">
      <c r="A25" s="114"/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</row>
  </sheetData>
  <mergeCells count="29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Q9"/>
    <mergeCell ref="A10:Q10"/>
    <mergeCell ref="A12:Q12"/>
    <mergeCell ref="A13:N13"/>
    <mergeCell ref="O13:P14"/>
    <mergeCell ref="Q13:Q14"/>
    <mergeCell ref="A22:Q22"/>
    <mergeCell ref="A23:F23"/>
    <mergeCell ref="G23:Q23"/>
    <mergeCell ref="A24:Q25"/>
    <mergeCell ref="O16:P16"/>
    <mergeCell ref="O17:P17"/>
    <mergeCell ref="O18:P18"/>
    <mergeCell ref="O19:P19"/>
    <mergeCell ref="O20:P20"/>
    <mergeCell ref="A21:P21"/>
  </mergeCells>
  <pageMargins left="0.7" right="0.7" top="0.75" bottom="0.75" header="0.3" footer="0.3"/>
  <pageSetup paperSize="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Necesidades Trimestrales</vt:lpstr>
      <vt:lpstr>NDP</vt:lpstr>
      <vt:lpstr>APG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elias quintar</cp:lastModifiedBy>
  <cp:revision>2</cp:revision>
  <cp:lastPrinted>2021-02-08T14:07:22Z</cp:lastPrinted>
  <dcterms:created xsi:type="dcterms:W3CDTF">2020-07-17T23:44:49Z</dcterms:created>
  <dcterms:modified xsi:type="dcterms:W3CDTF">2021-08-17T13:18:05Z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