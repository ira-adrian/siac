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Gastar'!$A$1:$Q$25</definedName>
    <definedName name="_xlnm.Print_Area" localSheetId="1">NotaPedido!$A$1:$K$34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A24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31" i="1"/>
  <c r="J34" i="2" l="1"/>
  <c r="G6" i="3" l="1"/>
  <c r="G7" i="3"/>
  <c r="D7" i="2"/>
  <c r="D3" i="2"/>
  <c r="G4" i="3" s="1"/>
  <c r="D4" i="2"/>
  <c r="G5" i="3" s="1"/>
  <c r="D1" i="3" l="1"/>
  <c r="Q21" i="3"/>
</calcChain>
</file>

<file path=xl/sharedStrings.xml><?xml version="1.0" encoding="utf-8"?>
<sst xmlns="http://schemas.openxmlformats.org/spreadsheetml/2006/main" count="194" uniqueCount="126">
  <si>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</si>
  <si>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</si>
  <si>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</si>
  <si>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</si>
  <si>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</si>
  <si>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</si>
  <si>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</si>
  <si>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</si>
  <si>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</si>
  <si>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</si>
  <si>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</si>
  <si>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</si>
  <si>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</si>
  <si>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</si>
  <si>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</si>
  <si>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</si>
  <si>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</si>
  <si>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</si>
  <si>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</si>
  <si>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</si>
  <si>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</si>
  <si>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</si>
  <si>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</si>
  <si>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</si>
  <si>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</si>
  <si>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</si>
  <si>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</si>
  <si>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</si>
  <si>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</si>
  <si>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</si>
  <si>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</si>
  <si>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</si>
  <si>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</si>
  <si>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</si>
  <si>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</si>
  <si>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</si>
  <si>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</si>
  <si>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</si>
  <si>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</si>
  <si>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</si>
  <si>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</si>
  <si>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</si>
  <si>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</si>
  <si>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</si>
  <si>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</si>
  <si>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</si>
  <si>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</si>
  <si>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</si>
  <si>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</si>
  <si>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</si>
  <si>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</si>
  <si>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</si>
  <si>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</si>
  <si>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</si>
  <si>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</si>
  <si>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</si>
  <si>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</si>
  <si>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</si>
  <si>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</si>
  <si>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</si>
  <si>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</si>
  <si>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</si>
  <si>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>3.1</t>
  </si>
  <si>
    <t>1.1</t>
  </si>
  <si>
    <t>2.5.2-1875.133</t>
  </si>
  <si>
    <t>PROD. MEDICO/FARMACEUTICOS/LAB</t>
  </si>
  <si>
    <t>ANTIASMATICO BRONCODILATADOR; TIPO: MONODROGA, DROGA GENERICA: N-ACETIL CISTEINA 600 MGR, FORMA FARMACEUTICA: TABLETA EFERVESCENTE, PRESENTACION: UNIDAD</t>
  </si>
  <si>
    <t>UNIDAD</t>
  </si>
  <si>
    <t>2.5.2-1875.74</t>
  </si>
  <si>
    <t>ANTIASMATICO BRONCODILATADOR; TIPO: MONODROGA, DROGA GENERICA: AMINOFILINA 240MGR, FORMA FARMACEUTICA: AMPOLLA, PRESENTACION: ENVASE X 10 ML</t>
  </si>
  <si>
    <t>AMPOLLA</t>
  </si>
  <si>
    <t>2.5.2-1855.83</t>
  </si>
  <si>
    <t>CORTICOESTEROIDES; TIPO: ASOCIACION, DROGA GENERICA: BETAMETASONA ACETATO+FOSFATO, FORMA FARMACEUTICA: AMPOLLA, PRESENTACION: ENVASE X 2 mL</t>
  </si>
  <si>
    <t>2.5.2-1875.134</t>
  </si>
  <si>
    <t>ANTIASMATICO BRONCODILATADOR; TIPO: MONODROGA, DROGA GENERICA: BUDESONIDE 200 µGR, FORMA FARMACEUTICA: AEROSOL, PRESENTACION: 100 DOSIS</t>
  </si>
  <si>
    <t>2.5.2-2476.50</t>
  </si>
  <si>
    <t>ANTIALERGICOS-ANTIHISTAMINICOS; TIPO: MONODROGA, DROGA GENERICA: BUDESONIDA 1 MG/ML, FORMA FARMACEUTICA: GOTAS, PRESENTACION: ENVASE X 20 mL</t>
  </si>
  <si>
    <t>2.5.2-2198.3</t>
  </si>
  <si>
    <t>ANTIDIURETICOS; DROGA GENERICA: DESMOPRESINA, FORMA FARMACEUTICA: AMPOLLA, PRESENTACION: 1 mL, TIPO: MONODROGA</t>
  </si>
  <si>
    <t>2.5.2-1855.7</t>
  </si>
  <si>
    <t>CORTICOESTEROIDES; TIPO: MONODROGA, DROGA GENERICA: DEXAMETASONA, FORMA FARMACEUTICA: AMPOLLA, PRESENTACION: 8 mGr</t>
  </si>
  <si>
    <t>2.5.2-1855.86</t>
  </si>
  <si>
    <t>CORTICOESTEROIDES; TIPO: MONODROGA, DROGA GENERICA: DEXAMETASONA, FORMA FARMACEUTICA: COMPRIMIDO, PRESENTACION: 8 mGr</t>
  </si>
  <si>
    <t>COMPRIMIDO</t>
  </si>
  <si>
    <t>2.5.2-2476.44</t>
  </si>
  <si>
    <t>ANTIALERGICOS-ANTIHISTAMINICOS; TIPO: MONODROGA, DROGA GENERICA: DIFENHIDRAMINA, FORMA FARMACEUTICA: AMPOLLA, PRESENTACION: 10 mGr</t>
  </si>
  <si>
    <t>2.5.2-1855.77</t>
  </si>
  <si>
    <t>CORTICOESTEROIDES; TIPO: MONODROGA, DROGA GENERICA: HIDROCORTISONA, FORMA FARMACEUTICA: FRASCO AMPOLLA, PRESENTACION: ENVASE X 500 mGr</t>
  </si>
  <si>
    <t>2.5.2-1875.108</t>
  </si>
  <si>
    <t>ANTIASMATICO BRONCODILATADOR; TIPO: MONODROGA, DROGA GENERICA: BROMURO DE IPRATROPIO 20 µGr, FORMA FARMACEUTICA: AEROSOL, PRESENTACION: UNIDAD</t>
  </si>
  <si>
    <t>2.5.2-5559.10</t>
  </si>
  <si>
    <t>NORMALIZADORES TIROIDEOS; TIPO: MONODROGA, PRESENTACION: UNIDAD, DROGA GENERICA: LEVOTIROXINA 100 µGr, FORMA FARMACEUTICA: COMPRIMIDO</t>
  </si>
  <si>
    <t>2.5.2-2200.24</t>
  </si>
  <si>
    <t>CORTICOIDES; DROGA GENERICA: METILPREDNISOLONA, FORMA FARMACEUTICA: FRASCO AMPOLLA, PRESENTACION: 500, TIPO: MONODROGA</t>
  </si>
  <si>
    <t>2.5.2-2200.19</t>
  </si>
  <si>
    <t>CORTICOIDES; DROGA GENERICA: MEPREDNISONA, FORMA FARMACEUTICA: COMPRIMIDO, PRESENTACION: 40 mGr, TIPO: MONODROGA</t>
  </si>
  <si>
    <t>2.5.2-1821.487</t>
  </si>
  <si>
    <t>ANTIBIOTICOS P/PERSONAS; TIPO: MONODROGA, DROGA GENERICA: METRONIDAZOL, FORMA FARMACEUTICA: OVULO, PRESENTACION: UNIDAD</t>
  </si>
  <si>
    <t>2.5.2-1851.29</t>
  </si>
  <si>
    <t>GENITOURINARIO; TIPO: MONODROGA, DROGA GENÉRICA: NISTATINA, FORMA FARMACEÚTICA: COMPRIMIDO VAGINAL, PRESENTACIÓN: 100000 UI</t>
  </si>
  <si>
    <t>2.5.2-1723.122</t>
  </si>
  <si>
    <t>ANTISEPTICOS LOCALES P/PERSONA; TIPO: MONODROGA, DROGA GENERICA: NITROFURAZONA, FORMA FARMACEUTICA: APOSITO, PRESENTACION: ENVASE X 20 UN</t>
  </si>
  <si>
    <t>CAJA</t>
  </si>
  <si>
    <t>2.5.2-1895.89</t>
  </si>
  <si>
    <t>HORMONAS MEDICINALES; TIPO: MONODROGA, DROGA GENERICA: OCTREOTIDA, FORMA FARMACEUTICA: AMPOLLA, PRESENTACION: 0,1 MG / ML, USO: INHIBIDOR HORMONA CRECIMIENTO</t>
  </si>
  <si>
    <t>2.5.2-1875.11</t>
  </si>
  <si>
    <t>ANTIASMATICO BRONCODILATADOR; TIPO: MONODROGA, PRESENTACION: 20 mL, FORMA FARMACEUTICA: GOTAS, DROGA GENERICA: SALBUTAMOL</t>
  </si>
  <si>
    <t>GOTERO</t>
  </si>
  <si>
    <t>2.5.2-1883.189</t>
  </si>
  <si>
    <t>ANESTÉSICOS LOCALES; TIPO: ANALGÉSICO LOCAL Y ANTIBACTERIANO, DROGA GENÉRICA: LIDOCAÍNA + SULFADIAZINA + VITAMINA A, FORMA FARMACEÚTICA: CREMA, PRESENTACIÓN: ENVASE X 100 GR</t>
  </si>
  <si>
    <t>2.5.2-2481.3</t>
  </si>
  <si>
    <t>LAXANTES; TIPO: MONODROGA, DROGA GENERICA: VASELINA, FORMA FARMACEUTICA: SOLIDO, PRESENTACION: 1000 GR</t>
  </si>
  <si>
    <t>2.5.2-2198.8</t>
  </si>
  <si>
    <t>ANTIDIURETICOS; DROGA GENERICA: VASOPRESINA ACUOSA, FORMA FARMACEUTICA: AMPOLLA, PRESENTACION: 1 mL, TIPO: MONODROGA</t>
  </si>
  <si>
    <t>VASOPRESINA 20UI AMPOLLA CAJA X 5 UNIDADES TIPO NOVOPRESSINA - V</t>
  </si>
  <si>
    <t>Especificidades Item N° 19:</t>
  </si>
  <si>
    <t>AMPOLLA 0,1 MG/ML CAJA X 5 UNIDADES DE 1 ML  TIPO GASTERINA o SANDOSTATIN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</si>
  <si>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</si>
  <si>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 xml:space="preserve">PLAZO DE MANTENIMIENTO DE LA OFERTA: 45 DIAS HABILES </t>
  </si>
  <si>
    <t>PLAZO DE ENTREGA: 15 DIAS HABILES - SERVICIO DE FARMACIA - AVDA. ILLIA Y MARIANO MORENO - DE LUNES A VIERNES DE 08:00 A 11:00 HORAS DEBIENDO CORRER LOS GASTOS DE FLETES, ACARREO, CARGA, DESCARGA Y SEGURO A CARGO DEL ADJUDICATARIO.</t>
  </si>
  <si>
    <t>Adquisición de Sistema Genitourinario y hormonal</t>
  </si>
  <si>
    <t>Costo total estimado: PESOS:  DOS MILLONES QUINIENTOS SETENTA Y SEIS MIL QUINIENTOS SESENTA Y UNO CON 50/100</t>
  </si>
  <si>
    <t>SI</t>
  </si>
  <si>
    <t>NOTA DE PEDIDO 124</t>
  </si>
  <si>
    <t>DOCFI-2022-01908115-CAT-DASIS#HSJB</t>
  </si>
  <si>
    <t>TOTAL DE PESOS:  DOS MILLONES QUINIENTOS SETENTA Y SEIS MIL QUINIENTOS SESENTA Y UNO CON 50/100.----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</si>
</sst>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&quot;$&quot;\ * #,##0.00_-;\-&quot;$&quot;\ * #,##0.00_-;_-&quot;$&quot;\ * &quot;-&quot;??_-;_-@"/>
    <numFmt numFmtId="170" formatCode="_-&quot;$&quot;* #,##0.00_-;\-&quot;$&quot;* #,##0.00_-;_-&quot;$&quot;* &quot;-&quot;??_-;_-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8"/>
      <name val="Arial"/>
      <family val="2"/>
      <charset val="1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166" fontId="13" fillId="0" borderId="40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166" fontId="0" fillId="0" borderId="0" xfId="0" applyNumberFormat="1"/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3" fontId="14" fillId="0" borderId="0" xfId="0" applyNumberFormat="1" applyFont="1" applyBorder="1" applyAlignment="1">
      <alignment horizontal="center" vertical="center"/>
    </xf>
    <xf numFmtId="169" fontId="14" fillId="0" borderId="0" xfId="0" applyNumberFormat="1" applyFont="1" applyBorder="1" applyAlignment="1">
      <alignment horizontal="right" vertical="center"/>
    </xf>
    <xf numFmtId="170" fontId="14" fillId="0" borderId="0" xfId="0" applyNumberFormat="1" applyFont="1" applyBorder="1" applyAlignment="1">
      <alignment horizontal="right" vertic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 wrapText="1"/>
    </xf>
    <xf numFmtId="0" fontId="21" fillId="6" borderId="20" xfId="0" applyFont="1" applyFill="1" applyBorder="1" applyAlignment="1">
      <alignment horizontal="center" vertical="center" wrapText="1"/>
    </xf>
    <xf numFmtId="0" fontId="21" fillId="6" borderId="44" xfId="0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44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 wrapText="1"/>
    </xf>
    <xf numFmtId="0" fontId="15" fillId="6" borderId="44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34" xfId="0" applyFont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0" fillId="0" borderId="34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0" xfId="0" applyFont="1" applyFill="1" applyBorder="1" applyAlignment="1">
      <alignment horizontal="left" vertical="center" wrapText="1" indent="1"/>
    </xf>
    <xf numFmtId="0" fontId="0" fillId="0" borderId="3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22" xfId="0" applyBorder="1"/>
    <xf numFmtId="0" fontId="26" fillId="0" borderId="40" xfId="0" applyFont="1" applyBorder="1" applyAlignment="1">
      <alignment horizontal="left" vertical="center" wrapText="1"/>
    </xf>
    <xf numFmtId="0" fontId="0" fillId="0" borderId="45" xfId="0" applyFont="1" applyBorder="1" applyAlignment="1">
      <alignment horizontal="center" vertical="center"/>
    </xf>
    <xf numFmtId="0" fontId="27" fillId="0" borderId="34" xfId="0" applyFont="1" applyBorder="1" applyAlignment="1">
      <alignment horizontal="left" vertical="center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6"/>
  <sheetViews>
    <sheetView tabSelected="1" zoomScale="85" zoomScaleNormal="85" workbookViewId="0">
      <selection activeCell="I34" sqref="I34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3.140625" style="38" customWidth="1"/>
    <col min="7" max="7" width="12.7109375" style="38" customWidth="1"/>
    <col min="8" max="8" width="13.85546875" style="38" customWidth="1"/>
    <col min="9" max="9" width="18.5703125" style="38" customWidth="1"/>
    <col min="10" max="16384" width="11" style="38"/>
  </cols>
  <sheetData>
    <row r="2" spans="1:9" ht="27" x14ac:dyDescent="0.35">
      <c r="B2" s="78" t="s">
        <v>0</v>
      </c>
      <c r="C2" s="78"/>
      <c r="D2" s="78"/>
      <c r="E2" s="78"/>
      <c r="F2" s="78"/>
      <c r="G2" s="78"/>
      <c r="H2" s="78"/>
    </row>
    <row r="4" spans="1:9" ht="18" customHeight="1" x14ac:dyDescent="0.25">
      <c r="A4" s="79" t="s">
        <v>1</v>
      </c>
      <c r="B4" s="79"/>
      <c r="C4" s="80" t="s">
        <v>57</v>
      </c>
      <c r="D4" s="80"/>
      <c r="E4" s="80"/>
      <c r="F4" s="39"/>
      <c r="G4" s="40"/>
      <c r="H4" s="39"/>
    </row>
    <row r="5" spans="1:9" ht="18" customHeight="1" x14ac:dyDescent="0.25">
      <c r="A5" s="79" t="s">
        <v>2</v>
      </c>
      <c r="B5" s="79"/>
      <c r="C5" s="80" t="s">
        <v>58</v>
      </c>
      <c r="D5" s="80"/>
      <c r="E5" s="80"/>
      <c r="F5" s="39"/>
      <c r="G5" s="40"/>
      <c r="H5" s="39"/>
    </row>
    <row r="6" spans="1:9" ht="16.5" customHeight="1" x14ac:dyDescent="0.25">
      <c r="A6" s="79" t="s">
        <v>3</v>
      </c>
      <c r="B6" s="79"/>
      <c r="C6" s="62">
        <v>2022</v>
      </c>
      <c r="D6" s="63"/>
      <c r="E6" s="63"/>
      <c r="F6" s="39"/>
      <c r="G6" s="40"/>
      <c r="H6" s="39"/>
    </row>
    <row r="7" spans="1:9" ht="16.5" customHeight="1" x14ac:dyDescent="0.25">
      <c r="A7" s="79" t="s">
        <v>4</v>
      </c>
      <c r="B7" s="79"/>
      <c r="C7" s="62">
        <v>4</v>
      </c>
      <c r="D7" s="63"/>
      <c r="E7" s="63"/>
      <c r="F7" s="39"/>
      <c r="G7" s="40"/>
      <c r="H7" s="39"/>
    </row>
    <row r="8" spans="1:9" ht="13.5" thickBot="1" x14ac:dyDescent="0.25">
      <c r="B8" s="39"/>
      <c r="C8" s="40"/>
      <c r="D8" s="39"/>
      <c r="E8" s="39"/>
      <c r="F8" s="39"/>
      <c r="G8" s="40"/>
      <c r="H8" s="39"/>
    </row>
    <row r="9" spans="1:9" ht="39" thickBot="1" x14ac:dyDescent="0.25">
      <c r="A9" s="54" t="s">
        <v>5</v>
      </c>
      <c r="B9" s="54" t="s">
        <v>6</v>
      </c>
      <c r="C9" s="54" t="s">
        <v>7</v>
      </c>
      <c r="D9" s="54" t="s">
        <v>8</v>
      </c>
      <c r="E9" s="54" t="s">
        <v>9</v>
      </c>
      <c r="F9" s="54" t="s">
        <v>10</v>
      </c>
      <c r="G9" s="54" t="s">
        <v>11</v>
      </c>
      <c r="H9" s="54" t="s">
        <v>12</v>
      </c>
      <c r="I9" s="54" t="s">
        <v>13</v>
      </c>
    </row>
    <row r="10" spans="1:9" ht="61.5" customHeight="1" thickBot="1" x14ac:dyDescent="0.25">
      <c r="A10" s="55">
        <v>1</v>
      </c>
      <c r="B10" s="59" t="s">
        <v>64</v>
      </c>
      <c r="C10" s="56" t="s">
        <v>65</v>
      </c>
      <c r="D10" s="57">
        <v>252</v>
      </c>
      <c r="E10" s="58" t="s">
        <v>66</v>
      </c>
      <c r="F10" s="59" t="s">
        <v>67</v>
      </c>
      <c r="G10" s="59">
        <v>400</v>
      </c>
      <c r="H10" s="60">
        <v>35.24</v>
      </c>
      <c r="I10" s="61">
        <f t="shared" ref="I10:I31" si="0">G10*H10</f>
        <v>14096</v>
      </c>
    </row>
    <row r="11" spans="1:9" ht="60.75" customHeight="1" thickBot="1" x14ac:dyDescent="0.25">
      <c r="A11" s="55">
        <v>2</v>
      </c>
      <c r="B11" s="59" t="s">
        <v>112</v>
      </c>
      <c r="C11" s="56" t="s">
        <v>65</v>
      </c>
      <c r="D11" s="57">
        <v>252</v>
      </c>
      <c r="E11" s="58" t="s">
        <v>113</v>
      </c>
      <c r="F11" s="59" t="s">
        <v>102</v>
      </c>
      <c r="G11" s="59">
        <v>10</v>
      </c>
      <c r="H11" s="60">
        <v>775</v>
      </c>
      <c r="I11" s="61">
        <f t="shared" si="0"/>
        <v>7750</v>
      </c>
    </row>
    <row r="12" spans="1:9" ht="54.75" customHeight="1" thickBot="1" x14ac:dyDescent="0.25">
      <c r="A12" s="55">
        <v>3</v>
      </c>
      <c r="B12" s="59" t="s">
        <v>68</v>
      </c>
      <c r="C12" s="56" t="s">
        <v>65</v>
      </c>
      <c r="D12" s="57">
        <v>252</v>
      </c>
      <c r="E12" s="58" t="s">
        <v>69</v>
      </c>
      <c r="F12" s="59" t="s">
        <v>70</v>
      </c>
      <c r="G12" s="59">
        <v>100</v>
      </c>
      <c r="H12" s="60">
        <v>86</v>
      </c>
      <c r="I12" s="61">
        <f t="shared" si="0"/>
        <v>8600</v>
      </c>
    </row>
    <row r="13" spans="1:9" ht="61.5" customHeight="1" thickBot="1" x14ac:dyDescent="0.25">
      <c r="A13" s="55">
        <v>4</v>
      </c>
      <c r="B13" s="59" t="s">
        <v>71</v>
      </c>
      <c r="C13" s="56" t="s">
        <v>65</v>
      </c>
      <c r="D13" s="57">
        <v>252</v>
      </c>
      <c r="E13" s="58" t="s">
        <v>72</v>
      </c>
      <c r="F13" s="59" t="s">
        <v>70</v>
      </c>
      <c r="G13" s="59">
        <v>300</v>
      </c>
      <c r="H13" s="60">
        <v>295</v>
      </c>
      <c r="I13" s="61">
        <f t="shared" si="0"/>
        <v>88500</v>
      </c>
    </row>
    <row r="14" spans="1:9" ht="57" customHeight="1" thickBot="1" x14ac:dyDescent="0.25">
      <c r="A14" s="55">
        <v>5</v>
      </c>
      <c r="B14" s="59" t="s">
        <v>73</v>
      </c>
      <c r="C14" s="56" t="s">
        <v>65</v>
      </c>
      <c r="D14" s="57">
        <v>252</v>
      </c>
      <c r="E14" s="58" t="s">
        <v>74</v>
      </c>
      <c r="F14" s="59" t="s">
        <v>67</v>
      </c>
      <c r="G14" s="59">
        <v>200</v>
      </c>
      <c r="H14" s="60">
        <v>750</v>
      </c>
      <c r="I14" s="61">
        <f t="shared" si="0"/>
        <v>150000</v>
      </c>
    </row>
    <row r="15" spans="1:9" ht="55.5" customHeight="1" thickBot="1" x14ac:dyDescent="0.25">
      <c r="A15" s="55">
        <v>6</v>
      </c>
      <c r="B15" s="59" t="s">
        <v>75</v>
      </c>
      <c r="C15" s="56" t="s">
        <v>65</v>
      </c>
      <c r="D15" s="57">
        <v>252</v>
      </c>
      <c r="E15" s="58" t="s">
        <v>76</v>
      </c>
      <c r="F15" s="59" t="s">
        <v>67</v>
      </c>
      <c r="G15" s="59">
        <v>20</v>
      </c>
      <c r="H15" s="60">
        <v>327</v>
      </c>
      <c r="I15" s="61">
        <f t="shared" si="0"/>
        <v>6540</v>
      </c>
    </row>
    <row r="16" spans="1:9" ht="57" customHeight="1" thickBot="1" x14ac:dyDescent="0.25">
      <c r="A16" s="55">
        <v>7</v>
      </c>
      <c r="B16" s="59" t="s">
        <v>77</v>
      </c>
      <c r="C16" s="56" t="s">
        <v>65</v>
      </c>
      <c r="D16" s="57">
        <v>252</v>
      </c>
      <c r="E16" s="58" t="s">
        <v>78</v>
      </c>
      <c r="F16" s="59" t="s">
        <v>70</v>
      </c>
      <c r="G16" s="59">
        <v>50</v>
      </c>
      <c r="H16" s="60">
        <v>1615</v>
      </c>
      <c r="I16" s="61">
        <f t="shared" si="0"/>
        <v>80750</v>
      </c>
    </row>
    <row r="17" spans="1:9" ht="45.75" customHeight="1" thickBot="1" x14ac:dyDescent="0.25">
      <c r="A17" s="55">
        <v>8</v>
      </c>
      <c r="B17" s="59" t="s">
        <v>79</v>
      </c>
      <c r="C17" s="56" t="s">
        <v>65</v>
      </c>
      <c r="D17" s="57">
        <v>252</v>
      </c>
      <c r="E17" s="58" t="s">
        <v>80</v>
      </c>
      <c r="F17" s="59" t="s">
        <v>70</v>
      </c>
      <c r="G17" s="59">
        <v>12000</v>
      </c>
      <c r="H17" s="60">
        <v>45</v>
      </c>
      <c r="I17" s="61">
        <f t="shared" si="0"/>
        <v>540000</v>
      </c>
    </row>
    <row r="18" spans="1:9" ht="52.5" customHeight="1" thickBot="1" x14ac:dyDescent="0.25">
      <c r="A18" s="55">
        <v>9</v>
      </c>
      <c r="B18" s="59" t="s">
        <v>81</v>
      </c>
      <c r="C18" s="56" t="s">
        <v>65</v>
      </c>
      <c r="D18" s="57">
        <v>252</v>
      </c>
      <c r="E18" s="58" t="s">
        <v>82</v>
      </c>
      <c r="F18" s="59" t="s">
        <v>83</v>
      </c>
      <c r="G18" s="59">
        <v>200</v>
      </c>
      <c r="H18" s="60">
        <v>15</v>
      </c>
      <c r="I18" s="61">
        <f t="shared" si="0"/>
        <v>3000</v>
      </c>
    </row>
    <row r="19" spans="1:9" ht="51.75" customHeight="1" thickBot="1" x14ac:dyDescent="0.25">
      <c r="A19" s="55">
        <v>10</v>
      </c>
      <c r="B19" s="59" t="s">
        <v>84</v>
      </c>
      <c r="C19" s="56" t="s">
        <v>65</v>
      </c>
      <c r="D19" s="57">
        <v>252</v>
      </c>
      <c r="E19" s="58" t="s">
        <v>85</v>
      </c>
      <c r="F19" s="59" t="s">
        <v>70</v>
      </c>
      <c r="G19" s="59">
        <v>6000</v>
      </c>
      <c r="H19" s="60">
        <v>55</v>
      </c>
      <c r="I19" s="61">
        <f t="shared" si="0"/>
        <v>330000</v>
      </c>
    </row>
    <row r="20" spans="1:9" ht="47.25" customHeight="1" thickBot="1" x14ac:dyDescent="0.25">
      <c r="A20" s="55">
        <v>11</v>
      </c>
      <c r="B20" s="59" t="s">
        <v>86</v>
      </c>
      <c r="C20" s="56" t="s">
        <v>65</v>
      </c>
      <c r="D20" s="57">
        <v>252</v>
      </c>
      <c r="E20" s="58" t="s">
        <v>87</v>
      </c>
      <c r="F20" s="59" t="s">
        <v>70</v>
      </c>
      <c r="G20" s="59">
        <v>1000</v>
      </c>
      <c r="H20" s="60">
        <v>222</v>
      </c>
      <c r="I20" s="61">
        <f t="shared" si="0"/>
        <v>222000</v>
      </c>
    </row>
    <row r="21" spans="1:9" ht="66.75" customHeight="1" thickBot="1" x14ac:dyDescent="0.25">
      <c r="A21" s="55">
        <v>12</v>
      </c>
      <c r="B21" s="59" t="s">
        <v>88</v>
      </c>
      <c r="C21" s="56" t="s">
        <v>65</v>
      </c>
      <c r="D21" s="57">
        <v>252</v>
      </c>
      <c r="E21" s="58" t="s">
        <v>89</v>
      </c>
      <c r="F21" s="59" t="s">
        <v>67</v>
      </c>
      <c r="G21" s="59">
        <v>100</v>
      </c>
      <c r="H21" s="60">
        <v>1298</v>
      </c>
      <c r="I21" s="61">
        <f t="shared" si="0"/>
        <v>129800</v>
      </c>
    </row>
    <row r="22" spans="1:9" ht="54.75" customHeight="1" thickBot="1" x14ac:dyDescent="0.25">
      <c r="A22" s="55">
        <v>13</v>
      </c>
      <c r="B22" s="59" t="s">
        <v>90</v>
      </c>
      <c r="C22" s="56" t="s">
        <v>65</v>
      </c>
      <c r="D22" s="57">
        <v>252</v>
      </c>
      <c r="E22" s="58" t="s">
        <v>91</v>
      </c>
      <c r="F22" s="59" t="s">
        <v>83</v>
      </c>
      <c r="G22" s="59">
        <v>600</v>
      </c>
      <c r="H22" s="60">
        <v>18.3</v>
      </c>
      <c r="I22" s="61">
        <f t="shared" si="0"/>
        <v>10980</v>
      </c>
    </row>
    <row r="23" spans="1:9" ht="52.5" customHeight="1" thickBot="1" x14ac:dyDescent="0.25">
      <c r="A23" s="55">
        <v>14</v>
      </c>
      <c r="B23" s="59" t="s">
        <v>92</v>
      </c>
      <c r="C23" s="56" t="s">
        <v>65</v>
      </c>
      <c r="D23" s="57">
        <v>252</v>
      </c>
      <c r="E23" s="58" t="s">
        <v>93</v>
      </c>
      <c r="F23" s="59" t="s">
        <v>70</v>
      </c>
      <c r="G23" s="59">
        <v>200</v>
      </c>
      <c r="H23" s="60">
        <v>689</v>
      </c>
      <c r="I23" s="61">
        <f t="shared" si="0"/>
        <v>137800</v>
      </c>
    </row>
    <row r="24" spans="1:9" ht="51.75" customHeight="1" thickBot="1" x14ac:dyDescent="0.25">
      <c r="A24" s="55">
        <v>15</v>
      </c>
      <c r="B24" s="59" t="s">
        <v>94</v>
      </c>
      <c r="C24" s="56" t="s">
        <v>65</v>
      </c>
      <c r="D24" s="57">
        <v>252</v>
      </c>
      <c r="E24" s="58" t="s">
        <v>95</v>
      </c>
      <c r="F24" s="59" t="s">
        <v>83</v>
      </c>
      <c r="G24" s="59">
        <v>400</v>
      </c>
      <c r="H24" s="60">
        <v>55</v>
      </c>
      <c r="I24" s="61">
        <f t="shared" si="0"/>
        <v>22000</v>
      </c>
    </row>
    <row r="25" spans="1:9" ht="51.75" customHeight="1" thickBot="1" x14ac:dyDescent="0.25">
      <c r="A25" s="55">
        <v>16</v>
      </c>
      <c r="B25" s="59" t="s">
        <v>96</v>
      </c>
      <c r="C25" s="56" t="s">
        <v>65</v>
      </c>
      <c r="D25" s="57">
        <v>252</v>
      </c>
      <c r="E25" s="58" t="s">
        <v>97</v>
      </c>
      <c r="F25" s="59" t="s">
        <v>67</v>
      </c>
      <c r="G25" s="59">
        <v>200</v>
      </c>
      <c r="H25" s="60">
        <v>47.24</v>
      </c>
      <c r="I25" s="61">
        <f t="shared" si="0"/>
        <v>9448</v>
      </c>
    </row>
    <row r="26" spans="1:9" ht="46.5" customHeight="1" thickBot="1" x14ac:dyDescent="0.25">
      <c r="A26" s="55">
        <v>17</v>
      </c>
      <c r="B26" s="59" t="s">
        <v>98</v>
      </c>
      <c r="C26" s="56" t="s">
        <v>65</v>
      </c>
      <c r="D26" s="57">
        <v>252</v>
      </c>
      <c r="E26" s="58" t="s">
        <v>99</v>
      </c>
      <c r="F26" s="59" t="s">
        <v>83</v>
      </c>
      <c r="G26" s="59">
        <v>50</v>
      </c>
      <c r="H26" s="60">
        <v>33.5</v>
      </c>
      <c r="I26" s="61">
        <f t="shared" si="0"/>
        <v>1675</v>
      </c>
    </row>
    <row r="27" spans="1:9" ht="58.5" customHeight="1" thickBot="1" x14ac:dyDescent="0.25">
      <c r="A27" s="55">
        <v>18</v>
      </c>
      <c r="B27" s="59" t="s">
        <v>100</v>
      </c>
      <c r="C27" s="56" t="s">
        <v>65</v>
      </c>
      <c r="D27" s="57">
        <v>252</v>
      </c>
      <c r="E27" s="58" t="s">
        <v>101</v>
      </c>
      <c r="F27" s="59" t="s">
        <v>102</v>
      </c>
      <c r="G27" s="59">
        <v>200</v>
      </c>
      <c r="H27" s="60">
        <v>830</v>
      </c>
      <c r="I27" s="61">
        <f t="shared" si="0"/>
        <v>166000</v>
      </c>
    </row>
    <row r="28" spans="1:9" ht="60" customHeight="1" thickBot="1" x14ac:dyDescent="0.25">
      <c r="A28" s="55">
        <v>19</v>
      </c>
      <c r="B28" s="59" t="s">
        <v>103</v>
      </c>
      <c r="C28" s="56" t="s">
        <v>65</v>
      </c>
      <c r="D28" s="57">
        <v>252</v>
      </c>
      <c r="E28" s="58" t="s">
        <v>104</v>
      </c>
      <c r="F28" s="59" t="s">
        <v>102</v>
      </c>
      <c r="G28" s="59">
        <v>50</v>
      </c>
      <c r="H28" s="60">
        <v>7904.45</v>
      </c>
      <c r="I28" s="61">
        <f t="shared" si="0"/>
        <v>395222.5</v>
      </c>
    </row>
    <row r="29" spans="1:9" ht="56.25" customHeight="1" thickBot="1" x14ac:dyDescent="0.25">
      <c r="A29" s="55">
        <v>20</v>
      </c>
      <c r="B29" s="59" t="s">
        <v>105</v>
      </c>
      <c r="C29" s="56" t="s">
        <v>65</v>
      </c>
      <c r="D29" s="57">
        <v>252</v>
      </c>
      <c r="E29" s="58" t="s">
        <v>106</v>
      </c>
      <c r="F29" s="59" t="s">
        <v>107</v>
      </c>
      <c r="G29" s="59">
        <v>100</v>
      </c>
      <c r="H29" s="60">
        <v>95</v>
      </c>
      <c r="I29" s="61">
        <f t="shared" si="0"/>
        <v>9500</v>
      </c>
    </row>
    <row r="30" spans="1:9" ht="57.75" customHeight="1" thickBot="1" x14ac:dyDescent="0.25">
      <c r="A30" s="55">
        <v>21</v>
      </c>
      <c r="B30" s="59" t="s">
        <v>108</v>
      </c>
      <c r="C30" s="56" t="s">
        <v>65</v>
      </c>
      <c r="D30" s="57">
        <v>252</v>
      </c>
      <c r="E30" s="58" t="s">
        <v>109</v>
      </c>
      <c r="F30" s="59" t="s">
        <v>67</v>
      </c>
      <c r="G30" s="59">
        <v>200</v>
      </c>
      <c r="H30" s="60">
        <v>1120</v>
      </c>
      <c r="I30" s="61">
        <f t="shared" si="0"/>
        <v>224000</v>
      </c>
    </row>
    <row r="31" spans="1:9" ht="53.25" customHeight="1" thickBot="1" x14ac:dyDescent="0.25">
      <c r="A31" s="55">
        <v>22</v>
      </c>
      <c r="B31" s="59" t="s">
        <v>110</v>
      </c>
      <c r="C31" s="56" t="s">
        <v>65</v>
      </c>
      <c r="D31" s="57">
        <v>252</v>
      </c>
      <c r="E31" s="58" t="s">
        <v>111</v>
      </c>
      <c r="F31" s="59" t="s">
        <v>67</v>
      </c>
      <c r="G31" s="59">
        <v>15</v>
      </c>
      <c r="H31" s="60">
        <v>1260</v>
      </c>
      <c r="I31" s="61">
        <f t="shared" si="0"/>
        <v>18900</v>
      </c>
    </row>
    <row r="32" spans="1:9" ht="13.5" thickBot="1" x14ac:dyDescent="0.25"/>
    <row r="33" spans="1:9" ht="62.25" customHeight="1" thickBot="1" x14ac:dyDescent="0.25">
      <c r="A33" s="73"/>
      <c r="B33" s="86" t="s">
        <v>117</v>
      </c>
      <c r="C33" s="87"/>
      <c r="D33" s="87"/>
      <c r="E33" s="88"/>
      <c r="F33" s="74"/>
      <c r="G33" s="75"/>
      <c r="H33" s="76"/>
      <c r="I33" s="77"/>
    </row>
    <row r="34" spans="1:9" ht="31.9" customHeight="1" thickBot="1" x14ac:dyDescent="0.25">
      <c r="A34" s="73"/>
      <c r="B34" s="89" t="s">
        <v>118</v>
      </c>
      <c r="C34" s="90"/>
      <c r="D34" s="90"/>
      <c r="E34" s="91"/>
      <c r="F34" s="74"/>
      <c r="G34" s="75"/>
      <c r="H34" s="76"/>
      <c r="I34" s="77"/>
    </row>
    <row r="35" spans="1:9" ht="42" customHeight="1" thickBot="1" x14ac:dyDescent="0.25">
      <c r="A35" s="73"/>
      <c r="B35" s="92" t="s">
        <v>119</v>
      </c>
      <c r="C35" s="93"/>
      <c r="D35" s="93"/>
      <c r="E35" s="94"/>
      <c r="F35" s="74"/>
      <c r="G35" s="75"/>
      <c r="H35" s="76"/>
      <c r="I35" s="77"/>
    </row>
    <row r="37" spans="1:9" ht="13.5" thickBot="1" x14ac:dyDescent="0.25"/>
    <row r="38" spans="1:9" x14ac:dyDescent="0.2">
      <c r="B38" s="41" t="s">
        <v>19</v>
      </c>
      <c r="C38" s="42"/>
      <c r="D38" s="42"/>
      <c r="E38" s="43"/>
    </row>
    <row r="39" spans="1:9" ht="5.25" customHeight="1" x14ac:dyDescent="0.2">
      <c r="B39" s="44"/>
      <c r="C39" s="45"/>
      <c r="D39" s="45"/>
      <c r="E39" s="46"/>
    </row>
    <row r="40" spans="1:9" x14ac:dyDescent="0.2">
      <c r="B40" s="47" t="s">
        <v>14</v>
      </c>
      <c r="C40" s="45"/>
      <c r="D40" s="45"/>
      <c r="E40" s="46"/>
    </row>
    <row r="41" spans="1:9" ht="41.25" customHeight="1" x14ac:dyDescent="0.2">
      <c r="B41" s="47"/>
      <c r="C41" s="81" t="s">
        <v>114</v>
      </c>
      <c r="D41" s="81"/>
      <c r="E41" s="81"/>
    </row>
    <row r="42" spans="1:9" x14ac:dyDescent="0.2">
      <c r="B42" s="47" t="s">
        <v>15</v>
      </c>
      <c r="C42" s="45"/>
      <c r="D42" s="45"/>
      <c r="E42" s="46"/>
    </row>
    <row r="43" spans="1:9" x14ac:dyDescent="0.2">
      <c r="B43" s="48"/>
      <c r="C43" s="82"/>
      <c r="D43" s="82"/>
      <c r="E43" s="82"/>
    </row>
    <row r="44" spans="1:9" x14ac:dyDescent="0.2">
      <c r="B44" s="48"/>
      <c r="C44" s="83"/>
      <c r="D44" s="83"/>
      <c r="E44" s="83"/>
    </row>
    <row r="45" spans="1:9" x14ac:dyDescent="0.2">
      <c r="B45" s="47" t="s">
        <v>16</v>
      </c>
      <c r="C45" s="45"/>
      <c r="D45" s="45"/>
      <c r="E45" s="46"/>
    </row>
    <row r="46" spans="1:9" ht="26.25" customHeight="1" x14ac:dyDescent="0.2">
      <c r="B46" s="48"/>
      <c r="C46" s="81"/>
      <c r="D46" s="81"/>
      <c r="E46" s="81"/>
    </row>
    <row r="47" spans="1:9" x14ac:dyDescent="0.2">
      <c r="B47" s="47" t="s">
        <v>17</v>
      </c>
      <c r="C47" s="49"/>
      <c r="D47" s="49"/>
      <c r="E47" s="50"/>
    </row>
    <row r="48" spans="1:9" ht="26.25" customHeight="1" x14ac:dyDescent="0.2">
      <c r="B48" s="48"/>
      <c r="C48" s="85"/>
      <c r="D48" s="85"/>
      <c r="E48" s="85"/>
    </row>
    <row r="49" spans="2:5" x14ac:dyDescent="0.2">
      <c r="B49" s="47" t="s">
        <v>18</v>
      </c>
      <c r="C49" s="45"/>
      <c r="D49" s="45"/>
      <c r="E49" s="46"/>
    </row>
    <row r="50" spans="2:5" ht="23.25" customHeight="1" x14ac:dyDescent="0.2">
      <c r="B50" s="47"/>
      <c r="C50" s="84"/>
      <c r="D50" s="84"/>
      <c r="E50" s="84"/>
    </row>
    <row r="51" spans="2:5" x14ac:dyDescent="0.2">
      <c r="B51" s="51"/>
      <c r="C51" s="52"/>
      <c r="D51" s="52"/>
      <c r="E51" s="53"/>
    </row>
    <row r="53" spans="2:5" x14ac:dyDescent="0.2">
      <c r="B53" s="41" t="s">
        <v>115</v>
      </c>
      <c r="C53" s="42"/>
      <c r="D53" s="42"/>
      <c r="E53" s="43"/>
    </row>
    <row r="54" spans="2:5" ht="7.5" customHeight="1" x14ac:dyDescent="0.2">
      <c r="B54" s="44"/>
      <c r="C54" s="45"/>
      <c r="D54" s="45"/>
      <c r="E54" s="46"/>
    </row>
    <row r="55" spans="2:5" x14ac:dyDescent="0.2">
      <c r="B55" s="47" t="s">
        <v>14</v>
      </c>
      <c r="C55" s="45"/>
      <c r="D55" s="45"/>
      <c r="E55" s="46"/>
    </row>
    <row r="56" spans="2:5" ht="39" customHeight="1" x14ac:dyDescent="0.2">
      <c r="B56" s="47"/>
      <c r="C56" s="81" t="s">
        <v>116</v>
      </c>
      <c r="D56" s="81"/>
      <c r="E56" s="81"/>
    </row>
    <row r="57" spans="2:5" x14ac:dyDescent="0.2">
      <c r="B57" s="47" t="s">
        <v>15</v>
      </c>
      <c r="C57" s="45"/>
      <c r="D57" s="45"/>
      <c r="E57" s="46"/>
    </row>
    <row r="58" spans="2:5" x14ac:dyDescent="0.2">
      <c r="B58" s="48"/>
      <c r="C58" s="84"/>
      <c r="D58" s="84"/>
      <c r="E58" s="84"/>
    </row>
    <row r="59" spans="2:5" x14ac:dyDescent="0.2">
      <c r="B59" s="48"/>
      <c r="C59" s="84"/>
      <c r="D59" s="84"/>
      <c r="E59" s="84"/>
    </row>
    <row r="60" spans="2:5" x14ac:dyDescent="0.2">
      <c r="B60" s="47" t="s">
        <v>16</v>
      </c>
      <c r="C60" s="45"/>
      <c r="D60" s="45"/>
      <c r="E60" s="46"/>
    </row>
    <row r="61" spans="2:5" x14ac:dyDescent="0.2">
      <c r="B61" s="48"/>
      <c r="C61" s="81"/>
      <c r="D61" s="81"/>
      <c r="E61" s="81"/>
    </row>
    <row r="62" spans="2:5" x14ac:dyDescent="0.2">
      <c r="B62" s="47" t="s">
        <v>17</v>
      </c>
      <c r="C62" s="49"/>
      <c r="D62" s="49"/>
      <c r="E62" s="50"/>
    </row>
    <row r="63" spans="2:5" x14ac:dyDescent="0.2">
      <c r="B63" s="48"/>
      <c r="C63" s="81"/>
      <c r="D63" s="81"/>
      <c r="E63" s="81"/>
    </row>
    <row r="64" spans="2:5" x14ac:dyDescent="0.2">
      <c r="B64" s="47" t="s">
        <v>18</v>
      </c>
      <c r="C64" s="45"/>
      <c r="D64" s="45"/>
      <c r="E64" s="46"/>
    </row>
    <row r="65" spans="2:5" x14ac:dyDescent="0.2">
      <c r="B65" s="47"/>
      <c r="C65" s="84"/>
      <c r="D65" s="84"/>
      <c r="E65" s="84"/>
    </row>
    <row r="66" spans="2:5" x14ac:dyDescent="0.2">
      <c r="B66" s="51"/>
      <c r="C66" s="52"/>
      <c r="D66" s="52"/>
      <c r="E66" s="53"/>
    </row>
  </sheetData>
  <mergeCells count="22">
    <mergeCell ref="C63:E63"/>
    <mergeCell ref="C65:E65"/>
    <mergeCell ref="C46:E46"/>
    <mergeCell ref="C48:E48"/>
    <mergeCell ref="C50:E50"/>
    <mergeCell ref="C56:E56"/>
    <mergeCell ref="C58:E58"/>
    <mergeCell ref="C59:E59"/>
    <mergeCell ref="C61:E61"/>
    <mergeCell ref="A6:B6"/>
    <mergeCell ref="A7:B7"/>
    <mergeCell ref="C41:E41"/>
    <mergeCell ref="C43:E43"/>
    <mergeCell ref="C44:E44"/>
    <mergeCell ref="B33:E33"/>
    <mergeCell ref="B34:E34"/>
    <mergeCell ref="B35:E35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4"/>
  <sheetViews>
    <sheetView topLeftCell="A25" zoomScale="70" zoomScaleNormal="70" workbookViewId="0">
      <selection activeCell="O16" sqref="O1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46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5" t="s">
        <v>123</v>
      </c>
      <c r="B1" s="95"/>
      <c r="C1" s="95"/>
      <c r="D1" s="95"/>
      <c r="E1" s="95"/>
      <c r="F1" s="95"/>
      <c r="G1" s="95"/>
      <c r="H1" s="95"/>
      <c r="I1" s="95"/>
      <c r="J1" s="3" t="s">
        <v>20</v>
      </c>
      <c r="K1" s="64" t="s">
        <v>124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6" t="s">
        <v>53</v>
      </c>
      <c r="B3" s="96"/>
      <c r="C3" s="96"/>
      <c r="D3" s="97" t="str">
        <f>'Necesidades Trimestrales'!C4</f>
        <v>40 - Ministerio de Salud</v>
      </c>
      <c r="E3" s="97"/>
      <c r="F3" s="97"/>
      <c r="G3" s="97"/>
      <c r="H3" s="97"/>
      <c r="I3" s="97"/>
      <c r="J3" s="97"/>
      <c r="K3" s="97"/>
    </row>
    <row r="4" spans="1:11" ht="18.75" customHeight="1" thickBot="1" x14ac:dyDescent="0.25">
      <c r="A4" s="98" t="s">
        <v>54</v>
      </c>
      <c r="B4" s="98"/>
      <c r="C4" s="98"/>
      <c r="D4" s="97" t="str">
        <f>'Necesidades Trimestrales'!C5</f>
        <v>23 - Hospital Interzonal San Juan Bautista</v>
      </c>
      <c r="E4" s="97"/>
      <c r="F4" s="97"/>
      <c r="G4" s="97"/>
      <c r="H4" s="97"/>
      <c r="I4" s="97"/>
      <c r="J4" s="97"/>
      <c r="K4" s="97"/>
    </row>
    <row r="5" spans="1:11" ht="18.75" customHeight="1" thickBot="1" x14ac:dyDescent="0.25">
      <c r="A5" s="98" t="s">
        <v>32</v>
      </c>
      <c r="B5" s="98"/>
      <c r="C5" s="98"/>
      <c r="D5" s="97" t="s">
        <v>59</v>
      </c>
      <c r="E5" s="97"/>
      <c r="F5" s="97"/>
      <c r="G5" s="97"/>
      <c r="H5" s="97"/>
      <c r="I5" s="97"/>
      <c r="J5" s="97"/>
      <c r="K5" s="97"/>
    </row>
    <row r="6" spans="1:11" ht="16.5" customHeight="1" thickBot="1" x14ac:dyDescent="0.25">
      <c r="A6" s="96" t="s">
        <v>55</v>
      </c>
      <c r="B6" s="96"/>
      <c r="C6" s="96"/>
      <c r="D6" s="97" t="s">
        <v>60</v>
      </c>
      <c r="E6" s="97"/>
      <c r="F6" s="97"/>
      <c r="G6" s="97"/>
      <c r="H6" s="97"/>
      <c r="I6" s="97"/>
      <c r="J6" s="97"/>
      <c r="K6" s="97"/>
    </row>
    <row r="7" spans="1:11" ht="16.5" customHeight="1" x14ac:dyDescent="0.2">
      <c r="A7" s="98" t="s">
        <v>21</v>
      </c>
      <c r="B7" s="98"/>
      <c r="C7" s="98"/>
      <c r="D7" s="97" t="str">
        <f>'Necesidades Trimestrales'!C7 &amp; "° Trimestre - Año " &amp; 'Necesidades Trimestrales'!C6</f>
        <v>4° Trimestre - Año 2022</v>
      </c>
      <c r="E7" s="97"/>
      <c r="F7" s="97"/>
      <c r="G7" s="97"/>
      <c r="H7" s="97"/>
      <c r="I7" s="97"/>
      <c r="J7" s="97"/>
      <c r="K7" s="97"/>
    </row>
    <row r="8" spans="1:11" ht="16.5" customHeight="1" x14ac:dyDescent="0.2">
      <c r="A8" s="100" t="s">
        <v>22</v>
      </c>
      <c r="B8" s="100"/>
      <c r="C8" s="100"/>
      <c r="D8" s="101" t="s">
        <v>120</v>
      </c>
      <c r="E8" s="101"/>
      <c r="F8" s="101"/>
      <c r="G8" s="101"/>
      <c r="H8" s="101"/>
      <c r="I8" s="101"/>
      <c r="J8" s="101"/>
      <c r="K8" s="101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2" t="s">
        <v>23</v>
      </c>
      <c r="B10" s="103" t="s">
        <v>24</v>
      </c>
      <c r="C10" s="103" t="s">
        <v>25</v>
      </c>
      <c r="D10" s="103"/>
      <c r="E10" s="103"/>
      <c r="F10" s="103"/>
      <c r="G10" s="103"/>
      <c r="H10" s="103" t="s">
        <v>26</v>
      </c>
      <c r="I10" s="103" t="s">
        <v>27</v>
      </c>
      <c r="J10" s="103" t="s">
        <v>28</v>
      </c>
      <c r="K10" s="104" t="s">
        <v>29</v>
      </c>
    </row>
    <row r="11" spans="1:11" ht="24" customHeight="1" thickBot="1" x14ac:dyDescent="0.25">
      <c r="A11" s="102"/>
      <c r="B11" s="103"/>
      <c r="C11" s="103"/>
      <c r="D11" s="103"/>
      <c r="E11" s="103"/>
      <c r="F11" s="103"/>
      <c r="G11" s="103"/>
      <c r="H11" s="103"/>
      <c r="I11" s="103"/>
      <c r="J11" s="103"/>
      <c r="K11" s="104"/>
    </row>
    <row r="12" spans="1:11" ht="34.5" customHeight="1" thickBot="1" x14ac:dyDescent="0.25">
      <c r="A12" s="8">
        <v>1</v>
      </c>
      <c r="B12" s="65" t="str">
        <f>'Necesidades Trimestrales'!B10</f>
        <v>2.5.2-1875.133</v>
      </c>
      <c r="C12" s="105" t="str">
        <f>'Necesidades Trimestrales'!E10</f>
        <v>ANTIASMATICO BRONCODILATADOR; TIPO: MONODROGA, DROGA GENERICA: N-ACETIL CISTEINA 600 MGR, FORMA FARMACEUTICA: TABLETA EFERVESCENTE, PRESENTACION: UNIDAD</v>
      </c>
      <c r="D12" s="105"/>
      <c r="E12" s="105"/>
      <c r="F12" s="105"/>
      <c r="G12" s="105"/>
      <c r="H12" s="66" t="s">
        <v>56</v>
      </c>
      <c r="I12" s="67" t="str">
        <f>'Necesidades Trimestrales'!F10</f>
        <v>UNIDAD</v>
      </c>
      <c r="J12" s="68">
        <f>'Necesidades Trimestrales'!H10</f>
        <v>35.24</v>
      </c>
      <c r="K12" s="69">
        <f>'Necesidades Trimestrales'!G10</f>
        <v>400</v>
      </c>
    </row>
    <row r="13" spans="1:11" ht="36" customHeight="1" thickBot="1" x14ac:dyDescent="0.25">
      <c r="A13" s="8">
        <v>2</v>
      </c>
      <c r="B13" s="65" t="str">
        <f>'Necesidades Trimestrales'!B11</f>
        <v>2.5.2-2198.8</v>
      </c>
      <c r="C13" s="105" t="str">
        <f>'Necesidades Trimestrales'!E11</f>
        <v>ANTIDIURETICOS; DROGA GENERICA: VASOPRESINA ACUOSA, FORMA FARMACEUTICA: AMPOLLA, PRESENTACION: 1 mL, TIPO: MONODROGA</v>
      </c>
      <c r="D13" s="105"/>
      <c r="E13" s="105"/>
      <c r="F13" s="105"/>
      <c r="G13" s="105"/>
      <c r="H13" s="66" t="s">
        <v>122</v>
      </c>
      <c r="I13" s="67" t="str">
        <f>'Necesidades Trimestrales'!F11</f>
        <v>CAJA</v>
      </c>
      <c r="J13" s="68">
        <f>'Necesidades Trimestrales'!H11</f>
        <v>775</v>
      </c>
      <c r="K13" s="69">
        <f>'Necesidades Trimestrales'!G11</f>
        <v>10</v>
      </c>
    </row>
    <row r="14" spans="1:11" ht="30.75" customHeight="1" thickBot="1" x14ac:dyDescent="0.25">
      <c r="A14" s="8">
        <v>3</v>
      </c>
      <c r="B14" s="65" t="str">
        <f>'Necesidades Trimestrales'!B12</f>
        <v>2.5.2-1875.74</v>
      </c>
      <c r="C14" s="105" t="str">
        <f>'Necesidades Trimestrales'!E12</f>
        <v>ANTIASMATICO BRONCODILATADOR; TIPO: MONODROGA, DROGA GENERICA: AMINOFILINA 240MGR, FORMA FARMACEUTICA: AMPOLLA, PRESENTACION: ENVASE X 10 ML</v>
      </c>
      <c r="D14" s="105"/>
      <c r="E14" s="105"/>
      <c r="F14" s="105"/>
      <c r="G14" s="105"/>
      <c r="H14" s="66" t="s">
        <v>56</v>
      </c>
      <c r="I14" s="67" t="str">
        <f>'Necesidades Trimestrales'!F12</f>
        <v>AMPOLLA</v>
      </c>
      <c r="J14" s="68">
        <f>'Necesidades Trimestrales'!H12</f>
        <v>86</v>
      </c>
      <c r="K14" s="69">
        <f>'Necesidades Trimestrales'!G12</f>
        <v>100</v>
      </c>
    </row>
    <row r="15" spans="1:11" ht="37.5" customHeight="1" thickBot="1" x14ac:dyDescent="0.25">
      <c r="A15" s="8">
        <v>4</v>
      </c>
      <c r="B15" s="65" t="str">
        <f>'Necesidades Trimestrales'!B13</f>
        <v>2.5.2-1855.83</v>
      </c>
      <c r="C15" s="105" t="str">
        <f>'Necesidades Trimestrales'!E13</f>
        <v>CORTICOESTEROIDES; TIPO: ASOCIACION, DROGA GENERICA: BETAMETASONA ACETATO+FOSFATO, FORMA FARMACEUTICA: AMPOLLA, PRESENTACION: ENVASE X 2 mL</v>
      </c>
      <c r="D15" s="105"/>
      <c r="E15" s="105"/>
      <c r="F15" s="105"/>
      <c r="G15" s="105"/>
      <c r="H15" s="66" t="s">
        <v>56</v>
      </c>
      <c r="I15" s="67" t="str">
        <f>'Necesidades Trimestrales'!F13</f>
        <v>AMPOLLA</v>
      </c>
      <c r="J15" s="68">
        <f>'Necesidades Trimestrales'!H13</f>
        <v>295</v>
      </c>
      <c r="K15" s="69">
        <f>'Necesidades Trimestrales'!G13</f>
        <v>300</v>
      </c>
    </row>
    <row r="16" spans="1:11" ht="34.5" customHeight="1" thickBot="1" x14ac:dyDescent="0.25">
      <c r="A16" s="8">
        <v>5</v>
      </c>
      <c r="B16" s="65" t="str">
        <f>'Necesidades Trimestrales'!B14</f>
        <v>2.5.2-1875.134</v>
      </c>
      <c r="C16" s="105" t="str">
        <f>'Necesidades Trimestrales'!E14</f>
        <v>ANTIASMATICO BRONCODILATADOR; TIPO: MONODROGA, DROGA GENERICA: BUDESONIDE 200 µGR, FORMA FARMACEUTICA: AEROSOL, PRESENTACION: 100 DOSIS</v>
      </c>
      <c r="D16" s="105"/>
      <c r="E16" s="105"/>
      <c r="F16" s="105"/>
      <c r="G16" s="105"/>
      <c r="H16" s="66" t="s">
        <v>56</v>
      </c>
      <c r="I16" s="67" t="str">
        <f>'Necesidades Trimestrales'!F14</f>
        <v>UNIDAD</v>
      </c>
      <c r="J16" s="68">
        <f>'Necesidades Trimestrales'!H14</f>
        <v>750</v>
      </c>
      <c r="K16" s="69">
        <f>'Necesidades Trimestrales'!G14</f>
        <v>200</v>
      </c>
    </row>
    <row r="17" spans="1:11" ht="30.75" customHeight="1" thickBot="1" x14ac:dyDescent="0.25">
      <c r="A17" s="8">
        <v>6</v>
      </c>
      <c r="B17" s="65" t="str">
        <f>'Necesidades Trimestrales'!B15</f>
        <v>2.5.2-2476.50</v>
      </c>
      <c r="C17" s="105" t="str">
        <f>'Necesidades Trimestrales'!E15</f>
        <v>ANTIALERGICOS-ANTIHISTAMINICOS; TIPO: MONODROGA, DROGA GENERICA: BUDESONIDA 1 MG/ML, FORMA FARMACEUTICA: GOTAS, PRESENTACION: ENVASE X 20 mL</v>
      </c>
      <c r="D17" s="105"/>
      <c r="E17" s="105"/>
      <c r="F17" s="105"/>
      <c r="G17" s="105"/>
      <c r="H17" s="66" t="s">
        <v>56</v>
      </c>
      <c r="I17" s="67" t="str">
        <f>'Necesidades Trimestrales'!F15</f>
        <v>UNIDAD</v>
      </c>
      <c r="J17" s="68">
        <f>'Necesidades Trimestrales'!H15</f>
        <v>327</v>
      </c>
      <c r="K17" s="69">
        <f>'Necesidades Trimestrales'!G15</f>
        <v>20</v>
      </c>
    </row>
    <row r="18" spans="1:11" ht="37.5" customHeight="1" thickBot="1" x14ac:dyDescent="0.25">
      <c r="A18" s="8">
        <v>7</v>
      </c>
      <c r="B18" s="65" t="str">
        <f>'Necesidades Trimestrales'!B16</f>
        <v>2.5.2-2198.3</v>
      </c>
      <c r="C18" s="105" t="str">
        <f>'Necesidades Trimestrales'!E16</f>
        <v>ANTIDIURETICOS; DROGA GENERICA: DESMOPRESINA, FORMA FARMACEUTICA: AMPOLLA, PRESENTACION: 1 mL, TIPO: MONODROGA</v>
      </c>
      <c r="D18" s="105"/>
      <c r="E18" s="105"/>
      <c r="F18" s="105"/>
      <c r="G18" s="105"/>
      <c r="H18" s="66" t="s">
        <v>56</v>
      </c>
      <c r="I18" s="67" t="str">
        <f>'Necesidades Trimestrales'!F16</f>
        <v>AMPOLLA</v>
      </c>
      <c r="J18" s="68">
        <f>'Necesidades Trimestrales'!H16</f>
        <v>1615</v>
      </c>
      <c r="K18" s="69">
        <f>'Necesidades Trimestrales'!G16</f>
        <v>50</v>
      </c>
    </row>
    <row r="19" spans="1:11" ht="30" customHeight="1" thickBot="1" x14ac:dyDescent="0.25">
      <c r="A19" s="8">
        <v>8</v>
      </c>
      <c r="B19" s="65" t="str">
        <f>'Necesidades Trimestrales'!B17</f>
        <v>2.5.2-1855.7</v>
      </c>
      <c r="C19" s="105" t="str">
        <f>'Necesidades Trimestrales'!E17</f>
        <v>CORTICOESTEROIDES; TIPO: MONODROGA, DROGA GENERICA: DEXAMETASONA, FORMA FARMACEUTICA: AMPOLLA, PRESENTACION: 8 mGr</v>
      </c>
      <c r="D19" s="105"/>
      <c r="E19" s="105"/>
      <c r="F19" s="105"/>
      <c r="G19" s="105"/>
      <c r="H19" s="66" t="s">
        <v>56</v>
      </c>
      <c r="I19" s="67" t="str">
        <f>'Necesidades Trimestrales'!F17</f>
        <v>AMPOLLA</v>
      </c>
      <c r="J19" s="68">
        <f>'Necesidades Trimestrales'!H17</f>
        <v>45</v>
      </c>
      <c r="K19" s="69">
        <f>'Necesidades Trimestrales'!G17</f>
        <v>12000</v>
      </c>
    </row>
    <row r="20" spans="1:11" ht="37.5" customHeight="1" thickBot="1" x14ac:dyDescent="0.25">
      <c r="A20" s="8">
        <v>9</v>
      </c>
      <c r="B20" s="65" t="str">
        <f>'Necesidades Trimestrales'!B18</f>
        <v>2.5.2-1855.86</v>
      </c>
      <c r="C20" s="105" t="str">
        <f>'Necesidades Trimestrales'!E18</f>
        <v>CORTICOESTEROIDES; TIPO: MONODROGA, DROGA GENERICA: DEXAMETASONA, FORMA FARMACEUTICA: COMPRIMIDO, PRESENTACION: 8 mGr</v>
      </c>
      <c r="D20" s="105"/>
      <c r="E20" s="105"/>
      <c r="F20" s="105"/>
      <c r="G20" s="105"/>
      <c r="H20" s="66" t="s">
        <v>56</v>
      </c>
      <c r="I20" s="67" t="str">
        <f>'Necesidades Trimestrales'!F18</f>
        <v>COMPRIMIDO</v>
      </c>
      <c r="J20" s="68">
        <f>'Necesidades Trimestrales'!H18</f>
        <v>15</v>
      </c>
      <c r="K20" s="69">
        <f>'Necesidades Trimestrales'!G18</f>
        <v>200</v>
      </c>
    </row>
    <row r="21" spans="1:11" ht="32.25" customHeight="1" thickBot="1" x14ac:dyDescent="0.25">
      <c r="A21" s="8">
        <v>10</v>
      </c>
      <c r="B21" s="65" t="str">
        <f>'Necesidades Trimestrales'!B19</f>
        <v>2.5.2-2476.44</v>
      </c>
      <c r="C21" s="105" t="str">
        <f>'Necesidades Trimestrales'!E19</f>
        <v>ANTIALERGICOS-ANTIHISTAMINICOS; TIPO: MONODROGA, DROGA GENERICA: DIFENHIDRAMINA, FORMA FARMACEUTICA: AMPOLLA, PRESENTACION: 10 mGr</v>
      </c>
      <c r="D21" s="105"/>
      <c r="E21" s="105"/>
      <c r="F21" s="105"/>
      <c r="G21" s="105"/>
      <c r="H21" s="66" t="s">
        <v>56</v>
      </c>
      <c r="I21" s="67" t="str">
        <f>'Necesidades Trimestrales'!F19</f>
        <v>AMPOLLA</v>
      </c>
      <c r="J21" s="68">
        <f>'Necesidades Trimestrales'!H19</f>
        <v>55</v>
      </c>
      <c r="K21" s="69">
        <f>'Necesidades Trimestrales'!G19</f>
        <v>6000</v>
      </c>
    </row>
    <row r="22" spans="1:11" ht="35.25" customHeight="1" thickBot="1" x14ac:dyDescent="0.25">
      <c r="A22" s="8">
        <v>11</v>
      </c>
      <c r="B22" s="65" t="str">
        <f>'Necesidades Trimestrales'!B20</f>
        <v>2.5.2-1855.77</v>
      </c>
      <c r="C22" s="105" t="str">
        <f>'Necesidades Trimestrales'!E20</f>
        <v>CORTICOESTEROIDES; TIPO: MONODROGA, DROGA GENERICA: HIDROCORTISONA, FORMA FARMACEUTICA: FRASCO AMPOLLA, PRESENTACION: ENVASE X 500 mGr</v>
      </c>
      <c r="D22" s="105"/>
      <c r="E22" s="105"/>
      <c r="F22" s="105"/>
      <c r="G22" s="105"/>
      <c r="H22" s="66" t="s">
        <v>56</v>
      </c>
      <c r="I22" s="67" t="str">
        <f>'Necesidades Trimestrales'!F20</f>
        <v>AMPOLLA</v>
      </c>
      <c r="J22" s="68">
        <f>'Necesidades Trimestrales'!H20</f>
        <v>222</v>
      </c>
      <c r="K22" s="69">
        <f>'Necesidades Trimestrales'!G20</f>
        <v>1000</v>
      </c>
    </row>
    <row r="23" spans="1:11" ht="33" customHeight="1" thickBot="1" x14ac:dyDescent="0.25">
      <c r="A23" s="8">
        <v>12</v>
      </c>
      <c r="B23" s="65" t="str">
        <f>'Necesidades Trimestrales'!B21</f>
        <v>2.5.2-1875.108</v>
      </c>
      <c r="C23" s="105" t="str">
        <f>'Necesidades Trimestrales'!E21</f>
        <v>ANTIASMATICO BRONCODILATADOR; TIPO: MONODROGA, DROGA GENERICA: BROMURO DE IPRATROPIO 20 µGr, FORMA FARMACEUTICA: AEROSOL, PRESENTACION: UNIDAD</v>
      </c>
      <c r="D23" s="105"/>
      <c r="E23" s="105"/>
      <c r="F23" s="105"/>
      <c r="G23" s="105"/>
      <c r="H23" s="66" t="s">
        <v>56</v>
      </c>
      <c r="I23" s="67" t="str">
        <f>'Necesidades Trimestrales'!F21</f>
        <v>UNIDAD</v>
      </c>
      <c r="J23" s="68">
        <f>'Necesidades Trimestrales'!H21</f>
        <v>1298</v>
      </c>
      <c r="K23" s="69">
        <f>'Necesidades Trimestrales'!G21</f>
        <v>100</v>
      </c>
    </row>
    <row r="24" spans="1:11" ht="39.75" customHeight="1" thickBot="1" x14ac:dyDescent="0.25">
      <c r="A24" s="8">
        <v>13</v>
      </c>
      <c r="B24" s="65" t="str">
        <f>'Necesidades Trimestrales'!B22</f>
        <v>2.5.2-5559.10</v>
      </c>
      <c r="C24" s="105" t="str">
        <f>'Necesidades Trimestrales'!E22</f>
        <v>NORMALIZADORES TIROIDEOS; TIPO: MONODROGA, PRESENTACION: UNIDAD, DROGA GENERICA: LEVOTIROXINA 100 µGr, FORMA FARMACEUTICA: COMPRIMIDO</v>
      </c>
      <c r="D24" s="105"/>
      <c r="E24" s="105"/>
      <c r="F24" s="105"/>
      <c r="G24" s="105"/>
      <c r="H24" s="66" t="s">
        <v>56</v>
      </c>
      <c r="I24" s="67" t="str">
        <f>'Necesidades Trimestrales'!F22</f>
        <v>COMPRIMIDO</v>
      </c>
      <c r="J24" s="68">
        <f>'Necesidades Trimestrales'!H22</f>
        <v>18.3</v>
      </c>
      <c r="K24" s="69">
        <f>'Necesidades Trimestrales'!G22</f>
        <v>600</v>
      </c>
    </row>
    <row r="25" spans="1:11" ht="42.75" customHeight="1" thickBot="1" x14ac:dyDescent="0.25">
      <c r="A25" s="8">
        <v>14</v>
      </c>
      <c r="B25" s="65" t="str">
        <f>'Necesidades Trimestrales'!B23</f>
        <v>2.5.2-2200.24</v>
      </c>
      <c r="C25" s="105" t="str">
        <f>'Necesidades Trimestrales'!E23</f>
        <v>CORTICOIDES; DROGA GENERICA: METILPREDNISOLONA, FORMA FARMACEUTICA: FRASCO AMPOLLA, PRESENTACION: 500, TIPO: MONODROGA</v>
      </c>
      <c r="D25" s="105"/>
      <c r="E25" s="105"/>
      <c r="F25" s="105"/>
      <c r="G25" s="105"/>
      <c r="H25" s="66" t="s">
        <v>56</v>
      </c>
      <c r="I25" s="67" t="str">
        <f>'Necesidades Trimestrales'!F23</f>
        <v>AMPOLLA</v>
      </c>
      <c r="J25" s="68">
        <f>'Necesidades Trimestrales'!H23</f>
        <v>689</v>
      </c>
      <c r="K25" s="69">
        <f>'Necesidades Trimestrales'!G23</f>
        <v>200</v>
      </c>
    </row>
    <row r="26" spans="1:11" ht="36" customHeight="1" thickBot="1" x14ac:dyDescent="0.25">
      <c r="A26" s="8">
        <v>15</v>
      </c>
      <c r="B26" s="65" t="str">
        <f>'Necesidades Trimestrales'!B24</f>
        <v>2.5.2-2200.19</v>
      </c>
      <c r="C26" s="105" t="str">
        <f>'Necesidades Trimestrales'!E24</f>
        <v>CORTICOIDES; DROGA GENERICA: MEPREDNISONA, FORMA FARMACEUTICA: COMPRIMIDO, PRESENTACION: 40 mGr, TIPO: MONODROGA</v>
      </c>
      <c r="D26" s="105"/>
      <c r="E26" s="105"/>
      <c r="F26" s="105"/>
      <c r="G26" s="105"/>
      <c r="H26" s="66" t="s">
        <v>56</v>
      </c>
      <c r="I26" s="67" t="str">
        <f>'Necesidades Trimestrales'!F24</f>
        <v>COMPRIMIDO</v>
      </c>
      <c r="J26" s="68">
        <f>'Necesidades Trimestrales'!H24</f>
        <v>55</v>
      </c>
      <c r="K26" s="69">
        <f>'Necesidades Trimestrales'!G24</f>
        <v>400</v>
      </c>
    </row>
    <row r="27" spans="1:11" ht="39.75" customHeight="1" thickBot="1" x14ac:dyDescent="0.25">
      <c r="A27" s="8">
        <v>16</v>
      </c>
      <c r="B27" s="65" t="str">
        <f>'Necesidades Trimestrales'!B25</f>
        <v>2.5.2-1821.487</v>
      </c>
      <c r="C27" s="105" t="str">
        <f>'Necesidades Trimestrales'!E25</f>
        <v>ANTIBIOTICOS P/PERSONAS; TIPO: MONODROGA, DROGA GENERICA: METRONIDAZOL, FORMA FARMACEUTICA: OVULO, PRESENTACION: UNIDAD</v>
      </c>
      <c r="D27" s="105"/>
      <c r="E27" s="105"/>
      <c r="F27" s="105"/>
      <c r="G27" s="105"/>
      <c r="H27" s="66" t="s">
        <v>56</v>
      </c>
      <c r="I27" s="67" t="str">
        <f>'Necesidades Trimestrales'!F25</f>
        <v>UNIDAD</v>
      </c>
      <c r="J27" s="68">
        <f>'Necesidades Trimestrales'!H25</f>
        <v>47.24</v>
      </c>
      <c r="K27" s="69">
        <f>'Necesidades Trimestrales'!G25</f>
        <v>200</v>
      </c>
    </row>
    <row r="28" spans="1:11" ht="35.25" customHeight="1" thickBot="1" x14ac:dyDescent="0.25">
      <c r="A28" s="8">
        <v>17</v>
      </c>
      <c r="B28" s="65" t="str">
        <f>'Necesidades Trimestrales'!B26</f>
        <v>2.5.2-1851.29</v>
      </c>
      <c r="C28" s="105" t="str">
        <f>'Necesidades Trimestrales'!E26</f>
        <v>GENITOURINARIO; TIPO: MONODROGA, DROGA GENÉRICA: NISTATINA, FORMA FARMACEÚTICA: COMPRIMIDO VAGINAL, PRESENTACIÓN: 100000 UI</v>
      </c>
      <c r="D28" s="105"/>
      <c r="E28" s="105"/>
      <c r="F28" s="105"/>
      <c r="G28" s="105"/>
      <c r="H28" s="66" t="s">
        <v>56</v>
      </c>
      <c r="I28" s="67" t="str">
        <f>'Necesidades Trimestrales'!F26</f>
        <v>COMPRIMIDO</v>
      </c>
      <c r="J28" s="68">
        <f>'Necesidades Trimestrales'!H26</f>
        <v>33.5</v>
      </c>
      <c r="K28" s="69">
        <f>'Necesidades Trimestrales'!G26</f>
        <v>50</v>
      </c>
    </row>
    <row r="29" spans="1:11" ht="38.25" customHeight="1" thickBot="1" x14ac:dyDescent="0.25">
      <c r="A29" s="8">
        <v>18</v>
      </c>
      <c r="B29" s="65" t="str">
        <f>'Necesidades Trimestrales'!B27</f>
        <v>2.5.2-1723.122</v>
      </c>
      <c r="C29" s="105" t="str">
        <f>'Necesidades Trimestrales'!E27</f>
        <v>ANTISEPTICOS LOCALES P/PERSONA; TIPO: MONODROGA, DROGA GENERICA: NITROFURAZONA, FORMA FARMACEUTICA: APOSITO, PRESENTACION: ENVASE X 20 UN</v>
      </c>
      <c r="D29" s="105"/>
      <c r="E29" s="105"/>
      <c r="F29" s="105"/>
      <c r="G29" s="105"/>
      <c r="H29" s="66" t="s">
        <v>56</v>
      </c>
      <c r="I29" s="67" t="str">
        <f>'Necesidades Trimestrales'!F27</f>
        <v>CAJA</v>
      </c>
      <c r="J29" s="68">
        <f>'Necesidades Trimestrales'!H27</f>
        <v>830</v>
      </c>
      <c r="K29" s="69">
        <f>'Necesidades Trimestrales'!G27</f>
        <v>200</v>
      </c>
    </row>
    <row r="30" spans="1:11" ht="38.25" customHeight="1" thickBot="1" x14ac:dyDescent="0.25">
      <c r="A30" s="8">
        <v>19</v>
      </c>
      <c r="B30" s="65" t="str">
        <f>'Necesidades Trimestrales'!B28</f>
        <v>2.5.2-1895.89</v>
      </c>
      <c r="C30" s="105" t="str">
        <f>'Necesidades Trimestrales'!E28</f>
        <v>HORMONAS MEDICINALES; TIPO: MONODROGA, DROGA GENERICA: OCTREOTIDA, FORMA FARMACEUTICA: AMPOLLA, PRESENTACION: 0,1 MG / ML, USO: INHIBIDOR HORMONA CRECIMIENTO</v>
      </c>
      <c r="D30" s="105"/>
      <c r="E30" s="105"/>
      <c r="F30" s="105"/>
      <c r="G30" s="105"/>
      <c r="H30" s="66" t="s">
        <v>122</v>
      </c>
      <c r="I30" s="67" t="str">
        <f>'Necesidades Trimestrales'!F28</f>
        <v>CAJA</v>
      </c>
      <c r="J30" s="68">
        <f>'Necesidades Trimestrales'!H28</f>
        <v>7904.45</v>
      </c>
      <c r="K30" s="69">
        <f>'Necesidades Trimestrales'!G28</f>
        <v>50</v>
      </c>
    </row>
    <row r="31" spans="1:11" ht="36" customHeight="1" thickBot="1" x14ac:dyDescent="0.25">
      <c r="A31" s="8">
        <v>20</v>
      </c>
      <c r="B31" s="65" t="str">
        <f>'Necesidades Trimestrales'!B29</f>
        <v>2.5.2-1875.11</v>
      </c>
      <c r="C31" s="105" t="str">
        <f>'Necesidades Trimestrales'!E29</f>
        <v>ANTIASMATICO BRONCODILATADOR; TIPO: MONODROGA, PRESENTACION: 20 mL, FORMA FARMACEUTICA: GOTAS, DROGA GENERICA: SALBUTAMOL</v>
      </c>
      <c r="D31" s="105"/>
      <c r="E31" s="105"/>
      <c r="F31" s="105"/>
      <c r="G31" s="105"/>
      <c r="H31" s="66" t="s">
        <v>56</v>
      </c>
      <c r="I31" s="67" t="str">
        <f>'Necesidades Trimestrales'!F29</f>
        <v>GOTERO</v>
      </c>
      <c r="J31" s="68">
        <f>'Necesidades Trimestrales'!H29</f>
        <v>95</v>
      </c>
      <c r="K31" s="69">
        <f>'Necesidades Trimestrales'!G29</f>
        <v>100</v>
      </c>
    </row>
    <row r="32" spans="1:11" ht="37.5" customHeight="1" thickBot="1" x14ac:dyDescent="0.25">
      <c r="A32" s="8">
        <v>21</v>
      </c>
      <c r="B32" s="65" t="str">
        <f>'Necesidades Trimestrales'!B30</f>
        <v>2.5.2-1883.189</v>
      </c>
      <c r="C32" s="105" t="str">
        <f>'Necesidades Trimestrales'!E30</f>
        <v>ANESTÉSICOS LOCALES; TIPO: ANALGÉSICO LOCAL Y ANTIBACTERIANO, DROGA GENÉRICA: LIDOCAÍNA + SULFADIAZINA + VITAMINA A, FORMA FARMACEÚTICA: CREMA, PRESENTACIÓN: ENVASE X 100 GR</v>
      </c>
      <c r="D32" s="105"/>
      <c r="E32" s="105"/>
      <c r="F32" s="105"/>
      <c r="G32" s="105"/>
      <c r="H32" s="66" t="s">
        <v>56</v>
      </c>
      <c r="I32" s="67" t="str">
        <f>'Necesidades Trimestrales'!F30</f>
        <v>UNIDAD</v>
      </c>
      <c r="J32" s="68">
        <f>'Necesidades Trimestrales'!H30</f>
        <v>1120</v>
      </c>
      <c r="K32" s="69">
        <f>'Necesidades Trimestrales'!G30</f>
        <v>200</v>
      </c>
    </row>
    <row r="33" spans="1:1024" ht="52.5" customHeight="1" thickBot="1" x14ac:dyDescent="0.25">
      <c r="A33" s="8">
        <v>22</v>
      </c>
      <c r="B33" s="65" t="str">
        <f>'Necesidades Trimestrales'!B31</f>
        <v>2.5.2-2481.3</v>
      </c>
      <c r="C33" s="105" t="str">
        <f>'Necesidades Trimestrales'!E31</f>
        <v>LAXANTES; TIPO: MONODROGA, DROGA GENERICA: VASELINA, FORMA FARMACEUTICA: SOLIDO, PRESENTACION: 1000 GR</v>
      </c>
      <c r="D33" s="105"/>
      <c r="E33" s="105"/>
      <c r="F33" s="105"/>
      <c r="G33" s="105"/>
      <c r="H33" s="66" t="s">
        <v>56</v>
      </c>
      <c r="I33" s="67" t="str">
        <f>'Necesidades Trimestrales'!F31</f>
        <v>UNIDAD</v>
      </c>
      <c r="J33" s="68">
        <f>'Necesidades Trimestrales'!H31</f>
        <v>1260</v>
      </c>
      <c r="K33" s="69">
        <f>'Necesidades Trimestrales'!G31</f>
        <v>15</v>
      </c>
    </row>
    <row r="34" spans="1:1024" ht="20.25" customHeight="1" thickBot="1" x14ac:dyDescent="0.25">
      <c r="A34" s="106" t="s">
        <v>121</v>
      </c>
      <c r="B34" s="106"/>
      <c r="C34" s="106"/>
      <c r="D34" s="106"/>
      <c r="E34" s="106"/>
      <c r="F34" s="106"/>
      <c r="G34" s="106"/>
      <c r="H34" s="106"/>
      <c r="I34" s="106"/>
      <c r="J34" s="99">
        <f>SUMPRODUCT(J12:J33,K12:K33)</f>
        <v>2576561.5</v>
      </c>
      <c r="K34" s="99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</row>
  </sheetData>
  <mergeCells count="44">
    <mergeCell ref="C31:G31"/>
    <mergeCell ref="C32:G32"/>
    <mergeCell ref="C33:G33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13:G13"/>
    <mergeCell ref="C14:G14"/>
    <mergeCell ref="C15:G15"/>
    <mergeCell ref="C16:G16"/>
    <mergeCell ref="C30:G30"/>
    <mergeCell ref="J34:K3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A34:I34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opLeftCell="A16" zoomScale="130" zoomScaleNormal="130" workbookViewId="0">
      <selection activeCell="S22" sqref="S22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7" t="s">
        <v>3</v>
      </c>
      <c r="B1" s="107"/>
      <c r="C1" s="107"/>
      <c r="D1" s="108">
        <f>'Necesidades Trimestrales'!C6</f>
        <v>2022</v>
      </c>
      <c r="E1" s="108"/>
      <c r="F1" s="10"/>
      <c r="G1" s="10"/>
      <c r="H1" s="11"/>
      <c r="I1" s="11"/>
      <c r="J1" s="11"/>
      <c r="K1" s="11"/>
      <c r="L1" s="11"/>
      <c r="M1" s="11"/>
      <c r="N1" s="11"/>
      <c r="P1" s="109" t="s">
        <v>30</v>
      </c>
      <c r="Q1" s="109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9"/>
      <c r="Q2" s="109"/>
    </row>
    <row r="4" spans="1:17" s="12" customFormat="1" ht="18" customHeight="1" thickBot="1" x14ac:dyDescent="0.25">
      <c r="A4" s="110" t="s">
        <v>31</v>
      </c>
      <c r="B4" s="110"/>
      <c r="C4" s="110"/>
      <c r="D4" s="110"/>
      <c r="E4" s="110"/>
      <c r="F4" s="110"/>
      <c r="G4" s="111" t="str">
        <f>NotaPedido!D3</f>
        <v>40 - Ministerio de Salud</v>
      </c>
      <c r="H4" s="111"/>
      <c r="I4" s="111"/>
      <c r="J4" s="111"/>
      <c r="K4" s="111"/>
      <c r="L4" s="111"/>
      <c r="M4" s="111"/>
      <c r="N4" s="111"/>
      <c r="O4" s="111"/>
      <c r="P4" s="111"/>
      <c r="Q4" s="111"/>
    </row>
    <row r="5" spans="1:17" s="12" customFormat="1" ht="18" customHeight="1" thickBot="1" x14ac:dyDescent="0.25">
      <c r="A5" s="112" t="s">
        <v>54</v>
      </c>
      <c r="B5" s="113"/>
      <c r="C5" s="113"/>
      <c r="D5" s="113"/>
      <c r="E5" s="113"/>
      <c r="F5" s="114"/>
      <c r="G5" s="111" t="str">
        <f>NotaPedido!D4</f>
        <v>23 - Hospital Interzonal San Juan Bautista</v>
      </c>
      <c r="H5" s="111"/>
      <c r="I5" s="111"/>
      <c r="J5" s="111"/>
      <c r="K5" s="111"/>
      <c r="L5" s="111"/>
      <c r="M5" s="111"/>
      <c r="N5" s="111"/>
      <c r="O5" s="111"/>
      <c r="P5" s="111"/>
      <c r="Q5" s="111"/>
    </row>
    <row r="6" spans="1:17" s="12" customFormat="1" ht="18" customHeight="1" thickBot="1" x14ac:dyDescent="0.25">
      <c r="A6" s="112" t="s">
        <v>32</v>
      </c>
      <c r="B6" s="113"/>
      <c r="C6" s="113"/>
      <c r="D6" s="113"/>
      <c r="E6" s="113"/>
      <c r="F6" s="114"/>
      <c r="G6" s="111" t="str">
        <f>NotaPedido!D5</f>
        <v>168 - Direccion Asistencial</v>
      </c>
      <c r="H6" s="111"/>
      <c r="I6" s="111"/>
      <c r="J6" s="111"/>
      <c r="K6" s="111"/>
      <c r="L6" s="111"/>
      <c r="M6" s="111"/>
      <c r="N6" s="111"/>
      <c r="O6" s="111"/>
      <c r="P6" s="111"/>
      <c r="Q6" s="111"/>
    </row>
    <row r="7" spans="1:17" s="12" customFormat="1" ht="18" customHeight="1" thickBot="1" x14ac:dyDescent="0.25">
      <c r="A7" s="112" t="s">
        <v>55</v>
      </c>
      <c r="B7" s="113"/>
      <c r="C7" s="113"/>
      <c r="D7" s="113"/>
      <c r="E7" s="113"/>
      <c r="F7" s="114"/>
      <c r="G7" s="111" t="str">
        <f>NotaPedido!D6</f>
        <v>Servicio de Farmacia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</row>
    <row r="8" spans="1:17" ht="18" customHeight="1" thickBot="1" x14ac:dyDescent="0.25">
      <c r="A8" s="115" t="s">
        <v>33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</row>
    <row r="9" spans="1:17" ht="18" customHeight="1" x14ac:dyDescent="0.2">
      <c r="A9" s="116" t="s">
        <v>34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"/>
      <c r="P9" s="1"/>
      <c r="Q9" s="13"/>
    </row>
    <row r="10" spans="1:17" ht="54.75" customHeight="1" x14ac:dyDescent="0.2">
      <c r="A10" s="117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DOCFI-2022-01908115-CAT-DASIS#HSJB,  afectando la erogación resultante a los créditos presupuestarios aprobados a favor de esta Unidad Ejecutora, conforme al siguiente detalle: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8" t="s">
        <v>35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</row>
    <row r="13" spans="1:17" ht="15.75" customHeight="1" x14ac:dyDescent="0.2">
      <c r="A13" s="119" t="s">
        <v>36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20" t="s">
        <v>37</v>
      </c>
      <c r="P13" s="120"/>
      <c r="Q13" s="121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20"/>
      <c r="P14" s="120"/>
      <c r="Q14" s="121"/>
    </row>
    <row r="15" spans="1:17" ht="17.25" customHeight="1" x14ac:dyDescent="0.2">
      <c r="A15" s="134">
        <v>33</v>
      </c>
      <c r="B15" s="26"/>
      <c r="C15" s="26"/>
      <c r="D15" s="26">
        <v>2</v>
      </c>
      <c r="E15" s="26"/>
      <c r="F15" s="26">
        <v>4901</v>
      </c>
      <c r="G15" s="26">
        <v>3</v>
      </c>
      <c r="H15" s="71" t="s">
        <v>62</v>
      </c>
      <c r="I15" s="26">
        <v>2</v>
      </c>
      <c r="J15" s="26">
        <v>5</v>
      </c>
      <c r="K15" s="26">
        <v>2</v>
      </c>
      <c r="L15" s="26"/>
      <c r="M15" s="26">
        <v>1</v>
      </c>
      <c r="N15" s="71" t="s">
        <v>63</v>
      </c>
      <c r="O15" s="135" t="s">
        <v>61</v>
      </c>
      <c r="P15" s="135"/>
      <c r="Q15" s="27">
        <v>2576561.5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70"/>
      <c r="I16" s="24"/>
      <c r="J16" s="24"/>
      <c r="K16" s="24"/>
      <c r="L16" s="24"/>
      <c r="M16" s="25"/>
      <c r="N16" s="71"/>
      <c r="O16" s="122"/>
      <c r="P16" s="122"/>
      <c r="Q16" s="27"/>
    </row>
    <row r="17" spans="1:19" ht="17.25" customHeight="1" x14ac:dyDescent="0.2">
      <c r="A17" s="23"/>
      <c r="B17" s="24"/>
      <c r="C17" s="24"/>
      <c r="D17" s="24"/>
      <c r="E17" s="24"/>
      <c r="F17" s="26"/>
      <c r="G17" s="24"/>
      <c r="H17" s="70"/>
      <c r="I17" s="24"/>
      <c r="J17" s="24"/>
      <c r="K17" s="24"/>
      <c r="L17" s="24"/>
      <c r="M17" s="25"/>
      <c r="N17" s="71"/>
      <c r="O17" s="122"/>
      <c r="P17" s="122"/>
      <c r="Q17" s="27"/>
      <c r="S17" s="72"/>
    </row>
    <row r="18" spans="1:19" ht="17.25" customHeight="1" x14ac:dyDescent="0.2">
      <c r="A18" s="23"/>
      <c r="B18" s="24"/>
      <c r="C18" s="24"/>
      <c r="D18" s="24"/>
      <c r="E18" s="24"/>
      <c r="F18" s="24"/>
      <c r="G18" s="24"/>
      <c r="H18" s="70"/>
      <c r="I18" s="24"/>
      <c r="J18" s="24"/>
      <c r="K18" s="24"/>
      <c r="L18" s="24"/>
      <c r="M18" s="25"/>
      <c r="N18" s="71"/>
      <c r="O18" s="123"/>
      <c r="P18" s="124"/>
      <c r="Q18" s="27"/>
    </row>
    <row r="19" spans="1:19" ht="17.25" customHeight="1" x14ac:dyDescent="0.2">
      <c r="A19" s="28"/>
      <c r="B19" s="29"/>
      <c r="C19" s="29"/>
      <c r="D19" s="29"/>
      <c r="E19" s="29"/>
      <c r="F19" s="30"/>
      <c r="G19" s="29"/>
      <c r="H19" s="29"/>
      <c r="I19" s="29"/>
      <c r="J19" s="29"/>
      <c r="K19" s="29"/>
      <c r="L19" s="29"/>
      <c r="M19" s="31"/>
      <c r="N19" s="32"/>
      <c r="O19" s="130"/>
      <c r="P19" s="130"/>
      <c r="Q19" s="27"/>
      <c r="R19" s="1"/>
    </row>
    <row r="20" spans="1:19" ht="17.25" customHeigh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5"/>
      <c r="N20" s="34"/>
      <c r="O20" s="131"/>
      <c r="P20" s="131"/>
      <c r="Q20" s="36"/>
    </row>
    <row r="21" spans="1:19" ht="31.5" customHeight="1" x14ac:dyDescent="0.2">
      <c r="A21" s="133" t="s">
        <v>125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37">
        <f>SUM(Q15:Q20)</f>
        <v>2576561.5</v>
      </c>
    </row>
    <row r="22" spans="1:19" ht="18" customHeight="1" thickBot="1" x14ac:dyDescent="0.25">
      <c r="A22" s="132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</row>
    <row r="23" spans="1:19" ht="17.25" customHeight="1" thickBot="1" x14ac:dyDescent="0.25">
      <c r="A23" s="125" t="s">
        <v>52</v>
      </c>
      <c r="B23" s="126"/>
      <c r="C23" s="126"/>
      <c r="D23" s="126"/>
      <c r="E23" s="126"/>
      <c r="F23" s="127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</row>
    <row r="24" spans="1:19" ht="18" customHeight="1" thickBot="1" x14ac:dyDescent="0.25">
      <c r="A24" s="129" t="str">
        <f>"Para la "&amp; NotaPedido!D8 &amp;" para ser destinados al " &amp; NotaPedido!D6 &amp;"  del HISJB del Ministerio de Salud."</f>
        <v>Para la Adquisición de Sistema Genitourinario y hormonal para ser destinados al Servicio de Farmacia  del HISJB del Ministerio de Salud.</v>
      </c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</row>
    <row r="25" spans="1:19" ht="15" customHeight="1" x14ac:dyDescent="0.2">
      <c r="A25" s="129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</row>
  </sheetData>
  <mergeCells count="29">
    <mergeCell ref="A23:F23"/>
    <mergeCell ref="G23:Q23"/>
    <mergeCell ref="A24:Q25"/>
    <mergeCell ref="O19:P19"/>
    <mergeCell ref="O20:P20"/>
    <mergeCell ref="A21:P21"/>
    <mergeCell ref="A22:Q22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2022-10-12T11:29:39Z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