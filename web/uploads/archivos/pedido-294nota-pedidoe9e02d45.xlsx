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apia respiratoria\MS\"/>
    </mc:Choice>
  </mc:AlternateContent>
  <xr:revisionPtr revIDLastSave="0" documentId="13_ncr:1_{455DE56E-8298-432C-A78E-49C2F32F3FC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P FARMACIA" sheetId="6" r:id="rId2"/>
    <sheet name="APG FARMACIA" sheetId="7" r:id="rId3"/>
    <sheet name="NP SAME" sheetId="2" r:id="rId4"/>
    <sheet name="APG SAME" sheetId="3" r:id="rId5"/>
    <sheet name="NP DPMIA" sheetId="4" r:id="rId6"/>
    <sheet name="APG DPMIA" sheetId="5" r:id="rId7"/>
  </sheets>
  <definedNames>
    <definedName name="_xlnm._FilterDatabase" localSheetId="0" hidden="1">'Necesidades Trimestrales'!$A$9:$O$9</definedName>
    <definedName name="_xlnm.Print_Area" localSheetId="6">'APG DPMIA'!$A$1:$Q$27</definedName>
    <definedName name="_xlnm.Print_Area" localSheetId="2">'APG FARMACIA'!$A$1:$Q$27</definedName>
    <definedName name="_xlnm.Print_Area" localSheetId="4">'APG SAME'!$A$1:$Q$27</definedName>
    <definedName name="_xlnm.Print_Area" localSheetId="5">'NP DPMIA'!$A$1:$K$16</definedName>
    <definedName name="_xlnm.Print_Area" localSheetId="1">'NP FARMACIA'!$A$1:$K$32</definedName>
    <definedName name="_xlnm.Print_Area" localSheetId="3">'NP SAME'!$A$1:$K$28</definedName>
  </definedNames>
  <calcPr calcId="181029"/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O18" i="1" s="1"/>
  <c r="M19" i="1"/>
  <c r="M20" i="1"/>
  <c r="M21" i="1"/>
  <c r="O21" i="1" s="1"/>
  <c r="M22" i="1"/>
  <c r="O22" i="1" s="1"/>
  <c r="M23" i="1"/>
  <c r="M24" i="1"/>
  <c r="M25" i="1"/>
  <c r="M26" i="1"/>
  <c r="O26" i="1" s="1"/>
  <c r="M27" i="1"/>
  <c r="M28" i="1"/>
  <c r="M29" i="1"/>
  <c r="O29" i="1" s="1"/>
  <c r="M30" i="1"/>
  <c r="M31" i="1"/>
  <c r="M32" i="1"/>
  <c r="M33" i="1"/>
  <c r="M34" i="1"/>
  <c r="M35" i="1"/>
  <c r="O35" i="1" s="1"/>
  <c r="M36" i="1"/>
  <c r="M37" i="1"/>
  <c r="O37" i="1" s="1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A26" i="7"/>
  <c r="A10" i="7"/>
  <c r="G7" i="7"/>
  <c r="G6" i="7"/>
  <c r="D1" i="7"/>
  <c r="J12" i="6"/>
  <c r="I12" i="6"/>
  <c r="C12" i="6"/>
  <c r="D4" i="6"/>
  <c r="G5" i="7" s="1"/>
  <c r="D3" i="6"/>
  <c r="G4" i="7" s="1"/>
  <c r="L29" i="1"/>
  <c r="L30" i="1"/>
  <c r="L31" i="1"/>
  <c r="L32" i="1"/>
  <c r="L33" i="1"/>
  <c r="L34" i="1"/>
  <c r="L35" i="1"/>
  <c r="L36" i="1"/>
  <c r="L37" i="1"/>
  <c r="J35" i="1"/>
  <c r="J36" i="1"/>
  <c r="J37" i="1"/>
  <c r="H35" i="1"/>
  <c r="H36" i="1"/>
  <c r="H37" i="1"/>
  <c r="O36" i="1"/>
  <c r="H28" i="1"/>
  <c r="H29" i="1"/>
  <c r="H30" i="1"/>
  <c r="J26" i="1"/>
  <c r="J27" i="1"/>
  <c r="J28" i="1"/>
  <c r="J29" i="1"/>
  <c r="J30" i="1"/>
  <c r="J31" i="1"/>
  <c r="O30" i="1"/>
  <c r="H26" i="1"/>
  <c r="L26" i="1"/>
  <c r="H21" i="1"/>
  <c r="H22" i="1"/>
  <c r="H23" i="1"/>
  <c r="J21" i="1"/>
  <c r="J22" i="1"/>
  <c r="J23" i="1"/>
  <c r="L21" i="1"/>
  <c r="L22" i="1"/>
  <c r="L23" i="1"/>
  <c r="L24" i="1"/>
  <c r="O23" i="1"/>
  <c r="O24" i="1"/>
  <c r="J16" i="1"/>
  <c r="J17" i="1"/>
  <c r="J18" i="1"/>
  <c r="O19" i="1"/>
  <c r="H18" i="1"/>
  <c r="L18" i="1"/>
  <c r="O16" i="1"/>
  <c r="H16" i="1"/>
  <c r="L16" i="1"/>
  <c r="L12" i="1"/>
  <c r="O12" i="1"/>
  <c r="J12" i="1"/>
  <c r="H12" i="1"/>
  <c r="H13" i="1"/>
  <c r="J32" i="6" l="1"/>
  <c r="Q15" i="7" s="1"/>
  <c r="Q23" i="7" s="1"/>
  <c r="K12" i="4"/>
  <c r="K13" i="4"/>
  <c r="K14" i="4"/>
  <c r="J14" i="4"/>
  <c r="I14" i="4"/>
  <c r="C14" i="4"/>
  <c r="A26" i="5"/>
  <c r="A10" i="5"/>
  <c r="G7" i="5"/>
  <c r="G6" i="5"/>
  <c r="D1" i="5"/>
  <c r="J13" i="4"/>
  <c r="I13" i="4"/>
  <c r="C13" i="4"/>
  <c r="J12" i="4"/>
  <c r="I12" i="4"/>
  <c r="C12" i="4"/>
  <c r="D4" i="4"/>
  <c r="G5" i="5" s="1"/>
  <c r="D3" i="4"/>
  <c r="G4" i="5" s="1"/>
  <c r="A26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K12" i="2"/>
  <c r="J16" i="4" l="1"/>
  <c r="Q15" i="5" s="1"/>
  <c r="Q23" i="5" s="1"/>
  <c r="L11" i="1"/>
  <c r="L13" i="1"/>
  <c r="L14" i="1"/>
  <c r="L15" i="1"/>
  <c r="L17" i="1"/>
  <c r="L19" i="1"/>
  <c r="L20" i="1"/>
  <c r="L25" i="1"/>
  <c r="L27" i="1"/>
  <c r="L28" i="1"/>
  <c r="L10" i="1"/>
  <c r="J11" i="1"/>
  <c r="J13" i="1"/>
  <c r="J14" i="1"/>
  <c r="J15" i="1"/>
  <c r="J19" i="1"/>
  <c r="J20" i="1"/>
  <c r="J24" i="1"/>
  <c r="J25" i="1"/>
  <c r="J32" i="1"/>
  <c r="J33" i="1"/>
  <c r="J34" i="1"/>
  <c r="J10" i="1"/>
  <c r="H11" i="1"/>
  <c r="H14" i="1"/>
  <c r="H15" i="1"/>
  <c r="H17" i="1"/>
  <c r="H19" i="1"/>
  <c r="H20" i="1"/>
  <c r="H24" i="1"/>
  <c r="H25" i="1"/>
  <c r="H27" i="1"/>
  <c r="H31" i="1"/>
  <c r="H32" i="1"/>
  <c r="H33" i="1"/>
  <c r="H34" i="1"/>
  <c r="H10" i="1"/>
  <c r="O20" i="1"/>
  <c r="O25" i="1"/>
  <c r="O27" i="1"/>
  <c r="M10" i="1"/>
  <c r="H38" i="1" l="1"/>
  <c r="L38" i="1"/>
  <c r="J38" i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J12" i="2" l="1"/>
  <c r="J28" i="2" s="1"/>
  <c r="Q15" i="3" s="1"/>
  <c r="I12" i="2"/>
  <c r="O28" i="1" l="1"/>
  <c r="O11" i="1" l="1"/>
  <c r="O13" i="1"/>
  <c r="O14" i="1"/>
  <c r="O15" i="1"/>
  <c r="O17" i="1"/>
  <c r="O31" i="1"/>
  <c r="O32" i="1"/>
  <c r="O33" i="1"/>
  <c r="O34" i="1"/>
  <c r="O10" i="1"/>
  <c r="C12" i="2"/>
  <c r="O38" i="1" l="1"/>
  <c r="Q23" i="3"/>
  <c r="A10" i="3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<sst xmlns="http://schemas.openxmlformats.org/spreadsheetml/2006/main" count="306" uniqueCount="118">
  <si>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</si>
  <si>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</si>
  <si>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</si>
  <si>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</si>
  <si>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</si>
  <si>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</si>
  <si>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</si>
  <si>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</si>
  <si>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</si>
  <si>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</si>
  <si>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</si>
  <si>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</si>
  <si>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</si>
  <si>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</si>
  <si>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</si>
  <si>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</si>
  <si>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</si>
  <si>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</si>
  <si>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</si>
  <si>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</si>
  <si>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</si>
  <si>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</si>
  <si>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</si>
  <si>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</si>
  <si>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</si>
  <si>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</si>
  <si>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</si>
  <si>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</si>
  <si>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</si>
  <si>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</si>
  <si>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</si>
  <si>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</si>
  <si>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</si>
  <si>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</si>
  <si>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</si>
  <si>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</si>
  <si>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</si>
  <si>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</si>
  <si>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</si>
  <si>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</si>
  <si>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</si>
  <si>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</si>
  <si>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</si>
  <si>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</si>
  <si>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</si>
  <si>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</si>
  <si>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</si>
  <si>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</si>
  <si>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</si>
  <si>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</si>
  <si>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</si>
  <si>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</si>
  <si>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</si>
  <si>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</si>
  <si>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AEROCAMARA  C/ FUELLE ADULTO</t>
  </si>
  <si>
    <t xml:space="preserve">AEROCAMARA CON MASCARA COMPLETA  PEDIATRICA  </t>
  </si>
  <si>
    <t>CANULA NASAL DE ALTO FLUJO TIPO OPTIFLOW INFANTIL F&amp;P OPT 316</t>
  </si>
  <si>
    <t>CANULA NASAL DE ALTO FLUJO TIPO OPTIFLOW PEDIATRICA F&amp;P OPT 318</t>
  </si>
  <si>
    <t xml:space="preserve">CANULA NASAL PARA ALTO FLUJO TIPO GGM  ADULTO 6 mm 4826R1V TAMANO L </t>
  </si>
  <si>
    <t>CIRCUITO ANESTESIA EXTENSIBLE ADULTO DESCARTABLE</t>
  </si>
  <si>
    <t>HALO  CEFALICO tipo &lt;MEDIX&gt; con tapa -  MEDIANO : 200 mm de diametro x 180 mm de altura</t>
  </si>
  <si>
    <t>HALO  CEFALICO tipo &lt;MEDIX&gt; con tapa  GRANDE: 230 mm de diametro x 200 mm de altura</t>
  </si>
  <si>
    <t>MASCARA CON BOLSA RESERVORIO PEDIATRICA</t>
  </si>
  <si>
    <t>MASCARA PARA NEBULIZAR ADULTO COMPLETA MASCARA+PIPETA+TUBULADURA</t>
  </si>
  <si>
    <t>MASCARA PARA NEBULIZAR PEDIATRICA COMPLETA MASCARA+PIPETA+TUBULADURA</t>
  </si>
  <si>
    <t>RESUCITADOR MANUAL ADULTO REUTILIZABLE</t>
  </si>
  <si>
    <t>RESUCITADOR MANUAL NEONATAL  REUTILIZABLE</t>
  </si>
  <si>
    <t xml:space="preserve">RESUCITADOR MANUAL PEDIATRICO REUTILIZABLE </t>
  </si>
  <si>
    <t>UNIDAD</t>
  </si>
  <si>
    <t>RESUCITADOR MANUAL ADULTO DESCARTABLE</t>
  </si>
  <si>
    <t>MASCARA CON BOLSA RESERVORIO ADULTO</t>
  </si>
  <si>
    <t>SEMESTRAL</t>
  </si>
  <si>
    <t>ADQUISICION DE INSUMOS PARA TERAPIA RESPIRATORIA</t>
  </si>
  <si>
    <t>FARMACIA</t>
  </si>
  <si>
    <t>SAME</t>
  </si>
  <si>
    <t>011 - Direccion Provincial de Administracion del Ministerio de Salud</t>
  </si>
  <si>
    <t>D.P.M.I.A</t>
  </si>
  <si>
    <t>TOTAL FARMACIA</t>
  </si>
  <si>
    <t>TOTAL SAME</t>
  </si>
  <si>
    <t>TOTAL D.P.M.I.A</t>
  </si>
  <si>
    <t>TOTAL RUBRO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</si>
  <si>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</si>
  <si>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</si>
  <si>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</si>
  <si>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</si>
  <si>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</si>
  <si>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</si>
  <si>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</si>
  <si>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</si>
  <si>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PROD. MEDICO/FARMACEUTICOS/LAB</t>
  </si>
  <si>
    <t>748 - DIRECCION PROVINCIAL SISTEMA DE ATENCION MEDICA DE EMERGENCIA</t>
  </si>
  <si>
    <t>16/2022</t>
  </si>
  <si>
    <t>UTILES MENORES MEDICOS, QUIRURGICOS Y DE LABORATORIO</t>
  </si>
  <si>
    <t>TOTAL DE PESOS: TRESCIENTOS SESENTA Y NUEVE MIL TREINTA con 00/100.</t>
  </si>
  <si>
    <t>162 - DIRECCION PROVINCIAL MATERNIDAD, INFANCIA Y ADOLESCENCIA</t>
  </si>
  <si>
    <t xml:space="preserve"> 05/2022</t>
  </si>
  <si>
    <t>TOTAL DE PESOS: CUATROCIENTOS DIEZ MIL con 00/100.</t>
  </si>
  <si>
    <t>BOLSA DE ASPIRACION X 1 LTS SIN VALVULA TIPO ECOVAC</t>
  </si>
  <si>
    <t>CANULA NASAL PARA OXIGENOTERAPIA PEDIATRICO</t>
  </si>
  <si>
    <t>FRASCO RECOLECTOR DE ASPIRACIONES QUIRURGICAS X 2 LITRO ( CANISTER )</t>
  </si>
  <si>
    <t>MASCARA AMBU BORDE INFLABLE Nª1 / MASCARA ANESTESIA(INFANTIL)</t>
  </si>
  <si>
    <t>MASCARA AMBU BORDE INFLABLE Nª3 /MASCARA ANESTESIA(INFANTIL)</t>
  </si>
  <si>
    <t>MASCARA AMBU BORDE INFLABLE Nª4 /MASCARA ANESTESIA(INFANTIL)</t>
  </si>
  <si>
    <t>MASCARA DE OXIGENO CON REGULADORES</t>
  </si>
  <si>
    <t>MASCARAS  ANESTESICA BORDE INFLABLE ADULTO Nº 5</t>
  </si>
  <si>
    <t>MASCARAS  ANESTESICA BORDE INFLABLE ADULTO Nº 6</t>
  </si>
  <si>
    <t>VARA ESCHMANN N° 6 mm</t>
  </si>
  <si>
    <t>VARA ESCHMANN N° 9 mm</t>
  </si>
  <si>
    <t>VARA ESCHMANN N°11 mm</t>
  </si>
  <si>
    <t>469 - DIRECCION PROVINCIAL DE FARMACIA E INSUMOS</t>
  </si>
  <si>
    <t xml:space="preserve"> 19/2022</t>
  </si>
  <si>
    <t>TOTAL DE PESOS: DOS MILLONES SEISCIENTOS CINCUENTA Y SEIS MIL con 00/100.</t>
  </si>
  <si>
    <t>ITEMS: 23 (10 unid), 24 (20 unid), 25 (20 unid)- DIR. PROV. MATERNIDAD, INFANCIA Y ADOLESCENCIA - CHACABUCO N° 169 - en el horario de 8:00hs a 12:00hs de lunes a viernes</t>
  </si>
  <si>
    <t>ITEMS: 1 (5 unid), 2 (5 unid), 4 al 6, 8, 10, 11, 15 (8 unid), 16 (5 unid), 18 (10 unid), 19, 22, 23 (5 unid), 24 (2 unid) - DIR. PROV. SAME - CASEROS N° 864 - en el horario de 8:00hs a 12:00hs de lunes a viernes</t>
  </si>
  <si>
    <t>ITEMS: 1 (500 unid), 2 (1000 unid), 3, 7, 9, 12 al 14, 15 (1500 unid), 16 (200 unid), 17, 18 (500 unid), 20, 21, 23 (20 unid), 25 (20 unid), 26, 27, 28 - DIR. PROV. DE FARMACIA E INSUMOS- CHACABUCO N° 169 - en el horario de 8:00hs a 12:00hs de lunes a viernes</t>
  </si>
  <si>
    <t>Costo total estimado: PESOS DOS MILLONES SEISCIENTOS CINCUENTA Y SEIS MIL con 00/100.</t>
  </si>
  <si>
    <t>Costo total estimado: PESOS TRESCIENTOS SESENTA Y NUEVE MIL TREINTA con 00/100.</t>
  </si>
  <si>
    <t>Costo total estimado: PESOS CUATROCIENTOS DIEZ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</si>
</sst>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theme="1"/>
      <name val="Arial"/>
      <family val="2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98">
    <xf numFmtId="0" fontId="0" fillId="0" borderId="0" xfId="0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23" fillId="0" borderId="5" xfId="7" applyFont="1" applyBorder="1" applyAlignment="1">
      <alignment horizontal="center" vertical="center" wrapText="1"/>
    </xf>
    <xf numFmtId="0" fontId="15" fillId="0" borderId="0" xfId="0" applyFont="1" applyFill="1"/>
    <xf numFmtId="169" fontId="15" fillId="0" borderId="0" xfId="0" applyNumberFormat="1" applyFont="1" applyFill="1" applyAlignment="1"/>
    <xf numFmtId="3" fontId="15" fillId="0" borderId="0" xfId="0" applyNumberFormat="1" applyFont="1" applyFill="1"/>
    <xf numFmtId="0" fontId="18" fillId="0" borderId="0" xfId="0" applyFont="1" applyFill="1" applyAlignment="1">
      <alignment horizontal="left" wrapText="1"/>
    </xf>
    <xf numFmtId="3" fontId="18" fillId="0" borderId="0" xfId="0" applyNumberFormat="1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4" fillId="0" borderId="47" xfId="0" applyFont="1" applyFill="1" applyBorder="1" applyAlignment="1">
      <alignment horizontal="center" vertical="center"/>
    </xf>
    <xf numFmtId="0" fontId="22" fillId="0" borderId="47" xfId="0" applyFont="1" applyFill="1" applyBorder="1" applyAlignment="1">
      <alignment horizontal="center" vertical="center" wrapText="1"/>
    </xf>
    <xf numFmtId="0" fontId="24" fillId="0" borderId="48" xfId="0" applyFont="1" applyFill="1" applyBorder="1" applyAlignment="1">
      <alignment vertical="center"/>
    </xf>
    <xf numFmtId="3" fontId="14" fillId="0" borderId="47" xfId="0" applyNumberFormat="1" applyFont="1" applyFill="1" applyBorder="1" applyAlignment="1">
      <alignment horizontal="center" vertical="center"/>
    </xf>
    <xf numFmtId="44" fontId="14" fillId="0" borderId="47" xfId="1" applyNumberFormat="1" applyFont="1" applyFill="1" applyBorder="1" applyAlignment="1">
      <alignment horizontal="center"/>
    </xf>
    <xf numFmtId="169" fontId="14" fillId="0" borderId="47" xfId="1" applyNumberFormat="1" applyFont="1" applyFill="1" applyBorder="1" applyAlignment="1" applyProtection="1">
      <alignment horizontal="right" vertical="center"/>
    </xf>
    <xf numFmtId="0" fontId="24" fillId="0" borderId="49" xfId="0" applyFont="1" applyFill="1" applyBorder="1" applyAlignment="1">
      <alignment vertical="center"/>
    </xf>
    <xf numFmtId="0" fontId="24" fillId="0" borderId="49" xfId="0" applyFont="1" applyFill="1" applyBorder="1" applyAlignment="1">
      <alignment horizontal="left" vertical="center"/>
    </xf>
    <xf numFmtId="0" fontId="24" fillId="0" borderId="49" xfId="0" applyFont="1" applyFill="1" applyBorder="1" applyAlignment="1">
      <alignment vertical="center" wrapText="1"/>
    </xf>
    <xf numFmtId="0" fontId="24" fillId="0" borderId="48" xfId="0" applyFont="1" applyFill="1" applyBorder="1" applyAlignment="1">
      <alignment vertical="center" wrapText="1"/>
    </xf>
    <xf numFmtId="0" fontId="14" fillId="0" borderId="47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vertical="center" wrapText="1"/>
    </xf>
    <xf numFmtId="0" fontId="23" fillId="0" borderId="5" xfId="7" applyFont="1" applyFill="1" applyBorder="1" applyAlignment="1">
      <alignment horizontal="center" vertical="center" wrapText="1"/>
    </xf>
    <xf numFmtId="169" fontId="15" fillId="0" borderId="0" xfId="0" applyNumberFormat="1" applyFont="1" applyFill="1"/>
    <xf numFmtId="169" fontId="18" fillId="0" borderId="0" xfId="0" applyNumberFormat="1" applyFont="1" applyFill="1" applyAlignment="1">
      <alignment horizontal="left" wrapText="1"/>
    </xf>
    <xf numFmtId="169" fontId="14" fillId="0" borderId="47" xfId="0" applyNumberFormat="1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center" vertical="center" wrapText="1"/>
    </xf>
    <xf numFmtId="0" fontId="24" fillId="0" borderId="52" xfId="0" applyFont="1" applyFill="1" applyBorder="1" applyAlignment="1">
      <alignment vertical="center"/>
    </xf>
    <xf numFmtId="3" fontId="14" fillId="0" borderId="51" xfId="0" applyNumberFormat="1" applyFont="1" applyFill="1" applyBorder="1" applyAlignment="1">
      <alignment horizontal="center" vertical="center"/>
    </xf>
    <xf numFmtId="169" fontId="14" fillId="0" borderId="51" xfId="0" applyNumberFormat="1" applyFont="1" applyFill="1" applyBorder="1" applyAlignment="1">
      <alignment horizontal="center" vertical="center"/>
    </xf>
    <xf numFmtId="44" fontId="14" fillId="0" borderId="51" xfId="1" applyNumberFormat="1" applyFont="1" applyFill="1" applyBorder="1" applyAlignment="1">
      <alignment horizontal="center"/>
    </xf>
    <xf numFmtId="169" fontId="14" fillId="0" borderId="51" xfId="1" applyNumberFormat="1" applyFont="1" applyFill="1" applyBorder="1" applyAlignment="1" applyProtection="1">
      <alignment horizontal="right" vertical="center"/>
    </xf>
    <xf numFmtId="0" fontId="21" fillId="0" borderId="53" xfId="0" applyFont="1" applyFill="1" applyBorder="1" applyAlignment="1">
      <alignment horizontal="center" vertical="center" wrapText="1"/>
    </xf>
    <xf numFmtId="0" fontId="21" fillId="0" borderId="54" xfId="0" applyFont="1" applyFill="1" applyBorder="1" applyAlignment="1">
      <alignment horizontal="center" vertical="center" wrapText="1"/>
    </xf>
    <xf numFmtId="0" fontId="21" fillId="0" borderId="55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3" fontId="21" fillId="0" borderId="57" xfId="0" applyNumberFormat="1" applyFont="1" applyFill="1" applyBorder="1" applyAlignment="1">
      <alignment horizontal="center" vertical="center" wrapText="1"/>
    </xf>
    <xf numFmtId="169" fontId="21" fillId="0" borderId="57" xfId="0" applyNumberFormat="1" applyFont="1" applyFill="1" applyBorder="1" applyAlignment="1">
      <alignment horizontal="center" vertical="center" wrapText="1"/>
    </xf>
    <xf numFmtId="169" fontId="21" fillId="0" borderId="58" xfId="0" applyNumberFormat="1" applyFont="1" applyFill="1" applyBorder="1" applyAlignment="1">
      <alignment horizontal="center" vertical="center" wrapText="1"/>
    </xf>
    <xf numFmtId="3" fontId="25" fillId="0" borderId="56" xfId="0" applyNumberFormat="1" applyFont="1" applyFill="1" applyBorder="1"/>
    <xf numFmtId="169" fontId="25" fillId="0" borderId="56" xfId="0" applyNumberFormat="1" applyFont="1" applyFill="1" applyBorder="1"/>
    <xf numFmtId="3" fontId="25" fillId="0" borderId="60" xfId="0" applyNumberFormat="1" applyFont="1" applyFill="1" applyBorder="1"/>
    <xf numFmtId="169" fontId="25" fillId="0" borderId="14" xfId="0" applyNumberFormat="1" applyFont="1" applyFill="1" applyBorder="1" applyAlignment="1"/>
    <xf numFmtId="0" fontId="23" fillId="0" borderId="2" xfId="7" applyFont="1" applyFill="1" applyBorder="1" applyAlignment="1">
      <alignment horizontal="center" vertical="center" wrapText="1"/>
    </xf>
    <xf numFmtId="0" fontId="15" fillId="0" borderId="0" xfId="7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15" fillId="0" borderId="0" xfId="7" applyFont="1" applyFill="1" applyBorder="1" applyAlignment="1">
      <alignment horizontal="left" vertical="center"/>
    </xf>
    <xf numFmtId="0" fontId="15" fillId="0" borderId="0" xfId="7" applyFont="1" applyFill="1" applyBorder="1" applyAlignment="1">
      <alignment horizontal="center" vertical="center"/>
    </xf>
    <xf numFmtId="0" fontId="15" fillId="0" borderId="0" xfId="7" applyFont="1" applyFill="1" applyBorder="1" applyAlignment="1">
      <alignment vertical="center"/>
    </xf>
    <xf numFmtId="0" fontId="15" fillId="0" borderId="0" xfId="7" applyFont="1" applyBorder="1" applyAlignment="1">
      <alignment horizontal="center" vertical="center"/>
    </xf>
    <xf numFmtId="0" fontId="15" fillId="0" borderId="8" xfId="7" applyFont="1" applyBorder="1" applyAlignment="1">
      <alignment horizontal="left" vertical="center"/>
    </xf>
    <xf numFmtId="0" fontId="26" fillId="0" borderId="9" xfId="0" applyFont="1" applyBorder="1" applyAlignment="1">
      <alignment horizontal="left" vertical="center" wrapText="1"/>
    </xf>
    <xf numFmtId="169" fontId="25" fillId="0" borderId="61" xfId="0" applyNumberFormat="1" applyFont="1" applyFill="1" applyBorder="1"/>
    <xf numFmtId="0" fontId="25" fillId="0" borderId="50" xfId="0" applyFont="1" applyFill="1" applyBorder="1"/>
    <xf numFmtId="0" fontId="25" fillId="0" borderId="14" xfId="0" applyFont="1" applyFill="1" applyBorder="1"/>
    <xf numFmtId="0" fontId="23" fillId="0" borderId="7" xfId="7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5" fillId="0" borderId="12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47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left" vertical="center"/>
    </xf>
    <xf numFmtId="0" fontId="4" fillId="0" borderId="59" xfId="0" applyFont="1" applyFill="1" applyBorder="1" applyAlignment="1">
      <alignment horizontal="center" vertical="center" wrapText="1"/>
    </xf>
    <xf numFmtId="169" fontId="5" fillId="0" borderId="10" xfId="0" applyNumberFormat="1" applyFont="1" applyFill="1" applyBorder="1" applyAlignment="1">
      <alignment horizontal="right" vertical="center"/>
    </xf>
    <xf numFmtId="169" fontId="5" fillId="0" borderId="0" xfId="0" applyNumberFormat="1" applyFont="1" applyFill="1" applyBorder="1" applyAlignment="1">
      <alignment vertical="center"/>
    </xf>
    <xf numFmtId="169" fontId="6" fillId="0" borderId="0" xfId="0" applyNumberFormat="1" applyFont="1" applyFill="1" applyBorder="1" applyAlignment="1">
      <alignment horizontal="left" vertical="center" wrapText="1" indent="1"/>
    </xf>
    <xf numFmtId="169" fontId="4" fillId="0" borderId="47" xfId="1" applyNumberFormat="1" applyFont="1" applyFill="1" applyBorder="1" applyAlignment="1" applyProtection="1">
      <alignment horizontal="right" vertical="center" wrapText="1"/>
    </xf>
    <xf numFmtId="169" fontId="4" fillId="0" borderId="59" xfId="1" applyNumberFormat="1" applyFont="1" applyFill="1" applyBorder="1" applyAlignment="1" applyProtection="1">
      <alignment horizontal="right" vertical="center" wrapText="1"/>
    </xf>
    <xf numFmtId="169" fontId="2" fillId="0" borderId="0" xfId="0" applyNumberFormat="1" applyFont="1" applyFill="1" applyBorder="1" applyAlignment="1">
      <alignment vertical="center"/>
    </xf>
    <xf numFmtId="0" fontId="2" fillId="0" borderId="0" xfId="0" applyFont="1" applyFill="1"/>
    <xf numFmtId="0" fontId="0" fillId="0" borderId="0" xfId="0" applyFill="1" applyBorder="1"/>
    <xf numFmtId="0" fontId="0" fillId="0" borderId="10" xfId="0" applyFill="1" applyBorder="1"/>
    <xf numFmtId="0" fontId="4" fillId="0" borderId="51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 vertical="center"/>
    </xf>
    <xf numFmtId="0" fontId="4" fillId="0" borderId="51" xfId="0" applyFont="1" applyFill="1" applyBorder="1" applyAlignment="1">
      <alignment horizontal="center" vertical="center" wrapText="1"/>
    </xf>
    <xf numFmtId="169" fontId="4" fillId="0" borderId="51" xfId="1" applyNumberFormat="1" applyFont="1" applyFill="1" applyBorder="1" applyAlignment="1" applyProtection="1">
      <alignment horizontal="right" vertical="center" wrapText="1"/>
    </xf>
    <xf numFmtId="0" fontId="4" fillId="0" borderId="62" xfId="0" applyFont="1" applyFill="1" applyBorder="1" applyAlignment="1">
      <alignment horizontal="center" vertical="center"/>
    </xf>
    <xf numFmtId="3" fontId="4" fillId="0" borderId="63" xfId="0" applyNumberFormat="1" applyFont="1" applyFill="1" applyBorder="1" applyAlignment="1">
      <alignment horizontal="center" vertical="center"/>
    </xf>
    <xf numFmtId="0" fontId="4" fillId="0" borderId="64" xfId="0" applyFont="1" applyFill="1" applyBorder="1" applyAlignment="1">
      <alignment horizontal="center" vertical="center"/>
    </xf>
    <xf numFmtId="3" fontId="4" fillId="0" borderId="65" xfId="0" applyNumberFormat="1" applyFont="1" applyFill="1" applyBorder="1" applyAlignment="1">
      <alignment horizontal="center" vertical="center"/>
    </xf>
    <xf numFmtId="0" fontId="4" fillId="0" borderId="66" xfId="0" applyFont="1" applyFill="1" applyBorder="1" applyAlignment="1">
      <alignment horizontal="center" vertical="center"/>
    </xf>
    <xf numFmtId="3" fontId="4" fillId="0" borderId="67" xfId="0" applyNumberFormat="1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166" fontId="0" fillId="0" borderId="33" xfId="3" applyNumberFormat="1" applyFont="1" applyFill="1" applyBorder="1" applyAlignment="1" applyProtection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166" fontId="0" fillId="0" borderId="38" xfId="3" applyNumberFormat="1" applyFont="1" applyFill="1" applyBorder="1" applyAlignment="1" applyProtection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166" fontId="0" fillId="0" borderId="42" xfId="3" applyNumberFormat="1" applyFont="1" applyFill="1" applyBorder="1" applyAlignment="1" applyProtection="1">
      <alignment horizontal="center" vertical="center"/>
    </xf>
    <xf numFmtId="166" fontId="13" fillId="0" borderId="43" xfId="0" applyNumberFormat="1" applyFont="1" applyFill="1" applyBorder="1" applyAlignment="1">
      <alignment horizontal="center" vertical="center"/>
    </xf>
    <xf numFmtId="17" fontId="6" fillId="0" borderId="11" xfId="0" applyNumberFormat="1" applyFont="1" applyFill="1" applyBorder="1" applyAlignment="1">
      <alignment horizontal="center" vertical="center"/>
    </xf>
    <xf numFmtId="0" fontId="14" fillId="0" borderId="59" xfId="0" applyFont="1" applyFill="1" applyBorder="1" applyAlignment="1">
      <alignment horizontal="center" vertical="center"/>
    </xf>
    <xf numFmtId="0" fontId="22" fillId="0" borderId="59" xfId="0" applyFont="1" applyFill="1" applyBorder="1" applyAlignment="1">
      <alignment horizontal="center" vertical="center" wrapText="1"/>
    </xf>
    <xf numFmtId="0" fontId="0" fillId="0" borderId="69" xfId="0" applyFont="1" applyFill="1" applyBorder="1" applyAlignment="1">
      <alignment vertical="center" wrapText="1"/>
    </xf>
    <xf numFmtId="3" fontId="14" fillId="0" borderId="59" xfId="0" applyNumberFormat="1" applyFont="1" applyFill="1" applyBorder="1" applyAlignment="1">
      <alignment horizontal="center" vertical="center"/>
    </xf>
    <xf numFmtId="169" fontId="14" fillId="0" borderId="59" xfId="0" applyNumberFormat="1" applyFont="1" applyFill="1" applyBorder="1" applyAlignment="1">
      <alignment horizontal="center" vertical="center"/>
    </xf>
    <xf numFmtId="44" fontId="14" fillId="0" borderId="59" xfId="1" applyNumberFormat="1" applyFont="1" applyFill="1" applyBorder="1" applyAlignment="1">
      <alignment horizontal="center"/>
    </xf>
    <xf numFmtId="169" fontId="14" fillId="0" borderId="59" xfId="1" applyNumberFormat="1" applyFont="1" applyFill="1" applyBorder="1" applyAlignment="1" applyProtection="1">
      <alignment horizontal="right" vertical="center"/>
    </xf>
    <xf numFmtId="0" fontId="26" fillId="0" borderId="47" xfId="0" applyFont="1" applyBorder="1" applyAlignment="1">
      <alignment horizontal="center" vertical="center"/>
    </xf>
    <xf numFmtId="0" fontId="0" fillId="0" borderId="47" xfId="0" applyFont="1" applyFill="1" applyBorder="1" applyAlignment="1">
      <alignment vertical="center" wrapText="1"/>
    </xf>
    <xf numFmtId="0" fontId="26" fillId="0" borderId="59" xfId="0" applyFont="1" applyBorder="1" applyAlignment="1">
      <alignment horizontal="center" vertical="center"/>
    </xf>
    <xf numFmtId="0" fontId="0" fillId="0" borderId="59" xfId="0" applyFont="1" applyFill="1" applyBorder="1" applyAlignment="1">
      <alignment vertical="center" wrapText="1"/>
    </xf>
    <xf numFmtId="0" fontId="15" fillId="0" borderId="0" xfId="7" applyFont="1" applyFill="1" applyBorder="1" applyAlignment="1">
      <alignment horizontal="left" vertical="center" wrapText="1"/>
    </xf>
    <xf numFmtId="0" fontId="15" fillId="0" borderId="6" xfId="7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25" fillId="0" borderId="19" xfId="0" applyFont="1" applyFill="1" applyBorder="1" applyAlignment="1">
      <alignment horizontal="center"/>
    </xf>
    <xf numFmtId="0" fontId="25" fillId="0" borderId="50" xfId="0" applyFont="1" applyFill="1" applyBorder="1" applyAlignment="1">
      <alignment horizontal="center"/>
    </xf>
    <xf numFmtId="0" fontId="25" fillId="0" borderId="20" xfId="0" applyFont="1" applyFill="1" applyBorder="1" applyAlignment="1">
      <alignment horizontal="center"/>
    </xf>
    <xf numFmtId="0" fontId="15" fillId="0" borderId="3" xfId="7" applyFont="1" applyFill="1" applyBorder="1" applyAlignment="1">
      <alignment horizontal="left" vertical="center" wrapText="1"/>
    </xf>
    <xf numFmtId="0" fontId="15" fillId="0" borderId="4" xfId="7" applyFont="1" applyFill="1" applyBorder="1" applyAlignment="1">
      <alignment horizontal="left" vertical="center" wrapText="1"/>
    </xf>
    <xf numFmtId="0" fontId="23" fillId="0" borderId="5" xfId="7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 wrapText="1" indent="1"/>
    </xf>
    <xf numFmtId="0" fontId="7" fillId="0" borderId="15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/>
    </xf>
    <xf numFmtId="0" fontId="6" fillId="0" borderId="44" xfId="0" applyFont="1" applyFill="1" applyBorder="1" applyAlignment="1">
      <alignment horizontal="left" vertical="center" wrapText="1"/>
    </xf>
    <xf numFmtId="0" fontId="6" fillId="0" borderId="50" xfId="0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center" vertical="center" wrapText="1"/>
    </xf>
    <xf numFmtId="169" fontId="8" fillId="0" borderId="18" xfId="0" applyNumberFormat="1" applyFont="1" applyFill="1" applyBorder="1" applyAlignment="1">
      <alignment horizontal="center" vertical="center" wrapText="1"/>
    </xf>
    <xf numFmtId="167" fontId="27" fillId="0" borderId="19" xfId="0" applyNumberFormat="1" applyFont="1" applyFill="1" applyBorder="1" applyAlignment="1">
      <alignment horizontal="center" vertical="center"/>
    </xf>
    <xf numFmtId="167" fontId="27" fillId="0" borderId="20" xfId="0" applyNumberFormat="1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6" fillId="0" borderId="50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0" fontId="4" fillId="0" borderId="13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indent="1"/>
    </xf>
    <xf numFmtId="0" fontId="0" fillId="0" borderId="19" xfId="0" applyFont="1" applyBorder="1" applyAlignment="1">
      <alignment horizontal="center"/>
    </xf>
    <xf numFmtId="3" fontId="9" fillId="0" borderId="2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14" fillId="0" borderId="31" xfId="0" applyFont="1" applyFill="1" applyBorder="1" applyAlignment="1">
      <alignment horizontal="left" vertical="center" wrapText="1"/>
    </xf>
    <xf numFmtId="0" fontId="0" fillId="0" borderId="31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left"/>
    </xf>
    <xf numFmtId="0" fontId="11" fillId="0" borderId="22" xfId="0" applyFont="1" applyFill="1" applyBorder="1"/>
    <xf numFmtId="0" fontId="11" fillId="0" borderId="23" xfId="0" applyFont="1" applyFill="1" applyBorder="1" applyAlignment="1">
      <alignment horizontal="left" vertical="center" wrapText="1" indent="1"/>
    </xf>
    <xf numFmtId="0" fontId="13" fillId="0" borderId="2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1" fillId="0" borderId="43" xfId="0" applyFont="1" applyFill="1" applyBorder="1" applyAlignment="1">
      <alignment horizontal="left" vertical="center" wrapText="1" indent="1"/>
    </xf>
    <xf numFmtId="0" fontId="0" fillId="0" borderId="37" xfId="0" applyFont="1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0" fillId="0" borderId="40" xfId="0" applyFill="1" applyBorder="1" applyAlignment="1">
      <alignment horizontal="left" vertical="center"/>
    </xf>
    <xf numFmtId="0" fontId="9" fillId="0" borderId="43" xfId="0" applyFont="1" applyFill="1" applyBorder="1" applyAlignment="1">
      <alignment horizontal="left" vertical="center" wrapText="1"/>
    </xf>
    <xf numFmtId="0" fontId="0" fillId="0" borderId="21" xfId="0" applyFill="1" applyBorder="1"/>
    <xf numFmtId="0" fontId="9" fillId="0" borderId="19" xfId="0" applyFont="1" applyFill="1" applyBorder="1" applyAlignment="1">
      <alignment vertical="center" wrapText="1"/>
    </xf>
    <xf numFmtId="0" fontId="9" fillId="0" borderId="44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1" fillId="0" borderId="26" xfId="0" applyFont="1" applyFill="1" applyBorder="1" applyAlignment="1">
      <alignment vertical="center" wrapText="1"/>
    </xf>
    <xf numFmtId="0" fontId="4" fillId="0" borderId="47" xfId="0" applyFont="1" applyFill="1" applyBorder="1" applyAlignment="1">
      <alignment horizontal="left" vertical="center" wrapText="1"/>
    </xf>
    <xf numFmtId="167" fontId="7" fillId="0" borderId="19" xfId="0" applyNumberFormat="1" applyFont="1" applyFill="1" applyBorder="1" applyAlignment="1">
      <alignment horizontal="center" vertical="center"/>
    </xf>
    <xf numFmtId="167" fontId="7" fillId="0" borderId="20" xfId="0" applyNumberFormat="1" applyFont="1" applyFill="1" applyBorder="1" applyAlignment="1">
      <alignment horizontal="center" vertical="center"/>
    </xf>
    <xf numFmtId="0" fontId="26" fillId="0" borderId="51" xfId="0" applyFont="1" applyFill="1" applyBorder="1" applyAlignment="1">
      <alignment horizontal="center" vertical="center"/>
    </xf>
    <xf numFmtId="0" fontId="26" fillId="0" borderId="68" xfId="0" applyFont="1" applyFill="1" applyBorder="1" applyAlignment="1">
      <alignment horizontal="center" vertical="center"/>
    </xf>
  </cellXfs>
  <cellStyles count="8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44844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51"/>
  <sheetViews>
    <sheetView tabSelected="1" topLeftCell="A8" zoomScale="120" zoomScaleNormal="120" workbookViewId="0">
      <selection activeCell="X21" sqref="X21"/>
    </sheetView>
  </sheetViews>
  <sheetFormatPr baseColWidth="10" defaultColWidth="11" defaultRowHeight="12.75" x14ac:dyDescent="0.2"/>
  <cols>
    <col min="1" max="1" width="4.5703125" style="15" customWidth="1"/>
    <col min="2" max="2" width="14" style="15" customWidth="1"/>
    <col min="3" max="3" width="31.42578125" style="15" bestFit="1" customWidth="1"/>
    <col min="4" max="4" width="8.42578125" style="15" customWidth="1"/>
    <col min="5" max="5" width="90.7109375" style="15" customWidth="1"/>
    <col min="6" max="6" width="11" style="15"/>
    <col min="7" max="7" width="11" style="17" hidden="1" customWidth="1"/>
    <col min="8" max="8" width="14.7109375" style="36" hidden="1" customWidth="1"/>
    <col min="9" max="9" width="11" style="17" hidden="1" customWidth="1"/>
    <col min="10" max="10" width="13.140625" style="36" hidden="1" customWidth="1"/>
    <col min="11" max="11" width="11" style="17" hidden="1" customWidth="1"/>
    <col min="12" max="12" width="13.140625" style="36" hidden="1" customWidth="1"/>
    <col min="13" max="13" width="12.5703125" style="15" customWidth="1"/>
    <col min="14" max="14" width="15.7109375" style="15" customWidth="1"/>
    <col min="15" max="15" width="18.5703125" style="16" customWidth="1"/>
    <col min="16" max="16384" width="11" style="15"/>
  </cols>
  <sheetData>
    <row r="2" spans="1:15" ht="27" x14ac:dyDescent="0.35">
      <c r="B2" s="144" t="s">
        <v>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1:15" ht="12" customHeight="1" x14ac:dyDescent="0.2"/>
    <row r="4" spans="1:15" ht="18" customHeight="1" x14ac:dyDescent="0.25">
      <c r="A4" s="137" t="s">
        <v>1</v>
      </c>
      <c r="B4" s="137"/>
      <c r="C4" s="145" t="s">
        <v>51</v>
      </c>
      <c r="D4" s="145"/>
      <c r="E4" s="145"/>
      <c r="F4" s="18"/>
      <c r="G4" s="19"/>
      <c r="H4" s="37"/>
      <c r="I4" s="19"/>
      <c r="J4" s="37"/>
      <c r="K4" s="19"/>
      <c r="L4" s="37"/>
      <c r="M4" s="20"/>
      <c r="N4" s="18"/>
    </row>
    <row r="5" spans="1:15" ht="18" customHeight="1" x14ac:dyDescent="0.25">
      <c r="A5" s="137" t="s">
        <v>2</v>
      </c>
      <c r="B5" s="137"/>
      <c r="C5" s="145" t="s">
        <v>75</v>
      </c>
      <c r="D5" s="145"/>
      <c r="E5" s="145"/>
      <c r="F5" s="18"/>
      <c r="G5" s="19"/>
      <c r="H5" s="37"/>
      <c r="I5" s="19"/>
      <c r="J5" s="37"/>
      <c r="K5" s="19"/>
      <c r="L5" s="37"/>
      <c r="M5" s="20"/>
      <c r="N5" s="18"/>
    </row>
    <row r="6" spans="1:15" ht="16.5" customHeight="1" x14ac:dyDescent="0.25">
      <c r="A6" s="137" t="s">
        <v>3</v>
      </c>
      <c r="B6" s="137"/>
      <c r="C6" s="21">
        <v>2022</v>
      </c>
      <c r="D6" s="22"/>
      <c r="E6" s="22"/>
      <c r="F6" s="18"/>
      <c r="G6" s="19"/>
      <c r="H6" s="37"/>
      <c r="I6" s="19"/>
      <c r="J6" s="37"/>
      <c r="K6" s="19"/>
      <c r="L6" s="37"/>
      <c r="M6" s="20"/>
      <c r="N6" s="18"/>
    </row>
    <row r="7" spans="1:15" ht="16.5" customHeight="1" x14ac:dyDescent="0.25">
      <c r="A7" s="137" t="s">
        <v>4</v>
      </c>
      <c r="B7" s="137"/>
      <c r="C7" s="21">
        <v>2</v>
      </c>
      <c r="D7" s="22"/>
      <c r="E7" s="22"/>
      <c r="F7" s="18"/>
      <c r="G7" s="19"/>
      <c r="H7" s="37"/>
      <c r="I7" s="19"/>
      <c r="J7" s="37"/>
      <c r="K7" s="19"/>
      <c r="L7" s="37"/>
      <c r="M7" s="20"/>
      <c r="N7" s="18"/>
    </row>
    <row r="8" spans="1:15" ht="13.5" thickBot="1" x14ac:dyDescent="0.25">
      <c r="B8" s="18"/>
      <c r="C8" s="20"/>
      <c r="D8" s="18"/>
      <c r="E8" s="18"/>
      <c r="F8" s="18"/>
      <c r="G8" s="19"/>
      <c r="H8" s="37"/>
      <c r="I8" s="19"/>
      <c r="J8" s="37"/>
      <c r="K8" s="19"/>
      <c r="L8" s="37"/>
      <c r="M8" s="20"/>
      <c r="N8" s="18"/>
    </row>
    <row r="9" spans="1:15" ht="39" thickBot="1" x14ac:dyDescent="0.25">
      <c r="A9" s="46" t="s">
        <v>5</v>
      </c>
      <c r="B9" s="47" t="s">
        <v>6</v>
      </c>
      <c r="C9" s="47" t="s">
        <v>7</v>
      </c>
      <c r="D9" s="48" t="s">
        <v>8</v>
      </c>
      <c r="E9" s="49" t="s">
        <v>9</v>
      </c>
      <c r="F9" s="50" t="s">
        <v>10</v>
      </c>
      <c r="G9" s="51" t="s">
        <v>73</v>
      </c>
      <c r="H9" s="52" t="s">
        <v>77</v>
      </c>
      <c r="I9" s="51" t="s">
        <v>74</v>
      </c>
      <c r="J9" s="52" t="s">
        <v>78</v>
      </c>
      <c r="K9" s="51" t="s">
        <v>76</v>
      </c>
      <c r="L9" s="52" t="s">
        <v>79</v>
      </c>
      <c r="M9" s="47" t="s">
        <v>11</v>
      </c>
      <c r="N9" s="47" t="s">
        <v>12</v>
      </c>
      <c r="O9" s="53" t="s">
        <v>13</v>
      </c>
    </row>
    <row r="10" spans="1:15" x14ac:dyDescent="0.2">
      <c r="A10" s="39">
        <v>1</v>
      </c>
      <c r="B10" s="39"/>
      <c r="C10" s="196" t="s">
        <v>89</v>
      </c>
      <c r="D10" s="40">
        <v>295</v>
      </c>
      <c r="E10" s="41" t="s">
        <v>54</v>
      </c>
      <c r="F10" s="39" t="s">
        <v>68</v>
      </c>
      <c r="G10" s="42">
        <v>500</v>
      </c>
      <c r="H10" s="43">
        <f>+G10*N10</f>
        <v>245000</v>
      </c>
      <c r="I10" s="42">
        <v>5</v>
      </c>
      <c r="J10" s="43">
        <f>+I10*N10</f>
        <v>2450</v>
      </c>
      <c r="K10" s="42"/>
      <c r="L10" s="43">
        <f>+K10*N10</f>
        <v>0</v>
      </c>
      <c r="M10" s="42">
        <f>+G10+I10+K10</f>
        <v>505</v>
      </c>
      <c r="N10" s="44">
        <v>490</v>
      </c>
      <c r="O10" s="45">
        <f t="shared" ref="O10:O16" si="0">+M10*N10</f>
        <v>247450</v>
      </c>
    </row>
    <row r="11" spans="1:15" x14ac:dyDescent="0.2">
      <c r="A11" s="23">
        <v>2</v>
      </c>
      <c r="B11" s="23"/>
      <c r="C11" s="196" t="s">
        <v>89</v>
      </c>
      <c r="D11" s="24">
        <v>295</v>
      </c>
      <c r="E11" s="25" t="s">
        <v>55</v>
      </c>
      <c r="F11" s="23" t="s">
        <v>68</v>
      </c>
      <c r="G11" s="26">
        <v>1000</v>
      </c>
      <c r="H11" s="38">
        <f t="shared" ref="H11:H23" si="1">+G11*N11</f>
        <v>490000</v>
      </c>
      <c r="I11" s="26">
        <v>5</v>
      </c>
      <c r="J11" s="38">
        <f t="shared" ref="J11:J23" si="2">+I11*N11</f>
        <v>2450</v>
      </c>
      <c r="K11" s="26"/>
      <c r="L11" s="38">
        <f t="shared" ref="L11:L24" si="3">+K11*N11</f>
        <v>0</v>
      </c>
      <c r="M11" s="42">
        <f t="shared" ref="M11:M37" si="4">+G11+I11+K11</f>
        <v>1005</v>
      </c>
      <c r="N11" s="27">
        <v>490</v>
      </c>
      <c r="O11" s="28">
        <f t="shared" si="0"/>
        <v>492450</v>
      </c>
    </row>
    <row r="12" spans="1:15" ht="12.75" customHeight="1" x14ac:dyDescent="0.2">
      <c r="A12" s="23">
        <v>3</v>
      </c>
      <c r="B12" s="23"/>
      <c r="C12" s="196" t="s">
        <v>89</v>
      </c>
      <c r="D12" s="24">
        <v>295</v>
      </c>
      <c r="E12" s="29" t="s">
        <v>97</v>
      </c>
      <c r="F12" s="23" t="s">
        <v>68</v>
      </c>
      <c r="G12" s="26">
        <v>50</v>
      </c>
      <c r="H12" s="38">
        <f t="shared" si="1"/>
        <v>14000</v>
      </c>
      <c r="I12" s="26"/>
      <c r="J12" s="38">
        <f t="shared" si="2"/>
        <v>0</v>
      </c>
      <c r="K12" s="26"/>
      <c r="L12" s="38">
        <f t="shared" si="3"/>
        <v>0</v>
      </c>
      <c r="M12" s="42">
        <f t="shared" si="4"/>
        <v>50</v>
      </c>
      <c r="N12" s="27">
        <v>280</v>
      </c>
      <c r="O12" s="28">
        <f t="shared" si="0"/>
        <v>14000</v>
      </c>
    </row>
    <row r="13" spans="1:15" x14ac:dyDescent="0.2">
      <c r="A13" s="23">
        <v>4</v>
      </c>
      <c r="B13" s="23"/>
      <c r="C13" s="196" t="s">
        <v>89</v>
      </c>
      <c r="D13" s="24">
        <v>295</v>
      </c>
      <c r="E13" s="30" t="s">
        <v>56</v>
      </c>
      <c r="F13" s="23" t="s">
        <v>68</v>
      </c>
      <c r="G13" s="26"/>
      <c r="H13" s="38">
        <f t="shared" si="1"/>
        <v>0</v>
      </c>
      <c r="I13" s="26">
        <v>5</v>
      </c>
      <c r="J13" s="38">
        <f t="shared" si="2"/>
        <v>62500</v>
      </c>
      <c r="K13" s="26"/>
      <c r="L13" s="38">
        <f t="shared" si="3"/>
        <v>0</v>
      </c>
      <c r="M13" s="42">
        <f t="shared" si="4"/>
        <v>5</v>
      </c>
      <c r="N13" s="27">
        <v>12500</v>
      </c>
      <c r="O13" s="28">
        <f t="shared" si="0"/>
        <v>62500</v>
      </c>
    </row>
    <row r="14" spans="1:15" x14ac:dyDescent="0.2">
      <c r="A14" s="23">
        <v>5</v>
      </c>
      <c r="B14" s="23"/>
      <c r="C14" s="196" t="s">
        <v>89</v>
      </c>
      <c r="D14" s="24">
        <v>295</v>
      </c>
      <c r="E14" s="30" t="s">
        <v>57</v>
      </c>
      <c r="F14" s="23" t="s">
        <v>68</v>
      </c>
      <c r="G14" s="26"/>
      <c r="H14" s="38">
        <f t="shared" si="1"/>
        <v>0</v>
      </c>
      <c r="I14" s="26">
        <v>5</v>
      </c>
      <c r="J14" s="38">
        <f t="shared" si="2"/>
        <v>62500</v>
      </c>
      <c r="K14" s="26"/>
      <c r="L14" s="38">
        <f t="shared" si="3"/>
        <v>0</v>
      </c>
      <c r="M14" s="42">
        <f t="shared" si="4"/>
        <v>5</v>
      </c>
      <c r="N14" s="27">
        <v>12500</v>
      </c>
      <c r="O14" s="28">
        <f t="shared" si="0"/>
        <v>62500</v>
      </c>
    </row>
    <row r="15" spans="1:15" x14ac:dyDescent="0.2">
      <c r="A15" s="23">
        <v>6</v>
      </c>
      <c r="B15" s="23"/>
      <c r="C15" s="196" t="s">
        <v>89</v>
      </c>
      <c r="D15" s="24">
        <v>295</v>
      </c>
      <c r="E15" s="31" t="s">
        <v>58</v>
      </c>
      <c r="F15" s="23" t="s">
        <v>68</v>
      </c>
      <c r="G15" s="26"/>
      <c r="H15" s="38">
        <f t="shared" si="1"/>
        <v>0</v>
      </c>
      <c r="I15" s="26">
        <v>10</v>
      </c>
      <c r="J15" s="38">
        <f t="shared" si="2"/>
        <v>76000</v>
      </c>
      <c r="K15" s="26"/>
      <c r="L15" s="38">
        <f t="shared" si="3"/>
        <v>0</v>
      </c>
      <c r="M15" s="42">
        <f t="shared" si="4"/>
        <v>10</v>
      </c>
      <c r="N15" s="27">
        <v>7600</v>
      </c>
      <c r="O15" s="28">
        <f t="shared" si="0"/>
        <v>76000</v>
      </c>
    </row>
    <row r="16" spans="1:15" x14ac:dyDescent="0.2">
      <c r="A16" s="23">
        <v>7</v>
      </c>
      <c r="B16" s="23"/>
      <c r="C16" s="196" t="s">
        <v>89</v>
      </c>
      <c r="D16" s="24">
        <v>295</v>
      </c>
      <c r="E16" s="31" t="s">
        <v>98</v>
      </c>
      <c r="F16" s="23" t="s">
        <v>68</v>
      </c>
      <c r="G16" s="26">
        <v>300</v>
      </c>
      <c r="H16" s="38">
        <f t="shared" si="1"/>
        <v>37200</v>
      </c>
      <c r="I16" s="26"/>
      <c r="J16" s="38">
        <f t="shared" si="2"/>
        <v>0</v>
      </c>
      <c r="K16" s="26"/>
      <c r="L16" s="38">
        <f t="shared" si="3"/>
        <v>0</v>
      </c>
      <c r="M16" s="42">
        <f t="shared" si="4"/>
        <v>300</v>
      </c>
      <c r="N16" s="27">
        <v>124</v>
      </c>
      <c r="O16" s="28">
        <f t="shared" si="0"/>
        <v>37200</v>
      </c>
    </row>
    <row r="17" spans="1:15" x14ac:dyDescent="0.2">
      <c r="A17" s="23">
        <v>8</v>
      </c>
      <c r="B17" s="23"/>
      <c r="C17" s="196" t="s">
        <v>89</v>
      </c>
      <c r="D17" s="24">
        <v>295</v>
      </c>
      <c r="E17" s="29" t="s">
        <v>59</v>
      </c>
      <c r="F17" s="23" t="s">
        <v>68</v>
      </c>
      <c r="G17" s="26"/>
      <c r="H17" s="38">
        <f t="shared" si="1"/>
        <v>0</v>
      </c>
      <c r="I17" s="26">
        <v>8</v>
      </c>
      <c r="J17" s="38">
        <f t="shared" si="2"/>
        <v>7840</v>
      </c>
      <c r="K17" s="26"/>
      <c r="L17" s="38">
        <f t="shared" si="3"/>
        <v>0</v>
      </c>
      <c r="M17" s="42">
        <f t="shared" si="4"/>
        <v>8</v>
      </c>
      <c r="N17" s="27">
        <v>980</v>
      </c>
      <c r="O17" s="28">
        <f t="shared" ref="O17:O27" si="5">+M17*N17</f>
        <v>7840</v>
      </c>
    </row>
    <row r="18" spans="1:15" x14ac:dyDescent="0.2">
      <c r="A18" s="23">
        <v>9</v>
      </c>
      <c r="B18" s="23"/>
      <c r="C18" s="196" t="s">
        <v>89</v>
      </c>
      <c r="D18" s="24">
        <v>295</v>
      </c>
      <c r="E18" s="25" t="s">
        <v>99</v>
      </c>
      <c r="F18" s="23" t="s">
        <v>68</v>
      </c>
      <c r="G18" s="26">
        <v>50</v>
      </c>
      <c r="H18" s="38">
        <f t="shared" si="1"/>
        <v>210000</v>
      </c>
      <c r="I18" s="26"/>
      <c r="J18" s="38">
        <f t="shared" si="2"/>
        <v>0</v>
      </c>
      <c r="K18" s="26"/>
      <c r="L18" s="38">
        <f t="shared" si="3"/>
        <v>0</v>
      </c>
      <c r="M18" s="42">
        <f t="shared" si="4"/>
        <v>50</v>
      </c>
      <c r="N18" s="27">
        <v>4200</v>
      </c>
      <c r="O18" s="28">
        <f t="shared" si="5"/>
        <v>210000</v>
      </c>
    </row>
    <row r="19" spans="1:15" x14ac:dyDescent="0.2">
      <c r="A19" s="23">
        <v>10</v>
      </c>
      <c r="B19" s="23"/>
      <c r="C19" s="196" t="s">
        <v>89</v>
      </c>
      <c r="D19" s="24">
        <v>295</v>
      </c>
      <c r="E19" s="32" t="s">
        <v>60</v>
      </c>
      <c r="F19" s="23" t="s">
        <v>68</v>
      </c>
      <c r="G19" s="26"/>
      <c r="H19" s="38">
        <f t="shared" si="1"/>
        <v>0</v>
      </c>
      <c r="I19" s="26">
        <v>2</v>
      </c>
      <c r="J19" s="38">
        <f t="shared" si="2"/>
        <v>35360</v>
      </c>
      <c r="K19" s="26"/>
      <c r="L19" s="38">
        <f t="shared" si="3"/>
        <v>0</v>
      </c>
      <c r="M19" s="42">
        <f t="shared" si="4"/>
        <v>2</v>
      </c>
      <c r="N19" s="27">
        <v>17680</v>
      </c>
      <c r="O19" s="28">
        <f t="shared" si="5"/>
        <v>35360</v>
      </c>
    </row>
    <row r="20" spans="1:15" x14ac:dyDescent="0.2">
      <c r="A20" s="23">
        <v>11</v>
      </c>
      <c r="B20" s="23"/>
      <c r="C20" s="196" t="s">
        <v>89</v>
      </c>
      <c r="D20" s="24">
        <v>295</v>
      </c>
      <c r="E20" s="32" t="s">
        <v>61</v>
      </c>
      <c r="F20" s="23" t="s">
        <v>68</v>
      </c>
      <c r="G20" s="26"/>
      <c r="H20" s="38">
        <f t="shared" si="1"/>
        <v>0</v>
      </c>
      <c r="I20" s="26">
        <v>2</v>
      </c>
      <c r="J20" s="38">
        <f t="shared" si="2"/>
        <v>40690</v>
      </c>
      <c r="K20" s="26"/>
      <c r="L20" s="38">
        <f t="shared" si="3"/>
        <v>0</v>
      </c>
      <c r="M20" s="42">
        <f t="shared" si="4"/>
        <v>2</v>
      </c>
      <c r="N20" s="27">
        <v>20345</v>
      </c>
      <c r="O20" s="28">
        <f t="shared" si="5"/>
        <v>40690</v>
      </c>
    </row>
    <row r="21" spans="1:15" x14ac:dyDescent="0.2">
      <c r="A21" s="23">
        <v>12</v>
      </c>
      <c r="B21" s="23"/>
      <c r="C21" s="196" t="s">
        <v>89</v>
      </c>
      <c r="D21" s="24">
        <v>295</v>
      </c>
      <c r="E21" s="32" t="s">
        <v>100</v>
      </c>
      <c r="F21" s="23" t="s">
        <v>68</v>
      </c>
      <c r="G21" s="26">
        <v>50</v>
      </c>
      <c r="H21" s="38">
        <f t="shared" si="1"/>
        <v>12600</v>
      </c>
      <c r="I21" s="26"/>
      <c r="J21" s="38">
        <f t="shared" si="2"/>
        <v>0</v>
      </c>
      <c r="K21" s="26"/>
      <c r="L21" s="38">
        <f t="shared" si="3"/>
        <v>0</v>
      </c>
      <c r="M21" s="42">
        <f t="shared" si="4"/>
        <v>50</v>
      </c>
      <c r="N21" s="27">
        <v>252</v>
      </c>
      <c r="O21" s="28">
        <f t="shared" si="5"/>
        <v>12600</v>
      </c>
    </row>
    <row r="22" spans="1:15" x14ac:dyDescent="0.2">
      <c r="A22" s="23">
        <v>13</v>
      </c>
      <c r="B22" s="23"/>
      <c r="C22" s="196" t="s">
        <v>89</v>
      </c>
      <c r="D22" s="24">
        <v>295</v>
      </c>
      <c r="E22" s="32" t="s">
        <v>101</v>
      </c>
      <c r="F22" s="23" t="s">
        <v>68</v>
      </c>
      <c r="G22" s="26">
        <v>50</v>
      </c>
      <c r="H22" s="38">
        <f t="shared" si="1"/>
        <v>12600</v>
      </c>
      <c r="I22" s="26"/>
      <c r="J22" s="38">
        <f t="shared" si="2"/>
        <v>0</v>
      </c>
      <c r="K22" s="26"/>
      <c r="L22" s="38">
        <f t="shared" si="3"/>
        <v>0</v>
      </c>
      <c r="M22" s="42">
        <f t="shared" si="4"/>
        <v>50</v>
      </c>
      <c r="N22" s="27">
        <v>252</v>
      </c>
      <c r="O22" s="28">
        <f t="shared" si="5"/>
        <v>12600</v>
      </c>
    </row>
    <row r="23" spans="1:15" x14ac:dyDescent="0.2">
      <c r="A23" s="23">
        <v>14</v>
      </c>
      <c r="B23" s="23"/>
      <c r="C23" s="196" t="s">
        <v>89</v>
      </c>
      <c r="D23" s="24">
        <v>295</v>
      </c>
      <c r="E23" s="32" t="s">
        <v>102</v>
      </c>
      <c r="F23" s="23" t="s">
        <v>68</v>
      </c>
      <c r="G23" s="26">
        <v>50</v>
      </c>
      <c r="H23" s="38">
        <f t="shared" si="1"/>
        <v>12600</v>
      </c>
      <c r="I23" s="26"/>
      <c r="J23" s="38">
        <f t="shared" si="2"/>
        <v>0</v>
      </c>
      <c r="K23" s="26"/>
      <c r="L23" s="38">
        <f t="shared" si="3"/>
        <v>0</v>
      </c>
      <c r="M23" s="42">
        <f t="shared" si="4"/>
        <v>50</v>
      </c>
      <c r="N23" s="27">
        <v>252</v>
      </c>
      <c r="O23" s="28">
        <f t="shared" si="5"/>
        <v>12600</v>
      </c>
    </row>
    <row r="24" spans="1:15" x14ac:dyDescent="0.2">
      <c r="A24" s="23">
        <v>15</v>
      </c>
      <c r="B24" s="23"/>
      <c r="C24" s="196" t="s">
        <v>89</v>
      </c>
      <c r="D24" s="24">
        <v>295</v>
      </c>
      <c r="E24" s="25" t="s">
        <v>70</v>
      </c>
      <c r="F24" s="23" t="s">
        <v>68</v>
      </c>
      <c r="G24" s="26">
        <v>1500</v>
      </c>
      <c r="H24" s="38">
        <f t="shared" ref="H24:H37" si="6">+G24*N24</f>
        <v>570000</v>
      </c>
      <c r="I24" s="26">
        <v>8</v>
      </c>
      <c r="J24" s="38">
        <f t="shared" ref="J24:J37" si="7">+I24*N24</f>
        <v>3040</v>
      </c>
      <c r="K24" s="26"/>
      <c r="L24" s="38">
        <f t="shared" si="3"/>
        <v>0</v>
      </c>
      <c r="M24" s="42">
        <f t="shared" si="4"/>
        <v>1508</v>
      </c>
      <c r="N24" s="27">
        <v>380</v>
      </c>
      <c r="O24" s="28">
        <f t="shared" si="5"/>
        <v>573040</v>
      </c>
    </row>
    <row r="25" spans="1:15" x14ac:dyDescent="0.2">
      <c r="A25" s="23">
        <v>16</v>
      </c>
      <c r="B25" s="23"/>
      <c r="C25" s="196" t="s">
        <v>89</v>
      </c>
      <c r="D25" s="24">
        <v>295</v>
      </c>
      <c r="E25" s="25" t="s">
        <v>62</v>
      </c>
      <c r="F25" s="23" t="s">
        <v>68</v>
      </c>
      <c r="G25" s="26">
        <v>200</v>
      </c>
      <c r="H25" s="38">
        <f t="shared" si="6"/>
        <v>76000</v>
      </c>
      <c r="I25" s="26">
        <v>5</v>
      </c>
      <c r="J25" s="38">
        <f t="shared" si="7"/>
        <v>1900</v>
      </c>
      <c r="K25" s="26"/>
      <c r="L25" s="38">
        <f t="shared" ref="L25:L37" si="8">+K25*N25</f>
        <v>0</v>
      </c>
      <c r="M25" s="42">
        <f t="shared" si="4"/>
        <v>205</v>
      </c>
      <c r="N25" s="27">
        <v>380</v>
      </c>
      <c r="O25" s="28">
        <f t="shared" si="5"/>
        <v>77900</v>
      </c>
    </row>
    <row r="26" spans="1:15" x14ac:dyDescent="0.2">
      <c r="A26" s="23">
        <v>17</v>
      </c>
      <c r="B26" s="23"/>
      <c r="C26" s="196" t="s">
        <v>89</v>
      </c>
      <c r="D26" s="24">
        <v>295</v>
      </c>
      <c r="E26" s="25" t="s">
        <v>103</v>
      </c>
      <c r="F26" s="23" t="s">
        <v>68</v>
      </c>
      <c r="G26" s="26">
        <v>500</v>
      </c>
      <c r="H26" s="38">
        <f t="shared" si="6"/>
        <v>180000</v>
      </c>
      <c r="I26" s="26"/>
      <c r="J26" s="38">
        <f t="shared" si="7"/>
        <v>0</v>
      </c>
      <c r="K26" s="26"/>
      <c r="L26" s="38">
        <f t="shared" si="8"/>
        <v>0</v>
      </c>
      <c r="M26" s="42">
        <f t="shared" si="4"/>
        <v>500</v>
      </c>
      <c r="N26" s="27">
        <v>360</v>
      </c>
      <c r="O26" s="28">
        <f t="shared" si="5"/>
        <v>180000</v>
      </c>
    </row>
    <row r="27" spans="1:15" x14ac:dyDescent="0.2">
      <c r="A27" s="23">
        <v>18</v>
      </c>
      <c r="B27" s="23"/>
      <c r="C27" s="196" t="s">
        <v>89</v>
      </c>
      <c r="D27" s="24">
        <v>295</v>
      </c>
      <c r="E27" s="25" t="s">
        <v>63</v>
      </c>
      <c r="F27" s="23" t="s">
        <v>68</v>
      </c>
      <c r="G27" s="26">
        <v>500</v>
      </c>
      <c r="H27" s="38">
        <f t="shared" si="6"/>
        <v>135000</v>
      </c>
      <c r="I27" s="26">
        <v>10</v>
      </c>
      <c r="J27" s="38">
        <f t="shared" si="7"/>
        <v>2700</v>
      </c>
      <c r="K27" s="26"/>
      <c r="L27" s="38">
        <f t="shared" si="8"/>
        <v>0</v>
      </c>
      <c r="M27" s="42">
        <f t="shared" si="4"/>
        <v>510</v>
      </c>
      <c r="N27" s="27">
        <v>270</v>
      </c>
      <c r="O27" s="28">
        <f t="shared" si="5"/>
        <v>137700</v>
      </c>
    </row>
    <row r="28" spans="1:15" x14ac:dyDescent="0.2">
      <c r="A28" s="23">
        <v>19</v>
      </c>
      <c r="B28" s="23"/>
      <c r="C28" s="196" t="s">
        <v>89</v>
      </c>
      <c r="D28" s="24">
        <v>295</v>
      </c>
      <c r="E28" s="25" t="s">
        <v>64</v>
      </c>
      <c r="F28" s="23" t="s">
        <v>68</v>
      </c>
      <c r="G28" s="26"/>
      <c r="H28" s="38">
        <f t="shared" si="6"/>
        <v>0</v>
      </c>
      <c r="I28" s="26">
        <v>10</v>
      </c>
      <c r="J28" s="38">
        <f t="shared" si="7"/>
        <v>2700</v>
      </c>
      <c r="K28" s="26"/>
      <c r="L28" s="38">
        <f t="shared" si="8"/>
        <v>0</v>
      </c>
      <c r="M28" s="42">
        <f t="shared" si="4"/>
        <v>10</v>
      </c>
      <c r="N28" s="27">
        <v>270</v>
      </c>
      <c r="O28" s="28">
        <f t="shared" ref="O28:O37" si="9">+M28*N28</f>
        <v>2700</v>
      </c>
    </row>
    <row r="29" spans="1:15" x14ac:dyDescent="0.2">
      <c r="A29" s="23">
        <v>20</v>
      </c>
      <c r="B29" s="23"/>
      <c r="C29" s="196" t="s">
        <v>89</v>
      </c>
      <c r="D29" s="24">
        <v>295</v>
      </c>
      <c r="E29" s="25" t="s">
        <v>104</v>
      </c>
      <c r="F29" s="23" t="s">
        <v>68</v>
      </c>
      <c r="G29" s="26">
        <v>150</v>
      </c>
      <c r="H29" s="38">
        <f t="shared" si="6"/>
        <v>48000</v>
      </c>
      <c r="I29" s="26"/>
      <c r="J29" s="38">
        <f t="shared" si="7"/>
        <v>0</v>
      </c>
      <c r="K29" s="26"/>
      <c r="L29" s="38">
        <f t="shared" si="8"/>
        <v>0</v>
      </c>
      <c r="M29" s="42">
        <f t="shared" si="4"/>
        <v>150</v>
      </c>
      <c r="N29" s="27">
        <v>320</v>
      </c>
      <c r="O29" s="28">
        <f t="shared" si="9"/>
        <v>48000</v>
      </c>
    </row>
    <row r="30" spans="1:15" x14ac:dyDescent="0.2">
      <c r="A30" s="23">
        <v>21</v>
      </c>
      <c r="B30" s="23"/>
      <c r="C30" s="196" t="s">
        <v>89</v>
      </c>
      <c r="D30" s="24">
        <v>295</v>
      </c>
      <c r="E30" s="25" t="s">
        <v>105</v>
      </c>
      <c r="F30" s="23" t="s">
        <v>68</v>
      </c>
      <c r="G30" s="26">
        <v>150</v>
      </c>
      <c r="H30" s="38">
        <f t="shared" si="6"/>
        <v>48000</v>
      </c>
      <c r="I30" s="26"/>
      <c r="J30" s="38">
        <f t="shared" si="7"/>
        <v>0</v>
      </c>
      <c r="K30" s="26"/>
      <c r="L30" s="38">
        <f t="shared" si="8"/>
        <v>0</v>
      </c>
      <c r="M30" s="42">
        <f t="shared" si="4"/>
        <v>150</v>
      </c>
      <c r="N30" s="27">
        <v>320</v>
      </c>
      <c r="O30" s="28">
        <f t="shared" si="9"/>
        <v>48000</v>
      </c>
    </row>
    <row r="31" spans="1:15" x14ac:dyDescent="0.2">
      <c r="A31" s="23">
        <v>22</v>
      </c>
      <c r="B31" s="33"/>
      <c r="C31" s="196" t="s">
        <v>89</v>
      </c>
      <c r="D31" s="24">
        <v>295</v>
      </c>
      <c r="E31" s="34" t="s">
        <v>69</v>
      </c>
      <c r="F31" s="23" t="s">
        <v>68</v>
      </c>
      <c r="G31" s="26"/>
      <c r="H31" s="38">
        <f t="shared" si="6"/>
        <v>0</v>
      </c>
      <c r="I31" s="26">
        <v>5</v>
      </c>
      <c r="J31" s="38">
        <f t="shared" si="7"/>
        <v>11500</v>
      </c>
      <c r="K31" s="26"/>
      <c r="L31" s="38">
        <f t="shared" si="8"/>
        <v>0</v>
      </c>
      <c r="M31" s="42">
        <f t="shared" si="4"/>
        <v>5</v>
      </c>
      <c r="N31" s="27">
        <v>2300</v>
      </c>
      <c r="O31" s="28">
        <f t="shared" si="9"/>
        <v>11500</v>
      </c>
    </row>
    <row r="32" spans="1:15" x14ac:dyDescent="0.2">
      <c r="A32" s="23">
        <v>23</v>
      </c>
      <c r="B32" s="23"/>
      <c r="C32" s="196" t="s">
        <v>89</v>
      </c>
      <c r="D32" s="24">
        <v>295</v>
      </c>
      <c r="E32" s="34" t="s">
        <v>65</v>
      </c>
      <c r="F32" s="23" t="s">
        <v>68</v>
      </c>
      <c r="G32" s="26">
        <v>20</v>
      </c>
      <c r="H32" s="38">
        <f t="shared" si="6"/>
        <v>164000</v>
      </c>
      <c r="I32" s="26">
        <v>5</v>
      </c>
      <c r="J32" s="38">
        <f t="shared" si="7"/>
        <v>41000</v>
      </c>
      <c r="K32" s="26">
        <v>10</v>
      </c>
      <c r="L32" s="38">
        <f t="shared" si="8"/>
        <v>82000</v>
      </c>
      <c r="M32" s="42">
        <f t="shared" si="4"/>
        <v>35</v>
      </c>
      <c r="N32" s="27">
        <v>8200</v>
      </c>
      <c r="O32" s="28">
        <f t="shared" si="9"/>
        <v>287000</v>
      </c>
    </row>
    <row r="33" spans="1:15" x14ac:dyDescent="0.2">
      <c r="A33" s="23">
        <v>24</v>
      </c>
      <c r="B33" s="33"/>
      <c r="C33" s="196" t="s">
        <v>89</v>
      </c>
      <c r="D33" s="24">
        <v>295</v>
      </c>
      <c r="E33" s="25" t="s">
        <v>66</v>
      </c>
      <c r="F33" s="23" t="s">
        <v>68</v>
      </c>
      <c r="G33" s="26"/>
      <c r="H33" s="38">
        <f t="shared" si="6"/>
        <v>0</v>
      </c>
      <c r="I33" s="26">
        <v>2</v>
      </c>
      <c r="J33" s="38">
        <f t="shared" si="7"/>
        <v>16400</v>
      </c>
      <c r="K33" s="26">
        <v>20</v>
      </c>
      <c r="L33" s="38">
        <f t="shared" si="8"/>
        <v>164000</v>
      </c>
      <c r="M33" s="42">
        <f t="shared" si="4"/>
        <v>22</v>
      </c>
      <c r="N33" s="27">
        <v>8200</v>
      </c>
      <c r="O33" s="28">
        <f t="shared" si="9"/>
        <v>180400</v>
      </c>
    </row>
    <row r="34" spans="1:15" x14ac:dyDescent="0.2">
      <c r="A34" s="23">
        <v>25</v>
      </c>
      <c r="B34" s="124"/>
      <c r="C34" s="197" t="s">
        <v>89</v>
      </c>
      <c r="D34" s="125">
        <v>295</v>
      </c>
      <c r="E34" s="126" t="s">
        <v>67</v>
      </c>
      <c r="F34" s="124" t="s">
        <v>68</v>
      </c>
      <c r="G34" s="127">
        <v>20</v>
      </c>
      <c r="H34" s="128">
        <f t="shared" si="6"/>
        <v>164000</v>
      </c>
      <c r="I34" s="127"/>
      <c r="J34" s="128">
        <f t="shared" si="7"/>
        <v>0</v>
      </c>
      <c r="K34" s="127">
        <v>20</v>
      </c>
      <c r="L34" s="128">
        <f t="shared" si="8"/>
        <v>164000</v>
      </c>
      <c r="M34" s="42">
        <f t="shared" si="4"/>
        <v>40</v>
      </c>
      <c r="N34" s="129">
        <v>8200</v>
      </c>
      <c r="O34" s="130">
        <f t="shared" si="9"/>
        <v>328000</v>
      </c>
    </row>
    <row r="35" spans="1:15" x14ac:dyDescent="0.2">
      <c r="A35" s="23">
        <v>26</v>
      </c>
      <c r="B35" s="23"/>
      <c r="C35" s="131" t="s">
        <v>89</v>
      </c>
      <c r="D35" s="24">
        <v>295</v>
      </c>
      <c r="E35" s="132" t="s">
        <v>106</v>
      </c>
      <c r="F35" s="23" t="s">
        <v>68</v>
      </c>
      <c r="G35" s="26">
        <v>10</v>
      </c>
      <c r="H35" s="38">
        <f t="shared" si="6"/>
        <v>79000</v>
      </c>
      <c r="I35" s="26"/>
      <c r="J35" s="38">
        <f t="shared" si="7"/>
        <v>0</v>
      </c>
      <c r="K35" s="26"/>
      <c r="L35" s="38">
        <f t="shared" si="8"/>
        <v>0</v>
      </c>
      <c r="M35" s="42">
        <f t="shared" si="4"/>
        <v>10</v>
      </c>
      <c r="N35" s="27">
        <v>7900</v>
      </c>
      <c r="O35" s="28">
        <f t="shared" si="9"/>
        <v>79000</v>
      </c>
    </row>
    <row r="36" spans="1:15" x14ac:dyDescent="0.2">
      <c r="A36" s="23">
        <v>27</v>
      </c>
      <c r="B36" s="23"/>
      <c r="C36" s="131" t="s">
        <v>89</v>
      </c>
      <c r="D36" s="24">
        <v>295</v>
      </c>
      <c r="E36" s="132" t="s">
        <v>107</v>
      </c>
      <c r="F36" s="23" t="s">
        <v>68</v>
      </c>
      <c r="G36" s="26">
        <v>10</v>
      </c>
      <c r="H36" s="38">
        <f t="shared" si="6"/>
        <v>79000</v>
      </c>
      <c r="I36" s="26"/>
      <c r="J36" s="38">
        <f t="shared" si="7"/>
        <v>0</v>
      </c>
      <c r="K36" s="26"/>
      <c r="L36" s="38">
        <f t="shared" si="8"/>
        <v>0</v>
      </c>
      <c r="M36" s="42">
        <f t="shared" si="4"/>
        <v>10</v>
      </c>
      <c r="N36" s="27">
        <v>7900</v>
      </c>
      <c r="O36" s="28">
        <f t="shared" si="9"/>
        <v>79000</v>
      </c>
    </row>
    <row r="37" spans="1:15" ht="13.5" thickBot="1" x14ac:dyDescent="0.25">
      <c r="A37" s="23">
        <v>28</v>
      </c>
      <c r="B37" s="124"/>
      <c r="C37" s="133" t="s">
        <v>89</v>
      </c>
      <c r="D37" s="125">
        <v>295</v>
      </c>
      <c r="E37" s="134" t="s">
        <v>108</v>
      </c>
      <c r="F37" s="124" t="s">
        <v>68</v>
      </c>
      <c r="G37" s="127">
        <v>10</v>
      </c>
      <c r="H37" s="128">
        <f t="shared" si="6"/>
        <v>79000</v>
      </c>
      <c r="I37" s="127"/>
      <c r="J37" s="128">
        <f t="shared" si="7"/>
        <v>0</v>
      </c>
      <c r="K37" s="127"/>
      <c r="L37" s="128">
        <f t="shared" si="8"/>
        <v>0</v>
      </c>
      <c r="M37" s="42">
        <f t="shared" si="4"/>
        <v>10</v>
      </c>
      <c r="N37" s="129">
        <v>7900</v>
      </c>
      <c r="O37" s="130">
        <f t="shared" si="9"/>
        <v>79000</v>
      </c>
    </row>
    <row r="38" spans="1:15" ht="13.5" thickBot="1" x14ac:dyDescent="0.25">
      <c r="A38" s="138" t="s">
        <v>80</v>
      </c>
      <c r="B38" s="139"/>
      <c r="C38" s="139"/>
      <c r="D38" s="139"/>
      <c r="E38" s="139"/>
      <c r="F38" s="140"/>
      <c r="G38" s="56"/>
      <c r="H38" s="55">
        <f>SUM(H10:H37)</f>
        <v>2656000</v>
      </c>
      <c r="I38" s="54"/>
      <c r="J38" s="55">
        <f>SUM(J10:J34)</f>
        <v>369030</v>
      </c>
      <c r="K38" s="54"/>
      <c r="L38" s="67">
        <f>SUM(L10:L34)</f>
        <v>410000</v>
      </c>
      <c r="M38" s="69"/>
      <c r="N38" s="68"/>
      <c r="O38" s="57">
        <f>SUM(O10:O37)</f>
        <v>3435030</v>
      </c>
    </row>
    <row r="40" spans="1:15" ht="13.5" thickBot="1" x14ac:dyDescent="0.25"/>
    <row r="41" spans="1:15" ht="123.75" customHeight="1" x14ac:dyDescent="0.2">
      <c r="C41" s="58" t="s">
        <v>81</v>
      </c>
      <c r="D41" s="141" t="s">
        <v>82</v>
      </c>
      <c r="E41" s="142"/>
    </row>
    <row r="42" spans="1:15" ht="15" x14ac:dyDescent="0.2">
      <c r="C42" s="35"/>
      <c r="D42" s="59"/>
      <c r="E42" s="60"/>
    </row>
    <row r="43" spans="1:15" ht="15" x14ac:dyDescent="0.2">
      <c r="C43" s="35" t="s">
        <v>83</v>
      </c>
      <c r="D43" s="61" t="s">
        <v>84</v>
      </c>
      <c r="E43" s="60"/>
    </row>
    <row r="44" spans="1:15" ht="15" x14ac:dyDescent="0.2">
      <c r="C44" s="35"/>
      <c r="D44" s="62"/>
      <c r="E44" s="60"/>
    </row>
    <row r="45" spans="1:15" ht="39" customHeight="1" x14ac:dyDescent="0.2">
      <c r="C45" s="143" t="s">
        <v>85</v>
      </c>
      <c r="D45" s="135" t="s">
        <v>114</v>
      </c>
      <c r="E45" s="136"/>
    </row>
    <row r="46" spans="1:15" ht="33" customHeight="1" x14ac:dyDescent="0.2">
      <c r="C46" s="143"/>
      <c r="D46" s="135" t="s">
        <v>112</v>
      </c>
      <c r="E46" s="136"/>
    </row>
    <row r="47" spans="1:15" ht="33" customHeight="1" x14ac:dyDescent="0.2">
      <c r="C47" s="143"/>
      <c r="D47" s="135" t="s">
        <v>113</v>
      </c>
      <c r="E47" s="136"/>
    </row>
    <row r="48" spans="1:15" ht="15" x14ac:dyDescent="0.2">
      <c r="C48" s="35"/>
      <c r="D48" s="63"/>
      <c r="E48" s="60"/>
    </row>
    <row r="49" spans="3:5" ht="15" x14ac:dyDescent="0.2">
      <c r="C49" s="14" t="s">
        <v>86</v>
      </c>
      <c r="D49" s="64"/>
      <c r="E49" s="60"/>
    </row>
    <row r="50" spans="3:5" ht="15" x14ac:dyDescent="0.2">
      <c r="C50" s="14"/>
      <c r="D50" s="64"/>
      <c r="E50" s="60"/>
    </row>
    <row r="51" spans="3:5" ht="15.75" thickBot="1" x14ac:dyDescent="0.25">
      <c r="C51" s="70" t="s">
        <v>87</v>
      </c>
      <c r="D51" s="65" t="s">
        <v>88</v>
      </c>
      <c r="E51" s="66"/>
    </row>
  </sheetData>
  <mergeCells count="13">
    <mergeCell ref="B2:N2"/>
    <mergeCell ref="A4:B4"/>
    <mergeCell ref="C4:E4"/>
    <mergeCell ref="A5:B5"/>
    <mergeCell ref="C5:E5"/>
    <mergeCell ref="D45:E45"/>
    <mergeCell ref="D47:E47"/>
    <mergeCell ref="A6:B6"/>
    <mergeCell ref="A7:B7"/>
    <mergeCell ref="A38:F38"/>
    <mergeCell ref="D41:E41"/>
    <mergeCell ref="D46:E46"/>
    <mergeCell ref="C45:C47"/>
  </mergeCells>
  <conditionalFormatting sqref="C43:C45 C48:C51">
    <cfRule type="duplicateValues" dxfId="3" priority="1"/>
  </conditionalFormatting>
  <conditionalFormatting sqref="C43:C45 C48:C51">
    <cfRule type="duplicateValues" dxfId="2" priority="2"/>
  </conditionalFormatting>
  <conditionalFormatting sqref="C43:C45 C48:C51">
    <cfRule type="duplicateValues" dxfId="1" priority="3"/>
  </conditionalFormatting>
  <conditionalFormatting sqref="C43:C45 C48:C51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2"/>
  <sheetViews>
    <sheetView topLeftCell="A13" zoomScale="90" zoomScaleNormal="90" workbookViewId="0">
      <selection activeCell="A33" sqref="A33"/>
    </sheetView>
  </sheetViews>
  <sheetFormatPr baseColWidth="10" defaultColWidth="9.140625" defaultRowHeight="12.75" x14ac:dyDescent="0.2"/>
  <cols>
    <col min="1" max="1" width="5.5703125" style="72" customWidth="1"/>
    <col min="2" max="2" width="15.140625" style="72" customWidth="1"/>
    <col min="3" max="3" width="14.140625" style="72" customWidth="1"/>
    <col min="4" max="4" width="26" style="72" customWidth="1"/>
    <col min="5" max="5" width="8" style="72" customWidth="1"/>
    <col min="6" max="6" width="7.85546875" style="72" customWidth="1"/>
    <col min="7" max="7" width="33.7109375" style="72" customWidth="1"/>
    <col min="8" max="8" width="9.28515625" style="72" customWidth="1"/>
    <col min="9" max="9" width="15.5703125" style="72" customWidth="1"/>
    <col min="10" max="10" width="14.7109375" style="89" customWidth="1"/>
    <col min="11" max="11" width="15.5703125" style="72" customWidth="1"/>
    <col min="12" max="14" width="5.85546875" style="72" customWidth="1"/>
    <col min="15" max="15" width="12.5703125" style="72" customWidth="1"/>
    <col min="16" max="1024" width="9.140625" style="72"/>
    <col min="1025" max="16384" width="9.140625" style="73"/>
  </cols>
  <sheetData>
    <row r="1" spans="1:11" ht="18" customHeight="1" thickBot="1" x14ac:dyDescent="0.25">
      <c r="A1" s="148" t="s">
        <v>14</v>
      </c>
      <c r="B1" s="148"/>
      <c r="C1" s="148"/>
      <c r="D1" s="148"/>
      <c r="E1" s="148"/>
      <c r="F1" s="148"/>
      <c r="G1" s="148"/>
      <c r="H1" s="148"/>
      <c r="I1" s="148"/>
      <c r="J1" s="84" t="s">
        <v>15</v>
      </c>
      <c r="K1" s="71" t="s">
        <v>110</v>
      </c>
    </row>
    <row r="2" spans="1:11" ht="18.75" customHeight="1" thickBot="1" x14ac:dyDescent="0.25">
      <c r="A2" s="74"/>
      <c r="B2" s="74"/>
      <c r="C2" s="74"/>
      <c r="D2" s="75"/>
      <c r="E2" s="75"/>
      <c r="F2" s="75"/>
      <c r="G2" s="75"/>
      <c r="H2" s="75"/>
      <c r="I2" s="75"/>
      <c r="J2" s="85"/>
      <c r="K2" s="75"/>
    </row>
    <row r="3" spans="1:11" ht="18.75" customHeight="1" thickBot="1" x14ac:dyDescent="0.25">
      <c r="A3" s="149" t="s">
        <v>48</v>
      </c>
      <c r="B3" s="149"/>
      <c r="C3" s="149"/>
      <c r="D3" s="147" t="str">
        <f>'Necesidades Trimestrales'!C4</f>
        <v>040 - Ministerio de Salud</v>
      </c>
      <c r="E3" s="147"/>
      <c r="F3" s="147"/>
      <c r="G3" s="147"/>
      <c r="H3" s="147"/>
      <c r="I3" s="147"/>
      <c r="J3" s="147"/>
      <c r="K3" s="147"/>
    </row>
    <row r="4" spans="1:11" ht="18.75" customHeight="1" thickBot="1" x14ac:dyDescent="0.25">
      <c r="A4" s="146" t="s">
        <v>49</v>
      </c>
      <c r="B4" s="146"/>
      <c r="C4" s="146"/>
      <c r="D4" s="147" t="str">
        <f>'Necesidades Trimestrales'!C5</f>
        <v>011 - Direccion Provincial de Administracion del Ministerio de Salud</v>
      </c>
      <c r="E4" s="147"/>
      <c r="F4" s="147"/>
      <c r="G4" s="147"/>
      <c r="H4" s="147"/>
      <c r="I4" s="147"/>
      <c r="J4" s="147"/>
      <c r="K4" s="147"/>
    </row>
    <row r="5" spans="1:11" ht="18.75" customHeight="1" thickBot="1" x14ac:dyDescent="0.25">
      <c r="A5" s="146" t="s">
        <v>27</v>
      </c>
      <c r="B5" s="146"/>
      <c r="C5" s="146"/>
      <c r="D5" s="147" t="s">
        <v>109</v>
      </c>
      <c r="E5" s="147"/>
      <c r="F5" s="147"/>
      <c r="G5" s="147"/>
      <c r="H5" s="147"/>
      <c r="I5" s="147"/>
      <c r="J5" s="147"/>
      <c r="K5" s="147"/>
    </row>
    <row r="6" spans="1:11" ht="16.5" customHeight="1" thickBot="1" x14ac:dyDescent="0.25">
      <c r="A6" s="149" t="s">
        <v>50</v>
      </c>
      <c r="B6" s="149"/>
      <c r="C6" s="149"/>
      <c r="D6" s="147" t="s">
        <v>109</v>
      </c>
      <c r="E6" s="147"/>
      <c r="F6" s="147"/>
      <c r="G6" s="147"/>
      <c r="H6" s="147"/>
      <c r="I6" s="147"/>
      <c r="J6" s="147"/>
      <c r="K6" s="147"/>
    </row>
    <row r="7" spans="1:11" ht="16.5" customHeight="1" thickBot="1" x14ac:dyDescent="0.25">
      <c r="A7" s="146" t="s">
        <v>16</v>
      </c>
      <c r="B7" s="146"/>
      <c r="C7" s="146"/>
      <c r="D7" s="147" t="s">
        <v>71</v>
      </c>
      <c r="E7" s="147"/>
      <c r="F7" s="147"/>
      <c r="G7" s="147"/>
      <c r="H7" s="147"/>
      <c r="I7" s="147"/>
      <c r="J7" s="147"/>
      <c r="K7" s="147"/>
    </row>
    <row r="8" spans="1:11" ht="16.5" customHeight="1" thickBot="1" x14ac:dyDescent="0.25">
      <c r="A8" s="150" t="s">
        <v>17</v>
      </c>
      <c r="B8" s="150"/>
      <c r="C8" s="150"/>
      <c r="D8" s="151" t="s">
        <v>72</v>
      </c>
      <c r="E8" s="152"/>
      <c r="F8" s="152"/>
      <c r="G8" s="152"/>
      <c r="H8" s="152"/>
      <c r="I8" s="152"/>
      <c r="J8" s="152"/>
      <c r="K8" s="153"/>
    </row>
    <row r="9" spans="1:11" ht="16.5" thickBot="1" x14ac:dyDescent="0.25">
      <c r="A9" s="76"/>
      <c r="B9" s="76"/>
      <c r="C9" s="76"/>
      <c r="D9" s="77"/>
      <c r="E9" s="77"/>
      <c r="F9" s="77"/>
      <c r="G9" s="77"/>
      <c r="H9" s="77"/>
      <c r="I9" s="77"/>
      <c r="J9" s="86"/>
      <c r="K9" s="77"/>
    </row>
    <row r="10" spans="1:11" ht="18.75" customHeight="1" thickBot="1" x14ac:dyDescent="0.25">
      <c r="A10" s="154" t="s">
        <v>18</v>
      </c>
      <c r="B10" s="155" t="s">
        <v>19</v>
      </c>
      <c r="C10" s="155" t="s">
        <v>20</v>
      </c>
      <c r="D10" s="155"/>
      <c r="E10" s="155"/>
      <c r="F10" s="155"/>
      <c r="G10" s="155"/>
      <c r="H10" s="155" t="s">
        <v>21</v>
      </c>
      <c r="I10" s="155" t="s">
        <v>22</v>
      </c>
      <c r="J10" s="158" t="s">
        <v>23</v>
      </c>
      <c r="K10" s="157" t="s">
        <v>24</v>
      </c>
    </row>
    <row r="11" spans="1:11" ht="24" customHeight="1" thickBot="1" x14ac:dyDescent="0.25">
      <c r="A11" s="154"/>
      <c r="B11" s="155"/>
      <c r="C11" s="155"/>
      <c r="D11" s="155"/>
      <c r="E11" s="155"/>
      <c r="F11" s="155"/>
      <c r="G11" s="155"/>
      <c r="H11" s="155"/>
      <c r="I11" s="155"/>
      <c r="J11" s="158"/>
      <c r="K11" s="157"/>
    </row>
    <row r="12" spans="1:11" ht="18.75" customHeight="1" x14ac:dyDescent="0.2">
      <c r="A12" s="97">
        <v>1</v>
      </c>
      <c r="B12" s="94"/>
      <c r="C12" s="156" t="str">
        <f>+'Necesidades Trimestrales'!E10</f>
        <v>AEROCAMARA  C/ FUELLE ADULTO</v>
      </c>
      <c r="D12" s="156"/>
      <c r="E12" s="156"/>
      <c r="F12" s="156"/>
      <c r="G12" s="156"/>
      <c r="H12" s="93" t="s">
        <v>53</v>
      </c>
      <c r="I12" s="95" t="str">
        <f>+'Necesidades Trimestrales'!F10</f>
        <v>UNIDAD</v>
      </c>
      <c r="J12" s="96">
        <f>+'Necesidades Trimestrales'!N10</f>
        <v>490</v>
      </c>
      <c r="K12" s="98">
        <f>'Necesidades Trimestrales'!G10</f>
        <v>500</v>
      </c>
    </row>
    <row r="13" spans="1:11" ht="18.75" customHeight="1" x14ac:dyDescent="0.2">
      <c r="A13" s="99">
        <v>2</v>
      </c>
      <c r="B13" s="79"/>
      <c r="C13" s="156" t="str">
        <f>+'Necesidades Trimestrales'!E11</f>
        <v xml:space="preserve">AEROCAMARA CON MASCARA COMPLETA  PEDIATRICA  </v>
      </c>
      <c r="D13" s="156"/>
      <c r="E13" s="156"/>
      <c r="F13" s="156"/>
      <c r="G13" s="156"/>
      <c r="H13" s="78" t="s">
        <v>53</v>
      </c>
      <c r="I13" s="95" t="str">
        <f>+'Necesidades Trimestrales'!F11</f>
        <v>UNIDAD</v>
      </c>
      <c r="J13" s="96">
        <f>+'Necesidades Trimestrales'!N11</f>
        <v>490</v>
      </c>
      <c r="K13" s="98">
        <f>'Necesidades Trimestrales'!G11</f>
        <v>1000</v>
      </c>
    </row>
    <row r="14" spans="1:11" ht="18.75" customHeight="1" x14ac:dyDescent="0.2">
      <c r="A14" s="99">
        <v>3</v>
      </c>
      <c r="B14" s="79"/>
      <c r="C14" s="156" t="str">
        <f>+'Necesidades Trimestrales'!E12</f>
        <v>BOLSA DE ASPIRACION X 1 LTS SIN VALVULA TIPO ECOVAC</v>
      </c>
      <c r="D14" s="156"/>
      <c r="E14" s="156"/>
      <c r="F14" s="156"/>
      <c r="G14" s="156"/>
      <c r="H14" s="78" t="s">
        <v>53</v>
      </c>
      <c r="I14" s="95" t="str">
        <f>+'Necesidades Trimestrales'!F12</f>
        <v>UNIDAD</v>
      </c>
      <c r="J14" s="96">
        <f>+'Necesidades Trimestrales'!N12</f>
        <v>280</v>
      </c>
      <c r="K14" s="98">
        <f>'Necesidades Trimestrales'!G12</f>
        <v>50</v>
      </c>
    </row>
    <row r="15" spans="1:11" s="72" customFormat="1" ht="18.75" customHeight="1" x14ac:dyDescent="0.2">
      <c r="A15" s="99">
        <v>4</v>
      </c>
      <c r="B15" s="79"/>
      <c r="C15" s="156" t="str">
        <f>+'Necesidades Trimestrales'!E16</f>
        <v>CANULA NASAL PARA OXIGENOTERAPIA PEDIATRICO</v>
      </c>
      <c r="D15" s="156"/>
      <c r="E15" s="156"/>
      <c r="F15" s="156"/>
      <c r="G15" s="156"/>
      <c r="H15" s="78" t="s">
        <v>53</v>
      </c>
      <c r="I15" s="95" t="str">
        <f>+'Necesidades Trimestrales'!F16</f>
        <v>UNIDAD</v>
      </c>
      <c r="J15" s="96">
        <f>+'Necesidades Trimestrales'!N16</f>
        <v>124</v>
      </c>
      <c r="K15" s="98">
        <f>'Necesidades Trimestrales'!G16</f>
        <v>300</v>
      </c>
    </row>
    <row r="16" spans="1:11" s="72" customFormat="1" ht="18.75" customHeight="1" x14ac:dyDescent="0.2">
      <c r="A16" s="99">
        <v>5</v>
      </c>
      <c r="B16" s="79"/>
      <c r="C16" s="156" t="str">
        <f>+'Necesidades Trimestrales'!E18</f>
        <v>FRASCO RECOLECTOR DE ASPIRACIONES QUIRURGICAS X 2 LITRO ( CANISTER )</v>
      </c>
      <c r="D16" s="156"/>
      <c r="E16" s="156"/>
      <c r="F16" s="156"/>
      <c r="G16" s="156"/>
      <c r="H16" s="78" t="s">
        <v>53</v>
      </c>
      <c r="I16" s="95" t="str">
        <f>+'Necesidades Trimestrales'!F18</f>
        <v>UNIDAD</v>
      </c>
      <c r="J16" s="96">
        <f>+'Necesidades Trimestrales'!N18</f>
        <v>4200</v>
      </c>
      <c r="K16" s="98">
        <f>'Necesidades Trimestrales'!G18</f>
        <v>50</v>
      </c>
    </row>
    <row r="17" spans="1:11" s="72" customFormat="1" ht="18.75" customHeight="1" x14ac:dyDescent="0.2">
      <c r="A17" s="99">
        <v>6</v>
      </c>
      <c r="B17" s="79"/>
      <c r="C17" s="156" t="str">
        <f>+'Necesidades Trimestrales'!E21</f>
        <v>MASCARA AMBU BORDE INFLABLE Nª1 / MASCARA ANESTESIA(INFANTIL)</v>
      </c>
      <c r="D17" s="156"/>
      <c r="E17" s="156"/>
      <c r="F17" s="156"/>
      <c r="G17" s="156"/>
      <c r="H17" s="78" t="s">
        <v>53</v>
      </c>
      <c r="I17" s="95" t="str">
        <f>+'Necesidades Trimestrales'!F21</f>
        <v>UNIDAD</v>
      </c>
      <c r="J17" s="96">
        <f>+'Necesidades Trimestrales'!N21</f>
        <v>252</v>
      </c>
      <c r="K17" s="98">
        <f>'Necesidades Trimestrales'!G21</f>
        <v>50</v>
      </c>
    </row>
    <row r="18" spans="1:11" s="72" customFormat="1" ht="18.75" customHeight="1" x14ac:dyDescent="0.2">
      <c r="A18" s="99">
        <v>7</v>
      </c>
      <c r="B18" s="79"/>
      <c r="C18" s="156" t="str">
        <f>+'Necesidades Trimestrales'!E22</f>
        <v>MASCARA AMBU BORDE INFLABLE Nª3 /MASCARA ANESTESIA(INFANTIL)</v>
      </c>
      <c r="D18" s="156"/>
      <c r="E18" s="156"/>
      <c r="F18" s="156"/>
      <c r="G18" s="156"/>
      <c r="H18" s="78" t="s">
        <v>53</v>
      </c>
      <c r="I18" s="95" t="str">
        <f>+'Necesidades Trimestrales'!F22</f>
        <v>UNIDAD</v>
      </c>
      <c r="J18" s="96">
        <f>+'Necesidades Trimestrales'!N22</f>
        <v>252</v>
      </c>
      <c r="K18" s="98">
        <f>'Necesidades Trimestrales'!G22</f>
        <v>50</v>
      </c>
    </row>
    <row r="19" spans="1:11" s="72" customFormat="1" ht="18.75" customHeight="1" x14ac:dyDescent="0.2">
      <c r="A19" s="99">
        <v>8</v>
      </c>
      <c r="B19" s="79"/>
      <c r="C19" s="156" t="str">
        <f>+'Necesidades Trimestrales'!E23</f>
        <v>MASCARA AMBU BORDE INFLABLE Nª4 /MASCARA ANESTESIA(INFANTIL)</v>
      </c>
      <c r="D19" s="156"/>
      <c r="E19" s="156"/>
      <c r="F19" s="156"/>
      <c r="G19" s="156"/>
      <c r="H19" s="78" t="s">
        <v>53</v>
      </c>
      <c r="I19" s="95" t="str">
        <f>+'Necesidades Trimestrales'!F23</f>
        <v>UNIDAD</v>
      </c>
      <c r="J19" s="96">
        <f>+'Necesidades Trimestrales'!N23</f>
        <v>252</v>
      </c>
      <c r="K19" s="98">
        <f>'Necesidades Trimestrales'!G23</f>
        <v>50</v>
      </c>
    </row>
    <row r="20" spans="1:11" s="72" customFormat="1" ht="18.75" customHeight="1" x14ac:dyDescent="0.2">
      <c r="A20" s="99">
        <v>9</v>
      </c>
      <c r="B20" s="79"/>
      <c r="C20" s="156" t="str">
        <f>+'Necesidades Trimestrales'!E24</f>
        <v>MASCARA CON BOLSA RESERVORIO ADULTO</v>
      </c>
      <c r="D20" s="156"/>
      <c r="E20" s="156"/>
      <c r="F20" s="156"/>
      <c r="G20" s="156"/>
      <c r="H20" s="78" t="s">
        <v>53</v>
      </c>
      <c r="I20" s="95" t="str">
        <f>+'Necesidades Trimestrales'!F24</f>
        <v>UNIDAD</v>
      </c>
      <c r="J20" s="96">
        <f>+'Necesidades Trimestrales'!N24</f>
        <v>380</v>
      </c>
      <c r="K20" s="98">
        <f>'Necesidades Trimestrales'!G24</f>
        <v>1500</v>
      </c>
    </row>
    <row r="21" spans="1:11" s="72" customFormat="1" ht="18.75" customHeight="1" x14ac:dyDescent="0.2">
      <c r="A21" s="99">
        <v>10</v>
      </c>
      <c r="B21" s="79"/>
      <c r="C21" s="156" t="str">
        <f>+'Necesidades Trimestrales'!E25</f>
        <v>MASCARA CON BOLSA RESERVORIO PEDIATRICA</v>
      </c>
      <c r="D21" s="156"/>
      <c r="E21" s="156"/>
      <c r="F21" s="156"/>
      <c r="G21" s="156"/>
      <c r="H21" s="78" t="s">
        <v>53</v>
      </c>
      <c r="I21" s="95" t="str">
        <f>+'Necesidades Trimestrales'!F25</f>
        <v>UNIDAD</v>
      </c>
      <c r="J21" s="96">
        <f>+'Necesidades Trimestrales'!N25</f>
        <v>380</v>
      </c>
      <c r="K21" s="98">
        <f>'Necesidades Trimestrales'!G25</f>
        <v>200</v>
      </c>
    </row>
    <row r="22" spans="1:11" s="72" customFormat="1" ht="18.75" customHeight="1" x14ac:dyDescent="0.2">
      <c r="A22" s="99">
        <v>11</v>
      </c>
      <c r="B22" s="79"/>
      <c r="C22" s="156" t="str">
        <f>+'Necesidades Trimestrales'!E26</f>
        <v>MASCARA DE OXIGENO CON REGULADORES</v>
      </c>
      <c r="D22" s="156"/>
      <c r="E22" s="156"/>
      <c r="F22" s="156"/>
      <c r="G22" s="156"/>
      <c r="H22" s="78" t="s">
        <v>53</v>
      </c>
      <c r="I22" s="95" t="str">
        <f>+'Necesidades Trimestrales'!F26</f>
        <v>UNIDAD</v>
      </c>
      <c r="J22" s="96">
        <f>+'Necesidades Trimestrales'!N26</f>
        <v>360</v>
      </c>
      <c r="K22" s="98">
        <f>'Necesidades Trimestrales'!G26</f>
        <v>500</v>
      </c>
    </row>
    <row r="23" spans="1:11" s="72" customFormat="1" ht="18.75" customHeight="1" x14ac:dyDescent="0.2">
      <c r="A23" s="99">
        <v>12</v>
      </c>
      <c r="B23" s="79"/>
      <c r="C23" s="156" t="str">
        <f>+'Necesidades Trimestrales'!E27</f>
        <v>MASCARA PARA NEBULIZAR ADULTO COMPLETA MASCARA+PIPETA+TUBULADURA</v>
      </c>
      <c r="D23" s="156"/>
      <c r="E23" s="156"/>
      <c r="F23" s="156"/>
      <c r="G23" s="156"/>
      <c r="H23" s="78" t="s">
        <v>53</v>
      </c>
      <c r="I23" s="95" t="str">
        <f>+'Necesidades Trimestrales'!F27</f>
        <v>UNIDAD</v>
      </c>
      <c r="J23" s="96">
        <f>+'Necesidades Trimestrales'!N27</f>
        <v>270</v>
      </c>
      <c r="K23" s="98">
        <f>'Necesidades Trimestrales'!G27</f>
        <v>500</v>
      </c>
    </row>
    <row r="24" spans="1:11" s="72" customFormat="1" ht="18.75" customHeight="1" x14ac:dyDescent="0.2">
      <c r="A24" s="99">
        <v>13</v>
      </c>
      <c r="B24" s="79"/>
      <c r="C24" s="156" t="str">
        <f>+'Necesidades Trimestrales'!E29</f>
        <v>MASCARAS  ANESTESICA BORDE INFLABLE ADULTO Nº 5</v>
      </c>
      <c r="D24" s="156"/>
      <c r="E24" s="156"/>
      <c r="F24" s="156"/>
      <c r="G24" s="156"/>
      <c r="H24" s="78" t="s">
        <v>53</v>
      </c>
      <c r="I24" s="95" t="str">
        <f>+'Necesidades Trimestrales'!F29</f>
        <v>UNIDAD</v>
      </c>
      <c r="J24" s="96">
        <f>+'Necesidades Trimestrales'!N29</f>
        <v>320</v>
      </c>
      <c r="K24" s="98">
        <f>'Necesidades Trimestrales'!G29</f>
        <v>150</v>
      </c>
    </row>
    <row r="25" spans="1:11" s="72" customFormat="1" ht="18.75" customHeight="1" x14ac:dyDescent="0.2">
      <c r="A25" s="99">
        <v>14</v>
      </c>
      <c r="B25" s="79"/>
      <c r="C25" s="156" t="str">
        <f>+'Necesidades Trimestrales'!E30</f>
        <v>MASCARAS  ANESTESICA BORDE INFLABLE ADULTO Nº 6</v>
      </c>
      <c r="D25" s="156"/>
      <c r="E25" s="156"/>
      <c r="F25" s="156"/>
      <c r="G25" s="156"/>
      <c r="H25" s="78" t="s">
        <v>53</v>
      </c>
      <c r="I25" s="95" t="str">
        <f>+'Necesidades Trimestrales'!F30</f>
        <v>UNIDAD</v>
      </c>
      <c r="J25" s="96">
        <f>+'Necesidades Trimestrales'!N30</f>
        <v>320</v>
      </c>
      <c r="K25" s="98">
        <f>'Necesidades Trimestrales'!G30</f>
        <v>150</v>
      </c>
    </row>
    <row r="26" spans="1:11" s="72" customFormat="1" ht="18.75" customHeight="1" x14ac:dyDescent="0.2">
      <c r="A26" s="99">
        <v>15</v>
      </c>
      <c r="B26" s="79"/>
      <c r="C26" s="156" t="str">
        <f>+'Necesidades Trimestrales'!E32</f>
        <v>RESUCITADOR MANUAL ADULTO REUTILIZABLE</v>
      </c>
      <c r="D26" s="156"/>
      <c r="E26" s="156"/>
      <c r="F26" s="156"/>
      <c r="G26" s="156"/>
      <c r="H26" s="78"/>
      <c r="I26" s="95" t="str">
        <f>+'Necesidades Trimestrales'!F32</f>
        <v>UNIDAD</v>
      </c>
      <c r="J26" s="96">
        <f>+'Necesidades Trimestrales'!N32</f>
        <v>8200</v>
      </c>
      <c r="K26" s="98">
        <f>'Necesidades Trimestrales'!G32</f>
        <v>20</v>
      </c>
    </row>
    <row r="27" spans="1:11" s="72" customFormat="1" ht="18.75" customHeight="1" x14ac:dyDescent="0.2">
      <c r="A27" s="99">
        <v>16</v>
      </c>
      <c r="B27" s="79"/>
      <c r="C27" s="156" t="str">
        <f>+'Necesidades Trimestrales'!E34</f>
        <v xml:space="preserve">RESUCITADOR MANUAL PEDIATRICO REUTILIZABLE </v>
      </c>
      <c r="D27" s="156"/>
      <c r="E27" s="156"/>
      <c r="F27" s="156"/>
      <c r="G27" s="156"/>
      <c r="H27" s="78"/>
      <c r="I27" s="95" t="str">
        <f>+'Necesidades Trimestrales'!F34</f>
        <v>UNIDAD</v>
      </c>
      <c r="J27" s="96">
        <f>+'Necesidades Trimestrales'!N34</f>
        <v>8200</v>
      </c>
      <c r="K27" s="98">
        <f>'Necesidades Trimestrales'!G34</f>
        <v>20</v>
      </c>
    </row>
    <row r="28" spans="1:11" s="72" customFormat="1" ht="18.75" customHeight="1" x14ac:dyDescent="0.2">
      <c r="A28" s="99">
        <v>17</v>
      </c>
      <c r="B28" s="79"/>
      <c r="C28" s="156" t="str">
        <f>+'Necesidades Trimestrales'!E35</f>
        <v>VARA ESCHMANN N° 6 mm</v>
      </c>
      <c r="D28" s="156"/>
      <c r="E28" s="156"/>
      <c r="F28" s="156"/>
      <c r="G28" s="156"/>
      <c r="H28" s="78" t="s">
        <v>53</v>
      </c>
      <c r="I28" s="95" t="str">
        <f>+'Necesidades Trimestrales'!F35</f>
        <v>UNIDAD</v>
      </c>
      <c r="J28" s="96">
        <f>+'Necesidades Trimestrales'!N35</f>
        <v>7900</v>
      </c>
      <c r="K28" s="98">
        <f>'Necesidades Trimestrales'!G35</f>
        <v>10</v>
      </c>
    </row>
    <row r="29" spans="1:11" s="72" customFormat="1" ht="18.75" customHeight="1" x14ac:dyDescent="0.2">
      <c r="A29" s="99">
        <v>18</v>
      </c>
      <c r="B29" s="79"/>
      <c r="C29" s="156" t="str">
        <f>+'Necesidades Trimestrales'!E36</f>
        <v>VARA ESCHMANN N° 9 mm</v>
      </c>
      <c r="D29" s="156"/>
      <c r="E29" s="156"/>
      <c r="F29" s="156"/>
      <c r="G29" s="156"/>
      <c r="H29" s="78" t="s">
        <v>53</v>
      </c>
      <c r="I29" s="95" t="str">
        <f>+'Necesidades Trimestrales'!F36</f>
        <v>UNIDAD</v>
      </c>
      <c r="J29" s="96">
        <f>+'Necesidades Trimestrales'!N36</f>
        <v>7900</v>
      </c>
      <c r="K29" s="98">
        <f>'Necesidades Trimestrales'!G36</f>
        <v>10</v>
      </c>
    </row>
    <row r="30" spans="1:11" s="72" customFormat="1" ht="18.75" customHeight="1" x14ac:dyDescent="0.2">
      <c r="A30" s="99">
        <v>19</v>
      </c>
      <c r="B30" s="79"/>
      <c r="C30" s="156" t="str">
        <f>+'Necesidades Trimestrales'!E37</f>
        <v>VARA ESCHMANN N°11 mm</v>
      </c>
      <c r="D30" s="156"/>
      <c r="E30" s="156"/>
      <c r="F30" s="156"/>
      <c r="G30" s="156"/>
      <c r="H30" s="78" t="s">
        <v>53</v>
      </c>
      <c r="I30" s="95" t="str">
        <f>+'Necesidades Trimestrales'!F37</f>
        <v>UNIDAD</v>
      </c>
      <c r="J30" s="96">
        <f>+'Necesidades Trimestrales'!N37</f>
        <v>7900</v>
      </c>
      <c r="K30" s="98">
        <f>'Necesidades Trimestrales'!G37</f>
        <v>10</v>
      </c>
    </row>
    <row r="31" spans="1:11" s="72" customFormat="1" ht="20.25" customHeight="1" thickBot="1" x14ac:dyDescent="0.25">
      <c r="A31" s="101"/>
      <c r="B31" s="82"/>
      <c r="C31" s="161"/>
      <c r="D31" s="161"/>
      <c r="E31" s="161"/>
      <c r="F31" s="161"/>
      <c r="G31" s="161"/>
      <c r="H31" s="81"/>
      <c r="I31" s="83"/>
      <c r="J31" s="88"/>
      <c r="K31" s="102"/>
    </row>
    <row r="32" spans="1:11" s="72" customFormat="1" ht="16.5" thickBot="1" x14ac:dyDescent="0.25">
      <c r="A32" s="162" t="s">
        <v>115</v>
      </c>
      <c r="B32" s="163"/>
      <c r="C32" s="163"/>
      <c r="D32" s="163"/>
      <c r="E32" s="163"/>
      <c r="F32" s="163"/>
      <c r="G32" s="163"/>
      <c r="H32" s="163"/>
      <c r="I32" s="164"/>
      <c r="J32" s="159">
        <f>SUMPRODUCT(J12:J30,K12:K30)</f>
        <v>2656000</v>
      </c>
      <c r="K32" s="160"/>
    </row>
  </sheetData>
  <mergeCells count="42">
    <mergeCell ref="C26:G26"/>
    <mergeCell ref="C27:G27"/>
    <mergeCell ref="J32:K32"/>
    <mergeCell ref="C15:G15"/>
    <mergeCell ref="C16:G16"/>
    <mergeCell ref="C17:G17"/>
    <mergeCell ref="C18:G18"/>
    <mergeCell ref="C19:G19"/>
    <mergeCell ref="C28:G28"/>
    <mergeCell ref="C29:G29"/>
    <mergeCell ref="C30:G30"/>
    <mergeCell ref="C31:G31"/>
    <mergeCell ref="A32:I32"/>
    <mergeCell ref="C21:G21"/>
    <mergeCell ref="C22:G22"/>
    <mergeCell ref="C23:G23"/>
    <mergeCell ref="C24:G24"/>
    <mergeCell ref="C25:G25"/>
    <mergeCell ref="K10:K11"/>
    <mergeCell ref="C12:G12"/>
    <mergeCell ref="C13:G13"/>
    <mergeCell ref="C14:G14"/>
    <mergeCell ref="J10:J11"/>
    <mergeCell ref="C20:G20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25" right="0.25" top="0.75" bottom="0.75" header="0.3" footer="0.3"/>
  <pageSetup paperSize="5" scale="87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23.28515625" customWidth="1"/>
    <col min="17" max="17" width="14.7109375" customWidth="1"/>
  </cols>
  <sheetData>
    <row r="1" spans="1:17" ht="15.75" customHeight="1" thickBot="1" x14ac:dyDescent="0.3">
      <c r="A1" s="169" t="s">
        <v>3</v>
      </c>
      <c r="B1" s="169"/>
      <c r="C1" s="169"/>
      <c r="D1" s="170">
        <f>'Necesidades Trimestrales'!C6</f>
        <v>2022</v>
      </c>
      <c r="E1" s="170"/>
      <c r="F1" s="2"/>
      <c r="G1" s="2"/>
      <c r="H1" s="3"/>
      <c r="I1" s="3"/>
      <c r="J1" s="3"/>
      <c r="K1" s="3"/>
      <c r="L1" s="3"/>
      <c r="M1" s="3"/>
      <c r="N1" s="3"/>
      <c r="P1" s="171" t="s">
        <v>25</v>
      </c>
      <c r="Q1" s="171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71"/>
      <c r="Q2" s="171"/>
    </row>
    <row r="4" spans="1:17" s="4" customFormat="1" ht="18" customHeight="1" thickBot="1" x14ac:dyDescent="0.25">
      <c r="A4" s="172" t="s">
        <v>26</v>
      </c>
      <c r="B4" s="172"/>
      <c r="C4" s="172"/>
      <c r="D4" s="172"/>
      <c r="E4" s="172"/>
      <c r="F4" s="172"/>
      <c r="G4" s="173" t="str">
        <f>'NP FARMACIA'!D3</f>
        <v>040 - Ministerio de Salud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s="90" customFormat="1" ht="18" customHeight="1" thickBot="1" x14ac:dyDescent="0.25">
      <c r="A5" s="165" t="s">
        <v>49</v>
      </c>
      <c r="B5" s="166"/>
      <c r="C5" s="166"/>
      <c r="D5" s="166"/>
      <c r="E5" s="166"/>
      <c r="F5" s="167"/>
      <c r="G5" s="168" t="str">
        <f>'NP FARMACIA'!D4</f>
        <v>011 - Direccion Provincial de Administracion del Ministerio de Salud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s="90" customFormat="1" ht="18" customHeight="1" thickBot="1" x14ac:dyDescent="0.25">
      <c r="A6" s="165" t="s">
        <v>27</v>
      </c>
      <c r="B6" s="166"/>
      <c r="C6" s="166"/>
      <c r="D6" s="166"/>
      <c r="E6" s="166"/>
      <c r="F6" s="167"/>
      <c r="G6" s="168" t="str">
        <f>'NP FARMACIA'!D5</f>
        <v>469 - DIRECCION PROVINCIAL DE FARMACIA E INSUMOS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90" customFormat="1" ht="18" customHeight="1" thickBot="1" x14ac:dyDescent="0.25">
      <c r="A7" s="165" t="s">
        <v>50</v>
      </c>
      <c r="B7" s="166"/>
      <c r="C7" s="166"/>
      <c r="D7" s="166"/>
      <c r="E7" s="166"/>
      <c r="F7" s="167"/>
      <c r="G7" s="168" t="str">
        <f>'NP FARMACIA'!D6</f>
        <v>469 - DIRECCION PROVINCIAL DE FARMACIA E INSUMOS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s="73" customFormat="1" ht="18" customHeight="1" thickBot="1" x14ac:dyDescent="0.25">
      <c r="A8" s="176" t="s">
        <v>28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s="73" customFormat="1" ht="18" customHeight="1" x14ac:dyDescent="0.2">
      <c r="A9" s="177" t="s">
        <v>29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91"/>
      <c r="P9" s="91"/>
      <c r="Q9" s="92"/>
    </row>
    <row r="10" spans="1:17" s="73" customFormat="1" ht="54.75" customHeight="1" x14ac:dyDescent="0.2">
      <c r="A10" s="178" t="str">
        <f>"Autorizo la realización de los  trámites correspondientes, a fin de proveer a  este Organismo los bienes y/o servicios que se detallan en Nota  de Pedido N° " &amp; 'NP FARMACIA'!K1&amp;",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19/2022,  afectando la erogación resultante a los créditos presupuestarios aprobados a favor de esta Unidad Ejecutora, conforme al siguiente detalle: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</row>
    <row r="11" spans="1:17" ht="9" customHeight="1" thickBot="1" x14ac:dyDescent="0.25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7" ht="15.75" customHeight="1" thickBot="1" x14ac:dyDescent="0.25">
      <c r="A12" s="179" t="s">
        <v>30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customHeight="1" thickBot="1" x14ac:dyDescent="0.25">
      <c r="A13" s="180" t="s">
        <v>31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32</v>
      </c>
      <c r="P13" s="181"/>
      <c r="Q13" s="182" t="s">
        <v>33</v>
      </c>
    </row>
    <row r="14" spans="1:17" ht="15.75" customHeight="1" thickBot="1" x14ac:dyDescent="0.25">
      <c r="A14" s="9" t="s">
        <v>34</v>
      </c>
      <c r="B14" s="10" t="s">
        <v>35</v>
      </c>
      <c r="C14" s="10" t="s">
        <v>36</v>
      </c>
      <c r="D14" s="10" t="s">
        <v>37</v>
      </c>
      <c r="E14" s="10" t="s">
        <v>38</v>
      </c>
      <c r="F14" s="10" t="s">
        <v>39</v>
      </c>
      <c r="G14" s="11" t="s">
        <v>40</v>
      </c>
      <c r="H14" s="10" t="s">
        <v>41</v>
      </c>
      <c r="I14" s="10" t="s">
        <v>42</v>
      </c>
      <c r="J14" s="10" t="s">
        <v>43</v>
      </c>
      <c r="K14" s="10" t="s">
        <v>43</v>
      </c>
      <c r="L14" s="10" t="s">
        <v>44</v>
      </c>
      <c r="M14" s="12" t="s">
        <v>45</v>
      </c>
      <c r="N14" s="13" t="s">
        <v>46</v>
      </c>
      <c r="O14" s="181"/>
      <c r="P14" s="181"/>
      <c r="Q14" s="182"/>
    </row>
    <row r="15" spans="1:17" s="73" customFormat="1" ht="37.5" customHeight="1" x14ac:dyDescent="0.2">
      <c r="A15" s="103">
        <v>30</v>
      </c>
      <c r="B15" s="104"/>
      <c r="C15" s="104"/>
      <c r="D15" s="104">
        <v>1</v>
      </c>
      <c r="E15" s="104"/>
      <c r="F15" s="104">
        <v>4901</v>
      </c>
      <c r="G15" s="104">
        <v>3</v>
      </c>
      <c r="H15" s="104">
        <v>1</v>
      </c>
      <c r="I15" s="104">
        <v>2</v>
      </c>
      <c r="J15" s="104">
        <v>9</v>
      </c>
      <c r="K15" s="104">
        <v>5</v>
      </c>
      <c r="L15" s="104"/>
      <c r="M15" s="105">
        <v>1</v>
      </c>
      <c r="N15" s="106" t="s">
        <v>52</v>
      </c>
      <c r="O15" s="174" t="s">
        <v>92</v>
      </c>
      <c r="P15" s="175"/>
      <c r="Q15" s="107">
        <f>'NP FARMACIA'!J32</f>
        <v>2656000</v>
      </c>
    </row>
    <row r="16" spans="1:17" s="73" customFormat="1" ht="17.25" customHeight="1" x14ac:dyDescent="0.2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111"/>
      <c r="O16" s="184"/>
      <c r="P16" s="184"/>
      <c r="Q16" s="112"/>
    </row>
    <row r="17" spans="1:18" s="73" customFormat="1" ht="17.25" customHeight="1" x14ac:dyDescent="0.2">
      <c r="A17" s="108"/>
      <c r="B17" s="109"/>
      <c r="C17" s="109"/>
      <c r="D17" s="109"/>
      <c r="E17" s="109"/>
      <c r="F17" s="111"/>
      <c r="G17" s="109"/>
      <c r="H17" s="109"/>
      <c r="I17" s="109"/>
      <c r="J17" s="109"/>
      <c r="K17" s="109"/>
      <c r="L17" s="109"/>
      <c r="M17" s="110"/>
      <c r="N17" s="111"/>
      <c r="O17" s="184"/>
      <c r="P17" s="184"/>
      <c r="Q17" s="112"/>
    </row>
    <row r="18" spans="1:18" s="73" customFormat="1" ht="17.25" customHeight="1" x14ac:dyDescent="0.2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11"/>
      <c r="O18" s="184"/>
      <c r="P18" s="184"/>
      <c r="Q18" s="112"/>
    </row>
    <row r="19" spans="1:18" s="73" customFormat="1" ht="17.25" customHeight="1" x14ac:dyDescent="0.2">
      <c r="A19" s="108"/>
      <c r="B19" s="109"/>
      <c r="C19" s="109"/>
      <c r="D19" s="109"/>
      <c r="E19" s="109"/>
      <c r="F19" s="111"/>
      <c r="G19" s="109"/>
      <c r="H19" s="109"/>
      <c r="I19" s="109"/>
      <c r="J19" s="109"/>
      <c r="K19" s="109"/>
      <c r="L19" s="109"/>
      <c r="M19" s="110"/>
      <c r="N19" s="111"/>
      <c r="O19" s="184"/>
      <c r="P19" s="184"/>
      <c r="Q19" s="112"/>
    </row>
    <row r="20" spans="1:18" s="73" customFormat="1" ht="17.25" customHeight="1" x14ac:dyDescent="0.2">
      <c r="A20" s="108"/>
      <c r="B20" s="109"/>
      <c r="C20" s="109"/>
      <c r="D20" s="109"/>
      <c r="E20" s="109"/>
      <c r="F20" s="111"/>
      <c r="G20" s="109"/>
      <c r="H20" s="109"/>
      <c r="I20" s="109"/>
      <c r="J20" s="109"/>
      <c r="K20" s="109"/>
      <c r="L20" s="109"/>
      <c r="M20" s="110"/>
      <c r="N20" s="111"/>
      <c r="O20" s="184"/>
      <c r="P20" s="184"/>
      <c r="Q20" s="112"/>
    </row>
    <row r="21" spans="1:18" s="73" customFormat="1" ht="17.25" customHeight="1" x14ac:dyDescent="0.2">
      <c r="A21" s="113"/>
      <c r="B21" s="114"/>
      <c r="C21" s="114"/>
      <c r="D21" s="114"/>
      <c r="E21" s="114"/>
      <c r="F21" s="115"/>
      <c r="G21" s="114"/>
      <c r="H21" s="114"/>
      <c r="I21" s="114"/>
      <c r="J21" s="114"/>
      <c r="K21" s="114"/>
      <c r="L21" s="114"/>
      <c r="M21" s="116"/>
      <c r="N21" s="117"/>
      <c r="O21" s="185"/>
      <c r="P21" s="185"/>
      <c r="Q21" s="112"/>
      <c r="R21" s="91"/>
    </row>
    <row r="22" spans="1:18" s="73" customFormat="1" ht="17.25" customHeight="1" thickBot="1" x14ac:dyDescent="0.25">
      <c r="A22" s="118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20"/>
      <c r="N22" s="119"/>
      <c r="O22" s="186"/>
      <c r="P22" s="186"/>
      <c r="Q22" s="121"/>
    </row>
    <row r="23" spans="1:18" s="73" customFormat="1" ht="29.25" customHeight="1" thickBot="1" x14ac:dyDescent="0.25">
      <c r="A23" s="187" t="s">
        <v>111</v>
      </c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22">
        <f>SUM(Q15:Q22)</f>
        <v>2656000</v>
      </c>
    </row>
    <row r="24" spans="1:18" s="73" customFormat="1" ht="18" customHeight="1" thickBot="1" x14ac:dyDescent="0.25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</row>
    <row r="25" spans="1:18" s="73" customFormat="1" ht="17.25" customHeight="1" thickBot="1" x14ac:dyDescent="0.25">
      <c r="A25" s="189" t="s">
        <v>47</v>
      </c>
      <c r="B25" s="190"/>
      <c r="C25" s="190"/>
      <c r="D25" s="190"/>
      <c r="E25" s="190"/>
      <c r="F25" s="191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</row>
    <row r="26" spans="1:18" s="73" customFormat="1" ht="18" customHeight="1" thickBot="1" x14ac:dyDescent="0.25">
      <c r="A26" s="183" t="str">
        <f>'NP FARMACIA'!D8</f>
        <v>ADQUISICION DE INSUMOS PARA TERAPIA RESPIRATORIA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</row>
    <row r="27" spans="1:18" s="73" customFormat="1" ht="15" customHeight="1" thickBot="1" x14ac:dyDescent="0.25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8"/>
  <sheetViews>
    <sheetView zoomScale="90" zoomScaleNormal="90" workbookViewId="0">
      <selection activeCell="A29" sqref="A29"/>
    </sheetView>
  </sheetViews>
  <sheetFormatPr baseColWidth="10" defaultColWidth="9.140625" defaultRowHeight="12.75" x14ac:dyDescent="0.2"/>
  <cols>
    <col min="1" max="1" width="5.5703125" style="72" customWidth="1"/>
    <col min="2" max="2" width="15.140625" style="72" customWidth="1"/>
    <col min="3" max="3" width="14.140625" style="72" customWidth="1"/>
    <col min="4" max="4" width="26" style="72" customWidth="1"/>
    <col min="5" max="5" width="8" style="72" customWidth="1"/>
    <col min="6" max="6" width="7.85546875" style="72" customWidth="1"/>
    <col min="7" max="7" width="42.28515625" style="72" customWidth="1"/>
    <col min="8" max="8" width="9.28515625" style="72" customWidth="1"/>
    <col min="9" max="9" width="15.5703125" style="72" customWidth="1"/>
    <col min="10" max="10" width="14.7109375" style="89" customWidth="1"/>
    <col min="11" max="11" width="15.5703125" style="72" customWidth="1"/>
    <col min="12" max="14" width="5.85546875" style="72" customWidth="1"/>
    <col min="15" max="15" width="12.5703125" style="72" customWidth="1"/>
    <col min="16" max="1024" width="9.140625" style="72"/>
    <col min="1025" max="16384" width="9.140625" style="73"/>
  </cols>
  <sheetData>
    <row r="1" spans="1:11" ht="18" customHeight="1" x14ac:dyDescent="0.2">
      <c r="A1" s="148" t="s">
        <v>14</v>
      </c>
      <c r="B1" s="148"/>
      <c r="C1" s="148"/>
      <c r="D1" s="148"/>
      <c r="E1" s="148"/>
      <c r="F1" s="148"/>
      <c r="G1" s="148"/>
      <c r="H1" s="148"/>
      <c r="I1" s="148"/>
      <c r="J1" s="84" t="s">
        <v>15</v>
      </c>
      <c r="K1" s="71" t="s">
        <v>91</v>
      </c>
    </row>
    <row r="2" spans="1:11" ht="18.75" customHeight="1" thickBot="1" x14ac:dyDescent="0.25">
      <c r="A2" s="74"/>
      <c r="B2" s="74"/>
      <c r="C2" s="74"/>
      <c r="D2" s="75"/>
      <c r="E2" s="75"/>
      <c r="F2" s="75"/>
      <c r="G2" s="75"/>
      <c r="H2" s="75"/>
      <c r="I2" s="75"/>
      <c r="J2" s="85"/>
      <c r="K2" s="75"/>
    </row>
    <row r="3" spans="1:11" ht="18.75" customHeight="1" thickBot="1" x14ac:dyDescent="0.25">
      <c r="A3" s="149" t="s">
        <v>48</v>
      </c>
      <c r="B3" s="149"/>
      <c r="C3" s="149"/>
      <c r="D3" s="147" t="str">
        <f>'Necesidades Trimestrales'!C4</f>
        <v>040 - Ministerio de Salud</v>
      </c>
      <c r="E3" s="147"/>
      <c r="F3" s="147"/>
      <c r="G3" s="147"/>
      <c r="H3" s="147"/>
      <c r="I3" s="147"/>
      <c r="J3" s="147"/>
      <c r="K3" s="147"/>
    </row>
    <row r="4" spans="1:11" ht="18.75" customHeight="1" thickBot="1" x14ac:dyDescent="0.25">
      <c r="A4" s="146" t="s">
        <v>49</v>
      </c>
      <c r="B4" s="146"/>
      <c r="C4" s="146"/>
      <c r="D4" s="147" t="str">
        <f>'Necesidades Trimestrales'!C5</f>
        <v>011 - Direccion Provincial de Administracion del Ministerio de Salud</v>
      </c>
      <c r="E4" s="147"/>
      <c r="F4" s="147"/>
      <c r="G4" s="147"/>
      <c r="H4" s="147"/>
      <c r="I4" s="147"/>
      <c r="J4" s="147"/>
      <c r="K4" s="147"/>
    </row>
    <row r="5" spans="1:11" ht="18.75" customHeight="1" thickBot="1" x14ac:dyDescent="0.25">
      <c r="A5" s="146" t="s">
        <v>27</v>
      </c>
      <c r="B5" s="146"/>
      <c r="C5" s="146"/>
      <c r="D5" s="147" t="s">
        <v>90</v>
      </c>
      <c r="E5" s="147"/>
      <c r="F5" s="147"/>
      <c r="G5" s="147"/>
      <c r="H5" s="147"/>
      <c r="I5" s="147"/>
      <c r="J5" s="147"/>
      <c r="K5" s="147"/>
    </row>
    <row r="6" spans="1:11" ht="16.5" customHeight="1" thickBot="1" x14ac:dyDescent="0.25">
      <c r="A6" s="149" t="s">
        <v>50</v>
      </c>
      <c r="B6" s="149"/>
      <c r="C6" s="149"/>
      <c r="D6" s="147" t="s">
        <v>90</v>
      </c>
      <c r="E6" s="147"/>
      <c r="F6" s="147"/>
      <c r="G6" s="147"/>
      <c r="H6" s="147"/>
      <c r="I6" s="147"/>
      <c r="J6" s="147"/>
      <c r="K6" s="147"/>
    </row>
    <row r="7" spans="1:11" ht="16.5" customHeight="1" thickBot="1" x14ac:dyDescent="0.25">
      <c r="A7" s="146" t="s">
        <v>16</v>
      </c>
      <c r="B7" s="146"/>
      <c r="C7" s="146"/>
      <c r="D7" s="147" t="s">
        <v>71</v>
      </c>
      <c r="E7" s="147"/>
      <c r="F7" s="147"/>
      <c r="G7" s="147"/>
      <c r="H7" s="147"/>
      <c r="I7" s="147"/>
      <c r="J7" s="147"/>
      <c r="K7" s="147"/>
    </row>
    <row r="8" spans="1:11" ht="16.5" customHeight="1" thickBot="1" x14ac:dyDescent="0.25">
      <c r="A8" s="150" t="s">
        <v>17</v>
      </c>
      <c r="B8" s="150"/>
      <c r="C8" s="150"/>
      <c r="D8" s="151" t="s">
        <v>72</v>
      </c>
      <c r="E8" s="152"/>
      <c r="F8" s="152"/>
      <c r="G8" s="152"/>
      <c r="H8" s="152"/>
      <c r="I8" s="152"/>
      <c r="J8" s="152"/>
      <c r="K8" s="153"/>
    </row>
    <row r="9" spans="1:11" ht="16.5" thickBot="1" x14ac:dyDescent="0.25">
      <c r="A9" s="76"/>
      <c r="B9" s="76"/>
      <c r="C9" s="76"/>
      <c r="D9" s="77"/>
      <c r="E9" s="77"/>
      <c r="F9" s="77"/>
      <c r="G9" s="77"/>
      <c r="H9" s="77"/>
      <c r="I9" s="77"/>
      <c r="J9" s="86"/>
      <c r="K9" s="77"/>
    </row>
    <row r="10" spans="1:11" ht="18.75" customHeight="1" thickBot="1" x14ac:dyDescent="0.25">
      <c r="A10" s="154" t="s">
        <v>18</v>
      </c>
      <c r="B10" s="155" t="s">
        <v>19</v>
      </c>
      <c r="C10" s="155" t="s">
        <v>20</v>
      </c>
      <c r="D10" s="155"/>
      <c r="E10" s="155"/>
      <c r="F10" s="155"/>
      <c r="G10" s="155"/>
      <c r="H10" s="155" t="s">
        <v>21</v>
      </c>
      <c r="I10" s="155" t="s">
        <v>22</v>
      </c>
      <c r="J10" s="158" t="s">
        <v>23</v>
      </c>
      <c r="K10" s="157" t="s">
        <v>24</v>
      </c>
    </row>
    <row r="11" spans="1:11" ht="24" customHeight="1" thickBot="1" x14ac:dyDescent="0.25">
      <c r="A11" s="154"/>
      <c r="B11" s="155"/>
      <c r="C11" s="155"/>
      <c r="D11" s="155"/>
      <c r="E11" s="155"/>
      <c r="F11" s="155"/>
      <c r="G11" s="155"/>
      <c r="H11" s="155"/>
      <c r="I11" s="155"/>
      <c r="J11" s="158"/>
      <c r="K11" s="157"/>
    </row>
    <row r="12" spans="1:11" ht="18.75" customHeight="1" x14ac:dyDescent="0.2">
      <c r="A12" s="97">
        <v>1</v>
      </c>
      <c r="B12" s="94"/>
      <c r="C12" s="156" t="str">
        <f>+'Necesidades Trimestrales'!E10</f>
        <v>AEROCAMARA  C/ FUELLE ADULTO</v>
      </c>
      <c r="D12" s="156"/>
      <c r="E12" s="156"/>
      <c r="F12" s="156"/>
      <c r="G12" s="156"/>
      <c r="H12" s="93" t="s">
        <v>53</v>
      </c>
      <c r="I12" s="95" t="str">
        <f>+'Necesidades Trimestrales'!F10</f>
        <v>UNIDAD</v>
      </c>
      <c r="J12" s="96">
        <f>+'Necesidades Trimestrales'!N10</f>
        <v>490</v>
      </c>
      <c r="K12" s="98">
        <f>'Necesidades Trimestrales'!I10</f>
        <v>5</v>
      </c>
    </row>
    <row r="13" spans="1:11" ht="18.75" customHeight="1" x14ac:dyDescent="0.2">
      <c r="A13" s="99">
        <v>2</v>
      </c>
      <c r="B13" s="79"/>
      <c r="C13" s="193" t="str">
        <f>+'Necesidades Trimestrales'!E11</f>
        <v xml:space="preserve">AEROCAMARA CON MASCARA COMPLETA  PEDIATRICA  </v>
      </c>
      <c r="D13" s="193"/>
      <c r="E13" s="193"/>
      <c r="F13" s="193"/>
      <c r="G13" s="193"/>
      <c r="H13" s="78" t="s">
        <v>53</v>
      </c>
      <c r="I13" s="80" t="str">
        <f>+'Necesidades Trimestrales'!F11</f>
        <v>UNIDAD</v>
      </c>
      <c r="J13" s="87">
        <f>+'Necesidades Trimestrales'!N11</f>
        <v>490</v>
      </c>
      <c r="K13" s="100">
        <f>'Necesidades Trimestrales'!I11</f>
        <v>5</v>
      </c>
    </row>
    <row r="14" spans="1:11" ht="18.75" customHeight="1" x14ac:dyDescent="0.2">
      <c r="A14" s="99">
        <v>3</v>
      </c>
      <c r="B14" s="79"/>
      <c r="C14" s="193" t="str">
        <f>+'Necesidades Trimestrales'!E13</f>
        <v>CANULA NASAL DE ALTO FLUJO TIPO OPTIFLOW INFANTIL F&amp;P OPT 316</v>
      </c>
      <c r="D14" s="193"/>
      <c r="E14" s="193"/>
      <c r="F14" s="193"/>
      <c r="G14" s="193"/>
      <c r="H14" s="78" t="s">
        <v>53</v>
      </c>
      <c r="I14" s="80" t="str">
        <f>+'Necesidades Trimestrales'!F13</f>
        <v>UNIDAD</v>
      </c>
      <c r="J14" s="87">
        <f>+'Necesidades Trimestrales'!N13</f>
        <v>12500</v>
      </c>
      <c r="K14" s="100">
        <f>'Necesidades Trimestrales'!I13</f>
        <v>5</v>
      </c>
    </row>
    <row r="15" spans="1:11" ht="18.75" customHeight="1" x14ac:dyDescent="0.2">
      <c r="A15" s="99">
        <v>4</v>
      </c>
      <c r="B15" s="79"/>
      <c r="C15" s="193" t="str">
        <f>+'Necesidades Trimestrales'!E14</f>
        <v>CANULA NASAL DE ALTO FLUJO TIPO OPTIFLOW PEDIATRICA F&amp;P OPT 318</v>
      </c>
      <c r="D15" s="193"/>
      <c r="E15" s="193"/>
      <c r="F15" s="193"/>
      <c r="G15" s="193"/>
      <c r="H15" s="78" t="s">
        <v>53</v>
      </c>
      <c r="I15" s="80" t="str">
        <f>+'Necesidades Trimestrales'!F14</f>
        <v>UNIDAD</v>
      </c>
      <c r="J15" s="87">
        <f>+'Necesidades Trimestrales'!N14</f>
        <v>12500</v>
      </c>
      <c r="K15" s="100">
        <f>'Necesidades Trimestrales'!I14</f>
        <v>5</v>
      </c>
    </row>
    <row r="16" spans="1:11" ht="18.75" customHeight="1" x14ac:dyDescent="0.2">
      <c r="A16" s="99">
        <v>5</v>
      </c>
      <c r="B16" s="79"/>
      <c r="C16" s="193" t="str">
        <f>+'Necesidades Trimestrales'!E15</f>
        <v xml:space="preserve">CANULA NASAL PARA ALTO FLUJO TIPO GGM  ADULTO 6 mm 4826R1V TAMANO L </v>
      </c>
      <c r="D16" s="193"/>
      <c r="E16" s="193"/>
      <c r="F16" s="193"/>
      <c r="G16" s="193"/>
      <c r="H16" s="78" t="s">
        <v>53</v>
      </c>
      <c r="I16" s="80" t="str">
        <f>+'Necesidades Trimestrales'!F15</f>
        <v>UNIDAD</v>
      </c>
      <c r="J16" s="87">
        <f>+'Necesidades Trimestrales'!N15</f>
        <v>7600</v>
      </c>
      <c r="K16" s="100">
        <f>'Necesidades Trimestrales'!I15</f>
        <v>10</v>
      </c>
    </row>
    <row r="17" spans="1:11" ht="18.75" customHeight="1" x14ac:dyDescent="0.2">
      <c r="A17" s="99">
        <v>6</v>
      </c>
      <c r="B17" s="79"/>
      <c r="C17" s="193" t="str">
        <f>+'Necesidades Trimestrales'!E17</f>
        <v>CIRCUITO ANESTESIA EXTENSIBLE ADULTO DESCARTABLE</v>
      </c>
      <c r="D17" s="193"/>
      <c r="E17" s="193"/>
      <c r="F17" s="193"/>
      <c r="G17" s="193"/>
      <c r="H17" s="78" t="s">
        <v>53</v>
      </c>
      <c r="I17" s="80" t="str">
        <f>+'Necesidades Trimestrales'!F17</f>
        <v>UNIDAD</v>
      </c>
      <c r="J17" s="87">
        <f>+'Necesidades Trimestrales'!N17</f>
        <v>980</v>
      </c>
      <c r="K17" s="100">
        <f>'Necesidades Trimestrales'!I17</f>
        <v>8</v>
      </c>
    </row>
    <row r="18" spans="1:11" ht="18.75" customHeight="1" x14ac:dyDescent="0.2">
      <c r="A18" s="99">
        <v>7</v>
      </c>
      <c r="B18" s="79"/>
      <c r="C18" s="193" t="str">
        <f>+'Necesidades Trimestrales'!E19</f>
        <v>HALO  CEFALICO tipo &lt;MEDIX&gt; con tapa -  MEDIANO : 200 mm de diametro x 180 mm de altura</v>
      </c>
      <c r="D18" s="193"/>
      <c r="E18" s="193"/>
      <c r="F18" s="193"/>
      <c r="G18" s="193"/>
      <c r="H18" s="78" t="s">
        <v>53</v>
      </c>
      <c r="I18" s="80" t="str">
        <f>+'Necesidades Trimestrales'!F19</f>
        <v>UNIDAD</v>
      </c>
      <c r="J18" s="87">
        <f>+'Necesidades Trimestrales'!N19</f>
        <v>17680</v>
      </c>
      <c r="K18" s="100">
        <f>'Necesidades Trimestrales'!I19</f>
        <v>2</v>
      </c>
    </row>
    <row r="19" spans="1:11" ht="18.75" customHeight="1" x14ac:dyDescent="0.2">
      <c r="A19" s="99">
        <v>8</v>
      </c>
      <c r="B19" s="79"/>
      <c r="C19" s="193" t="str">
        <f>+'Necesidades Trimestrales'!E20</f>
        <v>HALO  CEFALICO tipo &lt;MEDIX&gt; con tapa  GRANDE: 230 mm de diametro x 200 mm de altura</v>
      </c>
      <c r="D19" s="193"/>
      <c r="E19" s="193"/>
      <c r="F19" s="193"/>
      <c r="G19" s="193"/>
      <c r="H19" s="78" t="s">
        <v>53</v>
      </c>
      <c r="I19" s="80" t="str">
        <f>+'Necesidades Trimestrales'!F20</f>
        <v>UNIDAD</v>
      </c>
      <c r="J19" s="87">
        <f>+'Necesidades Trimestrales'!N20</f>
        <v>20345</v>
      </c>
      <c r="K19" s="100">
        <f>'Necesidades Trimestrales'!I20</f>
        <v>2</v>
      </c>
    </row>
    <row r="20" spans="1:11" ht="18.75" customHeight="1" x14ac:dyDescent="0.2">
      <c r="A20" s="99">
        <v>9</v>
      </c>
      <c r="B20" s="79"/>
      <c r="C20" s="193" t="str">
        <f>+'Necesidades Trimestrales'!E24</f>
        <v>MASCARA CON BOLSA RESERVORIO ADULTO</v>
      </c>
      <c r="D20" s="193"/>
      <c r="E20" s="193"/>
      <c r="F20" s="193"/>
      <c r="G20" s="193"/>
      <c r="H20" s="78" t="s">
        <v>53</v>
      </c>
      <c r="I20" s="80" t="str">
        <f>+'Necesidades Trimestrales'!F24</f>
        <v>UNIDAD</v>
      </c>
      <c r="J20" s="87">
        <f>+'Necesidades Trimestrales'!N24</f>
        <v>380</v>
      </c>
      <c r="K20" s="100">
        <f>'Necesidades Trimestrales'!I24</f>
        <v>8</v>
      </c>
    </row>
    <row r="21" spans="1:11" ht="18.75" customHeight="1" x14ac:dyDescent="0.2">
      <c r="A21" s="99">
        <v>10</v>
      </c>
      <c r="B21" s="79"/>
      <c r="C21" s="193" t="str">
        <f>+'Necesidades Trimestrales'!E25</f>
        <v>MASCARA CON BOLSA RESERVORIO PEDIATRICA</v>
      </c>
      <c r="D21" s="193"/>
      <c r="E21" s="193"/>
      <c r="F21" s="193"/>
      <c r="G21" s="193"/>
      <c r="H21" s="78" t="s">
        <v>53</v>
      </c>
      <c r="I21" s="80" t="str">
        <f>+'Necesidades Trimestrales'!F25</f>
        <v>UNIDAD</v>
      </c>
      <c r="J21" s="87">
        <f>+'Necesidades Trimestrales'!N25</f>
        <v>380</v>
      </c>
      <c r="K21" s="100">
        <f>'Necesidades Trimestrales'!I25</f>
        <v>5</v>
      </c>
    </row>
    <row r="22" spans="1:11" ht="18.75" customHeight="1" x14ac:dyDescent="0.2">
      <c r="A22" s="99">
        <v>11</v>
      </c>
      <c r="B22" s="79"/>
      <c r="C22" s="193" t="str">
        <f>+'Necesidades Trimestrales'!E27</f>
        <v>MASCARA PARA NEBULIZAR ADULTO COMPLETA MASCARA+PIPETA+TUBULADURA</v>
      </c>
      <c r="D22" s="193"/>
      <c r="E22" s="193"/>
      <c r="F22" s="193"/>
      <c r="G22" s="193"/>
      <c r="H22" s="78" t="s">
        <v>53</v>
      </c>
      <c r="I22" s="80" t="str">
        <f>+'Necesidades Trimestrales'!F27</f>
        <v>UNIDAD</v>
      </c>
      <c r="J22" s="87">
        <f>+'Necesidades Trimestrales'!N27</f>
        <v>270</v>
      </c>
      <c r="K22" s="100">
        <f>'Necesidades Trimestrales'!I27</f>
        <v>10</v>
      </c>
    </row>
    <row r="23" spans="1:11" ht="18.75" customHeight="1" x14ac:dyDescent="0.2">
      <c r="A23" s="99">
        <v>12</v>
      </c>
      <c r="B23" s="79"/>
      <c r="C23" s="193" t="str">
        <f>+'Necesidades Trimestrales'!E28</f>
        <v>MASCARA PARA NEBULIZAR PEDIATRICA COMPLETA MASCARA+PIPETA+TUBULADURA</v>
      </c>
      <c r="D23" s="193"/>
      <c r="E23" s="193"/>
      <c r="F23" s="193"/>
      <c r="G23" s="193"/>
      <c r="H23" s="78" t="s">
        <v>53</v>
      </c>
      <c r="I23" s="80" t="str">
        <f>+'Necesidades Trimestrales'!F28</f>
        <v>UNIDAD</v>
      </c>
      <c r="J23" s="87">
        <f>+'Necesidades Trimestrales'!N28</f>
        <v>270</v>
      </c>
      <c r="K23" s="100">
        <f>'Necesidades Trimestrales'!I28</f>
        <v>10</v>
      </c>
    </row>
    <row r="24" spans="1:11" ht="18.75" customHeight="1" x14ac:dyDescent="0.2">
      <c r="A24" s="99">
        <v>13</v>
      </c>
      <c r="B24" s="79"/>
      <c r="C24" s="193" t="str">
        <f>+'Necesidades Trimestrales'!E31</f>
        <v>RESUCITADOR MANUAL ADULTO DESCARTABLE</v>
      </c>
      <c r="D24" s="193"/>
      <c r="E24" s="193"/>
      <c r="F24" s="193"/>
      <c r="G24" s="193"/>
      <c r="H24" s="78" t="s">
        <v>53</v>
      </c>
      <c r="I24" s="80" t="str">
        <f>+'Necesidades Trimestrales'!F31</f>
        <v>UNIDAD</v>
      </c>
      <c r="J24" s="87">
        <f>+'Necesidades Trimestrales'!N31</f>
        <v>2300</v>
      </c>
      <c r="K24" s="100">
        <f>'Necesidades Trimestrales'!I31</f>
        <v>5</v>
      </c>
    </row>
    <row r="25" spans="1:11" ht="18.75" customHeight="1" x14ac:dyDescent="0.2">
      <c r="A25" s="99">
        <v>14</v>
      </c>
      <c r="B25" s="79"/>
      <c r="C25" s="193" t="str">
        <f>+'Necesidades Trimestrales'!E32</f>
        <v>RESUCITADOR MANUAL ADULTO REUTILIZABLE</v>
      </c>
      <c r="D25" s="193"/>
      <c r="E25" s="193"/>
      <c r="F25" s="193"/>
      <c r="G25" s="193"/>
      <c r="H25" s="78" t="s">
        <v>53</v>
      </c>
      <c r="I25" s="80" t="str">
        <f>+'Necesidades Trimestrales'!F32</f>
        <v>UNIDAD</v>
      </c>
      <c r="J25" s="87">
        <f>+'Necesidades Trimestrales'!N32</f>
        <v>8200</v>
      </c>
      <c r="K25" s="100">
        <f>'Necesidades Trimestrales'!I32</f>
        <v>5</v>
      </c>
    </row>
    <row r="26" spans="1:11" ht="18.75" customHeight="1" x14ac:dyDescent="0.2">
      <c r="A26" s="99">
        <v>15</v>
      </c>
      <c r="B26" s="79"/>
      <c r="C26" s="193" t="str">
        <f>+'Necesidades Trimestrales'!E33</f>
        <v>RESUCITADOR MANUAL NEONATAL  REUTILIZABLE</v>
      </c>
      <c r="D26" s="193"/>
      <c r="E26" s="193"/>
      <c r="F26" s="193"/>
      <c r="G26" s="193"/>
      <c r="H26" s="78" t="s">
        <v>53</v>
      </c>
      <c r="I26" s="80" t="str">
        <f>+'Necesidades Trimestrales'!F33</f>
        <v>UNIDAD</v>
      </c>
      <c r="J26" s="87">
        <f>+'Necesidades Trimestrales'!N33</f>
        <v>8200</v>
      </c>
      <c r="K26" s="100">
        <f>'Necesidades Trimestrales'!I33</f>
        <v>2</v>
      </c>
    </row>
    <row r="27" spans="1:11" ht="20.25" customHeight="1" thickBot="1" x14ac:dyDescent="0.25">
      <c r="A27" s="101"/>
      <c r="B27" s="82"/>
      <c r="C27" s="161"/>
      <c r="D27" s="161"/>
      <c r="E27" s="161"/>
      <c r="F27" s="161"/>
      <c r="G27" s="161"/>
      <c r="H27" s="81"/>
      <c r="I27" s="83"/>
      <c r="J27" s="88"/>
      <c r="K27" s="102"/>
    </row>
    <row r="28" spans="1:11" ht="16.5" thickBot="1" x14ac:dyDescent="0.25">
      <c r="A28" s="162" t="s">
        <v>116</v>
      </c>
      <c r="B28" s="163"/>
      <c r="C28" s="163"/>
      <c r="D28" s="163"/>
      <c r="E28" s="163"/>
      <c r="F28" s="163"/>
      <c r="G28" s="163"/>
      <c r="H28" s="163"/>
      <c r="I28" s="164"/>
      <c r="J28" s="159">
        <f>SUMPRODUCT(J12:J26,K12:K26)</f>
        <v>369030</v>
      </c>
      <c r="K28" s="160"/>
    </row>
  </sheetData>
  <mergeCells count="3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28:K2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  <mergeCell ref="A28:I28"/>
    <mergeCell ref="C20:G20"/>
    <mergeCell ref="C21:G21"/>
    <mergeCell ref="C18:G18"/>
    <mergeCell ref="C19:G19"/>
    <mergeCell ref="C17:G17"/>
    <mergeCell ref="C27:G27"/>
    <mergeCell ref="C24:G24"/>
    <mergeCell ref="C25:G25"/>
    <mergeCell ref="C26:G26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3" zoomScale="130" zoomScaleNormal="130" workbookViewId="0">
      <selection activeCell="G33" sqref="G3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23.28515625" customWidth="1"/>
    <col min="17" max="17" width="14.7109375" customWidth="1"/>
  </cols>
  <sheetData>
    <row r="1" spans="1:17" ht="15.75" customHeight="1" x14ac:dyDescent="0.25">
      <c r="A1" s="169" t="s">
        <v>3</v>
      </c>
      <c r="B1" s="169"/>
      <c r="C1" s="169"/>
      <c r="D1" s="170">
        <f>'Necesidades Trimestrales'!C6</f>
        <v>2022</v>
      </c>
      <c r="E1" s="170"/>
      <c r="F1" s="2"/>
      <c r="G1" s="2"/>
      <c r="H1" s="3"/>
      <c r="I1" s="3"/>
      <c r="J1" s="3"/>
      <c r="K1" s="3"/>
      <c r="L1" s="3"/>
      <c r="M1" s="3"/>
      <c r="N1" s="3"/>
      <c r="P1" s="171" t="s">
        <v>25</v>
      </c>
      <c r="Q1" s="17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71"/>
      <c r="Q2" s="171"/>
    </row>
    <row r="4" spans="1:17" s="4" customFormat="1" ht="18" customHeight="1" thickBot="1" x14ac:dyDescent="0.25">
      <c r="A4" s="172" t="s">
        <v>26</v>
      </c>
      <c r="B4" s="172"/>
      <c r="C4" s="172"/>
      <c r="D4" s="172"/>
      <c r="E4" s="172"/>
      <c r="F4" s="172"/>
      <c r="G4" s="173" t="str">
        <f>'NP SAME'!D3</f>
        <v>040 - Ministerio de Salud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s="90" customFormat="1" ht="18" customHeight="1" thickBot="1" x14ac:dyDescent="0.25">
      <c r="A5" s="165" t="s">
        <v>49</v>
      </c>
      <c r="B5" s="166"/>
      <c r="C5" s="166"/>
      <c r="D5" s="166"/>
      <c r="E5" s="166"/>
      <c r="F5" s="167"/>
      <c r="G5" s="168" t="str">
        <f>'NP SAME'!D4</f>
        <v>011 - Direccion Provincial de Administracion del Ministerio de Salud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s="90" customFormat="1" ht="18" customHeight="1" thickBot="1" x14ac:dyDescent="0.25">
      <c r="A6" s="165" t="s">
        <v>27</v>
      </c>
      <c r="B6" s="166"/>
      <c r="C6" s="166"/>
      <c r="D6" s="166"/>
      <c r="E6" s="166"/>
      <c r="F6" s="167"/>
      <c r="G6" s="168" t="str">
        <f>'NP SAME'!D5</f>
        <v>748 - DIRECCION PROVINCIAL SISTEMA DE ATENCION MEDICA DE EMERGENCIA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90" customFormat="1" ht="18" customHeight="1" thickBot="1" x14ac:dyDescent="0.25">
      <c r="A7" s="165" t="s">
        <v>50</v>
      </c>
      <c r="B7" s="166"/>
      <c r="C7" s="166"/>
      <c r="D7" s="166"/>
      <c r="E7" s="166"/>
      <c r="F7" s="167"/>
      <c r="G7" s="168" t="str">
        <f>'NP SAME'!D6</f>
        <v>748 - DIRECCION PROVINCIAL SISTEMA DE ATENCION MEDICA DE EMERGENCIA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s="73" customFormat="1" ht="18" customHeight="1" thickBot="1" x14ac:dyDescent="0.25">
      <c r="A8" s="176" t="s">
        <v>28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s="73" customFormat="1" ht="18" customHeight="1" x14ac:dyDescent="0.2">
      <c r="A9" s="177" t="s">
        <v>29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91"/>
      <c r="P9" s="91"/>
      <c r="Q9" s="92"/>
    </row>
    <row r="10" spans="1:17" s="73" customFormat="1" ht="54.75" customHeight="1" x14ac:dyDescent="0.2">
      <c r="A10" s="178" t="str">
        <f>"Autorizo la realización de los  trámites correspondientes, a fin de proveer a  este Organismo los bienes y/o servicios que se detallan en Nota  de Pedido N° " &amp; 'NP 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16/2022,  afectando la erogación resultante a los créditos presupuestarios aprobados a favor de esta Unidad Ejecutora, conforme al siguiente detalle: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7" ht="15.75" customHeight="1" x14ac:dyDescent="0.2">
      <c r="A12" s="179" t="s">
        <v>30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customHeight="1" x14ac:dyDescent="0.2">
      <c r="A13" s="180" t="s">
        <v>31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32</v>
      </c>
      <c r="P13" s="181"/>
      <c r="Q13" s="182" t="s">
        <v>33</v>
      </c>
    </row>
    <row r="14" spans="1:17" ht="15.75" customHeight="1" x14ac:dyDescent="0.2">
      <c r="A14" s="9" t="s">
        <v>34</v>
      </c>
      <c r="B14" s="10" t="s">
        <v>35</v>
      </c>
      <c r="C14" s="10" t="s">
        <v>36</v>
      </c>
      <c r="D14" s="10" t="s">
        <v>37</v>
      </c>
      <c r="E14" s="10" t="s">
        <v>38</v>
      </c>
      <c r="F14" s="10" t="s">
        <v>39</v>
      </c>
      <c r="G14" s="11" t="s">
        <v>40</v>
      </c>
      <c r="H14" s="10" t="s">
        <v>41</v>
      </c>
      <c r="I14" s="10" t="s">
        <v>42</v>
      </c>
      <c r="J14" s="10" t="s">
        <v>43</v>
      </c>
      <c r="K14" s="10" t="s">
        <v>43</v>
      </c>
      <c r="L14" s="10" t="s">
        <v>44</v>
      </c>
      <c r="M14" s="12" t="s">
        <v>45</v>
      </c>
      <c r="N14" s="13" t="s">
        <v>46</v>
      </c>
      <c r="O14" s="181"/>
      <c r="P14" s="181"/>
      <c r="Q14" s="182"/>
    </row>
    <row r="15" spans="1:17" s="73" customFormat="1" ht="37.5" customHeight="1" x14ac:dyDescent="0.2">
      <c r="A15" s="103">
        <v>31</v>
      </c>
      <c r="B15" s="104"/>
      <c r="C15" s="104"/>
      <c r="D15" s="104">
        <v>1</v>
      </c>
      <c r="E15" s="104"/>
      <c r="F15" s="104">
        <v>4901</v>
      </c>
      <c r="G15" s="104">
        <v>3</v>
      </c>
      <c r="H15" s="104">
        <v>1</v>
      </c>
      <c r="I15" s="104">
        <v>2</v>
      </c>
      <c r="J15" s="104">
        <v>9</v>
      </c>
      <c r="K15" s="104">
        <v>5</v>
      </c>
      <c r="L15" s="104"/>
      <c r="M15" s="105">
        <v>1</v>
      </c>
      <c r="N15" s="106" t="s">
        <v>52</v>
      </c>
      <c r="O15" s="174" t="s">
        <v>92</v>
      </c>
      <c r="P15" s="175"/>
      <c r="Q15" s="107">
        <f>'NP SAME'!J28</f>
        <v>369030</v>
      </c>
    </row>
    <row r="16" spans="1:17" s="73" customFormat="1" ht="17.25" customHeight="1" x14ac:dyDescent="0.2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111"/>
      <c r="O16" s="184"/>
      <c r="P16" s="184"/>
      <c r="Q16" s="112"/>
    </row>
    <row r="17" spans="1:18" s="73" customFormat="1" ht="17.25" customHeight="1" x14ac:dyDescent="0.2">
      <c r="A17" s="108"/>
      <c r="B17" s="109"/>
      <c r="C17" s="109"/>
      <c r="D17" s="109"/>
      <c r="E17" s="109"/>
      <c r="F17" s="111"/>
      <c r="G17" s="109"/>
      <c r="H17" s="109"/>
      <c r="I17" s="109"/>
      <c r="J17" s="109"/>
      <c r="K17" s="109"/>
      <c r="L17" s="109"/>
      <c r="M17" s="110"/>
      <c r="N17" s="111"/>
      <c r="O17" s="184"/>
      <c r="P17" s="184"/>
      <c r="Q17" s="112"/>
    </row>
    <row r="18" spans="1:18" s="73" customFormat="1" ht="17.25" customHeight="1" x14ac:dyDescent="0.2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11"/>
      <c r="O18" s="184"/>
      <c r="P18" s="184"/>
      <c r="Q18" s="112"/>
    </row>
    <row r="19" spans="1:18" s="73" customFormat="1" ht="17.25" customHeight="1" x14ac:dyDescent="0.2">
      <c r="A19" s="108"/>
      <c r="B19" s="109"/>
      <c r="C19" s="109"/>
      <c r="D19" s="109"/>
      <c r="E19" s="109"/>
      <c r="F19" s="111"/>
      <c r="G19" s="109"/>
      <c r="H19" s="109"/>
      <c r="I19" s="109"/>
      <c r="J19" s="109"/>
      <c r="K19" s="109"/>
      <c r="L19" s="109"/>
      <c r="M19" s="110"/>
      <c r="N19" s="111"/>
      <c r="O19" s="184"/>
      <c r="P19" s="184"/>
      <c r="Q19" s="112"/>
    </row>
    <row r="20" spans="1:18" s="73" customFormat="1" ht="17.25" customHeight="1" x14ac:dyDescent="0.2">
      <c r="A20" s="108"/>
      <c r="B20" s="109"/>
      <c r="C20" s="109"/>
      <c r="D20" s="109"/>
      <c r="E20" s="109"/>
      <c r="F20" s="111"/>
      <c r="G20" s="109"/>
      <c r="H20" s="109"/>
      <c r="I20" s="109"/>
      <c r="J20" s="109"/>
      <c r="K20" s="109"/>
      <c r="L20" s="109"/>
      <c r="M20" s="110"/>
      <c r="N20" s="111"/>
      <c r="O20" s="184"/>
      <c r="P20" s="184"/>
      <c r="Q20" s="112"/>
    </row>
    <row r="21" spans="1:18" s="73" customFormat="1" ht="17.25" customHeight="1" x14ac:dyDescent="0.2">
      <c r="A21" s="113"/>
      <c r="B21" s="114"/>
      <c r="C21" s="114"/>
      <c r="D21" s="114"/>
      <c r="E21" s="114"/>
      <c r="F21" s="115"/>
      <c r="G21" s="114"/>
      <c r="H21" s="114"/>
      <c r="I21" s="114"/>
      <c r="J21" s="114"/>
      <c r="K21" s="114"/>
      <c r="L21" s="114"/>
      <c r="M21" s="116"/>
      <c r="N21" s="117"/>
      <c r="O21" s="185"/>
      <c r="P21" s="185"/>
      <c r="Q21" s="112"/>
      <c r="R21" s="91"/>
    </row>
    <row r="22" spans="1:18" s="73" customFormat="1" ht="17.25" customHeight="1" x14ac:dyDescent="0.2">
      <c r="A22" s="118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20"/>
      <c r="N22" s="119"/>
      <c r="O22" s="186"/>
      <c r="P22" s="186"/>
      <c r="Q22" s="121"/>
    </row>
    <row r="23" spans="1:18" s="73" customFormat="1" ht="29.25" customHeight="1" x14ac:dyDescent="0.2">
      <c r="A23" s="187" t="s">
        <v>93</v>
      </c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22">
        <f>SUM(Q15:Q22)</f>
        <v>369030</v>
      </c>
    </row>
    <row r="24" spans="1:18" s="73" customFormat="1" ht="18" customHeight="1" thickBot="1" x14ac:dyDescent="0.25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</row>
    <row r="25" spans="1:18" s="73" customFormat="1" ht="17.25" customHeight="1" thickBot="1" x14ac:dyDescent="0.25">
      <c r="A25" s="189" t="s">
        <v>47</v>
      </c>
      <c r="B25" s="190"/>
      <c r="C25" s="190"/>
      <c r="D25" s="190"/>
      <c r="E25" s="190"/>
      <c r="F25" s="191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</row>
    <row r="26" spans="1:18" s="73" customFormat="1" ht="18" customHeight="1" thickBot="1" x14ac:dyDescent="0.25">
      <c r="A26" s="183" t="str">
        <f>'NP SAME'!D8</f>
        <v>ADQUISICION DE INSUMOS PARA TERAPIA RESPIRATORIA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</row>
    <row r="27" spans="1:18" s="73" customFormat="1" ht="15" customHeight="1" x14ac:dyDescent="0.2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6"/>
  <sheetViews>
    <sheetView zoomScale="90" zoomScaleNormal="90" workbookViewId="0">
      <selection activeCell="A17" sqref="A17"/>
    </sheetView>
  </sheetViews>
  <sheetFormatPr baseColWidth="10" defaultColWidth="9.140625" defaultRowHeight="12.75" x14ac:dyDescent="0.2"/>
  <cols>
    <col min="1" max="1" width="5.5703125" style="72" customWidth="1"/>
    <col min="2" max="2" width="15.140625" style="72" customWidth="1"/>
    <col min="3" max="3" width="14.140625" style="72" customWidth="1"/>
    <col min="4" max="4" width="26" style="72" customWidth="1"/>
    <col min="5" max="5" width="8" style="72" customWidth="1"/>
    <col min="6" max="6" width="7.85546875" style="72" customWidth="1"/>
    <col min="7" max="7" width="28.140625" style="72" customWidth="1"/>
    <col min="8" max="8" width="9.28515625" style="72" customWidth="1"/>
    <col min="9" max="9" width="15.5703125" style="72" customWidth="1"/>
    <col min="10" max="10" width="14.7109375" style="89" customWidth="1"/>
    <col min="11" max="11" width="15.5703125" style="72" customWidth="1"/>
    <col min="12" max="14" width="5.85546875" style="72" customWidth="1"/>
    <col min="15" max="15" width="12.5703125" style="72" customWidth="1"/>
    <col min="16" max="1024" width="9.140625" style="72"/>
    <col min="1025" max="16384" width="9.140625" style="73"/>
  </cols>
  <sheetData>
    <row r="1" spans="1:11" ht="18" customHeight="1" thickBot="1" x14ac:dyDescent="0.25">
      <c r="A1" s="148" t="s">
        <v>14</v>
      </c>
      <c r="B1" s="148"/>
      <c r="C1" s="148"/>
      <c r="D1" s="148"/>
      <c r="E1" s="148"/>
      <c r="F1" s="148"/>
      <c r="G1" s="148"/>
      <c r="H1" s="148"/>
      <c r="I1" s="148"/>
      <c r="J1" s="84" t="s">
        <v>15</v>
      </c>
      <c r="K1" s="123" t="s">
        <v>95</v>
      </c>
    </row>
    <row r="2" spans="1:11" ht="18.75" customHeight="1" thickBot="1" x14ac:dyDescent="0.25">
      <c r="A2" s="74"/>
      <c r="B2" s="74"/>
      <c r="C2" s="74"/>
      <c r="D2" s="75"/>
      <c r="E2" s="75"/>
      <c r="F2" s="75"/>
      <c r="G2" s="75"/>
      <c r="H2" s="75"/>
      <c r="I2" s="75"/>
      <c r="J2" s="85"/>
      <c r="K2" s="75"/>
    </row>
    <row r="3" spans="1:11" ht="18.75" customHeight="1" thickBot="1" x14ac:dyDescent="0.25">
      <c r="A3" s="149" t="s">
        <v>48</v>
      </c>
      <c r="B3" s="149"/>
      <c r="C3" s="149"/>
      <c r="D3" s="147" t="str">
        <f>'Necesidades Trimestrales'!C4</f>
        <v>040 - Ministerio de Salud</v>
      </c>
      <c r="E3" s="147"/>
      <c r="F3" s="147"/>
      <c r="G3" s="147"/>
      <c r="H3" s="147"/>
      <c r="I3" s="147"/>
      <c r="J3" s="147"/>
      <c r="K3" s="147"/>
    </row>
    <row r="4" spans="1:11" ht="18.75" customHeight="1" thickBot="1" x14ac:dyDescent="0.25">
      <c r="A4" s="146" t="s">
        <v>49</v>
      </c>
      <c r="B4" s="146"/>
      <c r="C4" s="146"/>
      <c r="D4" s="147" t="str">
        <f>'Necesidades Trimestrales'!C5</f>
        <v>011 - Direccion Provincial de Administracion del Ministerio de Salud</v>
      </c>
      <c r="E4" s="147"/>
      <c r="F4" s="147"/>
      <c r="G4" s="147"/>
      <c r="H4" s="147"/>
      <c r="I4" s="147"/>
      <c r="J4" s="147"/>
      <c r="K4" s="147"/>
    </row>
    <row r="5" spans="1:11" ht="18.75" customHeight="1" thickBot="1" x14ac:dyDescent="0.25">
      <c r="A5" s="146" t="s">
        <v>27</v>
      </c>
      <c r="B5" s="146"/>
      <c r="C5" s="146"/>
      <c r="D5" s="147" t="s">
        <v>94</v>
      </c>
      <c r="E5" s="147"/>
      <c r="F5" s="147"/>
      <c r="G5" s="147"/>
      <c r="H5" s="147"/>
      <c r="I5" s="147"/>
      <c r="J5" s="147"/>
      <c r="K5" s="147"/>
    </row>
    <row r="6" spans="1:11" ht="16.5" customHeight="1" thickBot="1" x14ac:dyDescent="0.25">
      <c r="A6" s="149" t="s">
        <v>50</v>
      </c>
      <c r="B6" s="149"/>
      <c r="C6" s="149"/>
      <c r="D6" s="147" t="s">
        <v>94</v>
      </c>
      <c r="E6" s="147"/>
      <c r="F6" s="147"/>
      <c r="G6" s="147"/>
      <c r="H6" s="147"/>
      <c r="I6" s="147"/>
      <c r="J6" s="147"/>
      <c r="K6" s="147"/>
    </row>
    <row r="7" spans="1:11" ht="16.5" customHeight="1" thickBot="1" x14ac:dyDescent="0.25">
      <c r="A7" s="146" t="s">
        <v>16</v>
      </c>
      <c r="B7" s="146"/>
      <c r="C7" s="146"/>
      <c r="D7" s="147" t="s">
        <v>71</v>
      </c>
      <c r="E7" s="147"/>
      <c r="F7" s="147"/>
      <c r="G7" s="147"/>
      <c r="H7" s="147"/>
      <c r="I7" s="147"/>
      <c r="J7" s="147"/>
      <c r="K7" s="147"/>
    </row>
    <row r="8" spans="1:11" ht="16.5" customHeight="1" thickBot="1" x14ac:dyDescent="0.25">
      <c r="A8" s="150" t="s">
        <v>17</v>
      </c>
      <c r="B8" s="150"/>
      <c r="C8" s="150"/>
      <c r="D8" s="151" t="s">
        <v>72</v>
      </c>
      <c r="E8" s="152"/>
      <c r="F8" s="152"/>
      <c r="G8" s="152"/>
      <c r="H8" s="152"/>
      <c r="I8" s="152"/>
      <c r="J8" s="152"/>
      <c r="K8" s="153"/>
    </row>
    <row r="9" spans="1:11" ht="16.5" thickBot="1" x14ac:dyDescent="0.25">
      <c r="A9" s="76"/>
      <c r="B9" s="76"/>
      <c r="C9" s="76"/>
      <c r="D9" s="77"/>
      <c r="E9" s="77"/>
      <c r="F9" s="77"/>
      <c r="G9" s="77"/>
      <c r="H9" s="77"/>
      <c r="I9" s="77"/>
      <c r="J9" s="86"/>
      <c r="K9" s="77"/>
    </row>
    <row r="10" spans="1:11" ht="18.75" customHeight="1" thickBot="1" x14ac:dyDescent="0.25">
      <c r="A10" s="154" t="s">
        <v>18</v>
      </c>
      <c r="B10" s="155" t="s">
        <v>19</v>
      </c>
      <c r="C10" s="155" t="s">
        <v>20</v>
      </c>
      <c r="D10" s="155"/>
      <c r="E10" s="155"/>
      <c r="F10" s="155"/>
      <c r="G10" s="155"/>
      <c r="H10" s="155" t="s">
        <v>21</v>
      </c>
      <c r="I10" s="155" t="s">
        <v>22</v>
      </c>
      <c r="J10" s="158" t="s">
        <v>23</v>
      </c>
      <c r="K10" s="157" t="s">
        <v>24</v>
      </c>
    </row>
    <row r="11" spans="1:11" ht="24" customHeight="1" thickBot="1" x14ac:dyDescent="0.25">
      <c r="A11" s="154"/>
      <c r="B11" s="155"/>
      <c r="C11" s="155"/>
      <c r="D11" s="155"/>
      <c r="E11" s="155"/>
      <c r="F11" s="155"/>
      <c r="G11" s="155"/>
      <c r="H11" s="155"/>
      <c r="I11" s="155"/>
      <c r="J11" s="158"/>
      <c r="K11" s="157"/>
    </row>
    <row r="12" spans="1:11" ht="18.75" customHeight="1" x14ac:dyDescent="0.2">
      <c r="A12" s="99">
        <v>1</v>
      </c>
      <c r="B12" s="79"/>
      <c r="C12" s="193" t="str">
        <f>+'Necesidades Trimestrales'!E32</f>
        <v>RESUCITADOR MANUAL ADULTO REUTILIZABLE</v>
      </c>
      <c r="D12" s="193"/>
      <c r="E12" s="193"/>
      <c r="F12" s="193"/>
      <c r="G12" s="193"/>
      <c r="H12" s="78" t="s">
        <v>53</v>
      </c>
      <c r="I12" s="80" t="str">
        <f>+'Necesidades Trimestrales'!F32</f>
        <v>UNIDAD</v>
      </c>
      <c r="J12" s="87">
        <f>+'Necesidades Trimestrales'!N32</f>
        <v>8200</v>
      </c>
      <c r="K12" s="98">
        <f>'Necesidades Trimestrales'!K32</f>
        <v>10</v>
      </c>
    </row>
    <row r="13" spans="1:11" ht="18.75" customHeight="1" x14ac:dyDescent="0.2">
      <c r="A13" s="99">
        <v>2</v>
      </c>
      <c r="B13" s="79"/>
      <c r="C13" s="193" t="str">
        <f>+'Necesidades Trimestrales'!E33</f>
        <v>RESUCITADOR MANUAL NEONATAL  REUTILIZABLE</v>
      </c>
      <c r="D13" s="193"/>
      <c r="E13" s="193"/>
      <c r="F13" s="193"/>
      <c r="G13" s="193"/>
      <c r="H13" s="78" t="s">
        <v>53</v>
      </c>
      <c r="I13" s="80" t="str">
        <f>+'Necesidades Trimestrales'!F33</f>
        <v>UNIDAD</v>
      </c>
      <c r="J13" s="87">
        <f>+'Necesidades Trimestrales'!N33</f>
        <v>8200</v>
      </c>
      <c r="K13" s="98">
        <f>'Necesidades Trimestrales'!K33</f>
        <v>20</v>
      </c>
    </row>
    <row r="14" spans="1:11" ht="18.75" customHeight="1" x14ac:dyDescent="0.2">
      <c r="A14" s="101">
        <v>3</v>
      </c>
      <c r="B14" s="82"/>
      <c r="C14" s="193" t="str">
        <f>+'Necesidades Trimestrales'!E34</f>
        <v xml:space="preserve">RESUCITADOR MANUAL PEDIATRICO REUTILIZABLE </v>
      </c>
      <c r="D14" s="193"/>
      <c r="E14" s="193"/>
      <c r="F14" s="193"/>
      <c r="G14" s="193"/>
      <c r="H14" s="78" t="s">
        <v>53</v>
      </c>
      <c r="I14" s="80" t="str">
        <f>+'Necesidades Trimestrales'!F34</f>
        <v>UNIDAD</v>
      </c>
      <c r="J14" s="87">
        <f>+'Necesidades Trimestrales'!N34</f>
        <v>8200</v>
      </c>
      <c r="K14" s="98">
        <f>'Necesidades Trimestrales'!K34</f>
        <v>20</v>
      </c>
    </row>
    <row r="15" spans="1:11" ht="20.25" customHeight="1" thickBot="1" x14ac:dyDescent="0.25">
      <c r="A15" s="101"/>
      <c r="B15" s="82"/>
      <c r="C15" s="161"/>
      <c r="D15" s="161"/>
      <c r="E15" s="161"/>
      <c r="F15" s="161"/>
      <c r="G15" s="161"/>
      <c r="H15" s="81"/>
      <c r="I15" s="83"/>
      <c r="J15" s="88"/>
      <c r="K15" s="102"/>
    </row>
    <row r="16" spans="1:11" ht="16.5" thickBot="1" x14ac:dyDescent="0.25">
      <c r="A16" s="162" t="s">
        <v>117</v>
      </c>
      <c r="B16" s="163"/>
      <c r="C16" s="163"/>
      <c r="D16" s="163"/>
      <c r="E16" s="163"/>
      <c r="F16" s="163"/>
      <c r="G16" s="163"/>
      <c r="H16" s="163"/>
      <c r="I16" s="164"/>
      <c r="J16" s="194">
        <f>SUMPRODUCT(J12:J14,K12:K14)</f>
        <v>410000</v>
      </c>
      <c r="K16" s="195"/>
    </row>
  </sheetData>
  <mergeCells count="2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A10:A11"/>
    <mergeCell ref="B10:B11"/>
    <mergeCell ref="C10:G11"/>
    <mergeCell ref="H10:H11"/>
    <mergeCell ref="I10:I11"/>
    <mergeCell ref="J10:J11"/>
    <mergeCell ref="J16:K16"/>
    <mergeCell ref="C14:G14"/>
    <mergeCell ref="C12:G12"/>
    <mergeCell ref="C13:G13"/>
    <mergeCell ref="C15:G15"/>
    <mergeCell ref="A16:I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6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23.28515625" customWidth="1"/>
    <col min="17" max="17" width="14.7109375" customWidth="1"/>
  </cols>
  <sheetData>
    <row r="1" spans="1:17" ht="15.75" customHeight="1" thickBot="1" x14ac:dyDescent="0.3">
      <c r="A1" s="169" t="s">
        <v>3</v>
      </c>
      <c r="B1" s="169"/>
      <c r="C1" s="169"/>
      <c r="D1" s="170">
        <f>'Necesidades Trimestrales'!C6</f>
        <v>2022</v>
      </c>
      <c r="E1" s="170"/>
      <c r="F1" s="2"/>
      <c r="G1" s="2"/>
      <c r="H1" s="3"/>
      <c r="I1" s="3"/>
      <c r="J1" s="3"/>
      <c r="K1" s="3"/>
      <c r="L1" s="3"/>
      <c r="M1" s="3"/>
      <c r="N1" s="3"/>
      <c r="P1" s="171" t="s">
        <v>25</v>
      </c>
      <c r="Q1" s="171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171"/>
      <c r="Q2" s="171"/>
    </row>
    <row r="4" spans="1:17" s="4" customFormat="1" ht="18" customHeight="1" thickBot="1" x14ac:dyDescent="0.25">
      <c r="A4" s="172" t="s">
        <v>26</v>
      </c>
      <c r="B4" s="172"/>
      <c r="C4" s="172"/>
      <c r="D4" s="172"/>
      <c r="E4" s="172"/>
      <c r="F4" s="172"/>
      <c r="G4" s="173" t="str">
        <f>'NP DPMIA'!D3</f>
        <v>040 - Ministerio de Salud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s="90" customFormat="1" ht="18" customHeight="1" thickBot="1" x14ac:dyDescent="0.25">
      <c r="A5" s="165" t="s">
        <v>49</v>
      </c>
      <c r="B5" s="166"/>
      <c r="C5" s="166"/>
      <c r="D5" s="166"/>
      <c r="E5" s="166"/>
      <c r="F5" s="167"/>
      <c r="G5" s="168" t="str">
        <f>'NP DPMIA'!D4</f>
        <v>011 - Direccion Provincial de Administracion del Ministerio de Salud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s="90" customFormat="1" ht="18" customHeight="1" thickBot="1" x14ac:dyDescent="0.25">
      <c r="A6" s="165" t="s">
        <v>27</v>
      </c>
      <c r="B6" s="166"/>
      <c r="C6" s="166"/>
      <c r="D6" s="166"/>
      <c r="E6" s="166"/>
      <c r="F6" s="167"/>
      <c r="G6" s="168" t="str">
        <f>'NP DPMIA'!D5</f>
        <v>162 - DIRECCION PROVINCIAL MATERNIDAD, INFANCIA Y ADOLESCENCIA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90" customFormat="1" ht="18" customHeight="1" thickBot="1" x14ac:dyDescent="0.25">
      <c r="A7" s="165" t="s">
        <v>50</v>
      </c>
      <c r="B7" s="166"/>
      <c r="C7" s="166"/>
      <c r="D7" s="166"/>
      <c r="E7" s="166"/>
      <c r="F7" s="167"/>
      <c r="G7" s="168" t="str">
        <f>'NP DPMIA'!D6</f>
        <v>162 - DIRECCION PROVINCIAL MATERNIDAD, INFANCIA Y ADOLESCENCIA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s="73" customFormat="1" ht="18" customHeight="1" thickBot="1" x14ac:dyDescent="0.25">
      <c r="A8" s="176" t="s">
        <v>28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s="73" customFormat="1" ht="18" customHeight="1" x14ac:dyDescent="0.2">
      <c r="A9" s="177" t="s">
        <v>29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91"/>
      <c r="P9" s="91"/>
      <c r="Q9" s="92"/>
    </row>
    <row r="10" spans="1:17" s="73" customFormat="1" ht="54.75" customHeight="1" x14ac:dyDescent="0.2">
      <c r="A10" s="178" t="str">
        <f>"Autorizo la realización de los  trámites correspondientes, a fin de proveer a  este Organismo los bienes y/o servicios que se detallan en Nota  de Pedido N° " &amp; 'NP DPMIA'!K1&amp;",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05/2022,  afectando la erogación resultante a los créditos presupuestarios aprobados a favor de esta Unidad Ejecutora, conforme al siguiente detalle: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</row>
    <row r="11" spans="1:17" ht="9" customHeight="1" thickBot="1" x14ac:dyDescent="0.25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7" ht="15.75" customHeight="1" thickBot="1" x14ac:dyDescent="0.25">
      <c r="A12" s="179" t="s">
        <v>30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customHeight="1" thickBot="1" x14ac:dyDescent="0.25">
      <c r="A13" s="180" t="s">
        <v>31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 t="s">
        <v>32</v>
      </c>
      <c r="P13" s="181"/>
      <c r="Q13" s="182" t="s">
        <v>33</v>
      </c>
    </row>
    <row r="14" spans="1:17" ht="15.75" customHeight="1" thickBot="1" x14ac:dyDescent="0.25">
      <c r="A14" s="9" t="s">
        <v>34</v>
      </c>
      <c r="B14" s="10" t="s">
        <v>35</v>
      </c>
      <c r="C14" s="10" t="s">
        <v>36</v>
      </c>
      <c r="D14" s="10" t="s">
        <v>37</v>
      </c>
      <c r="E14" s="10" t="s">
        <v>38</v>
      </c>
      <c r="F14" s="10" t="s">
        <v>39</v>
      </c>
      <c r="G14" s="11" t="s">
        <v>40</v>
      </c>
      <c r="H14" s="10" t="s">
        <v>41</v>
      </c>
      <c r="I14" s="10" t="s">
        <v>42</v>
      </c>
      <c r="J14" s="10" t="s">
        <v>43</v>
      </c>
      <c r="K14" s="10" t="s">
        <v>43</v>
      </c>
      <c r="L14" s="10" t="s">
        <v>44</v>
      </c>
      <c r="M14" s="12" t="s">
        <v>45</v>
      </c>
      <c r="N14" s="13" t="s">
        <v>46</v>
      </c>
      <c r="O14" s="181"/>
      <c r="P14" s="181"/>
      <c r="Q14" s="182"/>
    </row>
    <row r="15" spans="1:17" s="73" customFormat="1" ht="37.5" customHeight="1" x14ac:dyDescent="0.2">
      <c r="A15" s="103">
        <v>20</v>
      </c>
      <c r="B15" s="104"/>
      <c r="C15" s="104"/>
      <c r="D15" s="104">
        <v>1</v>
      </c>
      <c r="E15" s="104"/>
      <c r="F15" s="104">
        <v>4901</v>
      </c>
      <c r="G15" s="104">
        <v>3</v>
      </c>
      <c r="H15" s="104">
        <v>1</v>
      </c>
      <c r="I15" s="104">
        <v>2</v>
      </c>
      <c r="J15" s="104">
        <v>9</v>
      </c>
      <c r="K15" s="104">
        <v>5</v>
      </c>
      <c r="L15" s="104"/>
      <c r="M15" s="105">
        <v>1</v>
      </c>
      <c r="N15" s="106" t="s">
        <v>52</v>
      </c>
      <c r="O15" s="174" t="s">
        <v>92</v>
      </c>
      <c r="P15" s="175"/>
      <c r="Q15" s="107">
        <f>'NP DPMIA'!J16</f>
        <v>410000</v>
      </c>
    </row>
    <row r="16" spans="1:17" s="73" customFormat="1" ht="17.25" customHeight="1" x14ac:dyDescent="0.2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111"/>
      <c r="O16" s="184"/>
      <c r="P16" s="184"/>
      <c r="Q16" s="112"/>
    </row>
    <row r="17" spans="1:18" s="73" customFormat="1" ht="17.25" customHeight="1" x14ac:dyDescent="0.2">
      <c r="A17" s="108"/>
      <c r="B17" s="109"/>
      <c r="C17" s="109"/>
      <c r="D17" s="109"/>
      <c r="E17" s="109"/>
      <c r="F17" s="111"/>
      <c r="G17" s="109"/>
      <c r="H17" s="109"/>
      <c r="I17" s="109"/>
      <c r="J17" s="109"/>
      <c r="K17" s="109"/>
      <c r="L17" s="109"/>
      <c r="M17" s="110"/>
      <c r="N17" s="111"/>
      <c r="O17" s="184"/>
      <c r="P17" s="184"/>
      <c r="Q17" s="112"/>
    </row>
    <row r="18" spans="1:18" s="73" customFormat="1" ht="17.25" customHeight="1" x14ac:dyDescent="0.2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11"/>
      <c r="O18" s="184"/>
      <c r="P18" s="184"/>
      <c r="Q18" s="112"/>
    </row>
    <row r="19" spans="1:18" s="73" customFormat="1" ht="17.25" customHeight="1" x14ac:dyDescent="0.2">
      <c r="A19" s="108"/>
      <c r="B19" s="109"/>
      <c r="C19" s="109"/>
      <c r="D19" s="109"/>
      <c r="E19" s="109"/>
      <c r="F19" s="111"/>
      <c r="G19" s="109"/>
      <c r="H19" s="109"/>
      <c r="I19" s="109"/>
      <c r="J19" s="109"/>
      <c r="K19" s="109"/>
      <c r="L19" s="109"/>
      <c r="M19" s="110"/>
      <c r="N19" s="111"/>
      <c r="O19" s="184"/>
      <c r="P19" s="184"/>
      <c r="Q19" s="112"/>
    </row>
    <row r="20" spans="1:18" s="73" customFormat="1" ht="17.25" customHeight="1" x14ac:dyDescent="0.2">
      <c r="A20" s="108"/>
      <c r="B20" s="109"/>
      <c r="C20" s="109"/>
      <c r="D20" s="109"/>
      <c r="E20" s="109"/>
      <c r="F20" s="111"/>
      <c r="G20" s="109"/>
      <c r="H20" s="109"/>
      <c r="I20" s="109"/>
      <c r="J20" s="109"/>
      <c r="K20" s="109"/>
      <c r="L20" s="109"/>
      <c r="M20" s="110"/>
      <c r="N20" s="111"/>
      <c r="O20" s="184"/>
      <c r="P20" s="184"/>
      <c r="Q20" s="112"/>
    </row>
    <row r="21" spans="1:18" s="73" customFormat="1" ht="17.25" customHeight="1" x14ac:dyDescent="0.2">
      <c r="A21" s="113"/>
      <c r="B21" s="114"/>
      <c r="C21" s="114"/>
      <c r="D21" s="114"/>
      <c r="E21" s="114"/>
      <c r="F21" s="115"/>
      <c r="G21" s="114"/>
      <c r="H21" s="114"/>
      <c r="I21" s="114"/>
      <c r="J21" s="114"/>
      <c r="K21" s="114"/>
      <c r="L21" s="114"/>
      <c r="M21" s="116"/>
      <c r="N21" s="117"/>
      <c r="O21" s="185"/>
      <c r="P21" s="185"/>
      <c r="Q21" s="112"/>
      <c r="R21" s="91"/>
    </row>
    <row r="22" spans="1:18" s="73" customFormat="1" ht="17.25" customHeight="1" thickBot="1" x14ac:dyDescent="0.25">
      <c r="A22" s="118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20"/>
      <c r="N22" s="119"/>
      <c r="O22" s="186"/>
      <c r="P22" s="186"/>
      <c r="Q22" s="121"/>
    </row>
    <row r="23" spans="1:18" s="73" customFormat="1" ht="29.25" customHeight="1" thickBot="1" x14ac:dyDescent="0.25">
      <c r="A23" s="187" t="s">
        <v>96</v>
      </c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22">
        <f>SUM(Q15:Q22)</f>
        <v>410000</v>
      </c>
    </row>
    <row r="24" spans="1:18" s="73" customFormat="1" ht="18" customHeight="1" thickBot="1" x14ac:dyDescent="0.25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</row>
    <row r="25" spans="1:18" s="73" customFormat="1" ht="17.25" customHeight="1" thickBot="1" x14ac:dyDescent="0.25">
      <c r="A25" s="189" t="s">
        <v>47</v>
      </c>
      <c r="B25" s="190"/>
      <c r="C25" s="190"/>
      <c r="D25" s="190"/>
      <c r="E25" s="190"/>
      <c r="F25" s="191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</row>
    <row r="26" spans="1:18" s="73" customFormat="1" ht="18" customHeight="1" thickBot="1" x14ac:dyDescent="0.25">
      <c r="A26" s="183" t="str">
        <f>'NP DPMIA'!D8</f>
        <v>ADQUISICION DE INSUMOS PARA TERAPIA RESPIRATORIA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</row>
    <row r="27" spans="1:18" s="73" customFormat="1" ht="15" customHeight="1" thickBot="1" x14ac:dyDescent="0.25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</vt:lpstr>
      <vt:lpstr>NP FARMACIA</vt:lpstr>
      <vt:lpstr>APG FARMACIA</vt:lpstr>
      <vt:lpstr>NP SAME</vt:lpstr>
      <vt:lpstr>APG SAME</vt:lpstr>
      <vt:lpstr>NP DPMIA</vt:lpstr>
      <vt:lpstr>APG DPMIA</vt:lpstr>
      <vt:lpstr>'APG DPMIA'!Área_de_impresión</vt:lpstr>
      <vt:lpstr>'APG FARMACIA'!Área_de_impresión</vt:lpstr>
      <vt:lpstr>'APG SAME'!Área_de_impresión</vt:lpstr>
      <vt:lpstr>'NP DPMIA'!Área_de_impresión</vt:lpstr>
      <vt:lpstr>'NP FARMACIA'!Área_de_impresión</vt:lpstr>
      <vt:lpstr>'NP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2022-05-30T21:11:24Z</cp:lastPrinted>
  <dcterms:created xsi:type="dcterms:W3CDTF">2020-07-17T23:44:49Z</dcterms:created>
  <dcterms:modified xsi:type="dcterms:W3CDTF">2022-06-02T14:25:23Z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