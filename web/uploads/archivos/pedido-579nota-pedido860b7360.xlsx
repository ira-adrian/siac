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77444306-13EB-4F28-8E42-820688423756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Hoja1" sheetId="29" r:id="rId22"/>
    <sheet name="NP. SUMAR" sheetId="23" r:id="rId23"/>
    <sheet name="APG. SUMAR" sheetId="24" r:id="rId24"/>
  </sheets>
  <externalReferences>
    <externalReference r:id="rId25"/>
    <externalReference r:id="rId26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3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2">'NP. SUMAR'!$A$1:$I$34</definedName>
  </definedNames>
  <calcPr calcId="181029"/>
</workbook>
</file>

<file path=xl/calcChain.xml><?xml version="1.0" encoding="utf-8"?>
<calcChain xmlns="http://schemas.openxmlformats.org/spreadsheetml/2006/main">
  <c r="BA52" i="1" l="1"/>
  <c r="BA51" i="1"/>
  <c r="BC51" i="1" s="1"/>
  <c r="BA50" i="1"/>
  <c r="BA49" i="1"/>
  <c r="BA48" i="1"/>
  <c r="BA47" i="1"/>
  <c r="BC47" i="1" s="1"/>
  <c r="BA46" i="1"/>
  <c r="BA45" i="1"/>
  <c r="BA44" i="1"/>
  <c r="BA43" i="1"/>
  <c r="BC43" i="1" s="1"/>
  <c r="BA42" i="1"/>
  <c r="BA41" i="1"/>
  <c r="BA40" i="1"/>
  <c r="BA39" i="1"/>
  <c r="BC39" i="1" s="1"/>
  <c r="BA38" i="1"/>
  <c r="BA37" i="1"/>
  <c r="BA36" i="1"/>
  <c r="BA35" i="1"/>
  <c r="BC35" i="1" s="1"/>
  <c r="BA34" i="1"/>
  <c r="BA33" i="1"/>
  <c r="BA32" i="1"/>
  <c r="BA31" i="1"/>
  <c r="BC31" i="1" s="1"/>
  <c r="BA30" i="1"/>
  <c r="BA29" i="1"/>
  <c r="BA28" i="1"/>
  <c r="BA27" i="1"/>
  <c r="BC27" i="1" s="1"/>
  <c r="BA26" i="1"/>
  <c r="BA25" i="1"/>
  <c r="BA24" i="1"/>
  <c r="BA23" i="1"/>
  <c r="BC23" i="1" s="1"/>
  <c r="BA22" i="1"/>
  <c r="BC22" i="1" s="1"/>
  <c r="BA21" i="1"/>
  <c r="BA20" i="1"/>
  <c r="BA19" i="1"/>
  <c r="BC19" i="1" s="1"/>
  <c r="BA18" i="1"/>
  <c r="BA17" i="1"/>
  <c r="BA16" i="1"/>
  <c r="BA15" i="1"/>
  <c r="BC15" i="1" s="1"/>
  <c r="BA14" i="1"/>
  <c r="BA13" i="1"/>
  <c r="BA12" i="1"/>
  <c r="BA11" i="1"/>
  <c r="BC11" i="1" s="1"/>
  <c r="BA10" i="1"/>
  <c r="BC52" i="1"/>
  <c r="BC50" i="1"/>
  <c r="BC49" i="1"/>
  <c r="BC48" i="1"/>
  <c r="BC46" i="1"/>
  <c r="BC45" i="1"/>
  <c r="BC44" i="1"/>
  <c r="BC42" i="1"/>
  <c r="BC41" i="1"/>
  <c r="BC40" i="1"/>
  <c r="BC38" i="1"/>
  <c r="BC37" i="1"/>
  <c r="BC36" i="1"/>
  <c r="BC34" i="1"/>
  <c r="BC33" i="1"/>
  <c r="BC32" i="1"/>
  <c r="BC30" i="1"/>
  <c r="BC29" i="1"/>
  <c r="BC28" i="1"/>
  <c r="BC26" i="1"/>
  <c r="BC25" i="1"/>
  <c r="BC24" i="1"/>
  <c r="BC21" i="1"/>
  <c r="BC20" i="1"/>
  <c r="BC18" i="1"/>
  <c r="BC17" i="1"/>
  <c r="BC16" i="1"/>
  <c r="BC14" i="1"/>
  <c r="BC13" i="1"/>
  <c r="BC12" i="1"/>
  <c r="BC10" i="1"/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F18" i="13"/>
  <c r="H17" i="13"/>
  <c r="H16" i="13"/>
  <c r="H15" i="13"/>
  <c r="J14" i="13" s="1"/>
  <c r="H14" i="13"/>
  <c r="H13" i="13"/>
  <c r="H12" i="13"/>
  <c r="J13" i="13" s="1"/>
  <c r="F14" i="19" l="1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F30" i="4" s="1"/>
  <c r="H12" i="4"/>
  <c r="J26" i="4" s="1"/>
  <c r="H43" i="2" l="1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J12" i="9" l="1"/>
  <c r="F20" i="9" s="1"/>
  <c r="C4" i="17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11" i="1"/>
  <c r="AX53" i="1" l="1"/>
  <c r="T10" i="1"/>
  <c r="T53" i="1" s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T53" i="1" l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L53" i="1" s="1"/>
  <c r="AN10" i="1" l="1"/>
  <c r="AN53" i="1" s="1"/>
  <c r="AT10" i="1" l="1"/>
  <c r="AJ10" i="1"/>
  <c r="AJ53" i="1" s="1"/>
  <c r="P10" i="1"/>
  <c r="P53" i="1" s="1"/>
  <c r="AD10" i="1" l="1"/>
  <c r="AD53" i="1" s="1"/>
  <c r="X10" i="1" l="1"/>
  <c r="X53" i="1" s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N53" i="1" s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<sst xmlns="http://schemas.openxmlformats.org/spreadsheetml/2006/main" count="1378" uniqueCount="254">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</sst>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8" fontId="8" fillId="0" borderId="0" applyBorder="0" applyProtection="0"/>
    <xf numFmtId="0" fontId="14" fillId="0" borderId="8" applyProtection="0"/>
    <xf numFmtId="0" fontId="15" fillId="5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4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6" fillId="0" borderId="0"/>
    <xf numFmtId="0" fontId="17" fillId="0" borderId="0"/>
    <xf numFmtId="0" fontId="8" fillId="0" borderId="0"/>
    <xf numFmtId="170" fontId="33" fillId="0" borderId="0" applyBorder="0" applyProtection="0"/>
  </cellStyleXfs>
  <cellXfs count="28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1" fillId="2" borderId="7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5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11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167" fontId="11" fillId="4" borderId="4" xfId="3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166" fontId="7" fillId="2" borderId="10" xfId="0" applyNumberFormat="1" applyFont="1" applyFill="1" applyBorder="1" applyAlignment="1">
      <alignment horizontal="center" vertical="center"/>
    </xf>
    <xf numFmtId="167" fontId="7" fillId="2" borderId="1" xfId="3" applyNumberFormat="1" applyFont="1" applyFill="1" applyBorder="1" applyAlignment="1" applyProtection="1">
      <alignment horizontal="center" vertical="center" wrapText="1"/>
    </xf>
    <xf numFmtId="0" fontId="9" fillId="2" borderId="6" xfId="0" applyFont="1" applyFill="1" applyBorder="1"/>
    <xf numFmtId="0" fontId="9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67" fontId="9" fillId="2" borderId="1" xfId="2" applyNumberFormat="1" applyFont="1" applyFill="1" applyBorder="1" applyAlignment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5" applyNumberFormat="1" applyFont="1" applyFill="1" applyBorder="1" applyAlignment="1">
      <alignment horizontal="center" vertical="center"/>
    </xf>
    <xf numFmtId="167" fontId="9" fillId="2" borderId="1" xfId="1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7" fontId="7" fillId="2" borderId="1" xfId="1" applyNumberFormat="1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0" xfId="0" applyFont="1" applyFill="1"/>
    <xf numFmtId="0" fontId="7" fillId="2" borderId="9" xfId="0" applyFont="1" applyFill="1" applyBorder="1"/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167" fontId="7" fillId="2" borderId="5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5" fillId="0" borderId="24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0" fontId="24" fillId="0" borderId="16" xfId="0" applyFont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/>
    </xf>
    <xf numFmtId="167" fontId="9" fillId="2" borderId="2" xfId="1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3" fontId="31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6" fillId="0" borderId="5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67" fontId="39" fillId="2" borderId="1" xfId="3" applyNumberFormat="1" applyFont="1" applyFill="1" applyBorder="1" applyAlignment="1" applyProtection="1">
      <alignment horizontal="center" vertical="center" wrapText="1"/>
    </xf>
    <xf numFmtId="167" fontId="39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0" borderId="0" xfId="0" applyFont="1"/>
    <xf numFmtId="0" fontId="0" fillId="0" borderId="44" xfId="0" applyFont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0" fontId="27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166" fontId="11" fillId="2" borderId="4" xfId="0" applyNumberFormat="1" applyFont="1" applyFill="1" applyBorder="1" applyAlignment="1">
      <alignment horizontal="center" vertical="center"/>
    </xf>
    <xf numFmtId="3" fontId="21" fillId="2" borderId="4" xfId="2" applyNumberFormat="1" applyFont="1" applyFill="1" applyBorder="1" applyAlignment="1">
      <alignment horizontal="center" vertical="center" wrapText="1"/>
    </xf>
    <xf numFmtId="0" fontId="11" fillId="2" borderId="9" xfId="0" applyFont="1" applyFill="1" applyBorder="1"/>
    <xf numFmtId="3" fontId="7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7" fontId="7" fillId="2" borderId="10" xfId="1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0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1" fillId="0" borderId="0" xfId="0" applyFont="1"/>
    <xf numFmtId="167" fontId="41" fillId="2" borderId="0" xfId="0" applyNumberFormat="1" applyFont="1" applyFill="1"/>
    <xf numFmtId="167" fontId="41" fillId="0" borderId="0" xfId="0" applyNumberFormat="1" applyFont="1"/>
    <xf numFmtId="0" fontId="41" fillId="2" borderId="0" xfId="0" applyFont="1" applyFill="1"/>
    <xf numFmtId="44" fontId="41" fillId="2" borderId="0" xfId="1" applyFont="1" applyFill="1"/>
    <xf numFmtId="44" fontId="41" fillId="2" borderId="0" xfId="0" applyNumberFormat="1" applyFont="1" applyFill="1"/>
    <xf numFmtId="0" fontId="38" fillId="2" borderId="1" xfId="4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left" vertical="center" wrapText="1"/>
    </xf>
    <xf numFmtId="167" fontId="39" fillId="2" borderId="2" xfId="1" applyNumberFormat="1" applyFont="1" applyFill="1" applyBorder="1" applyAlignment="1">
      <alignment horizontal="center" vertical="center"/>
    </xf>
    <xf numFmtId="3" fontId="39" fillId="2" borderId="2" xfId="0" applyNumberFormat="1" applyFont="1" applyFill="1" applyBorder="1" applyAlignment="1">
      <alignment horizontal="center" vertical="center"/>
    </xf>
    <xf numFmtId="167" fontId="39" fillId="2" borderId="1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 indent="1"/>
    </xf>
    <xf numFmtId="166" fontId="30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/>
    </xf>
    <xf numFmtId="0" fontId="31" fillId="0" borderId="27" xfId="0" applyFont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4" fillId="0" borderId="52" xfId="0" applyFont="1" applyBorder="1" applyAlignment="1">
      <alignment horizontal="left" vertical="center" wrapText="1" indent="1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1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44" xfId="0" applyFont="1" applyBorder="1" applyAlignment="1">
      <alignment horizontal="center" vertical="center"/>
    </xf>
    <xf numFmtId="49" fontId="34" fillId="0" borderId="26" xfId="0" applyNumberFormat="1" applyFont="1" applyBorder="1" applyAlignment="1">
      <alignment horizontal="justify" vertical="center" wrapText="1"/>
    </xf>
    <xf numFmtId="0" fontId="36" fillId="0" borderId="31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4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1" fillId="0" borderId="2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3" fillId="0" borderId="28" xfId="0" applyFont="1" applyBorder="1"/>
    <xf numFmtId="0" fontId="34" fillId="0" borderId="29" xfId="0" applyFont="1" applyBorder="1" applyAlignment="1">
      <alignment horizontal="left" indent="1"/>
    </xf>
    <xf numFmtId="0" fontId="28" fillId="0" borderId="28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/>
    </xf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5"/>
  <sheetViews>
    <sheetView tabSelected="1" zoomScaleNormal="100" workbookViewId="0">
      <pane xSplit="1" topLeftCell="B1" activePane="topRight" state="frozen"/>
      <selection activeCell="A5" sqref="A5"/>
      <selection pane="topRight" activeCell="BC6" sqref="BC6"/>
    </sheetView>
  </sheetViews>
  <sheetFormatPr baseColWidth="10" defaultRowHeight="15" x14ac:dyDescent="0.25"/>
  <cols>
    <col min="1" max="1" width="5.42578125" style="28" bestFit="1" customWidth="1"/>
    <col min="2" max="2" width="16.140625" style="28" customWidth="1"/>
    <col min="3" max="3" width="37" style="28" customWidth="1"/>
    <col min="4" max="4" width="9.7109375" style="28" customWidth="1"/>
    <col min="5" max="5" width="99.85546875" style="29" customWidth="1"/>
    <col min="6" max="6" width="22.7109375" style="28" customWidth="1"/>
    <col min="7" max="7" width="17.140625" style="28" hidden="1" customWidth="1"/>
    <col min="8" max="8" width="12.42578125" style="28" hidden="1" customWidth="1"/>
    <col min="9" max="9" width="8" style="28" hidden="1" customWidth="1"/>
    <col min="10" max="10" width="14.5703125" style="41" hidden="1" customWidth="1"/>
    <col min="11" max="11" width="12.42578125" style="28" hidden="1" customWidth="1"/>
    <col min="12" max="12" width="4.85546875" style="28" hidden="1" customWidth="1"/>
    <col min="13" max="13" width="12.42578125" style="28" hidden="1" customWidth="1"/>
    <col min="14" max="14" width="14.140625" style="28" hidden="1" customWidth="1"/>
    <col min="15" max="15" width="11.7109375" style="28" hidden="1" customWidth="1"/>
    <col min="16" max="16" width="16.42578125" style="28" hidden="1" customWidth="1"/>
    <col min="17" max="18" width="11.7109375" style="28" hidden="1" customWidth="1"/>
    <col min="19" max="19" width="11.7109375" style="30" hidden="1" customWidth="1"/>
    <col min="20" max="20" width="20.42578125" style="41" hidden="1" customWidth="1"/>
    <col min="21" max="23" width="11.7109375" style="28" hidden="1" customWidth="1"/>
    <col min="24" max="24" width="21.28515625" style="41" hidden="1" customWidth="1"/>
    <col min="25" max="27" width="11.7109375" style="28" hidden="1" customWidth="1"/>
    <col min="28" max="28" width="16.85546875" style="41" hidden="1" customWidth="1"/>
    <col min="29" max="29" width="11.7109375" style="28" hidden="1" customWidth="1"/>
    <col min="30" max="30" width="15.85546875" style="28" hidden="1" customWidth="1"/>
    <col min="31" max="31" width="11.7109375" style="28" hidden="1" customWidth="1"/>
    <col min="32" max="32" width="17.7109375" style="41" hidden="1" customWidth="1"/>
    <col min="33" max="34" width="11.7109375" style="28" hidden="1" customWidth="1"/>
    <col min="35" max="35" width="15.85546875" style="28" hidden="1" customWidth="1"/>
    <col min="36" max="36" width="15.85546875" style="41" hidden="1" customWidth="1"/>
    <col min="37" max="37" width="11.7109375" style="28" hidden="1" customWidth="1"/>
    <col min="38" max="38" width="16.42578125" style="28" hidden="1" customWidth="1"/>
    <col min="39" max="39" width="11.7109375" style="28" hidden="1" customWidth="1"/>
    <col min="40" max="40" width="16" style="41" hidden="1" customWidth="1"/>
    <col min="41" max="41" width="11.7109375" style="28" hidden="1" customWidth="1"/>
    <col min="42" max="42" width="14.42578125" style="28" hidden="1" customWidth="1"/>
    <col min="43" max="43" width="11.7109375" style="28" hidden="1" customWidth="1"/>
    <col min="44" max="44" width="11.7109375" style="41" hidden="1" customWidth="1"/>
    <col min="45" max="45" width="15.7109375" style="36" hidden="1" customWidth="1"/>
    <col min="46" max="46" width="15.7109375" style="41" hidden="1" customWidth="1"/>
    <col min="47" max="47" width="11.7109375" style="36" hidden="1" customWidth="1"/>
    <col min="48" max="48" width="15.28515625" style="41" hidden="1" customWidth="1"/>
    <col min="49" max="49" width="10" style="36" hidden="1" customWidth="1"/>
    <col min="50" max="50" width="13.140625" style="39" hidden="1" customWidth="1"/>
    <col min="51" max="52" width="11.7109375" style="39" hidden="1" customWidth="1"/>
    <col min="53" max="53" width="11.7109375" style="30" customWidth="1"/>
    <col min="54" max="54" width="13.85546875" style="41" customWidth="1"/>
    <col min="55" max="55" width="21" style="31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8"/>
      <c r="AT1" s="9"/>
      <c r="AU1" s="38"/>
      <c r="AV1" s="9"/>
      <c r="AW1" s="38"/>
      <c r="AX1" s="3"/>
      <c r="AY1" s="3"/>
      <c r="AZ1" s="3"/>
      <c r="BA1" s="7"/>
      <c r="BB1" s="8"/>
      <c r="BC1" s="9"/>
    </row>
    <row r="2" spans="1:57" s="45" customFormat="1" ht="18" x14ac:dyDescent="0.35">
      <c r="A2" s="43"/>
      <c r="B2" s="235" t="s">
        <v>0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44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8"/>
      <c r="AT3" s="9"/>
      <c r="AU3" s="38"/>
      <c r="AV3" s="9"/>
      <c r="AW3" s="38"/>
      <c r="AX3" s="3"/>
      <c r="AY3" s="3"/>
      <c r="AZ3" s="3"/>
      <c r="BA3" s="7"/>
      <c r="BB3" s="8"/>
      <c r="BC3" s="9"/>
    </row>
    <row r="4" spans="1:57" ht="14.45" x14ac:dyDescent="0.3">
      <c r="A4" s="234" t="s">
        <v>1</v>
      </c>
      <c r="B4" s="234"/>
      <c r="C4" s="236" t="s">
        <v>2</v>
      </c>
      <c r="D4" s="236"/>
      <c r="E4" s="236"/>
      <c r="F4" s="10"/>
      <c r="G4" s="10"/>
      <c r="H4" s="10"/>
      <c r="I4" s="10"/>
      <c r="J4" s="40"/>
      <c r="K4" s="10"/>
      <c r="L4" s="10"/>
      <c r="M4" s="11"/>
      <c r="N4" s="12"/>
      <c r="O4" s="13"/>
      <c r="P4" s="10"/>
      <c r="Q4" s="11"/>
      <c r="R4" s="10"/>
      <c r="S4" s="13"/>
      <c r="T4" s="40"/>
      <c r="U4" s="11"/>
      <c r="V4" s="10"/>
      <c r="W4" s="13"/>
      <c r="X4" s="40"/>
      <c r="Y4" s="13"/>
      <c r="Z4" s="10"/>
      <c r="AA4" s="13"/>
      <c r="AB4" s="40"/>
      <c r="AC4" s="13"/>
      <c r="AD4" s="10"/>
      <c r="AE4" s="13"/>
      <c r="AF4" s="40"/>
      <c r="AG4" s="13"/>
      <c r="AH4" s="10"/>
      <c r="AI4" s="13"/>
      <c r="AJ4" s="40"/>
      <c r="AK4" s="13"/>
      <c r="AL4" s="10"/>
      <c r="AM4" s="13"/>
      <c r="AN4" s="40"/>
      <c r="AO4" s="13"/>
      <c r="AP4" s="10"/>
      <c r="AQ4" s="13"/>
      <c r="AR4" s="40"/>
      <c r="AS4" s="35"/>
      <c r="AT4" s="40"/>
      <c r="AU4" s="35"/>
      <c r="AV4" s="40"/>
      <c r="AW4" s="35"/>
      <c r="AX4" s="10"/>
      <c r="AY4" s="10"/>
      <c r="AZ4" s="10"/>
      <c r="BA4" s="13"/>
      <c r="BB4" s="8"/>
      <c r="BC4" s="9"/>
    </row>
    <row r="5" spans="1:57" x14ac:dyDescent="0.25">
      <c r="A5" s="234" t="s">
        <v>3</v>
      </c>
      <c r="B5" s="234"/>
      <c r="C5" s="237" t="s">
        <v>4</v>
      </c>
      <c r="D5" s="237"/>
      <c r="E5" s="237"/>
      <c r="F5" s="10"/>
      <c r="G5" s="10"/>
      <c r="H5" s="10"/>
      <c r="I5" s="10"/>
      <c r="J5" s="40"/>
      <c r="K5" s="10"/>
      <c r="L5" s="10"/>
      <c r="M5" s="11"/>
      <c r="N5" s="12"/>
      <c r="O5" s="13"/>
      <c r="P5" s="10"/>
      <c r="Q5" s="11"/>
      <c r="R5" s="10"/>
      <c r="S5" s="13"/>
      <c r="T5" s="40"/>
      <c r="U5" s="11"/>
      <c r="V5" s="10"/>
      <c r="W5" s="13"/>
      <c r="X5" s="40"/>
      <c r="Y5" s="13"/>
      <c r="Z5" s="10"/>
      <c r="AA5" s="13"/>
      <c r="AB5" s="40"/>
      <c r="AC5" s="13"/>
      <c r="AD5" s="10"/>
      <c r="AE5" s="13"/>
      <c r="AF5" s="40"/>
      <c r="AG5" s="13"/>
      <c r="AH5" s="10"/>
      <c r="AI5" s="13"/>
      <c r="AJ5" s="40"/>
      <c r="AK5" s="13"/>
      <c r="AL5" s="10"/>
      <c r="AM5" s="13"/>
      <c r="AN5" s="40"/>
      <c r="AO5" s="13"/>
      <c r="AP5" s="10"/>
      <c r="AQ5" s="13"/>
      <c r="AR5" s="40"/>
      <c r="AS5" s="35"/>
      <c r="AT5" s="40"/>
      <c r="AU5" s="35"/>
      <c r="AV5" s="40"/>
      <c r="AW5" s="35"/>
      <c r="AX5" s="10"/>
      <c r="AY5" s="10"/>
      <c r="AZ5" s="10"/>
      <c r="BA5" s="13"/>
      <c r="BB5" s="8"/>
      <c r="BC5" s="9"/>
    </row>
    <row r="6" spans="1:57" ht="14.45" x14ac:dyDescent="0.3">
      <c r="A6" s="234" t="s">
        <v>5</v>
      </c>
      <c r="B6" s="234"/>
      <c r="C6" s="14">
        <v>2022</v>
      </c>
      <c r="D6" s="15"/>
      <c r="E6" s="14"/>
      <c r="F6" s="10"/>
      <c r="G6" s="10"/>
      <c r="H6" s="10"/>
      <c r="I6" s="10"/>
      <c r="J6" s="40"/>
      <c r="K6" s="10"/>
      <c r="L6" s="10"/>
      <c r="M6" s="11"/>
      <c r="N6" s="12"/>
      <c r="O6" s="13"/>
      <c r="P6" s="10"/>
      <c r="Q6" s="11"/>
      <c r="R6" s="10"/>
      <c r="S6" s="13"/>
      <c r="T6" s="40"/>
      <c r="U6" s="11"/>
      <c r="V6" s="10"/>
      <c r="W6" s="13"/>
      <c r="X6" s="40"/>
      <c r="Y6" s="13"/>
      <c r="Z6" s="10"/>
      <c r="AA6" s="13"/>
      <c r="AB6" s="40"/>
      <c r="AC6" s="13"/>
      <c r="AD6" s="10"/>
      <c r="AE6" s="13"/>
      <c r="AF6" s="40"/>
      <c r="AG6" s="13"/>
      <c r="AH6" s="10"/>
      <c r="AI6" s="13"/>
      <c r="AJ6" s="40"/>
      <c r="AK6" s="13"/>
      <c r="AL6" s="10"/>
      <c r="AM6" s="13"/>
      <c r="AN6" s="40"/>
      <c r="AO6" s="13"/>
      <c r="AP6" s="10"/>
      <c r="AQ6" s="13"/>
      <c r="AR6" s="40"/>
      <c r="AS6" s="35"/>
      <c r="AT6" s="40"/>
      <c r="AU6" s="35"/>
      <c r="AV6" s="40"/>
      <c r="AW6" s="35"/>
      <c r="AX6" s="10"/>
      <c r="AY6" s="10"/>
      <c r="AZ6" s="10"/>
      <c r="BA6" s="13"/>
      <c r="BB6" s="8"/>
      <c r="BC6" s="9"/>
    </row>
    <row r="7" spans="1:57" ht="14.45" x14ac:dyDescent="0.3">
      <c r="A7" s="234" t="s">
        <v>6</v>
      </c>
      <c r="B7" s="234"/>
      <c r="C7" s="14" t="s">
        <v>163</v>
      </c>
      <c r="D7" s="15"/>
      <c r="E7" s="14"/>
      <c r="F7" s="10"/>
      <c r="G7" s="10"/>
      <c r="H7" s="10"/>
      <c r="I7" s="10"/>
      <c r="J7" s="40"/>
      <c r="K7" s="10"/>
      <c r="L7" s="10"/>
      <c r="M7" s="11"/>
      <c r="N7" s="12"/>
      <c r="O7" s="13"/>
      <c r="P7" s="10"/>
      <c r="Q7" s="11"/>
      <c r="R7" s="10"/>
      <c r="S7" s="13"/>
      <c r="T7" s="40"/>
      <c r="U7" s="11"/>
      <c r="V7" s="10"/>
      <c r="W7" s="13"/>
      <c r="X7" s="40"/>
      <c r="Y7" s="13"/>
      <c r="Z7" s="10"/>
      <c r="AA7" s="13"/>
      <c r="AB7" s="40"/>
      <c r="AC7" s="13"/>
      <c r="AD7" s="10"/>
      <c r="AE7" s="13"/>
      <c r="AF7" s="40"/>
      <c r="AG7" s="13"/>
      <c r="AH7" s="10"/>
      <c r="AI7" s="13"/>
      <c r="AJ7" s="40"/>
      <c r="AK7" s="13"/>
      <c r="AL7" s="10"/>
      <c r="AM7" s="13"/>
      <c r="AN7" s="40"/>
      <c r="AO7" s="13"/>
      <c r="AP7" s="10"/>
      <c r="AQ7" s="13"/>
      <c r="AR7" s="40"/>
      <c r="AS7" s="35"/>
      <c r="AT7" s="40"/>
      <c r="AU7" s="35"/>
      <c r="AV7" s="40"/>
      <c r="AW7" s="35"/>
      <c r="AX7" s="10"/>
      <c r="AY7" s="10"/>
      <c r="AZ7" s="10"/>
      <c r="BA7" s="13"/>
      <c r="BB7" s="8"/>
      <c r="BC7" s="9"/>
    </row>
    <row r="8" spans="1:57" ht="14.45" x14ac:dyDescent="0.3">
      <c r="A8" s="3"/>
      <c r="B8" s="10"/>
      <c r="C8" s="10"/>
      <c r="D8" s="10"/>
      <c r="E8" s="16"/>
      <c r="F8" s="10"/>
      <c r="G8" s="10"/>
      <c r="H8" s="10"/>
      <c r="I8" s="10"/>
      <c r="J8" s="40"/>
      <c r="K8" s="10"/>
      <c r="L8" s="10"/>
      <c r="M8" s="11"/>
      <c r="N8" s="12"/>
      <c r="O8" s="13"/>
      <c r="P8" s="10"/>
      <c r="Q8" s="11"/>
      <c r="R8" s="10"/>
      <c r="S8" s="13"/>
      <c r="T8" s="40"/>
      <c r="U8" s="11"/>
      <c r="V8" s="10"/>
      <c r="W8" s="13"/>
      <c r="X8" s="40"/>
      <c r="Y8" s="13"/>
      <c r="Z8" s="10"/>
      <c r="AA8" s="13"/>
      <c r="AB8" s="40"/>
      <c r="AC8" s="13"/>
      <c r="AD8" s="10"/>
      <c r="AE8" s="13"/>
      <c r="AF8" s="40"/>
      <c r="AG8" s="13"/>
      <c r="AH8" s="10"/>
      <c r="AI8" s="13"/>
      <c r="AJ8" s="40"/>
      <c r="AK8" s="13"/>
      <c r="AL8" s="10"/>
      <c r="AM8" s="13"/>
      <c r="AN8" s="40"/>
      <c r="AO8" s="13"/>
      <c r="AP8" s="10"/>
      <c r="AQ8" s="13"/>
      <c r="AR8" s="40"/>
      <c r="AS8" s="35"/>
      <c r="AT8" s="40"/>
      <c r="AU8" s="35"/>
      <c r="AV8" s="40"/>
      <c r="AW8" s="35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70" t="s">
        <v>15</v>
      </c>
      <c r="J9" s="25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5" t="s">
        <v>26</v>
      </c>
      <c r="U9" s="20" t="s">
        <v>27</v>
      </c>
      <c r="V9" s="18" t="s">
        <v>28</v>
      </c>
      <c r="W9" s="22" t="s">
        <v>29</v>
      </c>
      <c r="X9" s="25" t="s">
        <v>103</v>
      </c>
      <c r="Y9" s="22" t="s">
        <v>159</v>
      </c>
      <c r="Z9" s="18" t="s">
        <v>160</v>
      </c>
      <c r="AA9" s="22" t="s">
        <v>30</v>
      </c>
      <c r="AB9" s="25" t="s">
        <v>31</v>
      </c>
      <c r="AC9" s="23" t="s">
        <v>32</v>
      </c>
      <c r="AD9" s="18" t="s">
        <v>33</v>
      </c>
      <c r="AE9" s="22" t="s">
        <v>34</v>
      </c>
      <c r="AF9" s="25" t="s">
        <v>35</v>
      </c>
      <c r="AG9" s="22" t="s">
        <v>36</v>
      </c>
      <c r="AH9" s="18" t="s">
        <v>37</v>
      </c>
      <c r="AI9" s="22" t="s">
        <v>111</v>
      </c>
      <c r="AJ9" s="25" t="s">
        <v>112</v>
      </c>
      <c r="AK9" s="22" t="s">
        <v>115</v>
      </c>
      <c r="AL9" s="18" t="s">
        <v>116</v>
      </c>
      <c r="AM9" s="23" t="s">
        <v>38</v>
      </c>
      <c r="AN9" s="25" t="s">
        <v>39</v>
      </c>
      <c r="AO9" s="23" t="s">
        <v>40</v>
      </c>
      <c r="AP9" s="18" t="s">
        <v>41</v>
      </c>
      <c r="AQ9" s="22" t="s">
        <v>42</v>
      </c>
      <c r="AR9" s="25" t="s">
        <v>43</v>
      </c>
      <c r="AS9" s="37" t="s">
        <v>104</v>
      </c>
      <c r="AT9" s="25" t="s">
        <v>105</v>
      </c>
      <c r="AU9" s="37" t="s">
        <v>109</v>
      </c>
      <c r="AV9" s="25" t="s">
        <v>110</v>
      </c>
      <c r="AW9" s="37" t="s">
        <v>113</v>
      </c>
      <c r="AX9" s="18" t="s">
        <v>114</v>
      </c>
      <c r="AY9" s="46" t="s">
        <v>162</v>
      </c>
      <c r="AZ9" s="46" t="s">
        <v>161</v>
      </c>
      <c r="BA9" s="22" t="s">
        <v>44</v>
      </c>
      <c r="BB9" s="24" t="s">
        <v>45</v>
      </c>
      <c r="BC9" s="25" t="s">
        <v>46</v>
      </c>
      <c r="BD9" s="26" t="s">
        <v>47</v>
      </c>
      <c r="BE9" s="33"/>
    </row>
    <row r="10" spans="1:57" s="69" customFormat="1" ht="12.75" x14ac:dyDescent="0.2">
      <c r="A10" s="123">
        <v>1</v>
      </c>
      <c r="B10" s="119" t="s">
        <v>52</v>
      </c>
      <c r="C10" s="123" t="s">
        <v>50</v>
      </c>
      <c r="D10" s="124" t="s">
        <v>53</v>
      </c>
      <c r="E10" s="120" t="s">
        <v>54</v>
      </c>
      <c r="F10" s="124" t="s">
        <v>51</v>
      </c>
      <c r="G10" s="125"/>
      <c r="H10" s="125"/>
      <c r="I10" s="125"/>
      <c r="J10" s="126"/>
      <c r="K10" s="127"/>
      <c r="L10" s="59">
        <f>+K10*BB10</f>
        <v>0</v>
      </c>
      <c r="M10" s="122">
        <v>10</v>
      </c>
      <c r="N10" s="128">
        <f>+M10*BB10</f>
        <v>12000</v>
      </c>
      <c r="O10" s="129">
        <v>3</v>
      </c>
      <c r="P10" s="130">
        <f t="shared" ref="P10:P52" si="0">+O10*BB10</f>
        <v>3600</v>
      </c>
      <c r="Q10" s="131"/>
      <c r="R10" s="130"/>
      <c r="S10" s="129"/>
      <c r="T10" s="79">
        <f>S10*BB10</f>
        <v>0</v>
      </c>
      <c r="U10" s="131"/>
      <c r="V10" s="130"/>
      <c r="W10" s="129"/>
      <c r="X10" s="79">
        <f t="shared" ref="X10:X52" si="1">+W10*BB10</f>
        <v>0</v>
      </c>
      <c r="Y10" s="129"/>
      <c r="Z10" s="130"/>
      <c r="AA10" s="129"/>
      <c r="AB10" s="79"/>
      <c r="AC10" s="129"/>
      <c r="AD10" s="130">
        <f t="shared" ref="AD10:AD52" si="2">+AC10*BB10</f>
        <v>0</v>
      </c>
      <c r="AE10" s="129"/>
      <c r="AF10" s="79"/>
      <c r="AG10" s="64"/>
      <c r="AH10" s="130">
        <f t="shared" ref="AH10:AH33" si="3">+AG10*BB10</f>
        <v>0</v>
      </c>
      <c r="AI10" s="129"/>
      <c r="AJ10" s="79">
        <f t="shared" ref="AJ10:AJ52" si="4">+AI10*BB10</f>
        <v>0</v>
      </c>
      <c r="AK10" s="129"/>
      <c r="AL10" s="130">
        <f t="shared" ref="AL10:AL52" si="5">+AK10*BB10</f>
        <v>0</v>
      </c>
      <c r="AM10" s="129"/>
      <c r="AN10" s="79">
        <f t="shared" ref="AN10:AN52" si="6">+AM10*BB10</f>
        <v>0</v>
      </c>
      <c r="AO10" s="129"/>
      <c r="AP10" s="130"/>
      <c r="AQ10" s="129"/>
      <c r="AR10" s="79"/>
      <c r="AS10" s="132">
        <v>4</v>
      </c>
      <c r="AT10" s="79">
        <f t="shared" ref="AT10:AT52" si="7">+AS10*BB10</f>
        <v>4800</v>
      </c>
      <c r="AU10" s="132">
        <v>8</v>
      </c>
      <c r="AV10" s="79">
        <f t="shared" ref="AV10:AV52" si="8">+AU10*BB10</f>
        <v>9600</v>
      </c>
      <c r="AW10" s="132"/>
      <c r="AX10" s="130">
        <f>AW10*BB10</f>
        <v>0</v>
      </c>
      <c r="AY10" s="130"/>
      <c r="AZ10" s="130"/>
      <c r="BA10" s="80">
        <f>+M10+O10+S10+W10+AC10+AI10+AK10+AM10+AS10+AU10+AW10</f>
        <v>25</v>
      </c>
      <c r="BB10" s="117">
        <v>1200</v>
      </c>
      <c r="BC10" s="34">
        <f>+BB10*BA10</f>
        <v>30000</v>
      </c>
      <c r="BD10" s="133"/>
    </row>
    <row r="11" spans="1:57" s="69" customFormat="1" ht="12.75" x14ac:dyDescent="0.2">
      <c r="A11" s="55">
        <v>2</v>
      </c>
      <c r="B11" s="76" t="s">
        <v>107</v>
      </c>
      <c r="C11" s="27" t="s">
        <v>50</v>
      </c>
      <c r="D11" s="56" t="s">
        <v>53</v>
      </c>
      <c r="E11" s="77" t="s">
        <v>108</v>
      </c>
      <c r="F11" s="64" t="s">
        <v>49</v>
      </c>
      <c r="G11" s="71"/>
      <c r="H11" s="71"/>
      <c r="I11" s="71"/>
      <c r="J11" s="72"/>
      <c r="K11" s="56"/>
      <c r="L11" s="59">
        <f>+K11*BB11</f>
        <v>0</v>
      </c>
      <c r="M11" s="60">
        <v>10</v>
      </c>
      <c r="N11" s="128">
        <f t="shared" ref="N11:N52" si="9">+M11*BB11</f>
        <v>6500</v>
      </c>
      <c r="O11" s="62">
        <v>3</v>
      </c>
      <c r="P11" s="130">
        <f t="shared" si="0"/>
        <v>1950</v>
      </c>
      <c r="Q11" s="60"/>
      <c r="R11" s="59"/>
      <c r="S11" s="62">
        <v>1</v>
      </c>
      <c r="T11" s="79">
        <f>S11*BB11</f>
        <v>650</v>
      </c>
      <c r="U11" s="60"/>
      <c r="V11" s="130"/>
      <c r="W11" s="62"/>
      <c r="X11" s="79">
        <f t="shared" si="1"/>
        <v>0</v>
      </c>
      <c r="Y11" s="62"/>
      <c r="Z11" s="59"/>
      <c r="AA11" s="62"/>
      <c r="AB11" s="79"/>
      <c r="AC11" s="62"/>
      <c r="AD11" s="130">
        <f t="shared" si="2"/>
        <v>0</v>
      </c>
      <c r="AE11" s="62"/>
      <c r="AF11" s="79"/>
      <c r="AG11" s="64"/>
      <c r="AH11" s="59">
        <f t="shared" si="3"/>
        <v>0</v>
      </c>
      <c r="AI11" s="62"/>
      <c r="AJ11" s="79">
        <f t="shared" si="4"/>
        <v>0</v>
      </c>
      <c r="AK11" s="62"/>
      <c r="AL11" s="130">
        <f t="shared" si="5"/>
        <v>0</v>
      </c>
      <c r="AM11" s="62"/>
      <c r="AN11" s="79">
        <f t="shared" si="6"/>
        <v>0</v>
      </c>
      <c r="AO11" s="62"/>
      <c r="AP11" s="130"/>
      <c r="AQ11" s="62"/>
      <c r="AR11" s="63"/>
      <c r="AS11" s="65"/>
      <c r="AT11" s="79">
        <f t="shared" si="7"/>
        <v>0</v>
      </c>
      <c r="AU11" s="65">
        <v>3</v>
      </c>
      <c r="AV11" s="79">
        <f t="shared" si="8"/>
        <v>1950</v>
      </c>
      <c r="AW11" s="65"/>
      <c r="AX11" s="130">
        <f t="shared" ref="AX11:AX52" si="10">AW11*BB11</f>
        <v>0</v>
      </c>
      <c r="AY11" s="66"/>
      <c r="AZ11" s="66"/>
      <c r="BA11" s="80">
        <f t="shared" ref="BA11:BA52" si="11">+M11+O11+S11+W11+AC11+AI11+AK11+AM11+AS11+AU11+AW11</f>
        <v>17</v>
      </c>
      <c r="BB11" s="118">
        <v>650</v>
      </c>
      <c r="BC11" s="34">
        <f t="shared" ref="BC11:BC52" si="12">+BB11*BA11</f>
        <v>11050</v>
      </c>
      <c r="BD11" s="68"/>
    </row>
    <row r="12" spans="1:57" s="69" customFormat="1" ht="12.75" x14ac:dyDescent="0.2">
      <c r="A12" s="123">
        <v>3</v>
      </c>
      <c r="B12" s="27" t="s">
        <v>55</v>
      </c>
      <c r="C12" s="27" t="s">
        <v>50</v>
      </c>
      <c r="D12" s="56" t="s">
        <v>53</v>
      </c>
      <c r="E12" s="57" t="s">
        <v>56</v>
      </c>
      <c r="F12" s="56" t="s">
        <v>57</v>
      </c>
      <c r="G12" s="58"/>
      <c r="H12" s="58"/>
      <c r="I12" s="58"/>
      <c r="J12" s="32"/>
      <c r="K12" s="56"/>
      <c r="L12" s="59">
        <f t="shared" ref="L12:L32" si="13">+K12*BB12</f>
        <v>0</v>
      </c>
      <c r="M12" s="60">
        <v>20</v>
      </c>
      <c r="N12" s="128">
        <f t="shared" si="9"/>
        <v>13000</v>
      </c>
      <c r="O12" s="62">
        <v>7</v>
      </c>
      <c r="P12" s="130">
        <f t="shared" si="0"/>
        <v>4550</v>
      </c>
      <c r="Q12" s="60"/>
      <c r="R12" s="59"/>
      <c r="S12" s="62"/>
      <c r="T12" s="79">
        <f t="shared" ref="T12:T52" si="14">S12*BB12</f>
        <v>0</v>
      </c>
      <c r="U12" s="60"/>
      <c r="V12" s="130"/>
      <c r="W12" s="62">
        <v>100</v>
      </c>
      <c r="X12" s="79">
        <f t="shared" si="1"/>
        <v>65000</v>
      </c>
      <c r="Y12" s="62"/>
      <c r="Z12" s="59"/>
      <c r="AA12" s="62"/>
      <c r="AB12" s="79"/>
      <c r="AC12" s="62">
        <v>30</v>
      </c>
      <c r="AD12" s="130">
        <f t="shared" si="2"/>
        <v>19500</v>
      </c>
      <c r="AE12" s="62"/>
      <c r="AF12" s="79"/>
      <c r="AG12" s="64"/>
      <c r="AH12" s="59">
        <f t="shared" si="3"/>
        <v>0</v>
      </c>
      <c r="AI12" s="62"/>
      <c r="AJ12" s="79">
        <f t="shared" si="4"/>
        <v>0</v>
      </c>
      <c r="AK12" s="62">
        <v>8</v>
      </c>
      <c r="AL12" s="130">
        <f t="shared" si="5"/>
        <v>5200</v>
      </c>
      <c r="AM12" s="62"/>
      <c r="AN12" s="79">
        <f t="shared" si="6"/>
        <v>0</v>
      </c>
      <c r="AO12" s="62"/>
      <c r="AP12" s="130"/>
      <c r="AQ12" s="62"/>
      <c r="AR12" s="63"/>
      <c r="AS12" s="65"/>
      <c r="AT12" s="79">
        <f t="shared" si="7"/>
        <v>0</v>
      </c>
      <c r="AU12" s="65">
        <v>50</v>
      </c>
      <c r="AV12" s="79">
        <f t="shared" si="8"/>
        <v>32500</v>
      </c>
      <c r="AW12" s="65"/>
      <c r="AX12" s="130">
        <f t="shared" si="10"/>
        <v>0</v>
      </c>
      <c r="AY12" s="66"/>
      <c r="AZ12" s="66"/>
      <c r="BA12" s="80">
        <f t="shared" si="11"/>
        <v>215</v>
      </c>
      <c r="BB12" s="67">
        <v>650</v>
      </c>
      <c r="BC12" s="34">
        <f t="shared" si="12"/>
        <v>139750</v>
      </c>
      <c r="BD12" s="68"/>
    </row>
    <row r="13" spans="1:57" s="69" customFormat="1" ht="12.75" x14ac:dyDescent="0.2">
      <c r="A13" s="55">
        <v>4</v>
      </c>
      <c r="B13" s="47" t="s">
        <v>58</v>
      </c>
      <c r="C13" s="27" t="s">
        <v>50</v>
      </c>
      <c r="D13" s="56" t="s">
        <v>53</v>
      </c>
      <c r="E13" s="57" t="s">
        <v>59</v>
      </c>
      <c r="F13" s="56" t="s">
        <v>57</v>
      </c>
      <c r="G13" s="58"/>
      <c r="H13" s="58"/>
      <c r="I13" s="58"/>
      <c r="J13" s="32"/>
      <c r="K13" s="56"/>
      <c r="L13" s="59">
        <f t="shared" si="13"/>
        <v>0</v>
      </c>
      <c r="M13" s="60">
        <v>30</v>
      </c>
      <c r="N13" s="128">
        <f t="shared" si="9"/>
        <v>3000</v>
      </c>
      <c r="O13" s="62">
        <v>7</v>
      </c>
      <c r="P13" s="130">
        <f t="shared" si="0"/>
        <v>700</v>
      </c>
      <c r="Q13" s="60"/>
      <c r="R13" s="59"/>
      <c r="S13" s="62"/>
      <c r="T13" s="79">
        <f t="shared" si="14"/>
        <v>0</v>
      </c>
      <c r="U13" s="60"/>
      <c r="V13" s="130"/>
      <c r="W13" s="62">
        <v>40</v>
      </c>
      <c r="X13" s="79">
        <f t="shared" si="1"/>
        <v>4000</v>
      </c>
      <c r="Y13" s="62"/>
      <c r="Z13" s="59"/>
      <c r="AA13" s="62"/>
      <c r="AB13" s="79"/>
      <c r="AC13" s="62">
        <v>30</v>
      </c>
      <c r="AD13" s="130">
        <f t="shared" si="2"/>
        <v>3000</v>
      </c>
      <c r="AE13" s="62"/>
      <c r="AF13" s="79"/>
      <c r="AG13" s="64"/>
      <c r="AH13" s="59">
        <f t="shared" si="3"/>
        <v>0</v>
      </c>
      <c r="AI13" s="62"/>
      <c r="AJ13" s="79">
        <f t="shared" si="4"/>
        <v>0</v>
      </c>
      <c r="AK13" s="62">
        <v>8</v>
      </c>
      <c r="AL13" s="130">
        <f t="shared" si="5"/>
        <v>800</v>
      </c>
      <c r="AM13" s="62"/>
      <c r="AN13" s="79">
        <f t="shared" si="6"/>
        <v>0</v>
      </c>
      <c r="AO13" s="62"/>
      <c r="AP13" s="130"/>
      <c r="AQ13" s="62"/>
      <c r="AR13" s="63"/>
      <c r="AS13" s="65"/>
      <c r="AT13" s="79">
        <f t="shared" si="7"/>
        <v>0</v>
      </c>
      <c r="AU13" s="65">
        <v>50</v>
      </c>
      <c r="AV13" s="79">
        <f t="shared" si="8"/>
        <v>5000</v>
      </c>
      <c r="AW13" s="65">
        <v>30</v>
      </c>
      <c r="AX13" s="130">
        <f t="shared" si="10"/>
        <v>3000</v>
      </c>
      <c r="AY13" s="66"/>
      <c r="AZ13" s="66"/>
      <c r="BA13" s="80">
        <f t="shared" si="11"/>
        <v>195</v>
      </c>
      <c r="BB13" s="67">
        <v>100</v>
      </c>
      <c r="BC13" s="34">
        <f t="shared" si="12"/>
        <v>19500</v>
      </c>
      <c r="BD13" s="68"/>
    </row>
    <row r="14" spans="1:57" s="69" customFormat="1" ht="12.75" x14ac:dyDescent="0.2">
      <c r="A14" s="123">
        <v>5</v>
      </c>
      <c r="B14" s="47" t="s">
        <v>60</v>
      </c>
      <c r="C14" s="27" t="s">
        <v>50</v>
      </c>
      <c r="D14" s="56" t="s">
        <v>53</v>
      </c>
      <c r="E14" s="57" t="s">
        <v>61</v>
      </c>
      <c r="F14" s="56" t="s">
        <v>49</v>
      </c>
      <c r="G14" s="58"/>
      <c r="H14" s="58"/>
      <c r="I14" s="58"/>
      <c r="J14" s="32"/>
      <c r="K14" s="56"/>
      <c r="L14" s="59">
        <f t="shared" si="13"/>
        <v>0</v>
      </c>
      <c r="M14" s="60">
        <v>5</v>
      </c>
      <c r="N14" s="128">
        <f t="shared" si="9"/>
        <v>1930</v>
      </c>
      <c r="O14" s="62">
        <v>3</v>
      </c>
      <c r="P14" s="130">
        <f t="shared" si="0"/>
        <v>1158</v>
      </c>
      <c r="Q14" s="60"/>
      <c r="R14" s="59"/>
      <c r="S14" s="62">
        <v>1</v>
      </c>
      <c r="T14" s="79">
        <f t="shared" si="14"/>
        <v>386</v>
      </c>
      <c r="U14" s="60"/>
      <c r="V14" s="130"/>
      <c r="W14" s="62"/>
      <c r="X14" s="79">
        <f t="shared" si="1"/>
        <v>0</v>
      </c>
      <c r="Y14" s="62"/>
      <c r="Z14" s="59"/>
      <c r="AA14" s="62"/>
      <c r="AB14" s="79"/>
      <c r="AC14" s="62"/>
      <c r="AD14" s="130">
        <f t="shared" si="2"/>
        <v>0</v>
      </c>
      <c r="AE14" s="62"/>
      <c r="AF14" s="79"/>
      <c r="AG14" s="64"/>
      <c r="AH14" s="59">
        <f t="shared" si="3"/>
        <v>0</v>
      </c>
      <c r="AI14" s="62"/>
      <c r="AJ14" s="79">
        <f t="shared" si="4"/>
        <v>0</v>
      </c>
      <c r="AK14" s="62"/>
      <c r="AL14" s="130">
        <f t="shared" si="5"/>
        <v>0</v>
      </c>
      <c r="AM14" s="62"/>
      <c r="AN14" s="79">
        <f t="shared" si="6"/>
        <v>0</v>
      </c>
      <c r="AO14" s="62"/>
      <c r="AP14" s="130"/>
      <c r="AQ14" s="62"/>
      <c r="AR14" s="63"/>
      <c r="AS14" s="65"/>
      <c r="AT14" s="79">
        <f t="shared" si="7"/>
        <v>0</v>
      </c>
      <c r="AU14" s="65">
        <v>5</v>
      </c>
      <c r="AV14" s="79">
        <f t="shared" si="8"/>
        <v>1930</v>
      </c>
      <c r="AW14" s="65"/>
      <c r="AX14" s="130">
        <f t="shared" si="10"/>
        <v>0</v>
      </c>
      <c r="AY14" s="66"/>
      <c r="AZ14" s="66"/>
      <c r="BA14" s="80">
        <f t="shared" si="11"/>
        <v>14</v>
      </c>
      <c r="BB14" s="67">
        <v>386</v>
      </c>
      <c r="BC14" s="34">
        <f t="shared" si="12"/>
        <v>5404</v>
      </c>
      <c r="BD14" s="68" t="s">
        <v>121</v>
      </c>
    </row>
    <row r="15" spans="1:57" s="69" customFormat="1" ht="25.5" x14ac:dyDescent="0.2">
      <c r="A15" s="55">
        <v>6</v>
      </c>
      <c r="B15" s="47" t="s">
        <v>62</v>
      </c>
      <c r="C15" s="27" t="s">
        <v>50</v>
      </c>
      <c r="D15" s="56" t="s">
        <v>53</v>
      </c>
      <c r="E15" s="57" t="s">
        <v>63</v>
      </c>
      <c r="F15" s="56" t="s">
        <v>49</v>
      </c>
      <c r="G15" s="71"/>
      <c r="H15" s="71"/>
      <c r="I15" s="71"/>
      <c r="J15" s="72"/>
      <c r="K15" s="73"/>
      <c r="L15" s="59">
        <f t="shared" si="13"/>
        <v>0</v>
      </c>
      <c r="M15" s="74">
        <v>10</v>
      </c>
      <c r="N15" s="128">
        <f t="shared" si="9"/>
        <v>2900</v>
      </c>
      <c r="O15" s="62">
        <v>10</v>
      </c>
      <c r="P15" s="130">
        <f t="shared" si="0"/>
        <v>2900</v>
      </c>
      <c r="Q15" s="60"/>
      <c r="R15" s="59"/>
      <c r="S15" s="62">
        <v>10</v>
      </c>
      <c r="T15" s="79">
        <f t="shared" si="14"/>
        <v>2900</v>
      </c>
      <c r="U15" s="60"/>
      <c r="V15" s="130"/>
      <c r="W15" s="62">
        <v>10</v>
      </c>
      <c r="X15" s="79">
        <f t="shared" si="1"/>
        <v>2900</v>
      </c>
      <c r="Y15" s="62"/>
      <c r="Z15" s="59"/>
      <c r="AA15" s="62"/>
      <c r="AB15" s="79"/>
      <c r="AC15" s="62"/>
      <c r="AD15" s="130">
        <f t="shared" si="2"/>
        <v>0</v>
      </c>
      <c r="AE15" s="62"/>
      <c r="AF15" s="79"/>
      <c r="AG15" s="64"/>
      <c r="AH15" s="59">
        <f t="shared" si="3"/>
        <v>0</v>
      </c>
      <c r="AI15" s="62"/>
      <c r="AJ15" s="79">
        <f t="shared" si="4"/>
        <v>0</v>
      </c>
      <c r="AK15" s="62"/>
      <c r="AL15" s="130">
        <f t="shared" si="5"/>
        <v>0</v>
      </c>
      <c r="AM15" s="62"/>
      <c r="AN15" s="79">
        <f t="shared" si="6"/>
        <v>0</v>
      </c>
      <c r="AO15" s="62"/>
      <c r="AP15" s="130"/>
      <c r="AQ15" s="62"/>
      <c r="AR15" s="63"/>
      <c r="AS15" s="65"/>
      <c r="AT15" s="79">
        <f t="shared" si="7"/>
        <v>0</v>
      </c>
      <c r="AU15" s="65">
        <v>30</v>
      </c>
      <c r="AV15" s="79">
        <f t="shared" si="8"/>
        <v>8700</v>
      </c>
      <c r="AW15" s="65">
        <v>5</v>
      </c>
      <c r="AX15" s="130">
        <f t="shared" si="10"/>
        <v>1450</v>
      </c>
      <c r="AY15" s="66"/>
      <c r="AZ15" s="66"/>
      <c r="BA15" s="80">
        <f t="shared" si="11"/>
        <v>75</v>
      </c>
      <c r="BB15" s="75">
        <v>290</v>
      </c>
      <c r="BC15" s="34">
        <f t="shared" si="12"/>
        <v>21750</v>
      </c>
      <c r="BD15" s="68"/>
    </row>
    <row r="16" spans="1:57" s="69" customFormat="1" ht="12.75" x14ac:dyDescent="0.2">
      <c r="A16" s="123">
        <v>7</v>
      </c>
      <c r="B16" s="76" t="s">
        <v>64</v>
      </c>
      <c r="C16" s="27" t="s">
        <v>50</v>
      </c>
      <c r="D16" s="56" t="s">
        <v>53</v>
      </c>
      <c r="E16" s="77" t="s">
        <v>65</v>
      </c>
      <c r="F16" s="64" t="s">
        <v>49</v>
      </c>
      <c r="G16" s="71"/>
      <c r="H16" s="71"/>
      <c r="I16" s="71"/>
      <c r="J16" s="72"/>
      <c r="K16" s="73"/>
      <c r="L16" s="59">
        <f t="shared" si="13"/>
        <v>0</v>
      </c>
      <c r="M16" s="74">
        <v>10</v>
      </c>
      <c r="N16" s="128">
        <f t="shared" si="9"/>
        <v>800</v>
      </c>
      <c r="O16" s="62">
        <v>5</v>
      </c>
      <c r="P16" s="130">
        <f t="shared" si="0"/>
        <v>400</v>
      </c>
      <c r="Q16" s="60"/>
      <c r="R16" s="59"/>
      <c r="S16" s="62"/>
      <c r="T16" s="79">
        <f t="shared" si="14"/>
        <v>0</v>
      </c>
      <c r="U16" s="60"/>
      <c r="V16" s="130"/>
      <c r="W16" s="62"/>
      <c r="X16" s="79">
        <f t="shared" si="1"/>
        <v>0</v>
      </c>
      <c r="Y16" s="62"/>
      <c r="Z16" s="59"/>
      <c r="AA16" s="62"/>
      <c r="AB16" s="79"/>
      <c r="AC16" s="62"/>
      <c r="AD16" s="130">
        <f t="shared" si="2"/>
        <v>0</v>
      </c>
      <c r="AE16" s="62"/>
      <c r="AF16" s="79"/>
      <c r="AG16" s="64"/>
      <c r="AH16" s="59">
        <f t="shared" si="3"/>
        <v>0</v>
      </c>
      <c r="AI16" s="62"/>
      <c r="AJ16" s="79">
        <f t="shared" si="4"/>
        <v>0</v>
      </c>
      <c r="AK16" s="62"/>
      <c r="AL16" s="130">
        <f t="shared" si="5"/>
        <v>0</v>
      </c>
      <c r="AM16" s="62"/>
      <c r="AN16" s="79">
        <f t="shared" si="6"/>
        <v>0</v>
      </c>
      <c r="AO16" s="62"/>
      <c r="AP16" s="130"/>
      <c r="AQ16" s="62"/>
      <c r="AR16" s="63"/>
      <c r="AS16" s="65"/>
      <c r="AT16" s="79">
        <f t="shared" si="7"/>
        <v>0</v>
      </c>
      <c r="AU16" s="65"/>
      <c r="AV16" s="79">
        <f t="shared" si="8"/>
        <v>0</v>
      </c>
      <c r="AW16" s="65"/>
      <c r="AX16" s="130">
        <f t="shared" si="10"/>
        <v>0</v>
      </c>
      <c r="AY16" s="66"/>
      <c r="AZ16" s="66"/>
      <c r="BA16" s="80">
        <f t="shared" si="11"/>
        <v>15</v>
      </c>
      <c r="BB16" s="75">
        <v>80</v>
      </c>
      <c r="BC16" s="34">
        <f t="shared" si="12"/>
        <v>1200</v>
      </c>
      <c r="BD16" s="68"/>
    </row>
    <row r="17" spans="1:56" s="69" customFormat="1" ht="25.5" x14ac:dyDescent="0.2">
      <c r="A17" s="55">
        <v>8</v>
      </c>
      <c r="B17" s="76" t="s">
        <v>66</v>
      </c>
      <c r="C17" s="27" t="s">
        <v>50</v>
      </c>
      <c r="D17" s="56" t="s">
        <v>53</v>
      </c>
      <c r="E17" s="77" t="s">
        <v>67</v>
      </c>
      <c r="F17" s="64" t="s">
        <v>49</v>
      </c>
      <c r="G17" s="71"/>
      <c r="H17" s="71"/>
      <c r="I17" s="71"/>
      <c r="J17" s="72"/>
      <c r="K17" s="73"/>
      <c r="L17" s="59">
        <f t="shared" si="13"/>
        <v>0</v>
      </c>
      <c r="M17" s="74">
        <v>10</v>
      </c>
      <c r="N17" s="128">
        <f t="shared" si="9"/>
        <v>1200</v>
      </c>
      <c r="O17" s="62">
        <v>5</v>
      </c>
      <c r="P17" s="130">
        <f t="shared" si="0"/>
        <v>600</v>
      </c>
      <c r="Q17" s="60"/>
      <c r="R17" s="59"/>
      <c r="S17" s="62">
        <v>10</v>
      </c>
      <c r="T17" s="79">
        <f t="shared" si="14"/>
        <v>1200</v>
      </c>
      <c r="U17" s="60"/>
      <c r="V17" s="130"/>
      <c r="W17" s="62"/>
      <c r="X17" s="79">
        <f t="shared" si="1"/>
        <v>0</v>
      </c>
      <c r="Y17" s="62"/>
      <c r="Z17" s="59"/>
      <c r="AA17" s="62"/>
      <c r="AB17" s="79"/>
      <c r="AC17" s="62"/>
      <c r="AD17" s="130">
        <f t="shared" si="2"/>
        <v>0</v>
      </c>
      <c r="AE17" s="62"/>
      <c r="AF17" s="79"/>
      <c r="AG17" s="64"/>
      <c r="AH17" s="59">
        <f t="shared" si="3"/>
        <v>0</v>
      </c>
      <c r="AI17" s="62"/>
      <c r="AJ17" s="79">
        <f t="shared" si="4"/>
        <v>0</v>
      </c>
      <c r="AK17" s="62"/>
      <c r="AL17" s="130">
        <f t="shared" si="5"/>
        <v>0</v>
      </c>
      <c r="AM17" s="62"/>
      <c r="AN17" s="79">
        <f t="shared" si="6"/>
        <v>0</v>
      </c>
      <c r="AO17" s="62"/>
      <c r="AP17" s="130"/>
      <c r="AQ17" s="62"/>
      <c r="AR17" s="63"/>
      <c r="AS17" s="65"/>
      <c r="AT17" s="79">
        <f t="shared" si="7"/>
        <v>0</v>
      </c>
      <c r="AU17" s="65"/>
      <c r="AV17" s="79">
        <f t="shared" si="8"/>
        <v>0</v>
      </c>
      <c r="AW17" s="65">
        <v>5</v>
      </c>
      <c r="AX17" s="130">
        <f t="shared" si="10"/>
        <v>600</v>
      </c>
      <c r="AY17" s="66"/>
      <c r="AZ17" s="66"/>
      <c r="BA17" s="80">
        <f t="shared" si="11"/>
        <v>30</v>
      </c>
      <c r="BB17" s="75">
        <v>120</v>
      </c>
      <c r="BC17" s="34">
        <f t="shared" si="12"/>
        <v>3600</v>
      </c>
      <c r="BD17" s="68"/>
    </row>
    <row r="18" spans="1:56" s="69" customFormat="1" ht="12.75" x14ac:dyDescent="0.2">
      <c r="A18" s="123">
        <v>9</v>
      </c>
      <c r="B18" s="76" t="s">
        <v>68</v>
      </c>
      <c r="C18" s="55" t="s">
        <v>50</v>
      </c>
      <c r="D18" s="56" t="s">
        <v>53</v>
      </c>
      <c r="E18" s="77" t="s">
        <v>69</v>
      </c>
      <c r="F18" s="64" t="s">
        <v>49</v>
      </c>
      <c r="G18" s="27"/>
      <c r="H18" s="27"/>
      <c r="I18" s="27"/>
      <c r="J18" s="78"/>
      <c r="K18" s="56"/>
      <c r="L18" s="59">
        <f t="shared" si="13"/>
        <v>0</v>
      </c>
      <c r="M18" s="60"/>
      <c r="N18" s="128">
        <f t="shared" si="9"/>
        <v>0</v>
      </c>
      <c r="O18" s="62">
        <v>10</v>
      </c>
      <c r="P18" s="130">
        <f t="shared" si="0"/>
        <v>2500</v>
      </c>
      <c r="Q18" s="60"/>
      <c r="R18" s="59"/>
      <c r="S18" s="62"/>
      <c r="T18" s="79">
        <f t="shared" si="14"/>
        <v>0</v>
      </c>
      <c r="U18" s="60"/>
      <c r="V18" s="130"/>
      <c r="W18" s="62"/>
      <c r="X18" s="79">
        <f t="shared" si="1"/>
        <v>0</v>
      </c>
      <c r="Y18" s="62"/>
      <c r="Z18" s="59"/>
      <c r="AA18" s="62"/>
      <c r="AB18" s="79"/>
      <c r="AC18" s="62"/>
      <c r="AD18" s="130">
        <f t="shared" si="2"/>
        <v>0</v>
      </c>
      <c r="AE18" s="62"/>
      <c r="AF18" s="79"/>
      <c r="AG18" s="64"/>
      <c r="AH18" s="59">
        <f t="shared" si="3"/>
        <v>0</v>
      </c>
      <c r="AI18" s="62"/>
      <c r="AJ18" s="79">
        <f t="shared" si="4"/>
        <v>0</v>
      </c>
      <c r="AK18" s="62"/>
      <c r="AL18" s="130">
        <f t="shared" si="5"/>
        <v>0</v>
      </c>
      <c r="AM18" s="62"/>
      <c r="AN18" s="79">
        <f t="shared" si="6"/>
        <v>0</v>
      </c>
      <c r="AO18" s="62"/>
      <c r="AP18" s="130"/>
      <c r="AQ18" s="62"/>
      <c r="AR18" s="63"/>
      <c r="AS18" s="65"/>
      <c r="AT18" s="79">
        <f t="shared" si="7"/>
        <v>0</v>
      </c>
      <c r="AU18" s="65">
        <v>10</v>
      </c>
      <c r="AV18" s="79">
        <f t="shared" si="8"/>
        <v>2500</v>
      </c>
      <c r="AW18" s="65"/>
      <c r="AX18" s="130">
        <f t="shared" si="10"/>
        <v>0</v>
      </c>
      <c r="AY18" s="66"/>
      <c r="AZ18" s="66"/>
      <c r="BA18" s="80">
        <f t="shared" si="11"/>
        <v>20</v>
      </c>
      <c r="BB18" s="67">
        <v>250</v>
      </c>
      <c r="BC18" s="34">
        <f t="shared" si="12"/>
        <v>5000</v>
      </c>
      <c r="BD18" s="68"/>
    </row>
    <row r="19" spans="1:56" s="69" customFormat="1" ht="12.75" x14ac:dyDescent="0.2">
      <c r="A19" s="55">
        <v>10</v>
      </c>
      <c r="B19" s="27" t="s">
        <v>70</v>
      </c>
      <c r="C19" s="55" t="s">
        <v>50</v>
      </c>
      <c r="D19" s="56" t="s">
        <v>53</v>
      </c>
      <c r="E19" s="57" t="s">
        <v>71</v>
      </c>
      <c r="F19" s="56" t="s">
        <v>72</v>
      </c>
      <c r="G19" s="71"/>
      <c r="H19" s="71"/>
      <c r="I19" s="71"/>
      <c r="J19" s="72"/>
      <c r="K19" s="73"/>
      <c r="L19" s="59">
        <f t="shared" si="13"/>
        <v>0</v>
      </c>
      <c r="M19" s="74">
        <v>10</v>
      </c>
      <c r="N19" s="128">
        <f t="shared" si="9"/>
        <v>3500</v>
      </c>
      <c r="O19" s="62">
        <v>10</v>
      </c>
      <c r="P19" s="130">
        <f t="shared" si="0"/>
        <v>3500</v>
      </c>
      <c r="Q19" s="60"/>
      <c r="R19" s="59"/>
      <c r="S19" s="62">
        <v>5</v>
      </c>
      <c r="T19" s="79">
        <f t="shared" si="14"/>
        <v>1750</v>
      </c>
      <c r="U19" s="60"/>
      <c r="V19" s="130"/>
      <c r="W19" s="62"/>
      <c r="X19" s="79">
        <f t="shared" si="1"/>
        <v>0</v>
      </c>
      <c r="Y19" s="62"/>
      <c r="Z19" s="59"/>
      <c r="AA19" s="62"/>
      <c r="AB19" s="79"/>
      <c r="AC19" s="62"/>
      <c r="AD19" s="130">
        <f t="shared" si="2"/>
        <v>0</v>
      </c>
      <c r="AE19" s="62"/>
      <c r="AF19" s="79"/>
      <c r="AG19" s="64"/>
      <c r="AH19" s="59">
        <f t="shared" si="3"/>
        <v>0</v>
      </c>
      <c r="AI19" s="62"/>
      <c r="AJ19" s="79">
        <f t="shared" si="4"/>
        <v>0</v>
      </c>
      <c r="AK19" s="62"/>
      <c r="AL19" s="130">
        <f t="shared" si="5"/>
        <v>0</v>
      </c>
      <c r="AM19" s="62"/>
      <c r="AN19" s="79">
        <f t="shared" si="6"/>
        <v>0</v>
      </c>
      <c r="AO19" s="62"/>
      <c r="AP19" s="130"/>
      <c r="AQ19" s="62"/>
      <c r="AR19" s="63"/>
      <c r="AS19" s="65"/>
      <c r="AT19" s="79">
        <f t="shared" si="7"/>
        <v>0</v>
      </c>
      <c r="AU19" s="65">
        <v>10</v>
      </c>
      <c r="AV19" s="79">
        <f t="shared" si="8"/>
        <v>3500</v>
      </c>
      <c r="AW19" s="65"/>
      <c r="AX19" s="130">
        <f t="shared" si="10"/>
        <v>0</v>
      </c>
      <c r="AY19" s="66"/>
      <c r="AZ19" s="66"/>
      <c r="BA19" s="80">
        <f t="shared" si="11"/>
        <v>35</v>
      </c>
      <c r="BB19" s="75">
        <v>350</v>
      </c>
      <c r="BC19" s="34">
        <f t="shared" si="12"/>
        <v>12250</v>
      </c>
      <c r="BD19" s="68"/>
    </row>
    <row r="20" spans="1:56" s="69" customFormat="1" ht="12.75" x14ac:dyDescent="0.2">
      <c r="A20" s="123">
        <v>11</v>
      </c>
      <c r="B20" s="76" t="s">
        <v>73</v>
      </c>
      <c r="C20" s="55" t="s">
        <v>50</v>
      </c>
      <c r="D20" s="56" t="s">
        <v>53</v>
      </c>
      <c r="E20" s="77" t="s">
        <v>74</v>
      </c>
      <c r="F20" s="64" t="s">
        <v>72</v>
      </c>
      <c r="G20" s="58"/>
      <c r="H20" s="58"/>
      <c r="I20" s="58"/>
      <c r="J20" s="32"/>
      <c r="K20" s="56"/>
      <c r="L20" s="59">
        <f t="shared" si="13"/>
        <v>0</v>
      </c>
      <c r="M20" s="60"/>
      <c r="N20" s="128">
        <f t="shared" si="9"/>
        <v>0</v>
      </c>
      <c r="O20" s="62"/>
      <c r="P20" s="130">
        <f t="shared" si="0"/>
        <v>0</v>
      </c>
      <c r="Q20" s="60"/>
      <c r="R20" s="59"/>
      <c r="S20" s="62"/>
      <c r="T20" s="79">
        <f t="shared" si="14"/>
        <v>0</v>
      </c>
      <c r="U20" s="60"/>
      <c r="V20" s="130"/>
      <c r="W20" s="62"/>
      <c r="X20" s="79">
        <f t="shared" si="1"/>
        <v>0</v>
      </c>
      <c r="Y20" s="62"/>
      <c r="Z20" s="59"/>
      <c r="AA20" s="62"/>
      <c r="AB20" s="79"/>
      <c r="AC20" s="62"/>
      <c r="AD20" s="130">
        <f t="shared" si="2"/>
        <v>0</v>
      </c>
      <c r="AE20" s="62"/>
      <c r="AF20" s="79"/>
      <c r="AG20" s="64"/>
      <c r="AH20" s="59">
        <f t="shared" si="3"/>
        <v>0</v>
      </c>
      <c r="AI20" s="62"/>
      <c r="AJ20" s="79">
        <f t="shared" si="4"/>
        <v>0</v>
      </c>
      <c r="AK20" s="62"/>
      <c r="AL20" s="130">
        <f t="shared" si="5"/>
        <v>0</v>
      </c>
      <c r="AM20" s="62"/>
      <c r="AN20" s="79">
        <f t="shared" si="6"/>
        <v>0</v>
      </c>
      <c r="AO20" s="62"/>
      <c r="AP20" s="130"/>
      <c r="AQ20" s="62"/>
      <c r="AR20" s="63"/>
      <c r="AS20" s="65"/>
      <c r="AT20" s="79">
        <f t="shared" si="7"/>
        <v>0</v>
      </c>
      <c r="AU20" s="65">
        <v>10</v>
      </c>
      <c r="AV20" s="79">
        <f t="shared" si="8"/>
        <v>3500</v>
      </c>
      <c r="AW20" s="65"/>
      <c r="AX20" s="130">
        <f t="shared" si="10"/>
        <v>0</v>
      </c>
      <c r="AY20" s="66"/>
      <c r="AZ20" s="66"/>
      <c r="BA20" s="80">
        <f t="shared" si="11"/>
        <v>10</v>
      </c>
      <c r="BB20" s="67">
        <v>350</v>
      </c>
      <c r="BC20" s="34">
        <f t="shared" si="12"/>
        <v>3500</v>
      </c>
      <c r="BD20" s="68"/>
    </row>
    <row r="21" spans="1:56" s="69" customFormat="1" ht="13.5" customHeight="1" x14ac:dyDescent="0.2">
      <c r="A21" s="55">
        <v>12</v>
      </c>
      <c r="B21" s="81" t="s">
        <v>75</v>
      </c>
      <c r="C21" s="55" t="s">
        <v>50</v>
      </c>
      <c r="D21" s="56" t="s">
        <v>53</v>
      </c>
      <c r="E21" s="57" t="s">
        <v>76</v>
      </c>
      <c r="F21" s="56" t="s">
        <v>51</v>
      </c>
      <c r="G21" s="71"/>
      <c r="H21" s="71"/>
      <c r="I21" s="71"/>
      <c r="J21" s="72"/>
      <c r="K21" s="56"/>
      <c r="L21" s="59">
        <f t="shared" si="13"/>
        <v>0</v>
      </c>
      <c r="M21" s="60">
        <v>10</v>
      </c>
      <c r="N21" s="128">
        <f t="shared" si="9"/>
        <v>6500</v>
      </c>
      <c r="O21" s="62">
        <v>10</v>
      </c>
      <c r="P21" s="130">
        <f t="shared" si="0"/>
        <v>6500</v>
      </c>
      <c r="Q21" s="60"/>
      <c r="R21" s="59"/>
      <c r="S21" s="62">
        <v>5</v>
      </c>
      <c r="T21" s="79">
        <f t="shared" si="14"/>
        <v>3250</v>
      </c>
      <c r="U21" s="60"/>
      <c r="V21" s="130"/>
      <c r="W21" s="62">
        <v>192</v>
      </c>
      <c r="X21" s="79">
        <f t="shared" si="1"/>
        <v>124800</v>
      </c>
      <c r="Y21" s="62"/>
      <c r="Z21" s="59"/>
      <c r="AA21" s="62"/>
      <c r="AB21" s="79"/>
      <c r="AC21" s="62"/>
      <c r="AD21" s="130">
        <f t="shared" si="2"/>
        <v>0</v>
      </c>
      <c r="AE21" s="62"/>
      <c r="AF21" s="79"/>
      <c r="AG21" s="64"/>
      <c r="AH21" s="59">
        <f t="shared" si="3"/>
        <v>0</v>
      </c>
      <c r="AI21" s="62"/>
      <c r="AJ21" s="79">
        <f t="shared" si="4"/>
        <v>0</v>
      </c>
      <c r="AK21" s="62"/>
      <c r="AL21" s="130">
        <f t="shared" si="5"/>
        <v>0</v>
      </c>
      <c r="AM21" s="62"/>
      <c r="AN21" s="79">
        <f t="shared" si="6"/>
        <v>0</v>
      </c>
      <c r="AO21" s="62"/>
      <c r="AP21" s="130"/>
      <c r="AQ21" s="62"/>
      <c r="AR21" s="63"/>
      <c r="AS21" s="65"/>
      <c r="AT21" s="79">
        <f t="shared" si="7"/>
        <v>0</v>
      </c>
      <c r="AU21" s="65">
        <v>5</v>
      </c>
      <c r="AV21" s="79">
        <f t="shared" si="8"/>
        <v>3250</v>
      </c>
      <c r="AW21" s="65"/>
      <c r="AX21" s="130">
        <f t="shared" si="10"/>
        <v>0</v>
      </c>
      <c r="AY21" s="66"/>
      <c r="AZ21" s="66"/>
      <c r="BA21" s="80">
        <f t="shared" si="11"/>
        <v>222</v>
      </c>
      <c r="BB21" s="67">
        <v>650</v>
      </c>
      <c r="BC21" s="34">
        <f t="shared" si="12"/>
        <v>144300</v>
      </c>
      <c r="BD21" s="68"/>
    </row>
    <row r="22" spans="1:56" s="69" customFormat="1" ht="12.75" x14ac:dyDescent="0.2">
      <c r="A22" s="123">
        <v>13</v>
      </c>
      <c r="B22" s="27" t="s">
        <v>77</v>
      </c>
      <c r="C22" s="55" t="s">
        <v>50</v>
      </c>
      <c r="D22" s="56" t="s">
        <v>53</v>
      </c>
      <c r="E22" s="57" t="s">
        <v>78</v>
      </c>
      <c r="F22" s="56" t="s">
        <v>49</v>
      </c>
      <c r="G22" s="58"/>
      <c r="H22" s="58"/>
      <c r="I22" s="58"/>
      <c r="J22" s="32"/>
      <c r="K22" s="56"/>
      <c r="L22" s="59">
        <f t="shared" si="13"/>
        <v>0</v>
      </c>
      <c r="M22" s="60">
        <v>10</v>
      </c>
      <c r="N22" s="128">
        <f t="shared" si="9"/>
        <v>4000</v>
      </c>
      <c r="O22" s="62">
        <v>5</v>
      </c>
      <c r="P22" s="130">
        <f t="shared" si="0"/>
        <v>2000</v>
      </c>
      <c r="Q22" s="60"/>
      <c r="R22" s="59"/>
      <c r="S22" s="62"/>
      <c r="T22" s="79">
        <f t="shared" si="14"/>
        <v>0</v>
      </c>
      <c r="U22" s="60"/>
      <c r="V22" s="130"/>
      <c r="W22" s="62"/>
      <c r="X22" s="79">
        <f t="shared" si="1"/>
        <v>0</v>
      </c>
      <c r="Y22" s="62"/>
      <c r="Z22" s="59"/>
      <c r="AA22" s="62"/>
      <c r="AB22" s="79"/>
      <c r="AC22" s="62"/>
      <c r="AD22" s="130">
        <f t="shared" si="2"/>
        <v>0</v>
      </c>
      <c r="AE22" s="62"/>
      <c r="AF22" s="79"/>
      <c r="AG22" s="64"/>
      <c r="AH22" s="59">
        <f t="shared" si="3"/>
        <v>0</v>
      </c>
      <c r="AI22" s="62"/>
      <c r="AJ22" s="79">
        <f t="shared" si="4"/>
        <v>0</v>
      </c>
      <c r="AK22" s="62"/>
      <c r="AL22" s="130">
        <f t="shared" si="5"/>
        <v>0</v>
      </c>
      <c r="AM22" s="62"/>
      <c r="AN22" s="79">
        <f t="shared" si="6"/>
        <v>0</v>
      </c>
      <c r="AO22" s="62"/>
      <c r="AP22" s="130"/>
      <c r="AQ22" s="62"/>
      <c r="AR22" s="63"/>
      <c r="AS22" s="65"/>
      <c r="AT22" s="79">
        <f t="shared" si="7"/>
        <v>0</v>
      </c>
      <c r="AU22" s="65">
        <v>10</v>
      </c>
      <c r="AV22" s="79">
        <f t="shared" si="8"/>
        <v>4000</v>
      </c>
      <c r="AW22" s="65">
        <v>2</v>
      </c>
      <c r="AX22" s="130">
        <f t="shared" si="10"/>
        <v>800</v>
      </c>
      <c r="AY22" s="66"/>
      <c r="AZ22" s="66"/>
      <c r="BA22" s="80">
        <f t="shared" si="11"/>
        <v>27</v>
      </c>
      <c r="BB22" s="67">
        <v>400</v>
      </c>
      <c r="BC22" s="34">
        <f t="shared" si="12"/>
        <v>10800</v>
      </c>
      <c r="BD22" s="68"/>
    </row>
    <row r="23" spans="1:56" s="69" customFormat="1" ht="12.75" x14ac:dyDescent="0.2">
      <c r="A23" s="55">
        <v>14</v>
      </c>
      <c r="B23" s="82" t="s">
        <v>79</v>
      </c>
      <c r="C23" s="55" t="s">
        <v>50</v>
      </c>
      <c r="D23" s="56" t="s">
        <v>53</v>
      </c>
      <c r="E23" s="57" t="s">
        <v>80</v>
      </c>
      <c r="F23" s="56" t="s">
        <v>51</v>
      </c>
      <c r="G23" s="27"/>
      <c r="H23" s="27"/>
      <c r="I23" s="27"/>
      <c r="J23" s="78"/>
      <c r="K23" s="56"/>
      <c r="L23" s="59">
        <f t="shared" si="13"/>
        <v>0</v>
      </c>
      <c r="M23" s="60">
        <v>10</v>
      </c>
      <c r="N23" s="128">
        <f t="shared" si="9"/>
        <v>3000</v>
      </c>
      <c r="O23" s="62">
        <v>10</v>
      </c>
      <c r="P23" s="130">
        <f t="shared" si="0"/>
        <v>3000</v>
      </c>
      <c r="Q23" s="60"/>
      <c r="R23" s="59"/>
      <c r="S23" s="62">
        <v>1</v>
      </c>
      <c r="T23" s="79">
        <f t="shared" si="14"/>
        <v>300</v>
      </c>
      <c r="U23" s="60"/>
      <c r="V23" s="130"/>
      <c r="W23" s="62"/>
      <c r="X23" s="79">
        <f t="shared" si="1"/>
        <v>0</v>
      </c>
      <c r="Y23" s="62"/>
      <c r="Z23" s="59"/>
      <c r="AA23" s="62"/>
      <c r="AB23" s="79"/>
      <c r="AC23" s="62"/>
      <c r="AD23" s="130">
        <f t="shared" si="2"/>
        <v>0</v>
      </c>
      <c r="AE23" s="62"/>
      <c r="AF23" s="79"/>
      <c r="AG23" s="64"/>
      <c r="AH23" s="59">
        <f t="shared" si="3"/>
        <v>0</v>
      </c>
      <c r="AI23" s="62"/>
      <c r="AJ23" s="79">
        <f t="shared" si="4"/>
        <v>0</v>
      </c>
      <c r="AK23" s="62"/>
      <c r="AL23" s="130">
        <f t="shared" si="5"/>
        <v>0</v>
      </c>
      <c r="AM23" s="62"/>
      <c r="AN23" s="79">
        <f t="shared" si="6"/>
        <v>0</v>
      </c>
      <c r="AO23" s="62"/>
      <c r="AP23" s="130"/>
      <c r="AQ23" s="62"/>
      <c r="AR23" s="63"/>
      <c r="AS23" s="65"/>
      <c r="AT23" s="79">
        <f t="shared" si="7"/>
        <v>0</v>
      </c>
      <c r="AU23" s="65">
        <v>5</v>
      </c>
      <c r="AV23" s="79">
        <f t="shared" si="8"/>
        <v>1500</v>
      </c>
      <c r="AW23" s="65"/>
      <c r="AX23" s="130">
        <f t="shared" si="10"/>
        <v>0</v>
      </c>
      <c r="AY23" s="66"/>
      <c r="AZ23" s="66"/>
      <c r="BA23" s="80">
        <f t="shared" si="11"/>
        <v>26</v>
      </c>
      <c r="BB23" s="67">
        <v>300</v>
      </c>
      <c r="BC23" s="34">
        <f t="shared" si="12"/>
        <v>7800</v>
      </c>
      <c r="BD23" s="68"/>
    </row>
    <row r="24" spans="1:56" s="69" customFormat="1" ht="12" customHeight="1" x14ac:dyDescent="0.2">
      <c r="A24" s="123">
        <v>15</v>
      </c>
      <c r="B24" s="47" t="s">
        <v>81</v>
      </c>
      <c r="C24" s="55" t="s">
        <v>50</v>
      </c>
      <c r="D24" s="56" t="s">
        <v>53</v>
      </c>
      <c r="E24" s="57" t="s">
        <v>82</v>
      </c>
      <c r="F24" s="56" t="s">
        <v>49</v>
      </c>
      <c r="G24" s="71"/>
      <c r="H24" s="71"/>
      <c r="I24" s="71"/>
      <c r="J24" s="72"/>
      <c r="K24" s="56"/>
      <c r="L24" s="59">
        <f t="shared" si="13"/>
        <v>0</v>
      </c>
      <c r="M24" s="60"/>
      <c r="N24" s="128">
        <f t="shared" si="9"/>
        <v>0</v>
      </c>
      <c r="O24" s="62">
        <v>5</v>
      </c>
      <c r="P24" s="130">
        <f t="shared" si="0"/>
        <v>1450</v>
      </c>
      <c r="Q24" s="60"/>
      <c r="R24" s="59"/>
      <c r="S24" s="62"/>
      <c r="T24" s="79">
        <f t="shared" si="14"/>
        <v>0</v>
      </c>
      <c r="U24" s="60"/>
      <c r="V24" s="130"/>
      <c r="W24" s="62"/>
      <c r="X24" s="79">
        <f t="shared" si="1"/>
        <v>0</v>
      </c>
      <c r="Y24" s="62"/>
      <c r="Z24" s="59"/>
      <c r="AA24" s="62"/>
      <c r="AB24" s="79"/>
      <c r="AC24" s="62"/>
      <c r="AD24" s="130">
        <f t="shared" si="2"/>
        <v>0</v>
      </c>
      <c r="AE24" s="62"/>
      <c r="AF24" s="79"/>
      <c r="AG24" s="64"/>
      <c r="AH24" s="59">
        <f t="shared" si="3"/>
        <v>0</v>
      </c>
      <c r="AI24" s="62"/>
      <c r="AJ24" s="79">
        <f t="shared" si="4"/>
        <v>0</v>
      </c>
      <c r="AK24" s="62"/>
      <c r="AL24" s="130">
        <f t="shared" si="5"/>
        <v>0</v>
      </c>
      <c r="AM24" s="62"/>
      <c r="AN24" s="79">
        <f t="shared" si="6"/>
        <v>0</v>
      </c>
      <c r="AO24" s="62"/>
      <c r="AP24" s="130"/>
      <c r="AQ24" s="62"/>
      <c r="AR24" s="63"/>
      <c r="AS24" s="65"/>
      <c r="AT24" s="79">
        <f t="shared" si="7"/>
        <v>0</v>
      </c>
      <c r="AU24" s="65">
        <v>10</v>
      </c>
      <c r="AV24" s="79">
        <f t="shared" si="8"/>
        <v>2900</v>
      </c>
      <c r="AW24" s="65"/>
      <c r="AX24" s="130">
        <f t="shared" si="10"/>
        <v>0</v>
      </c>
      <c r="AY24" s="66"/>
      <c r="AZ24" s="66"/>
      <c r="BA24" s="80">
        <f t="shared" si="11"/>
        <v>15</v>
      </c>
      <c r="BB24" s="67">
        <v>290</v>
      </c>
      <c r="BC24" s="34">
        <f t="shared" si="12"/>
        <v>4350</v>
      </c>
      <c r="BD24" s="68"/>
    </row>
    <row r="25" spans="1:56" s="69" customFormat="1" ht="12.75" x14ac:dyDescent="0.2">
      <c r="A25" s="55">
        <v>16</v>
      </c>
      <c r="B25" s="47" t="s">
        <v>83</v>
      </c>
      <c r="C25" s="55" t="s">
        <v>50</v>
      </c>
      <c r="D25" s="56" t="s">
        <v>53</v>
      </c>
      <c r="E25" s="57" t="s">
        <v>84</v>
      </c>
      <c r="F25" s="56" t="s">
        <v>49</v>
      </c>
      <c r="G25" s="56"/>
      <c r="H25" s="56"/>
      <c r="I25" s="56"/>
      <c r="J25" s="188"/>
      <c r="K25" s="56"/>
      <c r="L25" s="59">
        <f t="shared" si="13"/>
        <v>0</v>
      </c>
      <c r="M25" s="60">
        <v>10</v>
      </c>
      <c r="N25" s="128">
        <f t="shared" si="9"/>
        <v>4500</v>
      </c>
      <c r="O25" s="62">
        <v>8</v>
      </c>
      <c r="P25" s="130">
        <f t="shared" si="0"/>
        <v>3600</v>
      </c>
      <c r="Q25" s="60"/>
      <c r="R25" s="59"/>
      <c r="S25" s="62"/>
      <c r="T25" s="79">
        <f t="shared" si="14"/>
        <v>0</v>
      </c>
      <c r="U25" s="60"/>
      <c r="V25" s="130"/>
      <c r="W25" s="62"/>
      <c r="X25" s="79">
        <f t="shared" si="1"/>
        <v>0</v>
      </c>
      <c r="Y25" s="62"/>
      <c r="Z25" s="59"/>
      <c r="AA25" s="62"/>
      <c r="AB25" s="79"/>
      <c r="AC25" s="62">
        <v>10</v>
      </c>
      <c r="AD25" s="130">
        <f t="shared" si="2"/>
        <v>4500</v>
      </c>
      <c r="AE25" s="62"/>
      <c r="AF25" s="79"/>
      <c r="AG25" s="64"/>
      <c r="AH25" s="59">
        <f t="shared" si="3"/>
        <v>0</v>
      </c>
      <c r="AI25" s="62"/>
      <c r="AJ25" s="79">
        <f t="shared" si="4"/>
        <v>0</v>
      </c>
      <c r="AK25" s="62">
        <v>4</v>
      </c>
      <c r="AL25" s="130">
        <f t="shared" si="5"/>
        <v>1800</v>
      </c>
      <c r="AM25" s="62"/>
      <c r="AN25" s="79">
        <f t="shared" si="6"/>
        <v>0</v>
      </c>
      <c r="AO25" s="62"/>
      <c r="AP25" s="130"/>
      <c r="AQ25" s="62"/>
      <c r="AR25" s="63"/>
      <c r="AS25" s="65"/>
      <c r="AT25" s="79">
        <f t="shared" si="7"/>
        <v>0</v>
      </c>
      <c r="AU25" s="65">
        <v>10</v>
      </c>
      <c r="AV25" s="79">
        <f t="shared" si="8"/>
        <v>4500</v>
      </c>
      <c r="AW25" s="65">
        <v>3</v>
      </c>
      <c r="AX25" s="130">
        <f t="shared" si="10"/>
        <v>1350</v>
      </c>
      <c r="AY25" s="66"/>
      <c r="AZ25" s="66"/>
      <c r="BA25" s="80">
        <f t="shared" si="11"/>
        <v>45</v>
      </c>
      <c r="BB25" s="67">
        <v>450</v>
      </c>
      <c r="BC25" s="34">
        <f t="shared" si="12"/>
        <v>20250</v>
      </c>
      <c r="BD25" s="68"/>
    </row>
    <row r="26" spans="1:56" s="69" customFormat="1" ht="12.75" x14ac:dyDescent="0.2">
      <c r="A26" s="123">
        <v>17</v>
      </c>
      <c r="B26" s="47" t="s">
        <v>85</v>
      </c>
      <c r="C26" s="55" t="s">
        <v>86</v>
      </c>
      <c r="D26" s="56" t="s">
        <v>53</v>
      </c>
      <c r="E26" s="57" t="s">
        <v>87</v>
      </c>
      <c r="F26" s="56" t="s">
        <v>49</v>
      </c>
      <c r="G26" s="58"/>
      <c r="H26" s="58"/>
      <c r="I26" s="58"/>
      <c r="J26" s="32"/>
      <c r="K26" s="56"/>
      <c r="L26" s="59">
        <f t="shared" si="13"/>
        <v>0</v>
      </c>
      <c r="M26" s="60"/>
      <c r="N26" s="128">
        <f t="shared" si="9"/>
        <v>0</v>
      </c>
      <c r="O26" s="62"/>
      <c r="P26" s="130">
        <f t="shared" si="0"/>
        <v>0</v>
      </c>
      <c r="Q26" s="60"/>
      <c r="R26" s="59"/>
      <c r="S26" s="62"/>
      <c r="T26" s="79">
        <f t="shared" si="14"/>
        <v>0</v>
      </c>
      <c r="U26" s="60"/>
      <c r="V26" s="130"/>
      <c r="W26" s="62"/>
      <c r="X26" s="79">
        <f t="shared" si="1"/>
        <v>0</v>
      </c>
      <c r="Y26" s="62"/>
      <c r="Z26" s="59"/>
      <c r="AA26" s="62"/>
      <c r="AB26" s="79"/>
      <c r="AC26" s="62"/>
      <c r="AD26" s="130">
        <f t="shared" si="2"/>
        <v>0</v>
      </c>
      <c r="AE26" s="62"/>
      <c r="AF26" s="79"/>
      <c r="AG26" s="64"/>
      <c r="AH26" s="59">
        <f t="shared" si="3"/>
        <v>0</v>
      </c>
      <c r="AI26" s="62"/>
      <c r="AJ26" s="79">
        <f t="shared" si="4"/>
        <v>0</v>
      </c>
      <c r="AK26" s="62"/>
      <c r="AL26" s="130">
        <f t="shared" si="5"/>
        <v>0</v>
      </c>
      <c r="AM26" s="62"/>
      <c r="AN26" s="79">
        <f t="shared" si="6"/>
        <v>0</v>
      </c>
      <c r="AO26" s="62"/>
      <c r="AP26" s="130"/>
      <c r="AQ26" s="62"/>
      <c r="AR26" s="63"/>
      <c r="AS26" s="65"/>
      <c r="AT26" s="79">
        <f t="shared" si="7"/>
        <v>0</v>
      </c>
      <c r="AU26" s="65">
        <v>5</v>
      </c>
      <c r="AV26" s="79">
        <f t="shared" si="8"/>
        <v>3750</v>
      </c>
      <c r="AW26" s="65"/>
      <c r="AX26" s="130">
        <f t="shared" si="10"/>
        <v>0</v>
      </c>
      <c r="AY26" s="66"/>
      <c r="AZ26" s="66"/>
      <c r="BA26" s="80">
        <f t="shared" si="11"/>
        <v>5</v>
      </c>
      <c r="BB26" s="67">
        <v>750</v>
      </c>
      <c r="BC26" s="34">
        <f t="shared" si="12"/>
        <v>3750</v>
      </c>
      <c r="BD26" s="68"/>
    </row>
    <row r="27" spans="1:56" s="189" customFormat="1" ht="25.5" x14ac:dyDescent="0.2">
      <c r="A27" s="55">
        <v>18</v>
      </c>
      <c r="B27" s="47" t="s">
        <v>88</v>
      </c>
      <c r="C27" s="55" t="s">
        <v>50</v>
      </c>
      <c r="D27" s="56" t="s">
        <v>53</v>
      </c>
      <c r="E27" s="57" t="s">
        <v>89</v>
      </c>
      <c r="F27" s="56" t="s">
        <v>57</v>
      </c>
      <c r="G27" s="27"/>
      <c r="H27" s="27"/>
      <c r="I27" s="27"/>
      <c r="J27" s="78"/>
      <c r="K27" s="56"/>
      <c r="L27" s="59">
        <f t="shared" si="13"/>
        <v>0</v>
      </c>
      <c r="M27" s="60">
        <v>8</v>
      </c>
      <c r="N27" s="128">
        <f t="shared" si="9"/>
        <v>2800</v>
      </c>
      <c r="O27" s="62">
        <v>30</v>
      </c>
      <c r="P27" s="130">
        <f t="shared" si="0"/>
        <v>10500</v>
      </c>
      <c r="Q27" s="60"/>
      <c r="R27" s="59"/>
      <c r="S27" s="62"/>
      <c r="T27" s="79">
        <f t="shared" si="14"/>
        <v>0</v>
      </c>
      <c r="U27" s="60"/>
      <c r="V27" s="130"/>
      <c r="W27" s="62">
        <v>15</v>
      </c>
      <c r="X27" s="79">
        <f t="shared" si="1"/>
        <v>5250</v>
      </c>
      <c r="Y27" s="62"/>
      <c r="Z27" s="59"/>
      <c r="AA27" s="62"/>
      <c r="AB27" s="79"/>
      <c r="AC27" s="62">
        <v>84</v>
      </c>
      <c r="AD27" s="130">
        <f t="shared" si="2"/>
        <v>29400</v>
      </c>
      <c r="AE27" s="62"/>
      <c r="AF27" s="79"/>
      <c r="AG27" s="64"/>
      <c r="AH27" s="59">
        <f t="shared" si="3"/>
        <v>0</v>
      </c>
      <c r="AI27" s="62">
        <v>28</v>
      </c>
      <c r="AJ27" s="79">
        <f t="shared" si="4"/>
        <v>9800</v>
      </c>
      <c r="AK27" s="62">
        <v>20</v>
      </c>
      <c r="AL27" s="130">
        <f t="shared" si="5"/>
        <v>7000</v>
      </c>
      <c r="AM27" s="62">
        <v>100</v>
      </c>
      <c r="AN27" s="79">
        <f t="shared" si="6"/>
        <v>35000</v>
      </c>
      <c r="AO27" s="62"/>
      <c r="AP27" s="130"/>
      <c r="AQ27" s="62"/>
      <c r="AR27" s="63"/>
      <c r="AS27" s="65"/>
      <c r="AT27" s="79">
        <f t="shared" si="7"/>
        <v>0</v>
      </c>
      <c r="AU27" s="65">
        <v>50</v>
      </c>
      <c r="AV27" s="79">
        <f t="shared" si="8"/>
        <v>17500</v>
      </c>
      <c r="AW27" s="65">
        <v>10</v>
      </c>
      <c r="AX27" s="130">
        <f t="shared" si="10"/>
        <v>3500</v>
      </c>
      <c r="AY27" s="66"/>
      <c r="AZ27" s="66"/>
      <c r="BA27" s="80">
        <f t="shared" si="11"/>
        <v>345</v>
      </c>
      <c r="BB27" s="67">
        <v>350</v>
      </c>
      <c r="BC27" s="34">
        <f t="shared" si="12"/>
        <v>120750</v>
      </c>
      <c r="BD27" s="68"/>
    </row>
    <row r="28" spans="1:56" s="69" customFormat="1" ht="12.75" x14ac:dyDescent="0.2">
      <c r="A28" s="123">
        <v>19</v>
      </c>
      <c r="B28" s="47" t="s">
        <v>90</v>
      </c>
      <c r="C28" s="55" t="s">
        <v>50</v>
      </c>
      <c r="D28" s="56" t="s">
        <v>53</v>
      </c>
      <c r="E28" s="57" t="s">
        <v>91</v>
      </c>
      <c r="F28" s="56" t="s">
        <v>49</v>
      </c>
      <c r="G28" s="58"/>
      <c r="H28" s="58"/>
      <c r="I28" s="58"/>
      <c r="J28" s="32"/>
      <c r="K28" s="56"/>
      <c r="L28" s="59">
        <f t="shared" si="13"/>
        <v>0</v>
      </c>
      <c r="M28" s="60">
        <v>10</v>
      </c>
      <c r="N28" s="128">
        <f t="shared" si="9"/>
        <v>4000</v>
      </c>
      <c r="O28" s="62"/>
      <c r="P28" s="130">
        <f t="shared" si="0"/>
        <v>0</v>
      </c>
      <c r="Q28" s="60"/>
      <c r="R28" s="59"/>
      <c r="S28" s="62">
        <v>3</v>
      </c>
      <c r="T28" s="79">
        <f t="shared" si="14"/>
        <v>1200</v>
      </c>
      <c r="U28" s="60"/>
      <c r="V28" s="130"/>
      <c r="W28" s="62"/>
      <c r="X28" s="79">
        <f t="shared" si="1"/>
        <v>0</v>
      </c>
      <c r="Y28" s="62"/>
      <c r="Z28" s="59"/>
      <c r="AA28" s="62"/>
      <c r="AB28" s="79"/>
      <c r="AC28" s="62"/>
      <c r="AD28" s="130">
        <f t="shared" si="2"/>
        <v>0</v>
      </c>
      <c r="AE28" s="62"/>
      <c r="AF28" s="79"/>
      <c r="AG28" s="64"/>
      <c r="AH28" s="59">
        <f t="shared" si="3"/>
        <v>0</v>
      </c>
      <c r="AI28" s="62"/>
      <c r="AJ28" s="79">
        <f t="shared" si="4"/>
        <v>0</v>
      </c>
      <c r="AK28" s="62"/>
      <c r="AL28" s="130">
        <f t="shared" si="5"/>
        <v>0</v>
      </c>
      <c r="AM28" s="62"/>
      <c r="AN28" s="79">
        <f t="shared" si="6"/>
        <v>0</v>
      </c>
      <c r="AO28" s="62"/>
      <c r="AP28" s="130"/>
      <c r="AQ28" s="62"/>
      <c r="AR28" s="63"/>
      <c r="AS28" s="65"/>
      <c r="AT28" s="79">
        <f t="shared" si="7"/>
        <v>0</v>
      </c>
      <c r="AU28" s="65"/>
      <c r="AV28" s="79">
        <f t="shared" si="8"/>
        <v>0</v>
      </c>
      <c r="AW28" s="65"/>
      <c r="AX28" s="130">
        <f t="shared" si="10"/>
        <v>0</v>
      </c>
      <c r="AY28" s="66"/>
      <c r="AZ28" s="66"/>
      <c r="BA28" s="80">
        <f t="shared" si="11"/>
        <v>13</v>
      </c>
      <c r="BB28" s="67">
        <v>400</v>
      </c>
      <c r="BC28" s="34">
        <f t="shared" si="12"/>
        <v>5200</v>
      </c>
      <c r="BD28" s="68" t="s">
        <v>121</v>
      </c>
    </row>
    <row r="29" spans="1:56" s="69" customFormat="1" ht="12.75" x14ac:dyDescent="0.2">
      <c r="A29" s="55">
        <v>20</v>
      </c>
      <c r="B29" s="47" t="s">
        <v>92</v>
      </c>
      <c r="C29" s="55" t="s">
        <v>50</v>
      </c>
      <c r="D29" s="56" t="s">
        <v>53</v>
      </c>
      <c r="E29" s="57" t="s">
        <v>93</v>
      </c>
      <c r="F29" s="56" t="s">
        <v>49</v>
      </c>
      <c r="G29" s="64"/>
      <c r="H29" s="64"/>
      <c r="I29" s="64"/>
      <c r="J29" s="32"/>
      <c r="K29" s="56"/>
      <c r="L29" s="59">
        <f t="shared" si="13"/>
        <v>0</v>
      </c>
      <c r="M29" s="60"/>
      <c r="N29" s="128">
        <f t="shared" si="9"/>
        <v>0</v>
      </c>
      <c r="O29" s="62"/>
      <c r="P29" s="130">
        <f t="shared" si="0"/>
        <v>0</v>
      </c>
      <c r="Q29" s="60"/>
      <c r="R29" s="59"/>
      <c r="S29" s="62"/>
      <c r="T29" s="79">
        <f t="shared" si="14"/>
        <v>0</v>
      </c>
      <c r="U29" s="60"/>
      <c r="V29" s="130"/>
      <c r="W29" s="62"/>
      <c r="X29" s="79">
        <f t="shared" si="1"/>
        <v>0</v>
      </c>
      <c r="Y29" s="62"/>
      <c r="Z29" s="59"/>
      <c r="AA29" s="62"/>
      <c r="AB29" s="79"/>
      <c r="AC29" s="62"/>
      <c r="AD29" s="130">
        <f t="shared" si="2"/>
        <v>0</v>
      </c>
      <c r="AE29" s="62"/>
      <c r="AF29" s="79"/>
      <c r="AG29" s="64"/>
      <c r="AH29" s="59">
        <f t="shared" si="3"/>
        <v>0</v>
      </c>
      <c r="AI29" s="62"/>
      <c r="AJ29" s="79">
        <f t="shared" si="4"/>
        <v>0</v>
      </c>
      <c r="AK29" s="62"/>
      <c r="AL29" s="130">
        <f t="shared" si="5"/>
        <v>0</v>
      </c>
      <c r="AM29" s="62"/>
      <c r="AN29" s="79">
        <f t="shared" si="6"/>
        <v>0</v>
      </c>
      <c r="AO29" s="62"/>
      <c r="AP29" s="130"/>
      <c r="AQ29" s="62"/>
      <c r="AR29" s="63"/>
      <c r="AS29" s="65"/>
      <c r="AT29" s="79">
        <f t="shared" si="7"/>
        <v>0</v>
      </c>
      <c r="AU29" s="65">
        <v>5</v>
      </c>
      <c r="AV29" s="79">
        <f t="shared" si="8"/>
        <v>4000</v>
      </c>
      <c r="AW29" s="65"/>
      <c r="AX29" s="130">
        <f t="shared" si="10"/>
        <v>0</v>
      </c>
      <c r="AY29" s="66"/>
      <c r="AZ29" s="66"/>
      <c r="BA29" s="80">
        <f t="shared" si="11"/>
        <v>5</v>
      </c>
      <c r="BB29" s="75">
        <v>800</v>
      </c>
      <c r="BC29" s="34">
        <f t="shared" si="12"/>
        <v>4000</v>
      </c>
      <c r="BD29" s="68" t="s">
        <v>121</v>
      </c>
    </row>
    <row r="30" spans="1:56" s="69" customFormat="1" ht="12.75" x14ac:dyDescent="0.2">
      <c r="A30" s="123">
        <v>21</v>
      </c>
      <c r="B30" s="47" t="s">
        <v>94</v>
      </c>
      <c r="C30" s="55" t="s">
        <v>50</v>
      </c>
      <c r="D30" s="56" t="s">
        <v>53</v>
      </c>
      <c r="E30" s="77" t="s">
        <v>95</v>
      </c>
      <c r="F30" s="56" t="s">
        <v>49</v>
      </c>
      <c r="G30" s="64"/>
      <c r="H30" s="64"/>
      <c r="I30" s="64"/>
      <c r="J30" s="32"/>
      <c r="K30" s="56"/>
      <c r="L30" s="59">
        <f t="shared" si="13"/>
        <v>0</v>
      </c>
      <c r="M30" s="60">
        <v>20</v>
      </c>
      <c r="N30" s="128">
        <f t="shared" si="9"/>
        <v>2400</v>
      </c>
      <c r="O30" s="62">
        <v>10</v>
      </c>
      <c r="P30" s="130">
        <f t="shared" si="0"/>
        <v>1200</v>
      </c>
      <c r="Q30" s="60"/>
      <c r="R30" s="59"/>
      <c r="S30" s="62">
        <v>3</v>
      </c>
      <c r="T30" s="79">
        <f t="shared" si="14"/>
        <v>360</v>
      </c>
      <c r="U30" s="60"/>
      <c r="V30" s="130"/>
      <c r="W30" s="62">
        <v>40</v>
      </c>
      <c r="X30" s="79">
        <f t="shared" si="1"/>
        <v>4800</v>
      </c>
      <c r="Y30" s="62"/>
      <c r="Z30" s="59"/>
      <c r="AA30" s="62"/>
      <c r="AB30" s="79"/>
      <c r="AC30" s="62"/>
      <c r="AD30" s="130">
        <f t="shared" si="2"/>
        <v>0</v>
      </c>
      <c r="AE30" s="62"/>
      <c r="AF30" s="79"/>
      <c r="AG30" s="64"/>
      <c r="AH30" s="59">
        <f t="shared" si="3"/>
        <v>0</v>
      </c>
      <c r="AI30" s="62"/>
      <c r="AJ30" s="79">
        <f t="shared" si="4"/>
        <v>0</v>
      </c>
      <c r="AK30" s="62"/>
      <c r="AL30" s="130">
        <f t="shared" si="5"/>
        <v>0</v>
      </c>
      <c r="AM30" s="62"/>
      <c r="AN30" s="79">
        <f t="shared" si="6"/>
        <v>0</v>
      </c>
      <c r="AO30" s="62"/>
      <c r="AP30" s="130"/>
      <c r="AQ30" s="62"/>
      <c r="AR30" s="63"/>
      <c r="AS30" s="65"/>
      <c r="AT30" s="79">
        <f t="shared" si="7"/>
        <v>0</v>
      </c>
      <c r="AU30" s="65">
        <v>10</v>
      </c>
      <c r="AV30" s="79">
        <f t="shared" si="8"/>
        <v>1200</v>
      </c>
      <c r="AW30" s="65"/>
      <c r="AX30" s="130">
        <f t="shared" si="10"/>
        <v>0</v>
      </c>
      <c r="AY30" s="66"/>
      <c r="AZ30" s="66"/>
      <c r="BA30" s="80">
        <f t="shared" si="11"/>
        <v>83</v>
      </c>
      <c r="BB30" s="75">
        <v>120</v>
      </c>
      <c r="BC30" s="34">
        <f t="shared" si="12"/>
        <v>9960</v>
      </c>
      <c r="BD30" s="68"/>
    </row>
    <row r="31" spans="1:56" s="69" customFormat="1" ht="12.75" x14ac:dyDescent="0.2">
      <c r="A31" s="55">
        <v>22</v>
      </c>
      <c r="B31" s="47" t="s">
        <v>96</v>
      </c>
      <c r="C31" s="55" t="s">
        <v>50</v>
      </c>
      <c r="D31" s="56" t="s">
        <v>53</v>
      </c>
      <c r="E31" s="77" t="s">
        <v>97</v>
      </c>
      <c r="F31" s="56" t="s">
        <v>49</v>
      </c>
      <c r="G31" s="56"/>
      <c r="H31" s="56"/>
      <c r="I31" s="56"/>
      <c r="J31" s="188"/>
      <c r="K31" s="56"/>
      <c r="L31" s="59">
        <f t="shared" si="13"/>
        <v>0</v>
      </c>
      <c r="M31" s="60">
        <v>10</v>
      </c>
      <c r="N31" s="128">
        <f t="shared" si="9"/>
        <v>1150</v>
      </c>
      <c r="O31" s="62">
        <v>5</v>
      </c>
      <c r="P31" s="130">
        <f t="shared" si="0"/>
        <v>575</v>
      </c>
      <c r="Q31" s="60"/>
      <c r="R31" s="59"/>
      <c r="S31" s="62">
        <v>3</v>
      </c>
      <c r="T31" s="79">
        <f t="shared" si="14"/>
        <v>345</v>
      </c>
      <c r="U31" s="60"/>
      <c r="V31" s="130"/>
      <c r="W31" s="62">
        <v>40</v>
      </c>
      <c r="X31" s="79">
        <f t="shared" si="1"/>
        <v>4600</v>
      </c>
      <c r="Y31" s="62"/>
      <c r="Z31" s="59"/>
      <c r="AA31" s="62"/>
      <c r="AB31" s="79"/>
      <c r="AC31" s="62"/>
      <c r="AD31" s="130">
        <f t="shared" si="2"/>
        <v>0</v>
      </c>
      <c r="AE31" s="62"/>
      <c r="AF31" s="79"/>
      <c r="AG31" s="64"/>
      <c r="AH31" s="59">
        <f t="shared" si="3"/>
        <v>0</v>
      </c>
      <c r="AI31" s="62"/>
      <c r="AJ31" s="79">
        <f t="shared" si="4"/>
        <v>0</v>
      </c>
      <c r="AK31" s="62">
        <v>6</v>
      </c>
      <c r="AL31" s="130">
        <f t="shared" si="5"/>
        <v>690</v>
      </c>
      <c r="AM31" s="62"/>
      <c r="AN31" s="79">
        <f t="shared" si="6"/>
        <v>0</v>
      </c>
      <c r="AO31" s="62"/>
      <c r="AP31" s="130"/>
      <c r="AQ31" s="62"/>
      <c r="AR31" s="63"/>
      <c r="AS31" s="65"/>
      <c r="AT31" s="79">
        <f t="shared" si="7"/>
        <v>0</v>
      </c>
      <c r="AU31" s="65">
        <v>10</v>
      </c>
      <c r="AV31" s="79">
        <f t="shared" si="8"/>
        <v>1150</v>
      </c>
      <c r="AW31" s="65">
        <v>10</v>
      </c>
      <c r="AX31" s="130">
        <f t="shared" si="10"/>
        <v>1150</v>
      </c>
      <c r="AY31" s="66"/>
      <c r="AZ31" s="66"/>
      <c r="BA31" s="80">
        <f t="shared" si="11"/>
        <v>84</v>
      </c>
      <c r="BB31" s="67">
        <v>115</v>
      </c>
      <c r="BC31" s="34">
        <f t="shared" si="12"/>
        <v>9660</v>
      </c>
      <c r="BD31" s="68"/>
    </row>
    <row r="32" spans="1:56" s="69" customFormat="1" ht="12.75" x14ac:dyDescent="0.2">
      <c r="A32" s="123">
        <v>23</v>
      </c>
      <c r="B32" s="187" t="s">
        <v>98</v>
      </c>
      <c r="C32" s="55" t="s">
        <v>50</v>
      </c>
      <c r="D32" s="56" t="s">
        <v>53</v>
      </c>
      <c r="E32" s="57" t="s">
        <v>99</v>
      </c>
      <c r="F32" s="56" t="s">
        <v>49</v>
      </c>
      <c r="G32" s="71"/>
      <c r="H32" s="71"/>
      <c r="I32" s="71"/>
      <c r="J32" s="72"/>
      <c r="K32" s="73"/>
      <c r="L32" s="59">
        <f t="shared" si="13"/>
        <v>0</v>
      </c>
      <c r="M32" s="83">
        <v>15</v>
      </c>
      <c r="N32" s="128">
        <f t="shared" si="9"/>
        <v>1800</v>
      </c>
      <c r="O32" s="62"/>
      <c r="P32" s="130">
        <f t="shared" si="0"/>
        <v>0</v>
      </c>
      <c r="Q32" s="60"/>
      <c r="R32" s="59"/>
      <c r="S32" s="62"/>
      <c r="T32" s="79">
        <f t="shared" si="14"/>
        <v>0</v>
      </c>
      <c r="U32" s="60"/>
      <c r="V32" s="130"/>
      <c r="W32" s="62"/>
      <c r="X32" s="79">
        <f t="shared" si="1"/>
        <v>0</v>
      </c>
      <c r="Y32" s="62"/>
      <c r="Z32" s="59"/>
      <c r="AA32" s="62"/>
      <c r="AB32" s="79"/>
      <c r="AC32" s="62">
        <v>10</v>
      </c>
      <c r="AD32" s="130">
        <f t="shared" si="2"/>
        <v>1200</v>
      </c>
      <c r="AE32" s="62"/>
      <c r="AF32" s="79"/>
      <c r="AG32" s="64"/>
      <c r="AH32" s="59">
        <f t="shared" si="3"/>
        <v>0</v>
      </c>
      <c r="AI32" s="62"/>
      <c r="AJ32" s="79">
        <f t="shared" si="4"/>
        <v>0</v>
      </c>
      <c r="AK32" s="62"/>
      <c r="AL32" s="130">
        <f t="shared" si="5"/>
        <v>0</v>
      </c>
      <c r="AM32" s="62"/>
      <c r="AN32" s="79">
        <f t="shared" si="6"/>
        <v>0</v>
      </c>
      <c r="AO32" s="62"/>
      <c r="AP32" s="130"/>
      <c r="AQ32" s="62"/>
      <c r="AR32" s="63"/>
      <c r="AS32" s="65"/>
      <c r="AT32" s="79">
        <f t="shared" si="7"/>
        <v>0</v>
      </c>
      <c r="AU32" s="65">
        <v>10</v>
      </c>
      <c r="AV32" s="79">
        <f t="shared" si="8"/>
        <v>1200</v>
      </c>
      <c r="AW32" s="65"/>
      <c r="AX32" s="130">
        <f t="shared" si="10"/>
        <v>0</v>
      </c>
      <c r="AY32" s="66"/>
      <c r="AZ32" s="66"/>
      <c r="BA32" s="80">
        <f t="shared" si="11"/>
        <v>35</v>
      </c>
      <c r="BB32" s="75">
        <v>120</v>
      </c>
      <c r="BC32" s="34">
        <f t="shared" si="12"/>
        <v>4200</v>
      </c>
      <c r="BD32" s="68"/>
    </row>
    <row r="33" spans="1:56" s="88" customFormat="1" ht="12.75" x14ac:dyDescent="0.2">
      <c r="A33" s="55">
        <v>24</v>
      </c>
      <c r="B33" s="84" t="s">
        <v>100</v>
      </c>
      <c r="C33" s="27" t="s">
        <v>50</v>
      </c>
      <c r="D33" s="27" t="s">
        <v>53</v>
      </c>
      <c r="E33" s="85" t="s">
        <v>101</v>
      </c>
      <c r="F33" s="47" t="s">
        <v>57</v>
      </c>
      <c r="G33" s="47"/>
      <c r="H33" s="47"/>
      <c r="I33" s="47"/>
      <c r="J33" s="63"/>
      <c r="K33" s="47"/>
      <c r="L33" s="61">
        <f>SUM(L10:L32)</f>
        <v>0</v>
      </c>
      <c r="M33" s="60">
        <v>5</v>
      </c>
      <c r="N33" s="128">
        <f t="shared" si="9"/>
        <v>2250</v>
      </c>
      <c r="O33" s="62"/>
      <c r="P33" s="130">
        <f t="shared" si="0"/>
        <v>0</v>
      </c>
      <c r="Q33" s="60"/>
      <c r="R33" s="47"/>
      <c r="S33" s="62"/>
      <c r="T33" s="79">
        <f t="shared" si="14"/>
        <v>0</v>
      </c>
      <c r="U33" s="60"/>
      <c r="V33" s="130"/>
      <c r="W33" s="62"/>
      <c r="X33" s="79">
        <f t="shared" si="1"/>
        <v>0</v>
      </c>
      <c r="Y33" s="62"/>
      <c r="Z33" s="47"/>
      <c r="AA33" s="62"/>
      <c r="AB33" s="79"/>
      <c r="AC33" s="62"/>
      <c r="AD33" s="130">
        <f t="shared" si="2"/>
        <v>0</v>
      </c>
      <c r="AE33" s="62"/>
      <c r="AF33" s="79"/>
      <c r="AG33" s="64"/>
      <c r="AH33" s="59">
        <f t="shared" si="3"/>
        <v>0</v>
      </c>
      <c r="AI33" s="62"/>
      <c r="AJ33" s="79">
        <f t="shared" si="4"/>
        <v>0</v>
      </c>
      <c r="AK33" s="62"/>
      <c r="AL33" s="130">
        <f t="shared" si="5"/>
        <v>0</v>
      </c>
      <c r="AM33" s="62"/>
      <c r="AN33" s="79">
        <f t="shared" si="6"/>
        <v>0</v>
      </c>
      <c r="AO33" s="62"/>
      <c r="AP33" s="130"/>
      <c r="AQ33" s="62"/>
      <c r="AR33" s="63"/>
      <c r="AS33" s="65"/>
      <c r="AT33" s="79">
        <f t="shared" si="7"/>
        <v>0</v>
      </c>
      <c r="AU33" s="65"/>
      <c r="AV33" s="79">
        <f t="shared" si="8"/>
        <v>0</v>
      </c>
      <c r="AW33" s="65"/>
      <c r="AX33" s="130">
        <f t="shared" si="10"/>
        <v>0</v>
      </c>
      <c r="AY33" s="66"/>
      <c r="AZ33" s="66"/>
      <c r="BA33" s="80">
        <f t="shared" si="11"/>
        <v>5</v>
      </c>
      <c r="BB33" s="86">
        <v>450</v>
      </c>
      <c r="BC33" s="34">
        <f t="shared" si="12"/>
        <v>2250</v>
      </c>
      <c r="BD33" s="87"/>
    </row>
    <row r="34" spans="1:56" s="88" customFormat="1" ht="25.5" x14ac:dyDescent="0.2">
      <c r="A34" s="123">
        <v>25</v>
      </c>
      <c r="B34" s="84" t="s">
        <v>117</v>
      </c>
      <c r="C34" s="27" t="s">
        <v>50</v>
      </c>
      <c r="D34" s="27">
        <v>234</v>
      </c>
      <c r="E34" s="85" t="s">
        <v>118</v>
      </c>
      <c r="F34" s="47" t="s">
        <v>48</v>
      </c>
      <c r="G34" s="47"/>
      <c r="H34" s="47"/>
      <c r="I34" s="47"/>
      <c r="J34" s="63"/>
      <c r="K34" s="47"/>
      <c r="L34" s="61"/>
      <c r="M34" s="60"/>
      <c r="N34" s="128">
        <f t="shared" si="9"/>
        <v>0</v>
      </c>
      <c r="O34" s="62"/>
      <c r="P34" s="130">
        <f t="shared" si="0"/>
        <v>0</v>
      </c>
      <c r="Q34" s="60"/>
      <c r="R34" s="47"/>
      <c r="S34" s="62"/>
      <c r="T34" s="79">
        <f t="shared" si="14"/>
        <v>0</v>
      </c>
      <c r="U34" s="60"/>
      <c r="V34" s="130"/>
      <c r="W34" s="62"/>
      <c r="X34" s="79">
        <f t="shared" si="1"/>
        <v>0</v>
      </c>
      <c r="Y34" s="62"/>
      <c r="Z34" s="47"/>
      <c r="AA34" s="62"/>
      <c r="AB34" s="79"/>
      <c r="AC34" s="62"/>
      <c r="AD34" s="130">
        <f t="shared" si="2"/>
        <v>0</v>
      </c>
      <c r="AE34" s="62"/>
      <c r="AF34" s="79"/>
      <c r="AG34" s="64"/>
      <c r="AH34" s="59"/>
      <c r="AI34" s="62"/>
      <c r="AJ34" s="79">
        <f t="shared" si="4"/>
        <v>0</v>
      </c>
      <c r="AK34" s="62"/>
      <c r="AL34" s="130">
        <f t="shared" si="5"/>
        <v>0</v>
      </c>
      <c r="AM34" s="62"/>
      <c r="AN34" s="79">
        <f t="shared" si="6"/>
        <v>0</v>
      </c>
      <c r="AO34" s="62"/>
      <c r="AP34" s="130"/>
      <c r="AQ34" s="62"/>
      <c r="AR34" s="63"/>
      <c r="AS34" s="65">
        <v>4</v>
      </c>
      <c r="AT34" s="79">
        <f t="shared" si="7"/>
        <v>5600</v>
      </c>
      <c r="AU34" s="65">
        <v>25</v>
      </c>
      <c r="AV34" s="79">
        <f t="shared" si="8"/>
        <v>35000</v>
      </c>
      <c r="AW34" s="65"/>
      <c r="AX34" s="130">
        <f t="shared" si="10"/>
        <v>0</v>
      </c>
      <c r="AY34" s="66"/>
      <c r="AZ34" s="66"/>
      <c r="BA34" s="80">
        <f t="shared" si="11"/>
        <v>29</v>
      </c>
      <c r="BB34" s="86">
        <v>1400</v>
      </c>
      <c r="BC34" s="34">
        <f t="shared" si="12"/>
        <v>40600</v>
      </c>
      <c r="BD34" s="87"/>
    </row>
    <row r="35" spans="1:56" s="88" customFormat="1" ht="25.5" x14ac:dyDescent="0.2">
      <c r="A35" s="55">
        <v>26</v>
      </c>
      <c r="B35" s="84" t="s">
        <v>119</v>
      </c>
      <c r="C35" s="27" t="s">
        <v>50</v>
      </c>
      <c r="D35" s="27">
        <v>234</v>
      </c>
      <c r="E35" s="85" t="s">
        <v>120</v>
      </c>
      <c r="F35" s="47" t="s">
        <v>49</v>
      </c>
      <c r="G35" s="47"/>
      <c r="H35" s="47"/>
      <c r="I35" s="47"/>
      <c r="J35" s="63"/>
      <c r="K35" s="47"/>
      <c r="L35" s="61"/>
      <c r="M35" s="60">
        <v>2</v>
      </c>
      <c r="N35" s="128">
        <f t="shared" si="9"/>
        <v>2800</v>
      </c>
      <c r="O35" s="62"/>
      <c r="P35" s="130">
        <f t="shared" si="0"/>
        <v>0</v>
      </c>
      <c r="Q35" s="60"/>
      <c r="R35" s="47"/>
      <c r="S35" s="62"/>
      <c r="T35" s="79">
        <f t="shared" si="14"/>
        <v>0</v>
      </c>
      <c r="U35" s="60"/>
      <c r="V35" s="130"/>
      <c r="W35" s="62"/>
      <c r="X35" s="79">
        <f t="shared" si="1"/>
        <v>0</v>
      </c>
      <c r="Y35" s="62"/>
      <c r="Z35" s="47"/>
      <c r="AA35" s="62"/>
      <c r="AB35" s="79"/>
      <c r="AC35" s="62"/>
      <c r="AD35" s="130">
        <f t="shared" si="2"/>
        <v>0</v>
      </c>
      <c r="AE35" s="62"/>
      <c r="AF35" s="79"/>
      <c r="AG35" s="64"/>
      <c r="AH35" s="59"/>
      <c r="AI35" s="62"/>
      <c r="AJ35" s="79">
        <f t="shared" si="4"/>
        <v>0</v>
      </c>
      <c r="AK35" s="62"/>
      <c r="AL35" s="130">
        <f t="shared" si="5"/>
        <v>0</v>
      </c>
      <c r="AM35" s="62"/>
      <c r="AN35" s="79">
        <f t="shared" si="6"/>
        <v>0</v>
      </c>
      <c r="AO35" s="62"/>
      <c r="AP35" s="130"/>
      <c r="AQ35" s="62"/>
      <c r="AR35" s="63"/>
      <c r="AS35" s="65">
        <v>13</v>
      </c>
      <c r="AT35" s="79">
        <f t="shared" si="7"/>
        <v>18200</v>
      </c>
      <c r="AU35" s="65"/>
      <c r="AV35" s="79">
        <f t="shared" si="8"/>
        <v>0</v>
      </c>
      <c r="AW35" s="65"/>
      <c r="AX35" s="130">
        <f t="shared" si="10"/>
        <v>0</v>
      </c>
      <c r="AY35" s="66"/>
      <c r="AZ35" s="66"/>
      <c r="BA35" s="80">
        <f t="shared" si="11"/>
        <v>15</v>
      </c>
      <c r="BB35" s="86">
        <v>1400</v>
      </c>
      <c r="BC35" s="34">
        <f t="shared" si="12"/>
        <v>21000</v>
      </c>
      <c r="BD35" s="87"/>
    </row>
    <row r="36" spans="1:56" s="88" customFormat="1" ht="25.5" x14ac:dyDescent="0.2">
      <c r="A36" s="123">
        <v>27</v>
      </c>
      <c r="B36" s="84" t="s">
        <v>133</v>
      </c>
      <c r="C36" s="27" t="s">
        <v>50</v>
      </c>
      <c r="D36" s="27" t="s">
        <v>53</v>
      </c>
      <c r="E36" s="85" t="s">
        <v>134</v>
      </c>
      <c r="F36" s="47" t="s">
        <v>49</v>
      </c>
      <c r="G36" s="47"/>
      <c r="H36" s="47"/>
      <c r="I36" s="47"/>
      <c r="J36" s="63"/>
      <c r="K36" s="47"/>
      <c r="L36" s="61"/>
      <c r="M36" s="60">
        <v>5</v>
      </c>
      <c r="N36" s="128">
        <f t="shared" si="9"/>
        <v>4000</v>
      </c>
      <c r="O36" s="62"/>
      <c r="P36" s="130">
        <f t="shared" si="0"/>
        <v>0</v>
      </c>
      <c r="Q36" s="60"/>
      <c r="R36" s="47"/>
      <c r="S36" s="62">
        <v>2</v>
      </c>
      <c r="T36" s="79">
        <f t="shared" si="14"/>
        <v>1600</v>
      </c>
      <c r="U36" s="60"/>
      <c r="V36" s="130"/>
      <c r="W36" s="62">
        <v>5</v>
      </c>
      <c r="X36" s="79">
        <f t="shared" si="1"/>
        <v>4000</v>
      </c>
      <c r="Y36" s="62"/>
      <c r="Z36" s="47"/>
      <c r="AA36" s="62"/>
      <c r="AB36" s="79"/>
      <c r="AC36" s="62"/>
      <c r="AD36" s="130">
        <f t="shared" si="2"/>
        <v>0</v>
      </c>
      <c r="AE36" s="62"/>
      <c r="AF36" s="79"/>
      <c r="AG36" s="64"/>
      <c r="AH36" s="59"/>
      <c r="AI36" s="62"/>
      <c r="AJ36" s="79">
        <f t="shared" si="4"/>
        <v>0</v>
      </c>
      <c r="AK36" s="62"/>
      <c r="AL36" s="130">
        <f t="shared" si="5"/>
        <v>0</v>
      </c>
      <c r="AM36" s="62"/>
      <c r="AN36" s="79">
        <f t="shared" si="6"/>
        <v>0</v>
      </c>
      <c r="AO36" s="62"/>
      <c r="AP36" s="130"/>
      <c r="AQ36" s="62"/>
      <c r="AR36" s="63"/>
      <c r="AS36" s="65"/>
      <c r="AT36" s="79">
        <f t="shared" si="7"/>
        <v>0</v>
      </c>
      <c r="AU36" s="65"/>
      <c r="AV36" s="79">
        <f t="shared" si="8"/>
        <v>0</v>
      </c>
      <c r="AW36" s="65"/>
      <c r="AX36" s="130">
        <f t="shared" si="10"/>
        <v>0</v>
      </c>
      <c r="AY36" s="66"/>
      <c r="AZ36" s="66"/>
      <c r="BA36" s="80">
        <f t="shared" si="11"/>
        <v>12</v>
      </c>
      <c r="BB36" s="86">
        <v>800</v>
      </c>
      <c r="BC36" s="34">
        <f t="shared" si="12"/>
        <v>9600</v>
      </c>
      <c r="BD36" s="89"/>
    </row>
    <row r="37" spans="1:56" s="88" customFormat="1" ht="12.75" x14ac:dyDescent="0.2">
      <c r="A37" s="55">
        <v>28</v>
      </c>
      <c r="B37" s="84" t="s">
        <v>122</v>
      </c>
      <c r="C37" s="27" t="s">
        <v>50</v>
      </c>
      <c r="D37" s="27" t="s">
        <v>224</v>
      </c>
      <c r="E37" s="85" t="s">
        <v>123</v>
      </c>
      <c r="F37" s="47" t="s">
        <v>49</v>
      </c>
      <c r="G37" s="47"/>
      <c r="H37" s="47"/>
      <c r="I37" s="47"/>
      <c r="J37" s="63"/>
      <c r="K37" s="47"/>
      <c r="L37" s="61"/>
      <c r="M37" s="60"/>
      <c r="N37" s="128">
        <f t="shared" si="9"/>
        <v>0</v>
      </c>
      <c r="O37" s="62"/>
      <c r="P37" s="130">
        <f t="shared" si="0"/>
        <v>0</v>
      </c>
      <c r="Q37" s="60"/>
      <c r="R37" s="47"/>
      <c r="S37" s="62">
        <v>20</v>
      </c>
      <c r="T37" s="79">
        <f t="shared" si="14"/>
        <v>3600</v>
      </c>
      <c r="U37" s="60"/>
      <c r="V37" s="130"/>
      <c r="W37" s="62"/>
      <c r="X37" s="79">
        <f t="shared" si="1"/>
        <v>0</v>
      </c>
      <c r="Y37" s="62"/>
      <c r="Z37" s="47"/>
      <c r="AA37" s="62"/>
      <c r="AB37" s="79"/>
      <c r="AC37" s="62"/>
      <c r="AD37" s="130">
        <f t="shared" si="2"/>
        <v>0</v>
      </c>
      <c r="AE37" s="62"/>
      <c r="AF37" s="79"/>
      <c r="AG37" s="64"/>
      <c r="AH37" s="59"/>
      <c r="AI37" s="62"/>
      <c r="AJ37" s="79">
        <f t="shared" si="4"/>
        <v>0</v>
      </c>
      <c r="AK37" s="62"/>
      <c r="AL37" s="130">
        <f t="shared" si="5"/>
        <v>0</v>
      </c>
      <c r="AM37" s="62"/>
      <c r="AN37" s="79">
        <f t="shared" si="6"/>
        <v>0</v>
      </c>
      <c r="AO37" s="62"/>
      <c r="AP37" s="130"/>
      <c r="AQ37" s="62"/>
      <c r="AR37" s="63"/>
      <c r="AS37" s="65"/>
      <c r="AT37" s="79">
        <f t="shared" si="7"/>
        <v>0</v>
      </c>
      <c r="AU37" s="65"/>
      <c r="AV37" s="79">
        <f t="shared" si="8"/>
        <v>0</v>
      </c>
      <c r="AW37" s="65"/>
      <c r="AX37" s="130">
        <f t="shared" si="10"/>
        <v>0</v>
      </c>
      <c r="AY37" s="66"/>
      <c r="AZ37" s="66"/>
      <c r="BA37" s="80">
        <f t="shared" si="11"/>
        <v>20</v>
      </c>
      <c r="BB37" s="86">
        <v>180</v>
      </c>
      <c r="BC37" s="34">
        <f t="shared" si="12"/>
        <v>3600</v>
      </c>
      <c r="BD37" s="89"/>
    </row>
    <row r="38" spans="1:56" s="88" customFormat="1" ht="25.5" x14ac:dyDescent="0.2">
      <c r="A38" s="123">
        <v>29</v>
      </c>
      <c r="B38" s="84" t="s">
        <v>124</v>
      </c>
      <c r="C38" s="27" t="s">
        <v>50</v>
      </c>
      <c r="D38" s="27" t="s">
        <v>224</v>
      </c>
      <c r="E38" s="85" t="s">
        <v>125</v>
      </c>
      <c r="F38" s="47" t="s">
        <v>49</v>
      </c>
      <c r="G38" s="47"/>
      <c r="H38" s="47"/>
      <c r="I38" s="47"/>
      <c r="J38" s="63"/>
      <c r="K38" s="47"/>
      <c r="L38" s="61"/>
      <c r="M38" s="60"/>
      <c r="N38" s="128">
        <f t="shared" si="9"/>
        <v>0</v>
      </c>
      <c r="O38" s="62"/>
      <c r="P38" s="130">
        <f t="shared" si="0"/>
        <v>0</v>
      </c>
      <c r="Q38" s="60"/>
      <c r="R38" s="47"/>
      <c r="S38" s="62">
        <v>3</v>
      </c>
      <c r="T38" s="79">
        <f t="shared" si="14"/>
        <v>2340</v>
      </c>
      <c r="U38" s="60"/>
      <c r="V38" s="130"/>
      <c r="W38" s="62"/>
      <c r="X38" s="79">
        <f t="shared" si="1"/>
        <v>0</v>
      </c>
      <c r="Y38" s="62"/>
      <c r="Z38" s="47"/>
      <c r="AA38" s="62"/>
      <c r="AB38" s="79"/>
      <c r="AC38" s="62"/>
      <c r="AD38" s="130">
        <f t="shared" si="2"/>
        <v>0</v>
      </c>
      <c r="AE38" s="62"/>
      <c r="AF38" s="79"/>
      <c r="AG38" s="64"/>
      <c r="AH38" s="59"/>
      <c r="AI38" s="62"/>
      <c r="AJ38" s="79">
        <f t="shared" si="4"/>
        <v>0</v>
      </c>
      <c r="AK38" s="62"/>
      <c r="AL38" s="130">
        <f t="shared" si="5"/>
        <v>0</v>
      </c>
      <c r="AM38" s="62"/>
      <c r="AN38" s="79">
        <f t="shared" si="6"/>
        <v>0</v>
      </c>
      <c r="AO38" s="62"/>
      <c r="AP38" s="130"/>
      <c r="AQ38" s="62"/>
      <c r="AR38" s="63"/>
      <c r="AS38" s="65"/>
      <c r="AT38" s="79">
        <f t="shared" si="7"/>
        <v>0</v>
      </c>
      <c r="AU38" s="65"/>
      <c r="AV38" s="79">
        <f t="shared" si="8"/>
        <v>0</v>
      </c>
      <c r="AW38" s="65"/>
      <c r="AX38" s="130">
        <f t="shared" si="10"/>
        <v>0</v>
      </c>
      <c r="AY38" s="66"/>
      <c r="AZ38" s="66"/>
      <c r="BA38" s="80">
        <f t="shared" si="11"/>
        <v>3</v>
      </c>
      <c r="BB38" s="86">
        <v>780</v>
      </c>
      <c r="BC38" s="34">
        <f t="shared" si="12"/>
        <v>2340</v>
      </c>
      <c r="BD38" s="89"/>
    </row>
    <row r="39" spans="1:56" s="88" customFormat="1" ht="12.75" x14ac:dyDescent="0.2">
      <c r="A39" s="55">
        <v>30</v>
      </c>
      <c r="B39" s="84" t="s">
        <v>126</v>
      </c>
      <c r="C39" s="27" t="s">
        <v>50</v>
      </c>
      <c r="D39" s="27" t="s">
        <v>224</v>
      </c>
      <c r="E39" s="85" t="s">
        <v>128</v>
      </c>
      <c r="F39" s="47" t="s">
        <v>49</v>
      </c>
      <c r="G39" s="47"/>
      <c r="H39" s="47"/>
      <c r="I39" s="47"/>
      <c r="J39" s="63"/>
      <c r="K39" s="47"/>
      <c r="L39" s="61"/>
      <c r="M39" s="60"/>
      <c r="N39" s="128">
        <f t="shared" si="9"/>
        <v>0</v>
      </c>
      <c r="O39" s="62"/>
      <c r="P39" s="130">
        <f t="shared" si="0"/>
        <v>0</v>
      </c>
      <c r="Q39" s="60"/>
      <c r="R39" s="47"/>
      <c r="S39" s="62">
        <v>5</v>
      </c>
      <c r="T39" s="79">
        <f t="shared" si="14"/>
        <v>1450</v>
      </c>
      <c r="U39" s="60"/>
      <c r="V39" s="130"/>
      <c r="W39" s="62"/>
      <c r="X39" s="79">
        <f t="shared" si="1"/>
        <v>0</v>
      </c>
      <c r="Y39" s="62"/>
      <c r="Z39" s="47"/>
      <c r="AA39" s="62"/>
      <c r="AB39" s="79"/>
      <c r="AC39" s="62"/>
      <c r="AD39" s="130">
        <f t="shared" si="2"/>
        <v>0</v>
      </c>
      <c r="AE39" s="62"/>
      <c r="AF39" s="79"/>
      <c r="AG39" s="64"/>
      <c r="AH39" s="59"/>
      <c r="AI39" s="62"/>
      <c r="AJ39" s="79">
        <f t="shared" si="4"/>
        <v>0</v>
      </c>
      <c r="AK39" s="62"/>
      <c r="AL39" s="130">
        <f t="shared" si="5"/>
        <v>0</v>
      </c>
      <c r="AM39" s="62"/>
      <c r="AN39" s="79">
        <f t="shared" si="6"/>
        <v>0</v>
      </c>
      <c r="AO39" s="62"/>
      <c r="AP39" s="130"/>
      <c r="AQ39" s="62"/>
      <c r="AR39" s="63"/>
      <c r="AS39" s="65"/>
      <c r="AT39" s="79">
        <f t="shared" si="7"/>
        <v>0</v>
      </c>
      <c r="AU39" s="65"/>
      <c r="AV39" s="79">
        <f t="shared" si="8"/>
        <v>0</v>
      </c>
      <c r="AW39" s="65"/>
      <c r="AX39" s="130">
        <f t="shared" si="10"/>
        <v>0</v>
      </c>
      <c r="AY39" s="66"/>
      <c r="AZ39" s="66"/>
      <c r="BA39" s="80">
        <f t="shared" si="11"/>
        <v>5</v>
      </c>
      <c r="BB39" s="86">
        <v>290</v>
      </c>
      <c r="BC39" s="34">
        <f t="shared" si="12"/>
        <v>1450</v>
      </c>
      <c r="BD39" s="89"/>
    </row>
    <row r="40" spans="1:56" s="88" customFormat="1" ht="12.75" x14ac:dyDescent="0.2">
      <c r="A40" s="123">
        <v>31</v>
      </c>
      <c r="B40" s="84" t="s">
        <v>127</v>
      </c>
      <c r="C40" s="27" t="s">
        <v>50</v>
      </c>
      <c r="D40" s="27" t="s">
        <v>224</v>
      </c>
      <c r="E40" s="85" t="s">
        <v>129</v>
      </c>
      <c r="F40" s="47" t="s">
        <v>49</v>
      </c>
      <c r="G40" s="47"/>
      <c r="H40" s="47"/>
      <c r="I40" s="47"/>
      <c r="J40" s="63"/>
      <c r="K40" s="47"/>
      <c r="L40" s="61"/>
      <c r="M40" s="60"/>
      <c r="N40" s="128">
        <f t="shared" si="9"/>
        <v>0</v>
      </c>
      <c r="O40" s="62"/>
      <c r="P40" s="130">
        <f t="shared" si="0"/>
        <v>0</v>
      </c>
      <c r="Q40" s="60"/>
      <c r="R40" s="47"/>
      <c r="S40" s="62">
        <v>1</v>
      </c>
      <c r="T40" s="79">
        <f t="shared" si="14"/>
        <v>1300</v>
      </c>
      <c r="U40" s="60"/>
      <c r="V40" s="130"/>
      <c r="W40" s="62"/>
      <c r="X40" s="79">
        <f t="shared" si="1"/>
        <v>0</v>
      </c>
      <c r="Y40" s="62"/>
      <c r="Z40" s="47"/>
      <c r="AA40" s="62"/>
      <c r="AB40" s="79"/>
      <c r="AC40" s="62"/>
      <c r="AD40" s="130">
        <f t="shared" si="2"/>
        <v>0</v>
      </c>
      <c r="AE40" s="62"/>
      <c r="AF40" s="79"/>
      <c r="AG40" s="64"/>
      <c r="AH40" s="59"/>
      <c r="AI40" s="62"/>
      <c r="AJ40" s="79">
        <f t="shared" si="4"/>
        <v>0</v>
      </c>
      <c r="AK40" s="62"/>
      <c r="AL40" s="130">
        <f t="shared" si="5"/>
        <v>0</v>
      </c>
      <c r="AM40" s="62"/>
      <c r="AN40" s="79">
        <f t="shared" si="6"/>
        <v>0</v>
      </c>
      <c r="AO40" s="62"/>
      <c r="AP40" s="130"/>
      <c r="AQ40" s="62"/>
      <c r="AR40" s="63"/>
      <c r="AS40" s="65"/>
      <c r="AT40" s="79">
        <f t="shared" si="7"/>
        <v>0</v>
      </c>
      <c r="AU40" s="65"/>
      <c r="AV40" s="79">
        <f t="shared" si="8"/>
        <v>0</v>
      </c>
      <c r="AW40" s="65"/>
      <c r="AX40" s="130">
        <f t="shared" si="10"/>
        <v>0</v>
      </c>
      <c r="AY40" s="66"/>
      <c r="AZ40" s="66"/>
      <c r="BA40" s="80">
        <f t="shared" si="11"/>
        <v>1</v>
      </c>
      <c r="BB40" s="86">
        <v>1300</v>
      </c>
      <c r="BC40" s="34">
        <f t="shared" si="12"/>
        <v>1300</v>
      </c>
      <c r="BD40" s="89"/>
    </row>
    <row r="41" spans="1:56" s="88" customFormat="1" ht="12.75" x14ac:dyDescent="0.2">
      <c r="A41" s="55">
        <v>32</v>
      </c>
      <c r="B41" s="84" t="s">
        <v>130</v>
      </c>
      <c r="C41" s="27" t="s">
        <v>50</v>
      </c>
      <c r="D41" s="27" t="s">
        <v>131</v>
      </c>
      <c r="E41" s="85" t="s">
        <v>132</v>
      </c>
      <c r="F41" s="47" t="s">
        <v>106</v>
      </c>
      <c r="G41" s="47"/>
      <c r="H41" s="47"/>
      <c r="I41" s="47"/>
      <c r="J41" s="63"/>
      <c r="K41" s="47"/>
      <c r="L41" s="61"/>
      <c r="M41" s="60">
        <v>5</v>
      </c>
      <c r="N41" s="128">
        <f t="shared" si="9"/>
        <v>1500</v>
      </c>
      <c r="O41" s="62"/>
      <c r="P41" s="130">
        <f t="shared" si="0"/>
        <v>0</v>
      </c>
      <c r="Q41" s="60"/>
      <c r="R41" s="47"/>
      <c r="S41" s="62"/>
      <c r="T41" s="79">
        <f t="shared" si="14"/>
        <v>0</v>
      </c>
      <c r="U41" s="60"/>
      <c r="V41" s="130"/>
      <c r="W41" s="62"/>
      <c r="X41" s="79">
        <f t="shared" si="1"/>
        <v>0</v>
      </c>
      <c r="Y41" s="62"/>
      <c r="Z41" s="47"/>
      <c r="AA41" s="62"/>
      <c r="AB41" s="79"/>
      <c r="AC41" s="62">
        <v>30</v>
      </c>
      <c r="AD41" s="130">
        <f t="shared" si="2"/>
        <v>9000</v>
      </c>
      <c r="AE41" s="62"/>
      <c r="AF41" s="79"/>
      <c r="AG41" s="64"/>
      <c r="AH41" s="59"/>
      <c r="AI41" s="62"/>
      <c r="AJ41" s="79">
        <f t="shared" si="4"/>
        <v>0</v>
      </c>
      <c r="AK41" s="62">
        <v>20</v>
      </c>
      <c r="AL41" s="130">
        <f t="shared" si="5"/>
        <v>6000</v>
      </c>
      <c r="AM41" s="62"/>
      <c r="AN41" s="79">
        <f t="shared" si="6"/>
        <v>0</v>
      </c>
      <c r="AO41" s="62"/>
      <c r="AP41" s="130"/>
      <c r="AQ41" s="62"/>
      <c r="AR41" s="63"/>
      <c r="AS41" s="65"/>
      <c r="AT41" s="79">
        <f t="shared" si="7"/>
        <v>0</v>
      </c>
      <c r="AU41" s="65"/>
      <c r="AV41" s="79">
        <f t="shared" si="8"/>
        <v>0</v>
      </c>
      <c r="AW41" s="65">
        <v>10</v>
      </c>
      <c r="AX41" s="130">
        <f t="shared" si="10"/>
        <v>3000</v>
      </c>
      <c r="AY41" s="66"/>
      <c r="AZ41" s="66"/>
      <c r="BA41" s="80">
        <f t="shared" si="11"/>
        <v>65</v>
      </c>
      <c r="BB41" s="86">
        <v>300</v>
      </c>
      <c r="BC41" s="34">
        <f t="shared" si="12"/>
        <v>19500</v>
      </c>
      <c r="BD41" s="89"/>
    </row>
    <row r="42" spans="1:56" s="88" customFormat="1" ht="12.75" x14ac:dyDescent="0.2">
      <c r="A42" s="123">
        <v>33</v>
      </c>
      <c r="B42" s="84" t="s">
        <v>135</v>
      </c>
      <c r="C42" s="27" t="s">
        <v>50</v>
      </c>
      <c r="D42" s="27" t="s">
        <v>53</v>
      </c>
      <c r="E42" s="85" t="s">
        <v>136</v>
      </c>
      <c r="F42" s="47" t="s">
        <v>49</v>
      </c>
      <c r="G42" s="47"/>
      <c r="H42" s="47"/>
      <c r="I42" s="47"/>
      <c r="J42" s="63"/>
      <c r="K42" s="47"/>
      <c r="L42" s="61"/>
      <c r="M42" s="60"/>
      <c r="N42" s="128">
        <f t="shared" si="9"/>
        <v>0</v>
      </c>
      <c r="O42" s="62"/>
      <c r="P42" s="130">
        <f t="shared" si="0"/>
        <v>0</v>
      </c>
      <c r="Q42" s="60"/>
      <c r="R42" s="47"/>
      <c r="S42" s="62"/>
      <c r="T42" s="79">
        <f t="shared" si="14"/>
        <v>0</v>
      </c>
      <c r="U42" s="60"/>
      <c r="V42" s="130"/>
      <c r="W42" s="62"/>
      <c r="X42" s="79">
        <f t="shared" si="1"/>
        <v>0</v>
      </c>
      <c r="Y42" s="62"/>
      <c r="Z42" s="47"/>
      <c r="AA42" s="62"/>
      <c r="AB42" s="79"/>
      <c r="AC42" s="62"/>
      <c r="AD42" s="130">
        <f t="shared" si="2"/>
        <v>0</v>
      </c>
      <c r="AE42" s="62"/>
      <c r="AF42" s="79"/>
      <c r="AG42" s="64"/>
      <c r="AH42" s="59"/>
      <c r="AI42" s="62"/>
      <c r="AJ42" s="79">
        <f t="shared" si="4"/>
        <v>0</v>
      </c>
      <c r="AK42" s="62"/>
      <c r="AL42" s="130">
        <f t="shared" si="5"/>
        <v>0</v>
      </c>
      <c r="AM42" s="62"/>
      <c r="AN42" s="79">
        <f t="shared" si="6"/>
        <v>0</v>
      </c>
      <c r="AO42" s="62"/>
      <c r="AP42" s="130"/>
      <c r="AQ42" s="62"/>
      <c r="AR42" s="63"/>
      <c r="AS42" s="65"/>
      <c r="AT42" s="79">
        <f t="shared" si="7"/>
        <v>0</v>
      </c>
      <c r="AU42" s="65"/>
      <c r="AV42" s="79">
        <f t="shared" si="8"/>
        <v>0</v>
      </c>
      <c r="AW42" s="65">
        <v>2</v>
      </c>
      <c r="AX42" s="130">
        <f t="shared" si="10"/>
        <v>4000</v>
      </c>
      <c r="AY42" s="66"/>
      <c r="AZ42" s="66"/>
      <c r="BA42" s="80">
        <f t="shared" si="11"/>
        <v>2</v>
      </c>
      <c r="BB42" s="86">
        <v>2000</v>
      </c>
      <c r="BC42" s="34">
        <f t="shared" si="12"/>
        <v>4000</v>
      </c>
      <c r="BD42" s="89"/>
    </row>
    <row r="43" spans="1:56" s="88" customFormat="1" ht="25.5" x14ac:dyDescent="0.2">
      <c r="A43" s="55">
        <v>34</v>
      </c>
      <c r="B43" s="84" t="s">
        <v>137</v>
      </c>
      <c r="C43" s="27" t="s">
        <v>50</v>
      </c>
      <c r="D43" s="27" t="s">
        <v>138</v>
      </c>
      <c r="E43" s="85" t="s">
        <v>139</v>
      </c>
      <c r="F43" s="47" t="s">
        <v>49</v>
      </c>
      <c r="G43" s="47"/>
      <c r="H43" s="47"/>
      <c r="I43" s="47"/>
      <c r="J43" s="63"/>
      <c r="K43" s="47"/>
      <c r="L43" s="61"/>
      <c r="M43" s="60">
        <v>10</v>
      </c>
      <c r="N43" s="128">
        <f t="shared" si="9"/>
        <v>3600</v>
      </c>
      <c r="O43" s="62"/>
      <c r="P43" s="130">
        <f t="shared" si="0"/>
        <v>0</v>
      </c>
      <c r="Q43" s="60"/>
      <c r="R43" s="47"/>
      <c r="S43" s="62"/>
      <c r="T43" s="79">
        <f t="shared" si="14"/>
        <v>0</v>
      </c>
      <c r="U43" s="60"/>
      <c r="V43" s="130"/>
      <c r="W43" s="62"/>
      <c r="X43" s="79">
        <f t="shared" si="1"/>
        <v>0</v>
      </c>
      <c r="Y43" s="62"/>
      <c r="Z43" s="47"/>
      <c r="AA43" s="62"/>
      <c r="AB43" s="79"/>
      <c r="AC43" s="62"/>
      <c r="AD43" s="130">
        <f t="shared" si="2"/>
        <v>0</v>
      </c>
      <c r="AE43" s="62"/>
      <c r="AF43" s="79"/>
      <c r="AG43" s="64"/>
      <c r="AH43" s="59"/>
      <c r="AI43" s="62"/>
      <c r="AJ43" s="79">
        <f t="shared" si="4"/>
        <v>0</v>
      </c>
      <c r="AK43" s="62"/>
      <c r="AL43" s="130">
        <f t="shared" si="5"/>
        <v>0</v>
      </c>
      <c r="AM43" s="62"/>
      <c r="AN43" s="79">
        <f t="shared" si="6"/>
        <v>0</v>
      </c>
      <c r="AO43" s="62"/>
      <c r="AP43" s="130"/>
      <c r="AQ43" s="62"/>
      <c r="AR43" s="63"/>
      <c r="AS43" s="65"/>
      <c r="AT43" s="79">
        <f t="shared" si="7"/>
        <v>0</v>
      </c>
      <c r="AU43" s="65"/>
      <c r="AV43" s="79">
        <f t="shared" si="8"/>
        <v>0</v>
      </c>
      <c r="AW43" s="65"/>
      <c r="AX43" s="130">
        <f t="shared" si="10"/>
        <v>0</v>
      </c>
      <c r="AY43" s="66"/>
      <c r="AZ43" s="66"/>
      <c r="BA43" s="80">
        <f t="shared" si="11"/>
        <v>10</v>
      </c>
      <c r="BB43" s="86">
        <v>360</v>
      </c>
      <c r="BC43" s="34">
        <f t="shared" si="12"/>
        <v>3600</v>
      </c>
      <c r="BD43" s="89"/>
    </row>
    <row r="44" spans="1:56" s="88" customFormat="1" ht="25.5" x14ac:dyDescent="0.2">
      <c r="A44" s="123">
        <v>35</v>
      </c>
      <c r="B44" s="84" t="s">
        <v>140</v>
      </c>
      <c r="C44" s="27" t="s">
        <v>50</v>
      </c>
      <c r="D44" s="27" t="s">
        <v>138</v>
      </c>
      <c r="E44" s="85" t="s">
        <v>141</v>
      </c>
      <c r="F44" s="47" t="s">
        <v>49</v>
      </c>
      <c r="G44" s="47"/>
      <c r="H44" s="47"/>
      <c r="I44" s="47"/>
      <c r="J44" s="63"/>
      <c r="K44" s="47"/>
      <c r="L44" s="61"/>
      <c r="M44" s="60">
        <v>10</v>
      </c>
      <c r="N44" s="128">
        <f t="shared" si="9"/>
        <v>3600</v>
      </c>
      <c r="O44" s="62"/>
      <c r="P44" s="130">
        <f t="shared" si="0"/>
        <v>0</v>
      </c>
      <c r="Q44" s="60"/>
      <c r="R44" s="47"/>
      <c r="S44" s="62"/>
      <c r="T44" s="79">
        <f t="shared" si="14"/>
        <v>0</v>
      </c>
      <c r="U44" s="60"/>
      <c r="V44" s="130"/>
      <c r="W44" s="62"/>
      <c r="X44" s="79">
        <f t="shared" si="1"/>
        <v>0</v>
      </c>
      <c r="Y44" s="62"/>
      <c r="Z44" s="47"/>
      <c r="AA44" s="62"/>
      <c r="AB44" s="79"/>
      <c r="AC44" s="62"/>
      <c r="AD44" s="130">
        <f t="shared" si="2"/>
        <v>0</v>
      </c>
      <c r="AE44" s="62"/>
      <c r="AF44" s="79"/>
      <c r="AG44" s="64"/>
      <c r="AH44" s="59"/>
      <c r="AI44" s="62"/>
      <c r="AJ44" s="79">
        <f t="shared" si="4"/>
        <v>0</v>
      </c>
      <c r="AK44" s="62"/>
      <c r="AL44" s="130">
        <f t="shared" si="5"/>
        <v>0</v>
      </c>
      <c r="AM44" s="62"/>
      <c r="AN44" s="79">
        <f t="shared" si="6"/>
        <v>0</v>
      </c>
      <c r="AO44" s="62"/>
      <c r="AP44" s="130"/>
      <c r="AQ44" s="62"/>
      <c r="AR44" s="63"/>
      <c r="AS44" s="65"/>
      <c r="AT44" s="79">
        <f t="shared" si="7"/>
        <v>0</v>
      </c>
      <c r="AU44" s="65"/>
      <c r="AV44" s="79">
        <f t="shared" si="8"/>
        <v>0</v>
      </c>
      <c r="AW44" s="65"/>
      <c r="AX44" s="130">
        <f t="shared" si="10"/>
        <v>0</v>
      </c>
      <c r="AY44" s="66"/>
      <c r="AZ44" s="66"/>
      <c r="BA44" s="80">
        <f t="shared" si="11"/>
        <v>10</v>
      </c>
      <c r="BB44" s="86">
        <v>360</v>
      </c>
      <c r="BC44" s="34">
        <f t="shared" si="12"/>
        <v>3600</v>
      </c>
      <c r="BD44" s="89"/>
    </row>
    <row r="45" spans="1:56" s="88" customFormat="1" ht="12.75" x14ac:dyDescent="0.2">
      <c r="A45" s="55">
        <v>36</v>
      </c>
      <c r="B45" s="84" t="s">
        <v>142</v>
      </c>
      <c r="C45" s="27" t="s">
        <v>50</v>
      </c>
      <c r="D45" s="27" t="s">
        <v>53</v>
      </c>
      <c r="E45" s="85" t="s">
        <v>143</v>
      </c>
      <c r="F45" s="47" t="s">
        <v>49</v>
      </c>
      <c r="G45" s="47"/>
      <c r="H45" s="47"/>
      <c r="I45" s="47"/>
      <c r="J45" s="63"/>
      <c r="K45" s="47"/>
      <c r="L45" s="61"/>
      <c r="M45" s="60">
        <v>10</v>
      </c>
      <c r="N45" s="128">
        <f t="shared" si="9"/>
        <v>3300</v>
      </c>
      <c r="O45" s="62"/>
      <c r="P45" s="130">
        <f t="shared" si="0"/>
        <v>0</v>
      </c>
      <c r="Q45" s="60"/>
      <c r="R45" s="47"/>
      <c r="S45" s="62"/>
      <c r="T45" s="79">
        <f t="shared" si="14"/>
        <v>0</v>
      </c>
      <c r="U45" s="60"/>
      <c r="V45" s="130"/>
      <c r="W45" s="62"/>
      <c r="X45" s="79">
        <f t="shared" si="1"/>
        <v>0</v>
      </c>
      <c r="Y45" s="62"/>
      <c r="Z45" s="47"/>
      <c r="AA45" s="62"/>
      <c r="AB45" s="79"/>
      <c r="AC45" s="62"/>
      <c r="AD45" s="130">
        <f t="shared" si="2"/>
        <v>0</v>
      </c>
      <c r="AE45" s="62"/>
      <c r="AF45" s="79"/>
      <c r="AG45" s="64"/>
      <c r="AH45" s="59"/>
      <c r="AI45" s="62"/>
      <c r="AJ45" s="79">
        <f t="shared" si="4"/>
        <v>0</v>
      </c>
      <c r="AK45" s="62"/>
      <c r="AL45" s="130">
        <f t="shared" si="5"/>
        <v>0</v>
      </c>
      <c r="AM45" s="62"/>
      <c r="AN45" s="79">
        <f t="shared" si="6"/>
        <v>0</v>
      </c>
      <c r="AO45" s="62"/>
      <c r="AP45" s="130"/>
      <c r="AQ45" s="62"/>
      <c r="AR45" s="63"/>
      <c r="AS45" s="65"/>
      <c r="AT45" s="79">
        <f t="shared" si="7"/>
        <v>0</v>
      </c>
      <c r="AU45" s="65"/>
      <c r="AV45" s="79">
        <f t="shared" si="8"/>
        <v>0</v>
      </c>
      <c r="AW45" s="65"/>
      <c r="AX45" s="130">
        <f t="shared" si="10"/>
        <v>0</v>
      </c>
      <c r="AY45" s="66"/>
      <c r="AZ45" s="66"/>
      <c r="BA45" s="80">
        <f t="shared" si="11"/>
        <v>10</v>
      </c>
      <c r="BB45" s="86">
        <v>330</v>
      </c>
      <c r="BC45" s="34">
        <f t="shared" si="12"/>
        <v>3300</v>
      </c>
      <c r="BD45" s="89" t="s">
        <v>121</v>
      </c>
    </row>
    <row r="46" spans="1:56" s="88" customFormat="1" ht="12.75" x14ac:dyDescent="0.2">
      <c r="A46" s="123">
        <v>37</v>
      </c>
      <c r="B46" s="84" t="s">
        <v>144</v>
      </c>
      <c r="C46" s="27" t="s">
        <v>50</v>
      </c>
      <c r="D46" s="27" t="s">
        <v>53</v>
      </c>
      <c r="E46" s="85" t="s">
        <v>145</v>
      </c>
      <c r="F46" s="47" t="s">
        <v>49</v>
      </c>
      <c r="G46" s="47"/>
      <c r="H46" s="47"/>
      <c r="I46" s="47"/>
      <c r="J46" s="63"/>
      <c r="K46" s="47"/>
      <c r="L46" s="61"/>
      <c r="M46" s="60">
        <v>3</v>
      </c>
      <c r="N46" s="128">
        <f t="shared" si="9"/>
        <v>720</v>
      </c>
      <c r="O46" s="62"/>
      <c r="P46" s="130">
        <f t="shared" si="0"/>
        <v>0</v>
      </c>
      <c r="Q46" s="60"/>
      <c r="R46" s="47"/>
      <c r="S46" s="62"/>
      <c r="T46" s="79">
        <f t="shared" si="14"/>
        <v>0</v>
      </c>
      <c r="U46" s="60"/>
      <c r="V46" s="130"/>
      <c r="W46" s="62"/>
      <c r="X46" s="79">
        <f t="shared" si="1"/>
        <v>0</v>
      </c>
      <c r="Y46" s="62"/>
      <c r="Z46" s="47"/>
      <c r="AA46" s="62"/>
      <c r="AB46" s="79"/>
      <c r="AC46" s="62"/>
      <c r="AD46" s="130">
        <f t="shared" si="2"/>
        <v>0</v>
      </c>
      <c r="AE46" s="62"/>
      <c r="AF46" s="79"/>
      <c r="AG46" s="64"/>
      <c r="AH46" s="59"/>
      <c r="AI46" s="62"/>
      <c r="AJ46" s="79">
        <f t="shared" si="4"/>
        <v>0</v>
      </c>
      <c r="AK46" s="62"/>
      <c r="AL46" s="130">
        <f t="shared" si="5"/>
        <v>0</v>
      </c>
      <c r="AM46" s="62"/>
      <c r="AN46" s="79">
        <f t="shared" si="6"/>
        <v>0</v>
      </c>
      <c r="AO46" s="62"/>
      <c r="AP46" s="130"/>
      <c r="AQ46" s="62"/>
      <c r="AR46" s="63"/>
      <c r="AS46" s="65"/>
      <c r="AT46" s="79">
        <f t="shared" si="7"/>
        <v>0</v>
      </c>
      <c r="AU46" s="65"/>
      <c r="AV46" s="79">
        <f t="shared" si="8"/>
        <v>0</v>
      </c>
      <c r="AW46" s="65"/>
      <c r="AX46" s="130">
        <f t="shared" si="10"/>
        <v>0</v>
      </c>
      <c r="AY46" s="66"/>
      <c r="AZ46" s="66"/>
      <c r="BA46" s="80">
        <f t="shared" si="11"/>
        <v>3</v>
      </c>
      <c r="BB46" s="86">
        <v>240</v>
      </c>
      <c r="BC46" s="34">
        <f t="shared" si="12"/>
        <v>720</v>
      </c>
      <c r="BD46" s="89"/>
    </row>
    <row r="47" spans="1:56" s="88" customFormat="1" ht="12.75" x14ac:dyDescent="0.2">
      <c r="A47" s="55">
        <v>38</v>
      </c>
      <c r="B47" s="84" t="s">
        <v>146</v>
      </c>
      <c r="C47" s="27" t="s">
        <v>50</v>
      </c>
      <c r="D47" s="27" t="s">
        <v>53</v>
      </c>
      <c r="E47" s="85" t="s">
        <v>147</v>
      </c>
      <c r="F47" s="47" t="s">
        <v>148</v>
      </c>
      <c r="G47" s="47"/>
      <c r="H47" s="47"/>
      <c r="I47" s="47"/>
      <c r="J47" s="63"/>
      <c r="K47" s="47"/>
      <c r="L47" s="61"/>
      <c r="M47" s="60">
        <v>4</v>
      </c>
      <c r="N47" s="128">
        <f t="shared" si="9"/>
        <v>600</v>
      </c>
      <c r="O47" s="62"/>
      <c r="P47" s="130">
        <f t="shared" si="0"/>
        <v>0</v>
      </c>
      <c r="Q47" s="60"/>
      <c r="R47" s="47"/>
      <c r="S47" s="62"/>
      <c r="T47" s="79">
        <f t="shared" si="14"/>
        <v>0</v>
      </c>
      <c r="U47" s="60"/>
      <c r="V47" s="130"/>
      <c r="W47" s="62"/>
      <c r="X47" s="79">
        <f t="shared" si="1"/>
        <v>0</v>
      </c>
      <c r="Y47" s="62"/>
      <c r="Z47" s="47"/>
      <c r="AA47" s="62"/>
      <c r="AB47" s="79"/>
      <c r="AC47" s="62"/>
      <c r="AD47" s="130">
        <f t="shared" si="2"/>
        <v>0</v>
      </c>
      <c r="AE47" s="62"/>
      <c r="AF47" s="79"/>
      <c r="AG47" s="64"/>
      <c r="AH47" s="59"/>
      <c r="AI47" s="62"/>
      <c r="AJ47" s="79">
        <f t="shared" si="4"/>
        <v>0</v>
      </c>
      <c r="AK47" s="62"/>
      <c r="AL47" s="130">
        <f t="shared" si="5"/>
        <v>0</v>
      </c>
      <c r="AM47" s="62"/>
      <c r="AN47" s="79">
        <f t="shared" si="6"/>
        <v>0</v>
      </c>
      <c r="AO47" s="62"/>
      <c r="AP47" s="130"/>
      <c r="AQ47" s="62"/>
      <c r="AR47" s="63"/>
      <c r="AS47" s="65"/>
      <c r="AT47" s="79">
        <f t="shared" si="7"/>
        <v>0</v>
      </c>
      <c r="AU47" s="65"/>
      <c r="AV47" s="79">
        <f t="shared" si="8"/>
        <v>0</v>
      </c>
      <c r="AW47" s="65"/>
      <c r="AX47" s="130">
        <f t="shared" si="10"/>
        <v>0</v>
      </c>
      <c r="AY47" s="66"/>
      <c r="AZ47" s="66"/>
      <c r="BA47" s="80">
        <f t="shared" si="11"/>
        <v>4</v>
      </c>
      <c r="BB47" s="86">
        <v>150</v>
      </c>
      <c r="BC47" s="34">
        <f t="shared" si="12"/>
        <v>600</v>
      </c>
      <c r="BD47" s="89"/>
    </row>
    <row r="48" spans="1:56" s="88" customFormat="1" ht="12.75" x14ac:dyDescent="0.2">
      <c r="A48" s="123">
        <v>39</v>
      </c>
      <c r="B48" s="84" t="s">
        <v>149</v>
      </c>
      <c r="C48" s="27" t="s">
        <v>50</v>
      </c>
      <c r="D48" s="27" t="s">
        <v>53</v>
      </c>
      <c r="E48" s="85" t="s">
        <v>150</v>
      </c>
      <c r="F48" s="47" t="s">
        <v>49</v>
      </c>
      <c r="G48" s="47"/>
      <c r="H48" s="47"/>
      <c r="I48" s="47"/>
      <c r="J48" s="63"/>
      <c r="K48" s="47"/>
      <c r="L48" s="61"/>
      <c r="M48" s="60">
        <v>20</v>
      </c>
      <c r="N48" s="128">
        <f t="shared" si="9"/>
        <v>1800</v>
      </c>
      <c r="O48" s="62"/>
      <c r="P48" s="130">
        <f t="shared" si="0"/>
        <v>0</v>
      </c>
      <c r="Q48" s="60"/>
      <c r="R48" s="47"/>
      <c r="S48" s="62"/>
      <c r="T48" s="79">
        <f t="shared" si="14"/>
        <v>0</v>
      </c>
      <c r="U48" s="60"/>
      <c r="V48" s="130"/>
      <c r="W48" s="62"/>
      <c r="X48" s="79">
        <f t="shared" si="1"/>
        <v>0</v>
      </c>
      <c r="Y48" s="62"/>
      <c r="Z48" s="47"/>
      <c r="AA48" s="62"/>
      <c r="AB48" s="79"/>
      <c r="AC48" s="62"/>
      <c r="AD48" s="130">
        <f t="shared" si="2"/>
        <v>0</v>
      </c>
      <c r="AE48" s="62"/>
      <c r="AF48" s="79"/>
      <c r="AG48" s="64"/>
      <c r="AH48" s="59"/>
      <c r="AI48" s="62"/>
      <c r="AJ48" s="79">
        <f t="shared" si="4"/>
        <v>0</v>
      </c>
      <c r="AK48" s="62"/>
      <c r="AL48" s="130">
        <f t="shared" si="5"/>
        <v>0</v>
      </c>
      <c r="AM48" s="62"/>
      <c r="AN48" s="79">
        <f t="shared" si="6"/>
        <v>0</v>
      </c>
      <c r="AO48" s="62"/>
      <c r="AP48" s="130"/>
      <c r="AQ48" s="62"/>
      <c r="AR48" s="63"/>
      <c r="AS48" s="65"/>
      <c r="AT48" s="79">
        <f t="shared" si="7"/>
        <v>0</v>
      </c>
      <c r="AU48" s="65"/>
      <c r="AV48" s="79">
        <f t="shared" si="8"/>
        <v>0</v>
      </c>
      <c r="AW48" s="65"/>
      <c r="AX48" s="130">
        <f t="shared" si="10"/>
        <v>0</v>
      </c>
      <c r="AY48" s="66"/>
      <c r="AZ48" s="66"/>
      <c r="BA48" s="80">
        <f t="shared" si="11"/>
        <v>20</v>
      </c>
      <c r="BB48" s="86">
        <v>90</v>
      </c>
      <c r="BC48" s="34">
        <f t="shared" si="12"/>
        <v>1800</v>
      </c>
      <c r="BD48" s="89"/>
    </row>
    <row r="49" spans="1:56" s="88" customFormat="1" ht="12.75" x14ac:dyDescent="0.2">
      <c r="A49" s="55">
        <v>40</v>
      </c>
      <c r="B49" s="84" t="s">
        <v>151</v>
      </c>
      <c r="C49" s="27" t="s">
        <v>50</v>
      </c>
      <c r="D49" s="27" t="s">
        <v>53</v>
      </c>
      <c r="E49" s="85" t="s">
        <v>152</v>
      </c>
      <c r="F49" s="47" t="s">
        <v>49</v>
      </c>
      <c r="G49" s="47"/>
      <c r="H49" s="47"/>
      <c r="I49" s="47"/>
      <c r="J49" s="63"/>
      <c r="K49" s="47"/>
      <c r="L49" s="61"/>
      <c r="M49" s="60">
        <v>2</v>
      </c>
      <c r="N49" s="128">
        <f t="shared" si="9"/>
        <v>6400</v>
      </c>
      <c r="O49" s="62"/>
      <c r="P49" s="130">
        <f t="shared" si="0"/>
        <v>0</v>
      </c>
      <c r="Q49" s="60"/>
      <c r="R49" s="47"/>
      <c r="S49" s="62"/>
      <c r="T49" s="79">
        <f t="shared" si="14"/>
        <v>0</v>
      </c>
      <c r="U49" s="60"/>
      <c r="V49" s="130"/>
      <c r="W49" s="62"/>
      <c r="X49" s="79">
        <f t="shared" si="1"/>
        <v>0</v>
      </c>
      <c r="Y49" s="62"/>
      <c r="Z49" s="47"/>
      <c r="AA49" s="62"/>
      <c r="AB49" s="79"/>
      <c r="AC49" s="62"/>
      <c r="AD49" s="130">
        <f t="shared" si="2"/>
        <v>0</v>
      </c>
      <c r="AE49" s="62"/>
      <c r="AF49" s="79"/>
      <c r="AG49" s="64"/>
      <c r="AH49" s="59"/>
      <c r="AI49" s="62"/>
      <c r="AJ49" s="79">
        <f t="shared" si="4"/>
        <v>0</v>
      </c>
      <c r="AK49" s="62"/>
      <c r="AL49" s="130">
        <f t="shared" si="5"/>
        <v>0</v>
      </c>
      <c r="AM49" s="62"/>
      <c r="AN49" s="79">
        <f t="shared" si="6"/>
        <v>0</v>
      </c>
      <c r="AO49" s="62"/>
      <c r="AP49" s="130"/>
      <c r="AQ49" s="62"/>
      <c r="AR49" s="63"/>
      <c r="AS49" s="65"/>
      <c r="AT49" s="79">
        <f t="shared" si="7"/>
        <v>0</v>
      </c>
      <c r="AU49" s="65"/>
      <c r="AV49" s="79">
        <f t="shared" si="8"/>
        <v>0</v>
      </c>
      <c r="AW49" s="65"/>
      <c r="AX49" s="130">
        <f t="shared" si="10"/>
        <v>0</v>
      </c>
      <c r="AY49" s="66"/>
      <c r="AZ49" s="66"/>
      <c r="BA49" s="80">
        <f t="shared" si="11"/>
        <v>2</v>
      </c>
      <c r="BB49" s="86">
        <v>3200</v>
      </c>
      <c r="BC49" s="34">
        <f t="shared" si="12"/>
        <v>6400</v>
      </c>
      <c r="BD49" s="89" t="s">
        <v>121</v>
      </c>
    </row>
    <row r="50" spans="1:56" s="88" customFormat="1" ht="12.75" x14ac:dyDescent="0.2">
      <c r="A50" s="123">
        <v>41</v>
      </c>
      <c r="B50" s="84" t="s">
        <v>153</v>
      </c>
      <c r="C50" s="27" t="s">
        <v>50</v>
      </c>
      <c r="D50" s="27" t="s">
        <v>53</v>
      </c>
      <c r="E50" s="85" t="s">
        <v>154</v>
      </c>
      <c r="F50" s="47" t="s">
        <v>49</v>
      </c>
      <c r="G50" s="47"/>
      <c r="H50" s="47"/>
      <c r="I50" s="47"/>
      <c r="J50" s="63"/>
      <c r="K50" s="47"/>
      <c r="L50" s="61"/>
      <c r="M50" s="60">
        <v>5</v>
      </c>
      <c r="N50" s="128">
        <f t="shared" si="9"/>
        <v>13000</v>
      </c>
      <c r="O50" s="62"/>
      <c r="P50" s="130">
        <f t="shared" si="0"/>
        <v>0</v>
      </c>
      <c r="Q50" s="60"/>
      <c r="R50" s="47"/>
      <c r="S50" s="62"/>
      <c r="T50" s="79">
        <f t="shared" si="14"/>
        <v>0</v>
      </c>
      <c r="U50" s="60"/>
      <c r="V50" s="130"/>
      <c r="W50" s="62"/>
      <c r="X50" s="79">
        <f t="shared" si="1"/>
        <v>0</v>
      </c>
      <c r="Y50" s="62"/>
      <c r="Z50" s="47"/>
      <c r="AA50" s="62"/>
      <c r="AB50" s="79"/>
      <c r="AC50" s="62"/>
      <c r="AD50" s="130">
        <f t="shared" si="2"/>
        <v>0</v>
      </c>
      <c r="AE50" s="62"/>
      <c r="AF50" s="79"/>
      <c r="AG50" s="64"/>
      <c r="AH50" s="59"/>
      <c r="AI50" s="62"/>
      <c r="AJ50" s="79">
        <f t="shared" si="4"/>
        <v>0</v>
      </c>
      <c r="AK50" s="62"/>
      <c r="AL50" s="130">
        <f t="shared" si="5"/>
        <v>0</v>
      </c>
      <c r="AM50" s="62"/>
      <c r="AN50" s="79">
        <f t="shared" si="6"/>
        <v>0</v>
      </c>
      <c r="AO50" s="62"/>
      <c r="AP50" s="130"/>
      <c r="AQ50" s="62"/>
      <c r="AR50" s="63"/>
      <c r="AS50" s="65"/>
      <c r="AT50" s="79">
        <f t="shared" si="7"/>
        <v>0</v>
      </c>
      <c r="AU50" s="65"/>
      <c r="AV50" s="79">
        <f t="shared" si="8"/>
        <v>0</v>
      </c>
      <c r="AW50" s="65"/>
      <c r="AX50" s="130">
        <f t="shared" si="10"/>
        <v>0</v>
      </c>
      <c r="AY50" s="66"/>
      <c r="AZ50" s="66"/>
      <c r="BA50" s="80">
        <f t="shared" si="11"/>
        <v>5</v>
      </c>
      <c r="BB50" s="86">
        <v>2600</v>
      </c>
      <c r="BC50" s="34">
        <f t="shared" si="12"/>
        <v>13000</v>
      </c>
      <c r="BD50" s="89" t="s">
        <v>121</v>
      </c>
    </row>
    <row r="51" spans="1:56" s="88" customFormat="1" ht="12.75" x14ac:dyDescent="0.2">
      <c r="A51" s="55">
        <v>42</v>
      </c>
      <c r="B51" s="84" t="s">
        <v>155</v>
      </c>
      <c r="C51" s="27" t="s">
        <v>50</v>
      </c>
      <c r="D51" s="27" t="s">
        <v>53</v>
      </c>
      <c r="E51" s="85" t="s">
        <v>156</v>
      </c>
      <c r="F51" s="47" t="s">
        <v>49</v>
      </c>
      <c r="G51" s="47"/>
      <c r="H51" s="47"/>
      <c r="I51" s="47"/>
      <c r="J51" s="63"/>
      <c r="K51" s="47"/>
      <c r="L51" s="61"/>
      <c r="M51" s="60">
        <v>5</v>
      </c>
      <c r="N51" s="128">
        <f t="shared" si="9"/>
        <v>4950</v>
      </c>
      <c r="O51" s="62"/>
      <c r="P51" s="130">
        <f t="shared" si="0"/>
        <v>0</v>
      </c>
      <c r="Q51" s="60"/>
      <c r="R51" s="47"/>
      <c r="S51" s="62"/>
      <c r="T51" s="79">
        <f t="shared" si="14"/>
        <v>0</v>
      </c>
      <c r="U51" s="60"/>
      <c r="V51" s="130"/>
      <c r="W51" s="62"/>
      <c r="X51" s="79">
        <f t="shared" si="1"/>
        <v>0</v>
      </c>
      <c r="Y51" s="62"/>
      <c r="Z51" s="47"/>
      <c r="AA51" s="62"/>
      <c r="AB51" s="79"/>
      <c r="AC51" s="62"/>
      <c r="AD51" s="130">
        <f t="shared" si="2"/>
        <v>0</v>
      </c>
      <c r="AE51" s="62"/>
      <c r="AF51" s="79"/>
      <c r="AG51" s="64"/>
      <c r="AH51" s="59"/>
      <c r="AI51" s="62"/>
      <c r="AJ51" s="79">
        <f t="shared" si="4"/>
        <v>0</v>
      </c>
      <c r="AK51" s="62"/>
      <c r="AL51" s="130">
        <f t="shared" si="5"/>
        <v>0</v>
      </c>
      <c r="AM51" s="62"/>
      <c r="AN51" s="79">
        <f t="shared" si="6"/>
        <v>0</v>
      </c>
      <c r="AO51" s="62"/>
      <c r="AP51" s="130"/>
      <c r="AQ51" s="62"/>
      <c r="AR51" s="63"/>
      <c r="AS51" s="65"/>
      <c r="AT51" s="79">
        <f t="shared" si="7"/>
        <v>0</v>
      </c>
      <c r="AU51" s="65"/>
      <c r="AV51" s="79">
        <f t="shared" si="8"/>
        <v>0</v>
      </c>
      <c r="AW51" s="65"/>
      <c r="AX51" s="130">
        <f t="shared" si="10"/>
        <v>0</v>
      </c>
      <c r="AY51" s="66"/>
      <c r="AZ51" s="66"/>
      <c r="BA51" s="80">
        <f t="shared" si="11"/>
        <v>5</v>
      </c>
      <c r="BB51" s="86">
        <v>990</v>
      </c>
      <c r="BC51" s="34">
        <f t="shared" si="12"/>
        <v>4950</v>
      </c>
      <c r="BD51" s="89" t="s">
        <v>121</v>
      </c>
    </row>
    <row r="52" spans="1:56" s="88" customFormat="1" ht="13.5" thickBot="1" x14ac:dyDescent="0.25">
      <c r="A52" s="123">
        <v>43</v>
      </c>
      <c r="B52" s="90" t="s">
        <v>157</v>
      </c>
      <c r="C52" s="91" t="s">
        <v>50</v>
      </c>
      <c r="D52" s="91" t="s">
        <v>225</v>
      </c>
      <c r="E52" s="92" t="s">
        <v>158</v>
      </c>
      <c r="F52" s="93" t="s">
        <v>49</v>
      </c>
      <c r="G52" s="93"/>
      <c r="H52" s="93"/>
      <c r="I52" s="93"/>
      <c r="J52" s="94"/>
      <c r="K52" s="93"/>
      <c r="L52" s="95"/>
      <c r="M52" s="96">
        <v>10</v>
      </c>
      <c r="N52" s="128">
        <f t="shared" si="9"/>
        <v>4360</v>
      </c>
      <c r="O52" s="97"/>
      <c r="P52" s="130">
        <f t="shared" si="0"/>
        <v>0</v>
      </c>
      <c r="Q52" s="96"/>
      <c r="R52" s="93"/>
      <c r="S52" s="97"/>
      <c r="T52" s="79">
        <f t="shared" si="14"/>
        <v>0</v>
      </c>
      <c r="U52" s="96"/>
      <c r="V52" s="130"/>
      <c r="W52" s="97"/>
      <c r="X52" s="79">
        <f t="shared" si="1"/>
        <v>0</v>
      </c>
      <c r="Y52" s="97"/>
      <c r="Z52" s="93"/>
      <c r="AA52" s="97"/>
      <c r="AB52" s="79"/>
      <c r="AC52" s="97"/>
      <c r="AD52" s="130">
        <f t="shared" si="2"/>
        <v>0</v>
      </c>
      <c r="AE52" s="97"/>
      <c r="AF52" s="79"/>
      <c r="AG52" s="99"/>
      <c r="AH52" s="98"/>
      <c r="AI52" s="97"/>
      <c r="AJ52" s="79">
        <f t="shared" si="4"/>
        <v>0</v>
      </c>
      <c r="AK52" s="97"/>
      <c r="AL52" s="130">
        <f t="shared" si="5"/>
        <v>0</v>
      </c>
      <c r="AM52" s="97"/>
      <c r="AN52" s="79">
        <f t="shared" si="6"/>
        <v>0</v>
      </c>
      <c r="AO52" s="97"/>
      <c r="AP52" s="130"/>
      <c r="AQ52" s="97"/>
      <c r="AR52" s="94"/>
      <c r="AS52" s="100"/>
      <c r="AT52" s="79">
        <f t="shared" si="7"/>
        <v>0</v>
      </c>
      <c r="AU52" s="100"/>
      <c r="AV52" s="79">
        <f t="shared" si="8"/>
        <v>0</v>
      </c>
      <c r="AW52" s="100"/>
      <c r="AX52" s="130">
        <f t="shared" si="10"/>
        <v>0</v>
      </c>
      <c r="AY52" s="98"/>
      <c r="AZ52" s="98"/>
      <c r="BA52" s="80">
        <f t="shared" si="11"/>
        <v>10</v>
      </c>
      <c r="BB52" s="101">
        <v>436</v>
      </c>
      <c r="BC52" s="34">
        <f t="shared" si="12"/>
        <v>4360</v>
      </c>
      <c r="BD52" s="89"/>
    </row>
    <row r="53" spans="1:56" s="189" customFormat="1" ht="26.25" customHeight="1" thickBot="1" x14ac:dyDescent="0.25">
      <c r="A53" s="191"/>
      <c r="B53" s="50"/>
      <c r="C53" s="192"/>
      <c r="D53" s="192"/>
      <c r="E53" s="193" t="s">
        <v>102</v>
      </c>
      <c r="F53" s="192"/>
      <c r="G53" s="50"/>
      <c r="H53" s="50"/>
      <c r="I53" s="50"/>
      <c r="J53" s="49"/>
      <c r="K53" s="50"/>
      <c r="L53" s="194"/>
      <c r="M53" s="51"/>
      <c r="N53" s="48">
        <f>SUM(N10:N52)</f>
        <v>127860</v>
      </c>
      <c r="O53" s="52"/>
      <c r="P53" s="48">
        <f>SUM(P10:P52)</f>
        <v>50683</v>
      </c>
      <c r="Q53" s="51"/>
      <c r="R53" s="48"/>
      <c r="S53" s="52"/>
      <c r="T53" s="49">
        <f>SUM(T10:T52)</f>
        <v>22631</v>
      </c>
      <c r="U53" s="51"/>
      <c r="V53" s="48"/>
      <c r="W53" s="52"/>
      <c r="X53" s="49">
        <f>SUM(X10:X52)</f>
        <v>215350</v>
      </c>
      <c r="Y53" s="52"/>
      <c r="Z53" s="48"/>
      <c r="AA53" s="52"/>
      <c r="AB53" s="49"/>
      <c r="AC53" s="52"/>
      <c r="AD53" s="48">
        <f>SUM(AD10:AD52)</f>
        <v>66600</v>
      </c>
      <c r="AE53" s="52"/>
      <c r="AF53" s="49"/>
      <c r="AG53" s="52"/>
      <c r="AH53" s="48"/>
      <c r="AI53" s="52"/>
      <c r="AJ53" s="49">
        <f>SUM(AJ10:AJ52)</f>
        <v>9800</v>
      </c>
      <c r="AK53" s="52"/>
      <c r="AL53" s="48">
        <f>SUM(AL10:AL52)</f>
        <v>21490</v>
      </c>
      <c r="AM53" s="52"/>
      <c r="AN53" s="49">
        <f>SUM(AN10:AN52)</f>
        <v>35000</v>
      </c>
      <c r="AO53" s="52"/>
      <c r="AP53" s="48"/>
      <c r="AQ53" s="52"/>
      <c r="AR53" s="49"/>
      <c r="AS53" s="53"/>
      <c r="AT53" s="49">
        <f>+AT34+AT35</f>
        <v>23800</v>
      </c>
      <c r="AU53" s="53"/>
      <c r="AV53" s="49">
        <f>SUM(AV10:AV52)</f>
        <v>149130</v>
      </c>
      <c r="AW53" s="53"/>
      <c r="AX53" s="48">
        <f>SUM(AX10:AX52)</f>
        <v>18850</v>
      </c>
      <c r="AY53" s="48"/>
      <c r="AZ53" s="48"/>
      <c r="BA53" s="195"/>
      <c r="BB53" s="54"/>
      <c r="BC53" s="42"/>
      <c r="BD53" s="196"/>
    </row>
    <row r="55" spans="1:56" ht="15.75" thickBot="1" x14ac:dyDescent="0.3"/>
    <row r="56" spans="1:56" x14ac:dyDescent="0.25">
      <c r="B56" s="230" t="s">
        <v>242</v>
      </c>
      <c r="C56" s="232"/>
      <c r="D56" s="232"/>
      <c r="E56" s="233"/>
    </row>
    <row r="57" spans="1:56" x14ac:dyDescent="0.25">
      <c r="B57" s="231"/>
      <c r="C57" s="226" t="s">
        <v>248</v>
      </c>
      <c r="D57" s="228"/>
      <c r="E57" s="229"/>
    </row>
    <row r="58" spans="1:56" x14ac:dyDescent="0.25">
      <c r="B58" s="201"/>
      <c r="C58" s="202"/>
      <c r="D58" s="202"/>
      <c r="E58" s="203"/>
    </row>
    <row r="59" spans="1:56" ht="28.5" x14ac:dyDescent="0.25">
      <c r="B59" s="201" t="s">
        <v>243</v>
      </c>
      <c r="C59" s="204" t="s">
        <v>250</v>
      </c>
      <c r="D59" s="205" t="s">
        <v>249</v>
      </c>
      <c r="E59" s="206"/>
    </row>
    <row r="60" spans="1:56" x14ac:dyDescent="0.25">
      <c r="B60" s="201"/>
      <c r="C60" s="224"/>
      <c r="D60" s="224"/>
      <c r="E60" s="225"/>
    </row>
    <row r="61" spans="1:56" ht="28.5" x14ac:dyDescent="0.25">
      <c r="B61" s="201" t="s">
        <v>244</v>
      </c>
      <c r="C61" s="226" t="s">
        <v>245</v>
      </c>
      <c r="D61" s="226"/>
      <c r="E61" s="227"/>
    </row>
    <row r="62" spans="1:56" x14ac:dyDescent="0.25">
      <c r="B62" s="201"/>
      <c r="C62" s="205"/>
      <c r="D62" s="205"/>
      <c r="E62" s="206"/>
    </row>
    <row r="63" spans="1:56" x14ac:dyDescent="0.25">
      <c r="B63" s="201"/>
      <c r="C63" s="202"/>
      <c r="D63" s="202"/>
      <c r="E63" s="203"/>
    </row>
    <row r="64" spans="1:56" x14ac:dyDescent="0.25">
      <c r="B64" s="201" t="s">
        <v>246</v>
      </c>
      <c r="C64" s="228" t="s">
        <v>247</v>
      </c>
      <c r="D64" s="228"/>
      <c r="E64" s="229"/>
    </row>
    <row r="65" spans="2:5" ht="15.75" thickBot="1" x14ac:dyDescent="0.3">
      <c r="B65" s="207"/>
      <c r="C65" s="208"/>
      <c r="D65" s="209"/>
      <c r="E65" s="210"/>
    </row>
  </sheetData>
  <mergeCells count="13">
    <mergeCell ref="A7:B7"/>
    <mergeCell ref="B2:BB2"/>
    <mergeCell ref="A4:B4"/>
    <mergeCell ref="C4:E4"/>
    <mergeCell ref="A5:B5"/>
    <mergeCell ref="C5:E5"/>
    <mergeCell ref="A6:B6"/>
    <mergeCell ref="C60:E60"/>
    <mergeCell ref="C61:E61"/>
    <mergeCell ref="C64:E64"/>
    <mergeCell ref="B56:B57"/>
    <mergeCell ref="C56:E56"/>
    <mergeCell ref="C57:E57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zoomScaleNormal="100" workbookViewId="0">
      <selection activeCell="K7" sqref="K7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5" t="s">
        <v>166</v>
      </c>
      <c r="B3" s="245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43" t="s">
        <v>167</v>
      </c>
      <c r="B4" s="243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43" t="s">
        <v>168</v>
      </c>
      <c r="B5" s="243"/>
      <c r="C5" s="108" t="s">
        <v>169</v>
      </c>
      <c r="D5" s="109"/>
      <c r="E5" s="109"/>
      <c r="F5" s="109"/>
      <c r="G5" s="110"/>
    </row>
    <row r="6" spans="1:11" ht="16.5" thickBot="1" x14ac:dyDescent="0.3">
      <c r="A6" s="245" t="s">
        <v>170</v>
      </c>
      <c r="B6" s="245"/>
      <c r="C6" s="108" t="s">
        <v>169</v>
      </c>
      <c r="D6" s="109"/>
      <c r="E6" s="109"/>
      <c r="F6" s="109"/>
      <c r="G6" s="110"/>
    </row>
    <row r="7" spans="1:11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1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2" t="s">
        <v>174</v>
      </c>
      <c r="B10" s="240" t="s">
        <v>175</v>
      </c>
      <c r="C10" s="240" t="s">
        <v>11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1" ht="35.25" customHeight="1" x14ac:dyDescent="0.25">
      <c r="A11" s="242"/>
      <c r="B11" s="240"/>
      <c r="C11" s="240"/>
      <c r="D11" s="240"/>
      <c r="E11" s="240"/>
      <c r="F11" s="240"/>
      <c r="G11" s="240"/>
    </row>
    <row r="12" spans="1:11" x14ac:dyDescent="0.25">
      <c r="A12" s="190">
        <v>1</v>
      </c>
      <c r="B12" s="119" t="s">
        <v>52</v>
      </c>
      <c r="C12" s="120" t="s">
        <v>54</v>
      </c>
      <c r="D12" s="190" t="s">
        <v>180</v>
      </c>
      <c r="E12" s="124" t="s">
        <v>51</v>
      </c>
      <c r="F12" s="117">
        <v>1200</v>
      </c>
      <c r="G12" s="122">
        <v>10</v>
      </c>
      <c r="H12" s="212">
        <f>+F12*G12</f>
        <v>12000</v>
      </c>
      <c r="I12" s="214"/>
      <c r="J12" s="211"/>
      <c r="K12" s="211"/>
    </row>
    <row r="13" spans="1:11" s="33" customFormat="1" x14ac:dyDescent="0.25">
      <c r="A13" s="190">
        <v>2</v>
      </c>
      <c r="B13" s="76" t="s">
        <v>107</v>
      </c>
      <c r="C13" s="77" t="s">
        <v>108</v>
      </c>
      <c r="D13" s="190" t="s">
        <v>180</v>
      </c>
      <c r="E13" s="64" t="s">
        <v>49</v>
      </c>
      <c r="F13" s="118">
        <v>650</v>
      </c>
      <c r="G13" s="60">
        <v>10</v>
      </c>
      <c r="H13" s="212">
        <f t="shared" ref="H13:H43" si="0">+F13*G13</f>
        <v>6500</v>
      </c>
      <c r="I13" s="214"/>
      <c r="J13" s="212">
        <f>+H12+H13+H14+H15+H16+H17+H18+H19+H20+H21+H22+H23+H24+H26+H27+H28+H29+H30+H32+H36+H37+H38+H39+H40+H41+H42</f>
        <v>109200</v>
      </c>
      <c r="K13" s="211"/>
    </row>
    <row r="14" spans="1:11" s="33" customFormat="1" ht="25.5" x14ac:dyDescent="0.25">
      <c r="A14" s="190">
        <v>3</v>
      </c>
      <c r="B14" s="27" t="s">
        <v>55</v>
      </c>
      <c r="C14" s="57" t="s">
        <v>56</v>
      </c>
      <c r="D14" s="190" t="s">
        <v>180</v>
      </c>
      <c r="E14" s="56" t="s">
        <v>57</v>
      </c>
      <c r="F14" s="67">
        <v>650</v>
      </c>
      <c r="G14" s="60">
        <v>20</v>
      </c>
      <c r="H14" s="212">
        <f t="shared" si="0"/>
        <v>13000</v>
      </c>
      <c r="I14" s="214"/>
      <c r="J14" s="212">
        <f>+H25+H31+H33</f>
        <v>7100</v>
      </c>
      <c r="K14" s="211"/>
    </row>
    <row r="15" spans="1:11" s="33" customFormat="1" ht="25.5" x14ac:dyDescent="0.25">
      <c r="A15" s="190">
        <v>4</v>
      </c>
      <c r="B15" s="47" t="s">
        <v>58</v>
      </c>
      <c r="C15" s="57" t="s">
        <v>59</v>
      </c>
      <c r="D15" s="190" t="s">
        <v>180</v>
      </c>
      <c r="E15" s="56" t="s">
        <v>57</v>
      </c>
      <c r="F15" s="67">
        <v>100</v>
      </c>
      <c r="G15" s="60">
        <v>30</v>
      </c>
      <c r="H15" s="212">
        <f t="shared" si="0"/>
        <v>3000</v>
      </c>
      <c r="I15" s="214"/>
      <c r="J15" s="212">
        <f>+H34+H35+H43</f>
        <v>11560</v>
      </c>
      <c r="K15" s="211"/>
    </row>
    <row r="16" spans="1:11" s="33" customFormat="1" x14ac:dyDescent="0.25">
      <c r="A16" s="190">
        <v>5</v>
      </c>
      <c r="B16" s="47" t="s">
        <v>60</v>
      </c>
      <c r="C16" s="57" t="s">
        <v>61</v>
      </c>
      <c r="D16" s="190" t="s">
        <v>180</v>
      </c>
      <c r="E16" s="56" t="s">
        <v>49</v>
      </c>
      <c r="F16" s="67">
        <v>386</v>
      </c>
      <c r="G16" s="60">
        <v>5</v>
      </c>
      <c r="H16" s="212">
        <f t="shared" si="0"/>
        <v>1930</v>
      </c>
      <c r="I16" s="214"/>
      <c r="J16" s="211"/>
      <c r="K16" s="211"/>
    </row>
    <row r="17" spans="1:11" s="33" customFormat="1" ht="25.5" x14ac:dyDescent="0.25">
      <c r="A17" s="190">
        <v>6</v>
      </c>
      <c r="B17" s="47" t="s">
        <v>62</v>
      </c>
      <c r="C17" s="57" t="s">
        <v>63</v>
      </c>
      <c r="D17" s="190" t="s">
        <v>180</v>
      </c>
      <c r="E17" s="56" t="s">
        <v>49</v>
      </c>
      <c r="F17" s="75">
        <v>290</v>
      </c>
      <c r="G17" s="74">
        <v>10</v>
      </c>
      <c r="H17" s="212">
        <f t="shared" si="0"/>
        <v>2900</v>
      </c>
      <c r="I17" s="214"/>
      <c r="J17" s="211"/>
      <c r="K17" s="211"/>
    </row>
    <row r="18" spans="1:11" s="33" customFormat="1" x14ac:dyDescent="0.25">
      <c r="A18" s="190">
        <v>7</v>
      </c>
      <c r="B18" s="76" t="s">
        <v>64</v>
      </c>
      <c r="C18" s="77" t="s">
        <v>65</v>
      </c>
      <c r="D18" s="190" t="s">
        <v>180</v>
      </c>
      <c r="E18" s="64" t="s">
        <v>49</v>
      </c>
      <c r="F18" s="75">
        <v>80</v>
      </c>
      <c r="G18" s="74">
        <v>10</v>
      </c>
      <c r="H18" s="212">
        <f t="shared" si="0"/>
        <v>800</v>
      </c>
      <c r="I18" s="214"/>
      <c r="J18" s="211"/>
      <c r="K18" s="211"/>
    </row>
    <row r="19" spans="1:11" s="33" customFormat="1" ht="25.5" x14ac:dyDescent="0.25">
      <c r="A19" s="190">
        <v>8</v>
      </c>
      <c r="B19" s="76" t="s">
        <v>66</v>
      </c>
      <c r="C19" s="77" t="s">
        <v>67</v>
      </c>
      <c r="D19" s="190" t="s">
        <v>180</v>
      </c>
      <c r="E19" s="64" t="s">
        <v>49</v>
      </c>
      <c r="F19" s="75">
        <v>120</v>
      </c>
      <c r="G19" s="74">
        <v>10</v>
      </c>
      <c r="H19" s="212">
        <f t="shared" si="0"/>
        <v>1200</v>
      </c>
      <c r="I19" s="214"/>
      <c r="J19" s="211"/>
      <c r="K19" s="211"/>
    </row>
    <row r="20" spans="1:11" s="33" customFormat="1" x14ac:dyDescent="0.25">
      <c r="A20" s="190">
        <v>9</v>
      </c>
      <c r="B20" s="27" t="s">
        <v>70</v>
      </c>
      <c r="C20" s="57" t="s">
        <v>71</v>
      </c>
      <c r="D20" s="190" t="s">
        <v>180</v>
      </c>
      <c r="E20" s="56" t="s">
        <v>72</v>
      </c>
      <c r="F20" s="75">
        <v>350</v>
      </c>
      <c r="G20" s="74">
        <v>10</v>
      </c>
      <c r="H20" s="212">
        <f t="shared" si="0"/>
        <v>3500</v>
      </c>
      <c r="I20" s="214"/>
      <c r="J20" s="211"/>
      <c r="K20" s="211"/>
    </row>
    <row r="21" spans="1:11" s="33" customFormat="1" x14ac:dyDescent="0.25">
      <c r="A21" s="190">
        <v>10</v>
      </c>
      <c r="B21" s="81" t="s">
        <v>75</v>
      </c>
      <c r="C21" s="57" t="s">
        <v>76</v>
      </c>
      <c r="D21" s="190" t="s">
        <v>180</v>
      </c>
      <c r="E21" s="56" t="s">
        <v>51</v>
      </c>
      <c r="F21" s="67">
        <v>650</v>
      </c>
      <c r="G21" s="60">
        <v>10</v>
      </c>
      <c r="H21" s="212">
        <f t="shared" si="0"/>
        <v>6500</v>
      </c>
      <c r="I21" s="214"/>
      <c r="J21" s="211"/>
      <c r="K21" s="211"/>
    </row>
    <row r="22" spans="1:11" s="33" customFormat="1" x14ac:dyDescent="0.25">
      <c r="A22" s="190">
        <v>11</v>
      </c>
      <c r="B22" s="27" t="s">
        <v>77</v>
      </c>
      <c r="C22" s="57" t="s">
        <v>78</v>
      </c>
      <c r="D22" s="190" t="s">
        <v>180</v>
      </c>
      <c r="E22" s="56" t="s">
        <v>49</v>
      </c>
      <c r="F22" s="67">
        <v>400</v>
      </c>
      <c r="G22" s="60">
        <v>10</v>
      </c>
      <c r="H22" s="212">
        <f t="shared" si="0"/>
        <v>4000</v>
      </c>
      <c r="I22" s="214"/>
      <c r="J22" s="211"/>
      <c r="K22" s="211"/>
    </row>
    <row r="23" spans="1:11" s="33" customFormat="1" x14ac:dyDescent="0.25">
      <c r="A23" s="190">
        <v>12</v>
      </c>
      <c r="B23" s="82" t="s">
        <v>79</v>
      </c>
      <c r="C23" s="57" t="s">
        <v>80</v>
      </c>
      <c r="D23" s="190" t="s">
        <v>180</v>
      </c>
      <c r="E23" s="56" t="s">
        <v>51</v>
      </c>
      <c r="F23" s="67">
        <v>300</v>
      </c>
      <c r="G23" s="60">
        <v>10</v>
      </c>
      <c r="H23" s="212">
        <f t="shared" si="0"/>
        <v>3000</v>
      </c>
      <c r="I23" s="214"/>
      <c r="J23" s="211"/>
      <c r="K23" s="211"/>
    </row>
    <row r="24" spans="1:11" s="33" customFormat="1" x14ac:dyDescent="0.25">
      <c r="A24" s="190">
        <v>13</v>
      </c>
      <c r="B24" s="47" t="s">
        <v>83</v>
      </c>
      <c r="C24" s="57" t="s">
        <v>84</v>
      </c>
      <c r="D24" s="190" t="s">
        <v>180</v>
      </c>
      <c r="E24" s="56" t="s">
        <v>49</v>
      </c>
      <c r="F24" s="67">
        <v>450</v>
      </c>
      <c r="G24" s="60">
        <v>10</v>
      </c>
      <c r="H24" s="212">
        <f t="shared" si="0"/>
        <v>4500</v>
      </c>
      <c r="I24" s="214"/>
      <c r="J24" s="211"/>
      <c r="K24" s="211"/>
    </row>
    <row r="25" spans="1:11" s="33" customFormat="1" ht="25.5" x14ac:dyDescent="0.25">
      <c r="A25" s="190">
        <v>14</v>
      </c>
      <c r="B25" s="47" t="s">
        <v>88</v>
      </c>
      <c r="C25" s="57" t="s">
        <v>89</v>
      </c>
      <c r="D25" s="190" t="s">
        <v>180</v>
      </c>
      <c r="E25" s="56" t="s">
        <v>57</v>
      </c>
      <c r="F25" s="67">
        <v>350</v>
      </c>
      <c r="G25" s="60">
        <v>8</v>
      </c>
      <c r="H25" s="212">
        <f t="shared" si="0"/>
        <v>2800</v>
      </c>
      <c r="I25" s="214"/>
      <c r="J25" s="211"/>
      <c r="K25" s="211"/>
    </row>
    <row r="26" spans="1:11" s="33" customFormat="1" x14ac:dyDescent="0.25">
      <c r="A26" s="190">
        <v>15</v>
      </c>
      <c r="B26" s="47" t="s">
        <v>90</v>
      </c>
      <c r="C26" s="57" t="s">
        <v>91</v>
      </c>
      <c r="D26" s="190" t="s">
        <v>180</v>
      </c>
      <c r="E26" s="56" t="s">
        <v>49</v>
      </c>
      <c r="F26" s="67">
        <v>400</v>
      </c>
      <c r="G26" s="60">
        <v>10</v>
      </c>
      <c r="H26" s="212">
        <f t="shared" si="0"/>
        <v>4000</v>
      </c>
      <c r="I26" s="214"/>
      <c r="J26" s="211"/>
      <c r="K26" s="211"/>
    </row>
    <row r="27" spans="1:11" s="33" customFormat="1" x14ac:dyDescent="0.25">
      <c r="A27" s="190">
        <v>16</v>
      </c>
      <c r="B27" s="47" t="s">
        <v>94</v>
      </c>
      <c r="C27" s="77" t="s">
        <v>95</v>
      </c>
      <c r="D27" s="190" t="s">
        <v>180</v>
      </c>
      <c r="E27" s="56" t="s">
        <v>49</v>
      </c>
      <c r="F27" s="75">
        <v>120</v>
      </c>
      <c r="G27" s="60">
        <v>20</v>
      </c>
      <c r="H27" s="212">
        <f t="shared" si="0"/>
        <v>2400</v>
      </c>
      <c r="I27" s="214"/>
      <c r="J27" s="211"/>
      <c r="K27" s="211"/>
    </row>
    <row r="28" spans="1:11" s="33" customFormat="1" x14ac:dyDescent="0.25">
      <c r="A28" s="190">
        <v>17</v>
      </c>
      <c r="B28" s="47" t="s">
        <v>96</v>
      </c>
      <c r="C28" s="77" t="s">
        <v>97</v>
      </c>
      <c r="D28" s="190" t="s">
        <v>180</v>
      </c>
      <c r="E28" s="56" t="s">
        <v>49</v>
      </c>
      <c r="F28" s="67">
        <v>115</v>
      </c>
      <c r="G28" s="60">
        <v>10</v>
      </c>
      <c r="H28" s="212">
        <f t="shared" si="0"/>
        <v>1150</v>
      </c>
      <c r="I28" s="214"/>
      <c r="J28" s="211"/>
      <c r="K28" s="211"/>
    </row>
    <row r="29" spans="1:11" s="33" customFormat="1" x14ac:dyDescent="0.25">
      <c r="A29" s="190">
        <v>18</v>
      </c>
      <c r="B29" s="187" t="s">
        <v>98</v>
      </c>
      <c r="C29" s="57" t="s">
        <v>99</v>
      </c>
      <c r="D29" s="190" t="s">
        <v>180</v>
      </c>
      <c r="E29" s="56" t="s">
        <v>49</v>
      </c>
      <c r="F29" s="75">
        <v>120</v>
      </c>
      <c r="G29" s="83">
        <v>15</v>
      </c>
      <c r="H29" s="212">
        <f t="shared" si="0"/>
        <v>1800</v>
      </c>
      <c r="I29" s="214"/>
      <c r="J29" s="211"/>
      <c r="K29" s="211"/>
    </row>
    <row r="30" spans="1:11" x14ac:dyDescent="0.25">
      <c r="A30" s="190">
        <v>19</v>
      </c>
      <c r="B30" s="84" t="s">
        <v>100</v>
      </c>
      <c r="C30" s="85" t="s">
        <v>101</v>
      </c>
      <c r="D30" s="190" t="s">
        <v>180</v>
      </c>
      <c r="E30" s="47" t="s">
        <v>57</v>
      </c>
      <c r="F30" s="86">
        <v>450</v>
      </c>
      <c r="G30" s="60">
        <v>5</v>
      </c>
      <c r="H30" s="212">
        <f t="shared" si="0"/>
        <v>2250</v>
      </c>
      <c r="I30" s="214"/>
      <c r="J30" s="211"/>
      <c r="K30" s="211"/>
    </row>
    <row r="31" spans="1:11" ht="25.5" x14ac:dyDescent="0.25">
      <c r="A31" s="190">
        <v>20</v>
      </c>
      <c r="B31" s="84" t="s">
        <v>119</v>
      </c>
      <c r="C31" s="85" t="s">
        <v>120</v>
      </c>
      <c r="D31" s="190" t="s">
        <v>180</v>
      </c>
      <c r="E31" s="47" t="s">
        <v>49</v>
      </c>
      <c r="F31" s="86">
        <v>1400</v>
      </c>
      <c r="G31" s="60">
        <v>2</v>
      </c>
      <c r="H31" s="212">
        <f t="shared" si="0"/>
        <v>2800</v>
      </c>
      <c r="I31" s="214"/>
      <c r="J31" s="211"/>
      <c r="K31" s="211"/>
    </row>
    <row r="32" spans="1:11" ht="60.75" customHeight="1" x14ac:dyDescent="0.25">
      <c r="A32" s="190">
        <v>21</v>
      </c>
      <c r="B32" s="84" t="s">
        <v>133</v>
      </c>
      <c r="C32" s="85" t="s">
        <v>134</v>
      </c>
      <c r="D32" s="190" t="s">
        <v>180</v>
      </c>
      <c r="E32" s="47" t="s">
        <v>49</v>
      </c>
      <c r="F32" s="86">
        <v>800</v>
      </c>
      <c r="G32" s="60">
        <v>5</v>
      </c>
      <c r="H32" s="212">
        <f t="shared" si="0"/>
        <v>4000</v>
      </c>
      <c r="I32" s="214"/>
      <c r="J32" s="211"/>
      <c r="K32" s="211"/>
    </row>
    <row r="33" spans="1:11" ht="60.75" customHeight="1" x14ac:dyDescent="0.25">
      <c r="A33" s="190">
        <v>22</v>
      </c>
      <c r="B33" s="84" t="s">
        <v>130</v>
      </c>
      <c r="C33" s="85" t="s">
        <v>132</v>
      </c>
      <c r="D33" s="190" t="s">
        <v>180</v>
      </c>
      <c r="E33" s="47" t="s">
        <v>106</v>
      </c>
      <c r="F33" s="86">
        <v>300</v>
      </c>
      <c r="G33" s="60">
        <v>5</v>
      </c>
      <c r="H33" s="212">
        <f t="shared" si="0"/>
        <v>1500</v>
      </c>
      <c r="I33" s="214"/>
      <c r="J33" s="211"/>
      <c r="K33" s="211"/>
    </row>
    <row r="34" spans="1:11" ht="38.25" x14ac:dyDescent="0.25">
      <c r="A34" s="190">
        <v>23</v>
      </c>
      <c r="B34" s="84" t="s">
        <v>137</v>
      </c>
      <c r="C34" s="85" t="s">
        <v>139</v>
      </c>
      <c r="D34" s="190" t="s">
        <v>180</v>
      </c>
      <c r="E34" s="47" t="s">
        <v>49</v>
      </c>
      <c r="F34" s="86">
        <v>360</v>
      </c>
      <c r="G34" s="60">
        <v>10</v>
      </c>
      <c r="H34" s="212">
        <f t="shared" si="0"/>
        <v>3600</v>
      </c>
      <c r="I34" s="214"/>
      <c r="J34" s="211"/>
      <c r="K34" s="211"/>
    </row>
    <row r="35" spans="1:11" ht="25.5" x14ac:dyDescent="0.25">
      <c r="A35" s="190">
        <v>24</v>
      </c>
      <c r="B35" s="84" t="s">
        <v>140</v>
      </c>
      <c r="C35" s="85" t="s">
        <v>141</v>
      </c>
      <c r="D35" s="190" t="s">
        <v>180</v>
      </c>
      <c r="E35" s="47" t="s">
        <v>49</v>
      </c>
      <c r="F35" s="86">
        <v>360</v>
      </c>
      <c r="G35" s="60">
        <v>10</v>
      </c>
      <c r="H35" s="212">
        <f t="shared" si="0"/>
        <v>3600</v>
      </c>
      <c r="I35" s="214"/>
      <c r="J35" s="211"/>
      <c r="K35" s="211"/>
    </row>
    <row r="36" spans="1:11" x14ac:dyDescent="0.25">
      <c r="A36" s="190">
        <v>25</v>
      </c>
      <c r="B36" s="84" t="s">
        <v>142</v>
      </c>
      <c r="C36" s="85" t="s">
        <v>143</v>
      </c>
      <c r="D36" s="190" t="s">
        <v>180</v>
      </c>
      <c r="E36" s="47" t="s">
        <v>49</v>
      </c>
      <c r="F36" s="86">
        <v>330</v>
      </c>
      <c r="G36" s="60">
        <v>10</v>
      </c>
      <c r="H36" s="212">
        <f t="shared" si="0"/>
        <v>3300</v>
      </c>
      <c r="I36" s="214"/>
      <c r="J36" s="211"/>
      <c r="K36" s="211"/>
    </row>
    <row r="37" spans="1:11" x14ac:dyDescent="0.25">
      <c r="A37" s="190">
        <v>26</v>
      </c>
      <c r="B37" s="84" t="s">
        <v>144</v>
      </c>
      <c r="C37" s="85" t="s">
        <v>145</v>
      </c>
      <c r="D37" s="190" t="s">
        <v>180</v>
      </c>
      <c r="E37" s="47" t="s">
        <v>49</v>
      </c>
      <c r="F37" s="86">
        <v>240</v>
      </c>
      <c r="G37" s="60">
        <v>3</v>
      </c>
      <c r="H37" s="212">
        <f t="shared" si="0"/>
        <v>720</v>
      </c>
      <c r="I37" s="214"/>
      <c r="J37" s="211"/>
      <c r="K37" s="211"/>
    </row>
    <row r="38" spans="1:11" x14ac:dyDescent="0.25">
      <c r="A38" s="190">
        <v>27</v>
      </c>
      <c r="B38" s="84" t="s">
        <v>146</v>
      </c>
      <c r="C38" s="85" t="s">
        <v>147</v>
      </c>
      <c r="D38" s="190" t="s">
        <v>180</v>
      </c>
      <c r="E38" s="47" t="s">
        <v>148</v>
      </c>
      <c r="F38" s="86">
        <v>150</v>
      </c>
      <c r="G38" s="60">
        <v>4</v>
      </c>
      <c r="H38" s="212">
        <f t="shared" si="0"/>
        <v>600</v>
      </c>
      <c r="I38" s="214"/>
      <c r="J38" s="211"/>
      <c r="K38" s="211"/>
    </row>
    <row r="39" spans="1:11" s="33" customFormat="1" x14ac:dyDescent="0.25">
      <c r="A39" s="190">
        <v>28</v>
      </c>
      <c r="B39" s="84" t="s">
        <v>149</v>
      </c>
      <c r="C39" s="85" t="s">
        <v>150</v>
      </c>
      <c r="D39" s="190" t="s">
        <v>180</v>
      </c>
      <c r="E39" s="47" t="s">
        <v>49</v>
      </c>
      <c r="F39" s="86">
        <v>90</v>
      </c>
      <c r="G39" s="60">
        <v>20</v>
      </c>
      <c r="H39" s="212">
        <f t="shared" si="0"/>
        <v>1800</v>
      </c>
      <c r="I39" s="214"/>
      <c r="J39" s="211"/>
      <c r="K39" s="211"/>
    </row>
    <row r="40" spans="1:11" s="33" customFormat="1" x14ac:dyDescent="0.25">
      <c r="A40" s="190">
        <v>29</v>
      </c>
      <c r="B40" s="84" t="s">
        <v>151</v>
      </c>
      <c r="C40" s="85" t="s">
        <v>152</v>
      </c>
      <c r="D40" s="190" t="s">
        <v>180</v>
      </c>
      <c r="E40" s="47" t="s">
        <v>49</v>
      </c>
      <c r="F40" s="86">
        <v>3200</v>
      </c>
      <c r="G40" s="60">
        <v>2</v>
      </c>
      <c r="H40" s="212">
        <f t="shared" si="0"/>
        <v>6400</v>
      </c>
      <c r="I40" s="214"/>
      <c r="J40" s="211"/>
      <c r="K40" s="211"/>
    </row>
    <row r="41" spans="1:11" x14ac:dyDescent="0.25">
      <c r="A41" s="190">
        <v>30</v>
      </c>
      <c r="B41" s="84" t="s">
        <v>153</v>
      </c>
      <c r="C41" s="85" t="s">
        <v>154</v>
      </c>
      <c r="D41" s="190" t="s">
        <v>180</v>
      </c>
      <c r="E41" s="47" t="s">
        <v>49</v>
      </c>
      <c r="F41" s="86">
        <v>2600</v>
      </c>
      <c r="G41" s="60">
        <v>5</v>
      </c>
      <c r="H41" s="212">
        <f t="shared" si="0"/>
        <v>13000</v>
      </c>
      <c r="I41" s="214"/>
      <c r="J41" s="211"/>
      <c r="K41" s="211"/>
    </row>
    <row r="42" spans="1:11" x14ac:dyDescent="0.25">
      <c r="A42" s="190">
        <v>31</v>
      </c>
      <c r="B42" s="84" t="s">
        <v>155</v>
      </c>
      <c r="C42" s="85" t="s">
        <v>156</v>
      </c>
      <c r="D42" s="190" t="s">
        <v>180</v>
      </c>
      <c r="E42" s="47" t="s">
        <v>49</v>
      </c>
      <c r="F42" s="86">
        <v>990</v>
      </c>
      <c r="G42" s="60">
        <v>5</v>
      </c>
      <c r="H42" s="212">
        <f t="shared" si="0"/>
        <v>4950</v>
      </c>
      <c r="I42" s="214"/>
      <c r="J42" s="211"/>
      <c r="K42" s="211"/>
    </row>
    <row r="43" spans="1:11" x14ac:dyDescent="0.25">
      <c r="A43" s="190">
        <v>32</v>
      </c>
      <c r="B43" s="90" t="s">
        <v>157</v>
      </c>
      <c r="C43" s="92" t="s">
        <v>158</v>
      </c>
      <c r="D43" s="190" t="s">
        <v>180</v>
      </c>
      <c r="E43" s="93" t="s">
        <v>49</v>
      </c>
      <c r="F43" s="101">
        <v>436</v>
      </c>
      <c r="G43" s="96">
        <v>10</v>
      </c>
      <c r="H43" s="212">
        <f t="shared" si="0"/>
        <v>4360</v>
      </c>
      <c r="I43" s="214"/>
      <c r="J43" s="211"/>
      <c r="K43" s="211"/>
    </row>
    <row r="44" spans="1:11" ht="18.75" x14ac:dyDescent="0.25">
      <c r="A44" s="238" t="s">
        <v>226</v>
      </c>
      <c r="B44" s="238"/>
      <c r="C44" s="238"/>
      <c r="D44" s="238"/>
      <c r="E44" s="238"/>
      <c r="F44" s="239">
        <f>+H12+H13+H14+H15+H16+H17+H18+H19+H20+H21+H22+H23+H24+H25+H26+H27+H28+H29+H30+H31+H32+H33+H34+H35+H36+H37+H38+H39+H40+H41+H42+H43</f>
        <v>127860</v>
      </c>
      <c r="G44" s="239"/>
      <c r="H44" s="213"/>
      <c r="I44" s="211"/>
      <c r="J44" s="211"/>
      <c r="K44" s="211"/>
    </row>
    <row r="45" spans="1:11" x14ac:dyDescent="0.25">
      <c r="A45" s="33"/>
      <c r="B45" s="33"/>
      <c r="C45" s="33"/>
      <c r="D45" s="33"/>
      <c r="E45" s="33"/>
      <c r="F45" s="33"/>
      <c r="G45" s="33"/>
    </row>
    <row r="46" spans="1:11" x14ac:dyDescent="0.25">
      <c r="A46" s="33"/>
      <c r="B46" s="33"/>
      <c r="C46" s="33"/>
      <c r="D46" s="33"/>
      <c r="E46" s="33"/>
      <c r="F46" s="33"/>
      <c r="G46" s="33"/>
    </row>
    <row r="47" spans="1:11" x14ac:dyDescent="0.25">
      <c r="A47" s="33"/>
      <c r="B47" s="33"/>
      <c r="C47" s="33"/>
      <c r="D47" s="33"/>
      <c r="E47" s="33"/>
      <c r="F47" s="33"/>
      <c r="G47" s="33"/>
    </row>
    <row r="48" spans="1:11" x14ac:dyDescent="0.25">
      <c r="A48" s="33"/>
      <c r="B48" s="33"/>
      <c r="C48" s="33"/>
      <c r="D48" s="33"/>
      <c r="E48" s="33"/>
      <c r="F48" s="33"/>
      <c r="G48" s="33"/>
    </row>
  </sheetData>
  <mergeCells count="16">
    <mergeCell ref="A7:B7"/>
    <mergeCell ref="A1:E1"/>
    <mergeCell ref="A3:B3"/>
    <mergeCell ref="A4:B4"/>
    <mergeCell ref="A5:B5"/>
    <mergeCell ref="A6:B6"/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topLeftCell="A13" zoomScaleNormal="100" workbookViewId="0">
      <selection activeCell="S31" sqref="S3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tr">
        <f>'[1]NP DPBS'!D5</f>
        <v>747 - DIRECCION PROVINCIAL BANCO DE SANGRE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tr">
        <f>'[1]NP DPBS'!D6</f>
        <v>747 - DIRECCION PROVINCIAL BANCO DE SANGRE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42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8">
        <v>27</v>
      </c>
      <c r="B15" s="179"/>
      <c r="C15" s="179"/>
      <c r="D15" s="179">
        <v>1</v>
      </c>
      <c r="E15" s="179"/>
      <c r="F15" s="179">
        <v>4901</v>
      </c>
      <c r="G15" s="179">
        <v>3</v>
      </c>
      <c r="H15" s="179">
        <v>1</v>
      </c>
      <c r="I15" s="179">
        <v>2</v>
      </c>
      <c r="J15" s="179">
        <v>9</v>
      </c>
      <c r="K15" s="179">
        <v>1</v>
      </c>
      <c r="L15" s="179"/>
      <c r="M15" s="180">
        <v>1</v>
      </c>
      <c r="N15" s="179" t="s">
        <v>203</v>
      </c>
      <c r="O15" s="260" t="s">
        <v>50</v>
      </c>
      <c r="P15" s="260"/>
      <c r="Q15" s="151">
        <v>109200</v>
      </c>
    </row>
    <row r="16" spans="1:17" x14ac:dyDescent="0.25">
      <c r="A16" s="177">
        <v>27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1" t="s">
        <v>222</v>
      </c>
      <c r="P16" s="249"/>
      <c r="Q16" s="156">
        <v>7100</v>
      </c>
    </row>
    <row r="17" spans="1:17" x14ac:dyDescent="0.25">
      <c r="A17" s="177">
        <v>27</v>
      </c>
      <c r="B17" s="177"/>
      <c r="C17" s="177"/>
      <c r="D17" s="177">
        <v>1</v>
      </c>
      <c r="E17" s="177"/>
      <c r="F17" s="177">
        <v>4901</v>
      </c>
      <c r="G17" s="177">
        <v>3</v>
      </c>
      <c r="H17" s="177">
        <v>1</v>
      </c>
      <c r="I17" s="177">
        <v>2</v>
      </c>
      <c r="J17" s="177">
        <v>5</v>
      </c>
      <c r="K17" s="177">
        <v>4</v>
      </c>
      <c r="L17" s="177"/>
      <c r="M17" s="177">
        <v>1</v>
      </c>
      <c r="N17" s="177" t="s">
        <v>203</v>
      </c>
      <c r="O17" s="262" t="s">
        <v>223</v>
      </c>
      <c r="P17" s="263"/>
      <c r="Q17" s="156">
        <v>11560</v>
      </c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3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0"/>
      <c r="P36" s="250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1"/>
      <c r="P37" s="251"/>
      <c r="Q37" s="165"/>
    </row>
    <row r="38" spans="1:17" ht="15.75" thickBot="1" x14ac:dyDescent="0.3">
      <c r="A38" s="252" t="s">
        <v>227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166">
        <f>SUM(Q15:Q37)</f>
        <v>127860</v>
      </c>
    </row>
    <row r="39" spans="1:17" ht="15.75" thickBot="1" x14ac:dyDescent="0.3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46" t="s">
        <v>204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">
        <v>206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topLeftCell="A22" zoomScaleNormal="100" workbookViewId="0">
      <selection activeCell="K6" sqref="K6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5" t="s">
        <v>166</v>
      </c>
      <c r="B3" s="245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43" t="s">
        <v>167</v>
      </c>
      <c r="B4" s="243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43" t="s">
        <v>168</v>
      </c>
      <c r="B5" s="243"/>
      <c r="C5" s="108" t="s">
        <v>205</v>
      </c>
      <c r="D5" s="109"/>
      <c r="E5" s="109"/>
      <c r="F5" s="109"/>
      <c r="G5" s="110"/>
    </row>
    <row r="6" spans="1:11" ht="16.5" thickBot="1" x14ac:dyDescent="0.3">
      <c r="A6" s="245" t="s">
        <v>170</v>
      </c>
      <c r="B6" s="245"/>
      <c r="C6" s="108" t="s">
        <v>205</v>
      </c>
      <c r="D6" s="109"/>
      <c r="E6" s="109"/>
      <c r="F6" s="109"/>
      <c r="G6" s="110"/>
    </row>
    <row r="7" spans="1:11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1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2" t="s">
        <v>174</v>
      </c>
      <c r="B10" s="240" t="s">
        <v>175</v>
      </c>
      <c r="C10" s="240" t="s">
        <v>11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1" ht="27" customHeight="1" x14ac:dyDescent="0.25">
      <c r="A11" s="242"/>
      <c r="B11" s="240"/>
      <c r="C11" s="240"/>
      <c r="D11" s="240"/>
      <c r="E11" s="240"/>
      <c r="F11" s="240"/>
      <c r="G11" s="240"/>
    </row>
    <row r="12" spans="1:11" ht="33" customHeight="1" x14ac:dyDescent="0.25">
      <c r="A12" s="170">
        <v>1</v>
      </c>
      <c r="B12" s="219" t="s">
        <v>52</v>
      </c>
      <c r="C12" s="220" t="s">
        <v>54</v>
      </c>
      <c r="D12" s="170" t="s">
        <v>180</v>
      </c>
      <c r="E12" s="219" t="s">
        <v>51</v>
      </c>
      <c r="F12" s="221">
        <v>1200</v>
      </c>
      <c r="G12" s="222">
        <v>3</v>
      </c>
      <c r="H12" s="212">
        <f>+F12*G12</f>
        <v>3600</v>
      </c>
      <c r="I12" s="215"/>
      <c r="J12" s="214"/>
      <c r="K12" s="214"/>
    </row>
    <row r="13" spans="1:11" s="33" customFormat="1" ht="19.5" customHeight="1" x14ac:dyDescent="0.25">
      <c r="A13" s="170">
        <v>2</v>
      </c>
      <c r="B13" s="171" t="s">
        <v>107</v>
      </c>
      <c r="C13" s="168" t="s">
        <v>108</v>
      </c>
      <c r="D13" s="170" t="s">
        <v>180</v>
      </c>
      <c r="E13" s="172" t="s">
        <v>49</v>
      </c>
      <c r="F13" s="223">
        <v>650</v>
      </c>
      <c r="G13" s="173">
        <v>3</v>
      </c>
      <c r="H13" s="212">
        <f t="shared" ref="H13:H29" si="0">+F13*G13</f>
        <v>1950</v>
      </c>
      <c r="I13" s="215"/>
      <c r="J13" s="214"/>
      <c r="K13" s="214"/>
    </row>
    <row r="14" spans="1:11" s="33" customFormat="1" ht="47.25" customHeight="1" x14ac:dyDescent="0.25">
      <c r="A14" s="170">
        <v>3</v>
      </c>
      <c r="B14" s="174" t="s">
        <v>55</v>
      </c>
      <c r="C14" s="168" t="s">
        <v>56</v>
      </c>
      <c r="D14" s="170" t="s">
        <v>180</v>
      </c>
      <c r="E14" s="174" t="s">
        <v>57</v>
      </c>
      <c r="F14" s="175">
        <v>650</v>
      </c>
      <c r="G14" s="173">
        <v>7</v>
      </c>
      <c r="H14" s="212">
        <f t="shared" si="0"/>
        <v>4550</v>
      </c>
      <c r="I14" s="215"/>
      <c r="J14" s="214"/>
      <c r="K14" s="214"/>
    </row>
    <row r="15" spans="1:11" s="33" customFormat="1" ht="51" customHeight="1" x14ac:dyDescent="0.25">
      <c r="A15" s="170">
        <v>4</v>
      </c>
      <c r="B15" s="172" t="s">
        <v>58</v>
      </c>
      <c r="C15" s="168" t="s">
        <v>59</v>
      </c>
      <c r="D15" s="170" t="s">
        <v>180</v>
      </c>
      <c r="E15" s="174" t="s">
        <v>57</v>
      </c>
      <c r="F15" s="175">
        <v>100</v>
      </c>
      <c r="G15" s="173">
        <v>7</v>
      </c>
      <c r="H15" s="212">
        <f t="shared" si="0"/>
        <v>700</v>
      </c>
      <c r="I15" s="215"/>
      <c r="J15" s="214"/>
      <c r="K15" s="214"/>
    </row>
    <row r="16" spans="1:11" s="33" customFormat="1" ht="21" customHeight="1" x14ac:dyDescent="0.25">
      <c r="A16" s="170">
        <v>5</v>
      </c>
      <c r="B16" s="172" t="s">
        <v>60</v>
      </c>
      <c r="C16" s="168" t="s">
        <v>61</v>
      </c>
      <c r="D16" s="170" t="s">
        <v>180</v>
      </c>
      <c r="E16" s="174" t="s">
        <v>49</v>
      </c>
      <c r="F16" s="175">
        <v>386</v>
      </c>
      <c r="G16" s="173">
        <v>3</v>
      </c>
      <c r="H16" s="212">
        <f t="shared" si="0"/>
        <v>1158</v>
      </c>
      <c r="I16" s="215"/>
      <c r="J16" s="214"/>
      <c r="K16" s="214"/>
    </row>
    <row r="17" spans="1:11" s="33" customFormat="1" ht="51" customHeight="1" x14ac:dyDescent="0.25">
      <c r="A17" s="170">
        <v>6</v>
      </c>
      <c r="B17" s="172" t="s">
        <v>62</v>
      </c>
      <c r="C17" s="168" t="s">
        <v>63</v>
      </c>
      <c r="D17" s="170" t="s">
        <v>180</v>
      </c>
      <c r="E17" s="174" t="s">
        <v>49</v>
      </c>
      <c r="F17" s="176">
        <v>290</v>
      </c>
      <c r="G17" s="173">
        <v>10</v>
      </c>
      <c r="H17" s="212">
        <f t="shared" si="0"/>
        <v>2900</v>
      </c>
      <c r="I17" s="215"/>
      <c r="J17" s="214"/>
      <c r="K17" s="214"/>
    </row>
    <row r="18" spans="1:11" s="33" customFormat="1" ht="22.5" customHeight="1" x14ac:dyDescent="0.25">
      <c r="A18" s="170">
        <v>7</v>
      </c>
      <c r="B18" s="171" t="s">
        <v>64</v>
      </c>
      <c r="C18" s="168" t="s">
        <v>65</v>
      </c>
      <c r="D18" s="170" t="s">
        <v>180</v>
      </c>
      <c r="E18" s="172" t="s">
        <v>49</v>
      </c>
      <c r="F18" s="176">
        <v>80</v>
      </c>
      <c r="G18" s="173">
        <v>5</v>
      </c>
      <c r="H18" s="212">
        <f t="shared" si="0"/>
        <v>400</v>
      </c>
      <c r="I18" s="215"/>
      <c r="J18" s="214"/>
      <c r="K18" s="214"/>
    </row>
    <row r="19" spans="1:11" s="33" customFormat="1" ht="67.5" customHeight="1" x14ac:dyDescent="0.25">
      <c r="A19" s="170">
        <v>8</v>
      </c>
      <c r="B19" s="171" t="s">
        <v>66</v>
      </c>
      <c r="C19" s="168" t="s">
        <v>67</v>
      </c>
      <c r="D19" s="170" t="s">
        <v>180</v>
      </c>
      <c r="E19" s="172" t="s">
        <v>49</v>
      </c>
      <c r="F19" s="176">
        <v>120</v>
      </c>
      <c r="G19" s="173">
        <v>5</v>
      </c>
      <c r="H19" s="212">
        <f t="shared" si="0"/>
        <v>600</v>
      </c>
      <c r="I19" s="215"/>
      <c r="J19" s="214"/>
      <c r="K19" s="214"/>
    </row>
    <row r="20" spans="1:11" s="33" customFormat="1" ht="22.5" customHeight="1" x14ac:dyDescent="0.25">
      <c r="A20" s="170">
        <v>9</v>
      </c>
      <c r="B20" s="171" t="s">
        <v>68</v>
      </c>
      <c r="C20" s="168" t="s">
        <v>69</v>
      </c>
      <c r="D20" s="170" t="s">
        <v>180</v>
      </c>
      <c r="E20" s="172" t="s">
        <v>49</v>
      </c>
      <c r="F20" s="175">
        <v>250</v>
      </c>
      <c r="G20" s="173">
        <v>10</v>
      </c>
      <c r="H20" s="212">
        <f t="shared" si="0"/>
        <v>2500</v>
      </c>
      <c r="I20" s="215"/>
      <c r="J20" s="214"/>
      <c r="K20" s="214"/>
    </row>
    <row r="21" spans="1:11" s="33" customFormat="1" ht="21" customHeight="1" x14ac:dyDescent="0.25">
      <c r="A21" s="170">
        <v>10</v>
      </c>
      <c r="B21" s="174" t="s">
        <v>70</v>
      </c>
      <c r="C21" s="168" t="s">
        <v>71</v>
      </c>
      <c r="D21" s="170" t="s">
        <v>180</v>
      </c>
      <c r="E21" s="174" t="s">
        <v>72</v>
      </c>
      <c r="F21" s="176">
        <v>350</v>
      </c>
      <c r="G21" s="173">
        <v>10</v>
      </c>
      <c r="H21" s="212">
        <f t="shared" si="0"/>
        <v>3500</v>
      </c>
      <c r="I21" s="215"/>
      <c r="J21" s="214"/>
      <c r="K21" s="214"/>
    </row>
    <row r="22" spans="1:11" s="33" customFormat="1" ht="33.75" customHeight="1" x14ac:dyDescent="0.25">
      <c r="A22" s="170">
        <v>11</v>
      </c>
      <c r="B22" s="172" t="s">
        <v>75</v>
      </c>
      <c r="C22" s="168" t="s">
        <v>76</v>
      </c>
      <c r="D22" s="170" t="s">
        <v>180</v>
      </c>
      <c r="E22" s="174" t="s">
        <v>51</v>
      </c>
      <c r="F22" s="175">
        <v>650</v>
      </c>
      <c r="G22" s="173">
        <v>10</v>
      </c>
      <c r="H22" s="212">
        <f t="shared" si="0"/>
        <v>6500</v>
      </c>
      <c r="I22" s="215"/>
      <c r="J22" s="214"/>
      <c r="K22" s="214"/>
    </row>
    <row r="23" spans="1:11" ht="33.75" customHeight="1" x14ac:dyDescent="0.25">
      <c r="A23" s="170">
        <v>12</v>
      </c>
      <c r="B23" s="174" t="s">
        <v>77</v>
      </c>
      <c r="C23" s="168" t="s">
        <v>78</v>
      </c>
      <c r="D23" s="170" t="s">
        <v>180</v>
      </c>
      <c r="E23" s="174" t="s">
        <v>49</v>
      </c>
      <c r="F23" s="175">
        <v>400</v>
      </c>
      <c r="G23" s="173">
        <v>5</v>
      </c>
      <c r="H23" s="212">
        <f t="shared" si="0"/>
        <v>2000</v>
      </c>
      <c r="I23" s="215"/>
      <c r="J23" s="214"/>
      <c r="K23" s="214"/>
    </row>
    <row r="24" spans="1:11" ht="33.75" customHeight="1" x14ac:dyDescent="0.25">
      <c r="A24" s="170">
        <v>13</v>
      </c>
      <c r="B24" s="174" t="s">
        <v>79</v>
      </c>
      <c r="C24" s="168" t="s">
        <v>80</v>
      </c>
      <c r="D24" s="170" t="s">
        <v>180</v>
      </c>
      <c r="E24" s="174" t="s">
        <v>51</v>
      </c>
      <c r="F24" s="175">
        <v>300</v>
      </c>
      <c r="G24" s="173">
        <v>10</v>
      </c>
      <c r="H24" s="212">
        <f t="shared" si="0"/>
        <v>3000</v>
      </c>
      <c r="I24" s="215"/>
      <c r="J24" s="214"/>
      <c r="K24" s="214"/>
    </row>
    <row r="25" spans="1:11" ht="38.25" customHeight="1" x14ac:dyDescent="0.25">
      <c r="A25" s="170">
        <v>14</v>
      </c>
      <c r="B25" s="172" t="s">
        <v>81</v>
      </c>
      <c r="C25" s="168" t="s">
        <v>82</v>
      </c>
      <c r="D25" s="170" t="s">
        <v>180</v>
      </c>
      <c r="E25" s="174" t="s">
        <v>49</v>
      </c>
      <c r="F25" s="175">
        <v>290</v>
      </c>
      <c r="G25" s="173">
        <v>5</v>
      </c>
      <c r="H25" s="212">
        <f t="shared" si="0"/>
        <v>1450</v>
      </c>
      <c r="I25" s="215"/>
      <c r="J25" s="214"/>
      <c r="K25" s="214"/>
    </row>
    <row r="26" spans="1:11" ht="36" customHeight="1" x14ac:dyDescent="0.25">
      <c r="A26" s="170">
        <v>15</v>
      </c>
      <c r="B26" s="172" t="s">
        <v>83</v>
      </c>
      <c r="C26" s="168" t="s">
        <v>84</v>
      </c>
      <c r="D26" s="170" t="s">
        <v>180</v>
      </c>
      <c r="E26" s="174" t="s">
        <v>49</v>
      </c>
      <c r="F26" s="175">
        <v>450</v>
      </c>
      <c r="G26" s="173">
        <v>8</v>
      </c>
      <c r="H26" s="212">
        <f t="shared" si="0"/>
        <v>3600</v>
      </c>
      <c r="I26" s="215"/>
      <c r="J26" s="212">
        <f>+H12+H13+H14+H15+H16+H17+H18+H19+H20+H21+H22+H23+H24+H25+H26+H28+H29</f>
        <v>40183</v>
      </c>
      <c r="K26" s="214"/>
    </row>
    <row r="27" spans="1:11" s="33" customFormat="1" ht="51" customHeight="1" x14ac:dyDescent="0.25">
      <c r="A27" s="170">
        <v>16</v>
      </c>
      <c r="B27" s="172" t="s">
        <v>88</v>
      </c>
      <c r="C27" s="168" t="s">
        <v>89</v>
      </c>
      <c r="D27" s="170" t="s">
        <v>180</v>
      </c>
      <c r="E27" s="174" t="s">
        <v>57</v>
      </c>
      <c r="F27" s="175">
        <v>350</v>
      </c>
      <c r="G27" s="173">
        <v>30</v>
      </c>
      <c r="H27" s="212">
        <f t="shared" si="0"/>
        <v>10500</v>
      </c>
      <c r="I27" s="215"/>
      <c r="J27" s="212">
        <f>+H27</f>
        <v>10500</v>
      </c>
      <c r="K27" s="214"/>
    </row>
    <row r="28" spans="1:11" ht="23.25" customHeight="1" x14ac:dyDescent="0.25">
      <c r="A28" s="170">
        <v>17</v>
      </c>
      <c r="B28" s="172" t="s">
        <v>94</v>
      </c>
      <c r="C28" s="168" t="s">
        <v>95</v>
      </c>
      <c r="D28" s="170" t="s">
        <v>180</v>
      </c>
      <c r="E28" s="174" t="s">
        <v>49</v>
      </c>
      <c r="F28" s="176">
        <v>120</v>
      </c>
      <c r="G28" s="173">
        <v>10</v>
      </c>
      <c r="H28" s="212">
        <f t="shared" si="0"/>
        <v>1200</v>
      </c>
      <c r="I28" s="215"/>
      <c r="J28" s="211"/>
      <c r="K28" s="211"/>
    </row>
    <row r="29" spans="1:11" ht="31.5" customHeight="1" x14ac:dyDescent="0.25">
      <c r="A29" s="170">
        <v>18</v>
      </c>
      <c r="B29" s="172" t="s">
        <v>96</v>
      </c>
      <c r="C29" s="168" t="s">
        <v>97</v>
      </c>
      <c r="D29" s="170" t="s">
        <v>180</v>
      </c>
      <c r="E29" s="174" t="s">
        <v>49</v>
      </c>
      <c r="F29" s="175">
        <v>115</v>
      </c>
      <c r="G29" s="173">
        <v>5</v>
      </c>
      <c r="H29" s="212">
        <f t="shared" si="0"/>
        <v>575</v>
      </c>
      <c r="I29" s="215"/>
      <c r="J29" s="211"/>
      <c r="K29" s="211"/>
    </row>
    <row r="30" spans="1:11" ht="28.5" customHeight="1" x14ac:dyDescent="0.25">
      <c r="A30" s="238" t="s">
        <v>207</v>
      </c>
      <c r="B30" s="238"/>
      <c r="C30" s="238"/>
      <c r="D30" s="238"/>
      <c r="E30" s="238"/>
      <c r="F30" s="239">
        <f>+H12+H13+H14+H15+H16+H17+H18+H19+H20+H21+H22+H23+H24+H25+H26+H27+H28+H29</f>
        <v>50683</v>
      </c>
      <c r="G30" s="239"/>
      <c r="H30" s="211"/>
      <c r="I30" s="211"/>
      <c r="J30" s="211"/>
      <c r="K30" s="211"/>
    </row>
    <row r="31" spans="1:11" x14ac:dyDescent="0.25">
      <c r="A31" s="33"/>
      <c r="B31" s="33"/>
      <c r="C31" s="33"/>
      <c r="D31" s="33"/>
      <c r="E31" s="33"/>
      <c r="F31" s="33"/>
      <c r="G31" s="33"/>
    </row>
  </sheetData>
  <mergeCells count="16">
    <mergeCell ref="A7:B7"/>
    <mergeCell ref="A1:E1"/>
    <mergeCell ref="A3:B3"/>
    <mergeCell ref="A4:B4"/>
    <mergeCell ref="A5:B5"/>
    <mergeCell ref="A6:B6"/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zoomScaleNormal="100" workbookViewId="0">
      <selection activeCell="S20" sqref="S20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205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205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40.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47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2" t="s">
        <v>50</v>
      </c>
      <c r="P15" s="260"/>
      <c r="Q15" s="151">
        <v>40183</v>
      </c>
    </row>
    <row r="16" spans="1:17" x14ac:dyDescent="0.25">
      <c r="A16" s="177">
        <v>47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73" t="s">
        <v>222</v>
      </c>
      <c r="P16" s="261"/>
      <c r="Q16" s="156">
        <v>10500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5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0"/>
      <c r="P36" s="250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1"/>
      <c r="P37" s="251"/>
      <c r="Q37" s="165"/>
    </row>
    <row r="38" spans="1:17" ht="15.75" thickBot="1" x14ac:dyDescent="0.3">
      <c r="A38" s="252" t="s">
        <v>208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166">
        <f>SUM(Q15:Q37)</f>
        <v>50683</v>
      </c>
    </row>
    <row r="39" spans="1:17" ht="15.75" thickBot="1" x14ac:dyDescent="0.3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46" t="s">
        <v>204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">
        <v>206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8"/>
  <sheetViews>
    <sheetView topLeftCell="A10" zoomScaleNormal="100" workbookViewId="0">
      <selection activeCell="L16" sqref="L16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9" ht="16.5" thickBot="1" x14ac:dyDescent="0.3">
      <c r="A2" s="104"/>
      <c r="B2" s="105"/>
      <c r="C2" s="106"/>
      <c r="D2" s="106"/>
      <c r="E2" s="106"/>
      <c r="F2" s="106"/>
      <c r="G2" s="107"/>
    </row>
    <row r="3" spans="1:9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9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9" ht="16.5" thickBot="1" x14ac:dyDescent="0.3">
      <c r="A5" s="243" t="s">
        <v>168</v>
      </c>
      <c r="B5" s="243"/>
      <c r="C5" s="108" t="s">
        <v>210</v>
      </c>
      <c r="D5" s="109"/>
      <c r="E5" s="109"/>
      <c r="F5" s="109"/>
      <c r="G5" s="110"/>
    </row>
    <row r="6" spans="1:9" ht="16.5" thickBot="1" x14ac:dyDescent="0.3">
      <c r="A6" s="245" t="s">
        <v>170</v>
      </c>
      <c r="B6" s="245"/>
      <c r="C6" s="108" t="s">
        <v>210</v>
      </c>
      <c r="D6" s="109"/>
      <c r="E6" s="109"/>
      <c r="F6" s="109"/>
      <c r="G6" s="110"/>
    </row>
    <row r="7" spans="1:9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9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9" ht="15.75" x14ac:dyDescent="0.25">
      <c r="A9" s="112"/>
      <c r="B9" s="113"/>
      <c r="C9" s="114"/>
      <c r="D9" s="114"/>
      <c r="E9" s="114"/>
      <c r="F9" s="114"/>
      <c r="G9" s="115"/>
    </row>
    <row r="10" spans="1:9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9" ht="27" customHeight="1" x14ac:dyDescent="0.25">
      <c r="A11" s="242"/>
      <c r="B11" s="240"/>
      <c r="C11" s="240"/>
      <c r="D11" s="240"/>
      <c r="E11" s="240"/>
      <c r="F11" s="240"/>
      <c r="G11" s="240"/>
    </row>
    <row r="12" spans="1:9" ht="18" customHeight="1" x14ac:dyDescent="0.25">
      <c r="A12" s="116">
        <v>1</v>
      </c>
      <c r="B12" s="76" t="s">
        <v>107</v>
      </c>
      <c r="C12" s="77" t="s">
        <v>108</v>
      </c>
      <c r="D12" s="183" t="s">
        <v>180</v>
      </c>
      <c r="E12" s="64" t="s">
        <v>49</v>
      </c>
      <c r="F12" s="118">
        <v>650</v>
      </c>
      <c r="G12" s="62">
        <v>1</v>
      </c>
      <c r="H12" s="213">
        <f>+G12*F12</f>
        <v>650</v>
      </c>
      <c r="I12" s="211"/>
    </row>
    <row r="13" spans="1:9" x14ac:dyDescent="0.25">
      <c r="A13" s="116">
        <v>2</v>
      </c>
      <c r="B13" s="47" t="s">
        <v>60</v>
      </c>
      <c r="C13" s="57" t="s">
        <v>61</v>
      </c>
      <c r="D13" s="183" t="s">
        <v>180</v>
      </c>
      <c r="E13" s="56" t="s">
        <v>49</v>
      </c>
      <c r="F13" s="67">
        <v>386</v>
      </c>
      <c r="G13" s="62">
        <v>1</v>
      </c>
      <c r="H13" s="213">
        <f t="shared" ref="H13:H26" si="0">+G13*F13</f>
        <v>386</v>
      </c>
      <c r="I13" s="211"/>
    </row>
    <row r="14" spans="1:9" ht="25.5" x14ac:dyDescent="0.25">
      <c r="A14" s="116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13">
        <f t="shared" si="0"/>
        <v>2900</v>
      </c>
      <c r="I14" s="211"/>
    </row>
    <row r="15" spans="1:9" ht="38.25" x14ac:dyDescent="0.25">
      <c r="A15" s="116">
        <v>4</v>
      </c>
      <c r="B15" s="76" t="s">
        <v>66</v>
      </c>
      <c r="C15" s="77" t="s">
        <v>67</v>
      </c>
      <c r="D15" s="183" t="s">
        <v>180</v>
      </c>
      <c r="E15" s="64" t="s">
        <v>49</v>
      </c>
      <c r="F15" s="75">
        <v>120</v>
      </c>
      <c r="G15" s="62">
        <v>10</v>
      </c>
      <c r="H15" s="213">
        <f t="shared" si="0"/>
        <v>1200</v>
      </c>
      <c r="I15" s="211"/>
    </row>
    <row r="16" spans="1:9" x14ac:dyDescent="0.25">
      <c r="A16" s="116">
        <v>5</v>
      </c>
      <c r="B16" s="27" t="s">
        <v>70</v>
      </c>
      <c r="C16" s="57" t="s">
        <v>71</v>
      </c>
      <c r="D16" s="183" t="s">
        <v>180</v>
      </c>
      <c r="E16" s="56" t="s">
        <v>72</v>
      </c>
      <c r="F16" s="75">
        <v>350</v>
      </c>
      <c r="G16" s="62">
        <v>5</v>
      </c>
      <c r="H16" s="213">
        <f t="shared" si="0"/>
        <v>1750</v>
      </c>
      <c r="I16" s="211"/>
    </row>
    <row r="17" spans="1:9" ht="25.5" x14ac:dyDescent="0.25">
      <c r="A17" s="116">
        <v>6</v>
      </c>
      <c r="B17" s="81" t="s">
        <v>75</v>
      </c>
      <c r="C17" s="57" t="s">
        <v>76</v>
      </c>
      <c r="D17" s="183" t="s">
        <v>180</v>
      </c>
      <c r="E17" s="56" t="s">
        <v>51</v>
      </c>
      <c r="F17" s="67">
        <v>650</v>
      </c>
      <c r="G17" s="62">
        <v>5</v>
      </c>
      <c r="H17" s="213">
        <f t="shared" si="0"/>
        <v>3250</v>
      </c>
      <c r="I17" s="211"/>
    </row>
    <row r="18" spans="1:9" x14ac:dyDescent="0.25">
      <c r="A18" s="116">
        <v>7</v>
      </c>
      <c r="B18" s="82" t="s">
        <v>79</v>
      </c>
      <c r="C18" s="57" t="s">
        <v>80</v>
      </c>
      <c r="D18" s="183" t="s">
        <v>180</v>
      </c>
      <c r="E18" s="56" t="s">
        <v>51</v>
      </c>
      <c r="F18" s="67">
        <v>300</v>
      </c>
      <c r="G18" s="62">
        <v>1</v>
      </c>
      <c r="H18" s="213">
        <f t="shared" si="0"/>
        <v>300</v>
      </c>
      <c r="I18" s="211"/>
    </row>
    <row r="19" spans="1:9" x14ac:dyDescent="0.25">
      <c r="A19" s="116">
        <v>8</v>
      </c>
      <c r="B19" s="47" t="s">
        <v>90</v>
      </c>
      <c r="C19" s="57" t="s">
        <v>91</v>
      </c>
      <c r="D19" s="183" t="s">
        <v>180</v>
      </c>
      <c r="E19" s="56" t="s">
        <v>49</v>
      </c>
      <c r="F19" s="67">
        <v>400</v>
      </c>
      <c r="G19" s="62">
        <v>3</v>
      </c>
      <c r="H19" s="213">
        <f t="shared" si="0"/>
        <v>1200</v>
      </c>
      <c r="I19" s="211"/>
    </row>
    <row r="20" spans="1:9" x14ac:dyDescent="0.25">
      <c r="A20" s="116">
        <v>9</v>
      </c>
      <c r="B20" s="47" t="s">
        <v>94</v>
      </c>
      <c r="C20" s="77" t="s">
        <v>95</v>
      </c>
      <c r="D20" s="183" t="s">
        <v>180</v>
      </c>
      <c r="E20" s="56" t="s">
        <v>49</v>
      </c>
      <c r="F20" s="75">
        <v>120</v>
      </c>
      <c r="G20" s="62">
        <v>3</v>
      </c>
      <c r="H20" s="213">
        <f t="shared" si="0"/>
        <v>360</v>
      </c>
      <c r="I20" s="211"/>
    </row>
    <row r="21" spans="1:9" ht="25.5" x14ac:dyDescent="0.25">
      <c r="A21" s="116">
        <v>10</v>
      </c>
      <c r="B21" s="47" t="s">
        <v>96</v>
      </c>
      <c r="C21" s="77" t="s">
        <v>97</v>
      </c>
      <c r="D21" s="183" t="s">
        <v>180</v>
      </c>
      <c r="E21" s="56" t="s">
        <v>49</v>
      </c>
      <c r="F21" s="67">
        <v>115</v>
      </c>
      <c r="G21" s="62">
        <v>3</v>
      </c>
      <c r="H21" s="213">
        <f t="shared" si="0"/>
        <v>345</v>
      </c>
      <c r="I21" s="211"/>
    </row>
    <row r="22" spans="1:9" ht="38.25" x14ac:dyDescent="0.25">
      <c r="A22" s="116">
        <v>11</v>
      </c>
      <c r="B22" s="84" t="s">
        <v>133</v>
      </c>
      <c r="C22" s="85" t="s">
        <v>134</v>
      </c>
      <c r="D22" s="183" t="s">
        <v>180</v>
      </c>
      <c r="E22" s="47" t="s">
        <v>49</v>
      </c>
      <c r="F22" s="86">
        <v>800</v>
      </c>
      <c r="G22" s="62">
        <v>2</v>
      </c>
      <c r="H22" s="213">
        <f t="shared" si="0"/>
        <v>1600</v>
      </c>
      <c r="I22" s="211"/>
    </row>
    <row r="23" spans="1:9" s="33" customFormat="1" ht="25.5" x14ac:dyDescent="0.25">
      <c r="A23" s="116">
        <v>12</v>
      </c>
      <c r="B23" s="84" t="s">
        <v>122</v>
      </c>
      <c r="C23" s="85" t="s">
        <v>123</v>
      </c>
      <c r="D23" s="183" t="s">
        <v>180</v>
      </c>
      <c r="E23" s="47" t="s">
        <v>49</v>
      </c>
      <c r="F23" s="86">
        <v>180</v>
      </c>
      <c r="G23" s="62">
        <v>20</v>
      </c>
      <c r="H23" s="213">
        <f t="shared" si="0"/>
        <v>3600</v>
      </c>
      <c r="I23" s="211"/>
    </row>
    <row r="24" spans="1:9" s="33" customFormat="1" ht="38.25" x14ac:dyDescent="0.25">
      <c r="A24" s="116">
        <v>13</v>
      </c>
      <c r="B24" s="84" t="s">
        <v>124</v>
      </c>
      <c r="C24" s="85" t="s">
        <v>125</v>
      </c>
      <c r="D24" s="183" t="s">
        <v>180</v>
      </c>
      <c r="E24" s="47" t="s">
        <v>49</v>
      </c>
      <c r="F24" s="86">
        <v>780</v>
      </c>
      <c r="G24" s="62">
        <v>3</v>
      </c>
      <c r="H24" s="213">
        <f t="shared" si="0"/>
        <v>2340</v>
      </c>
      <c r="I24" s="211"/>
    </row>
    <row r="25" spans="1:9" s="33" customFormat="1" ht="25.5" x14ac:dyDescent="0.25">
      <c r="A25" s="116">
        <v>14</v>
      </c>
      <c r="B25" s="84" t="s">
        <v>126</v>
      </c>
      <c r="C25" s="85" t="s">
        <v>128</v>
      </c>
      <c r="D25" s="183" t="s">
        <v>180</v>
      </c>
      <c r="E25" s="199" t="s">
        <v>49</v>
      </c>
      <c r="F25" s="200">
        <v>290</v>
      </c>
      <c r="G25" s="197">
        <v>5</v>
      </c>
      <c r="H25" s="213">
        <f t="shared" si="0"/>
        <v>1450</v>
      </c>
      <c r="I25" s="211"/>
    </row>
    <row r="26" spans="1:9" ht="25.5" x14ac:dyDescent="0.25">
      <c r="A26" s="116">
        <v>15</v>
      </c>
      <c r="B26" s="84" t="s">
        <v>127</v>
      </c>
      <c r="C26" s="85" t="s">
        <v>129</v>
      </c>
      <c r="D26" s="183" t="s">
        <v>180</v>
      </c>
      <c r="E26" s="47" t="s">
        <v>49</v>
      </c>
      <c r="F26" s="86">
        <v>1300</v>
      </c>
      <c r="G26" s="62">
        <v>1</v>
      </c>
      <c r="H26" s="213">
        <f t="shared" si="0"/>
        <v>1300</v>
      </c>
      <c r="I26" s="211"/>
    </row>
    <row r="27" spans="1:9" ht="45.75" customHeight="1" x14ac:dyDescent="0.25">
      <c r="A27" s="238" t="s">
        <v>228</v>
      </c>
      <c r="B27" s="238"/>
      <c r="C27" s="238"/>
      <c r="D27" s="238"/>
      <c r="E27" s="238"/>
      <c r="F27" s="239">
        <f>+H12+H13+H14+H15+H16+H17+H18+H19+H20+H21+H22+H23+H24+H25+H26</f>
        <v>22631</v>
      </c>
      <c r="G27" s="239"/>
      <c r="H27" s="211"/>
      <c r="I27" s="211"/>
    </row>
    <row r="28" spans="1:9" x14ac:dyDescent="0.25">
      <c r="A28" s="33"/>
      <c r="B28" s="33"/>
      <c r="C28" s="33"/>
      <c r="D28" s="33"/>
      <c r="E28" s="33"/>
      <c r="F28" s="33"/>
      <c r="G28" s="33"/>
    </row>
  </sheetData>
  <mergeCells count="16"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opLeftCell="A10" zoomScaleNormal="100" workbookViewId="0">
      <selection activeCell="V13" sqref="V13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210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210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39.7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ht="15" customHeight="1" x14ac:dyDescent="0.25">
      <c r="A15" s="177">
        <v>30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/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5" t="s">
        <v>50</v>
      </c>
      <c r="P15" s="276"/>
      <c r="Q15" s="151">
        <v>22631</v>
      </c>
    </row>
    <row r="16" spans="1:17" x14ac:dyDescent="0.25">
      <c r="A16" s="152"/>
      <c r="B16" s="153"/>
      <c r="C16" s="153"/>
      <c r="D16" s="153"/>
      <c r="E16" s="153"/>
      <c r="F16" s="177"/>
      <c r="G16" s="177"/>
      <c r="H16" s="153"/>
      <c r="I16" s="153"/>
      <c r="J16" s="153"/>
      <c r="K16" s="153"/>
      <c r="L16" s="153"/>
      <c r="M16" s="177"/>
      <c r="N16" s="181"/>
      <c r="O16" s="254"/>
      <c r="P16" s="254"/>
      <c r="Q16" s="156"/>
    </row>
    <row r="17" spans="1:17" x14ac:dyDescent="0.25">
      <c r="A17" s="152"/>
      <c r="B17" s="153"/>
      <c r="C17" s="153"/>
      <c r="D17" s="153"/>
      <c r="E17" s="153"/>
      <c r="F17" s="177"/>
      <c r="G17" s="177"/>
      <c r="H17" s="153"/>
      <c r="I17" s="153"/>
      <c r="J17" s="153"/>
      <c r="K17" s="153"/>
      <c r="L17" s="153"/>
      <c r="M17" s="177"/>
      <c r="N17" s="181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1"/>
      <c r="G30" s="153"/>
      <c r="H30" s="153"/>
      <c r="I30" s="153"/>
      <c r="J30" s="153"/>
      <c r="K30" s="153"/>
      <c r="L30" s="153"/>
      <c r="M30" s="154"/>
      <c r="N30" s="181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1"/>
      <c r="G33" s="153"/>
      <c r="H33" s="153"/>
      <c r="I33" s="153"/>
      <c r="J33" s="153"/>
      <c r="K33" s="153"/>
      <c r="L33" s="153"/>
      <c r="M33" s="154"/>
      <c r="N33" s="181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0"/>
      <c r="P34" s="250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1"/>
      <c r="P35" s="251"/>
      <c r="Q35" s="165"/>
    </row>
    <row r="36" spans="1:17" ht="15.75" thickBot="1" x14ac:dyDescent="0.3">
      <c r="A36" s="252" t="s">
        <v>229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166">
        <f>SUM(Q15:Q35)</f>
        <v>22631</v>
      </c>
    </row>
    <row r="37" spans="1:17" ht="15.75" thickBot="1" x14ac:dyDescent="0.3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</row>
    <row r="38" spans="1:17" ht="15.75" thickBot="1" x14ac:dyDescent="0.3">
      <c r="A38" s="246" t="s">
        <v>204</v>
      </c>
      <c r="B38" s="246"/>
      <c r="C38" s="246"/>
      <c r="D38" s="246"/>
      <c r="E38" s="246"/>
      <c r="F38" s="246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</row>
    <row r="39" spans="1:17" ht="15.75" thickBot="1" x14ac:dyDescent="0.3">
      <c r="A39" s="248" t="s">
        <v>206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topLeftCell="A13" zoomScale="120" zoomScaleNormal="120" workbookViewId="0">
      <selection activeCell="H36" sqref="H36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43" t="s">
        <v>168</v>
      </c>
      <c r="B5" s="243"/>
      <c r="C5" s="108" t="s">
        <v>211</v>
      </c>
      <c r="D5" s="109"/>
      <c r="E5" s="109"/>
      <c r="F5" s="109"/>
      <c r="G5" s="110"/>
    </row>
    <row r="6" spans="1:10" ht="16.5" thickBot="1" x14ac:dyDescent="0.3">
      <c r="A6" s="245" t="s">
        <v>170</v>
      </c>
      <c r="B6" s="245"/>
      <c r="C6" s="108" t="s">
        <v>212</v>
      </c>
      <c r="D6" s="109"/>
      <c r="E6" s="109"/>
      <c r="F6" s="109"/>
      <c r="G6" s="110"/>
    </row>
    <row r="7" spans="1:10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0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0" ht="32.25" customHeight="1" x14ac:dyDescent="0.25">
      <c r="A11" s="242"/>
      <c r="B11" s="240"/>
      <c r="C11" s="240"/>
      <c r="D11" s="240"/>
      <c r="E11" s="240"/>
      <c r="F11" s="240"/>
      <c r="G11" s="240"/>
    </row>
    <row r="12" spans="1:10" ht="38.25" customHeight="1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100</v>
      </c>
      <c r="H12" s="212">
        <f>F12*G12</f>
        <v>65000</v>
      </c>
      <c r="I12" s="214"/>
      <c r="J12" s="212">
        <f>+H12+H13+H14+H15+H17+H18+H19</f>
        <v>210100</v>
      </c>
    </row>
    <row r="13" spans="1:10" ht="38.25" customHeight="1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40</v>
      </c>
      <c r="H13" s="212">
        <f t="shared" ref="H13:H19" si="0">F13*G13</f>
        <v>4000</v>
      </c>
      <c r="I13" s="214"/>
      <c r="J13" s="214"/>
    </row>
    <row r="14" spans="1:10" ht="38.25" customHeight="1" x14ac:dyDescent="0.25">
      <c r="A14" s="190">
        <v>3</v>
      </c>
      <c r="B14" s="47" t="s">
        <v>62</v>
      </c>
      <c r="C14" s="57" t="s">
        <v>63</v>
      </c>
      <c r="D14" s="183" t="s">
        <v>180</v>
      </c>
      <c r="E14" s="56" t="s">
        <v>49</v>
      </c>
      <c r="F14" s="75">
        <v>290</v>
      </c>
      <c r="G14" s="62">
        <v>10</v>
      </c>
      <c r="H14" s="212">
        <f t="shared" si="0"/>
        <v>2900</v>
      </c>
      <c r="I14" s="214"/>
      <c r="J14" s="214"/>
    </row>
    <row r="15" spans="1:10" ht="25.5" x14ac:dyDescent="0.25">
      <c r="A15" s="190">
        <v>4</v>
      </c>
      <c r="B15" s="81" t="s">
        <v>75</v>
      </c>
      <c r="C15" s="57" t="s">
        <v>76</v>
      </c>
      <c r="D15" s="183" t="s">
        <v>180</v>
      </c>
      <c r="E15" s="56" t="s">
        <v>51</v>
      </c>
      <c r="F15" s="67">
        <v>650</v>
      </c>
      <c r="G15" s="62">
        <v>192</v>
      </c>
      <c r="H15" s="212">
        <f t="shared" si="0"/>
        <v>124800</v>
      </c>
      <c r="I15" s="214"/>
      <c r="J15" s="214"/>
    </row>
    <row r="16" spans="1:10" ht="51" x14ac:dyDescent="0.25">
      <c r="A16" s="190">
        <v>5</v>
      </c>
      <c r="B16" s="47" t="s">
        <v>88</v>
      </c>
      <c r="C16" s="57" t="s">
        <v>89</v>
      </c>
      <c r="D16" s="183" t="s">
        <v>180</v>
      </c>
      <c r="E16" s="56" t="s">
        <v>57</v>
      </c>
      <c r="F16" s="67">
        <v>350</v>
      </c>
      <c r="G16" s="62">
        <v>15</v>
      </c>
      <c r="H16" s="212">
        <f t="shared" si="0"/>
        <v>5250</v>
      </c>
      <c r="I16" s="214"/>
      <c r="J16" s="214"/>
    </row>
    <row r="17" spans="1:10" x14ac:dyDescent="0.25">
      <c r="A17" s="190">
        <v>6</v>
      </c>
      <c r="B17" s="47" t="s">
        <v>94</v>
      </c>
      <c r="C17" s="77" t="s">
        <v>95</v>
      </c>
      <c r="D17" s="183" t="s">
        <v>180</v>
      </c>
      <c r="E17" s="56" t="s">
        <v>49</v>
      </c>
      <c r="F17" s="75">
        <v>120</v>
      </c>
      <c r="G17" s="62">
        <v>40</v>
      </c>
      <c r="H17" s="212">
        <f t="shared" si="0"/>
        <v>4800</v>
      </c>
      <c r="I17" s="214"/>
      <c r="J17" s="214"/>
    </row>
    <row r="18" spans="1:10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2">
        <v>40</v>
      </c>
      <c r="H18" s="212">
        <f t="shared" si="0"/>
        <v>4600</v>
      </c>
      <c r="I18" s="214"/>
      <c r="J18" s="214"/>
    </row>
    <row r="19" spans="1:10" ht="38.25" customHeight="1" x14ac:dyDescent="0.25">
      <c r="A19" s="190">
        <v>8</v>
      </c>
      <c r="B19" s="84" t="s">
        <v>133</v>
      </c>
      <c r="C19" s="85" t="s">
        <v>134</v>
      </c>
      <c r="D19" s="183" t="s">
        <v>180</v>
      </c>
      <c r="E19" s="47" t="s">
        <v>49</v>
      </c>
      <c r="F19" s="86">
        <v>800</v>
      </c>
      <c r="G19" s="62">
        <v>5</v>
      </c>
      <c r="H19" s="212">
        <f t="shared" si="0"/>
        <v>4000</v>
      </c>
      <c r="I19" s="214"/>
      <c r="J19" s="214"/>
    </row>
    <row r="20" spans="1:10" ht="39.75" customHeight="1" x14ac:dyDescent="0.25">
      <c r="A20" s="238" t="s">
        <v>231</v>
      </c>
      <c r="B20" s="238"/>
      <c r="C20" s="238"/>
      <c r="D20" s="238"/>
      <c r="E20" s="238"/>
      <c r="F20" s="239">
        <f>+J12+H16</f>
        <v>215350</v>
      </c>
      <c r="G20" s="239"/>
      <c r="H20" s="211"/>
      <c r="I20" s="211"/>
      <c r="J20" s="211"/>
    </row>
    <row r="21" spans="1:10" x14ac:dyDescent="0.25">
      <c r="A21" s="33"/>
      <c r="B21" s="33"/>
      <c r="C21" s="33"/>
      <c r="D21" s="33"/>
      <c r="E21" s="33"/>
      <c r="F21" s="33"/>
      <c r="G21" s="33"/>
    </row>
    <row r="22" spans="1:10" x14ac:dyDescent="0.25">
      <c r="A22" s="33"/>
      <c r="B22" s="33"/>
      <c r="C22" s="33"/>
      <c r="D22" s="33"/>
      <c r="E22" s="33"/>
      <c r="F22" s="33"/>
      <c r="G22" s="33"/>
    </row>
  </sheetData>
  <mergeCells count="16"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3"/>
  <sheetViews>
    <sheetView topLeftCell="A4" zoomScaleNormal="100" workbookViewId="0">
      <selection activeCell="S25" sqref="S25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211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211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29.2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31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2" t="s">
        <v>50</v>
      </c>
      <c r="P15" s="260"/>
      <c r="Q15" s="151">
        <v>210100</v>
      </c>
    </row>
    <row r="16" spans="1:17" x14ac:dyDescent="0.25">
      <c r="A16" s="177">
        <v>31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1" t="s">
        <v>222</v>
      </c>
      <c r="P16" s="249"/>
      <c r="Q16" s="156">
        <v>5250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1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1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1"/>
      <c r="G34" s="153"/>
      <c r="H34" s="153"/>
      <c r="I34" s="153"/>
      <c r="J34" s="153"/>
      <c r="K34" s="153"/>
      <c r="L34" s="153"/>
      <c r="M34" s="154"/>
      <c r="N34" s="181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81"/>
      <c r="G35" s="153"/>
      <c r="H35" s="153"/>
      <c r="I35" s="153"/>
      <c r="J35" s="153"/>
      <c r="K35" s="153"/>
      <c r="L35" s="153"/>
      <c r="M35" s="154"/>
      <c r="N35" s="181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0"/>
      <c r="P36" s="250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1"/>
      <c r="P37" s="251"/>
      <c r="Q37" s="165"/>
    </row>
    <row r="38" spans="1:17" ht="15.75" thickBot="1" x14ac:dyDescent="0.3">
      <c r="A38" s="252" t="s">
        <v>230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166">
        <f>SUM(Q15:Q37)</f>
        <v>215350</v>
      </c>
    </row>
    <row r="39" spans="1:17" ht="15.75" thickBot="1" x14ac:dyDescent="0.3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46" t="s">
        <v>204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">
        <v>206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0"/>
  <sheetViews>
    <sheetView topLeftCell="A4" zoomScaleNormal="100" workbookViewId="0">
      <selection activeCell="D29" sqref="D29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6" ht="16.5" thickBot="1" x14ac:dyDescent="0.3">
      <c r="A2" s="104"/>
      <c r="B2" s="105"/>
      <c r="C2" s="106"/>
      <c r="D2" s="106"/>
      <c r="E2" s="106"/>
      <c r="F2" s="106"/>
      <c r="G2" s="107"/>
    </row>
    <row r="3" spans="1:16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16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6" ht="16.5" thickBot="1" x14ac:dyDescent="0.3">
      <c r="A5" s="243" t="s">
        <v>168</v>
      </c>
      <c r="B5" s="243"/>
      <c r="C5" s="108" t="s">
        <v>213</v>
      </c>
      <c r="D5" s="109"/>
      <c r="E5" s="109"/>
      <c r="F5" s="109"/>
      <c r="G5" s="110"/>
    </row>
    <row r="6" spans="1:16" ht="16.5" thickBot="1" x14ac:dyDescent="0.3">
      <c r="A6" s="245" t="s">
        <v>170</v>
      </c>
      <c r="B6" s="245"/>
      <c r="C6" s="108" t="s">
        <v>213</v>
      </c>
      <c r="D6" s="109"/>
      <c r="E6" s="109"/>
      <c r="F6" s="109"/>
      <c r="G6" s="110"/>
    </row>
    <row r="7" spans="1:16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6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6" ht="15.75" x14ac:dyDescent="0.25">
      <c r="A9" s="112"/>
      <c r="B9" s="113"/>
      <c r="C9" s="114"/>
      <c r="D9" s="114"/>
      <c r="E9" s="114"/>
      <c r="F9" s="114"/>
      <c r="G9" s="115"/>
    </row>
    <row r="10" spans="1:16" x14ac:dyDescent="0.25">
      <c r="A10" s="279" t="s">
        <v>174</v>
      </c>
      <c r="B10" s="277" t="s">
        <v>175</v>
      </c>
      <c r="C10" s="277" t="s">
        <v>209</v>
      </c>
      <c r="D10" s="277" t="s">
        <v>176</v>
      </c>
      <c r="E10" s="277" t="s">
        <v>177</v>
      </c>
      <c r="F10" s="277" t="s">
        <v>178</v>
      </c>
      <c r="G10" s="277" t="s">
        <v>179</v>
      </c>
    </row>
    <row r="11" spans="1:16" x14ac:dyDescent="0.25">
      <c r="A11" s="279"/>
      <c r="B11" s="277"/>
      <c r="C11" s="277"/>
      <c r="D11" s="277"/>
      <c r="E11" s="277"/>
      <c r="F11" s="277"/>
      <c r="G11" s="277"/>
    </row>
    <row r="12" spans="1:16" ht="44.25" customHeight="1" x14ac:dyDescent="0.25">
      <c r="A12" s="170">
        <v>1</v>
      </c>
      <c r="B12" s="174" t="s">
        <v>55</v>
      </c>
      <c r="C12" s="167" t="s">
        <v>56</v>
      </c>
      <c r="D12" s="170" t="s">
        <v>180</v>
      </c>
      <c r="E12" s="184" t="s">
        <v>57</v>
      </c>
      <c r="F12" s="175">
        <v>650</v>
      </c>
      <c r="G12" s="173">
        <v>30</v>
      </c>
      <c r="H12" s="215">
        <f>+G12*F12</f>
        <v>19500</v>
      </c>
      <c r="I12" s="214"/>
      <c r="J12" s="214"/>
      <c r="K12" s="214"/>
      <c r="L12" s="211"/>
      <c r="M12" s="211"/>
      <c r="N12" s="211"/>
      <c r="O12" s="211"/>
      <c r="P12" s="211"/>
    </row>
    <row r="13" spans="1:16" ht="44.25" customHeight="1" x14ac:dyDescent="0.25">
      <c r="A13" s="170">
        <v>2</v>
      </c>
      <c r="B13" s="172" t="s">
        <v>58</v>
      </c>
      <c r="C13" s="167" t="s">
        <v>59</v>
      </c>
      <c r="D13" s="170" t="s">
        <v>180</v>
      </c>
      <c r="E13" s="184" t="s">
        <v>57</v>
      </c>
      <c r="F13" s="175">
        <v>100</v>
      </c>
      <c r="G13" s="173">
        <v>30</v>
      </c>
      <c r="H13" s="215">
        <f t="shared" ref="H13:H17" si="0">+G13*F13</f>
        <v>3000</v>
      </c>
      <c r="I13" s="214"/>
      <c r="J13" s="216">
        <f>+H12+H13+H14+H16</f>
        <v>28200</v>
      </c>
      <c r="K13" s="214"/>
      <c r="L13" s="211"/>
      <c r="M13" s="211"/>
      <c r="N13" s="211"/>
      <c r="O13" s="211"/>
      <c r="P13" s="211"/>
    </row>
    <row r="14" spans="1:16" ht="44.25" customHeight="1" x14ac:dyDescent="0.25">
      <c r="A14" s="170">
        <v>3</v>
      </c>
      <c r="B14" s="172" t="s">
        <v>83</v>
      </c>
      <c r="C14" s="167" t="s">
        <v>84</v>
      </c>
      <c r="D14" s="170" t="s">
        <v>180</v>
      </c>
      <c r="E14" s="184" t="s">
        <v>49</v>
      </c>
      <c r="F14" s="175">
        <v>450</v>
      </c>
      <c r="G14" s="173">
        <v>10</v>
      </c>
      <c r="H14" s="215">
        <f t="shared" si="0"/>
        <v>4500</v>
      </c>
      <c r="I14" s="214"/>
      <c r="J14" s="216">
        <f>+H15+H17</f>
        <v>38400</v>
      </c>
      <c r="K14" s="214"/>
      <c r="L14" s="211"/>
      <c r="M14" s="211"/>
      <c r="N14" s="211"/>
      <c r="O14" s="211"/>
      <c r="P14" s="211"/>
    </row>
    <row r="15" spans="1:16" ht="44.25" customHeight="1" x14ac:dyDescent="0.25">
      <c r="A15" s="170">
        <v>4</v>
      </c>
      <c r="B15" s="172" t="s">
        <v>88</v>
      </c>
      <c r="C15" s="167" t="s">
        <v>89</v>
      </c>
      <c r="D15" s="170" t="s">
        <v>180</v>
      </c>
      <c r="E15" s="184" t="s">
        <v>57</v>
      </c>
      <c r="F15" s="175">
        <v>350</v>
      </c>
      <c r="G15" s="173">
        <v>84</v>
      </c>
      <c r="H15" s="215">
        <f t="shared" si="0"/>
        <v>29400</v>
      </c>
      <c r="I15" s="214"/>
      <c r="J15" s="214"/>
      <c r="K15" s="214"/>
      <c r="L15" s="211"/>
      <c r="M15" s="211"/>
      <c r="N15" s="211"/>
      <c r="O15" s="211"/>
      <c r="P15" s="211"/>
    </row>
    <row r="16" spans="1:16" s="33" customFormat="1" ht="44.25" customHeight="1" x14ac:dyDescent="0.25">
      <c r="A16" s="170">
        <v>5</v>
      </c>
      <c r="B16" s="217" t="s">
        <v>98</v>
      </c>
      <c r="C16" s="167" t="s">
        <v>99</v>
      </c>
      <c r="D16" s="170" t="s">
        <v>180</v>
      </c>
      <c r="E16" s="184" t="s">
        <v>49</v>
      </c>
      <c r="F16" s="218">
        <v>120</v>
      </c>
      <c r="G16" s="173">
        <v>10</v>
      </c>
      <c r="H16" s="215">
        <f t="shared" si="0"/>
        <v>1200</v>
      </c>
      <c r="I16" s="214"/>
      <c r="J16" s="214"/>
      <c r="K16" s="214"/>
      <c r="L16" s="211"/>
      <c r="M16" s="211"/>
      <c r="N16" s="211"/>
      <c r="O16" s="211"/>
      <c r="P16" s="211"/>
    </row>
    <row r="17" spans="1:16" ht="44.25" customHeight="1" x14ac:dyDescent="0.25">
      <c r="A17" s="169">
        <v>6</v>
      </c>
      <c r="B17" s="171" t="s">
        <v>130</v>
      </c>
      <c r="C17" s="168" t="s">
        <v>132</v>
      </c>
      <c r="D17" s="170" t="s">
        <v>180</v>
      </c>
      <c r="E17" s="172" t="s">
        <v>106</v>
      </c>
      <c r="F17" s="176">
        <v>300</v>
      </c>
      <c r="G17" s="173">
        <v>30</v>
      </c>
      <c r="H17" s="215">
        <f t="shared" si="0"/>
        <v>9000</v>
      </c>
      <c r="I17" s="211"/>
      <c r="J17" s="211"/>
      <c r="K17" s="211"/>
      <c r="L17" s="211"/>
      <c r="M17" s="211"/>
      <c r="N17" s="211"/>
      <c r="O17" s="211"/>
      <c r="P17" s="211"/>
    </row>
    <row r="18" spans="1:16" ht="15.75" x14ac:dyDescent="0.25">
      <c r="A18" s="278" t="s">
        <v>252</v>
      </c>
      <c r="B18" s="278"/>
      <c r="C18" s="278"/>
      <c r="D18" s="278"/>
      <c r="E18" s="278"/>
      <c r="F18" s="239">
        <f>+H12+H13+H14+H15+H16+H17</f>
        <v>66600</v>
      </c>
      <c r="G18" s="239"/>
      <c r="H18" s="211"/>
      <c r="I18" s="211"/>
      <c r="J18" s="211"/>
      <c r="K18" s="211"/>
      <c r="L18" s="211"/>
      <c r="M18" s="211"/>
      <c r="N18" s="211"/>
      <c r="O18" s="211"/>
      <c r="P18" s="211"/>
    </row>
    <row r="19" spans="1:16" ht="15.75" x14ac:dyDescent="0.25">
      <c r="A19" s="185"/>
      <c r="B19" s="185"/>
      <c r="C19" s="185"/>
      <c r="D19" s="185"/>
      <c r="E19" s="185"/>
      <c r="F19" s="185"/>
      <c r="G19" s="185"/>
    </row>
    <row r="20" spans="1:16" x14ac:dyDescent="0.25">
      <c r="A20" s="33"/>
      <c r="B20" s="33"/>
      <c r="C20" s="33"/>
      <c r="D20" s="33"/>
      <c r="E20" s="33"/>
      <c r="F20" s="33"/>
      <c r="G20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5"/>
  <sheetViews>
    <sheetView topLeftCell="A16" zoomScaleNormal="100" workbookViewId="0">
      <selection activeCell="S30" sqref="S30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213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213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37.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3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203</v>
      </c>
      <c r="O15" s="272" t="s">
        <v>50</v>
      </c>
      <c r="P15" s="260"/>
      <c r="Q15" s="151">
        <v>28200</v>
      </c>
    </row>
    <row r="16" spans="1:17" x14ac:dyDescent="0.25">
      <c r="A16" s="177">
        <v>3</v>
      </c>
      <c r="B16" s="177"/>
      <c r="C16" s="177"/>
      <c r="D16" s="177">
        <v>1</v>
      </c>
      <c r="E16" s="177"/>
      <c r="F16" s="177">
        <v>4901</v>
      </c>
      <c r="G16" s="177">
        <v>1</v>
      </c>
      <c r="H16" s="177">
        <v>3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203</v>
      </c>
      <c r="O16" s="261" t="s">
        <v>222</v>
      </c>
      <c r="P16" s="249"/>
      <c r="Q16" s="156">
        <v>38400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2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2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2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2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2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2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2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2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2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2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2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2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2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2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82"/>
      <c r="G32" s="153"/>
      <c r="H32" s="153"/>
      <c r="I32" s="153"/>
      <c r="J32" s="153"/>
      <c r="K32" s="153"/>
      <c r="L32" s="153"/>
      <c r="M32" s="154"/>
      <c r="N32" s="182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2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2"/>
      <c r="G34" s="153"/>
      <c r="H34" s="153"/>
      <c r="I34" s="153"/>
      <c r="J34" s="153"/>
      <c r="K34" s="153"/>
      <c r="L34" s="153"/>
      <c r="M34" s="154"/>
      <c r="N34" s="182"/>
      <c r="O34" s="249"/>
      <c r="P34" s="249"/>
      <c r="Q34" s="156"/>
    </row>
    <row r="35" spans="1:17" x14ac:dyDescent="0.25">
      <c r="A35" s="152"/>
      <c r="B35" s="153"/>
      <c r="C35" s="153"/>
      <c r="D35" s="153"/>
      <c r="E35" s="153"/>
      <c r="F35" s="182"/>
      <c r="G35" s="153"/>
      <c r="H35" s="153"/>
      <c r="I35" s="153"/>
      <c r="J35" s="153"/>
      <c r="K35" s="153"/>
      <c r="L35" s="153"/>
      <c r="M35" s="154"/>
      <c r="N35" s="182"/>
      <c r="O35" s="249"/>
      <c r="P35" s="249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50"/>
      <c r="P36" s="250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51"/>
      <c r="P37" s="251"/>
      <c r="Q37" s="165"/>
    </row>
    <row r="38" spans="1:17" ht="15.75" thickBot="1" x14ac:dyDescent="0.3">
      <c r="A38" s="252" t="s">
        <v>253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166">
        <f>SUM(Q15:Q37)</f>
        <v>66600</v>
      </c>
    </row>
    <row r="39" spans="1:17" ht="15.75" thickBot="1" x14ac:dyDescent="0.3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46" t="s">
        <v>204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">
        <v>206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3"/>
  <sheetViews>
    <sheetView workbookViewId="0">
      <selection activeCell="I21" sqref="I2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43" t="s">
        <v>168</v>
      </c>
      <c r="B5" s="243"/>
      <c r="C5" s="108" t="s">
        <v>232</v>
      </c>
      <c r="D5" s="109"/>
      <c r="E5" s="109"/>
      <c r="F5" s="109"/>
      <c r="G5" s="110"/>
    </row>
    <row r="6" spans="1:7" ht="16.5" thickBot="1" x14ac:dyDescent="0.3">
      <c r="A6" s="245" t="s">
        <v>170</v>
      </c>
      <c r="B6" s="245"/>
      <c r="C6" s="108" t="s">
        <v>232</v>
      </c>
      <c r="D6" s="109"/>
      <c r="E6" s="109"/>
      <c r="F6" s="109"/>
      <c r="G6" s="110"/>
    </row>
    <row r="7" spans="1:7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7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7" ht="27.75" customHeight="1" x14ac:dyDescent="0.25">
      <c r="A11" s="242"/>
      <c r="B11" s="240"/>
      <c r="C11" s="240"/>
      <c r="D11" s="240"/>
      <c r="E11" s="240"/>
      <c r="F11" s="240"/>
      <c r="G11" s="240"/>
    </row>
    <row r="12" spans="1:7" ht="52.5" customHeight="1" x14ac:dyDescent="0.25">
      <c r="A12" s="116">
        <v>1</v>
      </c>
      <c r="B12" s="27" t="s">
        <v>88</v>
      </c>
      <c r="C12" s="57" t="s">
        <v>89</v>
      </c>
      <c r="D12" s="183" t="s">
        <v>180</v>
      </c>
      <c r="E12" s="56" t="s">
        <v>57</v>
      </c>
      <c r="F12" s="67">
        <v>350</v>
      </c>
      <c r="G12" s="62">
        <v>28</v>
      </c>
    </row>
    <row r="13" spans="1:7" ht="18.75" x14ac:dyDescent="0.25">
      <c r="A13" s="238" t="s">
        <v>251</v>
      </c>
      <c r="B13" s="238"/>
      <c r="C13" s="238"/>
      <c r="D13" s="238"/>
      <c r="E13" s="238"/>
      <c r="F13" s="239">
        <f>+G12*F12</f>
        <v>9800</v>
      </c>
      <c r="G13" s="239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topLeftCell="A16" workbookViewId="0">
      <selection activeCell="U29" sqref="U29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232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232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4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25.5" customHeight="1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ht="15" customHeight="1" x14ac:dyDescent="0.25">
      <c r="A15" s="177">
        <v>26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61" t="s">
        <v>233</v>
      </c>
      <c r="P15" s="249"/>
      <c r="Q15" s="151">
        <v>9800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0"/>
      <c r="P16" s="263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0"/>
      <c r="P35" s="250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1"/>
      <c r="P36" s="251"/>
      <c r="Q36" s="165"/>
    </row>
    <row r="37" spans="1:17" ht="15.75" thickBot="1" x14ac:dyDescent="0.3">
      <c r="A37" s="252" t="s">
        <v>234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166">
        <f>SUM(Q15:Q36)</f>
        <v>9800</v>
      </c>
    </row>
    <row r="38" spans="1:17" ht="15.75" thickBot="1" x14ac:dyDescent="0.3">
      <c r="A38" s="253"/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46" t="s">
        <v>204</v>
      </c>
      <c r="B39" s="246"/>
      <c r="C39" s="246"/>
      <c r="D39" s="246"/>
      <c r="E39" s="246"/>
      <c r="F39" s="246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8" t="s">
        <v>206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ht="15.75" thickBot="1" x14ac:dyDescent="0.3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zoomScale="120" zoomScaleNormal="120" workbookViewId="0">
      <selection activeCell="I23" sqref="I23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43" t="s">
        <v>168</v>
      </c>
      <c r="B5" s="243"/>
      <c r="C5" s="108" t="s">
        <v>214</v>
      </c>
      <c r="D5" s="109"/>
      <c r="E5" s="109"/>
      <c r="F5" s="109"/>
      <c r="G5" s="110"/>
    </row>
    <row r="6" spans="1:10" ht="16.5" thickBot="1" x14ac:dyDescent="0.3">
      <c r="A6" s="245" t="s">
        <v>170</v>
      </c>
      <c r="B6" s="245"/>
      <c r="C6" s="108" t="s">
        <v>214</v>
      </c>
      <c r="D6" s="109"/>
      <c r="E6" s="109"/>
      <c r="F6" s="109"/>
      <c r="G6" s="110"/>
    </row>
    <row r="7" spans="1:10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0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0" ht="32.25" customHeight="1" x14ac:dyDescent="0.25">
      <c r="A11" s="242"/>
      <c r="B11" s="240"/>
      <c r="C11" s="240"/>
      <c r="D11" s="240"/>
      <c r="E11" s="240"/>
      <c r="F11" s="240"/>
      <c r="G11" s="240"/>
    </row>
    <row r="12" spans="1:10" ht="25.5" x14ac:dyDescent="0.25">
      <c r="A12" s="190">
        <v>1</v>
      </c>
      <c r="B12" s="27" t="s">
        <v>55</v>
      </c>
      <c r="C12" s="57" t="s">
        <v>56</v>
      </c>
      <c r="D12" s="183" t="s">
        <v>180</v>
      </c>
      <c r="E12" s="56" t="s">
        <v>57</v>
      </c>
      <c r="F12" s="67">
        <v>650</v>
      </c>
      <c r="G12" s="62">
        <v>8</v>
      </c>
      <c r="H12" s="215">
        <f>+F12*G12</f>
        <v>5200</v>
      </c>
      <c r="I12" s="214"/>
      <c r="J12" s="216">
        <f>+H12+H13+H14+H16+H17</f>
        <v>14490</v>
      </c>
    </row>
    <row r="13" spans="1:10" ht="25.5" x14ac:dyDescent="0.25">
      <c r="A13" s="190">
        <v>2</v>
      </c>
      <c r="B13" s="47" t="s">
        <v>58</v>
      </c>
      <c r="C13" s="57" t="s">
        <v>59</v>
      </c>
      <c r="D13" s="183" t="s">
        <v>180</v>
      </c>
      <c r="E13" s="56" t="s">
        <v>57</v>
      </c>
      <c r="F13" s="67">
        <v>100</v>
      </c>
      <c r="G13" s="62">
        <v>8</v>
      </c>
      <c r="H13" s="215">
        <f t="shared" ref="H13:H17" si="0">+F13*G13</f>
        <v>800</v>
      </c>
      <c r="I13" s="214"/>
      <c r="J13" s="214"/>
    </row>
    <row r="14" spans="1:10" ht="25.5" x14ac:dyDescent="0.25">
      <c r="A14" s="190">
        <v>3</v>
      </c>
      <c r="B14" s="47" t="s">
        <v>83</v>
      </c>
      <c r="C14" s="57" t="s">
        <v>84</v>
      </c>
      <c r="D14" s="183" t="s">
        <v>180</v>
      </c>
      <c r="E14" s="56" t="s">
        <v>49</v>
      </c>
      <c r="F14" s="67">
        <v>450</v>
      </c>
      <c r="G14" s="62">
        <v>4</v>
      </c>
      <c r="H14" s="215">
        <f t="shared" si="0"/>
        <v>1800</v>
      </c>
      <c r="I14" s="214"/>
      <c r="J14" s="214"/>
    </row>
    <row r="15" spans="1:10" ht="38.25" x14ac:dyDescent="0.25">
      <c r="A15" s="190">
        <v>4</v>
      </c>
      <c r="B15" s="47" t="s">
        <v>88</v>
      </c>
      <c r="C15" s="57" t="s">
        <v>89</v>
      </c>
      <c r="D15" s="183" t="s">
        <v>180</v>
      </c>
      <c r="E15" s="56" t="s">
        <v>57</v>
      </c>
      <c r="F15" s="67">
        <v>350</v>
      </c>
      <c r="G15" s="62">
        <v>20</v>
      </c>
      <c r="H15" s="215">
        <f t="shared" si="0"/>
        <v>7000</v>
      </c>
      <c r="I15" s="214"/>
      <c r="J15" s="214"/>
    </row>
    <row r="16" spans="1:10" ht="25.5" x14ac:dyDescent="0.25">
      <c r="A16" s="190">
        <v>5</v>
      </c>
      <c r="B16" s="47" t="s">
        <v>96</v>
      </c>
      <c r="C16" s="77" t="s">
        <v>97</v>
      </c>
      <c r="D16" s="183" t="s">
        <v>180</v>
      </c>
      <c r="E16" s="56" t="s">
        <v>49</v>
      </c>
      <c r="F16" s="67">
        <v>115</v>
      </c>
      <c r="G16" s="62">
        <v>6</v>
      </c>
      <c r="H16" s="215">
        <f t="shared" si="0"/>
        <v>690</v>
      </c>
      <c r="I16" s="214"/>
      <c r="J16" s="214"/>
    </row>
    <row r="17" spans="1:10" ht="25.5" x14ac:dyDescent="0.25">
      <c r="A17" s="190">
        <v>6</v>
      </c>
      <c r="B17" s="84" t="s">
        <v>130</v>
      </c>
      <c r="C17" s="85" t="s">
        <v>132</v>
      </c>
      <c r="D17" s="183" t="s">
        <v>180</v>
      </c>
      <c r="E17" s="47" t="s">
        <v>106</v>
      </c>
      <c r="F17" s="86">
        <v>300</v>
      </c>
      <c r="G17" s="62">
        <v>20</v>
      </c>
      <c r="H17" s="215">
        <f t="shared" si="0"/>
        <v>6000</v>
      </c>
      <c r="I17" s="214"/>
      <c r="J17" s="214"/>
    </row>
    <row r="18" spans="1:10" ht="42" customHeight="1" x14ac:dyDescent="0.25">
      <c r="A18" s="238" t="s">
        <v>235</v>
      </c>
      <c r="B18" s="238"/>
      <c r="C18" s="238"/>
      <c r="D18" s="238"/>
      <c r="E18" s="238"/>
      <c r="F18" s="239">
        <f>+H12+H13+H14+H15+H16+H17</f>
        <v>21490</v>
      </c>
      <c r="G18" s="239"/>
      <c r="H18" s="211"/>
      <c r="I18" s="211"/>
      <c r="J18" s="211"/>
    </row>
    <row r="19" spans="1:10" x14ac:dyDescent="0.25">
      <c r="A19" s="33"/>
      <c r="B19" s="33"/>
      <c r="C19" s="33"/>
      <c r="D19" s="33"/>
      <c r="E19" s="33"/>
      <c r="F19" s="33"/>
      <c r="G19" s="33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42"/>
  <sheetViews>
    <sheetView zoomScaleNormal="100" workbookViewId="0">
      <selection activeCell="O28" sqref="O28:P28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214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214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36.7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3</v>
      </c>
      <c r="B15" s="177"/>
      <c r="C15" s="177"/>
      <c r="D15" s="177">
        <v>3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2" t="s">
        <v>222</v>
      </c>
      <c r="P15" s="260"/>
      <c r="Q15" s="151">
        <v>7000</v>
      </c>
    </row>
    <row r="16" spans="1:17" x14ac:dyDescent="0.25">
      <c r="A16" s="177">
        <v>3</v>
      </c>
      <c r="B16" s="177"/>
      <c r="C16" s="177"/>
      <c r="D16" s="177">
        <v>3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54">
        <v>1</v>
      </c>
      <c r="N16" s="153" t="s">
        <v>203</v>
      </c>
      <c r="O16" s="280" t="s">
        <v>50</v>
      </c>
      <c r="P16" s="263"/>
      <c r="Q16" s="156">
        <v>14490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6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86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86"/>
      <c r="G34" s="153"/>
      <c r="H34" s="153"/>
      <c r="I34" s="153"/>
      <c r="J34" s="153"/>
      <c r="K34" s="153"/>
      <c r="L34" s="153"/>
      <c r="M34" s="154"/>
      <c r="N34" s="186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0"/>
      <c r="P35" s="250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1"/>
      <c r="P36" s="251"/>
      <c r="Q36" s="165"/>
    </row>
    <row r="37" spans="1:17" ht="15.75" thickBot="1" x14ac:dyDescent="0.3">
      <c r="A37" s="252" t="s">
        <v>236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166">
        <f>SUM(Q15:Q36)</f>
        <v>21490</v>
      </c>
    </row>
    <row r="38" spans="1:17" ht="15.75" thickBot="1" x14ac:dyDescent="0.3">
      <c r="A38" s="253"/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46" t="s">
        <v>204</v>
      </c>
      <c r="B39" s="246"/>
      <c r="C39" s="246"/>
      <c r="D39" s="246"/>
      <c r="E39" s="246"/>
      <c r="F39" s="246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8" t="s">
        <v>206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ht="15.75" thickBot="1" x14ac:dyDescent="0.3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3"/>
  <sheetViews>
    <sheetView workbookViewId="0">
      <selection activeCell="C12" sqref="C12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43" t="s">
        <v>168</v>
      </c>
      <c r="B5" s="243"/>
      <c r="C5" s="108" t="s">
        <v>237</v>
      </c>
      <c r="D5" s="109"/>
      <c r="E5" s="109"/>
      <c r="F5" s="109"/>
      <c r="G5" s="110"/>
    </row>
    <row r="6" spans="1:7" ht="16.5" thickBot="1" x14ac:dyDescent="0.3">
      <c r="A6" s="245" t="s">
        <v>170</v>
      </c>
      <c r="B6" s="245"/>
      <c r="C6" s="108" t="s">
        <v>237</v>
      </c>
      <c r="D6" s="109"/>
      <c r="E6" s="109"/>
      <c r="F6" s="109"/>
      <c r="G6" s="110"/>
    </row>
    <row r="7" spans="1:7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7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7" ht="28.5" customHeight="1" x14ac:dyDescent="0.25">
      <c r="A11" s="242"/>
      <c r="B11" s="240"/>
      <c r="C11" s="240"/>
      <c r="D11" s="240"/>
      <c r="E11" s="240"/>
      <c r="F11" s="240"/>
      <c r="G11" s="240"/>
    </row>
    <row r="12" spans="1:7" ht="51.75" customHeight="1" x14ac:dyDescent="0.25">
      <c r="A12" s="116">
        <v>1</v>
      </c>
      <c r="B12" s="47" t="s">
        <v>88</v>
      </c>
      <c r="C12" s="57" t="s">
        <v>89</v>
      </c>
      <c r="D12" s="183" t="s">
        <v>180</v>
      </c>
      <c r="E12" s="47" t="s">
        <v>57</v>
      </c>
      <c r="F12" s="86">
        <v>350</v>
      </c>
      <c r="G12" s="65">
        <v>100</v>
      </c>
    </row>
    <row r="13" spans="1:7" ht="18.75" x14ac:dyDescent="0.25">
      <c r="A13" s="238" t="s">
        <v>238</v>
      </c>
      <c r="B13" s="238"/>
      <c r="C13" s="238"/>
      <c r="D13" s="238"/>
      <c r="E13" s="238"/>
      <c r="F13" s="239">
        <f>+F12*G12</f>
        <v>35000</v>
      </c>
      <c r="G13" s="239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41"/>
  <sheetViews>
    <sheetView topLeftCell="A25" workbookViewId="0">
      <selection activeCell="V24" sqref="V24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237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237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42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2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2" t="s">
        <v>222</v>
      </c>
      <c r="P15" s="260"/>
      <c r="Q15" s="151">
        <v>35000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0"/>
      <c r="P16" s="263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49"/>
      <c r="P33" s="249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49"/>
      <c r="P34" s="249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50"/>
      <c r="P35" s="250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51"/>
      <c r="P36" s="251"/>
      <c r="Q36" s="165"/>
    </row>
    <row r="37" spans="1:17" ht="15.75" thickBot="1" x14ac:dyDescent="0.3">
      <c r="A37" s="252" t="s">
        <v>239</v>
      </c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166">
        <f>SUM(Q15:Q36)</f>
        <v>35000</v>
      </c>
    </row>
    <row r="38" spans="1:17" ht="15.75" thickBot="1" x14ac:dyDescent="0.3">
      <c r="A38" s="253"/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</row>
    <row r="39" spans="1:17" ht="15.75" thickBot="1" x14ac:dyDescent="0.3">
      <c r="A39" s="246" t="s">
        <v>204</v>
      </c>
      <c r="B39" s="246"/>
      <c r="C39" s="246"/>
      <c r="D39" s="246"/>
      <c r="E39" s="246"/>
      <c r="F39" s="246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8" t="s">
        <v>206</v>
      </c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ht="15.75" thickBot="1" x14ac:dyDescent="0.3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130" zoomScaleNormal="130" workbookViewId="0">
      <selection activeCell="H12" sqref="H12:H13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8" ht="16.5" thickBot="1" x14ac:dyDescent="0.3">
      <c r="A2" s="104"/>
      <c r="B2" s="105"/>
      <c r="C2" s="106"/>
      <c r="D2" s="106"/>
      <c r="E2" s="106"/>
      <c r="F2" s="106"/>
      <c r="G2" s="107"/>
    </row>
    <row r="3" spans="1:8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8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8" ht="16.5" thickBot="1" x14ac:dyDescent="0.3">
      <c r="A5" s="243" t="s">
        <v>168</v>
      </c>
      <c r="B5" s="243"/>
      <c r="C5" s="108" t="s">
        <v>215</v>
      </c>
      <c r="D5" s="109"/>
      <c r="E5" s="109"/>
      <c r="F5" s="109"/>
      <c r="G5" s="110"/>
    </row>
    <row r="6" spans="1:8" ht="16.5" thickBot="1" x14ac:dyDescent="0.3">
      <c r="A6" s="245" t="s">
        <v>170</v>
      </c>
      <c r="B6" s="245"/>
      <c r="C6" s="108" t="s">
        <v>215</v>
      </c>
      <c r="D6" s="109"/>
      <c r="E6" s="109"/>
      <c r="F6" s="109"/>
      <c r="G6" s="110"/>
    </row>
    <row r="7" spans="1:8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8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8" ht="15.75" x14ac:dyDescent="0.25">
      <c r="A9" s="112"/>
      <c r="B9" s="113"/>
      <c r="C9" s="114"/>
      <c r="D9" s="114"/>
      <c r="E9" s="114"/>
      <c r="F9" s="114"/>
      <c r="G9" s="115"/>
    </row>
    <row r="10" spans="1:8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8" ht="32.25" customHeight="1" x14ac:dyDescent="0.25">
      <c r="A11" s="242"/>
      <c r="B11" s="240"/>
      <c r="C11" s="240"/>
      <c r="D11" s="240"/>
      <c r="E11" s="240"/>
      <c r="F11" s="240"/>
      <c r="G11" s="240"/>
    </row>
    <row r="12" spans="1:8" ht="38.25" x14ac:dyDescent="0.25">
      <c r="A12" s="116">
        <v>1</v>
      </c>
      <c r="B12" s="84" t="s">
        <v>117</v>
      </c>
      <c r="C12" s="85" t="s">
        <v>118</v>
      </c>
      <c r="D12" s="183" t="s">
        <v>180</v>
      </c>
      <c r="E12" s="47" t="s">
        <v>48</v>
      </c>
      <c r="F12" s="86">
        <v>1400</v>
      </c>
      <c r="G12" s="65">
        <v>4</v>
      </c>
      <c r="H12" s="213">
        <f>+G12*F12</f>
        <v>5600</v>
      </c>
    </row>
    <row r="13" spans="1:8" ht="25.5" x14ac:dyDescent="0.25">
      <c r="A13" s="116">
        <v>2</v>
      </c>
      <c r="B13" s="84" t="s">
        <v>119</v>
      </c>
      <c r="C13" s="85" t="s">
        <v>120</v>
      </c>
      <c r="D13" s="183" t="s">
        <v>180</v>
      </c>
      <c r="E13" s="47" t="s">
        <v>49</v>
      </c>
      <c r="F13" s="86">
        <v>1400</v>
      </c>
      <c r="G13" s="65">
        <v>13</v>
      </c>
      <c r="H13" s="213">
        <f>+G13*F13</f>
        <v>18200</v>
      </c>
    </row>
    <row r="14" spans="1:8" ht="37.5" customHeight="1" x14ac:dyDescent="0.25">
      <c r="A14" s="238" t="s">
        <v>240</v>
      </c>
      <c r="B14" s="238"/>
      <c r="C14" s="238"/>
      <c r="D14" s="238"/>
      <c r="E14" s="238"/>
      <c r="F14" s="239">
        <f>+H12+H13</f>
        <v>23800</v>
      </c>
      <c r="G14" s="239"/>
    </row>
    <row r="15" spans="1:8" x14ac:dyDescent="0.25">
      <c r="A15" s="33"/>
      <c r="B15" s="33"/>
      <c r="C15" s="33"/>
      <c r="D15" s="33"/>
      <c r="E15" s="33"/>
      <c r="F15" s="33"/>
      <c r="G15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41"/>
  <sheetViews>
    <sheetView topLeftCell="A19" zoomScaleNormal="100" workbookViewId="0">
      <selection activeCell="S26" sqref="S26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215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215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32.25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28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2" t="s">
        <v>222</v>
      </c>
      <c r="P15" s="260"/>
      <c r="Q15" s="151">
        <v>23800</v>
      </c>
    </row>
    <row r="16" spans="1:17" x14ac:dyDescent="0.2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4"/>
      <c r="N16" s="186"/>
      <c r="O16" s="254"/>
      <c r="P16" s="254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0"/>
      <c r="P34" s="250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1"/>
      <c r="P35" s="251"/>
      <c r="Q35" s="165"/>
    </row>
    <row r="36" spans="1:17" ht="15.75" thickBot="1" x14ac:dyDescent="0.3">
      <c r="A36" s="252" t="s">
        <v>241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166">
        <f>SUM(Q15:Q35)</f>
        <v>23800</v>
      </c>
    </row>
    <row r="37" spans="1:17" ht="15.75" thickBot="1" x14ac:dyDescent="0.3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</row>
    <row r="38" spans="1:17" ht="15.75" thickBot="1" x14ac:dyDescent="0.3">
      <c r="A38" s="246" t="s">
        <v>204</v>
      </c>
      <c r="B38" s="246"/>
      <c r="C38" s="246"/>
      <c r="D38" s="246"/>
      <c r="E38" s="246"/>
      <c r="F38" s="246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</row>
    <row r="39" spans="1:17" ht="15.75" thickBot="1" x14ac:dyDescent="0.3">
      <c r="A39" s="248" t="s">
        <v>206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6:P16"/>
    <mergeCell ref="O17:P17"/>
    <mergeCell ref="O18:P18"/>
    <mergeCell ref="O19:P19"/>
    <mergeCell ref="O20:P20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0"/>
    <mergeCell ref="O33:P33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4"/>
  <sheetViews>
    <sheetView topLeftCell="C1" zoomScale="120" zoomScaleNormal="120" workbookViewId="0">
      <selection activeCell="I7" sqref="I7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43" t="s">
        <v>168</v>
      </c>
      <c r="B5" s="243"/>
      <c r="C5" s="108" t="s">
        <v>217</v>
      </c>
      <c r="D5" s="109"/>
      <c r="E5" s="109"/>
      <c r="F5" s="109"/>
      <c r="G5" s="110"/>
    </row>
    <row r="6" spans="1:10" ht="16.5" thickBot="1" x14ac:dyDescent="0.3">
      <c r="A6" s="245" t="s">
        <v>170</v>
      </c>
      <c r="B6" s="245"/>
      <c r="C6" s="108" t="s">
        <v>217</v>
      </c>
      <c r="D6" s="109"/>
      <c r="E6" s="109"/>
      <c r="F6" s="109"/>
      <c r="G6" s="110"/>
    </row>
    <row r="7" spans="1:10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0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0" ht="28.5" customHeight="1" x14ac:dyDescent="0.25">
      <c r="A11" s="242"/>
      <c r="B11" s="240"/>
      <c r="C11" s="240"/>
      <c r="D11" s="240"/>
      <c r="E11" s="240"/>
      <c r="F11" s="240"/>
      <c r="G11" s="240"/>
    </row>
    <row r="12" spans="1:10" ht="25.5" x14ac:dyDescent="0.25">
      <c r="A12" s="190">
        <v>1</v>
      </c>
      <c r="B12" s="119" t="s">
        <v>52</v>
      </c>
      <c r="C12" s="120" t="s">
        <v>54</v>
      </c>
      <c r="D12" s="183" t="s">
        <v>180</v>
      </c>
      <c r="E12" s="124" t="s">
        <v>51</v>
      </c>
      <c r="F12" s="117">
        <v>1200</v>
      </c>
      <c r="G12" s="132">
        <v>8</v>
      </c>
      <c r="H12" s="212">
        <f>+G12*F12</f>
        <v>9600</v>
      </c>
      <c r="I12" s="214"/>
      <c r="J12" s="213">
        <f>+H12+H13+H14+H15+H16+H17+H18+H19+H20+H21+H22+H23+H24+H25+H26+H28+H29+H30+H31</f>
        <v>96630</v>
      </c>
    </row>
    <row r="13" spans="1:10" s="33" customFormat="1" x14ac:dyDescent="0.25">
      <c r="A13" s="190">
        <v>2</v>
      </c>
      <c r="B13" s="76" t="s">
        <v>107</v>
      </c>
      <c r="C13" s="77" t="s">
        <v>108</v>
      </c>
      <c r="D13" s="183" t="s">
        <v>180</v>
      </c>
      <c r="E13" s="64" t="s">
        <v>49</v>
      </c>
      <c r="F13" s="118">
        <v>650</v>
      </c>
      <c r="G13" s="65">
        <v>3</v>
      </c>
      <c r="H13" s="212">
        <f t="shared" ref="H13:H32" si="0">+G13*F13</f>
        <v>1950</v>
      </c>
      <c r="I13" s="214"/>
      <c r="J13" s="211"/>
    </row>
    <row r="14" spans="1:10" s="33" customFormat="1" ht="25.5" x14ac:dyDescent="0.25">
      <c r="A14" s="190">
        <v>3</v>
      </c>
      <c r="B14" s="27" t="s">
        <v>55</v>
      </c>
      <c r="C14" s="57" t="s">
        <v>56</v>
      </c>
      <c r="D14" s="183" t="s">
        <v>180</v>
      </c>
      <c r="E14" s="56" t="s">
        <v>57</v>
      </c>
      <c r="F14" s="67">
        <v>650</v>
      </c>
      <c r="G14" s="65">
        <v>50</v>
      </c>
      <c r="H14" s="212">
        <f t="shared" si="0"/>
        <v>32500</v>
      </c>
      <c r="I14" s="214"/>
      <c r="J14" s="213">
        <f>+H27+H32</f>
        <v>52500</v>
      </c>
    </row>
    <row r="15" spans="1:10" s="33" customFormat="1" ht="25.5" x14ac:dyDescent="0.25">
      <c r="A15" s="190">
        <v>4</v>
      </c>
      <c r="B15" s="47" t="s">
        <v>58</v>
      </c>
      <c r="C15" s="57" t="s">
        <v>59</v>
      </c>
      <c r="D15" s="183" t="s">
        <v>180</v>
      </c>
      <c r="E15" s="56" t="s">
        <v>57</v>
      </c>
      <c r="F15" s="67">
        <v>100</v>
      </c>
      <c r="G15" s="65">
        <v>50</v>
      </c>
      <c r="H15" s="212">
        <f t="shared" si="0"/>
        <v>5000</v>
      </c>
      <c r="I15" s="214"/>
      <c r="J15" s="211"/>
    </row>
    <row r="16" spans="1:10" s="33" customFormat="1" x14ac:dyDescent="0.25">
      <c r="A16" s="190">
        <v>5</v>
      </c>
      <c r="B16" s="47" t="s">
        <v>60</v>
      </c>
      <c r="C16" s="57" t="s">
        <v>61</v>
      </c>
      <c r="D16" s="183" t="s">
        <v>180</v>
      </c>
      <c r="E16" s="56" t="s">
        <v>49</v>
      </c>
      <c r="F16" s="67">
        <v>386</v>
      </c>
      <c r="G16" s="65">
        <v>5</v>
      </c>
      <c r="H16" s="212">
        <f t="shared" si="0"/>
        <v>1930</v>
      </c>
      <c r="I16" s="214"/>
      <c r="J16" s="211"/>
    </row>
    <row r="17" spans="1:10" s="33" customFormat="1" ht="25.5" x14ac:dyDescent="0.25">
      <c r="A17" s="190">
        <v>6</v>
      </c>
      <c r="B17" s="47" t="s">
        <v>62</v>
      </c>
      <c r="C17" s="57" t="s">
        <v>63</v>
      </c>
      <c r="D17" s="183" t="s">
        <v>180</v>
      </c>
      <c r="E17" s="56" t="s">
        <v>49</v>
      </c>
      <c r="F17" s="75">
        <v>290</v>
      </c>
      <c r="G17" s="65">
        <v>30</v>
      </c>
      <c r="H17" s="212">
        <f t="shared" si="0"/>
        <v>8700</v>
      </c>
      <c r="I17" s="214"/>
      <c r="J17" s="211"/>
    </row>
    <row r="18" spans="1:10" s="33" customFormat="1" x14ac:dyDescent="0.25">
      <c r="A18" s="190">
        <v>7</v>
      </c>
      <c r="B18" s="76" t="s">
        <v>68</v>
      </c>
      <c r="C18" s="77" t="s">
        <v>69</v>
      </c>
      <c r="D18" s="183" t="s">
        <v>180</v>
      </c>
      <c r="E18" s="64" t="s">
        <v>49</v>
      </c>
      <c r="F18" s="67">
        <v>250</v>
      </c>
      <c r="G18" s="65">
        <v>10</v>
      </c>
      <c r="H18" s="212">
        <f t="shared" si="0"/>
        <v>2500</v>
      </c>
      <c r="I18" s="214"/>
      <c r="J18" s="211"/>
    </row>
    <row r="19" spans="1:10" s="33" customFormat="1" x14ac:dyDescent="0.25">
      <c r="A19" s="190">
        <v>8</v>
      </c>
      <c r="B19" s="27" t="s">
        <v>70</v>
      </c>
      <c r="C19" s="57" t="s">
        <v>71</v>
      </c>
      <c r="D19" s="183" t="s">
        <v>180</v>
      </c>
      <c r="E19" s="56" t="s">
        <v>72</v>
      </c>
      <c r="F19" s="75">
        <v>350</v>
      </c>
      <c r="G19" s="65">
        <v>10</v>
      </c>
      <c r="H19" s="212">
        <f t="shared" si="0"/>
        <v>3500</v>
      </c>
      <c r="I19" s="214"/>
      <c r="J19" s="211"/>
    </row>
    <row r="20" spans="1:10" s="33" customFormat="1" x14ac:dyDescent="0.25">
      <c r="A20" s="190">
        <v>9</v>
      </c>
      <c r="B20" s="76" t="s">
        <v>73</v>
      </c>
      <c r="C20" s="77" t="s">
        <v>74</v>
      </c>
      <c r="D20" s="183" t="s">
        <v>180</v>
      </c>
      <c r="E20" s="64" t="s">
        <v>72</v>
      </c>
      <c r="F20" s="67">
        <v>350</v>
      </c>
      <c r="G20" s="65">
        <v>10</v>
      </c>
      <c r="H20" s="212">
        <f t="shared" si="0"/>
        <v>3500</v>
      </c>
      <c r="I20" s="214"/>
      <c r="J20" s="211"/>
    </row>
    <row r="21" spans="1:10" s="33" customFormat="1" x14ac:dyDescent="0.25">
      <c r="A21" s="190">
        <v>10</v>
      </c>
      <c r="B21" s="81" t="s">
        <v>75</v>
      </c>
      <c r="C21" s="57" t="s">
        <v>76</v>
      </c>
      <c r="D21" s="183" t="s">
        <v>180</v>
      </c>
      <c r="E21" s="56" t="s">
        <v>51</v>
      </c>
      <c r="F21" s="67">
        <v>650</v>
      </c>
      <c r="G21" s="65">
        <v>5</v>
      </c>
      <c r="H21" s="212">
        <f t="shared" si="0"/>
        <v>3250</v>
      </c>
      <c r="I21" s="214"/>
      <c r="J21" s="211"/>
    </row>
    <row r="22" spans="1:10" s="33" customFormat="1" x14ac:dyDescent="0.25">
      <c r="A22" s="190">
        <v>11</v>
      </c>
      <c r="B22" s="27" t="s">
        <v>77</v>
      </c>
      <c r="C22" s="57" t="s">
        <v>78</v>
      </c>
      <c r="D22" s="183" t="s">
        <v>180</v>
      </c>
      <c r="E22" s="56" t="s">
        <v>49</v>
      </c>
      <c r="F22" s="67">
        <v>400</v>
      </c>
      <c r="G22" s="65">
        <v>10</v>
      </c>
      <c r="H22" s="212">
        <f t="shared" si="0"/>
        <v>4000</v>
      </c>
      <c r="I22" s="214"/>
      <c r="J22" s="211"/>
    </row>
    <row r="23" spans="1:10" s="33" customFormat="1" x14ac:dyDescent="0.25">
      <c r="A23" s="190">
        <v>12</v>
      </c>
      <c r="B23" s="82" t="s">
        <v>79</v>
      </c>
      <c r="C23" s="57" t="s">
        <v>80</v>
      </c>
      <c r="D23" s="183" t="s">
        <v>180</v>
      </c>
      <c r="E23" s="56" t="s">
        <v>51</v>
      </c>
      <c r="F23" s="67">
        <v>300</v>
      </c>
      <c r="G23" s="65">
        <v>5</v>
      </c>
      <c r="H23" s="212">
        <f t="shared" si="0"/>
        <v>1500</v>
      </c>
      <c r="I23" s="214"/>
      <c r="J23" s="211"/>
    </row>
    <row r="24" spans="1:10" s="33" customFormat="1" x14ac:dyDescent="0.25">
      <c r="A24" s="190">
        <v>13</v>
      </c>
      <c r="B24" s="47" t="s">
        <v>81</v>
      </c>
      <c r="C24" s="57" t="s">
        <v>82</v>
      </c>
      <c r="D24" s="183" t="s">
        <v>180</v>
      </c>
      <c r="E24" s="56" t="s">
        <v>49</v>
      </c>
      <c r="F24" s="67">
        <v>290</v>
      </c>
      <c r="G24" s="65">
        <v>10</v>
      </c>
      <c r="H24" s="212">
        <f t="shared" si="0"/>
        <v>2900</v>
      </c>
      <c r="I24" s="214"/>
      <c r="J24" s="211"/>
    </row>
    <row r="25" spans="1:10" s="33" customFormat="1" x14ac:dyDescent="0.25">
      <c r="A25" s="190">
        <v>14</v>
      </c>
      <c r="B25" s="47" t="s">
        <v>83</v>
      </c>
      <c r="C25" s="57" t="s">
        <v>84</v>
      </c>
      <c r="D25" s="183" t="s">
        <v>180</v>
      </c>
      <c r="E25" s="56" t="s">
        <v>49</v>
      </c>
      <c r="F25" s="67">
        <v>450</v>
      </c>
      <c r="G25" s="65">
        <v>10</v>
      </c>
      <c r="H25" s="212">
        <f t="shared" si="0"/>
        <v>4500</v>
      </c>
      <c r="I25" s="214"/>
      <c r="J25" s="211"/>
    </row>
    <row r="26" spans="1:10" s="33" customFormat="1" x14ac:dyDescent="0.25">
      <c r="A26" s="190">
        <v>15</v>
      </c>
      <c r="B26" s="47" t="s">
        <v>85</v>
      </c>
      <c r="C26" s="57" t="s">
        <v>87</v>
      </c>
      <c r="D26" s="183" t="s">
        <v>180</v>
      </c>
      <c r="E26" s="56" t="s">
        <v>49</v>
      </c>
      <c r="F26" s="67">
        <v>750</v>
      </c>
      <c r="G26" s="65">
        <v>5</v>
      </c>
      <c r="H26" s="212">
        <f t="shared" si="0"/>
        <v>3750</v>
      </c>
      <c r="I26" s="214"/>
      <c r="J26" s="211"/>
    </row>
    <row r="27" spans="1:10" s="33" customFormat="1" ht="38.25" x14ac:dyDescent="0.25">
      <c r="A27" s="190">
        <v>16</v>
      </c>
      <c r="B27" s="47" t="s">
        <v>88</v>
      </c>
      <c r="C27" s="57" t="s">
        <v>89</v>
      </c>
      <c r="D27" s="183" t="s">
        <v>180</v>
      </c>
      <c r="E27" s="56" t="s">
        <v>57</v>
      </c>
      <c r="F27" s="67">
        <v>350</v>
      </c>
      <c r="G27" s="65">
        <v>50</v>
      </c>
      <c r="H27" s="212">
        <f t="shared" si="0"/>
        <v>17500</v>
      </c>
      <c r="I27" s="214"/>
      <c r="J27" s="211"/>
    </row>
    <row r="28" spans="1:10" s="33" customFormat="1" x14ac:dyDescent="0.25">
      <c r="A28" s="190">
        <v>17</v>
      </c>
      <c r="B28" s="47" t="s">
        <v>92</v>
      </c>
      <c r="C28" s="57" t="s">
        <v>93</v>
      </c>
      <c r="D28" s="183" t="s">
        <v>180</v>
      </c>
      <c r="E28" s="56" t="s">
        <v>49</v>
      </c>
      <c r="F28" s="75">
        <v>800</v>
      </c>
      <c r="G28" s="65">
        <v>5</v>
      </c>
      <c r="H28" s="212">
        <f t="shared" si="0"/>
        <v>4000</v>
      </c>
      <c r="I28" s="214"/>
      <c r="J28" s="211"/>
    </row>
    <row r="29" spans="1:10" s="33" customFormat="1" x14ac:dyDescent="0.25">
      <c r="A29" s="190">
        <v>18</v>
      </c>
      <c r="B29" s="47" t="s">
        <v>94</v>
      </c>
      <c r="C29" s="77" t="s">
        <v>95</v>
      </c>
      <c r="D29" s="183" t="s">
        <v>180</v>
      </c>
      <c r="E29" s="56" t="s">
        <v>49</v>
      </c>
      <c r="F29" s="75">
        <v>120</v>
      </c>
      <c r="G29" s="65">
        <v>10</v>
      </c>
      <c r="H29" s="212">
        <f t="shared" si="0"/>
        <v>1200</v>
      </c>
      <c r="I29" s="214"/>
      <c r="J29" s="211"/>
    </row>
    <row r="30" spans="1:10" s="33" customFormat="1" ht="25.5" x14ac:dyDescent="0.25">
      <c r="A30" s="190">
        <v>19</v>
      </c>
      <c r="B30" s="47" t="s">
        <v>96</v>
      </c>
      <c r="C30" s="77" t="s">
        <v>97</v>
      </c>
      <c r="D30" s="183" t="s">
        <v>180</v>
      </c>
      <c r="E30" s="56" t="s">
        <v>49</v>
      </c>
      <c r="F30" s="67">
        <v>115</v>
      </c>
      <c r="G30" s="65">
        <v>10</v>
      </c>
      <c r="H30" s="212">
        <f t="shared" si="0"/>
        <v>1150</v>
      </c>
      <c r="I30" s="214"/>
      <c r="J30" s="211"/>
    </row>
    <row r="31" spans="1:10" s="33" customFormat="1" x14ac:dyDescent="0.25">
      <c r="A31" s="190">
        <v>20</v>
      </c>
      <c r="B31" s="187" t="s">
        <v>98</v>
      </c>
      <c r="C31" s="57" t="s">
        <v>99</v>
      </c>
      <c r="D31" s="183" t="s">
        <v>180</v>
      </c>
      <c r="E31" s="56" t="s">
        <v>49</v>
      </c>
      <c r="F31" s="75">
        <v>120</v>
      </c>
      <c r="G31" s="65">
        <v>10</v>
      </c>
      <c r="H31" s="212">
        <f t="shared" si="0"/>
        <v>1200</v>
      </c>
      <c r="I31" s="214"/>
      <c r="J31" s="211"/>
    </row>
    <row r="32" spans="1:10" s="33" customFormat="1" ht="54" customHeight="1" x14ac:dyDescent="0.25">
      <c r="A32" s="190">
        <v>21</v>
      </c>
      <c r="B32" s="84" t="s">
        <v>117</v>
      </c>
      <c r="C32" s="85" t="s">
        <v>118</v>
      </c>
      <c r="D32" s="183" t="s">
        <v>180</v>
      </c>
      <c r="E32" s="47" t="s">
        <v>48</v>
      </c>
      <c r="F32" s="86">
        <v>1400</v>
      </c>
      <c r="G32" s="65">
        <v>25</v>
      </c>
      <c r="H32" s="212">
        <f t="shared" si="0"/>
        <v>35000</v>
      </c>
      <c r="I32" s="214"/>
      <c r="J32" s="211"/>
    </row>
    <row r="33" spans="1:10" ht="36.75" customHeight="1" x14ac:dyDescent="0.25">
      <c r="A33" s="238" t="s">
        <v>216</v>
      </c>
      <c r="B33" s="238"/>
      <c r="C33" s="238"/>
      <c r="D33" s="238"/>
      <c r="E33" s="238"/>
      <c r="F33" s="239">
        <v>149130</v>
      </c>
      <c r="G33" s="239"/>
      <c r="H33" s="211"/>
      <c r="I33" s="211"/>
      <c r="J33" s="211"/>
    </row>
    <row r="34" spans="1:10" x14ac:dyDescent="0.25">
      <c r="A34" s="33"/>
      <c r="B34" s="33"/>
      <c r="C34" s="33"/>
      <c r="D34" s="33"/>
      <c r="E34" s="33"/>
      <c r="F34" s="33"/>
      <c r="G34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1"/>
  <sheetViews>
    <sheetView zoomScaleNormal="100" workbookViewId="0">
      <selection activeCell="T14" sqref="T14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217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217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ht="42" customHeight="1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2" t="s">
        <v>222</v>
      </c>
      <c r="P15" s="260"/>
      <c r="Q15" s="151">
        <v>52500</v>
      </c>
    </row>
    <row r="16" spans="1:17" x14ac:dyDescent="0.25">
      <c r="A16" s="177">
        <v>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73" t="s">
        <v>50</v>
      </c>
      <c r="P16" s="261"/>
      <c r="Q16" s="156">
        <v>96630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0"/>
      <c r="P34" s="250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1"/>
      <c r="P35" s="251"/>
      <c r="Q35" s="165"/>
    </row>
    <row r="36" spans="1:17" ht="15.75" thickBot="1" x14ac:dyDescent="0.3">
      <c r="A36" s="252" t="s">
        <v>218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166">
        <f>SUM(Q15:Q35)</f>
        <v>149130</v>
      </c>
    </row>
    <row r="37" spans="1:17" ht="15.75" thickBot="1" x14ac:dyDescent="0.3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</row>
    <row r="38" spans="1:17" ht="15.75" thickBot="1" x14ac:dyDescent="0.3">
      <c r="A38" s="246" t="s">
        <v>204</v>
      </c>
      <c r="B38" s="246"/>
      <c r="C38" s="246"/>
      <c r="D38" s="246"/>
      <c r="E38" s="246"/>
      <c r="F38" s="246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</row>
    <row r="39" spans="1:17" ht="15.75" thickBot="1" x14ac:dyDescent="0.3">
      <c r="A39" s="248" t="s">
        <v>206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9880-BDD7-4CAD-AA41-24A8A9F145F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zoomScale="110" zoomScaleNormal="110" workbookViewId="0">
      <selection activeCell="K6" sqref="K6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44" t="s">
        <v>164</v>
      </c>
      <c r="B1" s="244"/>
      <c r="C1" s="244"/>
      <c r="D1" s="244"/>
      <c r="E1" s="244"/>
      <c r="F1" s="102" t="s">
        <v>165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5" t="s">
        <v>166</v>
      </c>
      <c r="B3" s="245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43" t="s">
        <v>167</v>
      </c>
      <c r="B4" s="243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43" t="s">
        <v>168</v>
      </c>
      <c r="B5" s="243"/>
      <c r="C5" s="108" t="s">
        <v>219</v>
      </c>
      <c r="D5" s="109"/>
      <c r="E5" s="109"/>
      <c r="F5" s="109"/>
      <c r="G5" s="110"/>
    </row>
    <row r="6" spans="1:10" ht="16.5" thickBot="1" x14ac:dyDescent="0.3">
      <c r="A6" s="245" t="s">
        <v>170</v>
      </c>
      <c r="B6" s="245"/>
      <c r="C6" s="108" t="s">
        <v>219</v>
      </c>
      <c r="D6" s="109"/>
      <c r="E6" s="109"/>
      <c r="F6" s="109"/>
      <c r="G6" s="110"/>
    </row>
    <row r="7" spans="1:10" ht="16.5" thickBot="1" x14ac:dyDescent="0.3">
      <c r="A7" s="243" t="s">
        <v>171</v>
      </c>
      <c r="B7" s="243"/>
      <c r="C7" s="108" t="s">
        <v>172</v>
      </c>
      <c r="D7" s="109"/>
      <c r="E7" s="109"/>
      <c r="F7" s="109"/>
      <c r="G7" s="110"/>
    </row>
    <row r="8" spans="1:10" ht="16.5" thickBot="1" x14ac:dyDescent="0.3">
      <c r="A8" s="241" t="s">
        <v>173</v>
      </c>
      <c r="B8" s="241"/>
      <c r="C8" s="111" t="s">
        <v>206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2" t="s">
        <v>174</v>
      </c>
      <c r="B10" s="240" t="s">
        <v>175</v>
      </c>
      <c r="C10" s="240" t="s">
        <v>209</v>
      </c>
      <c r="D10" s="240" t="s">
        <v>176</v>
      </c>
      <c r="E10" s="240" t="s">
        <v>177</v>
      </c>
      <c r="F10" s="240" t="s">
        <v>178</v>
      </c>
      <c r="G10" s="240" t="s">
        <v>179</v>
      </c>
    </row>
    <row r="11" spans="1:10" ht="33" customHeight="1" x14ac:dyDescent="0.25">
      <c r="A11" s="242"/>
      <c r="B11" s="240"/>
      <c r="C11" s="240"/>
      <c r="D11" s="240"/>
      <c r="E11" s="240"/>
      <c r="F11" s="240"/>
      <c r="G11" s="240"/>
      <c r="H11" s="211"/>
      <c r="I11" s="211"/>
      <c r="J11" s="211"/>
    </row>
    <row r="12" spans="1:10" ht="25.5" x14ac:dyDescent="0.25">
      <c r="A12" s="190">
        <v>1</v>
      </c>
      <c r="B12" s="47" t="s">
        <v>58</v>
      </c>
      <c r="C12" s="57" t="s">
        <v>59</v>
      </c>
      <c r="D12" s="183" t="s">
        <v>180</v>
      </c>
      <c r="E12" s="56" t="s">
        <v>57</v>
      </c>
      <c r="F12" s="67">
        <v>100</v>
      </c>
      <c r="G12" s="65">
        <v>30</v>
      </c>
      <c r="H12" s="212">
        <f>+G12*F12</f>
        <v>3000</v>
      </c>
      <c r="I12" s="211"/>
      <c r="J12" s="212">
        <f>+H12+H13+H14+H15+H16+H18+H20</f>
        <v>12350</v>
      </c>
    </row>
    <row r="13" spans="1:10" ht="25.5" x14ac:dyDescent="0.25">
      <c r="A13" s="190">
        <v>2</v>
      </c>
      <c r="B13" s="47" t="s">
        <v>62</v>
      </c>
      <c r="C13" s="57" t="s">
        <v>63</v>
      </c>
      <c r="D13" s="183" t="s">
        <v>180</v>
      </c>
      <c r="E13" s="56" t="s">
        <v>49</v>
      </c>
      <c r="F13" s="75">
        <v>290</v>
      </c>
      <c r="G13" s="65">
        <v>5</v>
      </c>
      <c r="H13" s="212">
        <f t="shared" ref="H13:H20" si="0">+G13*F13</f>
        <v>1450</v>
      </c>
      <c r="I13" s="211"/>
      <c r="J13" s="211"/>
    </row>
    <row r="14" spans="1:10" ht="38.25" x14ac:dyDescent="0.25">
      <c r="A14" s="190">
        <v>3</v>
      </c>
      <c r="B14" s="76" t="s">
        <v>66</v>
      </c>
      <c r="C14" s="77" t="s">
        <v>67</v>
      </c>
      <c r="D14" s="183" t="s">
        <v>180</v>
      </c>
      <c r="E14" s="64" t="s">
        <v>49</v>
      </c>
      <c r="F14" s="75">
        <v>120</v>
      </c>
      <c r="G14" s="65">
        <v>5</v>
      </c>
      <c r="H14" s="212">
        <f t="shared" si="0"/>
        <v>600</v>
      </c>
      <c r="I14" s="211"/>
      <c r="J14" s="213">
        <f>+H17+H19</f>
        <v>6500</v>
      </c>
    </row>
    <row r="15" spans="1:10" x14ac:dyDescent="0.25">
      <c r="A15" s="190">
        <v>4</v>
      </c>
      <c r="B15" s="27" t="s">
        <v>77</v>
      </c>
      <c r="C15" s="57" t="s">
        <v>78</v>
      </c>
      <c r="D15" s="183" t="s">
        <v>180</v>
      </c>
      <c r="E15" s="56" t="s">
        <v>49</v>
      </c>
      <c r="F15" s="67">
        <v>400</v>
      </c>
      <c r="G15" s="65">
        <v>2</v>
      </c>
      <c r="H15" s="212">
        <f t="shared" si="0"/>
        <v>800</v>
      </c>
      <c r="I15" s="211"/>
      <c r="J15" s="211"/>
    </row>
    <row r="16" spans="1:10" x14ac:dyDescent="0.25">
      <c r="A16" s="190">
        <v>5</v>
      </c>
      <c r="B16" s="47" t="s">
        <v>83</v>
      </c>
      <c r="C16" s="57" t="s">
        <v>84</v>
      </c>
      <c r="D16" s="183" t="s">
        <v>180</v>
      </c>
      <c r="E16" s="56" t="s">
        <v>49</v>
      </c>
      <c r="F16" s="67">
        <v>450</v>
      </c>
      <c r="G16" s="65">
        <v>3</v>
      </c>
      <c r="H16" s="212">
        <f t="shared" si="0"/>
        <v>1350</v>
      </c>
      <c r="I16" s="211"/>
      <c r="J16" s="211"/>
    </row>
    <row r="17" spans="1:10" s="33" customFormat="1" ht="38.25" x14ac:dyDescent="0.25">
      <c r="A17" s="190">
        <v>6</v>
      </c>
      <c r="B17" s="47" t="s">
        <v>88</v>
      </c>
      <c r="C17" s="57" t="s">
        <v>89</v>
      </c>
      <c r="D17" s="183" t="s">
        <v>180</v>
      </c>
      <c r="E17" s="56" t="s">
        <v>57</v>
      </c>
      <c r="F17" s="67">
        <v>350</v>
      </c>
      <c r="G17" s="65">
        <v>10</v>
      </c>
      <c r="H17" s="212">
        <f t="shared" si="0"/>
        <v>3500</v>
      </c>
      <c r="I17" s="211"/>
      <c r="J17" s="211"/>
    </row>
    <row r="18" spans="1:10" s="33" customFormat="1" ht="25.5" x14ac:dyDescent="0.25">
      <c r="A18" s="190">
        <v>7</v>
      </c>
      <c r="B18" s="47" t="s">
        <v>96</v>
      </c>
      <c r="C18" s="77" t="s">
        <v>97</v>
      </c>
      <c r="D18" s="183" t="s">
        <v>180</v>
      </c>
      <c r="E18" s="56" t="s">
        <v>49</v>
      </c>
      <c r="F18" s="67">
        <v>115</v>
      </c>
      <c r="G18" s="65">
        <v>10</v>
      </c>
      <c r="H18" s="212">
        <f t="shared" si="0"/>
        <v>1150</v>
      </c>
      <c r="I18" s="211"/>
      <c r="J18" s="211"/>
    </row>
    <row r="19" spans="1:10" ht="25.5" x14ac:dyDescent="0.25">
      <c r="A19" s="190">
        <v>8</v>
      </c>
      <c r="B19" s="84" t="s">
        <v>130</v>
      </c>
      <c r="C19" s="85" t="s">
        <v>132</v>
      </c>
      <c r="D19" s="183" t="s">
        <v>180</v>
      </c>
      <c r="E19" s="47" t="s">
        <v>106</v>
      </c>
      <c r="F19" s="86">
        <v>300</v>
      </c>
      <c r="G19" s="65">
        <v>10</v>
      </c>
      <c r="H19" s="212">
        <f t="shared" si="0"/>
        <v>3000</v>
      </c>
      <c r="I19" s="211"/>
      <c r="J19" s="211"/>
    </row>
    <row r="20" spans="1:10" ht="25.5" x14ac:dyDescent="0.25">
      <c r="A20" s="190">
        <v>9</v>
      </c>
      <c r="B20" s="84" t="s">
        <v>135</v>
      </c>
      <c r="C20" s="85" t="s">
        <v>136</v>
      </c>
      <c r="D20" s="183" t="s">
        <v>180</v>
      </c>
      <c r="E20" s="47" t="s">
        <v>49</v>
      </c>
      <c r="F20" s="86">
        <v>2000</v>
      </c>
      <c r="G20" s="65">
        <v>2</v>
      </c>
      <c r="H20" s="212">
        <f t="shared" si="0"/>
        <v>4000</v>
      </c>
      <c r="I20" s="211"/>
      <c r="J20" s="211"/>
    </row>
    <row r="21" spans="1:10" ht="18.75" x14ac:dyDescent="0.25">
      <c r="A21" s="238" t="s">
        <v>221</v>
      </c>
      <c r="B21" s="238"/>
      <c r="C21" s="238"/>
      <c r="D21" s="238"/>
      <c r="E21" s="238"/>
      <c r="F21" s="239">
        <v>18850</v>
      </c>
      <c r="G21" s="239"/>
      <c r="H21" s="211"/>
      <c r="I21" s="211"/>
      <c r="J21" s="211"/>
    </row>
    <row r="22" spans="1:10" x14ac:dyDescent="0.25">
      <c r="A22" s="33"/>
      <c r="B22" s="33"/>
      <c r="C22" s="33"/>
      <c r="D22" s="33"/>
      <c r="E22" s="33"/>
      <c r="F22" s="33"/>
      <c r="G22" s="33"/>
    </row>
    <row r="23" spans="1:10" x14ac:dyDescent="0.25">
      <c r="G23" s="121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41"/>
  <sheetViews>
    <sheetView topLeftCell="A22" zoomScaleNormal="100" workbookViewId="0">
      <selection activeCell="V34" sqref="V34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65" t="s">
        <v>5</v>
      </c>
      <c r="B1" s="265"/>
      <c r="C1" s="265"/>
      <c r="D1" s="266">
        <v>2022</v>
      </c>
      <c r="E1" s="266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67" t="s">
        <v>181</v>
      </c>
      <c r="Q1" s="267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67"/>
      <c r="Q2" s="267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68" t="s">
        <v>182</v>
      </c>
      <c r="B4" s="268"/>
      <c r="C4" s="268"/>
      <c r="D4" s="268"/>
      <c r="E4" s="268"/>
      <c r="F4" s="268"/>
      <c r="G4" s="269" t="str">
        <f>'[1]NP DPBS'!D3</f>
        <v>040 - MINISTERIO DE SALUD</v>
      </c>
      <c r="H4" s="269"/>
      <c r="I4" s="269"/>
      <c r="J4" s="269"/>
      <c r="K4" s="269"/>
      <c r="L4" s="269"/>
      <c r="M4" s="269"/>
      <c r="N4" s="269"/>
      <c r="O4" s="269"/>
      <c r="P4" s="269"/>
      <c r="Q4" s="269"/>
    </row>
    <row r="5" spans="1:17" ht="15.75" thickBot="1" x14ac:dyDescent="0.3">
      <c r="A5" s="270" t="s">
        <v>167</v>
      </c>
      <c r="B5" s="270"/>
      <c r="C5" s="270"/>
      <c r="D5" s="270"/>
      <c r="E5" s="270"/>
      <c r="F5" s="270"/>
      <c r="G5" s="269" t="str">
        <f>'[1]NP DPBS'!D4</f>
        <v>011 - DIRECCION PROVINCIAL DE ADMINISTRACION - MINISTERIO DE SALUD</v>
      </c>
      <c r="H5" s="269"/>
      <c r="I5" s="269"/>
      <c r="J5" s="269"/>
      <c r="K5" s="269"/>
      <c r="L5" s="269"/>
      <c r="M5" s="269"/>
      <c r="N5" s="269"/>
      <c r="O5" s="269"/>
      <c r="P5" s="269"/>
      <c r="Q5" s="269"/>
    </row>
    <row r="6" spans="1:17" ht="15.75" thickBot="1" x14ac:dyDescent="0.3">
      <c r="A6" s="270" t="s">
        <v>168</v>
      </c>
      <c r="B6" s="270"/>
      <c r="C6" s="270"/>
      <c r="D6" s="270"/>
      <c r="E6" s="270"/>
      <c r="F6" s="270"/>
      <c r="G6" s="269" t="s">
        <v>219</v>
      </c>
      <c r="H6" s="269"/>
      <c r="I6" s="269"/>
      <c r="J6" s="269"/>
      <c r="K6" s="269"/>
      <c r="L6" s="269"/>
      <c r="M6" s="269"/>
      <c r="N6" s="269"/>
      <c r="O6" s="269"/>
      <c r="P6" s="269"/>
      <c r="Q6" s="269"/>
    </row>
    <row r="7" spans="1:17" ht="15.75" thickBot="1" x14ac:dyDescent="0.3">
      <c r="A7" s="270" t="s">
        <v>170</v>
      </c>
      <c r="B7" s="270"/>
      <c r="C7" s="270"/>
      <c r="D7" s="270"/>
      <c r="E7" s="270"/>
      <c r="F7" s="270"/>
      <c r="G7" s="269" t="s">
        <v>219</v>
      </c>
      <c r="H7" s="269"/>
      <c r="I7" s="269"/>
      <c r="J7" s="269"/>
      <c r="K7" s="269"/>
      <c r="L7" s="269"/>
      <c r="M7" s="269"/>
      <c r="N7" s="269"/>
      <c r="O7" s="269"/>
      <c r="P7" s="269"/>
      <c r="Q7" s="269"/>
    </row>
    <row r="8" spans="1:17" ht="15.75" thickBot="1" x14ac:dyDescent="0.3">
      <c r="A8" s="271" t="s">
        <v>183</v>
      </c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</row>
    <row r="9" spans="1:17" x14ac:dyDescent="0.25">
      <c r="A9" s="264" t="s">
        <v>184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</row>
    <row r="10" spans="1:17" x14ac:dyDescent="0.25">
      <c r="A10" s="255" t="s">
        <v>185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187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188</v>
      </c>
      <c r="P13" s="258"/>
      <c r="Q13" s="259" t="s">
        <v>189</v>
      </c>
    </row>
    <row r="14" spans="1:17" ht="15.75" thickBot="1" x14ac:dyDescent="0.3">
      <c r="A14" s="146" t="s">
        <v>190</v>
      </c>
      <c r="B14" s="147" t="s">
        <v>191</v>
      </c>
      <c r="C14" s="147" t="s">
        <v>192</v>
      </c>
      <c r="D14" s="147" t="s">
        <v>193</v>
      </c>
      <c r="E14" s="147" t="s">
        <v>194</v>
      </c>
      <c r="F14" s="147" t="s">
        <v>195</v>
      </c>
      <c r="G14" s="148" t="s">
        <v>196</v>
      </c>
      <c r="H14" s="147" t="s">
        <v>197</v>
      </c>
      <c r="I14" s="147" t="s">
        <v>198</v>
      </c>
      <c r="J14" s="147" t="s">
        <v>199</v>
      </c>
      <c r="K14" s="147" t="s">
        <v>199</v>
      </c>
      <c r="L14" s="147" t="s">
        <v>200</v>
      </c>
      <c r="M14" s="149" t="s">
        <v>201</v>
      </c>
      <c r="N14" s="150" t="s">
        <v>202</v>
      </c>
      <c r="O14" s="258"/>
      <c r="P14" s="258"/>
      <c r="Q14" s="259"/>
    </row>
    <row r="15" spans="1:17" x14ac:dyDescent="0.25">
      <c r="A15" s="177">
        <v>40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203</v>
      </c>
      <c r="O15" s="272" t="s">
        <v>222</v>
      </c>
      <c r="P15" s="260"/>
      <c r="Q15" s="151">
        <v>6500</v>
      </c>
    </row>
    <row r="16" spans="1:17" x14ac:dyDescent="0.25">
      <c r="A16" s="177">
        <v>40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203</v>
      </c>
      <c r="O16" s="273" t="s">
        <v>50</v>
      </c>
      <c r="P16" s="261"/>
      <c r="Q16" s="156">
        <v>12350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49"/>
      <c r="P30" s="249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49"/>
      <c r="P31" s="249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49"/>
      <c r="P32" s="249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49"/>
      <c r="P33" s="249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50"/>
      <c r="P34" s="250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51"/>
      <c r="P35" s="251"/>
      <c r="Q35" s="165"/>
    </row>
    <row r="36" spans="1:17" ht="15.75" thickBot="1" x14ac:dyDescent="0.3">
      <c r="A36" s="252" t="s">
        <v>220</v>
      </c>
      <c r="B36" s="252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166">
        <f>SUM(Q15:Q35)</f>
        <v>18850</v>
      </c>
    </row>
    <row r="37" spans="1:17" ht="15.75" thickBot="1" x14ac:dyDescent="0.3">
      <c r="A37" s="253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</row>
    <row r="38" spans="1:17" ht="15.75" thickBot="1" x14ac:dyDescent="0.3">
      <c r="A38" s="246" t="s">
        <v>204</v>
      </c>
      <c r="B38" s="246"/>
      <c r="C38" s="246"/>
      <c r="D38" s="246"/>
      <c r="E38" s="246"/>
      <c r="F38" s="246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</row>
    <row r="39" spans="1:17" ht="15.75" thickBot="1" x14ac:dyDescent="0.3">
      <c r="A39" s="248" t="s">
        <v>206</v>
      </c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</row>
    <row r="40" spans="1:17" ht="15.75" thickBot="1" x14ac:dyDescent="0.3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17</vt:i4>
      </vt:variant>
    </vt:vector>
  </HeadingPairs>
  <TitlesOfParts>
    <vt:vector size="41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Hoja1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cp:lastPrinted>2022-10-19T15:34:25Z</cp:lastPrinted>
  <dcterms:created xsi:type="dcterms:W3CDTF">2021-11-12T17:27:33Z</dcterms:created>
  <dcterms:modified xsi:type="dcterms:W3CDTF">2022-10-28T12:31:19Z</dcterms:modified>
</cp:coreProperties>
</file>