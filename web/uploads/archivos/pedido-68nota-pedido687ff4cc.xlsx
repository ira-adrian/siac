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296567D-2158-4513-863D-7EFF59EEC6A6}" xr6:coauthVersionLast="47" xr6:coauthVersionMax="47" xr10:uidLastSave="{00000000-0000-0000-0000-000000000000}"/>
  <bookViews>
    <workbookView xWindow="-120" yWindow="-120" windowWidth="29040" windowHeight="15840" xr2:uid="{FB2A945A-C074-423B-A301-F74FA3A926E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W15" i="1" l="1"/>
  <c r="AY15" i="1" s="1"/>
  <c r="AN15" i="1"/>
  <c r="AW14" i="1"/>
  <c r="AY14" i="1" s="1"/>
  <c r="AN14" i="1"/>
  <c r="AW13" i="1"/>
  <c r="AY13" i="1" s="1"/>
  <c r="AN13" i="1"/>
  <c r="AW12" i="1"/>
  <c r="AY12" i="1" s="1"/>
  <c r="AN12" i="1"/>
  <c r="AW11" i="1"/>
  <c r="AY11" i="1" s="1"/>
  <c r="AN11" i="1"/>
  <c r="AY16" i="1" l="1"/>
</calcChain>
</file>

<file path=xl/sharedStrings.xml><?xml version="1.0" encoding="utf-8"?>
<sst xmlns="http://schemas.openxmlformats.org/spreadsheetml/2006/main" count="94" uniqueCount="83">
  <si>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</si>
  <si>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</si>
  <si>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</si>
  <si>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</si>
  <si>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</si>
  <si>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</si>
  <si>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</si>
  <si>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</si>
  <si>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</si>
  <si>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</si>
  <si>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</si>
  <si>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</si>
  <si>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</si>
  <si>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</si>
  <si>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</si>
  <si>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</si>
  <si>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</si>
  <si>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</si>
  <si>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</si>
  <si>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</si>
  <si>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</si>
  <si>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</si>
  <si>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</si>
  <si>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</si>
  <si>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</si>
  <si>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</si>
  <si>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</si>
  <si>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</si>
  <si>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</si>
  <si>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</si>
  <si>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</si>
  <si>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</si>
  <si>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</si>
  <si>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</si>
  <si>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</si>
  <si>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</si>
  <si>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</si>
  <si>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</si>
  <si>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</si>
  <si>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</si>
  <si>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</si>
  <si>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</si>
  <si>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</si>
  <si>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</si>
  <si>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</si>
  <si>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</si>
  <si>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</si>
  <si>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</si>
  <si>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</si>
  <si>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</si>
  <si>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</si>
  <si>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</si>
  <si>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</si>
  <si>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</si>
  <si>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</si>
  <si>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</si>
  <si>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</si>
  <si>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</si>
  <si>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</si>
  <si>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2.2.2.-836.493</t>
  </si>
  <si>
    <t>INDUMENT TEXTIL Y CONFECCIONES</t>
  </si>
  <si>
    <t>2.2.2</t>
  </si>
  <si>
    <t>AMBO; SACO: RECTO Y PANTALON, TELA: POLIESTER - VICOSA</t>
  </si>
  <si>
    <t xml:space="preserve">UNIDAD </t>
  </si>
  <si>
    <t>2.2.2-6729.61</t>
  </si>
  <si>
    <t>CALZADOS; TIPO: BOTAS, MATERIAL: CUERO, SUELA: GOMA, SEXO: MASCULINO</t>
  </si>
  <si>
    <t>UNIDAD</t>
  </si>
  <si>
    <t>2.2.2-6731.27</t>
  </si>
  <si>
    <t>CAMISAS; TIPO: DE TRABAJO, TELA: GRAFA, MANGA: LARGA, COSTURA: REFORZADA, BOLSILLO: 2</t>
  </si>
  <si>
    <t>2.2.2-1721.17</t>
  </si>
  <si>
    <t>DELANTALES; TIPO: P/CONSULTORIO MEDICO, MATERIAL: ACROCEL, PROTECCION: SIN</t>
  </si>
  <si>
    <t>2.2.2-6738.22</t>
  </si>
  <si>
    <t>PANTALONES; TELA: GRAFA, SEXO: MASCULINO, TIPO: DE TRABAJO</t>
  </si>
  <si>
    <t>TOTAL RUBRO VESTIMENTA</t>
  </si>
  <si>
    <t>DETALLE TECNICO Y ESPECIFICACIONES</t>
  </si>
  <si>
    <t>VER ANEXO I</t>
  </si>
  <si>
    <t>Plazos de entrega</t>
  </si>
  <si>
    <t>DIEZ (10) dias habiles</t>
  </si>
  <si>
    <t>Lugar de Entrega:</t>
  </si>
  <si>
    <t>SECRETARIA DE PLANIFICACION Y GESTION EN SALUD - CHACABUCO N° 169 - en el horario de 8:00hs a 12:00hs de lunes a viernes</t>
  </si>
  <si>
    <t>Calidad Minima esperada</t>
  </si>
  <si>
    <t>Mantenimiento</t>
  </si>
  <si>
    <t>cuarenta y cinco (45)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</si>
</sst>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_-[$$-2C0A]\ * #,##0.00_-;\-[$$-2C0A]\ * #,##0.00_-;_-[$$-2C0A]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/>
    <xf numFmtId="0" fontId="9" fillId="0" borderId="0"/>
  </cellStyleXfs>
  <cellXfs count="72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3" fontId="10" fillId="0" borderId="2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3" fontId="10" fillId="0" borderId="1" xfId="2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3" fontId="10" fillId="0" borderId="5" xfId="2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3" fontId="11" fillId="0" borderId="7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3" fontId="10" fillId="0" borderId="8" xfId="2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2" fillId="0" borderId="10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left" vertical="center" wrapText="1"/>
    </xf>
    <xf numFmtId="0" fontId="2" fillId="0" borderId="12" xfId="3" applyFont="1" applyBorder="1" applyAlignment="1">
      <alignment horizontal="left" vertical="center" wrapText="1"/>
    </xf>
    <xf numFmtId="0" fontId="12" fillId="0" borderId="13" xfId="3" applyFont="1" applyBorder="1" applyAlignment="1">
      <alignment horizontal="center" vertical="center" wrapText="1"/>
    </xf>
    <xf numFmtId="0" fontId="2" fillId="0" borderId="0" xfId="3" applyFont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2" fillId="0" borderId="13" xfId="3" applyFont="1" applyBorder="1" applyAlignment="1">
      <alignment horizontal="center" wrapText="1"/>
    </xf>
    <xf numFmtId="0" fontId="2" fillId="0" borderId="0" xfId="3" applyFont="1" applyAlignment="1">
      <alignment horizontal="left" vertical="center" wrapText="1"/>
    </xf>
    <xf numFmtId="0" fontId="2" fillId="0" borderId="14" xfId="3" applyFont="1" applyBorder="1" applyAlignment="1">
      <alignment horizontal="left" vertical="center" wrapText="1"/>
    </xf>
    <xf numFmtId="0" fontId="12" fillId="0" borderId="15" xfId="3" applyFont="1" applyBorder="1" applyAlignment="1">
      <alignment horizontal="center" wrapText="1"/>
    </xf>
    <xf numFmtId="0" fontId="2" fillId="0" borderId="16" xfId="3" applyFont="1" applyBorder="1" applyAlignment="1">
      <alignment horizontal="left" vertical="center" wrapText="1"/>
    </xf>
    <xf numFmtId="0" fontId="2" fillId="0" borderId="17" xfId="3" applyFont="1" applyBorder="1" applyAlignment="1">
      <alignment horizontal="left" vertical="center" wrapText="1"/>
    </xf>
  </cellXfs>
  <cellStyles count="4">
    <cellStyle name="Moneda" xfId="1" builtinId="4"/>
    <cellStyle name="Normal" xfId="0" builtinId="0"/>
    <cellStyle name="Normal 2" xfId="2" xr:uid="{36F88BB1-3459-4439-A490-7132E56AABE6}"/>
    <cellStyle name="Normal 2 2" xfId="3" xr:uid="{2A4F68C2-30DC-435A-B09A-7EF2222B2824}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1037-DD0E-4309-A298-16CE185296B7}">
  <dimension ref="A2:AY28"/>
  <sheetViews>
    <sheetView tabSelected="1" workbookViewId="0">
      <selection activeCell="A2" sqref="A2:AY28"/>
    </sheetView>
  </sheetViews>
  <sheetFormatPr baseColWidth="10" defaultRowHeight="15" x14ac:dyDescent="0.25"/>
  <cols>
    <col min="1" max="1" width="5.42578125" bestFit="1" customWidth="1"/>
    <col min="2" max="2" width="14.42578125" bestFit="1" customWidth="1"/>
    <col min="3" max="3" width="37" bestFit="1" customWidth="1"/>
    <col min="4" max="4" width="5.85546875" bestFit="1" customWidth="1"/>
    <col min="5" max="5" width="76" customWidth="1"/>
    <col min="6" max="6" width="17.28515625" customWidth="1"/>
    <col min="7" max="48" width="0" hidden="1" customWidth="1"/>
    <col min="49" max="49" width="15.5703125" customWidth="1"/>
    <col min="50" max="50" width="13.85546875" customWidth="1"/>
    <col min="51" max="51" width="17.42578125" customWidth="1"/>
  </cols>
  <sheetData>
    <row r="2" spans="1:51" x14ac:dyDescent="0.25">
      <c r="A2" s="1">
        <v>2022</v>
      </c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5"/>
      <c r="N2" s="6"/>
      <c r="O2" s="7"/>
      <c r="P2" s="3"/>
      <c r="Q2" s="5"/>
      <c r="R2" s="3"/>
      <c r="S2" s="7"/>
      <c r="T2" s="8"/>
      <c r="U2" s="5"/>
      <c r="V2" s="3"/>
      <c r="W2" s="7"/>
      <c r="X2" s="3"/>
      <c r="Y2" s="7"/>
      <c r="Z2" s="3"/>
      <c r="AA2" s="7"/>
      <c r="AB2" s="3"/>
      <c r="AC2" s="7"/>
      <c r="AD2" s="3"/>
      <c r="AE2" s="7"/>
      <c r="AF2" s="3"/>
      <c r="AG2" s="7"/>
      <c r="AH2" s="3"/>
      <c r="AI2" s="7"/>
      <c r="AJ2" s="3"/>
      <c r="AK2" s="7"/>
      <c r="AL2" s="3"/>
      <c r="AM2" s="7"/>
      <c r="AN2" s="8"/>
      <c r="AO2" s="7"/>
      <c r="AP2" s="3"/>
      <c r="AQ2" s="7"/>
      <c r="AR2" s="8"/>
      <c r="AS2" s="3"/>
      <c r="AT2" s="3"/>
      <c r="AU2" s="3"/>
      <c r="AV2" s="3"/>
      <c r="AW2" s="7"/>
      <c r="AX2" s="9"/>
      <c r="AY2" s="8"/>
    </row>
    <row r="3" spans="1:51" ht="18.75" x14ac:dyDescent="0.25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2"/>
    </row>
    <row r="4" spans="1:51" x14ac:dyDescent="0.25">
      <c r="A4" s="3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5"/>
      <c r="N4" s="6"/>
      <c r="O4" s="7"/>
      <c r="P4" s="3"/>
      <c r="Q4" s="5"/>
      <c r="R4" s="3"/>
      <c r="S4" s="7"/>
      <c r="T4" s="8"/>
      <c r="U4" s="5"/>
      <c r="V4" s="3"/>
      <c r="W4" s="7"/>
      <c r="X4" s="3"/>
      <c r="Y4" s="7"/>
      <c r="Z4" s="3"/>
      <c r="AA4" s="7"/>
      <c r="AB4" s="3"/>
      <c r="AC4" s="7"/>
      <c r="AD4" s="3"/>
      <c r="AE4" s="7"/>
      <c r="AF4" s="3"/>
      <c r="AG4" s="7"/>
      <c r="AH4" s="3"/>
      <c r="AI4" s="7"/>
      <c r="AJ4" s="3"/>
      <c r="AK4" s="7"/>
      <c r="AL4" s="3"/>
      <c r="AM4" s="7"/>
      <c r="AN4" s="8"/>
      <c r="AO4" s="7"/>
      <c r="AP4" s="3"/>
      <c r="AQ4" s="7"/>
      <c r="AR4" s="8"/>
      <c r="AS4" s="3"/>
      <c r="AT4" s="3"/>
      <c r="AU4" s="3"/>
      <c r="AV4" s="3"/>
      <c r="AW4" s="7"/>
      <c r="AX4" s="9"/>
      <c r="AY4" s="8"/>
    </row>
    <row r="5" spans="1:51" x14ac:dyDescent="0.25">
      <c r="A5" s="13" t="s">
        <v>1</v>
      </c>
      <c r="B5" s="13"/>
      <c r="C5" s="14" t="s">
        <v>2</v>
      </c>
      <c r="D5" s="14"/>
      <c r="E5" s="14"/>
      <c r="F5" s="15"/>
      <c r="G5" s="15"/>
      <c r="H5" s="15"/>
      <c r="I5" s="15"/>
      <c r="J5" s="15"/>
      <c r="K5" s="15"/>
      <c r="L5" s="15"/>
      <c r="M5" s="16"/>
      <c r="N5" s="17"/>
      <c r="O5" s="18"/>
      <c r="P5" s="15"/>
      <c r="Q5" s="16"/>
      <c r="R5" s="15"/>
      <c r="S5" s="18"/>
      <c r="T5" s="19"/>
      <c r="U5" s="16"/>
      <c r="V5" s="15"/>
      <c r="W5" s="18"/>
      <c r="X5" s="15"/>
      <c r="Y5" s="18"/>
      <c r="Z5" s="15"/>
      <c r="AA5" s="18"/>
      <c r="AB5" s="15"/>
      <c r="AC5" s="18"/>
      <c r="AD5" s="15"/>
      <c r="AE5" s="18"/>
      <c r="AF5" s="15"/>
      <c r="AG5" s="18"/>
      <c r="AH5" s="15"/>
      <c r="AI5" s="18"/>
      <c r="AJ5" s="15"/>
      <c r="AK5" s="18"/>
      <c r="AL5" s="15"/>
      <c r="AM5" s="18"/>
      <c r="AN5" s="19"/>
      <c r="AO5" s="18"/>
      <c r="AP5" s="15"/>
      <c r="AQ5" s="18"/>
      <c r="AR5" s="19"/>
      <c r="AS5" s="15"/>
      <c r="AT5" s="15"/>
      <c r="AU5" s="15"/>
      <c r="AV5" s="15"/>
      <c r="AW5" s="18"/>
      <c r="AX5" s="9"/>
      <c r="AY5" s="8"/>
    </row>
    <row r="6" spans="1:51" x14ac:dyDescent="0.25">
      <c r="A6" s="13" t="s">
        <v>3</v>
      </c>
      <c r="B6" s="13"/>
      <c r="C6" s="14" t="s">
        <v>4</v>
      </c>
      <c r="D6" s="14"/>
      <c r="E6" s="14"/>
      <c r="F6" s="15"/>
      <c r="G6" s="15"/>
      <c r="H6" s="15"/>
      <c r="I6" s="15"/>
      <c r="J6" s="15"/>
      <c r="K6" s="15"/>
      <c r="L6" s="15"/>
      <c r="M6" s="16"/>
      <c r="N6" s="17"/>
      <c r="O6" s="18"/>
      <c r="P6" s="15"/>
      <c r="Q6" s="16"/>
      <c r="R6" s="15"/>
      <c r="S6" s="18"/>
      <c r="T6" s="19"/>
      <c r="U6" s="16"/>
      <c r="V6" s="15"/>
      <c r="W6" s="18"/>
      <c r="X6" s="15"/>
      <c r="Y6" s="18"/>
      <c r="Z6" s="15"/>
      <c r="AA6" s="18"/>
      <c r="AB6" s="15"/>
      <c r="AC6" s="18"/>
      <c r="AD6" s="15"/>
      <c r="AE6" s="18"/>
      <c r="AF6" s="15"/>
      <c r="AG6" s="18"/>
      <c r="AH6" s="15"/>
      <c r="AI6" s="18"/>
      <c r="AJ6" s="15"/>
      <c r="AK6" s="18"/>
      <c r="AL6" s="15"/>
      <c r="AM6" s="18"/>
      <c r="AN6" s="19"/>
      <c r="AO6" s="18"/>
      <c r="AP6" s="15"/>
      <c r="AQ6" s="18"/>
      <c r="AR6" s="19"/>
      <c r="AS6" s="15"/>
      <c r="AT6" s="15"/>
      <c r="AU6" s="15"/>
      <c r="AV6" s="15"/>
      <c r="AW6" s="18"/>
      <c r="AX6" s="9"/>
      <c r="AY6" s="8"/>
    </row>
    <row r="7" spans="1:51" x14ac:dyDescent="0.25">
      <c r="A7" s="13" t="s">
        <v>5</v>
      </c>
      <c r="B7" s="13"/>
      <c r="C7" s="20">
        <v>2022</v>
      </c>
      <c r="D7" s="21"/>
      <c r="E7" s="20"/>
      <c r="F7" s="15"/>
      <c r="G7" s="15"/>
      <c r="H7" s="15"/>
      <c r="I7" s="15"/>
      <c r="J7" s="15"/>
      <c r="K7" s="15"/>
      <c r="L7" s="15"/>
      <c r="M7" s="16"/>
      <c r="N7" s="17"/>
      <c r="O7" s="18"/>
      <c r="P7" s="15"/>
      <c r="Q7" s="16"/>
      <c r="R7" s="15"/>
      <c r="S7" s="18"/>
      <c r="T7" s="19"/>
      <c r="U7" s="16"/>
      <c r="V7" s="15"/>
      <c r="W7" s="18"/>
      <c r="X7" s="15"/>
      <c r="Y7" s="18"/>
      <c r="Z7" s="15"/>
      <c r="AA7" s="18"/>
      <c r="AB7" s="15"/>
      <c r="AC7" s="18"/>
      <c r="AD7" s="15"/>
      <c r="AE7" s="18"/>
      <c r="AF7" s="15"/>
      <c r="AG7" s="18"/>
      <c r="AH7" s="15"/>
      <c r="AI7" s="18"/>
      <c r="AJ7" s="15"/>
      <c r="AK7" s="18"/>
      <c r="AL7" s="15"/>
      <c r="AM7" s="18"/>
      <c r="AN7" s="19"/>
      <c r="AO7" s="18"/>
      <c r="AP7" s="15"/>
      <c r="AQ7" s="18"/>
      <c r="AR7" s="19"/>
      <c r="AS7" s="15"/>
      <c r="AT7" s="15"/>
      <c r="AU7" s="15"/>
      <c r="AV7" s="15"/>
      <c r="AW7" s="18"/>
      <c r="AX7" s="9"/>
      <c r="AY7" s="8"/>
    </row>
    <row r="8" spans="1:51" x14ac:dyDescent="0.25">
      <c r="A8" s="13" t="s">
        <v>6</v>
      </c>
      <c r="B8" s="13"/>
      <c r="C8" s="20" t="s">
        <v>7</v>
      </c>
      <c r="D8" s="21"/>
      <c r="E8" s="20"/>
      <c r="F8" s="15"/>
      <c r="G8" s="15"/>
      <c r="H8" s="15"/>
      <c r="I8" s="15"/>
      <c r="J8" s="15"/>
      <c r="K8" s="15"/>
      <c r="L8" s="15"/>
      <c r="M8" s="16"/>
      <c r="N8" s="17"/>
      <c r="O8" s="18"/>
      <c r="P8" s="15"/>
      <c r="Q8" s="16"/>
      <c r="R8" s="15"/>
      <c r="S8" s="18"/>
      <c r="T8" s="19"/>
      <c r="U8" s="16"/>
      <c r="V8" s="15"/>
      <c r="W8" s="18"/>
      <c r="X8" s="15"/>
      <c r="Y8" s="18"/>
      <c r="Z8" s="15"/>
      <c r="AA8" s="18"/>
      <c r="AB8" s="15"/>
      <c r="AC8" s="18"/>
      <c r="AD8" s="15"/>
      <c r="AE8" s="18"/>
      <c r="AF8" s="15"/>
      <c r="AG8" s="18"/>
      <c r="AH8" s="15"/>
      <c r="AI8" s="18"/>
      <c r="AJ8" s="15"/>
      <c r="AK8" s="18"/>
      <c r="AL8" s="15"/>
      <c r="AM8" s="18"/>
      <c r="AN8" s="19"/>
      <c r="AO8" s="18"/>
      <c r="AP8" s="15"/>
      <c r="AQ8" s="18"/>
      <c r="AR8" s="19"/>
      <c r="AS8" s="15"/>
      <c r="AT8" s="15"/>
      <c r="AU8" s="15"/>
      <c r="AV8" s="15"/>
      <c r="AW8" s="18"/>
      <c r="AX8" s="9"/>
      <c r="AY8" s="8"/>
    </row>
    <row r="9" spans="1:51" x14ac:dyDescent="0.25">
      <c r="A9" s="3"/>
      <c r="B9" s="15"/>
      <c r="C9" s="15"/>
      <c r="D9" s="15"/>
      <c r="E9" s="22"/>
      <c r="F9" s="15"/>
      <c r="G9" s="15"/>
      <c r="H9" s="15"/>
      <c r="I9" s="15"/>
      <c r="J9" s="15"/>
      <c r="K9" s="15"/>
      <c r="L9" s="15"/>
      <c r="M9" s="16"/>
      <c r="N9" s="17"/>
      <c r="O9" s="18"/>
      <c r="P9" s="15"/>
      <c r="Q9" s="16"/>
      <c r="R9" s="15"/>
      <c r="S9" s="18"/>
      <c r="T9" s="19"/>
      <c r="U9" s="16"/>
      <c r="V9" s="15"/>
      <c r="W9" s="18"/>
      <c r="X9" s="15"/>
      <c r="Y9" s="18"/>
      <c r="Z9" s="15"/>
      <c r="AA9" s="18"/>
      <c r="AB9" s="15"/>
      <c r="AC9" s="18"/>
      <c r="AD9" s="15"/>
      <c r="AE9" s="18"/>
      <c r="AF9" s="15"/>
      <c r="AG9" s="18"/>
      <c r="AH9" s="15"/>
      <c r="AI9" s="18"/>
      <c r="AJ9" s="15"/>
      <c r="AK9" s="18"/>
      <c r="AL9" s="15"/>
      <c r="AM9" s="18"/>
      <c r="AN9" s="19"/>
      <c r="AO9" s="18"/>
      <c r="AP9" s="15"/>
      <c r="AQ9" s="18"/>
      <c r="AR9" s="19"/>
      <c r="AS9" s="15"/>
      <c r="AT9" s="15"/>
      <c r="AU9" s="15"/>
      <c r="AV9" s="15"/>
      <c r="AW9" s="18"/>
      <c r="AX9" s="9"/>
      <c r="AY9" s="8"/>
    </row>
    <row r="10" spans="1:51" ht="51" x14ac:dyDescent="0.25">
      <c r="A10" s="23" t="s">
        <v>8</v>
      </c>
      <c r="B10" s="23" t="s">
        <v>9</v>
      </c>
      <c r="C10" s="24" t="s">
        <v>10</v>
      </c>
      <c r="D10" s="23" t="s">
        <v>11</v>
      </c>
      <c r="E10" s="25" t="s">
        <v>12</v>
      </c>
      <c r="F10" s="24" t="s">
        <v>13</v>
      </c>
      <c r="G10" s="24" t="s">
        <v>14</v>
      </c>
      <c r="H10" s="24" t="s">
        <v>15</v>
      </c>
      <c r="I10" s="26" t="s">
        <v>16</v>
      </c>
      <c r="J10" s="24" t="s">
        <v>17</v>
      </c>
      <c r="K10" s="24" t="s">
        <v>18</v>
      </c>
      <c r="L10" s="24" t="s">
        <v>19</v>
      </c>
      <c r="M10" s="27" t="s">
        <v>20</v>
      </c>
      <c r="N10" s="28" t="s">
        <v>21</v>
      </c>
      <c r="O10" s="29" t="s">
        <v>22</v>
      </c>
      <c r="P10" s="24" t="s">
        <v>23</v>
      </c>
      <c r="Q10" s="27" t="s">
        <v>24</v>
      </c>
      <c r="R10" s="24" t="s">
        <v>25</v>
      </c>
      <c r="S10" s="29" t="s">
        <v>26</v>
      </c>
      <c r="T10" s="30" t="s">
        <v>27</v>
      </c>
      <c r="U10" s="27" t="s">
        <v>28</v>
      </c>
      <c r="V10" s="24" t="s">
        <v>29</v>
      </c>
      <c r="W10" s="29" t="s">
        <v>30</v>
      </c>
      <c r="X10" s="24" t="s">
        <v>31</v>
      </c>
      <c r="Y10" s="29" t="s">
        <v>32</v>
      </c>
      <c r="Z10" s="24" t="s">
        <v>33</v>
      </c>
      <c r="AA10" s="29" t="s">
        <v>34</v>
      </c>
      <c r="AB10" s="24" t="s">
        <v>35</v>
      </c>
      <c r="AC10" s="31" t="s">
        <v>36</v>
      </c>
      <c r="AD10" s="24" t="s">
        <v>37</v>
      </c>
      <c r="AE10" s="29" t="s">
        <v>38</v>
      </c>
      <c r="AF10" s="24" t="s">
        <v>39</v>
      </c>
      <c r="AG10" s="29" t="s">
        <v>40</v>
      </c>
      <c r="AH10" s="24" t="s">
        <v>41</v>
      </c>
      <c r="AI10" s="29" t="s">
        <v>42</v>
      </c>
      <c r="AJ10" s="24" t="s">
        <v>43</v>
      </c>
      <c r="AK10" s="29" t="s">
        <v>44</v>
      </c>
      <c r="AL10" s="24" t="s">
        <v>45</v>
      </c>
      <c r="AM10" s="31" t="s">
        <v>46</v>
      </c>
      <c r="AN10" s="30" t="s">
        <v>47</v>
      </c>
      <c r="AO10" s="31" t="s">
        <v>48</v>
      </c>
      <c r="AP10" s="24" t="s">
        <v>49</v>
      </c>
      <c r="AQ10" s="29" t="s">
        <v>50</v>
      </c>
      <c r="AR10" s="30" t="s">
        <v>51</v>
      </c>
      <c r="AS10" s="24" t="s">
        <v>52</v>
      </c>
      <c r="AT10" s="24" t="s">
        <v>53</v>
      </c>
      <c r="AU10" s="24" t="s">
        <v>54</v>
      </c>
      <c r="AV10" s="24" t="s">
        <v>55</v>
      </c>
      <c r="AW10" s="29" t="s">
        <v>56</v>
      </c>
      <c r="AX10" s="32" t="s">
        <v>57</v>
      </c>
      <c r="AY10" s="30" t="s">
        <v>58</v>
      </c>
    </row>
    <row r="11" spans="1:51" x14ac:dyDescent="0.25">
      <c r="A11" s="33">
        <v>1</v>
      </c>
      <c r="B11" s="33" t="s">
        <v>59</v>
      </c>
      <c r="C11" s="33" t="s">
        <v>60</v>
      </c>
      <c r="D11" s="33" t="s">
        <v>61</v>
      </c>
      <c r="E11" s="34" t="s">
        <v>62</v>
      </c>
      <c r="F11" s="33" t="s">
        <v>63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5"/>
      <c r="T11" s="36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>
        <v>30</v>
      </c>
      <c r="AN11" s="36">
        <f>+AM11*AX11</f>
        <v>210000</v>
      </c>
      <c r="AO11" s="33"/>
      <c r="AP11" s="33"/>
      <c r="AQ11" s="33"/>
      <c r="AR11" s="36"/>
      <c r="AS11" s="33"/>
      <c r="AT11" s="33"/>
      <c r="AU11" s="33"/>
      <c r="AV11" s="33"/>
      <c r="AW11" s="37">
        <f>+AQ11+AO11+AM11+AK11+AI11+AG11+AE11+AC11+AA11+Y11+W11+U11+S11+Q11+O11+M11+K11+I11+AS11+G11+AU11</f>
        <v>30</v>
      </c>
      <c r="AX11" s="36">
        <v>7000</v>
      </c>
      <c r="AY11" s="36">
        <f>+AW11*AX11</f>
        <v>210000</v>
      </c>
    </row>
    <row r="12" spans="1:51" x14ac:dyDescent="0.25">
      <c r="A12" s="38">
        <v>2</v>
      </c>
      <c r="B12" s="38" t="s">
        <v>64</v>
      </c>
      <c r="C12" s="38" t="s">
        <v>60</v>
      </c>
      <c r="D12" s="38" t="s">
        <v>61</v>
      </c>
      <c r="E12" s="39" t="s">
        <v>65</v>
      </c>
      <c r="F12" s="38" t="s">
        <v>66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40"/>
      <c r="T12" s="41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>
        <v>25</v>
      </c>
      <c r="AN12" s="36">
        <f>+AM12*AX12</f>
        <v>100000</v>
      </c>
      <c r="AO12" s="38"/>
      <c r="AP12" s="38"/>
      <c r="AQ12" s="38"/>
      <c r="AR12" s="41"/>
      <c r="AS12" s="38"/>
      <c r="AT12" s="38"/>
      <c r="AU12" s="38"/>
      <c r="AV12" s="38"/>
      <c r="AW12" s="42">
        <f>+AQ12+AO12+AM12+AK12+AI12+AG12+AE12+AC12+AA12+Y12+W12+U12+S12+Q12+O12+M12+K12+I12+AS12+G12+AU12</f>
        <v>25</v>
      </c>
      <c r="AX12" s="41">
        <v>4000</v>
      </c>
      <c r="AY12" s="36">
        <f>+AW12*AX12</f>
        <v>100000</v>
      </c>
    </row>
    <row r="13" spans="1:51" x14ac:dyDescent="0.25">
      <c r="A13" s="38">
        <v>3</v>
      </c>
      <c r="B13" s="38" t="s">
        <v>67</v>
      </c>
      <c r="C13" s="38" t="s">
        <v>60</v>
      </c>
      <c r="D13" s="38" t="s">
        <v>61</v>
      </c>
      <c r="E13" s="39" t="s">
        <v>68</v>
      </c>
      <c r="F13" s="38" t="s">
        <v>66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40"/>
      <c r="T13" s="41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>
        <v>25</v>
      </c>
      <c r="AN13" s="36">
        <f>+AM13*AX13</f>
        <v>87500</v>
      </c>
      <c r="AO13" s="38"/>
      <c r="AP13" s="38"/>
      <c r="AQ13" s="38"/>
      <c r="AR13" s="41"/>
      <c r="AS13" s="38"/>
      <c r="AT13" s="38"/>
      <c r="AU13" s="38"/>
      <c r="AV13" s="38"/>
      <c r="AW13" s="42">
        <f>+AQ13+AO13+AM13+AK13+AI13+AG13+AE13+AC13+AA13+Y13+W13+U13+S13+Q13+O13+M13+K13+I13+AS13+G13+AU13</f>
        <v>25</v>
      </c>
      <c r="AX13" s="41">
        <v>3500</v>
      </c>
      <c r="AY13" s="36">
        <f>+AW13*AX13</f>
        <v>87500</v>
      </c>
    </row>
    <row r="14" spans="1:51" x14ac:dyDescent="0.25">
      <c r="A14" s="38">
        <v>4</v>
      </c>
      <c r="B14" s="38" t="s">
        <v>69</v>
      </c>
      <c r="C14" s="38" t="s">
        <v>60</v>
      </c>
      <c r="D14" s="38" t="s">
        <v>61</v>
      </c>
      <c r="E14" s="39" t="s">
        <v>70</v>
      </c>
      <c r="F14" s="38" t="s">
        <v>63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0"/>
      <c r="T14" s="41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>
        <v>30</v>
      </c>
      <c r="AN14" s="36">
        <f>+AM14*AX14</f>
        <v>165000</v>
      </c>
      <c r="AO14" s="38"/>
      <c r="AP14" s="38"/>
      <c r="AQ14" s="38"/>
      <c r="AR14" s="41"/>
      <c r="AS14" s="38"/>
      <c r="AT14" s="38"/>
      <c r="AU14" s="38"/>
      <c r="AV14" s="38"/>
      <c r="AW14" s="42">
        <f>+AQ14+AO14+AM14+AK14+AI14+AG14+AE14+AC14+AA14+Y14+W14+U14+S14+Q14+O14+M14+K14+I14+AS14+G14+AU14</f>
        <v>30</v>
      </c>
      <c r="AX14" s="41">
        <v>5500</v>
      </c>
      <c r="AY14" s="36">
        <f>+AW14*AX14</f>
        <v>165000</v>
      </c>
    </row>
    <row r="15" spans="1:51" ht="15.75" thickBot="1" x14ac:dyDescent="0.3">
      <c r="A15" s="43">
        <v>5</v>
      </c>
      <c r="B15" s="43" t="s">
        <v>71</v>
      </c>
      <c r="C15" s="43" t="s">
        <v>60</v>
      </c>
      <c r="D15" s="43" t="s">
        <v>61</v>
      </c>
      <c r="E15" s="44" t="s">
        <v>72</v>
      </c>
      <c r="F15" s="43" t="s">
        <v>63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5"/>
      <c r="T15" s="46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>
        <v>25</v>
      </c>
      <c r="AN15" s="47">
        <f>+AM15*AX15</f>
        <v>87500</v>
      </c>
      <c r="AO15" s="43"/>
      <c r="AP15" s="43"/>
      <c r="AQ15" s="43"/>
      <c r="AR15" s="46"/>
      <c r="AS15" s="43"/>
      <c r="AT15" s="43"/>
      <c r="AU15" s="43"/>
      <c r="AV15" s="43"/>
      <c r="AW15" s="48">
        <f>+AQ15+AO15+AM15+AK15+AI15+AG15+AE15+AC15+AA15+Y15+W15+U15+S15+Q15+O15+M15+K15+I15+AS15+G15+AU15</f>
        <v>25</v>
      </c>
      <c r="AX15" s="46">
        <v>3500</v>
      </c>
      <c r="AY15" s="47">
        <f>+AW15*AX15</f>
        <v>87500</v>
      </c>
    </row>
    <row r="16" spans="1:51" ht="15.75" thickBot="1" x14ac:dyDescent="0.3">
      <c r="A16" s="49"/>
      <c r="B16" s="50"/>
      <c r="C16" s="50"/>
      <c r="D16" s="50"/>
      <c r="E16" s="51" t="s">
        <v>73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2"/>
      <c r="T16" s="53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3"/>
      <c r="AO16" s="50"/>
      <c r="AP16" s="50"/>
      <c r="AQ16" s="50"/>
      <c r="AR16" s="53"/>
      <c r="AS16" s="50"/>
      <c r="AT16" s="50"/>
      <c r="AU16" s="50"/>
      <c r="AV16" s="50"/>
      <c r="AW16" s="54"/>
      <c r="AX16" s="53"/>
      <c r="AY16" s="55">
        <f>+SUM(AY11:AY15)</f>
        <v>650000</v>
      </c>
    </row>
    <row r="17" spans="1:51" ht="15.75" thickBot="1" x14ac:dyDescent="0.3">
      <c r="A17" s="56"/>
      <c r="B17" s="56"/>
      <c r="C17" s="56"/>
      <c r="D17" s="56"/>
      <c r="E17" s="57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8"/>
      <c r="T17" s="59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9"/>
      <c r="AO17" s="56"/>
      <c r="AP17" s="56"/>
      <c r="AQ17" s="56"/>
      <c r="AR17" s="59"/>
      <c r="AS17" s="56"/>
      <c r="AT17" s="56"/>
      <c r="AU17" s="56"/>
      <c r="AV17" s="56"/>
      <c r="AW17" s="58"/>
      <c r="AX17" s="59"/>
      <c r="AY17" s="59"/>
    </row>
    <row r="18" spans="1:51" ht="30" x14ac:dyDescent="0.25">
      <c r="A18" s="56"/>
      <c r="B18" s="56"/>
      <c r="C18" s="60" t="s">
        <v>74</v>
      </c>
      <c r="D18" s="61" t="s">
        <v>75</v>
      </c>
      <c r="E18" s="62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8"/>
      <c r="T18" s="59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9"/>
      <c r="AO18" s="56"/>
      <c r="AP18" s="56"/>
      <c r="AQ18" s="56"/>
      <c r="AR18" s="59"/>
      <c r="AS18" s="56"/>
      <c r="AT18" s="56"/>
      <c r="AU18" s="56"/>
      <c r="AV18" s="56"/>
      <c r="AW18" s="58"/>
      <c r="AX18" s="59"/>
      <c r="AY18" s="59"/>
    </row>
    <row r="19" spans="1:51" x14ac:dyDescent="0.25">
      <c r="A19" s="56"/>
      <c r="B19" s="56"/>
      <c r="C19" s="63"/>
      <c r="D19" s="64"/>
      <c r="E19" s="65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8"/>
      <c r="T19" s="59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9"/>
      <c r="AO19" s="56"/>
      <c r="AP19" s="56"/>
      <c r="AQ19" s="56"/>
      <c r="AR19" s="59"/>
      <c r="AS19" s="56"/>
      <c r="AT19" s="56"/>
      <c r="AU19" s="56"/>
      <c r="AV19" s="56"/>
      <c r="AW19" s="58"/>
      <c r="AX19" s="59"/>
      <c r="AY19" s="59"/>
    </row>
    <row r="20" spans="1:51" x14ac:dyDescent="0.25">
      <c r="A20" s="56"/>
      <c r="B20" s="56"/>
      <c r="C20" s="66" t="s">
        <v>76</v>
      </c>
      <c r="D20" s="67" t="s">
        <v>77</v>
      </c>
      <c r="E20" s="68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8"/>
      <c r="T20" s="59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9"/>
      <c r="AO20" s="56"/>
      <c r="AP20" s="56"/>
      <c r="AQ20" s="56"/>
      <c r="AR20" s="59"/>
      <c r="AS20" s="56"/>
      <c r="AT20" s="56"/>
      <c r="AU20" s="56"/>
      <c r="AV20" s="56"/>
      <c r="AW20" s="58"/>
      <c r="AX20" s="59"/>
      <c r="AY20" s="59"/>
    </row>
    <row r="21" spans="1:51" x14ac:dyDescent="0.25">
      <c r="A21" s="56"/>
      <c r="B21" s="56"/>
      <c r="C21" s="66"/>
      <c r="D21" s="64"/>
      <c r="E21" s="65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8"/>
      <c r="T21" s="59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9"/>
      <c r="AO21" s="56"/>
      <c r="AP21" s="56"/>
      <c r="AQ21" s="56"/>
      <c r="AR21" s="59"/>
      <c r="AS21" s="56"/>
      <c r="AT21" s="56"/>
      <c r="AU21" s="56"/>
      <c r="AV21" s="56"/>
      <c r="AW21" s="58"/>
      <c r="AX21" s="59"/>
      <c r="AY21" s="59"/>
    </row>
    <row r="22" spans="1:51" x14ac:dyDescent="0.25">
      <c r="A22" s="56"/>
      <c r="B22" s="56"/>
      <c r="C22" s="66" t="s">
        <v>78</v>
      </c>
      <c r="D22" s="67" t="s">
        <v>79</v>
      </c>
      <c r="E22" s="68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8"/>
      <c r="T22" s="59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9"/>
      <c r="AO22" s="56"/>
      <c r="AP22" s="56"/>
      <c r="AQ22" s="56"/>
      <c r="AR22" s="59"/>
      <c r="AS22" s="56"/>
      <c r="AT22" s="56"/>
      <c r="AU22" s="56"/>
      <c r="AV22" s="56"/>
      <c r="AW22" s="58"/>
      <c r="AX22" s="59"/>
      <c r="AY22" s="59"/>
    </row>
    <row r="23" spans="1:51" x14ac:dyDescent="0.25">
      <c r="A23" s="56"/>
      <c r="B23" s="56"/>
      <c r="C23" s="66"/>
      <c r="D23" s="64"/>
      <c r="E23" s="65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8"/>
      <c r="T23" s="59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9"/>
      <c r="AO23" s="56"/>
      <c r="AP23" s="56"/>
      <c r="AQ23" s="56"/>
      <c r="AR23" s="59"/>
      <c r="AS23" s="56"/>
      <c r="AT23" s="56"/>
      <c r="AU23" s="56"/>
      <c r="AV23" s="56"/>
      <c r="AW23" s="58"/>
      <c r="AX23" s="59"/>
      <c r="AY23" s="59"/>
    </row>
    <row r="24" spans="1:51" x14ac:dyDescent="0.25">
      <c r="A24" s="56"/>
      <c r="B24" s="56"/>
      <c r="C24" s="66" t="s">
        <v>80</v>
      </c>
      <c r="D24" s="64"/>
      <c r="E24" s="65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8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9"/>
      <c r="AO24" s="56"/>
      <c r="AP24" s="56"/>
      <c r="AQ24" s="56"/>
      <c r="AR24" s="59"/>
      <c r="AS24" s="56"/>
      <c r="AT24" s="56"/>
      <c r="AU24" s="56"/>
      <c r="AV24" s="56"/>
      <c r="AW24" s="58"/>
      <c r="AX24" s="59"/>
      <c r="AY24" s="59"/>
    </row>
    <row r="25" spans="1:51" x14ac:dyDescent="0.25">
      <c r="A25" s="56"/>
      <c r="B25" s="56"/>
      <c r="C25" s="66"/>
      <c r="D25" s="64"/>
      <c r="E25" s="65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8"/>
      <c r="T25" s="59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9"/>
      <c r="AO25" s="56"/>
      <c r="AP25" s="56"/>
      <c r="AQ25" s="56"/>
      <c r="AR25" s="59"/>
      <c r="AS25" s="56"/>
      <c r="AT25" s="56"/>
      <c r="AU25" s="56"/>
      <c r="AV25" s="56"/>
      <c r="AW25" s="58"/>
      <c r="AX25" s="59"/>
      <c r="AY25" s="59"/>
    </row>
    <row r="26" spans="1:51" ht="15.75" thickBot="1" x14ac:dyDescent="0.3">
      <c r="A26" s="56"/>
      <c r="B26" s="56"/>
      <c r="C26" s="69" t="s">
        <v>81</v>
      </c>
      <c r="D26" s="70" t="s">
        <v>82</v>
      </c>
      <c r="E26" s="7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8"/>
      <c r="T26" s="59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9"/>
      <c r="AO26" s="56"/>
      <c r="AP26" s="56"/>
      <c r="AQ26" s="56"/>
      <c r="AR26" s="59"/>
      <c r="AS26" s="56"/>
      <c r="AT26" s="56"/>
      <c r="AU26" s="56"/>
      <c r="AV26" s="56"/>
      <c r="AW26" s="58"/>
      <c r="AX26" s="59"/>
      <c r="AY26" s="59"/>
    </row>
    <row r="27" spans="1:51" x14ac:dyDescent="0.25">
      <c r="A27" s="56"/>
      <c r="B27" s="56"/>
      <c r="C27" s="56"/>
      <c r="D27" s="56"/>
      <c r="E27" s="57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8"/>
      <c r="T27" s="59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9"/>
      <c r="AO27" s="56"/>
      <c r="AP27" s="56"/>
      <c r="AQ27" s="56"/>
      <c r="AR27" s="59"/>
      <c r="AS27" s="56"/>
      <c r="AT27" s="56"/>
      <c r="AU27" s="56"/>
      <c r="AV27" s="56"/>
      <c r="AW27" s="58"/>
      <c r="AX27" s="59"/>
      <c r="AY27" s="59"/>
    </row>
    <row r="28" spans="1:51" x14ac:dyDescent="0.25">
      <c r="A28" s="56"/>
      <c r="B28" s="56"/>
      <c r="C28" s="56"/>
      <c r="D28" s="56"/>
      <c r="E28" s="57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8"/>
      <c r="T28" s="59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9"/>
      <c r="AO28" s="56"/>
      <c r="AP28" s="56"/>
      <c r="AQ28" s="56"/>
      <c r="AR28" s="59"/>
      <c r="AS28" s="56"/>
      <c r="AT28" s="56"/>
      <c r="AU28" s="56"/>
      <c r="AV28" s="56"/>
      <c r="AW28" s="58"/>
      <c r="AX28" s="59"/>
      <c r="AY28" s="59"/>
    </row>
  </sheetData>
  <mergeCells count="9">
    <mergeCell ref="D20:E20"/>
    <mergeCell ref="D22:E22"/>
    <mergeCell ref="D26:E26"/>
    <mergeCell ref="B3:AX3"/>
    <mergeCell ref="A5:B5"/>
    <mergeCell ref="A6:B6"/>
    <mergeCell ref="A7:B7"/>
    <mergeCell ref="A8:B8"/>
    <mergeCell ref="D18:E18"/>
  </mergeCells>
  <conditionalFormatting sqref="B2:B10 E2:E10">
    <cfRule type="duplicateValues" dxfId="7" priority="3"/>
  </conditionalFormatting>
  <conditionalFormatting sqref="E2:E10 B2:B10">
    <cfRule type="duplicateValues" dxfId="6" priority="4"/>
  </conditionalFormatting>
  <conditionalFormatting sqref="B2:B10">
    <cfRule type="duplicateValues" dxfId="5" priority="5"/>
  </conditionalFormatting>
  <conditionalFormatting sqref="E2:E10">
    <cfRule type="duplicateValues" dxfId="4" priority="6"/>
  </conditionalFormatting>
  <conditionalFormatting sqref="E2:E10">
    <cfRule type="duplicateValues" dxfId="3" priority="7"/>
    <cfRule type="duplicateValues" dxfId="2" priority="8"/>
  </conditionalFormatting>
  <conditionalFormatting sqref="C20:C26">
    <cfRule type="duplicateValues" dxfId="1" priority="1"/>
  </conditionalFormatting>
  <conditionalFormatting sqref="C20:C2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2022-02-14T12:09:56Z</dcterms:created>
  <dcterms:modified xsi:type="dcterms:W3CDTF">2022-02-14T12:10:16Z</dcterms:modified>
</cp:coreProperties>
</file>