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VADEMECUM\TRIMESTRALES MEDICAMENTOS Y DESCARTABLES\"/>
    </mc:Choice>
  </mc:AlternateContent>
  <bookViews>
    <workbookView xWindow="0" yWindow="0" windowWidth="28800" windowHeight="12330" tabRatio="500"/>
  </bookViews>
  <sheets>
    <sheet name="Necesidades Trimestrales" sheetId="1" r:id="rId1"/>
    <sheet name="Hoja1" sheetId="2" r:id="rId2"/>
  </sheets>
  <definedNames>
    <definedName name="_xlnm._FilterDatabase" localSheetId="0" hidden="1">'Necesidades Trimestrales'!$A$9:$I$132</definedName>
    <definedName name="_xlnm.Print_Area" localSheetId="0">'Necesidades Trimestrales'!$E$9:$E$132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2" i="1" l="1"/>
  <c r="I131" i="1"/>
  <c r="I38" i="1" l="1"/>
  <c r="I42" i="1"/>
  <c r="I40" i="1"/>
  <c r="I41" i="1"/>
  <c r="I44" i="1"/>
  <c r="I10" i="1" l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1" i="1"/>
  <c r="I32" i="1"/>
  <c r="I33" i="1"/>
  <c r="I34" i="1"/>
  <c r="I35" i="1"/>
  <c r="I45" i="1"/>
  <c r="I46" i="1"/>
  <c r="I47" i="1"/>
  <c r="I48" i="1"/>
  <c r="I49" i="1"/>
  <c r="I50" i="1"/>
  <c r="I51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52" i="1"/>
  <c r="I53" i="1"/>
  <c r="I54" i="1"/>
  <c r="I83" i="1"/>
  <c r="I84" i="1"/>
  <c r="I85" i="1"/>
  <c r="I86" i="1"/>
  <c r="I87" i="1"/>
  <c r="I88" i="1"/>
  <c r="I89" i="1"/>
  <c r="I91" i="1"/>
  <c r="I92" i="1"/>
  <c r="I93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1" i="1"/>
  <c r="H113" i="1"/>
  <c r="I90" i="1"/>
  <c r="H96" i="1"/>
  <c r="I94" i="1"/>
  <c r="I96" i="1" l="1"/>
  <c r="I95" i="1"/>
  <c r="I30" i="1"/>
  <c r="I113" i="1"/>
</calcChain>
</file>

<file path=xl/sharedStrings.xml><?xml version="1.0" encoding="utf-8"?>
<sst xmlns="http://schemas.openxmlformats.org/spreadsheetml/2006/main" count="550" uniqueCount="302">
  <si>
    <t>Pedido de Necesidades Trimestrales</t>
  </si>
  <si>
    <t>JURISDICCION:</t>
  </si>
  <si>
    <t xml:space="preserve">SAF N°: 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</si>
  <si>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</si>
  <si>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</si>
  <si>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</si>
  <si>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</si>
  <si>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</si>
  <si>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</si>
  <si>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</si>
  <si>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</si>
  <si>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</si>
  <si>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</si>
  <si>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040 - Ministerio de Salud</t>
  </si>
  <si>
    <t>11/ 23/ 24  o  28- "…......."</t>
  </si>
  <si>
    <t>UNIDAD</t>
  </si>
  <si>
    <t>CAJA</t>
  </si>
  <si>
    <t xml:space="preserve">UNIDAD   </t>
  </si>
  <si>
    <t>ROLLO</t>
  </si>
  <si>
    <t>RESMA</t>
  </si>
  <si>
    <t>CODIGO ITEM COMPRAR</t>
  </si>
  <si>
    <t>VENDAS USO MEDICO; TIPO: DE GOMA SMARCH, MEDIDA: 10</t>
  </si>
  <si>
    <t>VENDAS USO MEDICO; TIPO: DE GOMA SMARCH, MEDIDA: 15</t>
  </si>
  <si>
    <t>VENDAS USO MEDICO; TIPO: DE GOMA SMARCH, MEDIDA: 20</t>
  </si>
  <si>
    <t>2.9.5-461.35</t>
  </si>
  <si>
    <t>2.9.5-461.37</t>
  </si>
  <si>
    <t>2.9.5-461.38</t>
  </si>
  <si>
    <t>VENDAS USO MEDICO; MEDIDA: 5, TIPO: DE GOMA SMARCH</t>
  </si>
  <si>
    <t>2.9.5-461.40</t>
  </si>
  <si>
    <t>PROD. MEDICO/FARMACEUTICOS/LAB</t>
  </si>
  <si>
    <t>2.9.5-461.6</t>
  </si>
  <si>
    <t>VENDAS USO MEDICO; MEDIDA: 5, TIPO: COBAN COLOR PIEL</t>
  </si>
  <si>
    <t>VENDAS USO MEDICO; TIPO: COBAN COLOR PIEL, MEDIDA: 10</t>
  </si>
  <si>
    <t>2.9.5-461.5</t>
  </si>
  <si>
    <t>REACTIVOS P/LAB. TEC. MANUAL ; NOMBRE: TIRAS REACTIVAS, USO: DET. MEDICION DE GLUCOSA, PRESENTACION: ENVASE X 50 UN</t>
  </si>
  <si>
    <t>2.5.1-9052.1258</t>
  </si>
  <si>
    <t>PLACAS RADIOGRAFICAS; SENSIBILIDAD: AL VERDE, DIMENSION: 18 X 24 CM, PRESENTACION: CAJA X 100 UNIDADES</t>
  </si>
  <si>
    <t>2.5.9-945.41</t>
  </si>
  <si>
    <t>PLACAS RADIOGRAFICAS; SENSIBILIDAD: AL VERDE, DIMENSION: 24 X 30 CM, PRESENTACION: CAJA X 100 UNIDADES</t>
  </si>
  <si>
    <t>2.5.9-945.42</t>
  </si>
  <si>
    <t>PLACAS RADIOGRAFICAS; SENSIBILIDAD: AL VERDE, DIMENSION: 35 X 43 CM, PRESENTACION: CAJA X 100 UNIDADES</t>
  </si>
  <si>
    <t>2.5.9-945.43</t>
  </si>
  <si>
    <t>PELICULAS MAMOGRAFICAS; USO: RADIOLOGIA MAMARIA, PRESENTACION: ENVASE X 150 UN, MEDIDA: 26 X 36 Cm</t>
  </si>
  <si>
    <t>2.9.5-9745.5</t>
  </si>
  <si>
    <t>PELICULAS MAMOGRAFICAS; USO: RADIOLOGIA MAMARIA, PRESENTACION: ENVASE X 150 UN, MEDIDA: 20 X 25 Cm</t>
  </si>
  <si>
    <t>2.9.5-9745.6</t>
  </si>
  <si>
    <t>AGUJAS QUIRURGICAS; ESPECIFICACION: 30G X 1/2", TIPO: DESCARTABLE, PRESENTACION: CAJA X 100 UN, UNIDAD VENTA: CAJA X 100 UN</t>
  </si>
  <si>
    <t>2.9.5-441.112</t>
  </si>
  <si>
    <t>AGUJAS QUIRURGICAS; TIPO: ESPINAL, ESPECIFICACION: 18G X 3 1/2 pulg, UNIDAD VENTA: C/U, PRESENTACION: C/U</t>
  </si>
  <si>
    <t>2.9.5-441.40</t>
  </si>
  <si>
    <t>2.9.5-6519.7</t>
  </si>
  <si>
    <t>MASCARAS LARINGEA; USO: P/VIA RESPIRATORIA Nº 1, MATERIAL: SILICONA</t>
  </si>
  <si>
    <t>2.9.5-6519.5</t>
  </si>
  <si>
    <t>MASCARAS LARINGEA; USO: P/VIA RESPIRATORIA N° 2, MATERIAL: SILICONA</t>
  </si>
  <si>
    <t>2.9.5-6519.4</t>
  </si>
  <si>
    <t>MASCARAS LARINGEA; USO: P/VIA RESPIRATORIA N° 3, MATERIAL: SILICONA</t>
  </si>
  <si>
    <t>2.9.5-6519.3</t>
  </si>
  <si>
    <t>MASCARAS LARINGEA; USO: P/VIA RESPIRATORIA N° 4, MATERIAL: SILICONA</t>
  </si>
  <si>
    <t>JERINGA; MATERIAL: PLASTICO, CAPACIDAD: 60 cm, ACCESORIO: SIN, TIPO: BONEAU</t>
  </si>
  <si>
    <t>2.9.5-8799.100</t>
  </si>
  <si>
    <t>CANULAS; TIPO: K 66, MATERIAL: DESCARTABLE, DIAMETRO: 6 mm, LONG.DE CUERPO: STANDAR</t>
  </si>
  <si>
    <t>2.9.5-5567.119</t>
  </si>
  <si>
    <t>BOLSAS DE ANESTESIA; CAPACIDAD: 1 L</t>
  </si>
  <si>
    <t>BOLSAS DE ANESTESIA; CAPACIDAD: 2 L</t>
  </si>
  <si>
    <t>BOLSAS DE ANESTESIA; CAPACIDAD: 3 L</t>
  </si>
  <si>
    <t>BOLSAS DE ANESTESIA; CAPACIDAD: 4 L</t>
  </si>
  <si>
    <t>2.9.5-6532.2</t>
  </si>
  <si>
    <t>2.9.5-6532.1</t>
  </si>
  <si>
    <t>2.9.5-6532.5</t>
  </si>
  <si>
    <t>2.9.5-6532.4</t>
  </si>
  <si>
    <t>AGUJAS QUIRURGICAS; TIPO: P/FISTULA ARTERIOVENOSA, ESPECIFICACION: 16 G, PRESENTACION: ENVASE ESTERIL</t>
  </si>
  <si>
    <t>2.9.5-441.395</t>
  </si>
  <si>
    <t>2.9.5-441.285</t>
  </si>
  <si>
    <t>AGUJAS QUIRURGICAS; TIPO: FISTULAR ARTERIO VENOSA, ESPECIFICACION: 17 G, PRESENTACION: UNIDAD UN</t>
  </si>
  <si>
    <t>AGUJAS QUIRURGICAS; TIPO: ESPINAL PUNTA LAPIZ, ESPECIFICACION: 26 G, PRESENTACION: UNIDAD</t>
  </si>
  <si>
    <t>2.9.5-441.347</t>
  </si>
  <si>
    <t>AGUJAS QUIRURGICAS; TIPO: ESPINAL PUNTA LAPIZ, ESPECIFICACION: 27 G, PRESENTACION: UNIDAD</t>
  </si>
  <si>
    <t>2.9.5-441.348</t>
  </si>
  <si>
    <t>2.9.5-441.44</t>
  </si>
  <si>
    <t>AGUJAS QUIRURGICAS; UNIDAD VENTA: C/U, ESPECIFICACION: 22G X 3 1/2 pulg, TIPO: ESPINAL, PRESENTACION: C/U</t>
  </si>
  <si>
    <t>AGUJAS QUIRURGICAS; ESPECIFICACION: 19G X 3 1/2 pulg, TIPO: ESPINAL, UNIDAD VENTA: C/U, PRESENTACION: C/U</t>
  </si>
  <si>
    <t>2.9.5-441.41</t>
  </si>
  <si>
    <t>AGUJAS QUIRURGICAS; ESPECIFICACION: 21G X 3 1/2 pulg, TIPO: ESPINAL, PRESENTACION: C/U, UNIDAD VENTA: C/U</t>
  </si>
  <si>
    <t>2.9.5-441.43</t>
  </si>
  <si>
    <t>AGUJAS QUIRURGICAS; ESPECIFICACION: 23G X 3 1/2 pulg, UNIDAD VENTA: C/U, TIPO: ESPINAL, PRESENTACION: C/U</t>
  </si>
  <si>
    <t>2.9.5-441.45</t>
  </si>
  <si>
    <t>AGUJAS QUIRURGICAS; UNIDAD VENTA: C/U, TIPO: ESPINAL, ESPECIFICACION: 25G X 3 1/2 pulg, PRESENTACION: C/U</t>
  </si>
  <si>
    <t>2.9.5-441.46</t>
  </si>
  <si>
    <t>AGUJAS QUIRURGICAS; ESPECIFICACION: 20G X 3 1/2 pulg, TIPO: ESPINAL, UNIDAD VENTA: C/U, PRESENTACION: C/U</t>
  </si>
  <si>
    <t>2.9.5-441.42</t>
  </si>
  <si>
    <t>PAPEL P/ECOGRAFIA; TIPO: UPP-110S, MEDIDA: 11 Cm, PRESENTACION: ROLLO X 20 M</t>
  </si>
  <si>
    <t>2.3.9-3651.11</t>
  </si>
  <si>
    <t>PAPEL P/ELECTROCARDIOGRAM.; MEDIDA: 50 MM X 30 M</t>
  </si>
  <si>
    <t>2.9.5-2553.6</t>
  </si>
  <si>
    <t>PAPEL P/ELECTROCARDIOGRAM.; MEDIDA: 62 MM X 30 M</t>
  </si>
  <si>
    <t>2.9.5-2553.19</t>
  </si>
  <si>
    <t>PAPEL P/ELECTROCARDIOGRAM.; MEDIDA: 80 MM X 30 M</t>
  </si>
  <si>
    <t>2.9.5-2553.18</t>
  </si>
  <si>
    <t>SENSORES DE S.P. O2; USO: NEONATAL, MONITOR: PARA SATUROMETRO, MARCA MONITOR: NELLCOR PURITAN, MODELO MONITOR: BENETT, CODIGO MONITOR: SIN VALOR</t>
  </si>
  <si>
    <t>2.9.5-2506.7</t>
  </si>
  <si>
    <t>SENSORES DE S.P. O2; USO: ADULTO, MONITOR: PARA SATUROMETRO, MARCA MONITOR: NELLCOR PURITAN, MODELO MONITOR: BENETT, CODIGO MONITOR: SIN VALOR</t>
  </si>
  <si>
    <t>2.9.5-2506.2</t>
  </si>
  <si>
    <t>SENSORES DE S.P. O2; USO: MEDICION SATURACION, MONITOR: SATURACION, MARCA MONITOR: PHILIPS, MODELO MONITOR: MP30, CODIGO MONITOR: NO ESPECIFICADO</t>
  </si>
  <si>
    <t>2.9.5-2506.8</t>
  </si>
  <si>
    <t>SIERRAS DE CIRUGIA; TIPO: GIGLY, MATERIAL: ACERO QUIRURGICO, CANT. DE HOJAS: 1</t>
  </si>
  <si>
    <t>4.3.3-6333.3</t>
  </si>
  <si>
    <t>2.9.5-2161.117</t>
  </si>
  <si>
    <t>2.9.5-2161.102</t>
  </si>
  <si>
    <t>2.9.5-2161.103</t>
  </si>
  <si>
    <t>2.9.5-2161.104</t>
  </si>
  <si>
    <t>2.9.5-2161.105</t>
  </si>
  <si>
    <t>AGUJAS QUIRURGICAS; TIPO: P/BIOPSIAS, ESPECIFICACION: 16G, UNIDAD VENTA: UNIDAD, PRESENTACION: UNIDAD</t>
  </si>
  <si>
    <t>2.9.5-441.234</t>
  </si>
  <si>
    <t>HILOS DE SUTURA; PRESENTACION: UNIDAD, MATERIAL: ACERO INOXIDABLE, MEDIDA: CALIBRE 1</t>
  </si>
  <si>
    <t>2.9.5-2886.94</t>
  </si>
  <si>
    <t>COLLARES CERVICALES; MATERIAL: ESPUMA DE POLIURETANO, TALLE: CHICO, USO: INMOVILIZADOR CERVICAL</t>
  </si>
  <si>
    <t>2.9.5-5041.17</t>
  </si>
  <si>
    <t>2.9.5-5041.12</t>
  </si>
  <si>
    <t>2.9.5-5041.7</t>
  </si>
  <si>
    <t>PAPEL P/ECOGRAFIA; TIPO: UPP - HD - 210, MEDIDA: 210 mm, PRESENTACION: ROLLO X 20 M</t>
  </si>
  <si>
    <t>2.3.9-3651.6</t>
  </si>
  <si>
    <t>2.9.5-4198.133</t>
  </si>
  <si>
    <t>ELEMENTOS DESC. P/CIRUGIAS; TIPO: MAMELUCO MONO, PRESENTACION: UNIDAD</t>
  </si>
  <si>
    <t>2.9.5-441.477</t>
  </si>
  <si>
    <t>AGUJAS QUIRÚRGICAS; TIPO: ESPINAL PUNTA LÁPIZ PARA OBESO; ESPECIFICACIÓN: 25 G; PRESENTACIÓN: UNIDAD</t>
  </si>
  <si>
    <t>2.9.5-441.478</t>
  </si>
  <si>
    <t>AGUJAS QUIRÚRGICAS; TIPO: ESPINAL PUNTA LÁPIZ PARA OBESO; ESPECIFICACIÓN: 27 G; PRESENTACIÓN: UNIDAD</t>
  </si>
  <si>
    <t>2.9.5-441.479</t>
  </si>
  <si>
    <t>AGUJAS QUIRÚRGICAS; TIPO: P/SUTURA; ESPECIFICACIÓN: GA 213/8; PRESENTACIÓN: 12 UNIDADES</t>
  </si>
  <si>
    <t>AGUJAS QUIRÚRGICAS; TIPO: P/SUTURA; ESPECIFICACIÓN: GA 213/9; PRESENTACIÓN: 12 UNIDADES</t>
  </si>
  <si>
    <t>2.9.5-441.480</t>
  </si>
  <si>
    <t>AGUJAS QUIRÚRGICAS; TIPO: P/SUTURA; ESPECIFICACIÓN: GA 311/12; PRESENTACIÓN: 12 UNIDADES</t>
  </si>
  <si>
    <t>2.9.5-441.481</t>
  </si>
  <si>
    <t>AGUJAS QUIRÚRGICAS; TIPO: P/SUTURA; ESPECIFICACIÓN: GA 311/6; PRESENTACIÓN: 12 UNIDADES</t>
  </si>
  <si>
    <t>2.9.5-441.482</t>
  </si>
  <si>
    <t>AGUJAS QUIRÚRGICAS; TIPO: CURVA; ESPECIFICACIÓN: Nº 313/8; PRESENTACIÓN: SOBRE X 12 UN</t>
  </si>
  <si>
    <t>2.9.5-441.483</t>
  </si>
  <si>
    <t>AGUJAS QUIRÚRGICAS; TIPO: CURVA; ESPECIFICACIÓN: CV Nº 310; PRESENTACIÓN: SOBRE X 12 UN</t>
  </si>
  <si>
    <t>2.9.5-441.484</t>
  </si>
  <si>
    <t>2.9.5-441.485</t>
  </si>
  <si>
    <t>AGUJAS QUIRÚRGICAS; TIPO: RECTA; ESPECIFICACIÓN: Nº 313/8; PRESENTACIÓN: SOBRE X 12 UN</t>
  </si>
  <si>
    <t>AGUJA QUIRÚRGICA; TIPO: PARA BLOQUEO NERVIOSO PERIFÉRICO Y NEUROESTIMULACIÓN; ESPECIFICACIÓN: TIPO BRAUN STIMUPLEX B</t>
  </si>
  <si>
    <t>2.9.5-441.486</t>
  </si>
  <si>
    <t>AGUJAS QUIRÚRGICAS; TIPO: P/SUTURA; ESPECIFICACIÓN: PB 331/6; PRESENTACIÓN: 12 UNIDADES</t>
  </si>
  <si>
    <t>2.9.5-441.487</t>
  </si>
  <si>
    <t>AGUJAS QUIRÚRGICAS; TIPO: P/SUTURA; ESPECIFICACIÓN: PB 331/7; PRESENTACIÓN: 12 UNIDADES</t>
  </si>
  <si>
    <t>2.9.5-441.488</t>
  </si>
  <si>
    <t>AGUJAS QUIRÚRGICAS; TIPO: P/SUTURA; ESPECIFICACIÓN: PB 313/4; PRESENTACIÓN: 12 UNIDADES</t>
  </si>
  <si>
    <t>2.9.5-441.489</t>
  </si>
  <si>
    <t>2.9.5-441.490</t>
  </si>
  <si>
    <t>2.9.5-441.491</t>
  </si>
  <si>
    <t>2.9.5-441.492</t>
  </si>
  <si>
    <t>2.9.5-441.493</t>
  </si>
  <si>
    <t>2.9.5-441.494</t>
  </si>
  <si>
    <t>2.9.5-441.495</t>
  </si>
  <si>
    <t>2.9.5-441.496</t>
  </si>
  <si>
    <t>2.9.5-441.497</t>
  </si>
  <si>
    <t>2.9.5-441.498</t>
  </si>
  <si>
    <t>AGUJAS QUIRÚRGICAS; TIPO: HUBER; ESPECIFICACIÓN: 19 G; PRESENTACIÓN: UNIDAD x 25 mm</t>
  </si>
  <si>
    <t>AGUJAS QUIRÚRGICAS; TIPO: HUBER; ESPECIFICACIÓN: 19 G; PRESENTACIÓN: UNIDAD x 17 mm</t>
  </si>
  <si>
    <t>AGUJAS QUIRÚRGICAS; TIPO: HUBER; ESPECIFICACIÓN: 20 G; PRESENTACIÓN: UNIDAD x 25 mm</t>
  </si>
  <si>
    <t>AGUJAS QUIRÚRGICAS; TIPO: HUBER; ESPECIFICACIÓN: 20 G; PRESENTACIÓN: UNIDAD x 17 mm</t>
  </si>
  <si>
    <t>AGUJAS QUIRÚRGICAS; TIPO: HUBER; ESPECIFICACIÓN: 21 G; PRESENTACIÓN: UNIDAD x 25 mm</t>
  </si>
  <si>
    <t>AGUJAS QUIRÚRGICAS; TIPO: HUBER; ESPECIFICACIÓN: 21 G; PRESENTACIÓN: UNIDAD x 32 mm</t>
  </si>
  <si>
    <t>AGUJAS QUIRÚRGICAS; TIPO: HUBER; ESPECIFICACIÓN: 21 G; PRESENTACIÓN: UNIDAD x 17 mm</t>
  </si>
  <si>
    <t>AGUJAS QUIRÚRGICAS; TIPO: HUBER; ESPECIFICACIÓN: 22 G; PRESENTACIÓN: UNIDAD x 17 mm</t>
  </si>
  <si>
    <t>AGUJAS QUIRÚRGICAS; TIPO: HUBER; ESPECIFICACIÓN: 22 G; PRESENTACIÓN: UNIDAD x 25 mm</t>
  </si>
  <si>
    <t>2.9.5-2886.196</t>
  </si>
  <si>
    <t>HILOS DE SUTURA; PRESENTACIÓN: UNIDAD; MATERIAL: ACERO INOXIDABLE; MEDIDA: CALIBRE 1.5</t>
  </si>
  <si>
    <t>EQ. DE BIOSEGURIDAD; TRAJE: SIN; BOTAS: SIN; MÁSCARA: SIN; ANTIPARRA: ANTEOJOS ANTI HIV</t>
  </si>
  <si>
    <t>2.9.5-6561.8</t>
  </si>
  <si>
    <t>2.9.5-7843.21</t>
  </si>
  <si>
    <t>2.9.5-7843.22</t>
  </si>
  <si>
    <t>2.9.5-7843.23</t>
  </si>
  <si>
    <t>2.9.5-7843.12</t>
  </si>
  <si>
    <t>2.9.5-7843.17</t>
  </si>
  <si>
    <t>2.9.5-7843.16</t>
  </si>
  <si>
    <t>2.9.5-7843.15</t>
  </si>
  <si>
    <t>2.9.5-7843.24</t>
  </si>
  <si>
    <t>2.9.5-7843.25</t>
  </si>
  <si>
    <t>2.9.5-7843.26</t>
  </si>
  <si>
    <t>2.9.5-7843.27</t>
  </si>
  <si>
    <t>BRAZALETES P/MEDICINA; MATERIAL: CAUCHO NATURAL Y VELCRO; USO: TENSIÓN ARTERIAL; TIPO: REUSABLE 1 TUBO NEONATAL Nº 1</t>
  </si>
  <si>
    <t>BRAZALETES P/MEDICINA; MATERIAL: CAUCHO NATURAL Y VELCRO; USO: TENSIÓN ARTERIAL; TIPO: REUSABLE 1 TUBO NEONATAL Nº 3</t>
  </si>
  <si>
    <t>BRAZALETES P/MEDICINA; MATERIAL: CAUCHO NATURAL Y VELCRO; USO: TENSIÓN ARTERIAL; TIPO: REUSABLE 1 TUBO NEONATAL Nº 5</t>
  </si>
  <si>
    <t>BRAZALETES P/MEDICINA; MATERIAL: CAUCHO NATURAL Y VELCRO; USO: TENSIÓN ARTERIAL; TIPO: REUSABLE 1 TUBO PEDIATRICO</t>
  </si>
  <si>
    <t>BRAZALETES P/MEDICINA; MATERIAL: CAUCHO NATURAL Y VELCRO; USO: TENSIÓN ARTERIAL; TIPO: REUSABLE 1 TUBO ADULTO PEQUEÑO</t>
  </si>
  <si>
    <t>BRAZALETES P/MEDICINA; MATERIAL: CAUCHO NATURAL Y VELCRO; USO: TENSIÓN ARTERIAL; TIPO: REUSABLE 1 TUBO ADULTO MEDIANO</t>
  </si>
  <si>
    <t>BRAZALETES P/MEDICINA; MATERIAL: CAUCHO NATURAL Y VELCRO; USO: TENSIÓN ARTERIAL; TIPO: REUSABLE 1 TUBO ADULTO  GRANDE</t>
  </si>
  <si>
    <t>BRAZALETES P/MEDICINA; MATERIAL: CAUCHO NATURAL Y VELCRO; USO: TENSIÓN ARTERIAL; TIPO: REUSABLE 2 TUBOS NEONATAL Nº 1</t>
  </si>
  <si>
    <t>BRAZALETES P/MEDICINA; MATERIAL: CAUCHO NATURAL Y VELCRO; USO: TENSIÓN ARTERIAL; TIPO: REUSABLE 2 TUBOS NEONATAL Nº 3</t>
  </si>
  <si>
    <t>BRAZALETES P/MEDICINA; MATERIAL: CAUCHO NATURAL Y VELCRO; USO: TENSIÓN ARTERIAL; TIPO: REUSABLE 2 TUBOS NEONATAL Nº 5</t>
  </si>
  <si>
    <t>BRAZALETES P/MEDICINA; MATERIAL: CAUCHO NATURAL Y VELCRO; USO: TENSIÓN ARTERIAL; TIPO: REUSABLE 2 TUBOS PEDIÁTRICO</t>
  </si>
  <si>
    <t>COLLARES CERVICALES; MATERIAL: ESPUMA DE POLIURETANO; TALLE: GRANDE; USO: INMOVILIZADOR CERVICAL</t>
  </si>
  <si>
    <t>COLLARES CERVICALES; MATERIAL: ESPUMA DE POLIURETANO; TALLE: MEDIANO; USO: INMOVILIZADOR CERVICAL</t>
  </si>
  <si>
    <t>4.3.3-3958.233</t>
  </si>
  <si>
    <t>INSTRUMENTOS DE MEDICION; USO: MEDIR GLUCOSA EN SANGRE, RANGO DE MEDICION: 10 A 600 mGr/dL, PRECISION: ALTA PRESICION, NOMBRE: MEDIDOR DE GLUCOSA</t>
  </si>
  <si>
    <t>4.3.3-2049.6</t>
  </si>
  <si>
    <t>4.3.3-2049.7</t>
  </si>
  <si>
    <t>ESTETOSCOPIOS: P/ADULTO; TIPO: 3 M LITTMANN CLASSIC</t>
  </si>
  <si>
    <t>ESTETOSCOPIOS: PEDIÁTRICO; TIPO: 3 M LITTMANN CLASSIC</t>
  </si>
  <si>
    <t>2.9.5-10014.1</t>
  </si>
  <si>
    <t>2.9.5-10014.2</t>
  </si>
  <si>
    <t>2.5.9-2401.22</t>
  </si>
  <si>
    <t>2.5.9-2401.23</t>
  </si>
  <si>
    <t>2.5.9-2402.25</t>
  </si>
  <si>
    <t>2.5.9-2402.26</t>
  </si>
  <si>
    <t>TRANSDUCTORES DE PRESION SANGUINEA; TIPO: TRANSDUCTOR DESCARTABLE DE PRESION ARTERIAL, TIPO: BD</t>
  </si>
  <si>
    <t>TRANSDUCTORES DE PRESION SANGUINEA; TIPO: TRANSDUCTOR DESCARTABLE DE PRESION ARTERIAL, TIPO: EDWARD</t>
  </si>
  <si>
    <t>FIJADORES P/RADIOLOGIA; PROCESO DE UTILIZACION: AUTOMATICO, PRESENTACION: ENVASE, CAPACIDAD: 20 L, SENSIBILIDAD: AL VERDE, PROCESO: AUTOMATICO</t>
  </si>
  <si>
    <t>FIJADORES P/RADIOLOGIA; PROCESO DE UTILIZACION: MANUAL, PRESENTACION: ENVASE, CAPACIDAD: 25 L, SENSIBILIDAD: AL VERDE, PROCESO: MANUAL</t>
  </si>
  <si>
    <t>REVELADORES P/RADIOLOGIA; PROCESO: AUTOMATICO, PRESENTACION: BIDON, CAPACIDAD: 20 L, SENSIBILIDAD: AL VERDE, USO: RX</t>
  </si>
  <si>
    <t>REVELADORES P/RADIOLOGIA; PROCESO: MANUAL, PRESENTACION: BIDON, CAPACIDAD: 25 L, SENSIBILIDAD: AL VERDE, USO: RX</t>
  </si>
  <si>
    <t>2.9.5-10013.1</t>
  </si>
  <si>
    <t>PAPEL P/EQUIPO MEDICO; USO: IMPRESIÓN ECG ; PRESENTACION: RESMA; MEDIDA: 80 X 70 MM</t>
  </si>
  <si>
    <t>2.9.5-10013.2</t>
  </si>
  <si>
    <t>PAPEL P/EQUIPO MEDICO; USO: IMPRESIÓN ECG ; PRESENTACION: RESMA; MEDIDA: 210 X 300 MM</t>
  </si>
  <si>
    <t>2.9.5-10013.3</t>
  </si>
  <si>
    <t>2.9.5-10013.4</t>
  </si>
  <si>
    <t>2.9.5-10013.5</t>
  </si>
  <si>
    <t>PAPEL P/EQUIPO MEDICO; USO: IMPRESIÓN MONITOREO FETAL; PRESENTACION: RESMA; MEDIDA: 130 X 100 MM</t>
  </si>
  <si>
    <t>PAPEL P/EQUIPO MEDICO; USO: IMPRESIÓN MONITOREO FETAL; PRESENTACION: RESMA; MEDIDA: 152 X 90 MM</t>
  </si>
  <si>
    <t>PAPEL P/EQUIPO MEDICO; USO: IMPRESIÓN MONITOREO FETAL; PRESENTACION:ROLLO; MEDIDA: 152 MM X 30 M</t>
  </si>
  <si>
    <t>2.5.2-7267.5</t>
  </si>
  <si>
    <t>2.5.2-7267.6</t>
  </si>
  <si>
    <t>PASTAS P/ELECTROENCEFALOGRAMA; PRESENTACION: 226 GR</t>
  </si>
  <si>
    <t>PASTAS P/ELECTROENCEFALOGRAMA; PRESENTACION: 400 GR</t>
  </si>
  <si>
    <t>2.9.5-4198.176</t>
  </si>
  <si>
    <t>ELEMENTOS DESC. P/CIRUGIAS; TIPO: PLANCHA AUTODHESIVA DE DOBLE CAMPO P/ELECTROBISTURÍ; PRESENTACIÓN: UNIDAD</t>
  </si>
  <si>
    <t>4.3.3-130.14</t>
  </si>
  <si>
    <t>4.3.3-130.15</t>
  </si>
  <si>
    <t>4.3.3-130.16</t>
  </si>
  <si>
    <t>TENSIOMETROS ARTERIALES: TENSIÓMETRO ANAEROIDE P/ADULTO; RANGO DE PRESION: S/PLIEGO; RANGO PULSACIONES: S/PLIEGO; ALIMENTACION: S/PLIEGO; PESO APROX: S/PLIEGO; TIPO: CON ESTETOSCOPIO</t>
  </si>
  <si>
    <t>TENSIOMETROS ARTERIALES: TENSIÓMETRO ANAEROIDE NEONATAL; RANGO DE PRESION: S/PLIEGO; RANGO PULSACIONES: S/PLIEGO; ALIMENTACION: S/PLIEGO; PESO APROX: S/PLIEGO; TIPO: CON ESTETOSCOPIO</t>
  </si>
  <si>
    <t>TENSIOMETROS ARTERIALES: TENSIÓMETRO ANAEROIDE PEDIÁTRICO; RANGO DE PRESION: S/PLIEGO; RANGO PULSACIONES: S/PLIEGO; ALIMENTACION: S/PLIEGO; PESO APROX: S/PLIEGO; TIPO: CON ESTETOSCOPIO</t>
  </si>
  <si>
    <t>TUBOS TRAQUEALES; TIPO: ENDOTRAQUEAL DOBLE LUZ DER., Nº: 25, NUMERO: 25</t>
  </si>
  <si>
    <t>TUBOS TRAQUEALES; TIPO: ENDOTRAQUEAL DOBLE LUZ DER., Nº: 35, NUMERO: 35</t>
  </si>
  <si>
    <t>TUBOS TRAQUEALES; TIPO: ENDOTRAQUEAL DOBLE LUZ DER., Nº: 37 DESCARTABLE, NUMERO: 37 DESCARTABLE</t>
  </si>
  <si>
    <t>TUBOS TRAQUEALES; TIPO: ENDOTRAQUEAL DOBLE LUZ IZQ., NUMERO: 25, Nº: 25</t>
  </si>
  <si>
    <t>TUBOS TRAQUEALES; TIPO: ENDOTRAQUEAL DOBLE LUZ IZQ., NUMERO: 35, Nº: 35</t>
  </si>
  <si>
    <t>TUBOS TRAQUEALES; TIPO: ENDOTRAQUEAL DOBLE LUZ IZQ., Nº: 37, NUMERO: 37</t>
  </si>
  <si>
    <t>2.9.5-2569.159</t>
  </si>
  <si>
    <t>2.9.5-2569.22</t>
  </si>
  <si>
    <t>2.9.5-2569.88</t>
  </si>
  <si>
    <t>2.9.5-2569.160</t>
  </si>
  <si>
    <t>2.9.5-2569.23</t>
  </si>
  <si>
    <t>2.9.5-2569.21</t>
  </si>
  <si>
    <t>2.9.5-2161.598</t>
  </si>
  <si>
    <t>CATÉTERES/SONDAS; NÚMERO: 10, TIPO: KEHR</t>
  </si>
  <si>
    <t>CATÉTERES/SONDAS; NÚMERO: 12, TIPO: KEHR</t>
  </si>
  <si>
    <t>CATÉTERES/SONDAS; NÚMERO: 14, TIPO: KEHR</t>
  </si>
  <si>
    <t>CATÉTERES/SONDAS; NÚMERO: 16, TIPO: KEHR</t>
  </si>
  <si>
    <t>CATÉTERES/SONDAS; NÚMERO: 18, TIPO: KEHR</t>
  </si>
  <si>
    <t>CATÉTERES/SONDAS; NÚMERO: 20, TIPO: KEHR</t>
  </si>
  <si>
    <t>INSTRUMENTAL MEDICO; DESCARTABLE: SI, MATERIAL: PLASTICO, ELEMENTO: JERINGA PARA BOMBA DE INFUSION</t>
  </si>
  <si>
    <t>2.9.5-8874.149</t>
  </si>
  <si>
    <t>EQUIPOS</t>
  </si>
  <si>
    <t>AGUJAS QUIRURGICAS; TIPO: P/INSULINA, ESPECIFICACION: 32 G, PRESENTACION: ENVASE X 100 UN</t>
  </si>
  <si>
    <t>2.9.5-441.437</t>
  </si>
  <si>
    <t>SE PIDIO EN COMODATO CON LAS BOMBAS</t>
  </si>
  <si>
    <t>SE PIDE CON LA PROVISION DE TIRAS ITEMS 104</t>
  </si>
  <si>
    <t>SOBRE</t>
  </si>
  <si>
    <t>x 2</t>
  </si>
  <si>
    <t>x2</t>
  </si>
  <si>
    <t>ELECTROBISTURI; TIPO: LAPIZ MONOPOLAR DESCARTABLE ESTERIL CON FICHA Y CABLE, CONTROL: COMPATIBLE CON GENERADORES ELECTROQUIRURGICOS</t>
  </si>
  <si>
    <t>4.3.3-133.16</t>
  </si>
  <si>
    <t>INFORMACION ADICIONAL:</t>
  </si>
  <si>
    <r>
      <rPr>
        <b/>
        <sz val="11"/>
        <color theme="1"/>
        <rFont val="Calibri"/>
        <family val="2"/>
        <scheme val="minor"/>
      </rPr>
      <t>1-</t>
    </r>
    <r>
      <rPr>
        <sz val="10"/>
        <rFont val="Arial"/>
        <charset val="1"/>
      </rPr>
      <t>Para oferentes de la Provincia de Catamarca deberán presentar Habilitación Provincial para comercializar el producto que cotizan.</t>
    </r>
  </si>
  <si>
    <r>
      <rPr>
        <b/>
        <sz val="11"/>
        <color theme="1"/>
        <rFont val="Calibri"/>
        <family val="2"/>
        <scheme val="minor"/>
      </rPr>
      <t>2-</t>
    </r>
    <r>
      <rPr>
        <sz val="10"/>
        <rFont val="Arial"/>
        <charset val="1"/>
      </rPr>
      <t>Para el resto de oferentes deberán presentar Certificado de Inscripción de ANMAT vigente al momento de la oferta, el mismo deberá ser correspondiente al objeto de la contratación y de encontrarse vencido adjuntar la solicitud de renovación.</t>
    </r>
  </si>
  <si>
    <r>
      <rPr>
        <b/>
        <sz val="11"/>
        <color theme="1"/>
        <rFont val="Calibri"/>
        <family val="2"/>
        <scheme val="minor"/>
      </rPr>
      <t>3-</t>
    </r>
    <r>
      <rPr>
        <sz val="10"/>
        <rFont val="Arial"/>
        <charset val="1"/>
      </rPr>
      <t>No se aceptarán ofertas de productos no registrados y autorizada su venta por ANMAT. Se deberá especificar en cada ítem de la propuesta, marca y número de certificado otorgado por dicho ente regulador.</t>
    </r>
  </si>
  <si>
    <r>
      <rPr>
        <b/>
        <sz val="11"/>
        <color theme="1"/>
        <rFont val="Calibri"/>
        <family val="2"/>
        <scheme val="minor"/>
      </rPr>
      <t>4-</t>
    </r>
    <r>
      <rPr>
        <sz val="10"/>
        <rFont val="Arial"/>
        <charset val="1"/>
      </rPr>
      <t>Los productos deberán tener un vencimiento posterior a doce (12) meses a partir de la fecha de su recepción.</t>
    </r>
  </si>
  <si>
    <r>
      <rPr>
        <b/>
        <u/>
        <sz val="11"/>
        <color theme="1"/>
        <rFont val="Calibri"/>
        <family val="2"/>
        <scheme val="minor"/>
      </rPr>
      <t>Plazo de Mantenimiento de Oferta</t>
    </r>
    <r>
      <rPr>
        <sz val="10"/>
        <rFont val="Arial"/>
        <charset val="1"/>
      </rPr>
      <t>: 45 dias hábiles.</t>
    </r>
  </si>
  <si>
    <t>Especificaciones del item 1 al 123:</t>
  </si>
  <si>
    <t>Especificidades: ITEMS 4,6 Y 7 AGUJA PUNTA LAPIZ</t>
  </si>
  <si>
    <t>Especificidades: ITEMS 18 AGUJA P/PUNCION/ASP.16G X 70MM TIPO BLOODLINE</t>
  </si>
  <si>
    <t>Especificidades: ITEMS DEL 27 AL 35 TIPO LEXEL</t>
  </si>
  <si>
    <t>Especificidades: ITEMS 43 Y 50 TUBO Nº 1 ( 3-6 Cm ) TIPO  WELCH ALLYN</t>
  </si>
  <si>
    <t>Especificidades: ITEMS 44 Y 51 TUBO  Nº 3  (6-11 cm )TIPO  WELCH ALLYN</t>
  </si>
  <si>
    <t>Especificidades: ITEMS 45 Y 52  TUBO  Nº 5 ( 8-15 cm )TIPO  WELCH ALLYN</t>
  </si>
  <si>
    <t>Especificidades: ITEMS 46 Y 53 PEDIATRICO ( 13-19 cm )TIPO  WELCH ALLYN</t>
  </si>
  <si>
    <t>Especificidades: ITEMS 47  TUBO ADULTO CHICO ( 25 a 29 cm )TIPO  WELCH ALLYN</t>
  </si>
  <si>
    <t>Especificidades: ITEMS 48 TUBO ADULTO MEDIANO ( 33 a 45 cm ) TIPO  WELCH ALLYN</t>
  </si>
  <si>
    <t>Especificidades: ITEMS 49 TUBO ADULTO LARGO ( 40 A 55 cm )TIPO  WELCH ALLYN</t>
  </si>
  <si>
    <t>Especificidades: ITEMS DEL 65 AL 68 CAJA POR 2 UNIDADES</t>
  </si>
  <si>
    <t>Especificidades: ITEMS 69 TAMANO L</t>
  </si>
  <si>
    <t>Especificidades: ITEMS 70 TAMANO M</t>
  </si>
  <si>
    <t>Especificidades: ITEMS 71 TAMANO XL</t>
  </si>
  <si>
    <t>Especificidades: ITEMS 72 TAMANO XXL</t>
  </si>
  <si>
    <t>Especificidades: ITEMS 74 AL 77  REUTILIZABLE</t>
  </si>
  <si>
    <t>Especificidades: ITEMS 78 TIPO ESAOTE</t>
  </si>
  <si>
    <t>Especificidades: ITEMS 79 AL 80 TIPO SONY</t>
  </si>
  <si>
    <t>Especificidades: ITEMS 81 TIPO PHILIPS</t>
  </si>
  <si>
    <t>Especificidades: ITEMS 85 TIPO BISTOS BT 300</t>
  </si>
  <si>
    <t>Especificidades: ITEMS 85 TIPO EDAN F2</t>
  </si>
  <si>
    <t>Especificidades: ITEMS 87 TIPO BIONET FC 1400</t>
  </si>
  <si>
    <t>Especificidades: ITEMS 90 Y 91 TIPO FIJI FILM</t>
  </si>
  <si>
    <t>Especificidades: ITEMS 96 y 97 DESCARTABLES</t>
  </si>
  <si>
    <t>Especificidades: ITEMS 98 Y 99 REUTILIZABLES</t>
  </si>
  <si>
    <t xml:space="preserve">Especificidades: ITEMS 104 ENTREGAR ( …..)  APARATOS COMPATIBLES CON ESTE INSUMO </t>
  </si>
  <si>
    <t>Especificidades: ITEMS DEL  105 AL 110  TUBOS DE INTUBACION SELECTIVA</t>
  </si>
  <si>
    <t>Especificidades: ITEMS 123 TIPO NOVOFINE 32G 4 mm subcutanea para ser utilizada con lapiceras o dispositivos liberadores  de inyeccion para administracion  de insulina</t>
  </si>
  <si>
    <r>
      <t xml:space="preserve">a) </t>
    </r>
    <r>
      <rPr>
        <b/>
        <u/>
        <sz val="11"/>
        <color rgb="FFFF0000"/>
        <rFont val="Calibri"/>
        <family val="2"/>
        <scheme val="minor"/>
      </rPr>
      <t>LUGAR DE ENTREGA:</t>
    </r>
    <r>
      <rPr>
        <sz val="10"/>
        <color rgb="FFFF0000"/>
        <rFont val="Arial"/>
        <family val="2"/>
      </rPr>
      <t xml:space="preserve">     - DE LUNES A VIERNES EN EL HORARIO DE   HS. </t>
    </r>
    <r>
      <rPr>
        <sz val="10"/>
        <rFont val="Arial"/>
        <charset val="1"/>
      </rPr>
      <t xml:space="preserve">
b) </t>
    </r>
    <r>
      <rPr>
        <b/>
        <u/>
        <sz val="11"/>
        <color theme="1"/>
        <rFont val="Calibri"/>
        <family val="2"/>
        <scheme val="minor"/>
      </rPr>
      <t>FORMA DE LA ENTREGA:</t>
    </r>
    <r>
      <rPr>
        <sz val="10"/>
        <rFont val="Arial"/>
        <charset val="1"/>
      </rPr>
      <t xml:space="preserve"> Libre de flete, acarreo y embalaje, como así también, de todo riesgo de pérdida o destrucción total o parcial, por causas ajenas a la Institución. 
c)  </t>
    </r>
    <r>
      <rPr>
        <b/>
        <u/>
        <sz val="11"/>
        <color theme="1"/>
        <rFont val="Calibri"/>
        <family val="2"/>
        <scheme val="minor"/>
      </rPr>
      <t>PLAZO DE ENTREGA:</t>
    </r>
    <r>
      <rPr>
        <sz val="10"/>
        <rFont val="Arial"/>
        <charset val="1"/>
      </rPr>
      <t xml:space="preserve"> El Oferente deberá establecer plazo de entrega de los elementos cotizados, debiendo ser expresado en días hábiles; que no podrá ser superior a diez (10) días hábiles, contados a partir de la recepción de la comunicación prevista en el Artículo 80 del Anexo I - Reglamento Parcial N° 2 de la ley 4938.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</si>
</sst>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-* #,##0.00&quot; €&quot;_-;\-* #,##0.00&quot; €&quot;_-;_-* \-??&quot; €&quot;_-;_-@_-"/>
    <numFmt numFmtId="166" formatCode="&quot;$&quot;\ #,##0.00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rgb="FF424242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Times New Roman"/>
      <family val="1"/>
    </font>
    <font>
      <sz val="10"/>
      <color rgb="FFFF0000"/>
      <name val="Arial"/>
      <family val="2"/>
    </font>
    <font>
      <b/>
      <u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E5B8B7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5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0" fontId="3" fillId="0" borderId="0"/>
    <xf numFmtId="0" fontId="3" fillId="0" borderId="0"/>
    <xf numFmtId="0" fontId="14" fillId="0" borderId="0"/>
  </cellStyleXfs>
  <cellXfs count="119">
    <xf numFmtId="0" fontId="0" fillId="0" borderId="0" xfId="0"/>
    <xf numFmtId="0" fontId="10" fillId="4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4" fillId="3" borderId="0" xfId="0" applyFont="1" applyFill="1"/>
    <xf numFmtId="0" fontId="7" fillId="3" borderId="0" xfId="0" applyFont="1" applyFill="1" applyAlignment="1">
      <alignment horizontal="left" wrapText="1"/>
    </xf>
    <xf numFmtId="0" fontId="7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vertical="center"/>
    </xf>
    <xf numFmtId="166" fontId="9" fillId="3" borderId="0" xfId="0" applyNumberFormat="1" applyFont="1" applyFill="1"/>
    <xf numFmtId="0" fontId="3" fillId="3" borderId="12" xfId="0" applyFont="1" applyFill="1" applyBorder="1" applyAlignment="1">
      <alignment horizontal="center" vertical="center"/>
    </xf>
    <xf numFmtId="164" fontId="4" fillId="3" borderId="0" xfId="0" applyNumberFormat="1" applyFont="1" applyFill="1"/>
    <xf numFmtId="0" fontId="10" fillId="6" borderId="0" xfId="0" applyFont="1" applyFill="1" applyAlignment="1">
      <alignment horizontal="left" wrapText="1" indent="1"/>
    </xf>
    <xf numFmtId="0" fontId="12" fillId="3" borderId="12" xfId="0" applyFont="1" applyFill="1" applyBorder="1" applyAlignment="1">
      <alignment horizontal="center" vertical="center" wrapText="1"/>
    </xf>
    <xf numFmtId="3" fontId="3" fillId="3" borderId="12" xfId="0" applyNumberFormat="1" applyFont="1" applyFill="1" applyBorder="1" applyAlignment="1">
      <alignment horizontal="center" vertical="center"/>
    </xf>
    <xf numFmtId="0" fontId="3" fillId="3" borderId="12" xfId="5" applyFont="1" applyFill="1" applyBorder="1" applyAlignment="1">
      <alignment horizontal="center" vertical="center"/>
    </xf>
    <xf numFmtId="44" fontId="3" fillId="3" borderId="12" xfId="1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0" fillId="0" borderId="12" xfId="0" applyBorder="1" applyAlignment="1">
      <alignment horizontal="left" vertical="center"/>
    </xf>
    <xf numFmtId="0" fontId="0" fillId="3" borderId="14" xfId="0" applyFill="1" applyBorder="1" applyAlignment="1">
      <alignment vertical="center" wrapText="1"/>
    </xf>
    <xf numFmtId="0" fontId="12" fillId="3" borderId="14" xfId="0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44" fontId="3" fillId="3" borderId="13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/>
    </xf>
    <xf numFmtId="164" fontId="3" fillId="4" borderId="12" xfId="1" applyNumberFormat="1" applyFont="1" applyFill="1" applyBorder="1" applyAlignment="1" applyProtection="1">
      <alignment horizontal="right"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3" borderId="12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 wrapText="1"/>
    </xf>
    <xf numFmtId="0" fontId="0" fillId="3" borderId="12" xfId="0" applyFont="1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16" fillId="3" borderId="12" xfId="0" applyFont="1" applyFill="1" applyBorder="1" applyAlignment="1">
      <alignment wrapText="1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17" fillId="3" borderId="12" xfId="0" applyFont="1" applyFill="1" applyBorder="1" applyAlignment="1">
      <alignment horizontal="center" vertical="center"/>
    </xf>
    <xf numFmtId="0" fontId="15" fillId="7" borderId="12" xfId="7" applyFont="1" applyFill="1" applyBorder="1" applyAlignment="1">
      <alignment vertical="center"/>
    </xf>
    <xf numFmtId="0" fontId="15" fillId="7" borderId="12" xfId="7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center" wrapText="1"/>
    </xf>
    <xf numFmtId="0" fontId="17" fillId="3" borderId="12" xfId="0" applyFont="1" applyFill="1" applyBorder="1" applyAlignment="1">
      <alignment vertical="center"/>
    </xf>
    <xf numFmtId="0" fontId="17" fillId="3" borderId="13" xfId="0" applyFont="1" applyFill="1" applyBorder="1" applyAlignment="1">
      <alignment vertical="center"/>
    </xf>
    <xf numFmtId="44" fontId="3" fillId="3" borderId="14" xfId="1" applyNumberFormat="1" applyFont="1" applyFill="1" applyBorder="1" applyAlignment="1">
      <alignment horizontal="center" vertical="center"/>
    </xf>
    <xf numFmtId="44" fontId="3" fillId="3" borderId="12" xfId="1" applyNumberFormat="1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/>
    </xf>
    <xf numFmtId="44" fontId="3" fillId="5" borderId="15" xfId="1" applyNumberFormat="1" applyFont="1" applyFill="1" applyBorder="1" applyAlignment="1">
      <alignment horizontal="center" vertical="center"/>
    </xf>
    <xf numFmtId="164" fontId="12" fillId="3" borderId="12" xfId="0" applyNumberFormat="1" applyFont="1" applyFill="1" applyBorder="1" applyAlignment="1">
      <alignment horizontal="center" vertical="center" wrapText="1"/>
    </xf>
    <xf numFmtId="164" fontId="3" fillId="6" borderId="12" xfId="1" applyNumberFormat="1" applyFont="1" applyFill="1" applyBorder="1" applyAlignment="1" applyProtection="1">
      <alignment horizontal="right" vertical="center" wrapText="1"/>
    </xf>
    <xf numFmtId="0" fontId="16" fillId="3" borderId="12" xfId="0" applyFont="1" applyFill="1" applyBorder="1" applyAlignment="1">
      <alignment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vertical="center" wrapText="1"/>
    </xf>
    <xf numFmtId="44" fontId="3" fillId="5" borderId="12" xfId="1" applyNumberFormat="1" applyFont="1" applyFill="1" applyBorder="1" applyAlignment="1">
      <alignment horizontal="center" vertical="center"/>
    </xf>
    <xf numFmtId="0" fontId="3" fillId="3" borderId="12" xfId="0" applyNumberFormat="1" applyFont="1" applyFill="1" applyBorder="1" applyAlignment="1">
      <alignment horizontal="center" vertical="center"/>
    </xf>
    <xf numFmtId="164" fontId="3" fillId="3" borderId="12" xfId="1" applyNumberFormat="1" applyFont="1" applyFill="1" applyBorder="1" applyAlignment="1" applyProtection="1">
      <alignment horizontal="right" vertical="center" wrapText="1"/>
    </xf>
    <xf numFmtId="0" fontId="3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horizontal="center" vertical="center"/>
    </xf>
    <xf numFmtId="44" fontId="3" fillId="3" borderId="0" xfId="1" applyNumberFormat="1" applyFont="1" applyFill="1" applyBorder="1" applyAlignment="1">
      <alignment horizontal="center" vertical="center"/>
    </xf>
    <xf numFmtId="164" fontId="3" fillId="3" borderId="0" xfId="1" applyNumberFormat="1" applyFont="1" applyFill="1" applyBorder="1" applyAlignment="1" applyProtection="1">
      <alignment horizontal="right" vertical="center" wrapText="1"/>
    </xf>
    <xf numFmtId="164" fontId="3" fillId="4" borderId="0" xfId="1" applyNumberFormat="1" applyFont="1" applyFill="1" applyBorder="1" applyAlignment="1" applyProtection="1">
      <alignment horizontal="right" vertical="center" wrapText="1"/>
    </xf>
    <xf numFmtId="0" fontId="4" fillId="5" borderId="0" xfId="0" applyFont="1" applyFill="1" applyAlignment="1">
      <alignment vertical="center"/>
    </xf>
    <xf numFmtId="0" fontId="0" fillId="5" borderId="12" xfId="0" applyFill="1" applyBorder="1" applyAlignment="1">
      <alignment vertical="center"/>
    </xf>
    <xf numFmtId="0" fontId="3" fillId="8" borderId="12" xfId="7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 applyAlignment="1">
      <alignment wrapText="1"/>
    </xf>
    <xf numFmtId="0" fontId="3" fillId="5" borderId="0" xfId="0" applyFont="1" applyFill="1" applyBorder="1" applyAlignment="1">
      <alignment vertical="center" wrapText="1"/>
    </xf>
    <xf numFmtId="0" fontId="16" fillId="3" borderId="0" xfId="0" applyFont="1" applyFill="1" applyBorder="1" applyAlignment="1">
      <alignment vertical="center" wrapText="1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/>
    </xf>
    <xf numFmtId="0" fontId="13" fillId="3" borderId="19" xfId="0" applyFont="1" applyFill="1" applyBorder="1" applyAlignment="1">
      <alignment horizontal="left"/>
    </xf>
    <xf numFmtId="0" fontId="13" fillId="3" borderId="20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4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5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left" vertical="center" wrapText="1"/>
    </xf>
    <xf numFmtId="0" fontId="10" fillId="4" borderId="0" xfId="0" applyFont="1" applyFill="1" applyBorder="1" applyAlignment="1">
      <alignment horizontal="left" wrapText="1" indent="1"/>
    </xf>
    <xf numFmtId="0" fontId="6" fillId="5" borderId="0" xfId="0" applyFont="1" applyFill="1" applyBorder="1" applyAlignment="1">
      <alignment horizontal="left" vertical="center" wrapText="1"/>
    </xf>
    <xf numFmtId="0" fontId="10" fillId="6" borderId="0" xfId="0" applyFont="1" applyFill="1" applyBorder="1" applyAlignment="1">
      <alignment horizontal="left" wrapText="1" indent="1"/>
    </xf>
    <xf numFmtId="0" fontId="0" fillId="0" borderId="0" xfId="0" applyAlignment="1">
      <alignment vertical="center" wrapText="1"/>
    </xf>
  </cellXfs>
  <cellStyles count="8">
    <cellStyle name="Encabezado 1" xfId="2"/>
    <cellStyle name="Moneda" xfId="1" builtinId="4"/>
    <cellStyle name="Neutral 1" xfId="3"/>
    <cellStyle name="Normal" xfId="0" builtinId="0"/>
    <cellStyle name="Normal 2" xfId="4"/>
    <cellStyle name="Normal 2 2" xfId="6"/>
    <cellStyle name="Normal 2 3" xfId="5"/>
    <cellStyle name="Normal 3" xfId="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77"/>
  <sheetViews>
    <sheetView tabSelected="1" topLeftCell="A54" zoomScaleNormal="100" workbookViewId="0">
      <selection activeCell="G11" sqref="G11:G132"/>
    </sheetView>
  </sheetViews>
  <sheetFormatPr baseColWidth="10" defaultColWidth="11" defaultRowHeight="12.75" x14ac:dyDescent="0.2"/>
  <cols>
    <col min="1" max="1" width="4.5703125" style="3" customWidth="1"/>
    <col min="2" max="2" width="17.7109375" style="3" customWidth="1"/>
    <col min="3" max="3" width="32.42578125" style="3" customWidth="1"/>
    <col min="4" max="4" width="8.42578125" style="3" customWidth="1"/>
    <col min="5" max="5" width="108" style="3" customWidth="1"/>
    <col min="6" max="6" width="16.42578125" style="3" customWidth="1"/>
    <col min="7" max="7" width="18.85546875" style="3" customWidth="1"/>
    <col min="8" max="8" width="17" style="3" customWidth="1"/>
    <col min="9" max="9" width="18.5703125" style="9" customWidth="1"/>
    <col min="10" max="10" width="55.85546875" style="3" customWidth="1"/>
    <col min="11" max="11" width="19.42578125" style="3" customWidth="1"/>
    <col min="12" max="16384" width="11" style="3"/>
  </cols>
  <sheetData>
    <row r="2" spans="1:9" ht="27" x14ac:dyDescent="0.35">
      <c r="B2" s="113" t="s">
        <v>0</v>
      </c>
      <c r="C2" s="113"/>
      <c r="D2" s="113"/>
      <c r="E2" s="113"/>
      <c r="F2" s="113"/>
      <c r="G2" s="113"/>
      <c r="H2" s="113"/>
    </row>
    <row r="4" spans="1:9" ht="15.75" x14ac:dyDescent="0.25">
      <c r="A4" s="114" t="s">
        <v>1</v>
      </c>
      <c r="B4" s="114"/>
      <c r="C4" s="115" t="s">
        <v>13</v>
      </c>
      <c r="D4" s="115"/>
      <c r="E4" s="115"/>
      <c r="F4" s="4"/>
      <c r="G4" s="5"/>
      <c r="H4" s="4"/>
    </row>
    <row r="5" spans="1:9" ht="15.75" x14ac:dyDescent="0.25">
      <c r="A5" s="116" t="s">
        <v>2</v>
      </c>
      <c r="B5" s="116"/>
      <c r="C5" s="117" t="s">
        <v>14</v>
      </c>
      <c r="D5" s="117"/>
      <c r="E5" s="117"/>
      <c r="F5" s="4"/>
      <c r="G5" s="5"/>
      <c r="H5" s="4"/>
    </row>
    <row r="6" spans="1:9" ht="15.75" x14ac:dyDescent="0.25">
      <c r="A6" s="114" t="s">
        <v>3</v>
      </c>
      <c r="B6" s="114"/>
      <c r="C6" s="1">
        <v>2022</v>
      </c>
      <c r="D6" s="2"/>
      <c r="E6" s="2"/>
      <c r="F6" s="4"/>
      <c r="G6" s="5"/>
      <c r="H6" s="4"/>
    </row>
    <row r="7" spans="1:9" ht="15.75" x14ac:dyDescent="0.25">
      <c r="A7" s="116" t="s">
        <v>4</v>
      </c>
      <c r="B7" s="116"/>
      <c r="C7" s="10">
        <v>1</v>
      </c>
      <c r="D7" s="2"/>
      <c r="E7" s="2"/>
      <c r="F7" s="4"/>
      <c r="G7" s="5"/>
      <c r="H7" s="4"/>
    </row>
    <row r="8" spans="1:9" x14ac:dyDescent="0.2">
      <c r="B8" s="4"/>
      <c r="C8" s="5"/>
      <c r="D8" s="4"/>
      <c r="E8" s="4"/>
      <c r="F8" s="4"/>
      <c r="G8" s="5"/>
      <c r="H8" s="4"/>
    </row>
    <row r="9" spans="1:9" ht="38.25" x14ac:dyDescent="0.2">
      <c r="A9" s="16" t="s">
        <v>5</v>
      </c>
      <c r="B9" s="16" t="s">
        <v>20</v>
      </c>
      <c r="C9" s="16" t="s">
        <v>6</v>
      </c>
      <c r="D9" s="16" t="s">
        <v>7</v>
      </c>
      <c r="E9" s="16" t="s">
        <v>8</v>
      </c>
      <c r="F9" s="16" t="s">
        <v>9</v>
      </c>
      <c r="G9" s="16" t="s">
        <v>10</v>
      </c>
      <c r="H9" s="16" t="s">
        <v>11</v>
      </c>
      <c r="I9" s="28" t="s">
        <v>12</v>
      </c>
    </row>
    <row r="10" spans="1:9" ht="25.5" x14ac:dyDescent="0.2">
      <c r="A10" s="11">
        <v>1</v>
      </c>
      <c r="B10" s="8" t="s">
        <v>47</v>
      </c>
      <c r="C10" s="21" t="s">
        <v>29</v>
      </c>
      <c r="D10" s="16">
        <v>295</v>
      </c>
      <c r="E10" s="20" t="s">
        <v>46</v>
      </c>
      <c r="F10" s="11" t="s">
        <v>16</v>
      </c>
      <c r="G10" s="16">
        <v>1</v>
      </c>
      <c r="H10" s="14">
        <v>410</v>
      </c>
      <c r="I10" s="57">
        <f>+H10*G10</f>
        <v>410</v>
      </c>
    </row>
    <row r="11" spans="1:9" ht="25.5" x14ac:dyDescent="0.2">
      <c r="A11" s="8">
        <v>2</v>
      </c>
      <c r="B11" s="8" t="s">
        <v>49</v>
      </c>
      <c r="C11" s="21" t="s">
        <v>29</v>
      </c>
      <c r="D11" s="11">
        <v>295</v>
      </c>
      <c r="E11" s="20" t="s">
        <v>48</v>
      </c>
      <c r="F11" s="8" t="s">
        <v>17</v>
      </c>
      <c r="G11" s="12">
        <v>1</v>
      </c>
      <c r="H11" s="14">
        <v>200</v>
      </c>
      <c r="I11" s="33">
        <f t="shared" ref="I11:I35" si="0">+G11*H11</f>
        <v>200</v>
      </c>
    </row>
    <row r="12" spans="1:9" ht="25.5" x14ac:dyDescent="0.2">
      <c r="A12" s="8">
        <v>3</v>
      </c>
      <c r="B12" s="8" t="s">
        <v>81</v>
      </c>
      <c r="C12" s="21" t="s">
        <v>29</v>
      </c>
      <c r="D12" s="11">
        <v>295</v>
      </c>
      <c r="E12" s="20" t="s">
        <v>80</v>
      </c>
      <c r="F12" s="8" t="s">
        <v>17</v>
      </c>
      <c r="G12" s="12">
        <v>1</v>
      </c>
      <c r="H12" s="14">
        <v>200</v>
      </c>
      <c r="I12" s="33">
        <f t="shared" si="0"/>
        <v>200</v>
      </c>
    </row>
    <row r="13" spans="1:9" ht="25.5" x14ac:dyDescent="0.2">
      <c r="A13" s="11">
        <v>4</v>
      </c>
      <c r="B13" s="8" t="s">
        <v>83</v>
      </c>
      <c r="C13" s="20" t="s">
        <v>29</v>
      </c>
      <c r="D13" s="11">
        <v>295</v>
      </c>
      <c r="E13" s="20" t="s">
        <v>82</v>
      </c>
      <c r="F13" s="8" t="s">
        <v>17</v>
      </c>
      <c r="G13" s="12">
        <v>1</v>
      </c>
      <c r="H13" s="14">
        <v>200</v>
      </c>
      <c r="I13" s="33">
        <f t="shared" si="0"/>
        <v>200</v>
      </c>
    </row>
    <row r="14" spans="1:9" ht="25.5" x14ac:dyDescent="0.2">
      <c r="A14" s="11">
        <v>5</v>
      </c>
      <c r="B14" s="8" t="s">
        <v>78</v>
      </c>
      <c r="C14" s="20" t="s">
        <v>29</v>
      </c>
      <c r="D14" s="11">
        <v>295</v>
      </c>
      <c r="E14" s="20" t="s">
        <v>79</v>
      </c>
      <c r="F14" s="8" t="s">
        <v>17</v>
      </c>
      <c r="G14" s="12">
        <v>1</v>
      </c>
      <c r="H14" s="14">
        <v>200</v>
      </c>
      <c r="I14" s="33">
        <f t="shared" si="0"/>
        <v>200</v>
      </c>
    </row>
    <row r="15" spans="1:9" ht="25.5" x14ac:dyDescent="0.2">
      <c r="A15" s="8">
        <v>6</v>
      </c>
      <c r="B15" s="8" t="s">
        <v>85</v>
      </c>
      <c r="C15" s="20" t="s">
        <v>29</v>
      </c>
      <c r="D15" s="11">
        <v>295</v>
      </c>
      <c r="E15" s="20" t="s">
        <v>84</v>
      </c>
      <c r="F15" s="8" t="s">
        <v>17</v>
      </c>
      <c r="G15" s="12">
        <v>1</v>
      </c>
      <c r="H15" s="14">
        <v>200</v>
      </c>
      <c r="I15" s="33">
        <f t="shared" si="0"/>
        <v>200</v>
      </c>
    </row>
    <row r="16" spans="1:9" ht="25.5" x14ac:dyDescent="0.2">
      <c r="A16" s="8">
        <v>7</v>
      </c>
      <c r="B16" s="65" t="s">
        <v>87</v>
      </c>
      <c r="C16" s="20" t="s">
        <v>29</v>
      </c>
      <c r="D16" s="11">
        <v>295</v>
      </c>
      <c r="E16" s="20" t="s">
        <v>86</v>
      </c>
      <c r="F16" s="8" t="s">
        <v>17</v>
      </c>
      <c r="G16" s="12">
        <v>1</v>
      </c>
      <c r="H16" s="14">
        <v>200</v>
      </c>
      <c r="I16" s="33">
        <f t="shared" si="0"/>
        <v>200</v>
      </c>
    </row>
    <row r="17" spans="1:9" ht="25.5" x14ac:dyDescent="0.2">
      <c r="A17" s="11">
        <v>8</v>
      </c>
      <c r="B17" s="8" t="s">
        <v>75</v>
      </c>
      <c r="C17" s="20" t="s">
        <v>29</v>
      </c>
      <c r="D17" s="11">
        <v>295</v>
      </c>
      <c r="E17" s="19" t="s">
        <v>74</v>
      </c>
      <c r="F17" s="8" t="s">
        <v>17</v>
      </c>
      <c r="G17" s="12">
        <v>1</v>
      </c>
      <c r="H17" s="14">
        <v>468</v>
      </c>
      <c r="I17" s="33">
        <f t="shared" si="0"/>
        <v>468</v>
      </c>
    </row>
    <row r="18" spans="1:9" ht="25.5" x14ac:dyDescent="0.2">
      <c r="A18" s="11">
        <v>9</v>
      </c>
      <c r="B18" s="8" t="s">
        <v>77</v>
      </c>
      <c r="C18" s="21" t="s">
        <v>29</v>
      </c>
      <c r="D18" s="11">
        <v>295</v>
      </c>
      <c r="E18" s="19" t="s">
        <v>76</v>
      </c>
      <c r="F18" s="8" t="s">
        <v>17</v>
      </c>
      <c r="G18" s="12">
        <v>1</v>
      </c>
      <c r="H18" s="14">
        <v>468</v>
      </c>
      <c r="I18" s="33">
        <f t="shared" si="0"/>
        <v>468</v>
      </c>
    </row>
    <row r="19" spans="1:9" ht="25.5" x14ac:dyDescent="0.2">
      <c r="A19" s="8">
        <v>10</v>
      </c>
      <c r="B19" s="65" t="s">
        <v>89</v>
      </c>
      <c r="C19" s="31" t="s">
        <v>29</v>
      </c>
      <c r="D19" s="27">
        <v>295</v>
      </c>
      <c r="E19" s="66" t="s">
        <v>88</v>
      </c>
      <c r="F19" s="32" t="s">
        <v>17</v>
      </c>
      <c r="G19" s="12">
        <v>1</v>
      </c>
      <c r="H19" s="51">
        <v>199</v>
      </c>
      <c r="I19" s="33">
        <f t="shared" si="0"/>
        <v>199</v>
      </c>
    </row>
    <row r="20" spans="1:9" ht="25.5" x14ac:dyDescent="0.2">
      <c r="A20" s="8">
        <v>11</v>
      </c>
      <c r="B20" s="8" t="s">
        <v>123</v>
      </c>
      <c r="C20" s="20" t="s">
        <v>29</v>
      </c>
      <c r="D20" s="11">
        <v>295</v>
      </c>
      <c r="E20" s="20" t="s">
        <v>124</v>
      </c>
      <c r="F20" s="8" t="s">
        <v>17</v>
      </c>
      <c r="G20" s="12">
        <v>1</v>
      </c>
      <c r="H20" s="14">
        <v>1300</v>
      </c>
      <c r="I20" s="33">
        <f t="shared" si="0"/>
        <v>1300</v>
      </c>
    </row>
    <row r="21" spans="1:9" ht="25.5" x14ac:dyDescent="0.2">
      <c r="A21" s="11">
        <v>12</v>
      </c>
      <c r="B21" s="8" t="s">
        <v>125</v>
      </c>
      <c r="C21" s="20" t="s">
        <v>29</v>
      </c>
      <c r="D21" s="11">
        <v>295</v>
      </c>
      <c r="E21" s="34" t="s">
        <v>126</v>
      </c>
      <c r="F21" s="8" t="s">
        <v>17</v>
      </c>
      <c r="G21" s="12">
        <v>1</v>
      </c>
      <c r="H21" s="14">
        <v>1300</v>
      </c>
      <c r="I21" s="33">
        <f t="shared" si="0"/>
        <v>1300</v>
      </c>
    </row>
    <row r="22" spans="1:9" ht="25.5" x14ac:dyDescent="0.2">
      <c r="A22" s="11">
        <v>13</v>
      </c>
      <c r="B22" s="35" t="s">
        <v>127</v>
      </c>
      <c r="C22" s="20" t="s">
        <v>29</v>
      </c>
      <c r="D22" s="11">
        <v>295</v>
      </c>
      <c r="E22" s="36" t="s">
        <v>128</v>
      </c>
      <c r="F22" s="8" t="s">
        <v>261</v>
      </c>
      <c r="G22" s="12">
        <v>1</v>
      </c>
      <c r="H22" s="14">
        <v>3786</v>
      </c>
      <c r="I22" s="33">
        <f t="shared" si="0"/>
        <v>3786</v>
      </c>
    </row>
    <row r="23" spans="1:9" ht="25.5" x14ac:dyDescent="0.2">
      <c r="A23" s="8">
        <v>14</v>
      </c>
      <c r="B23" s="32" t="s">
        <v>130</v>
      </c>
      <c r="C23" s="26" t="s">
        <v>29</v>
      </c>
      <c r="D23" s="27">
        <v>295</v>
      </c>
      <c r="E23" s="37" t="s">
        <v>129</v>
      </c>
      <c r="F23" s="8" t="s">
        <v>261</v>
      </c>
      <c r="G23" s="12">
        <v>1</v>
      </c>
      <c r="H23" s="51">
        <v>3786</v>
      </c>
      <c r="I23" s="33">
        <f t="shared" si="0"/>
        <v>3786</v>
      </c>
    </row>
    <row r="24" spans="1:9" ht="25.5" x14ac:dyDescent="0.2">
      <c r="A24" s="8">
        <v>15</v>
      </c>
      <c r="B24" s="35" t="s">
        <v>132</v>
      </c>
      <c r="C24" s="20" t="s">
        <v>29</v>
      </c>
      <c r="D24" s="11">
        <v>295</v>
      </c>
      <c r="E24" s="37" t="s">
        <v>131</v>
      </c>
      <c r="F24" s="8" t="s">
        <v>261</v>
      </c>
      <c r="G24" s="12">
        <v>1</v>
      </c>
      <c r="H24" s="14">
        <v>3083</v>
      </c>
      <c r="I24" s="33">
        <f t="shared" si="0"/>
        <v>3083</v>
      </c>
    </row>
    <row r="25" spans="1:9" ht="25.5" x14ac:dyDescent="0.2">
      <c r="A25" s="11">
        <v>16</v>
      </c>
      <c r="B25" s="8" t="s">
        <v>134</v>
      </c>
      <c r="C25" s="20" t="s">
        <v>29</v>
      </c>
      <c r="D25" s="11">
        <v>295</v>
      </c>
      <c r="E25" s="37" t="s">
        <v>133</v>
      </c>
      <c r="F25" s="8" t="s">
        <v>261</v>
      </c>
      <c r="G25" s="12">
        <v>1</v>
      </c>
      <c r="H25" s="14">
        <v>3275</v>
      </c>
      <c r="I25" s="33">
        <f t="shared" si="0"/>
        <v>3275</v>
      </c>
    </row>
    <row r="26" spans="1:9" ht="25.5" x14ac:dyDescent="0.2">
      <c r="A26" s="11">
        <v>17</v>
      </c>
      <c r="B26" s="8" t="s">
        <v>136</v>
      </c>
      <c r="C26" s="20" t="s">
        <v>29</v>
      </c>
      <c r="D26" s="11">
        <v>295</v>
      </c>
      <c r="E26" s="37" t="s">
        <v>135</v>
      </c>
      <c r="F26" s="8" t="s">
        <v>261</v>
      </c>
      <c r="G26" s="12">
        <v>1</v>
      </c>
      <c r="H26" s="14">
        <v>3275</v>
      </c>
      <c r="I26" s="33">
        <f t="shared" si="0"/>
        <v>3275</v>
      </c>
    </row>
    <row r="27" spans="1:9" ht="25.5" x14ac:dyDescent="0.2">
      <c r="A27" s="8">
        <v>18</v>
      </c>
      <c r="B27" s="8" t="s">
        <v>112</v>
      </c>
      <c r="C27" s="20" t="s">
        <v>29</v>
      </c>
      <c r="D27" s="11">
        <v>295</v>
      </c>
      <c r="E27" s="20" t="s">
        <v>111</v>
      </c>
      <c r="F27" s="8" t="s">
        <v>15</v>
      </c>
      <c r="G27" s="12">
        <v>1</v>
      </c>
      <c r="H27" s="14">
        <v>4800</v>
      </c>
      <c r="I27" s="33">
        <f t="shared" si="0"/>
        <v>4800</v>
      </c>
    </row>
    <row r="28" spans="1:9" ht="25.5" x14ac:dyDescent="0.2">
      <c r="A28" s="8">
        <v>19</v>
      </c>
      <c r="B28" s="35" t="s">
        <v>138</v>
      </c>
      <c r="C28" s="20" t="s">
        <v>29</v>
      </c>
      <c r="D28" s="11">
        <v>295</v>
      </c>
      <c r="E28" s="37" t="s">
        <v>137</v>
      </c>
      <c r="F28" s="8" t="s">
        <v>261</v>
      </c>
      <c r="G28" s="12">
        <v>1</v>
      </c>
      <c r="H28" s="14">
        <v>3275</v>
      </c>
      <c r="I28" s="33">
        <f t="shared" si="0"/>
        <v>3275</v>
      </c>
    </row>
    <row r="29" spans="1:9" ht="25.5" x14ac:dyDescent="0.2">
      <c r="A29" s="11">
        <v>20</v>
      </c>
      <c r="B29" s="8" t="s">
        <v>139</v>
      </c>
      <c r="C29" s="20" t="s">
        <v>29</v>
      </c>
      <c r="D29" s="11">
        <v>295</v>
      </c>
      <c r="E29" s="76" t="s">
        <v>140</v>
      </c>
      <c r="F29" s="8" t="s">
        <v>261</v>
      </c>
      <c r="G29" s="12">
        <v>1</v>
      </c>
      <c r="H29" s="14">
        <v>3275</v>
      </c>
      <c r="I29" s="33">
        <f t="shared" si="0"/>
        <v>3275</v>
      </c>
    </row>
    <row r="30" spans="1:9" ht="25.5" x14ac:dyDescent="0.2">
      <c r="A30" s="11">
        <v>21</v>
      </c>
      <c r="B30" s="8" t="s">
        <v>142</v>
      </c>
      <c r="C30" s="20" t="s">
        <v>29</v>
      </c>
      <c r="D30" s="11">
        <v>295</v>
      </c>
      <c r="E30" s="34" t="s">
        <v>141</v>
      </c>
      <c r="F30" s="8" t="s">
        <v>15</v>
      </c>
      <c r="G30" s="12">
        <v>1</v>
      </c>
      <c r="H30" s="14">
        <v>3870</v>
      </c>
      <c r="I30" s="33">
        <f t="shared" si="0"/>
        <v>3870</v>
      </c>
    </row>
    <row r="31" spans="1:9" ht="25.5" x14ac:dyDescent="0.2">
      <c r="A31" s="8">
        <v>22</v>
      </c>
      <c r="B31" s="42" t="s">
        <v>71</v>
      </c>
      <c r="C31" s="21" t="s">
        <v>29</v>
      </c>
      <c r="D31" s="11">
        <v>295</v>
      </c>
      <c r="E31" s="21" t="s">
        <v>73</v>
      </c>
      <c r="F31" s="8" t="s">
        <v>15</v>
      </c>
      <c r="G31" s="12">
        <v>1</v>
      </c>
      <c r="H31" s="14">
        <v>120</v>
      </c>
      <c r="I31" s="33">
        <f t="shared" si="0"/>
        <v>120</v>
      </c>
    </row>
    <row r="32" spans="1:9" ht="25.5" x14ac:dyDescent="0.2">
      <c r="A32" s="8">
        <v>23</v>
      </c>
      <c r="B32" s="42" t="s">
        <v>72</v>
      </c>
      <c r="C32" s="21" t="s">
        <v>29</v>
      </c>
      <c r="D32" s="11">
        <v>295</v>
      </c>
      <c r="E32" s="21" t="s">
        <v>70</v>
      </c>
      <c r="F32" s="8" t="s">
        <v>15</v>
      </c>
      <c r="G32" s="12">
        <v>1</v>
      </c>
      <c r="H32" s="14">
        <v>120</v>
      </c>
      <c r="I32" s="33">
        <f t="shared" si="0"/>
        <v>120</v>
      </c>
    </row>
    <row r="33" spans="1:9" ht="25.5" x14ac:dyDescent="0.2">
      <c r="A33" s="11">
        <v>24</v>
      </c>
      <c r="B33" s="8" t="s">
        <v>144</v>
      </c>
      <c r="C33" s="20" t="s">
        <v>29</v>
      </c>
      <c r="D33" s="27">
        <v>295</v>
      </c>
      <c r="E33" s="36" t="s">
        <v>143</v>
      </c>
      <c r="F33" s="8" t="s">
        <v>261</v>
      </c>
      <c r="G33" s="12">
        <v>1</v>
      </c>
      <c r="H33" s="51">
        <v>3275</v>
      </c>
      <c r="I33" s="33">
        <f t="shared" si="0"/>
        <v>3275</v>
      </c>
    </row>
    <row r="34" spans="1:9" ht="25.5" x14ac:dyDescent="0.2">
      <c r="A34" s="11">
        <v>25</v>
      </c>
      <c r="B34" s="8" t="s">
        <v>146</v>
      </c>
      <c r="C34" s="20" t="s">
        <v>29</v>
      </c>
      <c r="D34" s="11">
        <v>295</v>
      </c>
      <c r="E34" s="37" t="s">
        <v>145</v>
      </c>
      <c r="F34" s="8" t="s">
        <v>261</v>
      </c>
      <c r="G34" s="12">
        <v>1</v>
      </c>
      <c r="H34" s="14">
        <v>3275</v>
      </c>
      <c r="I34" s="33">
        <f t="shared" si="0"/>
        <v>3275</v>
      </c>
    </row>
    <row r="35" spans="1:9" ht="25.5" x14ac:dyDescent="0.2">
      <c r="A35" s="8">
        <v>26</v>
      </c>
      <c r="B35" s="32" t="s">
        <v>148</v>
      </c>
      <c r="C35" s="26" t="s">
        <v>29</v>
      </c>
      <c r="D35" s="27">
        <v>295</v>
      </c>
      <c r="E35" s="76" t="s">
        <v>147</v>
      </c>
      <c r="F35" s="8" t="s">
        <v>261</v>
      </c>
      <c r="G35" s="12">
        <v>1</v>
      </c>
      <c r="H35" s="51">
        <v>3275</v>
      </c>
      <c r="I35" s="33">
        <f t="shared" si="0"/>
        <v>3275</v>
      </c>
    </row>
    <row r="36" spans="1:9" ht="25.5" x14ac:dyDescent="0.2">
      <c r="A36" s="8">
        <v>27</v>
      </c>
      <c r="B36" s="8" t="s">
        <v>149</v>
      </c>
      <c r="C36" s="20" t="s">
        <v>29</v>
      </c>
      <c r="D36" s="11">
        <v>295</v>
      </c>
      <c r="E36" s="39" t="s">
        <v>158</v>
      </c>
      <c r="F36" s="8" t="s">
        <v>15</v>
      </c>
      <c r="G36" s="12">
        <v>1</v>
      </c>
      <c r="H36" s="14">
        <v>871</v>
      </c>
      <c r="I36" s="33"/>
    </row>
    <row r="37" spans="1:9" ht="25.5" x14ac:dyDescent="0.2">
      <c r="A37" s="11">
        <v>28</v>
      </c>
      <c r="B37" s="8" t="s">
        <v>150</v>
      </c>
      <c r="C37" s="20" t="s">
        <v>29</v>
      </c>
      <c r="D37" s="11">
        <v>295</v>
      </c>
      <c r="E37" s="39" t="s">
        <v>159</v>
      </c>
      <c r="F37" s="8" t="s">
        <v>15</v>
      </c>
      <c r="G37" s="12">
        <v>1</v>
      </c>
      <c r="H37" s="14">
        <v>871</v>
      </c>
      <c r="I37" s="33"/>
    </row>
    <row r="38" spans="1:9" ht="25.5" x14ac:dyDescent="0.2">
      <c r="A38" s="11">
        <v>29</v>
      </c>
      <c r="B38" s="8" t="s">
        <v>151</v>
      </c>
      <c r="C38" s="20" t="s">
        <v>29</v>
      </c>
      <c r="D38" s="11">
        <v>295</v>
      </c>
      <c r="E38" s="39" t="s">
        <v>160</v>
      </c>
      <c r="F38" s="8" t="s">
        <v>15</v>
      </c>
      <c r="G38" s="12">
        <v>1</v>
      </c>
      <c r="H38" s="14">
        <v>871</v>
      </c>
      <c r="I38" s="33">
        <f>+G38*H38</f>
        <v>871</v>
      </c>
    </row>
    <row r="39" spans="1:9" ht="25.5" x14ac:dyDescent="0.2">
      <c r="A39" s="8">
        <v>30</v>
      </c>
      <c r="B39" s="8" t="s">
        <v>152</v>
      </c>
      <c r="C39" s="20" t="s">
        <v>29</v>
      </c>
      <c r="D39" s="11">
        <v>295</v>
      </c>
      <c r="E39" s="39" t="s">
        <v>161</v>
      </c>
      <c r="F39" s="8" t="s">
        <v>15</v>
      </c>
      <c r="G39" s="12">
        <v>1</v>
      </c>
      <c r="H39" s="14">
        <v>871</v>
      </c>
      <c r="I39" s="33"/>
    </row>
    <row r="40" spans="1:9" ht="25.5" x14ac:dyDescent="0.2">
      <c r="A40" s="8">
        <v>31</v>
      </c>
      <c r="B40" s="8" t="s">
        <v>153</v>
      </c>
      <c r="C40" s="20" t="s">
        <v>29</v>
      </c>
      <c r="D40" s="11">
        <v>295</v>
      </c>
      <c r="E40" s="39" t="s">
        <v>162</v>
      </c>
      <c r="F40" s="8" t="s">
        <v>15</v>
      </c>
      <c r="G40" s="12">
        <v>1</v>
      </c>
      <c r="H40" s="14">
        <v>871</v>
      </c>
      <c r="I40" s="33">
        <f>+G40*H40</f>
        <v>871</v>
      </c>
    </row>
    <row r="41" spans="1:9" ht="25.5" x14ac:dyDescent="0.2">
      <c r="A41" s="11">
        <v>32</v>
      </c>
      <c r="B41" s="8" t="s">
        <v>154</v>
      </c>
      <c r="C41" s="20" t="s">
        <v>29</v>
      </c>
      <c r="D41" s="11">
        <v>295</v>
      </c>
      <c r="E41" s="39" t="s">
        <v>163</v>
      </c>
      <c r="F41" s="8" t="s">
        <v>15</v>
      </c>
      <c r="G41" s="12">
        <v>1</v>
      </c>
      <c r="H41" s="14">
        <v>871</v>
      </c>
      <c r="I41" s="33">
        <f>+G41*H41</f>
        <v>871</v>
      </c>
    </row>
    <row r="42" spans="1:9" ht="25.5" x14ac:dyDescent="0.2">
      <c r="A42" s="11">
        <v>33</v>
      </c>
      <c r="B42" s="8" t="s">
        <v>155</v>
      </c>
      <c r="C42" s="20" t="s">
        <v>29</v>
      </c>
      <c r="D42" s="11">
        <v>295</v>
      </c>
      <c r="E42" s="39" t="s">
        <v>164</v>
      </c>
      <c r="F42" s="8" t="s">
        <v>15</v>
      </c>
      <c r="G42" s="12">
        <v>1</v>
      </c>
      <c r="H42" s="14">
        <v>871</v>
      </c>
      <c r="I42" s="33">
        <f>+G42*H42</f>
        <v>871</v>
      </c>
    </row>
    <row r="43" spans="1:9" ht="25.5" x14ac:dyDescent="0.2">
      <c r="A43" s="8">
        <v>34</v>
      </c>
      <c r="B43" s="8" t="s">
        <v>156</v>
      </c>
      <c r="C43" s="20" t="s">
        <v>29</v>
      </c>
      <c r="D43" s="11">
        <v>295</v>
      </c>
      <c r="E43" s="39" t="s">
        <v>165</v>
      </c>
      <c r="F43" s="8" t="s">
        <v>15</v>
      </c>
      <c r="G43" s="12">
        <v>1</v>
      </c>
      <c r="H43" s="14">
        <v>871</v>
      </c>
      <c r="I43" s="33"/>
    </row>
    <row r="44" spans="1:9" ht="25.5" x14ac:dyDescent="0.2">
      <c r="A44" s="8">
        <v>35</v>
      </c>
      <c r="B44" s="8" t="s">
        <v>157</v>
      </c>
      <c r="C44" s="20" t="s">
        <v>29</v>
      </c>
      <c r="D44" s="11">
        <v>295</v>
      </c>
      <c r="E44" s="39" t="s">
        <v>166</v>
      </c>
      <c r="F44" s="8" t="s">
        <v>15</v>
      </c>
      <c r="G44" s="12">
        <v>1</v>
      </c>
      <c r="H44" s="14">
        <v>871</v>
      </c>
      <c r="I44" s="33">
        <f t="shared" ref="I44:I75" si="1">+G44*H44</f>
        <v>871</v>
      </c>
    </row>
    <row r="45" spans="1:9" ht="25.5" x14ac:dyDescent="0.2">
      <c r="A45" s="11">
        <v>36</v>
      </c>
      <c r="B45" s="15" t="s">
        <v>167</v>
      </c>
      <c r="C45" s="20" t="s">
        <v>29</v>
      </c>
      <c r="D45" s="11">
        <v>295</v>
      </c>
      <c r="E45" s="76" t="s">
        <v>168</v>
      </c>
      <c r="F45" s="8" t="s">
        <v>15</v>
      </c>
      <c r="G45" s="12">
        <v>1</v>
      </c>
      <c r="H45" s="14">
        <v>2410</v>
      </c>
      <c r="I45" s="33">
        <f t="shared" si="1"/>
        <v>2410</v>
      </c>
    </row>
    <row r="46" spans="1:9" ht="25.5" x14ac:dyDescent="0.2">
      <c r="A46" s="11">
        <v>37</v>
      </c>
      <c r="B46" s="65" t="s">
        <v>114</v>
      </c>
      <c r="C46" s="20" t="s">
        <v>29</v>
      </c>
      <c r="D46" s="11">
        <v>295</v>
      </c>
      <c r="E46" s="23" t="s">
        <v>113</v>
      </c>
      <c r="F46" s="8" t="s">
        <v>15</v>
      </c>
      <c r="G46" s="12">
        <v>1</v>
      </c>
      <c r="H46" s="14">
        <v>2410</v>
      </c>
      <c r="I46" s="33">
        <f t="shared" si="1"/>
        <v>2410</v>
      </c>
    </row>
    <row r="47" spans="1:9" ht="25.5" x14ac:dyDescent="0.2">
      <c r="A47" s="8">
        <v>38</v>
      </c>
      <c r="B47" s="8" t="s">
        <v>170</v>
      </c>
      <c r="C47" s="20" t="s">
        <v>29</v>
      </c>
      <c r="D47" s="11">
        <v>295</v>
      </c>
      <c r="E47" s="36" t="s">
        <v>169</v>
      </c>
      <c r="F47" s="8" t="s">
        <v>15</v>
      </c>
      <c r="G47" s="12">
        <v>1</v>
      </c>
      <c r="H47" s="14">
        <v>850</v>
      </c>
      <c r="I47" s="33">
        <f t="shared" si="1"/>
        <v>850</v>
      </c>
    </row>
    <row r="48" spans="1:9" ht="25.5" x14ac:dyDescent="0.2">
      <c r="A48" s="8">
        <v>39</v>
      </c>
      <c r="B48" s="42" t="s">
        <v>66</v>
      </c>
      <c r="C48" s="21" t="s">
        <v>29</v>
      </c>
      <c r="D48" s="11">
        <v>295</v>
      </c>
      <c r="E48" s="18" t="s">
        <v>62</v>
      </c>
      <c r="F48" s="8" t="s">
        <v>15</v>
      </c>
      <c r="G48" s="12">
        <v>1</v>
      </c>
      <c r="H48" s="14">
        <v>775</v>
      </c>
      <c r="I48" s="33">
        <f t="shared" si="1"/>
        <v>775</v>
      </c>
    </row>
    <row r="49" spans="1:9" ht="25.5" x14ac:dyDescent="0.2">
      <c r="A49" s="11">
        <v>40</v>
      </c>
      <c r="B49" s="42" t="s">
        <v>67</v>
      </c>
      <c r="C49" s="21" t="s">
        <v>29</v>
      </c>
      <c r="D49" s="11">
        <v>295</v>
      </c>
      <c r="E49" s="18" t="s">
        <v>63</v>
      </c>
      <c r="F49" s="8" t="s">
        <v>15</v>
      </c>
      <c r="G49" s="12">
        <v>1</v>
      </c>
      <c r="H49" s="14">
        <v>822</v>
      </c>
      <c r="I49" s="33">
        <f t="shared" si="1"/>
        <v>822</v>
      </c>
    </row>
    <row r="50" spans="1:9" ht="25.5" x14ac:dyDescent="0.2">
      <c r="A50" s="11">
        <v>41</v>
      </c>
      <c r="B50" s="42" t="s">
        <v>68</v>
      </c>
      <c r="C50" s="21" t="s">
        <v>29</v>
      </c>
      <c r="D50" s="11">
        <v>295</v>
      </c>
      <c r="E50" s="18" t="s">
        <v>64</v>
      </c>
      <c r="F50" s="8" t="s">
        <v>15</v>
      </c>
      <c r="G50" s="12">
        <v>1</v>
      </c>
      <c r="H50" s="14">
        <v>822</v>
      </c>
      <c r="I50" s="33">
        <f t="shared" si="1"/>
        <v>822</v>
      </c>
    </row>
    <row r="51" spans="1:9" ht="25.5" x14ac:dyDescent="0.2">
      <c r="A51" s="8">
        <v>42</v>
      </c>
      <c r="B51" s="42" t="s">
        <v>69</v>
      </c>
      <c r="C51" s="21" t="s">
        <v>29</v>
      </c>
      <c r="D51" s="11">
        <v>295</v>
      </c>
      <c r="E51" s="18" t="s">
        <v>65</v>
      </c>
      <c r="F51" s="8" t="s">
        <v>15</v>
      </c>
      <c r="G51" s="12">
        <v>1</v>
      </c>
      <c r="H51" s="14">
        <v>822</v>
      </c>
      <c r="I51" s="33">
        <f t="shared" si="1"/>
        <v>822</v>
      </c>
    </row>
    <row r="52" spans="1:9" ht="25.5" x14ac:dyDescent="0.2">
      <c r="A52" s="8">
        <v>43</v>
      </c>
      <c r="B52" s="15" t="s">
        <v>171</v>
      </c>
      <c r="C52" s="20" t="s">
        <v>29</v>
      </c>
      <c r="D52" s="11">
        <v>295</v>
      </c>
      <c r="E52" s="38" t="s">
        <v>182</v>
      </c>
      <c r="F52" s="8" t="s">
        <v>15</v>
      </c>
      <c r="G52" s="12">
        <v>1</v>
      </c>
      <c r="H52" s="14">
        <v>3217</v>
      </c>
      <c r="I52" s="33">
        <f t="shared" si="1"/>
        <v>3217</v>
      </c>
    </row>
    <row r="53" spans="1:9" ht="25.5" x14ac:dyDescent="0.2">
      <c r="A53" s="11">
        <v>44</v>
      </c>
      <c r="B53" s="15" t="s">
        <v>172</v>
      </c>
      <c r="C53" s="20" t="s">
        <v>29</v>
      </c>
      <c r="D53" s="11">
        <v>295</v>
      </c>
      <c r="E53" s="38" t="s">
        <v>183</v>
      </c>
      <c r="F53" s="8" t="s">
        <v>15</v>
      </c>
      <c r="G53" s="12">
        <v>1</v>
      </c>
      <c r="H53" s="14">
        <v>3217</v>
      </c>
      <c r="I53" s="33">
        <f t="shared" si="1"/>
        <v>3217</v>
      </c>
    </row>
    <row r="54" spans="1:9" ht="25.5" x14ac:dyDescent="0.2">
      <c r="A54" s="11">
        <v>45</v>
      </c>
      <c r="B54" s="15" t="s">
        <v>173</v>
      </c>
      <c r="C54" s="20" t="s">
        <v>29</v>
      </c>
      <c r="D54" s="11">
        <v>295</v>
      </c>
      <c r="E54" s="38" t="s">
        <v>184</v>
      </c>
      <c r="F54" s="8" t="s">
        <v>15</v>
      </c>
      <c r="G54" s="12">
        <v>1</v>
      </c>
      <c r="H54" s="14">
        <v>3217</v>
      </c>
      <c r="I54" s="33">
        <f t="shared" si="1"/>
        <v>3217</v>
      </c>
    </row>
    <row r="55" spans="1:9" ht="25.5" x14ac:dyDescent="0.2">
      <c r="A55" s="8">
        <v>46</v>
      </c>
      <c r="B55" s="15" t="s">
        <v>174</v>
      </c>
      <c r="C55" s="20" t="s">
        <v>29</v>
      </c>
      <c r="D55" s="11">
        <v>295</v>
      </c>
      <c r="E55" s="38" t="s">
        <v>185</v>
      </c>
      <c r="F55" s="8" t="s">
        <v>15</v>
      </c>
      <c r="G55" s="12">
        <v>1</v>
      </c>
      <c r="H55" s="14">
        <v>5583</v>
      </c>
      <c r="I55" s="33">
        <f t="shared" si="1"/>
        <v>5583</v>
      </c>
    </row>
    <row r="56" spans="1:9" ht="25.5" x14ac:dyDescent="0.2">
      <c r="A56" s="8">
        <v>47</v>
      </c>
      <c r="B56" s="15" t="s">
        <v>175</v>
      </c>
      <c r="C56" s="20" t="s">
        <v>29</v>
      </c>
      <c r="D56" s="11">
        <v>295</v>
      </c>
      <c r="E56" s="38" t="s">
        <v>186</v>
      </c>
      <c r="F56" s="8" t="s">
        <v>15</v>
      </c>
      <c r="G56" s="12">
        <v>1</v>
      </c>
      <c r="H56" s="14">
        <v>5583</v>
      </c>
      <c r="I56" s="33">
        <f t="shared" si="1"/>
        <v>5583</v>
      </c>
    </row>
    <row r="57" spans="1:9" ht="25.5" x14ac:dyDescent="0.2">
      <c r="A57" s="11">
        <v>48</v>
      </c>
      <c r="B57" s="15" t="s">
        <v>176</v>
      </c>
      <c r="C57" s="20" t="s">
        <v>29</v>
      </c>
      <c r="D57" s="11">
        <v>295</v>
      </c>
      <c r="E57" s="38" t="s">
        <v>187</v>
      </c>
      <c r="F57" s="8" t="s">
        <v>15</v>
      </c>
      <c r="G57" s="12">
        <v>1</v>
      </c>
      <c r="H57" s="14">
        <v>5583</v>
      </c>
      <c r="I57" s="33">
        <f t="shared" si="1"/>
        <v>5583</v>
      </c>
    </row>
    <row r="58" spans="1:9" ht="25.5" x14ac:dyDescent="0.2">
      <c r="A58" s="11">
        <v>49</v>
      </c>
      <c r="B58" s="15" t="s">
        <v>177</v>
      </c>
      <c r="C58" s="20" t="s">
        <v>29</v>
      </c>
      <c r="D58" s="11">
        <v>295</v>
      </c>
      <c r="E58" s="38" t="s">
        <v>188</v>
      </c>
      <c r="F58" s="8" t="s">
        <v>15</v>
      </c>
      <c r="G58" s="12">
        <v>1</v>
      </c>
      <c r="H58" s="14">
        <v>5583</v>
      </c>
      <c r="I58" s="33">
        <f t="shared" si="1"/>
        <v>5583</v>
      </c>
    </row>
    <row r="59" spans="1:9" ht="25.5" x14ac:dyDescent="0.2">
      <c r="A59" s="8">
        <v>50</v>
      </c>
      <c r="B59" s="15" t="s">
        <v>178</v>
      </c>
      <c r="C59" s="20" t="s">
        <v>29</v>
      </c>
      <c r="D59" s="11">
        <v>295</v>
      </c>
      <c r="E59" s="38" t="s">
        <v>189</v>
      </c>
      <c r="F59" s="8" t="s">
        <v>15</v>
      </c>
      <c r="G59" s="12">
        <v>1</v>
      </c>
      <c r="H59" s="14">
        <v>3217</v>
      </c>
      <c r="I59" s="33">
        <f t="shared" si="1"/>
        <v>3217</v>
      </c>
    </row>
    <row r="60" spans="1:9" ht="25.5" x14ac:dyDescent="0.2">
      <c r="A60" s="8">
        <v>51</v>
      </c>
      <c r="B60" s="15" t="s">
        <v>179</v>
      </c>
      <c r="C60" s="20" t="s">
        <v>29</v>
      </c>
      <c r="D60" s="11">
        <v>295</v>
      </c>
      <c r="E60" s="38" t="s">
        <v>190</v>
      </c>
      <c r="F60" s="8" t="s">
        <v>15</v>
      </c>
      <c r="G60" s="12">
        <v>1</v>
      </c>
      <c r="H60" s="14">
        <v>3217</v>
      </c>
      <c r="I60" s="33">
        <f t="shared" si="1"/>
        <v>3217</v>
      </c>
    </row>
    <row r="61" spans="1:9" ht="25.5" x14ac:dyDescent="0.2">
      <c r="A61" s="11">
        <v>52</v>
      </c>
      <c r="B61" s="15" t="s">
        <v>180</v>
      </c>
      <c r="C61" s="20" t="s">
        <v>29</v>
      </c>
      <c r="D61" s="11">
        <v>295</v>
      </c>
      <c r="E61" s="38" t="s">
        <v>191</v>
      </c>
      <c r="F61" s="8" t="s">
        <v>15</v>
      </c>
      <c r="G61" s="12">
        <v>1</v>
      </c>
      <c r="H61" s="14">
        <v>3217</v>
      </c>
      <c r="I61" s="33">
        <f t="shared" si="1"/>
        <v>3217</v>
      </c>
    </row>
    <row r="62" spans="1:9" ht="25.5" x14ac:dyDescent="0.2">
      <c r="A62" s="11">
        <v>53</v>
      </c>
      <c r="B62" s="15" t="s">
        <v>181</v>
      </c>
      <c r="C62" s="20" t="s">
        <v>29</v>
      </c>
      <c r="D62" s="11">
        <v>295</v>
      </c>
      <c r="E62" s="38" t="s">
        <v>192</v>
      </c>
      <c r="F62" s="8" t="s">
        <v>15</v>
      </c>
      <c r="G62" s="12">
        <v>1</v>
      </c>
      <c r="H62" s="14">
        <v>3217</v>
      </c>
      <c r="I62" s="33">
        <f t="shared" si="1"/>
        <v>3217</v>
      </c>
    </row>
    <row r="63" spans="1:9" ht="25.5" x14ac:dyDescent="0.2">
      <c r="A63" s="8">
        <v>54</v>
      </c>
      <c r="B63" s="42" t="s">
        <v>61</v>
      </c>
      <c r="C63" s="21" t="s">
        <v>29</v>
      </c>
      <c r="D63" s="11">
        <v>295</v>
      </c>
      <c r="E63" s="18" t="s">
        <v>60</v>
      </c>
      <c r="F63" s="8" t="s">
        <v>15</v>
      </c>
      <c r="G63" s="12">
        <v>1</v>
      </c>
      <c r="H63" s="14">
        <v>390</v>
      </c>
      <c r="I63" s="33">
        <f t="shared" si="1"/>
        <v>390</v>
      </c>
    </row>
    <row r="64" spans="1:9" ht="25.5" x14ac:dyDescent="0.2">
      <c r="A64" s="8">
        <v>55</v>
      </c>
      <c r="B64" s="8" t="s">
        <v>116</v>
      </c>
      <c r="C64" s="20" t="s">
        <v>29</v>
      </c>
      <c r="D64" s="11">
        <v>295</v>
      </c>
      <c r="E64" s="20" t="s">
        <v>115</v>
      </c>
      <c r="F64" s="8" t="s">
        <v>15</v>
      </c>
      <c r="G64" s="12">
        <v>1</v>
      </c>
      <c r="H64" s="14">
        <v>3250</v>
      </c>
      <c r="I64" s="33">
        <f t="shared" si="1"/>
        <v>3250</v>
      </c>
    </row>
    <row r="65" spans="1:10" ht="25.5" x14ac:dyDescent="0.2">
      <c r="A65" s="11">
        <v>56</v>
      </c>
      <c r="B65" s="8" t="s">
        <v>118</v>
      </c>
      <c r="C65" s="20" t="s">
        <v>29</v>
      </c>
      <c r="D65" s="11">
        <v>295</v>
      </c>
      <c r="E65" s="34" t="s">
        <v>193</v>
      </c>
      <c r="F65" s="8" t="s">
        <v>15</v>
      </c>
      <c r="G65" s="12">
        <v>1</v>
      </c>
      <c r="H65" s="14">
        <v>3250</v>
      </c>
      <c r="I65" s="33">
        <f t="shared" si="1"/>
        <v>3250</v>
      </c>
    </row>
    <row r="66" spans="1:10" ht="25.5" x14ac:dyDescent="0.2">
      <c r="A66" s="11">
        <v>57</v>
      </c>
      <c r="B66" s="8" t="s">
        <v>117</v>
      </c>
      <c r="C66" s="20" t="s">
        <v>29</v>
      </c>
      <c r="D66" s="11">
        <v>295</v>
      </c>
      <c r="E66" s="34" t="s">
        <v>194</v>
      </c>
      <c r="F66" s="8" t="s">
        <v>15</v>
      </c>
      <c r="G66" s="12">
        <v>1</v>
      </c>
      <c r="H66" s="14">
        <v>3250</v>
      </c>
      <c r="I66" s="33">
        <f t="shared" si="1"/>
        <v>3250</v>
      </c>
    </row>
    <row r="67" spans="1:10" ht="25.5" x14ac:dyDescent="0.2">
      <c r="A67" s="17">
        <v>58</v>
      </c>
      <c r="B67" s="53" t="s">
        <v>195</v>
      </c>
      <c r="C67" s="74" t="s">
        <v>256</v>
      </c>
      <c r="D67" s="54">
        <v>295</v>
      </c>
      <c r="E67" s="80" t="s">
        <v>196</v>
      </c>
      <c r="F67" s="55" t="s">
        <v>15</v>
      </c>
      <c r="G67" s="12">
        <v>1</v>
      </c>
      <c r="H67" s="56">
        <v>4800</v>
      </c>
      <c r="I67" s="58">
        <f t="shared" si="1"/>
        <v>4800</v>
      </c>
      <c r="J67" s="73" t="s">
        <v>260</v>
      </c>
    </row>
    <row r="68" spans="1:10" ht="25.5" x14ac:dyDescent="0.2">
      <c r="A68" s="8">
        <v>59</v>
      </c>
      <c r="B68" s="8" t="s">
        <v>197</v>
      </c>
      <c r="C68" s="20" t="s">
        <v>29</v>
      </c>
      <c r="D68" s="11">
        <v>295</v>
      </c>
      <c r="E68" s="39" t="s">
        <v>199</v>
      </c>
      <c r="F68" s="8" t="s">
        <v>15</v>
      </c>
      <c r="G68" s="12">
        <v>1</v>
      </c>
      <c r="H68" s="14">
        <v>52785</v>
      </c>
      <c r="I68" s="33">
        <f t="shared" si="1"/>
        <v>52785</v>
      </c>
    </row>
    <row r="69" spans="1:10" ht="25.5" x14ac:dyDescent="0.2">
      <c r="A69" s="11">
        <v>60</v>
      </c>
      <c r="B69" s="8" t="s">
        <v>198</v>
      </c>
      <c r="C69" s="20" t="s">
        <v>29</v>
      </c>
      <c r="D69" s="11">
        <v>295</v>
      </c>
      <c r="E69" s="39" t="s">
        <v>200</v>
      </c>
      <c r="F69" s="8" t="s">
        <v>15</v>
      </c>
      <c r="G69" s="12">
        <v>1</v>
      </c>
      <c r="H69" s="14">
        <v>52785</v>
      </c>
      <c r="I69" s="33">
        <f t="shared" si="1"/>
        <v>52785</v>
      </c>
    </row>
    <row r="70" spans="1:10" ht="25.5" x14ac:dyDescent="0.2">
      <c r="A70" s="11">
        <v>61</v>
      </c>
      <c r="B70" s="42" t="s">
        <v>59</v>
      </c>
      <c r="C70" s="21" t="s">
        <v>29</v>
      </c>
      <c r="D70" s="11">
        <v>295</v>
      </c>
      <c r="E70" s="18" t="s">
        <v>58</v>
      </c>
      <c r="F70" s="8" t="s">
        <v>15</v>
      </c>
      <c r="G70" s="12">
        <v>1</v>
      </c>
      <c r="H70" s="14">
        <v>520</v>
      </c>
      <c r="I70" s="33">
        <f t="shared" si="1"/>
        <v>520</v>
      </c>
    </row>
    <row r="71" spans="1:10" ht="25.5" x14ac:dyDescent="0.2">
      <c r="A71" s="17">
        <v>62</v>
      </c>
      <c r="B71" s="77" t="s">
        <v>255</v>
      </c>
      <c r="C71" s="61" t="s">
        <v>29</v>
      </c>
      <c r="D71" s="60">
        <v>295</v>
      </c>
      <c r="E71" s="80" t="s">
        <v>254</v>
      </c>
      <c r="F71" s="17" t="s">
        <v>15</v>
      </c>
      <c r="G71" s="12">
        <v>1</v>
      </c>
      <c r="H71" s="62"/>
      <c r="I71" s="58">
        <f t="shared" si="1"/>
        <v>0</v>
      </c>
      <c r="J71" s="73" t="s">
        <v>259</v>
      </c>
    </row>
    <row r="72" spans="1:10" ht="25.5" x14ac:dyDescent="0.2">
      <c r="A72" s="8">
        <v>63</v>
      </c>
      <c r="B72" s="49" t="s">
        <v>201</v>
      </c>
      <c r="C72" s="20" t="s">
        <v>29</v>
      </c>
      <c r="D72" s="11">
        <v>295</v>
      </c>
      <c r="E72" s="59" t="s">
        <v>207</v>
      </c>
      <c r="F72" s="8" t="s">
        <v>15</v>
      </c>
      <c r="G72" s="12">
        <v>1</v>
      </c>
      <c r="H72" s="14">
        <v>4702</v>
      </c>
      <c r="I72" s="33">
        <f t="shared" si="1"/>
        <v>4702</v>
      </c>
    </row>
    <row r="73" spans="1:10" ht="25.5" x14ac:dyDescent="0.2">
      <c r="A73" s="11">
        <v>64</v>
      </c>
      <c r="B73" s="50" t="s">
        <v>202</v>
      </c>
      <c r="C73" s="40" t="s">
        <v>29</v>
      </c>
      <c r="D73" s="22">
        <v>295</v>
      </c>
      <c r="E73" s="81" t="s">
        <v>208</v>
      </c>
      <c r="F73" s="15" t="s">
        <v>15</v>
      </c>
      <c r="G73" s="12">
        <v>1</v>
      </c>
      <c r="H73" s="30">
        <v>4863</v>
      </c>
      <c r="I73" s="33">
        <f t="shared" si="1"/>
        <v>4863</v>
      </c>
    </row>
    <row r="74" spans="1:10" ht="30" x14ac:dyDescent="0.2">
      <c r="A74" s="11">
        <v>65</v>
      </c>
      <c r="B74" s="49" t="s">
        <v>203</v>
      </c>
      <c r="C74" s="20" t="s">
        <v>29</v>
      </c>
      <c r="D74" s="11">
        <v>259</v>
      </c>
      <c r="E74" s="59" t="s">
        <v>209</v>
      </c>
      <c r="F74" s="8" t="s">
        <v>16</v>
      </c>
      <c r="G74" s="12">
        <v>1</v>
      </c>
      <c r="H74" s="14">
        <v>20890</v>
      </c>
      <c r="I74" s="33">
        <f t="shared" si="1"/>
        <v>20890</v>
      </c>
      <c r="J74" s="3" t="s">
        <v>262</v>
      </c>
    </row>
    <row r="75" spans="1:10" ht="30" x14ac:dyDescent="0.2">
      <c r="A75" s="8">
        <v>66</v>
      </c>
      <c r="B75" s="49" t="s">
        <v>204</v>
      </c>
      <c r="C75" s="20" t="s">
        <v>29</v>
      </c>
      <c r="D75" s="11">
        <v>259</v>
      </c>
      <c r="E75" s="59" t="s">
        <v>210</v>
      </c>
      <c r="F75" s="8" t="s">
        <v>16</v>
      </c>
      <c r="G75" s="12">
        <v>1</v>
      </c>
      <c r="H75" s="14">
        <v>18800</v>
      </c>
      <c r="I75" s="33">
        <f t="shared" si="1"/>
        <v>18800</v>
      </c>
      <c r="J75" s="3" t="s">
        <v>262</v>
      </c>
    </row>
    <row r="76" spans="1:10" ht="30" x14ac:dyDescent="0.25">
      <c r="A76" s="8">
        <v>67</v>
      </c>
      <c r="B76" s="49" t="s">
        <v>205</v>
      </c>
      <c r="C76" s="20" t="s">
        <v>29</v>
      </c>
      <c r="D76" s="11">
        <v>259</v>
      </c>
      <c r="E76" s="41" t="s">
        <v>211</v>
      </c>
      <c r="F76" s="8" t="s">
        <v>16</v>
      </c>
      <c r="G76" s="12">
        <v>1</v>
      </c>
      <c r="H76" s="14">
        <v>33200</v>
      </c>
      <c r="I76" s="33">
        <f t="shared" ref="I76:I107" si="2">+G76*H76</f>
        <v>33200</v>
      </c>
      <c r="J76" s="3" t="s">
        <v>263</v>
      </c>
    </row>
    <row r="77" spans="1:10" ht="30" x14ac:dyDescent="0.25">
      <c r="A77" s="11">
        <v>68</v>
      </c>
      <c r="B77" s="49" t="s">
        <v>206</v>
      </c>
      <c r="C77" s="20" t="s">
        <v>29</v>
      </c>
      <c r="D77" s="11">
        <v>259</v>
      </c>
      <c r="E77" s="41" t="s">
        <v>212</v>
      </c>
      <c r="F77" s="8" t="s">
        <v>16</v>
      </c>
      <c r="G77" s="12">
        <v>1</v>
      </c>
      <c r="H77" s="14">
        <v>26634</v>
      </c>
      <c r="I77" s="33">
        <f t="shared" si="2"/>
        <v>26634</v>
      </c>
      <c r="J77" s="3" t="s">
        <v>263</v>
      </c>
    </row>
    <row r="78" spans="1:10" ht="25.5" x14ac:dyDescent="0.2">
      <c r="A78" s="11">
        <v>69</v>
      </c>
      <c r="B78" s="42" t="s">
        <v>121</v>
      </c>
      <c r="C78" s="21" t="s">
        <v>29</v>
      </c>
      <c r="D78" s="11">
        <v>295</v>
      </c>
      <c r="E78" s="18" t="s">
        <v>122</v>
      </c>
      <c r="F78" s="8" t="s">
        <v>15</v>
      </c>
      <c r="G78" s="12">
        <v>1</v>
      </c>
      <c r="H78" s="14">
        <v>1580</v>
      </c>
      <c r="I78" s="33">
        <f t="shared" si="2"/>
        <v>1580</v>
      </c>
    </row>
    <row r="79" spans="1:10" ht="25.5" x14ac:dyDescent="0.2">
      <c r="A79" s="8">
        <v>70</v>
      </c>
      <c r="B79" s="43" t="s">
        <v>121</v>
      </c>
      <c r="C79" s="21" t="s">
        <v>29</v>
      </c>
      <c r="D79" s="22">
        <v>295</v>
      </c>
      <c r="E79" s="29" t="s">
        <v>122</v>
      </c>
      <c r="F79" s="15" t="s">
        <v>15</v>
      </c>
      <c r="G79" s="12">
        <v>1</v>
      </c>
      <c r="H79" s="30">
        <v>1580</v>
      </c>
      <c r="I79" s="33">
        <f t="shared" si="2"/>
        <v>1580</v>
      </c>
    </row>
    <row r="80" spans="1:10" ht="25.5" x14ac:dyDescent="0.2">
      <c r="A80" s="8">
        <v>71</v>
      </c>
      <c r="B80" s="42" t="s">
        <v>121</v>
      </c>
      <c r="C80" s="21" t="s">
        <v>29</v>
      </c>
      <c r="D80" s="11">
        <v>295</v>
      </c>
      <c r="E80" s="18" t="s">
        <v>122</v>
      </c>
      <c r="F80" s="8" t="s">
        <v>15</v>
      </c>
      <c r="G80" s="12">
        <v>1</v>
      </c>
      <c r="H80" s="14">
        <v>1580</v>
      </c>
      <c r="I80" s="33">
        <f t="shared" si="2"/>
        <v>1580</v>
      </c>
    </row>
    <row r="81" spans="1:9" ht="25.5" x14ac:dyDescent="0.2">
      <c r="A81" s="11">
        <v>72</v>
      </c>
      <c r="B81" s="42" t="s">
        <v>121</v>
      </c>
      <c r="C81" s="21" t="s">
        <v>29</v>
      </c>
      <c r="D81" s="11">
        <v>295</v>
      </c>
      <c r="E81" s="18" t="s">
        <v>122</v>
      </c>
      <c r="F81" s="8" t="s">
        <v>15</v>
      </c>
      <c r="G81" s="12">
        <v>1</v>
      </c>
      <c r="H81" s="14">
        <v>1580</v>
      </c>
      <c r="I81" s="33">
        <f t="shared" si="2"/>
        <v>1580</v>
      </c>
    </row>
    <row r="82" spans="1:9" ht="25.5" x14ac:dyDescent="0.2">
      <c r="A82" s="11">
        <v>73</v>
      </c>
      <c r="B82" s="8" t="s">
        <v>265</v>
      </c>
      <c r="C82" s="20" t="s">
        <v>29</v>
      </c>
      <c r="D82" s="11">
        <v>295</v>
      </c>
      <c r="E82" s="79" t="s">
        <v>264</v>
      </c>
      <c r="F82" s="8" t="s">
        <v>15</v>
      </c>
      <c r="G82" s="12">
        <v>1</v>
      </c>
      <c r="H82" s="14">
        <v>1039</v>
      </c>
      <c r="I82" s="33">
        <f t="shared" si="2"/>
        <v>1039</v>
      </c>
    </row>
    <row r="83" spans="1:9" ht="25.5" x14ac:dyDescent="0.2">
      <c r="A83" s="8">
        <v>74</v>
      </c>
      <c r="B83" s="8" t="s">
        <v>50</v>
      </c>
      <c r="C83" s="20" t="s">
        <v>29</v>
      </c>
      <c r="D83" s="11">
        <v>295</v>
      </c>
      <c r="E83" s="23" t="s">
        <v>51</v>
      </c>
      <c r="F83" s="8" t="s">
        <v>15</v>
      </c>
      <c r="G83" s="12">
        <v>1</v>
      </c>
      <c r="H83" s="14">
        <v>9780</v>
      </c>
      <c r="I83" s="33">
        <f t="shared" si="2"/>
        <v>9780</v>
      </c>
    </row>
    <row r="84" spans="1:9" ht="25.5" x14ac:dyDescent="0.2">
      <c r="A84" s="8">
        <v>75</v>
      </c>
      <c r="B84" s="8" t="s">
        <v>52</v>
      </c>
      <c r="C84" s="20" t="s">
        <v>29</v>
      </c>
      <c r="D84" s="11">
        <v>295</v>
      </c>
      <c r="E84" s="23" t="s">
        <v>53</v>
      </c>
      <c r="F84" s="8" t="s">
        <v>15</v>
      </c>
      <c r="G84" s="12">
        <v>1</v>
      </c>
      <c r="H84" s="14">
        <v>9780</v>
      </c>
      <c r="I84" s="33">
        <f t="shared" si="2"/>
        <v>9780</v>
      </c>
    </row>
    <row r="85" spans="1:9" ht="25.5" x14ac:dyDescent="0.2">
      <c r="A85" s="11">
        <v>76</v>
      </c>
      <c r="B85" s="8" t="s">
        <v>54</v>
      </c>
      <c r="C85" s="20" t="s">
        <v>29</v>
      </c>
      <c r="D85" s="11">
        <v>295</v>
      </c>
      <c r="E85" s="23" t="s">
        <v>55</v>
      </c>
      <c r="F85" s="8" t="s">
        <v>15</v>
      </c>
      <c r="G85" s="12">
        <v>1</v>
      </c>
      <c r="H85" s="14">
        <v>8375</v>
      </c>
      <c r="I85" s="33">
        <f t="shared" si="2"/>
        <v>8375</v>
      </c>
    </row>
    <row r="86" spans="1:9" ht="25.5" x14ac:dyDescent="0.2">
      <c r="A86" s="11">
        <v>77</v>
      </c>
      <c r="B86" s="8" t="s">
        <v>56</v>
      </c>
      <c r="C86" s="20" t="s">
        <v>29</v>
      </c>
      <c r="D86" s="11">
        <v>295</v>
      </c>
      <c r="E86" s="23" t="s">
        <v>57</v>
      </c>
      <c r="F86" s="8" t="s">
        <v>15</v>
      </c>
      <c r="G86" s="12">
        <v>1</v>
      </c>
      <c r="H86" s="14">
        <v>5865</v>
      </c>
      <c r="I86" s="33">
        <f t="shared" si="2"/>
        <v>5865</v>
      </c>
    </row>
    <row r="87" spans="1:9" ht="25.5" x14ac:dyDescent="0.2">
      <c r="A87" s="8">
        <v>78</v>
      </c>
      <c r="B87" s="45" t="s">
        <v>213</v>
      </c>
      <c r="C87" s="20" t="s">
        <v>29</v>
      </c>
      <c r="D87" s="11">
        <v>234</v>
      </c>
      <c r="E87" s="46" t="s">
        <v>214</v>
      </c>
      <c r="F87" s="8" t="s">
        <v>19</v>
      </c>
      <c r="G87" s="12">
        <v>1</v>
      </c>
      <c r="H87" s="14">
        <v>590</v>
      </c>
      <c r="I87" s="33">
        <f t="shared" si="2"/>
        <v>590</v>
      </c>
    </row>
    <row r="88" spans="1:9" ht="25.5" x14ac:dyDescent="0.2">
      <c r="A88" s="8">
        <v>79</v>
      </c>
      <c r="B88" s="65" t="s">
        <v>120</v>
      </c>
      <c r="C88" s="20" t="s">
        <v>29</v>
      </c>
      <c r="D88" s="11">
        <v>234</v>
      </c>
      <c r="E88" s="78" t="s">
        <v>119</v>
      </c>
      <c r="F88" s="8" t="s">
        <v>18</v>
      </c>
      <c r="G88" s="12">
        <v>1</v>
      </c>
      <c r="H88" s="14">
        <v>11500</v>
      </c>
      <c r="I88" s="33">
        <f t="shared" si="2"/>
        <v>11500</v>
      </c>
    </row>
    <row r="89" spans="1:9" ht="25.5" x14ac:dyDescent="0.2">
      <c r="A89" s="11">
        <v>80</v>
      </c>
      <c r="B89" s="42" t="s">
        <v>91</v>
      </c>
      <c r="C89" s="21" t="s">
        <v>29</v>
      </c>
      <c r="D89" s="11">
        <v>234</v>
      </c>
      <c r="E89" s="25" t="s">
        <v>90</v>
      </c>
      <c r="F89" s="8" t="s">
        <v>18</v>
      </c>
      <c r="G89" s="12">
        <v>1</v>
      </c>
      <c r="H89" s="14">
        <v>5500</v>
      </c>
      <c r="I89" s="33">
        <f t="shared" si="2"/>
        <v>5500</v>
      </c>
    </row>
    <row r="90" spans="1:9" ht="25.5" x14ac:dyDescent="0.2">
      <c r="A90" s="11">
        <v>81</v>
      </c>
      <c r="B90" s="8" t="s">
        <v>215</v>
      </c>
      <c r="C90" s="20" t="s">
        <v>29</v>
      </c>
      <c r="D90" s="11">
        <v>234</v>
      </c>
      <c r="E90" s="47" t="s">
        <v>216</v>
      </c>
      <c r="F90" s="8" t="s">
        <v>19</v>
      </c>
      <c r="G90" s="12">
        <v>1</v>
      </c>
      <c r="H90" s="14">
        <v>3998</v>
      </c>
      <c r="I90" s="33">
        <f t="shared" si="2"/>
        <v>3998</v>
      </c>
    </row>
    <row r="91" spans="1:9" ht="25.5" x14ac:dyDescent="0.2">
      <c r="A91" s="8">
        <v>82</v>
      </c>
      <c r="B91" s="42" t="s">
        <v>93</v>
      </c>
      <c r="C91" s="21" t="s">
        <v>29</v>
      </c>
      <c r="D91" s="11">
        <v>234</v>
      </c>
      <c r="E91" s="25" t="s">
        <v>92</v>
      </c>
      <c r="F91" s="8" t="s">
        <v>18</v>
      </c>
      <c r="G91" s="12">
        <v>1</v>
      </c>
      <c r="H91" s="14">
        <v>230</v>
      </c>
      <c r="I91" s="33">
        <f t="shared" si="2"/>
        <v>230</v>
      </c>
    </row>
    <row r="92" spans="1:9" ht="25.5" x14ac:dyDescent="0.2">
      <c r="A92" s="8">
        <v>83</v>
      </c>
      <c r="B92" s="42" t="s">
        <v>95</v>
      </c>
      <c r="C92" s="21" t="s">
        <v>29</v>
      </c>
      <c r="D92" s="11">
        <v>234</v>
      </c>
      <c r="E92" s="25" t="s">
        <v>94</v>
      </c>
      <c r="F92" s="8" t="s">
        <v>18</v>
      </c>
      <c r="G92" s="12">
        <v>1</v>
      </c>
      <c r="H92" s="14">
        <v>295</v>
      </c>
      <c r="I92" s="33">
        <f t="shared" si="2"/>
        <v>295</v>
      </c>
    </row>
    <row r="93" spans="1:9" ht="25.5" x14ac:dyDescent="0.2">
      <c r="A93" s="11">
        <v>84</v>
      </c>
      <c r="B93" s="42" t="s">
        <v>97</v>
      </c>
      <c r="C93" s="21" t="s">
        <v>29</v>
      </c>
      <c r="D93" s="11">
        <v>234</v>
      </c>
      <c r="E93" s="25" t="s">
        <v>96</v>
      </c>
      <c r="F93" s="8" t="s">
        <v>18</v>
      </c>
      <c r="G93" s="12">
        <v>1</v>
      </c>
      <c r="H93" s="14">
        <v>330</v>
      </c>
      <c r="I93" s="33">
        <f t="shared" si="2"/>
        <v>330</v>
      </c>
    </row>
    <row r="94" spans="1:9" ht="25.5" x14ac:dyDescent="0.2">
      <c r="A94" s="11">
        <v>85</v>
      </c>
      <c r="B94" s="45" t="s">
        <v>217</v>
      </c>
      <c r="C94" s="20" t="s">
        <v>29</v>
      </c>
      <c r="D94" s="11">
        <v>234</v>
      </c>
      <c r="E94" s="20" t="s">
        <v>220</v>
      </c>
      <c r="F94" s="8" t="s">
        <v>19</v>
      </c>
      <c r="G94" s="12">
        <v>1</v>
      </c>
      <c r="H94" s="14">
        <v>980</v>
      </c>
      <c r="I94" s="33">
        <f t="shared" si="2"/>
        <v>980</v>
      </c>
    </row>
    <row r="95" spans="1:9" ht="25.5" x14ac:dyDescent="0.2">
      <c r="A95" s="8">
        <v>86</v>
      </c>
      <c r="B95" s="45" t="s">
        <v>218</v>
      </c>
      <c r="C95" s="20" t="s">
        <v>29</v>
      </c>
      <c r="D95" s="11">
        <v>234</v>
      </c>
      <c r="E95" s="20" t="s">
        <v>221</v>
      </c>
      <c r="F95" s="8" t="s">
        <v>19</v>
      </c>
      <c r="G95" s="12">
        <v>1</v>
      </c>
      <c r="H95" s="14">
        <v>826</v>
      </c>
      <c r="I95" s="33">
        <f t="shared" si="2"/>
        <v>826</v>
      </c>
    </row>
    <row r="96" spans="1:9" ht="25.5" x14ac:dyDescent="0.2">
      <c r="A96" s="8">
        <v>87</v>
      </c>
      <c r="B96" s="45" t="s">
        <v>219</v>
      </c>
      <c r="C96" s="20" t="s">
        <v>29</v>
      </c>
      <c r="D96" s="11">
        <v>234</v>
      </c>
      <c r="E96" s="20" t="s">
        <v>222</v>
      </c>
      <c r="F96" s="8" t="s">
        <v>18</v>
      </c>
      <c r="G96" s="12">
        <v>1</v>
      </c>
      <c r="H96" s="14">
        <f>630.75*1.21</f>
        <v>763.20749999999998</v>
      </c>
      <c r="I96" s="33">
        <f t="shared" si="2"/>
        <v>763.20749999999998</v>
      </c>
    </row>
    <row r="97" spans="1:10" ht="25.5" x14ac:dyDescent="0.2">
      <c r="A97" s="11">
        <v>88</v>
      </c>
      <c r="B97" s="45" t="s">
        <v>223</v>
      </c>
      <c r="C97" s="20" t="s">
        <v>29</v>
      </c>
      <c r="D97" s="11">
        <v>252</v>
      </c>
      <c r="E97" s="19" t="s">
        <v>225</v>
      </c>
      <c r="F97" s="8" t="s">
        <v>15</v>
      </c>
      <c r="G97" s="12">
        <v>1</v>
      </c>
      <c r="H97" s="14">
        <v>12100</v>
      </c>
      <c r="I97" s="33">
        <f t="shared" si="2"/>
        <v>12100</v>
      </c>
    </row>
    <row r="98" spans="1:10" ht="25.5" x14ac:dyDescent="0.2">
      <c r="A98" s="11">
        <v>89</v>
      </c>
      <c r="B98" s="45" t="s">
        <v>224</v>
      </c>
      <c r="C98" s="20" t="s">
        <v>29</v>
      </c>
      <c r="D98" s="11">
        <v>252</v>
      </c>
      <c r="E98" s="19" t="s">
        <v>226</v>
      </c>
      <c r="F98" s="8" t="s">
        <v>15</v>
      </c>
      <c r="G98" s="12">
        <v>1</v>
      </c>
      <c r="H98" s="14">
        <v>15000</v>
      </c>
      <c r="I98" s="33">
        <f t="shared" si="2"/>
        <v>15000</v>
      </c>
    </row>
    <row r="99" spans="1:10" ht="25.5" x14ac:dyDescent="0.2">
      <c r="A99" s="8">
        <v>90</v>
      </c>
      <c r="B99" s="8" t="s">
        <v>45</v>
      </c>
      <c r="C99" s="20" t="s">
        <v>29</v>
      </c>
      <c r="D99" s="11">
        <v>259</v>
      </c>
      <c r="E99" s="20" t="s">
        <v>44</v>
      </c>
      <c r="F99" s="8" t="s">
        <v>16</v>
      </c>
      <c r="G99" s="12">
        <v>1</v>
      </c>
      <c r="H99" s="14">
        <v>22615</v>
      </c>
      <c r="I99" s="33">
        <f t="shared" si="2"/>
        <v>22615</v>
      </c>
      <c r="J99" s="24"/>
    </row>
    <row r="100" spans="1:10" ht="25.5" x14ac:dyDescent="0.2">
      <c r="A100" s="8">
        <v>91</v>
      </c>
      <c r="B100" s="8" t="s">
        <v>43</v>
      </c>
      <c r="C100" s="20" t="s">
        <v>29</v>
      </c>
      <c r="D100" s="11">
        <v>259</v>
      </c>
      <c r="E100" s="20" t="s">
        <v>42</v>
      </c>
      <c r="F100" s="8" t="s">
        <v>16</v>
      </c>
      <c r="G100" s="12">
        <v>1</v>
      </c>
      <c r="H100" s="14">
        <v>41926</v>
      </c>
      <c r="I100" s="33">
        <f t="shared" si="2"/>
        <v>41926</v>
      </c>
      <c r="J100" s="24"/>
    </row>
    <row r="101" spans="1:10" ht="25.5" x14ac:dyDescent="0.2">
      <c r="A101" s="11">
        <v>92</v>
      </c>
      <c r="B101" s="42" t="s">
        <v>37</v>
      </c>
      <c r="C101" s="21" t="s">
        <v>29</v>
      </c>
      <c r="D101" s="11">
        <v>259</v>
      </c>
      <c r="E101" s="18" t="s">
        <v>36</v>
      </c>
      <c r="F101" s="8" t="s">
        <v>16</v>
      </c>
      <c r="G101" s="12">
        <v>1</v>
      </c>
      <c r="H101" s="14">
        <v>7948</v>
      </c>
      <c r="I101" s="33">
        <f t="shared" si="2"/>
        <v>7948</v>
      </c>
    </row>
    <row r="102" spans="1:10" ht="25.5" x14ac:dyDescent="0.2">
      <c r="A102" s="11">
        <v>93</v>
      </c>
      <c r="B102" s="42" t="s">
        <v>39</v>
      </c>
      <c r="C102" s="21" t="s">
        <v>29</v>
      </c>
      <c r="D102" s="11">
        <v>259</v>
      </c>
      <c r="E102" s="18" t="s">
        <v>38</v>
      </c>
      <c r="F102" s="8" t="s">
        <v>16</v>
      </c>
      <c r="G102" s="12">
        <v>1</v>
      </c>
      <c r="H102" s="14">
        <v>12680</v>
      </c>
      <c r="I102" s="33">
        <f t="shared" si="2"/>
        <v>12680</v>
      </c>
    </row>
    <row r="103" spans="1:10" ht="25.5" x14ac:dyDescent="0.2">
      <c r="A103" s="8">
        <v>94</v>
      </c>
      <c r="B103" s="42" t="s">
        <v>41</v>
      </c>
      <c r="C103" s="21" t="s">
        <v>29</v>
      </c>
      <c r="D103" s="11">
        <v>259</v>
      </c>
      <c r="E103" s="18" t="s">
        <v>40</v>
      </c>
      <c r="F103" s="8" t="s">
        <v>16</v>
      </c>
      <c r="G103" s="12">
        <v>1</v>
      </c>
      <c r="H103" s="14">
        <v>26852</v>
      </c>
      <c r="I103" s="33">
        <f t="shared" si="2"/>
        <v>26852</v>
      </c>
    </row>
    <row r="104" spans="1:10" ht="25.5" x14ac:dyDescent="0.2">
      <c r="A104" s="8">
        <v>95</v>
      </c>
      <c r="B104" s="35" t="s">
        <v>227</v>
      </c>
      <c r="C104" s="20" t="s">
        <v>29</v>
      </c>
      <c r="D104" s="11">
        <v>295</v>
      </c>
      <c r="E104" s="47" t="s">
        <v>228</v>
      </c>
      <c r="F104" s="8" t="s">
        <v>15</v>
      </c>
      <c r="G104" s="12">
        <v>1</v>
      </c>
      <c r="H104" s="14">
        <v>298</v>
      </c>
      <c r="I104" s="33">
        <f t="shared" si="2"/>
        <v>298</v>
      </c>
    </row>
    <row r="105" spans="1:10" ht="25.5" x14ac:dyDescent="0.2">
      <c r="A105" s="11">
        <v>96</v>
      </c>
      <c r="B105" s="8" t="s">
        <v>101</v>
      </c>
      <c r="C105" s="20" t="s">
        <v>29</v>
      </c>
      <c r="D105" s="11">
        <v>295</v>
      </c>
      <c r="E105" s="75" t="s">
        <v>100</v>
      </c>
      <c r="F105" s="8" t="s">
        <v>15</v>
      </c>
      <c r="G105" s="12">
        <v>1</v>
      </c>
      <c r="H105" s="14">
        <v>2200</v>
      </c>
      <c r="I105" s="33">
        <f t="shared" si="2"/>
        <v>2200</v>
      </c>
      <c r="J105" s="92"/>
    </row>
    <row r="106" spans="1:10" ht="25.5" x14ac:dyDescent="0.2">
      <c r="A106" s="11">
        <v>97</v>
      </c>
      <c r="B106" s="65" t="s">
        <v>99</v>
      </c>
      <c r="C106" s="20" t="s">
        <v>29</v>
      </c>
      <c r="D106" s="11">
        <v>295</v>
      </c>
      <c r="E106" s="75" t="s">
        <v>98</v>
      </c>
      <c r="F106" s="8" t="s">
        <v>15</v>
      </c>
      <c r="G106" s="12">
        <v>1</v>
      </c>
      <c r="H106" s="14">
        <v>2200</v>
      </c>
      <c r="I106" s="33">
        <f t="shared" si="2"/>
        <v>2200</v>
      </c>
      <c r="J106" s="93"/>
    </row>
    <row r="107" spans="1:10" ht="25.5" x14ac:dyDescent="0.2">
      <c r="A107" s="8">
        <v>98</v>
      </c>
      <c r="B107" s="8" t="s">
        <v>103</v>
      </c>
      <c r="C107" s="20" t="s">
        <v>29</v>
      </c>
      <c r="D107" s="11">
        <v>295</v>
      </c>
      <c r="E107" s="75" t="s">
        <v>102</v>
      </c>
      <c r="F107" s="8" t="s">
        <v>15</v>
      </c>
      <c r="G107" s="12">
        <v>1</v>
      </c>
      <c r="H107" s="14">
        <v>32500</v>
      </c>
      <c r="I107" s="33">
        <f t="shared" si="2"/>
        <v>32500</v>
      </c>
      <c r="J107" s="93"/>
    </row>
    <row r="108" spans="1:10" ht="25.5" x14ac:dyDescent="0.2">
      <c r="A108" s="8">
        <v>99</v>
      </c>
      <c r="B108" s="8" t="s">
        <v>103</v>
      </c>
      <c r="C108" s="20" t="s">
        <v>29</v>
      </c>
      <c r="D108" s="11">
        <v>295</v>
      </c>
      <c r="E108" s="75" t="s">
        <v>102</v>
      </c>
      <c r="F108" s="8" t="s">
        <v>15</v>
      </c>
      <c r="G108" s="12">
        <v>1</v>
      </c>
      <c r="H108" s="14">
        <v>32500</v>
      </c>
      <c r="I108" s="33">
        <f t="shared" ref="I108:I139" si="3">+G108*H108</f>
        <v>32500</v>
      </c>
      <c r="J108" s="93"/>
    </row>
    <row r="109" spans="1:10" ht="25.5" x14ac:dyDescent="0.2">
      <c r="A109" s="11">
        <v>100</v>
      </c>
      <c r="B109" s="42" t="s">
        <v>105</v>
      </c>
      <c r="C109" s="31" t="s">
        <v>29</v>
      </c>
      <c r="D109" s="27">
        <v>295</v>
      </c>
      <c r="E109" s="78" t="s">
        <v>104</v>
      </c>
      <c r="F109" s="32" t="s">
        <v>15</v>
      </c>
      <c r="G109" s="12">
        <v>1</v>
      </c>
      <c r="H109" s="51">
        <v>1520</v>
      </c>
      <c r="I109" s="33">
        <f t="shared" si="3"/>
        <v>1520</v>
      </c>
    </row>
    <row r="110" spans="1:10" ht="25.5" x14ac:dyDescent="0.2">
      <c r="A110" s="11">
        <v>101</v>
      </c>
      <c r="B110" s="8" t="s">
        <v>229</v>
      </c>
      <c r="C110" s="20" t="s">
        <v>29</v>
      </c>
      <c r="D110" s="11">
        <v>295</v>
      </c>
      <c r="E110" s="39" t="s">
        <v>232</v>
      </c>
      <c r="F110" s="8" t="s">
        <v>15</v>
      </c>
      <c r="G110" s="12">
        <v>1</v>
      </c>
      <c r="H110" s="14">
        <v>3480</v>
      </c>
      <c r="I110" s="33">
        <f t="shared" si="3"/>
        <v>3480</v>
      </c>
    </row>
    <row r="111" spans="1:10" ht="25.5" x14ac:dyDescent="0.2">
      <c r="A111" s="8">
        <v>102</v>
      </c>
      <c r="B111" s="8" t="s">
        <v>230</v>
      </c>
      <c r="C111" s="20" t="s">
        <v>29</v>
      </c>
      <c r="D111" s="11">
        <v>295</v>
      </c>
      <c r="E111" s="39" t="s">
        <v>233</v>
      </c>
      <c r="F111" s="8" t="s">
        <v>15</v>
      </c>
      <c r="G111" s="12">
        <v>1</v>
      </c>
      <c r="H111" s="52">
        <v>4625</v>
      </c>
      <c r="I111" s="33">
        <f t="shared" si="3"/>
        <v>4625</v>
      </c>
    </row>
    <row r="112" spans="1:10" ht="25.5" x14ac:dyDescent="0.2">
      <c r="A112" s="8">
        <v>103</v>
      </c>
      <c r="B112" s="8" t="s">
        <v>231</v>
      </c>
      <c r="C112" s="20" t="s">
        <v>29</v>
      </c>
      <c r="D112" s="11">
        <v>295</v>
      </c>
      <c r="E112" s="39" t="s">
        <v>234</v>
      </c>
      <c r="F112" s="8" t="s">
        <v>15</v>
      </c>
      <c r="G112" s="12">
        <v>1</v>
      </c>
      <c r="H112" s="52">
        <v>4625</v>
      </c>
      <c r="I112" s="33">
        <f t="shared" si="3"/>
        <v>4625</v>
      </c>
    </row>
    <row r="113" spans="1:9" ht="25.5" x14ac:dyDescent="0.2">
      <c r="A113" s="11">
        <v>104</v>
      </c>
      <c r="B113" s="8" t="s">
        <v>35</v>
      </c>
      <c r="C113" s="20" t="s">
        <v>29</v>
      </c>
      <c r="D113" s="11">
        <v>295</v>
      </c>
      <c r="E113" s="66" t="s">
        <v>34</v>
      </c>
      <c r="F113" s="13" t="s">
        <v>16</v>
      </c>
      <c r="G113" s="12">
        <v>1</v>
      </c>
      <c r="H113" s="52">
        <f>2350*1.21</f>
        <v>2843.5</v>
      </c>
      <c r="I113" s="33">
        <f t="shared" si="3"/>
        <v>2843.5</v>
      </c>
    </row>
    <row r="114" spans="1:9" ht="25.5" x14ac:dyDescent="0.2">
      <c r="A114" s="11">
        <v>105</v>
      </c>
      <c r="B114" s="8" t="s">
        <v>241</v>
      </c>
      <c r="C114" s="20" t="s">
        <v>29</v>
      </c>
      <c r="D114" s="11">
        <v>295</v>
      </c>
      <c r="E114" s="39" t="s">
        <v>235</v>
      </c>
      <c r="F114" s="13" t="s">
        <v>15</v>
      </c>
      <c r="G114" s="12">
        <v>1</v>
      </c>
      <c r="H114" s="52">
        <v>11132</v>
      </c>
      <c r="I114" s="33">
        <f t="shared" si="3"/>
        <v>11132</v>
      </c>
    </row>
    <row r="115" spans="1:9" ht="25.5" x14ac:dyDescent="0.2">
      <c r="A115" s="8">
        <v>106</v>
      </c>
      <c r="B115" s="8" t="s">
        <v>242</v>
      </c>
      <c r="C115" s="20" t="s">
        <v>29</v>
      </c>
      <c r="D115" s="11">
        <v>295</v>
      </c>
      <c r="E115" s="38" t="s">
        <v>236</v>
      </c>
      <c r="F115" s="13" t="s">
        <v>15</v>
      </c>
      <c r="G115" s="12">
        <v>1</v>
      </c>
      <c r="H115" s="52">
        <v>11132</v>
      </c>
      <c r="I115" s="33">
        <f t="shared" si="3"/>
        <v>11132</v>
      </c>
    </row>
    <row r="116" spans="1:9" ht="25.5" x14ac:dyDescent="0.2">
      <c r="A116" s="8">
        <v>107</v>
      </c>
      <c r="B116" s="8" t="s">
        <v>243</v>
      </c>
      <c r="C116" s="20" t="s">
        <v>29</v>
      </c>
      <c r="D116" s="11">
        <v>295</v>
      </c>
      <c r="E116" s="38" t="s">
        <v>237</v>
      </c>
      <c r="F116" s="13" t="s">
        <v>15</v>
      </c>
      <c r="G116" s="12">
        <v>1</v>
      </c>
      <c r="H116" s="52">
        <v>11132</v>
      </c>
      <c r="I116" s="33">
        <f t="shared" si="3"/>
        <v>11132</v>
      </c>
    </row>
    <row r="117" spans="1:9" ht="25.5" x14ac:dyDescent="0.2">
      <c r="A117" s="11">
        <v>108</v>
      </c>
      <c r="B117" s="8" t="s">
        <v>244</v>
      </c>
      <c r="C117" s="20" t="s">
        <v>29</v>
      </c>
      <c r="D117" s="11">
        <v>295</v>
      </c>
      <c r="E117" s="38" t="s">
        <v>238</v>
      </c>
      <c r="F117" s="13" t="s">
        <v>15</v>
      </c>
      <c r="G117" s="12">
        <v>1</v>
      </c>
      <c r="H117" s="52">
        <v>11132</v>
      </c>
      <c r="I117" s="33">
        <f t="shared" si="3"/>
        <v>11132</v>
      </c>
    </row>
    <row r="118" spans="1:9" ht="25.5" x14ac:dyDescent="0.2">
      <c r="A118" s="11">
        <v>109</v>
      </c>
      <c r="B118" s="8" t="s">
        <v>245</v>
      </c>
      <c r="C118" s="20" t="s">
        <v>29</v>
      </c>
      <c r="D118" s="11">
        <v>295</v>
      </c>
      <c r="E118" s="38" t="s">
        <v>239</v>
      </c>
      <c r="F118" s="13" t="s">
        <v>15</v>
      </c>
      <c r="G118" s="12">
        <v>1</v>
      </c>
      <c r="H118" s="52">
        <v>11132</v>
      </c>
      <c r="I118" s="33">
        <f t="shared" si="3"/>
        <v>11132</v>
      </c>
    </row>
    <row r="119" spans="1:9" ht="25.5" x14ac:dyDescent="0.2">
      <c r="A119" s="8">
        <v>110</v>
      </c>
      <c r="B119" s="8" t="s">
        <v>246</v>
      </c>
      <c r="C119" s="20" t="s">
        <v>29</v>
      </c>
      <c r="D119" s="11">
        <v>295</v>
      </c>
      <c r="E119" s="38" t="s">
        <v>240</v>
      </c>
      <c r="F119" s="13" t="s">
        <v>15</v>
      </c>
      <c r="G119" s="12">
        <v>1</v>
      </c>
      <c r="H119" s="52">
        <v>11132</v>
      </c>
      <c r="I119" s="33">
        <f t="shared" si="3"/>
        <v>11132</v>
      </c>
    </row>
    <row r="120" spans="1:9" ht="25.5" x14ac:dyDescent="0.2">
      <c r="A120" s="8">
        <v>111</v>
      </c>
      <c r="B120" s="15" t="s">
        <v>247</v>
      </c>
      <c r="C120" s="20" t="s">
        <v>29</v>
      </c>
      <c r="D120" s="11">
        <v>295</v>
      </c>
      <c r="E120" s="38" t="s">
        <v>248</v>
      </c>
      <c r="F120" s="13" t="s">
        <v>15</v>
      </c>
      <c r="G120" s="12">
        <v>1</v>
      </c>
      <c r="H120" s="52">
        <v>201</v>
      </c>
      <c r="I120" s="33">
        <f t="shared" si="3"/>
        <v>201</v>
      </c>
    </row>
    <row r="121" spans="1:9" ht="25.5" x14ac:dyDescent="0.2">
      <c r="A121" s="11">
        <v>112</v>
      </c>
      <c r="B121" s="15" t="s">
        <v>106</v>
      </c>
      <c r="C121" s="20" t="s">
        <v>29</v>
      </c>
      <c r="D121" s="48">
        <v>295</v>
      </c>
      <c r="E121" s="38" t="s">
        <v>249</v>
      </c>
      <c r="F121" s="13" t="s">
        <v>15</v>
      </c>
      <c r="G121" s="12">
        <v>1</v>
      </c>
      <c r="H121" s="52">
        <v>201</v>
      </c>
      <c r="I121" s="33">
        <f t="shared" si="3"/>
        <v>201</v>
      </c>
    </row>
    <row r="122" spans="1:9" ht="25.5" x14ac:dyDescent="0.2">
      <c r="A122" s="11">
        <v>113</v>
      </c>
      <c r="B122" s="15" t="s">
        <v>107</v>
      </c>
      <c r="C122" s="20" t="s">
        <v>29</v>
      </c>
      <c r="D122" s="48">
        <v>295</v>
      </c>
      <c r="E122" s="38" t="s">
        <v>250</v>
      </c>
      <c r="F122" s="13" t="s">
        <v>15</v>
      </c>
      <c r="G122" s="12">
        <v>1</v>
      </c>
      <c r="H122" s="52">
        <v>201</v>
      </c>
      <c r="I122" s="33">
        <f t="shared" si="3"/>
        <v>201</v>
      </c>
    </row>
    <row r="123" spans="1:9" ht="25.5" x14ac:dyDescent="0.2">
      <c r="A123" s="8">
        <v>114</v>
      </c>
      <c r="B123" s="15" t="s">
        <v>108</v>
      </c>
      <c r="C123" s="20" t="s">
        <v>29</v>
      </c>
      <c r="D123" s="48">
        <v>295</v>
      </c>
      <c r="E123" s="38" t="s">
        <v>251</v>
      </c>
      <c r="F123" s="13" t="s">
        <v>15</v>
      </c>
      <c r="G123" s="12">
        <v>1</v>
      </c>
      <c r="H123" s="52">
        <v>201</v>
      </c>
      <c r="I123" s="33">
        <f t="shared" si="3"/>
        <v>201</v>
      </c>
    </row>
    <row r="124" spans="1:9" ht="25.5" x14ac:dyDescent="0.2">
      <c r="A124" s="8">
        <v>115</v>
      </c>
      <c r="B124" s="15" t="s">
        <v>109</v>
      </c>
      <c r="C124" s="20" t="s">
        <v>29</v>
      </c>
      <c r="D124" s="48">
        <v>295</v>
      </c>
      <c r="E124" s="38" t="s">
        <v>252</v>
      </c>
      <c r="F124" s="13" t="s">
        <v>15</v>
      </c>
      <c r="G124" s="12">
        <v>1</v>
      </c>
      <c r="H124" s="52">
        <v>201</v>
      </c>
      <c r="I124" s="33">
        <f t="shared" si="3"/>
        <v>201</v>
      </c>
    </row>
    <row r="125" spans="1:9" ht="25.5" x14ac:dyDescent="0.2">
      <c r="A125" s="11">
        <v>116</v>
      </c>
      <c r="B125" s="15" t="s">
        <v>110</v>
      </c>
      <c r="C125" s="20" t="s">
        <v>29</v>
      </c>
      <c r="D125" s="48">
        <v>295</v>
      </c>
      <c r="E125" s="38" t="s">
        <v>253</v>
      </c>
      <c r="F125" s="13" t="s">
        <v>15</v>
      </c>
      <c r="G125" s="12">
        <v>1</v>
      </c>
      <c r="H125" s="52">
        <v>201</v>
      </c>
      <c r="I125" s="33">
        <f t="shared" si="3"/>
        <v>201</v>
      </c>
    </row>
    <row r="126" spans="1:9" ht="25.5" x14ac:dyDescent="0.2">
      <c r="A126" s="11">
        <v>117</v>
      </c>
      <c r="B126" s="44" t="s">
        <v>33</v>
      </c>
      <c r="C126" s="21" t="s">
        <v>29</v>
      </c>
      <c r="D126" s="11">
        <v>295</v>
      </c>
      <c r="E126" s="18" t="s">
        <v>32</v>
      </c>
      <c r="F126" s="13" t="s">
        <v>15</v>
      </c>
      <c r="G126" s="12">
        <v>1</v>
      </c>
      <c r="H126" s="52">
        <v>365</v>
      </c>
      <c r="I126" s="33">
        <f t="shared" si="3"/>
        <v>365</v>
      </c>
    </row>
    <row r="127" spans="1:9" ht="25.5" x14ac:dyDescent="0.2">
      <c r="A127" s="8">
        <v>118</v>
      </c>
      <c r="B127" s="44" t="s">
        <v>30</v>
      </c>
      <c r="C127" s="21" t="s">
        <v>29</v>
      </c>
      <c r="D127" s="11">
        <v>295</v>
      </c>
      <c r="E127" s="18" t="s">
        <v>31</v>
      </c>
      <c r="F127" s="13" t="s">
        <v>15</v>
      </c>
      <c r="G127" s="12">
        <v>1</v>
      </c>
      <c r="H127" s="52">
        <v>220</v>
      </c>
      <c r="I127" s="33">
        <f t="shared" si="3"/>
        <v>220</v>
      </c>
    </row>
    <row r="128" spans="1:9" ht="25.5" x14ac:dyDescent="0.2">
      <c r="A128" s="8">
        <v>119</v>
      </c>
      <c r="B128" s="44" t="s">
        <v>24</v>
      </c>
      <c r="C128" s="21" t="s">
        <v>29</v>
      </c>
      <c r="D128" s="11">
        <v>295</v>
      </c>
      <c r="E128" s="18" t="s">
        <v>21</v>
      </c>
      <c r="F128" s="13" t="s">
        <v>15</v>
      </c>
      <c r="G128" s="12">
        <v>1</v>
      </c>
      <c r="H128" s="52">
        <v>1960</v>
      </c>
      <c r="I128" s="33">
        <f t="shared" si="3"/>
        <v>1960</v>
      </c>
    </row>
    <row r="129" spans="1:9" ht="25.5" x14ac:dyDescent="0.2">
      <c r="A129" s="11">
        <v>120</v>
      </c>
      <c r="B129" s="44" t="s">
        <v>25</v>
      </c>
      <c r="C129" s="21" t="s">
        <v>29</v>
      </c>
      <c r="D129" s="11">
        <v>295</v>
      </c>
      <c r="E129" s="18" t="s">
        <v>22</v>
      </c>
      <c r="F129" s="13" t="s">
        <v>15</v>
      </c>
      <c r="G129" s="12">
        <v>1</v>
      </c>
      <c r="H129" s="14">
        <v>2860</v>
      </c>
      <c r="I129" s="33">
        <f t="shared" si="3"/>
        <v>2860</v>
      </c>
    </row>
    <row r="130" spans="1:9" ht="25.5" x14ac:dyDescent="0.2">
      <c r="A130" s="11">
        <v>121</v>
      </c>
      <c r="B130" s="44" t="s">
        <v>26</v>
      </c>
      <c r="C130" s="21" t="s">
        <v>29</v>
      </c>
      <c r="D130" s="11">
        <v>295</v>
      </c>
      <c r="E130" s="18" t="s">
        <v>23</v>
      </c>
      <c r="F130" s="13" t="s">
        <v>15</v>
      </c>
      <c r="G130" s="12">
        <v>1</v>
      </c>
      <c r="H130" s="14">
        <v>3780</v>
      </c>
      <c r="I130" s="33">
        <f t="shared" si="3"/>
        <v>3780</v>
      </c>
    </row>
    <row r="131" spans="1:9" ht="25.5" x14ac:dyDescent="0.2">
      <c r="A131" s="8">
        <v>122</v>
      </c>
      <c r="B131" s="44" t="s">
        <v>28</v>
      </c>
      <c r="C131" s="21" t="s">
        <v>29</v>
      </c>
      <c r="D131" s="11">
        <v>295</v>
      </c>
      <c r="E131" s="18" t="s">
        <v>27</v>
      </c>
      <c r="F131" s="13" t="s">
        <v>15</v>
      </c>
      <c r="G131" s="12">
        <v>1</v>
      </c>
      <c r="H131" s="14">
        <v>1045</v>
      </c>
      <c r="I131" s="33">
        <f t="shared" si="3"/>
        <v>1045</v>
      </c>
    </row>
    <row r="132" spans="1:9" ht="25.5" x14ac:dyDescent="0.2">
      <c r="A132" s="8">
        <v>123</v>
      </c>
      <c r="B132" s="8" t="s">
        <v>258</v>
      </c>
      <c r="C132" s="20" t="s">
        <v>29</v>
      </c>
      <c r="D132" s="11">
        <v>295</v>
      </c>
      <c r="E132" s="34" t="s">
        <v>257</v>
      </c>
      <c r="F132" s="63" t="s">
        <v>16</v>
      </c>
      <c r="G132" s="12">
        <v>1</v>
      </c>
      <c r="H132" s="64">
        <v>5340</v>
      </c>
      <c r="I132" s="33">
        <f t="shared" si="3"/>
        <v>5340</v>
      </c>
    </row>
    <row r="133" spans="1:9" x14ac:dyDescent="0.2">
      <c r="A133" s="65"/>
      <c r="B133" s="65"/>
      <c r="C133" s="66"/>
      <c r="D133" s="67"/>
      <c r="E133" s="68"/>
      <c r="F133" s="69"/>
      <c r="G133" s="70"/>
      <c r="H133" s="71"/>
      <c r="I133" s="72"/>
    </row>
    <row r="134" spans="1:9" ht="14.25" x14ac:dyDescent="0.2">
      <c r="A134" s="65"/>
      <c r="B134" s="88" t="s">
        <v>272</v>
      </c>
      <c r="C134" s="88"/>
      <c r="D134" s="88"/>
      <c r="E134" s="88"/>
      <c r="F134" s="69"/>
      <c r="G134" s="70"/>
      <c r="H134" s="71"/>
      <c r="I134" s="72"/>
    </row>
    <row r="135" spans="1:9" ht="15" x14ac:dyDescent="0.25">
      <c r="A135" s="65"/>
      <c r="B135" s="89" t="s">
        <v>273</v>
      </c>
      <c r="C135" s="90"/>
      <c r="D135" s="90"/>
      <c r="E135" s="91"/>
      <c r="F135" s="69"/>
      <c r="G135" s="70"/>
      <c r="H135" s="71"/>
      <c r="I135" s="72"/>
    </row>
    <row r="136" spans="1:9" ht="15" x14ac:dyDescent="0.25">
      <c r="B136" s="89" t="s">
        <v>274</v>
      </c>
      <c r="C136" s="90"/>
      <c r="D136" s="90"/>
      <c r="E136" s="91"/>
      <c r="F136" s="6"/>
      <c r="G136" s="6"/>
      <c r="H136" s="7"/>
    </row>
    <row r="137" spans="1:9" ht="15" x14ac:dyDescent="0.25">
      <c r="B137" s="89" t="s">
        <v>275</v>
      </c>
      <c r="C137" s="90"/>
      <c r="D137" s="90"/>
      <c r="E137" s="91"/>
      <c r="F137" s="112"/>
      <c r="G137" s="112"/>
      <c r="H137" s="112"/>
    </row>
    <row r="138" spans="1:9" ht="15" x14ac:dyDescent="0.25">
      <c r="B138" s="89" t="s">
        <v>276</v>
      </c>
      <c r="C138" s="90"/>
      <c r="D138" s="90"/>
      <c r="E138" s="91"/>
      <c r="F138" s="112"/>
      <c r="G138" s="112"/>
      <c r="H138" s="112"/>
    </row>
    <row r="139" spans="1:9" ht="15" x14ac:dyDescent="0.25">
      <c r="B139" s="89" t="s">
        <v>277</v>
      </c>
      <c r="C139" s="90"/>
      <c r="D139" s="90"/>
      <c r="E139" s="91"/>
    </row>
    <row r="140" spans="1:9" ht="15" x14ac:dyDescent="0.25">
      <c r="B140" s="89" t="s">
        <v>278</v>
      </c>
      <c r="C140" s="90"/>
      <c r="D140" s="90"/>
      <c r="E140" s="91"/>
    </row>
    <row r="141" spans="1:9" ht="15" x14ac:dyDescent="0.25">
      <c r="B141" s="89" t="s">
        <v>279</v>
      </c>
      <c r="C141" s="90"/>
      <c r="D141" s="90"/>
      <c r="E141" s="91"/>
    </row>
    <row r="142" spans="1:9" ht="15" x14ac:dyDescent="0.25">
      <c r="B142" s="89" t="s">
        <v>280</v>
      </c>
      <c r="C142" s="90"/>
      <c r="D142" s="90"/>
      <c r="E142" s="91"/>
    </row>
    <row r="143" spans="1:9" ht="15" x14ac:dyDescent="0.25">
      <c r="B143" s="89" t="s">
        <v>281</v>
      </c>
      <c r="C143" s="90"/>
      <c r="D143" s="90"/>
      <c r="E143" s="91"/>
    </row>
    <row r="144" spans="1:9" ht="15" x14ac:dyDescent="0.25">
      <c r="B144" s="89" t="s">
        <v>282</v>
      </c>
      <c r="C144" s="90"/>
      <c r="D144" s="90"/>
      <c r="E144" s="91"/>
    </row>
    <row r="145" spans="2:5" ht="15" x14ac:dyDescent="0.25">
      <c r="B145" s="89" t="s">
        <v>283</v>
      </c>
      <c r="C145" s="90"/>
      <c r="D145" s="90"/>
      <c r="E145" s="91"/>
    </row>
    <row r="146" spans="2:5" ht="15" x14ac:dyDescent="0.25">
      <c r="B146" s="89" t="s">
        <v>284</v>
      </c>
      <c r="C146" s="90"/>
      <c r="D146" s="90"/>
      <c r="E146" s="91"/>
    </row>
    <row r="147" spans="2:5" ht="15" x14ac:dyDescent="0.25">
      <c r="B147" s="89" t="s">
        <v>285</v>
      </c>
      <c r="C147" s="90"/>
      <c r="D147" s="90"/>
      <c r="E147" s="91"/>
    </row>
    <row r="148" spans="2:5" ht="15" x14ac:dyDescent="0.25">
      <c r="B148" s="89" t="s">
        <v>286</v>
      </c>
      <c r="C148" s="90"/>
      <c r="D148" s="90"/>
      <c r="E148" s="91"/>
    </row>
    <row r="149" spans="2:5" ht="15" x14ac:dyDescent="0.25">
      <c r="B149" s="89" t="s">
        <v>287</v>
      </c>
      <c r="C149" s="90"/>
      <c r="D149" s="90"/>
      <c r="E149" s="91"/>
    </row>
    <row r="150" spans="2:5" ht="15" x14ac:dyDescent="0.25">
      <c r="B150" s="89" t="s">
        <v>288</v>
      </c>
      <c r="C150" s="90"/>
      <c r="D150" s="90"/>
      <c r="E150" s="91"/>
    </row>
    <row r="151" spans="2:5" ht="15" x14ac:dyDescent="0.25">
      <c r="B151" s="89" t="s">
        <v>289</v>
      </c>
      <c r="C151" s="90"/>
      <c r="D151" s="90"/>
      <c r="E151" s="91"/>
    </row>
    <row r="152" spans="2:5" ht="15" x14ac:dyDescent="0.25">
      <c r="B152" s="89" t="s">
        <v>290</v>
      </c>
      <c r="C152" s="90"/>
      <c r="D152" s="90"/>
      <c r="E152" s="91"/>
    </row>
    <row r="153" spans="2:5" ht="15" x14ac:dyDescent="0.25">
      <c r="B153" s="89" t="s">
        <v>291</v>
      </c>
      <c r="C153" s="90"/>
      <c r="D153" s="90"/>
      <c r="E153" s="91"/>
    </row>
    <row r="154" spans="2:5" ht="15" x14ac:dyDescent="0.25">
      <c r="B154" s="89" t="s">
        <v>292</v>
      </c>
      <c r="C154" s="90"/>
      <c r="D154" s="90"/>
      <c r="E154" s="91"/>
    </row>
    <row r="155" spans="2:5" ht="15" x14ac:dyDescent="0.25">
      <c r="B155" s="89" t="s">
        <v>293</v>
      </c>
      <c r="C155" s="90"/>
      <c r="D155" s="90"/>
      <c r="E155" s="91"/>
    </row>
    <row r="156" spans="2:5" ht="15" x14ac:dyDescent="0.25">
      <c r="B156" s="89" t="s">
        <v>294</v>
      </c>
      <c r="C156" s="90"/>
      <c r="D156" s="90"/>
      <c r="E156" s="91"/>
    </row>
    <row r="157" spans="2:5" ht="15" x14ac:dyDescent="0.25">
      <c r="B157" s="89" t="s">
        <v>295</v>
      </c>
      <c r="C157" s="90"/>
      <c r="D157" s="90"/>
      <c r="E157" s="91"/>
    </row>
    <row r="158" spans="2:5" ht="15" x14ac:dyDescent="0.25">
      <c r="B158" s="89" t="s">
        <v>296</v>
      </c>
      <c r="C158" s="90"/>
      <c r="D158" s="90"/>
      <c r="E158" s="91"/>
    </row>
    <row r="159" spans="2:5" ht="15" x14ac:dyDescent="0.25">
      <c r="B159" s="89" t="s">
        <v>297</v>
      </c>
      <c r="C159" s="90"/>
      <c r="D159" s="90"/>
      <c r="E159" s="91"/>
    </row>
    <row r="160" spans="2:5" ht="15" x14ac:dyDescent="0.25">
      <c r="B160" s="89" t="s">
        <v>298</v>
      </c>
      <c r="C160" s="90"/>
      <c r="D160" s="90"/>
      <c r="E160" s="91"/>
    </row>
    <row r="161" spans="2:8" ht="15" x14ac:dyDescent="0.25">
      <c r="B161" s="89" t="s">
        <v>299</v>
      </c>
      <c r="C161" s="90"/>
      <c r="D161" s="90"/>
      <c r="E161" s="91"/>
    </row>
    <row r="162" spans="2:8" ht="15" x14ac:dyDescent="0.25">
      <c r="B162" s="89" t="s">
        <v>300</v>
      </c>
      <c r="C162" s="90"/>
      <c r="D162" s="90"/>
      <c r="E162" s="91"/>
    </row>
    <row r="163" spans="2:8" ht="13.5" thickBot="1" x14ac:dyDescent="0.25"/>
    <row r="164" spans="2:8" x14ac:dyDescent="0.2">
      <c r="B164" s="94" t="s">
        <v>301</v>
      </c>
      <c r="C164" s="95"/>
      <c r="D164" s="95"/>
      <c r="E164" s="95"/>
      <c r="F164" s="95"/>
      <c r="G164" s="95"/>
      <c r="H164" s="96"/>
    </row>
    <row r="165" spans="2:8" x14ac:dyDescent="0.2">
      <c r="B165" s="97"/>
      <c r="C165" s="98"/>
      <c r="D165" s="98"/>
      <c r="E165" s="98"/>
      <c r="F165" s="98"/>
      <c r="G165" s="98"/>
      <c r="H165" s="99"/>
    </row>
    <row r="166" spans="2:8" x14ac:dyDescent="0.2">
      <c r="B166" s="97"/>
      <c r="C166" s="98"/>
      <c r="D166" s="98"/>
      <c r="E166" s="98"/>
      <c r="F166" s="98"/>
      <c r="G166" s="98"/>
      <c r="H166" s="99"/>
    </row>
    <row r="167" spans="2:8" x14ac:dyDescent="0.2">
      <c r="B167" s="97"/>
      <c r="C167" s="98"/>
      <c r="D167" s="98"/>
      <c r="E167" s="98"/>
      <c r="F167" s="98"/>
      <c r="G167" s="98"/>
      <c r="H167" s="99"/>
    </row>
    <row r="168" spans="2:8" x14ac:dyDescent="0.2">
      <c r="B168" s="97"/>
      <c r="C168" s="98"/>
      <c r="D168" s="98"/>
      <c r="E168" s="98"/>
      <c r="F168" s="98"/>
      <c r="G168" s="98"/>
      <c r="H168" s="99"/>
    </row>
    <row r="169" spans="2:8" ht="13.5" thickBot="1" x14ac:dyDescent="0.25">
      <c r="B169" s="100"/>
      <c r="C169" s="101"/>
      <c r="D169" s="101"/>
      <c r="E169" s="101"/>
      <c r="F169" s="101"/>
      <c r="G169" s="101"/>
      <c r="H169" s="102"/>
    </row>
    <row r="170" spans="2:8" ht="15" x14ac:dyDescent="0.2">
      <c r="B170" s="103" t="s">
        <v>266</v>
      </c>
      <c r="C170" s="104"/>
      <c r="D170" s="104"/>
      <c r="E170" s="104"/>
      <c r="F170" s="104"/>
      <c r="G170" s="104"/>
      <c r="H170" s="105"/>
    </row>
    <row r="171" spans="2:8" ht="15" x14ac:dyDescent="0.2">
      <c r="B171" s="106" t="s">
        <v>267</v>
      </c>
      <c r="C171" s="107"/>
      <c r="D171" s="107"/>
      <c r="E171" s="107"/>
      <c r="F171" s="107"/>
      <c r="G171" s="107"/>
      <c r="H171" s="108"/>
    </row>
    <row r="172" spans="2:8" x14ac:dyDescent="0.2">
      <c r="B172" s="109" t="s">
        <v>268</v>
      </c>
      <c r="C172" s="110"/>
      <c r="D172" s="110"/>
      <c r="E172" s="110"/>
      <c r="F172" s="110"/>
      <c r="G172" s="110"/>
      <c r="H172" s="111"/>
    </row>
    <row r="173" spans="2:8" x14ac:dyDescent="0.2">
      <c r="B173" s="109"/>
      <c r="C173" s="110"/>
      <c r="D173" s="110"/>
      <c r="E173" s="110"/>
      <c r="F173" s="110"/>
      <c r="G173" s="110"/>
      <c r="H173" s="111"/>
    </row>
    <row r="174" spans="2:8" x14ac:dyDescent="0.2">
      <c r="B174" s="109" t="s">
        <v>269</v>
      </c>
      <c r="C174" s="110"/>
      <c r="D174" s="110"/>
      <c r="E174" s="110"/>
      <c r="F174" s="110"/>
      <c r="G174" s="110"/>
      <c r="H174" s="111"/>
    </row>
    <row r="175" spans="2:8" x14ac:dyDescent="0.2">
      <c r="B175" s="109"/>
      <c r="C175" s="110"/>
      <c r="D175" s="110"/>
      <c r="E175" s="110"/>
      <c r="F175" s="110"/>
      <c r="G175" s="110"/>
      <c r="H175" s="111"/>
    </row>
    <row r="176" spans="2:8" ht="15.75" thickBot="1" x14ac:dyDescent="0.25">
      <c r="B176" s="82" t="s">
        <v>270</v>
      </c>
      <c r="C176" s="83"/>
      <c r="D176" s="83"/>
      <c r="E176" s="83"/>
      <c r="F176" s="83"/>
      <c r="G176" s="83"/>
      <c r="H176" s="84"/>
    </row>
    <row r="177" spans="2:8" ht="15.75" thickBot="1" x14ac:dyDescent="0.25">
      <c r="B177" s="85" t="s">
        <v>271</v>
      </c>
      <c r="C177" s="86"/>
      <c r="D177" s="86"/>
      <c r="E177" s="86"/>
      <c r="F177" s="86"/>
      <c r="G177" s="86"/>
      <c r="H177" s="87"/>
    </row>
  </sheetData>
  <autoFilter ref="A9:I132"/>
  <sortState ref="A10:J132">
    <sortCondition ref="E10:E133"/>
  </sortState>
  <mergeCells count="45">
    <mergeCell ref="B154:E154"/>
    <mergeCell ref="B155:E155"/>
    <mergeCell ref="B160:E160"/>
    <mergeCell ref="B161:E161"/>
    <mergeCell ref="B162:E162"/>
    <mergeCell ref="B158:E158"/>
    <mergeCell ref="B156:E156"/>
    <mergeCell ref="B157:E157"/>
    <mergeCell ref="B159:E159"/>
    <mergeCell ref="B149:E149"/>
    <mergeCell ref="B150:E150"/>
    <mergeCell ref="B151:E151"/>
    <mergeCell ref="B152:E152"/>
    <mergeCell ref="B153:E153"/>
    <mergeCell ref="B144:E144"/>
    <mergeCell ref="B145:E145"/>
    <mergeCell ref="B146:E146"/>
    <mergeCell ref="B147:E147"/>
    <mergeCell ref="B148:E148"/>
    <mergeCell ref="A6:B6"/>
    <mergeCell ref="A7:B7"/>
    <mergeCell ref="B135:E135"/>
    <mergeCell ref="B137:E137"/>
    <mergeCell ref="B139:E139"/>
    <mergeCell ref="B2:H2"/>
    <mergeCell ref="A4:B4"/>
    <mergeCell ref="C4:E4"/>
    <mergeCell ref="A5:B5"/>
    <mergeCell ref="C5:E5"/>
    <mergeCell ref="B176:H176"/>
    <mergeCell ref="B177:H177"/>
    <mergeCell ref="B134:E134"/>
    <mergeCell ref="B136:E136"/>
    <mergeCell ref="J105:J108"/>
    <mergeCell ref="B164:H169"/>
    <mergeCell ref="B170:H170"/>
    <mergeCell ref="B171:H171"/>
    <mergeCell ref="B172:H173"/>
    <mergeCell ref="B174:H175"/>
    <mergeCell ref="F137:H138"/>
    <mergeCell ref="B138:E138"/>
    <mergeCell ref="B140:E140"/>
    <mergeCell ref="B141:E141"/>
    <mergeCell ref="B142:E142"/>
    <mergeCell ref="B143:E143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5"/>
  <sheetViews>
    <sheetView workbookViewId="0">
      <selection activeCell="E27" sqref="E27"/>
    </sheetView>
  </sheetViews>
  <sheetFormatPr baseColWidth="10" defaultRowHeight="12.75" x14ac:dyDescent="0.2"/>
  <cols>
    <col min="1" max="1" width="14.85546875" bestFit="1" customWidth="1"/>
    <col min="2" max="2" width="39.5703125" customWidth="1"/>
  </cols>
  <sheetData>
    <row r="1" spans="1:1" ht="12.75" customHeight="1" x14ac:dyDescent="0.2">
      <c r="A1" s="118"/>
    </row>
    <row r="2" spans="1:1" x14ac:dyDescent="0.2">
      <c r="A2" s="118"/>
    </row>
    <row r="3" spans="1:1" x14ac:dyDescent="0.2">
      <c r="A3" s="118"/>
    </row>
    <row r="4" spans="1:1" ht="12.75" customHeight="1" x14ac:dyDescent="0.2">
      <c r="A4" s="118"/>
    </row>
    <row r="5" spans="1:1" x14ac:dyDescent="0.2">
      <c r="A5" s="118"/>
    </row>
    <row r="6" spans="1:1" x14ac:dyDescent="0.2">
      <c r="A6" s="118"/>
    </row>
    <row r="7" spans="1:1" ht="12.75" customHeight="1" x14ac:dyDescent="0.2">
      <c r="A7" s="118"/>
    </row>
    <row r="8" spans="1:1" x14ac:dyDescent="0.2">
      <c r="A8" s="118"/>
    </row>
    <row r="9" spans="1:1" x14ac:dyDescent="0.2">
      <c r="A9" s="118"/>
    </row>
    <row r="10" spans="1:1" ht="12.75" customHeight="1" x14ac:dyDescent="0.2">
      <c r="A10" s="118"/>
    </row>
    <row r="11" spans="1:1" x14ac:dyDescent="0.2">
      <c r="A11" s="118"/>
    </row>
    <row r="12" spans="1:1" x14ac:dyDescent="0.2">
      <c r="A12" s="118"/>
    </row>
    <row r="13" spans="1:1" ht="12.75" customHeight="1" x14ac:dyDescent="0.2">
      <c r="A13" s="118"/>
    </row>
    <row r="14" spans="1:1" x14ac:dyDescent="0.2">
      <c r="A14" s="118"/>
    </row>
    <row r="15" spans="1:1" x14ac:dyDescent="0.2">
      <c r="A15" s="118"/>
    </row>
    <row r="16" spans="1:1" ht="12.75" customHeight="1" x14ac:dyDescent="0.2">
      <c r="A16" s="118"/>
    </row>
    <row r="17" spans="1:1" x14ac:dyDescent="0.2">
      <c r="A17" s="118"/>
    </row>
    <row r="18" spans="1:1" x14ac:dyDescent="0.2">
      <c r="A18" s="118"/>
    </row>
    <row r="19" spans="1:1" ht="12.75" customHeight="1" x14ac:dyDescent="0.2">
      <c r="A19" s="118"/>
    </row>
    <row r="20" spans="1:1" x14ac:dyDescent="0.2">
      <c r="A20" s="118"/>
    </row>
    <row r="21" spans="1:1" x14ac:dyDescent="0.2">
      <c r="A21" s="118"/>
    </row>
    <row r="22" spans="1:1" ht="12.75" customHeight="1" x14ac:dyDescent="0.2">
      <c r="A22" s="118"/>
    </row>
    <row r="23" spans="1:1" x14ac:dyDescent="0.2">
      <c r="A23" s="118"/>
    </row>
    <row r="24" spans="1:1" x14ac:dyDescent="0.2">
      <c r="A24" s="118"/>
    </row>
    <row r="25" spans="1:1" ht="12.75" customHeight="1" x14ac:dyDescent="0.2">
      <c r="A25" s="118"/>
    </row>
    <row r="26" spans="1:1" x14ac:dyDescent="0.2">
      <c r="A26" s="118"/>
    </row>
    <row r="27" spans="1:1" x14ac:dyDescent="0.2">
      <c r="A27" s="118"/>
    </row>
    <row r="28" spans="1:1" x14ac:dyDescent="0.2">
      <c r="A28" s="118"/>
    </row>
    <row r="29" spans="1:1" x14ac:dyDescent="0.2">
      <c r="A29" s="118"/>
    </row>
    <row r="30" spans="1:1" x14ac:dyDescent="0.2">
      <c r="A30" s="118"/>
    </row>
    <row r="31" spans="1:1" ht="12.75" customHeight="1" x14ac:dyDescent="0.2">
      <c r="A31" s="118"/>
    </row>
    <row r="32" spans="1:1" x14ac:dyDescent="0.2">
      <c r="A32" s="118"/>
    </row>
    <row r="33" spans="1:1" x14ac:dyDescent="0.2">
      <c r="A33" s="118"/>
    </row>
    <row r="34" spans="1:1" ht="12.75" customHeight="1" x14ac:dyDescent="0.2">
      <c r="A34" s="118"/>
    </row>
    <row r="35" spans="1:1" x14ac:dyDescent="0.2">
      <c r="A35" s="118"/>
    </row>
    <row r="36" spans="1:1" x14ac:dyDescent="0.2">
      <c r="A36" s="118"/>
    </row>
    <row r="37" spans="1:1" ht="12.75" customHeight="1" x14ac:dyDescent="0.2">
      <c r="A37" s="118"/>
    </row>
    <row r="38" spans="1:1" x14ac:dyDescent="0.2">
      <c r="A38" s="118"/>
    </row>
    <row r="39" spans="1:1" x14ac:dyDescent="0.2">
      <c r="A39" s="118"/>
    </row>
    <row r="40" spans="1:1" ht="12.75" customHeight="1" x14ac:dyDescent="0.2">
      <c r="A40" s="118"/>
    </row>
    <row r="41" spans="1:1" x14ac:dyDescent="0.2">
      <c r="A41" s="118"/>
    </row>
    <row r="42" spans="1:1" x14ac:dyDescent="0.2">
      <c r="A42" s="118"/>
    </row>
    <row r="43" spans="1:1" ht="12.75" customHeight="1" x14ac:dyDescent="0.2">
      <c r="A43" s="118"/>
    </row>
    <row r="44" spans="1:1" x14ac:dyDescent="0.2">
      <c r="A44" s="118"/>
    </row>
    <row r="45" spans="1:1" x14ac:dyDescent="0.2">
      <c r="A45" s="118"/>
    </row>
    <row r="46" spans="1:1" ht="12.75" customHeight="1" x14ac:dyDescent="0.2">
      <c r="A46" s="118"/>
    </row>
    <row r="47" spans="1:1" x14ac:dyDescent="0.2">
      <c r="A47" s="118"/>
    </row>
    <row r="48" spans="1:1" x14ac:dyDescent="0.2">
      <c r="A48" s="118"/>
    </row>
    <row r="49" spans="1:1" x14ac:dyDescent="0.2">
      <c r="A49" s="118"/>
    </row>
    <row r="50" spans="1:1" x14ac:dyDescent="0.2">
      <c r="A50" s="118"/>
    </row>
    <row r="51" spans="1:1" x14ac:dyDescent="0.2">
      <c r="A51" s="118"/>
    </row>
    <row r="52" spans="1:1" ht="12.75" customHeight="1" x14ac:dyDescent="0.2">
      <c r="A52" s="118"/>
    </row>
    <row r="53" spans="1:1" x14ac:dyDescent="0.2">
      <c r="A53" s="118"/>
    </row>
    <row r="54" spans="1:1" x14ac:dyDescent="0.2">
      <c r="A54" s="118"/>
    </row>
    <row r="55" spans="1:1" ht="12.75" customHeight="1" x14ac:dyDescent="0.2">
      <c r="A55" s="118"/>
    </row>
    <row r="56" spans="1:1" x14ac:dyDescent="0.2">
      <c r="A56" s="118"/>
    </row>
    <row r="57" spans="1:1" x14ac:dyDescent="0.2">
      <c r="A57" s="118"/>
    </row>
    <row r="58" spans="1:1" ht="12.75" customHeight="1" x14ac:dyDescent="0.2">
      <c r="A58" s="118"/>
    </row>
    <row r="59" spans="1:1" x14ac:dyDescent="0.2">
      <c r="A59" s="118"/>
    </row>
    <row r="60" spans="1:1" x14ac:dyDescent="0.2">
      <c r="A60" s="118"/>
    </row>
    <row r="61" spans="1:1" ht="12.75" customHeight="1" x14ac:dyDescent="0.2">
      <c r="A61" s="118"/>
    </row>
    <row r="62" spans="1:1" x14ac:dyDescent="0.2">
      <c r="A62" s="118"/>
    </row>
    <row r="63" spans="1:1" x14ac:dyDescent="0.2">
      <c r="A63" s="118"/>
    </row>
    <row r="64" spans="1:1" ht="12.75" customHeight="1" x14ac:dyDescent="0.2">
      <c r="A64" s="118"/>
    </row>
    <row r="65" spans="1:1" x14ac:dyDescent="0.2">
      <c r="A65" s="118"/>
    </row>
    <row r="66" spans="1:1" x14ac:dyDescent="0.2">
      <c r="A66" s="118"/>
    </row>
    <row r="67" spans="1:1" ht="12.75" customHeight="1" x14ac:dyDescent="0.2">
      <c r="A67" s="118"/>
    </row>
    <row r="68" spans="1:1" x14ac:dyDescent="0.2">
      <c r="A68" s="118"/>
    </row>
    <row r="69" spans="1:1" x14ac:dyDescent="0.2">
      <c r="A69" s="118"/>
    </row>
    <row r="70" spans="1:1" ht="12.75" customHeight="1" x14ac:dyDescent="0.2">
      <c r="A70" s="118"/>
    </row>
    <row r="71" spans="1:1" x14ac:dyDescent="0.2">
      <c r="A71" s="118"/>
    </row>
    <row r="72" spans="1:1" x14ac:dyDescent="0.2">
      <c r="A72" s="118"/>
    </row>
    <row r="73" spans="1:1" ht="12.75" customHeight="1" x14ac:dyDescent="0.2">
      <c r="A73" s="118"/>
    </row>
    <row r="74" spans="1:1" x14ac:dyDescent="0.2">
      <c r="A74" s="118"/>
    </row>
    <row r="75" spans="1:1" x14ac:dyDescent="0.2">
      <c r="A75" s="118"/>
    </row>
    <row r="76" spans="1:1" ht="12.75" customHeight="1" x14ac:dyDescent="0.2">
      <c r="A76" s="118"/>
    </row>
    <row r="77" spans="1:1" x14ac:dyDescent="0.2">
      <c r="A77" s="118"/>
    </row>
    <row r="78" spans="1:1" x14ac:dyDescent="0.2">
      <c r="A78" s="118"/>
    </row>
    <row r="79" spans="1:1" ht="12.75" customHeight="1" x14ac:dyDescent="0.2">
      <c r="A79" s="118"/>
    </row>
    <row r="80" spans="1:1" x14ac:dyDescent="0.2">
      <c r="A80" s="118"/>
    </row>
    <row r="81" spans="1:1" x14ac:dyDescent="0.2">
      <c r="A81" s="118"/>
    </row>
    <row r="82" spans="1:1" ht="12.75" customHeight="1" x14ac:dyDescent="0.2">
      <c r="A82" s="118"/>
    </row>
    <row r="83" spans="1:1" x14ac:dyDescent="0.2">
      <c r="A83" s="118"/>
    </row>
    <row r="84" spans="1:1" x14ac:dyDescent="0.2">
      <c r="A84" s="118"/>
    </row>
    <row r="85" spans="1:1" ht="12.75" customHeight="1" x14ac:dyDescent="0.2">
      <c r="A85" s="118"/>
    </row>
    <row r="86" spans="1:1" x14ac:dyDescent="0.2">
      <c r="A86" s="118"/>
    </row>
    <row r="87" spans="1:1" x14ac:dyDescent="0.2">
      <c r="A87" s="118"/>
    </row>
    <row r="88" spans="1:1" ht="12.75" customHeight="1" x14ac:dyDescent="0.2">
      <c r="A88" s="118"/>
    </row>
    <row r="89" spans="1:1" x14ac:dyDescent="0.2">
      <c r="A89" s="118"/>
    </row>
    <row r="90" spans="1:1" x14ac:dyDescent="0.2">
      <c r="A90" s="118"/>
    </row>
    <row r="91" spans="1:1" ht="12.75" customHeight="1" x14ac:dyDescent="0.2">
      <c r="A91" s="118"/>
    </row>
    <row r="92" spans="1:1" x14ac:dyDescent="0.2">
      <c r="A92" s="118"/>
    </row>
    <row r="93" spans="1:1" x14ac:dyDescent="0.2">
      <c r="A93" s="118"/>
    </row>
    <row r="94" spans="1:1" ht="12.75" customHeight="1" x14ac:dyDescent="0.2">
      <c r="A94" s="118"/>
    </row>
    <row r="95" spans="1:1" x14ac:dyDescent="0.2">
      <c r="A95" s="118"/>
    </row>
    <row r="96" spans="1:1" x14ac:dyDescent="0.2">
      <c r="A96" s="118"/>
    </row>
    <row r="97" spans="1:1" ht="12.75" customHeight="1" x14ac:dyDescent="0.2">
      <c r="A97" s="118"/>
    </row>
    <row r="98" spans="1:1" x14ac:dyDescent="0.2">
      <c r="A98" s="118"/>
    </row>
    <row r="99" spans="1:1" x14ac:dyDescent="0.2">
      <c r="A99" s="118"/>
    </row>
    <row r="100" spans="1:1" ht="12.75" customHeight="1" x14ac:dyDescent="0.2">
      <c r="A100" s="118"/>
    </row>
    <row r="101" spans="1:1" x14ac:dyDescent="0.2">
      <c r="A101" s="118"/>
    </row>
    <row r="102" spans="1:1" x14ac:dyDescent="0.2">
      <c r="A102" s="118"/>
    </row>
    <row r="103" spans="1:1" ht="12.75" customHeight="1" x14ac:dyDescent="0.2">
      <c r="A103" s="118"/>
    </row>
    <row r="104" spans="1:1" x14ac:dyDescent="0.2">
      <c r="A104" s="118"/>
    </row>
    <row r="105" spans="1:1" x14ac:dyDescent="0.2">
      <c r="A105" s="118"/>
    </row>
    <row r="106" spans="1:1" ht="12.75" customHeight="1" x14ac:dyDescent="0.2">
      <c r="A106" s="118"/>
    </row>
    <row r="107" spans="1:1" x14ac:dyDescent="0.2">
      <c r="A107" s="118"/>
    </row>
    <row r="108" spans="1:1" x14ac:dyDescent="0.2">
      <c r="A108" s="118"/>
    </row>
    <row r="109" spans="1:1" ht="12.75" customHeight="1" x14ac:dyDescent="0.2">
      <c r="A109" s="118"/>
    </row>
    <row r="110" spans="1:1" x14ac:dyDescent="0.2">
      <c r="A110" s="118"/>
    </row>
    <row r="111" spans="1:1" x14ac:dyDescent="0.2">
      <c r="A111" s="118"/>
    </row>
    <row r="112" spans="1:1" ht="12.75" customHeight="1" x14ac:dyDescent="0.2">
      <c r="A112" s="118"/>
    </row>
    <row r="113" spans="1:1" x14ac:dyDescent="0.2">
      <c r="A113" s="118"/>
    </row>
    <row r="114" spans="1:1" x14ac:dyDescent="0.2">
      <c r="A114" s="118"/>
    </row>
    <row r="115" spans="1:1" ht="12.75" customHeight="1" x14ac:dyDescent="0.2">
      <c r="A115" s="118"/>
    </row>
    <row r="116" spans="1:1" x14ac:dyDescent="0.2">
      <c r="A116" s="118"/>
    </row>
    <row r="117" spans="1:1" x14ac:dyDescent="0.2">
      <c r="A117" s="118"/>
    </row>
    <row r="118" spans="1:1" ht="12.75" customHeight="1" x14ac:dyDescent="0.2">
      <c r="A118" s="118"/>
    </row>
    <row r="119" spans="1:1" x14ac:dyDescent="0.2">
      <c r="A119" s="118"/>
    </row>
    <row r="120" spans="1:1" x14ac:dyDescent="0.2">
      <c r="A120" s="118"/>
    </row>
    <row r="121" spans="1:1" ht="12.75" customHeight="1" x14ac:dyDescent="0.2">
      <c r="A121" s="118"/>
    </row>
    <row r="122" spans="1:1" x14ac:dyDescent="0.2">
      <c r="A122" s="118"/>
    </row>
    <row r="123" spans="1:1" x14ac:dyDescent="0.2">
      <c r="A123" s="118"/>
    </row>
    <row r="124" spans="1:1" ht="12.75" customHeight="1" x14ac:dyDescent="0.2">
      <c r="A124" s="118"/>
    </row>
    <row r="125" spans="1:1" x14ac:dyDescent="0.2">
      <c r="A125" s="118"/>
    </row>
    <row r="126" spans="1:1" x14ac:dyDescent="0.2">
      <c r="A126" s="118"/>
    </row>
    <row r="127" spans="1:1" ht="12.75" customHeight="1" x14ac:dyDescent="0.2">
      <c r="A127" s="118"/>
    </row>
    <row r="128" spans="1:1" x14ac:dyDescent="0.2">
      <c r="A128" s="118"/>
    </row>
    <row r="129" spans="1:1" x14ac:dyDescent="0.2">
      <c r="A129" s="118"/>
    </row>
    <row r="130" spans="1:1" ht="12.75" customHeight="1" x14ac:dyDescent="0.2">
      <c r="A130" s="118"/>
    </row>
    <row r="131" spans="1:1" x14ac:dyDescent="0.2">
      <c r="A131" s="118"/>
    </row>
    <row r="132" spans="1:1" x14ac:dyDescent="0.2">
      <c r="A132" s="118"/>
    </row>
    <row r="133" spans="1:1" ht="12.75" customHeight="1" x14ac:dyDescent="0.2">
      <c r="A133" s="118"/>
    </row>
    <row r="134" spans="1:1" x14ac:dyDescent="0.2">
      <c r="A134" s="118"/>
    </row>
    <row r="135" spans="1:1" x14ac:dyDescent="0.2">
      <c r="A135" s="118"/>
    </row>
    <row r="136" spans="1:1" ht="12.75" customHeight="1" x14ac:dyDescent="0.2">
      <c r="A136" s="118"/>
    </row>
    <row r="137" spans="1:1" x14ac:dyDescent="0.2">
      <c r="A137" s="118"/>
    </row>
    <row r="138" spans="1:1" x14ac:dyDescent="0.2">
      <c r="A138" s="118"/>
    </row>
    <row r="139" spans="1:1" ht="12.75" customHeight="1" x14ac:dyDescent="0.2">
      <c r="A139" s="118"/>
    </row>
    <row r="140" spans="1:1" x14ac:dyDescent="0.2">
      <c r="A140" s="118"/>
    </row>
    <row r="141" spans="1:1" x14ac:dyDescent="0.2">
      <c r="A141" s="118"/>
    </row>
    <row r="142" spans="1:1" ht="12.75" customHeight="1" x14ac:dyDescent="0.2">
      <c r="A142" s="118"/>
    </row>
    <row r="143" spans="1:1" x14ac:dyDescent="0.2">
      <c r="A143" s="118"/>
    </row>
    <row r="144" spans="1:1" x14ac:dyDescent="0.2">
      <c r="A144" s="118"/>
    </row>
    <row r="145" spans="1:1" ht="12.75" customHeight="1" x14ac:dyDescent="0.2">
      <c r="A145" s="118"/>
    </row>
    <row r="146" spans="1:1" x14ac:dyDescent="0.2">
      <c r="A146" s="118"/>
    </row>
    <row r="147" spans="1:1" x14ac:dyDescent="0.2">
      <c r="A147" s="118"/>
    </row>
    <row r="148" spans="1:1" ht="12.75" customHeight="1" x14ac:dyDescent="0.2">
      <c r="A148" s="118"/>
    </row>
    <row r="149" spans="1:1" x14ac:dyDescent="0.2">
      <c r="A149" s="118"/>
    </row>
    <row r="150" spans="1:1" x14ac:dyDescent="0.2">
      <c r="A150" s="118"/>
    </row>
    <row r="151" spans="1:1" ht="12.75" customHeight="1" x14ac:dyDescent="0.2">
      <c r="A151" s="118"/>
    </row>
    <row r="152" spans="1:1" x14ac:dyDescent="0.2">
      <c r="A152" s="118"/>
    </row>
    <row r="153" spans="1:1" x14ac:dyDescent="0.2">
      <c r="A153" s="118"/>
    </row>
    <row r="154" spans="1:1" ht="12.75" customHeight="1" x14ac:dyDescent="0.2">
      <c r="A154" s="118"/>
    </row>
    <row r="155" spans="1:1" x14ac:dyDescent="0.2">
      <c r="A155" s="118"/>
    </row>
    <row r="156" spans="1:1" x14ac:dyDescent="0.2">
      <c r="A156" s="118"/>
    </row>
    <row r="157" spans="1:1" ht="12.75" customHeight="1" x14ac:dyDescent="0.2">
      <c r="A157" s="118"/>
    </row>
    <row r="158" spans="1:1" x14ac:dyDescent="0.2">
      <c r="A158" s="118"/>
    </row>
    <row r="159" spans="1:1" x14ac:dyDescent="0.2">
      <c r="A159" s="118"/>
    </row>
    <row r="160" spans="1:1" ht="12.75" customHeight="1" x14ac:dyDescent="0.2">
      <c r="A160" s="118"/>
    </row>
    <row r="161" spans="1:1" x14ac:dyDescent="0.2">
      <c r="A161" s="118"/>
    </row>
    <row r="162" spans="1:1" x14ac:dyDescent="0.2">
      <c r="A162" s="118"/>
    </row>
    <row r="163" spans="1:1" ht="12.75" customHeight="1" x14ac:dyDescent="0.2">
      <c r="A163" s="118"/>
    </row>
    <row r="164" spans="1:1" x14ac:dyDescent="0.2">
      <c r="A164" s="118"/>
    </row>
    <row r="165" spans="1:1" x14ac:dyDescent="0.2">
      <c r="A165" s="118"/>
    </row>
    <row r="166" spans="1:1" ht="12.75" customHeight="1" x14ac:dyDescent="0.2">
      <c r="A166" s="118"/>
    </row>
    <row r="167" spans="1:1" x14ac:dyDescent="0.2">
      <c r="A167" s="118"/>
    </row>
    <row r="168" spans="1:1" x14ac:dyDescent="0.2">
      <c r="A168" s="118"/>
    </row>
    <row r="169" spans="1:1" ht="12.75" customHeight="1" x14ac:dyDescent="0.2">
      <c r="A169" s="118"/>
    </row>
    <row r="170" spans="1:1" x14ac:dyDescent="0.2">
      <c r="A170" s="118"/>
    </row>
    <row r="171" spans="1:1" x14ac:dyDescent="0.2">
      <c r="A171" s="118"/>
    </row>
    <row r="172" spans="1:1" ht="12.75" customHeight="1" x14ac:dyDescent="0.2">
      <c r="A172" s="118"/>
    </row>
    <row r="173" spans="1:1" x14ac:dyDescent="0.2">
      <c r="A173" s="118"/>
    </row>
    <row r="174" spans="1:1" x14ac:dyDescent="0.2">
      <c r="A174" s="118"/>
    </row>
    <row r="175" spans="1:1" ht="12.75" customHeight="1" x14ac:dyDescent="0.2">
      <c r="A175" s="118"/>
    </row>
    <row r="176" spans="1:1" x14ac:dyDescent="0.2">
      <c r="A176" s="118"/>
    </row>
    <row r="177" spans="1:1" x14ac:dyDescent="0.2">
      <c r="A177" s="118"/>
    </row>
    <row r="178" spans="1:1" ht="12.75" customHeight="1" x14ac:dyDescent="0.2">
      <c r="A178" s="118"/>
    </row>
    <row r="179" spans="1:1" x14ac:dyDescent="0.2">
      <c r="A179" s="118"/>
    </row>
    <row r="180" spans="1:1" x14ac:dyDescent="0.2">
      <c r="A180" s="118"/>
    </row>
    <row r="181" spans="1:1" ht="12.75" customHeight="1" x14ac:dyDescent="0.2">
      <c r="A181" s="118"/>
    </row>
    <row r="182" spans="1:1" x14ac:dyDescent="0.2">
      <c r="A182" s="118"/>
    </row>
    <row r="183" spans="1:1" x14ac:dyDescent="0.2">
      <c r="A183" s="118"/>
    </row>
    <row r="184" spans="1:1" ht="12.75" customHeight="1" x14ac:dyDescent="0.2">
      <c r="A184" s="118"/>
    </row>
    <row r="185" spans="1:1" x14ac:dyDescent="0.2">
      <c r="A185" s="118"/>
    </row>
    <row r="186" spans="1:1" x14ac:dyDescent="0.2">
      <c r="A186" s="118"/>
    </row>
    <row r="187" spans="1:1" ht="12.75" customHeight="1" x14ac:dyDescent="0.2">
      <c r="A187" s="118"/>
    </row>
    <row r="188" spans="1:1" x14ac:dyDescent="0.2">
      <c r="A188" s="118"/>
    </row>
    <row r="189" spans="1:1" x14ac:dyDescent="0.2">
      <c r="A189" s="118"/>
    </row>
    <row r="190" spans="1:1" ht="12.75" customHeight="1" x14ac:dyDescent="0.2">
      <c r="A190" s="118"/>
    </row>
    <row r="191" spans="1:1" x14ac:dyDescent="0.2">
      <c r="A191" s="118"/>
    </row>
    <row r="192" spans="1:1" x14ac:dyDescent="0.2">
      <c r="A192" s="118"/>
    </row>
    <row r="193" spans="1:1" ht="12.75" customHeight="1" x14ac:dyDescent="0.2">
      <c r="A193" s="118"/>
    </row>
    <row r="194" spans="1:1" x14ac:dyDescent="0.2">
      <c r="A194" s="118"/>
    </row>
    <row r="195" spans="1:1" x14ac:dyDescent="0.2">
      <c r="A195" s="118"/>
    </row>
    <row r="196" spans="1:1" ht="12.75" customHeight="1" x14ac:dyDescent="0.2">
      <c r="A196" s="118"/>
    </row>
    <row r="197" spans="1:1" x14ac:dyDescent="0.2">
      <c r="A197" s="118"/>
    </row>
    <row r="198" spans="1:1" x14ac:dyDescent="0.2">
      <c r="A198" s="118"/>
    </row>
    <row r="199" spans="1:1" ht="12.75" customHeight="1" x14ac:dyDescent="0.2">
      <c r="A199" s="118"/>
    </row>
    <row r="200" spans="1:1" x14ac:dyDescent="0.2">
      <c r="A200" s="118"/>
    </row>
    <row r="201" spans="1:1" x14ac:dyDescent="0.2">
      <c r="A201" s="118"/>
    </row>
    <row r="202" spans="1:1" ht="12.75" customHeight="1" x14ac:dyDescent="0.2">
      <c r="A202" s="118"/>
    </row>
    <row r="203" spans="1:1" x14ac:dyDescent="0.2">
      <c r="A203" s="118"/>
    </row>
    <row r="204" spans="1:1" x14ac:dyDescent="0.2">
      <c r="A204" s="118"/>
    </row>
    <row r="205" spans="1:1" ht="12.75" customHeight="1" x14ac:dyDescent="0.2">
      <c r="A205" s="118"/>
    </row>
    <row r="206" spans="1:1" x14ac:dyDescent="0.2">
      <c r="A206" s="118"/>
    </row>
    <row r="207" spans="1:1" x14ac:dyDescent="0.2">
      <c r="A207" s="118"/>
    </row>
    <row r="208" spans="1:1" ht="12.75" customHeight="1" x14ac:dyDescent="0.2">
      <c r="A208" s="118"/>
    </row>
    <row r="209" spans="1:1" x14ac:dyDescent="0.2">
      <c r="A209" s="118"/>
    </row>
    <row r="210" spans="1:1" x14ac:dyDescent="0.2">
      <c r="A210" s="118"/>
    </row>
    <row r="211" spans="1:1" ht="12.75" customHeight="1" x14ac:dyDescent="0.2">
      <c r="A211" s="118"/>
    </row>
    <row r="212" spans="1:1" x14ac:dyDescent="0.2">
      <c r="A212" s="118"/>
    </row>
    <row r="213" spans="1:1" x14ac:dyDescent="0.2">
      <c r="A213" s="118"/>
    </row>
    <row r="214" spans="1:1" ht="12.75" customHeight="1" x14ac:dyDescent="0.2">
      <c r="A214" s="118"/>
    </row>
    <row r="215" spans="1:1" x14ac:dyDescent="0.2">
      <c r="A215" s="118"/>
    </row>
    <row r="216" spans="1:1" x14ac:dyDescent="0.2">
      <c r="A216" s="118"/>
    </row>
    <row r="217" spans="1:1" ht="12.75" customHeight="1" x14ac:dyDescent="0.2">
      <c r="A217" s="118"/>
    </row>
    <row r="218" spans="1:1" x14ac:dyDescent="0.2">
      <c r="A218" s="118"/>
    </row>
    <row r="219" spans="1:1" x14ac:dyDescent="0.2">
      <c r="A219" s="118"/>
    </row>
    <row r="220" spans="1:1" ht="12.75" customHeight="1" x14ac:dyDescent="0.2">
      <c r="A220" s="118"/>
    </row>
    <row r="221" spans="1:1" x14ac:dyDescent="0.2">
      <c r="A221" s="118"/>
    </row>
    <row r="222" spans="1:1" x14ac:dyDescent="0.2">
      <c r="A222" s="118"/>
    </row>
    <row r="223" spans="1:1" ht="12.75" customHeight="1" x14ac:dyDescent="0.2">
      <c r="A223" s="118"/>
    </row>
    <row r="224" spans="1:1" x14ac:dyDescent="0.2">
      <c r="A224" s="118"/>
    </row>
    <row r="225" spans="1:1" x14ac:dyDescent="0.2">
      <c r="A225" s="118"/>
    </row>
    <row r="226" spans="1:1" ht="12.75" customHeight="1" x14ac:dyDescent="0.2">
      <c r="A226" s="118"/>
    </row>
    <row r="227" spans="1:1" x14ac:dyDescent="0.2">
      <c r="A227" s="118"/>
    </row>
    <row r="228" spans="1:1" x14ac:dyDescent="0.2">
      <c r="A228" s="118"/>
    </row>
    <row r="229" spans="1:1" ht="12.75" customHeight="1" x14ac:dyDescent="0.2">
      <c r="A229" s="118"/>
    </row>
    <row r="230" spans="1:1" x14ac:dyDescent="0.2">
      <c r="A230" s="118"/>
    </row>
    <row r="231" spans="1:1" x14ac:dyDescent="0.2">
      <c r="A231" s="118"/>
    </row>
    <row r="232" spans="1:1" ht="12.75" customHeight="1" x14ac:dyDescent="0.2">
      <c r="A232" s="118"/>
    </row>
    <row r="233" spans="1:1" x14ac:dyDescent="0.2">
      <c r="A233" s="118"/>
    </row>
    <row r="234" spans="1:1" x14ac:dyDescent="0.2">
      <c r="A234" s="118"/>
    </row>
    <row r="235" spans="1:1" ht="12.75" customHeight="1" x14ac:dyDescent="0.2">
      <c r="A235" s="118"/>
    </row>
    <row r="236" spans="1:1" x14ac:dyDescent="0.2">
      <c r="A236" s="118"/>
    </row>
    <row r="237" spans="1:1" x14ac:dyDescent="0.2">
      <c r="A237" s="118"/>
    </row>
    <row r="238" spans="1:1" ht="12.75" customHeight="1" x14ac:dyDescent="0.2">
      <c r="A238" s="118"/>
    </row>
    <row r="239" spans="1:1" x14ac:dyDescent="0.2">
      <c r="A239" s="118"/>
    </row>
    <row r="240" spans="1:1" x14ac:dyDescent="0.2">
      <c r="A240" s="118"/>
    </row>
    <row r="241" spans="1:1" ht="12.75" customHeight="1" x14ac:dyDescent="0.2">
      <c r="A241" s="118"/>
    </row>
    <row r="242" spans="1:1" x14ac:dyDescent="0.2">
      <c r="A242" s="118"/>
    </row>
    <row r="243" spans="1:1" x14ac:dyDescent="0.2">
      <c r="A243" s="118"/>
    </row>
    <row r="244" spans="1:1" ht="12.75" customHeight="1" x14ac:dyDescent="0.2">
      <c r="A244" s="118"/>
    </row>
    <row r="245" spans="1:1" x14ac:dyDescent="0.2">
      <c r="A245" s="118"/>
    </row>
    <row r="246" spans="1:1" x14ac:dyDescent="0.2">
      <c r="A246" s="118"/>
    </row>
    <row r="247" spans="1:1" ht="12.75" customHeight="1" x14ac:dyDescent="0.2">
      <c r="A247" s="118"/>
    </row>
    <row r="248" spans="1:1" x14ac:dyDescent="0.2">
      <c r="A248" s="118"/>
    </row>
    <row r="249" spans="1:1" x14ac:dyDescent="0.2">
      <c r="A249" s="118"/>
    </row>
    <row r="250" spans="1:1" ht="12.75" customHeight="1" x14ac:dyDescent="0.2">
      <c r="A250" s="118"/>
    </row>
    <row r="251" spans="1:1" x14ac:dyDescent="0.2">
      <c r="A251" s="118"/>
    </row>
    <row r="252" spans="1:1" x14ac:dyDescent="0.2">
      <c r="A252" s="118"/>
    </row>
    <row r="253" spans="1:1" ht="12.75" customHeight="1" x14ac:dyDescent="0.2">
      <c r="A253" s="118"/>
    </row>
    <row r="254" spans="1:1" x14ac:dyDescent="0.2">
      <c r="A254" s="118"/>
    </row>
    <row r="255" spans="1:1" x14ac:dyDescent="0.2">
      <c r="A255" s="118"/>
    </row>
    <row r="256" spans="1:1" ht="12.75" customHeight="1" x14ac:dyDescent="0.2">
      <c r="A256" s="118"/>
    </row>
    <row r="257" spans="1:1" x14ac:dyDescent="0.2">
      <c r="A257" s="118"/>
    </row>
    <row r="258" spans="1:1" x14ac:dyDescent="0.2">
      <c r="A258" s="118"/>
    </row>
    <row r="259" spans="1:1" ht="12.75" customHeight="1" x14ac:dyDescent="0.2">
      <c r="A259" s="118"/>
    </row>
    <row r="260" spans="1:1" x14ac:dyDescent="0.2">
      <c r="A260" s="118"/>
    </row>
    <row r="261" spans="1:1" x14ac:dyDescent="0.2">
      <c r="A261" s="118"/>
    </row>
    <row r="262" spans="1:1" ht="12.75" customHeight="1" x14ac:dyDescent="0.2">
      <c r="A262" s="118"/>
    </row>
    <row r="263" spans="1:1" x14ac:dyDescent="0.2">
      <c r="A263" s="118"/>
    </row>
    <row r="264" spans="1:1" x14ac:dyDescent="0.2">
      <c r="A264" s="118"/>
    </row>
    <row r="265" spans="1:1" ht="12.75" customHeight="1" x14ac:dyDescent="0.2">
      <c r="A265" s="118"/>
    </row>
    <row r="266" spans="1:1" x14ac:dyDescent="0.2">
      <c r="A266" s="118"/>
    </row>
    <row r="267" spans="1:1" x14ac:dyDescent="0.2">
      <c r="A267" s="118"/>
    </row>
    <row r="268" spans="1:1" ht="12.75" customHeight="1" x14ac:dyDescent="0.2">
      <c r="A268" s="118"/>
    </row>
    <row r="269" spans="1:1" x14ac:dyDescent="0.2">
      <c r="A269" s="118"/>
    </row>
    <row r="270" spans="1:1" x14ac:dyDescent="0.2">
      <c r="A270" s="118"/>
    </row>
    <row r="271" spans="1:1" ht="12.75" customHeight="1" x14ac:dyDescent="0.2">
      <c r="A271" s="118"/>
    </row>
    <row r="272" spans="1:1" x14ac:dyDescent="0.2">
      <c r="A272" s="118"/>
    </row>
    <row r="273" spans="1:1" x14ac:dyDescent="0.2">
      <c r="A273" s="118"/>
    </row>
    <row r="274" spans="1:1" ht="12.75" customHeight="1" x14ac:dyDescent="0.2">
      <c r="A274" s="118"/>
    </row>
    <row r="275" spans="1:1" x14ac:dyDescent="0.2">
      <c r="A275" s="118"/>
    </row>
    <row r="276" spans="1:1" x14ac:dyDescent="0.2">
      <c r="A276" s="118"/>
    </row>
    <row r="277" spans="1:1" ht="12.75" customHeight="1" x14ac:dyDescent="0.2">
      <c r="A277" s="118"/>
    </row>
    <row r="278" spans="1:1" x14ac:dyDescent="0.2">
      <c r="A278" s="118"/>
    </row>
    <row r="279" spans="1:1" x14ac:dyDescent="0.2">
      <c r="A279" s="118"/>
    </row>
    <row r="280" spans="1:1" ht="12.75" customHeight="1" x14ac:dyDescent="0.2">
      <c r="A280" s="118"/>
    </row>
    <row r="281" spans="1:1" x14ac:dyDescent="0.2">
      <c r="A281" s="118"/>
    </row>
    <row r="282" spans="1:1" x14ac:dyDescent="0.2">
      <c r="A282" s="118"/>
    </row>
    <row r="283" spans="1:1" ht="12.75" customHeight="1" x14ac:dyDescent="0.2">
      <c r="A283" s="118"/>
    </row>
    <row r="284" spans="1:1" x14ac:dyDescent="0.2">
      <c r="A284" s="118"/>
    </row>
    <row r="285" spans="1:1" x14ac:dyDescent="0.2">
      <c r="A285" s="118"/>
    </row>
    <row r="286" spans="1:1" ht="12.75" customHeight="1" x14ac:dyDescent="0.2">
      <c r="A286" s="118"/>
    </row>
    <row r="287" spans="1:1" x14ac:dyDescent="0.2">
      <c r="A287" s="118"/>
    </row>
    <row r="288" spans="1:1" x14ac:dyDescent="0.2">
      <c r="A288" s="118"/>
    </row>
    <row r="289" spans="1:1" ht="12.75" customHeight="1" x14ac:dyDescent="0.2">
      <c r="A289" s="118"/>
    </row>
    <row r="290" spans="1:1" x14ac:dyDescent="0.2">
      <c r="A290" s="118"/>
    </row>
    <row r="291" spans="1:1" x14ac:dyDescent="0.2">
      <c r="A291" s="118"/>
    </row>
    <row r="292" spans="1:1" ht="12.75" customHeight="1" x14ac:dyDescent="0.2">
      <c r="A292" s="118"/>
    </row>
    <row r="293" spans="1:1" x14ac:dyDescent="0.2">
      <c r="A293" s="118"/>
    </row>
    <row r="294" spans="1:1" x14ac:dyDescent="0.2">
      <c r="A294" s="118"/>
    </row>
    <row r="295" spans="1:1" ht="12.75" customHeight="1" x14ac:dyDescent="0.2">
      <c r="A295" s="118"/>
    </row>
    <row r="296" spans="1:1" x14ac:dyDescent="0.2">
      <c r="A296" s="118"/>
    </row>
    <row r="297" spans="1:1" x14ac:dyDescent="0.2">
      <c r="A297" s="118"/>
    </row>
    <row r="298" spans="1:1" ht="12.75" customHeight="1" x14ac:dyDescent="0.2">
      <c r="A298" s="118"/>
    </row>
    <row r="299" spans="1:1" x14ac:dyDescent="0.2">
      <c r="A299" s="118"/>
    </row>
    <row r="300" spans="1:1" x14ac:dyDescent="0.2">
      <c r="A300" s="118"/>
    </row>
    <row r="301" spans="1:1" ht="12.75" customHeight="1" x14ac:dyDescent="0.2">
      <c r="A301" s="118"/>
    </row>
    <row r="302" spans="1:1" x14ac:dyDescent="0.2">
      <c r="A302" s="118"/>
    </row>
    <row r="303" spans="1:1" x14ac:dyDescent="0.2">
      <c r="A303" s="118"/>
    </row>
    <row r="304" spans="1:1" ht="12.75" customHeight="1" x14ac:dyDescent="0.2">
      <c r="A304" s="118"/>
    </row>
    <row r="305" spans="1:1" x14ac:dyDescent="0.2">
      <c r="A305" s="118"/>
    </row>
    <row r="306" spans="1:1" x14ac:dyDescent="0.2">
      <c r="A306" s="118"/>
    </row>
    <row r="307" spans="1:1" ht="12.75" customHeight="1" x14ac:dyDescent="0.2">
      <c r="A307" s="118"/>
    </row>
    <row r="308" spans="1:1" x14ac:dyDescent="0.2">
      <c r="A308" s="118"/>
    </row>
    <row r="309" spans="1:1" x14ac:dyDescent="0.2">
      <c r="A309" s="118"/>
    </row>
    <row r="310" spans="1:1" ht="12.75" customHeight="1" x14ac:dyDescent="0.2">
      <c r="A310" s="118"/>
    </row>
    <row r="311" spans="1:1" x14ac:dyDescent="0.2">
      <c r="A311" s="118"/>
    </row>
    <row r="312" spans="1:1" x14ac:dyDescent="0.2">
      <c r="A312" s="118"/>
    </row>
    <row r="313" spans="1:1" ht="12.75" customHeight="1" x14ac:dyDescent="0.2">
      <c r="A313" s="118"/>
    </row>
    <row r="314" spans="1:1" x14ac:dyDescent="0.2">
      <c r="A314" s="118"/>
    </row>
    <row r="315" spans="1:1" x14ac:dyDescent="0.2">
      <c r="A315" s="118"/>
    </row>
    <row r="316" spans="1:1" ht="12.75" customHeight="1" x14ac:dyDescent="0.2">
      <c r="A316" s="118"/>
    </row>
    <row r="317" spans="1:1" x14ac:dyDescent="0.2">
      <c r="A317" s="118"/>
    </row>
    <row r="318" spans="1:1" x14ac:dyDescent="0.2">
      <c r="A318" s="118"/>
    </row>
    <row r="319" spans="1:1" ht="12.75" customHeight="1" x14ac:dyDescent="0.2">
      <c r="A319" s="118"/>
    </row>
    <row r="320" spans="1:1" x14ac:dyDescent="0.2">
      <c r="A320" s="118"/>
    </row>
    <row r="321" spans="1:1" x14ac:dyDescent="0.2">
      <c r="A321" s="118"/>
    </row>
    <row r="322" spans="1:1" ht="12.75" customHeight="1" x14ac:dyDescent="0.2">
      <c r="A322" s="118"/>
    </row>
    <row r="323" spans="1:1" x14ac:dyDescent="0.2">
      <c r="A323" s="118"/>
    </row>
    <row r="324" spans="1:1" x14ac:dyDescent="0.2">
      <c r="A324" s="118"/>
    </row>
    <row r="325" spans="1:1" ht="12.75" customHeight="1" x14ac:dyDescent="0.2">
      <c r="A325" s="118"/>
    </row>
    <row r="326" spans="1:1" x14ac:dyDescent="0.2">
      <c r="A326" s="118"/>
    </row>
    <row r="327" spans="1:1" x14ac:dyDescent="0.2">
      <c r="A327" s="118"/>
    </row>
    <row r="328" spans="1:1" ht="12.75" customHeight="1" x14ac:dyDescent="0.2">
      <c r="A328" s="118"/>
    </row>
    <row r="329" spans="1:1" x14ac:dyDescent="0.2">
      <c r="A329" s="118"/>
    </row>
    <row r="330" spans="1:1" x14ac:dyDescent="0.2">
      <c r="A330" s="118"/>
    </row>
    <row r="331" spans="1:1" ht="12.75" customHeight="1" x14ac:dyDescent="0.2">
      <c r="A331" s="118"/>
    </row>
    <row r="332" spans="1:1" x14ac:dyDescent="0.2">
      <c r="A332" s="118"/>
    </row>
    <row r="333" spans="1:1" x14ac:dyDescent="0.2">
      <c r="A333" s="118"/>
    </row>
    <row r="334" spans="1:1" ht="12.75" customHeight="1" x14ac:dyDescent="0.2">
      <c r="A334" s="118"/>
    </row>
    <row r="335" spans="1:1" x14ac:dyDescent="0.2">
      <c r="A335" s="118"/>
    </row>
    <row r="336" spans="1:1" x14ac:dyDescent="0.2">
      <c r="A336" s="118"/>
    </row>
    <row r="337" spans="1:1" ht="12.75" customHeight="1" x14ac:dyDescent="0.2">
      <c r="A337" s="118"/>
    </row>
    <row r="338" spans="1:1" x14ac:dyDescent="0.2">
      <c r="A338" s="118"/>
    </row>
    <row r="339" spans="1:1" x14ac:dyDescent="0.2">
      <c r="A339" s="118"/>
    </row>
    <row r="340" spans="1:1" ht="12.75" customHeight="1" x14ac:dyDescent="0.2">
      <c r="A340" s="118"/>
    </row>
    <row r="341" spans="1:1" x14ac:dyDescent="0.2">
      <c r="A341" s="118"/>
    </row>
    <row r="342" spans="1:1" x14ac:dyDescent="0.2">
      <c r="A342" s="118"/>
    </row>
    <row r="343" spans="1:1" ht="12.75" customHeight="1" x14ac:dyDescent="0.2">
      <c r="A343" s="118"/>
    </row>
    <row r="344" spans="1:1" x14ac:dyDescent="0.2">
      <c r="A344" s="118"/>
    </row>
    <row r="345" spans="1:1" x14ac:dyDescent="0.2">
      <c r="A345" s="118"/>
    </row>
    <row r="346" spans="1:1" ht="12.75" customHeight="1" x14ac:dyDescent="0.2">
      <c r="A346" s="118"/>
    </row>
    <row r="347" spans="1:1" x14ac:dyDescent="0.2">
      <c r="A347" s="118"/>
    </row>
    <row r="348" spans="1:1" x14ac:dyDescent="0.2">
      <c r="A348" s="118"/>
    </row>
    <row r="349" spans="1:1" ht="12.75" customHeight="1" x14ac:dyDescent="0.2">
      <c r="A349" s="118"/>
    </row>
    <row r="350" spans="1:1" x14ac:dyDescent="0.2">
      <c r="A350" s="118"/>
    </row>
    <row r="351" spans="1:1" x14ac:dyDescent="0.2">
      <c r="A351" s="118"/>
    </row>
    <row r="352" spans="1:1" ht="12.75" customHeight="1" x14ac:dyDescent="0.2">
      <c r="A352" s="118"/>
    </row>
    <row r="353" spans="1:1" x14ac:dyDescent="0.2">
      <c r="A353" s="118"/>
    </row>
    <row r="354" spans="1:1" x14ac:dyDescent="0.2">
      <c r="A354" s="118"/>
    </row>
    <row r="355" spans="1:1" ht="12.75" customHeight="1" x14ac:dyDescent="0.2">
      <c r="A355" s="118"/>
    </row>
    <row r="356" spans="1:1" x14ac:dyDescent="0.2">
      <c r="A356" s="118"/>
    </row>
    <row r="357" spans="1:1" x14ac:dyDescent="0.2">
      <c r="A357" s="118"/>
    </row>
    <row r="358" spans="1:1" ht="12.75" customHeight="1" x14ac:dyDescent="0.2">
      <c r="A358" s="118"/>
    </row>
    <row r="359" spans="1:1" x14ac:dyDescent="0.2">
      <c r="A359" s="118"/>
    </row>
    <row r="360" spans="1:1" x14ac:dyDescent="0.2">
      <c r="A360" s="118"/>
    </row>
    <row r="361" spans="1:1" ht="12.75" customHeight="1" x14ac:dyDescent="0.2">
      <c r="A361" s="118"/>
    </row>
    <row r="362" spans="1:1" x14ac:dyDescent="0.2">
      <c r="A362" s="118"/>
    </row>
    <row r="363" spans="1:1" x14ac:dyDescent="0.2">
      <c r="A363" s="118"/>
    </row>
    <row r="364" spans="1:1" ht="12.75" customHeight="1" x14ac:dyDescent="0.2">
      <c r="A364" s="118"/>
    </row>
    <row r="365" spans="1:1" x14ac:dyDescent="0.2">
      <c r="A365" s="118"/>
    </row>
    <row r="366" spans="1:1" x14ac:dyDescent="0.2">
      <c r="A366" s="118"/>
    </row>
    <row r="367" spans="1:1" ht="12.75" customHeight="1" x14ac:dyDescent="0.2">
      <c r="A367" s="118"/>
    </row>
    <row r="368" spans="1:1" x14ac:dyDescent="0.2">
      <c r="A368" s="118"/>
    </row>
    <row r="369" spans="1:1" x14ac:dyDescent="0.2">
      <c r="A369" s="118"/>
    </row>
    <row r="370" spans="1:1" ht="12.75" customHeight="1" x14ac:dyDescent="0.2">
      <c r="A370" s="118"/>
    </row>
    <row r="371" spans="1:1" x14ac:dyDescent="0.2">
      <c r="A371" s="118"/>
    </row>
    <row r="372" spans="1:1" x14ac:dyDescent="0.2">
      <c r="A372" s="118"/>
    </row>
    <row r="373" spans="1:1" ht="12.75" customHeight="1" x14ac:dyDescent="0.2">
      <c r="A373" s="118"/>
    </row>
    <row r="374" spans="1:1" x14ac:dyDescent="0.2">
      <c r="A374" s="118"/>
    </row>
    <row r="375" spans="1:1" x14ac:dyDescent="0.2">
      <c r="A375" s="118"/>
    </row>
    <row r="376" spans="1:1" ht="12.75" customHeight="1" x14ac:dyDescent="0.2">
      <c r="A376" s="118"/>
    </row>
    <row r="377" spans="1:1" x14ac:dyDescent="0.2">
      <c r="A377" s="118"/>
    </row>
    <row r="378" spans="1:1" x14ac:dyDescent="0.2">
      <c r="A378" s="118"/>
    </row>
    <row r="379" spans="1:1" ht="12.75" customHeight="1" x14ac:dyDescent="0.2">
      <c r="A379" s="118"/>
    </row>
    <row r="380" spans="1:1" x14ac:dyDescent="0.2">
      <c r="A380" s="118"/>
    </row>
    <row r="381" spans="1:1" x14ac:dyDescent="0.2">
      <c r="A381" s="118"/>
    </row>
    <row r="382" spans="1:1" ht="12.75" customHeight="1" x14ac:dyDescent="0.2">
      <c r="A382" s="118"/>
    </row>
    <row r="383" spans="1:1" x14ac:dyDescent="0.2">
      <c r="A383" s="118"/>
    </row>
    <row r="384" spans="1:1" x14ac:dyDescent="0.2">
      <c r="A384" s="118"/>
    </row>
    <row r="385" ht="12.75" customHeight="1" x14ac:dyDescent="0.2"/>
  </sheetData>
  <mergeCells count="128">
    <mergeCell ref="A16:A18"/>
    <mergeCell ref="A13:A15"/>
    <mergeCell ref="A7:A9"/>
    <mergeCell ref="A10:A12"/>
    <mergeCell ref="A4:A6"/>
    <mergeCell ref="A1:A3"/>
    <mergeCell ref="A43:A45"/>
    <mergeCell ref="A46:A48"/>
    <mergeCell ref="A40:A42"/>
    <mergeCell ref="A37:A39"/>
    <mergeCell ref="A31:A33"/>
    <mergeCell ref="A34:A36"/>
    <mergeCell ref="A28:A30"/>
    <mergeCell ref="A25:A27"/>
    <mergeCell ref="A19:A21"/>
    <mergeCell ref="A22:A24"/>
    <mergeCell ref="A73:A75"/>
    <mergeCell ref="A67:A69"/>
    <mergeCell ref="A70:A72"/>
    <mergeCell ref="A64:A66"/>
    <mergeCell ref="A61:A63"/>
    <mergeCell ref="A55:A57"/>
    <mergeCell ref="A58:A60"/>
    <mergeCell ref="A52:A54"/>
    <mergeCell ref="A49:A51"/>
    <mergeCell ref="A100:A102"/>
    <mergeCell ref="A97:A99"/>
    <mergeCell ref="A91:A93"/>
    <mergeCell ref="A94:A96"/>
    <mergeCell ref="A88:A90"/>
    <mergeCell ref="A85:A87"/>
    <mergeCell ref="A79:A81"/>
    <mergeCell ref="A82:A84"/>
    <mergeCell ref="A76:A78"/>
    <mergeCell ref="A127:A129"/>
    <mergeCell ref="A130:A132"/>
    <mergeCell ref="A124:A126"/>
    <mergeCell ref="A121:A123"/>
    <mergeCell ref="A115:A117"/>
    <mergeCell ref="A118:A120"/>
    <mergeCell ref="A112:A114"/>
    <mergeCell ref="A109:A111"/>
    <mergeCell ref="A103:A105"/>
    <mergeCell ref="A106:A108"/>
    <mergeCell ref="A157:A159"/>
    <mergeCell ref="A151:A153"/>
    <mergeCell ref="A154:A156"/>
    <mergeCell ref="A148:A150"/>
    <mergeCell ref="A145:A147"/>
    <mergeCell ref="A139:A141"/>
    <mergeCell ref="A142:A144"/>
    <mergeCell ref="A136:A138"/>
    <mergeCell ref="A133:A135"/>
    <mergeCell ref="A184:A186"/>
    <mergeCell ref="A181:A183"/>
    <mergeCell ref="A175:A177"/>
    <mergeCell ref="A178:A180"/>
    <mergeCell ref="A172:A174"/>
    <mergeCell ref="A169:A171"/>
    <mergeCell ref="A163:A165"/>
    <mergeCell ref="A166:A168"/>
    <mergeCell ref="A160:A162"/>
    <mergeCell ref="A211:A213"/>
    <mergeCell ref="A214:A216"/>
    <mergeCell ref="A208:A210"/>
    <mergeCell ref="A205:A207"/>
    <mergeCell ref="A199:A201"/>
    <mergeCell ref="A202:A204"/>
    <mergeCell ref="A196:A198"/>
    <mergeCell ref="A193:A195"/>
    <mergeCell ref="A187:A189"/>
    <mergeCell ref="A190:A192"/>
    <mergeCell ref="A241:A243"/>
    <mergeCell ref="A235:A237"/>
    <mergeCell ref="A238:A240"/>
    <mergeCell ref="A232:A234"/>
    <mergeCell ref="A229:A231"/>
    <mergeCell ref="A223:A225"/>
    <mergeCell ref="A226:A228"/>
    <mergeCell ref="A220:A222"/>
    <mergeCell ref="A217:A219"/>
    <mergeCell ref="A268:A270"/>
    <mergeCell ref="A265:A267"/>
    <mergeCell ref="A259:A261"/>
    <mergeCell ref="A262:A264"/>
    <mergeCell ref="A256:A258"/>
    <mergeCell ref="A253:A255"/>
    <mergeCell ref="A247:A249"/>
    <mergeCell ref="A250:A252"/>
    <mergeCell ref="A244:A246"/>
    <mergeCell ref="A295:A297"/>
    <mergeCell ref="A298:A300"/>
    <mergeCell ref="A292:A294"/>
    <mergeCell ref="A289:A291"/>
    <mergeCell ref="A283:A285"/>
    <mergeCell ref="A286:A288"/>
    <mergeCell ref="A280:A282"/>
    <mergeCell ref="A277:A279"/>
    <mergeCell ref="A271:A273"/>
    <mergeCell ref="A274:A276"/>
    <mergeCell ref="A325:A327"/>
    <mergeCell ref="A319:A321"/>
    <mergeCell ref="A322:A324"/>
    <mergeCell ref="A316:A318"/>
    <mergeCell ref="A313:A315"/>
    <mergeCell ref="A307:A309"/>
    <mergeCell ref="A310:A312"/>
    <mergeCell ref="A304:A306"/>
    <mergeCell ref="A301:A303"/>
    <mergeCell ref="A352:A354"/>
    <mergeCell ref="A349:A351"/>
    <mergeCell ref="A343:A345"/>
    <mergeCell ref="A346:A348"/>
    <mergeCell ref="A340:A342"/>
    <mergeCell ref="A337:A339"/>
    <mergeCell ref="A331:A333"/>
    <mergeCell ref="A334:A336"/>
    <mergeCell ref="A328:A330"/>
    <mergeCell ref="A379:A381"/>
    <mergeCell ref="A382:A384"/>
    <mergeCell ref="A376:A378"/>
    <mergeCell ref="A373:A375"/>
    <mergeCell ref="A367:A369"/>
    <mergeCell ref="A370:A372"/>
    <mergeCell ref="A364:A366"/>
    <mergeCell ref="A361:A363"/>
    <mergeCell ref="A355:A357"/>
    <mergeCell ref="A358:A3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Necesidades Trimestrales</vt:lpstr>
      <vt:lpstr>Hoja1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JIMENA GRIMA</cp:lastModifiedBy>
  <cp:revision>2</cp:revision>
  <cp:lastPrinted>2020-07-23T13:47:13Z</cp:lastPrinted>
  <dcterms:created xsi:type="dcterms:W3CDTF">2020-07-17T23:44:49Z</dcterms:created>
  <dcterms:modified xsi:type="dcterms:W3CDTF">2022-12-21T15:52:12Z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