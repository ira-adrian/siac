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neumaticos\"/>
    </mc:Choice>
  </mc:AlternateContent>
  <bookViews>
    <workbookView xWindow="0" yWindow="0" windowWidth="19200" windowHeight="10995" tabRatio="500"/>
  </bookViews>
  <sheets>
    <sheet name="Necesidades Trimestrales" sheetId="1" r:id="rId1"/>
    <sheet name="PARQ. AUTOMOTOR" sheetId="4" r:id="rId2"/>
    <sheet name=" NotaPedido" sheetId="2" state="hidden" r:id="rId3"/>
    <sheet name="Autor Gastar" sheetId="3" state="hidden" r:id="rId4"/>
  </sheets>
  <externalReferences>
    <externalReference r:id="rId5"/>
  </externalReferences>
  <definedNames>
    <definedName name="_xlnm._FilterDatabase" localSheetId="1" hidden="1">'PARQ. AUTOMOTOR'!$B$98:$H$98</definedName>
    <definedName name="_xlnm.Print_Area" localSheetId="2">' NotaPedido'!$A$1:$K$30</definedName>
    <definedName name="_xlnm.Print_Area" localSheetId="3">'Autor Gastar'!$A$1:$Q$27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10" i="1"/>
  <c r="I32" i="1"/>
  <c r="I16" i="1" l="1"/>
  <c r="I17" i="1"/>
  <c r="I18" i="1"/>
  <c r="I19" i="1"/>
  <c r="I30" i="1"/>
  <c r="I31" i="1"/>
  <c r="I29" i="1"/>
  <c r="I27" i="1"/>
  <c r="I26" i="1"/>
  <c r="I25" i="1"/>
  <c r="I24" i="1"/>
  <c r="I23" i="1"/>
  <c r="I22" i="1"/>
  <c r="I21" i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1" i="1"/>
  <c r="I12" i="1"/>
  <c r="I13" i="1"/>
  <c r="I14" i="1"/>
  <c r="I15" i="1"/>
  <c r="I28" i="1"/>
  <c r="I34" i="1" l="1"/>
  <c r="G6" i="3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<sst xmlns="http://schemas.openxmlformats.org/spreadsheetml/2006/main" count="3755" uniqueCount="1971">
  <si>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</si>
  <si>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</si>
  <si>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</si>
  <si>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</si>
  <si>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</si>
  <si>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</si>
  <si>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</si>
  <si>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</si>
  <si>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</si>
  <si>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</si>
  <si>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</si>
  <si>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</si>
  <si>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</si>
  <si>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</si>
  <si>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</si>
  <si>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</si>
  <si>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REPUESTOS</t>
  </si>
  <si>
    <t>2.4.4.</t>
  </si>
  <si>
    <t>NEUMATICOS; VEHICULO: CAMIONETA, CONSTRUCCION: RADIAL, ARMADO: S/CAMARA, MEDIDA: 235/70R16</t>
  </si>
  <si>
    <t>UNIDAD</t>
  </si>
  <si>
    <t>2.4.4-6818.530</t>
  </si>
  <si>
    <t>NEUMATICOS; VEHICULO: CAMIONETA, CONSTRUCCION: RADIAL, ARMADO: S/CAMARA, MEDIDA: 245/70R16</t>
  </si>
  <si>
    <t>2.4.4-6818.244</t>
  </si>
  <si>
    <t>NEUMATICOS; VEHICULO: AUTOMOVIL, CONSTRUCCION: RADIAL, ARMADO: S/CAMARA, MEDIDA: 205/55R16</t>
  </si>
  <si>
    <t>2.4.4-6818.97</t>
  </si>
  <si>
    <t>NEUMATICOS; VEHICULO: AUTOMOVIL, ARMADO: S/CAMARA, MEDIDA: 175/70R14, CONSTRUCCION: RADIAL</t>
  </si>
  <si>
    <t>2.4.4-6818.89</t>
  </si>
  <si>
    <t>NEUMATICOS; VEHICULO: AUTOMOVIL, CONSTRUCCION: CONVENCIONAL, ARMADO: C/CAMARA, MEDIDA: 185/60R14</t>
  </si>
  <si>
    <t>2.4.4-6818.891</t>
  </si>
  <si>
    <t>NEUMATICOS; VEHICULO: MINIBUS, CONSTRUCCION: RADIAL, ARMADO: SIN CAMARA, MEDIDA: 195/75R16</t>
  </si>
  <si>
    <t>2.4.4-6818.810</t>
  </si>
  <si>
    <t>NEUMATICOS; VEHICULO: MINIBUS, CONSTRUCCION: RADIAL, ARMADO: S/CAMARA, MEDIDA: 225/75R16</t>
  </si>
  <si>
    <t>2.4.4-6818.989</t>
  </si>
  <si>
    <t>2.4.4-6818.1032</t>
  </si>
  <si>
    <t>2.4.4</t>
  </si>
  <si>
    <t>2.4.4-6818.148</t>
  </si>
  <si>
    <t>NEUMATICOS; VEHICULO: MOTO, CONSTRUCCION: RADIAL, ARMADO: SIN VALOR, MEDIDA: 120/90R18</t>
  </si>
  <si>
    <t>2.4.4-6818.341</t>
  </si>
  <si>
    <t>2.4.4-6818.1028</t>
  </si>
  <si>
    <t>NEUMATICOS; VEHICULO: MOTO, CONSTRUCCION: RADIAL, ARMADO: S/CAMARA, MEDIDA: 110/90-17</t>
  </si>
  <si>
    <t>2.4.4-6818.1027</t>
  </si>
  <si>
    <t>NEUMATICOS; VEHICULO: MOTO, CONSTRUCCION: RADIAL, ARMADO: S/CAMARA, MEDIDA: 90/90-19</t>
  </si>
  <si>
    <t>2.4.4-6818.397</t>
  </si>
  <si>
    <t>NEUMATICOS; VEHICULO: MOTO, CONSTRUCCION: RADIAL, ARMADO: S/CAMARA, MEDIDA: 120/80-18</t>
  </si>
  <si>
    <t>2.4.4-6818.510</t>
  </si>
  <si>
    <t>NEUMATICOS; VEHICULO: MOTO, CONSTRUCCION: RADIAL, ARMADO: S/CAMARA, MEDIDA: 160/60R17</t>
  </si>
  <si>
    <t>2.4.4-6818.683</t>
  </si>
  <si>
    <t>NEUMATICOS; VEHICULO: MOTO, CONSTRUCCION: RADIAL, ARMADO: S/CAMARA, MEDIDA: 120/70R17</t>
  </si>
  <si>
    <t>2.4.4-6818.631</t>
  </si>
  <si>
    <t>NEUMATICOS; VEHICULO: MOTO, CONSTRUCCION: RADIAL, ARMADO: C/CAMARA, MEDIDA: 90/90-21</t>
  </si>
  <si>
    <t>2.4.4-6818.395</t>
  </si>
  <si>
    <t>NEUMATICOS; VEHICULO: MOTO, CONSTRUCCION: RADIAL, ARMADO: S/CAMARA, MEDIDA: 130/80-17</t>
  </si>
  <si>
    <t>2.4.4-6818.1033</t>
  </si>
  <si>
    <t>2.4.4-6818.1034</t>
  </si>
  <si>
    <t>NEUMATICOS; VEHICULO: MOTO, CONSTRUCCION: RADIAL, ARMADO: S/CAMARA, MEDIDA: 100/80-17</t>
  </si>
  <si>
    <t>Especificidades</t>
  </si>
  <si>
    <t xml:space="preserve"> Item N° : 01</t>
  </si>
  <si>
    <t>Descripción técnica</t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</si>
  <si>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</si>
  <si>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</t>
    </r>
    <r>
      <rPr>
        <sz val="10"/>
        <rFont val="Century Gothic"/>
        <family val="2"/>
      </rP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</si>
  <si>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</si>
  <si>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</si>
  <si>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</si>
  <si>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175/70/14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</si>
  <si>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</si>
  <si>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</si>
  <si>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</si>
  <si>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</si>
  <si>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</si>
  <si>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</si>
  <si>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TRANSIT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COMBI MED.195/75/16   </t>
    </r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</si>
  <si>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MERCEDEZ BENZ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SPLINTER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MINIBUS MED.225/75/16    </t>
    </r>
  </si>
  <si>
    <t xml:space="preserve"> Item N° : 10</t>
  </si>
  <si>
    <t xml:space="preserve"> Item N° : 11</t>
  </si>
  <si>
    <t xml:space="preserve"> Item N° : 12</t>
  </si>
  <si>
    <t xml:space="preserve"> Item N° : 13</t>
  </si>
  <si>
    <t xml:space="preserve"> Item N° : 14</t>
  </si>
  <si>
    <t xml:space="preserve"> Item N° : 15</t>
  </si>
  <si>
    <t xml:space="preserve"> Item N° : 16</t>
  </si>
  <si>
    <t xml:space="preserve"> Item N° : 17</t>
  </si>
  <si>
    <t xml:space="preserve"> Item N° : 18</t>
  </si>
  <si>
    <r>
      <t xml:space="preserve"> ELEMENTO: </t>
    </r>
    <r>
      <rPr>
        <sz val="10"/>
        <rFont val="Century Gothic"/>
        <family val="2"/>
      </rPr>
      <t>NEUMATICO PARA MOTOCICLETA HONDA TWISTER 250 CC MED. 140/70/17</t>
    </r>
  </si>
  <si>
    <t xml:space="preserve"> Item N° : 19</t>
  </si>
  <si>
    <r>
      <t xml:space="preserve"> ELEMENTO: </t>
    </r>
    <r>
      <rPr>
        <sz val="10"/>
        <rFont val="Century Gothic"/>
        <family val="2"/>
      </rPr>
      <t>NEUMATICO PARA MOTOCICLETA HONDA HONDA XR 150 CC MED. 110/90/17</t>
    </r>
  </si>
  <si>
    <t xml:space="preserve"> Item N° : 20</t>
  </si>
  <si>
    <r>
      <t xml:space="preserve"> ELEMENTO: </t>
    </r>
    <r>
      <rPr>
        <sz val="10"/>
        <rFont val="Century Gothic"/>
        <family val="2"/>
      </rPr>
      <t>NEUMATICO PARA MOTOCICLETA HONDA HONDA XR 150 CC MED. 90/90/19</t>
    </r>
  </si>
  <si>
    <t xml:space="preserve"> Item N° : 21</t>
  </si>
  <si>
    <t xml:space="preserve"> Item N° : 22</t>
  </si>
  <si>
    <r>
      <t xml:space="preserve"> ELEMENTO: </t>
    </r>
    <r>
      <rPr>
        <sz val="10"/>
        <rFont val="Century Gothic"/>
        <family val="2"/>
      </rPr>
      <t>NEUMATICO PARA MOTOCICLETA BENELLI TRK 502 CC MED. 160/60/17</t>
    </r>
  </si>
  <si>
    <t xml:space="preserve"> Item N° : 23</t>
  </si>
  <si>
    <r>
      <t xml:space="preserve"> ELEMENTO: </t>
    </r>
    <r>
      <rPr>
        <sz val="10"/>
        <rFont val="Century Gothic"/>
        <family val="2"/>
      </rPr>
      <t>NEUMATICO PARA MOTOCICLETA BENELLI TRK 502 CC MED. 120/70/17</t>
    </r>
  </si>
  <si>
    <r>
      <t xml:space="preserve"> ELEMENTO: </t>
    </r>
    <r>
      <rPr>
        <sz val="10"/>
        <rFont val="Century Gothic"/>
        <family val="2"/>
      </rPr>
      <t>NEUMATICO PARA MOTOCICLETA HONDA FALCON MED. 130/80/17</t>
    </r>
  </si>
  <si>
    <t>Plazos y lugares de entrega</t>
  </si>
  <si>
    <t>Calidad Minima esperada</t>
  </si>
  <si>
    <t>Mantenimiento</t>
  </si>
  <si>
    <t xml:space="preserve">30 (treinta)  días 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</si>
  <si>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</si>
  <si>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</si>
  <si>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</si>
  <si>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</si>
  <si>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</si>
  <si>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</si>
  <si>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</si>
  <si>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</si>
  <si>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</si>
  <si>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</si>
  <si>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</si>
  <si>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</si>
  <si>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</si>
  <si>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</si>
  <si>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</si>
  <si>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</si>
  <si>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</si>
  <si>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</si>
  <si>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</si>
  <si>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</si>
  <si>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</si>
  <si>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</si>
  <si>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</si>
  <si>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</si>
  <si>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</si>
  <si>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</si>
  <si>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</si>
  <si>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</si>
  <si>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</si>
  <si>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</si>
  <si>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</si>
  <si>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</si>
  <si>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</si>
  <si>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</si>
  <si>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</si>
  <si>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</si>
  <si>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</si>
  <si>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</si>
  <si>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</si>
  <si>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</si>
  <si>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</si>
  <si>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</si>
  <si>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</si>
  <si>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</si>
  <si>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</si>
  <si>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</si>
  <si>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</si>
  <si>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</si>
  <si>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>2.4.4-6818.203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</si>
  <si>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MOTOCICLETA  TWISTER 250 C.C. 100/80/17</t>
    </r>
  </si>
  <si>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CUATRICICLO HONDA FOREMAN SIN CAMARA RODADO 25X10-12</t>
    </r>
  </si>
  <si>
    <t>NEUMATICOS; VEHICULO: MOTO, CONSTRUCCION: RADIAL, ARMADO: S/CAMARA, MEDIDA: SIN VALOR</t>
  </si>
  <si>
    <t>NEUMATICOS; VEHICULO: CAMION, CONSTRUCCION: RADIAL, ARMADO: S/CAMARA, MEDIDA: SEGUN PLIEGO</t>
  </si>
  <si>
    <t>NEUMATICOS; VEHICULO: CAMION, CONSTRUCCION: RADIAL, ARMADO: S/CAMARA, MEDIDA: 235/75R17.5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</si>
  <si>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FORD 1119, 235/75/17.5</t>
    </r>
  </si>
  <si>
    <t>MARCA TOYOTA/VOLKSWAGEN. MODELO: HILUX/AMAROK   ELEMENTO: NEUMATICO  MED. 235/70/16 CANTIDAD: 80 /AMAROK- 48/HILUX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</si>
  <si>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MOTOCICLETA YAMAHA XTZ 250 CC Y CORVEN TRIAX 250 CC MED. 120/80/18 CANTIDAD: 19 UNIDADES YAMAHA/ 18 UNIDADES CORVEN TRIAX</t>
    </r>
  </si>
  <si>
    <r>
      <t xml:space="preserve"> ELEMENTO: </t>
    </r>
    <r>
      <rPr>
        <sz val="10"/>
        <rFont val="Century Gothic"/>
        <family val="2"/>
      </rPr>
      <t>NEUMATICO PARA MOTOCICLETA HONDA TORNADO 250 CC Y YAMAHA XTZ 250 CC MED. 90/90/21 CANTIDAD: 10 UNIDADES HONDA TORNADO 250; 10 UNIDADES YAMAHA
XTZ 250</t>
    </r>
  </si>
  <si>
    <t>NEUMATICOS; VEHICULO: CUATRICICLO, CONSTRUCCION: RADIAL, ARMADO: S/CAMARA, MEDIDA: 25 X 10-12</t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</si>
  <si>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</si>
  <si>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PARA CAMIONETA MED.225/70/17</t>
    </r>
  </si>
  <si>
    <t>12 meses cómo mínimo A partir de la fecha de entrega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</si>
  <si>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13,180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11 R22,5</t>
    </r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</si>
  <si>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CARGO 1832   ELEMENTO: NEUMATICO PARA CAMION MED. 275/80/22,5</t>
    </r>
  </si>
  <si>
    <r>
      <t xml:space="preserve"> ELEMENTO:</t>
    </r>
    <r>
      <rPr>
        <sz val="10"/>
        <rFont val="Century Gothic"/>
        <family val="2"/>
      </rPr>
      <t xml:space="preserve"> NEUMATICO PARA MOTOCICLETA GILERA 200 CC MED. 120/90/18. CON CAMARA</t>
    </r>
  </si>
  <si>
    <t>2.4.4-6818.412</t>
  </si>
  <si>
    <t>NEUMATICOS; VEHICULO: CAMION, CONSTRUCCION: RADIAL, ARMADO: S/CAMARA, MEDIDA: 275/80R22.5</t>
  </si>
  <si>
    <t xml:space="preserve"> AUTOMOVILES </t>
  </si>
  <si>
    <t>TIPO</t>
  </si>
  <si>
    <t>DOMINIO</t>
  </si>
  <si>
    <t>MARCA</t>
  </si>
  <si>
    <t>MODELO</t>
  </si>
  <si>
    <t>AÑO</t>
  </si>
  <si>
    <t>MOTOR</t>
  </si>
  <si>
    <t>CHASIS</t>
  </si>
  <si>
    <t>AUTO</t>
  </si>
  <si>
    <t>HKX-841</t>
  </si>
  <si>
    <t>CHEVROLET</t>
  </si>
  <si>
    <t>CORSA</t>
  </si>
  <si>
    <t>7H5145376</t>
  </si>
  <si>
    <t>8AGSB19N09R102420</t>
  </si>
  <si>
    <t>MXR-598</t>
  </si>
  <si>
    <t>CORSA -SPIRIT  LT 1.4</t>
  </si>
  <si>
    <t>T85170250</t>
  </si>
  <si>
    <t>8AGSC1950ER113477</t>
  </si>
  <si>
    <t>MXR-597</t>
  </si>
  <si>
    <t>T85170468</t>
  </si>
  <si>
    <t>8AGSC1950ER113641</t>
  </si>
  <si>
    <t>MXR-595</t>
  </si>
  <si>
    <t>T85170446</t>
  </si>
  <si>
    <t>8AGSC1950ER113711</t>
  </si>
  <si>
    <t>KSV-199</t>
  </si>
  <si>
    <t>FIAT</t>
  </si>
  <si>
    <t>SIENA</t>
  </si>
  <si>
    <t>178F4055-2176328</t>
  </si>
  <si>
    <t>8AP17269HC 2241027</t>
  </si>
  <si>
    <t>PHO-196</t>
  </si>
  <si>
    <t>PALIO ATTRACTIVE 1,4</t>
  </si>
  <si>
    <t>327A0552346624</t>
  </si>
  <si>
    <t>8AP196475F4123099</t>
  </si>
  <si>
    <t>PHO-195</t>
  </si>
  <si>
    <t>327A0552366431</t>
  </si>
  <si>
    <t>8AP196475F4124427</t>
  </si>
  <si>
    <t>OAU-662</t>
  </si>
  <si>
    <t>310A20111946352</t>
  </si>
  <si>
    <t>8AP372316E6089443</t>
  </si>
  <si>
    <t>EUE-056</t>
  </si>
  <si>
    <t>VOLKSWAGEN</t>
  </si>
  <si>
    <t>POLO</t>
  </si>
  <si>
    <t>1Y958444</t>
  </si>
  <si>
    <t>8AWZZZ9EZ5A688395</t>
  </si>
  <si>
    <t>HKX-868</t>
  </si>
  <si>
    <t>POLO CLASICC 1.6</t>
  </si>
  <si>
    <t>UVC038611</t>
  </si>
  <si>
    <t>8AWZZZ9EZ9A002754</t>
  </si>
  <si>
    <t>AE-097-AN</t>
  </si>
  <si>
    <t>RENAULT</t>
  </si>
  <si>
    <t>KWID 1,0 ZEN</t>
  </si>
  <si>
    <t>B4DA405Q063865</t>
  </si>
  <si>
    <t>93YRBB00XLJ268999</t>
  </si>
  <si>
    <t>AB-538-JJ</t>
  </si>
  <si>
    <t>PRISMA JOY LS</t>
  </si>
  <si>
    <t>GFK038284</t>
  </si>
  <si>
    <t>9BGKL69THG251124</t>
  </si>
  <si>
    <t>NHS-501</t>
  </si>
  <si>
    <t>TOYOTA</t>
  </si>
  <si>
    <t>COROLLA</t>
  </si>
  <si>
    <t>2ZRM175001</t>
  </si>
  <si>
    <t>9BRBU48E4778689</t>
  </si>
  <si>
    <t>LWM-102</t>
  </si>
  <si>
    <t>2ZRM095562</t>
  </si>
  <si>
    <t>9BRBU48E8D4745395</t>
  </si>
  <si>
    <t>OSL-115</t>
  </si>
  <si>
    <t>ETIOS X 1,5 M/T 5P</t>
  </si>
  <si>
    <t>2NRV273984</t>
  </si>
  <si>
    <t>9BRK29BT1F0055816</t>
  </si>
  <si>
    <t>OSL-109</t>
  </si>
  <si>
    <t>2NRV274614</t>
  </si>
  <si>
    <t>9BRK29BT3F0055994</t>
  </si>
  <si>
    <t>OSL-134</t>
  </si>
  <si>
    <t>2NRV277684</t>
  </si>
  <si>
    <t>9BRK29BT3F0056904</t>
  </si>
  <si>
    <t>OSL-113</t>
  </si>
  <si>
    <t>2NRV275538</t>
  </si>
  <si>
    <t>9BRK29BT6F0056217</t>
  </si>
  <si>
    <t>OSL-114</t>
  </si>
  <si>
    <t>2NRV276309</t>
  </si>
  <si>
    <t>9BRK29BT8F0056476</t>
  </si>
  <si>
    <t>OSP-866</t>
  </si>
  <si>
    <t>2NRV279308</t>
  </si>
  <si>
    <t>9BRK29BT9F0057359</t>
  </si>
  <si>
    <t>OSP-830</t>
  </si>
  <si>
    <t>2NRV276886</t>
  </si>
  <si>
    <t>9BRK29BTXF0056687</t>
  </si>
  <si>
    <t>AB-322-SC</t>
  </si>
  <si>
    <t>2NR4073730</t>
  </si>
  <si>
    <t>9BRK29BT9H0111908</t>
  </si>
  <si>
    <t xml:space="preserve"> CAMIONES </t>
  </si>
  <si>
    <t>AUTOBOMBA B-10</t>
  </si>
  <si>
    <t>HDT-554</t>
  </si>
  <si>
    <t>FORD</t>
  </si>
  <si>
    <t>4000</t>
  </si>
  <si>
    <t>30254572</t>
  </si>
  <si>
    <t>9BFLF47988B050027</t>
  </si>
  <si>
    <t>AUTOBOMBA B-12</t>
  </si>
  <si>
    <t>AD-016-LU</t>
  </si>
  <si>
    <t>CARGO 1119-42</t>
  </si>
  <si>
    <t>36585550</t>
  </si>
  <si>
    <t>9BFWEA7B4JBS44819</t>
  </si>
  <si>
    <t>AUTOBOMBA B-9</t>
  </si>
  <si>
    <t>IFJ-295</t>
  </si>
  <si>
    <t>CARGO 1832</t>
  </si>
  <si>
    <t>36047899</t>
  </si>
  <si>
    <t>9BFYCAWYO9BB16113</t>
  </si>
  <si>
    <t>CAMION JAULA</t>
  </si>
  <si>
    <t>FZT-783</t>
  </si>
  <si>
    <t>MERCEDEZ BENZ</t>
  </si>
  <si>
    <t>L-1218,6L</t>
  </si>
  <si>
    <t>904938U0701544</t>
  </si>
  <si>
    <t>9BM6940007B503596</t>
  </si>
  <si>
    <t>CAMION RAMPA 9150</t>
  </si>
  <si>
    <t>HVU-681</t>
  </si>
  <si>
    <t>9BWAA52R39R848365</t>
  </si>
  <si>
    <t>CAMION TERMICO 9150E</t>
  </si>
  <si>
    <t>HVU-682</t>
  </si>
  <si>
    <t>91.50</t>
  </si>
  <si>
    <t>9BWAA52R09R850042</t>
  </si>
  <si>
    <t>CAMION VOLCADOR</t>
  </si>
  <si>
    <t>HVU-683</t>
  </si>
  <si>
    <t>G1T111162</t>
  </si>
  <si>
    <t>9BWB172S09R907813</t>
  </si>
  <si>
    <t>AUTOBOMBA B-8</t>
  </si>
  <si>
    <t>HVU-684</t>
  </si>
  <si>
    <t>13.180</t>
  </si>
  <si>
    <t>G1T110738</t>
  </si>
  <si>
    <t>9BWB172S89R905534</t>
  </si>
  <si>
    <t xml:space="preserve"> UTILITARIOS </t>
  </si>
  <si>
    <t>FURGON</t>
  </si>
  <si>
    <t>AF-093-LT</t>
  </si>
  <si>
    <t>SPRINTER 311 CDI STREET FURGON 3250</t>
  </si>
  <si>
    <t>651958W0130709</t>
  </si>
  <si>
    <t>8AC907631NE208727</t>
  </si>
  <si>
    <t>MINIBUS</t>
  </si>
  <si>
    <t>AD-363-UL</t>
  </si>
  <si>
    <t>TRANSIT BUS 2.2L 460E (CAP. 16 PERS.)</t>
  </si>
  <si>
    <t>UHR5JTS31196</t>
  </si>
  <si>
    <t>WF0DXMTTGJTS31196</t>
  </si>
  <si>
    <t>UTILITARIO</t>
  </si>
  <si>
    <t>AD-016-LM</t>
  </si>
  <si>
    <t>FIORINO FURGONETA</t>
  </si>
  <si>
    <t>327A0553238892</t>
  </si>
  <si>
    <t>9BD265524J9099595</t>
  </si>
  <si>
    <t>OPX-344</t>
  </si>
  <si>
    <t>KANGOO</t>
  </si>
  <si>
    <t>K4MJ730Q144802</t>
  </si>
  <si>
    <t>8A1FC1315FL498441</t>
  </si>
  <si>
    <t>OPX-343</t>
  </si>
  <si>
    <t>K4MJ730Q153135</t>
  </si>
  <si>
    <t>8A1FC1315FL738957</t>
  </si>
  <si>
    <t>OOT-964</t>
  </si>
  <si>
    <t>DUCATO MAXICARGO</t>
  </si>
  <si>
    <t>7185440</t>
  </si>
  <si>
    <t>93W245G84E2120321</t>
  </si>
  <si>
    <t>FPF-665</t>
  </si>
  <si>
    <t>SPRINTER</t>
  </si>
  <si>
    <t>61198170043501</t>
  </si>
  <si>
    <t>8AC9036726A944356</t>
  </si>
  <si>
    <t>HKX-864</t>
  </si>
  <si>
    <t>CITROEN</t>
  </si>
  <si>
    <t>BERLINGO</t>
  </si>
  <si>
    <t>10DXBE0049749</t>
  </si>
  <si>
    <t>8BCMBWJZF9G504328</t>
  </si>
  <si>
    <t>HKX-863</t>
  </si>
  <si>
    <t>10DXBE0047228</t>
  </si>
  <si>
    <t>8BCMBWJZF9G555587</t>
  </si>
  <si>
    <t>HMW-858</t>
  </si>
  <si>
    <t>MASTER DCI 120</t>
  </si>
  <si>
    <t>G9UA724CO41695</t>
  </si>
  <si>
    <t>93YCDDUH59J082362</t>
  </si>
  <si>
    <t xml:space="preserve"> CAMIONETAS </t>
  </si>
  <si>
    <t>CAMIONETA</t>
  </si>
  <si>
    <t>AE-317-XK</t>
  </si>
  <si>
    <t>HILUX 4X2  D/C PACK DX 2,5 TDI</t>
  </si>
  <si>
    <t>2GD-0701409</t>
  </si>
  <si>
    <t>8AJDB3CD0L1302672</t>
  </si>
  <si>
    <t>AE-317-XN</t>
  </si>
  <si>
    <t>2GD-0764118</t>
  </si>
  <si>
    <t>8AJDB3CD1L1302535</t>
  </si>
  <si>
    <t>AE-317-XW</t>
  </si>
  <si>
    <t>2GD0760807</t>
  </si>
  <si>
    <t>8AJDB3CD3L1302407</t>
  </si>
  <si>
    <t>AE-290-OZ</t>
  </si>
  <si>
    <t>2GD-G163823</t>
  </si>
  <si>
    <t>8AJDB3CD3L1303055</t>
  </si>
  <si>
    <t>AE-317-XD</t>
  </si>
  <si>
    <t>2GD-G164085</t>
  </si>
  <si>
    <t>8AJDB3CD3L1303072</t>
  </si>
  <si>
    <t>AE-317-XS</t>
  </si>
  <si>
    <t>2GD0764293</t>
  </si>
  <si>
    <t>8AJDB3CD4L1302531</t>
  </si>
  <si>
    <t>AE-317-XJ</t>
  </si>
  <si>
    <t>2GD0767416</t>
  </si>
  <si>
    <t>8AJDB3CD4L1302626</t>
  </si>
  <si>
    <t>AE-317-XM</t>
  </si>
  <si>
    <t>2GD0757946</t>
  </si>
  <si>
    <t>8AJDB3CD5L1302487</t>
  </si>
  <si>
    <t>AE-317-XV</t>
  </si>
  <si>
    <t>2GD0757781</t>
  </si>
  <si>
    <t>8AJDB3CD5L1302490</t>
  </si>
  <si>
    <t>AE-290-OX</t>
  </si>
  <si>
    <t>2GD-G156166</t>
  </si>
  <si>
    <t>8AJDB3CD5L1302800</t>
  </si>
  <si>
    <t>AE-317-XC</t>
  </si>
  <si>
    <t>2GD-G163505</t>
  </si>
  <si>
    <t>8AJDB3CD6L1303034</t>
  </si>
  <si>
    <t>AE-317-XL</t>
  </si>
  <si>
    <t>2GD0755592</t>
  </si>
  <si>
    <t>8AJDB3CD7L1302586</t>
  </si>
  <si>
    <t>AE-290-OY</t>
  </si>
  <si>
    <t>2GD-G164667</t>
  </si>
  <si>
    <t>8AJDB3CD7L1303110</t>
  </si>
  <si>
    <t>AE-317-XQ</t>
  </si>
  <si>
    <t>2GD0761139</t>
  </si>
  <si>
    <t>8AJDB3CD8L1302418</t>
  </si>
  <si>
    <t>AE-317-XX</t>
  </si>
  <si>
    <t>2GD0761123</t>
  </si>
  <si>
    <t>8AJDB3CD8L1302421</t>
  </si>
  <si>
    <t>AE-317-XA</t>
  </si>
  <si>
    <t>2GD-G163509</t>
  </si>
  <si>
    <t>8AJDB3CD8L1303035</t>
  </si>
  <si>
    <t>AE-317-XR</t>
  </si>
  <si>
    <t>2GD0767151</t>
  </si>
  <si>
    <t>8AJDB3CD9L1302637</t>
  </si>
  <si>
    <t>AE-290-OW</t>
  </si>
  <si>
    <t>2GD-G164416</t>
  </si>
  <si>
    <t>8AJDB3CD9L1303092</t>
  </si>
  <si>
    <t>AE-744-PQ</t>
  </si>
  <si>
    <t>HILUX 4X4 C/D  DX 2.4 TDI 6 M/T</t>
  </si>
  <si>
    <t>2GD-0711124</t>
  </si>
  <si>
    <t>8AJDB3CD9L1305019</t>
  </si>
  <si>
    <t>AE-317-XP</t>
  </si>
  <si>
    <t>2GD0760525</t>
  </si>
  <si>
    <t>8AJDB3CDXL1302405</t>
  </si>
  <si>
    <t>AE-317-XU</t>
  </si>
  <si>
    <t>2GD-0768366</t>
  </si>
  <si>
    <t>8AJDB3CDXL1302663</t>
  </si>
  <si>
    <t>AE-875-IL</t>
  </si>
  <si>
    <t>NISSAN</t>
  </si>
  <si>
    <t>FRONTIER CD S 2,3 D 4X2 MT</t>
  </si>
  <si>
    <t>YS23B266C052089</t>
  </si>
  <si>
    <t>8ANBD33A0NL893205</t>
  </si>
  <si>
    <t>AE-875-IJ</t>
  </si>
  <si>
    <t>YS23B266C051303</t>
  </si>
  <si>
    <t>8ANBD33B1NL892998</t>
  </si>
  <si>
    <t>AE-875-IK</t>
  </si>
  <si>
    <t>YS23B266C051876</t>
  </si>
  <si>
    <t>8ANBD33B8ML889689</t>
  </si>
  <si>
    <t>AE-875-IP</t>
  </si>
  <si>
    <t>YS23B266C052511</t>
  </si>
  <si>
    <t>8ANBD33B9NL908297</t>
  </si>
  <si>
    <t>AE-875-IM</t>
  </si>
  <si>
    <t>YS23B266C052498</t>
  </si>
  <si>
    <t>8ANBD33BXNL908289</t>
  </si>
  <si>
    <t>AE-290-OT</t>
  </si>
  <si>
    <t>HILUX 4X2 D/C PACK DX 2,5 TDI</t>
  </si>
  <si>
    <t>2GD-G156129</t>
  </si>
  <si>
    <t>8AJDB3CD2L1302799</t>
  </si>
  <si>
    <t>AE-744-PP</t>
  </si>
  <si>
    <t>HILUX 4X4 C/D DX 2.4 TDI 6 M/T</t>
  </si>
  <si>
    <t>2GD-0711132</t>
  </si>
  <si>
    <t>8AJDB3CD7L1305018</t>
  </si>
  <si>
    <t>AE-744-PR</t>
  </si>
  <si>
    <t>2GD-G196216</t>
  </si>
  <si>
    <t>8AJDB3CD8M1305188</t>
  </si>
  <si>
    <t>AE-744-PT</t>
  </si>
  <si>
    <t>2GD-G196284</t>
  </si>
  <si>
    <t>8AJDB3CD8M1305191</t>
  </si>
  <si>
    <t>AE-290-OU</t>
  </si>
  <si>
    <t>2GD-0743967</t>
  </si>
  <si>
    <t>8AJDB3CD9L1301813</t>
  </si>
  <si>
    <t>AE-290-OV</t>
  </si>
  <si>
    <t>2GD-0753555</t>
  </si>
  <si>
    <t>8AJDB3CDXL1302145</t>
  </si>
  <si>
    <t>AE-744-PS</t>
  </si>
  <si>
    <t>2GD-0867167</t>
  </si>
  <si>
    <t>8AJDB3CDXL1305014</t>
  </si>
  <si>
    <t>AD-922-FA</t>
  </si>
  <si>
    <t>S-10 STD 4X2</t>
  </si>
  <si>
    <t>LWNF190981136</t>
  </si>
  <si>
    <t>9BG148CK0LC401712</t>
  </si>
  <si>
    <t>AD-922-FB</t>
  </si>
  <si>
    <t>LWNF190991037</t>
  </si>
  <si>
    <t>9BG148CK0LC401707</t>
  </si>
  <si>
    <t>AD-922-FC</t>
  </si>
  <si>
    <t>LWNF190981126</t>
  </si>
  <si>
    <t>9BG148CK0LC401677</t>
  </si>
  <si>
    <t>AD-922-FD</t>
  </si>
  <si>
    <t>LWNF190851068</t>
  </si>
  <si>
    <t>9BG148CK0LC400227</t>
  </si>
  <si>
    <t>AD-922-FE</t>
  </si>
  <si>
    <t>LWNF190981178</t>
  </si>
  <si>
    <t>9BG148CK0LC401661</t>
  </si>
  <si>
    <t>AD-922-FF</t>
  </si>
  <si>
    <t>LWNF190991016</t>
  </si>
  <si>
    <t>9BG148CK0LC401741</t>
  </si>
  <si>
    <t>AD-922-FG</t>
  </si>
  <si>
    <t>LWNF190981077</t>
  </si>
  <si>
    <t>9BG148CK0LC401672</t>
  </si>
  <si>
    <t>AD-922-FH</t>
  </si>
  <si>
    <t>LWNF190861066</t>
  </si>
  <si>
    <t>9BG148CK0LC400210</t>
  </si>
  <si>
    <t>AD-922-FI</t>
  </si>
  <si>
    <t>LWNF190981110</t>
  </si>
  <si>
    <t>9BG148CK0LC401737</t>
  </si>
  <si>
    <t>AD-922-FJ</t>
  </si>
  <si>
    <t>LWNF190851062</t>
  </si>
  <si>
    <t>9BG148CK0LC400218</t>
  </si>
  <si>
    <t>AD-922-FL</t>
  </si>
  <si>
    <t>LWNF190301017</t>
  </si>
  <si>
    <t>9BG148CK0LC400188</t>
  </si>
  <si>
    <t>AD-897-EZ</t>
  </si>
  <si>
    <t>LWNF190981139</t>
  </si>
  <si>
    <t>9BG148CK0LC401739</t>
  </si>
  <si>
    <t>AD-897-EY</t>
  </si>
  <si>
    <t>LWNF190991020</t>
  </si>
  <si>
    <t>9BG148CK0LC401749</t>
  </si>
  <si>
    <t>AD-939-YR</t>
  </si>
  <si>
    <t>HILUX 4X2</t>
  </si>
  <si>
    <t>2GD-C415935</t>
  </si>
  <si>
    <t>8AJCB8DDXK4002884</t>
  </si>
  <si>
    <t>PIO-409</t>
  </si>
  <si>
    <t>AMAROK 4X2 STARTLINE 2,0</t>
  </si>
  <si>
    <t>CNF059882</t>
  </si>
  <si>
    <t>8AWDD42H0GA003350</t>
  </si>
  <si>
    <t>PIO-406</t>
  </si>
  <si>
    <t>CNF059329</t>
  </si>
  <si>
    <t>8AWDD42H0GA003509</t>
  </si>
  <si>
    <t>BZY-790</t>
  </si>
  <si>
    <t>EXPLORER XLT TODO TERRENO</t>
  </si>
  <si>
    <t>A57945</t>
  </si>
  <si>
    <t>1FMZU34X9WUA57945</t>
  </si>
  <si>
    <t>PIO-393</t>
  </si>
  <si>
    <t>AMAROK 4X2 STARTLINE 2,2</t>
  </si>
  <si>
    <t>CNF057844</t>
  </si>
  <si>
    <t>8ADD42H5GA003392</t>
  </si>
  <si>
    <t>JKL 258</t>
  </si>
  <si>
    <t>RANGER DC 4X4</t>
  </si>
  <si>
    <t>L1A004476</t>
  </si>
  <si>
    <t>8AFER13P2BJ383598</t>
  </si>
  <si>
    <t>OYW-527</t>
  </si>
  <si>
    <t>2KD-A786575</t>
  </si>
  <si>
    <t>8AJER32G0F4057855</t>
  </si>
  <si>
    <t>OYW-528</t>
  </si>
  <si>
    <t>2KD-A786461</t>
  </si>
  <si>
    <t>PEG-687</t>
  </si>
  <si>
    <t>2KD-A839103</t>
  </si>
  <si>
    <t>8AJER32G0F4059587</t>
  </si>
  <si>
    <t>LJT-997</t>
  </si>
  <si>
    <t>2KD-5647509</t>
  </si>
  <si>
    <t>8AJER32G1C4041563</t>
  </si>
  <si>
    <t>PCN-063</t>
  </si>
  <si>
    <t>2KD-A824596</t>
  </si>
  <si>
    <t>8AJER32G2F4059204</t>
  </si>
  <si>
    <t>OYW-526</t>
  </si>
  <si>
    <t>2KD-A789175</t>
  </si>
  <si>
    <t>8AJER32G3F4057901</t>
  </si>
  <si>
    <t>LJU-007</t>
  </si>
  <si>
    <t>2KD-56522718</t>
  </si>
  <si>
    <t>8AJER32G4C4041640</t>
  </si>
  <si>
    <t>PHV-803</t>
  </si>
  <si>
    <t>2KD-A865632</t>
  </si>
  <si>
    <t>8AJER32G4F4061858</t>
  </si>
  <si>
    <t>LJT-998</t>
  </si>
  <si>
    <t>2KD-5640371</t>
  </si>
  <si>
    <t>8AJER32G5C4041467</t>
  </si>
  <si>
    <t>OYW-531</t>
  </si>
  <si>
    <t>2KD-A791057</t>
  </si>
  <si>
    <t>8AJER32G5F4057804</t>
  </si>
  <si>
    <t>PEB-293</t>
  </si>
  <si>
    <t>2KD-A835061</t>
  </si>
  <si>
    <t>8AJER32G5F4059567</t>
  </si>
  <si>
    <t>PCN-066</t>
  </si>
  <si>
    <t>2KD-A824560</t>
  </si>
  <si>
    <t>8AJER32G6F4059187</t>
  </si>
  <si>
    <t>NAY-252</t>
  </si>
  <si>
    <t>2KD-5961057</t>
  </si>
  <si>
    <t>8AJER32G7D4046008</t>
  </si>
  <si>
    <t>PBN-257</t>
  </si>
  <si>
    <t>2KD-A793557</t>
  </si>
  <si>
    <t>8AJER32G7F4057996</t>
  </si>
  <si>
    <t>OPG-744</t>
  </si>
  <si>
    <t>2KD-A661909</t>
  </si>
  <si>
    <t>8AJER32G8F4056002</t>
  </si>
  <si>
    <t>OYW-529</t>
  </si>
  <si>
    <t>2KD-A787182</t>
  </si>
  <si>
    <t>8AJER32G8F4057859</t>
  </si>
  <si>
    <t>OYW-530</t>
  </si>
  <si>
    <t>2KD-A790442</t>
  </si>
  <si>
    <t>8AJER32G8F4057909</t>
  </si>
  <si>
    <t>PCN-065</t>
  </si>
  <si>
    <t>2KD-A823692</t>
  </si>
  <si>
    <t>8AJER32G9F4059149</t>
  </si>
  <si>
    <t>PCN-064</t>
  </si>
  <si>
    <t>2KD-A824348</t>
  </si>
  <si>
    <t>8AJER32G9F4059183</t>
  </si>
  <si>
    <t>MBI-792</t>
  </si>
  <si>
    <t>HILUX 4X4 SR 3.0 TDI</t>
  </si>
  <si>
    <t>1KD-5868526</t>
  </si>
  <si>
    <t>8AJEZ32G0C1011634</t>
  </si>
  <si>
    <t>LZR-303</t>
  </si>
  <si>
    <t>1KD-5902347</t>
  </si>
  <si>
    <t>8AJEZ32G0D1011957</t>
  </si>
  <si>
    <t>LZR-304</t>
  </si>
  <si>
    <t>1KD-5898975</t>
  </si>
  <si>
    <t>8AJEZ32G1D1011904</t>
  </si>
  <si>
    <t>MBI-791</t>
  </si>
  <si>
    <t>1KD-5880749</t>
  </si>
  <si>
    <t>8AJEZ32G2C1011764</t>
  </si>
  <si>
    <t>LZR-306</t>
  </si>
  <si>
    <t>1KD-5933619</t>
  </si>
  <si>
    <t>8AJEZ32G3D1012116</t>
  </si>
  <si>
    <t>LZR-302</t>
  </si>
  <si>
    <t>1KD-5931120</t>
  </si>
  <si>
    <t>8AJEZ32G4D1012111</t>
  </si>
  <si>
    <t>OUL-117</t>
  </si>
  <si>
    <t>1KD-A7366258</t>
  </si>
  <si>
    <t>8AJEZ32G9F1017162</t>
  </si>
  <si>
    <t>LZR-308</t>
  </si>
  <si>
    <t>1KD-5900316</t>
  </si>
  <si>
    <t>8AJEZ32GXD1011920</t>
  </si>
  <si>
    <t>LZR-307</t>
  </si>
  <si>
    <t>1KD-5901442</t>
  </si>
  <si>
    <t>8AJEZ32GXD1011934</t>
  </si>
  <si>
    <t>MBI-790</t>
  </si>
  <si>
    <t>1KD-5932035</t>
  </si>
  <si>
    <t>8AJEZ32GXD1012114</t>
  </si>
  <si>
    <t>OZB-153</t>
  </si>
  <si>
    <t>2KD-A799562</t>
  </si>
  <si>
    <t>8AJFR22G7F4580272</t>
  </si>
  <si>
    <t>NQS-933</t>
  </si>
  <si>
    <t>2KD-A106134</t>
  </si>
  <si>
    <t>8AJFR22G9D4566063</t>
  </si>
  <si>
    <t>LJU-000</t>
  </si>
  <si>
    <t>1KD-5639625</t>
  </si>
  <si>
    <t>8AJFZ22G3C5020285</t>
  </si>
  <si>
    <t>LJU-002</t>
  </si>
  <si>
    <t>1KD-5640174</t>
  </si>
  <si>
    <t>8AJFZ22G6C5020300</t>
  </si>
  <si>
    <t>PIQ-561</t>
  </si>
  <si>
    <t>CNF058279</t>
  </si>
  <si>
    <t>8AWDD42H1GA003163</t>
  </si>
  <si>
    <t>PIO-395</t>
  </si>
  <si>
    <t>CNF059474</t>
  </si>
  <si>
    <t>8AWDD42H1GA003230</t>
  </si>
  <si>
    <t>PIQ-560</t>
  </si>
  <si>
    <t>CNF059830</t>
  </si>
  <si>
    <t>8AWDD42H1GA003356</t>
  </si>
  <si>
    <t>PIQ-571</t>
  </si>
  <si>
    <t>CNF059664</t>
  </si>
  <si>
    <t>8AWDD42H2GA003303</t>
  </si>
  <si>
    <t>PIQ-570</t>
  </si>
  <si>
    <t>CNF059715</t>
  </si>
  <si>
    <t>8AWDD42H2GA003317</t>
  </si>
  <si>
    <t>PIQ-543</t>
  </si>
  <si>
    <t>CNF059829</t>
  </si>
  <si>
    <t>8AWDD42H2GA003334</t>
  </si>
  <si>
    <t>PIO-397</t>
  </si>
  <si>
    <t>CNF060775</t>
  </si>
  <si>
    <t>8AWDD42H2GA007058</t>
  </si>
  <si>
    <t>PIQ-566</t>
  </si>
  <si>
    <t>CNF060190</t>
  </si>
  <si>
    <t>8AWDD42H2GA007691</t>
  </si>
  <si>
    <t>PIQ-541</t>
  </si>
  <si>
    <t>CNF059421</t>
  </si>
  <si>
    <t>8AWDD42H2GA008775</t>
  </si>
  <si>
    <t>PIO-390</t>
  </si>
  <si>
    <t>CNF059596</t>
  </si>
  <si>
    <t>8AWDD42H3GA002810</t>
  </si>
  <si>
    <t>PIO-400</t>
  </si>
  <si>
    <t>CNF59918</t>
  </si>
  <si>
    <t>8AWDD42H3GA009160</t>
  </si>
  <si>
    <t>PIQ-552</t>
  </si>
  <si>
    <t>CNF061032</t>
  </si>
  <si>
    <t>8AWDD42H3GA009224</t>
  </si>
  <si>
    <t>PIQ-559</t>
  </si>
  <si>
    <t>CNF060036</t>
  </si>
  <si>
    <t>8AWDD42H4GA003254</t>
  </si>
  <si>
    <t>PIQ-548</t>
  </si>
  <si>
    <t>CNF061376</t>
  </si>
  <si>
    <t>8AWDD42H4GA008812</t>
  </si>
  <si>
    <t>PIO-401</t>
  </si>
  <si>
    <t>CNF060074</t>
  </si>
  <si>
    <t>8AWDD42H4GA009085</t>
  </si>
  <si>
    <t>PIQ-546</t>
  </si>
  <si>
    <t>CNF059510</t>
  </si>
  <si>
    <t>8AWDD42H5GA002825</t>
  </si>
  <si>
    <t>PIO-396</t>
  </si>
  <si>
    <t>CNF057857</t>
  </si>
  <si>
    <t>8AWDD42H5GA0033361</t>
  </si>
  <si>
    <t>PIQ-542</t>
  </si>
  <si>
    <t>CNF060183</t>
  </si>
  <si>
    <t>8AWDD42H5GA007880</t>
  </si>
  <si>
    <t>PIQ-554</t>
  </si>
  <si>
    <t>CNF059296</t>
  </si>
  <si>
    <t>8AWDD42H6GA003014</t>
  </si>
  <si>
    <t>PIO-404</t>
  </si>
  <si>
    <t>CNF057850</t>
  </si>
  <si>
    <t>8AWDD42H6GA003367</t>
  </si>
  <si>
    <t>PIQ-563</t>
  </si>
  <si>
    <t>CNF059706</t>
  </si>
  <si>
    <t>8AWDD42H6GA003532</t>
  </si>
  <si>
    <t>PIQ-540</t>
  </si>
  <si>
    <t>CNF060489</t>
  </si>
  <si>
    <t>8AWDD42H6GA006642</t>
  </si>
  <si>
    <t>PIQ-553</t>
  </si>
  <si>
    <t>CNF060068</t>
  </si>
  <si>
    <t>8AWDD42H6GA008584</t>
  </si>
  <si>
    <t>PIO-405</t>
  </si>
  <si>
    <t>CNF058298</t>
  </si>
  <si>
    <t>8AWDD42H7GA003149</t>
  </si>
  <si>
    <t>PIO-402</t>
  </si>
  <si>
    <t>CNF059698</t>
  </si>
  <si>
    <t>8AWDD42H7GA003314</t>
  </si>
  <si>
    <t>PIO-392</t>
  </si>
  <si>
    <t>CNF059822</t>
  </si>
  <si>
    <t>8AWDD42H7GA003328</t>
  </si>
  <si>
    <t>PIO-403</t>
  </si>
  <si>
    <t>CNF059606</t>
  </si>
  <si>
    <t>8AWDD42H7GA003524</t>
  </si>
  <si>
    <t>PIO-419</t>
  </si>
  <si>
    <t>CNF060978</t>
  </si>
  <si>
    <t>8AWDD42H7GA007069</t>
  </si>
  <si>
    <t>PIQ-573</t>
  </si>
  <si>
    <t>CNF059340</t>
  </si>
  <si>
    <t>8AWDD42H8GA002883</t>
  </si>
  <si>
    <t>PIQ-556</t>
  </si>
  <si>
    <t>CNF060242</t>
  </si>
  <si>
    <t>8AWDD42H8GA003273</t>
  </si>
  <si>
    <t>PIO-399</t>
  </si>
  <si>
    <t>CNF059685</t>
  </si>
  <si>
    <t>8AWDD42H8GA003323</t>
  </si>
  <si>
    <t>PIQ-549</t>
  </si>
  <si>
    <t>CNF058381</t>
  </si>
  <si>
    <t>8AWDD42H8GA007050</t>
  </si>
  <si>
    <t>PIQ-576</t>
  </si>
  <si>
    <t>CNF060696</t>
  </si>
  <si>
    <t>8AWDD42H8GA007128</t>
  </si>
  <si>
    <t>PIQ-575</t>
  </si>
  <si>
    <t>CNF060279</t>
  </si>
  <si>
    <t>8AWDD42H8GA007176</t>
  </si>
  <si>
    <t>PIO-408</t>
  </si>
  <si>
    <t>CNF059508</t>
  </si>
  <si>
    <t>8AWDD42H9GA002844</t>
  </si>
  <si>
    <t>PIO-418</t>
  </si>
  <si>
    <t>8AWDD42H9GA003217</t>
  </si>
  <si>
    <t>PIO-417</t>
  </si>
  <si>
    <t>CNF060226</t>
  </si>
  <si>
    <t>8AWDD42H9GA003265</t>
  </si>
  <si>
    <t>PIQ-562</t>
  </si>
  <si>
    <t>CNF058137</t>
  </si>
  <si>
    <t>8AWDD42H9GA003458</t>
  </si>
  <si>
    <t>PIQ-557</t>
  </si>
  <si>
    <t>CNF060034</t>
  </si>
  <si>
    <t>8AWDD42HXGA003260</t>
  </si>
  <si>
    <t>PIQ-547</t>
  </si>
  <si>
    <t>CNF059663</t>
  </si>
  <si>
    <t>8AWDD42HXGA003288</t>
  </si>
  <si>
    <t>PIO-398</t>
  </si>
  <si>
    <t>CNF057854</t>
  </si>
  <si>
    <t>8AWDD42HXGA003369</t>
  </si>
  <si>
    <t>PIO-407</t>
  </si>
  <si>
    <t>CNF059334</t>
  </si>
  <si>
    <t>8AWDD42HXGA003484</t>
  </si>
  <si>
    <t>PIQ-567</t>
  </si>
  <si>
    <t>CNF060691</t>
  </si>
  <si>
    <t>8AWDD42HXGA007129</t>
  </si>
  <si>
    <t>FGD-109</t>
  </si>
  <si>
    <t>40704214298</t>
  </si>
  <si>
    <t>9BG138AC05C425603</t>
  </si>
  <si>
    <t>FGD-110</t>
  </si>
  <si>
    <t>40704214140</t>
  </si>
  <si>
    <t>9BG138AC05C425771</t>
  </si>
  <si>
    <t>JMY-239</t>
  </si>
  <si>
    <t>M1A375247</t>
  </si>
  <si>
    <t>9BG138AJ0BC424083</t>
  </si>
  <si>
    <t>JLU-987</t>
  </si>
  <si>
    <t>M1A379705</t>
  </si>
  <si>
    <t>9BG138AJ0BC431640</t>
  </si>
  <si>
    <t>FHM-882</t>
  </si>
  <si>
    <t>M1T239064</t>
  </si>
  <si>
    <t>9BG138BC06C406383</t>
  </si>
  <si>
    <t xml:space="preserve"> CUATRICICLOS </t>
  </si>
  <si>
    <t>CUATRICICLO</t>
  </si>
  <si>
    <t>046-DXP</t>
  </si>
  <si>
    <t>HONDA</t>
  </si>
  <si>
    <t>TRX 500</t>
  </si>
  <si>
    <t>TE31E-8310887</t>
  </si>
  <si>
    <t>1HFTE31U084300651</t>
  </si>
  <si>
    <t>047-DXP</t>
  </si>
  <si>
    <t>TE31E-8310850</t>
  </si>
  <si>
    <t>1HRTE31U884300655</t>
  </si>
  <si>
    <t xml:space="preserve"> MOTOCICLETAS </t>
  </si>
  <si>
    <t>MOTOCICLETA</t>
  </si>
  <si>
    <t>130-JGI</t>
  </si>
  <si>
    <t>XR125 L</t>
  </si>
  <si>
    <t>JC30E-6773126</t>
  </si>
  <si>
    <t>8CHJD19A6CL000775</t>
  </si>
  <si>
    <t>132-JGI</t>
  </si>
  <si>
    <t>JC30E-6774792</t>
  </si>
  <si>
    <t>8CHJD19A6CL001444</t>
  </si>
  <si>
    <t>131-JGI</t>
  </si>
  <si>
    <t>XR 125 L</t>
  </si>
  <si>
    <t>JC30E-6775258</t>
  </si>
  <si>
    <t>8CHJD19A6CL001488</t>
  </si>
  <si>
    <t>029-JHC</t>
  </si>
  <si>
    <t>JC30E-6773413</t>
  </si>
  <si>
    <t>8CHJD19A6DL001074</t>
  </si>
  <si>
    <t>025-JHC</t>
  </si>
  <si>
    <t>JC30E-6778051</t>
  </si>
  <si>
    <t>8CHJD19A6DL001172</t>
  </si>
  <si>
    <t>021-JHC</t>
  </si>
  <si>
    <t>JC30E-6778252</t>
  </si>
  <si>
    <t>8CHJD19A6DL001609</t>
  </si>
  <si>
    <t>028-JHC</t>
  </si>
  <si>
    <t>JC30E-6775813</t>
  </si>
  <si>
    <t>8CHJD19A6DL004550</t>
  </si>
  <si>
    <t>020-JHC</t>
  </si>
  <si>
    <t>JC30E-6782963</t>
  </si>
  <si>
    <t>8CHJD19A6DL004920</t>
  </si>
  <si>
    <t>030-JHC</t>
  </si>
  <si>
    <t>JC30E-6784828</t>
  </si>
  <si>
    <t>8CHJD19A6DL005108</t>
  </si>
  <si>
    <t>026-JHC</t>
  </si>
  <si>
    <t>JC30E-6784831</t>
  </si>
  <si>
    <t>8CHJD19A6DL005111</t>
  </si>
  <si>
    <t>027-JHC</t>
  </si>
  <si>
    <t>JC30E-6784066</t>
  </si>
  <si>
    <t>8CHJD19A6DL006469</t>
  </si>
  <si>
    <t>014-JHC</t>
  </si>
  <si>
    <t>JC30E-6784069</t>
  </si>
  <si>
    <t>8CHJD19A6DL006471</t>
  </si>
  <si>
    <t>830-JQR</t>
  </si>
  <si>
    <t>JD21E-2182883</t>
  </si>
  <si>
    <t>8CHJD19A6DL018394</t>
  </si>
  <si>
    <t>833-JQR</t>
  </si>
  <si>
    <t>JD21E-2182867</t>
  </si>
  <si>
    <t>8CHJD19A6DL018397</t>
  </si>
  <si>
    <t>848-JQR</t>
  </si>
  <si>
    <t>JD21E-2184277</t>
  </si>
  <si>
    <t>8CHJD19A6DL018964</t>
  </si>
  <si>
    <t>847-JQR</t>
  </si>
  <si>
    <t>JD21E-2184272</t>
  </si>
  <si>
    <t>8CHJD19A6DL018970</t>
  </si>
  <si>
    <t>852-JQR</t>
  </si>
  <si>
    <t>JD21E-2184287</t>
  </si>
  <si>
    <t>8CHJD19A6DL018972</t>
  </si>
  <si>
    <t>829-JQR</t>
  </si>
  <si>
    <t>JD21E-2184284</t>
  </si>
  <si>
    <t>8CHJD19A6DL018974</t>
  </si>
  <si>
    <t>828-JQR</t>
  </si>
  <si>
    <t>JD21E-2184283</t>
  </si>
  <si>
    <t>8CHJD19A6DL018975</t>
  </si>
  <si>
    <t>846-JQR</t>
  </si>
  <si>
    <t>JD21E-2184252</t>
  </si>
  <si>
    <t>8CHJD19A6DL018985</t>
  </si>
  <si>
    <t>850-JQR</t>
  </si>
  <si>
    <t>JD21E-2184256</t>
  </si>
  <si>
    <t>8CHJD19A6DL018988</t>
  </si>
  <si>
    <t>849-JQR</t>
  </si>
  <si>
    <t>JD21E-2184247</t>
  </si>
  <si>
    <t>8CHJD19A6DL018994</t>
  </si>
  <si>
    <t>854-JQR</t>
  </si>
  <si>
    <t>JD21E-2184264</t>
  </si>
  <si>
    <t>8CHJD19A6DL019002</t>
  </si>
  <si>
    <t>844-JQR</t>
  </si>
  <si>
    <t>JD21E-2184261</t>
  </si>
  <si>
    <t>8CHJD19A6DL019004</t>
  </si>
  <si>
    <t>843-JQR</t>
  </si>
  <si>
    <t>JD21E-2184239</t>
  </si>
  <si>
    <t>8CHJD19A6DL019009</t>
  </si>
  <si>
    <t>853-JQR</t>
  </si>
  <si>
    <t>JD21E-2184241</t>
  </si>
  <si>
    <t>8CHJD19A6DL019011</t>
  </si>
  <si>
    <t>845-JQR</t>
  </si>
  <si>
    <t>JD21E-2184242</t>
  </si>
  <si>
    <t>8CHJD19A6DL019012</t>
  </si>
  <si>
    <t>855-JQR</t>
  </si>
  <si>
    <t>JD21E-2184238</t>
  </si>
  <si>
    <t>8CHJD19A6DL019014</t>
  </si>
  <si>
    <t>230-KQC</t>
  </si>
  <si>
    <t>JD21E-2186003</t>
  </si>
  <si>
    <t>8CHJD19A6DL019026</t>
  </si>
  <si>
    <t>851-JQR</t>
  </si>
  <si>
    <t>JD21E-2185978</t>
  </si>
  <si>
    <t>8CHJD19A6DL019032</t>
  </si>
  <si>
    <t>856-JQR</t>
  </si>
  <si>
    <t>JD21E-2186010</t>
  </si>
  <si>
    <t>8CHJD19A6DL019034</t>
  </si>
  <si>
    <t>834-JQR</t>
  </si>
  <si>
    <t>JD21E-2185995</t>
  </si>
  <si>
    <t>8CHJD19A6DL019040</t>
  </si>
  <si>
    <t>835-JQR</t>
  </si>
  <si>
    <t>JD21E-2185993</t>
  </si>
  <si>
    <t>8CHJD19A6DL019042</t>
  </si>
  <si>
    <t>841-JQR</t>
  </si>
  <si>
    <t>JD21E-2186001</t>
  </si>
  <si>
    <t>8CHJD19A6DL019043</t>
  </si>
  <si>
    <t>842-JQR</t>
  </si>
  <si>
    <t>JD21E-2185997</t>
  </si>
  <si>
    <t>8CHJD19A6DL019046</t>
  </si>
  <si>
    <t>837-JQR</t>
  </si>
  <si>
    <t>JD21E-2186019</t>
  </si>
  <si>
    <t>8CHJD19A6DL019089</t>
  </si>
  <si>
    <t>836-JQR</t>
  </si>
  <si>
    <t>JD21E-2186012</t>
  </si>
  <si>
    <t>8CHJD19A6DL019090</t>
  </si>
  <si>
    <t>827-JQR</t>
  </si>
  <si>
    <t>JD21E-2186163</t>
  </si>
  <si>
    <t>8CHJD19A6DL019116</t>
  </si>
  <si>
    <t>831-JQR</t>
  </si>
  <si>
    <t>JD21E-2186102</t>
  </si>
  <si>
    <t>8CHJD19A6DL019189</t>
  </si>
  <si>
    <t>839-JQR</t>
  </si>
  <si>
    <t>JD21E-2186146</t>
  </si>
  <si>
    <t>8CHJD19A6DL019207</t>
  </si>
  <si>
    <t>840-JQR</t>
  </si>
  <si>
    <t>JD21E-2186140</t>
  </si>
  <si>
    <t>8CHJD19A6DL019213</t>
  </si>
  <si>
    <t>832-JQR</t>
  </si>
  <si>
    <t>JD21E-2186115</t>
  </si>
  <si>
    <t>8CHJD19A6DL019232</t>
  </si>
  <si>
    <t>838-JQR</t>
  </si>
  <si>
    <t>JD21E-2186219</t>
  </si>
  <si>
    <t>8CHJD19A6DL019234</t>
  </si>
  <si>
    <t>228-KQC</t>
  </si>
  <si>
    <t>JD21E-2193879</t>
  </si>
  <si>
    <t>8CHJD19A6EL002911</t>
  </si>
  <si>
    <t>229-KQC</t>
  </si>
  <si>
    <t>JD21E-2194282</t>
  </si>
  <si>
    <t>8CHJD19A6EL002918</t>
  </si>
  <si>
    <t>240-KQC</t>
  </si>
  <si>
    <t>JD21E-2194555</t>
  </si>
  <si>
    <t>8CHJD19A6EL003194</t>
  </si>
  <si>
    <t>246-KQC</t>
  </si>
  <si>
    <t>JD21E-2201634</t>
  </si>
  <si>
    <t>8CHJD19A6EL007756</t>
  </si>
  <si>
    <t>245-KQC</t>
  </si>
  <si>
    <t>JD21E-2203473</t>
  </si>
  <si>
    <t>8CHJD19A6EL009100</t>
  </si>
  <si>
    <t>244-KQC</t>
  </si>
  <si>
    <t>JD21E-2260377</t>
  </si>
  <si>
    <t>8CHJD19A6EL009485</t>
  </si>
  <si>
    <t>238-KQC</t>
  </si>
  <si>
    <t>JD21E-2260671</t>
  </si>
  <si>
    <t>8CHJD19A6EL010832</t>
  </si>
  <si>
    <t>236-KQC</t>
  </si>
  <si>
    <t>JD21E-2260668</t>
  </si>
  <si>
    <t>8CHJD19A6EL010834</t>
  </si>
  <si>
    <t>239-KQC</t>
  </si>
  <si>
    <t>JD21E-2260666</t>
  </si>
  <si>
    <t>8CHJD19A6EL010862</t>
  </si>
  <si>
    <t>243-KQC</t>
  </si>
  <si>
    <t>JD21E-2260637</t>
  </si>
  <si>
    <t>8CHJD19A6EL010885</t>
  </si>
  <si>
    <t>247-KQC</t>
  </si>
  <si>
    <t>JD21E-2260681</t>
  </si>
  <si>
    <t>8CHJD19A6EL010889</t>
  </si>
  <si>
    <t>233-KQC</t>
  </si>
  <si>
    <t>JD21E-2203236</t>
  </si>
  <si>
    <t>8CHJD19A6EL010895</t>
  </si>
  <si>
    <t>232-KQC</t>
  </si>
  <si>
    <t>JD21E-2263309</t>
  </si>
  <si>
    <t>8CHJD19A6EL012280</t>
  </si>
  <si>
    <t>226-KQC</t>
  </si>
  <si>
    <t>JD21E-2262997</t>
  </si>
  <si>
    <t>8CHJD19A6EL012356</t>
  </si>
  <si>
    <t>225-KQC</t>
  </si>
  <si>
    <t>JD21E-2263004</t>
  </si>
  <si>
    <t>8CHJD19A6EL012388</t>
  </si>
  <si>
    <t>241-KQC</t>
  </si>
  <si>
    <t>JD21E-2263576</t>
  </si>
  <si>
    <t>8CHJD19A6EL012437</t>
  </si>
  <si>
    <t>224-KQC</t>
  </si>
  <si>
    <t>JD21E-2263515</t>
  </si>
  <si>
    <t>8CHJD19A6EL012502</t>
  </si>
  <si>
    <t>234-KQC</t>
  </si>
  <si>
    <t>JD21E-2263513</t>
  </si>
  <si>
    <t>8CHJD19A6EL012509</t>
  </si>
  <si>
    <t>061-KVW</t>
  </si>
  <si>
    <t>JD21E-2263520</t>
  </si>
  <si>
    <t>8CHJD19A6EL012513</t>
  </si>
  <si>
    <t>055-KVW</t>
  </si>
  <si>
    <t>JD21E-2263754</t>
  </si>
  <si>
    <t>8CHJD19A6EL012537</t>
  </si>
  <si>
    <t>054-KVW</t>
  </si>
  <si>
    <t>JD21E-2263748</t>
  </si>
  <si>
    <t>8CHJD19A6EL012541</t>
  </si>
  <si>
    <t>052-KVW</t>
  </si>
  <si>
    <t>JD21E-2263705</t>
  </si>
  <si>
    <t>8CHJD19A6EL012569</t>
  </si>
  <si>
    <t>051-KVW</t>
  </si>
  <si>
    <t>JD21E-2263698</t>
  </si>
  <si>
    <t>8CHJD19A6EL012578</t>
  </si>
  <si>
    <t>049-KVW</t>
  </si>
  <si>
    <t>JD21E-2263759</t>
  </si>
  <si>
    <t>8CHJD19A6EL012604</t>
  </si>
  <si>
    <t>059-KVW</t>
  </si>
  <si>
    <t>JD21E-2263758</t>
  </si>
  <si>
    <t>8CHJD19A6EL012607</t>
  </si>
  <si>
    <t>056-KVW</t>
  </si>
  <si>
    <t>JD21E-2265483</t>
  </si>
  <si>
    <t>8CHJD19A6EL014195</t>
  </si>
  <si>
    <t>058-KVW</t>
  </si>
  <si>
    <t>JD21E-2265486</t>
  </si>
  <si>
    <t>8CHJD19A6EL014196</t>
  </si>
  <si>
    <t>057-KVW</t>
  </si>
  <si>
    <t>JD21E-2265873</t>
  </si>
  <si>
    <t>8CHJD19A6EL014201</t>
  </si>
  <si>
    <t>063-KVW</t>
  </si>
  <si>
    <t>JD21E-2265495</t>
  </si>
  <si>
    <t>8CHJD19A6EL014205</t>
  </si>
  <si>
    <t>064-KVW</t>
  </si>
  <si>
    <t>JD21E-2265497</t>
  </si>
  <si>
    <t>8CHJD19A6EL014206</t>
  </si>
  <si>
    <t>060-KVW</t>
  </si>
  <si>
    <t>JD21E-2265500</t>
  </si>
  <si>
    <t>8CHJD19A6EL014209</t>
  </si>
  <si>
    <t>062-KVW</t>
  </si>
  <si>
    <t>JD21E-2266328</t>
  </si>
  <si>
    <t>8CHJD19A6EL015243</t>
  </si>
  <si>
    <t>050-KVW</t>
  </si>
  <si>
    <t>JD21E-2266191</t>
  </si>
  <si>
    <t>8CHJD19A6EL015382</t>
  </si>
  <si>
    <t>A-036-ZSF</t>
  </si>
  <si>
    <t>XR 150 L</t>
  </si>
  <si>
    <t>KD07E-2258734</t>
  </si>
  <si>
    <t>8CHKD0900HP004087</t>
  </si>
  <si>
    <t>A-036-ZSH</t>
  </si>
  <si>
    <t>KD07E-2258931</t>
  </si>
  <si>
    <t>8CHKD0900HP004114</t>
  </si>
  <si>
    <t>A-036-ZSI</t>
  </si>
  <si>
    <t>KD07E-2258945</t>
  </si>
  <si>
    <t>8CHKD0900HP004122</t>
  </si>
  <si>
    <t>A-036-ZSJ</t>
  </si>
  <si>
    <t>KD07E-2258924</t>
  </si>
  <si>
    <t>8CHKD0900HP004125</t>
  </si>
  <si>
    <t>A-036-ZRW</t>
  </si>
  <si>
    <t>KD07E-2258949</t>
  </si>
  <si>
    <t>8CHKD0900HP004132</t>
  </si>
  <si>
    <t>A-036-ZRY</t>
  </si>
  <si>
    <t>KD07E-2258951</t>
  </si>
  <si>
    <t>8CHKD0900HP004133</t>
  </si>
  <si>
    <t>A-036-ZSA</t>
  </si>
  <si>
    <t>KD07E-2258940</t>
  </si>
  <si>
    <t>8CHKD0900HP004138</t>
  </si>
  <si>
    <t>A-036-ZRZ</t>
  </si>
  <si>
    <t>KD07E-2258986</t>
  </si>
  <si>
    <t>8CHKD0900HP004142</t>
  </si>
  <si>
    <t>A-036-ZRX</t>
  </si>
  <si>
    <t>KD07E-2258976</t>
  </si>
  <si>
    <t>8CHKD0900HP004144</t>
  </si>
  <si>
    <t>A-041-LNX</t>
  </si>
  <si>
    <t>KD07E-2258808</t>
  </si>
  <si>
    <t>8CHKD0900HP004164</t>
  </si>
  <si>
    <t>A-041-LNQ</t>
  </si>
  <si>
    <t>KD07E-2258799</t>
  </si>
  <si>
    <t>8CHKD0900HP004182</t>
  </si>
  <si>
    <t>A-041-LNZ</t>
  </si>
  <si>
    <t>KD07E-2258713</t>
  </si>
  <si>
    <t>8CHKD0900HP004198</t>
  </si>
  <si>
    <t>A-041-LNV</t>
  </si>
  <si>
    <t>KD07E-2258717</t>
  </si>
  <si>
    <t>8CHKD0900HP004200</t>
  </si>
  <si>
    <t>A-041-LNO</t>
  </si>
  <si>
    <t>KD07E-2258729</t>
  </si>
  <si>
    <t>8CHKD0900HP004208</t>
  </si>
  <si>
    <t>A-041-LNU</t>
  </si>
  <si>
    <t>KD07E-2258756</t>
  </si>
  <si>
    <t>8CHKD0900HP004216</t>
  </si>
  <si>
    <t>A-036-ZSE</t>
  </si>
  <si>
    <t>KD07E-2258732</t>
  </si>
  <si>
    <t>8CHKD0900HP004221</t>
  </si>
  <si>
    <t>A-036-ZSG</t>
  </si>
  <si>
    <t>KD07E-2258740</t>
  </si>
  <si>
    <t>8CHKD0900HP004224</t>
  </si>
  <si>
    <t>A-041-LNR</t>
  </si>
  <si>
    <t>KD07E-2258736</t>
  </si>
  <si>
    <t>8CHKD0900HP004225</t>
  </si>
  <si>
    <t>A-041-LNY</t>
  </si>
  <si>
    <t>KD07E-2258721</t>
  </si>
  <si>
    <t>8CHKD0900HP004230</t>
  </si>
  <si>
    <t>A-041-LNN</t>
  </si>
  <si>
    <t>KD07E-2258707</t>
  </si>
  <si>
    <t>8CHKD0900HP004231</t>
  </si>
  <si>
    <t>A-041-LNT</t>
  </si>
  <si>
    <t>KD07E-2258706</t>
  </si>
  <si>
    <t>8CHKD0900HP004233</t>
  </si>
  <si>
    <t>A-041-LOB</t>
  </si>
  <si>
    <t>KD07E-2259062</t>
  </si>
  <si>
    <t>8CHKD0900HP004234</t>
  </si>
  <si>
    <t>A-041-LNS</t>
  </si>
  <si>
    <t>KD07E-2259064</t>
  </si>
  <si>
    <t>8CHKD0900HP004235</t>
  </si>
  <si>
    <t>A-041-LNM</t>
  </si>
  <si>
    <t>KD07E-2258735</t>
  </si>
  <si>
    <t>8CHKD0900HP004237</t>
  </si>
  <si>
    <t>A-041-LNP</t>
  </si>
  <si>
    <t>KD07E-2259057</t>
  </si>
  <si>
    <t>8CHKD0900HP004239</t>
  </si>
  <si>
    <t>A-036-ZSD</t>
  </si>
  <si>
    <t>KD07E-2259056</t>
  </si>
  <si>
    <t>8CHKD0900HP004240</t>
  </si>
  <si>
    <t>A-041-LOA</t>
  </si>
  <si>
    <t>KD07E-2259073</t>
  </si>
  <si>
    <t>8CHKD0900HP004243</t>
  </si>
  <si>
    <t>A-036-ZSC</t>
  </si>
  <si>
    <t>KD07E-2259066</t>
  </si>
  <si>
    <t>8CHKD0900HP004245</t>
  </si>
  <si>
    <t>A-036-ZRV</t>
  </si>
  <si>
    <t>KD07E-2259067</t>
  </si>
  <si>
    <t>8CHKD0900HP004246</t>
  </si>
  <si>
    <t>A-036-ZSB</t>
  </si>
  <si>
    <t>KD07E-2259078</t>
  </si>
  <si>
    <t>8CHKD0900HP004248</t>
  </si>
  <si>
    <t>A-036-ZSK</t>
  </si>
  <si>
    <t>KD07E-2257741</t>
  </si>
  <si>
    <t>8CHKD0900HP004253</t>
  </si>
  <si>
    <t>A-041-LNW</t>
  </si>
  <si>
    <t>KD07E-2244374</t>
  </si>
  <si>
    <t>8CHKD0900HP005271</t>
  </si>
  <si>
    <t>A-074-JHV</t>
  </si>
  <si>
    <t>KD07E-2340600</t>
  </si>
  <si>
    <t>8CHKD0900JP005316</t>
  </si>
  <si>
    <t>A-074-JID</t>
  </si>
  <si>
    <t>KD07E-2344623</t>
  </si>
  <si>
    <t>8CHKD0900JP005408</t>
  </si>
  <si>
    <t>A-074-JIE</t>
  </si>
  <si>
    <t>KD07E-2344588</t>
  </si>
  <si>
    <t>8CHKD0900JP005703</t>
  </si>
  <si>
    <t>A-074-JHY</t>
  </si>
  <si>
    <t>KD07E-2344573</t>
  </si>
  <si>
    <t>8CHKD0900JP005706</t>
  </si>
  <si>
    <t>A-074-JHX</t>
  </si>
  <si>
    <t>KD07E-2344585</t>
  </si>
  <si>
    <t>8CHKD0900JP005718</t>
  </si>
  <si>
    <t>A-074-JHW</t>
  </si>
  <si>
    <t>KD07E-2341693</t>
  </si>
  <si>
    <t>8CHKD0900JP005749</t>
  </si>
  <si>
    <t>A-074-JHZ</t>
  </si>
  <si>
    <t>KD07E-2341700</t>
  </si>
  <si>
    <t>8CHKD0900JP005752</t>
  </si>
  <si>
    <t>A-074-JIC</t>
  </si>
  <si>
    <t>KD07E-2341556</t>
  </si>
  <si>
    <t>8CHKD0900JP005778</t>
  </si>
  <si>
    <t>A-074-JHU</t>
  </si>
  <si>
    <t>KD07E-2341569</t>
  </si>
  <si>
    <t>8CHKD0900JP005784</t>
  </si>
  <si>
    <t>A-080-LGC</t>
  </si>
  <si>
    <t>KD07E-2346617</t>
  </si>
  <si>
    <t>8CHKD0900JP007620</t>
  </si>
  <si>
    <t>A-081-ICF</t>
  </si>
  <si>
    <t>KD07E-2349331</t>
  </si>
  <si>
    <t>8CHKD0900JP008456</t>
  </si>
  <si>
    <t>A-081-ICB</t>
  </si>
  <si>
    <t>KD07E-2349359</t>
  </si>
  <si>
    <t>8CHKD0900JP008459</t>
  </si>
  <si>
    <t>A-080-LIZ</t>
  </si>
  <si>
    <t>KD07E-2351052</t>
  </si>
  <si>
    <t>8CHKD0900JP008465</t>
  </si>
  <si>
    <t>A-081-ICD</t>
  </si>
  <si>
    <t>KD07E-2351056</t>
  </si>
  <si>
    <t>8CHKD0900JP008472</t>
  </si>
  <si>
    <t>A-081-IEE</t>
  </si>
  <si>
    <t>KD07E-2351055</t>
  </si>
  <si>
    <t>8CHKD0900JP008476</t>
  </si>
  <si>
    <t>A-081-IEC</t>
  </si>
  <si>
    <t>KD07E-2350954</t>
  </si>
  <si>
    <t>8CHKD0900JP008503</t>
  </si>
  <si>
    <t>A-081-IDO</t>
  </si>
  <si>
    <t>KD07E-2349302</t>
  </si>
  <si>
    <t>8CHKD0900JP008517</t>
  </si>
  <si>
    <t>A-081-IEB</t>
  </si>
  <si>
    <t>KD07E-2349304</t>
  </si>
  <si>
    <t>8CHKD0900JP008522</t>
  </si>
  <si>
    <t>A-081-IDU</t>
  </si>
  <si>
    <t>KD07E-2349274</t>
  </si>
  <si>
    <t>8CHKD0900JP008528</t>
  </si>
  <si>
    <t>A-081-IDP</t>
  </si>
  <si>
    <t>KD07E-2349283</t>
  </si>
  <si>
    <t>8CHKD0900JP008529</t>
  </si>
  <si>
    <t>A-081-IDN</t>
  </si>
  <si>
    <t>KD07E-2349281</t>
  </si>
  <si>
    <t>8CHKD0900JP008530</t>
  </si>
  <si>
    <t>A-081-IDW</t>
  </si>
  <si>
    <t>KD07E-2349299</t>
  </si>
  <si>
    <t>8CHKD0900JP008532</t>
  </si>
  <si>
    <t>A-081-IDX</t>
  </si>
  <si>
    <t>KD07E-2349300</t>
  </si>
  <si>
    <t>8CHKD0900JP008533</t>
  </si>
  <si>
    <t>A-081-ICH</t>
  </si>
  <si>
    <t>KD07E-2349279</t>
  </si>
  <si>
    <t>8CHKD0900JP008538</t>
  </si>
  <si>
    <t>A-081-ICG</t>
  </si>
  <si>
    <t>KD07E-2349271</t>
  </si>
  <si>
    <t>8CHKD0900JP008541</t>
  </si>
  <si>
    <t>A-081-ICA</t>
  </si>
  <si>
    <t>KD07E-2349272</t>
  </si>
  <si>
    <t>8CHKD0900JP008542</t>
  </si>
  <si>
    <t>A-081-ICE</t>
  </si>
  <si>
    <t>KD07E-2349656</t>
  </si>
  <si>
    <t>8CHKD0900JP008546</t>
  </si>
  <si>
    <t>A-081-ICC</t>
  </si>
  <si>
    <t>KD07E-2349364</t>
  </si>
  <si>
    <t>8CHKD0900JP008549</t>
  </si>
  <si>
    <t>A-080-LIY</t>
  </si>
  <si>
    <t>KD07E-2349363</t>
  </si>
  <si>
    <t>8CHKD0900JP008550</t>
  </si>
  <si>
    <t>A-081-IDS</t>
  </si>
  <si>
    <t>KD07E-2349357</t>
  </si>
  <si>
    <t>8CHKD0900JP008553</t>
  </si>
  <si>
    <t>A-081-IEG</t>
  </si>
  <si>
    <t>KD07E-2349387</t>
  </si>
  <si>
    <t>8CHKD0900JP008555</t>
  </si>
  <si>
    <t>A-081-IDT</t>
  </si>
  <si>
    <t>KD07E-2349256</t>
  </si>
  <si>
    <t>8CHKD0900JP008584</t>
  </si>
  <si>
    <t>A-081-IDV</t>
  </si>
  <si>
    <t>KD07E-2349253</t>
  </si>
  <si>
    <t>8CHKD0900JP008586</t>
  </si>
  <si>
    <t>A-081-IDQ</t>
  </si>
  <si>
    <t>KD07E-2349238</t>
  </si>
  <si>
    <t>8CHKD0900JP008593</t>
  </si>
  <si>
    <t>A-081-IDY</t>
  </si>
  <si>
    <t>KD07E-2349236</t>
  </si>
  <si>
    <t>8CHKD0900JP008595</t>
  </si>
  <si>
    <t>A-081-IED</t>
  </si>
  <si>
    <t>KD07E-2349267</t>
  </si>
  <si>
    <t>8CHKD0900JP008599</t>
  </si>
  <si>
    <t>A-081-IEF</t>
  </si>
  <si>
    <t>KD07E-2349250</t>
  </si>
  <si>
    <t>8CHKD0900JP008606</t>
  </si>
  <si>
    <t>A-081-IDZ</t>
  </si>
  <si>
    <t>KD07E-2349301</t>
  </si>
  <si>
    <t>8CHKD0900JP008612</t>
  </si>
  <si>
    <t>A-081-IDR</t>
  </si>
  <si>
    <t>KD07E-2349397</t>
  </si>
  <si>
    <t>8CHKD0900JP008619</t>
  </si>
  <si>
    <t>A-081-IEA</t>
  </si>
  <si>
    <t>KD07E-2349398</t>
  </si>
  <si>
    <t>8CHKD0900JP008624</t>
  </si>
  <si>
    <t>A-094-CEF</t>
  </si>
  <si>
    <t>KD07E-2376465</t>
  </si>
  <si>
    <t>8CHKD0900KP004497</t>
  </si>
  <si>
    <t>A-094-CDT</t>
  </si>
  <si>
    <t>KD07E-2376493</t>
  </si>
  <si>
    <t>8CHKD0900KP004503</t>
  </si>
  <si>
    <t>A-094-CDY</t>
  </si>
  <si>
    <t>KD07E-2376330</t>
  </si>
  <si>
    <t>8CHKD0900KP004547</t>
  </si>
  <si>
    <t>A-094-CEI</t>
  </si>
  <si>
    <t>KD07E-2376323</t>
  </si>
  <si>
    <t>8CHKD0900KP004551</t>
  </si>
  <si>
    <t>A-094-CDZ</t>
  </si>
  <si>
    <t>KD07E-2376325</t>
  </si>
  <si>
    <t>8CHKD0900KP004559</t>
  </si>
  <si>
    <t>A-094-CEJ</t>
  </si>
  <si>
    <t>KD07E-2376332</t>
  </si>
  <si>
    <t>8CHKD0900KP004560</t>
  </si>
  <si>
    <t>A-094-CDV</t>
  </si>
  <si>
    <t>KD07E-2376534</t>
  </si>
  <si>
    <t>8CHKD0900KP004563</t>
  </si>
  <si>
    <t>A-094-CEH</t>
  </si>
  <si>
    <t>KD07E-2376539</t>
  </si>
  <si>
    <t>8CHKD0900KP004567</t>
  </si>
  <si>
    <t>A-094-CEE</t>
  </si>
  <si>
    <t>KD07E-2376541</t>
  </si>
  <si>
    <t>8CHKD0900KP004569</t>
  </si>
  <si>
    <t>A-094-CDU</t>
  </si>
  <si>
    <t>KD07E-2376535</t>
  </si>
  <si>
    <t>8CHKD0900KP004571</t>
  </si>
  <si>
    <t>A-094-CEG</t>
  </si>
  <si>
    <t>KD07E-2376537</t>
  </si>
  <si>
    <t>8CHKD0900KP004572</t>
  </si>
  <si>
    <t>A-094-CEB</t>
  </si>
  <si>
    <t>KD07E-2376563</t>
  </si>
  <si>
    <t>8CHKD0900KP004573</t>
  </si>
  <si>
    <t>A-094-CEA</t>
  </si>
  <si>
    <t>KD07E-2376561</t>
  </si>
  <si>
    <t>8CHKD0900KP004576</t>
  </si>
  <si>
    <t>A-094-CDQ</t>
  </si>
  <si>
    <t>KD07E-2376559</t>
  </si>
  <si>
    <t>8CHKD0900KP004579</t>
  </si>
  <si>
    <t>A-094-CDS</t>
  </si>
  <si>
    <t>KD07E-2376556</t>
  </si>
  <si>
    <t>8CHKD0900KP004583</t>
  </si>
  <si>
    <t>A-094-CDX</t>
  </si>
  <si>
    <t>KD07E-2376558</t>
  </si>
  <si>
    <t>8CHKD0900KP004585</t>
  </si>
  <si>
    <t>A-094-CDR</t>
  </si>
  <si>
    <t>KD07E-2376544</t>
  </si>
  <si>
    <t>8CHKD0900KP004586</t>
  </si>
  <si>
    <t>A-094-CDW</t>
  </si>
  <si>
    <t>KD07E-2376557</t>
  </si>
  <si>
    <t>8CHKD0900KP004588</t>
  </si>
  <si>
    <t>A-094-CEC</t>
  </si>
  <si>
    <t>KD07E-2376553</t>
  </si>
  <si>
    <t>8CHKD0900KP004590</t>
  </si>
  <si>
    <t>A-094-CED</t>
  </si>
  <si>
    <t>KD07E-2376315</t>
  </si>
  <si>
    <t>8CHKD0900KP004591</t>
  </si>
  <si>
    <t>A-080-LGD</t>
  </si>
  <si>
    <t>XR RALLY</t>
  </si>
  <si>
    <t>KD07E-2348091</t>
  </si>
  <si>
    <t>8CHKD0910JP002798</t>
  </si>
  <si>
    <t>A-080-LGB</t>
  </si>
  <si>
    <t>KD07E-2348134</t>
  </si>
  <si>
    <t>8CHKD0910JP002853</t>
  </si>
  <si>
    <t>240-JUM</t>
  </si>
  <si>
    <t>TWISTER 250cc</t>
  </si>
  <si>
    <t>MC35E - C306156</t>
  </si>
  <si>
    <t>8CHMC3500DP000912</t>
  </si>
  <si>
    <t>244-JUM</t>
  </si>
  <si>
    <t>MC35E - C306143</t>
  </si>
  <si>
    <t>8CHMC3500DP000914</t>
  </si>
  <si>
    <t>245-JUM</t>
  </si>
  <si>
    <t>MC35E - C306145</t>
  </si>
  <si>
    <t>8CHMC3500DP000918</t>
  </si>
  <si>
    <t>238-JUM</t>
  </si>
  <si>
    <t>MC35E - C306141</t>
  </si>
  <si>
    <t>8CHMC3500DP000922</t>
  </si>
  <si>
    <t>236-JUM</t>
  </si>
  <si>
    <t>MC35E - C306340</t>
  </si>
  <si>
    <t>8CHMC3500DP000935</t>
  </si>
  <si>
    <t>234-JUM</t>
  </si>
  <si>
    <t>MC35E - C306165</t>
  </si>
  <si>
    <t>8CHMC3500DP000947</t>
  </si>
  <si>
    <t>241-JUM</t>
  </si>
  <si>
    <t>MC35E - C306180</t>
  </si>
  <si>
    <t>8CHMC3500DP000948</t>
  </si>
  <si>
    <t>243-JUM</t>
  </si>
  <si>
    <t>XR 250 TORNADO</t>
  </si>
  <si>
    <t>MD34E-D700650</t>
  </si>
  <si>
    <t>8CHMD3400DL000752</t>
  </si>
  <si>
    <t>233-JUM</t>
  </si>
  <si>
    <t>MD34E-D700648</t>
  </si>
  <si>
    <t>8CHMD3400DL000760</t>
  </si>
  <si>
    <t>230-JUM</t>
  </si>
  <si>
    <t>MD34E-D70591</t>
  </si>
  <si>
    <t>8CHMD3400DL000783</t>
  </si>
  <si>
    <t>231-JUM</t>
  </si>
  <si>
    <t>MD34E-D702086</t>
  </si>
  <si>
    <t>8CHMD3400DL001532</t>
  </si>
  <si>
    <t>232-JUM</t>
  </si>
  <si>
    <t>MD34E-D702146</t>
  </si>
  <si>
    <t>8CHMD3400DL001673</t>
  </si>
  <si>
    <t>229-JUM</t>
  </si>
  <si>
    <t>MD34E-D701968</t>
  </si>
  <si>
    <t>8CHMD3400DL001689</t>
  </si>
  <si>
    <t>018-JHC</t>
  </si>
  <si>
    <t>MD34E-D703518</t>
  </si>
  <si>
    <t>8CHMD3400DL002899</t>
  </si>
  <si>
    <t>015-JHC</t>
  </si>
  <si>
    <t>MD34E-D703480</t>
  </si>
  <si>
    <t>8CHMD3400DL002966</t>
  </si>
  <si>
    <t>013-JHC</t>
  </si>
  <si>
    <t>MD34E-D703414</t>
  </si>
  <si>
    <t>8CHMD3400DL003025</t>
  </si>
  <si>
    <t>016-JHC</t>
  </si>
  <si>
    <t>MD34E-D703439</t>
  </si>
  <si>
    <t>8CHMD3400DL003027</t>
  </si>
  <si>
    <t>017-JHC</t>
  </si>
  <si>
    <t>MD34E-D703442</t>
  </si>
  <si>
    <t>8CHMD3400DL003029</t>
  </si>
  <si>
    <t>A-018-CUN</t>
  </si>
  <si>
    <t>MD34E-H85652</t>
  </si>
  <si>
    <t>8CHMD3400HP000409</t>
  </si>
  <si>
    <t>A-018-CVD</t>
  </si>
  <si>
    <t>MD34E-H850934</t>
  </si>
  <si>
    <t>8CHMD3400HP000642</t>
  </si>
  <si>
    <t>A-018-CUQ</t>
  </si>
  <si>
    <t>MD34E-H851140</t>
  </si>
  <si>
    <t>8CHMD3400HP000647</t>
  </si>
  <si>
    <t>A-018-CUP</t>
  </si>
  <si>
    <t>MD34E-H851249</t>
  </si>
  <si>
    <t>8CHMD3400HP000648</t>
  </si>
  <si>
    <t>A-018-CUM</t>
  </si>
  <si>
    <t>MD34E-H851481</t>
  </si>
  <si>
    <t>8CHMD3400HP000652</t>
  </si>
  <si>
    <t>A-018-CUL</t>
  </si>
  <si>
    <t>MD34E-H851478</t>
  </si>
  <si>
    <t>8CHMD3400HP000653</t>
  </si>
  <si>
    <t>A-018-CVB</t>
  </si>
  <si>
    <t>MD34E-H851488</t>
  </si>
  <si>
    <t>8CHMD3400HP000654</t>
  </si>
  <si>
    <t>A-018-CVE</t>
  </si>
  <si>
    <t>MD34E-H851489</t>
  </si>
  <si>
    <t>8CHMD3400HP000655</t>
  </si>
  <si>
    <t>A-018-CUZ</t>
  </si>
  <si>
    <t>MD34E-H851487</t>
  </si>
  <si>
    <t>8CHMD3400HP000656</t>
  </si>
  <si>
    <t>A-018-CVA</t>
  </si>
  <si>
    <t>MD34E-H851480</t>
  </si>
  <si>
    <t>8CHMD3400HP000657</t>
  </si>
  <si>
    <t>A-018-CUX</t>
  </si>
  <si>
    <t>MD34E-H851473</t>
  </si>
  <si>
    <t>8CHMD3400HP000658</t>
  </si>
  <si>
    <t>A-018-CUY</t>
  </si>
  <si>
    <t>MD34E-H851141</t>
  </si>
  <si>
    <t>8CHMD3400HP000659</t>
  </si>
  <si>
    <t>A-018-CUV</t>
  </si>
  <si>
    <t>MD34E-H851039</t>
  </si>
  <si>
    <t>8CHMD3400HP000662</t>
  </si>
  <si>
    <t>A-018-CUW</t>
  </si>
  <si>
    <t>MD34E-H850814</t>
  </si>
  <si>
    <t>8CHMD3400HP000663</t>
  </si>
  <si>
    <t>A-018-CUT</t>
  </si>
  <si>
    <t>MD34E-H851528</t>
  </si>
  <si>
    <t>8CHMD3400HP000666</t>
  </si>
  <si>
    <t>A-018-CUU</t>
  </si>
  <si>
    <t>MD34E-H851474</t>
  </si>
  <si>
    <t>8CHMD3400HP000667</t>
  </si>
  <si>
    <t>A-018-CUR</t>
  </si>
  <si>
    <t>MD34E-H851482</t>
  </si>
  <si>
    <t>8CHMD3400HP000668</t>
  </si>
  <si>
    <t>A-092-QNF</t>
  </si>
  <si>
    <t>MD34E-J007374</t>
  </si>
  <si>
    <t>8CHMD3410JP007103</t>
  </si>
  <si>
    <t>A-076-UCA</t>
  </si>
  <si>
    <t>MD34E-J016196</t>
  </si>
  <si>
    <t>8CHMD3410JP010898</t>
  </si>
  <si>
    <t>A-076-UBY</t>
  </si>
  <si>
    <t>MD34E-J015917</t>
  </si>
  <si>
    <t>8CHMD3410JP010902</t>
  </si>
  <si>
    <t>A-076-UCB</t>
  </si>
  <si>
    <t>MD34E-J016198</t>
  </si>
  <si>
    <t>8CHMD3410JP010912</t>
  </si>
  <si>
    <t>A-076-UBZ</t>
  </si>
  <si>
    <t>MD34E-J016174</t>
  </si>
  <si>
    <t>8CHMD3410JP010924</t>
  </si>
  <si>
    <t>A-093-FRC</t>
  </si>
  <si>
    <t>MD34E-J016317</t>
  </si>
  <si>
    <t>8CHMD3410JP011171</t>
  </si>
  <si>
    <t>A-151-JWB</t>
  </si>
  <si>
    <t>MD34E-N004032</t>
  </si>
  <si>
    <t>8CHMD3410NP003209</t>
  </si>
  <si>
    <t>A-151-JWC</t>
  </si>
  <si>
    <t>MD34E-N004033</t>
  </si>
  <si>
    <t>8CHMD3410NP003211</t>
  </si>
  <si>
    <t>A-151-JWH</t>
  </si>
  <si>
    <t>MD34E-N003964</t>
  </si>
  <si>
    <t>8CHMD3410NP003212</t>
  </si>
  <si>
    <t>A-151-JWE</t>
  </si>
  <si>
    <t>MD34E-N003998</t>
  </si>
  <si>
    <t>8CHMD3410NP003213</t>
  </si>
  <si>
    <t>A-151-JWD</t>
  </si>
  <si>
    <t>MD34E-N004014</t>
  </si>
  <si>
    <t>8CHMD3410NP003217</t>
  </si>
  <si>
    <t>134-JGI</t>
  </si>
  <si>
    <t>NX400 FALCON</t>
  </si>
  <si>
    <t>ND07E - C701265</t>
  </si>
  <si>
    <t>8CHND0700DP001030</t>
  </si>
  <si>
    <t>135-JGI</t>
  </si>
  <si>
    <t>ND07E - C701218</t>
  </si>
  <si>
    <t>8CHND0700DP001036</t>
  </si>
  <si>
    <t>133-JGI</t>
  </si>
  <si>
    <t>ND07E - C701238</t>
  </si>
  <si>
    <t>8CHND0700DP001044</t>
  </si>
  <si>
    <t>129-JGI</t>
  </si>
  <si>
    <t>ND07E - C701299</t>
  </si>
  <si>
    <t>8CHND0700DP001051</t>
  </si>
  <si>
    <t>745-LBV</t>
  </si>
  <si>
    <t>ND07E-E701456</t>
  </si>
  <si>
    <t>8CHND0710FL000568</t>
  </si>
  <si>
    <t>894-LET</t>
  </si>
  <si>
    <t>ND07E-E701962</t>
  </si>
  <si>
    <t>8CHND0710FL001373</t>
  </si>
  <si>
    <t>754-LBV</t>
  </si>
  <si>
    <t>CORVEN</t>
  </si>
  <si>
    <t>TRIAX 250cc</t>
  </si>
  <si>
    <t>ZS167FMM5F100148</t>
  </si>
  <si>
    <t>8CVJCPL01FA003494</t>
  </si>
  <si>
    <t>755-LBV</t>
  </si>
  <si>
    <t>ZS167FMM5F100226</t>
  </si>
  <si>
    <t>8CVJCPL01FA003513</t>
  </si>
  <si>
    <t>756-LBV</t>
  </si>
  <si>
    <t>ZS167FMM5F100220</t>
  </si>
  <si>
    <t>8CVJCPL02FA003486</t>
  </si>
  <si>
    <t>758-LBV</t>
  </si>
  <si>
    <t>ZS167FMM5F100261</t>
  </si>
  <si>
    <t>8CVJCPL02FA003519</t>
  </si>
  <si>
    <t>769-LBV</t>
  </si>
  <si>
    <t>ZS167FMM5F100218</t>
  </si>
  <si>
    <t>8CVJCPL03FA003495</t>
  </si>
  <si>
    <t>751-LBV</t>
  </si>
  <si>
    <t>ZS167FMM5F100155</t>
  </si>
  <si>
    <t>8CVJCPL03FA003500</t>
  </si>
  <si>
    <t>770-LBV</t>
  </si>
  <si>
    <t>ZS167FMM5F100247</t>
  </si>
  <si>
    <t>8CVJCPL03FA003514</t>
  </si>
  <si>
    <t>750-LBV</t>
  </si>
  <si>
    <t>ZS167FMM5F100173</t>
  </si>
  <si>
    <t>8CVJCPL04FA003490</t>
  </si>
  <si>
    <t>753-LBV</t>
  </si>
  <si>
    <t>ZS167FMM5F100219</t>
  </si>
  <si>
    <t>8CVJCPL04FA003506</t>
  </si>
  <si>
    <t>771-LBV</t>
  </si>
  <si>
    <t>ZS167FMM5F100208</t>
  </si>
  <si>
    <t>8CVJCPL05FA003479</t>
  </si>
  <si>
    <t>763-LBV</t>
  </si>
  <si>
    <t>ZS167FMM5F100225</t>
  </si>
  <si>
    <t>8CVJCPL05FA003496</t>
  </si>
  <si>
    <t>749-LBV</t>
  </si>
  <si>
    <t>ZS167FMM5F100215</t>
  </si>
  <si>
    <t>8CVJCPL05FA003501</t>
  </si>
  <si>
    <t>744-LBV</t>
  </si>
  <si>
    <t>ZS167FMM5F100156</t>
  </si>
  <si>
    <t>8CVJCPL05FA003515</t>
  </si>
  <si>
    <t>764-LBV</t>
  </si>
  <si>
    <t>ZS167FMM5F100180</t>
  </si>
  <si>
    <t>8CVJCPL06FA003491</t>
  </si>
  <si>
    <t>762-LBV</t>
  </si>
  <si>
    <t>ZS167FMM5F100194</t>
  </si>
  <si>
    <t>8CVJCPL06FA003510</t>
  </si>
  <si>
    <t>A-045-EUU</t>
  </si>
  <si>
    <t>Z5167FMM8F102045</t>
  </si>
  <si>
    <t>8CVJCPL06FA004513</t>
  </si>
  <si>
    <t>768-LBV</t>
  </si>
  <si>
    <t>ZS167FMM5F100150</t>
  </si>
  <si>
    <t>8CVJCPL07FA003502</t>
  </si>
  <si>
    <t>761-LBV</t>
  </si>
  <si>
    <t>ZS167FMM5F100177</t>
  </si>
  <si>
    <t>8CVJCPL08FA003489</t>
  </si>
  <si>
    <t>773-LBV</t>
  </si>
  <si>
    <t>ZS167FMM5F100273</t>
  </si>
  <si>
    <t>8CVJCPL08FA003511</t>
  </si>
  <si>
    <t>747-LBV</t>
  </si>
  <si>
    <t>ZS167FMM5F100181</t>
  </si>
  <si>
    <t>8CVJCPL08FA003516</t>
  </si>
  <si>
    <t>A-045-EUR</t>
  </si>
  <si>
    <t>Z5167FMM5F500020</t>
  </si>
  <si>
    <t>8CVJCPL08FA005307</t>
  </si>
  <si>
    <t>759-LBV</t>
  </si>
  <si>
    <t>ZS167FMM5F100216</t>
  </si>
  <si>
    <t>8CVJCPL09FA003484</t>
  </si>
  <si>
    <t>766-LBV</t>
  </si>
  <si>
    <t>ZS167FMM5F100205</t>
  </si>
  <si>
    <t>8CVJCPL09FA003498</t>
  </si>
  <si>
    <t>772-LBV</t>
  </si>
  <si>
    <t>ZS167FMM5F100240</t>
  </si>
  <si>
    <t>8CVJCPL0XFA003509</t>
  </si>
  <si>
    <t>A-045-EUS</t>
  </si>
  <si>
    <t>Z5167FMM5F600418</t>
  </si>
  <si>
    <t>8CVJCPL0XFA006250</t>
  </si>
  <si>
    <t>A-124-AWU</t>
  </si>
  <si>
    <t>GILERA</t>
  </si>
  <si>
    <t>SHAEL  150 L</t>
  </si>
  <si>
    <t>AD162FMJJ0071680</t>
  </si>
  <si>
    <t>8CXSAH150J0001991</t>
  </si>
  <si>
    <t>A-124-AWS</t>
  </si>
  <si>
    <t>AD162FMJJ0088218</t>
  </si>
  <si>
    <t>8CXSAH150K0003398</t>
  </si>
  <si>
    <t>A-111-SDV</t>
  </si>
  <si>
    <t>KELLER</t>
  </si>
  <si>
    <t>KN 150GY</t>
  </si>
  <si>
    <t>KN162FMJJ0006916</t>
  </si>
  <si>
    <t>8E75A4B18K0001089</t>
  </si>
  <si>
    <t>A-137-RBJ</t>
  </si>
  <si>
    <t>SMX 200</t>
  </si>
  <si>
    <t>AD163FMLK0008067</t>
  </si>
  <si>
    <t>8EGSMX200MNK02647</t>
  </si>
  <si>
    <t>A-137-RBF</t>
  </si>
  <si>
    <t>AD163FMLK0008049</t>
  </si>
  <si>
    <t>8EGSMX200MNK02656</t>
  </si>
  <si>
    <t>A-137-RAY</t>
  </si>
  <si>
    <t>AD163FMLK0008044</t>
  </si>
  <si>
    <t>8EGSMX200MNK02719</t>
  </si>
  <si>
    <t>A-137-RBB</t>
  </si>
  <si>
    <t>AD163FMLK0008071</t>
  </si>
  <si>
    <t>8EGSMX200MNK02723</t>
  </si>
  <si>
    <t>A-137-RBD</t>
  </si>
  <si>
    <t>AD163FMLK0008118</t>
  </si>
  <si>
    <t>8EGSMX200MNK02727</t>
  </si>
  <si>
    <t>A-137-RAZ</t>
  </si>
  <si>
    <t>AD163FMLK0008022</t>
  </si>
  <si>
    <t>8EGSMX200MNK02729</t>
  </si>
  <si>
    <t>A-137-RBE</t>
  </si>
  <si>
    <t>AD163FMLK0007984</t>
  </si>
  <si>
    <t>8EGSMX200MNK02733</t>
  </si>
  <si>
    <t>A-137-RBC</t>
  </si>
  <si>
    <t>AD163FMLK0008004</t>
  </si>
  <si>
    <t>8EGSMX200MNK02734</t>
  </si>
  <si>
    <t>A-134-PJW</t>
  </si>
  <si>
    <t>AD163FML*M0000070*</t>
  </si>
  <si>
    <t>8EGSMX200MNK02969</t>
  </si>
  <si>
    <t>A-134-PKF</t>
  </si>
  <si>
    <t>AD163FML*M0000049*</t>
  </si>
  <si>
    <t>8EGSMX200MNK02970</t>
  </si>
  <si>
    <t>A-134-PJU</t>
  </si>
  <si>
    <t>AD163FML*M0000144*</t>
  </si>
  <si>
    <t>8EGSMX200MNK02971</t>
  </si>
  <si>
    <t>A-134-PJY</t>
  </si>
  <si>
    <t>AD163FML*M0000094*</t>
  </si>
  <si>
    <t>8EGSMX200MNK02972</t>
  </si>
  <si>
    <t>A-137-RBI</t>
  </si>
  <si>
    <t>AD163FMLM0000066</t>
  </si>
  <si>
    <t>8EGSMX200MNK02973</t>
  </si>
  <si>
    <t>A-134-PKD</t>
  </si>
  <si>
    <t>AD163FML*M0000058*</t>
  </si>
  <si>
    <t>8EGSMX200MNK02974</t>
  </si>
  <si>
    <t>A-137-RBL</t>
  </si>
  <si>
    <t>AD163FMLM0000045</t>
  </si>
  <si>
    <t>8EGSMX200MNK02975</t>
  </si>
  <si>
    <t>A-137-RBG</t>
  </si>
  <si>
    <t>AD163FMLM0000001</t>
  </si>
  <si>
    <t>8EGSMX200MNK02976</t>
  </si>
  <si>
    <t>A-137-RBH</t>
  </si>
  <si>
    <t>AD163FMLM0000032</t>
  </si>
  <si>
    <t>8EGSMX200MNK02977</t>
  </si>
  <si>
    <t>A-137-RBA</t>
  </si>
  <si>
    <t>AD163FMLM0000105</t>
  </si>
  <si>
    <t>8EGSMX200MNK02979</t>
  </si>
  <si>
    <t>A-137-RBK</t>
  </si>
  <si>
    <t>AD163FMLM0000107</t>
  </si>
  <si>
    <t>8EGSMX200MNK02980</t>
  </si>
  <si>
    <t>A-134-PKE</t>
  </si>
  <si>
    <t>AD163FML*M0000134*</t>
  </si>
  <si>
    <t>8EGSMX200MNK02981</t>
  </si>
  <si>
    <t>A-134-PKB</t>
  </si>
  <si>
    <t>AD163FML*M0000038*</t>
  </si>
  <si>
    <t>8EGSMX200MNK02982</t>
  </si>
  <si>
    <t>A-134-PKC</t>
  </si>
  <si>
    <t>AD163FML*M0000041*</t>
  </si>
  <si>
    <t>8EGSMX200MNK02983</t>
  </si>
  <si>
    <t>A-134-PJZ</t>
  </si>
  <si>
    <t>AD163FML*M0000074*</t>
  </si>
  <si>
    <t>8EGSMX200MNK03022</t>
  </si>
  <si>
    <t>A-134-PKA</t>
  </si>
  <si>
    <t>AD163FML*M0000025*</t>
  </si>
  <si>
    <t>8EGSMX200MNK03023</t>
  </si>
  <si>
    <t>AD163FML*M0000146*</t>
  </si>
  <si>
    <t>8EGSMX200MNK03024</t>
  </si>
  <si>
    <t>A-134-PJV</t>
  </si>
  <si>
    <t>AD163FML*M0000065*</t>
  </si>
  <si>
    <t>8EGSMX200MNK03025</t>
  </si>
  <si>
    <t>A-134-PKH</t>
  </si>
  <si>
    <t>AD163FML*M0000084*</t>
  </si>
  <si>
    <t>8EGSMX200MNK03026</t>
  </si>
  <si>
    <t>A-134-PJX</t>
  </si>
  <si>
    <t>AD163FML*M0000101*</t>
  </si>
  <si>
    <t>8EGSMX200MNK03028</t>
  </si>
  <si>
    <t>A-140-REJ</t>
  </si>
  <si>
    <t>BENELLI</t>
  </si>
  <si>
    <t>TRK 502</t>
  </si>
  <si>
    <t>BJ269MR-A*08925065*</t>
  </si>
  <si>
    <t>8ELB09ANAMB008716</t>
  </si>
  <si>
    <t>A-140-REI</t>
  </si>
  <si>
    <t>BJ269MR-A*08935832*</t>
  </si>
  <si>
    <t>8ELB09ANAMB020048</t>
  </si>
  <si>
    <t>A-140-REK</t>
  </si>
  <si>
    <t>BJ269MR-A*08935806*</t>
  </si>
  <si>
    <t>8ELB09ANAMB020052</t>
  </si>
  <si>
    <t>A-140-REH</t>
  </si>
  <si>
    <t>BJ269MR-A*11504546*</t>
  </si>
  <si>
    <t>8ELB09ANAMB029437</t>
  </si>
  <si>
    <t>A-140-REL</t>
  </si>
  <si>
    <t>BJ269MR-A*08936136*</t>
  </si>
  <si>
    <t>8ELB09ANAMB034293</t>
  </si>
  <si>
    <t>A-155-QII</t>
  </si>
  <si>
    <t>MOTOMEL</t>
  </si>
  <si>
    <t>SKUA 200  DK200</t>
  </si>
  <si>
    <t>J006708</t>
  </si>
  <si>
    <t>8ELM65200JB006708</t>
  </si>
  <si>
    <t>A-155-QIH</t>
  </si>
  <si>
    <t>J006737</t>
  </si>
  <si>
    <t>8ELM65200JB006737</t>
  </si>
  <si>
    <t>893-CKL</t>
  </si>
  <si>
    <t>BIZ</t>
  </si>
  <si>
    <t>105 CC.</t>
  </si>
  <si>
    <t>HA07E-65001614</t>
  </si>
  <si>
    <t>9C2HA07605R001614</t>
  </si>
  <si>
    <t>889-CKL</t>
  </si>
  <si>
    <t>BROSS</t>
  </si>
  <si>
    <t>125 cc</t>
  </si>
  <si>
    <t>JC30E8-4502856</t>
  </si>
  <si>
    <t>9C2JD20104R502856</t>
  </si>
  <si>
    <t>888-CKL</t>
  </si>
  <si>
    <t>JC30E85500455</t>
  </si>
  <si>
    <t>9C2JD20105R500455</t>
  </si>
  <si>
    <t>407-DXP</t>
  </si>
  <si>
    <t>JC30E88505076</t>
  </si>
  <si>
    <t>9C2JD20108R505076</t>
  </si>
  <si>
    <t>410-DXP</t>
  </si>
  <si>
    <t>JC30E88505093</t>
  </si>
  <si>
    <t>9C2JD20108R505093</t>
  </si>
  <si>
    <t>403-DXP</t>
  </si>
  <si>
    <t>JC30E88505100</t>
  </si>
  <si>
    <t>9C2JD20108R505100</t>
  </si>
  <si>
    <t>149-GQR</t>
  </si>
  <si>
    <t>MC35E-A352652</t>
  </si>
  <si>
    <t>9C2MC3500AR352652</t>
  </si>
  <si>
    <t>353-GVD</t>
  </si>
  <si>
    <t>MC35E-B350869</t>
  </si>
  <si>
    <t>9C2MC3502BR350869</t>
  </si>
  <si>
    <t>362-GVD</t>
  </si>
  <si>
    <t>MC35E-B350872</t>
  </si>
  <si>
    <t>9C2MC3502BR350872</t>
  </si>
  <si>
    <t>358-GVD</t>
  </si>
  <si>
    <t>MC35E-B350937</t>
  </si>
  <si>
    <t>9C2MC3504BR350937</t>
  </si>
  <si>
    <t>151-GQR</t>
  </si>
  <si>
    <t>MC35E-A352647</t>
  </si>
  <si>
    <t>9C2MC3507AR352647</t>
  </si>
  <si>
    <t>197-GQR</t>
  </si>
  <si>
    <t>MC35E-A352650</t>
  </si>
  <si>
    <t>9C2MC3507AR352650</t>
  </si>
  <si>
    <t>364-GVD</t>
  </si>
  <si>
    <t>MC35E-B350897</t>
  </si>
  <si>
    <t>9C2MC3507BR350897</t>
  </si>
  <si>
    <t>195-GQR</t>
  </si>
  <si>
    <t>MC35E-A352665</t>
  </si>
  <si>
    <t>9C2MC3509AR352665</t>
  </si>
  <si>
    <t>188-GQR</t>
  </si>
  <si>
    <t>MC35E-A352481</t>
  </si>
  <si>
    <t>9C2MC350XAR352481</t>
  </si>
  <si>
    <t>878-DHP</t>
  </si>
  <si>
    <t>XR-200</t>
  </si>
  <si>
    <t>MD28E - 97202339</t>
  </si>
  <si>
    <t>9C2MD28907R202339</t>
  </si>
  <si>
    <t>880-DHP</t>
  </si>
  <si>
    <t>XL-200</t>
  </si>
  <si>
    <t>MD28E - 97202330</t>
  </si>
  <si>
    <t>9C2MD28947R202330</t>
  </si>
  <si>
    <t>889-DHP</t>
  </si>
  <si>
    <t>MD28E - 97202332</t>
  </si>
  <si>
    <t>9C2MD28987R202332</t>
  </si>
  <si>
    <t>572-CQT</t>
  </si>
  <si>
    <t>MD34E-5020142</t>
  </si>
  <si>
    <t>9C2MD34005R020142</t>
  </si>
  <si>
    <t>574-CQT</t>
  </si>
  <si>
    <t>MD34E-5020150</t>
  </si>
  <si>
    <t>9C2MD34005R020150</t>
  </si>
  <si>
    <t>573-CQT</t>
  </si>
  <si>
    <t>ME34E-5020153</t>
  </si>
  <si>
    <t>9C2MD34005R020153</t>
  </si>
  <si>
    <t>571-CQT</t>
  </si>
  <si>
    <t>MED34E-5020261</t>
  </si>
  <si>
    <t>9C2MD34005R020261</t>
  </si>
  <si>
    <t>575-CQT</t>
  </si>
  <si>
    <t>MD34E-5020152</t>
  </si>
  <si>
    <t>9C2MD34005R5020152</t>
  </si>
  <si>
    <t>568-CQT</t>
  </si>
  <si>
    <t>MD34E-5020159</t>
  </si>
  <si>
    <t>9C2MD34005R5020159</t>
  </si>
  <si>
    <t>537-CQT</t>
  </si>
  <si>
    <t>MD34E-5511627</t>
  </si>
  <si>
    <t>9C2MD34005R511627</t>
  </si>
  <si>
    <t>536-CQT</t>
  </si>
  <si>
    <t>MD34E-5511628</t>
  </si>
  <si>
    <t>9C2MD34005R511628</t>
  </si>
  <si>
    <t>538-CQT</t>
  </si>
  <si>
    <t>MD34E-5511629</t>
  </si>
  <si>
    <t>9C2MD34005R511629</t>
  </si>
  <si>
    <t>540-CQT</t>
  </si>
  <si>
    <t>MD34E-5511630</t>
  </si>
  <si>
    <t>9C2MD34005R511630</t>
  </si>
  <si>
    <t>543-CQT</t>
  </si>
  <si>
    <t>MD34E-5511631</t>
  </si>
  <si>
    <t>9C2MD34005R511631</t>
  </si>
  <si>
    <t>542-CQT</t>
  </si>
  <si>
    <t>MD34E-5511632</t>
  </si>
  <si>
    <t>9C2MD34005R511632</t>
  </si>
  <si>
    <t>541-CQT</t>
  </si>
  <si>
    <t>MD34E-5511633</t>
  </si>
  <si>
    <t>9C2MD34005R511633</t>
  </si>
  <si>
    <t>555-CQT</t>
  </si>
  <si>
    <t>MD34E-5511634</t>
  </si>
  <si>
    <t>9C2MD34005R511634</t>
  </si>
  <si>
    <t>557-CQT</t>
  </si>
  <si>
    <t>MD34E-5511754</t>
  </si>
  <si>
    <t>9C2MD34005R511754</t>
  </si>
  <si>
    <t>549-CQT</t>
  </si>
  <si>
    <t>MD34E-5511755</t>
  </si>
  <si>
    <t>9C2MD34005R511755</t>
  </si>
  <si>
    <t>548-CQT</t>
  </si>
  <si>
    <t>MD34E-5511756</t>
  </si>
  <si>
    <t>9C2MD34005R511756</t>
  </si>
  <si>
    <t>562-CQT</t>
  </si>
  <si>
    <t>MD34E-5511757</t>
  </si>
  <si>
    <t>9C2MD34005R511757</t>
  </si>
  <si>
    <t>561-CQT</t>
  </si>
  <si>
    <t>MD34E-5511758</t>
  </si>
  <si>
    <t>9C2MD34005R511758</t>
  </si>
  <si>
    <t>044-DXP</t>
  </si>
  <si>
    <t>MD34E-8510323</t>
  </si>
  <si>
    <t>9C2MD34008R510323</t>
  </si>
  <si>
    <t>043-DXP</t>
  </si>
  <si>
    <t>MD34E-8510328</t>
  </si>
  <si>
    <t>9C2MD34008R510328</t>
  </si>
  <si>
    <t>045-DXP</t>
  </si>
  <si>
    <t>MD34E-8510331</t>
  </si>
  <si>
    <t>9C2MD34008R510331</t>
  </si>
  <si>
    <t>042-DXP</t>
  </si>
  <si>
    <t>MD34E-8510359</t>
  </si>
  <si>
    <t>9C2MD34008R510359</t>
  </si>
  <si>
    <t>434-DXP</t>
  </si>
  <si>
    <t>MD34E-8512448</t>
  </si>
  <si>
    <t>9C2MD34008R512448</t>
  </si>
  <si>
    <t>435-DXP</t>
  </si>
  <si>
    <t>MD34E-8512475</t>
  </si>
  <si>
    <t>9C2MD34008R512475</t>
  </si>
  <si>
    <t>403-GPQ</t>
  </si>
  <si>
    <t>MD34E-A515038</t>
  </si>
  <si>
    <t>9C2MD3400AR515038</t>
  </si>
  <si>
    <t>404-GPQ</t>
  </si>
  <si>
    <t>MD34E-A515066</t>
  </si>
  <si>
    <t>9C2MD3400AR515066</t>
  </si>
  <si>
    <t>198-GQR</t>
  </si>
  <si>
    <t>MD34E-A516339</t>
  </si>
  <si>
    <t>9C2MD3400AR516339</t>
  </si>
  <si>
    <t>186-GQR</t>
  </si>
  <si>
    <t>MD34E-A516348</t>
  </si>
  <si>
    <t>9C2MD3400AR516348</t>
  </si>
  <si>
    <t>189-GQR</t>
  </si>
  <si>
    <t>MD34E-A516358</t>
  </si>
  <si>
    <t>9C2MD3400AR516358</t>
  </si>
  <si>
    <t>178-GQR</t>
  </si>
  <si>
    <t>MD34E-A516364</t>
  </si>
  <si>
    <t>9C2MD3400AR516364</t>
  </si>
  <si>
    <t>176-GQR</t>
  </si>
  <si>
    <t>MD34E-A516392</t>
  </si>
  <si>
    <t>9C2MD3400AR516392</t>
  </si>
  <si>
    <t>179-GQR</t>
  </si>
  <si>
    <t>MD34E-A516396</t>
  </si>
  <si>
    <t>9C2MD3400AR516396</t>
  </si>
  <si>
    <t>196-GQR</t>
  </si>
  <si>
    <t>MD34E-A516419</t>
  </si>
  <si>
    <t>9C2MD3400AR516419</t>
  </si>
  <si>
    <t>156-GUC</t>
  </si>
  <si>
    <t>MD34E-B510935</t>
  </si>
  <si>
    <t>9C2MD3400BR10935</t>
  </si>
  <si>
    <t>169-GUC</t>
  </si>
  <si>
    <t>MD34E-B510491</t>
  </si>
  <si>
    <t>9C2MD3400BR510491</t>
  </si>
  <si>
    <t>157-GUC</t>
  </si>
  <si>
    <t>MD34E-B510739</t>
  </si>
  <si>
    <t>9C2MD3400BR510739</t>
  </si>
  <si>
    <t>171-GUC</t>
  </si>
  <si>
    <t>MD34E-B510755</t>
  </si>
  <si>
    <t>9C2MD3400BR510755</t>
  </si>
  <si>
    <t>168-GUC</t>
  </si>
  <si>
    <t>MD34E-B510790</t>
  </si>
  <si>
    <t>9C2MD3400BR510790</t>
  </si>
  <si>
    <t>154-GUC</t>
  </si>
  <si>
    <t>MD34E-B510906</t>
  </si>
  <si>
    <t>9C2MD3400BR510906</t>
  </si>
  <si>
    <t>167-GUC</t>
  </si>
  <si>
    <t>MD34E-B510991</t>
  </si>
  <si>
    <t>9C2MD3400BR510991</t>
  </si>
  <si>
    <t>170-GUC</t>
  </si>
  <si>
    <t>MD34E-B511027</t>
  </si>
  <si>
    <t>9C2MD3400BR511027</t>
  </si>
  <si>
    <t>153-GUC</t>
  </si>
  <si>
    <t>MD34E-B511030</t>
  </si>
  <si>
    <t>9C2MD3400BR511030</t>
  </si>
  <si>
    <t>158-GUC</t>
  </si>
  <si>
    <t>MD34E-B511036</t>
  </si>
  <si>
    <t>9C2MD3400BR511036</t>
  </si>
  <si>
    <t>A-124-AWJ</t>
  </si>
  <si>
    <t>YAMAHA</t>
  </si>
  <si>
    <t>XTZ250ABS</t>
  </si>
  <si>
    <t>G3F2E-021129</t>
  </si>
  <si>
    <t>9C6DG2920L0000171</t>
  </si>
  <si>
    <t>A-124-OPY</t>
  </si>
  <si>
    <t>G3F2E-021262</t>
  </si>
  <si>
    <t>9C6DG2920L0000400</t>
  </si>
  <si>
    <t>A-124-AWH</t>
  </si>
  <si>
    <t>G3F2E-021264</t>
  </si>
  <si>
    <t>9C6DG2921L0000373</t>
  </si>
  <si>
    <t>A-124-OPL</t>
  </si>
  <si>
    <t>G3F2E-021741</t>
  </si>
  <si>
    <t>9C6DG2921L0000597</t>
  </si>
  <si>
    <t>A-124-OPV</t>
  </si>
  <si>
    <t>G3F2E-021111</t>
  </si>
  <si>
    <t>9C6DG2922L0000172</t>
  </si>
  <si>
    <t>A-124-OPR</t>
  </si>
  <si>
    <t>G3F2E-021133</t>
  </si>
  <si>
    <t>9C6DG2922L0000186</t>
  </si>
  <si>
    <t>A-124-OPJ</t>
  </si>
  <si>
    <t>G3F2E-021544</t>
  </si>
  <si>
    <t>9C6DG2922L0000494</t>
  </si>
  <si>
    <t>A-124-OPT</t>
  </si>
  <si>
    <t>G3F2E-021125</t>
  </si>
  <si>
    <t>9C6DG2923L0000178</t>
  </si>
  <si>
    <t>A-124-OPQ</t>
  </si>
  <si>
    <t>G3F2E-021104</t>
  </si>
  <si>
    <t>9C6DG2923L0000200</t>
  </si>
  <si>
    <t>A-124-AWL</t>
  </si>
  <si>
    <t>G3F2E-021257</t>
  </si>
  <si>
    <t>9C6DG2924L0000397</t>
  </si>
  <si>
    <t>A-124-AWO</t>
  </si>
  <si>
    <t>G3F2E-021548</t>
  </si>
  <si>
    <t>9C6DG2924L0000495</t>
  </si>
  <si>
    <t>A-124-OPU</t>
  </si>
  <si>
    <t>G3F2E-021542</t>
  </si>
  <si>
    <t>9C6DG2924L0000500</t>
  </si>
  <si>
    <t>A-124-OPM</t>
  </si>
  <si>
    <t>G3F2E-021139</t>
  </si>
  <si>
    <t>9C6DG2925L0000179</t>
  </si>
  <si>
    <t>A-124-OPN</t>
  </si>
  <si>
    <t>G3F2E-021345</t>
  </si>
  <si>
    <t>9C6DG2925L0000389</t>
  </si>
  <si>
    <t>A-124-OPW</t>
  </si>
  <si>
    <t>G3F2E-021543</t>
  </si>
  <si>
    <t>9C6DG2925L0000487</t>
  </si>
  <si>
    <t>A-124-OPS</t>
  </si>
  <si>
    <t>G3F2E-021146</t>
  </si>
  <si>
    <t>9C6DG2926L0000188</t>
  </si>
  <si>
    <t>A-124-AWG</t>
  </si>
  <si>
    <t>G3F2E-021258</t>
  </si>
  <si>
    <t>9C6DG2926L0000398</t>
  </si>
  <si>
    <t>A-124-AWN</t>
  </si>
  <si>
    <t>G3F2E-021550</t>
  </si>
  <si>
    <t>9C6DG2926L0000482</t>
  </si>
  <si>
    <t>A-124-OPP</t>
  </si>
  <si>
    <t>G3F2E-021546</t>
  </si>
  <si>
    <t>9C6DG2926L0000496</t>
  </si>
  <si>
    <t>A-124-AWP</t>
  </si>
  <si>
    <t>G3F2E-021750</t>
  </si>
  <si>
    <t>9C6DG2927L0000586</t>
  </si>
  <si>
    <t>A-124-AWQ</t>
  </si>
  <si>
    <t>G3F2E-021148</t>
  </si>
  <si>
    <t>9C6DG2928L0000189</t>
  </si>
  <si>
    <t>A-124-AWK</t>
  </si>
  <si>
    <t>G3F2E-021547</t>
  </si>
  <si>
    <t>9C6DG2928L0000483</t>
  </si>
  <si>
    <t>A-124-OPX</t>
  </si>
  <si>
    <t>G3F2E-021536</t>
  </si>
  <si>
    <t>9C6DG2928L0000497</t>
  </si>
  <si>
    <t>A-124-OQA</t>
  </si>
  <si>
    <t>G3F2E-021737</t>
  </si>
  <si>
    <t>9C6DG2928L0000581</t>
  </si>
  <si>
    <t>A-124-OQB</t>
  </si>
  <si>
    <t>G3F2E-021738</t>
  </si>
  <si>
    <t>9C6DG2928L0000595</t>
  </si>
  <si>
    <t>A-124-AWI</t>
  </si>
  <si>
    <t>G3F2E-021135</t>
  </si>
  <si>
    <t>9C6DG2929L0000184</t>
  </si>
  <si>
    <t>A-124-AWM</t>
  </si>
  <si>
    <t>G3F2E-021527</t>
  </si>
  <si>
    <t>9C6DG2929L0000492</t>
  </si>
  <si>
    <t>A-124-OPK</t>
  </si>
  <si>
    <t>G3F2E-021733</t>
  </si>
  <si>
    <t>9C6DG2929L0000587</t>
  </si>
  <si>
    <t>A-124-OPZ</t>
  </si>
  <si>
    <t>G3F2E-021147</t>
  </si>
  <si>
    <t>9C6DG292XL0000193</t>
  </si>
  <si>
    <t>A-124-OPO</t>
  </si>
  <si>
    <t>G3F2E-021538</t>
  </si>
  <si>
    <t>9C6DG292XL0000498</t>
  </si>
  <si>
    <t>022-JHC</t>
  </si>
  <si>
    <t>JC30E-6704001</t>
  </si>
  <si>
    <t>LTMJD19A0C5318495</t>
  </si>
  <si>
    <t>024-JHC</t>
  </si>
  <si>
    <t>JC30E-6701486</t>
  </si>
  <si>
    <t>LTMJD19A2C5316425</t>
  </si>
  <si>
    <t>069-JHC</t>
  </si>
  <si>
    <t>JC30E-6701555</t>
  </si>
  <si>
    <t>LTMJD19A2C5316540</t>
  </si>
  <si>
    <t>023-JHC</t>
  </si>
  <si>
    <t>JC30E-6704078</t>
  </si>
  <si>
    <t>LTMJD19A8C5318552</t>
  </si>
  <si>
    <t>019-JHC</t>
  </si>
  <si>
    <t>JC30E-6701566</t>
  </si>
  <si>
    <t>LTMJD19A9C5316549</t>
  </si>
  <si>
    <t>031-JHC</t>
  </si>
  <si>
    <t>JC30E-6704076</t>
  </si>
  <si>
    <t>LTMJD19AXC5318584</t>
  </si>
  <si>
    <t>884-DHP</t>
  </si>
  <si>
    <t>WAVE CD NF-100</t>
  </si>
  <si>
    <t>SDH150FMG-275065478</t>
  </si>
  <si>
    <t>LTMPCGB2075063291</t>
  </si>
  <si>
    <t>882-DHP</t>
  </si>
  <si>
    <t>SDH150FMG-275065475</t>
  </si>
  <si>
    <t>LTMPCGB2675063280</t>
  </si>
  <si>
    <t>543-LBV</t>
  </si>
  <si>
    <t>TRIAX 150cc</t>
  </si>
  <si>
    <t>ZS162FMJ-8F105282</t>
  </si>
  <si>
    <t>LZSJCKLC0F5003326</t>
  </si>
  <si>
    <t>545-LBV</t>
  </si>
  <si>
    <t>ZS162FMJ-8F105138</t>
  </si>
  <si>
    <t>LZSJCKLC3F5003255</t>
  </si>
  <si>
    <t>542-LBV</t>
  </si>
  <si>
    <t>ZS162FMJ-8F105291</t>
  </si>
  <si>
    <t>LZSJCKLC4F5003281</t>
  </si>
  <si>
    <t>546-LBV</t>
  </si>
  <si>
    <t>ZS162FMJ-8F105277</t>
  </si>
  <si>
    <t>LZSJCKLC9F5003261</t>
  </si>
  <si>
    <t>105-QAW</t>
  </si>
  <si>
    <t>ME0535816498</t>
  </si>
  <si>
    <t>ME05-6600099</t>
  </si>
  <si>
    <t>470-DEL</t>
  </si>
  <si>
    <t>TRANSALP</t>
  </si>
  <si>
    <t>XL-600</t>
  </si>
  <si>
    <t>PDO6E4100327</t>
  </si>
  <si>
    <t>ZDCPD10A0WF109353</t>
  </si>
  <si>
    <t>473-DEL</t>
  </si>
  <si>
    <t>PDO6E4100377</t>
  </si>
  <si>
    <t>ZDCPD10A0WF109355</t>
  </si>
  <si>
    <t>468-DEL</t>
  </si>
  <si>
    <t>PDO6E4100380</t>
  </si>
  <si>
    <t>ZDCPD10A0WF109358</t>
  </si>
  <si>
    <t>2.4.4-6818.744</t>
  </si>
  <si>
    <t>NEUMATICOS; VEHICULO: CAMIONETA, CONSTRUCCION: RADIAL, ARMADO: S/CAMARA, MEDIDA: 225/70 R17</t>
  </si>
  <si>
    <r>
      <t xml:space="preserve">Que Cumpla con lo Solicitado de Forma Integra. </t>
    </r>
    <r>
      <rPr>
        <b/>
        <sz val="10"/>
        <rFont val="Century Gothic"/>
        <family val="2"/>
      </rPr>
      <t>Los neumáticos deberan ser de fabricación 2021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</si>
  <si>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</t>
    </r>
    <r>
      <rPr>
        <b/>
        <sz val="10"/>
        <rFont val="Century Gothic"/>
        <family val="2"/>
      </rPr>
      <t xml:space="preserve"> </t>
    </r>
    <r>
      <rPr>
        <b/>
        <i/>
        <sz val="10"/>
        <rFont val="Century Gothic"/>
        <family val="2"/>
      </rPr>
      <t>Las entregas se realizarán a requerimiento de acuerdo, a las Solicitudes de Provisión que se realicen. Se estima emitir una cantidad aproximada de 2 (DOS) Solicitudes de Provisión  de la cantidad solicitada, en un plazo de 2 (Dos) meses: 1° Solic.de Provisión: aprox.a los 2 (Dos) dias hábiles de la firma del instrumento contractual. 2° Solic.de Provisión: Aprox.  a los 30 días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</t>
    </r>
    <r>
      <rPr>
        <b/>
        <sz val="10"/>
        <rFont val="Century Gothic"/>
        <family val="2"/>
      </rPr>
      <t xml:space="preserve">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</si>
</sst>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0C0C0"/>
        <bgColor rgb="FFC0C0C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8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215">
    <xf numFmtId="0" fontId="0" fillId="0" borderId="0" xfId="0"/>
    <xf numFmtId="0" fontId="9" fillId="4" borderId="0" xfId="0" applyFont="1" applyFill="1"/>
    <xf numFmtId="0" fontId="13" fillId="4" borderId="0" xfId="0" applyFont="1" applyFill="1" applyAlignment="1">
      <alignment horizontal="left" wrapText="1"/>
    </xf>
    <xf numFmtId="0" fontId="13" fillId="4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 indent="1"/>
    </xf>
    <xf numFmtId="0" fontId="14" fillId="4" borderId="0" xfId="0" applyFont="1" applyFill="1" applyAlignment="1">
      <alignment horizontal="left" wrapText="1"/>
    </xf>
    <xf numFmtId="0" fontId="14" fillId="4" borderId="2" xfId="0" applyFont="1" applyFill="1" applyBorder="1" applyAlignment="1">
      <alignment horizontal="center" vertical="center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/>
    <xf numFmtId="0" fontId="15" fillId="5" borderId="0" xfId="0" applyFont="1" applyFill="1" applyBorder="1" applyAlignment="1">
      <alignment vertical="center"/>
    </xf>
    <xf numFmtId="167" fontId="9" fillId="5" borderId="0" xfId="0" applyNumberFormat="1" applyFont="1" applyFill="1" applyBorder="1"/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6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6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left" vertical="center"/>
    </xf>
    <xf numFmtId="0" fontId="9" fillId="3" borderId="4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9" fillId="4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44" fontId="9" fillId="7" borderId="7" xfId="1" applyNumberFormat="1" applyFont="1" applyFill="1" applyBorder="1" applyAlignment="1">
      <alignment horizontal="center" vertical="center"/>
    </xf>
    <xf numFmtId="3" fontId="9" fillId="7" borderId="7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 wrapText="1"/>
    </xf>
    <xf numFmtId="44" fontId="9" fillId="7" borderId="41" xfId="1" applyNumberFormat="1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/>
    <xf numFmtId="168" fontId="9" fillId="7" borderId="0" xfId="0" applyNumberFormat="1" applyFont="1" applyFill="1" applyBorder="1" applyAlignment="1">
      <alignment horizontal="left"/>
    </xf>
    <xf numFmtId="0" fontId="9" fillId="7" borderId="0" xfId="0" applyFont="1" applyFill="1" applyBorder="1"/>
    <xf numFmtId="0" fontId="0" fillId="4" borderId="0" xfId="0" applyFill="1"/>
    <xf numFmtId="0" fontId="9" fillId="7" borderId="0" xfId="0" applyFont="1" applyFill="1" applyBorder="1" applyAlignment="1">
      <alignment horizontal="left"/>
    </xf>
    <xf numFmtId="0" fontId="3" fillId="4" borderId="0" xfId="0" applyFont="1" applyFill="1"/>
    <xf numFmtId="0" fontId="9" fillId="7" borderId="9" xfId="0" applyFont="1" applyFill="1" applyBorder="1"/>
    <xf numFmtId="0" fontId="9" fillId="7" borderId="23" xfId="0" applyFont="1" applyFill="1" applyBorder="1"/>
    <xf numFmtId="0" fontId="9" fillId="7" borderId="11" xfId="0" applyFont="1" applyFill="1" applyBorder="1"/>
    <xf numFmtId="0" fontId="9" fillId="7" borderId="11" xfId="0" applyFont="1" applyFill="1" applyBorder="1" applyAlignment="1">
      <alignment horizontal="left"/>
    </xf>
    <xf numFmtId="0" fontId="9" fillId="7" borderId="24" xfId="0" applyFont="1" applyFill="1" applyBorder="1"/>
    <xf numFmtId="0" fontId="16" fillId="7" borderId="26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left" vertical="center"/>
    </xf>
    <xf numFmtId="0" fontId="16" fillId="7" borderId="28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166" fontId="9" fillId="7" borderId="32" xfId="3" applyNumberFormat="1" applyFont="1" applyFill="1" applyBorder="1" applyAlignment="1" applyProtection="1">
      <alignment horizontal="center" vertical="center"/>
    </xf>
    <xf numFmtId="0" fontId="9" fillId="7" borderId="21" xfId="0" applyFont="1" applyFill="1" applyBorder="1" applyAlignment="1"/>
    <xf numFmtId="0" fontId="9" fillId="7" borderId="0" xfId="0" applyFont="1" applyFill="1" applyBorder="1" applyAlignment="1"/>
    <xf numFmtId="0" fontId="9" fillId="7" borderId="25" xfId="0" applyFont="1" applyFill="1" applyBorder="1" applyAlignment="1"/>
    <xf numFmtId="0" fontId="0" fillId="4" borderId="0" xfId="0" applyFill="1" applyAlignment="1">
      <alignment horizontal="left"/>
    </xf>
    <xf numFmtId="0" fontId="9" fillId="6" borderId="0" xfId="0" applyFont="1" applyFill="1"/>
    <xf numFmtId="0" fontId="9" fillId="5" borderId="7" xfId="0" applyFont="1" applyFill="1" applyBorder="1"/>
    <xf numFmtId="169" fontId="16" fillId="5" borderId="7" xfId="0" applyNumberFormat="1" applyFont="1" applyFill="1" applyBorder="1"/>
    <xf numFmtId="0" fontId="9" fillId="5" borderId="54" xfId="0" applyFont="1" applyFill="1" applyBorder="1"/>
    <xf numFmtId="0" fontId="16" fillId="5" borderId="7" xfId="0" applyFont="1" applyFill="1" applyBorder="1"/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9" fillId="5" borderId="5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/>
    </xf>
    <xf numFmtId="166" fontId="9" fillId="5" borderId="5" xfId="1" applyNumberFormat="1" applyFont="1" applyFill="1" applyBorder="1" applyAlignment="1" applyProtection="1">
      <alignment horizontal="right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/>
    </xf>
    <xf numFmtId="0" fontId="9" fillId="5" borderId="54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/>
    </xf>
    <xf numFmtId="166" fontId="9" fillId="5" borderId="8" xfId="1" applyNumberFormat="1" applyFont="1" applyFill="1" applyBorder="1" applyAlignment="1" applyProtection="1">
      <alignment horizontal="right" vertical="center" wrapText="1"/>
    </xf>
    <xf numFmtId="0" fontId="9" fillId="6" borderId="7" xfId="0" applyFont="1" applyFill="1" applyBorder="1" applyAlignment="1">
      <alignment vertical="center"/>
    </xf>
    <xf numFmtId="0" fontId="9" fillId="6" borderId="54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/>
    </xf>
    <xf numFmtId="166" fontId="9" fillId="6" borderId="8" xfId="1" applyNumberFormat="1" applyFont="1" applyFill="1" applyBorder="1" applyAlignment="1" applyProtection="1">
      <alignment horizontal="right" vertical="center" wrapText="1"/>
    </xf>
    <xf numFmtId="0" fontId="25" fillId="0" borderId="7" xfId="0" applyFont="1" applyBorder="1"/>
    <xf numFmtId="0" fontId="9" fillId="5" borderId="45" xfId="0" applyFont="1" applyFill="1" applyBorder="1" applyAlignment="1">
      <alignment vertical="center"/>
    </xf>
    <xf numFmtId="0" fontId="9" fillId="5" borderId="55" xfId="0" applyFont="1" applyFill="1" applyBorder="1" applyAlignment="1">
      <alignment horizontal="left" vertical="center" wrapText="1"/>
    </xf>
    <xf numFmtId="0" fontId="9" fillId="5" borderId="46" xfId="0" applyFont="1" applyFill="1" applyBorder="1" applyAlignment="1">
      <alignment horizontal="center" vertical="center"/>
    </xf>
    <xf numFmtId="166" fontId="9" fillId="5" borderId="47" xfId="1" applyNumberFormat="1" applyFont="1" applyFill="1" applyBorder="1" applyAlignment="1" applyProtection="1">
      <alignment horizontal="right" vertical="center" wrapText="1"/>
    </xf>
    <xf numFmtId="0" fontId="9" fillId="5" borderId="48" xfId="0" applyFont="1" applyFill="1" applyBorder="1" applyAlignment="1">
      <alignment vertical="center"/>
    </xf>
    <xf numFmtId="0" fontId="9" fillId="5" borderId="56" xfId="0" applyFont="1" applyFill="1" applyBorder="1" applyAlignment="1">
      <alignment horizontal="left" vertical="center" wrapText="1"/>
    </xf>
    <xf numFmtId="0" fontId="9" fillId="5" borderId="49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vertical="center"/>
    </xf>
    <xf numFmtId="0" fontId="9" fillId="5" borderId="57" xfId="0" applyFont="1" applyFill="1" applyBorder="1" applyAlignment="1">
      <alignment horizontal="left" vertical="center" wrapText="1"/>
    </xf>
    <xf numFmtId="0" fontId="9" fillId="5" borderId="50" xfId="0" applyFont="1" applyFill="1" applyBorder="1" applyAlignment="1">
      <alignment horizontal="center" vertical="center"/>
    </xf>
    <xf numFmtId="166" fontId="9" fillId="5" borderId="52" xfId="1" applyNumberFormat="1" applyFont="1" applyFill="1" applyBorder="1" applyAlignment="1" applyProtection="1">
      <alignment horizontal="righ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15" fillId="5" borderId="58" xfId="0" applyFont="1" applyFill="1" applyBorder="1" applyAlignment="1">
      <alignment horizontal="left" vertical="center"/>
    </xf>
    <xf numFmtId="0" fontId="9" fillId="5" borderId="59" xfId="0" applyFont="1" applyFill="1" applyBorder="1" applyAlignment="1">
      <alignment horizontal="left" vertical="center"/>
    </xf>
    <xf numFmtId="0" fontId="9" fillId="5" borderId="59" xfId="0" applyFont="1" applyFill="1" applyBorder="1"/>
    <xf numFmtId="0" fontId="9" fillId="5" borderId="60" xfId="0" applyFont="1" applyFill="1" applyBorder="1"/>
    <xf numFmtId="0" fontId="9" fillId="5" borderId="61" xfId="0" applyFont="1" applyFill="1" applyBorder="1" applyAlignment="1">
      <alignment horizontal="left" vertical="center"/>
    </xf>
    <xf numFmtId="0" fontId="9" fillId="5" borderId="62" xfId="0" applyFont="1" applyFill="1" applyBorder="1"/>
    <xf numFmtId="0" fontId="18" fillId="5" borderId="61" xfId="0" applyFont="1" applyFill="1" applyBorder="1" applyAlignment="1">
      <alignment horizontal="left" vertical="center"/>
    </xf>
    <xf numFmtId="0" fontId="19" fillId="5" borderId="61" xfId="0" applyFont="1" applyFill="1" applyBorder="1" applyAlignment="1">
      <alignment horizontal="left" vertical="center"/>
    </xf>
    <xf numFmtId="0" fontId="9" fillId="5" borderId="63" xfId="0" applyFont="1" applyFill="1" applyBorder="1" applyAlignment="1">
      <alignment horizontal="left" vertical="center"/>
    </xf>
    <xf numFmtId="0" fontId="9" fillId="5" borderId="64" xfId="0" applyFont="1" applyFill="1" applyBorder="1"/>
    <xf numFmtId="0" fontId="9" fillId="5" borderId="65" xfId="0" applyFont="1" applyFill="1" applyBorder="1"/>
    <xf numFmtId="0" fontId="15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7" borderId="4" xfId="0" applyFont="1" applyFill="1" applyBorder="1" applyAlignment="1">
      <alignment vertical="top" wrapText="1"/>
    </xf>
    <xf numFmtId="0" fontId="13" fillId="7" borderId="4" xfId="0" applyFont="1" applyFill="1" applyBorder="1" applyAlignment="1">
      <alignment horizontal="center" vertical="center" wrapText="1"/>
    </xf>
    <xf numFmtId="3" fontId="9" fillId="7" borderId="4" xfId="0" applyNumberFormat="1" applyFont="1" applyFill="1" applyBorder="1" applyAlignment="1">
      <alignment horizontal="center" vertical="center"/>
    </xf>
    <xf numFmtId="44" fontId="9" fillId="7" borderId="4" xfId="1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horizontal="center" vertical="center" wrapText="1"/>
    </xf>
    <xf numFmtId="3" fontId="9" fillId="4" borderId="7" xfId="0" applyNumberFormat="1" applyFont="1" applyFill="1" applyBorder="1" applyAlignment="1">
      <alignment horizontal="center" vertical="center"/>
    </xf>
    <xf numFmtId="44" fontId="9" fillId="4" borderId="7" xfId="1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top" wrapText="1"/>
    </xf>
    <xf numFmtId="0" fontId="9" fillId="4" borderId="7" xfId="0" applyFont="1" applyFill="1" applyBorder="1" applyAlignment="1">
      <alignment wrapText="1"/>
    </xf>
    <xf numFmtId="0" fontId="9" fillId="7" borderId="46" xfId="0" applyFont="1" applyFill="1" applyBorder="1" applyAlignment="1">
      <alignment vertical="center" wrapText="1"/>
    </xf>
    <xf numFmtId="0" fontId="13" fillId="7" borderId="46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/>
    </xf>
    <xf numFmtId="44" fontId="9" fillId="7" borderId="46" xfId="1" applyNumberFormat="1" applyFont="1" applyFill="1" applyBorder="1" applyAlignment="1">
      <alignment horizontal="center" vertical="center"/>
    </xf>
    <xf numFmtId="0" fontId="9" fillId="7" borderId="49" xfId="0" applyFont="1" applyFill="1" applyBorder="1" applyAlignment="1">
      <alignment vertical="center" wrapText="1"/>
    </xf>
    <xf numFmtId="0" fontId="13" fillId="7" borderId="49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/>
    </xf>
    <xf numFmtId="44" fontId="9" fillId="7" borderId="49" xfId="1" applyNumberFormat="1" applyFont="1" applyFill="1" applyBorder="1" applyAlignment="1">
      <alignment horizontal="center" vertical="center"/>
    </xf>
    <xf numFmtId="0" fontId="9" fillId="7" borderId="50" xfId="0" applyFont="1" applyFill="1" applyBorder="1" applyAlignment="1">
      <alignment vertical="center" wrapText="1"/>
    </xf>
    <xf numFmtId="0" fontId="13" fillId="7" borderId="50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/>
    </xf>
    <xf numFmtId="44" fontId="9" fillId="7" borderId="50" xfId="1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" fillId="0" borderId="7" xfId="5" applyBorder="1"/>
    <xf numFmtId="0" fontId="1" fillId="0" borderId="0" xfId="5"/>
    <xf numFmtId="0" fontId="27" fillId="8" borderId="7" xfId="5" applyFont="1" applyFill="1" applyBorder="1" applyAlignment="1" applyProtection="1">
      <alignment horizontal="center" vertical="center"/>
    </xf>
    <xf numFmtId="0" fontId="1" fillId="0" borderId="7" xfId="5" applyBorder="1" applyAlignment="1"/>
    <xf numFmtId="0" fontId="28" fillId="0" borderId="7" xfId="5" applyFont="1" applyFill="1" applyBorder="1" applyAlignment="1" applyProtection="1">
      <alignment vertical="center"/>
    </xf>
    <xf numFmtId="0" fontId="28" fillId="0" borderId="7" xfId="5" applyFont="1" applyFill="1" applyBorder="1" applyAlignment="1" applyProtection="1">
      <alignment horizontal="right" vertical="center"/>
    </xf>
    <xf numFmtId="0" fontId="1" fillId="0" borderId="0" xfId="5" applyAlignment="1"/>
    <xf numFmtId="14" fontId="1" fillId="0" borderId="0" xfId="5" applyNumberFormat="1"/>
    <xf numFmtId="3" fontId="1" fillId="0" borderId="7" xfId="5" applyNumberFormat="1" applyBorder="1"/>
    <xf numFmtId="0" fontId="1" fillId="4" borderId="7" xfId="5" applyFill="1" applyBorder="1"/>
    <xf numFmtId="0" fontId="9" fillId="5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wrapText="1"/>
    </xf>
    <xf numFmtId="0" fontId="10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wrapText="1" indent="1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 wrapText="1"/>
    </xf>
    <xf numFmtId="0" fontId="15" fillId="5" borderId="0" xfId="0" applyFont="1" applyFill="1" applyBorder="1" applyAlignment="1">
      <alignment wrapText="1"/>
    </xf>
    <xf numFmtId="0" fontId="15" fillId="5" borderId="62" xfId="0" applyFont="1" applyFill="1" applyBorder="1" applyAlignment="1">
      <alignment wrapText="1"/>
    </xf>
    <xf numFmtId="0" fontId="1" fillId="0" borderId="7" xfId="5" applyBorder="1" applyAlignment="1">
      <alignment horizontal="center"/>
    </xf>
    <xf numFmtId="0" fontId="26" fillId="0" borderId="7" xfId="5" applyFont="1" applyBorder="1" applyAlignment="1">
      <alignment horizontal="center"/>
    </xf>
    <xf numFmtId="0" fontId="1" fillId="0" borderId="66" xfId="5" applyBorder="1" applyAlignment="1">
      <alignment horizontal="center"/>
    </xf>
    <xf numFmtId="0" fontId="1" fillId="0" borderId="67" xfId="5" applyBorder="1" applyAlignment="1">
      <alignment horizontal="center"/>
    </xf>
    <xf numFmtId="0" fontId="9" fillId="4" borderId="7" xfId="0" applyFont="1" applyFill="1" applyBorder="1" applyAlignment="1">
      <alignment horizontal="left" vertical="center" wrapText="1"/>
    </xf>
    <xf numFmtId="167" fontId="23" fillId="4" borderId="13" xfId="0" applyNumberFormat="1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21" fillId="4" borderId="19" xfId="0" applyFont="1" applyFill="1" applyBorder="1" applyAlignment="1">
      <alignment horizontal="left" vertical="center" wrapText="1"/>
    </xf>
    <xf numFmtId="0" fontId="9" fillId="4" borderId="41" xfId="0" applyFont="1" applyFill="1" applyBorder="1" applyAlignment="1">
      <alignment horizontal="left" vertical="center" wrapText="1"/>
    </xf>
    <xf numFmtId="0" fontId="23" fillId="4" borderId="15" xfId="0" applyFont="1" applyFill="1" applyBorder="1" applyAlignment="1">
      <alignment horizontal="left" vertical="center"/>
    </xf>
    <xf numFmtId="0" fontId="21" fillId="3" borderId="16" xfId="0" applyFont="1" applyFill="1" applyBorder="1" applyAlignment="1">
      <alignment horizontal="left" vertical="center" wrapText="1" indent="1"/>
    </xf>
    <xf numFmtId="0" fontId="20" fillId="4" borderId="15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 indent="1"/>
    </xf>
    <xf numFmtId="0" fontId="23" fillId="4" borderId="14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 indent="1"/>
    </xf>
    <xf numFmtId="0" fontId="9" fillId="7" borderId="30" xfId="0" applyFont="1" applyFill="1" applyBorder="1" applyAlignment="1">
      <alignment horizontal="left" vertical="center" wrapText="1"/>
    </xf>
    <xf numFmtId="0" fontId="20" fillId="7" borderId="42" xfId="0" applyFont="1" applyFill="1" applyBorder="1" applyAlignment="1">
      <alignment horizontal="left" wrapText="1"/>
    </xf>
    <xf numFmtId="0" fontId="20" fillId="7" borderId="43" xfId="0" applyFont="1" applyFill="1" applyBorder="1" applyAlignment="1">
      <alignment horizontal="left" wrapText="1"/>
    </xf>
    <xf numFmtId="0" fontId="20" fillId="7" borderId="44" xfId="0" applyFont="1" applyFill="1" applyBorder="1" applyAlignment="1">
      <alignment horizontal="left" wrapText="1"/>
    </xf>
    <xf numFmtId="0" fontId="20" fillId="7" borderId="18" xfId="0" applyFont="1" applyFill="1" applyBorder="1" applyAlignment="1">
      <alignment vertical="center" wrapText="1"/>
    </xf>
    <xf numFmtId="0" fontId="20" fillId="7" borderId="34" xfId="0" applyFont="1" applyFill="1" applyBorder="1" applyAlignment="1">
      <alignment vertical="center" wrapText="1"/>
    </xf>
    <xf numFmtId="0" fontId="20" fillId="7" borderId="16" xfId="0" applyFont="1" applyFill="1" applyBorder="1" applyAlignment="1">
      <alignment vertical="center" wrapText="1"/>
    </xf>
    <xf numFmtId="0" fontId="17" fillId="7" borderId="25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left" vertical="top"/>
    </xf>
    <xf numFmtId="0" fontId="17" fillId="7" borderId="21" xfId="0" applyFont="1" applyFill="1" applyBorder="1" applyAlignment="1"/>
    <xf numFmtId="0" fontId="17" fillId="7" borderId="22" xfId="0" applyFont="1" applyFill="1" applyBorder="1" applyAlignment="1">
      <alignment horizontal="left" vertical="center" wrapText="1" indent="1"/>
    </xf>
    <xf numFmtId="0" fontId="16" fillId="7" borderId="2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left" vertical="center" wrapText="1"/>
    </xf>
    <xf numFmtId="0" fontId="9" fillId="7" borderId="35" xfId="0" applyFont="1" applyFill="1" applyBorder="1" applyAlignment="1">
      <alignment horizontal="left" vertical="center" wrapText="1"/>
    </xf>
    <xf numFmtId="0" fontId="9" fillId="7" borderId="36" xfId="0" applyFont="1" applyFill="1" applyBorder="1" applyAlignment="1">
      <alignment horizontal="left" vertical="center" wrapText="1"/>
    </xf>
    <xf numFmtId="0" fontId="17" fillId="7" borderId="12" xfId="0" applyFont="1" applyFill="1" applyBorder="1" applyAlignment="1">
      <alignment horizontal="left" indent="1"/>
    </xf>
    <xf numFmtId="0" fontId="17" fillId="7" borderId="35" xfId="0" applyFont="1" applyFill="1" applyBorder="1" applyAlignment="1">
      <alignment horizontal="left" indent="1"/>
    </xf>
    <xf numFmtId="0" fontId="17" fillId="7" borderId="36" xfId="0" applyFont="1" applyFill="1" applyBorder="1" applyAlignment="1">
      <alignment horizontal="left" indent="1"/>
    </xf>
    <xf numFmtId="0" fontId="19" fillId="7" borderId="10" xfId="0" applyFont="1" applyFill="1" applyBorder="1" applyAlignment="1">
      <alignment horizontal="left"/>
    </xf>
    <xf numFmtId="0" fontId="9" fillId="7" borderId="18" xfId="0" applyFont="1" applyFill="1" applyBorder="1" applyAlignment="1">
      <alignment horizontal="center"/>
    </xf>
    <xf numFmtId="3" fontId="20" fillId="7" borderId="19" xfId="0" applyNumberFormat="1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/>
    <xf numFmtId="44" fontId="9" fillId="4" borderId="0" xfId="0" applyNumberFormat="1" applyFont="1" applyFill="1"/>
    <xf numFmtId="0" fontId="16" fillId="5" borderId="64" xfId="0" applyFont="1" applyFill="1" applyBorder="1" applyAlignment="1">
      <alignment horizontal="left"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9"/>
  <sheetViews>
    <sheetView tabSelected="1" topLeftCell="A73" zoomScaleSheetLayoutView="85" workbookViewId="0">
      <selection activeCell="C83" sqref="C83:E83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1" width="12.28515625" style="1" bestFit="1" customWidth="1"/>
    <col min="12" max="16384" width="11" style="1"/>
  </cols>
  <sheetData>
    <row r="2" spans="1:12" ht="28.5" x14ac:dyDescent="0.4">
      <c r="B2" s="156" t="s">
        <v>0</v>
      </c>
      <c r="C2" s="156"/>
      <c r="D2" s="156"/>
      <c r="E2" s="156"/>
      <c r="F2" s="156"/>
      <c r="G2" s="156"/>
      <c r="H2" s="156"/>
    </row>
    <row r="4" spans="1:12" ht="18" customHeight="1" x14ac:dyDescent="0.25">
      <c r="A4" s="157" t="s">
        <v>1</v>
      </c>
      <c r="B4" s="157"/>
      <c r="C4" s="158" t="s">
        <v>2</v>
      </c>
      <c r="D4" s="158"/>
      <c r="E4" s="158"/>
      <c r="F4" s="2"/>
      <c r="G4" s="3"/>
      <c r="H4" s="2"/>
    </row>
    <row r="5" spans="1:12" ht="18" customHeight="1" x14ac:dyDescent="0.25">
      <c r="A5" s="157" t="s">
        <v>3</v>
      </c>
      <c r="B5" s="157"/>
      <c r="C5" s="158" t="s">
        <v>4</v>
      </c>
      <c r="D5" s="158"/>
      <c r="E5" s="158"/>
      <c r="F5" s="2"/>
      <c r="G5" s="3"/>
      <c r="H5" s="2"/>
    </row>
    <row r="6" spans="1:12" ht="16.5" customHeight="1" x14ac:dyDescent="0.25">
      <c r="A6" s="157" t="s">
        <v>5</v>
      </c>
      <c r="B6" s="157"/>
      <c r="C6" s="4">
        <v>2022</v>
      </c>
      <c r="D6" s="5"/>
      <c r="E6" s="5"/>
      <c r="F6" s="2"/>
      <c r="G6" s="3"/>
      <c r="H6" s="2"/>
    </row>
    <row r="7" spans="1:12" ht="16.5" customHeight="1" x14ac:dyDescent="0.25">
      <c r="A7" s="157" t="s">
        <v>6</v>
      </c>
      <c r="B7" s="157"/>
      <c r="C7" s="4">
        <v>3</v>
      </c>
      <c r="D7" s="5"/>
      <c r="E7" s="5"/>
      <c r="F7" s="2"/>
      <c r="G7" s="3"/>
      <c r="H7" s="2"/>
    </row>
    <row r="8" spans="1:12" x14ac:dyDescent="0.25">
      <c r="B8" s="2"/>
      <c r="C8" s="3"/>
      <c r="D8" s="2"/>
      <c r="E8" s="2"/>
      <c r="F8" s="2"/>
      <c r="G8" s="3"/>
      <c r="H8" s="2"/>
    </row>
    <row r="9" spans="1:12" ht="39.75" thickTop="1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12" ht="27" x14ac:dyDescent="0.25">
      <c r="A10" s="76">
        <v>1</v>
      </c>
      <c r="B10" s="77" t="s">
        <v>1967</v>
      </c>
      <c r="C10" s="78" t="s">
        <v>16</v>
      </c>
      <c r="D10" s="79" t="s">
        <v>17</v>
      </c>
      <c r="E10" s="117" t="s">
        <v>18</v>
      </c>
      <c r="F10" s="118" t="s">
        <v>19</v>
      </c>
      <c r="G10" s="119">
        <v>128</v>
      </c>
      <c r="H10" s="120">
        <v>70000</v>
      </c>
      <c r="I10" s="80">
        <f>G10*H10</f>
        <v>8960000</v>
      </c>
      <c r="L10" s="213"/>
    </row>
    <row r="11" spans="1:12" ht="27" x14ac:dyDescent="0.25">
      <c r="A11" s="81">
        <v>2</v>
      </c>
      <c r="B11" s="82" t="s">
        <v>20</v>
      </c>
      <c r="C11" s="83" t="s">
        <v>16</v>
      </c>
      <c r="D11" s="84" t="s">
        <v>17</v>
      </c>
      <c r="E11" s="121" t="s">
        <v>21</v>
      </c>
      <c r="F11" s="39" t="s">
        <v>19</v>
      </c>
      <c r="G11" s="41">
        <v>6</v>
      </c>
      <c r="H11" s="40">
        <v>85100</v>
      </c>
      <c r="I11" s="85">
        <f t="shared" ref="I11:I28" si="0">G11*H11</f>
        <v>510600</v>
      </c>
      <c r="L11" s="213"/>
    </row>
    <row r="12" spans="1:12" ht="27" x14ac:dyDescent="0.25">
      <c r="A12" s="81">
        <v>3</v>
      </c>
      <c r="B12" s="82" t="s">
        <v>22</v>
      </c>
      <c r="C12" s="83" t="s">
        <v>16</v>
      </c>
      <c r="D12" s="84" t="s">
        <v>17</v>
      </c>
      <c r="E12" s="121" t="s">
        <v>23</v>
      </c>
      <c r="F12" s="39" t="s">
        <v>19</v>
      </c>
      <c r="G12" s="41">
        <v>2</v>
      </c>
      <c r="H12" s="40">
        <v>59000</v>
      </c>
      <c r="I12" s="85">
        <f t="shared" si="0"/>
        <v>118000</v>
      </c>
      <c r="L12" s="213"/>
    </row>
    <row r="13" spans="1:12" ht="27.75" thickBot="1" x14ac:dyDescent="0.3">
      <c r="A13" s="81">
        <v>4</v>
      </c>
      <c r="B13" s="82" t="s">
        <v>24</v>
      </c>
      <c r="C13" s="83" t="s">
        <v>16</v>
      </c>
      <c r="D13" s="84" t="s">
        <v>17</v>
      </c>
      <c r="E13" s="121" t="s">
        <v>25</v>
      </c>
      <c r="F13" s="39" t="s">
        <v>19</v>
      </c>
      <c r="G13" s="42">
        <v>4</v>
      </c>
      <c r="H13" s="40">
        <v>44200</v>
      </c>
      <c r="I13" s="85">
        <f t="shared" si="0"/>
        <v>176800</v>
      </c>
      <c r="L13" s="213"/>
    </row>
    <row r="14" spans="1:12" ht="27" x14ac:dyDescent="0.25">
      <c r="A14" s="76">
        <v>5</v>
      </c>
      <c r="B14" s="82" t="s">
        <v>24</v>
      </c>
      <c r="C14" s="83" t="s">
        <v>16</v>
      </c>
      <c r="D14" s="84" t="s">
        <v>17</v>
      </c>
      <c r="E14" s="121" t="s">
        <v>25</v>
      </c>
      <c r="F14" s="39" t="s">
        <v>19</v>
      </c>
      <c r="G14" s="42">
        <v>4</v>
      </c>
      <c r="H14" s="40">
        <v>44200</v>
      </c>
      <c r="I14" s="85">
        <f t="shared" si="0"/>
        <v>176800</v>
      </c>
      <c r="L14" s="213"/>
    </row>
    <row r="15" spans="1:12" ht="27" x14ac:dyDescent="0.25">
      <c r="A15" s="81">
        <v>6</v>
      </c>
      <c r="B15" s="82" t="s">
        <v>26</v>
      </c>
      <c r="C15" s="83" t="s">
        <v>16</v>
      </c>
      <c r="D15" s="84" t="s">
        <v>17</v>
      </c>
      <c r="E15" s="121" t="s">
        <v>27</v>
      </c>
      <c r="F15" s="39" t="s">
        <v>19</v>
      </c>
      <c r="G15" s="41">
        <v>2</v>
      </c>
      <c r="H15" s="40">
        <v>47000</v>
      </c>
      <c r="I15" s="85">
        <f t="shared" si="0"/>
        <v>94000</v>
      </c>
      <c r="L15" s="213"/>
    </row>
    <row r="16" spans="1:12" s="71" customFormat="1" ht="27" x14ac:dyDescent="0.25">
      <c r="A16" s="81">
        <v>7</v>
      </c>
      <c r="B16" s="86" t="s">
        <v>28</v>
      </c>
      <c r="C16" s="87" t="s">
        <v>16</v>
      </c>
      <c r="D16" s="88" t="s">
        <v>17</v>
      </c>
      <c r="E16" s="122" t="s">
        <v>29</v>
      </c>
      <c r="F16" s="123" t="s">
        <v>19</v>
      </c>
      <c r="G16" s="124">
        <v>2</v>
      </c>
      <c r="H16" s="125">
        <v>83900</v>
      </c>
      <c r="I16" s="89">
        <f t="shared" si="0"/>
        <v>167800</v>
      </c>
      <c r="J16" s="1"/>
      <c r="K16" s="1"/>
      <c r="L16" s="213"/>
    </row>
    <row r="17" spans="1:12" s="71" customFormat="1" ht="27" x14ac:dyDescent="0.25">
      <c r="A17" s="81">
        <v>8</v>
      </c>
      <c r="B17" s="86" t="s">
        <v>30</v>
      </c>
      <c r="C17" s="87" t="s">
        <v>16</v>
      </c>
      <c r="D17" s="88" t="s">
        <v>17</v>
      </c>
      <c r="E17" s="122" t="s">
        <v>31</v>
      </c>
      <c r="F17" s="123" t="s">
        <v>19</v>
      </c>
      <c r="G17" s="124">
        <v>2</v>
      </c>
      <c r="H17" s="125">
        <v>75000</v>
      </c>
      <c r="I17" s="89">
        <f t="shared" si="0"/>
        <v>150000</v>
      </c>
      <c r="J17" s="1"/>
      <c r="K17" s="1"/>
      <c r="L17" s="213"/>
    </row>
    <row r="18" spans="1:12" s="71" customFormat="1" ht="27" x14ac:dyDescent="0.25">
      <c r="A18" s="81">
        <v>9</v>
      </c>
      <c r="B18" s="86" t="s">
        <v>32</v>
      </c>
      <c r="C18" s="87" t="s">
        <v>16</v>
      </c>
      <c r="D18" s="88" t="s">
        <v>17</v>
      </c>
      <c r="E18" s="122" t="s">
        <v>1968</v>
      </c>
      <c r="F18" s="123" t="s">
        <v>19</v>
      </c>
      <c r="G18" s="124">
        <v>70</v>
      </c>
      <c r="H18" s="125">
        <v>84000</v>
      </c>
      <c r="I18" s="89">
        <f t="shared" si="0"/>
        <v>5880000</v>
      </c>
      <c r="J18" s="1"/>
      <c r="K18" s="1"/>
      <c r="L18" s="213"/>
    </row>
    <row r="19" spans="1:12" s="71" customFormat="1" ht="28.5" customHeight="1" x14ac:dyDescent="0.25">
      <c r="A19" s="81">
        <v>10</v>
      </c>
      <c r="B19" s="86" t="s">
        <v>33</v>
      </c>
      <c r="C19" s="87" t="s">
        <v>16</v>
      </c>
      <c r="D19" s="88" t="s">
        <v>17</v>
      </c>
      <c r="E19" s="122" t="s">
        <v>148</v>
      </c>
      <c r="F19" s="123" t="s">
        <v>19</v>
      </c>
      <c r="G19" s="124">
        <v>2</v>
      </c>
      <c r="H19" s="125">
        <v>145000</v>
      </c>
      <c r="I19" s="89">
        <f t="shared" si="0"/>
        <v>290000</v>
      </c>
      <c r="J19" s="1"/>
      <c r="K19" s="1"/>
      <c r="L19" s="213"/>
    </row>
    <row r="20" spans="1:12" ht="27" x14ac:dyDescent="0.25">
      <c r="A20" s="81">
        <v>11</v>
      </c>
      <c r="B20" s="90" t="s">
        <v>161</v>
      </c>
      <c r="C20" s="83" t="s">
        <v>16</v>
      </c>
      <c r="D20" s="84" t="s">
        <v>17</v>
      </c>
      <c r="E20" s="121" t="s">
        <v>162</v>
      </c>
      <c r="F20" s="39" t="s">
        <v>19</v>
      </c>
      <c r="G20" s="41">
        <v>2</v>
      </c>
      <c r="H20" s="40">
        <v>321100</v>
      </c>
      <c r="I20" s="85">
        <f>G20*H20</f>
        <v>642200</v>
      </c>
      <c r="L20" s="213"/>
    </row>
    <row r="21" spans="1:12" ht="27" x14ac:dyDescent="0.25">
      <c r="A21" s="81">
        <v>12</v>
      </c>
      <c r="B21" s="90" t="s">
        <v>35</v>
      </c>
      <c r="C21" s="83" t="s">
        <v>16</v>
      </c>
      <c r="D21" s="84" t="s">
        <v>34</v>
      </c>
      <c r="E21" s="126" t="s">
        <v>36</v>
      </c>
      <c r="F21" s="39" t="s">
        <v>19</v>
      </c>
      <c r="G21" s="41">
        <v>20</v>
      </c>
      <c r="H21" s="40">
        <v>17390</v>
      </c>
      <c r="I21" s="85">
        <f t="shared" ref="I21:I27" si="1">G21*H21</f>
        <v>347800</v>
      </c>
      <c r="L21" s="213"/>
    </row>
    <row r="22" spans="1:12" ht="31.5" customHeight="1" x14ac:dyDescent="0.25">
      <c r="A22" s="81">
        <v>13</v>
      </c>
      <c r="B22" s="86" t="s">
        <v>37</v>
      </c>
      <c r="C22" s="102" t="s">
        <v>16</v>
      </c>
      <c r="D22" s="84" t="s">
        <v>34</v>
      </c>
      <c r="E22" s="127" t="s">
        <v>147</v>
      </c>
      <c r="F22" s="39" t="s">
        <v>19</v>
      </c>
      <c r="G22" s="41">
        <v>2</v>
      </c>
      <c r="H22" s="40">
        <v>16000</v>
      </c>
      <c r="I22" s="85">
        <f t="shared" si="1"/>
        <v>32000</v>
      </c>
      <c r="L22" s="213"/>
    </row>
    <row r="23" spans="1:12" ht="27" x14ac:dyDescent="0.25">
      <c r="A23" s="81">
        <v>14</v>
      </c>
      <c r="B23" s="90" t="s">
        <v>38</v>
      </c>
      <c r="C23" s="83" t="s">
        <v>16</v>
      </c>
      <c r="D23" s="84" t="s">
        <v>34</v>
      </c>
      <c r="E23" s="126" t="s">
        <v>39</v>
      </c>
      <c r="F23" s="39" t="s">
        <v>19</v>
      </c>
      <c r="G23" s="41">
        <v>20</v>
      </c>
      <c r="H23" s="40">
        <v>16410</v>
      </c>
      <c r="I23" s="85">
        <f t="shared" si="1"/>
        <v>328200</v>
      </c>
      <c r="L23" s="213"/>
    </row>
    <row r="24" spans="1:12" ht="27" x14ac:dyDescent="0.25">
      <c r="A24" s="81">
        <v>15</v>
      </c>
      <c r="B24" s="90" t="s">
        <v>40</v>
      </c>
      <c r="C24" s="83" t="s">
        <v>16</v>
      </c>
      <c r="D24" s="84" t="s">
        <v>34</v>
      </c>
      <c r="E24" s="126" t="s">
        <v>41</v>
      </c>
      <c r="F24" s="39" t="s">
        <v>19</v>
      </c>
      <c r="G24" s="41">
        <v>20</v>
      </c>
      <c r="H24" s="40">
        <v>19000</v>
      </c>
      <c r="I24" s="85">
        <f t="shared" si="1"/>
        <v>380000</v>
      </c>
      <c r="L24" s="213"/>
    </row>
    <row r="25" spans="1:12" ht="27" x14ac:dyDescent="0.25">
      <c r="A25" s="81">
        <v>16</v>
      </c>
      <c r="B25" s="90" t="s">
        <v>42</v>
      </c>
      <c r="C25" s="83" t="s">
        <v>16</v>
      </c>
      <c r="D25" s="84" t="s">
        <v>34</v>
      </c>
      <c r="E25" s="126" t="s">
        <v>43</v>
      </c>
      <c r="F25" s="39" t="s">
        <v>19</v>
      </c>
      <c r="G25" s="41">
        <v>37</v>
      </c>
      <c r="H25" s="40">
        <v>15990</v>
      </c>
      <c r="I25" s="85">
        <f t="shared" si="1"/>
        <v>591630</v>
      </c>
      <c r="L25" s="213"/>
    </row>
    <row r="26" spans="1:12" ht="27" x14ac:dyDescent="0.25">
      <c r="A26" s="81">
        <v>17</v>
      </c>
      <c r="B26" s="90" t="s">
        <v>44</v>
      </c>
      <c r="C26" s="83" t="s">
        <v>16</v>
      </c>
      <c r="D26" s="84" t="s">
        <v>34</v>
      </c>
      <c r="E26" s="126" t="s">
        <v>45</v>
      </c>
      <c r="F26" s="39" t="s">
        <v>19</v>
      </c>
      <c r="G26" s="41">
        <v>3</v>
      </c>
      <c r="H26" s="40">
        <v>16000</v>
      </c>
      <c r="I26" s="85">
        <f t="shared" si="1"/>
        <v>48000</v>
      </c>
      <c r="L26" s="213"/>
    </row>
    <row r="27" spans="1:12" ht="27" x14ac:dyDescent="0.25">
      <c r="A27" s="81">
        <v>18</v>
      </c>
      <c r="B27" s="90" t="s">
        <v>46</v>
      </c>
      <c r="C27" s="83" t="s">
        <v>16</v>
      </c>
      <c r="D27" s="84" t="s">
        <v>34</v>
      </c>
      <c r="E27" s="126" t="s">
        <v>47</v>
      </c>
      <c r="F27" s="39" t="s">
        <v>19</v>
      </c>
      <c r="G27" s="41">
        <v>3</v>
      </c>
      <c r="H27" s="40">
        <v>22000</v>
      </c>
      <c r="I27" s="85">
        <f t="shared" si="1"/>
        <v>66000</v>
      </c>
      <c r="L27" s="213"/>
    </row>
    <row r="28" spans="1:12" ht="27" x14ac:dyDescent="0.25">
      <c r="A28" s="81">
        <v>19</v>
      </c>
      <c r="B28" s="82" t="s">
        <v>48</v>
      </c>
      <c r="C28" s="83" t="s">
        <v>16</v>
      </c>
      <c r="D28" s="84" t="s">
        <v>17</v>
      </c>
      <c r="E28" s="121" t="s">
        <v>49</v>
      </c>
      <c r="F28" s="39" t="s">
        <v>19</v>
      </c>
      <c r="G28" s="41">
        <v>20</v>
      </c>
      <c r="H28" s="40">
        <v>137000</v>
      </c>
      <c r="I28" s="85">
        <f t="shared" si="0"/>
        <v>2740000</v>
      </c>
      <c r="L28" s="213"/>
    </row>
    <row r="29" spans="1:12" ht="27" x14ac:dyDescent="0.25">
      <c r="A29" s="81">
        <v>20</v>
      </c>
      <c r="B29" s="91" t="s">
        <v>50</v>
      </c>
      <c r="C29" s="92" t="s">
        <v>16</v>
      </c>
      <c r="D29" s="93" t="s">
        <v>17</v>
      </c>
      <c r="E29" s="128" t="s">
        <v>51</v>
      </c>
      <c r="F29" s="129" t="s">
        <v>19</v>
      </c>
      <c r="G29" s="130">
        <v>2</v>
      </c>
      <c r="H29" s="131">
        <v>20150</v>
      </c>
      <c r="I29" s="94">
        <f>G29*H29</f>
        <v>40300</v>
      </c>
      <c r="L29" s="213"/>
    </row>
    <row r="30" spans="1:12" ht="27" x14ac:dyDescent="0.25">
      <c r="A30" s="81">
        <v>21</v>
      </c>
      <c r="B30" s="95" t="s">
        <v>52</v>
      </c>
      <c r="C30" s="96" t="s">
        <v>16</v>
      </c>
      <c r="D30" s="97" t="s">
        <v>17</v>
      </c>
      <c r="E30" s="132" t="s">
        <v>149</v>
      </c>
      <c r="F30" s="133" t="s">
        <v>19</v>
      </c>
      <c r="G30" s="134">
        <v>2</v>
      </c>
      <c r="H30" s="135">
        <v>62000</v>
      </c>
      <c r="I30" s="94">
        <f>G30*H30</f>
        <v>124000</v>
      </c>
      <c r="L30" s="213"/>
    </row>
    <row r="31" spans="1:12" ht="27" x14ac:dyDescent="0.25">
      <c r="A31" s="81">
        <v>22</v>
      </c>
      <c r="B31" s="98" t="s">
        <v>53</v>
      </c>
      <c r="C31" s="99" t="s">
        <v>16</v>
      </c>
      <c r="D31" s="100" t="s">
        <v>17</v>
      </c>
      <c r="E31" s="136" t="s">
        <v>54</v>
      </c>
      <c r="F31" s="137" t="s">
        <v>19</v>
      </c>
      <c r="G31" s="138">
        <v>3</v>
      </c>
      <c r="H31" s="139">
        <v>19000</v>
      </c>
      <c r="I31" s="101">
        <f>G31*H31</f>
        <v>57000</v>
      </c>
      <c r="L31" s="213"/>
    </row>
    <row r="32" spans="1:12" ht="27" x14ac:dyDescent="0.25">
      <c r="A32" s="81">
        <v>23</v>
      </c>
      <c r="B32" s="98" t="s">
        <v>144</v>
      </c>
      <c r="C32" s="99" t="s">
        <v>16</v>
      </c>
      <c r="D32" s="100" t="s">
        <v>17</v>
      </c>
      <c r="E32" s="136" t="s">
        <v>154</v>
      </c>
      <c r="F32" s="137" t="s">
        <v>19</v>
      </c>
      <c r="G32" s="138">
        <v>2</v>
      </c>
      <c r="H32" s="139">
        <v>38000</v>
      </c>
      <c r="I32" s="101">
        <f>G32*H32</f>
        <v>76000</v>
      </c>
      <c r="L32" s="213"/>
    </row>
    <row r="33" spans="1:9" x14ac:dyDescent="0.25">
      <c r="A33" s="72"/>
      <c r="B33" s="72"/>
      <c r="C33" s="74"/>
      <c r="D33" s="72"/>
      <c r="E33" s="72"/>
      <c r="F33" s="75"/>
      <c r="G33" s="75"/>
      <c r="H33" s="75"/>
      <c r="I33" s="73"/>
    </row>
    <row r="34" spans="1:9" ht="14.25" thickBot="1" x14ac:dyDescent="0.3">
      <c r="A34" s="7"/>
      <c r="B34" s="7"/>
      <c r="C34" s="7"/>
      <c r="D34" s="7"/>
      <c r="E34" s="7"/>
      <c r="F34" s="7"/>
      <c r="G34" s="7"/>
      <c r="H34" s="7"/>
      <c r="I34" s="73">
        <f>SUM(I10:I32)</f>
        <v>21997130</v>
      </c>
    </row>
    <row r="35" spans="1:9" x14ac:dyDescent="0.25">
      <c r="A35" s="7"/>
      <c r="B35" s="104" t="s">
        <v>55</v>
      </c>
      <c r="C35" s="105"/>
      <c r="D35" s="106"/>
      <c r="E35" s="106"/>
      <c r="F35" s="106"/>
      <c r="G35" s="106"/>
      <c r="H35" s="106"/>
      <c r="I35" s="107"/>
    </row>
    <row r="36" spans="1:9" x14ac:dyDescent="0.25">
      <c r="A36" s="7"/>
      <c r="B36" s="108" t="s">
        <v>56</v>
      </c>
      <c r="C36" s="8"/>
      <c r="D36" s="7"/>
      <c r="E36" s="7"/>
      <c r="F36" s="7"/>
      <c r="G36" s="7"/>
      <c r="H36" s="7"/>
      <c r="I36" s="109"/>
    </row>
    <row r="37" spans="1:9" ht="35.25" customHeight="1" x14ac:dyDescent="0.25">
      <c r="A37" s="7"/>
      <c r="B37" s="108"/>
      <c r="C37" s="9" t="s">
        <v>57</v>
      </c>
      <c r="D37" s="160" t="s">
        <v>151</v>
      </c>
      <c r="E37" s="160"/>
      <c r="F37" s="160"/>
      <c r="G37" s="7"/>
      <c r="H37" s="7"/>
      <c r="I37" s="109"/>
    </row>
    <row r="38" spans="1:9" x14ac:dyDescent="0.25">
      <c r="A38" s="7"/>
      <c r="B38" s="108" t="s">
        <v>58</v>
      </c>
      <c r="C38" s="8"/>
      <c r="D38" s="7"/>
      <c r="E38" s="7"/>
      <c r="F38" s="7"/>
      <c r="G38" s="7"/>
      <c r="H38" s="7"/>
      <c r="I38" s="109"/>
    </row>
    <row r="39" spans="1:9" x14ac:dyDescent="0.25">
      <c r="A39" s="7"/>
      <c r="B39" s="108"/>
      <c r="C39" s="9" t="s">
        <v>57</v>
      </c>
      <c r="D39" s="10" t="s">
        <v>59</v>
      </c>
      <c r="E39" s="11"/>
      <c r="F39" s="7"/>
      <c r="G39" s="7"/>
      <c r="H39" s="7"/>
      <c r="I39" s="109"/>
    </row>
    <row r="40" spans="1:9" x14ac:dyDescent="0.25">
      <c r="A40" s="7"/>
      <c r="B40" s="108" t="s">
        <v>60</v>
      </c>
      <c r="C40" s="8"/>
      <c r="D40" s="7"/>
      <c r="E40" s="7"/>
      <c r="F40" s="7"/>
      <c r="G40" s="7"/>
      <c r="H40" s="7"/>
      <c r="I40" s="109"/>
    </row>
    <row r="41" spans="1:9" x14ac:dyDescent="0.25">
      <c r="A41" s="7"/>
      <c r="B41" s="108"/>
      <c r="C41" s="9" t="s">
        <v>57</v>
      </c>
      <c r="D41" s="10" t="s">
        <v>61</v>
      </c>
      <c r="E41" s="11"/>
      <c r="F41" s="7"/>
      <c r="G41" s="7"/>
      <c r="H41" s="7"/>
      <c r="I41" s="109"/>
    </row>
    <row r="42" spans="1:9" x14ac:dyDescent="0.25">
      <c r="A42" s="7"/>
      <c r="B42" s="108" t="s">
        <v>62</v>
      </c>
      <c r="C42" s="8"/>
      <c r="D42" s="7"/>
      <c r="E42" s="7"/>
      <c r="F42" s="7"/>
      <c r="G42" s="7"/>
      <c r="H42" s="7"/>
      <c r="I42" s="109"/>
    </row>
    <row r="43" spans="1:9" x14ac:dyDescent="0.25">
      <c r="A43" s="7"/>
      <c r="B43" s="108"/>
      <c r="C43" s="9" t="s">
        <v>57</v>
      </c>
      <c r="D43" s="10" t="s">
        <v>63</v>
      </c>
      <c r="E43" s="11"/>
      <c r="F43" s="7"/>
      <c r="G43" s="7"/>
      <c r="H43" s="7"/>
      <c r="I43" s="109"/>
    </row>
    <row r="44" spans="1:9" x14ac:dyDescent="0.25">
      <c r="A44" s="7"/>
      <c r="B44" s="108" t="s">
        <v>64</v>
      </c>
      <c r="C44" s="8"/>
      <c r="D44" s="7"/>
      <c r="E44" s="7"/>
      <c r="F44" s="7"/>
      <c r="G44" s="7"/>
      <c r="H44" s="7"/>
      <c r="I44" s="109"/>
    </row>
    <row r="45" spans="1:9" x14ac:dyDescent="0.25">
      <c r="A45" s="7"/>
      <c r="B45" s="108"/>
      <c r="C45" s="9" t="s">
        <v>57</v>
      </c>
      <c r="D45" s="12" t="s">
        <v>65</v>
      </c>
      <c r="E45" s="11"/>
      <c r="F45" s="7"/>
      <c r="G45" s="7"/>
      <c r="H45" s="7"/>
      <c r="I45" s="109"/>
    </row>
    <row r="46" spans="1:9" x14ac:dyDescent="0.25">
      <c r="A46" s="7"/>
      <c r="B46" s="108" t="s">
        <v>66</v>
      </c>
      <c r="C46" s="8"/>
      <c r="D46" s="7"/>
      <c r="E46" s="7"/>
      <c r="F46" s="7"/>
      <c r="G46" s="7"/>
      <c r="H46" s="7"/>
      <c r="I46" s="109"/>
    </row>
    <row r="47" spans="1:9" x14ac:dyDescent="0.25">
      <c r="A47" s="7"/>
      <c r="B47" s="108"/>
      <c r="C47" s="9" t="s">
        <v>57</v>
      </c>
      <c r="D47" s="13" t="s">
        <v>68</v>
      </c>
      <c r="E47" s="11"/>
      <c r="F47" s="7"/>
      <c r="G47" s="7"/>
      <c r="H47" s="7"/>
      <c r="I47" s="109"/>
    </row>
    <row r="48" spans="1:9" x14ac:dyDescent="0.25">
      <c r="A48" s="7"/>
      <c r="B48" s="108" t="s">
        <v>67</v>
      </c>
      <c r="C48" s="8"/>
      <c r="D48" s="7"/>
      <c r="E48" s="7"/>
      <c r="F48" s="7"/>
      <c r="G48" s="7"/>
      <c r="H48" s="7"/>
      <c r="I48" s="109"/>
    </row>
    <row r="49" spans="1:9" x14ac:dyDescent="0.25">
      <c r="A49" s="7"/>
      <c r="B49" s="108"/>
      <c r="C49" s="9" t="s">
        <v>57</v>
      </c>
      <c r="D49" s="10" t="s">
        <v>70</v>
      </c>
      <c r="E49" s="11"/>
      <c r="F49" s="7"/>
      <c r="G49" s="7"/>
      <c r="H49" s="7"/>
      <c r="I49" s="109"/>
    </row>
    <row r="50" spans="1:9" x14ac:dyDescent="0.25">
      <c r="A50" s="7"/>
      <c r="B50" s="108" t="s">
        <v>69</v>
      </c>
      <c r="C50" s="8"/>
      <c r="D50" s="7"/>
      <c r="E50" s="7"/>
      <c r="F50" s="7"/>
      <c r="G50" s="7"/>
      <c r="H50" s="7"/>
      <c r="I50" s="109"/>
    </row>
    <row r="51" spans="1:9" x14ac:dyDescent="0.25">
      <c r="A51" s="7"/>
      <c r="B51" s="108"/>
      <c r="C51" s="9" t="s">
        <v>57</v>
      </c>
      <c r="D51" s="10" t="s">
        <v>71</v>
      </c>
      <c r="E51" s="11"/>
      <c r="F51" s="7"/>
      <c r="G51" s="7"/>
      <c r="H51" s="7"/>
      <c r="I51" s="109"/>
    </row>
    <row r="52" spans="1:9" x14ac:dyDescent="0.25">
      <c r="A52" s="7"/>
      <c r="B52" s="108" t="s">
        <v>155</v>
      </c>
      <c r="C52" s="8"/>
      <c r="D52" s="7"/>
      <c r="E52" s="7"/>
      <c r="F52" s="7"/>
      <c r="G52" s="7"/>
      <c r="H52" s="7"/>
      <c r="I52" s="109"/>
    </row>
    <row r="53" spans="1:9" x14ac:dyDescent="0.25">
      <c r="A53" s="7"/>
      <c r="B53" s="108"/>
      <c r="C53" s="9" t="s">
        <v>57</v>
      </c>
      <c r="D53" s="141" t="s">
        <v>156</v>
      </c>
      <c r="E53" s="11"/>
      <c r="F53" s="7"/>
      <c r="G53" s="7"/>
      <c r="H53" s="7"/>
      <c r="I53" s="109"/>
    </row>
    <row r="54" spans="1:9" x14ac:dyDescent="0.25">
      <c r="A54" s="7"/>
      <c r="B54" s="108" t="s">
        <v>72</v>
      </c>
      <c r="C54" s="8"/>
      <c r="D54" s="7"/>
      <c r="E54" s="7"/>
      <c r="F54" s="7"/>
      <c r="G54" s="7"/>
      <c r="H54" s="7"/>
      <c r="I54" s="109"/>
    </row>
    <row r="55" spans="1:9" x14ac:dyDescent="0.25">
      <c r="A55" s="7"/>
      <c r="B55" s="108"/>
      <c r="C55" s="9" t="s">
        <v>57</v>
      </c>
      <c r="D55" s="142" t="s">
        <v>158</v>
      </c>
      <c r="E55" s="11"/>
      <c r="F55" s="7"/>
      <c r="G55" s="7"/>
      <c r="H55" s="7"/>
      <c r="I55" s="109"/>
    </row>
    <row r="56" spans="1:9" x14ac:dyDescent="0.25">
      <c r="A56" s="7"/>
      <c r="B56" s="108" t="s">
        <v>73</v>
      </c>
      <c r="C56" s="8"/>
      <c r="D56" s="7"/>
      <c r="E56" s="7"/>
      <c r="F56" s="7"/>
      <c r="G56" s="7"/>
      <c r="H56" s="7"/>
      <c r="I56" s="109"/>
    </row>
    <row r="57" spans="1:9" x14ac:dyDescent="0.25">
      <c r="A57" s="7"/>
      <c r="B57" s="108"/>
      <c r="C57" s="9" t="s">
        <v>57</v>
      </c>
      <c r="D57" s="143" t="s">
        <v>159</v>
      </c>
      <c r="E57" s="11"/>
      <c r="F57" s="7"/>
      <c r="G57" s="7"/>
      <c r="H57" s="7"/>
      <c r="I57" s="109"/>
    </row>
    <row r="58" spans="1:9" x14ac:dyDescent="0.25">
      <c r="A58" s="7"/>
      <c r="B58" s="108" t="s">
        <v>74</v>
      </c>
      <c r="C58" s="9"/>
      <c r="D58" s="12"/>
      <c r="E58" s="11"/>
      <c r="F58" s="7"/>
      <c r="G58" s="7"/>
      <c r="H58" s="7"/>
      <c r="I58" s="109"/>
    </row>
    <row r="59" spans="1:9" x14ac:dyDescent="0.25">
      <c r="A59" s="7"/>
      <c r="B59" s="108"/>
      <c r="C59" s="9" t="s">
        <v>57</v>
      </c>
      <c r="D59" s="115" t="s">
        <v>160</v>
      </c>
      <c r="E59" s="11"/>
      <c r="F59" s="7"/>
      <c r="G59" s="7"/>
      <c r="H59" s="7"/>
      <c r="I59" s="109"/>
    </row>
    <row r="60" spans="1:9" x14ac:dyDescent="0.25">
      <c r="A60" s="7"/>
      <c r="B60" s="108" t="s">
        <v>75</v>
      </c>
      <c r="C60" s="9"/>
      <c r="D60" s="12"/>
      <c r="E60" s="11"/>
      <c r="F60" s="7"/>
      <c r="G60" s="7"/>
      <c r="H60" s="7"/>
      <c r="I60" s="109"/>
    </row>
    <row r="61" spans="1:9" x14ac:dyDescent="0.25">
      <c r="A61" s="7"/>
      <c r="B61" s="108"/>
      <c r="C61" s="9" t="s">
        <v>57</v>
      </c>
      <c r="D61" s="12" t="s">
        <v>81</v>
      </c>
      <c r="E61" s="11"/>
      <c r="F61" s="7"/>
      <c r="G61" s="7"/>
      <c r="H61" s="7"/>
      <c r="I61" s="109"/>
    </row>
    <row r="62" spans="1:9" x14ac:dyDescent="0.25">
      <c r="A62" s="7"/>
      <c r="B62" s="108" t="s">
        <v>76</v>
      </c>
      <c r="C62" s="9"/>
      <c r="D62" s="12"/>
      <c r="E62" s="11"/>
      <c r="F62" s="7"/>
      <c r="G62" s="7"/>
      <c r="H62" s="7"/>
      <c r="I62" s="109"/>
    </row>
    <row r="63" spans="1:9" x14ac:dyDescent="0.25">
      <c r="A63" s="7"/>
      <c r="B63" s="108"/>
      <c r="C63" s="9" t="s">
        <v>57</v>
      </c>
      <c r="D63" s="12" t="s">
        <v>83</v>
      </c>
      <c r="E63" s="11"/>
      <c r="F63" s="7"/>
      <c r="G63" s="7"/>
      <c r="H63" s="7"/>
      <c r="I63" s="109"/>
    </row>
    <row r="64" spans="1:9" x14ac:dyDescent="0.25">
      <c r="A64" s="7"/>
      <c r="B64" s="108" t="s">
        <v>77</v>
      </c>
      <c r="C64" s="9"/>
      <c r="D64" s="12"/>
      <c r="E64" s="11"/>
      <c r="F64" s="7"/>
      <c r="G64" s="7"/>
      <c r="H64" s="7"/>
      <c r="I64" s="109"/>
    </row>
    <row r="65" spans="1:9" x14ac:dyDescent="0.25">
      <c r="A65" s="7"/>
      <c r="B65" s="108"/>
      <c r="C65" s="9" t="s">
        <v>57</v>
      </c>
      <c r="D65" s="12" t="s">
        <v>85</v>
      </c>
      <c r="E65" s="11"/>
      <c r="F65" s="7"/>
      <c r="G65" s="7"/>
      <c r="H65" s="7"/>
      <c r="I65" s="109"/>
    </row>
    <row r="66" spans="1:9" x14ac:dyDescent="0.25">
      <c r="A66" s="7"/>
      <c r="B66" s="108" t="s">
        <v>78</v>
      </c>
      <c r="C66" s="9"/>
      <c r="D66" s="12"/>
      <c r="E66" s="11"/>
      <c r="F66" s="7"/>
      <c r="G66" s="7"/>
      <c r="H66" s="7"/>
      <c r="I66" s="109"/>
    </row>
    <row r="67" spans="1:9" ht="31.5" customHeight="1" x14ac:dyDescent="0.25">
      <c r="A67" s="7"/>
      <c r="B67" s="108"/>
      <c r="C67" s="9" t="s">
        <v>57</v>
      </c>
      <c r="D67" s="160" t="s">
        <v>152</v>
      </c>
      <c r="E67" s="160"/>
      <c r="F67" s="160"/>
      <c r="G67" s="160"/>
      <c r="H67" s="160"/>
      <c r="I67" s="109"/>
    </row>
    <row r="68" spans="1:9" x14ac:dyDescent="0.25">
      <c r="A68" s="7"/>
      <c r="B68" s="108" t="s">
        <v>79</v>
      </c>
      <c r="C68" s="9"/>
      <c r="D68" s="12"/>
      <c r="E68" s="11"/>
      <c r="F68" s="7"/>
      <c r="G68" s="7"/>
      <c r="H68" s="7"/>
      <c r="I68" s="109"/>
    </row>
    <row r="69" spans="1:9" x14ac:dyDescent="0.25">
      <c r="A69" s="7"/>
      <c r="B69" s="108"/>
      <c r="C69" s="9" t="s">
        <v>57</v>
      </c>
      <c r="D69" s="12" t="s">
        <v>88</v>
      </c>
      <c r="E69" s="11"/>
      <c r="F69" s="7"/>
      <c r="G69" s="7"/>
      <c r="H69" s="7"/>
      <c r="I69" s="109"/>
    </row>
    <row r="70" spans="1:9" x14ac:dyDescent="0.25">
      <c r="A70" s="7"/>
      <c r="B70" s="108" t="s">
        <v>80</v>
      </c>
      <c r="C70" s="9"/>
      <c r="D70" s="12"/>
      <c r="E70" s="11"/>
      <c r="F70" s="7"/>
      <c r="G70" s="7"/>
      <c r="H70" s="7"/>
      <c r="I70" s="109"/>
    </row>
    <row r="71" spans="1:9" ht="21.75" customHeight="1" x14ac:dyDescent="0.25">
      <c r="A71" s="7"/>
      <c r="B71" s="108"/>
      <c r="C71" s="9" t="s">
        <v>57</v>
      </c>
      <c r="D71" s="12" t="s">
        <v>90</v>
      </c>
      <c r="E71" s="11"/>
      <c r="F71" s="7"/>
      <c r="G71" s="7"/>
      <c r="H71" s="7"/>
      <c r="I71" s="109"/>
    </row>
    <row r="72" spans="1:9" x14ac:dyDescent="0.25">
      <c r="A72" s="7"/>
      <c r="B72" s="108" t="s">
        <v>82</v>
      </c>
      <c r="C72" s="9"/>
      <c r="D72" s="161" t="s">
        <v>153</v>
      </c>
      <c r="E72" s="161"/>
      <c r="F72" s="161"/>
      <c r="G72" s="161"/>
      <c r="H72" s="161"/>
      <c r="I72" s="162"/>
    </row>
    <row r="73" spans="1:9" ht="30.75" customHeight="1" x14ac:dyDescent="0.25">
      <c r="A73" s="7"/>
      <c r="B73" s="108"/>
      <c r="C73" s="9" t="s">
        <v>57</v>
      </c>
      <c r="D73" s="161"/>
      <c r="E73" s="161"/>
      <c r="F73" s="161"/>
      <c r="G73" s="161"/>
      <c r="H73" s="161"/>
      <c r="I73" s="162"/>
    </row>
    <row r="74" spans="1:9" x14ac:dyDescent="0.25">
      <c r="A74" s="7"/>
      <c r="B74" s="108" t="s">
        <v>84</v>
      </c>
      <c r="C74" s="9"/>
      <c r="D74" s="12"/>
      <c r="E74" s="11"/>
      <c r="F74" s="7"/>
      <c r="G74" s="7"/>
      <c r="H74" s="7"/>
      <c r="I74" s="109"/>
    </row>
    <row r="75" spans="1:9" x14ac:dyDescent="0.25">
      <c r="A75" s="7"/>
      <c r="B75" s="108"/>
      <c r="C75" s="9" t="s">
        <v>57</v>
      </c>
      <c r="D75" s="12" t="s">
        <v>91</v>
      </c>
      <c r="E75" s="11"/>
      <c r="F75" s="7"/>
      <c r="G75" s="7"/>
      <c r="H75" s="7"/>
      <c r="I75" s="109"/>
    </row>
    <row r="76" spans="1:9" x14ac:dyDescent="0.25">
      <c r="A76" s="7"/>
      <c r="B76" s="108" t="s">
        <v>86</v>
      </c>
      <c r="C76" s="9"/>
      <c r="D76" s="12"/>
      <c r="E76" s="11"/>
      <c r="F76" s="7"/>
      <c r="G76" s="7"/>
      <c r="H76" s="7"/>
      <c r="I76" s="109"/>
    </row>
    <row r="77" spans="1:9" x14ac:dyDescent="0.25">
      <c r="A77" s="7"/>
      <c r="B77" s="108"/>
      <c r="C77" s="9" t="s">
        <v>57</v>
      </c>
      <c r="D77" s="140" t="s">
        <v>150</v>
      </c>
      <c r="E77" s="11"/>
      <c r="F77" s="7"/>
      <c r="G77" s="7"/>
      <c r="H77" s="7"/>
      <c r="I77" s="109"/>
    </row>
    <row r="78" spans="1:9" x14ac:dyDescent="0.25">
      <c r="A78" s="7"/>
      <c r="B78" s="108" t="s">
        <v>87</v>
      </c>
      <c r="C78" s="9"/>
      <c r="D78" s="116"/>
      <c r="E78" s="11"/>
      <c r="F78" s="7"/>
      <c r="G78" s="7"/>
      <c r="H78" s="7"/>
      <c r="I78" s="109"/>
    </row>
    <row r="79" spans="1:9" x14ac:dyDescent="0.25">
      <c r="A79" s="7"/>
      <c r="B79" s="108"/>
      <c r="C79" s="9" t="s">
        <v>57</v>
      </c>
      <c r="D79" s="159" t="s">
        <v>145</v>
      </c>
      <c r="E79" s="159"/>
      <c r="F79" s="7"/>
      <c r="G79" s="7"/>
      <c r="H79" s="7"/>
      <c r="I79" s="109"/>
    </row>
    <row r="80" spans="1:9" x14ac:dyDescent="0.25">
      <c r="A80" s="7"/>
      <c r="B80" s="108" t="s">
        <v>89</v>
      </c>
      <c r="C80" s="9"/>
      <c r="D80" s="116"/>
      <c r="E80" s="11"/>
      <c r="F80" s="7"/>
      <c r="G80" s="7"/>
      <c r="H80" s="7"/>
      <c r="I80" s="109"/>
    </row>
    <row r="81" spans="1:9" x14ac:dyDescent="0.25">
      <c r="A81" s="7"/>
      <c r="B81" s="108"/>
      <c r="C81" s="9" t="s">
        <v>57</v>
      </c>
      <c r="D81" s="116" t="s">
        <v>146</v>
      </c>
      <c r="E81" s="11"/>
      <c r="F81" s="7"/>
      <c r="G81" s="7"/>
      <c r="H81" s="7"/>
      <c r="I81" s="109"/>
    </row>
    <row r="82" spans="1:9" ht="21.75" customHeight="1" x14ac:dyDescent="0.25">
      <c r="A82" s="7"/>
      <c r="B82" s="110" t="s">
        <v>92</v>
      </c>
      <c r="C82" s="8"/>
      <c r="D82" s="7"/>
      <c r="E82" s="14"/>
      <c r="F82" s="7"/>
      <c r="G82" s="7"/>
      <c r="H82" s="7"/>
      <c r="I82" s="109"/>
    </row>
    <row r="83" spans="1:9" ht="181.5" customHeight="1" x14ac:dyDescent="0.25">
      <c r="A83" s="7"/>
      <c r="B83" s="108"/>
      <c r="C83" s="154" t="s">
        <v>1970</v>
      </c>
      <c r="D83" s="154"/>
      <c r="E83" s="154"/>
      <c r="F83" s="7"/>
      <c r="G83" s="7"/>
      <c r="H83" s="7"/>
      <c r="I83" s="109"/>
    </row>
    <row r="84" spans="1:9" x14ac:dyDescent="0.25">
      <c r="A84" s="7"/>
      <c r="B84" s="111" t="s">
        <v>93</v>
      </c>
      <c r="C84" s="8"/>
      <c r="D84" s="7"/>
      <c r="E84" s="14"/>
      <c r="F84" s="7"/>
      <c r="G84" s="7"/>
      <c r="H84" s="7"/>
      <c r="I84" s="109"/>
    </row>
    <row r="85" spans="1:9" ht="19.5" customHeight="1" x14ac:dyDescent="0.25">
      <c r="A85" s="7"/>
      <c r="B85" s="108"/>
      <c r="C85" s="154" t="s">
        <v>1969</v>
      </c>
      <c r="D85" s="154"/>
      <c r="E85" s="154"/>
      <c r="F85" s="7"/>
      <c r="G85" s="7"/>
      <c r="H85" s="7"/>
      <c r="I85" s="109"/>
    </row>
    <row r="86" spans="1:9" x14ac:dyDescent="0.25">
      <c r="A86" s="7"/>
      <c r="B86" s="111" t="s">
        <v>94</v>
      </c>
      <c r="C86" s="103"/>
      <c r="D86" s="15"/>
      <c r="E86" s="15"/>
      <c r="F86" s="7"/>
      <c r="G86" s="7"/>
      <c r="H86" s="7"/>
      <c r="I86" s="109"/>
    </row>
    <row r="87" spans="1:9" x14ac:dyDescent="0.25">
      <c r="A87" s="7"/>
      <c r="B87" s="108"/>
      <c r="C87" s="155" t="s">
        <v>95</v>
      </c>
      <c r="D87" s="155"/>
      <c r="E87" s="155"/>
      <c r="F87" s="7"/>
      <c r="G87" s="7"/>
      <c r="H87" s="7"/>
      <c r="I87" s="109"/>
    </row>
    <row r="88" spans="1:9" x14ac:dyDescent="0.25">
      <c r="A88" s="7"/>
      <c r="B88" s="111" t="s">
        <v>96</v>
      </c>
      <c r="C88" s="8"/>
      <c r="D88" s="7"/>
      <c r="E88" s="7"/>
      <c r="F88" s="7"/>
      <c r="G88" s="7"/>
      <c r="H88" s="7"/>
      <c r="I88" s="109"/>
    </row>
    <row r="89" spans="1:9" ht="14.25" thickBot="1" x14ac:dyDescent="0.3">
      <c r="A89" s="7"/>
      <c r="B89" s="112"/>
      <c r="C89" s="214" t="s">
        <v>157</v>
      </c>
      <c r="D89" s="113"/>
      <c r="E89" s="113"/>
      <c r="F89" s="113"/>
      <c r="G89" s="113"/>
      <c r="H89" s="113"/>
      <c r="I89" s="114"/>
    </row>
  </sheetData>
  <mergeCells count="14">
    <mergeCell ref="C83:E83"/>
    <mergeCell ref="C85:E85"/>
    <mergeCell ref="C87:E87"/>
    <mergeCell ref="B2:H2"/>
    <mergeCell ref="A4:B4"/>
    <mergeCell ref="C4:E4"/>
    <mergeCell ref="A5:B5"/>
    <mergeCell ref="C5:E5"/>
    <mergeCell ref="A6:B6"/>
    <mergeCell ref="A7:B7"/>
    <mergeCell ref="D79:E79"/>
    <mergeCell ref="D37:F37"/>
    <mergeCell ref="D67:H67"/>
    <mergeCell ref="D72:I73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1"/>
  <sheetViews>
    <sheetView zoomScale="85" zoomScaleNormal="85" workbookViewId="0">
      <selection activeCell="B182" sqref="B96:B182"/>
    </sheetView>
  </sheetViews>
  <sheetFormatPr baseColWidth="10" defaultRowHeight="15" x14ac:dyDescent="0.25"/>
  <cols>
    <col min="1" max="1" width="5.28515625" style="145" customWidth="1"/>
    <col min="2" max="3" width="11.42578125" style="145"/>
    <col min="4" max="4" width="14.28515625" style="145" customWidth="1"/>
    <col min="5" max="5" width="16.7109375" style="145" customWidth="1"/>
    <col min="6" max="6" width="6.7109375" style="145" customWidth="1"/>
    <col min="7" max="7" width="18.5703125" style="145" customWidth="1"/>
    <col min="8" max="8" width="22.5703125" style="145" customWidth="1"/>
    <col min="9" max="9" width="76.28515625" style="145" customWidth="1"/>
    <col min="10" max="16384" width="11.42578125" style="145"/>
  </cols>
  <sheetData>
    <row r="1" spans="1:8" x14ac:dyDescent="0.25">
      <c r="A1" s="144"/>
      <c r="B1" s="163" t="s">
        <v>163</v>
      </c>
      <c r="C1" s="163"/>
      <c r="D1" s="163"/>
      <c r="E1" s="163"/>
      <c r="F1" s="163"/>
      <c r="G1" s="163"/>
      <c r="H1" s="163"/>
    </row>
    <row r="2" spans="1:8" x14ac:dyDescent="0.25">
      <c r="A2" s="144"/>
      <c r="B2" s="146" t="s">
        <v>164</v>
      </c>
      <c r="C2" s="146" t="s">
        <v>165</v>
      </c>
      <c r="D2" s="146" t="s">
        <v>166</v>
      </c>
      <c r="E2" s="146" t="s">
        <v>167</v>
      </c>
      <c r="F2" s="146" t="s">
        <v>168</v>
      </c>
      <c r="G2" s="146" t="s">
        <v>169</v>
      </c>
      <c r="H2" s="146" t="s">
        <v>170</v>
      </c>
    </row>
    <row r="3" spans="1:8" s="150" customFormat="1" x14ac:dyDescent="0.25">
      <c r="A3" s="147">
        <v>1</v>
      </c>
      <c r="B3" s="148" t="s">
        <v>171</v>
      </c>
      <c r="C3" s="148" t="s">
        <v>172</v>
      </c>
      <c r="D3" s="148" t="s">
        <v>173</v>
      </c>
      <c r="E3" s="148" t="s">
        <v>174</v>
      </c>
      <c r="F3" s="149">
        <v>2008</v>
      </c>
      <c r="G3" s="148" t="s">
        <v>175</v>
      </c>
      <c r="H3" s="148" t="s">
        <v>176</v>
      </c>
    </row>
    <row r="4" spans="1:8" s="150" customFormat="1" x14ac:dyDescent="0.25">
      <c r="A4" s="147">
        <v>2</v>
      </c>
      <c r="B4" s="148" t="s">
        <v>171</v>
      </c>
      <c r="C4" s="148" t="s">
        <v>177</v>
      </c>
      <c r="D4" s="148" t="s">
        <v>173</v>
      </c>
      <c r="E4" s="148" t="s">
        <v>178</v>
      </c>
      <c r="F4" s="149">
        <v>2013</v>
      </c>
      <c r="G4" s="148" t="s">
        <v>179</v>
      </c>
      <c r="H4" s="148" t="s">
        <v>180</v>
      </c>
    </row>
    <row r="5" spans="1:8" s="150" customFormat="1" x14ac:dyDescent="0.25">
      <c r="A5" s="147">
        <v>3</v>
      </c>
      <c r="B5" s="148" t="s">
        <v>171</v>
      </c>
      <c r="C5" s="148" t="s">
        <v>181</v>
      </c>
      <c r="D5" s="148" t="s">
        <v>173</v>
      </c>
      <c r="E5" s="148" t="s">
        <v>178</v>
      </c>
      <c r="F5" s="149">
        <v>2013</v>
      </c>
      <c r="G5" s="148" t="s">
        <v>182</v>
      </c>
      <c r="H5" s="148" t="s">
        <v>183</v>
      </c>
    </row>
    <row r="6" spans="1:8" s="150" customFormat="1" x14ac:dyDescent="0.25">
      <c r="A6" s="147">
        <v>4</v>
      </c>
      <c r="B6" s="148" t="s">
        <v>171</v>
      </c>
      <c r="C6" s="148" t="s">
        <v>184</v>
      </c>
      <c r="D6" s="148" t="s">
        <v>173</v>
      </c>
      <c r="E6" s="148" t="s">
        <v>178</v>
      </c>
      <c r="F6" s="149">
        <v>2013</v>
      </c>
      <c r="G6" s="148" t="s">
        <v>185</v>
      </c>
      <c r="H6" s="148" t="s">
        <v>186</v>
      </c>
    </row>
    <row r="7" spans="1:8" s="150" customFormat="1" x14ac:dyDescent="0.25">
      <c r="A7" s="147">
        <v>5</v>
      </c>
      <c r="B7" s="148" t="s">
        <v>171</v>
      </c>
      <c r="C7" s="148" t="s">
        <v>187</v>
      </c>
      <c r="D7" s="148" t="s">
        <v>188</v>
      </c>
      <c r="E7" s="148" t="s">
        <v>189</v>
      </c>
      <c r="F7" s="149">
        <v>2011</v>
      </c>
      <c r="G7" s="148" t="s">
        <v>190</v>
      </c>
      <c r="H7" s="148" t="s">
        <v>191</v>
      </c>
    </row>
    <row r="8" spans="1:8" s="150" customFormat="1" x14ac:dyDescent="0.25">
      <c r="A8" s="147">
        <v>6</v>
      </c>
      <c r="B8" s="148" t="s">
        <v>171</v>
      </c>
      <c r="C8" s="148" t="s">
        <v>192</v>
      </c>
      <c r="D8" s="148" t="s">
        <v>188</v>
      </c>
      <c r="E8" s="148" t="s">
        <v>193</v>
      </c>
      <c r="F8" s="149">
        <v>2015</v>
      </c>
      <c r="G8" s="148" t="s">
        <v>194</v>
      </c>
      <c r="H8" s="148" t="s">
        <v>195</v>
      </c>
    </row>
    <row r="9" spans="1:8" s="150" customFormat="1" x14ac:dyDescent="0.25">
      <c r="A9" s="147">
        <v>7</v>
      </c>
      <c r="B9" s="148" t="s">
        <v>171</v>
      </c>
      <c r="C9" s="148" t="s">
        <v>196</v>
      </c>
      <c r="D9" s="148" t="s">
        <v>188</v>
      </c>
      <c r="E9" s="148" t="s">
        <v>193</v>
      </c>
      <c r="F9" s="149">
        <v>2015</v>
      </c>
      <c r="G9" s="148" t="s">
        <v>197</v>
      </c>
      <c r="H9" s="148" t="s">
        <v>198</v>
      </c>
    </row>
    <row r="10" spans="1:8" s="150" customFormat="1" x14ac:dyDescent="0.25">
      <c r="A10" s="147">
        <v>8</v>
      </c>
      <c r="B10" s="148" t="s">
        <v>171</v>
      </c>
      <c r="C10" s="148" t="s">
        <v>199</v>
      </c>
      <c r="D10" s="148" t="s">
        <v>188</v>
      </c>
      <c r="E10" s="148" t="s">
        <v>189</v>
      </c>
      <c r="F10" s="149">
        <v>2014</v>
      </c>
      <c r="G10" s="148" t="s">
        <v>200</v>
      </c>
      <c r="H10" s="148" t="s">
        <v>201</v>
      </c>
    </row>
    <row r="11" spans="1:8" s="150" customFormat="1" x14ac:dyDescent="0.25">
      <c r="A11" s="147">
        <v>9</v>
      </c>
      <c r="B11" s="148" t="s">
        <v>171</v>
      </c>
      <c r="C11" s="148" t="s">
        <v>202</v>
      </c>
      <c r="D11" s="148" t="s">
        <v>203</v>
      </c>
      <c r="E11" s="148" t="s">
        <v>204</v>
      </c>
      <c r="F11" s="149">
        <v>2005</v>
      </c>
      <c r="G11" s="148" t="s">
        <v>205</v>
      </c>
      <c r="H11" s="148" t="s">
        <v>206</v>
      </c>
    </row>
    <row r="12" spans="1:8" s="150" customFormat="1" x14ac:dyDescent="0.25">
      <c r="A12" s="147">
        <v>10</v>
      </c>
      <c r="B12" s="148" t="s">
        <v>171</v>
      </c>
      <c r="C12" s="148" t="s">
        <v>207</v>
      </c>
      <c r="D12" s="148" t="s">
        <v>203</v>
      </c>
      <c r="E12" s="148" t="s">
        <v>208</v>
      </c>
      <c r="F12" s="149">
        <v>2008</v>
      </c>
      <c r="G12" s="148" t="s">
        <v>209</v>
      </c>
      <c r="H12" s="148" t="s">
        <v>210</v>
      </c>
    </row>
    <row r="13" spans="1:8" s="150" customFormat="1" x14ac:dyDescent="0.25">
      <c r="A13" s="147">
        <v>11</v>
      </c>
      <c r="B13" s="148" t="s">
        <v>171</v>
      </c>
      <c r="C13" s="148" t="s">
        <v>211</v>
      </c>
      <c r="D13" s="148" t="s">
        <v>212</v>
      </c>
      <c r="E13" s="148" t="s">
        <v>213</v>
      </c>
      <c r="F13" s="149">
        <v>2020</v>
      </c>
      <c r="G13" s="148" t="s">
        <v>214</v>
      </c>
      <c r="H13" s="148" t="s">
        <v>215</v>
      </c>
    </row>
    <row r="14" spans="1:8" s="150" customFormat="1" x14ac:dyDescent="0.25">
      <c r="A14" s="147">
        <v>12</v>
      </c>
      <c r="B14" s="148" t="s">
        <v>171</v>
      </c>
      <c r="C14" s="148" t="s">
        <v>216</v>
      </c>
      <c r="D14" s="148" t="s">
        <v>173</v>
      </c>
      <c r="E14" s="148" t="s">
        <v>217</v>
      </c>
      <c r="F14" s="149">
        <v>2017</v>
      </c>
      <c r="G14" s="148" t="s">
        <v>218</v>
      </c>
      <c r="H14" s="148" t="s">
        <v>219</v>
      </c>
    </row>
    <row r="15" spans="1:8" s="150" customFormat="1" x14ac:dyDescent="0.25">
      <c r="A15" s="147">
        <v>13</v>
      </c>
      <c r="B15" s="148" t="s">
        <v>171</v>
      </c>
      <c r="C15" s="148" t="s">
        <v>220</v>
      </c>
      <c r="D15" s="148" t="s">
        <v>221</v>
      </c>
      <c r="E15" s="148" t="s">
        <v>222</v>
      </c>
      <c r="F15" s="149">
        <v>2013</v>
      </c>
      <c r="G15" s="148" t="s">
        <v>223</v>
      </c>
      <c r="H15" s="148" t="s">
        <v>224</v>
      </c>
    </row>
    <row r="16" spans="1:8" s="150" customFormat="1" x14ac:dyDescent="0.25">
      <c r="A16" s="147">
        <v>14</v>
      </c>
      <c r="B16" s="148" t="s">
        <v>171</v>
      </c>
      <c r="C16" s="148" t="s">
        <v>225</v>
      </c>
      <c r="D16" s="148" t="s">
        <v>221</v>
      </c>
      <c r="E16" s="148" t="s">
        <v>222</v>
      </c>
      <c r="F16" s="149">
        <v>2012</v>
      </c>
      <c r="G16" s="148" t="s">
        <v>226</v>
      </c>
      <c r="H16" s="148" t="s">
        <v>227</v>
      </c>
    </row>
    <row r="17" spans="1:12" s="150" customFormat="1" x14ac:dyDescent="0.25">
      <c r="A17" s="147">
        <v>15</v>
      </c>
      <c r="B17" s="148" t="s">
        <v>171</v>
      </c>
      <c r="C17" s="148" t="s">
        <v>228</v>
      </c>
      <c r="D17" s="148" t="s">
        <v>221</v>
      </c>
      <c r="E17" s="148" t="s">
        <v>229</v>
      </c>
      <c r="F17" s="149">
        <v>2015</v>
      </c>
      <c r="G17" s="148" t="s">
        <v>230</v>
      </c>
      <c r="H17" s="148" t="s">
        <v>231</v>
      </c>
    </row>
    <row r="18" spans="1:12" s="150" customFormat="1" x14ac:dyDescent="0.25">
      <c r="A18" s="147">
        <v>16</v>
      </c>
      <c r="B18" s="148" t="s">
        <v>171</v>
      </c>
      <c r="C18" s="148" t="s">
        <v>232</v>
      </c>
      <c r="D18" s="148" t="s">
        <v>221</v>
      </c>
      <c r="E18" s="148" t="s">
        <v>229</v>
      </c>
      <c r="F18" s="149">
        <v>2015</v>
      </c>
      <c r="G18" s="148" t="s">
        <v>233</v>
      </c>
      <c r="H18" s="148" t="s">
        <v>234</v>
      </c>
    </row>
    <row r="19" spans="1:12" s="150" customFormat="1" x14ac:dyDescent="0.25">
      <c r="A19" s="147">
        <v>17</v>
      </c>
      <c r="B19" s="148" t="s">
        <v>171</v>
      </c>
      <c r="C19" s="148" t="s">
        <v>235</v>
      </c>
      <c r="D19" s="148" t="s">
        <v>221</v>
      </c>
      <c r="E19" s="148" t="s">
        <v>229</v>
      </c>
      <c r="F19" s="149">
        <v>2015</v>
      </c>
      <c r="G19" s="148" t="s">
        <v>236</v>
      </c>
      <c r="H19" s="148" t="s">
        <v>237</v>
      </c>
    </row>
    <row r="20" spans="1:12" s="150" customFormat="1" x14ac:dyDescent="0.25">
      <c r="A20" s="147">
        <v>18</v>
      </c>
      <c r="B20" s="148" t="s">
        <v>171</v>
      </c>
      <c r="C20" s="148" t="s">
        <v>238</v>
      </c>
      <c r="D20" s="148" t="s">
        <v>221</v>
      </c>
      <c r="E20" s="148" t="s">
        <v>229</v>
      </c>
      <c r="F20" s="149">
        <v>2015</v>
      </c>
      <c r="G20" s="148" t="s">
        <v>239</v>
      </c>
      <c r="H20" s="148" t="s">
        <v>240</v>
      </c>
    </row>
    <row r="21" spans="1:12" s="150" customFormat="1" x14ac:dyDescent="0.25">
      <c r="A21" s="147">
        <v>19</v>
      </c>
      <c r="B21" s="148" t="s">
        <v>171</v>
      </c>
      <c r="C21" s="148" t="s">
        <v>241</v>
      </c>
      <c r="D21" s="148" t="s">
        <v>221</v>
      </c>
      <c r="E21" s="148" t="s">
        <v>229</v>
      </c>
      <c r="F21" s="149">
        <v>2015</v>
      </c>
      <c r="G21" s="148" t="s">
        <v>242</v>
      </c>
      <c r="H21" s="148" t="s">
        <v>243</v>
      </c>
    </row>
    <row r="22" spans="1:12" s="150" customFormat="1" x14ac:dyDescent="0.25">
      <c r="A22" s="147">
        <v>20</v>
      </c>
      <c r="B22" s="148" t="s">
        <v>171</v>
      </c>
      <c r="C22" s="148" t="s">
        <v>244</v>
      </c>
      <c r="D22" s="148" t="s">
        <v>221</v>
      </c>
      <c r="E22" s="148" t="s">
        <v>229</v>
      </c>
      <c r="F22" s="149">
        <v>2015</v>
      </c>
      <c r="G22" s="148" t="s">
        <v>245</v>
      </c>
      <c r="H22" s="148" t="s">
        <v>246</v>
      </c>
    </row>
    <row r="23" spans="1:12" s="150" customFormat="1" x14ac:dyDescent="0.25">
      <c r="A23" s="147">
        <v>21</v>
      </c>
      <c r="B23" s="148" t="s">
        <v>171</v>
      </c>
      <c r="C23" s="148" t="s">
        <v>247</v>
      </c>
      <c r="D23" s="148" t="s">
        <v>221</v>
      </c>
      <c r="E23" s="148" t="s">
        <v>229</v>
      </c>
      <c r="F23" s="149">
        <v>2015</v>
      </c>
      <c r="G23" s="148" t="s">
        <v>248</v>
      </c>
      <c r="H23" s="148" t="s">
        <v>249</v>
      </c>
    </row>
    <row r="24" spans="1:12" s="150" customFormat="1" x14ac:dyDescent="0.25">
      <c r="A24" s="147">
        <v>22</v>
      </c>
      <c r="B24" s="148" t="s">
        <v>171</v>
      </c>
      <c r="C24" s="148" t="s">
        <v>250</v>
      </c>
      <c r="D24" s="148" t="s">
        <v>221</v>
      </c>
      <c r="E24" s="148" t="s">
        <v>229</v>
      </c>
      <c r="F24" s="149">
        <v>2017</v>
      </c>
      <c r="G24" s="148" t="s">
        <v>251</v>
      </c>
      <c r="H24" s="148" t="s">
        <v>252</v>
      </c>
    </row>
    <row r="25" spans="1:12" x14ac:dyDescent="0.25">
      <c r="A25" s="144"/>
      <c r="B25" s="163" t="s">
        <v>253</v>
      </c>
      <c r="C25" s="163"/>
      <c r="D25" s="163"/>
      <c r="E25" s="163"/>
      <c r="F25" s="163"/>
      <c r="G25" s="163"/>
      <c r="H25" s="163"/>
    </row>
    <row r="26" spans="1:12" x14ac:dyDescent="0.25">
      <c r="A26" s="144"/>
      <c r="B26" s="146" t="s">
        <v>164</v>
      </c>
      <c r="C26" s="146" t="s">
        <v>165</v>
      </c>
      <c r="D26" s="146" t="s">
        <v>166</v>
      </c>
      <c r="E26" s="146" t="s">
        <v>167</v>
      </c>
      <c r="F26" s="146" t="s">
        <v>168</v>
      </c>
      <c r="G26" s="146" t="s">
        <v>169</v>
      </c>
      <c r="H26" s="146" t="s">
        <v>170</v>
      </c>
    </row>
    <row r="27" spans="1:12" x14ac:dyDescent="0.25">
      <c r="A27" s="144">
        <v>1</v>
      </c>
      <c r="B27" s="144" t="s">
        <v>254</v>
      </c>
      <c r="C27" s="144" t="s">
        <v>255</v>
      </c>
      <c r="D27" s="144" t="s">
        <v>256</v>
      </c>
      <c r="E27" s="144" t="s">
        <v>257</v>
      </c>
      <c r="F27" s="144">
        <v>2009</v>
      </c>
      <c r="G27" s="144" t="s">
        <v>258</v>
      </c>
      <c r="H27" s="144" t="s">
        <v>259</v>
      </c>
    </row>
    <row r="28" spans="1:12" x14ac:dyDescent="0.25">
      <c r="A28" s="144">
        <v>2</v>
      </c>
      <c r="B28" s="144" t="s">
        <v>260</v>
      </c>
      <c r="C28" s="144" t="s">
        <v>261</v>
      </c>
      <c r="D28" s="144" t="s">
        <v>256</v>
      </c>
      <c r="E28" s="144" t="s">
        <v>262</v>
      </c>
      <c r="F28" s="144">
        <v>2018</v>
      </c>
      <c r="G28" s="144" t="s">
        <v>263</v>
      </c>
      <c r="H28" s="144" t="s">
        <v>264</v>
      </c>
    </row>
    <row r="29" spans="1:12" x14ac:dyDescent="0.25">
      <c r="A29" s="144">
        <v>3</v>
      </c>
      <c r="B29" s="144" t="s">
        <v>265</v>
      </c>
      <c r="C29" s="144" t="s">
        <v>266</v>
      </c>
      <c r="D29" s="144" t="s">
        <v>256</v>
      </c>
      <c r="E29" s="144" t="s">
        <v>267</v>
      </c>
      <c r="F29" s="144">
        <v>2009</v>
      </c>
      <c r="G29" s="144" t="s">
        <v>268</v>
      </c>
      <c r="H29" s="144" t="s">
        <v>269</v>
      </c>
    </row>
    <row r="30" spans="1:12" x14ac:dyDescent="0.25">
      <c r="A30" s="144">
        <v>4</v>
      </c>
      <c r="B30" s="144" t="s">
        <v>270</v>
      </c>
      <c r="C30" s="144" t="s">
        <v>271</v>
      </c>
      <c r="D30" s="144" t="s">
        <v>272</v>
      </c>
      <c r="E30" s="144" t="s">
        <v>273</v>
      </c>
      <c r="F30" s="144">
        <v>2007</v>
      </c>
      <c r="G30" s="144" t="s">
        <v>274</v>
      </c>
      <c r="H30" s="144" t="s">
        <v>275</v>
      </c>
    </row>
    <row r="31" spans="1:12" x14ac:dyDescent="0.25">
      <c r="A31" s="144">
        <v>5</v>
      </c>
      <c r="B31" s="144" t="s">
        <v>276</v>
      </c>
      <c r="C31" s="144" t="s">
        <v>277</v>
      </c>
      <c r="D31" s="144" t="s">
        <v>203</v>
      </c>
      <c r="E31" s="144"/>
      <c r="F31" s="144">
        <v>2009</v>
      </c>
      <c r="G31" s="144">
        <v>36057009</v>
      </c>
      <c r="H31" s="144" t="s">
        <v>278</v>
      </c>
      <c r="L31" s="151"/>
    </row>
    <row r="32" spans="1:12" x14ac:dyDescent="0.25">
      <c r="A32" s="144">
        <v>6</v>
      </c>
      <c r="B32" s="144" t="s">
        <v>279</v>
      </c>
      <c r="C32" s="144" t="s">
        <v>280</v>
      </c>
      <c r="D32" s="144" t="s">
        <v>203</v>
      </c>
      <c r="E32" s="144" t="s">
        <v>281</v>
      </c>
      <c r="F32" s="144">
        <v>2009</v>
      </c>
      <c r="G32" s="144">
        <v>36059297</v>
      </c>
      <c r="H32" s="144" t="s">
        <v>282</v>
      </c>
      <c r="L32" s="151"/>
    </row>
    <row r="33" spans="1:12" x14ac:dyDescent="0.25">
      <c r="A33" s="144">
        <v>7</v>
      </c>
      <c r="B33" s="144" t="s">
        <v>283</v>
      </c>
      <c r="C33" s="144" t="s">
        <v>284</v>
      </c>
      <c r="D33" s="144" t="s">
        <v>203</v>
      </c>
      <c r="E33" s="152">
        <v>13180</v>
      </c>
      <c r="F33" s="144">
        <v>2009</v>
      </c>
      <c r="G33" s="144" t="s">
        <v>285</v>
      </c>
      <c r="H33" s="144" t="s">
        <v>286</v>
      </c>
      <c r="L33" s="151"/>
    </row>
    <row r="34" spans="1:12" x14ac:dyDescent="0.25">
      <c r="A34" s="144">
        <v>8</v>
      </c>
      <c r="B34" s="144" t="s">
        <v>287</v>
      </c>
      <c r="C34" s="144" t="s">
        <v>288</v>
      </c>
      <c r="D34" s="144" t="s">
        <v>203</v>
      </c>
      <c r="E34" s="144" t="s">
        <v>289</v>
      </c>
      <c r="F34" s="144">
        <v>2009</v>
      </c>
      <c r="G34" s="144" t="s">
        <v>290</v>
      </c>
      <c r="H34" s="144" t="s">
        <v>291</v>
      </c>
    </row>
    <row r="35" spans="1:12" x14ac:dyDescent="0.25">
      <c r="A35" s="144"/>
      <c r="B35" s="164" t="s">
        <v>292</v>
      </c>
      <c r="C35" s="164"/>
      <c r="D35" s="164"/>
      <c r="E35" s="164"/>
      <c r="F35" s="164"/>
      <c r="G35" s="164"/>
      <c r="H35" s="164"/>
    </row>
    <row r="36" spans="1:12" x14ac:dyDescent="0.25">
      <c r="A36" s="144"/>
      <c r="B36" s="146" t="s">
        <v>164</v>
      </c>
      <c r="C36" s="146" t="s">
        <v>165</v>
      </c>
      <c r="D36" s="146" t="s">
        <v>166</v>
      </c>
      <c r="E36" s="146" t="s">
        <v>167</v>
      </c>
      <c r="F36" s="146" t="s">
        <v>168</v>
      </c>
      <c r="G36" s="146" t="s">
        <v>169</v>
      </c>
      <c r="H36" s="146" t="s">
        <v>170</v>
      </c>
    </row>
    <row r="37" spans="1:12" x14ac:dyDescent="0.25">
      <c r="A37" s="144">
        <v>1</v>
      </c>
      <c r="B37" s="144" t="s">
        <v>293</v>
      </c>
      <c r="C37" s="144" t="s">
        <v>294</v>
      </c>
      <c r="D37" s="144" t="s">
        <v>272</v>
      </c>
      <c r="E37" s="144" t="s">
        <v>295</v>
      </c>
      <c r="F37" s="144">
        <v>2021</v>
      </c>
      <c r="G37" s="144" t="s">
        <v>296</v>
      </c>
      <c r="H37" s="144" t="s">
        <v>297</v>
      </c>
    </row>
    <row r="38" spans="1:12" x14ac:dyDescent="0.25">
      <c r="A38" s="144">
        <v>2</v>
      </c>
      <c r="B38" s="144" t="s">
        <v>298</v>
      </c>
      <c r="C38" s="144" t="s">
        <v>299</v>
      </c>
      <c r="D38" s="144" t="s">
        <v>256</v>
      </c>
      <c r="E38" s="144" t="s">
        <v>300</v>
      </c>
      <c r="F38" s="144">
        <v>2018</v>
      </c>
      <c r="G38" s="144" t="s">
        <v>301</v>
      </c>
      <c r="H38" s="144" t="s">
        <v>302</v>
      </c>
    </row>
    <row r="39" spans="1:12" x14ac:dyDescent="0.25">
      <c r="A39" s="144">
        <v>3</v>
      </c>
      <c r="B39" s="144" t="s">
        <v>303</v>
      </c>
      <c r="C39" s="144" t="s">
        <v>304</v>
      </c>
      <c r="D39" s="144" t="s">
        <v>188</v>
      </c>
      <c r="E39" s="144" t="s">
        <v>305</v>
      </c>
      <c r="F39" s="144">
        <v>2018</v>
      </c>
      <c r="G39" s="144" t="s">
        <v>306</v>
      </c>
      <c r="H39" s="144" t="s">
        <v>307</v>
      </c>
    </row>
    <row r="40" spans="1:12" x14ac:dyDescent="0.25">
      <c r="A40" s="144">
        <v>4</v>
      </c>
      <c r="B40" s="144" t="s">
        <v>303</v>
      </c>
      <c r="C40" s="144" t="s">
        <v>308</v>
      </c>
      <c r="D40" s="144" t="s">
        <v>212</v>
      </c>
      <c r="E40" s="144" t="s">
        <v>309</v>
      </c>
      <c r="F40" s="144">
        <v>2015</v>
      </c>
      <c r="G40" s="144" t="s">
        <v>310</v>
      </c>
      <c r="H40" s="144" t="s">
        <v>311</v>
      </c>
    </row>
    <row r="41" spans="1:12" x14ac:dyDescent="0.25">
      <c r="A41" s="144">
        <v>5</v>
      </c>
      <c r="B41" s="144" t="s">
        <v>303</v>
      </c>
      <c r="C41" s="144" t="s">
        <v>312</v>
      </c>
      <c r="D41" s="144" t="s">
        <v>212</v>
      </c>
      <c r="E41" s="144" t="s">
        <v>309</v>
      </c>
      <c r="F41" s="144">
        <v>2015</v>
      </c>
      <c r="G41" s="144" t="s">
        <v>313</v>
      </c>
      <c r="H41" s="144" t="s">
        <v>314</v>
      </c>
    </row>
    <row r="42" spans="1:12" x14ac:dyDescent="0.25">
      <c r="A42" s="144">
        <v>6</v>
      </c>
      <c r="B42" s="144" t="s">
        <v>303</v>
      </c>
      <c r="C42" s="144" t="s">
        <v>315</v>
      </c>
      <c r="D42" s="144" t="s">
        <v>188</v>
      </c>
      <c r="E42" s="144" t="s">
        <v>316</v>
      </c>
      <c r="F42" s="144">
        <v>2014</v>
      </c>
      <c r="G42" s="144" t="s">
        <v>317</v>
      </c>
      <c r="H42" s="144" t="s">
        <v>318</v>
      </c>
    </row>
    <row r="43" spans="1:12" x14ac:dyDescent="0.25">
      <c r="A43" s="144">
        <v>7</v>
      </c>
      <c r="B43" s="144" t="s">
        <v>303</v>
      </c>
      <c r="C43" s="144" t="s">
        <v>319</v>
      </c>
      <c r="D43" s="144" t="s">
        <v>272</v>
      </c>
      <c r="E43" s="144" t="s">
        <v>320</v>
      </c>
      <c r="F43" s="144">
        <v>2006</v>
      </c>
      <c r="G43" s="144" t="s">
        <v>321</v>
      </c>
      <c r="H43" s="144" t="s">
        <v>322</v>
      </c>
    </row>
    <row r="44" spans="1:12" x14ac:dyDescent="0.25">
      <c r="A44" s="144">
        <v>8</v>
      </c>
      <c r="B44" s="144" t="s">
        <v>303</v>
      </c>
      <c r="C44" s="144" t="s">
        <v>323</v>
      </c>
      <c r="D44" s="144" t="s">
        <v>324</v>
      </c>
      <c r="E44" s="144" t="s">
        <v>325</v>
      </c>
      <c r="F44" s="144">
        <v>2008</v>
      </c>
      <c r="G44" s="144" t="s">
        <v>326</v>
      </c>
      <c r="H44" s="144" t="s">
        <v>327</v>
      </c>
    </row>
    <row r="45" spans="1:12" x14ac:dyDescent="0.25">
      <c r="A45" s="144">
        <v>9</v>
      </c>
      <c r="B45" s="144" t="s">
        <v>303</v>
      </c>
      <c r="C45" s="144" t="s">
        <v>328</v>
      </c>
      <c r="D45" s="144" t="s">
        <v>324</v>
      </c>
      <c r="E45" s="144" t="s">
        <v>325</v>
      </c>
      <c r="F45" s="144">
        <v>2008</v>
      </c>
      <c r="G45" s="144" t="s">
        <v>329</v>
      </c>
      <c r="H45" s="144" t="s">
        <v>330</v>
      </c>
    </row>
    <row r="46" spans="1:12" x14ac:dyDescent="0.25">
      <c r="A46" s="144">
        <v>10</v>
      </c>
      <c r="B46" s="144" t="s">
        <v>303</v>
      </c>
      <c r="C46" s="144" t="s">
        <v>331</v>
      </c>
      <c r="D46" s="144" t="s">
        <v>212</v>
      </c>
      <c r="E46" s="144" t="s">
        <v>332</v>
      </c>
      <c r="F46" s="144">
        <v>2008</v>
      </c>
      <c r="G46" s="144" t="s">
        <v>333</v>
      </c>
      <c r="H46" s="144" t="s">
        <v>334</v>
      </c>
    </row>
    <row r="47" spans="1:12" x14ac:dyDescent="0.25">
      <c r="A47" s="144"/>
      <c r="B47" s="163" t="s">
        <v>335</v>
      </c>
      <c r="C47" s="163"/>
      <c r="D47" s="163"/>
      <c r="E47" s="163"/>
      <c r="F47" s="163"/>
      <c r="G47" s="163"/>
      <c r="H47" s="163"/>
    </row>
    <row r="48" spans="1:12" x14ac:dyDescent="0.25">
      <c r="A48" s="144"/>
      <c r="B48" s="146" t="s">
        <v>164</v>
      </c>
      <c r="C48" s="146" t="s">
        <v>165</v>
      </c>
      <c r="D48" s="146" t="s">
        <v>166</v>
      </c>
      <c r="E48" s="146" t="s">
        <v>167</v>
      </c>
      <c r="F48" s="146" t="s">
        <v>168</v>
      </c>
      <c r="G48" s="146" t="s">
        <v>169</v>
      </c>
      <c r="H48" s="146" t="s">
        <v>170</v>
      </c>
    </row>
    <row r="49" spans="1:8" x14ac:dyDescent="0.25">
      <c r="A49" s="144">
        <v>1</v>
      </c>
      <c r="B49" s="144" t="s">
        <v>336</v>
      </c>
      <c r="C49" s="144" t="s">
        <v>337</v>
      </c>
      <c r="D49" s="144" t="s">
        <v>221</v>
      </c>
      <c r="E49" s="144" t="s">
        <v>338</v>
      </c>
      <c r="F49" s="144">
        <v>2020</v>
      </c>
      <c r="G49" s="144" t="s">
        <v>339</v>
      </c>
      <c r="H49" s="144" t="s">
        <v>340</v>
      </c>
    </row>
    <row r="50" spans="1:8" x14ac:dyDescent="0.25">
      <c r="A50" s="144">
        <v>2</v>
      </c>
      <c r="B50" s="144" t="s">
        <v>336</v>
      </c>
      <c r="C50" s="144" t="s">
        <v>341</v>
      </c>
      <c r="D50" s="144" t="s">
        <v>221</v>
      </c>
      <c r="E50" s="144" t="s">
        <v>338</v>
      </c>
      <c r="F50" s="144">
        <v>2020</v>
      </c>
      <c r="G50" s="144" t="s">
        <v>342</v>
      </c>
      <c r="H50" s="144" t="s">
        <v>343</v>
      </c>
    </row>
    <row r="51" spans="1:8" x14ac:dyDescent="0.25">
      <c r="A51" s="144">
        <v>3</v>
      </c>
      <c r="B51" s="144" t="s">
        <v>336</v>
      </c>
      <c r="C51" s="144" t="s">
        <v>344</v>
      </c>
      <c r="D51" s="144" t="s">
        <v>221</v>
      </c>
      <c r="E51" s="144" t="s">
        <v>338</v>
      </c>
      <c r="F51" s="144">
        <v>2020</v>
      </c>
      <c r="G51" s="144" t="s">
        <v>345</v>
      </c>
      <c r="H51" s="144" t="s">
        <v>346</v>
      </c>
    </row>
    <row r="52" spans="1:8" x14ac:dyDescent="0.25">
      <c r="A52" s="144">
        <v>4</v>
      </c>
      <c r="B52" s="144" t="s">
        <v>336</v>
      </c>
      <c r="C52" s="144" t="s">
        <v>347</v>
      </c>
      <c r="D52" s="144" t="s">
        <v>221</v>
      </c>
      <c r="E52" s="144" t="s">
        <v>338</v>
      </c>
      <c r="F52" s="144">
        <v>2020</v>
      </c>
      <c r="G52" s="144" t="s">
        <v>348</v>
      </c>
      <c r="H52" s="144" t="s">
        <v>349</v>
      </c>
    </row>
    <row r="53" spans="1:8" x14ac:dyDescent="0.25">
      <c r="A53" s="144">
        <v>5</v>
      </c>
      <c r="B53" s="144" t="s">
        <v>336</v>
      </c>
      <c r="C53" s="144" t="s">
        <v>350</v>
      </c>
      <c r="D53" s="144" t="s">
        <v>221</v>
      </c>
      <c r="E53" s="144" t="s">
        <v>338</v>
      </c>
      <c r="F53" s="144">
        <v>2020</v>
      </c>
      <c r="G53" s="144" t="s">
        <v>351</v>
      </c>
      <c r="H53" s="144" t="s">
        <v>352</v>
      </c>
    </row>
    <row r="54" spans="1:8" x14ac:dyDescent="0.25">
      <c r="A54" s="144">
        <v>6</v>
      </c>
      <c r="B54" s="144" t="s">
        <v>336</v>
      </c>
      <c r="C54" s="144" t="s">
        <v>353</v>
      </c>
      <c r="D54" s="144" t="s">
        <v>221</v>
      </c>
      <c r="E54" s="144" t="s">
        <v>338</v>
      </c>
      <c r="F54" s="144">
        <v>2020</v>
      </c>
      <c r="G54" s="144" t="s">
        <v>354</v>
      </c>
      <c r="H54" s="144" t="s">
        <v>355</v>
      </c>
    </row>
    <row r="55" spans="1:8" x14ac:dyDescent="0.25">
      <c r="A55" s="144">
        <v>7</v>
      </c>
      <c r="B55" s="144" t="s">
        <v>336</v>
      </c>
      <c r="C55" s="144" t="s">
        <v>356</v>
      </c>
      <c r="D55" s="144" t="s">
        <v>221</v>
      </c>
      <c r="E55" s="144" t="s">
        <v>338</v>
      </c>
      <c r="F55" s="144">
        <v>2020</v>
      </c>
      <c r="G55" s="144" t="s">
        <v>357</v>
      </c>
      <c r="H55" s="144" t="s">
        <v>358</v>
      </c>
    </row>
    <row r="56" spans="1:8" x14ac:dyDescent="0.25">
      <c r="A56" s="144">
        <v>8</v>
      </c>
      <c r="B56" s="144" t="s">
        <v>336</v>
      </c>
      <c r="C56" s="144" t="s">
        <v>359</v>
      </c>
      <c r="D56" s="144" t="s">
        <v>221</v>
      </c>
      <c r="E56" s="144" t="s">
        <v>338</v>
      </c>
      <c r="F56" s="144">
        <v>2020</v>
      </c>
      <c r="G56" s="144" t="s">
        <v>360</v>
      </c>
      <c r="H56" s="144" t="s">
        <v>361</v>
      </c>
    </row>
    <row r="57" spans="1:8" x14ac:dyDescent="0.25">
      <c r="A57" s="144">
        <v>9</v>
      </c>
      <c r="B57" s="144" t="s">
        <v>336</v>
      </c>
      <c r="C57" s="144" t="s">
        <v>362</v>
      </c>
      <c r="D57" s="144" t="s">
        <v>221</v>
      </c>
      <c r="E57" s="144" t="s">
        <v>338</v>
      </c>
      <c r="F57" s="144">
        <v>2020</v>
      </c>
      <c r="G57" s="144" t="s">
        <v>363</v>
      </c>
      <c r="H57" s="144" t="s">
        <v>364</v>
      </c>
    </row>
    <row r="58" spans="1:8" x14ac:dyDescent="0.25">
      <c r="A58" s="144">
        <v>10</v>
      </c>
      <c r="B58" s="144" t="s">
        <v>336</v>
      </c>
      <c r="C58" s="144" t="s">
        <v>365</v>
      </c>
      <c r="D58" s="144" t="s">
        <v>221</v>
      </c>
      <c r="E58" s="144" t="s">
        <v>338</v>
      </c>
      <c r="F58" s="144">
        <v>2020</v>
      </c>
      <c r="G58" s="144" t="s">
        <v>366</v>
      </c>
      <c r="H58" s="144" t="s">
        <v>367</v>
      </c>
    </row>
    <row r="59" spans="1:8" x14ac:dyDescent="0.25">
      <c r="A59" s="144">
        <v>11</v>
      </c>
      <c r="B59" s="144" t="s">
        <v>336</v>
      </c>
      <c r="C59" s="144" t="s">
        <v>368</v>
      </c>
      <c r="D59" s="144" t="s">
        <v>221</v>
      </c>
      <c r="E59" s="144" t="s">
        <v>338</v>
      </c>
      <c r="F59" s="144">
        <v>2020</v>
      </c>
      <c r="G59" s="144" t="s">
        <v>369</v>
      </c>
      <c r="H59" s="144" t="s">
        <v>370</v>
      </c>
    </row>
    <row r="60" spans="1:8" x14ac:dyDescent="0.25">
      <c r="A60" s="144">
        <v>12</v>
      </c>
      <c r="B60" s="144" t="s">
        <v>336</v>
      </c>
      <c r="C60" s="144" t="s">
        <v>371</v>
      </c>
      <c r="D60" s="144" t="s">
        <v>221</v>
      </c>
      <c r="E60" s="144" t="s">
        <v>338</v>
      </c>
      <c r="F60" s="144">
        <v>2020</v>
      </c>
      <c r="G60" s="144" t="s">
        <v>372</v>
      </c>
      <c r="H60" s="144" t="s">
        <v>373</v>
      </c>
    </row>
    <row r="61" spans="1:8" x14ac:dyDescent="0.25">
      <c r="A61" s="144">
        <v>13</v>
      </c>
      <c r="B61" s="144" t="s">
        <v>336</v>
      </c>
      <c r="C61" s="144" t="s">
        <v>374</v>
      </c>
      <c r="D61" s="144" t="s">
        <v>221</v>
      </c>
      <c r="E61" s="144" t="s">
        <v>338</v>
      </c>
      <c r="F61" s="144">
        <v>2020</v>
      </c>
      <c r="G61" s="144" t="s">
        <v>375</v>
      </c>
      <c r="H61" s="144" t="s">
        <v>376</v>
      </c>
    </row>
    <row r="62" spans="1:8" x14ac:dyDescent="0.25">
      <c r="A62" s="144">
        <v>14</v>
      </c>
      <c r="B62" s="144" t="s">
        <v>336</v>
      </c>
      <c r="C62" s="144" t="s">
        <v>377</v>
      </c>
      <c r="D62" s="144" t="s">
        <v>221</v>
      </c>
      <c r="E62" s="144" t="s">
        <v>338</v>
      </c>
      <c r="F62" s="144">
        <v>2020</v>
      </c>
      <c r="G62" s="144" t="s">
        <v>378</v>
      </c>
      <c r="H62" s="144" t="s">
        <v>379</v>
      </c>
    </row>
    <row r="63" spans="1:8" x14ac:dyDescent="0.25">
      <c r="A63" s="144">
        <v>15</v>
      </c>
      <c r="B63" s="144" t="s">
        <v>336</v>
      </c>
      <c r="C63" s="144" t="s">
        <v>380</v>
      </c>
      <c r="D63" s="144" t="s">
        <v>221</v>
      </c>
      <c r="E63" s="144" t="s">
        <v>338</v>
      </c>
      <c r="F63" s="144">
        <v>2020</v>
      </c>
      <c r="G63" s="144" t="s">
        <v>381</v>
      </c>
      <c r="H63" s="144" t="s">
        <v>382</v>
      </c>
    </row>
    <row r="64" spans="1:8" x14ac:dyDescent="0.25">
      <c r="A64" s="144">
        <v>16</v>
      </c>
      <c r="B64" s="144" t="s">
        <v>336</v>
      </c>
      <c r="C64" s="144" t="s">
        <v>383</v>
      </c>
      <c r="D64" s="144" t="s">
        <v>221</v>
      </c>
      <c r="E64" s="144" t="s">
        <v>338</v>
      </c>
      <c r="F64" s="144">
        <v>2020</v>
      </c>
      <c r="G64" s="144" t="s">
        <v>384</v>
      </c>
      <c r="H64" s="144" t="s">
        <v>385</v>
      </c>
    </row>
    <row r="65" spans="1:12" x14ac:dyDescent="0.25">
      <c r="A65" s="144">
        <v>17</v>
      </c>
      <c r="B65" s="144" t="s">
        <v>336</v>
      </c>
      <c r="C65" s="153" t="s">
        <v>386</v>
      </c>
      <c r="D65" s="144" t="s">
        <v>221</v>
      </c>
      <c r="E65" s="144" t="s">
        <v>338</v>
      </c>
      <c r="F65" s="144">
        <v>2020</v>
      </c>
      <c r="G65" s="144" t="s">
        <v>387</v>
      </c>
      <c r="H65" s="144" t="s">
        <v>388</v>
      </c>
    </row>
    <row r="66" spans="1:12" x14ac:dyDescent="0.25">
      <c r="A66" s="144">
        <v>18</v>
      </c>
      <c r="B66" s="144" t="s">
        <v>336</v>
      </c>
      <c r="C66" s="153" t="s">
        <v>389</v>
      </c>
      <c r="D66" s="144" t="s">
        <v>221</v>
      </c>
      <c r="E66" s="144" t="s">
        <v>338</v>
      </c>
      <c r="F66" s="144">
        <v>2020</v>
      </c>
      <c r="G66" s="144" t="s">
        <v>390</v>
      </c>
      <c r="H66" s="144" t="s">
        <v>391</v>
      </c>
    </row>
    <row r="67" spans="1:12" x14ac:dyDescent="0.25">
      <c r="A67" s="144">
        <v>19</v>
      </c>
      <c r="B67" s="144" t="s">
        <v>336</v>
      </c>
      <c r="C67" s="153" t="s">
        <v>392</v>
      </c>
      <c r="D67" s="144" t="s">
        <v>221</v>
      </c>
      <c r="E67" s="144" t="s">
        <v>393</v>
      </c>
      <c r="F67" s="144">
        <v>2020</v>
      </c>
      <c r="G67" s="144" t="s">
        <v>394</v>
      </c>
      <c r="H67" s="144" t="s">
        <v>395</v>
      </c>
    </row>
    <row r="68" spans="1:12" x14ac:dyDescent="0.25">
      <c r="A68" s="144">
        <v>20</v>
      </c>
      <c r="B68" s="144" t="s">
        <v>336</v>
      </c>
      <c r="C68" s="153" t="s">
        <v>396</v>
      </c>
      <c r="D68" s="144" t="s">
        <v>221</v>
      </c>
      <c r="E68" s="144" t="s">
        <v>338</v>
      </c>
      <c r="F68" s="144">
        <v>2020</v>
      </c>
      <c r="G68" s="144" t="s">
        <v>397</v>
      </c>
      <c r="H68" s="144" t="s">
        <v>398</v>
      </c>
    </row>
    <row r="69" spans="1:12" x14ac:dyDescent="0.25">
      <c r="A69" s="144">
        <v>21</v>
      </c>
      <c r="B69" s="144" t="s">
        <v>336</v>
      </c>
      <c r="C69" s="153" t="s">
        <v>399</v>
      </c>
      <c r="D69" s="144" t="s">
        <v>221</v>
      </c>
      <c r="E69" s="144" t="s">
        <v>338</v>
      </c>
      <c r="F69" s="144">
        <v>2020</v>
      </c>
      <c r="G69" s="144" t="s">
        <v>400</v>
      </c>
      <c r="H69" s="144" t="s">
        <v>401</v>
      </c>
    </row>
    <row r="70" spans="1:12" x14ac:dyDescent="0.25">
      <c r="A70" s="144">
        <v>22</v>
      </c>
      <c r="B70" s="144" t="s">
        <v>336</v>
      </c>
      <c r="C70" s="153" t="s">
        <v>402</v>
      </c>
      <c r="D70" s="144" t="s">
        <v>403</v>
      </c>
      <c r="E70" s="144" t="s">
        <v>404</v>
      </c>
      <c r="F70" s="144">
        <v>2021</v>
      </c>
      <c r="G70" s="144" t="s">
        <v>405</v>
      </c>
      <c r="H70" s="144" t="s">
        <v>406</v>
      </c>
    </row>
    <row r="71" spans="1:12" x14ac:dyDescent="0.25">
      <c r="A71" s="144">
        <v>23</v>
      </c>
      <c r="B71" s="144" t="s">
        <v>336</v>
      </c>
      <c r="C71" s="153" t="s">
        <v>407</v>
      </c>
      <c r="D71" s="144" t="s">
        <v>403</v>
      </c>
      <c r="E71" s="144" t="s">
        <v>404</v>
      </c>
      <c r="F71" s="144">
        <v>2021</v>
      </c>
      <c r="G71" s="144" t="s">
        <v>408</v>
      </c>
      <c r="H71" s="144" t="s">
        <v>409</v>
      </c>
    </row>
    <row r="72" spans="1:12" x14ac:dyDescent="0.25">
      <c r="A72" s="144">
        <v>24</v>
      </c>
      <c r="B72" s="144" t="s">
        <v>336</v>
      </c>
      <c r="C72" s="153" t="s">
        <v>410</v>
      </c>
      <c r="D72" s="144" t="s">
        <v>403</v>
      </c>
      <c r="E72" s="144" t="s">
        <v>404</v>
      </c>
      <c r="F72" s="144">
        <v>2021</v>
      </c>
      <c r="G72" s="144" t="s">
        <v>411</v>
      </c>
      <c r="H72" s="144" t="s">
        <v>412</v>
      </c>
    </row>
    <row r="73" spans="1:12" x14ac:dyDescent="0.25">
      <c r="A73" s="144">
        <v>25</v>
      </c>
      <c r="B73" s="144" t="s">
        <v>336</v>
      </c>
      <c r="C73" s="153" t="s">
        <v>413</v>
      </c>
      <c r="D73" s="144" t="s">
        <v>403</v>
      </c>
      <c r="E73" s="144" t="s">
        <v>404</v>
      </c>
      <c r="F73" s="144">
        <v>2021</v>
      </c>
      <c r="G73" s="144" t="s">
        <v>414</v>
      </c>
      <c r="H73" s="144" t="s">
        <v>415</v>
      </c>
    </row>
    <row r="74" spans="1:12" x14ac:dyDescent="0.25">
      <c r="A74" s="144">
        <v>26</v>
      </c>
      <c r="B74" s="144" t="s">
        <v>336</v>
      </c>
      <c r="C74" s="153" t="s">
        <v>416</v>
      </c>
      <c r="D74" s="144" t="s">
        <v>403</v>
      </c>
      <c r="E74" s="144" t="s">
        <v>404</v>
      </c>
      <c r="F74" s="144">
        <v>2021</v>
      </c>
      <c r="G74" s="144" t="s">
        <v>417</v>
      </c>
      <c r="H74" s="144" t="s">
        <v>418</v>
      </c>
    </row>
    <row r="75" spans="1:12" x14ac:dyDescent="0.25">
      <c r="A75" s="144">
        <v>27</v>
      </c>
      <c r="B75" s="144" t="s">
        <v>336</v>
      </c>
      <c r="C75" s="153" t="s">
        <v>419</v>
      </c>
      <c r="D75" s="144" t="s">
        <v>221</v>
      </c>
      <c r="E75" s="144" t="s">
        <v>420</v>
      </c>
      <c r="F75" s="144">
        <v>2020</v>
      </c>
      <c r="G75" s="144" t="s">
        <v>421</v>
      </c>
      <c r="H75" s="144" t="s">
        <v>422</v>
      </c>
      <c r="L75" s="151"/>
    </row>
    <row r="76" spans="1:12" x14ac:dyDescent="0.25">
      <c r="A76" s="144">
        <v>28</v>
      </c>
      <c r="B76" s="144" t="s">
        <v>336</v>
      </c>
      <c r="C76" s="153" t="s">
        <v>423</v>
      </c>
      <c r="D76" s="144" t="s">
        <v>221</v>
      </c>
      <c r="E76" s="144" t="s">
        <v>424</v>
      </c>
      <c r="F76" s="144">
        <v>2020</v>
      </c>
      <c r="G76" s="144" t="s">
        <v>425</v>
      </c>
      <c r="H76" s="144" t="s">
        <v>426</v>
      </c>
      <c r="L76" s="151"/>
    </row>
    <row r="77" spans="1:12" x14ac:dyDescent="0.25">
      <c r="A77" s="144">
        <v>29</v>
      </c>
      <c r="B77" s="144" t="s">
        <v>336</v>
      </c>
      <c r="C77" s="153" t="s">
        <v>427</v>
      </c>
      <c r="D77" s="144" t="s">
        <v>221</v>
      </c>
      <c r="E77" s="144" t="s">
        <v>424</v>
      </c>
      <c r="F77" s="144">
        <v>2020</v>
      </c>
      <c r="G77" s="144" t="s">
        <v>428</v>
      </c>
      <c r="H77" s="144" t="s">
        <v>429</v>
      </c>
      <c r="L77" s="151"/>
    </row>
    <row r="78" spans="1:12" x14ac:dyDescent="0.25">
      <c r="A78" s="144">
        <v>30</v>
      </c>
      <c r="B78" s="144" t="s">
        <v>336</v>
      </c>
      <c r="C78" s="153" t="s">
        <v>430</v>
      </c>
      <c r="D78" s="144" t="s">
        <v>221</v>
      </c>
      <c r="E78" s="144" t="s">
        <v>424</v>
      </c>
      <c r="F78" s="144">
        <v>2020</v>
      </c>
      <c r="G78" s="144" t="s">
        <v>431</v>
      </c>
      <c r="H78" s="144" t="s">
        <v>432</v>
      </c>
      <c r="L78" s="151"/>
    </row>
    <row r="79" spans="1:12" x14ac:dyDescent="0.25">
      <c r="A79" s="144">
        <v>31</v>
      </c>
      <c r="B79" s="144" t="s">
        <v>336</v>
      </c>
      <c r="C79" s="153" t="s">
        <v>433</v>
      </c>
      <c r="D79" s="144" t="s">
        <v>221</v>
      </c>
      <c r="E79" s="144" t="s">
        <v>420</v>
      </c>
      <c r="F79" s="144">
        <v>2020</v>
      </c>
      <c r="G79" s="144" t="s">
        <v>434</v>
      </c>
      <c r="H79" s="144" t="s">
        <v>435</v>
      </c>
      <c r="L79" s="151"/>
    </row>
    <row r="80" spans="1:12" x14ac:dyDescent="0.25">
      <c r="A80" s="144">
        <v>32</v>
      </c>
      <c r="B80" s="144" t="s">
        <v>336</v>
      </c>
      <c r="C80" s="153" t="s">
        <v>436</v>
      </c>
      <c r="D80" s="144" t="s">
        <v>221</v>
      </c>
      <c r="E80" s="144" t="s">
        <v>420</v>
      </c>
      <c r="F80" s="144">
        <v>2020</v>
      </c>
      <c r="G80" s="144" t="s">
        <v>437</v>
      </c>
      <c r="H80" s="144" t="s">
        <v>438</v>
      </c>
      <c r="L80" s="151"/>
    </row>
    <row r="81" spans="1:12" x14ac:dyDescent="0.25">
      <c r="A81" s="144">
        <v>33</v>
      </c>
      <c r="B81" s="144" t="s">
        <v>336</v>
      </c>
      <c r="C81" s="153" t="s">
        <v>439</v>
      </c>
      <c r="D81" s="144" t="s">
        <v>221</v>
      </c>
      <c r="E81" s="144" t="s">
        <v>424</v>
      </c>
      <c r="F81" s="144">
        <v>2020</v>
      </c>
      <c r="G81" s="144" t="s">
        <v>440</v>
      </c>
      <c r="H81" s="144" t="s">
        <v>441</v>
      </c>
      <c r="L81" s="151"/>
    </row>
    <row r="82" spans="1:12" x14ac:dyDescent="0.25">
      <c r="A82" s="144">
        <v>34</v>
      </c>
      <c r="B82" s="144" t="s">
        <v>336</v>
      </c>
      <c r="C82" s="144" t="s">
        <v>442</v>
      </c>
      <c r="D82" s="144" t="s">
        <v>173</v>
      </c>
      <c r="E82" s="144" t="s">
        <v>443</v>
      </c>
      <c r="F82" s="144">
        <v>2019</v>
      </c>
      <c r="G82" s="144" t="s">
        <v>444</v>
      </c>
      <c r="H82" s="144" t="s">
        <v>445</v>
      </c>
    </row>
    <row r="83" spans="1:12" x14ac:dyDescent="0.25">
      <c r="A83" s="144">
        <v>35</v>
      </c>
      <c r="B83" s="144" t="s">
        <v>336</v>
      </c>
      <c r="C83" s="144" t="s">
        <v>446</v>
      </c>
      <c r="D83" s="144" t="s">
        <v>173</v>
      </c>
      <c r="E83" s="144" t="s">
        <v>443</v>
      </c>
      <c r="F83" s="144">
        <v>2019</v>
      </c>
      <c r="G83" s="144" t="s">
        <v>447</v>
      </c>
      <c r="H83" s="144" t="s">
        <v>448</v>
      </c>
    </row>
    <row r="84" spans="1:12" x14ac:dyDescent="0.25">
      <c r="A84" s="144">
        <v>36</v>
      </c>
      <c r="B84" s="144" t="s">
        <v>336</v>
      </c>
      <c r="C84" s="144" t="s">
        <v>449</v>
      </c>
      <c r="D84" s="144" t="s">
        <v>173</v>
      </c>
      <c r="E84" s="144" t="s">
        <v>443</v>
      </c>
      <c r="F84" s="144">
        <v>2019</v>
      </c>
      <c r="G84" s="144" t="s">
        <v>450</v>
      </c>
      <c r="H84" s="144" t="s">
        <v>451</v>
      </c>
    </row>
    <row r="85" spans="1:12" x14ac:dyDescent="0.25">
      <c r="A85" s="144">
        <v>37</v>
      </c>
      <c r="B85" s="144" t="s">
        <v>336</v>
      </c>
      <c r="C85" s="144" t="s">
        <v>452</v>
      </c>
      <c r="D85" s="144" t="s">
        <v>173</v>
      </c>
      <c r="E85" s="144" t="s">
        <v>443</v>
      </c>
      <c r="F85" s="144">
        <v>2019</v>
      </c>
      <c r="G85" s="144" t="s">
        <v>453</v>
      </c>
      <c r="H85" s="144" t="s">
        <v>454</v>
      </c>
    </row>
    <row r="86" spans="1:12" x14ac:dyDescent="0.25">
      <c r="A86" s="144">
        <v>38</v>
      </c>
      <c r="B86" s="144" t="s">
        <v>336</v>
      </c>
      <c r="C86" s="144" t="s">
        <v>455</v>
      </c>
      <c r="D86" s="144" t="s">
        <v>173</v>
      </c>
      <c r="E86" s="144" t="s">
        <v>443</v>
      </c>
      <c r="F86" s="144">
        <v>2019</v>
      </c>
      <c r="G86" s="144" t="s">
        <v>456</v>
      </c>
      <c r="H86" s="144" t="s">
        <v>457</v>
      </c>
    </row>
    <row r="87" spans="1:12" x14ac:dyDescent="0.25">
      <c r="A87" s="144">
        <v>39</v>
      </c>
      <c r="B87" s="144" t="s">
        <v>336</v>
      </c>
      <c r="C87" s="144" t="s">
        <v>458</v>
      </c>
      <c r="D87" s="144" t="s">
        <v>173</v>
      </c>
      <c r="E87" s="144" t="s">
        <v>443</v>
      </c>
      <c r="F87" s="144">
        <v>2019</v>
      </c>
      <c r="G87" s="144" t="s">
        <v>459</v>
      </c>
      <c r="H87" s="144" t="s">
        <v>460</v>
      </c>
    </row>
    <row r="88" spans="1:12" x14ac:dyDescent="0.25">
      <c r="A88" s="144">
        <v>40</v>
      </c>
      <c r="B88" s="144" t="s">
        <v>336</v>
      </c>
      <c r="C88" s="144" t="s">
        <v>461</v>
      </c>
      <c r="D88" s="144" t="s">
        <v>173</v>
      </c>
      <c r="E88" s="144" t="s">
        <v>443</v>
      </c>
      <c r="F88" s="144">
        <v>2019</v>
      </c>
      <c r="G88" s="144" t="s">
        <v>462</v>
      </c>
      <c r="H88" s="144" t="s">
        <v>463</v>
      </c>
    </row>
    <row r="89" spans="1:12" x14ac:dyDescent="0.25">
      <c r="A89" s="144">
        <v>41</v>
      </c>
      <c r="B89" s="144" t="s">
        <v>336</v>
      </c>
      <c r="C89" s="144" t="s">
        <v>464</v>
      </c>
      <c r="D89" s="144" t="s">
        <v>173</v>
      </c>
      <c r="E89" s="144" t="s">
        <v>443</v>
      </c>
      <c r="F89" s="144">
        <v>2019</v>
      </c>
      <c r="G89" s="144" t="s">
        <v>465</v>
      </c>
      <c r="H89" s="144" t="s">
        <v>466</v>
      </c>
    </row>
    <row r="90" spans="1:12" x14ac:dyDescent="0.25">
      <c r="A90" s="144">
        <v>42</v>
      </c>
      <c r="B90" s="144" t="s">
        <v>336</v>
      </c>
      <c r="C90" s="144" t="s">
        <v>467</v>
      </c>
      <c r="D90" s="144" t="s">
        <v>173</v>
      </c>
      <c r="E90" s="144" t="s">
        <v>443</v>
      </c>
      <c r="F90" s="144">
        <v>2019</v>
      </c>
      <c r="G90" s="144" t="s">
        <v>468</v>
      </c>
      <c r="H90" s="144" t="s">
        <v>469</v>
      </c>
    </row>
    <row r="91" spans="1:12" x14ac:dyDescent="0.25">
      <c r="A91" s="144">
        <v>43</v>
      </c>
      <c r="B91" s="144" t="s">
        <v>336</v>
      </c>
      <c r="C91" s="144" t="s">
        <v>470</v>
      </c>
      <c r="D91" s="144" t="s">
        <v>173</v>
      </c>
      <c r="E91" s="144" t="s">
        <v>443</v>
      </c>
      <c r="F91" s="144">
        <v>2019</v>
      </c>
      <c r="G91" s="144" t="s">
        <v>471</v>
      </c>
      <c r="H91" s="144" t="s">
        <v>472</v>
      </c>
    </row>
    <row r="92" spans="1:12" x14ac:dyDescent="0.25">
      <c r="A92" s="144">
        <v>44</v>
      </c>
      <c r="B92" s="144" t="s">
        <v>336</v>
      </c>
      <c r="C92" s="144" t="s">
        <v>473</v>
      </c>
      <c r="D92" s="144" t="s">
        <v>173</v>
      </c>
      <c r="E92" s="144" t="s">
        <v>443</v>
      </c>
      <c r="F92" s="144">
        <v>2019</v>
      </c>
      <c r="G92" s="144" t="s">
        <v>474</v>
      </c>
      <c r="H92" s="144" t="s">
        <v>475</v>
      </c>
    </row>
    <row r="93" spans="1:12" x14ac:dyDescent="0.25">
      <c r="A93" s="144">
        <v>45</v>
      </c>
      <c r="B93" s="144" t="s">
        <v>336</v>
      </c>
      <c r="C93" s="144" t="s">
        <v>476</v>
      </c>
      <c r="D93" s="144" t="s">
        <v>173</v>
      </c>
      <c r="E93" s="144" t="s">
        <v>443</v>
      </c>
      <c r="F93" s="144">
        <v>2019</v>
      </c>
      <c r="G93" s="144" t="s">
        <v>477</v>
      </c>
      <c r="H93" s="144" t="s">
        <v>478</v>
      </c>
    </row>
    <row r="94" spans="1:12" x14ac:dyDescent="0.25">
      <c r="A94" s="144">
        <v>46</v>
      </c>
      <c r="B94" s="144" t="s">
        <v>336</v>
      </c>
      <c r="C94" s="144" t="s">
        <v>479</v>
      </c>
      <c r="D94" s="144" t="s">
        <v>173</v>
      </c>
      <c r="E94" s="144" t="s">
        <v>443</v>
      </c>
      <c r="F94" s="144">
        <v>2019</v>
      </c>
      <c r="G94" s="144" t="s">
        <v>480</v>
      </c>
      <c r="H94" s="144" t="s">
        <v>481</v>
      </c>
    </row>
    <row r="95" spans="1:12" x14ac:dyDescent="0.25">
      <c r="A95" s="144">
        <v>47</v>
      </c>
      <c r="B95" s="144" t="s">
        <v>336</v>
      </c>
      <c r="C95" s="144" t="s">
        <v>482</v>
      </c>
      <c r="D95" s="144" t="s">
        <v>221</v>
      </c>
      <c r="E95" s="144" t="s">
        <v>483</v>
      </c>
      <c r="F95" s="144">
        <v>2019</v>
      </c>
      <c r="G95" s="144" t="s">
        <v>484</v>
      </c>
      <c r="H95" s="144" t="s">
        <v>485</v>
      </c>
      <c r="L95" s="151"/>
    </row>
    <row r="96" spans="1:12" x14ac:dyDescent="0.25">
      <c r="A96" s="144">
        <v>63</v>
      </c>
      <c r="B96" s="144" t="s">
        <v>336</v>
      </c>
      <c r="C96" s="144" t="s">
        <v>486</v>
      </c>
      <c r="D96" s="144" t="s">
        <v>203</v>
      </c>
      <c r="E96" s="144" t="s">
        <v>487</v>
      </c>
      <c r="F96" s="144">
        <v>2015</v>
      </c>
      <c r="G96" s="144" t="s">
        <v>488</v>
      </c>
      <c r="H96" s="144" t="s">
        <v>489</v>
      </c>
    </row>
    <row r="97" spans="1:8" x14ac:dyDescent="0.25">
      <c r="A97" s="144">
        <v>64</v>
      </c>
      <c r="B97" s="144" t="s">
        <v>336</v>
      </c>
      <c r="C97" s="144" t="s">
        <v>490</v>
      </c>
      <c r="D97" s="144" t="s">
        <v>203</v>
      </c>
      <c r="E97" s="144" t="s">
        <v>487</v>
      </c>
      <c r="F97" s="144">
        <v>2015</v>
      </c>
      <c r="G97" s="144" t="s">
        <v>491</v>
      </c>
      <c r="H97" s="144" t="s">
        <v>492</v>
      </c>
    </row>
    <row r="98" spans="1:8" x14ac:dyDescent="0.25">
      <c r="A98" s="144"/>
      <c r="B98" s="146" t="s">
        <v>164</v>
      </c>
      <c r="C98" s="146" t="s">
        <v>165</v>
      </c>
      <c r="D98" s="146" t="s">
        <v>166</v>
      </c>
      <c r="E98" s="146" t="s">
        <v>167</v>
      </c>
      <c r="F98" s="146" t="s">
        <v>168</v>
      </c>
      <c r="G98" s="146" t="s">
        <v>169</v>
      </c>
      <c r="H98" s="146" t="s">
        <v>170</v>
      </c>
    </row>
    <row r="99" spans="1:8" x14ac:dyDescent="0.25">
      <c r="A99" s="144">
        <v>22</v>
      </c>
      <c r="B99" s="144" t="s">
        <v>336</v>
      </c>
      <c r="C99" s="144" t="s">
        <v>493</v>
      </c>
      <c r="D99" s="144" t="s">
        <v>256</v>
      </c>
      <c r="E99" s="144" t="s">
        <v>494</v>
      </c>
      <c r="F99" s="144">
        <v>1998</v>
      </c>
      <c r="G99" s="144" t="s">
        <v>495</v>
      </c>
      <c r="H99" s="144" t="s">
        <v>496</v>
      </c>
    </row>
    <row r="100" spans="1:8" x14ac:dyDescent="0.25">
      <c r="A100" s="144">
        <v>23</v>
      </c>
      <c r="B100" s="144" t="s">
        <v>336</v>
      </c>
      <c r="C100" s="144" t="s">
        <v>497</v>
      </c>
      <c r="D100" s="144" t="s">
        <v>203</v>
      </c>
      <c r="E100" s="144" t="s">
        <v>498</v>
      </c>
      <c r="F100" s="144">
        <v>2015</v>
      </c>
      <c r="G100" s="144" t="s">
        <v>499</v>
      </c>
      <c r="H100" s="144" t="s">
        <v>500</v>
      </c>
    </row>
    <row r="101" spans="1:8" x14ac:dyDescent="0.25">
      <c r="A101" s="144">
        <v>24</v>
      </c>
      <c r="B101" s="144" t="s">
        <v>336</v>
      </c>
      <c r="C101" s="144" t="s">
        <v>501</v>
      </c>
      <c r="D101" s="144" t="s">
        <v>256</v>
      </c>
      <c r="E101" s="144" t="s">
        <v>502</v>
      </c>
      <c r="F101" s="144">
        <v>2010</v>
      </c>
      <c r="G101" s="144" t="s">
        <v>503</v>
      </c>
      <c r="H101" s="144" t="s">
        <v>504</v>
      </c>
    </row>
    <row r="102" spans="1:8" x14ac:dyDescent="0.25">
      <c r="A102" s="144">
        <v>25</v>
      </c>
      <c r="B102" s="144" t="s">
        <v>336</v>
      </c>
      <c r="C102" s="144" t="s">
        <v>505</v>
      </c>
      <c r="D102" s="144" t="s">
        <v>221</v>
      </c>
      <c r="E102" s="144" t="s">
        <v>338</v>
      </c>
      <c r="F102" s="144">
        <v>2015</v>
      </c>
      <c r="G102" s="144" t="s">
        <v>506</v>
      </c>
      <c r="H102" s="144" t="s">
        <v>507</v>
      </c>
    </row>
    <row r="103" spans="1:8" x14ac:dyDescent="0.25">
      <c r="A103" s="144">
        <v>26</v>
      </c>
      <c r="B103" s="144" t="s">
        <v>336</v>
      </c>
      <c r="C103" s="144" t="s">
        <v>508</v>
      </c>
      <c r="D103" s="144" t="s">
        <v>221</v>
      </c>
      <c r="E103" s="144" t="s">
        <v>338</v>
      </c>
      <c r="F103" s="144">
        <v>2015</v>
      </c>
      <c r="G103" s="144" t="s">
        <v>509</v>
      </c>
      <c r="H103" s="144" t="s">
        <v>507</v>
      </c>
    </row>
    <row r="104" spans="1:8" x14ac:dyDescent="0.25">
      <c r="A104" s="144">
        <v>27</v>
      </c>
      <c r="B104" s="144" t="s">
        <v>336</v>
      </c>
      <c r="C104" s="144" t="s">
        <v>510</v>
      </c>
      <c r="D104" s="144" t="s">
        <v>221</v>
      </c>
      <c r="E104" s="144" t="s">
        <v>338</v>
      </c>
      <c r="F104" s="144">
        <v>2015</v>
      </c>
      <c r="G104" s="144" t="s">
        <v>511</v>
      </c>
      <c r="H104" s="144" t="s">
        <v>512</v>
      </c>
    </row>
    <row r="105" spans="1:8" x14ac:dyDescent="0.25">
      <c r="A105" s="144">
        <v>28</v>
      </c>
      <c r="B105" s="144" t="s">
        <v>336</v>
      </c>
      <c r="C105" s="144" t="s">
        <v>513</v>
      </c>
      <c r="D105" s="144" t="s">
        <v>221</v>
      </c>
      <c r="E105" s="144" t="s">
        <v>338</v>
      </c>
      <c r="F105" s="144">
        <v>2012</v>
      </c>
      <c r="G105" s="144" t="s">
        <v>514</v>
      </c>
      <c r="H105" s="144" t="s">
        <v>515</v>
      </c>
    </row>
    <row r="106" spans="1:8" x14ac:dyDescent="0.25">
      <c r="A106" s="144">
        <v>29</v>
      </c>
      <c r="B106" s="144" t="s">
        <v>336</v>
      </c>
      <c r="C106" s="144" t="s">
        <v>516</v>
      </c>
      <c r="D106" s="144" t="s">
        <v>221</v>
      </c>
      <c r="E106" s="144" t="s">
        <v>338</v>
      </c>
      <c r="F106" s="144">
        <v>2015</v>
      </c>
      <c r="G106" s="144" t="s">
        <v>517</v>
      </c>
      <c r="H106" s="144" t="s">
        <v>518</v>
      </c>
    </row>
    <row r="107" spans="1:8" x14ac:dyDescent="0.25">
      <c r="A107" s="144">
        <v>30</v>
      </c>
      <c r="B107" s="144" t="s">
        <v>336</v>
      </c>
      <c r="C107" s="144" t="s">
        <v>519</v>
      </c>
      <c r="D107" s="144" t="s">
        <v>221</v>
      </c>
      <c r="E107" s="144" t="s">
        <v>338</v>
      </c>
      <c r="F107" s="144">
        <v>2015</v>
      </c>
      <c r="G107" s="144" t="s">
        <v>520</v>
      </c>
      <c r="H107" s="144" t="s">
        <v>521</v>
      </c>
    </row>
    <row r="108" spans="1:8" x14ac:dyDescent="0.25">
      <c r="A108" s="144">
        <v>31</v>
      </c>
      <c r="B108" s="144" t="s">
        <v>336</v>
      </c>
      <c r="C108" s="144" t="s">
        <v>522</v>
      </c>
      <c r="D108" s="144" t="s">
        <v>221</v>
      </c>
      <c r="E108" s="144" t="s">
        <v>338</v>
      </c>
      <c r="F108" s="144">
        <v>2012</v>
      </c>
      <c r="G108" s="144" t="s">
        <v>523</v>
      </c>
      <c r="H108" s="144" t="s">
        <v>524</v>
      </c>
    </row>
    <row r="109" spans="1:8" x14ac:dyDescent="0.25">
      <c r="A109" s="144">
        <v>32</v>
      </c>
      <c r="B109" s="144" t="s">
        <v>336</v>
      </c>
      <c r="C109" s="144" t="s">
        <v>525</v>
      </c>
      <c r="D109" s="144" t="s">
        <v>221</v>
      </c>
      <c r="E109" s="144" t="s">
        <v>338</v>
      </c>
      <c r="F109" s="144">
        <v>2015</v>
      </c>
      <c r="G109" s="144" t="s">
        <v>526</v>
      </c>
      <c r="H109" s="144" t="s">
        <v>527</v>
      </c>
    </row>
    <row r="110" spans="1:8" x14ac:dyDescent="0.25">
      <c r="A110" s="144">
        <v>33</v>
      </c>
      <c r="B110" s="144" t="s">
        <v>336</v>
      </c>
      <c r="C110" s="144" t="s">
        <v>528</v>
      </c>
      <c r="D110" s="144" t="s">
        <v>221</v>
      </c>
      <c r="E110" s="144" t="s">
        <v>338</v>
      </c>
      <c r="F110" s="144">
        <v>2012</v>
      </c>
      <c r="G110" s="144" t="s">
        <v>529</v>
      </c>
      <c r="H110" s="144" t="s">
        <v>530</v>
      </c>
    </row>
    <row r="111" spans="1:8" x14ac:dyDescent="0.25">
      <c r="A111" s="144">
        <v>34</v>
      </c>
      <c r="B111" s="144" t="s">
        <v>336</v>
      </c>
      <c r="C111" s="144" t="s">
        <v>531</v>
      </c>
      <c r="D111" s="144" t="s">
        <v>221</v>
      </c>
      <c r="E111" s="144" t="s">
        <v>338</v>
      </c>
      <c r="F111" s="144">
        <v>2015</v>
      </c>
      <c r="G111" s="144" t="s">
        <v>532</v>
      </c>
      <c r="H111" s="144" t="s">
        <v>533</v>
      </c>
    </row>
    <row r="112" spans="1:8" x14ac:dyDescent="0.25">
      <c r="A112" s="144">
        <v>35</v>
      </c>
      <c r="B112" s="144" t="s">
        <v>336</v>
      </c>
      <c r="C112" s="144" t="s">
        <v>534</v>
      </c>
      <c r="D112" s="144" t="s">
        <v>221</v>
      </c>
      <c r="E112" s="144" t="s">
        <v>338</v>
      </c>
      <c r="F112" s="144">
        <v>2015</v>
      </c>
      <c r="G112" s="144" t="s">
        <v>535</v>
      </c>
      <c r="H112" s="144" t="s">
        <v>536</v>
      </c>
    </row>
    <row r="113" spans="1:8" x14ac:dyDescent="0.25">
      <c r="A113" s="144">
        <v>36</v>
      </c>
      <c r="B113" s="144" t="s">
        <v>336</v>
      </c>
      <c r="C113" s="144" t="s">
        <v>537</v>
      </c>
      <c r="D113" s="144" t="s">
        <v>221</v>
      </c>
      <c r="E113" s="144" t="s">
        <v>338</v>
      </c>
      <c r="F113" s="144">
        <v>2015</v>
      </c>
      <c r="G113" s="144" t="s">
        <v>538</v>
      </c>
      <c r="H113" s="144" t="s">
        <v>539</v>
      </c>
    </row>
    <row r="114" spans="1:8" x14ac:dyDescent="0.25">
      <c r="A114" s="144">
        <v>37</v>
      </c>
      <c r="B114" s="144" t="s">
        <v>336</v>
      </c>
      <c r="C114" s="144" t="s">
        <v>540</v>
      </c>
      <c r="D114" s="144" t="s">
        <v>221</v>
      </c>
      <c r="E114" s="144" t="s">
        <v>338</v>
      </c>
      <c r="F114" s="144">
        <v>2012</v>
      </c>
      <c r="G114" s="144" t="s">
        <v>541</v>
      </c>
      <c r="H114" s="144" t="s">
        <v>542</v>
      </c>
    </row>
    <row r="115" spans="1:8" x14ac:dyDescent="0.25">
      <c r="A115" s="144">
        <v>38</v>
      </c>
      <c r="B115" s="144" t="s">
        <v>336</v>
      </c>
      <c r="C115" s="144" t="s">
        <v>543</v>
      </c>
      <c r="D115" s="144" t="s">
        <v>221</v>
      </c>
      <c r="E115" s="144" t="s">
        <v>338</v>
      </c>
      <c r="F115" s="144">
        <v>2015</v>
      </c>
      <c r="G115" s="144" t="s">
        <v>544</v>
      </c>
      <c r="H115" s="144" t="s">
        <v>545</v>
      </c>
    </row>
    <row r="116" spans="1:8" x14ac:dyDescent="0.25">
      <c r="A116" s="144">
        <v>39</v>
      </c>
      <c r="B116" s="144" t="s">
        <v>336</v>
      </c>
      <c r="C116" s="144" t="s">
        <v>546</v>
      </c>
      <c r="D116" s="144" t="s">
        <v>221</v>
      </c>
      <c r="E116" s="144" t="s">
        <v>338</v>
      </c>
      <c r="F116" s="144">
        <v>2015</v>
      </c>
      <c r="G116" s="144" t="s">
        <v>547</v>
      </c>
      <c r="H116" s="144" t="s">
        <v>548</v>
      </c>
    </row>
    <row r="117" spans="1:8" x14ac:dyDescent="0.25">
      <c r="A117" s="144">
        <v>40</v>
      </c>
      <c r="B117" s="144" t="s">
        <v>336</v>
      </c>
      <c r="C117" s="144" t="s">
        <v>549</v>
      </c>
      <c r="D117" s="144" t="s">
        <v>221</v>
      </c>
      <c r="E117" s="144" t="s">
        <v>338</v>
      </c>
      <c r="F117" s="144">
        <v>2015</v>
      </c>
      <c r="G117" s="144" t="s">
        <v>550</v>
      </c>
      <c r="H117" s="144" t="s">
        <v>551</v>
      </c>
    </row>
    <row r="118" spans="1:8" x14ac:dyDescent="0.25">
      <c r="A118" s="144">
        <v>41</v>
      </c>
      <c r="B118" s="144" t="s">
        <v>336</v>
      </c>
      <c r="C118" s="144" t="s">
        <v>552</v>
      </c>
      <c r="D118" s="144" t="s">
        <v>221</v>
      </c>
      <c r="E118" s="144" t="s">
        <v>420</v>
      </c>
      <c r="F118" s="144">
        <v>2015</v>
      </c>
      <c r="G118" s="144" t="s">
        <v>553</v>
      </c>
      <c r="H118" s="144" t="s">
        <v>554</v>
      </c>
    </row>
    <row r="119" spans="1:8" x14ac:dyDescent="0.25">
      <c r="A119" s="144">
        <v>42</v>
      </c>
      <c r="B119" s="144" t="s">
        <v>336</v>
      </c>
      <c r="C119" s="144" t="s">
        <v>555</v>
      </c>
      <c r="D119" s="144" t="s">
        <v>221</v>
      </c>
      <c r="E119" s="144" t="s">
        <v>338</v>
      </c>
      <c r="F119" s="144">
        <v>2015</v>
      </c>
      <c r="G119" s="144" t="s">
        <v>556</v>
      </c>
      <c r="H119" s="144" t="s">
        <v>557</v>
      </c>
    </row>
    <row r="120" spans="1:8" x14ac:dyDescent="0.25">
      <c r="A120" s="144">
        <v>43</v>
      </c>
      <c r="B120" s="144" t="s">
        <v>336</v>
      </c>
      <c r="C120" s="144" t="s">
        <v>558</v>
      </c>
      <c r="D120" s="144" t="s">
        <v>221</v>
      </c>
      <c r="E120" s="144" t="s">
        <v>338</v>
      </c>
      <c r="F120" s="144">
        <v>2015</v>
      </c>
      <c r="G120" s="144" t="s">
        <v>559</v>
      </c>
      <c r="H120" s="144" t="s">
        <v>560</v>
      </c>
    </row>
    <row r="121" spans="1:8" x14ac:dyDescent="0.25">
      <c r="A121" s="144">
        <v>44</v>
      </c>
      <c r="B121" s="144" t="s">
        <v>336</v>
      </c>
      <c r="C121" s="144" t="s">
        <v>561</v>
      </c>
      <c r="D121" s="144" t="s">
        <v>221</v>
      </c>
      <c r="E121" s="144" t="s">
        <v>562</v>
      </c>
      <c r="F121" s="144">
        <v>2012</v>
      </c>
      <c r="G121" s="144" t="s">
        <v>563</v>
      </c>
      <c r="H121" s="144" t="s">
        <v>564</v>
      </c>
    </row>
    <row r="122" spans="1:8" x14ac:dyDescent="0.25">
      <c r="A122" s="144">
        <v>45</v>
      </c>
      <c r="B122" s="144" t="s">
        <v>336</v>
      </c>
      <c r="C122" s="144" t="s">
        <v>565</v>
      </c>
      <c r="D122" s="144" t="s">
        <v>221</v>
      </c>
      <c r="E122" s="144" t="s">
        <v>562</v>
      </c>
      <c r="F122" s="144">
        <v>2012</v>
      </c>
      <c r="G122" s="144" t="s">
        <v>566</v>
      </c>
      <c r="H122" s="144" t="s">
        <v>567</v>
      </c>
    </row>
    <row r="123" spans="1:8" x14ac:dyDescent="0.25">
      <c r="A123" s="144">
        <v>46</v>
      </c>
      <c r="B123" s="144" t="s">
        <v>336</v>
      </c>
      <c r="C123" s="144" t="s">
        <v>568</v>
      </c>
      <c r="D123" s="144" t="s">
        <v>221</v>
      </c>
      <c r="E123" s="144" t="s">
        <v>562</v>
      </c>
      <c r="F123" s="144">
        <v>2012</v>
      </c>
      <c r="G123" s="144" t="s">
        <v>569</v>
      </c>
      <c r="H123" s="144" t="s">
        <v>570</v>
      </c>
    </row>
    <row r="124" spans="1:8" x14ac:dyDescent="0.25">
      <c r="A124" s="144">
        <v>47</v>
      </c>
      <c r="B124" s="144" t="s">
        <v>336</v>
      </c>
      <c r="C124" s="144" t="s">
        <v>571</v>
      </c>
      <c r="D124" s="144" t="s">
        <v>221</v>
      </c>
      <c r="E124" s="144" t="s">
        <v>562</v>
      </c>
      <c r="F124" s="144">
        <v>2012</v>
      </c>
      <c r="G124" s="144" t="s">
        <v>572</v>
      </c>
      <c r="H124" s="144" t="s">
        <v>573</v>
      </c>
    </row>
    <row r="125" spans="1:8" x14ac:dyDescent="0.25">
      <c r="A125" s="144">
        <v>48</v>
      </c>
      <c r="B125" s="144" t="s">
        <v>336</v>
      </c>
      <c r="C125" s="144" t="s">
        <v>574</v>
      </c>
      <c r="D125" s="144" t="s">
        <v>221</v>
      </c>
      <c r="E125" s="144" t="s">
        <v>562</v>
      </c>
      <c r="F125" s="144">
        <v>2012</v>
      </c>
      <c r="G125" s="144" t="s">
        <v>575</v>
      </c>
      <c r="H125" s="144" t="s">
        <v>576</v>
      </c>
    </row>
    <row r="126" spans="1:8" x14ac:dyDescent="0.25">
      <c r="A126" s="144">
        <v>49</v>
      </c>
      <c r="B126" s="144" t="s">
        <v>336</v>
      </c>
      <c r="C126" s="144" t="s">
        <v>577</v>
      </c>
      <c r="D126" s="144" t="s">
        <v>221</v>
      </c>
      <c r="E126" s="144" t="s">
        <v>562</v>
      </c>
      <c r="F126" s="144">
        <v>2012</v>
      </c>
      <c r="G126" s="144" t="s">
        <v>578</v>
      </c>
      <c r="H126" s="144" t="s">
        <v>579</v>
      </c>
    </row>
    <row r="127" spans="1:8" x14ac:dyDescent="0.25">
      <c r="A127" s="144">
        <v>50</v>
      </c>
      <c r="B127" s="144" t="s">
        <v>336</v>
      </c>
      <c r="C127" s="144" t="s">
        <v>580</v>
      </c>
      <c r="D127" s="144" t="s">
        <v>221</v>
      </c>
      <c r="E127" s="144" t="s">
        <v>338</v>
      </c>
      <c r="F127" s="144">
        <v>2015</v>
      </c>
      <c r="G127" s="144" t="s">
        <v>581</v>
      </c>
      <c r="H127" s="144" t="s">
        <v>582</v>
      </c>
    </row>
    <row r="128" spans="1:8" x14ac:dyDescent="0.25">
      <c r="A128" s="144">
        <v>51</v>
      </c>
      <c r="B128" s="144" t="s">
        <v>336</v>
      </c>
      <c r="C128" s="144" t="s">
        <v>583</v>
      </c>
      <c r="D128" s="144" t="s">
        <v>221</v>
      </c>
      <c r="E128" s="144" t="s">
        <v>562</v>
      </c>
      <c r="F128" s="144">
        <v>2012</v>
      </c>
      <c r="G128" s="144" t="s">
        <v>584</v>
      </c>
      <c r="H128" s="144" t="s">
        <v>585</v>
      </c>
    </row>
    <row r="129" spans="1:8" x14ac:dyDescent="0.25">
      <c r="A129" s="144">
        <v>52</v>
      </c>
      <c r="B129" s="144" t="s">
        <v>336</v>
      </c>
      <c r="C129" s="144" t="s">
        <v>586</v>
      </c>
      <c r="D129" s="144" t="s">
        <v>221</v>
      </c>
      <c r="E129" s="144" t="s">
        <v>562</v>
      </c>
      <c r="F129" s="144">
        <v>2012</v>
      </c>
      <c r="G129" s="144" t="s">
        <v>587</v>
      </c>
      <c r="H129" s="144" t="s">
        <v>588</v>
      </c>
    </row>
    <row r="130" spans="1:8" x14ac:dyDescent="0.25">
      <c r="A130" s="144">
        <v>53</v>
      </c>
      <c r="B130" s="144" t="s">
        <v>336</v>
      </c>
      <c r="C130" s="144" t="s">
        <v>589</v>
      </c>
      <c r="D130" s="144" t="s">
        <v>221</v>
      </c>
      <c r="E130" s="144" t="s">
        <v>562</v>
      </c>
      <c r="F130" s="144">
        <v>2012</v>
      </c>
      <c r="G130" s="144" t="s">
        <v>590</v>
      </c>
      <c r="H130" s="144" t="s">
        <v>591</v>
      </c>
    </row>
    <row r="131" spans="1:8" x14ac:dyDescent="0.25">
      <c r="A131" s="144">
        <v>54</v>
      </c>
      <c r="B131" s="144" t="s">
        <v>336</v>
      </c>
      <c r="C131" s="144" t="s">
        <v>592</v>
      </c>
      <c r="D131" s="144" t="s">
        <v>221</v>
      </c>
      <c r="E131" s="144" t="s">
        <v>562</v>
      </c>
      <c r="F131" s="144">
        <v>2015</v>
      </c>
      <c r="G131" s="144" t="s">
        <v>593</v>
      </c>
      <c r="H131" s="144" t="s">
        <v>594</v>
      </c>
    </row>
    <row r="132" spans="1:8" x14ac:dyDescent="0.25">
      <c r="A132" s="144">
        <v>55</v>
      </c>
      <c r="B132" s="144" t="s">
        <v>336</v>
      </c>
      <c r="C132" s="144" t="s">
        <v>595</v>
      </c>
      <c r="D132" s="144" t="s">
        <v>221</v>
      </c>
      <c r="E132" s="144" t="s">
        <v>338</v>
      </c>
      <c r="F132" s="144">
        <v>2013</v>
      </c>
      <c r="G132" s="144" t="s">
        <v>596</v>
      </c>
      <c r="H132" s="144" t="s">
        <v>597</v>
      </c>
    </row>
    <row r="133" spans="1:8" x14ac:dyDescent="0.25">
      <c r="A133" s="144">
        <v>56</v>
      </c>
      <c r="B133" s="144" t="s">
        <v>336</v>
      </c>
      <c r="C133" s="144" t="s">
        <v>598</v>
      </c>
      <c r="D133" s="144" t="s">
        <v>221</v>
      </c>
      <c r="E133" s="144" t="s">
        <v>562</v>
      </c>
      <c r="F133" s="144">
        <v>2012</v>
      </c>
      <c r="G133" s="144" t="s">
        <v>599</v>
      </c>
      <c r="H133" s="144" t="s">
        <v>600</v>
      </c>
    </row>
    <row r="134" spans="1:8" x14ac:dyDescent="0.25">
      <c r="A134" s="144">
        <v>57</v>
      </c>
      <c r="B134" s="144" t="s">
        <v>336</v>
      </c>
      <c r="C134" s="144" t="s">
        <v>601</v>
      </c>
      <c r="D134" s="144" t="s">
        <v>221</v>
      </c>
      <c r="E134" s="144" t="s">
        <v>562</v>
      </c>
      <c r="F134" s="144">
        <v>2012</v>
      </c>
      <c r="G134" s="144" t="s">
        <v>602</v>
      </c>
      <c r="H134" s="144" t="s">
        <v>603</v>
      </c>
    </row>
    <row r="135" spans="1:8" x14ac:dyDescent="0.25">
      <c r="A135" s="144">
        <v>65</v>
      </c>
      <c r="B135" s="144" t="s">
        <v>336</v>
      </c>
      <c r="C135" s="144" t="s">
        <v>604</v>
      </c>
      <c r="D135" s="144" t="s">
        <v>203</v>
      </c>
      <c r="E135" s="144" t="s">
        <v>487</v>
      </c>
      <c r="F135" s="144">
        <v>2015</v>
      </c>
      <c r="G135" s="144" t="s">
        <v>605</v>
      </c>
      <c r="H135" s="144" t="s">
        <v>606</v>
      </c>
    </row>
    <row r="136" spans="1:8" x14ac:dyDescent="0.25">
      <c r="A136" s="144">
        <v>66</v>
      </c>
      <c r="B136" s="144" t="s">
        <v>336</v>
      </c>
      <c r="C136" s="144" t="s">
        <v>607</v>
      </c>
      <c r="D136" s="144" t="s">
        <v>203</v>
      </c>
      <c r="E136" s="144" t="s">
        <v>487</v>
      </c>
      <c r="F136" s="144">
        <v>2015</v>
      </c>
      <c r="G136" s="144" t="s">
        <v>608</v>
      </c>
      <c r="H136" s="144" t="s">
        <v>609</v>
      </c>
    </row>
    <row r="137" spans="1:8" x14ac:dyDescent="0.25">
      <c r="A137" s="144">
        <v>67</v>
      </c>
      <c r="B137" s="144" t="s">
        <v>336</v>
      </c>
      <c r="C137" s="144" t="s">
        <v>610</v>
      </c>
      <c r="D137" s="144" t="s">
        <v>203</v>
      </c>
      <c r="E137" s="144" t="s">
        <v>487</v>
      </c>
      <c r="F137" s="144">
        <v>2015</v>
      </c>
      <c r="G137" s="144" t="s">
        <v>611</v>
      </c>
      <c r="H137" s="144" t="s">
        <v>612</v>
      </c>
    </row>
    <row r="138" spans="1:8" x14ac:dyDescent="0.25">
      <c r="A138" s="144">
        <v>68</v>
      </c>
      <c r="B138" s="144" t="s">
        <v>336</v>
      </c>
      <c r="C138" s="144" t="s">
        <v>613</v>
      </c>
      <c r="D138" s="144" t="s">
        <v>203</v>
      </c>
      <c r="E138" s="144" t="s">
        <v>487</v>
      </c>
      <c r="F138" s="144">
        <v>2015</v>
      </c>
      <c r="G138" s="144" t="s">
        <v>614</v>
      </c>
      <c r="H138" s="144" t="s">
        <v>615</v>
      </c>
    </row>
    <row r="139" spans="1:8" x14ac:dyDescent="0.25">
      <c r="A139" s="144">
        <v>69</v>
      </c>
      <c r="B139" s="144" t="s">
        <v>336</v>
      </c>
      <c r="C139" s="144" t="s">
        <v>616</v>
      </c>
      <c r="D139" s="144" t="s">
        <v>203</v>
      </c>
      <c r="E139" s="144" t="s">
        <v>487</v>
      </c>
      <c r="F139" s="144">
        <v>2015</v>
      </c>
      <c r="G139" s="144" t="s">
        <v>617</v>
      </c>
      <c r="H139" s="144" t="s">
        <v>618</v>
      </c>
    </row>
    <row r="140" spans="1:8" x14ac:dyDescent="0.25">
      <c r="A140" s="144">
        <v>70</v>
      </c>
      <c r="B140" s="144" t="s">
        <v>336</v>
      </c>
      <c r="C140" s="144" t="s">
        <v>619</v>
      </c>
      <c r="D140" s="144" t="s">
        <v>203</v>
      </c>
      <c r="E140" s="144" t="s">
        <v>487</v>
      </c>
      <c r="F140" s="144">
        <v>2015</v>
      </c>
      <c r="G140" s="144" t="s">
        <v>620</v>
      </c>
      <c r="H140" s="144" t="s">
        <v>621</v>
      </c>
    </row>
    <row r="141" spans="1:8" x14ac:dyDescent="0.25">
      <c r="A141" s="144">
        <v>71</v>
      </c>
      <c r="B141" s="144" t="s">
        <v>336</v>
      </c>
      <c r="C141" s="144" t="s">
        <v>622</v>
      </c>
      <c r="D141" s="144" t="s">
        <v>203</v>
      </c>
      <c r="E141" s="144" t="s">
        <v>487</v>
      </c>
      <c r="F141" s="144">
        <v>2015</v>
      </c>
      <c r="G141" s="144" t="s">
        <v>623</v>
      </c>
      <c r="H141" s="144" t="s">
        <v>624</v>
      </c>
    </row>
    <row r="142" spans="1:8" x14ac:dyDescent="0.25">
      <c r="A142" s="144">
        <v>72</v>
      </c>
      <c r="B142" s="144" t="s">
        <v>336</v>
      </c>
      <c r="C142" s="144" t="s">
        <v>625</v>
      </c>
      <c r="D142" s="144" t="s">
        <v>203</v>
      </c>
      <c r="E142" s="144" t="s">
        <v>487</v>
      </c>
      <c r="F142" s="144">
        <v>2015</v>
      </c>
      <c r="G142" s="144" t="s">
        <v>626</v>
      </c>
      <c r="H142" s="144" t="s">
        <v>627</v>
      </c>
    </row>
    <row r="143" spans="1:8" x14ac:dyDescent="0.25">
      <c r="A143" s="144">
        <v>73</v>
      </c>
      <c r="B143" s="144" t="s">
        <v>336</v>
      </c>
      <c r="C143" s="144" t="s">
        <v>628</v>
      </c>
      <c r="D143" s="144" t="s">
        <v>203</v>
      </c>
      <c r="E143" s="144" t="s">
        <v>487</v>
      </c>
      <c r="F143" s="144">
        <v>2015</v>
      </c>
      <c r="G143" s="144" t="s">
        <v>629</v>
      </c>
      <c r="H143" s="144" t="s">
        <v>630</v>
      </c>
    </row>
    <row r="144" spans="1:8" x14ac:dyDescent="0.25">
      <c r="A144" s="144">
        <v>74</v>
      </c>
      <c r="B144" s="144" t="s">
        <v>336</v>
      </c>
      <c r="C144" s="144" t="s">
        <v>631</v>
      </c>
      <c r="D144" s="144" t="s">
        <v>203</v>
      </c>
      <c r="E144" s="144" t="s">
        <v>487</v>
      </c>
      <c r="F144" s="144">
        <v>2015</v>
      </c>
      <c r="G144" s="144" t="s">
        <v>632</v>
      </c>
      <c r="H144" s="144" t="s">
        <v>633</v>
      </c>
    </row>
    <row r="145" spans="1:8" x14ac:dyDescent="0.25">
      <c r="A145" s="144">
        <v>75</v>
      </c>
      <c r="B145" s="144" t="s">
        <v>336</v>
      </c>
      <c r="C145" s="144" t="s">
        <v>634</v>
      </c>
      <c r="D145" s="144" t="s">
        <v>203</v>
      </c>
      <c r="E145" s="144" t="s">
        <v>487</v>
      </c>
      <c r="F145" s="144">
        <v>2015</v>
      </c>
      <c r="G145" s="144" t="s">
        <v>635</v>
      </c>
      <c r="H145" s="144" t="s">
        <v>636</v>
      </c>
    </row>
    <row r="146" spans="1:8" x14ac:dyDescent="0.25">
      <c r="A146" s="144">
        <v>76</v>
      </c>
      <c r="B146" s="144" t="s">
        <v>336</v>
      </c>
      <c r="C146" s="144" t="s">
        <v>637</v>
      </c>
      <c r="D146" s="144" t="s">
        <v>203</v>
      </c>
      <c r="E146" s="144" t="s">
        <v>487</v>
      </c>
      <c r="F146" s="144">
        <v>2015</v>
      </c>
      <c r="G146" s="144" t="s">
        <v>638</v>
      </c>
      <c r="H146" s="144" t="s">
        <v>639</v>
      </c>
    </row>
    <row r="147" spans="1:8" x14ac:dyDescent="0.25">
      <c r="A147" s="144">
        <v>77</v>
      </c>
      <c r="B147" s="144" t="s">
        <v>336</v>
      </c>
      <c r="C147" s="144" t="s">
        <v>640</v>
      </c>
      <c r="D147" s="144" t="s">
        <v>203</v>
      </c>
      <c r="E147" s="144" t="s">
        <v>487</v>
      </c>
      <c r="F147" s="144">
        <v>2015</v>
      </c>
      <c r="G147" s="144" t="s">
        <v>641</v>
      </c>
      <c r="H147" s="144" t="s">
        <v>642</v>
      </c>
    </row>
    <row r="148" spans="1:8" x14ac:dyDescent="0.25">
      <c r="A148" s="144">
        <v>78</v>
      </c>
      <c r="B148" s="144" t="s">
        <v>336</v>
      </c>
      <c r="C148" s="144" t="s">
        <v>643</v>
      </c>
      <c r="D148" s="144" t="s">
        <v>203</v>
      </c>
      <c r="E148" s="144" t="s">
        <v>487</v>
      </c>
      <c r="F148" s="144">
        <v>2015</v>
      </c>
      <c r="G148" s="144" t="s">
        <v>644</v>
      </c>
      <c r="H148" s="144" t="s">
        <v>645</v>
      </c>
    </row>
    <row r="149" spans="1:8" x14ac:dyDescent="0.25">
      <c r="A149" s="144">
        <v>79</v>
      </c>
      <c r="B149" s="144" t="s">
        <v>336</v>
      </c>
      <c r="C149" s="144" t="s">
        <v>646</v>
      </c>
      <c r="D149" s="144" t="s">
        <v>203</v>
      </c>
      <c r="E149" s="144" t="s">
        <v>487</v>
      </c>
      <c r="F149" s="144">
        <v>2015</v>
      </c>
      <c r="G149" s="144" t="s">
        <v>647</v>
      </c>
      <c r="H149" s="144" t="s">
        <v>648</v>
      </c>
    </row>
    <row r="150" spans="1:8" x14ac:dyDescent="0.25">
      <c r="A150" s="144">
        <v>80</v>
      </c>
      <c r="B150" s="144" t="s">
        <v>336</v>
      </c>
      <c r="C150" s="144" t="s">
        <v>649</v>
      </c>
      <c r="D150" s="144" t="s">
        <v>203</v>
      </c>
      <c r="E150" s="144" t="s">
        <v>487</v>
      </c>
      <c r="F150" s="144">
        <v>2015</v>
      </c>
      <c r="G150" s="144" t="s">
        <v>650</v>
      </c>
      <c r="H150" s="144" t="s">
        <v>651</v>
      </c>
    </row>
    <row r="151" spans="1:8" x14ac:dyDescent="0.25">
      <c r="A151" s="144">
        <v>81</v>
      </c>
      <c r="B151" s="144" t="s">
        <v>336</v>
      </c>
      <c r="C151" s="144" t="s">
        <v>652</v>
      </c>
      <c r="D151" s="144" t="s">
        <v>203</v>
      </c>
      <c r="E151" s="144" t="s">
        <v>487</v>
      </c>
      <c r="F151" s="144">
        <v>2015</v>
      </c>
      <c r="G151" s="144" t="s">
        <v>653</v>
      </c>
      <c r="H151" s="144" t="s">
        <v>654</v>
      </c>
    </row>
    <row r="152" spans="1:8" x14ac:dyDescent="0.25">
      <c r="A152" s="144">
        <v>82</v>
      </c>
      <c r="B152" s="144" t="s">
        <v>336</v>
      </c>
      <c r="C152" s="144" t="s">
        <v>655</v>
      </c>
      <c r="D152" s="144" t="s">
        <v>203</v>
      </c>
      <c r="E152" s="144" t="s">
        <v>487</v>
      </c>
      <c r="F152" s="144">
        <v>2015</v>
      </c>
      <c r="G152" s="144" t="s">
        <v>656</v>
      </c>
      <c r="H152" s="144" t="s">
        <v>657</v>
      </c>
    </row>
    <row r="153" spans="1:8" x14ac:dyDescent="0.25">
      <c r="A153" s="144">
        <v>83</v>
      </c>
      <c r="B153" s="144" t="s">
        <v>336</v>
      </c>
      <c r="C153" s="144" t="s">
        <v>658</v>
      </c>
      <c r="D153" s="144" t="s">
        <v>203</v>
      </c>
      <c r="E153" s="144" t="s">
        <v>487</v>
      </c>
      <c r="F153" s="144">
        <v>2015</v>
      </c>
      <c r="G153" s="144" t="s">
        <v>659</v>
      </c>
      <c r="H153" s="144" t="s">
        <v>660</v>
      </c>
    </row>
    <row r="154" spans="1:8" x14ac:dyDescent="0.25">
      <c r="A154" s="144">
        <v>84</v>
      </c>
      <c r="B154" s="144" t="s">
        <v>336</v>
      </c>
      <c r="C154" s="144" t="s">
        <v>661</v>
      </c>
      <c r="D154" s="144" t="s">
        <v>203</v>
      </c>
      <c r="E154" s="144" t="s">
        <v>487</v>
      </c>
      <c r="F154" s="144">
        <v>2015</v>
      </c>
      <c r="G154" s="144" t="s">
        <v>662</v>
      </c>
      <c r="H154" s="144" t="s">
        <v>663</v>
      </c>
    </row>
    <row r="155" spans="1:8" x14ac:dyDescent="0.25">
      <c r="A155" s="144">
        <v>85</v>
      </c>
      <c r="B155" s="144" t="s">
        <v>336</v>
      </c>
      <c r="C155" s="144" t="s">
        <v>664</v>
      </c>
      <c r="D155" s="144" t="s">
        <v>203</v>
      </c>
      <c r="E155" s="144" t="s">
        <v>487</v>
      </c>
      <c r="F155" s="144">
        <v>2015</v>
      </c>
      <c r="G155" s="144" t="s">
        <v>665</v>
      </c>
      <c r="H155" s="144" t="s">
        <v>666</v>
      </c>
    </row>
    <row r="156" spans="1:8" x14ac:dyDescent="0.25">
      <c r="A156" s="144">
        <v>86</v>
      </c>
      <c r="B156" s="144" t="s">
        <v>336</v>
      </c>
      <c r="C156" s="144" t="s">
        <v>667</v>
      </c>
      <c r="D156" s="144" t="s">
        <v>203</v>
      </c>
      <c r="E156" s="144" t="s">
        <v>487</v>
      </c>
      <c r="F156" s="144">
        <v>2015</v>
      </c>
      <c r="G156" s="144" t="s">
        <v>668</v>
      </c>
      <c r="H156" s="144" t="s">
        <v>669</v>
      </c>
    </row>
    <row r="157" spans="1:8" x14ac:dyDescent="0.25">
      <c r="A157" s="144">
        <v>87</v>
      </c>
      <c r="B157" s="144" t="s">
        <v>336</v>
      </c>
      <c r="C157" s="144" t="s">
        <v>670</v>
      </c>
      <c r="D157" s="144" t="s">
        <v>203</v>
      </c>
      <c r="E157" s="144" t="s">
        <v>487</v>
      </c>
      <c r="F157" s="144">
        <v>2015</v>
      </c>
      <c r="G157" s="144" t="s">
        <v>671</v>
      </c>
      <c r="H157" s="144" t="s">
        <v>672</v>
      </c>
    </row>
    <row r="158" spans="1:8" x14ac:dyDescent="0.25">
      <c r="A158" s="144">
        <v>88</v>
      </c>
      <c r="B158" s="144" t="s">
        <v>336</v>
      </c>
      <c r="C158" s="144" t="s">
        <v>673</v>
      </c>
      <c r="D158" s="144" t="s">
        <v>203</v>
      </c>
      <c r="E158" s="144" t="s">
        <v>487</v>
      </c>
      <c r="F158" s="144">
        <v>2015</v>
      </c>
      <c r="G158" s="144" t="s">
        <v>674</v>
      </c>
      <c r="H158" s="144" t="s">
        <v>675</v>
      </c>
    </row>
    <row r="159" spans="1:8" x14ac:dyDescent="0.25">
      <c r="A159" s="144">
        <v>89</v>
      </c>
      <c r="B159" s="144" t="s">
        <v>336</v>
      </c>
      <c r="C159" s="144" t="s">
        <v>676</v>
      </c>
      <c r="D159" s="144" t="s">
        <v>203</v>
      </c>
      <c r="E159" s="144" t="s">
        <v>487</v>
      </c>
      <c r="F159" s="144">
        <v>2015</v>
      </c>
      <c r="G159" s="144" t="s">
        <v>677</v>
      </c>
      <c r="H159" s="144" t="s">
        <v>678</v>
      </c>
    </row>
    <row r="160" spans="1:8" x14ac:dyDescent="0.25">
      <c r="A160" s="144">
        <v>90</v>
      </c>
      <c r="B160" s="144" t="s">
        <v>336</v>
      </c>
      <c r="C160" s="144" t="s">
        <v>679</v>
      </c>
      <c r="D160" s="144" t="s">
        <v>203</v>
      </c>
      <c r="E160" s="144" t="s">
        <v>487</v>
      </c>
      <c r="F160" s="144">
        <v>2015</v>
      </c>
      <c r="G160" s="144" t="s">
        <v>680</v>
      </c>
      <c r="H160" s="144" t="s">
        <v>681</v>
      </c>
    </row>
    <row r="161" spans="1:8" x14ac:dyDescent="0.25">
      <c r="A161" s="144">
        <v>91</v>
      </c>
      <c r="B161" s="144" t="s">
        <v>336</v>
      </c>
      <c r="C161" s="144" t="s">
        <v>682</v>
      </c>
      <c r="D161" s="144" t="s">
        <v>203</v>
      </c>
      <c r="E161" s="144" t="s">
        <v>487</v>
      </c>
      <c r="F161" s="144">
        <v>2015</v>
      </c>
      <c r="G161" s="144" t="s">
        <v>683</v>
      </c>
      <c r="H161" s="144" t="s">
        <v>684</v>
      </c>
    </row>
    <row r="162" spans="1:8" x14ac:dyDescent="0.25">
      <c r="A162" s="144">
        <v>92</v>
      </c>
      <c r="B162" s="144" t="s">
        <v>336</v>
      </c>
      <c r="C162" s="144" t="s">
        <v>685</v>
      </c>
      <c r="D162" s="144" t="s">
        <v>203</v>
      </c>
      <c r="E162" s="144" t="s">
        <v>487</v>
      </c>
      <c r="F162" s="144">
        <v>2015</v>
      </c>
      <c r="G162" s="144" t="s">
        <v>686</v>
      </c>
      <c r="H162" s="144" t="s">
        <v>687</v>
      </c>
    </row>
    <row r="163" spans="1:8" x14ac:dyDescent="0.25">
      <c r="A163" s="144">
        <v>93</v>
      </c>
      <c r="B163" s="144" t="s">
        <v>336</v>
      </c>
      <c r="C163" s="144" t="s">
        <v>688</v>
      </c>
      <c r="D163" s="144" t="s">
        <v>203</v>
      </c>
      <c r="E163" s="144" t="s">
        <v>487</v>
      </c>
      <c r="F163" s="144">
        <v>2015</v>
      </c>
      <c r="G163" s="144" t="s">
        <v>689</v>
      </c>
      <c r="H163" s="144" t="s">
        <v>690</v>
      </c>
    </row>
    <row r="164" spans="1:8" x14ac:dyDescent="0.25">
      <c r="A164" s="144">
        <v>94</v>
      </c>
      <c r="B164" s="144" t="s">
        <v>336</v>
      </c>
      <c r="C164" s="144" t="s">
        <v>691</v>
      </c>
      <c r="D164" s="144" t="s">
        <v>203</v>
      </c>
      <c r="E164" s="144" t="s">
        <v>487</v>
      </c>
      <c r="F164" s="144">
        <v>2015</v>
      </c>
      <c r="G164" s="144" t="s">
        <v>692</v>
      </c>
      <c r="H164" s="144" t="s">
        <v>693</v>
      </c>
    </row>
    <row r="165" spans="1:8" x14ac:dyDescent="0.25">
      <c r="A165" s="144">
        <v>95</v>
      </c>
      <c r="B165" s="144" t="s">
        <v>336</v>
      </c>
      <c r="C165" s="144" t="s">
        <v>694</v>
      </c>
      <c r="D165" s="144" t="s">
        <v>203</v>
      </c>
      <c r="E165" s="144" t="s">
        <v>487</v>
      </c>
      <c r="F165" s="144">
        <v>2015</v>
      </c>
      <c r="G165" s="144" t="s">
        <v>695</v>
      </c>
      <c r="H165" s="144" t="s">
        <v>696</v>
      </c>
    </row>
    <row r="166" spans="1:8" x14ac:dyDescent="0.25">
      <c r="A166" s="144">
        <v>96</v>
      </c>
      <c r="B166" s="144" t="s">
        <v>336</v>
      </c>
      <c r="C166" s="144" t="s">
        <v>697</v>
      </c>
      <c r="D166" s="144" t="s">
        <v>203</v>
      </c>
      <c r="E166" s="144" t="s">
        <v>487</v>
      </c>
      <c r="F166" s="144">
        <v>2015</v>
      </c>
      <c r="G166" s="144" t="s">
        <v>698</v>
      </c>
      <c r="H166" s="144" t="s">
        <v>699</v>
      </c>
    </row>
    <row r="167" spans="1:8" x14ac:dyDescent="0.25">
      <c r="A167" s="144">
        <v>97</v>
      </c>
      <c r="B167" s="144" t="s">
        <v>336</v>
      </c>
      <c r="C167" s="144" t="s">
        <v>700</v>
      </c>
      <c r="D167" s="144" t="s">
        <v>203</v>
      </c>
      <c r="E167" s="144" t="s">
        <v>487</v>
      </c>
      <c r="F167" s="144">
        <v>2015</v>
      </c>
      <c r="G167" s="144" t="s">
        <v>701</v>
      </c>
      <c r="H167" s="144" t="s">
        <v>702</v>
      </c>
    </row>
    <row r="168" spans="1:8" x14ac:dyDescent="0.25">
      <c r="A168" s="144">
        <v>98</v>
      </c>
      <c r="B168" s="144" t="s">
        <v>336</v>
      </c>
      <c r="C168" s="144" t="s">
        <v>703</v>
      </c>
      <c r="D168" s="144" t="s">
        <v>203</v>
      </c>
      <c r="E168" s="144" t="s">
        <v>487</v>
      </c>
      <c r="F168" s="144">
        <v>2015</v>
      </c>
      <c r="G168" s="144" t="s">
        <v>704</v>
      </c>
      <c r="H168" s="144" t="s">
        <v>705</v>
      </c>
    </row>
    <row r="169" spans="1:8" x14ac:dyDescent="0.25">
      <c r="A169" s="144">
        <v>99</v>
      </c>
      <c r="B169" s="144" t="s">
        <v>336</v>
      </c>
      <c r="C169" s="144" t="s">
        <v>706</v>
      </c>
      <c r="D169" s="144" t="s">
        <v>203</v>
      </c>
      <c r="E169" s="144" t="s">
        <v>487</v>
      </c>
      <c r="F169" s="144">
        <v>2015</v>
      </c>
      <c r="G169" s="144" t="s">
        <v>707</v>
      </c>
      <c r="H169" s="144" t="s">
        <v>708</v>
      </c>
    </row>
    <row r="170" spans="1:8" x14ac:dyDescent="0.25">
      <c r="A170" s="144">
        <v>100</v>
      </c>
      <c r="B170" s="144" t="s">
        <v>336</v>
      </c>
      <c r="C170" s="144" t="s">
        <v>709</v>
      </c>
      <c r="D170" s="144" t="s">
        <v>203</v>
      </c>
      <c r="E170" s="144" t="s">
        <v>487</v>
      </c>
      <c r="F170" s="144">
        <v>2015</v>
      </c>
      <c r="G170" s="144" t="s">
        <v>683</v>
      </c>
      <c r="H170" s="144" t="s">
        <v>710</v>
      </c>
    </row>
    <row r="171" spans="1:8" x14ac:dyDescent="0.25">
      <c r="A171" s="144">
        <v>101</v>
      </c>
      <c r="B171" s="144" t="s">
        <v>336</v>
      </c>
      <c r="C171" s="144" t="s">
        <v>711</v>
      </c>
      <c r="D171" s="144" t="s">
        <v>203</v>
      </c>
      <c r="E171" s="144" t="s">
        <v>487</v>
      </c>
      <c r="F171" s="144">
        <v>2015</v>
      </c>
      <c r="G171" s="144" t="s">
        <v>712</v>
      </c>
      <c r="H171" s="144" t="s">
        <v>713</v>
      </c>
    </row>
    <row r="172" spans="1:8" x14ac:dyDescent="0.25">
      <c r="A172" s="144">
        <v>102</v>
      </c>
      <c r="B172" s="144" t="s">
        <v>336</v>
      </c>
      <c r="C172" s="144" t="s">
        <v>714</v>
      </c>
      <c r="D172" s="144" t="s">
        <v>203</v>
      </c>
      <c r="E172" s="144" t="s">
        <v>487</v>
      </c>
      <c r="F172" s="144">
        <v>2015</v>
      </c>
      <c r="G172" s="144" t="s">
        <v>715</v>
      </c>
      <c r="H172" s="144" t="s">
        <v>716</v>
      </c>
    </row>
    <row r="173" spans="1:8" x14ac:dyDescent="0.25">
      <c r="A173" s="144">
        <v>103</v>
      </c>
      <c r="B173" s="144" t="s">
        <v>336</v>
      </c>
      <c r="C173" s="144" t="s">
        <v>717</v>
      </c>
      <c r="D173" s="144" t="s">
        <v>203</v>
      </c>
      <c r="E173" s="144" t="s">
        <v>487</v>
      </c>
      <c r="F173" s="144">
        <v>2015</v>
      </c>
      <c r="G173" s="144" t="s">
        <v>718</v>
      </c>
      <c r="H173" s="144" t="s">
        <v>719</v>
      </c>
    </row>
    <row r="174" spans="1:8" x14ac:dyDescent="0.25">
      <c r="A174" s="144">
        <v>104</v>
      </c>
      <c r="B174" s="144" t="s">
        <v>336</v>
      </c>
      <c r="C174" s="144" t="s">
        <v>720</v>
      </c>
      <c r="D174" s="144" t="s">
        <v>203</v>
      </c>
      <c r="E174" s="144" t="s">
        <v>487</v>
      </c>
      <c r="F174" s="144">
        <v>2015</v>
      </c>
      <c r="G174" s="144" t="s">
        <v>721</v>
      </c>
      <c r="H174" s="144" t="s">
        <v>722</v>
      </c>
    </row>
    <row r="175" spans="1:8" x14ac:dyDescent="0.25">
      <c r="A175" s="144">
        <v>105</v>
      </c>
      <c r="B175" s="144" t="s">
        <v>336</v>
      </c>
      <c r="C175" s="144" t="s">
        <v>723</v>
      </c>
      <c r="D175" s="144" t="s">
        <v>203</v>
      </c>
      <c r="E175" s="144" t="s">
        <v>487</v>
      </c>
      <c r="F175" s="144">
        <v>2015</v>
      </c>
      <c r="G175" s="144" t="s">
        <v>724</v>
      </c>
      <c r="H175" s="144" t="s">
        <v>725</v>
      </c>
    </row>
    <row r="176" spans="1:8" x14ac:dyDescent="0.25">
      <c r="A176" s="144">
        <v>106</v>
      </c>
      <c r="B176" s="144" t="s">
        <v>336</v>
      </c>
      <c r="C176" s="144" t="s">
        <v>726</v>
      </c>
      <c r="D176" s="144" t="s">
        <v>203</v>
      </c>
      <c r="E176" s="144" t="s">
        <v>487</v>
      </c>
      <c r="F176" s="144">
        <v>2015</v>
      </c>
      <c r="G176" s="144" t="s">
        <v>727</v>
      </c>
      <c r="H176" s="144" t="s">
        <v>728</v>
      </c>
    </row>
    <row r="177" spans="1:8" x14ac:dyDescent="0.25">
      <c r="A177" s="144">
        <v>107</v>
      </c>
      <c r="B177" s="144" t="s">
        <v>336</v>
      </c>
      <c r="C177" s="144" t="s">
        <v>729</v>
      </c>
      <c r="D177" s="144" t="s">
        <v>203</v>
      </c>
      <c r="E177" s="144" t="s">
        <v>487</v>
      </c>
      <c r="F177" s="144">
        <v>2015</v>
      </c>
      <c r="G177" s="144" t="s">
        <v>730</v>
      </c>
      <c r="H177" s="144" t="s">
        <v>731</v>
      </c>
    </row>
    <row r="178" spans="1:8" x14ac:dyDescent="0.25">
      <c r="A178" s="144">
        <v>108</v>
      </c>
      <c r="B178" s="144" t="s">
        <v>336</v>
      </c>
      <c r="C178" s="144" t="s">
        <v>732</v>
      </c>
      <c r="D178" s="144" t="s">
        <v>173</v>
      </c>
      <c r="E178" s="144" t="s">
        <v>443</v>
      </c>
      <c r="F178" s="144">
        <v>2005</v>
      </c>
      <c r="G178" s="144" t="s">
        <v>733</v>
      </c>
      <c r="H178" s="144" t="s">
        <v>734</v>
      </c>
    </row>
    <row r="179" spans="1:8" x14ac:dyDescent="0.25">
      <c r="A179" s="144">
        <v>109</v>
      </c>
      <c r="B179" s="144" t="s">
        <v>336</v>
      </c>
      <c r="C179" s="144" t="s">
        <v>735</v>
      </c>
      <c r="D179" s="144" t="s">
        <v>173</v>
      </c>
      <c r="E179" s="144" t="s">
        <v>443</v>
      </c>
      <c r="F179" s="144">
        <v>2005</v>
      </c>
      <c r="G179" s="144" t="s">
        <v>736</v>
      </c>
      <c r="H179" s="144" t="s">
        <v>737</v>
      </c>
    </row>
    <row r="180" spans="1:8" x14ac:dyDescent="0.25">
      <c r="A180" s="144">
        <v>110</v>
      </c>
      <c r="B180" s="144" t="s">
        <v>336</v>
      </c>
      <c r="C180" s="144" t="s">
        <v>738</v>
      </c>
      <c r="D180" s="144" t="s">
        <v>173</v>
      </c>
      <c r="E180" s="144" t="s">
        <v>443</v>
      </c>
      <c r="F180" s="144">
        <v>2010</v>
      </c>
      <c r="G180" s="144" t="s">
        <v>739</v>
      </c>
      <c r="H180" s="144" t="s">
        <v>740</v>
      </c>
    </row>
    <row r="181" spans="1:8" x14ac:dyDescent="0.25">
      <c r="A181" s="144">
        <v>111</v>
      </c>
      <c r="B181" s="144" t="s">
        <v>336</v>
      </c>
      <c r="C181" s="144" t="s">
        <v>741</v>
      </c>
      <c r="D181" s="144" t="s">
        <v>173</v>
      </c>
      <c r="E181" s="144" t="s">
        <v>443</v>
      </c>
      <c r="F181" s="144">
        <v>2010</v>
      </c>
      <c r="G181" s="144" t="s">
        <v>742</v>
      </c>
      <c r="H181" s="144" t="s">
        <v>743</v>
      </c>
    </row>
    <row r="182" spans="1:8" x14ac:dyDescent="0.25">
      <c r="A182" s="144">
        <v>112</v>
      </c>
      <c r="B182" s="144" t="s">
        <v>336</v>
      </c>
      <c r="C182" s="144" t="s">
        <v>744</v>
      </c>
      <c r="D182" s="144" t="s">
        <v>173</v>
      </c>
      <c r="E182" s="144" t="s">
        <v>443</v>
      </c>
      <c r="F182" s="144">
        <v>2005</v>
      </c>
      <c r="G182" s="144" t="s">
        <v>745</v>
      </c>
      <c r="H182" s="144" t="s">
        <v>746</v>
      </c>
    </row>
    <row r="183" spans="1:8" x14ac:dyDescent="0.25">
      <c r="A183" s="165" t="s">
        <v>747</v>
      </c>
      <c r="B183" s="166"/>
      <c r="C183" s="166"/>
      <c r="D183" s="166"/>
      <c r="E183" s="166"/>
      <c r="F183" s="166"/>
      <c r="G183" s="166"/>
      <c r="H183" s="166"/>
    </row>
    <row r="184" spans="1:8" x14ac:dyDescent="0.25">
      <c r="A184" s="144"/>
      <c r="B184" s="146" t="s">
        <v>164</v>
      </c>
      <c r="C184" s="146" t="s">
        <v>165</v>
      </c>
      <c r="D184" s="146" t="s">
        <v>166</v>
      </c>
      <c r="E184" s="146" t="s">
        <v>167</v>
      </c>
      <c r="F184" s="146" t="s">
        <v>168</v>
      </c>
      <c r="G184" s="146" t="s">
        <v>169</v>
      </c>
      <c r="H184" s="146" t="s">
        <v>170</v>
      </c>
    </row>
    <row r="185" spans="1:8" x14ac:dyDescent="0.25">
      <c r="A185" s="144">
        <v>1</v>
      </c>
      <c r="B185" s="144" t="s">
        <v>748</v>
      </c>
      <c r="C185" s="144" t="s">
        <v>749</v>
      </c>
      <c r="D185" s="144" t="s">
        <v>750</v>
      </c>
      <c r="E185" s="144" t="s">
        <v>751</v>
      </c>
      <c r="F185" s="144">
        <v>2008</v>
      </c>
      <c r="G185" s="144" t="s">
        <v>752</v>
      </c>
      <c r="H185" s="144" t="s">
        <v>753</v>
      </c>
    </row>
    <row r="186" spans="1:8" x14ac:dyDescent="0.25">
      <c r="A186" s="144">
        <v>2</v>
      </c>
      <c r="B186" s="144" t="s">
        <v>748</v>
      </c>
      <c r="C186" s="144" t="s">
        <v>754</v>
      </c>
      <c r="D186" s="144" t="s">
        <v>750</v>
      </c>
      <c r="E186" s="144" t="s">
        <v>751</v>
      </c>
      <c r="F186" s="144">
        <v>2008</v>
      </c>
      <c r="G186" s="144" t="s">
        <v>755</v>
      </c>
      <c r="H186" s="144" t="s">
        <v>756</v>
      </c>
    </row>
    <row r="187" spans="1:8" x14ac:dyDescent="0.25">
      <c r="A187" s="144"/>
      <c r="B187" s="163" t="s">
        <v>757</v>
      </c>
      <c r="C187" s="163"/>
      <c r="D187" s="163"/>
      <c r="E187" s="163"/>
      <c r="F187" s="163"/>
      <c r="G187" s="163"/>
      <c r="H187" s="163"/>
    </row>
    <row r="188" spans="1:8" x14ac:dyDescent="0.25">
      <c r="A188" s="144"/>
      <c r="B188" s="146" t="s">
        <v>164</v>
      </c>
      <c r="C188" s="146" t="s">
        <v>165</v>
      </c>
      <c r="D188" s="146" t="s">
        <v>166</v>
      </c>
      <c r="E188" s="146" t="s">
        <v>167</v>
      </c>
      <c r="F188" s="146" t="s">
        <v>168</v>
      </c>
      <c r="G188" s="146" t="s">
        <v>169</v>
      </c>
      <c r="H188" s="146" t="s">
        <v>170</v>
      </c>
    </row>
    <row r="189" spans="1:8" x14ac:dyDescent="0.25">
      <c r="A189" s="144">
        <v>1</v>
      </c>
      <c r="B189" s="144" t="s">
        <v>758</v>
      </c>
      <c r="C189" s="144" t="s">
        <v>759</v>
      </c>
      <c r="D189" s="144" t="s">
        <v>750</v>
      </c>
      <c r="E189" s="144" t="s">
        <v>760</v>
      </c>
      <c r="F189" s="144">
        <v>2013</v>
      </c>
      <c r="G189" s="144" t="s">
        <v>761</v>
      </c>
      <c r="H189" s="144" t="s">
        <v>762</v>
      </c>
    </row>
    <row r="190" spans="1:8" x14ac:dyDescent="0.25">
      <c r="A190" s="144">
        <v>2</v>
      </c>
      <c r="B190" s="144" t="s">
        <v>758</v>
      </c>
      <c r="C190" s="144" t="s">
        <v>763</v>
      </c>
      <c r="D190" s="144" t="s">
        <v>750</v>
      </c>
      <c r="E190" s="144" t="s">
        <v>760</v>
      </c>
      <c r="F190" s="144">
        <v>2013</v>
      </c>
      <c r="G190" s="144" t="s">
        <v>764</v>
      </c>
      <c r="H190" s="144" t="s">
        <v>765</v>
      </c>
    </row>
    <row r="191" spans="1:8" x14ac:dyDescent="0.25">
      <c r="A191" s="144">
        <v>3</v>
      </c>
      <c r="B191" s="144" t="s">
        <v>758</v>
      </c>
      <c r="C191" s="144" t="s">
        <v>766</v>
      </c>
      <c r="D191" s="144" t="s">
        <v>750</v>
      </c>
      <c r="E191" s="144" t="s">
        <v>767</v>
      </c>
      <c r="F191" s="144">
        <v>2013</v>
      </c>
      <c r="G191" s="144" t="s">
        <v>768</v>
      </c>
      <c r="H191" s="144" t="s">
        <v>769</v>
      </c>
    </row>
    <row r="192" spans="1:8" x14ac:dyDescent="0.25">
      <c r="A192" s="144">
        <v>4</v>
      </c>
      <c r="B192" s="144" t="s">
        <v>758</v>
      </c>
      <c r="C192" s="144" t="s">
        <v>770</v>
      </c>
      <c r="D192" s="144" t="s">
        <v>750</v>
      </c>
      <c r="E192" s="144" t="s">
        <v>760</v>
      </c>
      <c r="F192" s="144">
        <v>2013</v>
      </c>
      <c r="G192" s="144" t="s">
        <v>771</v>
      </c>
      <c r="H192" s="144" t="s">
        <v>772</v>
      </c>
    </row>
    <row r="193" spans="1:8" x14ac:dyDescent="0.25">
      <c r="A193" s="144">
        <v>5</v>
      </c>
      <c r="B193" s="144" t="s">
        <v>758</v>
      </c>
      <c r="C193" s="144" t="s">
        <v>773</v>
      </c>
      <c r="D193" s="144" t="s">
        <v>750</v>
      </c>
      <c r="E193" s="144" t="s">
        <v>760</v>
      </c>
      <c r="F193" s="144">
        <v>2013</v>
      </c>
      <c r="G193" s="144" t="s">
        <v>774</v>
      </c>
      <c r="H193" s="144" t="s">
        <v>775</v>
      </c>
    </row>
    <row r="194" spans="1:8" x14ac:dyDescent="0.25">
      <c r="A194" s="144">
        <v>6</v>
      </c>
      <c r="B194" s="144" t="s">
        <v>758</v>
      </c>
      <c r="C194" s="144" t="s">
        <v>776</v>
      </c>
      <c r="D194" s="144" t="s">
        <v>750</v>
      </c>
      <c r="E194" s="144" t="s">
        <v>760</v>
      </c>
      <c r="F194" s="144">
        <v>2013</v>
      </c>
      <c r="G194" s="144" t="s">
        <v>777</v>
      </c>
      <c r="H194" s="144" t="s">
        <v>778</v>
      </c>
    </row>
    <row r="195" spans="1:8" x14ac:dyDescent="0.25">
      <c r="A195" s="144">
        <v>7</v>
      </c>
      <c r="B195" s="144" t="s">
        <v>758</v>
      </c>
      <c r="C195" s="144" t="s">
        <v>779</v>
      </c>
      <c r="D195" s="144" t="s">
        <v>750</v>
      </c>
      <c r="E195" s="144" t="s">
        <v>760</v>
      </c>
      <c r="F195" s="144">
        <v>2013</v>
      </c>
      <c r="G195" s="144" t="s">
        <v>780</v>
      </c>
      <c r="H195" s="144" t="s">
        <v>781</v>
      </c>
    </row>
    <row r="196" spans="1:8" x14ac:dyDescent="0.25">
      <c r="A196" s="144">
        <v>8</v>
      </c>
      <c r="B196" s="144" t="s">
        <v>758</v>
      </c>
      <c r="C196" s="144" t="s">
        <v>782</v>
      </c>
      <c r="D196" s="144" t="s">
        <v>750</v>
      </c>
      <c r="E196" s="144" t="s">
        <v>760</v>
      </c>
      <c r="F196" s="144">
        <v>2013</v>
      </c>
      <c r="G196" s="144" t="s">
        <v>783</v>
      </c>
      <c r="H196" s="144" t="s">
        <v>784</v>
      </c>
    </row>
    <row r="197" spans="1:8" x14ac:dyDescent="0.25">
      <c r="A197" s="144">
        <v>9</v>
      </c>
      <c r="B197" s="144" t="s">
        <v>758</v>
      </c>
      <c r="C197" s="144" t="s">
        <v>785</v>
      </c>
      <c r="D197" s="144" t="s">
        <v>750</v>
      </c>
      <c r="E197" s="144" t="s">
        <v>760</v>
      </c>
      <c r="F197" s="144">
        <v>2013</v>
      </c>
      <c r="G197" s="144" t="s">
        <v>786</v>
      </c>
      <c r="H197" s="144" t="s">
        <v>787</v>
      </c>
    </row>
    <row r="198" spans="1:8" x14ac:dyDescent="0.25">
      <c r="A198" s="144">
        <v>10</v>
      </c>
      <c r="B198" s="144" t="s">
        <v>758</v>
      </c>
      <c r="C198" s="144" t="s">
        <v>788</v>
      </c>
      <c r="D198" s="144" t="s">
        <v>750</v>
      </c>
      <c r="E198" s="144" t="s">
        <v>760</v>
      </c>
      <c r="F198" s="144">
        <v>2013</v>
      </c>
      <c r="G198" s="144" t="s">
        <v>789</v>
      </c>
      <c r="H198" s="144" t="s">
        <v>790</v>
      </c>
    </row>
    <row r="199" spans="1:8" x14ac:dyDescent="0.25">
      <c r="A199" s="144">
        <v>11</v>
      </c>
      <c r="B199" s="144" t="s">
        <v>758</v>
      </c>
      <c r="C199" s="144" t="s">
        <v>791</v>
      </c>
      <c r="D199" s="144" t="s">
        <v>750</v>
      </c>
      <c r="E199" s="144" t="s">
        <v>760</v>
      </c>
      <c r="F199" s="144">
        <v>2013</v>
      </c>
      <c r="G199" s="144" t="s">
        <v>792</v>
      </c>
      <c r="H199" s="144" t="s">
        <v>793</v>
      </c>
    </row>
    <row r="200" spans="1:8" x14ac:dyDescent="0.25">
      <c r="A200" s="144">
        <v>12</v>
      </c>
      <c r="B200" s="144" t="s">
        <v>758</v>
      </c>
      <c r="C200" s="144" t="s">
        <v>794</v>
      </c>
      <c r="D200" s="144" t="s">
        <v>750</v>
      </c>
      <c r="E200" s="144" t="s">
        <v>760</v>
      </c>
      <c r="F200" s="144">
        <v>2013</v>
      </c>
      <c r="G200" s="144" t="s">
        <v>795</v>
      </c>
      <c r="H200" s="144" t="s">
        <v>796</v>
      </c>
    </row>
    <row r="201" spans="1:8" x14ac:dyDescent="0.25">
      <c r="A201" s="144">
        <v>13</v>
      </c>
      <c r="B201" s="144" t="s">
        <v>758</v>
      </c>
      <c r="C201" s="144" t="s">
        <v>797</v>
      </c>
      <c r="D201" s="144" t="s">
        <v>750</v>
      </c>
      <c r="E201" s="144" t="s">
        <v>760</v>
      </c>
      <c r="F201" s="144">
        <v>2013</v>
      </c>
      <c r="G201" s="144" t="s">
        <v>798</v>
      </c>
      <c r="H201" s="144" t="s">
        <v>799</v>
      </c>
    </row>
    <row r="202" spans="1:8" x14ac:dyDescent="0.25">
      <c r="A202" s="144">
        <v>14</v>
      </c>
      <c r="B202" s="144" t="s">
        <v>758</v>
      </c>
      <c r="C202" s="144" t="s">
        <v>800</v>
      </c>
      <c r="D202" s="144" t="s">
        <v>750</v>
      </c>
      <c r="E202" s="144" t="s">
        <v>760</v>
      </c>
      <c r="F202" s="144">
        <v>2013</v>
      </c>
      <c r="G202" s="144" t="s">
        <v>801</v>
      </c>
      <c r="H202" s="144" t="s">
        <v>802</v>
      </c>
    </row>
    <row r="203" spans="1:8" x14ac:dyDescent="0.25">
      <c r="A203" s="144">
        <v>15</v>
      </c>
      <c r="B203" s="144" t="s">
        <v>758</v>
      </c>
      <c r="C203" s="144" t="s">
        <v>803</v>
      </c>
      <c r="D203" s="144" t="s">
        <v>750</v>
      </c>
      <c r="E203" s="144" t="s">
        <v>760</v>
      </c>
      <c r="F203" s="144">
        <v>2013</v>
      </c>
      <c r="G203" s="144" t="s">
        <v>804</v>
      </c>
      <c r="H203" s="144" t="s">
        <v>805</v>
      </c>
    </row>
    <row r="204" spans="1:8" x14ac:dyDescent="0.25">
      <c r="A204" s="144">
        <v>16</v>
      </c>
      <c r="B204" s="144" t="s">
        <v>758</v>
      </c>
      <c r="C204" s="144" t="s">
        <v>806</v>
      </c>
      <c r="D204" s="144" t="s">
        <v>750</v>
      </c>
      <c r="E204" s="144" t="s">
        <v>760</v>
      </c>
      <c r="F204" s="144">
        <v>2013</v>
      </c>
      <c r="G204" s="144" t="s">
        <v>807</v>
      </c>
      <c r="H204" s="144" t="s">
        <v>808</v>
      </c>
    </row>
    <row r="205" spans="1:8" x14ac:dyDescent="0.25">
      <c r="A205" s="144">
        <v>17</v>
      </c>
      <c r="B205" s="144" t="s">
        <v>758</v>
      </c>
      <c r="C205" s="144" t="s">
        <v>809</v>
      </c>
      <c r="D205" s="144" t="s">
        <v>750</v>
      </c>
      <c r="E205" s="144" t="s">
        <v>760</v>
      </c>
      <c r="F205" s="144">
        <v>2013</v>
      </c>
      <c r="G205" s="144" t="s">
        <v>810</v>
      </c>
      <c r="H205" s="144" t="s">
        <v>811</v>
      </c>
    </row>
    <row r="206" spans="1:8" x14ac:dyDescent="0.25">
      <c r="A206" s="144">
        <v>18</v>
      </c>
      <c r="B206" s="144" t="s">
        <v>758</v>
      </c>
      <c r="C206" s="144" t="s">
        <v>812</v>
      </c>
      <c r="D206" s="144" t="s">
        <v>750</v>
      </c>
      <c r="E206" s="144" t="s">
        <v>760</v>
      </c>
      <c r="F206" s="144">
        <v>2013</v>
      </c>
      <c r="G206" s="144" t="s">
        <v>813</v>
      </c>
      <c r="H206" s="144" t="s">
        <v>814</v>
      </c>
    </row>
    <row r="207" spans="1:8" x14ac:dyDescent="0.25">
      <c r="A207" s="144">
        <v>19</v>
      </c>
      <c r="B207" s="144" t="s">
        <v>758</v>
      </c>
      <c r="C207" s="144" t="s">
        <v>815</v>
      </c>
      <c r="D207" s="144" t="s">
        <v>750</v>
      </c>
      <c r="E207" s="144" t="s">
        <v>760</v>
      </c>
      <c r="F207" s="144">
        <v>2013</v>
      </c>
      <c r="G207" s="144" t="s">
        <v>816</v>
      </c>
      <c r="H207" s="144" t="s">
        <v>817</v>
      </c>
    </row>
    <row r="208" spans="1:8" x14ac:dyDescent="0.25">
      <c r="A208" s="144">
        <v>20</v>
      </c>
      <c r="B208" s="144" t="s">
        <v>758</v>
      </c>
      <c r="C208" s="144" t="s">
        <v>818</v>
      </c>
      <c r="D208" s="144" t="s">
        <v>750</v>
      </c>
      <c r="E208" s="144" t="s">
        <v>760</v>
      </c>
      <c r="F208" s="144">
        <v>2013</v>
      </c>
      <c r="G208" s="144" t="s">
        <v>819</v>
      </c>
      <c r="H208" s="144" t="s">
        <v>820</v>
      </c>
    </row>
    <row r="209" spans="1:8" x14ac:dyDescent="0.25">
      <c r="A209" s="144">
        <v>21</v>
      </c>
      <c r="B209" s="144" t="s">
        <v>758</v>
      </c>
      <c r="C209" s="144" t="s">
        <v>821</v>
      </c>
      <c r="D209" s="144" t="s">
        <v>750</v>
      </c>
      <c r="E209" s="144" t="s">
        <v>760</v>
      </c>
      <c r="F209" s="144">
        <v>2013</v>
      </c>
      <c r="G209" s="144" t="s">
        <v>822</v>
      </c>
      <c r="H209" s="144" t="s">
        <v>823</v>
      </c>
    </row>
    <row r="210" spans="1:8" x14ac:dyDescent="0.25">
      <c r="A210" s="144">
        <v>22</v>
      </c>
      <c r="B210" s="144" t="s">
        <v>758</v>
      </c>
      <c r="C210" s="144" t="s">
        <v>824</v>
      </c>
      <c r="D210" s="144" t="s">
        <v>750</v>
      </c>
      <c r="E210" s="144" t="s">
        <v>760</v>
      </c>
      <c r="F210" s="144">
        <v>2013</v>
      </c>
      <c r="G210" s="144" t="s">
        <v>825</v>
      </c>
      <c r="H210" s="144" t="s">
        <v>826</v>
      </c>
    </row>
    <row r="211" spans="1:8" x14ac:dyDescent="0.25">
      <c r="A211" s="144">
        <v>23</v>
      </c>
      <c r="B211" s="144" t="s">
        <v>758</v>
      </c>
      <c r="C211" s="144" t="s">
        <v>827</v>
      </c>
      <c r="D211" s="144" t="s">
        <v>750</v>
      </c>
      <c r="E211" s="144" t="s">
        <v>760</v>
      </c>
      <c r="F211" s="144">
        <v>2013</v>
      </c>
      <c r="G211" s="144" t="s">
        <v>828</v>
      </c>
      <c r="H211" s="144" t="s">
        <v>829</v>
      </c>
    </row>
    <row r="212" spans="1:8" x14ac:dyDescent="0.25">
      <c r="A212" s="144">
        <v>24</v>
      </c>
      <c r="B212" s="144" t="s">
        <v>758</v>
      </c>
      <c r="C212" s="144" t="s">
        <v>830</v>
      </c>
      <c r="D212" s="144" t="s">
        <v>750</v>
      </c>
      <c r="E212" s="144" t="s">
        <v>760</v>
      </c>
      <c r="F212" s="144">
        <v>2013</v>
      </c>
      <c r="G212" s="144" t="s">
        <v>831</v>
      </c>
      <c r="H212" s="144" t="s">
        <v>832</v>
      </c>
    </row>
    <row r="213" spans="1:8" x14ac:dyDescent="0.25">
      <c r="A213" s="144">
        <v>25</v>
      </c>
      <c r="B213" s="144" t="s">
        <v>758</v>
      </c>
      <c r="C213" s="144" t="s">
        <v>833</v>
      </c>
      <c r="D213" s="144" t="s">
        <v>750</v>
      </c>
      <c r="E213" s="144" t="s">
        <v>760</v>
      </c>
      <c r="F213" s="144">
        <v>2013</v>
      </c>
      <c r="G213" s="144" t="s">
        <v>834</v>
      </c>
      <c r="H213" s="144" t="s">
        <v>835</v>
      </c>
    </row>
    <row r="214" spans="1:8" x14ac:dyDescent="0.25">
      <c r="A214" s="144">
        <v>26</v>
      </c>
      <c r="B214" s="144" t="s">
        <v>758</v>
      </c>
      <c r="C214" s="144" t="s">
        <v>836</v>
      </c>
      <c r="D214" s="144" t="s">
        <v>750</v>
      </c>
      <c r="E214" s="144" t="s">
        <v>760</v>
      </c>
      <c r="F214" s="144">
        <v>2013</v>
      </c>
      <c r="G214" s="144" t="s">
        <v>837</v>
      </c>
      <c r="H214" s="144" t="s">
        <v>838</v>
      </c>
    </row>
    <row r="215" spans="1:8" x14ac:dyDescent="0.25">
      <c r="A215" s="144">
        <v>27</v>
      </c>
      <c r="B215" s="144" t="s">
        <v>758</v>
      </c>
      <c r="C215" s="144" t="s">
        <v>839</v>
      </c>
      <c r="D215" s="144" t="s">
        <v>750</v>
      </c>
      <c r="E215" s="144" t="s">
        <v>760</v>
      </c>
      <c r="F215" s="144">
        <v>2013</v>
      </c>
      <c r="G215" s="144" t="s">
        <v>840</v>
      </c>
      <c r="H215" s="144" t="s">
        <v>841</v>
      </c>
    </row>
    <row r="216" spans="1:8" x14ac:dyDescent="0.25">
      <c r="A216" s="144">
        <v>28</v>
      </c>
      <c r="B216" s="144" t="s">
        <v>758</v>
      </c>
      <c r="C216" s="144" t="s">
        <v>842</v>
      </c>
      <c r="D216" s="144" t="s">
        <v>750</v>
      </c>
      <c r="E216" s="144" t="s">
        <v>760</v>
      </c>
      <c r="F216" s="144">
        <v>2013</v>
      </c>
      <c r="G216" s="144" t="s">
        <v>843</v>
      </c>
      <c r="H216" s="144" t="s">
        <v>844</v>
      </c>
    </row>
    <row r="217" spans="1:8" x14ac:dyDescent="0.25">
      <c r="A217" s="144">
        <v>29</v>
      </c>
      <c r="B217" s="144" t="s">
        <v>758</v>
      </c>
      <c r="C217" s="144" t="s">
        <v>845</v>
      </c>
      <c r="D217" s="144" t="s">
        <v>750</v>
      </c>
      <c r="E217" s="144" t="s">
        <v>767</v>
      </c>
      <c r="F217" s="144">
        <v>2013</v>
      </c>
      <c r="G217" s="144" t="s">
        <v>846</v>
      </c>
      <c r="H217" s="144" t="s">
        <v>847</v>
      </c>
    </row>
    <row r="218" spans="1:8" x14ac:dyDescent="0.25">
      <c r="A218" s="144">
        <v>30</v>
      </c>
      <c r="B218" s="144" t="s">
        <v>758</v>
      </c>
      <c r="C218" s="144" t="s">
        <v>848</v>
      </c>
      <c r="D218" s="144" t="s">
        <v>750</v>
      </c>
      <c r="E218" s="144" t="s">
        <v>760</v>
      </c>
      <c r="F218" s="144">
        <v>2013</v>
      </c>
      <c r="G218" s="144" t="s">
        <v>849</v>
      </c>
      <c r="H218" s="144" t="s">
        <v>850</v>
      </c>
    </row>
    <row r="219" spans="1:8" x14ac:dyDescent="0.25">
      <c r="A219" s="144">
        <v>31</v>
      </c>
      <c r="B219" s="144" t="s">
        <v>758</v>
      </c>
      <c r="C219" s="144" t="s">
        <v>851</v>
      </c>
      <c r="D219" s="144" t="s">
        <v>750</v>
      </c>
      <c r="E219" s="144" t="s">
        <v>760</v>
      </c>
      <c r="F219" s="144">
        <v>2013</v>
      </c>
      <c r="G219" s="144" t="s">
        <v>852</v>
      </c>
      <c r="H219" s="144" t="s">
        <v>853</v>
      </c>
    </row>
    <row r="220" spans="1:8" x14ac:dyDescent="0.25">
      <c r="A220" s="144">
        <v>32</v>
      </c>
      <c r="B220" s="144" t="s">
        <v>758</v>
      </c>
      <c r="C220" s="144" t="s">
        <v>854</v>
      </c>
      <c r="D220" s="144" t="s">
        <v>750</v>
      </c>
      <c r="E220" s="144" t="s">
        <v>767</v>
      </c>
      <c r="F220" s="144">
        <v>2013</v>
      </c>
      <c r="G220" s="144" t="s">
        <v>855</v>
      </c>
      <c r="H220" s="144" t="s">
        <v>856</v>
      </c>
    </row>
    <row r="221" spans="1:8" x14ac:dyDescent="0.25">
      <c r="A221" s="144">
        <v>33</v>
      </c>
      <c r="B221" s="144" t="s">
        <v>758</v>
      </c>
      <c r="C221" s="144" t="s">
        <v>857</v>
      </c>
      <c r="D221" s="144" t="s">
        <v>750</v>
      </c>
      <c r="E221" s="144" t="s">
        <v>760</v>
      </c>
      <c r="F221" s="144">
        <v>2013</v>
      </c>
      <c r="G221" s="144" t="s">
        <v>858</v>
      </c>
      <c r="H221" s="144" t="s">
        <v>859</v>
      </c>
    </row>
    <row r="222" spans="1:8" x14ac:dyDescent="0.25">
      <c r="A222" s="144">
        <v>34</v>
      </c>
      <c r="B222" s="144" t="s">
        <v>758</v>
      </c>
      <c r="C222" s="144" t="s">
        <v>860</v>
      </c>
      <c r="D222" s="144" t="s">
        <v>750</v>
      </c>
      <c r="E222" s="144" t="s">
        <v>760</v>
      </c>
      <c r="F222" s="144">
        <v>2013</v>
      </c>
      <c r="G222" s="144" t="s">
        <v>861</v>
      </c>
      <c r="H222" s="144" t="s">
        <v>862</v>
      </c>
    </row>
    <row r="223" spans="1:8" x14ac:dyDescent="0.25">
      <c r="A223" s="144">
        <v>35</v>
      </c>
      <c r="B223" s="144" t="s">
        <v>758</v>
      </c>
      <c r="C223" s="144" t="s">
        <v>863</v>
      </c>
      <c r="D223" s="144" t="s">
        <v>750</v>
      </c>
      <c r="E223" s="144" t="s">
        <v>760</v>
      </c>
      <c r="F223" s="144">
        <v>2013</v>
      </c>
      <c r="G223" s="144" t="s">
        <v>864</v>
      </c>
      <c r="H223" s="144" t="s">
        <v>865</v>
      </c>
    </row>
    <row r="224" spans="1:8" x14ac:dyDescent="0.25">
      <c r="A224" s="144">
        <v>36</v>
      </c>
      <c r="B224" s="144" t="s">
        <v>758</v>
      </c>
      <c r="C224" s="144" t="s">
        <v>866</v>
      </c>
      <c r="D224" s="144" t="s">
        <v>750</v>
      </c>
      <c r="E224" s="144" t="s">
        <v>760</v>
      </c>
      <c r="F224" s="144">
        <v>2013</v>
      </c>
      <c r="G224" s="144" t="s">
        <v>867</v>
      </c>
      <c r="H224" s="144" t="s">
        <v>868</v>
      </c>
    </row>
    <row r="225" spans="1:8" x14ac:dyDescent="0.25">
      <c r="A225" s="144">
        <v>37</v>
      </c>
      <c r="B225" s="144" t="s">
        <v>758</v>
      </c>
      <c r="C225" s="144" t="s">
        <v>869</v>
      </c>
      <c r="D225" s="144" t="s">
        <v>750</v>
      </c>
      <c r="E225" s="144" t="s">
        <v>760</v>
      </c>
      <c r="F225" s="144">
        <v>2013</v>
      </c>
      <c r="G225" s="144" t="s">
        <v>870</v>
      </c>
      <c r="H225" s="144" t="s">
        <v>871</v>
      </c>
    </row>
    <row r="226" spans="1:8" x14ac:dyDescent="0.25">
      <c r="A226" s="144">
        <v>38</v>
      </c>
      <c r="B226" s="144" t="s">
        <v>758</v>
      </c>
      <c r="C226" s="144" t="s">
        <v>872</v>
      </c>
      <c r="D226" s="144" t="s">
        <v>750</v>
      </c>
      <c r="E226" s="144" t="s">
        <v>760</v>
      </c>
      <c r="F226" s="144">
        <v>2013</v>
      </c>
      <c r="G226" s="144" t="s">
        <v>873</v>
      </c>
      <c r="H226" s="144" t="s">
        <v>874</v>
      </c>
    </row>
    <row r="227" spans="1:8" x14ac:dyDescent="0.25">
      <c r="A227" s="144">
        <v>39</v>
      </c>
      <c r="B227" s="144" t="s">
        <v>758</v>
      </c>
      <c r="C227" s="144" t="s">
        <v>875</v>
      </c>
      <c r="D227" s="144" t="s">
        <v>750</v>
      </c>
      <c r="E227" s="144" t="s">
        <v>760</v>
      </c>
      <c r="F227" s="144">
        <v>2013</v>
      </c>
      <c r="G227" s="144" t="s">
        <v>876</v>
      </c>
      <c r="H227" s="144" t="s">
        <v>877</v>
      </c>
    </row>
    <row r="228" spans="1:8" x14ac:dyDescent="0.25">
      <c r="A228" s="144">
        <v>40</v>
      </c>
      <c r="B228" s="144" t="s">
        <v>758</v>
      </c>
      <c r="C228" s="144" t="s">
        <v>878</v>
      </c>
      <c r="D228" s="144" t="s">
        <v>750</v>
      </c>
      <c r="E228" s="144" t="s">
        <v>760</v>
      </c>
      <c r="F228" s="144">
        <v>2013</v>
      </c>
      <c r="G228" s="144" t="s">
        <v>879</v>
      </c>
      <c r="H228" s="144" t="s">
        <v>880</v>
      </c>
    </row>
    <row r="229" spans="1:8" x14ac:dyDescent="0.25">
      <c r="A229" s="144">
        <v>41</v>
      </c>
      <c r="B229" s="144" t="s">
        <v>758</v>
      </c>
      <c r="C229" s="144" t="s">
        <v>881</v>
      </c>
      <c r="D229" s="144" t="s">
        <v>750</v>
      </c>
      <c r="E229" s="144" t="s">
        <v>760</v>
      </c>
      <c r="F229" s="144">
        <v>2013</v>
      </c>
      <c r="G229" s="144" t="s">
        <v>882</v>
      </c>
      <c r="H229" s="144" t="s">
        <v>883</v>
      </c>
    </row>
    <row r="230" spans="1:8" x14ac:dyDescent="0.25">
      <c r="A230" s="144">
        <v>42</v>
      </c>
      <c r="B230" s="144" t="s">
        <v>758</v>
      </c>
      <c r="C230" s="144" t="s">
        <v>884</v>
      </c>
      <c r="D230" s="144" t="s">
        <v>750</v>
      </c>
      <c r="E230" s="144" t="s">
        <v>760</v>
      </c>
      <c r="F230" s="144">
        <v>2013</v>
      </c>
      <c r="G230" s="144" t="s">
        <v>885</v>
      </c>
      <c r="H230" s="144" t="s">
        <v>886</v>
      </c>
    </row>
    <row r="231" spans="1:8" x14ac:dyDescent="0.25">
      <c r="A231" s="144">
        <v>43</v>
      </c>
      <c r="B231" s="144" t="s">
        <v>758</v>
      </c>
      <c r="C231" s="144" t="s">
        <v>887</v>
      </c>
      <c r="D231" s="144" t="s">
        <v>750</v>
      </c>
      <c r="E231" s="144" t="s">
        <v>760</v>
      </c>
      <c r="F231" s="144">
        <v>2013</v>
      </c>
      <c r="G231" s="144" t="s">
        <v>888</v>
      </c>
      <c r="H231" s="144" t="s">
        <v>889</v>
      </c>
    </row>
    <row r="232" spans="1:8" x14ac:dyDescent="0.25">
      <c r="A232" s="144">
        <v>44</v>
      </c>
      <c r="B232" s="144" t="s">
        <v>758</v>
      </c>
      <c r="C232" s="144" t="s">
        <v>890</v>
      </c>
      <c r="D232" s="144" t="s">
        <v>750</v>
      </c>
      <c r="E232" s="144" t="s">
        <v>767</v>
      </c>
      <c r="F232" s="144">
        <v>2014</v>
      </c>
      <c r="G232" s="144" t="s">
        <v>891</v>
      </c>
      <c r="H232" s="144" t="s">
        <v>892</v>
      </c>
    </row>
    <row r="233" spans="1:8" x14ac:dyDescent="0.25">
      <c r="A233" s="144">
        <v>45</v>
      </c>
      <c r="B233" s="144" t="s">
        <v>758</v>
      </c>
      <c r="C233" s="144" t="s">
        <v>893</v>
      </c>
      <c r="D233" s="144" t="s">
        <v>750</v>
      </c>
      <c r="E233" s="144" t="s">
        <v>767</v>
      </c>
      <c r="F233" s="144">
        <v>2014</v>
      </c>
      <c r="G233" s="144" t="s">
        <v>894</v>
      </c>
      <c r="H233" s="144" t="s">
        <v>895</v>
      </c>
    </row>
    <row r="234" spans="1:8" x14ac:dyDescent="0.25">
      <c r="A234" s="144">
        <v>46</v>
      </c>
      <c r="B234" s="144" t="s">
        <v>758</v>
      </c>
      <c r="C234" s="144" t="s">
        <v>896</v>
      </c>
      <c r="D234" s="144" t="s">
        <v>750</v>
      </c>
      <c r="E234" s="144" t="s">
        <v>767</v>
      </c>
      <c r="F234" s="144">
        <v>2014</v>
      </c>
      <c r="G234" s="144" t="s">
        <v>897</v>
      </c>
      <c r="H234" s="144" t="s">
        <v>898</v>
      </c>
    </row>
    <row r="235" spans="1:8" x14ac:dyDescent="0.25">
      <c r="A235" s="144">
        <v>47</v>
      </c>
      <c r="B235" s="144" t="s">
        <v>758</v>
      </c>
      <c r="C235" s="144" t="s">
        <v>899</v>
      </c>
      <c r="D235" s="144" t="s">
        <v>750</v>
      </c>
      <c r="E235" s="144" t="s">
        <v>767</v>
      </c>
      <c r="F235" s="144">
        <v>2014</v>
      </c>
      <c r="G235" s="144" t="s">
        <v>900</v>
      </c>
      <c r="H235" s="144" t="s">
        <v>901</v>
      </c>
    </row>
    <row r="236" spans="1:8" x14ac:dyDescent="0.25">
      <c r="A236" s="144">
        <v>48</v>
      </c>
      <c r="B236" s="144" t="s">
        <v>758</v>
      </c>
      <c r="C236" s="144" t="s">
        <v>902</v>
      </c>
      <c r="D236" s="144" t="s">
        <v>750</v>
      </c>
      <c r="E236" s="144" t="s">
        <v>767</v>
      </c>
      <c r="F236" s="144">
        <v>2014</v>
      </c>
      <c r="G236" s="144" t="s">
        <v>903</v>
      </c>
      <c r="H236" s="144" t="s">
        <v>904</v>
      </c>
    </row>
    <row r="237" spans="1:8" x14ac:dyDescent="0.25">
      <c r="A237" s="144">
        <v>49</v>
      </c>
      <c r="B237" s="144" t="s">
        <v>758</v>
      </c>
      <c r="C237" s="144" t="s">
        <v>905</v>
      </c>
      <c r="D237" s="144" t="s">
        <v>750</v>
      </c>
      <c r="E237" s="144" t="s">
        <v>760</v>
      </c>
      <c r="F237" s="144">
        <v>2014</v>
      </c>
      <c r="G237" s="144" t="s">
        <v>906</v>
      </c>
      <c r="H237" s="144" t="s">
        <v>907</v>
      </c>
    </row>
    <row r="238" spans="1:8" x14ac:dyDescent="0.25">
      <c r="A238" s="144">
        <v>50</v>
      </c>
      <c r="B238" s="144" t="s">
        <v>758</v>
      </c>
      <c r="C238" s="144" t="s">
        <v>908</v>
      </c>
      <c r="D238" s="144" t="s">
        <v>750</v>
      </c>
      <c r="E238" s="144" t="s">
        <v>767</v>
      </c>
      <c r="F238" s="144">
        <v>2014</v>
      </c>
      <c r="G238" s="144" t="s">
        <v>909</v>
      </c>
      <c r="H238" s="144" t="s">
        <v>910</v>
      </c>
    </row>
    <row r="239" spans="1:8" x14ac:dyDescent="0.25">
      <c r="A239" s="144">
        <v>51</v>
      </c>
      <c r="B239" s="144" t="s">
        <v>758</v>
      </c>
      <c r="C239" s="144" t="s">
        <v>911</v>
      </c>
      <c r="D239" s="144" t="s">
        <v>750</v>
      </c>
      <c r="E239" s="144" t="s">
        <v>767</v>
      </c>
      <c r="F239" s="144">
        <v>2014</v>
      </c>
      <c r="G239" s="144" t="s">
        <v>912</v>
      </c>
      <c r="H239" s="144" t="s">
        <v>913</v>
      </c>
    </row>
    <row r="240" spans="1:8" x14ac:dyDescent="0.25">
      <c r="A240" s="144">
        <v>52</v>
      </c>
      <c r="B240" s="144" t="s">
        <v>758</v>
      </c>
      <c r="C240" s="144" t="s">
        <v>914</v>
      </c>
      <c r="D240" s="144" t="s">
        <v>750</v>
      </c>
      <c r="E240" s="144" t="s">
        <v>767</v>
      </c>
      <c r="F240" s="144">
        <v>2014</v>
      </c>
      <c r="G240" s="144" t="s">
        <v>915</v>
      </c>
      <c r="H240" s="144" t="s">
        <v>916</v>
      </c>
    </row>
    <row r="241" spans="1:8" x14ac:dyDescent="0.25">
      <c r="A241" s="144">
        <v>53</v>
      </c>
      <c r="B241" s="144" t="s">
        <v>758</v>
      </c>
      <c r="C241" s="144" t="s">
        <v>917</v>
      </c>
      <c r="D241" s="144" t="s">
        <v>750</v>
      </c>
      <c r="E241" s="144" t="s">
        <v>767</v>
      </c>
      <c r="F241" s="144">
        <v>2014</v>
      </c>
      <c r="G241" s="144" t="s">
        <v>918</v>
      </c>
      <c r="H241" s="144" t="s">
        <v>919</v>
      </c>
    </row>
    <row r="242" spans="1:8" x14ac:dyDescent="0.25">
      <c r="A242" s="144">
        <v>54</v>
      </c>
      <c r="B242" s="144" t="s">
        <v>758</v>
      </c>
      <c r="C242" s="144" t="s">
        <v>920</v>
      </c>
      <c r="D242" s="144" t="s">
        <v>750</v>
      </c>
      <c r="E242" s="144" t="s">
        <v>767</v>
      </c>
      <c r="F242" s="144">
        <v>2014</v>
      </c>
      <c r="G242" s="144" t="s">
        <v>921</v>
      </c>
      <c r="H242" s="144" t="s">
        <v>922</v>
      </c>
    </row>
    <row r="243" spans="1:8" x14ac:dyDescent="0.25">
      <c r="A243" s="144">
        <v>55</v>
      </c>
      <c r="B243" s="144" t="s">
        <v>758</v>
      </c>
      <c r="C243" s="144" t="s">
        <v>923</v>
      </c>
      <c r="D243" s="144" t="s">
        <v>750</v>
      </c>
      <c r="E243" s="144" t="s">
        <v>767</v>
      </c>
      <c r="F243" s="144">
        <v>2014</v>
      </c>
      <c r="G243" s="144" t="s">
        <v>924</v>
      </c>
      <c r="H243" s="144" t="s">
        <v>925</v>
      </c>
    </row>
    <row r="244" spans="1:8" x14ac:dyDescent="0.25">
      <c r="A244" s="144">
        <v>56</v>
      </c>
      <c r="B244" s="144" t="s">
        <v>758</v>
      </c>
      <c r="C244" s="144" t="s">
        <v>926</v>
      </c>
      <c r="D244" s="144" t="s">
        <v>750</v>
      </c>
      <c r="E244" s="144" t="s">
        <v>767</v>
      </c>
      <c r="F244" s="144">
        <v>2014</v>
      </c>
      <c r="G244" s="144" t="s">
        <v>927</v>
      </c>
      <c r="H244" s="144" t="s">
        <v>928</v>
      </c>
    </row>
    <row r="245" spans="1:8" x14ac:dyDescent="0.25">
      <c r="A245" s="144">
        <v>57</v>
      </c>
      <c r="B245" s="144" t="s">
        <v>758</v>
      </c>
      <c r="C245" s="144" t="s">
        <v>929</v>
      </c>
      <c r="D245" s="144" t="s">
        <v>750</v>
      </c>
      <c r="E245" s="144" t="s">
        <v>767</v>
      </c>
      <c r="F245" s="144">
        <v>2014</v>
      </c>
      <c r="G245" s="144" t="s">
        <v>930</v>
      </c>
      <c r="H245" s="144" t="s">
        <v>931</v>
      </c>
    </row>
    <row r="246" spans="1:8" x14ac:dyDescent="0.25">
      <c r="A246" s="144">
        <v>58</v>
      </c>
      <c r="B246" s="144" t="s">
        <v>758</v>
      </c>
      <c r="C246" s="144" t="s">
        <v>932</v>
      </c>
      <c r="D246" s="144" t="s">
        <v>750</v>
      </c>
      <c r="E246" s="144" t="s">
        <v>760</v>
      </c>
      <c r="F246" s="144">
        <v>2014</v>
      </c>
      <c r="G246" s="144" t="s">
        <v>933</v>
      </c>
      <c r="H246" s="144" t="s">
        <v>934</v>
      </c>
    </row>
    <row r="247" spans="1:8" x14ac:dyDescent="0.25">
      <c r="A247" s="144">
        <v>59</v>
      </c>
      <c r="B247" s="144" t="s">
        <v>758</v>
      </c>
      <c r="C247" s="144" t="s">
        <v>935</v>
      </c>
      <c r="D247" s="144" t="s">
        <v>750</v>
      </c>
      <c r="E247" s="144" t="s">
        <v>767</v>
      </c>
      <c r="F247" s="144">
        <v>2014</v>
      </c>
      <c r="G247" s="144" t="s">
        <v>936</v>
      </c>
      <c r="H247" s="144" t="s">
        <v>937</v>
      </c>
    </row>
    <row r="248" spans="1:8" x14ac:dyDescent="0.25">
      <c r="A248" s="144">
        <v>60</v>
      </c>
      <c r="B248" s="144" t="s">
        <v>758</v>
      </c>
      <c r="C248" s="144" t="s">
        <v>938</v>
      </c>
      <c r="D248" s="144" t="s">
        <v>750</v>
      </c>
      <c r="E248" s="144" t="s">
        <v>760</v>
      </c>
      <c r="F248" s="144">
        <v>2014</v>
      </c>
      <c r="G248" s="144" t="s">
        <v>939</v>
      </c>
      <c r="H248" s="144" t="s">
        <v>940</v>
      </c>
    </row>
    <row r="249" spans="1:8" x14ac:dyDescent="0.25">
      <c r="A249" s="144">
        <v>61</v>
      </c>
      <c r="B249" s="144" t="s">
        <v>758</v>
      </c>
      <c r="C249" s="144" t="s">
        <v>941</v>
      </c>
      <c r="D249" s="144" t="s">
        <v>750</v>
      </c>
      <c r="E249" s="144" t="s">
        <v>760</v>
      </c>
      <c r="F249" s="144">
        <v>2014</v>
      </c>
      <c r="G249" s="144" t="s">
        <v>942</v>
      </c>
      <c r="H249" s="144" t="s">
        <v>943</v>
      </c>
    </row>
    <row r="250" spans="1:8" x14ac:dyDescent="0.25">
      <c r="A250" s="144">
        <v>62</v>
      </c>
      <c r="B250" s="144" t="s">
        <v>758</v>
      </c>
      <c r="C250" s="144" t="s">
        <v>944</v>
      </c>
      <c r="D250" s="144" t="s">
        <v>750</v>
      </c>
      <c r="E250" s="144" t="s">
        <v>760</v>
      </c>
      <c r="F250" s="144">
        <v>2014</v>
      </c>
      <c r="G250" s="144" t="s">
        <v>945</v>
      </c>
      <c r="H250" s="144" t="s">
        <v>946</v>
      </c>
    </row>
    <row r="251" spans="1:8" x14ac:dyDescent="0.25">
      <c r="A251" s="144">
        <v>63</v>
      </c>
      <c r="B251" s="144" t="s">
        <v>758</v>
      </c>
      <c r="C251" s="144" t="s">
        <v>947</v>
      </c>
      <c r="D251" s="144" t="s">
        <v>750</v>
      </c>
      <c r="E251" s="144" t="s">
        <v>760</v>
      </c>
      <c r="F251" s="144">
        <v>2014</v>
      </c>
      <c r="G251" s="144" t="s">
        <v>948</v>
      </c>
      <c r="H251" s="144" t="s">
        <v>949</v>
      </c>
    </row>
    <row r="252" spans="1:8" x14ac:dyDescent="0.25">
      <c r="A252" s="144">
        <v>64</v>
      </c>
      <c r="B252" s="144" t="s">
        <v>758</v>
      </c>
      <c r="C252" s="144" t="s">
        <v>950</v>
      </c>
      <c r="D252" s="144" t="s">
        <v>750</v>
      </c>
      <c r="E252" s="144" t="s">
        <v>760</v>
      </c>
      <c r="F252" s="144">
        <v>2014</v>
      </c>
      <c r="G252" s="144" t="s">
        <v>951</v>
      </c>
      <c r="H252" s="144" t="s">
        <v>952</v>
      </c>
    </row>
    <row r="253" spans="1:8" x14ac:dyDescent="0.25">
      <c r="A253" s="144">
        <v>65</v>
      </c>
      <c r="B253" s="144" t="s">
        <v>758</v>
      </c>
      <c r="C253" s="144" t="s">
        <v>953</v>
      </c>
      <c r="D253" s="144" t="s">
        <v>750</v>
      </c>
      <c r="E253" s="144" t="s">
        <v>760</v>
      </c>
      <c r="F253" s="144">
        <v>2014</v>
      </c>
      <c r="G253" s="144" t="s">
        <v>954</v>
      </c>
      <c r="H253" s="144" t="s">
        <v>955</v>
      </c>
    </row>
    <row r="254" spans="1:8" x14ac:dyDescent="0.25">
      <c r="A254" s="144">
        <v>66</v>
      </c>
      <c r="B254" s="144" t="s">
        <v>758</v>
      </c>
      <c r="C254" s="144" t="s">
        <v>956</v>
      </c>
      <c r="D254" s="144" t="s">
        <v>750</v>
      </c>
      <c r="E254" s="144" t="s">
        <v>767</v>
      </c>
      <c r="F254" s="144">
        <v>2014</v>
      </c>
      <c r="G254" s="144" t="s">
        <v>957</v>
      </c>
      <c r="H254" s="144" t="s">
        <v>958</v>
      </c>
    </row>
    <row r="255" spans="1:8" x14ac:dyDescent="0.25">
      <c r="A255" s="144">
        <v>67</v>
      </c>
      <c r="B255" s="144" t="s">
        <v>758</v>
      </c>
      <c r="C255" s="144" t="s">
        <v>959</v>
      </c>
      <c r="D255" s="144" t="s">
        <v>750</v>
      </c>
      <c r="E255" s="144" t="s">
        <v>767</v>
      </c>
      <c r="F255" s="144">
        <v>2014</v>
      </c>
      <c r="G255" s="144" t="s">
        <v>960</v>
      </c>
      <c r="H255" s="144" t="s">
        <v>961</v>
      </c>
    </row>
    <row r="256" spans="1:8" x14ac:dyDescent="0.25">
      <c r="A256" s="144">
        <v>68</v>
      </c>
      <c r="B256" s="144" t="s">
        <v>758</v>
      </c>
      <c r="C256" s="144" t="s">
        <v>962</v>
      </c>
      <c r="D256" s="144" t="s">
        <v>750</v>
      </c>
      <c r="E256" s="144" t="s">
        <v>760</v>
      </c>
      <c r="F256" s="144">
        <v>2014</v>
      </c>
      <c r="G256" s="144" t="s">
        <v>963</v>
      </c>
      <c r="H256" s="144" t="s">
        <v>964</v>
      </c>
    </row>
    <row r="257" spans="1:8" x14ac:dyDescent="0.25">
      <c r="A257" s="144">
        <v>69</v>
      </c>
      <c r="B257" s="144" t="s">
        <v>758</v>
      </c>
      <c r="C257" s="144" t="s">
        <v>965</v>
      </c>
      <c r="D257" s="144" t="s">
        <v>750</v>
      </c>
      <c r="E257" s="144" t="s">
        <v>760</v>
      </c>
      <c r="F257" s="144">
        <v>2014</v>
      </c>
      <c r="G257" s="144" t="s">
        <v>966</v>
      </c>
      <c r="H257" s="144" t="s">
        <v>967</v>
      </c>
    </row>
    <row r="258" spans="1:8" x14ac:dyDescent="0.25">
      <c r="A258" s="144">
        <v>70</v>
      </c>
      <c r="B258" s="144" t="s">
        <v>758</v>
      </c>
      <c r="C258" s="144" t="s">
        <v>968</v>
      </c>
      <c r="D258" s="144" t="s">
        <v>750</v>
      </c>
      <c r="E258" s="144" t="s">
        <v>760</v>
      </c>
      <c r="F258" s="144">
        <v>2014</v>
      </c>
      <c r="G258" s="144" t="s">
        <v>969</v>
      </c>
      <c r="H258" s="144" t="s">
        <v>970</v>
      </c>
    </row>
    <row r="259" spans="1:8" x14ac:dyDescent="0.25">
      <c r="A259" s="144">
        <v>71</v>
      </c>
      <c r="B259" s="144" t="s">
        <v>758</v>
      </c>
      <c r="C259" s="144" t="s">
        <v>971</v>
      </c>
      <c r="D259" s="144" t="s">
        <v>750</v>
      </c>
      <c r="E259" s="144" t="s">
        <v>760</v>
      </c>
      <c r="F259" s="144">
        <v>2014</v>
      </c>
      <c r="G259" s="144" t="s">
        <v>972</v>
      </c>
      <c r="H259" s="144" t="s">
        <v>973</v>
      </c>
    </row>
    <row r="260" spans="1:8" x14ac:dyDescent="0.25">
      <c r="A260" s="144">
        <v>72</v>
      </c>
      <c r="B260" s="144" t="s">
        <v>758</v>
      </c>
      <c r="C260" s="144" t="s">
        <v>974</v>
      </c>
      <c r="D260" s="144" t="s">
        <v>750</v>
      </c>
      <c r="E260" s="144" t="s">
        <v>760</v>
      </c>
      <c r="F260" s="144">
        <v>2014</v>
      </c>
      <c r="G260" s="144" t="s">
        <v>975</v>
      </c>
      <c r="H260" s="144" t="s">
        <v>976</v>
      </c>
    </row>
    <row r="261" spans="1:8" x14ac:dyDescent="0.25">
      <c r="A261" s="144">
        <v>73</v>
      </c>
      <c r="B261" s="144" t="s">
        <v>758</v>
      </c>
      <c r="C261" s="144" t="s">
        <v>977</v>
      </c>
      <c r="D261" s="144" t="s">
        <v>750</v>
      </c>
      <c r="E261" s="144" t="s">
        <v>760</v>
      </c>
      <c r="F261" s="144">
        <v>2014</v>
      </c>
      <c r="G261" s="144" t="s">
        <v>978</v>
      </c>
      <c r="H261" s="144" t="s">
        <v>979</v>
      </c>
    </row>
    <row r="262" spans="1:8" x14ac:dyDescent="0.25">
      <c r="A262" s="144">
        <v>74</v>
      </c>
      <c r="B262" s="144" t="s">
        <v>758</v>
      </c>
      <c r="C262" s="144" t="s">
        <v>980</v>
      </c>
      <c r="D262" s="144" t="s">
        <v>750</v>
      </c>
      <c r="E262" s="144" t="s">
        <v>760</v>
      </c>
      <c r="F262" s="144">
        <v>2014</v>
      </c>
      <c r="G262" s="144" t="s">
        <v>981</v>
      </c>
      <c r="H262" s="144" t="s">
        <v>982</v>
      </c>
    </row>
    <row r="263" spans="1:8" x14ac:dyDescent="0.25">
      <c r="A263" s="144">
        <v>75</v>
      </c>
      <c r="B263" s="144" t="s">
        <v>758</v>
      </c>
      <c r="C263" s="144" t="s">
        <v>983</v>
      </c>
      <c r="D263" s="144" t="s">
        <v>750</v>
      </c>
      <c r="E263" s="144" t="s">
        <v>760</v>
      </c>
      <c r="F263" s="144">
        <v>2014</v>
      </c>
      <c r="G263" s="144" t="s">
        <v>984</v>
      </c>
      <c r="H263" s="144" t="s">
        <v>985</v>
      </c>
    </row>
    <row r="264" spans="1:8" x14ac:dyDescent="0.25">
      <c r="A264" s="144">
        <v>76</v>
      </c>
      <c r="B264" s="144" t="s">
        <v>758</v>
      </c>
      <c r="C264" s="144" t="s">
        <v>986</v>
      </c>
      <c r="D264" s="144" t="s">
        <v>750</v>
      </c>
      <c r="E264" s="144" t="s">
        <v>767</v>
      </c>
      <c r="F264" s="144">
        <v>2014</v>
      </c>
      <c r="G264" s="144" t="s">
        <v>987</v>
      </c>
      <c r="H264" s="144" t="s">
        <v>988</v>
      </c>
    </row>
    <row r="265" spans="1:8" x14ac:dyDescent="0.25">
      <c r="A265" s="144">
        <v>77</v>
      </c>
      <c r="B265" s="144" t="s">
        <v>758</v>
      </c>
      <c r="C265" s="144" t="s">
        <v>989</v>
      </c>
      <c r="D265" s="144" t="s">
        <v>750</v>
      </c>
      <c r="E265" s="144" t="s">
        <v>990</v>
      </c>
      <c r="F265" s="144">
        <v>2017</v>
      </c>
      <c r="G265" s="144" t="s">
        <v>991</v>
      </c>
      <c r="H265" s="144" t="s">
        <v>992</v>
      </c>
    </row>
    <row r="266" spans="1:8" x14ac:dyDescent="0.25">
      <c r="A266" s="144">
        <v>78</v>
      </c>
      <c r="B266" s="144" t="s">
        <v>758</v>
      </c>
      <c r="C266" s="144" t="s">
        <v>993</v>
      </c>
      <c r="D266" s="144" t="s">
        <v>750</v>
      </c>
      <c r="E266" s="144" t="s">
        <v>990</v>
      </c>
      <c r="F266" s="144">
        <v>2017</v>
      </c>
      <c r="G266" s="144" t="s">
        <v>994</v>
      </c>
      <c r="H266" s="144" t="s">
        <v>995</v>
      </c>
    </row>
    <row r="267" spans="1:8" x14ac:dyDescent="0.25">
      <c r="A267" s="144">
        <v>79</v>
      </c>
      <c r="B267" s="144" t="s">
        <v>758</v>
      </c>
      <c r="C267" s="144" t="s">
        <v>996</v>
      </c>
      <c r="D267" s="144" t="s">
        <v>750</v>
      </c>
      <c r="E267" s="144" t="s">
        <v>990</v>
      </c>
      <c r="F267" s="144">
        <v>2017</v>
      </c>
      <c r="G267" s="144" t="s">
        <v>997</v>
      </c>
      <c r="H267" s="144" t="s">
        <v>998</v>
      </c>
    </row>
    <row r="268" spans="1:8" x14ac:dyDescent="0.25">
      <c r="A268" s="144">
        <v>80</v>
      </c>
      <c r="B268" s="144" t="s">
        <v>758</v>
      </c>
      <c r="C268" s="144" t="s">
        <v>999</v>
      </c>
      <c r="D268" s="144" t="s">
        <v>750</v>
      </c>
      <c r="E268" s="144" t="s">
        <v>990</v>
      </c>
      <c r="F268" s="144">
        <v>2017</v>
      </c>
      <c r="G268" s="144" t="s">
        <v>1000</v>
      </c>
      <c r="H268" s="144" t="s">
        <v>1001</v>
      </c>
    </row>
    <row r="269" spans="1:8" x14ac:dyDescent="0.25">
      <c r="A269" s="144">
        <v>81</v>
      </c>
      <c r="B269" s="144" t="s">
        <v>758</v>
      </c>
      <c r="C269" s="144" t="s">
        <v>1002</v>
      </c>
      <c r="D269" s="144" t="s">
        <v>750</v>
      </c>
      <c r="E269" s="144" t="s">
        <v>990</v>
      </c>
      <c r="F269" s="144">
        <v>2017</v>
      </c>
      <c r="G269" s="144" t="s">
        <v>1003</v>
      </c>
      <c r="H269" s="144" t="s">
        <v>1004</v>
      </c>
    </row>
    <row r="270" spans="1:8" x14ac:dyDescent="0.25">
      <c r="A270" s="144">
        <v>82</v>
      </c>
      <c r="B270" s="144" t="s">
        <v>758</v>
      </c>
      <c r="C270" s="144" t="s">
        <v>1005</v>
      </c>
      <c r="D270" s="144" t="s">
        <v>750</v>
      </c>
      <c r="E270" s="144" t="s">
        <v>990</v>
      </c>
      <c r="F270" s="144">
        <v>2017</v>
      </c>
      <c r="G270" s="144" t="s">
        <v>1006</v>
      </c>
      <c r="H270" s="144" t="s">
        <v>1007</v>
      </c>
    </row>
    <row r="271" spans="1:8" x14ac:dyDescent="0.25">
      <c r="A271" s="144">
        <v>83</v>
      </c>
      <c r="B271" s="144" t="s">
        <v>758</v>
      </c>
      <c r="C271" s="144" t="s">
        <v>1008</v>
      </c>
      <c r="D271" s="144" t="s">
        <v>750</v>
      </c>
      <c r="E271" s="144" t="s">
        <v>990</v>
      </c>
      <c r="F271" s="144">
        <v>2017</v>
      </c>
      <c r="G271" s="144" t="s">
        <v>1009</v>
      </c>
      <c r="H271" s="144" t="s">
        <v>1010</v>
      </c>
    </row>
    <row r="272" spans="1:8" x14ac:dyDescent="0.25">
      <c r="A272" s="144">
        <v>84</v>
      </c>
      <c r="B272" s="144" t="s">
        <v>758</v>
      </c>
      <c r="C272" s="144" t="s">
        <v>1011</v>
      </c>
      <c r="D272" s="144" t="s">
        <v>750</v>
      </c>
      <c r="E272" s="144" t="s">
        <v>990</v>
      </c>
      <c r="F272" s="144">
        <v>2017</v>
      </c>
      <c r="G272" s="144" t="s">
        <v>1012</v>
      </c>
      <c r="H272" s="144" t="s">
        <v>1013</v>
      </c>
    </row>
    <row r="273" spans="1:8" x14ac:dyDescent="0.25">
      <c r="A273" s="144">
        <v>85</v>
      </c>
      <c r="B273" s="144" t="s">
        <v>758</v>
      </c>
      <c r="C273" s="144" t="s">
        <v>1014</v>
      </c>
      <c r="D273" s="144" t="s">
        <v>750</v>
      </c>
      <c r="E273" s="144" t="s">
        <v>990</v>
      </c>
      <c r="F273" s="144">
        <v>2017</v>
      </c>
      <c r="G273" s="144" t="s">
        <v>1015</v>
      </c>
      <c r="H273" s="144" t="s">
        <v>1016</v>
      </c>
    </row>
    <row r="274" spans="1:8" x14ac:dyDescent="0.25">
      <c r="A274" s="144">
        <v>86</v>
      </c>
      <c r="B274" s="144" t="s">
        <v>758</v>
      </c>
      <c r="C274" s="144" t="s">
        <v>1017</v>
      </c>
      <c r="D274" s="144" t="s">
        <v>750</v>
      </c>
      <c r="E274" s="144" t="s">
        <v>990</v>
      </c>
      <c r="F274" s="144">
        <v>2017</v>
      </c>
      <c r="G274" s="144" t="s">
        <v>1018</v>
      </c>
      <c r="H274" s="144" t="s">
        <v>1019</v>
      </c>
    </row>
    <row r="275" spans="1:8" x14ac:dyDescent="0.25">
      <c r="A275" s="144">
        <v>87</v>
      </c>
      <c r="B275" s="144" t="s">
        <v>758</v>
      </c>
      <c r="C275" s="144" t="s">
        <v>1020</v>
      </c>
      <c r="D275" s="144" t="s">
        <v>750</v>
      </c>
      <c r="E275" s="144" t="s">
        <v>990</v>
      </c>
      <c r="F275" s="144">
        <v>2017</v>
      </c>
      <c r="G275" s="144" t="s">
        <v>1021</v>
      </c>
      <c r="H275" s="144" t="s">
        <v>1022</v>
      </c>
    </row>
    <row r="276" spans="1:8" x14ac:dyDescent="0.25">
      <c r="A276" s="144">
        <v>88</v>
      </c>
      <c r="B276" s="144" t="s">
        <v>758</v>
      </c>
      <c r="C276" s="144" t="s">
        <v>1023</v>
      </c>
      <c r="D276" s="144" t="s">
        <v>750</v>
      </c>
      <c r="E276" s="144" t="s">
        <v>990</v>
      </c>
      <c r="F276" s="144">
        <v>2017</v>
      </c>
      <c r="G276" s="144" t="s">
        <v>1024</v>
      </c>
      <c r="H276" s="144" t="s">
        <v>1025</v>
      </c>
    </row>
    <row r="277" spans="1:8" x14ac:dyDescent="0.25">
      <c r="A277" s="144">
        <v>89</v>
      </c>
      <c r="B277" s="144" t="s">
        <v>758</v>
      </c>
      <c r="C277" s="144" t="s">
        <v>1026</v>
      </c>
      <c r="D277" s="144" t="s">
        <v>750</v>
      </c>
      <c r="E277" s="144" t="s">
        <v>990</v>
      </c>
      <c r="F277" s="144">
        <v>2017</v>
      </c>
      <c r="G277" s="144" t="s">
        <v>1027</v>
      </c>
      <c r="H277" s="144" t="s">
        <v>1028</v>
      </c>
    </row>
    <row r="278" spans="1:8" x14ac:dyDescent="0.25">
      <c r="A278" s="144">
        <v>90</v>
      </c>
      <c r="B278" s="144" t="s">
        <v>758</v>
      </c>
      <c r="C278" s="144" t="s">
        <v>1029</v>
      </c>
      <c r="D278" s="144" t="s">
        <v>750</v>
      </c>
      <c r="E278" s="144" t="s">
        <v>990</v>
      </c>
      <c r="F278" s="144">
        <v>2017</v>
      </c>
      <c r="G278" s="144" t="s">
        <v>1030</v>
      </c>
      <c r="H278" s="144" t="s">
        <v>1031</v>
      </c>
    </row>
    <row r="279" spans="1:8" x14ac:dyDescent="0.25">
      <c r="A279" s="144">
        <v>91</v>
      </c>
      <c r="B279" s="144" t="s">
        <v>758</v>
      </c>
      <c r="C279" s="144" t="s">
        <v>1032</v>
      </c>
      <c r="D279" s="144" t="s">
        <v>750</v>
      </c>
      <c r="E279" s="144" t="s">
        <v>990</v>
      </c>
      <c r="F279" s="144">
        <v>2017</v>
      </c>
      <c r="G279" s="144" t="s">
        <v>1033</v>
      </c>
      <c r="H279" s="144" t="s">
        <v>1034</v>
      </c>
    </row>
    <row r="280" spans="1:8" x14ac:dyDescent="0.25">
      <c r="A280" s="144">
        <v>92</v>
      </c>
      <c r="B280" s="144" t="s">
        <v>758</v>
      </c>
      <c r="C280" s="144" t="s">
        <v>1035</v>
      </c>
      <c r="D280" s="144" t="s">
        <v>750</v>
      </c>
      <c r="E280" s="144" t="s">
        <v>990</v>
      </c>
      <c r="F280" s="144">
        <v>2017</v>
      </c>
      <c r="G280" s="144" t="s">
        <v>1036</v>
      </c>
      <c r="H280" s="144" t="s">
        <v>1037</v>
      </c>
    </row>
    <row r="281" spans="1:8" x14ac:dyDescent="0.25">
      <c r="A281" s="144">
        <v>93</v>
      </c>
      <c r="B281" s="144" t="s">
        <v>758</v>
      </c>
      <c r="C281" s="144" t="s">
        <v>1038</v>
      </c>
      <c r="D281" s="144" t="s">
        <v>750</v>
      </c>
      <c r="E281" s="144" t="s">
        <v>990</v>
      </c>
      <c r="F281" s="144">
        <v>2017</v>
      </c>
      <c r="G281" s="144" t="s">
        <v>1039</v>
      </c>
      <c r="H281" s="144" t="s">
        <v>1040</v>
      </c>
    </row>
    <row r="282" spans="1:8" x14ac:dyDescent="0.25">
      <c r="A282" s="144">
        <v>94</v>
      </c>
      <c r="B282" s="144" t="s">
        <v>758</v>
      </c>
      <c r="C282" s="144" t="s">
        <v>1041</v>
      </c>
      <c r="D282" s="144" t="s">
        <v>750</v>
      </c>
      <c r="E282" s="144" t="s">
        <v>990</v>
      </c>
      <c r="F282" s="144">
        <v>2017</v>
      </c>
      <c r="G282" s="144" t="s">
        <v>1042</v>
      </c>
      <c r="H282" s="144" t="s">
        <v>1043</v>
      </c>
    </row>
    <row r="283" spans="1:8" x14ac:dyDescent="0.25">
      <c r="A283" s="144">
        <v>95</v>
      </c>
      <c r="B283" s="144" t="s">
        <v>758</v>
      </c>
      <c r="C283" s="144" t="s">
        <v>1044</v>
      </c>
      <c r="D283" s="144" t="s">
        <v>750</v>
      </c>
      <c r="E283" s="144" t="s">
        <v>990</v>
      </c>
      <c r="F283" s="144">
        <v>2017</v>
      </c>
      <c r="G283" s="144" t="s">
        <v>1045</v>
      </c>
      <c r="H283" s="144" t="s">
        <v>1046</v>
      </c>
    </row>
    <row r="284" spans="1:8" x14ac:dyDescent="0.25">
      <c r="A284" s="144">
        <v>96</v>
      </c>
      <c r="B284" s="144" t="s">
        <v>758</v>
      </c>
      <c r="C284" s="144" t="s">
        <v>1047</v>
      </c>
      <c r="D284" s="144" t="s">
        <v>750</v>
      </c>
      <c r="E284" s="144" t="s">
        <v>990</v>
      </c>
      <c r="F284" s="144">
        <v>2017</v>
      </c>
      <c r="G284" s="144" t="s">
        <v>1048</v>
      </c>
      <c r="H284" s="144" t="s">
        <v>1049</v>
      </c>
    </row>
    <row r="285" spans="1:8" x14ac:dyDescent="0.25">
      <c r="A285" s="144">
        <v>97</v>
      </c>
      <c r="B285" s="144" t="s">
        <v>758</v>
      </c>
      <c r="C285" s="144" t="s">
        <v>1050</v>
      </c>
      <c r="D285" s="144" t="s">
        <v>750</v>
      </c>
      <c r="E285" s="144" t="s">
        <v>990</v>
      </c>
      <c r="F285" s="144">
        <v>2017</v>
      </c>
      <c r="G285" s="144" t="s">
        <v>1051</v>
      </c>
      <c r="H285" s="144" t="s">
        <v>1052</v>
      </c>
    </row>
    <row r="286" spans="1:8" x14ac:dyDescent="0.25">
      <c r="A286" s="144">
        <v>98</v>
      </c>
      <c r="B286" s="144" t="s">
        <v>758</v>
      </c>
      <c r="C286" s="144" t="s">
        <v>1053</v>
      </c>
      <c r="D286" s="144" t="s">
        <v>750</v>
      </c>
      <c r="E286" s="144" t="s">
        <v>990</v>
      </c>
      <c r="F286" s="144">
        <v>2017</v>
      </c>
      <c r="G286" s="144" t="s">
        <v>1054</v>
      </c>
      <c r="H286" s="144" t="s">
        <v>1055</v>
      </c>
    </row>
    <row r="287" spans="1:8" x14ac:dyDescent="0.25">
      <c r="A287" s="144">
        <v>99</v>
      </c>
      <c r="B287" s="144" t="s">
        <v>758</v>
      </c>
      <c r="C287" s="144" t="s">
        <v>1056</v>
      </c>
      <c r="D287" s="144" t="s">
        <v>750</v>
      </c>
      <c r="E287" s="144" t="s">
        <v>990</v>
      </c>
      <c r="F287" s="144">
        <v>2017</v>
      </c>
      <c r="G287" s="144" t="s">
        <v>1057</v>
      </c>
      <c r="H287" s="144" t="s">
        <v>1058</v>
      </c>
    </row>
    <row r="288" spans="1:8" x14ac:dyDescent="0.25">
      <c r="A288" s="144">
        <v>100</v>
      </c>
      <c r="B288" s="144" t="s">
        <v>758</v>
      </c>
      <c r="C288" s="144" t="s">
        <v>1059</v>
      </c>
      <c r="D288" s="144" t="s">
        <v>750</v>
      </c>
      <c r="E288" s="144" t="s">
        <v>990</v>
      </c>
      <c r="F288" s="144">
        <v>2017</v>
      </c>
      <c r="G288" s="144" t="s">
        <v>1060</v>
      </c>
      <c r="H288" s="144" t="s">
        <v>1061</v>
      </c>
    </row>
    <row r="289" spans="1:8" x14ac:dyDescent="0.25">
      <c r="A289" s="144">
        <v>101</v>
      </c>
      <c r="B289" s="144" t="s">
        <v>758</v>
      </c>
      <c r="C289" s="144" t="s">
        <v>1062</v>
      </c>
      <c r="D289" s="144" t="s">
        <v>750</v>
      </c>
      <c r="E289" s="144" t="s">
        <v>990</v>
      </c>
      <c r="F289" s="144">
        <v>2017</v>
      </c>
      <c r="G289" s="144" t="s">
        <v>1063</v>
      </c>
      <c r="H289" s="144" t="s">
        <v>1064</v>
      </c>
    </row>
    <row r="290" spans="1:8" x14ac:dyDescent="0.25">
      <c r="A290" s="144">
        <v>102</v>
      </c>
      <c r="B290" s="144" t="s">
        <v>758</v>
      </c>
      <c r="C290" s="144" t="s">
        <v>1065</v>
      </c>
      <c r="D290" s="144" t="s">
        <v>750</v>
      </c>
      <c r="E290" s="144" t="s">
        <v>990</v>
      </c>
      <c r="F290" s="144">
        <v>2017</v>
      </c>
      <c r="G290" s="144" t="s">
        <v>1066</v>
      </c>
      <c r="H290" s="144" t="s">
        <v>1067</v>
      </c>
    </row>
    <row r="291" spans="1:8" x14ac:dyDescent="0.25">
      <c r="A291" s="144">
        <v>103</v>
      </c>
      <c r="B291" s="144" t="s">
        <v>758</v>
      </c>
      <c r="C291" s="144" t="s">
        <v>1068</v>
      </c>
      <c r="D291" s="144" t="s">
        <v>750</v>
      </c>
      <c r="E291" s="144" t="s">
        <v>990</v>
      </c>
      <c r="F291" s="144">
        <v>2017</v>
      </c>
      <c r="G291" s="144" t="s">
        <v>1069</v>
      </c>
      <c r="H291" s="144" t="s">
        <v>1070</v>
      </c>
    </row>
    <row r="292" spans="1:8" x14ac:dyDescent="0.25">
      <c r="A292" s="144">
        <v>104</v>
      </c>
      <c r="B292" s="144" t="s">
        <v>758</v>
      </c>
      <c r="C292" s="144" t="s">
        <v>1071</v>
      </c>
      <c r="D292" s="144" t="s">
        <v>750</v>
      </c>
      <c r="E292" s="144" t="s">
        <v>990</v>
      </c>
      <c r="F292" s="144">
        <v>2017</v>
      </c>
      <c r="G292" s="144" t="s">
        <v>1072</v>
      </c>
      <c r="H292" s="144" t="s">
        <v>1073</v>
      </c>
    </row>
    <row r="293" spans="1:8" x14ac:dyDescent="0.25">
      <c r="A293" s="144">
        <v>105</v>
      </c>
      <c r="B293" s="144" t="s">
        <v>758</v>
      </c>
      <c r="C293" s="144" t="s">
        <v>1074</v>
      </c>
      <c r="D293" s="144" t="s">
        <v>750</v>
      </c>
      <c r="E293" s="144" t="s">
        <v>990</v>
      </c>
      <c r="F293" s="144">
        <v>2017</v>
      </c>
      <c r="G293" s="144" t="s">
        <v>1075</v>
      </c>
      <c r="H293" s="144" t="s">
        <v>1076</v>
      </c>
    </row>
    <row r="294" spans="1:8" x14ac:dyDescent="0.25">
      <c r="A294" s="144">
        <v>106</v>
      </c>
      <c r="B294" s="144" t="s">
        <v>758</v>
      </c>
      <c r="C294" s="144" t="s">
        <v>1077</v>
      </c>
      <c r="D294" s="144" t="s">
        <v>750</v>
      </c>
      <c r="E294" s="144" t="s">
        <v>990</v>
      </c>
      <c r="F294" s="144">
        <v>2017</v>
      </c>
      <c r="G294" s="144" t="s">
        <v>1078</v>
      </c>
      <c r="H294" s="144" t="s">
        <v>1079</v>
      </c>
    </row>
    <row r="295" spans="1:8" x14ac:dyDescent="0.25">
      <c r="A295" s="144">
        <v>107</v>
      </c>
      <c r="B295" s="144" t="s">
        <v>758</v>
      </c>
      <c r="C295" s="144" t="s">
        <v>1080</v>
      </c>
      <c r="D295" s="144" t="s">
        <v>750</v>
      </c>
      <c r="E295" s="144" t="s">
        <v>990</v>
      </c>
      <c r="F295" s="144">
        <v>2017</v>
      </c>
      <c r="G295" s="144" t="s">
        <v>1081</v>
      </c>
      <c r="H295" s="144" t="s">
        <v>1082</v>
      </c>
    </row>
    <row r="296" spans="1:8" x14ac:dyDescent="0.25">
      <c r="A296" s="144">
        <v>108</v>
      </c>
      <c r="B296" s="144" t="s">
        <v>758</v>
      </c>
      <c r="C296" s="144" t="s">
        <v>1083</v>
      </c>
      <c r="D296" s="144" t="s">
        <v>750</v>
      </c>
      <c r="E296" s="144" t="s">
        <v>990</v>
      </c>
      <c r="F296" s="144">
        <v>2017</v>
      </c>
      <c r="G296" s="144" t="s">
        <v>1084</v>
      </c>
      <c r="H296" s="144" t="s">
        <v>1085</v>
      </c>
    </row>
    <row r="297" spans="1:8" x14ac:dyDescent="0.25">
      <c r="A297" s="144">
        <v>109</v>
      </c>
      <c r="B297" s="144" t="s">
        <v>758</v>
      </c>
      <c r="C297" s="144" t="s">
        <v>1086</v>
      </c>
      <c r="D297" s="144" t="s">
        <v>750</v>
      </c>
      <c r="E297" s="144" t="s">
        <v>990</v>
      </c>
      <c r="F297" s="144">
        <v>2018</v>
      </c>
      <c r="G297" s="144" t="s">
        <v>1087</v>
      </c>
      <c r="H297" s="144" t="s">
        <v>1088</v>
      </c>
    </row>
    <row r="298" spans="1:8" x14ac:dyDescent="0.25">
      <c r="A298" s="144">
        <v>110</v>
      </c>
      <c r="B298" s="144" t="s">
        <v>758</v>
      </c>
      <c r="C298" s="144" t="s">
        <v>1089</v>
      </c>
      <c r="D298" s="144" t="s">
        <v>750</v>
      </c>
      <c r="E298" s="144" t="s">
        <v>990</v>
      </c>
      <c r="F298" s="144">
        <v>2018</v>
      </c>
      <c r="G298" s="144" t="s">
        <v>1090</v>
      </c>
      <c r="H298" s="144" t="s">
        <v>1091</v>
      </c>
    </row>
    <row r="299" spans="1:8" x14ac:dyDescent="0.25">
      <c r="A299" s="144">
        <v>111</v>
      </c>
      <c r="B299" s="144" t="s">
        <v>758</v>
      </c>
      <c r="C299" s="144" t="s">
        <v>1092</v>
      </c>
      <c r="D299" s="144" t="s">
        <v>750</v>
      </c>
      <c r="E299" s="144" t="s">
        <v>990</v>
      </c>
      <c r="F299" s="144">
        <v>2018</v>
      </c>
      <c r="G299" s="144" t="s">
        <v>1093</v>
      </c>
      <c r="H299" s="144" t="s">
        <v>1094</v>
      </c>
    </row>
    <row r="300" spans="1:8" x14ac:dyDescent="0.25">
      <c r="A300" s="144">
        <v>112</v>
      </c>
      <c r="B300" s="144" t="s">
        <v>758</v>
      </c>
      <c r="C300" s="144" t="s">
        <v>1095</v>
      </c>
      <c r="D300" s="144" t="s">
        <v>750</v>
      </c>
      <c r="E300" s="144" t="s">
        <v>990</v>
      </c>
      <c r="F300" s="144">
        <v>2018</v>
      </c>
      <c r="G300" s="144" t="s">
        <v>1096</v>
      </c>
      <c r="H300" s="144" t="s">
        <v>1097</v>
      </c>
    </row>
    <row r="301" spans="1:8" x14ac:dyDescent="0.25">
      <c r="A301" s="144">
        <v>113</v>
      </c>
      <c r="B301" s="144" t="s">
        <v>758</v>
      </c>
      <c r="C301" s="144" t="s">
        <v>1098</v>
      </c>
      <c r="D301" s="144" t="s">
        <v>750</v>
      </c>
      <c r="E301" s="144" t="s">
        <v>990</v>
      </c>
      <c r="F301" s="144">
        <v>2018</v>
      </c>
      <c r="G301" s="144" t="s">
        <v>1099</v>
      </c>
      <c r="H301" s="144" t="s">
        <v>1100</v>
      </c>
    </row>
    <row r="302" spans="1:8" x14ac:dyDescent="0.25">
      <c r="A302" s="144">
        <v>114</v>
      </c>
      <c r="B302" s="144" t="s">
        <v>758</v>
      </c>
      <c r="C302" s="144" t="s">
        <v>1101</v>
      </c>
      <c r="D302" s="144" t="s">
        <v>750</v>
      </c>
      <c r="E302" s="144" t="s">
        <v>990</v>
      </c>
      <c r="F302" s="144">
        <v>2018</v>
      </c>
      <c r="G302" s="144" t="s">
        <v>1102</v>
      </c>
      <c r="H302" s="144" t="s">
        <v>1103</v>
      </c>
    </row>
    <row r="303" spans="1:8" x14ac:dyDescent="0.25">
      <c r="A303" s="144">
        <v>115</v>
      </c>
      <c r="B303" s="144" t="s">
        <v>758</v>
      </c>
      <c r="C303" s="144" t="s">
        <v>1104</v>
      </c>
      <c r="D303" s="144" t="s">
        <v>750</v>
      </c>
      <c r="E303" s="144" t="s">
        <v>990</v>
      </c>
      <c r="F303" s="144">
        <v>2018</v>
      </c>
      <c r="G303" s="144" t="s">
        <v>1105</v>
      </c>
      <c r="H303" s="144" t="s">
        <v>1106</v>
      </c>
    </row>
    <row r="304" spans="1:8" x14ac:dyDescent="0.25">
      <c r="A304" s="144">
        <v>116</v>
      </c>
      <c r="B304" s="144" t="s">
        <v>758</v>
      </c>
      <c r="C304" s="144" t="s">
        <v>1107</v>
      </c>
      <c r="D304" s="144" t="s">
        <v>750</v>
      </c>
      <c r="E304" s="144" t="s">
        <v>990</v>
      </c>
      <c r="F304" s="144">
        <v>2018</v>
      </c>
      <c r="G304" s="144" t="s">
        <v>1108</v>
      </c>
      <c r="H304" s="144" t="s">
        <v>1109</v>
      </c>
    </row>
    <row r="305" spans="1:8" x14ac:dyDescent="0.25">
      <c r="A305" s="144">
        <v>117</v>
      </c>
      <c r="B305" s="144" t="s">
        <v>758</v>
      </c>
      <c r="C305" s="144" t="s">
        <v>1110</v>
      </c>
      <c r="D305" s="144" t="s">
        <v>750</v>
      </c>
      <c r="E305" s="144" t="s">
        <v>990</v>
      </c>
      <c r="F305" s="144">
        <v>2018</v>
      </c>
      <c r="G305" s="144" t="s">
        <v>1111</v>
      </c>
      <c r="H305" s="144" t="s">
        <v>1112</v>
      </c>
    </row>
    <row r="306" spans="1:8" x14ac:dyDescent="0.25">
      <c r="A306" s="144">
        <v>118</v>
      </c>
      <c r="B306" s="144" t="s">
        <v>758</v>
      </c>
      <c r="C306" s="144" t="s">
        <v>1113</v>
      </c>
      <c r="D306" s="144" t="s">
        <v>750</v>
      </c>
      <c r="E306" s="144" t="s">
        <v>990</v>
      </c>
      <c r="F306" s="144">
        <v>2018</v>
      </c>
      <c r="G306" s="144" t="s">
        <v>1114</v>
      </c>
      <c r="H306" s="144" t="s">
        <v>1115</v>
      </c>
    </row>
    <row r="307" spans="1:8" x14ac:dyDescent="0.25">
      <c r="A307" s="144">
        <v>119</v>
      </c>
      <c r="B307" s="144" t="s">
        <v>758</v>
      </c>
      <c r="C307" s="144" t="s">
        <v>1116</v>
      </c>
      <c r="D307" s="144" t="s">
        <v>750</v>
      </c>
      <c r="E307" s="144" t="s">
        <v>990</v>
      </c>
      <c r="F307" s="144">
        <v>2018</v>
      </c>
      <c r="G307" s="144" t="s">
        <v>1117</v>
      </c>
      <c r="H307" s="144" t="s">
        <v>1118</v>
      </c>
    </row>
    <row r="308" spans="1:8" x14ac:dyDescent="0.25">
      <c r="A308" s="144">
        <v>120</v>
      </c>
      <c r="B308" s="144" t="s">
        <v>758</v>
      </c>
      <c r="C308" s="144" t="s">
        <v>1119</v>
      </c>
      <c r="D308" s="144" t="s">
        <v>750</v>
      </c>
      <c r="E308" s="144" t="s">
        <v>990</v>
      </c>
      <c r="F308" s="144">
        <v>2018</v>
      </c>
      <c r="G308" s="144" t="s">
        <v>1120</v>
      </c>
      <c r="H308" s="144" t="s">
        <v>1121</v>
      </c>
    </row>
    <row r="309" spans="1:8" x14ac:dyDescent="0.25">
      <c r="A309" s="144">
        <v>121</v>
      </c>
      <c r="B309" s="144" t="s">
        <v>758</v>
      </c>
      <c r="C309" s="144" t="s">
        <v>1122</v>
      </c>
      <c r="D309" s="144" t="s">
        <v>750</v>
      </c>
      <c r="E309" s="144" t="s">
        <v>990</v>
      </c>
      <c r="F309" s="144">
        <v>2018</v>
      </c>
      <c r="G309" s="144" t="s">
        <v>1123</v>
      </c>
      <c r="H309" s="144" t="s">
        <v>1124</v>
      </c>
    </row>
    <row r="310" spans="1:8" x14ac:dyDescent="0.25">
      <c r="A310" s="144">
        <v>122</v>
      </c>
      <c r="B310" s="144" t="s">
        <v>758</v>
      </c>
      <c r="C310" s="144" t="s">
        <v>1125</v>
      </c>
      <c r="D310" s="144" t="s">
        <v>750</v>
      </c>
      <c r="E310" s="144" t="s">
        <v>990</v>
      </c>
      <c r="F310" s="144">
        <v>2018</v>
      </c>
      <c r="G310" s="144" t="s">
        <v>1126</v>
      </c>
      <c r="H310" s="144" t="s">
        <v>1127</v>
      </c>
    </row>
    <row r="311" spans="1:8" x14ac:dyDescent="0.25">
      <c r="A311" s="144">
        <v>123</v>
      </c>
      <c r="B311" s="144" t="s">
        <v>758</v>
      </c>
      <c r="C311" s="144" t="s">
        <v>1128</v>
      </c>
      <c r="D311" s="144" t="s">
        <v>750</v>
      </c>
      <c r="E311" s="144" t="s">
        <v>990</v>
      </c>
      <c r="F311" s="144">
        <v>2018</v>
      </c>
      <c r="G311" s="144" t="s">
        <v>1129</v>
      </c>
      <c r="H311" s="144" t="s">
        <v>1130</v>
      </c>
    </row>
    <row r="312" spans="1:8" x14ac:dyDescent="0.25">
      <c r="A312" s="144">
        <v>124</v>
      </c>
      <c r="B312" s="144" t="s">
        <v>758</v>
      </c>
      <c r="C312" s="144" t="s">
        <v>1131</v>
      </c>
      <c r="D312" s="144" t="s">
        <v>750</v>
      </c>
      <c r="E312" s="144" t="s">
        <v>990</v>
      </c>
      <c r="F312" s="144">
        <v>2018</v>
      </c>
      <c r="G312" s="144" t="s">
        <v>1132</v>
      </c>
      <c r="H312" s="144" t="s">
        <v>1133</v>
      </c>
    </row>
    <row r="313" spans="1:8" x14ac:dyDescent="0.25">
      <c r="A313" s="144">
        <v>125</v>
      </c>
      <c r="B313" s="144" t="s">
        <v>758</v>
      </c>
      <c r="C313" s="144" t="s">
        <v>1134</v>
      </c>
      <c r="D313" s="144" t="s">
        <v>750</v>
      </c>
      <c r="E313" s="144" t="s">
        <v>990</v>
      </c>
      <c r="F313" s="144">
        <v>2018</v>
      </c>
      <c r="G313" s="144" t="s">
        <v>1135</v>
      </c>
      <c r="H313" s="144" t="s">
        <v>1136</v>
      </c>
    </row>
    <row r="314" spans="1:8" x14ac:dyDescent="0.25">
      <c r="A314" s="144">
        <v>126</v>
      </c>
      <c r="B314" s="144" t="s">
        <v>758</v>
      </c>
      <c r="C314" s="144" t="s">
        <v>1137</v>
      </c>
      <c r="D314" s="144" t="s">
        <v>750</v>
      </c>
      <c r="E314" s="144" t="s">
        <v>990</v>
      </c>
      <c r="F314" s="144">
        <v>2018</v>
      </c>
      <c r="G314" s="144" t="s">
        <v>1138</v>
      </c>
      <c r="H314" s="144" t="s">
        <v>1139</v>
      </c>
    </row>
    <row r="315" spans="1:8" x14ac:dyDescent="0.25">
      <c r="A315" s="144">
        <v>127</v>
      </c>
      <c r="B315" s="144" t="s">
        <v>758</v>
      </c>
      <c r="C315" s="144" t="s">
        <v>1140</v>
      </c>
      <c r="D315" s="144" t="s">
        <v>750</v>
      </c>
      <c r="E315" s="144" t="s">
        <v>990</v>
      </c>
      <c r="F315" s="144">
        <v>2018</v>
      </c>
      <c r="G315" s="144" t="s">
        <v>1141</v>
      </c>
      <c r="H315" s="144" t="s">
        <v>1142</v>
      </c>
    </row>
    <row r="316" spans="1:8" x14ac:dyDescent="0.25">
      <c r="A316" s="144">
        <v>128</v>
      </c>
      <c r="B316" s="144" t="s">
        <v>758</v>
      </c>
      <c r="C316" s="144" t="s">
        <v>1143</v>
      </c>
      <c r="D316" s="144" t="s">
        <v>750</v>
      </c>
      <c r="E316" s="144" t="s">
        <v>990</v>
      </c>
      <c r="F316" s="144">
        <v>2018</v>
      </c>
      <c r="G316" s="144" t="s">
        <v>1144</v>
      </c>
      <c r="H316" s="144" t="s">
        <v>1145</v>
      </c>
    </row>
    <row r="317" spans="1:8" x14ac:dyDescent="0.25">
      <c r="A317" s="144">
        <v>129</v>
      </c>
      <c r="B317" s="144" t="s">
        <v>758</v>
      </c>
      <c r="C317" s="144" t="s">
        <v>1146</v>
      </c>
      <c r="D317" s="144" t="s">
        <v>750</v>
      </c>
      <c r="E317" s="144" t="s">
        <v>990</v>
      </c>
      <c r="F317" s="144">
        <v>2018</v>
      </c>
      <c r="G317" s="144" t="s">
        <v>1147</v>
      </c>
      <c r="H317" s="144" t="s">
        <v>1148</v>
      </c>
    </row>
    <row r="318" spans="1:8" x14ac:dyDescent="0.25">
      <c r="A318" s="144">
        <v>130</v>
      </c>
      <c r="B318" s="144" t="s">
        <v>758</v>
      </c>
      <c r="C318" s="144" t="s">
        <v>1149</v>
      </c>
      <c r="D318" s="144" t="s">
        <v>750</v>
      </c>
      <c r="E318" s="144" t="s">
        <v>990</v>
      </c>
      <c r="F318" s="144">
        <v>2018</v>
      </c>
      <c r="G318" s="144" t="s">
        <v>1150</v>
      </c>
      <c r="H318" s="144" t="s">
        <v>1151</v>
      </c>
    </row>
    <row r="319" spans="1:8" x14ac:dyDescent="0.25">
      <c r="A319" s="144">
        <v>131</v>
      </c>
      <c r="B319" s="144" t="s">
        <v>758</v>
      </c>
      <c r="C319" s="144" t="s">
        <v>1152</v>
      </c>
      <c r="D319" s="144" t="s">
        <v>750</v>
      </c>
      <c r="E319" s="144" t="s">
        <v>990</v>
      </c>
      <c r="F319" s="144">
        <v>2018</v>
      </c>
      <c r="G319" s="144" t="s">
        <v>1153</v>
      </c>
      <c r="H319" s="144" t="s">
        <v>1154</v>
      </c>
    </row>
    <row r="320" spans="1:8" x14ac:dyDescent="0.25">
      <c r="A320" s="144">
        <v>132</v>
      </c>
      <c r="B320" s="144" t="s">
        <v>758</v>
      </c>
      <c r="C320" s="144" t="s">
        <v>1155</v>
      </c>
      <c r="D320" s="144" t="s">
        <v>750</v>
      </c>
      <c r="E320" s="144" t="s">
        <v>990</v>
      </c>
      <c r="F320" s="144">
        <v>2018</v>
      </c>
      <c r="G320" s="144" t="s">
        <v>1156</v>
      </c>
      <c r="H320" s="144" t="s">
        <v>1157</v>
      </c>
    </row>
    <row r="321" spans="1:8" x14ac:dyDescent="0.25">
      <c r="A321" s="144">
        <v>133</v>
      </c>
      <c r="B321" s="144" t="s">
        <v>758</v>
      </c>
      <c r="C321" s="144" t="s">
        <v>1158</v>
      </c>
      <c r="D321" s="144" t="s">
        <v>750</v>
      </c>
      <c r="E321" s="144" t="s">
        <v>990</v>
      </c>
      <c r="F321" s="144">
        <v>2018</v>
      </c>
      <c r="G321" s="144" t="s">
        <v>1159</v>
      </c>
      <c r="H321" s="144" t="s">
        <v>1160</v>
      </c>
    </row>
    <row r="322" spans="1:8" x14ac:dyDescent="0.25">
      <c r="A322" s="144">
        <v>134</v>
      </c>
      <c r="B322" s="144" t="s">
        <v>758</v>
      </c>
      <c r="C322" s="144" t="s">
        <v>1161</v>
      </c>
      <c r="D322" s="144" t="s">
        <v>750</v>
      </c>
      <c r="E322" s="144" t="s">
        <v>990</v>
      </c>
      <c r="F322" s="144">
        <v>2018</v>
      </c>
      <c r="G322" s="144" t="s">
        <v>1162</v>
      </c>
      <c r="H322" s="144" t="s">
        <v>1163</v>
      </c>
    </row>
    <row r="323" spans="1:8" x14ac:dyDescent="0.25">
      <c r="A323" s="144">
        <v>135</v>
      </c>
      <c r="B323" s="144" t="s">
        <v>758</v>
      </c>
      <c r="C323" s="144" t="s">
        <v>1164</v>
      </c>
      <c r="D323" s="144" t="s">
        <v>750</v>
      </c>
      <c r="E323" s="144" t="s">
        <v>990</v>
      </c>
      <c r="F323" s="144">
        <v>2018</v>
      </c>
      <c r="G323" s="144" t="s">
        <v>1165</v>
      </c>
      <c r="H323" s="144" t="s">
        <v>1166</v>
      </c>
    </row>
    <row r="324" spans="1:8" x14ac:dyDescent="0.25">
      <c r="A324" s="144">
        <v>136</v>
      </c>
      <c r="B324" s="144" t="s">
        <v>758</v>
      </c>
      <c r="C324" s="144" t="s">
        <v>1167</v>
      </c>
      <c r="D324" s="144" t="s">
        <v>750</v>
      </c>
      <c r="E324" s="144" t="s">
        <v>990</v>
      </c>
      <c r="F324" s="144">
        <v>2018</v>
      </c>
      <c r="G324" s="144" t="s">
        <v>1168</v>
      </c>
      <c r="H324" s="144" t="s">
        <v>1169</v>
      </c>
    </row>
    <row r="325" spans="1:8" x14ac:dyDescent="0.25">
      <c r="A325" s="144">
        <v>137</v>
      </c>
      <c r="B325" s="144" t="s">
        <v>758</v>
      </c>
      <c r="C325" s="144" t="s">
        <v>1170</v>
      </c>
      <c r="D325" s="144" t="s">
        <v>750</v>
      </c>
      <c r="E325" s="144" t="s">
        <v>990</v>
      </c>
      <c r="F325" s="144">
        <v>2018</v>
      </c>
      <c r="G325" s="144" t="s">
        <v>1171</v>
      </c>
      <c r="H325" s="144" t="s">
        <v>1172</v>
      </c>
    </row>
    <row r="326" spans="1:8" x14ac:dyDescent="0.25">
      <c r="A326" s="144">
        <v>138</v>
      </c>
      <c r="B326" s="144" t="s">
        <v>758</v>
      </c>
      <c r="C326" s="144" t="s">
        <v>1173</v>
      </c>
      <c r="D326" s="144" t="s">
        <v>750</v>
      </c>
      <c r="E326" s="144" t="s">
        <v>990</v>
      </c>
      <c r="F326" s="144">
        <v>2018</v>
      </c>
      <c r="G326" s="144" t="s">
        <v>1174</v>
      </c>
      <c r="H326" s="144" t="s">
        <v>1175</v>
      </c>
    </row>
    <row r="327" spans="1:8" x14ac:dyDescent="0.25">
      <c r="A327" s="144">
        <v>139</v>
      </c>
      <c r="B327" s="144" t="s">
        <v>758</v>
      </c>
      <c r="C327" s="144" t="s">
        <v>1176</v>
      </c>
      <c r="D327" s="144" t="s">
        <v>750</v>
      </c>
      <c r="E327" s="144" t="s">
        <v>990</v>
      </c>
      <c r="F327" s="144">
        <v>2018</v>
      </c>
      <c r="G327" s="144" t="s">
        <v>1177</v>
      </c>
      <c r="H327" s="144" t="s">
        <v>1178</v>
      </c>
    </row>
    <row r="328" spans="1:8" x14ac:dyDescent="0.25">
      <c r="A328" s="144">
        <v>140</v>
      </c>
      <c r="B328" s="144" t="s">
        <v>758</v>
      </c>
      <c r="C328" s="144" t="s">
        <v>1179</v>
      </c>
      <c r="D328" s="144" t="s">
        <v>750</v>
      </c>
      <c r="E328" s="144" t="s">
        <v>990</v>
      </c>
      <c r="F328" s="144">
        <v>2018</v>
      </c>
      <c r="G328" s="144" t="s">
        <v>1180</v>
      </c>
      <c r="H328" s="144" t="s">
        <v>1181</v>
      </c>
    </row>
    <row r="329" spans="1:8" x14ac:dyDescent="0.25">
      <c r="A329" s="144">
        <v>141</v>
      </c>
      <c r="B329" s="144" t="s">
        <v>758</v>
      </c>
      <c r="C329" s="144" t="s">
        <v>1182</v>
      </c>
      <c r="D329" s="144" t="s">
        <v>750</v>
      </c>
      <c r="E329" s="144" t="s">
        <v>990</v>
      </c>
      <c r="F329" s="144">
        <v>2018</v>
      </c>
      <c r="G329" s="144" t="s">
        <v>1183</v>
      </c>
      <c r="H329" s="144" t="s">
        <v>1184</v>
      </c>
    </row>
    <row r="330" spans="1:8" x14ac:dyDescent="0.25">
      <c r="A330" s="144">
        <v>142</v>
      </c>
      <c r="B330" s="144" t="s">
        <v>758</v>
      </c>
      <c r="C330" s="144" t="s">
        <v>1185</v>
      </c>
      <c r="D330" s="144" t="s">
        <v>750</v>
      </c>
      <c r="E330" s="144" t="s">
        <v>990</v>
      </c>
      <c r="F330" s="144">
        <v>2018</v>
      </c>
      <c r="G330" s="144" t="s">
        <v>1186</v>
      </c>
      <c r="H330" s="144" t="s">
        <v>1187</v>
      </c>
    </row>
    <row r="331" spans="1:8" x14ac:dyDescent="0.25">
      <c r="A331" s="144">
        <v>143</v>
      </c>
      <c r="B331" s="144" t="s">
        <v>758</v>
      </c>
      <c r="C331" s="144" t="s">
        <v>1188</v>
      </c>
      <c r="D331" s="144" t="s">
        <v>750</v>
      </c>
      <c r="E331" s="144" t="s">
        <v>990</v>
      </c>
      <c r="F331" s="144">
        <v>2018</v>
      </c>
      <c r="G331" s="144" t="s">
        <v>1189</v>
      </c>
      <c r="H331" s="144" t="s">
        <v>1190</v>
      </c>
    </row>
    <row r="332" spans="1:8" x14ac:dyDescent="0.25">
      <c r="A332" s="144">
        <v>144</v>
      </c>
      <c r="B332" s="144" t="s">
        <v>758</v>
      </c>
      <c r="C332" s="144" t="s">
        <v>1191</v>
      </c>
      <c r="D332" s="144" t="s">
        <v>750</v>
      </c>
      <c r="E332" s="144" t="s">
        <v>990</v>
      </c>
      <c r="F332" s="144">
        <v>2018</v>
      </c>
      <c r="G332" s="144" t="s">
        <v>1192</v>
      </c>
      <c r="H332" s="144" t="s">
        <v>1193</v>
      </c>
    </row>
    <row r="333" spans="1:8" x14ac:dyDescent="0.25">
      <c r="A333" s="144">
        <v>145</v>
      </c>
      <c r="B333" s="144" t="s">
        <v>758</v>
      </c>
      <c r="C333" s="144" t="s">
        <v>1194</v>
      </c>
      <c r="D333" s="144" t="s">
        <v>750</v>
      </c>
      <c r="E333" s="144" t="s">
        <v>990</v>
      </c>
      <c r="F333" s="144">
        <v>2018</v>
      </c>
      <c r="G333" s="144" t="s">
        <v>1195</v>
      </c>
      <c r="H333" s="144" t="s">
        <v>1196</v>
      </c>
    </row>
    <row r="334" spans="1:8" x14ac:dyDescent="0.25">
      <c r="A334" s="144">
        <v>146</v>
      </c>
      <c r="B334" s="144" t="s">
        <v>758</v>
      </c>
      <c r="C334" s="144" t="s">
        <v>1197</v>
      </c>
      <c r="D334" s="144" t="s">
        <v>750</v>
      </c>
      <c r="E334" s="144" t="s">
        <v>990</v>
      </c>
      <c r="F334" s="144">
        <v>2018</v>
      </c>
      <c r="G334" s="144" t="s">
        <v>1198</v>
      </c>
      <c r="H334" s="144" t="s">
        <v>1199</v>
      </c>
    </row>
    <row r="335" spans="1:8" x14ac:dyDescent="0.25">
      <c r="A335" s="144">
        <v>147</v>
      </c>
      <c r="B335" s="144" t="s">
        <v>758</v>
      </c>
      <c r="C335" s="144" t="s">
        <v>1200</v>
      </c>
      <c r="D335" s="144" t="s">
        <v>750</v>
      </c>
      <c r="E335" s="144" t="s">
        <v>990</v>
      </c>
      <c r="F335" s="144">
        <v>2018</v>
      </c>
      <c r="G335" s="144" t="s">
        <v>1201</v>
      </c>
      <c r="H335" s="144" t="s">
        <v>1202</v>
      </c>
    </row>
    <row r="336" spans="1:8" x14ac:dyDescent="0.25">
      <c r="A336" s="144">
        <v>148</v>
      </c>
      <c r="B336" s="144" t="s">
        <v>758</v>
      </c>
      <c r="C336" s="144" t="s">
        <v>1203</v>
      </c>
      <c r="D336" s="144" t="s">
        <v>750</v>
      </c>
      <c r="E336" s="144" t="s">
        <v>990</v>
      </c>
      <c r="F336" s="144">
        <v>2018</v>
      </c>
      <c r="G336" s="144" t="s">
        <v>1204</v>
      </c>
      <c r="H336" s="144" t="s">
        <v>1205</v>
      </c>
    </row>
    <row r="337" spans="1:8" x14ac:dyDescent="0.25">
      <c r="A337" s="144">
        <v>149</v>
      </c>
      <c r="B337" s="144" t="s">
        <v>758</v>
      </c>
      <c r="C337" s="144" t="s">
        <v>1206</v>
      </c>
      <c r="D337" s="144" t="s">
        <v>750</v>
      </c>
      <c r="E337" s="144" t="s">
        <v>990</v>
      </c>
      <c r="F337" s="144">
        <v>2018</v>
      </c>
      <c r="G337" s="144" t="s">
        <v>1207</v>
      </c>
      <c r="H337" s="144" t="s">
        <v>1208</v>
      </c>
    </row>
    <row r="338" spans="1:8" x14ac:dyDescent="0.25">
      <c r="A338" s="144">
        <v>150</v>
      </c>
      <c r="B338" s="144" t="s">
        <v>758</v>
      </c>
      <c r="C338" s="144" t="s">
        <v>1209</v>
      </c>
      <c r="D338" s="144" t="s">
        <v>750</v>
      </c>
      <c r="E338" s="144" t="s">
        <v>990</v>
      </c>
      <c r="F338" s="144">
        <v>2018</v>
      </c>
      <c r="G338" s="144" t="s">
        <v>1210</v>
      </c>
      <c r="H338" s="144" t="s">
        <v>1211</v>
      </c>
    </row>
    <row r="339" spans="1:8" x14ac:dyDescent="0.25">
      <c r="A339" s="144">
        <v>151</v>
      </c>
      <c r="B339" s="144" t="s">
        <v>758</v>
      </c>
      <c r="C339" s="144" t="s">
        <v>1212</v>
      </c>
      <c r="D339" s="144" t="s">
        <v>750</v>
      </c>
      <c r="E339" s="144" t="s">
        <v>990</v>
      </c>
      <c r="F339" s="144">
        <v>2018</v>
      </c>
      <c r="G339" s="144" t="s">
        <v>1213</v>
      </c>
      <c r="H339" s="144" t="s">
        <v>1214</v>
      </c>
    </row>
    <row r="340" spans="1:8" x14ac:dyDescent="0.25">
      <c r="A340" s="144">
        <v>152</v>
      </c>
      <c r="B340" s="144" t="s">
        <v>758</v>
      </c>
      <c r="C340" s="144" t="s">
        <v>1215</v>
      </c>
      <c r="D340" s="144" t="s">
        <v>750</v>
      </c>
      <c r="E340" s="144" t="s">
        <v>990</v>
      </c>
      <c r="F340" s="144">
        <v>2018</v>
      </c>
      <c r="G340" s="144" t="s">
        <v>1216</v>
      </c>
      <c r="H340" s="144" t="s">
        <v>1217</v>
      </c>
    </row>
    <row r="341" spans="1:8" x14ac:dyDescent="0.25">
      <c r="A341" s="144">
        <v>153</v>
      </c>
      <c r="B341" s="144" t="s">
        <v>758</v>
      </c>
      <c r="C341" s="144" t="s">
        <v>1218</v>
      </c>
      <c r="D341" s="144" t="s">
        <v>750</v>
      </c>
      <c r="E341" s="144" t="s">
        <v>990</v>
      </c>
      <c r="F341" s="144">
        <v>2018</v>
      </c>
      <c r="G341" s="144" t="s">
        <v>1219</v>
      </c>
      <c r="H341" s="144" t="s">
        <v>1220</v>
      </c>
    </row>
    <row r="342" spans="1:8" x14ac:dyDescent="0.25">
      <c r="A342" s="144">
        <v>154</v>
      </c>
      <c r="B342" s="144" t="s">
        <v>758</v>
      </c>
      <c r="C342" s="144" t="s">
        <v>1221</v>
      </c>
      <c r="D342" s="144" t="s">
        <v>750</v>
      </c>
      <c r="E342" s="144" t="s">
        <v>990</v>
      </c>
      <c r="F342" s="144">
        <v>2018</v>
      </c>
      <c r="G342" s="144" t="s">
        <v>1222</v>
      </c>
      <c r="H342" s="144" t="s">
        <v>1223</v>
      </c>
    </row>
    <row r="343" spans="1:8" x14ac:dyDescent="0.25">
      <c r="A343" s="144">
        <v>155</v>
      </c>
      <c r="B343" s="144" t="s">
        <v>758</v>
      </c>
      <c r="C343" s="144" t="s">
        <v>1224</v>
      </c>
      <c r="D343" s="144" t="s">
        <v>750</v>
      </c>
      <c r="E343" s="144" t="s">
        <v>990</v>
      </c>
      <c r="F343" s="144">
        <v>2018</v>
      </c>
      <c r="G343" s="144" t="s">
        <v>1225</v>
      </c>
      <c r="H343" s="144" t="s">
        <v>1226</v>
      </c>
    </row>
    <row r="344" spans="1:8" x14ac:dyDescent="0.25">
      <c r="A344" s="144">
        <v>156</v>
      </c>
      <c r="B344" s="144" t="s">
        <v>758</v>
      </c>
      <c r="C344" s="144" t="s">
        <v>1227</v>
      </c>
      <c r="D344" s="144" t="s">
        <v>750</v>
      </c>
      <c r="E344" s="144" t="s">
        <v>990</v>
      </c>
      <c r="F344" s="144">
        <v>2018</v>
      </c>
      <c r="G344" s="144" t="s">
        <v>1228</v>
      </c>
      <c r="H344" s="144" t="s">
        <v>1229</v>
      </c>
    </row>
    <row r="345" spans="1:8" x14ac:dyDescent="0.25">
      <c r="A345" s="144">
        <v>157</v>
      </c>
      <c r="B345" s="144" t="s">
        <v>758</v>
      </c>
      <c r="C345" s="144" t="s">
        <v>1230</v>
      </c>
      <c r="D345" s="144" t="s">
        <v>750</v>
      </c>
      <c r="E345" s="144" t="s">
        <v>990</v>
      </c>
      <c r="F345" s="144">
        <v>2018</v>
      </c>
      <c r="G345" s="144" t="s">
        <v>1231</v>
      </c>
      <c r="H345" s="144" t="s">
        <v>1232</v>
      </c>
    </row>
    <row r="346" spans="1:8" x14ac:dyDescent="0.25">
      <c r="A346" s="144">
        <v>158</v>
      </c>
      <c r="B346" s="144" t="s">
        <v>758</v>
      </c>
      <c r="C346" s="144" t="s">
        <v>1233</v>
      </c>
      <c r="D346" s="144" t="s">
        <v>750</v>
      </c>
      <c r="E346" s="144" t="s">
        <v>990</v>
      </c>
      <c r="F346" s="144">
        <v>2018</v>
      </c>
      <c r="G346" s="144" t="s">
        <v>1234</v>
      </c>
      <c r="H346" s="144" t="s">
        <v>1235</v>
      </c>
    </row>
    <row r="347" spans="1:8" x14ac:dyDescent="0.25">
      <c r="A347" s="144">
        <v>159</v>
      </c>
      <c r="B347" s="144" t="s">
        <v>758</v>
      </c>
      <c r="C347" s="144" t="s">
        <v>1236</v>
      </c>
      <c r="D347" s="144" t="s">
        <v>750</v>
      </c>
      <c r="E347" s="144" t="s">
        <v>990</v>
      </c>
      <c r="F347" s="144">
        <v>2018</v>
      </c>
      <c r="G347" s="144" t="s">
        <v>1237</v>
      </c>
      <c r="H347" s="144" t="s">
        <v>1238</v>
      </c>
    </row>
    <row r="348" spans="1:8" x14ac:dyDescent="0.25">
      <c r="A348" s="144">
        <v>160</v>
      </c>
      <c r="B348" s="144" t="s">
        <v>758</v>
      </c>
      <c r="C348" s="144" t="s">
        <v>1239</v>
      </c>
      <c r="D348" s="144" t="s">
        <v>750</v>
      </c>
      <c r="E348" s="144" t="s">
        <v>990</v>
      </c>
      <c r="F348" s="144">
        <v>2018</v>
      </c>
      <c r="G348" s="144" t="s">
        <v>1240</v>
      </c>
      <c r="H348" s="144" t="s">
        <v>1241</v>
      </c>
    </row>
    <row r="349" spans="1:8" x14ac:dyDescent="0.25">
      <c r="A349" s="144">
        <v>161</v>
      </c>
      <c r="B349" s="144" t="s">
        <v>758</v>
      </c>
      <c r="C349" s="144" t="s">
        <v>1242</v>
      </c>
      <c r="D349" s="144" t="s">
        <v>750</v>
      </c>
      <c r="E349" s="144" t="s">
        <v>990</v>
      </c>
      <c r="F349" s="144">
        <v>2018</v>
      </c>
      <c r="G349" s="144" t="s">
        <v>1243</v>
      </c>
      <c r="H349" s="144" t="s">
        <v>1244</v>
      </c>
    </row>
    <row r="350" spans="1:8" x14ac:dyDescent="0.25">
      <c r="A350" s="144">
        <v>162</v>
      </c>
      <c r="B350" s="144" t="s">
        <v>758</v>
      </c>
      <c r="C350" s="144" t="s">
        <v>1245</v>
      </c>
      <c r="D350" s="144" t="s">
        <v>750</v>
      </c>
      <c r="E350" s="144" t="s">
        <v>990</v>
      </c>
      <c r="F350" s="144">
        <v>2018</v>
      </c>
      <c r="G350" s="144" t="s">
        <v>1246</v>
      </c>
      <c r="H350" s="144" t="s">
        <v>1247</v>
      </c>
    </row>
    <row r="351" spans="1:8" x14ac:dyDescent="0.25">
      <c r="A351" s="144">
        <v>163</v>
      </c>
      <c r="B351" s="144" t="s">
        <v>758</v>
      </c>
      <c r="C351" s="144" t="s">
        <v>1248</v>
      </c>
      <c r="D351" s="144" t="s">
        <v>750</v>
      </c>
      <c r="E351" s="144" t="s">
        <v>990</v>
      </c>
      <c r="F351" s="144">
        <v>2018</v>
      </c>
      <c r="G351" s="144" t="s">
        <v>1249</v>
      </c>
      <c r="H351" s="144" t="s">
        <v>1250</v>
      </c>
    </row>
    <row r="352" spans="1:8" x14ac:dyDescent="0.25">
      <c r="A352" s="144">
        <v>164</v>
      </c>
      <c r="B352" s="144" t="s">
        <v>758</v>
      </c>
      <c r="C352" s="144" t="s">
        <v>1251</v>
      </c>
      <c r="D352" s="144" t="s">
        <v>750</v>
      </c>
      <c r="E352" s="144" t="s">
        <v>990</v>
      </c>
      <c r="F352" s="144">
        <v>2018</v>
      </c>
      <c r="G352" s="144" t="s">
        <v>1252</v>
      </c>
      <c r="H352" s="144" t="s">
        <v>1253</v>
      </c>
    </row>
    <row r="353" spans="1:8" x14ac:dyDescent="0.25">
      <c r="A353" s="144">
        <v>165</v>
      </c>
      <c r="B353" s="144" t="s">
        <v>758</v>
      </c>
      <c r="C353" s="144" t="s">
        <v>1254</v>
      </c>
      <c r="D353" s="144" t="s">
        <v>750</v>
      </c>
      <c r="E353" s="144" t="s">
        <v>990</v>
      </c>
      <c r="F353" s="144">
        <v>2018</v>
      </c>
      <c r="G353" s="144" t="s">
        <v>1255</v>
      </c>
      <c r="H353" s="144" t="s">
        <v>1256</v>
      </c>
    </row>
    <row r="354" spans="1:8" x14ac:dyDescent="0.25">
      <c r="A354" s="144">
        <v>166</v>
      </c>
      <c r="B354" s="144" t="s">
        <v>758</v>
      </c>
      <c r="C354" s="144" t="s">
        <v>1257</v>
      </c>
      <c r="D354" s="144" t="s">
        <v>750</v>
      </c>
      <c r="E354" s="144" t="s">
        <v>990</v>
      </c>
      <c r="F354" s="144">
        <v>2018</v>
      </c>
      <c r="G354" s="144" t="s">
        <v>1258</v>
      </c>
      <c r="H354" s="144" t="s">
        <v>1259</v>
      </c>
    </row>
    <row r="355" spans="1:8" x14ac:dyDescent="0.25">
      <c r="A355" s="144">
        <v>167</v>
      </c>
      <c r="B355" s="144" t="s">
        <v>758</v>
      </c>
      <c r="C355" s="144" t="s">
        <v>1260</v>
      </c>
      <c r="D355" s="144" t="s">
        <v>750</v>
      </c>
      <c r="E355" s="144" t="s">
        <v>990</v>
      </c>
      <c r="F355" s="144">
        <v>2018</v>
      </c>
      <c r="G355" s="144" t="s">
        <v>1261</v>
      </c>
      <c r="H355" s="144" t="s">
        <v>1262</v>
      </c>
    </row>
    <row r="356" spans="1:8" x14ac:dyDescent="0.25">
      <c r="A356" s="144">
        <v>168</v>
      </c>
      <c r="B356" s="144" t="s">
        <v>758</v>
      </c>
      <c r="C356" s="144" t="s">
        <v>1263</v>
      </c>
      <c r="D356" s="144" t="s">
        <v>750</v>
      </c>
      <c r="E356" s="144" t="s">
        <v>990</v>
      </c>
      <c r="F356" s="144">
        <v>2018</v>
      </c>
      <c r="G356" s="144" t="s">
        <v>1264</v>
      </c>
      <c r="H356" s="144" t="s">
        <v>1265</v>
      </c>
    </row>
    <row r="357" spans="1:8" x14ac:dyDescent="0.25">
      <c r="A357" s="144">
        <v>169</v>
      </c>
      <c r="B357" s="144" t="s">
        <v>758</v>
      </c>
      <c r="C357" s="144" t="s">
        <v>1266</v>
      </c>
      <c r="D357" s="144" t="s">
        <v>750</v>
      </c>
      <c r="E357" s="144" t="s">
        <v>1267</v>
      </c>
      <c r="F357" s="144">
        <v>2018</v>
      </c>
      <c r="G357" s="144" t="s">
        <v>1268</v>
      </c>
      <c r="H357" s="144" t="s">
        <v>1269</v>
      </c>
    </row>
    <row r="358" spans="1:8" x14ac:dyDescent="0.25">
      <c r="A358" s="144">
        <v>170</v>
      </c>
      <c r="B358" s="144" t="s">
        <v>758</v>
      </c>
      <c r="C358" s="144" t="s">
        <v>1270</v>
      </c>
      <c r="D358" s="144" t="s">
        <v>750</v>
      </c>
      <c r="E358" s="144" t="s">
        <v>1267</v>
      </c>
      <c r="F358" s="144">
        <v>2018</v>
      </c>
      <c r="G358" s="144" t="s">
        <v>1271</v>
      </c>
      <c r="H358" s="144" t="s">
        <v>1272</v>
      </c>
    </row>
    <row r="359" spans="1:8" x14ac:dyDescent="0.25">
      <c r="A359" s="144">
        <v>171</v>
      </c>
      <c r="B359" s="144" t="s">
        <v>758</v>
      </c>
      <c r="C359" s="144" t="s">
        <v>1273</v>
      </c>
      <c r="D359" s="144" t="s">
        <v>750</v>
      </c>
      <c r="E359" s="144" t="s">
        <v>1274</v>
      </c>
      <c r="F359" s="144">
        <v>2013</v>
      </c>
      <c r="G359" s="144" t="s">
        <v>1275</v>
      </c>
      <c r="H359" s="144" t="s">
        <v>1276</v>
      </c>
    </row>
    <row r="360" spans="1:8" x14ac:dyDescent="0.25">
      <c r="A360" s="144">
        <v>172</v>
      </c>
      <c r="B360" s="144" t="s">
        <v>758</v>
      </c>
      <c r="C360" s="144" t="s">
        <v>1277</v>
      </c>
      <c r="D360" s="144" t="s">
        <v>750</v>
      </c>
      <c r="E360" s="144" t="s">
        <v>1274</v>
      </c>
      <c r="F360" s="144">
        <v>2013</v>
      </c>
      <c r="G360" s="144" t="s">
        <v>1278</v>
      </c>
      <c r="H360" s="144" t="s">
        <v>1279</v>
      </c>
    </row>
    <row r="361" spans="1:8" x14ac:dyDescent="0.25">
      <c r="A361" s="144">
        <v>173</v>
      </c>
      <c r="B361" s="144" t="s">
        <v>758</v>
      </c>
      <c r="C361" s="144" t="s">
        <v>1280</v>
      </c>
      <c r="D361" s="144" t="s">
        <v>750</v>
      </c>
      <c r="E361" s="144" t="s">
        <v>1274</v>
      </c>
      <c r="F361" s="144">
        <v>2013</v>
      </c>
      <c r="G361" s="144" t="s">
        <v>1281</v>
      </c>
      <c r="H361" s="144" t="s">
        <v>1282</v>
      </c>
    </row>
    <row r="362" spans="1:8" x14ac:dyDescent="0.25">
      <c r="A362" s="144">
        <v>174</v>
      </c>
      <c r="B362" s="144" t="s">
        <v>758</v>
      </c>
      <c r="C362" s="144" t="s">
        <v>1283</v>
      </c>
      <c r="D362" s="144" t="s">
        <v>750</v>
      </c>
      <c r="E362" s="144" t="s">
        <v>1274</v>
      </c>
      <c r="F362" s="144">
        <v>2013</v>
      </c>
      <c r="G362" s="144" t="s">
        <v>1284</v>
      </c>
      <c r="H362" s="144" t="s">
        <v>1285</v>
      </c>
    </row>
    <row r="363" spans="1:8" x14ac:dyDescent="0.25">
      <c r="A363" s="144">
        <v>175</v>
      </c>
      <c r="B363" s="144" t="s">
        <v>758</v>
      </c>
      <c r="C363" s="144" t="s">
        <v>1286</v>
      </c>
      <c r="D363" s="144" t="s">
        <v>750</v>
      </c>
      <c r="E363" s="144" t="s">
        <v>1274</v>
      </c>
      <c r="F363" s="144">
        <v>2013</v>
      </c>
      <c r="G363" s="144" t="s">
        <v>1287</v>
      </c>
      <c r="H363" s="144" t="s">
        <v>1288</v>
      </c>
    </row>
    <row r="364" spans="1:8" x14ac:dyDescent="0.25">
      <c r="A364" s="144">
        <v>176</v>
      </c>
      <c r="B364" s="144" t="s">
        <v>758</v>
      </c>
      <c r="C364" s="144" t="s">
        <v>1289</v>
      </c>
      <c r="D364" s="144" t="s">
        <v>750</v>
      </c>
      <c r="E364" s="144" t="s">
        <v>1274</v>
      </c>
      <c r="F364" s="144">
        <v>2013</v>
      </c>
      <c r="G364" s="144" t="s">
        <v>1290</v>
      </c>
      <c r="H364" s="144" t="s">
        <v>1291</v>
      </c>
    </row>
    <row r="365" spans="1:8" x14ac:dyDescent="0.25">
      <c r="A365" s="144">
        <v>177</v>
      </c>
      <c r="B365" s="144" t="s">
        <v>758</v>
      </c>
      <c r="C365" s="144" t="s">
        <v>1292</v>
      </c>
      <c r="D365" s="144" t="s">
        <v>750</v>
      </c>
      <c r="E365" s="144" t="s">
        <v>1274</v>
      </c>
      <c r="F365" s="144">
        <v>2013</v>
      </c>
      <c r="G365" s="144" t="s">
        <v>1293</v>
      </c>
      <c r="H365" s="144" t="s">
        <v>1294</v>
      </c>
    </row>
    <row r="366" spans="1:8" x14ac:dyDescent="0.25">
      <c r="A366" s="144">
        <v>178</v>
      </c>
      <c r="B366" s="144" t="s">
        <v>758</v>
      </c>
      <c r="C366" s="144" t="s">
        <v>1295</v>
      </c>
      <c r="D366" s="144" t="s">
        <v>750</v>
      </c>
      <c r="E366" s="144" t="s">
        <v>1296</v>
      </c>
      <c r="F366" s="144">
        <v>2013</v>
      </c>
      <c r="G366" s="144" t="s">
        <v>1297</v>
      </c>
      <c r="H366" s="144" t="s">
        <v>1298</v>
      </c>
    </row>
    <row r="367" spans="1:8" x14ac:dyDescent="0.25">
      <c r="A367" s="144">
        <v>179</v>
      </c>
      <c r="B367" s="144" t="s">
        <v>758</v>
      </c>
      <c r="C367" s="144" t="s">
        <v>1299</v>
      </c>
      <c r="D367" s="144" t="s">
        <v>750</v>
      </c>
      <c r="E367" s="144" t="s">
        <v>1296</v>
      </c>
      <c r="F367" s="144">
        <v>2013</v>
      </c>
      <c r="G367" s="144" t="s">
        <v>1300</v>
      </c>
      <c r="H367" s="144" t="s">
        <v>1301</v>
      </c>
    </row>
    <row r="368" spans="1:8" x14ac:dyDescent="0.25">
      <c r="A368" s="144">
        <v>180</v>
      </c>
      <c r="B368" s="144" t="s">
        <v>758</v>
      </c>
      <c r="C368" s="144" t="s">
        <v>1302</v>
      </c>
      <c r="D368" s="144" t="s">
        <v>750</v>
      </c>
      <c r="E368" s="144" t="s">
        <v>1296</v>
      </c>
      <c r="F368" s="144">
        <v>2013</v>
      </c>
      <c r="G368" s="144" t="s">
        <v>1303</v>
      </c>
      <c r="H368" s="144" t="s">
        <v>1304</v>
      </c>
    </row>
    <row r="369" spans="1:8" x14ac:dyDescent="0.25">
      <c r="A369" s="144">
        <v>181</v>
      </c>
      <c r="B369" s="144" t="s">
        <v>758</v>
      </c>
      <c r="C369" s="144" t="s">
        <v>1305</v>
      </c>
      <c r="D369" s="144" t="s">
        <v>750</v>
      </c>
      <c r="E369" s="144" t="s">
        <v>1296</v>
      </c>
      <c r="F369" s="144">
        <v>2013</v>
      </c>
      <c r="G369" s="144" t="s">
        <v>1306</v>
      </c>
      <c r="H369" s="144" t="s">
        <v>1307</v>
      </c>
    </row>
    <row r="370" spans="1:8" x14ac:dyDescent="0.25">
      <c r="A370" s="144">
        <v>182</v>
      </c>
      <c r="B370" s="144" t="s">
        <v>758</v>
      </c>
      <c r="C370" s="144" t="s">
        <v>1308</v>
      </c>
      <c r="D370" s="144" t="s">
        <v>750</v>
      </c>
      <c r="E370" s="144" t="s">
        <v>1296</v>
      </c>
      <c r="F370" s="144">
        <v>2013</v>
      </c>
      <c r="G370" s="144" t="s">
        <v>1309</v>
      </c>
      <c r="H370" s="144" t="s">
        <v>1310</v>
      </c>
    </row>
    <row r="371" spans="1:8" x14ac:dyDescent="0.25">
      <c r="A371" s="144">
        <v>183</v>
      </c>
      <c r="B371" s="144" t="s">
        <v>758</v>
      </c>
      <c r="C371" s="144" t="s">
        <v>1311</v>
      </c>
      <c r="D371" s="144" t="s">
        <v>750</v>
      </c>
      <c r="E371" s="144" t="s">
        <v>1296</v>
      </c>
      <c r="F371" s="144">
        <v>2013</v>
      </c>
      <c r="G371" s="144" t="s">
        <v>1312</v>
      </c>
      <c r="H371" s="144" t="s">
        <v>1313</v>
      </c>
    </row>
    <row r="372" spans="1:8" x14ac:dyDescent="0.25">
      <c r="A372" s="144">
        <v>184</v>
      </c>
      <c r="B372" s="144" t="s">
        <v>758</v>
      </c>
      <c r="C372" s="144" t="s">
        <v>1314</v>
      </c>
      <c r="D372" s="144" t="s">
        <v>750</v>
      </c>
      <c r="E372" s="144" t="s">
        <v>1296</v>
      </c>
      <c r="F372" s="144">
        <v>2013</v>
      </c>
      <c r="G372" s="144" t="s">
        <v>1315</v>
      </c>
      <c r="H372" s="144" t="s">
        <v>1316</v>
      </c>
    </row>
    <row r="373" spans="1:8" x14ac:dyDescent="0.25">
      <c r="A373" s="144">
        <v>185</v>
      </c>
      <c r="B373" s="144" t="s">
        <v>758</v>
      </c>
      <c r="C373" s="144" t="s">
        <v>1317</v>
      </c>
      <c r="D373" s="144" t="s">
        <v>750</v>
      </c>
      <c r="E373" s="144" t="s">
        <v>1296</v>
      </c>
      <c r="F373" s="144">
        <v>2013</v>
      </c>
      <c r="G373" s="144" t="s">
        <v>1318</v>
      </c>
      <c r="H373" s="144" t="s">
        <v>1319</v>
      </c>
    </row>
    <row r="374" spans="1:8" x14ac:dyDescent="0.25">
      <c r="A374" s="144">
        <v>186</v>
      </c>
      <c r="B374" s="144" t="s">
        <v>758</v>
      </c>
      <c r="C374" s="144" t="s">
        <v>1320</v>
      </c>
      <c r="D374" s="144" t="s">
        <v>750</v>
      </c>
      <c r="E374" s="144" t="s">
        <v>1296</v>
      </c>
      <c r="F374" s="144">
        <v>2013</v>
      </c>
      <c r="G374" s="144" t="s">
        <v>1321</v>
      </c>
      <c r="H374" s="144" t="s">
        <v>1322</v>
      </c>
    </row>
    <row r="375" spans="1:8" x14ac:dyDescent="0.25">
      <c r="A375" s="144">
        <v>187</v>
      </c>
      <c r="B375" s="144" t="s">
        <v>758</v>
      </c>
      <c r="C375" s="144" t="s">
        <v>1323</v>
      </c>
      <c r="D375" s="144" t="s">
        <v>750</v>
      </c>
      <c r="E375" s="144" t="s">
        <v>1296</v>
      </c>
      <c r="F375" s="144">
        <v>2013</v>
      </c>
      <c r="G375" s="144" t="s">
        <v>1324</v>
      </c>
      <c r="H375" s="144" t="s">
        <v>1325</v>
      </c>
    </row>
    <row r="376" spans="1:8" x14ac:dyDescent="0.25">
      <c r="A376" s="144">
        <v>188</v>
      </c>
      <c r="B376" s="144" t="s">
        <v>758</v>
      </c>
      <c r="C376" s="144" t="s">
        <v>1326</v>
      </c>
      <c r="D376" s="144" t="s">
        <v>750</v>
      </c>
      <c r="E376" s="144" t="s">
        <v>1296</v>
      </c>
      <c r="F376" s="144">
        <v>2013</v>
      </c>
      <c r="G376" s="144" t="s">
        <v>1327</v>
      </c>
      <c r="H376" s="144" t="s">
        <v>1328</v>
      </c>
    </row>
    <row r="377" spans="1:8" x14ac:dyDescent="0.25">
      <c r="A377" s="144">
        <v>189</v>
      </c>
      <c r="B377" s="144" t="s">
        <v>758</v>
      </c>
      <c r="C377" s="144" t="s">
        <v>1329</v>
      </c>
      <c r="D377" s="144" t="s">
        <v>750</v>
      </c>
      <c r="E377" s="144" t="s">
        <v>1296</v>
      </c>
      <c r="F377" s="144">
        <v>2016</v>
      </c>
      <c r="G377" s="144" t="s">
        <v>1330</v>
      </c>
      <c r="H377" s="144" t="s">
        <v>1331</v>
      </c>
    </row>
    <row r="378" spans="1:8" x14ac:dyDescent="0.25">
      <c r="A378" s="144">
        <v>190</v>
      </c>
      <c r="B378" s="144" t="s">
        <v>758</v>
      </c>
      <c r="C378" s="144" t="s">
        <v>1332</v>
      </c>
      <c r="D378" s="144" t="s">
        <v>750</v>
      </c>
      <c r="E378" s="144" t="s">
        <v>1296</v>
      </c>
      <c r="F378" s="144">
        <v>2016</v>
      </c>
      <c r="G378" s="144" t="s">
        <v>1333</v>
      </c>
      <c r="H378" s="144" t="s">
        <v>1334</v>
      </c>
    </row>
    <row r="379" spans="1:8" x14ac:dyDescent="0.25">
      <c r="A379" s="144">
        <v>191</v>
      </c>
      <c r="B379" s="144" t="s">
        <v>758</v>
      </c>
      <c r="C379" s="144" t="s">
        <v>1335</v>
      </c>
      <c r="D379" s="144" t="s">
        <v>750</v>
      </c>
      <c r="E379" s="144" t="s">
        <v>1296</v>
      </c>
      <c r="F379" s="144">
        <v>2016</v>
      </c>
      <c r="G379" s="144" t="s">
        <v>1336</v>
      </c>
      <c r="H379" s="144" t="s">
        <v>1337</v>
      </c>
    </row>
    <row r="380" spans="1:8" x14ac:dyDescent="0.25">
      <c r="A380" s="144">
        <v>192</v>
      </c>
      <c r="B380" s="144" t="s">
        <v>758</v>
      </c>
      <c r="C380" s="144" t="s">
        <v>1338</v>
      </c>
      <c r="D380" s="144" t="s">
        <v>750</v>
      </c>
      <c r="E380" s="144" t="s">
        <v>1296</v>
      </c>
      <c r="F380" s="144">
        <v>2016</v>
      </c>
      <c r="G380" s="144" t="s">
        <v>1339</v>
      </c>
      <c r="H380" s="144" t="s">
        <v>1340</v>
      </c>
    </row>
    <row r="381" spans="1:8" x14ac:dyDescent="0.25">
      <c r="A381" s="144">
        <v>193</v>
      </c>
      <c r="B381" s="144" t="s">
        <v>758</v>
      </c>
      <c r="C381" s="144" t="s">
        <v>1341</v>
      </c>
      <c r="D381" s="144" t="s">
        <v>750</v>
      </c>
      <c r="E381" s="144" t="s">
        <v>1296</v>
      </c>
      <c r="F381" s="144">
        <v>2016</v>
      </c>
      <c r="G381" s="144" t="s">
        <v>1342</v>
      </c>
      <c r="H381" s="144" t="s">
        <v>1343</v>
      </c>
    </row>
    <row r="382" spans="1:8" x14ac:dyDescent="0.25">
      <c r="A382" s="144">
        <v>194</v>
      </c>
      <c r="B382" s="144" t="s">
        <v>758</v>
      </c>
      <c r="C382" s="144" t="s">
        <v>1344</v>
      </c>
      <c r="D382" s="144" t="s">
        <v>750</v>
      </c>
      <c r="E382" s="144" t="s">
        <v>1296</v>
      </c>
      <c r="F382" s="144">
        <v>2016</v>
      </c>
      <c r="G382" s="144" t="s">
        <v>1345</v>
      </c>
      <c r="H382" s="144" t="s">
        <v>1346</v>
      </c>
    </row>
    <row r="383" spans="1:8" x14ac:dyDescent="0.25">
      <c r="A383" s="144">
        <v>195</v>
      </c>
      <c r="B383" s="144" t="s">
        <v>758</v>
      </c>
      <c r="C383" s="144" t="s">
        <v>1347</v>
      </c>
      <c r="D383" s="144" t="s">
        <v>750</v>
      </c>
      <c r="E383" s="144" t="s">
        <v>1296</v>
      </c>
      <c r="F383" s="144">
        <v>2016</v>
      </c>
      <c r="G383" s="144" t="s">
        <v>1348</v>
      </c>
      <c r="H383" s="144" t="s">
        <v>1349</v>
      </c>
    </row>
    <row r="384" spans="1:8" x14ac:dyDescent="0.25">
      <c r="A384" s="144">
        <v>196</v>
      </c>
      <c r="B384" s="144" t="s">
        <v>758</v>
      </c>
      <c r="C384" s="144" t="s">
        <v>1350</v>
      </c>
      <c r="D384" s="144" t="s">
        <v>750</v>
      </c>
      <c r="E384" s="144" t="s">
        <v>1296</v>
      </c>
      <c r="F384" s="144">
        <v>2016</v>
      </c>
      <c r="G384" s="144" t="s">
        <v>1351</v>
      </c>
      <c r="H384" s="144" t="s">
        <v>1352</v>
      </c>
    </row>
    <row r="385" spans="1:8" x14ac:dyDescent="0.25">
      <c r="A385" s="144">
        <v>197</v>
      </c>
      <c r="B385" s="144" t="s">
        <v>758</v>
      </c>
      <c r="C385" s="144" t="s">
        <v>1353</v>
      </c>
      <c r="D385" s="144" t="s">
        <v>750</v>
      </c>
      <c r="E385" s="144" t="s">
        <v>1296</v>
      </c>
      <c r="F385" s="144">
        <v>2016</v>
      </c>
      <c r="G385" s="144" t="s">
        <v>1354</v>
      </c>
      <c r="H385" s="144" t="s">
        <v>1355</v>
      </c>
    </row>
    <row r="386" spans="1:8" x14ac:dyDescent="0.25">
      <c r="A386" s="144">
        <v>198</v>
      </c>
      <c r="B386" s="144" t="s">
        <v>758</v>
      </c>
      <c r="C386" s="144" t="s">
        <v>1356</v>
      </c>
      <c r="D386" s="144" t="s">
        <v>750</v>
      </c>
      <c r="E386" s="144" t="s">
        <v>1296</v>
      </c>
      <c r="F386" s="144">
        <v>2016</v>
      </c>
      <c r="G386" s="144" t="s">
        <v>1357</v>
      </c>
      <c r="H386" s="144" t="s">
        <v>1358</v>
      </c>
    </row>
    <row r="387" spans="1:8" x14ac:dyDescent="0.25">
      <c r="A387" s="144">
        <v>199</v>
      </c>
      <c r="B387" s="144" t="s">
        <v>758</v>
      </c>
      <c r="C387" s="144" t="s">
        <v>1359</v>
      </c>
      <c r="D387" s="144" t="s">
        <v>750</v>
      </c>
      <c r="E387" s="144" t="s">
        <v>1296</v>
      </c>
      <c r="F387" s="144">
        <v>2016</v>
      </c>
      <c r="G387" s="144" t="s">
        <v>1360</v>
      </c>
      <c r="H387" s="144" t="s">
        <v>1361</v>
      </c>
    </row>
    <row r="388" spans="1:8" x14ac:dyDescent="0.25">
      <c r="A388" s="144">
        <v>200</v>
      </c>
      <c r="B388" s="144" t="s">
        <v>758</v>
      </c>
      <c r="C388" s="144" t="s">
        <v>1362</v>
      </c>
      <c r="D388" s="144" t="s">
        <v>750</v>
      </c>
      <c r="E388" s="144" t="s">
        <v>1296</v>
      </c>
      <c r="F388" s="144">
        <v>2016</v>
      </c>
      <c r="G388" s="144" t="s">
        <v>1363</v>
      </c>
      <c r="H388" s="144" t="s">
        <v>1364</v>
      </c>
    </row>
    <row r="389" spans="1:8" x14ac:dyDescent="0.25">
      <c r="A389" s="144">
        <v>201</v>
      </c>
      <c r="B389" s="144" t="s">
        <v>758</v>
      </c>
      <c r="C389" s="144" t="s">
        <v>1365</v>
      </c>
      <c r="D389" s="144" t="s">
        <v>750</v>
      </c>
      <c r="E389" s="144" t="s">
        <v>1296</v>
      </c>
      <c r="F389" s="144">
        <v>2016</v>
      </c>
      <c r="G389" s="144" t="s">
        <v>1366</v>
      </c>
      <c r="H389" s="144" t="s">
        <v>1367</v>
      </c>
    </row>
    <row r="390" spans="1:8" x14ac:dyDescent="0.25">
      <c r="A390" s="144">
        <v>202</v>
      </c>
      <c r="B390" s="144" t="s">
        <v>758</v>
      </c>
      <c r="C390" s="144" t="s">
        <v>1368</v>
      </c>
      <c r="D390" s="144" t="s">
        <v>750</v>
      </c>
      <c r="E390" s="144" t="s">
        <v>1296</v>
      </c>
      <c r="F390" s="144">
        <v>2016</v>
      </c>
      <c r="G390" s="144" t="s">
        <v>1369</v>
      </c>
      <c r="H390" s="144" t="s">
        <v>1370</v>
      </c>
    </row>
    <row r="391" spans="1:8" x14ac:dyDescent="0.25">
      <c r="A391" s="144">
        <v>203</v>
      </c>
      <c r="B391" s="144" t="s">
        <v>758</v>
      </c>
      <c r="C391" s="144" t="s">
        <v>1371</v>
      </c>
      <c r="D391" s="144" t="s">
        <v>750</v>
      </c>
      <c r="E391" s="144" t="s">
        <v>1296</v>
      </c>
      <c r="F391" s="144">
        <v>2016</v>
      </c>
      <c r="G391" s="144" t="s">
        <v>1372</v>
      </c>
      <c r="H391" s="144" t="s">
        <v>1373</v>
      </c>
    </row>
    <row r="392" spans="1:8" x14ac:dyDescent="0.25">
      <c r="A392" s="144">
        <v>204</v>
      </c>
      <c r="B392" s="144" t="s">
        <v>758</v>
      </c>
      <c r="C392" s="144" t="s">
        <v>1374</v>
      </c>
      <c r="D392" s="144" t="s">
        <v>750</v>
      </c>
      <c r="E392" s="144" t="s">
        <v>1296</v>
      </c>
      <c r="F392" s="144">
        <v>2016</v>
      </c>
      <c r="G392" s="144" t="s">
        <v>1375</v>
      </c>
      <c r="H392" s="144" t="s">
        <v>1376</v>
      </c>
    </row>
    <row r="393" spans="1:8" x14ac:dyDescent="0.25">
      <c r="A393" s="144">
        <v>205</v>
      </c>
      <c r="B393" s="144" t="s">
        <v>758</v>
      </c>
      <c r="C393" s="144" t="s">
        <v>1377</v>
      </c>
      <c r="D393" s="144" t="s">
        <v>750</v>
      </c>
      <c r="E393" s="144" t="s">
        <v>1296</v>
      </c>
      <c r="F393" s="144">
        <v>2016</v>
      </c>
      <c r="G393" s="144" t="s">
        <v>1378</v>
      </c>
      <c r="H393" s="144" t="s">
        <v>1379</v>
      </c>
    </row>
    <row r="394" spans="1:8" x14ac:dyDescent="0.25">
      <c r="A394" s="144">
        <v>206</v>
      </c>
      <c r="B394" s="144" t="s">
        <v>758</v>
      </c>
      <c r="C394" s="144" t="s">
        <v>1380</v>
      </c>
      <c r="D394" s="144" t="s">
        <v>750</v>
      </c>
      <c r="E394" s="144" t="s">
        <v>1296</v>
      </c>
      <c r="F394" s="144">
        <v>2018</v>
      </c>
      <c r="G394" s="144" t="s">
        <v>1381</v>
      </c>
      <c r="H394" s="144" t="s">
        <v>1382</v>
      </c>
    </row>
    <row r="395" spans="1:8" x14ac:dyDescent="0.25">
      <c r="A395" s="144">
        <v>207</v>
      </c>
      <c r="B395" s="144" t="s">
        <v>758</v>
      </c>
      <c r="C395" s="144" t="s">
        <v>1383</v>
      </c>
      <c r="D395" s="144" t="s">
        <v>750</v>
      </c>
      <c r="E395" s="144" t="s">
        <v>1296</v>
      </c>
      <c r="F395" s="144">
        <v>2018</v>
      </c>
      <c r="G395" s="144" t="s">
        <v>1384</v>
      </c>
      <c r="H395" s="144" t="s">
        <v>1385</v>
      </c>
    </row>
    <row r="396" spans="1:8" x14ac:dyDescent="0.25">
      <c r="A396" s="144">
        <v>208</v>
      </c>
      <c r="B396" s="144" t="s">
        <v>758</v>
      </c>
      <c r="C396" s="144" t="s">
        <v>1386</v>
      </c>
      <c r="D396" s="144" t="s">
        <v>750</v>
      </c>
      <c r="E396" s="144" t="s">
        <v>1296</v>
      </c>
      <c r="F396" s="144">
        <v>2018</v>
      </c>
      <c r="G396" s="144" t="s">
        <v>1387</v>
      </c>
      <c r="H396" s="144" t="s">
        <v>1388</v>
      </c>
    </row>
    <row r="397" spans="1:8" x14ac:dyDescent="0.25">
      <c r="A397" s="144">
        <v>209</v>
      </c>
      <c r="B397" s="144" t="s">
        <v>758</v>
      </c>
      <c r="C397" s="144" t="s">
        <v>1389</v>
      </c>
      <c r="D397" s="144" t="s">
        <v>750</v>
      </c>
      <c r="E397" s="144" t="s">
        <v>1296</v>
      </c>
      <c r="F397" s="144">
        <v>2018</v>
      </c>
      <c r="G397" s="144" t="s">
        <v>1390</v>
      </c>
      <c r="H397" s="144" t="s">
        <v>1391</v>
      </c>
    </row>
    <row r="398" spans="1:8" x14ac:dyDescent="0.25">
      <c r="A398" s="144">
        <v>210</v>
      </c>
      <c r="B398" s="144" t="s">
        <v>758</v>
      </c>
      <c r="C398" s="144" t="s">
        <v>1392</v>
      </c>
      <c r="D398" s="144" t="s">
        <v>750</v>
      </c>
      <c r="E398" s="144" t="s">
        <v>1296</v>
      </c>
      <c r="F398" s="144">
        <v>2018</v>
      </c>
      <c r="G398" s="144" t="s">
        <v>1393</v>
      </c>
      <c r="H398" s="144" t="s">
        <v>1394</v>
      </c>
    </row>
    <row r="399" spans="1:8" x14ac:dyDescent="0.25">
      <c r="A399" s="144">
        <v>211</v>
      </c>
      <c r="B399" s="144" t="s">
        <v>758</v>
      </c>
      <c r="C399" s="144" t="s">
        <v>1395</v>
      </c>
      <c r="D399" s="144" t="s">
        <v>750</v>
      </c>
      <c r="E399" s="144" t="s">
        <v>1296</v>
      </c>
      <c r="F399" s="144">
        <v>2018</v>
      </c>
      <c r="G399" s="144" t="s">
        <v>1396</v>
      </c>
      <c r="H399" s="144" t="s">
        <v>1397</v>
      </c>
    </row>
    <row r="400" spans="1:8" x14ac:dyDescent="0.25">
      <c r="A400" s="144">
        <v>212</v>
      </c>
      <c r="B400" s="144" t="s">
        <v>758</v>
      </c>
      <c r="C400" s="144" t="s">
        <v>1398</v>
      </c>
      <c r="D400" s="144" t="s">
        <v>750</v>
      </c>
      <c r="E400" s="144" t="s">
        <v>1296</v>
      </c>
      <c r="F400" s="144">
        <v>2021</v>
      </c>
      <c r="G400" s="144" t="s">
        <v>1399</v>
      </c>
      <c r="H400" s="144" t="s">
        <v>1400</v>
      </c>
    </row>
    <row r="401" spans="1:8" x14ac:dyDescent="0.25">
      <c r="A401" s="144">
        <v>213</v>
      </c>
      <c r="B401" s="144" t="s">
        <v>758</v>
      </c>
      <c r="C401" s="144" t="s">
        <v>1401</v>
      </c>
      <c r="D401" s="144" t="s">
        <v>750</v>
      </c>
      <c r="E401" s="144" t="s">
        <v>1296</v>
      </c>
      <c r="F401" s="144">
        <v>2021</v>
      </c>
      <c r="G401" s="144" t="s">
        <v>1402</v>
      </c>
      <c r="H401" s="144" t="s">
        <v>1403</v>
      </c>
    </row>
    <row r="402" spans="1:8" x14ac:dyDescent="0.25">
      <c r="A402" s="144">
        <v>214</v>
      </c>
      <c r="B402" s="144" t="s">
        <v>758</v>
      </c>
      <c r="C402" s="144" t="s">
        <v>1404</v>
      </c>
      <c r="D402" s="144" t="s">
        <v>750</v>
      </c>
      <c r="E402" s="144" t="s">
        <v>1296</v>
      </c>
      <c r="F402" s="144">
        <v>2021</v>
      </c>
      <c r="G402" s="144" t="s">
        <v>1405</v>
      </c>
      <c r="H402" s="144" t="s">
        <v>1406</v>
      </c>
    </row>
    <row r="403" spans="1:8" x14ac:dyDescent="0.25">
      <c r="A403" s="144">
        <v>215</v>
      </c>
      <c r="B403" s="144" t="s">
        <v>758</v>
      </c>
      <c r="C403" s="144" t="s">
        <v>1407</v>
      </c>
      <c r="D403" s="144" t="s">
        <v>750</v>
      </c>
      <c r="E403" s="144" t="s">
        <v>1296</v>
      </c>
      <c r="F403" s="144">
        <v>2021</v>
      </c>
      <c r="G403" s="144" t="s">
        <v>1408</v>
      </c>
      <c r="H403" s="144" t="s">
        <v>1409</v>
      </c>
    </row>
    <row r="404" spans="1:8" x14ac:dyDescent="0.25">
      <c r="A404" s="144">
        <v>216</v>
      </c>
      <c r="B404" s="144" t="s">
        <v>758</v>
      </c>
      <c r="C404" s="144" t="s">
        <v>1410</v>
      </c>
      <c r="D404" s="144" t="s">
        <v>750</v>
      </c>
      <c r="E404" s="144" t="s">
        <v>1296</v>
      </c>
      <c r="F404" s="144">
        <v>2021</v>
      </c>
      <c r="G404" s="144" t="s">
        <v>1411</v>
      </c>
      <c r="H404" s="144" t="s">
        <v>1412</v>
      </c>
    </row>
    <row r="405" spans="1:8" x14ac:dyDescent="0.25">
      <c r="A405" s="144">
        <v>217</v>
      </c>
      <c r="B405" s="144" t="s">
        <v>758</v>
      </c>
      <c r="C405" s="144" t="s">
        <v>1413</v>
      </c>
      <c r="D405" s="144" t="s">
        <v>750</v>
      </c>
      <c r="E405" s="144" t="s">
        <v>1414</v>
      </c>
      <c r="F405" s="144">
        <v>2013</v>
      </c>
      <c r="G405" s="144" t="s">
        <v>1415</v>
      </c>
      <c r="H405" s="144" t="s">
        <v>1416</v>
      </c>
    </row>
    <row r="406" spans="1:8" x14ac:dyDescent="0.25">
      <c r="A406" s="144">
        <v>218</v>
      </c>
      <c r="B406" s="144" t="s">
        <v>758</v>
      </c>
      <c r="C406" s="144" t="s">
        <v>1417</v>
      </c>
      <c r="D406" s="144" t="s">
        <v>750</v>
      </c>
      <c r="E406" s="144" t="s">
        <v>1414</v>
      </c>
      <c r="F406" s="144">
        <v>2013</v>
      </c>
      <c r="G406" s="144" t="s">
        <v>1418</v>
      </c>
      <c r="H406" s="144" t="s">
        <v>1419</v>
      </c>
    </row>
    <row r="407" spans="1:8" x14ac:dyDescent="0.25">
      <c r="A407" s="144">
        <v>219</v>
      </c>
      <c r="B407" s="144" t="s">
        <v>758</v>
      </c>
      <c r="C407" s="144" t="s">
        <v>1420</v>
      </c>
      <c r="D407" s="144" t="s">
        <v>750</v>
      </c>
      <c r="E407" s="144" t="s">
        <v>1414</v>
      </c>
      <c r="F407" s="144">
        <v>2013</v>
      </c>
      <c r="G407" s="144" t="s">
        <v>1421</v>
      </c>
      <c r="H407" s="144" t="s">
        <v>1422</v>
      </c>
    </row>
    <row r="408" spans="1:8" x14ac:dyDescent="0.25">
      <c r="A408" s="144">
        <v>220</v>
      </c>
      <c r="B408" s="144" t="s">
        <v>758</v>
      </c>
      <c r="C408" s="144" t="s">
        <v>1423</v>
      </c>
      <c r="D408" s="144" t="s">
        <v>750</v>
      </c>
      <c r="E408" s="144" t="s">
        <v>1414</v>
      </c>
      <c r="F408" s="144">
        <v>2013</v>
      </c>
      <c r="G408" s="144" t="s">
        <v>1424</v>
      </c>
      <c r="H408" s="144" t="s">
        <v>1425</v>
      </c>
    </row>
    <row r="409" spans="1:8" x14ac:dyDescent="0.25">
      <c r="A409" s="144">
        <v>221</v>
      </c>
      <c r="B409" s="144" t="s">
        <v>758</v>
      </c>
      <c r="C409" s="144" t="s">
        <v>1426</v>
      </c>
      <c r="D409" s="144" t="s">
        <v>750</v>
      </c>
      <c r="E409" s="144" t="s">
        <v>1414</v>
      </c>
      <c r="F409" s="144">
        <v>2015</v>
      </c>
      <c r="G409" s="144" t="s">
        <v>1427</v>
      </c>
      <c r="H409" s="144" t="s">
        <v>1428</v>
      </c>
    </row>
    <row r="410" spans="1:8" x14ac:dyDescent="0.25">
      <c r="A410" s="144">
        <v>222</v>
      </c>
      <c r="B410" s="144" t="s">
        <v>758</v>
      </c>
      <c r="C410" s="144" t="s">
        <v>1429</v>
      </c>
      <c r="D410" s="144" t="s">
        <v>750</v>
      </c>
      <c r="E410" s="144" t="s">
        <v>1414</v>
      </c>
      <c r="F410" s="144">
        <v>2015</v>
      </c>
      <c r="G410" s="144" t="s">
        <v>1430</v>
      </c>
      <c r="H410" s="144" t="s">
        <v>1431</v>
      </c>
    </row>
    <row r="411" spans="1:8" x14ac:dyDescent="0.25">
      <c r="A411" s="144">
        <v>223</v>
      </c>
      <c r="B411" s="144" t="s">
        <v>758</v>
      </c>
      <c r="C411" s="144" t="s">
        <v>1432</v>
      </c>
      <c r="D411" s="144" t="s">
        <v>1433</v>
      </c>
      <c r="E411" s="144" t="s">
        <v>1434</v>
      </c>
      <c r="F411" s="144">
        <v>2015</v>
      </c>
      <c r="G411" s="144" t="s">
        <v>1435</v>
      </c>
      <c r="H411" s="144" t="s">
        <v>1436</v>
      </c>
    </row>
    <row r="412" spans="1:8" x14ac:dyDescent="0.25">
      <c r="A412" s="144">
        <v>224</v>
      </c>
      <c r="B412" s="144" t="s">
        <v>758</v>
      </c>
      <c r="C412" s="144" t="s">
        <v>1437</v>
      </c>
      <c r="D412" s="144" t="s">
        <v>1433</v>
      </c>
      <c r="E412" s="144" t="s">
        <v>1434</v>
      </c>
      <c r="F412" s="144">
        <v>2015</v>
      </c>
      <c r="G412" s="144" t="s">
        <v>1438</v>
      </c>
      <c r="H412" s="144" t="s">
        <v>1439</v>
      </c>
    </row>
    <row r="413" spans="1:8" x14ac:dyDescent="0.25">
      <c r="A413" s="144">
        <v>225</v>
      </c>
      <c r="B413" s="144" t="s">
        <v>758</v>
      </c>
      <c r="C413" s="144" t="s">
        <v>1440</v>
      </c>
      <c r="D413" s="144" t="s">
        <v>1433</v>
      </c>
      <c r="E413" s="144" t="s">
        <v>1434</v>
      </c>
      <c r="F413" s="144">
        <v>2015</v>
      </c>
      <c r="G413" s="144" t="s">
        <v>1441</v>
      </c>
      <c r="H413" s="144" t="s">
        <v>1442</v>
      </c>
    </row>
    <row r="414" spans="1:8" x14ac:dyDescent="0.25">
      <c r="A414" s="144">
        <v>226</v>
      </c>
      <c r="B414" s="144" t="s">
        <v>758</v>
      </c>
      <c r="C414" s="144" t="s">
        <v>1443</v>
      </c>
      <c r="D414" s="144" t="s">
        <v>1433</v>
      </c>
      <c r="E414" s="144" t="s">
        <v>1434</v>
      </c>
      <c r="F414" s="144">
        <v>2015</v>
      </c>
      <c r="G414" s="144" t="s">
        <v>1444</v>
      </c>
      <c r="H414" s="144" t="s">
        <v>1445</v>
      </c>
    </row>
    <row r="415" spans="1:8" x14ac:dyDescent="0.25">
      <c r="A415" s="144">
        <v>227</v>
      </c>
      <c r="B415" s="144" t="s">
        <v>758</v>
      </c>
      <c r="C415" s="144" t="s">
        <v>1446</v>
      </c>
      <c r="D415" s="144" t="s">
        <v>1433</v>
      </c>
      <c r="E415" s="144" t="s">
        <v>1434</v>
      </c>
      <c r="F415" s="144">
        <v>2015</v>
      </c>
      <c r="G415" s="144" t="s">
        <v>1447</v>
      </c>
      <c r="H415" s="144" t="s">
        <v>1448</v>
      </c>
    </row>
    <row r="416" spans="1:8" x14ac:dyDescent="0.25">
      <c r="A416" s="144">
        <v>228</v>
      </c>
      <c r="B416" s="144" t="s">
        <v>758</v>
      </c>
      <c r="C416" s="144" t="s">
        <v>1449</v>
      </c>
      <c r="D416" s="144" t="s">
        <v>1433</v>
      </c>
      <c r="E416" s="144" t="s">
        <v>1434</v>
      </c>
      <c r="F416" s="144">
        <v>2015</v>
      </c>
      <c r="G416" s="144" t="s">
        <v>1450</v>
      </c>
      <c r="H416" s="144" t="s">
        <v>1451</v>
      </c>
    </row>
    <row r="417" spans="1:8" x14ac:dyDescent="0.25">
      <c r="A417" s="144">
        <v>229</v>
      </c>
      <c r="B417" s="144" t="s">
        <v>758</v>
      </c>
      <c r="C417" s="144" t="s">
        <v>1452</v>
      </c>
      <c r="D417" s="144" t="s">
        <v>1433</v>
      </c>
      <c r="E417" s="144" t="s">
        <v>1434</v>
      </c>
      <c r="F417" s="144">
        <v>2015</v>
      </c>
      <c r="G417" s="144" t="s">
        <v>1453</v>
      </c>
      <c r="H417" s="144" t="s">
        <v>1454</v>
      </c>
    </row>
    <row r="418" spans="1:8" x14ac:dyDescent="0.25">
      <c r="A418" s="144">
        <v>230</v>
      </c>
      <c r="B418" s="144" t="s">
        <v>758</v>
      </c>
      <c r="C418" s="144" t="s">
        <v>1455</v>
      </c>
      <c r="D418" s="144" t="s">
        <v>1433</v>
      </c>
      <c r="E418" s="144" t="s">
        <v>1434</v>
      </c>
      <c r="F418" s="144">
        <v>2015</v>
      </c>
      <c r="G418" s="144" t="s">
        <v>1456</v>
      </c>
      <c r="H418" s="144" t="s">
        <v>1457</v>
      </c>
    </row>
    <row r="419" spans="1:8" x14ac:dyDescent="0.25">
      <c r="A419" s="144">
        <v>231</v>
      </c>
      <c r="B419" s="144" t="s">
        <v>758</v>
      </c>
      <c r="C419" s="144" t="s">
        <v>1458</v>
      </c>
      <c r="D419" s="144" t="s">
        <v>1433</v>
      </c>
      <c r="E419" s="144" t="s">
        <v>1434</v>
      </c>
      <c r="F419" s="144">
        <v>2015</v>
      </c>
      <c r="G419" s="144" t="s">
        <v>1459</v>
      </c>
      <c r="H419" s="144" t="s">
        <v>1460</v>
      </c>
    </row>
    <row r="420" spans="1:8" x14ac:dyDescent="0.25">
      <c r="A420" s="144">
        <v>232</v>
      </c>
      <c r="B420" s="144" t="s">
        <v>758</v>
      </c>
      <c r="C420" s="144" t="s">
        <v>1461</v>
      </c>
      <c r="D420" s="144" t="s">
        <v>1433</v>
      </c>
      <c r="E420" s="144" t="s">
        <v>1434</v>
      </c>
      <c r="F420" s="144">
        <v>2015</v>
      </c>
      <c r="G420" s="144" t="s">
        <v>1462</v>
      </c>
      <c r="H420" s="144" t="s">
        <v>1463</v>
      </c>
    </row>
    <row r="421" spans="1:8" x14ac:dyDescent="0.25">
      <c r="A421" s="144">
        <v>233</v>
      </c>
      <c r="B421" s="144" t="s">
        <v>758</v>
      </c>
      <c r="C421" s="144" t="s">
        <v>1464</v>
      </c>
      <c r="D421" s="144" t="s">
        <v>1433</v>
      </c>
      <c r="E421" s="144" t="s">
        <v>1434</v>
      </c>
      <c r="F421" s="144">
        <v>2015</v>
      </c>
      <c r="G421" s="144" t="s">
        <v>1465</v>
      </c>
      <c r="H421" s="144" t="s">
        <v>1466</v>
      </c>
    </row>
    <row r="422" spans="1:8" x14ac:dyDescent="0.25">
      <c r="A422" s="144">
        <v>234</v>
      </c>
      <c r="B422" s="144" t="s">
        <v>758</v>
      </c>
      <c r="C422" s="144" t="s">
        <v>1467</v>
      </c>
      <c r="D422" s="144" t="s">
        <v>1433</v>
      </c>
      <c r="E422" s="144" t="s">
        <v>1434</v>
      </c>
      <c r="F422" s="144">
        <v>2015</v>
      </c>
      <c r="G422" s="144" t="s">
        <v>1468</v>
      </c>
      <c r="H422" s="144" t="s">
        <v>1469</v>
      </c>
    </row>
    <row r="423" spans="1:8" x14ac:dyDescent="0.25">
      <c r="A423" s="144">
        <v>235</v>
      </c>
      <c r="B423" s="144" t="s">
        <v>758</v>
      </c>
      <c r="C423" s="144" t="s">
        <v>1470</v>
      </c>
      <c r="D423" s="144" t="s">
        <v>1433</v>
      </c>
      <c r="E423" s="144" t="s">
        <v>1434</v>
      </c>
      <c r="F423" s="144">
        <v>2015</v>
      </c>
      <c r="G423" s="144" t="s">
        <v>1471</v>
      </c>
      <c r="H423" s="144" t="s">
        <v>1472</v>
      </c>
    </row>
    <row r="424" spans="1:8" x14ac:dyDescent="0.25">
      <c r="A424" s="144">
        <v>236</v>
      </c>
      <c r="B424" s="144" t="s">
        <v>758</v>
      </c>
      <c r="C424" s="144" t="s">
        <v>1473</v>
      </c>
      <c r="D424" s="144" t="s">
        <v>1433</v>
      </c>
      <c r="E424" s="144" t="s">
        <v>1434</v>
      </c>
      <c r="F424" s="144">
        <v>2015</v>
      </c>
      <c r="G424" s="144" t="s">
        <v>1474</v>
      </c>
      <c r="H424" s="144" t="s">
        <v>1475</v>
      </c>
    </row>
    <row r="425" spans="1:8" x14ac:dyDescent="0.25">
      <c r="A425" s="144">
        <v>237</v>
      </c>
      <c r="B425" s="144" t="s">
        <v>758</v>
      </c>
      <c r="C425" s="144" t="s">
        <v>1476</v>
      </c>
      <c r="D425" s="144" t="s">
        <v>1433</v>
      </c>
      <c r="E425" s="144" t="s">
        <v>1434</v>
      </c>
      <c r="F425" s="144">
        <v>2015</v>
      </c>
      <c r="G425" s="144" t="s">
        <v>1477</v>
      </c>
      <c r="H425" s="144" t="s">
        <v>1478</v>
      </c>
    </row>
    <row r="426" spans="1:8" x14ac:dyDescent="0.25">
      <c r="A426" s="144">
        <v>238</v>
      </c>
      <c r="B426" s="144" t="s">
        <v>758</v>
      </c>
      <c r="C426" s="144" t="s">
        <v>1479</v>
      </c>
      <c r="D426" s="144" t="s">
        <v>1433</v>
      </c>
      <c r="E426" s="144" t="s">
        <v>1434</v>
      </c>
      <c r="F426" s="144">
        <v>2016</v>
      </c>
      <c r="G426" s="144" t="s">
        <v>1480</v>
      </c>
      <c r="H426" s="144" t="s">
        <v>1481</v>
      </c>
    </row>
    <row r="427" spans="1:8" x14ac:dyDescent="0.25">
      <c r="A427" s="144">
        <v>239</v>
      </c>
      <c r="B427" s="144" t="s">
        <v>758</v>
      </c>
      <c r="C427" s="144" t="s">
        <v>1482</v>
      </c>
      <c r="D427" s="144" t="s">
        <v>1433</v>
      </c>
      <c r="E427" s="144" t="s">
        <v>1434</v>
      </c>
      <c r="F427" s="144">
        <v>2015</v>
      </c>
      <c r="G427" s="144" t="s">
        <v>1483</v>
      </c>
      <c r="H427" s="144" t="s">
        <v>1484</v>
      </c>
    </row>
    <row r="428" spans="1:8" x14ac:dyDescent="0.25">
      <c r="A428" s="144">
        <v>240</v>
      </c>
      <c r="B428" s="144" t="s">
        <v>758</v>
      </c>
      <c r="C428" s="144" t="s">
        <v>1485</v>
      </c>
      <c r="D428" s="144" t="s">
        <v>1433</v>
      </c>
      <c r="E428" s="144" t="s">
        <v>1434</v>
      </c>
      <c r="F428" s="144">
        <v>2015</v>
      </c>
      <c r="G428" s="144" t="s">
        <v>1486</v>
      </c>
      <c r="H428" s="144" t="s">
        <v>1487</v>
      </c>
    </row>
    <row r="429" spans="1:8" x14ac:dyDescent="0.25">
      <c r="A429" s="144">
        <v>241</v>
      </c>
      <c r="B429" s="144" t="s">
        <v>758</v>
      </c>
      <c r="C429" s="144" t="s">
        <v>1488</v>
      </c>
      <c r="D429" s="144" t="s">
        <v>1433</v>
      </c>
      <c r="E429" s="144" t="s">
        <v>1434</v>
      </c>
      <c r="F429" s="144">
        <v>2015</v>
      </c>
      <c r="G429" s="144" t="s">
        <v>1489</v>
      </c>
      <c r="H429" s="144" t="s">
        <v>1490</v>
      </c>
    </row>
    <row r="430" spans="1:8" x14ac:dyDescent="0.25">
      <c r="A430" s="144">
        <v>242</v>
      </c>
      <c r="B430" s="144" t="s">
        <v>758</v>
      </c>
      <c r="C430" s="144" t="s">
        <v>1491</v>
      </c>
      <c r="D430" s="144" t="s">
        <v>1433</v>
      </c>
      <c r="E430" s="144" t="s">
        <v>1434</v>
      </c>
      <c r="F430" s="144">
        <v>2015</v>
      </c>
      <c r="G430" s="144" t="s">
        <v>1492</v>
      </c>
      <c r="H430" s="144" t="s">
        <v>1493</v>
      </c>
    </row>
    <row r="431" spans="1:8" x14ac:dyDescent="0.25">
      <c r="A431" s="144">
        <v>243</v>
      </c>
      <c r="B431" s="144" t="s">
        <v>758</v>
      </c>
      <c r="C431" s="144" t="s">
        <v>1494</v>
      </c>
      <c r="D431" s="144" t="s">
        <v>1433</v>
      </c>
      <c r="E431" s="144" t="s">
        <v>1434</v>
      </c>
      <c r="F431" s="144">
        <v>2016</v>
      </c>
      <c r="G431" s="144" t="s">
        <v>1495</v>
      </c>
      <c r="H431" s="144" t="s">
        <v>1496</v>
      </c>
    </row>
    <row r="432" spans="1:8" x14ac:dyDescent="0.25">
      <c r="A432" s="144">
        <v>244</v>
      </c>
      <c r="B432" s="144" t="s">
        <v>758</v>
      </c>
      <c r="C432" s="144" t="s">
        <v>1497</v>
      </c>
      <c r="D432" s="144" t="s">
        <v>1433</v>
      </c>
      <c r="E432" s="144" t="s">
        <v>1434</v>
      </c>
      <c r="F432" s="144">
        <v>2015</v>
      </c>
      <c r="G432" s="144" t="s">
        <v>1498</v>
      </c>
      <c r="H432" s="144" t="s">
        <v>1499</v>
      </c>
    </row>
    <row r="433" spans="1:8" x14ac:dyDescent="0.25">
      <c r="A433" s="144">
        <v>245</v>
      </c>
      <c r="B433" s="144" t="s">
        <v>758</v>
      </c>
      <c r="C433" s="144" t="s">
        <v>1500</v>
      </c>
      <c r="D433" s="144" t="s">
        <v>1433</v>
      </c>
      <c r="E433" s="144" t="s">
        <v>1434</v>
      </c>
      <c r="F433" s="144">
        <v>2015</v>
      </c>
      <c r="G433" s="144" t="s">
        <v>1501</v>
      </c>
      <c r="H433" s="144" t="s">
        <v>1502</v>
      </c>
    </row>
    <row r="434" spans="1:8" x14ac:dyDescent="0.25">
      <c r="A434" s="144">
        <v>246</v>
      </c>
      <c r="B434" s="144" t="s">
        <v>758</v>
      </c>
      <c r="C434" s="144" t="s">
        <v>1503</v>
      </c>
      <c r="D434" s="144" t="s">
        <v>1433</v>
      </c>
      <c r="E434" s="144" t="s">
        <v>1434</v>
      </c>
      <c r="F434" s="144">
        <v>2015</v>
      </c>
      <c r="G434" s="144" t="s">
        <v>1504</v>
      </c>
      <c r="H434" s="144" t="s">
        <v>1505</v>
      </c>
    </row>
    <row r="435" spans="1:8" x14ac:dyDescent="0.25">
      <c r="A435" s="144">
        <v>247</v>
      </c>
      <c r="B435" s="144" t="s">
        <v>758</v>
      </c>
      <c r="C435" s="144" t="s">
        <v>1506</v>
      </c>
      <c r="D435" s="144" t="s">
        <v>1433</v>
      </c>
      <c r="E435" s="144" t="s">
        <v>1434</v>
      </c>
      <c r="F435" s="144">
        <v>2016</v>
      </c>
      <c r="G435" s="144" t="s">
        <v>1507</v>
      </c>
      <c r="H435" s="144" t="s">
        <v>1508</v>
      </c>
    </row>
    <row r="436" spans="1:8" x14ac:dyDescent="0.25">
      <c r="A436" s="144">
        <v>248</v>
      </c>
      <c r="B436" s="144" t="s">
        <v>758</v>
      </c>
      <c r="C436" s="144" t="s">
        <v>1509</v>
      </c>
      <c r="D436" s="144" t="s">
        <v>1510</v>
      </c>
      <c r="E436" s="144" t="s">
        <v>1511</v>
      </c>
      <c r="F436" s="144">
        <v>2020</v>
      </c>
      <c r="G436" s="144" t="s">
        <v>1512</v>
      </c>
      <c r="H436" s="144" t="s">
        <v>1513</v>
      </c>
    </row>
    <row r="437" spans="1:8" x14ac:dyDescent="0.25">
      <c r="A437" s="144">
        <v>249</v>
      </c>
      <c r="B437" s="144" t="s">
        <v>758</v>
      </c>
      <c r="C437" s="144" t="s">
        <v>1514</v>
      </c>
      <c r="D437" s="144" t="s">
        <v>1510</v>
      </c>
      <c r="E437" s="144" t="s">
        <v>1511</v>
      </c>
      <c r="F437" s="144">
        <v>2020</v>
      </c>
      <c r="G437" s="144" t="s">
        <v>1515</v>
      </c>
      <c r="H437" s="144" t="s">
        <v>1516</v>
      </c>
    </row>
    <row r="438" spans="1:8" x14ac:dyDescent="0.25">
      <c r="A438" s="144">
        <v>250</v>
      </c>
      <c r="B438" s="144" t="s">
        <v>758</v>
      </c>
      <c r="C438" s="144" t="s">
        <v>1517</v>
      </c>
      <c r="D438" s="144" t="s">
        <v>1518</v>
      </c>
      <c r="E438" s="144" t="s">
        <v>1519</v>
      </c>
      <c r="F438" s="144">
        <v>2019</v>
      </c>
      <c r="G438" s="144" t="s">
        <v>1520</v>
      </c>
      <c r="H438" s="144" t="s">
        <v>1521</v>
      </c>
    </row>
    <row r="439" spans="1:8" x14ac:dyDescent="0.25">
      <c r="A439" s="144">
        <v>251</v>
      </c>
      <c r="B439" s="144" t="s">
        <v>758</v>
      </c>
      <c r="C439" s="144" t="s">
        <v>1522</v>
      </c>
      <c r="D439" s="144" t="s">
        <v>1510</v>
      </c>
      <c r="E439" s="144" t="s">
        <v>1523</v>
      </c>
      <c r="F439" s="144">
        <v>2021</v>
      </c>
      <c r="G439" s="144" t="s">
        <v>1524</v>
      </c>
      <c r="H439" s="144" t="s">
        <v>1525</v>
      </c>
    </row>
    <row r="440" spans="1:8" x14ac:dyDescent="0.25">
      <c r="A440" s="144">
        <v>252</v>
      </c>
      <c r="B440" s="144" t="s">
        <v>758</v>
      </c>
      <c r="C440" s="144" t="s">
        <v>1526</v>
      </c>
      <c r="D440" s="144" t="s">
        <v>1510</v>
      </c>
      <c r="E440" s="144" t="s">
        <v>1523</v>
      </c>
      <c r="F440" s="144">
        <v>2021</v>
      </c>
      <c r="G440" s="144" t="s">
        <v>1527</v>
      </c>
      <c r="H440" s="144" t="s">
        <v>1528</v>
      </c>
    </row>
    <row r="441" spans="1:8" x14ac:dyDescent="0.25">
      <c r="A441" s="144">
        <v>253</v>
      </c>
      <c r="B441" s="144" t="s">
        <v>758</v>
      </c>
      <c r="C441" s="144" t="s">
        <v>1529</v>
      </c>
      <c r="D441" s="144" t="s">
        <v>1510</v>
      </c>
      <c r="E441" s="144" t="s">
        <v>1523</v>
      </c>
      <c r="F441" s="144">
        <v>2021</v>
      </c>
      <c r="G441" s="144" t="s">
        <v>1530</v>
      </c>
      <c r="H441" s="144" t="s">
        <v>1531</v>
      </c>
    </row>
    <row r="442" spans="1:8" x14ac:dyDescent="0.25">
      <c r="A442" s="144">
        <v>254</v>
      </c>
      <c r="B442" s="144" t="s">
        <v>758</v>
      </c>
      <c r="C442" s="144" t="s">
        <v>1532</v>
      </c>
      <c r="D442" s="144" t="s">
        <v>1510</v>
      </c>
      <c r="E442" s="144" t="s">
        <v>1523</v>
      </c>
      <c r="F442" s="144">
        <v>2021</v>
      </c>
      <c r="G442" s="144" t="s">
        <v>1533</v>
      </c>
      <c r="H442" s="144" t="s">
        <v>1534</v>
      </c>
    </row>
    <row r="443" spans="1:8" x14ac:dyDescent="0.25">
      <c r="A443" s="144">
        <v>255</v>
      </c>
      <c r="B443" s="144" t="s">
        <v>758</v>
      </c>
      <c r="C443" s="144" t="s">
        <v>1535</v>
      </c>
      <c r="D443" s="144" t="s">
        <v>1510</v>
      </c>
      <c r="E443" s="144" t="s">
        <v>1523</v>
      </c>
      <c r="F443" s="144">
        <v>2021</v>
      </c>
      <c r="G443" s="144" t="s">
        <v>1536</v>
      </c>
      <c r="H443" s="144" t="s">
        <v>1537</v>
      </c>
    </row>
    <row r="444" spans="1:8" x14ac:dyDescent="0.25">
      <c r="A444" s="144">
        <v>256</v>
      </c>
      <c r="B444" s="144" t="s">
        <v>758</v>
      </c>
      <c r="C444" s="144" t="s">
        <v>1538</v>
      </c>
      <c r="D444" s="144" t="s">
        <v>1510</v>
      </c>
      <c r="E444" s="144" t="s">
        <v>1523</v>
      </c>
      <c r="F444" s="144">
        <v>2021</v>
      </c>
      <c r="G444" s="144" t="s">
        <v>1539</v>
      </c>
      <c r="H444" s="144" t="s">
        <v>1540</v>
      </c>
    </row>
    <row r="445" spans="1:8" x14ac:dyDescent="0.25">
      <c r="A445" s="144">
        <v>257</v>
      </c>
      <c r="B445" s="144" t="s">
        <v>758</v>
      </c>
      <c r="C445" s="144" t="s">
        <v>1541</v>
      </c>
      <c r="D445" s="144" t="s">
        <v>1510</v>
      </c>
      <c r="E445" s="144" t="s">
        <v>1523</v>
      </c>
      <c r="F445" s="144">
        <v>2021</v>
      </c>
      <c r="G445" s="144" t="s">
        <v>1542</v>
      </c>
      <c r="H445" s="144" t="s">
        <v>1543</v>
      </c>
    </row>
    <row r="446" spans="1:8" x14ac:dyDescent="0.25">
      <c r="A446" s="144">
        <v>258</v>
      </c>
      <c r="B446" s="144" t="s">
        <v>758</v>
      </c>
      <c r="C446" s="144" t="s">
        <v>1544</v>
      </c>
      <c r="D446" s="144" t="s">
        <v>1510</v>
      </c>
      <c r="E446" s="144" t="s">
        <v>1523</v>
      </c>
      <c r="F446" s="144">
        <v>2021</v>
      </c>
      <c r="G446" s="144" t="s">
        <v>1545</v>
      </c>
      <c r="H446" s="144" t="s">
        <v>1546</v>
      </c>
    </row>
    <row r="447" spans="1:8" x14ac:dyDescent="0.25">
      <c r="A447" s="144">
        <v>259</v>
      </c>
      <c r="B447" s="144" t="s">
        <v>758</v>
      </c>
      <c r="C447" s="144" t="s">
        <v>1547</v>
      </c>
      <c r="D447" s="144" t="s">
        <v>1510</v>
      </c>
      <c r="E447" s="144" t="s">
        <v>1523</v>
      </c>
      <c r="F447" s="144">
        <v>2021</v>
      </c>
      <c r="G447" s="144" t="s">
        <v>1548</v>
      </c>
      <c r="H447" s="144" t="s">
        <v>1549</v>
      </c>
    </row>
    <row r="448" spans="1:8" x14ac:dyDescent="0.25">
      <c r="A448" s="144">
        <v>260</v>
      </c>
      <c r="B448" s="144" t="s">
        <v>758</v>
      </c>
      <c r="C448" s="144" t="s">
        <v>1550</v>
      </c>
      <c r="D448" s="144" t="s">
        <v>1510</v>
      </c>
      <c r="E448" s="144" t="s">
        <v>1523</v>
      </c>
      <c r="F448" s="144">
        <v>2021</v>
      </c>
      <c r="G448" s="144" t="s">
        <v>1551</v>
      </c>
      <c r="H448" s="144" t="s">
        <v>1552</v>
      </c>
    </row>
    <row r="449" spans="1:8" x14ac:dyDescent="0.25">
      <c r="A449" s="144">
        <v>261</v>
      </c>
      <c r="B449" s="144" t="s">
        <v>758</v>
      </c>
      <c r="C449" s="144" t="s">
        <v>1553</v>
      </c>
      <c r="D449" s="144" t="s">
        <v>1510</v>
      </c>
      <c r="E449" s="144" t="s">
        <v>1523</v>
      </c>
      <c r="F449" s="144">
        <v>2021</v>
      </c>
      <c r="G449" s="144" t="s">
        <v>1554</v>
      </c>
      <c r="H449" s="144" t="s">
        <v>1555</v>
      </c>
    </row>
    <row r="450" spans="1:8" x14ac:dyDescent="0.25">
      <c r="A450" s="144">
        <v>262</v>
      </c>
      <c r="B450" s="144" t="s">
        <v>758</v>
      </c>
      <c r="C450" s="144" t="s">
        <v>1556</v>
      </c>
      <c r="D450" s="144" t="s">
        <v>1510</v>
      </c>
      <c r="E450" s="144" t="s">
        <v>1523</v>
      </c>
      <c r="F450" s="144">
        <v>2021</v>
      </c>
      <c r="G450" s="144" t="s">
        <v>1557</v>
      </c>
      <c r="H450" s="144" t="s">
        <v>1558</v>
      </c>
    </row>
    <row r="451" spans="1:8" x14ac:dyDescent="0.25">
      <c r="A451" s="144">
        <v>263</v>
      </c>
      <c r="B451" s="144" t="s">
        <v>758</v>
      </c>
      <c r="C451" s="144" t="s">
        <v>1559</v>
      </c>
      <c r="D451" s="144" t="s">
        <v>1510</v>
      </c>
      <c r="E451" s="144" t="s">
        <v>1523</v>
      </c>
      <c r="F451" s="144">
        <v>2021</v>
      </c>
      <c r="G451" s="144" t="s">
        <v>1560</v>
      </c>
      <c r="H451" s="144" t="s">
        <v>1561</v>
      </c>
    </row>
    <row r="452" spans="1:8" x14ac:dyDescent="0.25">
      <c r="A452" s="144">
        <v>264</v>
      </c>
      <c r="B452" s="144" t="s">
        <v>758</v>
      </c>
      <c r="C452" s="144" t="s">
        <v>1562</v>
      </c>
      <c r="D452" s="144" t="s">
        <v>1510</v>
      </c>
      <c r="E452" s="144" t="s">
        <v>1523</v>
      </c>
      <c r="F452" s="144">
        <v>2021</v>
      </c>
      <c r="G452" s="144" t="s">
        <v>1563</v>
      </c>
      <c r="H452" s="144" t="s">
        <v>1564</v>
      </c>
    </row>
    <row r="453" spans="1:8" x14ac:dyDescent="0.25">
      <c r="A453" s="144">
        <v>265</v>
      </c>
      <c r="B453" s="144" t="s">
        <v>758</v>
      </c>
      <c r="C453" s="144" t="s">
        <v>1565</v>
      </c>
      <c r="D453" s="144" t="s">
        <v>1510</v>
      </c>
      <c r="E453" s="144" t="s">
        <v>1523</v>
      </c>
      <c r="F453" s="144">
        <v>2021</v>
      </c>
      <c r="G453" s="144" t="s">
        <v>1566</v>
      </c>
      <c r="H453" s="144" t="s">
        <v>1567</v>
      </c>
    </row>
    <row r="454" spans="1:8" x14ac:dyDescent="0.25">
      <c r="A454" s="144">
        <v>266</v>
      </c>
      <c r="B454" s="144" t="s">
        <v>758</v>
      </c>
      <c r="C454" s="144" t="s">
        <v>1568</v>
      </c>
      <c r="D454" s="144" t="s">
        <v>1510</v>
      </c>
      <c r="E454" s="144" t="s">
        <v>1523</v>
      </c>
      <c r="F454" s="144">
        <v>2021</v>
      </c>
      <c r="G454" s="144" t="s">
        <v>1569</v>
      </c>
      <c r="H454" s="144" t="s">
        <v>1570</v>
      </c>
    </row>
    <row r="455" spans="1:8" x14ac:dyDescent="0.25">
      <c r="A455" s="144">
        <v>267</v>
      </c>
      <c r="B455" s="144" t="s">
        <v>758</v>
      </c>
      <c r="C455" s="144" t="s">
        <v>1571</v>
      </c>
      <c r="D455" s="144" t="s">
        <v>1510</v>
      </c>
      <c r="E455" s="144" t="s">
        <v>1523</v>
      </c>
      <c r="F455" s="144">
        <v>2021</v>
      </c>
      <c r="G455" s="144" t="s">
        <v>1572</v>
      </c>
      <c r="H455" s="144" t="s">
        <v>1573</v>
      </c>
    </row>
    <row r="456" spans="1:8" x14ac:dyDescent="0.25">
      <c r="A456" s="144">
        <v>268</v>
      </c>
      <c r="B456" s="144" t="s">
        <v>758</v>
      </c>
      <c r="C456" s="144" t="s">
        <v>1574</v>
      </c>
      <c r="D456" s="144" t="s">
        <v>1510</v>
      </c>
      <c r="E456" s="144" t="s">
        <v>1523</v>
      </c>
      <c r="F456" s="144">
        <v>2021</v>
      </c>
      <c r="G456" s="144" t="s">
        <v>1575</v>
      </c>
      <c r="H456" s="144" t="s">
        <v>1576</v>
      </c>
    </row>
    <row r="457" spans="1:8" x14ac:dyDescent="0.25">
      <c r="A457" s="144">
        <v>269</v>
      </c>
      <c r="B457" s="144" t="s">
        <v>758</v>
      </c>
      <c r="C457" s="144" t="s">
        <v>1577</v>
      </c>
      <c r="D457" s="144" t="s">
        <v>1510</v>
      </c>
      <c r="E457" s="144" t="s">
        <v>1523</v>
      </c>
      <c r="F457" s="144">
        <v>2021</v>
      </c>
      <c r="G457" s="144" t="s">
        <v>1578</v>
      </c>
      <c r="H457" s="144" t="s">
        <v>1579</v>
      </c>
    </row>
    <row r="458" spans="1:8" x14ac:dyDescent="0.25">
      <c r="A458" s="144">
        <v>270</v>
      </c>
      <c r="B458" s="144" t="s">
        <v>758</v>
      </c>
      <c r="C458" s="144" t="s">
        <v>1580</v>
      </c>
      <c r="D458" s="144" t="s">
        <v>1510</v>
      </c>
      <c r="E458" s="144" t="s">
        <v>1523</v>
      </c>
      <c r="F458" s="144">
        <v>2021</v>
      </c>
      <c r="G458" s="144" t="s">
        <v>1581</v>
      </c>
      <c r="H458" s="144" t="s">
        <v>1582</v>
      </c>
    </row>
    <row r="459" spans="1:8" x14ac:dyDescent="0.25">
      <c r="A459" s="144">
        <v>271</v>
      </c>
      <c r="B459" s="144" t="s">
        <v>758</v>
      </c>
      <c r="C459" s="144" t="s">
        <v>1583</v>
      </c>
      <c r="D459" s="144" t="s">
        <v>1510</v>
      </c>
      <c r="E459" s="144" t="s">
        <v>1523</v>
      </c>
      <c r="F459" s="144">
        <v>2021</v>
      </c>
      <c r="G459" s="144" t="s">
        <v>1584</v>
      </c>
      <c r="H459" s="144" t="s">
        <v>1585</v>
      </c>
    </row>
    <row r="460" spans="1:8" x14ac:dyDescent="0.25">
      <c r="A460" s="144">
        <v>272</v>
      </c>
      <c r="B460" s="144" t="s">
        <v>758</v>
      </c>
      <c r="C460" s="144" t="s">
        <v>1586</v>
      </c>
      <c r="D460" s="144" t="s">
        <v>1510</v>
      </c>
      <c r="E460" s="144" t="s">
        <v>1523</v>
      </c>
      <c r="F460" s="144">
        <v>2021</v>
      </c>
      <c r="G460" s="144" t="s">
        <v>1587</v>
      </c>
      <c r="H460" s="144" t="s">
        <v>1588</v>
      </c>
    </row>
    <row r="461" spans="1:8" x14ac:dyDescent="0.25">
      <c r="A461" s="144">
        <v>273</v>
      </c>
      <c r="B461" s="144" t="s">
        <v>758</v>
      </c>
      <c r="C461" s="144" t="s">
        <v>1589</v>
      </c>
      <c r="D461" s="144" t="s">
        <v>1510</v>
      </c>
      <c r="E461" s="144" t="s">
        <v>1523</v>
      </c>
      <c r="F461" s="144">
        <v>2021</v>
      </c>
      <c r="G461" s="144" t="s">
        <v>1590</v>
      </c>
      <c r="H461" s="144" t="s">
        <v>1591</v>
      </c>
    </row>
    <row r="462" spans="1:8" x14ac:dyDescent="0.25">
      <c r="A462" s="144">
        <v>274</v>
      </c>
      <c r="B462" s="144" t="s">
        <v>758</v>
      </c>
      <c r="C462" s="144" t="s">
        <v>1592</v>
      </c>
      <c r="D462" s="144" t="s">
        <v>1510</v>
      </c>
      <c r="E462" s="144" t="s">
        <v>1523</v>
      </c>
      <c r="F462" s="144">
        <v>2021</v>
      </c>
      <c r="G462" s="144" t="s">
        <v>1593</v>
      </c>
      <c r="H462" s="144" t="s">
        <v>1594</v>
      </c>
    </row>
    <row r="463" spans="1:8" x14ac:dyDescent="0.25">
      <c r="A463" s="144">
        <v>275</v>
      </c>
      <c r="B463" s="144" t="s">
        <v>758</v>
      </c>
      <c r="C463" s="144" t="s">
        <v>1580</v>
      </c>
      <c r="D463" s="144" t="s">
        <v>1510</v>
      </c>
      <c r="E463" s="144" t="s">
        <v>1523</v>
      </c>
      <c r="F463" s="144">
        <v>2021</v>
      </c>
      <c r="G463" s="144" t="s">
        <v>1595</v>
      </c>
      <c r="H463" s="144" t="s">
        <v>1596</v>
      </c>
    </row>
    <row r="464" spans="1:8" x14ac:dyDescent="0.25">
      <c r="A464" s="144">
        <v>276</v>
      </c>
      <c r="B464" s="144" t="s">
        <v>758</v>
      </c>
      <c r="C464" s="144" t="s">
        <v>1597</v>
      </c>
      <c r="D464" s="144" t="s">
        <v>1510</v>
      </c>
      <c r="E464" s="144" t="s">
        <v>1523</v>
      </c>
      <c r="F464" s="144">
        <v>2021</v>
      </c>
      <c r="G464" s="144" t="s">
        <v>1598</v>
      </c>
      <c r="H464" s="144" t="s">
        <v>1599</v>
      </c>
    </row>
    <row r="465" spans="1:8" x14ac:dyDescent="0.25">
      <c r="A465" s="144">
        <v>277</v>
      </c>
      <c r="B465" s="144" t="s">
        <v>758</v>
      </c>
      <c r="C465" s="144" t="s">
        <v>1600</v>
      </c>
      <c r="D465" s="144" t="s">
        <v>1510</v>
      </c>
      <c r="E465" s="144" t="s">
        <v>1523</v>
      </c>
      <c r="F465" s="144">
        <v>2021</v>
      </c>
      <c r="G465" s="144" t="s">
        <v>1601</v>
      </c>
      <c r="H465" s="144" t="s">
        <v>1602</v>
      </c>
    </row>
    <row r="466" spans="1:8" x14ac:dyDescent="0.25">
      <c r="A466" s="144">
        <v>278</v>
      </c>
      <c r="B466" s="144" t="s">
        <v>758</v>
      </c>
      <c r="C466" s="144" t="s">
        <v>1603</v>
      </c>
      <c r="D466" s="144" t="s">
        <v>1510</v>
      </c>
      <c r="E466" s="144" t="s">
        <v>1523</v>
      </c>
      <c r="F466" s="144">
        <v>2021</v>
      </c>
      <c r="G466" s="144" t="s">
        <v>1604</v>
      </c>
      <c r="H466" s="144" t="s">
        <v>1605</v>
      </c>
    </row>
    <row r="467" spans="1:8" x14ac:dyDescent="0.25">
      <c r="A467" s="144">
        <v>279</v>
      </c>
      <c r="B467" s="144" t="s">
        <v>758</v>
      </c>
      <c r="C467" s="144" t="s">
        <v>1606</v>
      </c>
      <c r="D467" s="144" t="s">
        <v>1607</v>
      </c>
      <c r="E467" s="144" t="s">
        <v>1608</v>
      </c>
      <c r="F467" s="144">
        <v>2021</v>
      </c>
      <c r="G467" s="144" t="s">
        <v>1609</v>
      </c>
      <c r="H467" s="144" t="s">
        <v>1610</v>
      </c>
    </row>
    <row r="468" spans="1:8" x14ac:dyDescent="0.25">
      <c r="A468" s="144">
        <v>280</v>
      </c>
      <c r="B468" s="144" t="s">
        <v>758</v>
      </c>
      <c r="C468" s="144" t="s">
        <v>1611</v>
      </c>
      <c r="D468" s="144" t="s">
        <v>1607</v>
      </c>
      <c r="E468" s="144" t="s">
        <v>1608</v>
      </c>
      <c r="F468" s="144">
        <v>2021</v>
      </c>
      <c r="G468" s="144" t="s">
        <v>1612</v>
      </c>
      <c r="H468" s="144" t="s">
        <v>1613</v>
      </c>
    </row>
    <row r="469" spans="1:8" x14ac:dyDescent="0.25">
      <c r="A469" s="144">
        <v>281</v>
      </c>
      <c r="B469" s="144" t="s">
        <v>758</v>
      </c>
      <c r="C469" s="144" t="s">
        <v>1614</v>
      </c>
      <c r="D469" s="144" t="s">
        <v>1607</v>
      </c>
      <c r="E469" s="144" t="s">
        <v>1608</v>
      </c>
      <c r="F469" s="144">
        <v>2021</v>
      </c>
      <c r="G469" s="144" t="s">
        <v>1615</v>
      </c>
      <c r="H469" s="144" t="s">
        <v>1616</v>
      </c>
    </row>
    <row r="470" spans="1:8" x14ac:dyDescent="0.25">
      <c r="A470" s="144">
        <v>282</v>
      </c>
      <c r="B470" s="144" t="s">
        <v>758</v>
      </c>
      <c r="C470" s="144" t="s">
        <v>1617</v>
      </c>
      <c r="D470" s="144" t="s">
        <v>1607</v>
      </c>
      <c r="E470" s="144" t="s">
        <v>1608</v>
      </c>
      <c r="F470" s="144">
        <v>2021</v>
      </c>
      <c r="G470" s="144" t="s">
        <v>1618</v>
      </c>
      <c r="H470" s="144" t="s">
        <v>1619</v>
      </c>
    </row>
    <row r="471" spans="1:8" x14ac:dyDescent="0.25">
      <c r="A471" s="144">
        <v>283</v>
      </c>
      <c r="B471" s="144" t="s">
        <v>758</v>
      </c>
      <c r="C471" s="144" t="s">
        <v>1620</v>
      </c>
      <c r="D471" s="144" t="s">
        <v>1607</v>
      </c>
      <c r="E471" s="144" t="s">
        <v>1608</v>
      </c>
      <c r="F471" s="144">
        <v>2021</v>
      </c>
      <c r="G471" s="144" t="s">
        <v>1621</v>
      </c>
      <c r="H471" s="144" t="s">
        <v>1622</v>
      </c>
    </row>
    <row r="472" spans="1:8" x14ac:dyDescent="0.25">
      <c r="A472" s="144">
        <v>284</v>
      </c>
      <c r="B472" s="144" t="s">
        <v>758</v>
      </c>
      <c r="C472" s="144" t="s">
        <v>1623</v>
      </c>
      <c r="D472" s="144" t="s">
        <v>1624</v>
      </c>
      <c r="E472" s="144" t="s">
        <v>1625</v>
      </c>
      <c r="F472" s="144">
        <v>2019</v>
      </c>
      <c r="G472" s="144" t="s">
        <v>1626</v>
      </c>
      <c r="H472" s="144" t="s">
        <v>1627</v>
      </c>
    </row>
    <row r="473" spans="1:8" x14ac:dyDescent="0.25">
      <c r="A473" s="144">
        <v>285</v>
      </c>
      <c r="B473" s="144" t="s">
        <v>758</v>
      </c>
      <c r="C473" s="144" t="s">
        <v>1628</v>
      </c>
      <c r="D473" s="144" t="s">
        <v>1624</v>
      </c>
      <c r="E473" s="144" t="s">
        <v>1625</v>
      </c>
      <c r="F473" s="144">
        <v>2019</v>
      </c>
      <c r="G473" s="144" t="s">
        <v>1629</v>
      </c>
      <c r="H473" s="144" t="s">
        <v>1630</v>
      </c>
    </row>
    <row r="474" spans="1:8" x14ac:dyDescent="0.25">
      <c r="A474" s="144">
        <v>286</v>
      </c>
      <c r="B474" s="144" t="s">
        <v>758</v>
      </c>
      <c r="C474" s="144" t="s">
        <v>1631</v>
      </c>
      <c r="D474" s="144" t="s">
        <v>1632</v>
      </c>
      <c r="E474" s="144" t="s">
        <v>1633</v>
      </c>
      <c r="F474" s="144">
        <v>2004</v>
      </c>
      <c r="G474" s="144" t="s">
        <v>1634</v>
      </c>
      <c r="H474" s="144" t="s">
        <v>1635</v>
      </c>
    </row>
    <row r="475" spans="1:8" x14ac:dyDescent="0.25">
      <c r="A475" s="144">
        <v>287</v>
      </c>
      <c r="B475" s="144" t="s">
        <v>758</v>
      </c>
      <c r="C475" s="144" t="s">
        <v>1636</v>
      </c>
      <c r="D475" s="144" t="s">
        <v>1637</v>
      </c>
      <c r="E475" s="144" t="s">
        <v>1638</v>
      </c>
      <c r="F475" s="144">
        <v>2004</v>
      </c>
      <c r="G475" s="144" t="s">
        <v>1639</v>
      </c>
      <c r="H475" s="144" t="s">
        <v>1640</v>
      </c>
    </row>
    <row r="476" spans="1:8" x14ac:dyDescent="0.25">
      <c r="A476" s="144">
        <v>288</v>
      </c>
      <c r="B476" s="144" t="s">
        <v>758</v>
      </c>
      <c r="C476" s="144" t="s">
        <v>1641</v>
      </c>
      <c r="D476" s="144" t="s">
        <v>1637</v>
      </c>
      <c r="E476" s="144" t="s">
        <v>1638</v>
      </c>
      <c r="F476" s="144">
        <v>2004</v>
      </c>
      <c r="G476" s="144" t="s">
        <v>1642</v>
      </c>
      <c r="H476" s="144" t="s">
        <v>1643</v>
      </c>
    </row>
    <row r="477" spans="1:8" x14ac:dyDescent="0.25">
      <c r="A477" s="144">
        <v>289</v>
      </c>
      <c r="B477" s="144" t="s">
        <v>758</v>
      </c>
      <c r="C477" s="144" t="s">
        <v>1644</v>
      </c>
      <c r="D477" s="144" t="s">
        <v>1637</v>
      </c>
      <c r="E477" s="144" t="s">
        <v>1638</v>
      </c>
      <c r="F477" s="144">
        <v>2008</v>
      </c>
      <c r="G477" s="144" t="s">
        <v>1645</v>
      </c>
      <c r="H477" s="144" t="s">
        <v>1646</v>
      </c>
    </row>
    <row r="478" spans="1:8" x14ac:dyDescent="0.25">
      <c r="A478" s="144">
        <v>290</v>
      </c>
      <c r="B478" s="144" t="s">
        <v>758</v>
      </c>
      <c r="C478" s="144" t="s">
        <v>1647</v>
      </c>
      <c r="D478" s="144" t="s">
        <v>1637</v>
      </c>
      <c r="E478" s="144" t="s">
        <v>1638</v>
      </c>
      <c r="F478" s="144">
        <v>2008</v>
      </c>
      <c r="G478" s="144" t="s">
        <v>1648</v>
      </c>
      <c r="H478" s="144" t="s">
        <v>1649</v>
      </c>
    </row>
    <row r="479" spans="1:8" x14ac:dyDescent="0.25">
      <c r="A479" s="144">
        <v>291</v>
      </c>
      <c r="B479" s="144" t="s">
        <v>758</v>
      </c>
      <c r="C479" s="144" t="s">
        <v>1650</v>
      </c>
      <c r="D479" s="144" t="s">
        <v>1637</v>
      </c>
      <c r="E479" s="144" t="s">
        <v>1638</v>
      </c>
      <c r="F479" s="144">
        <v>2008</v>
      </c>
      <c r="G479" s="144" t="s">
        <v>1651</v>
      </c>
      <c r="H479" s="144" t="s">
        <v>1652</v>
      </c>
    </row>
    <row r="480" spans="1:8" x14ac:dyDescent="0.25">
      <c r="A480" s="144">
        <v>292</v>
      </c>
      <c r="B480" s="144" t="s">
        <v>758</v>
      </c>
      <c r="C480" s="144" t="s">
        <v>1653</v>
      </c>
      <c r="D480" s="144" t="s">
        <v>750</v>
      </c>
      <c r="E480" s="144" t="s">
        <v>1274</v>
      </c>
      <c r="F480" s="144">
        <v>2010</v>
      </c>
      <c r="G480" s="144" t="s">
        <v>1654</v>
      </c>
      <c r="H480" s="144" t="s">
        <v>1655</v>
      </c>
    </row>
    <row r="481" spans="1:8" x14ac:dyDescent="0.25">
      <c r="A481" s="144">
        <v>293</v>
      </c>
      <c r="B481" s="144" t="s">
        <v>758</v>
      </c>
      <c r="C481" s="144" t="s">
        <v>1656</v>
      </c>
      <c r="D481" s="144" t="s">
        <v>750</v>
      </c>
      <c r="E481" s="144" t="s">
        <v>1274</v>
      </c>
      <c r="F481" s="144">
        <v>2010</v>
      </c>
      <c r="G481" s="144" t="s">
        <v>1657</v>
      </c>
      <c r="H481" s="144" t="s">
        <v>1658</v>
      </c>
    </row>
    <row r="482" spans="1:8" x14ac:dyDescent="0.25">
      <c r="A482" s="144">
        <v>294</v>
      </c>
      <c r="B482" s="144" t="s">
        <v>758</v>
      </c>
      <c r="C482" s="144" t="s">
        <v>1659</v>
      </c>
      <c r="D482" s="144" t="s">
        <v>750</v>
      </c>
      <c r="E482" s="144" t="s">
        <v>1274</v>
      </c>
      <c r="F482" s="144">
        <v>2010</v>
      </c>
      <c r="G482" s="144" t="s">
        <v>1660</v>
      </c>
      <c r="H482" s="144" t="s">
        <v>1661</v>
      </c>
    </row>
    <row r="483" spans="1:8" x14ac:dyDescent="0.25">
      <c r="A483" s="144">
        <v>295</v>
      </c>
      <c r="B483" s="144" t="s">
        <v>758</v>
      </c>
      <c r="C483" s="144" t="s">
        <v>1662</v>
      </c>
      <c r="D483" s="144" t="s">
        <v>750</v>
      </c>
      <c r="E483" s="144" t="s">
        <v>1274</v>
      </c>
      <c r="F483" s="144">
        <v>2010</v>
      </c>
      <c r="G483" s="144" t="s">
        <v>1663</v>
      </c>
      <c r="H483" s="144" t="s">
        <v>1664</v>
      </c>
    </row>
    <row r="484" spans="1:8" x14ac:dyDescent="0.25">
      <c r="A484" s="144">
        <v>296</v>
      </c>
      <c r="B484" s="144" t="s">
        <v>758</v>
      </c>
      <c r="C484" s="144" t="s">
        <v>1665</v>
      </c>
      <c r="D484" s="144" t="s">
        <v>750</v>
      </c>
      <c r="E484" s="144" t="s">
        <v>1274</v>
      </c>
      <c r="F484" s="144">
        <v>2010</v>
      </c>
      <c r="G484" s="144" t="s">
        <v>1666</v>
      </c>
      <c r="H484" s="144" t="s">
        <v>1667</v>
      </c>
    </row>
    <row r="485" spans="1:8" x14ac:dyDescent="0.25">
      <c r="A485" s="144">
        <v>297</v>
      </c>
      <c r="B485" s="144" t="s">
        <v>758</v>
      </c>
      <c r="C485" s="144" t="s">
        <v>1668</v>
      </c>
      <c r="D485" s="144" t="s">
        <v>750</v>
      </c>
      <c r="E485" s="144" t="s">
        <v>1274</v>
      </c>
      <c r="F485" s="144">
        <v>2010</v>
      </c>
      <c r="G485" s="144" t="s">
        <v>1669</v>
      </c>
      <c r="H485" s="144" t="s">
        <v>1670</v>
      </c>
    </row>
    <row r="486" spans="1:8" x14ac:dyDescent="0.25">
      <c r="A486" s="144">
        <v>298</v>
      </c>
      <c r="B486" s="144" t="s">
        <v>758</v>
      </c>
      <c r="C486" s="144" t="s">
        <v>1671</v>
      </c>
      <c r="D486" s="144" t="s">
        <v>750</v>
      </c>
      <c r="E486" s="144" t="s">
        <v>1274</v>
      </c>
      <c r="F486" s="144">
        <v>2010</v>
      </c>
      <c r="G486" s="144" t="s">
        <v>1672</v>
      </c>
      <c r="H486" s="144" t="s">
        <v>1673</v>
      </c>
    </row>
    <row r="487" spans="1:8" x14ac:dyDescent="0.25">
      <c r="A487" s="144">
        <v>299</v>
      </c>
      <c r="B487" s="144" t="s">
        <v>758</v>
      </c>
      <c r="C487" s="144" t="s">
        <v>1674</v>
      </c>
      <c r="D487" s="144" t="s">
        <v>750</v>
      </c>
      <c r="E487" s="144" t="s">
        <v>1274</v>
      </c>
      <c r="F487" s="144">
        <v>2010</v>
      </c>
      <c r="G487" s="144" t="s">
        <v>1675</v>
      </c>
      <c r="H487" s="144" t="s">
        <v>1676</v>
      </c>
    </row>
    <row r="488" spans="1:8" x14ac:dyDescent="0.25">
      <c r="A488" s="144">
        <v>300</v>
      </c>
      <c r="B488" s="144" t="s">
        <v>758</v>
      </c>
      <c r="C488" s="144" t="s">
        <v>1677</v>
      </c>
      <c r="D488" s="144" t="s">
        <v>750</v>
      </c>
      <c r="E488" s="144" t="s">
        <v>1274</v>
      </c>
      <c r="F488" s="144">
        <v>2010</v>
      </c>
      <c r="G488" s="144" t="s">
        <v>1678</v>
      </c>
      <c r="H488" s="144" t="s">
        <v>1679</v>
      </c>
    </row>
    <row r="489" spans="1:8" x14ac:dyDescent="0.25">
      <c r="A489" s="144">
        <v>301</v>
      </c>
      <c r="B489" s="144" t="s">
        <v>758</v>
      </c>
      <c r="C489" s="144" t="s">
        <v>1680</v>
      </c>
      <c r="D489" s="144" t="s">
        <v>750</v>
      </c>
      <c r="E489" s="144" t="s">
        <v>1681</v>
      </c>
      <c r="F489" s="144">
        <v>2007</v>
      </c>
      <c r="G489" s="144" t="s">
        <v>1682</v>
      </c>
      <c r="H489" s="144" t="s">
        <v>1683</v>
      </c>
    </row>
    <row r="490" spans="1:8" x14ac:dyDescent="0.25">
      <c r="A490" s="144">
        <v>302</v>
      </c>
      <c r="B490" s="144" t="s">
        <v>758</v>
      </c>
      <c r="C490" s="144" t="s">
        <v>1684</v>
      </c>
      <c r="D490" s="144" t="s">
        <v>750</v>
      </c>
      <c r="E490" s="144" t="s">
        <v>1685</v>
      </c>
      <c r="F490" s="144">
        <v>2007</v>
      </c>
      <c r="G490" s="144" t="s">
        <v>1686</v>
      </c>
      <c r="H490" s="144" t="s">
        <v>1687</v>
      </c>
    </row>
    <row r="491" spans="1:8" x14ac:dyDescent="0.25">
      <c r="A491" s="144">
        <v>303</v>
      </c>
      <c r="B491" s="144" t="s">
        <v>758</v>
      </c>
      <c r="C491" s="144" t="s">
        <v>1688</v>
      </c>
      <c r="D491" s="144" t="s">
        <v>750</v>
      </c>
      <c r="E491" s="144" t="s">
        <v>1681</v>
      </c>
      <c r="F491" s="144">
        <v>2007</v>
      </c>
      <c r="G491" s="144" t="s">
        <v>1689</v>
      </c>
      <c r="H491" s="144" t="s">
        <v>1690</v>
      </c>
    </row>
    <row r="492" spans="1:8" x14ac:dyDescent="0.25">
      <c r="A492" s="144">
        <v>304</v>
      </c>
      <c r="B492" s="144" t="s">
        <v>758</v>
      </c>
      <c r="C492" s="144" t="s">
        <v>1691</v>
      </c>
      <c r="D492" s="144" t="s">
        <v>750</v>
      </c>
      <c r="E492" s="144" t="s">
        <v>1296</v>
      </c>
      <c r="F492" s="144">
        <v>2005</v>
      </c>
      <c r="G492" s="144" t="s">
        <v>1692</v>
      </c>
      <c r="H492" s="144" t="s">
        <v>1693</v>
      </c>
    </row>
    <row r="493" spans="1:8" x14ac:dyDescent="0.25">
      <c r="A493" s="144">
        <v>305</v>
      </c>
      <c r="B493" s="144" t="s">
        <v>758</v>
      </c>
      <c r="C493" s="144" t="s">
        <v>1694</v>
      </c>
      <c r="D493" s="144" t="s">
        <v>750</v>
      </c>
      <c r="E493" s="144" t="s">
        <v>1296</v>
      </c>
      <c r="F493" s="144">
        <v>2005</v>
      </c>
      <c r="G493" s="144" t="s">
        <v>1695</v>
      </c>
      <c r="H493" s="144" t="s">
        <v>1696</v>
      </c>
    </row>
    <row r="494" spans="1:8" x14ac:dyDescent="0.25">
      <c r="A494" s="144">
        <v>306</v>
      </c>
      <c r="B494" s="144" t="s">
        <v>758</v>
      </c>
      <c r="C494" s="144" t="s">
        <v>1697</v>
      </c>
      <c r="D494" s="144" t="s">
        <v>750</v>
      </c>
      <c r="E494" s="144" t="s">
        <v>1296</v>
      </c>
      <c r="F494" s="144">
        <v>2005</v>
      </c>
      <c r="G494" s="144" t="s">
        <v>1698</v>
      </c>
      <c r="H494" s="144" t="s">
        <v>1699</v>
      </c>
    </row>
    <row r="495" spans="1:8" x14ac:dyDescent="0.25">
      <c r="A495" s="144">
        <v>307</v>
      </c>
      <c r="B495" s="144" t="s">
        <v>758</v>
      </c>
      <c r="C495" s="144" t="s">
        <v>1700</v>
      </c>
      <c r="D495" s="144" t="s">
        <v>750</v>
      </c>
      <c r="E495" s="144" t="s">
        <v>1296</v>
      </c>
      <c r="F495" s="144">
        <v>2005</v>
      </c>
      <c r="G495" s="144" t="s">
        <v>1701</v>
      </c>
      <c r="H495" s="144" t="s">
        <v>1702</v>
      </c>
    </row>
    <row r="496" spans="1:8" x14ac:dyDescent="0.25">
      <c r="A496" s="144">
        <v>308</v>
      </c>
      <c r="B496" s="144" t="s">
        <v>758</v>
      </c>
      <c r="C496" s="144" t="s">
        <v>1703</v>
      </c>
      <c r="D496" s="144" t="s">
        <v>750</v>
      </c>
      <c r="E496" s="144" t="s">
        <v>1296</v>
      </c>
      <c r="F496" s="144">
        <v>2005</v>
      </c>
      <c r="G496" s="144" t="s">
        <v>1704</v>
      </c>
      <c r="H496" s="144" t="s">
        <v>1705</v>
      </c>
    </row>
    <row r="497" spans="1:8" x14ac:dyDescent="0.25">
      <c r="A497" s="144">
        <v>309</v>
      </c>
      <c r="B497" s="144" t="s">
        <v>758</v>
      </c>
      <c r="C497" s="144" t="s">
        <v>1706</v>
      </c>
      <c r="D497" s="144" t="s">
        <v>750</v>
      </c>
      <c r="E497" s="144" t="s">
        <v>1296</v>
      </c>
      <c r="F497" s="144">
        <v>2005</v>
      </c>
      <c r="G497" s="144" t="s">
        <v>1707</v>
      </c>
      <c r="H497" s="144" t="s">
        <v>1708</v>
      </c>
    </row>
    <row r="498" spans="1:8" x14ac:dyDescent="0.25">
      <c r="A498" s="144">
        <v>310</v>
      </c>
      <c r="B498" s="144" t="s">
        <v>758</v>
      </c>
      <c r="C498" s="144" t="s">
        <v>1709</v>
      </c>
      <c r="D498" s="144" t="s">
        <v>750</v>
      </c>
      <c r="E498" s="144" t="s">
        <v>1296</v>
      </c>
      <c r="F498" s="144">
        <v>2005</v>
      </c>
      <c r="G498" s="144" t="s">
        <v>1710</v>
      </c>
      <c r="H498" s="144" t="s">
        <v>1711</v>
      </c>
    </row>
    <row r="499" spans="1:8" x14ac:dyDescent="0.25">
      <c r="A499" s="144">
        <v>311</v>
      </c>
      <c r="B499" s="144" t="s">
        <v>758</v>
      </c>
      <c r="C499" s="144" t="s">
        <v>1712</v>
      </c>
      <c r="D499" s="144" t="s">
        <v>750</v>
      </c>
      <c r="E499" s="144" t="s">
        <v>1296</v>
      </c>
      <c r="F499" s="144">
        <v>2005</v>
      </c>
      <c r="G499" s="144" t="s">
        <v>1713</v>
      </c>
      <c r="H499" s="144" t="s">
        <v>1714</v>
      </c>
    </row>
    <row r="500" spans="1:8" x14ac:dyDescent="0.25">
      <c r="A500" s="144">
        <v>312</v>
      </c>
      <c r="B500" s="144" t="s">
        <v>758</v>
      </c>
      <c r="C500" s="144" t="s">
        <v>1715</v>
      </c>
      <c r="D500" s="144" t="s">
        <v>750</v>
      </c>
      <c r="E500" s="144" t="s">
        <v>1296</v>
      </c>
      <c r="F500" s="144">
        <v>2005</v>
      </c>
      <c r="G500" s="144" t="s">
        <v>1716</v>
      </c>
      <c r="H500" s="144" t="s">
        <v>1717</v>
      </c>
    </row>
    <row r="501" spans="1:8" x14ac:dyDescent="0.25">
      <c r="A501" s="144">
        <v>313</v>
      </c>
      <c r="B501" s="144" t="s">
        <v>758</v>
      </c>
      <c r="C501" s="144" t="s">
        <v>1718</v>
      </c>
      <c r="D501" s="144" t="s">
        <v>750</v>
      </c>
      <c r="E501" s="144" t="s">
        <v>1296</v>
      </c>
      <c r="F501" s="144">
        <v>2005</v>
      </c>
      <c r="G501" s="144" t="s">
        <v>1719</v>
      </c>
      <c r="H501" s="144" t="s">
        <v>1720</v>
      </c>
    </row>
    <row r="502" spans="1:8" x14ac:dyDescent="0.25">
      <c r="A502" s="144">
        <v>314</v>
      </c>
      <c r="B502" s="144" t="s">
        <v>758</v>
      </c>
      <c r="C502" s="144" t="s">
        <v>1721</v>
      </c>
      <c r="D502" s="144" t="s">
        <v>750</v>
      </c>
      <c r="E502" s="144" t="s">
        <v>1296</v>
      </c>
      <c r="F502" s="144">
        <v>2005</v>
      </c>
      <c r="G502" s="144" t="s">
        <v>1722</v>
      </c>
      <c r="H502" s="144" t="s">
        <v>1723</v>
      </c>
    </row>
    <row r="503" spans="1:8" x14ac:dyDescent="0.25">
      <c r="A503" s="144">
        <v>315</v>
      </c>
      <c r="B503" s="144" t="s">
        <v>758</v>
      </c>
      <c r="C503" s="144" t="s">
        <v>1724</v>
      </c>
      <c r="D503" s="144" t="s">
        <v>750</v>
      </c>
      <c r="E503" s="144" t="s">
        <v>1296</v>
      </c>
      <c r="F503" s="144">
        <v>2005</v>
      </c>
      <c r="G503" s="144" t="s">
        <v>1725</v>
      </c>
      <c r="H503" s="144" t="s">
        <v>1726</v>
      </c>
    </row>
    <row r="504" spans="1:8" x14ac:dyDescent="0.25">
      <c r="A504" s="144">
        <v>316</v>
      </c>
      <c r="B504" s="144" t="s">
        <v>758</v>
      </c>
      <c r="C504" s="144" t="s">
        <v>1727</v>
      </c>
      <c r="D504" s="144" t="s">
        <v>750</v>
      </c>
      <c r="E504" s="144" t="s">
        <v>1296</v>
      </c>
      <c r="F504" s="144">
        <v>2005</v>
      </c>
      <c r="G504" s="144" t="s">
        <v>1728</v>
      </c>
      <c r="H504" s="144" t="s">
        <v>1729</v>
      </c>
    </row>
    <row r="505" spans="1:8" x14ac:dyDescent="0.25">
      <c r="A505" s="144">
        <v>317</v>
      </c>
      <c r="B505" s="144" t="s">
        <v>758</v>
      </c>
      <c r="C505" s="144" t="s">
        <v>1730</v>
      </c>
      <c r="D505" s="144" t="s">
        <v>750</v>
      </c>
      <c r="E505" s="144" t="s">
        <v>1296</v>
      </c>
      <c r="F505" s="144">
        <v>2005</v>
      </c>
      <c r="G505" s="144" t="s">
        <v>1731</v>
      </c>
      <c r="H505" s="144" t="s">
        <v>1732</v>
      </c>
    </row>
    <row r="506" spans="1:8" x14ac:dyDescent="0.25">
      <c r="A506" s="144">
        <v>318</v>
      </c>
      <c r="B506" s="144" t="s">
        <v>758</v>
      </c>
      <c r="C506" s="144" t="s">
        <v>1733</v>
      </c>
      <c r="D506" s="144" t="s">
        <v>750</v>
      </c>
      <c r="E506" s="144" t="s">
        <v>1296</v>
      </c>
      <c r="F506" s="144">
        <v>2005</v>
      </c>
      <c r="G506" s="144" t="s">
        <v>1734</v>
      </c>
      <c r="H506" s="144" t="s">
        <v>1735</v>
      </c>
    </row>
    <row r="507" spans="1:8" x14ac:dyDescent="0.25">
      <c r="A507" s="144">
        <v>319</v>
      </c>
      <c r="B507" s="144" t="s">
        <v>758</v>
      </c>
      <c r="C507" s="144" t="s">
        <v>1736</v>
      </c>
      <c r="D507" s="144" t="s">
        <v>750</v>
      </c>
      <c r="E507" s="144" t="s">
        <v>1296</v>
      </c>
      <c r="F507" s="144">
        <v>2005</v>
      </c>
      <c r="G507" s="144" t="s">
        <v>1737</v>
      </c>
      <c r="H507" s="144" t="s">
        <v>1738</v>
      </c>
    </row>
    <row r="508" spans="1:8" x14ac:dyDescent="0.25">
      <c r="A508" s="144">
        <v>320</v>
      </c>
      <c r="B508" s="144" t="s">
        <v>758</v>
      </c>
      <c r="C508" s="144" t="s">
        <v>1739</v>
      </c>
      <c r="D508" s="144" t="s">
        <v>750</v>
      </c>
      <c r="E508" s="144" t="s">
        <v>1296</v>
      </c>
      <c r="F508" s="144">
        <v>2005</v>
      </c>
      <c r="G508" s="144" t="s">
        <v>1740</v>
      </c>
      <c r="H508" s="144" t="s">
        <v>1741</v>
      </c>
    </row>
    <row r="509" spans="1:8" x14ac:dyDescent="0.25">
      <c r="A509" s="144">
        <v>321</v>
      </c>
      <c r="B509" s="144" t="s">
        <v>758</v>
      </c>
      <c r="C509" s="144" t="s">
        <v>1742</v>
      </c>
      <c r="D509" s="144" t="s">
        <v>750</v>
      </c>
      <c r="E509" s="144" t="s">
        <v>1296</v>
      </c>
      <c r="F509" s="144">
        <v>2005</v>
      </c>
      <c r="G509" s="144" t="s">
        <v>1743</v>
      </c>
      <c r="H509" s="144" t="s">
        <v>1744</v>
      </c>
    </row>
    <row r="510" spans="1:8" x14ac:dyDescent="0.25">
      <c r="A510" s="144">
        <v>322</v>
      </c>
      <c r="B510" s="144" t="s">
        <v>758</v>
      </c>
      <c r="C510" s="144" t="s">
        <v>1745</v>
      </c>
      <c r="D510" s="144" t="s">
        <v>750</v>
      </c>
      <c r="E510" s="144" t="s">
        <v>1296</v>
      </c>
      <c r="F510" s="144">
        <v>2005</v>
      </c>
      <c r="G510" s="144" t="s">
        <v>1746</v>
      </c>
      <c r="H510" s="144" t="s">
        <v>1747</v>
      </c>
    </row>
    <row r="511" spans="1:8" x14ac:dyDescent="0.25">
      <c r="A511" s="144">
        <v>323</v>
      </c>
      <c r="B511" s="144" t="s">
        <v>758</v>
      </c>
      <c r="C511" s="144" t="s">
        <v>1748</v>
      </c>
      <c r="D511" s="144" t="s">
        <v>750</v>
      </c>
      <c r="E511" s="144" t="s">
        <v>1296</v>
      </c>
      <c r="F511" s="144">
        <v>2008</v>
      </c>
      <c r="G511" s="144" t="s">
        <v>1749</v>
      </c>
      <c r="H511" s="144" t="s">
        <v>1750</v>
      </c>
    </row>
    <row r="512" spans="1:8" x14ac:dyDescent="0.25">
      <c r="A512" s="144">
        <v>324</v>
      </c>
      <c r="B512" s="144" t="s">
        <v>758</v>
      </c>
      <c r="C512" s="144" t="s">
        <v>1751</v>
      </c>
      <c r="D512" s="144" t="s">
        <v>750</v>
      </c>
      <c r="E512" s="144" t="s">
        <v>1296</v>
      </c>
      <c r="F512" s="144">
        <v>2008</v>
      </c>
      <c r="G512" s="144" t="s">
        <v>1752</v>
      </c>
      <c r="H512" s="144" t="s">
        <v>1753</v>
      </c>
    </row>
    <row r="513" spans="1:8" x14ac:dyDescent="0.25">
      <c r="A513" s="144">
        <v>325</v>
      </c>
      <c r="B513" s="144" t="s">
        <v>758</v>
      </c>
      <c r="C513" s="144" t="s">
        <v>1754</v>
      </c>
      <c r="D513" s="144" t="s">
        <v>750</v>
      </c>
      <c r="E513" s="144" t="s">
        <v>1296</v>
      </c>
      <c r="F513" s="144">
        <v>2008</v>
      </c>
      <c r="G513" s="144" t="s">
        <v>1755</v>
      </c>
      <c r="H513" s="144" t="s">
        <v>1756</v>
      </c>
    </row>
    <row r="514" spans="1:8" x14ac:dyDescent="0.25">
      <c r="A514" s="144">
        <v>326</v>
      </c>
      <c r="B514" s="144" t="s">
        <v>758</v>
      </c>
      <c r="C514" s="144" t="s">
        <v>1757</v>
      </c>
      <c r="D514" s="144" t="s">
        <v>750</v>
      </c>
      <c r="E514" s="144" t="s">
        <v>1296</v>
      </c>
      <c r="F514" s="144">
        <v>2008</v>
      </c>
      <c r="G514" s="144" t="s">
        <v>1758</v>
      </c>
      <c r="H514" s="144" t="s">
        <v>1759</v>
      </c>
    </row>
    <row r="515" spans="1:8" x14ac:dyDescent="0.25">
      <c r="A515" s="144">
        <v>327</v>
      </c>
      <c r="B515" s="144" t="s">
        <v>758</v>
      </c>
      <c r="C515" s="144" t="s">
        <v>1760</v>
      </c>
      <c r="D515" s="144" t="s">
        <v>750</v>
      </c>
      <c r="E515" s="144" t="s">
        <v>1296</v>
      </c>
      <c r="F515" s="144">
        <v>2008</v>
      </c>
      <c r="G515" s="144" t="s">
        <v>1761</v>
      </c>
      <c r="H515" s="144" t="s">
        <v>1762</v>
      </c>
    </row>
    <row r="516" spans="1:8" x14ac:dyDescent="0.25">
      <c r="A516" s="144">
        <v>328</v>
      </c>
      <c r="B516" s="144" t="s">
        <v>758</v>
      </c>
      <c r="C516" s="144" t="s">
        <v>1763</v>
      </c>
      <c r="D516" s="144" t="s">
        <v>750</v>
      </c>
      <c r="E516" s="144" t="s">
        <v>1296</v>
      </c>
      <c r="F516" s="144">
        <v>2008</v>
      </c>
      <c r="G516" s="144" t="s">
        <v>1764</v>
      </c>
      <c r="H516" s="144" t="s">
        <v>1765</v>
      </c>
    </row>
    <row r="517" spans="1:8" x14ac:dyDescent="0.25">
      <c r="A517" s="144">
        <v>329</v>
      </c>
      <c r="B517" s="144" t="s">
        <v>758</v>
      </c>
      <c r="C517" s="144" t="s">
        <v>1766</v>
      </c>
      <c r="D517" s="144" t="s">
        <v>750</v>
      </c>
      <c r="E517" s="144" t="s">
        <v>1296</v>
      </c>
      <c r="F517" s="144">
        <v>2010</v>
      </c>
      <c r="G517" s="144" t="s">
        <v>1767</v>
      </c>
      <c r="H517" s="144" t="s">
        <v>1768</v>
      </c>
    </row>
    <row r="518" spans="1:8" x14ac:dyDescent="0.25">
      <c r="A518" s="144">
        <v>330</v>
      </c>
      <c r="B518" s="144" t="s">
        <v>758</v>
      </c>
      <c r="C518" s="144" t="s">
        <v>1769</v>
      </c>
      <c r="D518" s="144" t="s">
        <v>750</v>
      </c>
      <c r="E518" s="144" t="s">
        <v>1296</v>
      </c>
      <c r="F518" s="144">
        <v>2010</v>
      </c>
      <c r="G518" s="144" t="s">
        <v>1770</v>
      </c>
      <c r="H518" s="144" t="s">
        <v>1771</v>
      </c>
    </row>
    <row r="519" spans="1:8" x14ac:dyDescent="0.25">
      <c r="A519" s="144">
        <v>331</v>
      </c>
      <c r="B519" s="144" t="s">
        <v>758</v>
      </c>
      <c r="C519" s="144" t="s">
        <v>1772</v>
      </c>
      <c r="D519" s="144" t="s">
        <v>750</v>
      </c>
      <c r="E519" s="144" t="s">
        <v>1296</v>
      </c>
      <c r="F519" s="144">
        <v>2010</v>
      </c>
      <c r="G519" s="144" t="s">
        <v>1773</v>
      </c>
      <c r="H519" s="144" t="s">
        <v>1774</v>
      </c>
    </row>
    <row r="520" spans="1:8" x14ac:dyDescent="0.25">
      <c r="A520" s="144">
        <v>332</v>
      </c>
      <c r="B520" s="144" t="s">
        <v>758</v>
      </c>
      <c r="C520" s="144" t="s">
        <v>1775</v>
      </c>
      <c r="D520" s="144" t="s">
        <v>750</v>
      </c>
      <c r="E520" s="144" t="s">
        <v>1296</v>
      </c>
      <c r="F520" s="144">
        <v>2010</v>
      </c>
      <c r="G520" s="144" t="s">
        <v>1776</v>
      </c>
      <c r="H520" s="144" t="s">
        <v>1777</v>
      </c>
    </row>
    <row r="521" spans="1:8" x14ac:dyDescent="0.25">
      <c r="A521" s="144">
        <v>333</v>
      </c>
      <c r="B521" s="144" t="s">
        <v>758</v>
      </c>
      <c r="C521" s="144" t="s">
        <v>1778</v>
      </c>
      <c r="D521" s="144" t="s">
        <v>750</v>
      </c>
      <c r="E521" s="144" t="s">
        <v>1296</v>
      </c>
      <c r="F521" s="144">
        <v>2010</v>
      </c>
      <c r="G521" s="144" t="s">
        <v>1779</v>
      </c>
      <c r="H521" s="144" t="s">
        <v>1780</v>
      </c>
    </row>
    <row r="522" spans="1:8" x14ac:dyDescent="0.25">
      <c r="A522" s="144">
        <v>334</v>
      </c>
      <c r="B522" s="144" t="s">
        <v>758</v>
      </c>
      <c r="C522" s="144" t="s">
        <v>1781</v>
      </c>
      <c r="D522" s="144" t="s">
        <v>750</v>
      </c>
      <c r="E522" s="144" t="s">
        <v>1296</v>
      </c>
      <c r="F522" s="144">
        <v>2010</v>
      </c>
      <c r="G522" s="144" t="s">
        <v>1782</v>
      </c>
      <c r="H522" s="144" t="s">
        <v>1783</v>
      </c>
    </row>
    <row r="523" spans="1:8" x14ac:dyDescent="0.25">
      <c r="A523" s="144">
        <v>335</v>
      </c>
      <c r="B523" s="144" t="s">
        <v>758</v>
      </c>
      <c r="C523" s="144" t="s">
        <v>1784</v>
      </c>
      <c r="D523" s="144" t="s">
        <v>750</v>
      </c>
      <c r="E523" s="144" t="s">
        <v>1296</v>
      </c>
      <c r="F523" s="144">
        <v>2010</v>
      </c>
      <c r="G523" s="144" t="s">
        <v>1785</v>
      </c>
      <c r="H523" s="144" t="s">
        <v>1786</v>
      </c>
    </row>
    <row r="524" spans="1:8" x14ac:dyDescent="0.25">
      <c r="A524" s="144">
        <v>336</v>
      </c>
      <c r="B524" s="144" t="s">
        <v>758</v>
      </c>
      <c r="C524" s="144" t="s">
        <v>1787</v>
      </c>
      <c r="D524" s="144" t="s">
        <v>750</v>
      </c>
      <c r="E524" s="144" t="s">
        <v>1296</v>
      </c>
      <c r="F524" s="144">
        <v>2010</v>
      </c>
      <c r="G524" s="144" t="s">
        <v>1788</v>
      </c>
      <c r="H524" s="144" t="s">
        <v>1789</v>
      </c>
    </row>
    <row r="525" spans="1:8" x14ac:dyDescent="0.25">
      <c r="A525" s="144">
        <v>337</v>
      </c>
      <c r="B525" s="144" t="s">
        <v>758</v>
      </c>
      <c r="C525" s="144" t="s">
        <v>1790</v>
      </c>
      <c r="D525" s="144" t="s">
        <v>750</v>
      </c>
      <c r="E525" s="144" t="s">
        <v>1296</v>
      </c>
      <c r="F525" s="144">
        <v>2010</v>
      </c>
      <c r="G525" s="144" t="s">
        <v>1791</v>
      </c>
      <c r="H525" s="144" t="s">
        <v>1792</v>
      </c>
    </row>
    <row r="526" spans="1:8" x14ac:dyDescent="0.25">
      <c r="A526" s="144">
        <v>338</v>
      </c>
      <c r="B526" s="144" t="s">
        <v>758</v>
      </c>
      <c r="C526" s="144" t="s">
        <v>1793</v>
      </c>
      <c r="D526" s="144" t="s">
        <v>750</v>
      </c>
      <c r="E526" s="144" t="s">
        <v>1296</v>
      </c>
      <c r="F526" s="144">
        <v>2010</v>
      </c>
      <c r="G526" s="144" t="s">
        <v>1794</v>
      </c>
      <c r="H526" s="144" t="s">
        <v>1795</v>
      </c>
    </row>
    <row r="527" spans="1:8" x14ac:dyDescent="0.25">
      <c r="A527" s="144">
        <v>339</v>
      </c>
      <c r="B527" s="144" t="s">
        <v>758</v>
      </c>
      <c r="C527" s="144" t="s">
        <v>1796</v>
      </c>
      <c r="D527" s="144" t="s">
        <v>750</v>
      </c>
      <c r="E527" s="144" t="s">
        <v>1296</v>
      </c>
      <c r="F527" s="144">
        <v>2010</v>
      </c>
      <c r="G527" s="144" t="s">
        <v>1797</v>
      </c>
      <c r="H527" s="144" t="s">
        <v>1798</v>
      </c>
    </row>
    <row r="528" spans="1:8" x14ac:dyDescent="0.25">
      <c r="A528" s="144">
        <v>340</v>
      </c>
      <c r="B528" s="144" t="s">
        <v>758</v>
      </c>
      <c r="C528" s="144" t="s">
        <v>1799</v>
      </c>
      <c r="D528" s="144" t="s">
        <v>750</v>
      </c>
      <c r="E528" s="144" t="s">
        <v>1296</v>
      </c>
      <c r="F528" s="144">
        <v>2010</v>
      </c>
      <c r="G528" s="144" t="s">
        <v>1800</v>
      </c>
      <c r="H528" s="144" t="s">
        <v>1801</v>
      </c>
    </row>
    <row r="529" spans="1:8" x14ac:dyDescent="0.25">
      <c r="A529" s="144">
        <v>341</v>
      </c>
      <c r="B529" s="144" t="s">
        <v>758</v>
      </c>
      <c r="C529" s="144" t="s">
        <v>1802</v>
      </c>
      <c r="D529" s="144" t="s">
        <v>750</v>
      </c>
      <c r="E529" s="144" t="s">
        <v>1296</v>
      </c>
      <c r="F529" s="144">
        <v>2010</v>
      </c>
      <c r="G529" s="144" t="s">
        <v>1803</v>
      </c>
      <c r="H529" s="144" t="s">
        <v>1804</v>
      </c>
    </row>
    <row r="530" spans="1:8" x14ac:dyDescent="0.25">
      <c r="A530" s="144">
        <v>342</v>
      </c>
      <c r="B530" s="144" t="s">
        <v>758</v>
      </c>
      <c r="C530" s="144" t="s">
        <v>1805</v>
      </c>
      <c r="D530" s="144" t="s">
        <v>750</v>
      </c>
      <c r="E530" s="144" t="s">
        <v>1296</v>
      </c>
      <c r="F530" s="144">
        <v>2010</v>
      </c>
      <c r="G530" s="144" t="s">
        <v>1806</v>
      </c>
      <c r="H530" s="144" t="s">
        <v>1807</v>
      </c>
    </row>
    <row r="531" spans="1:8" x14ac:dyDescent="0.25">
      <c r="A531" s="144">
        <v>343</v>
      </c>
      <c r="B531" s="144" t="s">
        <v>758</v>
      </c>
      <c r="C531" s="144" t="s">
        <v>1808</v>
      </c>
      <c r="D531" s="144" t="s">
        <v>750</v>
      </c>
      <c r="E531" s="144" t="s">
        <v>1296</v>
      </c>
      <c r="F531" s="144">
        <v>2010</v>
      </c>
      <c r="G531" s="144" t="s">
        <v>1809</v>
      </c>
      <c r="H531" s="144" t="s">
        <v>1810</v>
      </c>
    </row>
    <row r="532" spans="1:8" x14ac:dyDescent="0.25">
      <c r="A532" s="144">
        <v>344</v>
      </c>
      <c r="B532" s="144" t="s">
        <v>758</v>
      </c>
      <c r="C532" s="144" t="s">
        <v>1811</v>
      </c>
      <c r="D532" s="144" t="s">
        <v>750</v>
      </c>
      <c r="E532" s="144" t="s">
        <v>1296</v>
      </c>
      <c r="F532" s="144">
        <v>2010</v>
      </c>
      <c r="G532" s="144" t="s">
        <v>1812</v>
      </c>
      <c r="H532" s="144" t="s">
        <v>1813</v>
      </c>
    </row>
    <row r="533" spans="1:8" x14ac:dyDescent="0.25">
      <c r="A533" s="144">
        <v>345</v>
      </c>
      <c r="B533" s="144" t="s">
        <v>758</v>
      </c>
      <c r="C533" s="144" t="s">
        <v>1814</v>
      </c>
      <c r="D533" s="144" t="s">
        <v>750</v>
      </c>
      <c r="E533" s="144" t="s">
        <v>1296</v>
      </c>
      <c r="F533" s="144">
        <v>2010</v>
      </c>
      <c r="G533" s="144" t="s">
        <v>1815</v>
      </c>
      <c r="H533" s="144" t="s">
        <v>1816</v>
      </c>
    </row>
    <row r="534" spans="1:8" x14ac:dyDescent="0.25">
      <c r="A534" s="144">
        <v>346</v>
      </c>
      <c r="B534" s="144" t="s">
        <v>758</v>
      </c>
      <c r="C534" s="144" t="s">
        <v>1817</v>
      </c>
      <c r="D534" s="144" t="s">
        <v>750</v>
      </c>
      <c r="E534" s="144" t="s">
        <v>1296</v>
      </c>
      <c r="F534" s="144">
        <v>2010</v>
      </c>
      <c r="G534" s="144" t="s">
        <v>1818</v>
      </c>
      <c r="H534" s="144" t="s">
        <v>1819</v>
      </c>
    </row>
    <row r="535" spans="1:8" x14ac:dyDescent="0.25">
      <c r="A535" s="144">
        <v>347</v>
      </c>
      <c r="B535" s="144" t="s">
        <v>758</v>
      </c>
      <c r="C535" s="144" t="s">
        <v>1820</v>
      </c>
      <c r="D535" s="144" t="s">
        <v>750</v>
      </c>
      <c r="E535" s="144" t="s">
        <v>1296</v>
      </c>
      <c r="F535" s="144">
        <v>2010</v>
      </c>
      <c r="G535" s="144" t="s">
        <v>1821</v>
      </c>
      <c r="H535" s="144" t="s">
        <v>1822</v>
      </c>
    </row>
    <row r="536" spans="1:8" x14ac:dyDescent="0.25">
      <c r="A536" s="144">
        <v>348</v>
      </c>
      <c r="B536" s="144" t="s">
        <v>758</v>
      </c>
      <c r="C536" s="144" t="s">
        <v>1823</v>
      </c>
      <c r="D536" s="144" t="s">
        <v>1824</v>
      </c>
      <c r="E536" s="144" t="s">
        <v>1825</v>
      </c>
      <c r="F536" s="144">
        <v>2020</v>
      </c>
      <c r="G536" s="144" t="s">
        <v>1826</v>
      </c>
      <c r="H536" s="144" t="s">
        <v>1827</v>
      </c>
    </row>
    <row r="537" spans="1:8" x14ac:dyDescent="0.25">
      <c r="A537" s="144">
        <v>349</v>
      </c>
      <c r="B537" s="144" t="s">
        <v>758</v>
      </c>
      <c r="C537" s="144" t="s">
        <v>1828</v>
      </c>
      <c r="D537" s="144" t="s">
        <v>1824</v>
      </c>
      <c r="E537" s="144" t="s">
        <v>1825</v>
      </c>
      <c r="F537" s="144">
        <v>2020</v>
      </c>
      <c r="G537" s="144" t="s">
        <v>1829</v>
      </c>
      <c r="H537" s="144" t="s">
        <v>1830</v>
      </c>
    </row>
    <row r="538" spans="1:8" x14ac:dyDescent="0.25">
      <c r="A538" s="144">
        <v>350</v>
      </c>
      <c r="B538" s="144" t="s">
        <v>758</v>
      </c>
      <c r="C538" s="144" t="s">
        <v>1831</v>
      </c>
      <c r="D538" s="144" t="s">
        <v>1824</v>
      </c>
      <c r="E538" s="144" t="s">
        <v>1825</v>
      </c>
      <c r="F538" s="144">
        <v>2020</v>
      </c>
      <c r="G538" s="144" t="s">
        <v>1832</v>
      </c>
      <c r="H538" s="144" t="s">
        <v>1833</v>
      </c>
    </row>
    <row r="539" spans="1:8" x14ac:dyDescent="0.25">
      <c r="A539" s="144">
        <v>351</v>
      </c>
      <c r="B539" s="144" t="s">
        <v>758</v>
      </c>
      <c r="C539" s="144" t="s">
        <v>1834</v>
      </c>
      <c r="D539" s="144" t="s">
        <v>1824</v>
      </c>
      <c r="E539" s="144" t="s">
        <v>1825</v>
      </c>
      <c r="F539" s="144">
        <v>2020</v>
      </c>
      <c r="G539" s="144" t="s">
        <v>1835</v>
      </c>
      <c r="H539" s="144" t="s">
        <v>1836</v>
      </c>
    </row>
    <row r="540" spans="1:8" x14ac:dyDescent="0.25">
      <c r="A540" s="144">
        <v>352</v>
      </c>
      <c r="B540" s="144" t="s">
        <v>758</v>
      </c>
      <c r="C540" s="144" t="s">
        <v>1837</v>
      </c>
      <c r="D540" s="144" t="s">
        <v>1824</v>
      </c>
      <c r="E540" s="144" t="s">
        <v>1825</v>
      </c>
      <c r="F540" s="144">
        <v>2020</v>
      </c>
      <c r="G540" s="144" t="s">
        <v>1838</v>
      </c>
      <c r="H540" s="144" t="s">
        <v>1839</v>
      </c>
    </row>
    <row r="541" spans="1:8" x14ac:dyDescent="0.25">
      <c r="A541" s="144">
        <v>353</v>
      </c>
      <c r="B541" s="144" t="s">
        <v>758</v>
      </c>
      <c r="C541" s="144" t="s">
        <v>1840</v>
      </c>
      <c r="D541" s="144" t="s">
        <v>1824</v>
      </c>
      <c r="E541" s="144" t="s">
        <v>1825</v>
      </c>
      <c r="F541" s="144">
        <v>2020</v>
      </c>
      <c r="G541" s="144" t="s">
        <v>1841</v>
      </c>
      <c r="H541" s="144" t="s">
        <v>1842</v>
      </c>
    </row>
    <row r="542" spans="1:8" x14ac:dyDescent="0.25">
      <c r="A542" s="144">
        <v>354</v>
      </c>
      <c r="B542" s="144" t="s">
        <v>758</v>
      </c>
      <c r="C542" s="144" t="s">
        <v>1843</v>
      </c>
      <c r="D542" s="144" t="s">
        <v>1824</v>
      </c>
      <c r="E542" s="144" t="s">
        <v>1825</v>
      </c>
      <c r="F542" s="144">
        <v>2020</v>
      </c>
      <c r="G542" s="144" t="s">
        <v>1844</v>
      </c>
      <c r="H542" s="144" t="s">
        <v>1845</v>
      </c>
    </row>
    <row r="543" spans="1:8" x14ac:dyDescent="0.25">
      <c r="A543" s="144">
        <v>355</v>
      </c>
      <c r="B543" s="144" t="s">
        <v>758</v>
      </c>
      <c r="C543" s="144" t="s">
        <v>1846</v>
      </c>
      <c r="D543" s="144" t="s">
        <v>1824</v>
      </c>
      <c r="E543" s="144" t="s">
        <v>1825</v>
      </c>
      <c r="F543" s="144">
        <v>2020</v>
      </c>
      <c r="G543" s="144" t="s">
        <v>1847</v>
      </c>
      <c r="H543" s="144" t="s">
        <v>1848</v>
      </c>
    </row>
    <row r="544" spans="1:8" x14ac:dyDescent="0.25">
      <c r="A544" s="144">
        <v>356</v>
      </c>
      <c r="B544" s="144" t="s">
        <v>758</v>
      </c>
      <c r="C544" s="144" t="s">
        <v>1849</v>
      </c>
      <c r="D544" s="144" t="s">
        <v>1824</v>
      </c>
      <c r="E544" s="144" t="s">
        <v>1825</v>
      </c>
      <c r="F544" s="144">
        <v>2020</v>
      </c>
      <c r="G544" s="144" t="s">
        <v>1850</v>
      </c>
      <c r="H544" s="144" t="s">
        <v>1851</v>
      </c>
    </row>
    <row r="545" spans="1:8" x14ac:dyDescent="0.25">
      <c r="A545" s="144">
        <v>357</v>
      </c>
      <c r="B545" s="144" t="s">
        <v>758</v>
      </c>
      <c r="C545" s="144" t="s">
        <v>1852</v>
      </c>
      <c r="D545" s="144" t="s">
        <v>1824</v>
      </c>
      <c r="E545" s="144" t="s">
        <v>1825</v>
      </c>
      <c r="F545" s="144">
        <v>2020</v>
      </c>
      <c r="G545" s="144" t="s">
        <v>1853</v>
      </c>
      <c r="H545" s="144" t="s">
        <v>1854</v>
      </c>
    </row>
    <row r="546" spans="1:8" x14ac:dyDescent="0.25">
      <c r="A546" s="144">
        <v>358</v>
      </c>
      <c r="B546" s="144" t="s">
        <v>758</v>
      </c>
      <c r="C546" s="144" t="s">
        <v>1855</v>
      </c>
      <c r="D546" s="144" t="s">
        <v>1824</v>
      </c>
      <c r="E546" s="144" t="s">
        <v>1825</v>
      </c>
      <c r="F546" s="144">
        <v>2020</v>
      </c>
      <c r="G546" s="144" t="s">
        <v>1856</v>
      </c>
      <c r="H546" s="144" t="s">
        <v>1857</v>
      </c>
    </row>
    <row r="547" spans="1:8" x14ac:dyDescent="0.25">
      <c r="A547" s="144">
        <v>359</v>
      </c>
      <c r="B547" s="144" t="s">
        <v>758</v>
      </c>
      <c r="C547" s="144" t="s">
        <v>1858</v>
      </c>
      <c r="D547" s="144" t="s">
        <v>1824</v>
      </c>
      <c r="E547" s="144" t="s">
        <v>1825</v>
      </c>
      <c r="F547" s="144">
        <v>2020</v>
      </c>
      <c r="G547" s="144" t="s">
        <v>1859</v>
      </c>
      <c r="H547" s="144" t="s">
        <v>1860</v>
      </c>
    </row>
    <row r="548" spans="1:8" x14ac:dyDescent="0.25">
      <c r="A548" s="144">
        <v>360</v>
      </c>
      <c r="B548" s="144" t="s">
        <v>758</v>
      </c>
      <c r="C548" s="144" t="s">
        <v>1861</v>
      </c>
      <c r="D548" s="144" t="s">
        <v>1824</v>
      </c>
      <c r="E548" s="144" t="s">
        <v>1825</v>
      </c>
      <c r="F548" s="144">
        <v>2020</v>
      </c>
      <c r="G548" s="144" t="s">
        <v>1862</v>
      </c>
      <c r="H548" s="144" t="s">
        <v>1863</v>
      </c>
    </row>
    <row r="549" spans="1:8" x14ac:dyDescent="0.25">
      <c r="A549" s="144">
        <v>361</v>
      </c>
      <c r="B549" s="144" t="s">
        <v>758</v>
      </c>
      <c r="C549" s="144" t="s">
        <v>1864</v>
      </c>
      <c r="D549" s="144" t="s">
        <v>1824</v>
      </c>
      <c r="E549" s="144" t="s">
        <v>1825</v>
      </c>
      <c r="F549" s="144">
        <v>2020</v>
      </c>
      <c r="G549" s="144" t="s">
        <v>1865</v>
      </c>
      <c r="H549" s="144" t="s">
        <v>1866</v>
      </c>
    </row>
    <row r="550" spans="1:8" x14ac:dyDescent="0.25">
      <c r="A550" s="144">
        <v>362</v>
      </c>
      <c r="B550" s="144" t="s">
        <v>758</v>
      </c>
      <c r="C550" s="144" t="s">
        <v>1867</v>
      </c>
      <c r="D550" s="144" t="s">
        <v>1824</v>
      </c>
      <c r="E550" s="144" t="s">
        <v>1825</v>
      </c>
      <c r="F550" s="144">
        <v>2020</v>
      </c>
      <c r="G550" s="144" t="s">
        <v>1868</v>
      </c>
      <c r="H550" s="144" t="s">
        <v>1869</v>
      </c>
    </row>
    <row r="551" spans="1:8" x14ac:dyDescent="0.25">
      <c r="A551" s="144">
        <v>363</v>
      </c>
      <c r="B551" s="144" t="s">
        <v>758</v>
      </c>
      <c r="C551" s="144" t="s">
        <v>1870</v>
      </c>
      <c r="D551" s="144" t="s">
        <v>1824</v>
      </c>
      <c r="E551" s="144" t="s">
        <v>1825</v>
      </c>
      <c r="F551" s="144">
        <v>2020</v>
      </c>
      <c r="G551" s="144" t="s">
        <v>1871</v>
      </c>
      <c r="H551" s="144" t="s">
        <v>1872</v>
      </c>
    </row>
    <row r="552" spans="1:8" x14ac:dyDescent="0.25">
      <c r="A552" s="144">
        <v>364</v>
      </c>
      <c r="B552" s="144" t="s">
        <v>758</v>
      </c>
      <c r="C552" s="144" t="s">
        <v>1873</v>
      </c>
      <c r="D552" s="144" t="s">
        <v>1824</v>
      </c>
      <c r="E552" s="144" t="s">
        <v>1825</v>
      </c>
      <c r="F552" s="144">
        <v>2020</v>
      </c>
      <c r="G552" s="144" t="s">
        <v>1874</v>
      </c>
      <c r="H552" s="144" t="s">
        <v>1875</v>
      </c>
    </row>
    <row r="553" spans="1:8" x14ac:dyDescent="0.25">
      <c r="A553" s="144">
        <v>365</v>
      </c>
      <c r="B553" s="144" t="s">
        <v>758</v>
      </c>
      <c r="C553" s="144" t="s">
        <v>1876</v>
      </c>
      <c r="D553" s="144" t="s">
        <v>1824</v>
      </c>
      <c r="E553" s="144" t="s">
        <v>1825</v>
      </c>
      <c r="F553" s="144">
        <v>2020</v>
      </c>
      <c r="G553" s="144" t="s">
        <v>1877</v>
      </c>
      <c r="H553" s="144" t="s">
        <v>1878</v>
      </c>
    </row>
    <row r="554" spans="1:8" x14ac:dyDescent="0.25">
      <c r="A554" s="144">
        <v>366</v>
      </c>
      <c r="B554" s="144" t="s">
        <v>758</v>
      </c>
      <c r="C554" s="144" t="s">
        <v>1879</v>
      </c>
      <c r="D554" s="144" t="s">
        <v>1824</v>
      </c>
      <c r="E554" s="144" t="s">
        <v>1825</v>
      </c>
      <c r="F554" s="144">
        <v>2020</v>
      </c>
      <c r="G554" s="144" t="s">
        <v>1880</v>
      </c>
      <c r="H554" s="144" t="s">
        <v>1881</v>
      </c>
    </row>
    <row r="555" spans="1:8" x14ac:dyDescent="0.25">
      <c r="A555" s="144">
        <v>367</v>
      </c>
      <c r="B555" s="144" t="s">
        <v>758</v>
      </c>
      <c r="C555" s="144" t="s">
        <v>1882</v>
      </c>
      <c r="D555" s="144" t="s">
        <v>1824</v>
      </c>
      <c r="E555" s="144" t="s">
        <v>1825</v>
      </c>
      <c r="F555" s="144">
        <v>2020</v>
      </c>
      <c r="G555" s="144" t="s">
        <v>1883</v>
      </c>
      <c r="H555" s="144" t="s">
        <v>1884</v>
      </c>
    </row>
    <row r="556" spans="1:8" x14ac:dyDescent="0.25">
      <c r="A556" s="144">
        <v>368</v>
      </c>
      <c r="B556" s="144" t="s">
        <v>758</v>
      </c>
      <c r="C556" s="144" t="s">
        <v>1885</v>
      </c>
      <c r="D556" s="144" t="s">
        <v>1824</v>
      </c>
      <c r="E556" s="144" t="s">
        <v>1825</v>
      </c>
      <c r="F556" s="144">
        <v>2020</v>
      </c>
      <c r="G556" s="144" t="s">
        <v>1886</v>
      </c>
      <c r="H556" s="144" t="s">
        <v>1887</v>
      </c>
    </row>
    <row r="557" spans="1:8" x14ac:dyDescent="0.25">
      <c r="A557" s="144">
        <v>369</v>
      </c>
      <c r="B557" s="144" t="s">
        <v>758</v>
      </c>
      <c r="C557" s="144" t="s">
        <v>1888</v>
      </c>
      <c r="D557" s="144" t="s">
        <v>1824</v>
      </c>
      <c r="E557" s="144" t="s">
        <v>1825</v>
      </c>
      <c r="F557" s="144">
        <v>2020</v>
      </c>
      <c r="G557" s="144" t="s">
        <v>1889</v>
      </c>
      <c r="H557" s="144" t="s">
        <v>1890</v>
      </c>
    </row>
    <row r="558" spans="1:8" x14ac:dyDescent="0.25">
      <c r="A558" s="144">
        <v>370</v>
      </c>
      <c r="B558" s="144" t="s">
        <v>758</v>
      </c>
      <c r="C558" s="144" t="s">
        <v>1891</v>
      </c>
      <c r="D558" s="144" t="s">
        <v>1824</v>
      </c>
      <c r="E558" s="144" t="s">
        <v>1825</v>
      </c>
      <c r="F558" s="144">
        <v>2020</v>
      </c>
      <c r="G558" s="144" t="s">
        <v>1892</v>
      </c>
      <c r="H558" s="144" t="s">
        <v>1893</v>
      </c>
    </row>
    <row r="559" spans="1:8" x14ac:dyDescent="0.25">
      <c r="A559" s="144">
        <v>371</v>
      </c>
      <c r="B559" s="144" t="s">
        <v>758</v>
      </c>
      <c r="C559" s="144" t="s">
        <v>1894</v>
      </c>
      <c r="D559" s="144" t="s">
        <v>1824</v>
      </c>
      <c r="E559" s="144" t="s">
        <v>1825</v>
      </c>
      <c r="F559" s="144">
        <v>2020</v>
      </c>
      <c r="G559" s="144" t="s">
        <v>1895</v>
      </c>
      <c r="H559" s="144" t="s">
        <v>1896</v>
      </c>
    </row>
    <row r="560" spans="1:8" x14ac:dyDescent="0.25">
      <c r="A560" s="144">
        <v>372</v>
      </c>
      <c r="B560" s="144" t="s">
        <v>758</v>
      </c>
      <c r="C560" s="144" t="s">
        <v>1897</v>
      </c>
      <c r="D560" s="144" t="s">
        <v>1824</v>
      </c>
      <c r="E560" s="144" t="s">
        <v>1825</v>
      </c>
      <c r="F560" s="144">
        <v>2020</v>
      </c>
      <c r="G560" s="144" t="s">
        <v>1898</v>
      </c>
      <c r="H560" s="144" t="s">
        <v>1899</v>
      </c>
    </row>
    <row r="561" spans="1:8" x14ac:dyDescent="0.25">
      <c r="A561" s="144">
        <v>373</v>
      </c>
      <c r="B561" s="144" t="s">
        <v>758</v>
      </c>
      <c r="C561" s="144" t="s">
        <v>1900</v>
      </c>
      <c r="D561" s="144" t="s">
        <v>1824</v>
      </c>
      <c r="E561" s="144" t="s">
        <v>1825</v>
      </c>
      <c r="F561" s="144">
        <v>2020</v>
      </c>
      <c r="G561" s="144" t="s">
        <v>1901</v>
      </c>
      <c r="H561" s="144" t="s">
        <v>1902</v>
      </c>
    </row>
    <row r="562" spans="1:8" x14ac:dyDescent="0.25">
      <c r="A562" s="144">
        <v>374</v>
      </c>
      <c r="B562" s="144" t="s">
        <v>758</v>
      </c>
      <c r="C562" s="144" t="s">
        <v>1903</v>
      </c>
      <c r="D562" s="144" t="s">
        <v>1824</v>
      </c>
      <c r="E562" s="144" t="s">
        <v>1825</v>
      </c>
      <c r="F562" s="144">
        <v>2020</v>
      </c>
      <c r="G562" s="144" t="s">
        <v>1904</v>
      </c>
      <c r="H562" s="144" t="s">
        <v>1905</v>
      </c>
    </row>
    <row r="563" spans="1:8" x14ac:dyDescent="0.25">
      <c r="A563" s="144">
        <v>375</v>
      </c>
      <c r="B563" s="144" t="s">
        <v>758</v>
      </c>
      <c r="C563" s="144" t="s">
        <v>1906</v>
      </c>
      <c r="D563" s="144" t="s">
        <v>1824</v>
      </c>
      <c r="E563" s="144" t="s">
        <v>1825</v>
      </c>
      <c r="F563" s="144">
        <v>2020</v>
      </c>
      <c r="G563" s="144" t="s">
        <v>1907</v>
      </c>
      <c r="H563" s="144" t="s">
        <v>1908</v>
      </c>
    </row>
    <row r="564" spans="1:8" x14ac:dyDescent="0.25">
      <c r="A564" s="144">
        <v>376</v>
      </c>
      <c r="B564" s="144" t="s">
        <v>758</v>
      </c>
      <c r="C564" s="144" t="s">
        <v>1909</v>
      </c>
      <c r="D564" s="144" t="s">
        <v>1824</v>
      </c>
      <c r="E564" s="144" t="s">
        <v>1825</v>
      </c>
      <c r="F564" s="144">
        <v>2020</v>
      </c>
      <c r="G564" s="144" t="s">
        <v>1910</v>
      </c>
      <c r="H564" s="144" t="s">
        <v>1911</v>
      </c>
    </row>
    <row r="565" spans="1:8" x14ac:dyDescent="0.25">
      <c r="A565" s="144">
        <v>377</v>
      </c>
      <c r="B565" s="144" t="s">
        <v>758</v>
      </c>
      <c r="C565" s="144" t="s">
        <v>1912</v>
      </c>
      <c r="D565" s="144" t="s">
        <v>1824</v>
      </c>
      <c r="E565" s="144" t="s">
        <v>1825</v>
      </c>
      <c r="F565" s="144">
        <v>2020</v>
      </c>
      <c r="G565" s="144" t="s">
        <v>1913</v>
      </c>
      <c r="H565" s="144" t="s">
        <v>1914</v>
      </c>
    </row>
    <row r="566" spans="1:8" x14ac:dyDescent="0.25">
      <c r="A566" s="144">
        <v>378</v>
      </c>
      <c r="B566" s="144" t="s">
        <v>758</v>
      </c>
      <c r="C566" s="144" t="s">
        <v>1915</v>
      </c>
      <c r="D566" s="144" t="s">
        <v>750</v>
      </c>
      <c r="E566" s="144" t="s">
        <v>760</v>
      </c>
      <c r="F566" s="144">
        <v>2013</v>
      </c>
      <c r="G566" s="144" t="s">
        <v>1916</v>
      </c>
      <c r="H566" s="144" t="s">
        <v>1917</v>
      </c>
    </row>
    <row r="567" spans="1:8" x14ac:dyDescent="0.25">
      <c r="A567" s="144">
        <v>379</v>
      </c>
      <c r="B567" s="144" t="s">
        <v>758</v>
      </c>
      <c r="C567" s="144" t="s">
        <v>1918</v>
      </c>
      <c r="D567" s="144" t="s">
        <v>750</v>
      </c>
      <c r="E567" s="144" t="s">
        <v>760</v>
      </c>
      <c r="F567" s="144">
        <v>2013</v>
      </c>
      <c r="G567" s="144" t="s">
        <v>1919</v>
      </c>
      <c r="H567" s="144" t="s">
        <v>1920</v>
      </c>
    </row>
    <row r="568" spans="1:8" x14ac:dyDescent="0.25">
      <c r="A568" s="144">
        <v>380</v>
      </c>
      <c r="B568" s="144" t="s">
        <v>758</v>
      </c>
      <c r="C568" s="144" t="s">
        <v>1921</v>
      </c>
      <c r="D568" s="144" t="s">
        <v>750</v>
      </c>
      <c r="E568" s="144" t="s">
        <v>760</v>
      </c>
      <c r="F568" s="144">
        <v>2012</v>
      </c>
      <c r="G568" s="144" t="s">
        <v>1922</v>
      </c>
      <c r="H568" s="144" t="s">
        <v>1923</v>
      </c>
    </row>
    <row r="569" spans="1:8" x14ac:dyDescent="0.25">
      <c r="A569" s="144">
        <v>381</v>
      </c>
      <c r="B569" s="144" t="s">
        <v>758</v>
      </c>
      <c r="C569" s="144" t="s">
        <v>1924</v>
      </c>
      <c r="D569" s="144" t="s">
        <v>750</v>
      </c>
      <c r="E569" s="144" t="s">
        <v>760</v>
      </c>
      <c r="F569" s="144">
        <v>2013</v>
      </c>
      <c r="G569" s="144" t="s">
        <v>1925</v>
      </c>
      <c r="H569" s="144" t="s">
        <v>1926</v>
      </c>
    </row>
    <row r="570" spans="1:8" x14ac:dyDescent="0.25">
      <c r="A570" s="144">
        <v>382</v>
      </c>
      <c r="B570" s="144" t="s">
        <v>758</v>
      </c>
      <c r="C570" s="144" t="s">
        <v>1927</v>
      </c>
      <c r="D570" s="144" t="s">
        <v>750</v>
      </c>
      <c r="E570" s="144" t="s">
        <v>760</v>
      </c>
      <c r="F570" s="144">
        <v>2013</v>
      </c>
      <c r="G570" s="144" t="s">
        <v>1928</v>
      </c>
      <c r="H570" s="144" t="s">
        <v>1929</v>
      </c>
    </row>
    <row r="571" spans="1:8" x14ac:dyDescent="0.25">
      <c r="A571" s="144">
        <v>383</v>
      </c>
      <c r="B571" s="144" t="s">
        <v>758</v>
      </c>
      <c r="C571" s="144" t="s">
        <v>1930</v>
      </c>
      <c r="D571" s="144" t="s">
        <v>750</v>
      </c>
      <c r="E571" s="144" t="s">
        <v>760</v>
      </c>
      <c r="F571" s="144">
        <v>2013</v>
      </c>
      <c r="G571" s="144" t="s">
        <v>1931</v>
      </c>
      <c r="H571" s="144" t="s">
        <v>1932</v>
      </c>
    </row>
    <row r="572" spans="1:8" x14ac:dyDescent="0.25">
      <c r="A572" s="144">
        <v>384</v>
      </c>
      <c r="B572" s="144" t="s">
        <v>758</v>
      </c>
      <c r="C572" s="144" t="s">
        <v>1933</v>
      </c>
      <c r="D572" s="144" t="s">
        <v>750</v>
      </c>
      <c r="E572" s="144" t="s">
        <v>1934</v>
      </c>
      <c r="F572" s="144">
        <v>2007</v>
      </c>
      <c r="G572" s="144" t="s">
        <v>1935</v>
      </c>
      <c r="H572" s="144" t="s">
        <v>1936</v>
      </c>
    </row>
    <row r="573" spans="1:8" x14ac:dyDescent="0.25">
      <c r="A573" s="144">
        <v>385</v>
      </c>
      <c r="B573" s="144" t="s">
        <v>758</v>
      </c>
      <c r="C573" s="144" t="s">
        <v>1937</v>
      </c>
      <c r="D573" s="144" t="s">
        <v>750</v>
      </c>
      <c r="E573" s="144" t="s">
        <v>1934</v>
      </c>
      <c r="F573" s="144">
        <v>2007</v>
      </c>
      <c r="G573" s="144" t="s">
        <v>1938</v>
      </c>
      <c r="H573" s="144" t="s">
        <v>1939</v>
      </c>
    </row>
    <row r="574" spans="1:8" x14ac:dyDescent="0.25">
      <c r="A574" s="144">
        <v>386</v>
      </c>
      <c r="B574" s="144" t="s">
        <v>758</v>
      </c>
      <c r="C574" s="144" t="s">
        <v>1940</v>
      </c>
      <c r="D574" s="144" t="s">
        <v>1433</v>
      </c>
      <c r="E574" s="144" t="s">
        <v>1941</v>
      </c>
      <c r="F574" s="144">
        <v>2015</v>
      </c>
      <c r="G574" s="144" t="s">
        <v>1942</v>
      </c>
      <c r="H574" s="144" t="s">
        <v>1943</v>
      </c>
    </row>
    <row r="575" spans="1:8" x14ac:dyDescent="0.25">
      <c r="A575" s="144">
        <v>387</v>
      </c>
      <c r="B575" s="144" t="s">
        <v>758</v>
      </c>
      <c r="C575" s="144" t="s">
        <v>1944</v>
      </c>
      <c r="D575" s="144" t="s">
        <v>1433</v>
      </c>
      <c r="E575" s="144" t="s">
        <v>1941</v>
      </c>
      <c r="F575" s="144">
        <v>2015</v>
      </c>
      <c r="G575" s="144" t="s">
        <v>1945</v>
      </c>
      <c r="H575" s="144" t="s">
        <v>1946</v>
      </c>
    </row>
    <row r="576" spans="1:8" x14ac:dyDescent="0.25">
      <c r="A576" s="144">
        <v>388</v>
      </c>
      <c r="B576" s="144" t="s">
        <v>758</v>
      </c>
      <c r="C576" s="144" t="s">
        <v>1947</v>
      </c>
      <c r="D576" s="144" t="s">
        <v>1433</v>
      </c>
      <c r="E576" s="144" t="s">
        <v>1941</v>
      </c>
      <c r="F576" s="144">
        <v>2015</v>
      </c>
      <c r="G576" s="144" t="s">
        <v>1948</v>
      </c>
      <c r="H576" s="144" t="s">
        <v>1949</v>
      </c>
    </row>
    <row r="577" spans="1:8" x14ac:dyDescent="0.25">
      <c r="A577" s="144">
        <v>389</v>
      </c>
      <c r="B577" s="144" t="s">
        <v>758</v>
      </c>
      <c r="C577" s="144" t="s">
        <v>1950</v>
      </c>
      <c r="D577" s="144" t="s">
        <v>1433</v>
      </c>
      <c r="E577" s="144" t="s">
        <v>1941</v>
      </c>
      <c r="F577" s="144">
        <v>2015</v>
      </c>
      <c r="G577" s="144" t="s">
        <v>1951</v>
      </c>
      <c r="H577" s="144" t="s">
        <v>1952</v>
      </c>
    </row>
    <row r="578" spans="1:8" x14ac:dyDescent="0.25">
      <c r="A578" s="144">
        <v>390</v>
      </c>
      <c r="B578" s="144" t="s">
        <v>758</v>
      </c>
      <c r="C578" s="144" t="s">
        <v>1953</v>
      </c>
      <c r="D578" s="144" t="s">
        <v>750</v>
      </c>
      <c r="E578" s="144" t="s">
        <v>1681</v>
      </c>
      <c r="F578" s="144">
        <v>2001</v>
      </c>
      <c r="G578" s="144" t="s">
        <v>1954</v>
      </c>
      <c r="H578" s="144" t="s">
        <v>1955</v>
      </c>
    </row>
    <row r="579" spans="1:8" x14ac:dyDescent="0.25">
      <c r="A579" s="144">
        <v>391</v>
      </c>
      <c r="B579" s="144" t="s">
        <v>758</v>
      </c>
      <c r="C579" s="144" t="s">
        <v>1956</v>
      </c>
      <c r="D579" s="144" t="s">
        <v>1957</v>
      </c>
      <c r="E579" s="144" t="s">
        <v>1958</v>
      </c>
      <c r="F579" s="144">
        <v>1999</v>
      </c>
      <c r="G579" s="144" t="s">
        <v>1959</v>
      </c>
      <c r="H579" s="144" t="s">
        <v>1960</v>
      </c>
    </row>
    <row r="580" spans="1:8" x14ac:dyDescent="0.25">
      <c r="A580" s="144">
        <v>392</v>
      </c>
      <c r="B580" s="144" t="s">
        <v>758</v>
      </c>
      <c r="C580" s="144" t="s">
        <v>1961</v>
      </c>
      <c r="D580" s="144" t="s">
        <v>1957</v>
      </c>
      <c r="E580" s="144" t="s">
        <v>1958</v>
      </c>
      <c r="F580" s="144">
        <v>1999</v>
      </c>
      <c r="G580" s="144" t="s">
        <v>1962</v>
      </c>
      <c r="H580" s="144" t="s">
        <v>1963</v>
      </c>
    </row>
    <row r="581" spans="1:8" x14ac:dyDescent="0.25">
      <c r="A581" s="144">
        <v>393</v>
      </c>
      <c r="B581" s="144" t="s">
        <v>758</v>
      </c>
      <c r="C581" s="144" t="s">
        <v>1964</v>
      </c>
      <c r="D581" s="144" t="s">
        <v>1957</v>
      </c>
      <c r="E581" s="144" t="s">
        <v>1958</v>
      </c>
      <c r="F581" s="144">
        <v>1999</v>
      </c>
      <c r="G581" s="144" t="s">
        <v>1965</v>
      </c>
      <c r="H581" s="144" t="s">
        <v>1966</v>
      </c>
    </row>
  </sheetData>
  <autoFilter ref="B98:H98"/>
  <mergeCells count="6">
    <mergeCell ref="B187:H187"/>
    <mergeCell ref="B1:H1"/>
    <mergeCell ref="B25:H25"/>
    <mergeCell ref="B35:H35"/>
    <mergeCell ref="B47:H47"/>
    <mergeCell ref="A183:H18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33" customWidth="1"/>
    <col min="2" max="2" width="15.140625" style="33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5.7109375" style="33" customWidth="1"/>
    <col min="8" max="8" width="9.28515625" style="33" customWidth="1"/>
    <col min="9" max="9" width="15.5703125" style="33" customWidth="1"/>
    <col min="10" max="10" width="14.7109375" style="33" customWidth="1"/>
    <col min="11" max="11" width="15.5703125" style="33" customWidth="1"/>
    <col min="12" max="14" width="5.85546875" style="33" customWidth="1"/>
    <col min="15" max="15" width="12.5703125" style="33" customWidth="1"/>
    <col min="16" max="1024" width="9.140625" style="33"/>
    <col min="1025" max="16384" width="9.140625" style="1"/>
  </cols>
  <sheetData>
    <row r="1" spans="1:11" ht="18" customHeight="1" x14ac:dyDescent="0.25">
      <c r="A1" s="182" t="s">
        <v>97</v>
      </c>
      <c r="B1" s="182"/>
      <c r="C1" s="182"/>
      <c r="D1" s="182"/>
      <c r="E1" s="182"/>
      <c r="F1" s="182"/>
      <c r="G1" s="182"/>
      <c r="H1" s="182"/>
      <c r="I1" s="182"/>
      <c r="J1" s="32" t="s">
        <v>98</v>
      </c>
      <c r="K1" s="27" t="s">
        <v>99</v>
      </c>
    </row>
    <row r="2" spans="1:11" ht="18.75" customHeight="1" thickBot="1" x14ac:dyDescent="0.3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3">
      <c r="A3" s="183" t="s">
        <v>100</v>
      </c>
      <c r="B3" s="183"/>
      <c r="C3" s="183"/>
      <c r="D3" s="184" t="str">
        <f>'Necesidades Trimestrales'!C4</f>
        <v>90 - Ministerio de Seguridad</v>
      </c>
      <c r="E3" s="184"/>
      <c r="F3" s="184"/>
      <c r="G3" s="184"/>
      <c r="H3" s="184"/>
      <c r="I3" s="184"/>
      <c r="J3" s="184"/>
      <c r="K3" s="184"/>
    </row>
    <row r="4" spans="1:11" ht="18.75" customHeight="1" thickBot="1" x14ac:dyDescent="0.3">
      <c r="A4" s="185" t="s">
        <v>101</v>
      </c>
      <c r="B4" s="185"/>
      <c r="C4" s="185"/>
      <c r="D4" s="184" t="str">
        <f>'Necesidades Trimestrales'!C5</f>
        <v>7- Dirección Provincial de Administración de la Policía de la Provincia de Catamarca</v>
      </c>
      <c r="E4" s="184"/>
      <c r="F4" s="184"/>
      <c r="G4" s="184"/>
      <c r="H4" s="184"/>
      <c r="I4" s="184"/>
      <c r="J4" s="184"/>
      <c r="K4" s="184"/>
    </row>
    <row r="5" spans="1:11" ht="18.75" customHeight="1" thickBot="1" x14ac:dyDescent="0.3">
      <c r="A5" s="185" t="s">
        <v>102</v>
      </c>
      <c r="B5" s="185"/>
      <c r="C5" s="185"/>
      <c r="D5" s="184" t="s">
        <v>103</v>
      </c>
      <c r="E5" s="184"/>
      <c r="F5" s="184"/>
      <c r="G5" s="184"/>
      <c r="H5" s="184"/>
      <c r="I5" s="184"/>
      <c r="J5" s="184"/>
      <c r="K5" s="184"/>
    </row>
    <row r="6" spans="1:11" ht="16.5" customHeight="1" thickBot="1" x14ac:dyDescent="0.3">
      <c r="A6" s="183" t="s">
        <v>104</v>
      </c>
      <c r="B6" s="183"/>
      <c r="C6" s="183"/>
      <c r="D6" s="184" t="s">
        <v>105</v>
      </c>
      <c r="E6" s="184"/>
      <c r="F6" s="184"/>
      <c r="G6" s="184"/>
      <c r="H6" s="184"/>
      <c r="I6" s="184"/>
      <c r="J6" s="184"/>
      <c r="K6" s="184"/>
    </row>
    <row r="7" spans="1:11" ht="16.5" customHeight="1" x14ac:dyDescent="0.25">
      <c r="A7" s="185" t="s">
        <v>106</v>
      </c>
      <c r="B7" s="185"/>
      <c r="C7" s="185"/>
      <c r="D7" s="184" t="str">
        <f>'Necesidades Trimestrales'!C7 &amp; "° Trimestre - Año " &amp; 'Necesidades Trimestrales'!C6</f>
        <v>3° Trimestre - Año 2022</v>
      </c>
      <c r="E7" s="184"/>
      <c r="F7" s="184"/>
      <c r="G7" s="184"/>
      <c r="H7" s="184"/>
      <c r="I7" s="184"/>
      <c r="J7" s="184"/>
      <c r="K7" s="184"/>
    </row>
    <row r="8" spans="1:11" ht="16.5" customHeight="1" x14ac:dyDescent="0.25">
      <c r="A8" s="174" t="s">
        <v>107</v>
      </c>
      <c r="B8" s="174"/>
      <c r="C8" s="174"/>
      <c r="D8" s="175" t="s">
        <v>108</v>
      </c>
      <c r="E8" s="175"/>
      <c r="F8" s="175"/>
      <c r="G8" s="175"/>
      <c r="H8" s="175"/>
      <c r="I8" s="175"/>
      <c r="J8" s="175"/>
      <c r="K8" s="175"/>
    </row>
    <row r="9" spans="1:11" ht="17.25" x14ac:dyDescent="0.25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thickBot="1" x14ac:dyDescent="0.3">
      <c r="A10" s="176" t="s">
        <v>109</v>
      </c>
      <c r="B10" s="178" t="s">
        <v>110</v>
      </c>
      <c r="C10" s="178" t="s">
        <v>111</v>
      </c>
      <c r="D10" s="178"/>
      <c r="E10" s="178"/>
      <c r="F10" s="178"/>
      <c r="G10" s="178"/>
      <c r="H10" s="178" t="s">
        <v>112</v>
      </c>
      <c r="I10" s="178" t="s">
        <v>113</v>
      </c>
      <c r="J10" s="178" t="s">
        <v>114</v>
      </c>
      <c r="K10" s="180" t="s">
        <v>115</v>
      </c>
    </row>
    <row r="11" spans="1:11" ht="24" customHeight="1" x14ac:dyDescent="0.25">
      <c r="A11" s="177"/>
      <c r="B11" s="179"/>
      <c r="C11" s="179"/>
      <c r="D11" s="179"/>
      <c r="E11" s="179"/>
      <c r="F11" s="179"/>
      <c r="G11" s="179"/>
      <c r="H11" s="179"/>
      <c r="I11" s="179"/>
      <c r="J11" s="179"/>
      <c r="K11" s="181"/>
    </row>
    <row r="12" spans="1:11" ht="20.25" customHeight="1" x14ac:dyDescent="0.25">
      <c r="A12" s="38">
        <v>1</v>
      </c>
      <c r="B12" s="28" t="str">
        <f>'Necesidades Trimestrales'!B10</f>
        <v>2.4.4-6818.744</v>
      </c>
      <c r="C12" s="167" t="str">
        <f>'Necesidades Trimestrales'!E10</f>
        <v>NEUMATICOS; VEHICULO: CAMIONETA, CONSTRUCCION: RADIAL, ARMADO: S/CAMARA, MEDIDA: 235/70R16</v>
      </c>
      <c r="D12" s="167"/>
      <c r="E12" s="167"/>
      <c r="F12" s="167"/>
      <c r="G12" s="167"/>
      <c r="H12" s="29" t="s">
        <v>116</v>
      </c>
      <c r="I12" s="39" t="s">
        <v>19</v>
      </c>
      <c r="J12" s="40">
        <f>'Necesidades Trimestrales'!H10</f>
        <v>70000</v>
      </c>
      <c r="K12" s="41">
        <f>'Necesidades Trimestrales'!G10</f>
        <v>128</v>
      </c>
    </row>
    <row r="13" spans="1:11" ht="20.25" customHeight="1" x14ac:dyDescent="0.25">
      <c r="A13" s="38">
        <v>2</v>
      </c>
      <c r="B13" s="28" t="str">
        <f>'Necesidades Trimestrales'!B11</f>
        <v>2.4.4-6818.530</v>
      </c>
      <c r="C13" s="167" t="str">
        <f>'Necesidades Trimestrales'!E11</f>
        <v>NEUMATICOS; VEHICULO: CAMIONETA, CONSTRUCCION: RADIAL, ARMADO: S/CAMARA, MEDIDA: 245/70R16</v>
      </c>
      <c r="D13" s="167"/>
      <c r="E13" s="167"/>
      <c r="F13" s="167"/>
      <c r="G13" s="167"/>
      <c r="H13" s="29" t="s">
        <v>116</v>
      </c>
      <c r="I13" s="39" t="s">
        <v>19</v>
      </c>
      <c r="J13" s="40">
        <f>'Necesidades Trimestrales'!H11</f>
        <v>85100</v>
      </c>
      <c r="K13" s="41">
        <f>'Necesidades Trimestrales'!G11</f>
        <v>6</v>
      </c>
    </row>
    <row r="14" spans="1:11" ht="20.25" customHeight="1" x14ac:dyDescent="0.25">
      <c r="A14" s="38">
        <v>3</v>
      </c>
      <c r="B14" s="28" t="str">
        <f>'Necesidades Trimestrales'!B12</f>
        <v>2.4.4-6818.244</v>
      </c>
      <c r="C14" s="167" t="str">
        <f>'Necesidades Trimestrales'!E12</f>
        <v>NEUMATICOS; VEHICULO: AUTOMOVIL, CONSTRUCCION: RADIAL, ARMADO: S/CAMARA, MEDIDA: 205/55R16</v>
      </c>
      <c r="D14" s="167"/>
      <c r="E14" s="167"/>
      <c r="F14" s="167"/>
      <c r="G14" s="167"/>
      <c r="H14" s="29" t="s">
        <v>116</v>
      </c>
      <c r="I14" s="39" t="s">
        <v>19</v>
      </c>
      <c r="J14" s="40">
        <f>'Necesidades Trimestrales'!H12</f>
        <v>59000</v>
      </c>
      <c r="K14" s="41">
        <f>'Necesidades Trimestrales'!G12</f>
        <v>2</v>
      </c>
    </row>
    <row r="15" spans="1:11" ht="32.25" customHeight="1" x14ac:dyDescent="0.25">
      <c r="A15" s="38">
        <v>4</v>
      </c>
      <c r="B15" s="28" t="str">
        <f>'Necesidades Trimestrales'!B13</f>
        <v>2.4.4-6818.97</v>
      </c>
      <c r="C15" s="167" t="str">
        <f>'Necesidades Trimestrales'!E13</f>
        <v>NEUMATICOS; VEHICULO: AUTOMOVIL, ARMADO: S/CAMARA, MEDIDA: 175/70R14, CONSTRUCCION: RADIAL</v>
      </c>
      <c r="D15" s="167"/>
      <c r="E15" s="167"/>
      <c r="F15" s="167"/>
      <c r="G15" s="167"/>
      <c r="H15" s="29" t="s">
        <v>116</v>
      </c>
      <c r="I15" s="39" t="s">
        <v>19</v>
      </c>
      <c r="J15" s="40">
        <f>'Necesidades Trimestrales'!H13</f>
        <v>44200</v>
      </c>
      <c r="K15" s="42">
        <f>'Necesidades Trimestrales'!G13</f>
        <v>4</v>
      </c>
    </row>
    <row r="16" spans="1:11" ht="19.5" customHeight="1" x14ac:dyDescent="0.25">
      <c r="A16" s="38">
        <v>5</v>
      </c>
      <c r="B16" s="28" t="str">
        <f>'Necesidades Trimestrales'!B14</f>
        <v>2.4.4-6818.97</v>
      </c>
      <c r="C16" s="167" t="str">
        <f>'Necesidades Trimestrales'!E14</f>
        <v>NEUMATICOS; VEHICULO: AUTOMOVIL, ARMADO: S/CAMARA, MEDIDA: 175/70R14, CONSTRUCCION: RADIAL</v>
      </c>
      <c r="D16" s="167"/>
      <c r="E16" s="167"/>
      <c r="F16" s="167"/>
      <c r="G16" s="167"/>
      <c r="H16" s="29" t="s">
        <v>116</v>
      </c>
      <c r="I16" s="39" t="s">
        <v>19</v>
      </c>
      <c r="J16" s="40">
        <f>'Necesidades Trimestrales'!H14</f>
        <v>44200</v>
      </c>
      <c r="K16" s="42">
        <f>'Necesidades Trimestrales'!G14</f>
        <v>4</v>
      </c>
    </row>
    <row r="17" spans="1:11" ht="32.25" customHeight="1" x14ac:dyDescent="0.25">
      <c r="A17" s="38">
        <v>6</v>
      </c>
      <c r="B17" s="28" t="e">
        <f>'Necesidades Trimestrales'!#REF!</f>
        <v>#REF!</v>
      </c>
      <c r="C17" s="167" t="e">
        <f>'Necesidades Trimestrales'!#REF!</f>
        <v>#REF!</v>
      </c>
      <c r="D17" s="167"/>
      <c r="E17" s="167"/>
      <c r="F17" s="167"/>
      <c r="G17" s="167"/>
      <c r="H17" s="29" t="s">
        <v>116</v>
      </c>
      <c r="I17" s="39" t="s">
        <v>19</v>
      </c>
      <c r="J17" s="40" t="e">
        <f>'Necesidades Trimestrales'!#REF!</f>
        <v>#REF!</v>
      </c>
      <c r="K17" s="41" t="e">
        <f>'Necesidades Trimestrales'!#REF!</f>
        <v>#REF!</v>
      </c>
    </row>
    <row r="18" spans="1:11" ht="32.25" customHeight="1" x14ac:dyDescent="0.25">
      <c r="A18" s="38">
        <v>7</v>
      </c>
      <c r="B18" s="28" t="str">
        <f>'Necesidades Trimestrales'!B15</f>
        <v>2.4.4-6818.89</v>
      </c>
      <c r="C18" s="167" t="str">
        <f>'Necesidades Trimestrales'!E15</f>
        <v>NEUMATICOS; VEHICULO: AUTOMOVIL, CONSTRUCCION: CONVENCIONAL, ARMADO: C/CAMARA, MEDIDA: 185/60R14</v>
      </c>
      <c r="D18" s="167"/>
      <c r="E18" s="167"/>
      <c r="F18" s="167"/>
      <c r="G18" s="167"/>
      <c r="H18" s="29" t="s">
        <v>116</v>
      </c>
      <c r="I18" s="39" t="s">
        <v>19</v>
      </c>
      <c r="J18" s="40">
        <f>'Necesidades Trimestrales'!H15</f>
        <v>47000</v>
      </c>
      <c r="K18" s="41">
        <f>'Necesidades Trimestrales'!G15</f>
        <v>2</v>
      </c>
    </row>
    <row r="19" spans="1:11" ht="20.25" customHeight="1" x14ac:dyDescent="0.25">
      <c r="A19" s="38">
        <v>8</v>
      </c>
      <c r="B19" s="28" t="e">
        <f>'Necesidades Trimestrales'!#REF!</f>
        <v>#REF!</v>
      </c>
      <c r="C19" s="167" t="e">
        <f>'Necesidades Trimestrales'!#REF!</f>
        <v>#REF!</v>
      </c>
      <c r="D19" s="167"/>
      <c r="E19" s="167"/>
      <c r="F19" s="167"/>
      <c r="G19" s="167"/>
      <c r="H19" s="29" t="s">
        <v>116</v>
      </c>
      <c r="I19" s="39" t="s">
        <v>19</v>
      </c>
      <c r="J19" s="40" t="e">
        <f>'Necesidades Trimestrales'!#REF!</f>
        <v>#REF!</v>
      </c>
      <c r="K19" s="41" t="e">
        <f>'Necesidades Trimestrales'!#REF!</f>
        <v>#REF!</v>
      </c>
    </row>
    <row r="20" spans="1:11" ht="20.25" customHeight="1" x14ac:dyDescent="0.25">
      <c r="A20" s="38">
        <v>9</v>
      </c>
      <c r="B20" s="28" t="str">
        <f>'Necesidades Trimestrales'!B16</f>
        <v>2.4.4-6818.891</v>
      </c>
      <c r="C20" s="167" t="str">
        <f>'Necesidades Trimestrales'!E16</f>
        <v>NEUMATICOS; VEHICULO: MINIBUS, CONSTRUCCION: RADIAL, ARMADO: SIN CAMARA, MEDIDA: 195/75R16</v>
      </c>
      <c r="D20" s="167"/>
      <c r="E20" s="167"/>
      <c r="F20" s="167"/>
      <c r="G20" s="167"/>
      <c r="H20" s="29" t="s">
        <v>116</v>
      </c>
      <c r="I20" s="39" t="s">
        <v>19</v>
      </c>
      <c r="J20" s="40">
        <f>'Necesidades Trimestrales'!H16</f>
        <v>83900</v>
      </c>
      <c r="K20" s="41">
        <f>'Necesidades Trimestrales'!G16</f>
        <v>2</v>
      </c>
    </row>
    <row r="21" spans="1:11" ht="20.25" customHeight="1" x14ac:dyDescent="0.25">
      <c r="A21" s="38">
        <v>10</v>
      </c>
      <c r="B21" s="28" t="str">
        <f>'Necesidades Trimestrales'!B17</f>
        <v>2.4.4-6818.810</v>
      </c>
      <c r="C21" s="167" t="str">
        <f>'Necesidades Trimestrales'!E17</f>
        <v>NEUMATICOS; VEHICULO: MINIBUS, CONSTRUCCION: RADIAL, ARMADO: S/CAMARA, MEDIDA: 225/75R16</v>
      </c>
      <c r="D21" s="167"/>
      <c r="E21" s="167"/>
      <c r="F21" s="167"/>
      <c r="G21" s="167"/>
      <c r="H21" s="29" t="s">
        <v>116</v>
      </c>
      <c r="I21" s="39" t="s">
        <v>19</v>
      </c>
      <c r="J21" s="40">
        <f>'Necesidades Trimestrales'!H17</f>
        <v>75000</v>
      </c>
      <c r="K21" s="41">
        <f>'Necesidades Trimestrales'!G17</f>
        <v>2</v>
      </c>
    </row>
    <row r="22" spans="1:11" ht="20.25" customHeight="1" x14ac:dyDescent="0.25">
      <c r="A22" s="38">
        <v>11</v>
      </c>
      <c r="B22" s="28" t="str">
        <f>'Necesidades Trimestrales'!B18</f>
        <v>2.4.4-6818.989</v>
      </c>
      <c r="C22" s="167" t="str">
        <f>'Necesidades Trimestrales'!E18</f>
        <v>NEUMATICOS; VEHICULO: CAMIONETA, CONSTRUCCION: RADIAL, ARMADO: S/CAMARA, MEDIDA: 225/70 R17</v>
      </c>
      <c r="D22" s="167"/>
      <c r="E22" s="167"/>
      <c r="F22" s="167"/>
      <c r="G22" s="167"/>
      <c r="H22" s="29" t="s">
        <v>116</v>
      </c>
      <c r="I22" s="39" t="s">
        <v>19</v>
      </c>
      <c r="J22" s="40">
        <f>'Necesidades Trimestrales'!H18</f>
        <v>84000</v>
      </c>
      <c r="K22" s="41">
        <f>'Necesidades Trimestrales'!G18</f>
        <v>70</v>
      </c>
    </row>
    <row r="23" spans="1:11" ht="20.25" customHeight="1" x14ac:dyDescent="0.25">
      <c r="A23" s="38">
        <v>12</v>
      </c>
      <c r="B23" s="28" t="e">
        <f>'Necesidades Trimestrales'!#REF!</f>
        <v>#REF!</v>
      </c>
      <c r="C23" s="167" t="e">
        <f>'Necesidades Trimestrales'!#REF!</f>
        <v>#REF!</v>
      </c>
      <c r="D23" s="167"/>
      <c r="E23" s="167"/>
      <c r="F23" s="167"/>
      <c r="G23" s="167"/>
      <c r="H23" s="29" t="s">
        <v>116</v>
      </c>
      <c r="I23" s="39" t="s">
        <v>19</v>
      </c>
      <c r="J23" s="40" t="e">
        <f>'Necesidades Trimestrales'!#REF!</f>
        <v>#REF!</v>
      </c>
      <c r="K23" s="41" t="e">
        <f>'Necesidades Trimestrales'!#REF!</f>
        <v>#REF!</v>
      </c>
    </row>
    <row r="24" spans="1:11" ht="20.25" customHeight="1" x14ac:dyDescent="0.25">
      <c r="A24" s="38">
        <v>13</v>
      </c>
      <c r="B24" s="28" t="str">
        <f>'Necesidades Trimestrales'!B19</f>
        <v>2.4.4-6818.1032</v>
      </c>
      <c r="C24" s="167" t="str">
        <f>'Necesidades Trimestrales'!E19</f>
        <v>NEUMATICOS; VEHICULO: CAMION, CONSTRUCCION: RADIAL, ARMADO: S/CAMARA, MEDIDA: SEGUN PLIEGO</v>
      </c>
      <c r="D24" s="167"/>
      <c r="E24" s="167"/>
      <c r="F24" s="167"/>
      <c r="G24" s="167"/>
      <c r="H24" s="29" t="s">
        <v>116</v>
      </c>
      <c r="I24" s="39" t="s">
        <v>19</v>
      </c>
      <c r="J24" s="40">
        <f>'Necesidades Trimestrales'!H19</f>
        <v>145000</v>
      </c>
      <c r="K24" s="41">
        <f>'Necesidades Trimestrales'!G19</f>
        <v>2</v>
      </c>
    </row>
    <row r="25" spans="1:11" ht="20.25" customHeight="1" x14ac:dyDescent="0.25">
      <c r="A25" s="38">
        <v>14</v>
      </c>
      <c r="B25" s="28" t="e">
        <f>'Necesidades Trimestrales'!#REF!</f>
        <v>#REF!</v>
      </c>
      <c r="C25" s="167" t="e">
        <f>'Necesidades Trimestrales'!#REF!</f>
        <v>#REF!</v>
      </c>
      <c r="D25" s="167"/>
      <c r="E25" s="167"/>
      <c r="F25" s="167"/>
      <c r="G25" s="167"/>
      <c r="H25" s="29" t="s">
        <v>116</v>
      </c>
      <c r="I25" s="39" t="s">
        <v>19</v>
      </c>
      <c r="J25" s="40" t="e">
        <f>'Necesidades Trimestrales'!#REF!</f>
        <v>#REF!</v>
      </c>
      <c r="K25" s="41" t="e">
        <f>'Necesidades Trimestrales'!#REF!</f>
        <v>#REF!</v>
      </c>
    </row>
    <row r="26" spans="1:11" ht="20.25" customHeight="1" x14ac:dyDescent="0.25">
      <c r="A26" s="38">
        <v>15</v>
      </c>
      <c r="B26" s="28" t="str">
        <f>'Necesidades Trimestrales'!B28</f>
        <v>2.4.4-6818.631</v>
      </c>
      <c r="C26" s="167" t="str">
        <f>'Necesidades Trimestrales'!E28</f>
        <v>NEUMATICOS; VEHICULO: MOTO, CONSTRUCCION: RADIAL, ARMADO: C/CAMARA, MEDIDA: 90/90-21</v>
      </c>
      <c r="D26" s="167"/>
      <c r="E26" s="167"/>
      <c r="F26" s="167"/>
      <c r="G26" s="167"/>
      <c r="H26" s="29" t="s">
        <v>116</v>
      </c>
      <c r="I26" s="39" t="s">
        <v>19</v>
      </c>
      <c r="J26" s="40">
        <f>'Necesidades Trimestrales'!H28</f>
        <v>137000</v>
      </c>
      <c r="K26" s="41">
        <f>'Necesidades Trimestrales'!G28</f>
        <v>20</v>
      </c>
    </row>
    <row r="27" spans="1:11" ht="20.25" customHeight="1" x14ac:dyDescent="0.25">
      <c r="A27" s="38">
        <v>16</v>
      </c>
      <c r="B27" s="28" t="e">
        <f>'Necesidades Trimestrales'!#REF!</f>
        <v>#REF!</v>
      </c>
      <c r="C27" s="167" t="e">
        <f>'Necesidades Trimestrales'!#REF!</f>
        <v>#REF!</v>
      </c>
      <c r="D27" s="167"/>
      <c r="E27" s="167"/>
      <c r="F27" s="167"/>
      <c r="G27" s="167"/>
      <c r="H27" s="29" t="s">
        <v>116</v>
      </c>
      <c r="I27" s="39" t="s">
        <v>19</v>
      </c>
      <c r="J27" s="40" t="e">
        <f>'Necesidades Trimestrales'!#REF!</f>
        <v>#REF!</v>
      </c>
      <c r="K27" s="41" t="e">
        <f>'Necesidades Trimestrales'!#REF!</f>
        <v>#REF!</v>
      </c>
    </row>
    <row r="28" spans="1:11" ht="20.25" customHeight="1" x14ac:dyDescent="0.25">
      <c r="A28" s="38">
        <v>17</v>
      </c>
      <c r="B28" s="28" t="e">
        <f>'Necesidades Trimestrales'!#REF!</f>
        <v>#REF!</v>
      </c>
      <c r="C28" s="167" t="e">
        <f>'Necesidades Trimestrales'!#REF!</f>
        <v>#REF!</v>
      </c>
      <c r="D28" s="167"/>
      <c r="E28" s="167"/>
      <c r="F28" s="167"/>
      <c r="G28" s="167"/>
      <c r="H28" s="29" t="s">
        <v>116</v>
      </c>
      <c r="I28" s="39" t="s">
        <v>19</v>
      </c>
      <c r="J28" s="40" t="e">
        <f>'Necesidades Trimestrales'!#REF!</f>
        <v>#REF!</v>
      </c>
      <c r="K28" s="42" t="e">
        <f>'Necesidades Trimestrales'!#REF!</f>
        <v>#REF!</v>
      </c>
    </row>
    <row r="29" spans="1:11" ht="20.25" customHeight="1" thickBot="1" x14ac:dyDescent="0.3">
      <c r="A29" s="43">
        <v>18</v>
      </c>
      <c r="B29" s="30" t="e">
        <f>'Necesidades Trimestrales'!#REF!</f>
        <v>#REF!</v>
      </c>
      <c r="C29" s="173" t="e">
        <f>'Necesidades Trimestrales'!#REF!</f>
        <v>#REF!</v>
      </c>
      <c r="D29" s="173"/>
      <c r="E29" s="173"/>
      <c r="F29" s="173"/>
      <c r="G29" s="173"/>
      <c r="H29" s="31" t="s">
        <v>116</v>
      </c>
      <c r="I29" s="44" t="s">
        <v>19</v>
      </c>
      <c r="J29" s="45" t="e">
        <f>'Necesidades Trimestrales'!#REF!</f>
        <v>#REF!</v>
      </c>
      <c r="K29" s="46" t="e">
        <f>'Necesidades Trimestrales'!#REF!</f>
        <v>#REF!</v>
      </c>
    </row>
    <row r="30" spans="1:11" ht="20.25" customHeight="1" thickBot="1" x14ac:dyDescent="0.3">
      <c r="A30" s="169" t="s">
        <v>117</v>
      </c>
      <c r="B30" s="170"/>
      <c r="C30" s="170"/>
      <c r="D30" s="171" t="s">
        <v>118</v>
      </c>
      <c r="E30" s="171"/>
      <c r="F30" s="171"/>
      <c r="G30" s="171"/>
      <c r="H30" s="171"/>
      <c r="I30" s="172"/>
      <c r="J30" s="168" t="e">
        <f>SUMPRODUCT(J12:J29,K12:K29)</f>
        <v>#REF!</v>
      </c>
      <c r="K30" s="168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J30:K30"/>
    <mergeCell ref="A30:C30"/>
    <mergeCell ref="D30:I3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50" customWidth="1"/>
    <col min="7" max="7" width="4.42578125" style="70" customWidth="1"/>
    <col min="8" max="14" width="4.42578125" style="50" customWidth="1"/>
    <col min="15" max="16" width="14.85546875" style="50" customWidth="1"/>
    <col min="17" max="17" width="14.7109375" style="50" customWidth="1"/>
    <col min="18" max="16384" width="11" style="50"/>
  </cols>
  <sheetData>
    <row r="1" spans="1:17" ht="15.75" customHeight="1" thickBot="1" x14ac:dyDescent="0.3">
      <c r="A1" s="209" t="s">
        <v>5</v>
      </c>
      <c r="B1" s="209"/>
      <c r="C1" s="209"/>
      <c r="D1" s="210">
        <f>'[1]Necesidades Trimestrales'!C6</f>
        <v>2021</v>
      </c>
      <c r="E1" s="210"/>
      <c r="F1" s="47"/>
      <c r="G1" s="47"/>
      <c r="H1" s="48"/>
      <c r="I1" s="48"/>
      <c r="J1" s="48"/>
      <c r="K1" s="48"/>
      <c r="L1" s="48"/>
      <c r="M1" s="48"/>
      <c r="N1" s="48"/>
      <c r="O1" s="49"/>
      <c r="P1" s="211" t="s">
        <v>119</v>
      </c>
      <c r="Q1" s="211"/>
    </row>
    <row r="2" spans="1:17" ht="15.75" customHeight="1" thickBot="1" x14ac:dyDescent="0.3">
      <c r="A2" s="49"/>
      <c r="B2" s="49"/>
      <c r="C2" s="49"/>
      <c r="D2" s="49"/>
      <c r="E2" s="49"/>
      <c r="F2" s="49"/>
      <c r="G2" s="51"/>
      <c r="H2" s="48"/>
      <c r="I2" s="48"/>
      <c r="J2" s="48"/>
      <c r="K2" s="48"/>
      <c r="L2" s="48"/>
      <c r="M2" s="48"/>
      <c r="N2" s="48"/>
      <c r="O2" s="49"/>
      <c r="P2" s="211"/>
      <c r="Q2" s="211"/>
    </row>
    <row r="3" spans="1:17" ht="14.25" thickBot="1" x14ac:dyDescent="0.3">
      <c r="A3" s="49"/>
      <c r="B3" s="49"/>
      <c r="C3" s="49"/>
      <c r="D3" s="49"/>
      <c r="E3" s="49"/>
      <c r="F3" s="49"/>
      <c r="G3" s="51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s="52" customFormat="1" ht="18" customHeight="1" thickBot="1" x14ac:dyDescent="0.35">
      <c r="A4" s="212" t="s">
        <v>120</v>
      </c>
      <c r="B4" s="212"/>
      <c r="C4" s="212"/>
      <c r="D4" s="212"/>
      <c r="E4" s="212"/>
      <c r="F4" s="212"/>
      <c r="G4" s="205" t="str">
        <f>' NotaPedido'!D3</f>
        <v>90 - Ministerio de Seguridad</v>
      </c>
      <c r="H4" s="206"/>
      <c r="I4" s="206"/>
      <c r="J4" s="206"/>
      <c r="K4" s="206"/>
      <c r="L4" s="206"/>
      <c r="M4" s="206"/>
      <c r="N4" s="206"/>
      <c r="O4" s="206"/>
      <c r="P4" s="206"/>
      <c r="Q4" s="207"/>
    </row>
    <row r="5" spans="1:17" s="52" customFormat="1" ht="18" customHeight="1" thickBot="1" x14ac:dyDescent="0.35">
      <c r="A5" s="202" t="s">
        <v>101</v>
      </c>
      <c r="B5" s="203"/>
      <c r="C5" s="203"/>
      <c r="D5" s="203"/>
      <c r="E5" s="203"/>
      <c r="F5" s="204"/>
      <c r="G5" s="205" t="str">
        <f>' NotaPedido'!D4</f>
        <v>7- Dirección Provincial de Administración de la Policía de la Provincia de Catamarca</v>
      </c>
      <c r="H5" s="206"/>
      <c r="I5" s="206"/>
      <c r="J5" s="206"/>
      <c r="K5" s="206"/>
      <c r="L5" s="206"/>
      <c r="M5" s="206"/>
      <c r="N5" s="206"/>
      <c r="O5" s="206"/>
      <c r="P5" s="206"/>
      <c r="Q5" s="207"/>
    </row>
    <row r="6" spans="1:17" s="52" customFormat="1" ht="18" customHeight="1" thickBot="1" x14ac:dyDescent="0.35">
      <c r="A6" s="202" t="s">
        <v>102</v>
      </c>
      <c r="B6" s="203"/>
      <c r="C6" s="203"/>
      <c r="D6" s="203"/>
      <c r="E6" s="203"/>
      <c r="F6" s="204"/>
      <c r="G6" s="205" t="str">
        <f>' NotaPedido'!D5</f>
        <v>Jefatura de Policía de la Provincia de Catamarca</v>
      </c>
      <c r="H6" s="206"/>
      <c r="I6" s="206"/>
      <c r="J6" s="206"/>
      <c r="K6" s="206"/>
      <c r="L6" s="206"/>
      <c r="M6" s="206"/>
      <c r="N6" s="206"/>
      <c r="O6" s="206"/>
      <c r="P6" s="206"/>
      <c r="Q6" s="207"/>
    </row>
    <row r="7" spans="1:17" s="52" customFormat="1" ht="24.75" customHeight="1" thickBot="1" x14ac:dyDescent="0.35">
      <c r="A7" s="202" t="s">
        <v>104</v>
      </c>
      <c r="B7" s="203"/>
      <c r="C7" s="203"/>
      <c r="D7" s="203"/>
      <c r="E7" s="203"/>
      <c r="F7" s="204"/>
      <c r="G7" s="205" t="str">
        <f>' NotaPedido'!D6</f>
        <v>División Transporte- Dpto. Logistica (D-4)</v>
      </c>
      <c r="H7" s="206"/>
      <c r="I7" s="206"/>
      <c r="J7" s="206"/>
      <c r="K7" s="206"/>
      <c r="L7" s="206"/>
      <c r="M7" s="206"/>
      <c r="N7" s="206"/>
      <c r="O7" s="206"/>
      <c r="P7" s="206"/>
      <c r="Q7" s="207"/>
    </row>
    <row r="8" spans="1:17" ht="18" customHeight="1" thickBot="1" x14ac:dyDescent="0.25">
      <c r="A8" s="208" t="s">
        <v>121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</row>
    <row r="9" spans="1:17" ht="18" customHeight="1" x14ac:dyDescent="0.3">
      <c r="A9" s="196" t="s">
        <v>122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49"/>
      <c r="P9" s="49"/>
      <c r="Q9" s="53"/>
    </row>
    <row r="10" spans="1:17" ht="66.75" customHeight="1" x14ac:dyDescent="0.2">
      <c r="A10" s="19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</row>
    <row r="11" spans="1:17" ht="9" customHeight="1" thickBot="1" x14ac:dyDescent="0.3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7"/>
    </row>
    <row r="12" spans="1:17" ht="15.75" customHeight="1" thickBot="1" x14ac:dyDescent="0.25">
      <c r="A12" s="198" t="s">
        <v>123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ht="15.75" customHeight="1" thickBot="1" x14ac:dyDescent="0.25">
      <c r="A13" s="199" t="s">
        <v>124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200" t="s">
        <v>125</v>
      </c>
      <c r="P13" s="200"/>
      <c r="Q13" s="201" t="s">
        <v>126</v>
      </c>
    </row>
    <row r="14" spans="1:17" ht="15.75" customHeight="1" thickBot="1" x14ac:dyDescent="0.25">
      <c r="A14" s="58" t="s">
        <v>127</v>
      </c>
      <c r="B14" s="59" t="s">
        <v>128</v>
      </c>
      <c r="C14" s="59" t="s">
        <v>129</v>
      </c>
      <c r="D14" s="59" t="s">
        <v>130</v>
      </c>
      <c r="E14" s="59" t="s">
        <v>131</v>
      </c>
      <c r="F14" s="59" t="s">
        <v>132</v>
      </c>
      <c r="G14" s="60" t="s">
        <v>133</v>
      </c>
      <c r="H14" s="59" t="s">
        <v>134</v>
      </c>
      <c r="I14" s="59" t="s">
        <v>135</v>
      </c>
      <c r="J14" s="59" t="s">
        <v>136</v>
      </c>
      <c r="K14" s="59" t="s">
        <v>136</v>
      </c>
      <c r="L14" s="59" t="s">
        <v>137</v>
      </c>
      <c r="M14" s="61" t="s">
        <v>138</v>
      </c>
      <c r="N14" s="62" t="s">
        <v>139</v>
      </c>
      <c r="O14" s="200"/>
      <c r="P14" s="200"/>
      <c r="Q14" s="201"/>
    </row>
    <row r="15" spans="1:17" ht="17.25" customHeight="1" thickBot="1" x14ac:dyDescent="0.25">
      <c r="A15" s="63">
        <v>16</v>
      </c>
      <c r="B15" s="64">
        <v>0</v>
      </c>
      <c r="C15" s="64">
        <v>0</v>
      </c>
      <c r="D15" s="64">
        <v>1</v>
      </c>
      <c r="E15" s="64">
        <v>0</v>
      </c>
      <c r="F15" s="64">
        <v>10</v>
      </c>
      <c r="G15" s="64">
        <v>2</v>
      </c>
      <c r="H15" s="64">
        <v>1</v>
      </c>
      <c r="I15" s="64">
        <v>2</v>
      </c>
      <c r="J15" s="64">
        <v>4</v>
      </c>
      <c r="K15" s="64">
        <v>4</v>
      </c>
      <c r="L15" s="64">
        <v>0</v>
      </c>
      <c r="M15" s="65">
        <v>1</v>
      </c>
      <c r="N15" s="64" t="s">
        <v>140</v>
      </c>
      <c r="O15" s="187" t="s">
        <v>141</v>
      </c>
      <c r="P15" s="187"/>
      <c r="Q15" s="66">
        <f>'Necesidades Trimestrales'!I33</f>
        <v>0</v>
      </c>
    </row>
    <row r="16" spans="1:17" ht="23.25" customHeight="1" thickBot="1" x14ac:dyDescent="0.25">
      <c r="A16" s="188" t="s">
        <v>142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90"/>
      <c r="Q16" s="66">
        <f>+Q15</f>
        <v>0</v>
      </c>
    </row>
    <row r="17" spans="1:18" ht="21.75" customHeight="1" thickBot="1" x14ac:dyDescent="0.3">
      <c r="A17" s="67"/>
      <c r="B17" s="68"/>
      <c r="C17" s="68"/>
      <c r="D17" s="68"/>
      <c r="E17" s="195" t="str">
        <f>' NotaPedido'!D30</f>
        <v>Trece Millones Quinientos Cuatro Mil Doscientos Cuatro con 00/100.</v>
      </c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69"/>
    </row>
    <row r="18" spans="1:18" ht="17.25" customHeight="1" thickBot="1" x14ac:dyDescent="0.25">
      <c r="A18" s="191" t="s">
        <v>143</v>
      </c>
      <c r="B18" s="192"/>
      <c r="C18" s="192"/>
      <c r="D18" s="192"/>
      <c r="E18" s="192"/>
      <c r="F18" s="193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</row>
    <row r="19" spans="1:18" ht="17.25" customHeight="1" thickBot="1" x14ac:dyDescent="0.25">
      <c r="A19" s="186" t="str">
        <f>' NotaPedido'!D8</f>
        <v>Adquisición de CUBIERTAS destinadas a las Unidades Moviles de la Policia de Catamarca.-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</row>
    <row r="20" spans="1:18" ht="17.25" customHeight="1" thickBot="1" x14ac:dyDescent="0.25">
      <c r="A20" s="186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</row>
    <row r="21" spans="1:18" ht="17.25" customHeight="1" x14ac:dyDescent="0.2">
      <c r="A21" s="19"/>
      <c r="B21" s="19"/>
      <c r="C21" s="19"/>
      <c r="D21" s="19"/>
      <c r="E21" s="19"/>
      <c r="F21" s="20"/>
      <c r="G21" s="19"/>
      <c r="H21" s="19"/>
      <c r="I21" s="19"/>
      <c r="J21" s="19"/>
      <c r="K21" s="19"/>
      <c r="L21" s="19"/>
      <c r="M21" s="19"/>
      <c r="N21" s="19"/>
      <c r="O21" s="23"/>
      <c r="P21" s="23"/>
      <c r="Q21" s="18"/>
      <c r="R21" s="16"/>
    </row>
    <row r="22" spans="1:18" ht="17.25" customHeight="1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3"/>
      <c r="P22" s="23"/>
      <c r="Q22" s="18"/>
    </row>
    <row r="23" spans="1:18" ht="20.25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1"/>
    </row>
    <row r="24" spans="1:18" ht="18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8" ht="17.25" customHeight="1" x14ac:dyDescent="0.2">
      <c r="A25" s="24"/>
      <c r="B25" s="24"/>
      <c r="C25" s="24"/>
      <c r="D25" s="24"/>
      <c r="E25" s="24"/>
      <c r="F25" s="2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8" ht="18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8" ht="1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8" x14ac:dyDescent="0.2">
      <c r="A28" s="16"/>
      <c r="B28" s="16"/>
      <c r="C28" s="16"/>
      <c r="D28" s="16"/>
      <c r="E28" s="16"/>
      <c r="F28" s="16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8" x14ac:dyDescent="0.2">
      <c r="A29" s="16"/>
      <c r="B29" s="16"/>
      <c r="C29" s="16"/>
      <c r="D29" s="16"/>
      <c r="E29" s="16"/>
      <c r="F29" s="16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8" x14ac:dyDescent="0.2">
      <c r="A30" s="16"/>
      <c r="B30" s="16"/>
      <c r="C30" s="16"/>
      <c r="D30" s="16"/>
      <c r="E30" s="16"/>
      <c r="F30" s="16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8" x14ac:dyDescent="0.2">
      <c r="A31" s="16"/>
      <c r="B31" s="16"/>
      <c r="C31" s="16"/>
      <c r="D31" s="16"/>
      <c r="E31" s="16"/>
      <c r="F31" s="16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8" x14ac:dyDescent="0.2">
      <c r="A32" s="16"/>
      <c r="B32" s="16"/>
      <c r="C32" s="16"/>
      <c r="D32" s="16"/>
      <c r="E32" s="16"/>
      <c r="F32" s="16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2">
      <c r="A33" s="16"/>
      <c r="B33" s="16"/>
      <c r="C33" s="16"/>
      <c r="D33" s="16"/>
      <c r="E33" s="16"/>
      <c r="F33" s="16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2">
      <c r="A34" s="16"/>
      <c r="B34" s="16"/>
      <c r="C34" s="16"/>
      <c r="D34" s="16"/>
      <c r="E34" s="16"/>
      <c r="F34" s="16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2">
      <c r="A35" s="16"/>
      <c r="B35" s="16"/>
      <c r="C35" s="16"/>
      <c r="D35" s="16"/>
      <c r="E35" s="16"/>
      <c r="F35" s="16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2">
      <c r="A36" s="16"/>
      <c r="B36" s="16"/>
      <c r="C36" s="16"/>
      <c r="D36" s="16"/>
      <c r="E36" s="16"/>
      <c r="F36" s="16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2">
      <c r="A37" s="16"/>
      <c r="B37" s="16"/>
      <c r="C37" s="16"/>
      <c r="D37" s="16"/>
      <c r="E37" s="16"/>
      <c r="F37" s="16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2">
      <c r="A38" s="16"/>
      <c r="B38" s="16"/>
      <c r="C38" s="16"/>
      <c r="D38" s="16"/>
      <c r="E38" s="16"/>
      <c r="F38" s="16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19:Q20"/>
    <mergeCell ref="O15:P15"/>
    <mergeCell ref="A16:P16"/>
    <mergeCell ref="A18:F18"/>
    <mergeCell ref="G18:Q18"/>
    <mergeCell ref="E17:P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PARQ. AUTOMOTOR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revision>2</cp:revision>
  <dcterms:created xsi:type="dcterms:W3CDTF">2020-07-17T23:44:49Z</dcterms:created>
  <dcterms:modified xsi:type="dcterms:W3CDTF">2022-09-22T01:49:40Z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