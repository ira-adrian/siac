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CONSOLIDADOS\DESCARTABLES COMPLEJOS\mp\"/>
    </mc:Choice>
  </mc:AlternateContent>
  <xr:revisionPtr revIDLastSave="0" documentId="8_{D2DD5794-F349-4C99-A078-4C01A14FD8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NotaPedido'!$A$10:$K$42</definedName>
    <definedName name="_xlnm._FilterDatabase" localSheetId="0" hidden="1">'Necesidades Trimestrales'!$A$9:$I$9</definedName>
    <definedName name="_xlnm.Print_Area" localSheetId="1">' NotaPedido'!$A$1:$K$42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K41" i="2" l="1"/>
  <c r="J41" i="2"/>
  <c r="I41" i="2"/>
  <c r="C41" i="2"/>
  <c r="B41" i="2"/>
  <c r="A41" i="2"/>
  <c r="K40" i="2"/>
  <c r="J40" i="2"/>
  <c r="I40" i="2"/>
  <c r="C40" i="2"/>
  <c r="B40" i="2"/>
  <c r="A40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K36" i="2"/>
  <c r="J36" i="2"/>
  <c r="I36" i="2"/>
  <c r="C36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K27" i="2"/>
  <c r="J27" i="2"/>
  <c r="I27" i="2"/>
  <c r="C27" i="2"/>
  <c r="B27" i="2"/>
  <c r="A27" i="2"/>
  <c r="I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Q18" i="3" l="1"/>
  <c r="K24" i="2" l="1"/>
  <c r="K25" i="2"/>
  <c r="K26" i="2"/>
  <c r="J24" i="2"/>
  <c r="J25" i="2"/>
  <c r="J26" i="2"/>
  <c r="I24" i="2"/>
  <c r="I25" i="2"/>
  <c r="I26" i="2"/>
  <c r="C24" i="2"/>
  <c r="C25" i="2"/>
  <c r="C26" i="2"/>
  <c r="B24" i="2"/>
  <c r="B25" i="2"/>
  <c r="B26" i="2"/>
  <c r="A24" i="2"/>
  <c r="A25" i="2"/>
  <c r="A26" i="2"/>
  <c r="I23" i="1"/>
  <c r="I19" i="1"/>
  <c r="I22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6" i="2"/>
  <c r="K17" i="2"/>
  <c r="K18" i="2"/>
  <c r="K19" i="2"/>
  <c r="K20" i="2"/>
  <c r="K21" i="2"/>
  <c r="K23" i="2"/>
  <c r="I12" i="2" l="1"/>
  <c r="I13" i="2"/>
  <c r="I14" i="2"/>
  <c r="I15" i="2"/>
  <c r="I16" i="2"/>
  <c r="I17" i="2"/>
  <c r="I18" i="2"/>
  <c r="I19" i="2"/>
  <c r="I21" i="2"/>
  <c r="I23" i="2"/>
  <c r="I21" i="1" l="1"/>
  <c r="I20" i="1"/>
  <c r="I24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<sst xmlns="http://schemas.openxmlformats.org/spreadsheetml/2006/main" count="203" uniqueCount="109">
  <si>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</si>
  <si>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</si>
  <si>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</si>
  <si>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</si>
  <si>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</si>
  <si>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</si>
  <si>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</si>
  <si>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</si>
  <si>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</si>
  <si>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</si>
  <si>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</si>
  <si>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</si>
  <si>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</si>
  <si>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</si>
  <si>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</si>
  <si>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</si>
  <si>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</si>
  <si>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</si>
  <si>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</si>
  <si>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</si>
  <si>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</si>
  <si>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</si>
  <si>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</si>
  <si>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</si>
  <si>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</si>
  <si>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</si>
  <si>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</si>
  <si>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</si>
  <si>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</si>
  <si>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</si>
  <si>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</si>
  <si>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</si>
  <si>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</si>
  <si>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</si>
  <si>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</si>
  <si>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</si>
  <si>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</si>
  <si>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</si>
  <si>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</si>
  <si>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</si>
  <si>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</si>
  <si>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</si>
  <si>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</si>
  <si>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</si>
  <si>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</si>
  <si>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</si>
  <si>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</si>
  <si>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</si>
  <si>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</si>
  <si>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</si>
  <si>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</si>
  <si>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</si>
  <si>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</si>
  <si>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</si>
  <si>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</si>
  <si>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</si>
  <si>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</si>
  <si>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</si>
  <si>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</si>
  <si>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</si>
  <si>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</si>
  <si>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</si>
  <si>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</si>
  <si>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</si>
  <si>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</si>
  <si>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</si>
  <si>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</si>
  <si>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20 dias desde la firma del instrumento contractual</t>
  </si>
  <si>
    <t xml:space="preserve"> Adquisición de Productos Medicos para DESCARTABLE COMPLEJO</t>
  </si>
  <si>
    <t>Para la adquisición de Adquisición de Productos Medicos para DESCARTABLE COMPLEJO, para ser destinados Servicio de Farmacia, de  la Maternidad Provincial 25 de Mayo.-</t>
  </si>
  <si>
    <t xml:space="preserve">Servicio de Farmacia  </t>
  </si>
  <si>
    <t>BOLSA P/ COLOSTOMIA ADULTO</t>
  </si>
  <si>
    <t>BOLSA P/COLOSTOMIA NEONATAL</t>
  </si>
  <si>
    <t>CAMPO DE INCISION STERI-DRAPE 10-50</t>
  </si>
  <si>
    <t>CATETER DOBLE J 7 FRENCH X 46 CM TIPO COOK</t>
  </si>
  <si>
    <t>CATETER EPICUTANEO CAVA COD.540-30 T/SILMAG</t>
  </si>
  <si>
    <t>CATETER EPICUTANEO CAVA COD.541-15 T/SILMAG</t>
  </si>
  <si>
    <t>CATETER EPICUTANEO CAVA COD.541-30 T/SILMAG</t>
  </si>
  <si>
    <t>CATETER EPICUTANEO CAVA COD.541-50 T/SILMAG</t>
  </si>
  <si>
    <t>CATETER UMBILICAL ARTERIAL - 2,5</t>
  </si>
  <si>
    <t>CATETER UMBILICAL ARTERIAL - 3</t>
  </si>
  <si>
    <t>CATETER UMBILICAL ARTERIAL - 3,5</t>
  </si>
  <si>
    <t>CATETER UMBILICAL ARTERIAL - 4</t>
  </si>
  <si>
    <t>CATETER UMBILICAL VENOSO - 4</t>
  </si>
  <si>
    <t>CATETER UMBILICAL VENOSO- 2,5</t>
  </si>
  <si>
    <t>CATETER UMBILICAL VENOSO- 3,5</t>
  </si>
  <si>
    <t>DRENAJE DE SILICONA ESTERIL TIPO DRENAJE BLAKE 24 FR ADULTO</t>
  </si>
  <si>
    <t>ESPONJA GELATINOSA ABSORBIBLE TIPO SPONGOSTAN 80 X 50 X 10 MM SOBRE</t>
  </si>
  <si>
    <t>FRASCO PARA DRENAJE TORACICO x 2500 ML</t>
  </si>
  <si>
    <t>FRASCO PARA DRENAJE TORACICO x 750 ML</t>
  </si>
  <si>
    <t>GUIA ARTERIAL CON GUIA HEPARINA Y TRANSDUCTOR DE PRESION P 0.8 TIPO NIPRO</t>
  </si>
  <si>
    <t>HEMOSUCTOR  X 800 ML</t>
  </si>
  <si>
    <t>LIGACLIP LT 300 TIPO ETHICON</t>
  </si>
  <si>
    <t>LIGACLIP LT 400 TIPO ETHICON</t>
  </si>
  <si>
    <t>MALLA ABSORBIBLE POLIGLICOLICO 30 X 30 TIPO VICRYL</t>
  </si>
  <si>
    <t xml:space="preserve">MALLA QUIRURGICA SINTETICA NO ABSORBIBLE 30 X 30 TIPO PROLENE </t>
  </si>
  <si>
    <t>SET CATETER PERIDURAL N 18</t>
  </si>
  <si>
    <t>SET CATETER PERIDURAL N 20</t>
  </si>
  <si>
    <t>SURGICEL 7 x 5 CM SOBRE</t>
  </si>
  <si>
    <t>TROCAR P/DRENAJE PLEURAL FR 10</t>
  </si>
  <si>
    <t>TROCAR P/DRENAJE PLEURAL FR 8</t>
  </si>
  <si>
    <t xml:space="preserve">DESCARTEBLE COMPLEJO </t>
  </si>
  <si>
    <t>Utiles menores medico, Quirurgico y de Laboratorio</t>
  </si>
  <si>
    <t>SEMESTRAL</t>
  </si>
  <si>
    <t>"Autorizo la realización de los  trámites correspondientes, a fin de proveer a  este Organismo los bienes y/o servicios que se detallan en Nota  de Pedido N°12 /2022 ,  afectando la erogación resultante a los créditos presupuestarios aprobados a favor de esta Unidad Ejecutora, conforme al siguiente detalle:"</t>
  </si>
  <si>
    <t>N° 12/2022</t>
  </si>
  <si>
    <t>Especificidades Item N° : 1 A 30</t>
  </si>
  <si>
    <t>Costo total estimado: DOS MILLONES TRESCIENTOS NUEVE MIL NOVECIENTOS OCHENTA Y CINCO CON 12/100</t>
  </si>
  <si>
    <t>TOTAL DE PESOS: DOS MILLONES TRESCIENTOS NUEVE MIL NOVECIENTOS OCHENTA Y CINCO CON 12/100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</si>
</sst>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78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9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51" xfId="0" applyFont="1" applyBorder="1"/>
    <xf numFmtId="0" fontId="20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7" xfId="7" applyNumberFormat="1" applyFont="1" applyFill="1" applyBorder="1" applyAlignment="1">
      <alignment horizontal="center" vertical="center" wrapText="1"/>
    </xf>
    <xf numFmtId="170" fontId="30" fillId="0" borderId="58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3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5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9" xfId="0" applyFont="1" applyFill="1" applyBorder="1" applyAlignment="1">
      <alignment vertical="center"/>
    </xf>
    <xf numFmtId="0" fontId="20" fillId="0" borderId="49" xfId="0" applyFont="1" applyFill="1" applyBorder="1" applyAlignment="1"/>
    <xf numFmtId="0" fontId="20" fillId="0" borderId="49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3" xfId="7" applyFont="1" applyFill="1" applyBorder="1" applyAlignment="1">
      <alignment horizontal="center" vertical="center" wrapText="1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right" vertical="center"/>
    </xf>
    <xf numFmtId="169" fontId="20" fillId="0" borderId="0" xfId="0" applyNumberFormat="1" applyFont="1"/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9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9" xfId="0" applyFont="1" applyFill="1" applyBorder="1" applyAlignment="1">
      <alignment horizontal="left" vertical="center" wrapText="1" indent="1"/>
    </xf>
    <xf numFmtId="0" fontId="34" fillId="3" borderId="60" xfId="0" applyFont="1" applyFill="1" applyBorder="1" applyAlignment="1">
      <alignment horizontal="left" vertical="center" wrapText="1" indent="1"/>
    </xf>
    <xf numFmtId="0" fontId="34" fillId="3" borderId="61" xfId="0" applyFont="1" applyFill="1" applyBorder="1" applyAlignment="1">
      <alignment horizontal="left" vertical="center" wrapText="1" indent="1"/>
    </xf>
    <xf numFmtId="166" fontId="37" fillId="3" borderId="43" xfId="0" applyNumberFormat="1" applyFont="1" applyFill="1" applyBorder="1" applyAlignment="1">
      <alignment horizontal="center" vertical="center"/>
    </xf>
    <xf numFmtId="166" fontId="37" fillId="3" borderId="42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</cellXfs>
  <cellStyles count="10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  <cellStyle name="Normal 5" xfId="9" xr:uid="{00000000-0005-0000-0000-000009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80"/>
  <sheetViews>
    <sheetView tabSelected="1" topLeftCell="A31" zoomScale="80" zoomScaleNormal="80" workbookViewId="0">
      <selection activeCell="I39" sqref="I39"/>
    </sheetView>
  </sheetViews>
  <sheetFormatPr baseColWidth="10" defaultColWidth="11" defaultRowHeight="12.75" x14ac:dyDescent="0.2"/>
  <cols>
    <col min="1" max="1" width="7" style="76" customWidth="1"/>
    <col min="2" max="2" width="16.85546875" style="30" customWidth="1"/>
    <col min="3" max="3" width="25" style="82" customWidth="1"/>
    <col min="4" max="4" width="12.140625" style="30" customWidth="1"/>
    <col min="5" max="5" width="79" style="105" customWidth="1"/>
    <col min="6" max="6" width="17.85546875" style="30" bestFit="1" customWidth="1"/>
    <col min="7" max="7" width="12.7109375" style="76" customWidth="1"/>
    <col min="8" max="8" width="13.85546875" style="67" customWidth="1"/>
    <col min="9" max="9" width="30" style="80" customWidth="1"/>
    <col min="10" max="10" width="11" style="18"/>
    <col min="11" max="11" width="14.140625" style="18" bestFit="1" customWidth="1"/>
    <col min="12" max="16384" width="11" style="18"/>
  </cols>
  <sheetData>
    <row r="2" spans="1:9" ht="27" x14ac:dyDescent="0.35">
      <c r="E2" s="90" t="s">
        <v>0</v>
      </c>
      <c r="F2" s="34"/>
      <c r="G2" s="72"/>
      <c r="I2" s="79"/>
    </row>
    <row r="4" spans="1:9" ht="18" customHeight="1" x14ac:dyDescent="0.25">
      <c r="A4" s="119" t="s">
        <v>1</v>
      </c>
      <c r="B4" s="119"/>
      <c r="C4" s="119"/>
      <c r="D4" s="119"/>
      <c r="E4" s="120" t="s">
        <v>58</v>
      </c>
      <c r="F4" s="120"/>
      <c r="G4" s="120"/>
    </row>
    <row r="5" spans="1:9" ht="18" customHeight="1" x14ac:dyDescent="0.25">
      <c r="A5" s="119" t="s">
        <v>2</v>
      </c>
      <c r="B5" s="119"/>
      <c r="C5" s="119"/>
      <c r="D5" s="119"/>
      <c r="E5" s="120" t="s">
        <v>53</v>
      </c>
      <c r="F5" s="120"/>
      <c r="G5" s="120"/>
    </row>
    <row r="6" spans="1:9" ht="16.5" customHeight="1" x14ac:dyDescent="0.25">
      <c r="A6" s="119" t="s">
        <v>3</v>
      </c>
      <c r="B6" s="119"/>
      <c r="C6" s="119"/>
      <c r="D6" s="119"/>
      <c r="E6" s="91">
        <v>2022</v>
      </c>
      <c r="F6" s="33"/>
      <c r="G6" s="73"/>
    </row>
    <row r="7" spans="1:9" ht="16.5" customHeight="1" x14ac:dyDescent="0.25">
      <c r="A7" s="119" t="s">
        <v>63</v>
      </c>
      <c r="B7" s="119"/>
      <c r="C7" s="119"/>
      <c r="D7" s="119"/>
      <c r="E7" s="91" t="s">
        <v>66</v>
      </c>
      <c r="F7" s="33"/>
      <c r="G7" s="73"/>
    </row>
    <row r="8" spans="1:9" ht="13.5" thickBot="1" x14ac:dyDescent="0.25">
      <c r="E8" s="92"/>
      <c r="F8" s="31"/>
      <c r="G8" s="74"/>
    </row>
    <row r="9" spans="1:9" ht="39" thickBot="1" x14ac:dyDescent="0.25">
      <c r="A9" s="63" t="s">
        <v>4</v>
      </c>
      <c r="B9" s="64" t="s">
        <v>5</v>
      </c>
      <c r="C9" s="64" t="s">
        <v>51</v>
      </c>
      <c r="D9" s="64" t="s">
        <v>52</v>
      </c>
      <c r="E9" s="93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9" s="24" customFormat="1" ht="15.75" thickBot="1" x14ac:dyDescent="0.25">
      <c r="A10" s="77">
        <v>1</v>
      </c>
      <c r="B10" s="32"/>
      <c r="C10" s="116" t="s">
        <v>101</v>
      </c>
      <c r="D10" s="89">
        <v>295</v>
      </c>
      <c r="E10" s="94" t="s">
        <v>71</v>
      </c>
      <c r="F10" s="32" t="s">
        <v>11</v>
      </c>
      <c r="G10" s="75">
        <v>300</v>
      </c>
      <c r="H10" s="88">
        <v>175.5</v>
      </c>
      <c r="I10" s="69">
        <f t="shared" ref="I10:I39" si="0">G10*H10</f>
        <v>52650</v>
      </c>
    </row>
    <row r="11" spans="1:9" s="24" customFormat="1" ht="15.75" thickBot="1" x14ac:dyDescent="0.25">
      <c r="A11" s="78">
        <v>2</v>
      </c>
      <c r="B11" s="32"/>
      <c r="C11" s="116" t="s">
        <v>101</v>
      </c>
      <c r="D11" s="89">
        <v>295</v>
      </c>
      <c r="E11" s="108" t="s">
        <v>72</v>
      </c>
      <c r="F11" s="110" t="s">
        <v>11</v>
      </c>
      <c r="G11" s="75">
        <v>30</v>
      </c>
      <c r="H11" s="88">
        <v>308.30799999999999</v>
      </c>
      <c r="I11" s="69">
        <f t="shared" si="0"/>
        <v>9249.24</v>
      </c>
    </row>
    <row r="12" spans="1:9" ht="15.75" thickBot="1" x14ac:dyDescent="0.25">
      <c r="A12" s="77">
        <v>3</v>
      </c>
      <c r="B12" s="32"/>
      <c r="C12" s="116" t="s">
        <v>101</v>
      </c>
      <c r="D12" s="89">
        <v>295</v>
      </c>
      <c r="E12" s="95" t="s">
        <v>73</v>
      </c>
      <c r="F12" s="32" t="s">
        <v>11</v>
      </c>
      <c r="G12" s="75">
        <v>10</v>
      </c>
      <c r="H12" s="88">
        <v>472.89</v>
      </c>
      <c r="I12" s="69">
        <f t="shared" si="0"/>
        <v>4728.8999999999996</v>
      </c>
    </row>
    <row r="13" spans="1:9" ht="15.75" thickBot="1" x14ac:dyDescent="0.25">
      <c r="A13" s="77">
        <v>4</v>
      </c>
      <c r="B13" s="32"/>
      <c r="C13" s="116" t="s">
        <v>101</v>
      </c>
      <c r="D13" s="89">
        <v>295</v>
      </c>
      <c r="E13" s="112" t="s">
        <v>74</v>
      </c>
      <c r="F13" s="32" t="s">
        <v>11</v>
      </c>
      <c r="G13" s="75">
        <v>12</v>
      </c>
      <c r="H13" s="88">
        <v>54800</v>
      </c>
      <c r="I13" s="69">
        <f t="shared" si="0"/>
        <v>657600</v>
      </c>
    </row>
    <row r="14" spans="1:9" ht="15.75" thickBot="1" x14ac:dyDescent="0.25">
      <c r="A14" s="77">
        <v>5</v>
      </c>
      <c r="B14" s="32"/>
      <c r="C14" s="116" t="s">
        <v>101</v>
      </c>
      <c r="D14" s="89">
        <v>295</v>
      </c>
      <c r="E14" s="94" t="s">
        <v>75</v>
      </c>
      <c r="F14" s="32" t="s">
        <v>11</v>
      </c>
      <c r="G14" s="75">
        <v>15</v>
      </c>
      <c r="H14" s="88">
        <v>9646</v>
      </c>
      <c r="I14" s="69">
        <f t="shared" si="0"/>
        <v>144690</v>
      </c>
    </row>
    <row r="15" spans="1:9" ht="15.75" thickBot="1" x14ac:dyDescent="0.25">
      <c r="A15" s="78">
        <v>6</v>
      </c>
      <c r="B15" s="32"/>
      <c r="C15" s="116" t="s">
        <v>101</v>
      </c>
      <c r="D15" s="89">
        <v>295</v>
      </c>
      <c r="E15" s="94" t="s">
        <v>76</v>
      </c>
      <c r="F15" s="32" t="s">
        <v>11</v>
      </c>
      <c r="G15" s="75">
        <v>15</v>
      </c>
      <c r="H15" s="88">
        <v>11323</v>
      </c>
      <c r="I15" s="69">
        <f t="shared" si="0"/>
        <v>169845</v>
      </c>
    </row>
    <row r="16" spans="1:9" customFormat="1" ht="15.75" thickBot="1" x14ac:dyDescent="0.25">
      <c r="A16" s="77">
        <v>7</v>
      </c>
      <c r="B16" s="32"/>
      <c r="C16" s="116" t="s">
        <v>101</v>
      </c>
      <c r="D16" s="107">
        <v>295</v>
      </c>
      <c r="E16" s="106" t="s">
        <v>77</v>
      </c>
      <c r="F16" s="106" t="s">
        <v>11</v>
      </c>
      <c r="G16" s="75">
        <v>15</v>
      </c>
      <c r="H16" s="88">
        <v>11323</v>
      </c>
      <c r="I16" s="69">
        <f t="shared" si="0"/>
        <v>169845</v>
      </c>
    </row>
    <row r="17" spans="1:9" ht="15.75" thickBot="1" x14ac:dyDescent="0.25">
      <c r="A17" s="77">
        <v>8</v>
      </c>
      <c r="B17" s="32"/>
      <c r="C17" s="116" t="s">
        <v>101</v>
      </c>
      <c r="D17" s="89">
        <v>295</v>
      </c>
      <c r="E17" s="94" t="s">
        <v>78</v>
      </c>
      <c r="F17" s="32" t="s">
        <v>11</v>
      </c>
      <c r="G17" s="75">
        <v>15</v>
      </c>
      <c r="H17" s="88">
        <v>13464.1</v>
      </c>
      <c r="I17" s="69">
        <f t="shared" si="0"/>
        <v>201961.5</v>
      </c>
    </row>
    <row r="18" spans="1:9" ht="15.75" thickBot="1" x14ac:dyDescent="0.25">
      <c r="A18" s="77">
        <v>9</v>
      </c>
      <c r="B18" s="32"/>
      <c r="C18" s="116" t="s">
        <v>101</v>
      </c>
      <c r="D18" s="89">
        <v>295</v>
      </c>
      <c r="E18" s="108" t="s">
        <v>79</v>
      </c>
      <c r="F18" s="110" t="s">
        <v>11</v>
      </c>
      <c r="G18" s="75">
        <v>60</v>
      </c>
      <c r="H18" s="88">
        <v>1392</v>
      </c>
      <c r="I18" s="69">
        <f t="shared" si="0"/>
        <v>83520</v>
      </c>
    </row>
    <row r="19" spans="1:9" ht="15.75" thickBot="1" x14ac:dyDescent="0.25">
      <c r="A19" s="78">
        <v>10</v>
      </c>
      <c r="B19" s="32"/>
      <c r="C19" s="116" t="s">
        <v>101</v>
      </c>
      <c r="D19" s="89">
        <v>295</v>
      </c>
      <c r="E19" s="113" t="s">
        <v>80</v>
      </c>
      <c r="F19" s="110" t="s">
        <v>11</v>
      </c>
      <c r="G19" s="75">
        <v>60</v>
      </c>
      <c r="H19" s="88">
        <v>1392</v>
      </c>
      <c r="I19" s="69">
        <f t="shared" si="0"/>
        <v>83520</v>
      </c>
    </row>
    <row r="20" spans="1:9" ht="15.75" thickBot="1" x14ac:dyDescent="0.25">
      <c r="A20" s="77">
        <v>11</v>
      </c>
      <c r="B20" s="32"/>
      <c r="C20" s="116" t="s">
        <v>101</v>
      </c>
      <c r="D20" s="89">
        <v>295</v>
      </c>
      <c r="E20" s="94" t="s">
        <v>81</v>
      </c>
      <c r="F20" s="32" t="s">
        <v>11</v>
      </c>
      <c r="G20" s="75">
        <v>60</v>
      </c>
      <c r="H20" s="88">
        <v>1392</v>
      </c>
      <c r="I20" s="69">
        <f t="shared" si="0"/>
        <v>83520</v>
      </c>
    </row>
    <row r="21" spans="1:9" ht="15.75" thickBot="1" x14ac:dyDescent="0.25">
      <c r="A21" s="77">
        <v>12</v>
      </c>
      <c r="B21" s="32"/>
      <c r="C21" s="116" t="s">
        <v>101</v>
      </c>
      <c r="D21" s="89">
        <v>295</v>
      </c>
      <c r="E21" s="94" t="s">
        <v>82</v>
      </c>
      <c r="F21" s="32" t="s">
        <v>11</v>
      </c>
      <c r="G21" s="75">
        <v>50</v>
      </c>
      <c r="H21" s="88">
        <v>1392.3</v>
      </c>
      <c r="I21" s="69">
        <f t="shared" si="0"/>
        <v>69615</v>
      </c>
    </row>
    <row r="22" spans="1:9" ht="15.75" thickBot="1" x14ac:dyDescent="0.25">
      <c r="A22" s="77">
        <v>13</v>
      </c>
      <c r="B22" s="32"/>
      <c r="C22" s="116" t="s">
        <v>101</v>
      </c>
      <c r="D22" s="89">
        <v>295</v>
      </c>
      <c r="E22" s="109" t="s">
        <v>83</v>
      </c>
      <c r="F22" s="110" t="s">
        <v>11</v>
      </c>
      <c r="G22" s="75">
        <v>60</v>
      </c>
      <c r="H22" s="88">
        <v>1810.9</v>
      </c>
      <c r="I22" s="69">
        <f t="shared" si="0"/>
        <v>108654</v>
      </c>
    </row>
    <row r="23" spans="1:9" ht="15.75" thickBot="1" x14ac:dyDescent="0.25">
      <c r="A23" s="78">
        <v>14</v>
      </c>
      <c r="B23" s="32"/>
      <c r="C23" s="116" t="s">
        <v>101</v>
      </c>
      <c r="D23" s="89">
        <v>295</v>
      </c>
      <c r="E23" s="111" t="s">
        <v>84</v>
      </c>
      <c r="F23" s="110" t="s">
        <v>11</v>
      </c>
      <c r="G23" s="75">
        <v>60</v>
      </c>
      <c r="H23" s="88">
        <v>1810</v>
      </c>
      <c r="I23" s="69">
        <f t="shared" si="0"/>
        <v>108600</v>
      </c>
    </row>
    <row r="24" spans="1:9" ht="15.75" thickBot="1" x14ac:dyDescent="0.25">
      <c r="A24" s="77">
        <v>15</v>
      </c>
      <c r="B24" s="32"/>
      <c r="C24" s="116" t="s">
        <v>101</v>
      </c>
      <c r="D24" s="89">
        <v>295</v>
      </c>
      <c r="E24" s="94" t="s">
        <v>85</v>
      </c>
      <c r="F24" s="32" t="s">
        <v>11</v>
      </c>
      <c r="G24" s="75">
        <v>60</v>
      </c>
      <c r="H24" s="88">
        <v>1810</v>
      </c>
      <c r="I24" s="69">
        <f t="shared" si="0"/>
        <v>108600</v>
      </c>
    </row>
    <row r="25" spans="1:9" ht="15.75" thickBot="1" x14ac:dyDescent="0.25">
      <c r="A25" s="77">
        <v>16</v>
      </c>
      <c r="B25" s="32"/>
      <c r="C25" s="116" t="s">
        <v>101</v>
      </c>
      <c r="D25" s="89">
        <v>295</v>
      </c>
      <c r="E25" s="94" t="s">
        <v>86</v>
      </c>
      <c r="F25" s="32" t="s">
        <v>11</v>
      </c>
      <c r="G25" s="75">
        <v>5</v>
      </c>
      <c r="H25" s="88">
        <v>244.69499999999999</v>
      </c>
      <c r="I25" s="69">
        <f t="shared" si="0"/>
        <v>1223.4749999999999</v>
      </c>
    </row>
    <row r="26" spans="1:9" ht="15.75" thickBot="1" x14ac:dyDescent="0.25">
      <c r="A26" s="77">
        <v>17</v>
      </c>
      <c r="B26" s="32"/>
      <c r="C26" s="116" t="s">
        <v>101</v>
      </c>
      <c r="D26" s="89">
        <v>295</v>
      </c>
      <c r="E26" s="114" t="s">
        <v>87</v>
      </c>
      <c r="F26" s="32" t="s">
        <v>11</v>
      </c>
      <c r="G26" s="75">
        <v>50</v>
      </c>
      <c r="H26" s="88">
        <v>768.4</v>
      </c>
      <c r="I26" s="69">
        <f t="shared" si="0"/>
        <v>38420</v>
      </c>
    </row>
    <row r="27" spans="1:9" ht="15.75" thickBot="1" x14ac:dyDescent="0.25">
      <c r="A27" s="78">
        <v>18</v>
      </c>
      <c r="B27" s="32"/>
      <c r="C27" s="116" t="s">
        <v>101</v>
      </c>
      <c r="D27" s="89">
        <v>295</v>
      </c>
      <c r="E27" s="114" t="s">
        <v>88</v>
      </c>
      <c r="F27" s="32" t="s">
        <v>11</v>
      </c>
      <c r="G27" s="75">
        <v>3</v>
      </c>
      <c r="H27" s="88">
        <v>950</v>
      </c>
      <c r="I27" s="69">
        <f t="shared" si="0"/>
        <v>2850</v>
      </c>
    </row>
    <row r="28" spans="1:9" ht="15.75" thickBot="1" x14ac:dyDescent="0.25">
      <c r="A28" s="77">
        <v>19</v>
      </c>
      <c r="B28" s="32"/>
      <c r="C28" s="116" t="s">
        <v>101</v>
      </c>
      <c r="D28" s="89">
        <v>295</v>
      </c>
      <c r="E28" s="114" t="s">
        <v>89</v>
      </c>
      <c r="F28" s="32" t="s">
        <v>11</v>
      </c>
      <c r="G28" s="75">
        <v>10</v>
      </c>
      <c r="H28" s="88">
        <v>330</v>
      </c>
      <c r="I28" s="69">
        <f t="shared" si="0"/>
        <v>3300</v>
      </c>
    </row>
    <row r="29" spans="1:9" ht="15.75" thickBot="1" x14ac:dyDescent="0.25">
      <c r="A29" s="77">
        <v>20</v>
      </c>
      <c r="B29" s="32"/>
      <c r="C29" s="116" t="s">
        <v>101</v>
      </c>
      <c r="D29" s="89">
        <v>295</v>
      </c>
      <c r="E29" s="114" t="s">
        <v>90</v>
      </c>
      <c r="F29" s="32" t="s">
        <v>11</v>
      </c>
      <c r="G29" s="75">
        <v>5</v>
      </c>
      <c r="H29" s="88">
        <v>243</v>
      </c>
      <c r="I29" s="69">
        <f t="shared" si="0"/>
        <v>1215</v>
      </c>
    </row>
    <row r="30" spans="1:9" ht="15.75" thickBot="1" x14ac:dyDescent="0.25">
      <c r="A30" s="77">
        <v>21</v>
      </c>
      <c r="B30" s="32"/>
      <c r="C30" s="116" t="s">
        <v>101</v>
      </c>
      <c r="D30" s="89">
        <v>295</v>
      </c>
      <c r="E30" s="114" t="s">
        <v>91</v>
      </c>
      <c r="F30" s="32" t="s">
        <v>11</v>
      </c>
      <c r="G30" s="75">
        <v>10</v>
      </c>
      <c r="H30" s="88">
        <v>1387.5</v>
      </c>
      <c r="I30" s="69">
        <f t="shared" si="0"/>
        <v>13875</v>
      </c>
    </row>
    <row r="31" spans="1:9" ht="15.75" thickBot="1" x14ac:dyDescent="0.25">
      <c r="A31" s="78">
        <v>22</v>
      </c>
      <c r="B31" s="32"/>
      <c r="C31" s="116" t="s">
        <v>101</v>
      </c>
      <c r="D31" s="89">
        <v>295</v>
      </c>
      <c r="E31" s="114" t="s">
        <v>92</v>
      </c>
      <c r="F31" s="32" t="s">
        <v>11</v>
      </c>
      <c r="G31" s="75">
        <v>30</v>
      </c>
      <c r="H31" s="88">
        <v>971.1</v>
      </c>
      <c r="I31" s="69">
        <f t="shared" si="0"/>
        <v>29133</v>
      </c>
    </row>
    <row r="32" spans="1:9" ht="15.75" thickBot="1" x14ac:dyDescent="0.25">
      <c r="A32" s="77">
        <v>23</v>
      </c>
      <c r="B32" s="32"/>
      <c r="C32" s="116" t="s">
        <v>101</v>
      </c>
      <c r="D32" s="89">
        <v>295</v>
      </c>
      <c r="E32" s="114" t="s">
        <v>93</v>
      </c>
      <c r="F32" s="32" t="s">
        <v>11</v>
      </c>
      <c r="G32" s="75">
        <v>20</v>
      </c>
      <c r="H32" s="88">
        <v>971.1</v>
      </c>
      <c r="I32" s="69">
        <f t="shared" si="0"/>
        <v>19422</v>
      </c>
    </row>
    <row r="33" spans="1:11" ht="15.75" thickBot="1" x14ac:dyDescent="0.25">
      <c r="A33" s="77">
        <v>24</v>
      </c>
      <c r="B33" s="32"/>
      <c r="C33" s="116" t="s">
        <v>101</v>
      </c>
      <c r="D33" s="89">
        <v>295</v>
      </c>
      <c r="E33" s="114" t="s">
        <v>94</v>
      </c>
      <c r="F33" s="32" t="s">
        <v>11</v>
      </c>
      <c r="G33" s="75">
        <v>1</v>
      </c>
      <c r="H33" s="88">
        <v>7327.5</v>
      </c>
      <c r="I33" s="69">
        <f t="shared" si="0"/>
        <v>7327.5</v>
      </c>
    </row>
    <row r="34" spans="1:11" ht="15.75" thickBot="1" x14ac:dyDescent="0.25">
      <c r="A34" s="77">
        <v>25</v>
      </c>
      <c r="B34" s="32"/>
      <c r="C34" s="116" t="s">
        <v>101</v>
      </c>
      <c r="D34" s="89">
        <v>295</v>
      </c>
      <c r="E34" s="114" t="s">
        <v>95</v>
      </c>
      <c r="F34" s="32" t="s">
        <v>11</v>
      </c>
      <c r="G34" s="75">
        <v>1</v>
      </c>
      <c r="H34" s="88">
        <v>9909.2999999999993</v>
      </c>
      <c r="I34" s="69">
        <f t="shared" si="0"/>
        <v>9909.2999999999993</v>
      </c>
    </row>
    <row r="35" spans="1:11" ht="15.75" thickBot="1" x14ac:dyDescent="0.25">
      <c r="A35" s="78">
        <v>26</v>
      </c>
      <c r="B35" s="32"/>
      <c r="C35" s="116" t="s">
        <v>101</v>
      </c>
      <c r="D35" s="89">
        <v>295</v>
      </c>
      <c r="E35" s="114" t="s">
        <v>96</v>
      </c>
      <c r="F35" s="32" t="s">
        <v>11</v>
      </c>
      <c r="G35" s="75">
        <v>10</v>
      </c>
      <c r="H35" s="88">
        <v>3491.8</v>
      </c>
      <c r="I35" s="69">
        <f t="shared" si="0"/>
        <v>34918</v>
      </c>
    </row>
    <row r="36" spans="1:11" ht="15.75" thickBot="1" x14ac:dyDescent="0.25">
      <c r="A36" s="77">
        <v>27</v>
      </c>
      <c r="B36" s="32"/>
      <c r="C36" s="116" t="s">
        <v>101</v>
      </c>
      <c r="D36" s="89">
        <v>295</v>
      </c>
      <c r="E36" s="114" t="s">
        <v>97</v>
      </c>
      <c r="F36" s="32" t="s">
        <v>11</v>
      </c>
      <c r="G36" s="75">
        <v>10</v>
      </c>
      <c r="H36" s="88">
        <v>3491.8</v>
      </c>
      <c r="I36" s="69">
        <f t="shared" si="0"/>
        <v>34918</v>
      </c>
    </row>
    <row r="37" spans="1:11" ht="15.75" thickBot="1" x14ac:dyDescent="0.25">
      <c r="A37" s="77">
        <v>28</v>
      </c>
      <c r="B37" s="32"/>
      <c r="C37" s="116" t="s">
        <v>101</v>
      </c>
      <c r="D37" s="89">
        <v>295</v>
      </c>
      <c r="E37" s="114" t="s">
        <v>98</v>
      </c>
      <c r="F37" s="32" t="s">
        <v>11</v>
      </c>
      <c r="G37" s="75">
        <v>25</v>
      </c>
      <c r="H37" s="88">
        <v>988</v>
      </c>
      <c r="I37" s="69">
        <f t="shared" si="0"/>
        <v>24700</v>
      </c>
    </row>
    <row r="38" spans="1:11" ht="15.75" thickBot="1" x14ac:dyDescent="0.25">
      <c r="A38" s="77">
        <v>29</v>
      </c>
      <c r="B38" s="32"/>
      <c r="C38" s="116" t="s">
        <v>101</v>
      </c>
      <c r="D38" s="89">
        <v>295</v>
      </c>
      <c r="E38" s="114" t="s">
        <v>99</v>
      </c>
      <c r="F38" s="32" t="s">
        <v>11</v>
      </c>
      <c r="G38" s="75">
        <v>10</v>
      </c>
      <c r="H38" s="88">
        <v>804.375</v>
      </c>
      <c r="I38" s="69">
        <v>8043.8</v>
      </c>
      <c r="K38" s="118"/>
    </row>
    <row r="39" spans="1:11" ht="15" x14ac:dyDescent="0.2">
      <c r="A39" s="78">
        <v>30</v>
      </c>
      <c r="B39" s="32"/>
      <c r="C39" s="116" t="s">
        <v>101</v>
      </c>
      <c r="D39" s="89">
        <v>295</v>
      </c>
      <c r="E39" s="114" t="s">
        <v>100</v>
      </c>
      <c r="F39" s="32" t="s">
        <v>11</v>
      </c>
      <c r="G39" s="75">
        <v>30</v>
      </c>
      <c r="H39" s="88">
        <v>804.38</v>
      </c>
      <c r="I39" s="69">
        <f t="shared" si="0"/>
        <v>24131.4</v>
      </c>
    </row>
    <row r="40" spans="1:11" ht="15.75" x14ac:dyDescent="0.25">
      <c r="A40" s="39"/>
      <c r="B40" s="68"/>
      <c r="E40" s="96"/>
      <c r="I40" s="81"/>
    </row>
    <row r="41" spans="1:11" x14ac:dyDescent="0.2">
      <c r="A41" s="39"/>
      <c r="B41" s="18"/>
      <c r="D41" s="18"/>
      <c r="E41" s="97"/>
      <c r="F41" s="18"/>
      <c r="I41" s="81"/>
    </row>
    <row r="42" spans="1:11" ht="13.5" customHeight="1" thickBot="1" x14ac:dyDescent="0.25">
      <c r="A42" s="39"/>
      <c r="B42" s="71"/>
      <c r="C42" s="83"/>
      <c r="D42" s="38"/>
      <c r="E42" s="98"/>
      <c r="F42" s="18"/>
      <c r="G42" s="124"/>
      <c r="H42" s="18"/>
      <c r="I42" s="18"/>
    </row>
    <row r="43" spans="1:11" ht="15" customHeight="1" x14ac:dyDescent="0.2">
      <c r="A43" s="39"/>
      <c r="B43" s="127" t="s">
        <v>106</v>
      </c>
      <c r="C43" s="128"/>
      <c r="D43" s="128"/>
      <c r="E43" s="129"/>
      <c r="F43" s="18"/>
      <c r="G43" s="124"/>
      <c r="H43" s="18"/>
      <c r="I43" s="18"/>
    </row>
    <row r="44" spans="1:11" ht="15" customHeight="1" x14ac:dyDescent="0.2">
      <c r="A44" s="39"/>
      <c r="B44" s="40"/>
      <c r="C44" s="84"/>
      <c r="D44" s="18"/>
      <c r="E44" s="99"/>
      <c r="F44" s="18"/>
      <c r="G44" s="124"/>
      <c r="H44" s="18"/>
      <c r="I44" s="18"/>
    </row>
    <row r="45" spans="1:11" ht="15" customHeight="1" x14ac:dyDescent="0.2">
      <c r="A45" s="39"/>
      <c r="B45" s="41" t="s">
        <v>54</v>
      </c>
      <c r="C45" s="84"/>
      <c r="D45" s="18"/>
      <c r="E45" s="99"/>
      <c r="F45" s="18"/>
      <c r="G45" s="124"/>
      <c r="H45" s="18"/>
      <c r="I45" s="18"/>
    </row>
    <row r="46" spans="1:11" ht="27" customHeight="1" x14ac:dyDescent="0.2">
      <c r="A46" s="39"/>
      <c r="B46" s="41"/>
      <c r="C46" s="122" t="s">
        <v>65</v>
      </c>
      <c r="D46" s="122"/>
      <c r="E46" s="123"/>
      <c r="F46" s="18"/>
      <c r="G46" s="124"/>
      <c r="H46" s="18"/>
      <c r="I46" s="18"/>
    </row>
    <row r="47" spans="1:11" ht="15" customHeight="1" x14ac:dyDescent="0.2">
      <c r="A47" s="39"/>
      <c r="B47" s="42" t="s">
        <v>60</v>
      </c>
      <c r="C47" s="121" t="s">
        <v>67</v>
      </c>
      <c r="D47" s="121"/>
      <c r="E47" s="121"/>
      <c r="F47" s="18"/>
      <c r="G47" s="124"/>
      <c r="H47" s="18"/>
      <c r="I47" s="18"/>
    </row>
    <row r="48" spans="1:11" ht="15" customHeight="1" x14ac:dyDescent="0.2">
      <c r="A48" s="39"/>
      <c r="B48" s="126"/>
      <c r="C48" s="126"/>
      <c r="D48" s="126"/>
      <c r="E48" s="126"/>
      <c r="F48" s="18"/>
      <c r="G48" s="124"/>
      <c r="H48" s="18"/>
      <c r="I48" s="18"/>
    </row>
    <row r="49" spans="1:9" ht="24.75" customHeight="1" x14ac:dyDescent="0.2">
      <c r="A49" s="39"/>
      <c r="B49" s="40" t="s">
        <v>61</v>
      </c>
      <c r="C49" s="121" t="s">
        <v>62</v>
      </c>
      <c r="D49" s="121"/>
      <c r="E49" s="125"/>
      <c r="F49" s="18"/>
      <c r="G49" s="124"/>
      <c r="H49" s="18"/>
      <c r="I49" s="18"/>
    </row>
    <row r="50" spans="1:9" ht="15" customHeight="1" x14ac:dyDescent="0.2">
      <c r="A50" s="39"/>
      <c r="B50" s="40"/>
      <c r="C50" s="45"/>
      <c r="D50" s="44"/>
      <c r="E50" s="100"/>
      <c r="F50" s="18"/>
      <c r="G50" s="124"/>
      <c r="H50" s="18"/>
      <c r="I50" s="18"/>
    </row>
    <row r="51" spans="1:9" ht="12.75" customHeight="1" x14ac:dyDescent="0.2">
      <c r="A51" s="39"/>
      <c r="B51" s="41" t="s">
        <v>55</v>
      </c>
      <c r="C51" s="121"/>
      <c r="D51" s="121"/>
      <c r="E51" s="125"/>
      <c r="F51" s="18"/>
      <c r="G51" s="124"/>
      <c r="H51" s="18"/>
      <c r="I51" s="18"/>
    </row>
    <row r="52" spans="1:9" ht="12.75" customHeight="1" x14ac:dyDescent="0.2">
      <c r="A52" s="39"/>
      <c r="B52" s="40"/>
      <c r="C52" s="45"/>
      <c r="D52" s="45"/>
      <c r="E52" s="101"/>
      <c r="F52" s="18"/>
      <c r="G52" s="124"/>
      <c r="H52" s="18"/>
      <c r="I52" s="18"/>
    </row>
    <row r="53" spans="1:9" ht="15" customHeight="1" x14ac:dyDescent="0.2">
      <c r="A53" s="39"/>
      <c r="B53" s="41" t="s">
        <v>56</v>
      </c>
      <c r="C53" s="37"/>
      <c r="D53" s="35"/>
      <c r="E53" s="102"/>
      <c r="F53" s="18"/>
      <c r="G53" s="124"/>
      <c r="H53" s="18"/>
      <c r="I53" s="18"/>
    </row>
    <row r="54" spans="1:9" ht="15" customHeight="1" x14ac:dyDescent="0.2">
      <c r="A54" s="39"/>
      <c r="B54" s="40"/>
      <c r="C54" s="45"/>
      <c r="D54" s="45"/>
      <c r="E54" s="101" t="s">
        <v>64</v>
      </c>
      <c r="F54" s="18"/>
      <c r="G54" s="124"/>
      <c r="H54" s="18"/>
      <c r="I54" s="18"/>
    </row>
    <row r="55" spans="1:9" ht="15" customHeight="1" x14ac:dyDescent="0.2">
      <c r="A55" s="39"/>
      <c r="B55" s="41" t="s">
        <v>57</v>
      </c>
      <c r="C55" s="84"/>
      <c r="D55" s="18"/>
      <c r="E55" s="99"/>
      <c r="F55" s="18"/>
      <c r="G55" s="124"/>
      <c r="H55" s="18"/>
      <c r="I55" s="18"/>
    </row>
    <row r="56" spans="1:9" ht="15" customHeight="1" x14ac:dyDescent="0.2">
      <c r="A56" s="39"/>
      <c r="B56" s="41"/>
      <c r="C56" s="45"/>
      <c r="D56" s="44"/>
      <c r="E56" s="100"/>
      <c r="F56" s="18"/>
      <c r="G56" s="124"/>
      <c r="H56" s="18"/>
      <c r="I56" s="18"/>
    </row>
    <row r="57" spans="1:9" ht="12.75" customHeight="1" thickBot="1" x14ac:dyDescent="0.25">
      <c r="A57" s="39"/>
      <c r="B57" s="43"/>
      <c r="C57" s="85"/>
      <c r="D57" s="36"/>
      <c r="E57" s="103"/>
      <c r="F57" s="18"/>
      <c r="G57" s="124"/>
      <c r="H57" s="18"/>
      <c r="I57" s="18"/>
    </row>
    <row r="58" spans="1:9" ht="12.75" customHeight="1" x14ac:dyDescent="0.2">
      <c r="A58" s="39"/>
      <c r="B58" s="71"/>
      <c r="C58" s="86"/>
      <c r="D58" s="87"/>
      <c r="E58" s="104"/>
      <c r="F58" s="18"/>
      <c r="G58" s="124"/>
      <c r="H58" s="18"/>
      <c r="I58" s="18"/>
    </row>
    <row r="59" spans="1:9" x14ac:dyDescent="0.2">
      <c r="I59" s="81"/>
    </row>
    <row r="60" spans="1:9" x14ac:dyDescent="0.2">
      <c r="I60" s="81"/>
    </row>
    <row r="61" spans="1:9" x14ac:dyDescent="0.2">
      <c r="I61" s="81"/>
    </row>
    <row r="62" spans="1:9" x14ac:dyDescent="0.2">
      <c r="I62" s="81"/>
    </row>
    <row r="63" spans="1:9" x14ac:dyDescent="0.2">
      <c r="I63" s="81"/>
    </row>
    <row r="64" spans="1:9" ht="27" customHeight="1" x14ac:dyDescent="0.2">
      <c r="I64" s="81"/>
    </row>
    <row r="65" spans="9:9" x14ac:dyDescent="0.2">
      <c r="I65" s="81"/>
    </row>
    <row r="66" spans="9:9" x14ac:dyDescent="0.2">
      <c r="I66" s="81"/>
    </row>
    <row r="67" spans="9:9" x14ac:dyDescent="0.2">
      <c r="I67" s="81"/>
    </row>
    <row r="68" spans="9:9" x14ac:dyDescent="0.2">
      <c r="I68" s="81"/>
    </row>
    <row r="69" spans="9:9" x14ac:dyDescent="0.2">
      <c r="I69" s="81"/>
    </row>
    <row r="70" spans="9:9" x14ac:dyDescent="0.2">
      <c r="I70" s="81"/>
    </row>
    <row r="71" spans="9:9" x14ac:dyDescent="0.2">
      <c r="I71" s="81"/>
    </row>
    <row r="72" spans="9:9" x14ac:dyDescent="0.2">
      <c r="I72" s="81"/>
    </row>
    <row r="73" spans="9:9" x14ac:dyDescent="0.2">
      <c r="I73" s="81"/>
    </row>
    <row r="74" spans="9:9" x14ac:dyDescent="0.2">
      <c r="I74" s="81"/>
    </row>
    <row r="75" spans="9:9" x14ac:dyDescent="0.2">
      <c r="I75" s="81"/>
    </row>
    <row r="76" spans="9:9" x14ac:dyDescent="0.2">
      <c r="I76" s="81"/>
    </row>
    <row r="77" spans="9:9" x14ac:dyDescent="0.2">
      <c r="I77" s="81"/>
    </row>
    <row r="78" spans="9:9" x14ac:dyDescent="0.2">
      <c r="I78" s="81"/>
    </row>
    <row r="79" spans="9:9" x14ac:dyDescent="0.2">
      <c r="I79" s="81"/>
    </row>
    <row r="80" spans="9:9" x14ac:dyDescent="0.2">
      <c r="I80" s="81"/>
    </row>
    <row r="81" spans="9:9" x14ac:dyDescent="0.2">
      <c r="I81" s="81"/>
    </row>
    <row r="82" spans="9:9" x14ac:dyDescent="0.2">
      <c r="I82" s="81"/>
    </row>
    <row r="83" spans="9:9" x14ac:dyDescent="0.2">
      <c r="I83" s="81"/>
    </row>
    <row r="84" spans="9:9" x14ac:dyDescent="0.2">
      <c r="I84" s="81"/>
    </row>
    <row r="85" spans="9:9" x14ac:dyDescent="0.2">
      <c r="I85" s="81"/>
    </row>
    <row r="86" spans="9:9" x14ac:dyDescent="0.2">
      <c r="I86" s="81"/>
    </row>
    <row r="87" spans="9:9" x14ac:dyDescent="0.2">
      <c r="I87" s="81"/>
    </row>
    <row r="88" spans="9:9" x14ac:dyDescent="0.2">
      <c r="I88" s="81"/>
    </row>
    <row r="89" spans="9:9" x14ac:dyDescent="0.2">
      <c r="I89" s="81"/>
    </row>
    <row r="90" spans="9:9" x14ac:dyDescent="0.2">
      <c r="I90" s="81"/>
    </row>
    <row r="91" spans="9:9" x14ac:dyDescent="0.2">
      <c r="I91" s="81"/>
    </row>
    <row r="92" spans="9:9" x14ac:dyDescent="0.2">
      <c r="I92" s="81"/>
    </row>
    <row r="93" spans="9:9" x14ac:dyDescent="0.2">
      <c r="I93" s="81"/>
    </row>
    <row r="94" spans="9:9" x14ac:dyDescent="0.2">
      <c r="I94" s="81"/>
    </row>
    <row r="95" spans="9:9" x14ac:dyDescent="0.2">
      <c r="I95" s="81"/>
    </row>
    <row r="96" spans="9:9" x14ac:dyDescent="0.2">
      <c r="I96" s="81"/>
    </row>
    <row r="97" spans="9:9" x14ac:dyDescent="0.2">
      <c r="I97" s="81"/>
    </row>
    <row r="98" spans="9:9" x14ac:dyDescent="0.2">
      <c r="I98" s="81"/>
    </row>
    <row r="99" spans="9:9" x14ac:dyDescent="0.2">
      <c r="I99" s="81"/>
    </row>
    <row r="100" spans="9:9" x14ac:dyDescent="0.2">
      <c r="I100" s="81"/>
    </row>
    <row r="101" spans="9:9" x14ac:dyDescent="0.2">
      <c r="I101" s="81"/>
    </row>
    <row r="102" spans="9:9" x14ac:dyDescent="0.2">
      <c r="I102" s="81"/>
    </row>
    <row r="103" spans="9:9" x14ac:dyDescent="0.2">
      <c r="I103" s="81"/>
    </row>
    <row r="104" spans="9:9" x14ac:dyDescent="0.2">
      <c r="I104" s="81"/>
    </row>
    <row r="105" spans="9:9" x14ac:dyDescent="0.2">
      <c r="I105" s="81"/>
    </row>
    <row r="106" spans="9:9" x14ac:dyDescent="0.2">
      <c r="I106" s="81"/>
    </row>
    <row r="107" spans="9:9" x14ac:dyDescent="0.2">
      <c r="I107" s="81"/>
    </row>
    <row r="108" spans="9:9" x14ac:dyDescent="0.2">
      <c r="I108" s="81"/>
    </row>
    <row r="109" spans="9:9" x14ac:dyDescent="0.2">
      <c r="I109" s="81"/>
    </row>
    <row r="110" spans="9:9" x14ac:dyDescent="0.2">
      <c r="I110" s="81"/>
    </row>
    <row r="111" spans="9:9" x14ac:dyDescent="0.2">
      <c r="I111" s="81"/>
    </row>
    <row r="112" spans="9:9" x14ac:dyDescent="0.2">
      <c r="I112" s="81"/>
    </row>
    <row r="113" spans="9:9" x14ac:dyDescent="0.2">
      <c r="I113" s="81"/>
    </row>
    <row r="114" spans="9:9" x14ac:dyDescent="0.2">
      <c r="I114" s="81"/>
    </row>
    <row r="115" spans="9:9" x14ac:dyDescent="0.2">
      <c r="I115" s="81"/>
    </row>
    <row r="116" spans="9:9" x14ac:dyDescent="0.2">
      <c r="I116" s="81"/>
    </row>
    <row r="117" spans="9:9" x14ac:dyDescent="0.2">
      <c r="I117" s="81"/>
    </row>
    <row r="118" spans="9:9" x14ac:dyDescent="0.2">
      <c r="I118" s="81"/>
    </row>
    <row r="119" spans="9:9" x14ac:dyDescent="0.2">
      <c r="I119" s="81"/>
    </row>
    <row r="120" spans="9:9" x14ac:dyDescent="0.2">
      <c r="I120" s="81"/>
    </row>
    <row r="121" spans="9:9" x14ac:dyDescent="0.2">
      <c r="I121" s="81"/>
    </row>
    <row r="122" spans="9:9" x14ac:dyDescent="0.2">
      <c r="I122" s="81"/>
    </row>
    <row r="123" spans="9:9" x14ac:dyDescent="0.2">
      <c r="I123" s="81"/>
    </row>
    <row r="124" spans="9:9" x14ac:dyDescent="0.2">
      <c r="I124" s="81"/>
    </row>
    <row r="125" spans="9:9" x14ac:dyDescent="0.2">
      <c r="I125" s="81"/>
    </row>
    <row r="126" spans="9:9" x14ac:dyDescent="0.2">
      <c r="I126" s="81"/>
    </row>
    <row r="127" spans="9:9" x14ac:dyDescent="0.2">
      <c r="I127" s="81"/>
    </row>
    <row r="128" spans="9:9" x14ac:dyDescent="0.2">
      <c r="I128" s="81"/>
    </row>
    <row r="129" spans="9:9" x14ac:dyDescent="0.2">
      <c r="I129" s="81"/>
    </row>
    <row r="130" spans="9:9" x14ac:dyDescent="0.2">
      <c r="I130" s="81"/>
    </row>
    <row r="131" spans="9:9" x14ac:dyDescent="0.2">
      <c r="I131" s="81"/>
    </row>
    <row r="132" spans="9:9" x14ac:dyDescent="0.2">
      <c r="I132" s="81"/>
    </row>
    <row r="133" spans="9:9" x14ac:dyDescent="0.2">
      <c r="I133" s="81"/>
    </row>
    <row r="134" spans="9:9" x14ac:dyDescent="0.2">
      <c r="I134" s="81"/>
    </row>
    <row r="135" spans="9:9" x14ac:dyDescent="0.2">
      <c r="I135" s="81"/>
    </row>
    <row r="136" spans="9:9" x14ac:dyDescent="0.2">
      <c r="I136" s="81"/>
    </row>
    <row r="137" spans="9:9" x14ac:dyDescent="0.2">
      <c r="I137" s="81"/>
    </row>
    <row r="138" spans="9:9" x14ac:dyDescent="0.2">
      <c r="I138" s="81"/>
    </row>
    <row r="139" spans="9:9" x14ac:dyDescent="0.2">
      <c r="I139" s="81"/>
    </row>
    <row r="140" spans="9:9" x14ac:dyDescent="0.2">
      <c r="I140" s="81"/>
    </row>
    <row r="141" spans="9:9" x14ac:dyDescent="0.2">
      <c r="I141" s="81"/>
    </row>
    <row r="142" spans="9:9" x14ac:dyDescent="0.2">
      <c r="I142" s="81"/>
    </row>
    <row r="143" spans="9:9" x14ac:dyDescent="0.2">
      <c r="I143" s="81"/>
    </row>
    <row r="144" spans="9:9" x14ac:dyDescent="0.2">
      <c r="I144" s="81"/>
    </row>
    <row r="145" spans="9:9" x14ac:dyDescent="0.2">
      <c r="I145" s="81"/>
    </row>
    <row r="146" spans="9:9" x14ac:dyDescent="0.2">
      <c r="I146" s="81"/>
    </row>
    <row r="147" spans="9:9" x14ac:dyDescent="0.2">
      <c r="I147" s="81"/>
    </row>
    <row r="148" spans="9:9" x14ac:dyDescent="0.2">
      <c r="I148" s="81"/>
    </row>
    <row r="149" spans="9:9" x14ac:dyDescent="0.2">
      <c r="I149" s="81"/>
    </row>
    <row r="150" spans="9:9" x14ac:dyDescent="0.2">
      <c r="I150" s="81"/>
    </row>
    <row r="151" spans="9:9" x14ac:dyDescent="0.2">
      <c r="I151" s="81"/>
    </row>
    <row r="152" spans="9:9" x14ac:dyDescent="0.2">
      <c r="I152" s="81"/>
    </row>
    <row r="153" spans="9:9" x14ac:dyDescent="0.2">
      <c r="I153" s="81"/>
    </row>
    <row r="154" spans="9:9" x14ac:dyDescent="0.2">
      <c r="I154" s="81"/>
    </row>
    <row r="155" spans="9:9" x14ac:dyDescent="0.2">
      <c r="I155" s="81"/>
    </row>
    <row r="156" spans="9:9" x14ac:dyDescent="0.2">
      <c r="I156" s="81"/>
    </row>
    <row r="157" spans="9:9" x14ac:dyDescent="0.2">
      <c r="I157" s="81"/>
    </row>
    <row r="158" spans="9:9" x14ac:dyDescent="0.2">
      <c r="I158" s="81"/>
    </row>
    <row r="159" spans="9:9" x14ac:dyDescent="0.2">
      <c r="I159" s="81"/>
    </row>
    <row r="160" spans="9:9" x14ac:dyDescent="0.2">
      <c r="I160" s="81"/>
    </row>
    <row r="161" spans="9:9" x14ac:dyDescent="0.2">
      <c r="I161" s="81"/>
    </row>
    <row r="162" spans="9:9" x14ac:dyDescent="0.2">
      <c r="I162" s="81"/>
    </row>
    <row r="163" spans="9:9" x14ac:dyDescent="0.2">
      <c r="I163" s="81"/>
    </row>
    <row r="164" spans="9:9" x14ac:dyDescent="0.2">
      <c r="I164" s="81"/>
    </row>
    <row r="165" spans="9:9" x14ac:dyDescent="0.2">
      <c r="I165" s="81"/>
    </row>
    <row r="166" spans="9:9" x14ac:dyDescent="0.2">
      <c r="I166" s="81"/>
    </row>
    <row r="167" spans="9:9" x14ac:dyDescent="0.2">
      <c r="I167" s="81"/>
    </row>
    <row r="168" spans="9:9" x14ac:dyDescent="0.2">
      <c r="I168" s="81"/>
    </row>
    <row r="169" spans="9:9" x14ac:dyDescent="0.2">
      <c r="I169" s="81"/>
    </row>
    <row r="170" spans="9:9" x14ac:dyDescent="0.2">
      <c r="I170" s="81"/>
    </row>
    <row r="171" spans="9:9" x14ac:dyDescent="0.2">
      <c r="I171" s="81"/>
    </row>
    <row r="172" spans="9:9" x14ac:dyDescent="0.2">
      <c r="I172" s="81"/>
    </row>
    <row r="173" spans="9:9" x14ac:dyDescent="0.2">
      <c r="I173" s="81"/>
    </row>
    <row r="174" spans="9:9" x14ac:dyDescent="0.2">
      <c r="I174" s="81"/>
    </row>
    <row r="175" spans="9:9" x14ac:dyDescent="0.2">
      <c r="I175" s="81"/>
    </row>
    <row r="176" spans="9:9" x14ac:dyDescent="0.2">
      <c r="I176" s="81"/>
    </row>
    <row r="177" spans="9:9" x14ac:dyDescent="0.2">
      <c r="I177" s="81"/>
    </row>
    <row r="178" spans="9:9" x14ac:dyDescent="0.2">
      <c r="I178" s="81"/>
    </row>
    <row r="179" spans="9:9" x14ac:dyDescent="0.2">
      <c r="I179" s="81"/>
    </row>
    <row r="180" spans="9:9" x14ac:dyDescent="0.2">
      <c r="I180" s="81"/>
    </row>
  </sheetData>
  <mergeCells count="13">
    <mergeCell ref="C47:E47"/>
    <mergeCell ref="C46:E46"/>
    <mergeCell ref="G42:G58"/>
    <mergeCell ref="C49:E49"/>
    <mergeCell ref="B48:E48"/>
    <mergeCell ref="C51:E51"/>
    <mergeCell ref="B43:E43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4" priority="7"/>
  </conditionalFormatting>
  <conditionalFormatting sqref="E26:E1048576 E1:E9 E14:E24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5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49"/>
  <sheetViews>
    <sheetView topLeftCell="A31" zoomScale="68" zoomScaleNormal="68" workbookViewId="0">
      <selection activeCell="A42" sqref="A42:I42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2" width="9.140625" style="2"/>
    <col min="13" max="13" width="10.7109375" style="2" bestFit="1" customWidth="1"/>
    <col min="14" max="1013" width="9.140625" style="2"/>
  </cols>
  <sheetData>
    <row r="1" spans="1:1013" ht="18" customHeight="1" x14ac:dyDescent="0.2">
      <c r="A1" s="145" t="s">
        <v>12</v>
      </c>
      <c r="B1" s="145"/>
      <c r="C1" s="145"/>
      <c r="D1" s="145"/>
      <c r="E1" s="145"/>
      <c r="F1" s="145"/>
      <c r="G1" s="145"/>
      <c r="H1" s="145"/>
      <c r="I1" s="145"/>
      <c r="J1" s="46"/>
      <c r="K1" s="117" t="s">
        <v>105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46" t="s">
        <v>13</v>
      </c>
      <c r="B3" s="146"/>
      <c r="C3" s="146"/>
      <c r="D3" s="147" t="s">
        <v>59</v>
      </c>
      <c r="E3" s="147"/>
      <c r="F3" s="147"/>
      <c r="G3" s="147"/>
      <c r="H3" s="147"/>
      <c r="I3" s="147"/>
      <c r="J3" s="147"/>
      <c r="K3" s="147"/>
    </row>
    <row r="4" spans="1:1013" ht="18.75" customHeight="1" thickBot="1" x14ac:dyDescent="0.25">
      <c r="A4" s="148" t="s">
        <v>14</v>
      </c>
      <c r="B4" s="148"/>
      <c r="C4" s="148"/>
      <c r="D4" s="147" t="s">
        <v>53</v>
      </c>
      <c r="E4" s="147"/>
      <c r="F4" s="147"/>
      <c r="G4" s="147"/>
      <c r="H4" s="147"/>
      <c r="I4" s="147"/>
      <c r="J4" s="147"/>
      <c r="K4" s="147"/>
    </row>
    <row r="5" spans="1:1013" ht="18.75" customHeight="1" thickBot="1" x14ac:dyDescent="0.25">
      <c r="A5" s="148" t="s">
        <v>15</v>
      </c>
      <c r="B5" s="148"/>
      <c r="C5" s="148"/>
      <c r="D5" s="147" t="s">
        <v>50</v>
      </c>
      <c r="E5" s="147"/>
      <c r="F5" s="147"/>
      <c r="G5" s="147"/>
      <c r="H5" s="147"/>
      <c r="I5" s="147"/>
      <c r="J5" s="147"/>
      <c r="K5" s="147"/>
    </row>
    <row r="6" spans="1:1013" ht="16.5" customHeight="1" thickBot="1" x14ac:dyDescent="0.25">
      <c r="A6" s="146" t="s">
        <v>16</v>
      </c>
      <c r="B6" s="146"/>
      <c r="C6" s="146"/>
      <c r="D6" s="147" t="s">
        <v>70</v>
      </c>
      <c r="E6" s="147"/>
      <c r="F6" s="147"/>
      <c r="G6" s="147"/>
      <c r="H6" s="147"/>
      <c r="I6" s="147"/>
      <c r="J6" s="147"/>
      <c r="K6" s="147"/>
    </row>
    <row r="7" spans="1:1013" ht="16.5" customHeight="1" thickBot="1" x14ac:dyDescent="0.25">
      <c r="A7" s="148" t="s">
        <v>17</v>
      </c>
      <c r="B7" s="148"/>
      <c r="C7" s="148"/>
      <c r="D7" s="147" t="s">
        <v>103</v>
      </c>
      <c r="E7" s="147"/>
      <c r="F7" s="147"/>
      <c r="G7" s="147"/>
      <c r="H7" s="147"/>
      <c r="I7" s="147"/>
      <c r="J7" s="147"/>
      <c r="K7" s="147"/>
    </row>
    <row r="8" spans="1:1013" ht="36" customHeight="1" thickBot="1" x14ac:dyDescent="0.25">
      <c r="A8" s="137" t="s">
        <v>18</v>
      </c>
      <c r="B8" s="137"/>
      <c r="C8" s="137"/>
      <c r="D8" s="138" t="s">
        <v>68</v>
      </c>
      <c r="E8" s="138"/>
      <c r="F8" s="138"/>
      <c r="G8" s="138"/>
      <c r="H8" s="138"/>
      <c r="I8" s="138"/>
      <c r="J8" s="138"/>
      <c r="K8" s="138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39" t="s">
        <v>19</v>
      </c>
      <c r="B10" s="141" t="s">
        <v>20</v>
      </c>
      <c r="C10" s="141" t="s">
        <v>21</v>
      </c>
      <c r="D10" s="141"/>
      <c r="E10" s="141"/>
      <c r="F10" s="141"/>
      <c r="G10" s="141"/>
      <c r="H10" s="141" t="s">
        <v>22</v>
      </c>
      <c r="I10" s="141" t="s">
        <v>23</v>
      </c>
      <c r="J10" s="141" t="s">
        <v>24</v>
      </c>
      <c r="K10" s="143" t="s">
        <v>25</v>
      </c>
    </row>
    <row r="11" spans="1:1013" ht="24" customHeight="1" thickBot="1" x14ac:dyDescent="0.25">
      <c r="A11" s="140"/>
      <c r="B11" s="142"/>
      <c r="C11" s="142"/>
      <c r="D11" s="142"/>
      <c r="E11" s="142"/>
      <c r="F11" s="142"/>
      <c r="G11" s="142"/>
      <c r="H11" s="142"/>
      <c r="I11" s="142"/>
      <c r="J11" s="142"/>
      <c r="K11" s="144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30" t="str">
        <f>'Necesidades Trimestrales'!E10</f>
        <v>BOLSA P/ COLOSTOMIA ADULTO</v>
      </c>
      <c r="D12" s="130"/>
      <c r="E12" s="130"/>
      <c r="F12" s="130"/>
      <c r="G12" s="130"/>
      <c r="H12" s="52" t="s">
        <v>26</v>
      </c>
      <c r="I12" s="53" t="str">
        <f>'Necesidades Trimestrales'!F10</f>
        <v>UNIDAD</v>
      </c>
      <c r="J12" s="58">
        <f>'Necesidades Trimestrales'!H10</f>
        <v>175.5</v>
      </c>
      <c r="K12" s="61">
        <f>'Necesidades Trimestrales'!G10</f>
        <v>300</v>
      </c>
      <c r="M12" s="115"/>
      <c r="Q12" s="115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30" t="str">
        <f>'Necesidades Trimestrales'!E11</f>
        <v>BOLSA P/COLOSTOMIA NEONATAL</v>
      </c>
      <c r="D13" s="130"/>
      <c r="E13" s="130"/>
      <c r="F13" s="130"/>
      <c r="G13" s="130"/>
      <c r="H13" s="52" t="s">
        <v>26</v>
      </c>
      <c r="I13" s="53" t="str">
        <f>'Necesidades Trimestrales'!F11</f>
        <v>UNIDAD</v>
      </c>
      <c r="J13" s="58">
        <f>'Necesidades Trimestrales'!H11</f>
        <v>308.30799999999999</v>
      </c>
      <c r="K13" s="61">
        <f>'Necesidades Trimestrales'!G11</f>
        <v>30</v>
      </c>
      <c r="M13" s="115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30" t="str">
        <f>'Necesidades Trimestrales'!E12</f>
        <v>CAMPO DE INCISION STERI-DRAPE 10-50</v>
      </c>
      <c r="D14" s="130"/>
      <c r="E14" s="130"/>
      <c r="F14" s="130"/>
      <c r="G14" s="130"/>
      <c r="H14" s="52" t="s">
        <v>26</v>
      </c>
      <c r="I14" s="53" t="str">
        <f>'Necesidades Trimestrales'!F12</f>
        <v>UNIDAD</v>
      </c>
      <c r="J14" s="58">
        <f>'Necesidades Trimestrales'!H12</f>
        <v>472.89</v>
      </c>
      <c r="K14" s="61">
        <f>'Necesidades Trimestrales'!G12</f>
        <v>10</v>
      </c>
      <c r="M14" s="115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30" t="str">
        <f>'Necesidades Trimestrales'!E13</f>
        <v>CATETER DOBLE J 7 FRENCH X 46 CM TIPO COOK</v>
      </c>
      <c r="D15" s="130"/>
      <c r="E15" s="130"/>
      <c r="F15" s="130"/>
      <c r="G15" s="130"/>
      <c r="H15" s="52" t="s">
        <v>26</v>
      </c>
      <c r="I15" s="53" t="str">
        <f>'Necesidades Trimestrales'!F13</f>
        <v>UNIDAD</v>
      </c>
      <c r="J15" s="58">
        <f>'Necesidades Trimestrales'!H13</f>
        <v>54800</v>
      </c>
      <c r="K15" s="61">
        <f>'Necesidades Trimestrales'!G13</f>
        <v>12</v>
      </c>
      <c r="M15" s="115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30" t="str">
        <f>'Necesidades Trimestrales'!E14</f>
        <v>CATETER EPICUTANEO CAVA COD.540-30 T/SILMAG</v>
      </c>
      <c r="D16" s="130"/>
      <c r="E16" s="130"/>
      <c r="F16" s="130"/>
      <c r="G16" s="130"/>
      <c r="H16" s="52" t="s">
        <v>26</v>
      </c>
      <c r="I16" s="53" t="str">
        <f>'Necesidades Trimestrales'!F14</f>
        <v>UNIDAD</v>
      </c>
      <c r="J16" s="58">
        <f>'Necesidades Trimestrales'!H14</f>
        <v>9646</v>
      </c>
      <c r="K16" s="61">
        <f>'Necesidades Trimestrales'!G14</f>
        <v>15</v>
      </c>
      <c r="M16" s="115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30" t="str">
        <f>'Necesidades Trimestrales'!E15</f>
        <v>CATETER EPICUTANEO CAVA COD.541-15 T/SILMAG</v>
      </c>
      <c r="D17" s="130"/>
      <c r="E17" s="130"/>
      <c r="F17" s="130"/>
      <c r="G17" s="130"/>
      <c r="H17" s="52" t="s">
        <v>26</v>
      </c>
      <c r="I17" s="53" t="str">
        <f>'Necesidades Trimestrales'!F15</f>
        <v>UNIDAD</v>
      </c>
      <c r="J17" s="58">
        <f>'Necesidades Trimestrales'!H15</f>
        <v>11323</v>
      </c>
      <c r="K17" s="61">
        <f>'Necesidades Trimestrales'!G15</f>
        <v>15</v>
      </c>
      <c r="M17" s="115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30" t="str">
        <f>'Necesidades Trimestrales'!E16</f>
        <v>CATETER EPICUTANEO CAVA COD.541-30 T/SILMAG</v>
      </c>
      <c r="D18" s="130"/>
      <c r="E18" s="130"/>
      <c r="F18" s="130"/>
      <c r="G18" s="130"/>
      <c r="H18" s="52" t="s">
        <v>26</v>
      </c>
      <c r="I18" s="53" t="str">
        <f>'Necesidades Trimestrales'!F16</f>
        <v>UNIDAD</v>
      </c>
      <c r="J18" s="58">
        <f>'Necesidades Trimestrales'!H16</f>
        <v>11323</v>
      </c>
      <c r="K18" s="61">
        <f>'Necesidades Trimestrales'!G16</f>
        <v>15</v>
      </c>
      <c r="M18" s="115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30" t="str">
        <f>'Necesidades Trimestrales'!E17</f>
        <v>CATETER EPICUTANEO CAVA COD.541-50 T/SILMAG</v>
      </c>
      <c r="D19" s="130"/>
      <c r="E19" s="130"/>
      <c r="F19" s="130"/>
      <c r="G19" s="130"/>
      <c r="H19" s="52" t="s">
        <v>26</v>
      </c>
      <c r="I19" s="53" t="str">
        <f>'Necesidades Trimestrales'!F17</f>
        <v>UNIDAD</v>
      </c>
      <c r="J19" s="58">
        <f>'Necesidades Trimestrales'!H17</f>
        <v>13464.1</v>
      </c>
      <c r="K19" s="61">
        <f>'Necesidades Trimestrales'!G17</f>
        <v>15</v>
      </c>
      <c r="M19" s="115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30" t="str">
        <f>'Necesidades Trimestrales'!E18</f>
        <v>CATETER UMBILICAL ARTERIAL - 2,5</v>
      </c>
      <c r="D20" s="130"/>
      <c r="E20" s="130"/>
      <c r="F20" s="130"/>
      <c r="G20" s="130"/>
      <c r="H20" s="52" t="s">
        <v>26</v>
      </c>
      <c r="I20" s="53" t="s">
        <v>11</v>
      </c>
      <c r="J20" s="58">
        <f>'Necesidades Trimestrales'!H18</f>
        <v>1392</v>
      </c>
      <c r="K20" s="61">
        <f>'Necesidades Trimestrales'!G18</f>
        <v>60</v>
      </c>
      <c r="M20" s="115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30" t="str">
        <f>'Necesidades Trimestrales'!E19</f>
        <v>CATETER UMBILICAL ARTERIAL - 3</v>
      </c>
      <c r="D21" s="130"/>
      <c r="E21" s="130"/>
      <c r="F21" s="130"/>
      <c r="G21" s="130"/>
      <c r="H21" s="52" t="s">
        <v>26</v>
      </c>
      <c r="I21" s="53" t="str">
        <f>'Necesidades Trimestrales'!F19</f>
        <v>UNIDAD</v>
      </c>
      <c r="J21" s="58">
        <f>'Necesidades Trimestrales'!H19</f>
        <v>1392</v>
      </c>
      <c r="K21" s="61">
        <f>'Necesidades Trimestrales'!G19</f>
        <v>60</v>
      </c>
      <c r="M21" s="115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30" t="str">
        <f>'Necesidades Trimestrales'!E20</f>
        <v>CATETER UMBILICAL ARTERIAL - 3,5</v>
      </c>
      <c r="D22" s="130"/>
      <c r="E22" s="130"/>
      <c r="F22" s="130"/>
      <c r="G22" s="130"/>
      <c r="H22" s="52" t="s">
        <v>26</v>
      </c>
      <c r="I22" s="53" t="str">
        <f>'Necesidades Trimestrales'!F20</f>
        <v>UNIDAD</v>
      </c>
      <c r="J22" s="58">
        <f>'Necesidades Trimestrales'!H20</f>
        <v>1392</v>
      </c>
      <c r="K22" s="61">
        <f>'Necesidades Trimestrales'!G20</f>
        <v>60</v>
      </c>
      <c r="M22" s="115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30" t="str">
        <f>'Necesidades Trimestrales'!E21</f>
        <v>CATETER UMBILICAL ARTERIAL - 4</v>
      </c>
      <c r="D23" s="130"/>
      <c r="E23" s="130"/>
      <c r="F23" s="130"/>
      <c r="G23" s="130"/>
      <c r="H23" s="52" t="s">
        <v>26</v>
      </c>
      <c r="I23" s="53" t="str">
        <f>'Necesidades Trimestrales'!F21</f>
        <v>UNIDAD</v>
      </c>
      <c r="J23" s="58">
        <f>'Necesidades Trimestrales'!H21</f>
        <v>1392.3</v>
      </c>
      <c r="K23" s="61">
        <f>'Necesidades Trimestrales'!G21</f>
        <v>50</v>
      </c>
      <c r="M23" s="115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30" t="str">
        <f>'Necesidades Trimestrales'!E22</f>
        <v>CATETER UMBILICAL VENOSO - 4</v>
      </c>
      <c r="D24" s="130"/>
      <c r="E24" s="130"/>
      <c r="F24" s="130"/>
      <c r="G24" s="130"/>
      <c r="H24" s="52" t="s">
        <v>26</v>
      </c>
      <c r="I24" s="53" t="str">
        <f>'Necesidades Trimestrales'!F22</f>
        <v>UNIDAD</v>
      </c>
      <c r="J24" s="58">
        <f>'Necesidades Trimestrales'!H22</f>
        <v>1810.9</v>
      </c>
      <c r="K24" s="61">
        <f>'Necesidades Trimestrales'!G22</f>
        <v>60</v>
      </c>
      <c r="M24" s="115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30" t="str">
        <f>'Necesidades Trimestrales'!E23</f>
        <v>CATETER UMBILICAL VENOSO- 2,5</v>
      </c>
      <c r="D25" s="130"/>
      <c r="E25" s="130"/>
      <c r="F25" s="130"/>
      <c r="G25" s="130"/>
      <c r="H25" s="52" t="s">
        <v>26</v>
      </c>
      <c r="I25" s="53" t="str">
        <f>'Necesidades Trimestrales'!F23</f>
        <v>UNIDAD</v>
      </c>
      <c r="J25" s="58">
        <f>'Necesidades Trimestrales'!H23</f>
        <v>1810</v>
      </c>
      <c r="K25" s="61">
        <f>'Necesidades Trimestrales'!G23</f>
        <v>60</v>
      </c>
      <c r="M25" s="115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30" t="str">
        <f>'Necesidades Trimestrales'!E24</f>
        <v>CATETER UMBILICAL VENOSO- 3,5</v>
      </c>
      <c r="D26" s="130"/>
      <c r="E26" s="130"/>
      <c r="F26" s="130"/>
      <c r="G26" s="130"/>
      <c r="H26" s="52" t="s">
        <v>26</v>
      </c>
      <c r="I26" s="53" t="str">
        <f>'Necesidades Trimestrales'!F24</f>
        <v>UNIDAD</v>
      </c>
      <c r="J26" s="58">
        <f>'Necesidades Trimestrales'!H24</f>
        <v>1810</v>
      </c>
      <c r="K26" s="61">
        <f>'Necesidades Trimestrales'!G24</f>
        <v>60</v>
      </c>
      <c r="M26" s="115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30" t="str">
        <f>'Necesidades Trimestrales'!E25</f>
        <v>DRENAJE DE SILICONA ESTERIL TIPO DRENAJE BLAKE 24 FR ADULTO</v>
      </c>
      <c r="D27" s="130"/>
      <c r="E27" s="130"/>
      <c r="F27" s="130"/>
      <c r="G27" s="130"/>
      <c r="H27" s="52" t="s">
        <v>26</v>
      </c>
      <c r="I27" s="53" t="str">
        <f>'Necesidades Trimestrales'!F25</f>
        <v>UNIDAD</v>
      </c>
      <c r="J27" s="58">
        <f>'Necesidades Trimestrales'!H25</f>
        <v>244.69499999999999</v>
      </c>
      <c r="K27" s="61">
        <f>'Necesidades Trimestrales'!G25</f>
        <v>5</v>
      </c>
      <c r="M27" s="115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30" t="str">
        <f>'Necesidades Trimestrales'!E26</f>
        <v>ESPONJA GELATINOSA ABSORBIBLE TIPO SPONGOSTAN 80 X 50 X 10 MM SOBRE</v>
      </c>
      <c r="D28" s="130"/>
      <c r="E28" s="130"/>
      <c r="F28" s="130"/>
      <c r="G28" s="130"/>
      <c r="H28" s="52" t="s">
        <v>26</v>
      </c>
      <c r="I28" s="53" t="str">
        <f>'Necesidades Trimestrales'!F26</f>
        <v>UNIDAD</v>
      </c>
      <c r="J28" s="58">
        <f>'Necesidades Trimestrales'!H26</f>
        <v>768.4</v>
      </c>
      <c r="K28" s="61">
        <f>'Necesidades Trimestrales'!G26</f>
        <v>50</v>
      </c>
      <c r="M28" s="115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30" t="str">
        <f>'Necesidades Trimestrales'!E27</f>
        <v>FRASCO PARA DRENAJE TORACICO x 2500 ML</v>
      </c>
      <c r="D29" s="130"/>
      <c r="E29" s="130"/>
      <c r="F29" s="130"/>
      <c r="G29" s="130"/>
      <c r="H29" s="52" t="s">
        <v>26</v>
      </c>
      <c r="I29" s="53" t="str">
        <f>'Necesidades Trimestrales'!F27</f>
        <v>UNIDAD</v>
      </c>
      <c r="J29" s="58">
        <f>'Necesidades Trimestrales'!H27</f>
        <v>950</v>
      </c>
      <c r="K29" s="61">
        <f>'Necesidades Trimestrales'!G27</f>
        <v>3</v>
      </c>
      <c r="M29" s="115"/>
    </row>
    <row r="30" spans="1:13" ht="43.5" customHeight="1" thickBot="1" x14ac:dyDescent="0.3">
      <c r="A30" s="51">
        <f>'Necesidades Trimestrales'!A28</f>
        <v>19</v>
      </c>
      <c r="B30" s="54">
        <f>'Necesidades Trimestrales'!B28</f>
        <v>0</v>
      </c>
      <c r="C30" s="130" t="str">
        <f>'Necesidades Trimestrales'!E28</f>
        <v>FRASCO PARA DRENAJE TORACICO x 750 ML</v>
      </c>
      <c r="D30" s="130"/>
      <c r="E30" s="130"/>
      <c r="F30" s="130"/>
      <c r="G30" s="130"/>
      <c r="H30" s="52" t="s">
        <v>26</v>
      </c>
      <c r="I30" s="53" t="str">
        <f>'Necesidades Trimestrales'!F28</f>
        <v>UNIDAD</v>
      </c>
      <c r="J30" s="58">
        <f>'Necesidades Trimestrales'!H28</f>
        <v>330</v>
      </c>
      <c r="K30" s="61">
        <f>'Necesidades Trimestrales'!G28</f>
        <v>10</v>
      </c>
      <c r="M30" s="115"/>
    </row>
    <row r="31" spans="1:13" ht="43.5" customHeight="1" thickBot="1" x14ac:dyDescent="0.3">
      <c r="A31" s="51">
        <f>'Necesidades Trimestrales'!A29</f>
        <v>20</v>
      </c>
      <c r="B31" s="54">
        <f>'Necesidades Trimestrales'!B29</f>
        <v>0</v>
      </c>
      <c r="C31" s="130" t="str">
        <f>'Necesidades Trimestrales'!E29</f>
        <v>GUIA ARTERIAL CON GUIA HEPARINA Y TRANSDUCTOR DE PRESION P 0.8 TIPO NIPRO</v>
      </c>
      <c r="D31" s="130"/>
      <c r="E31" s="130"/>
      <c r="F31" s="130"/>
      <c r="G31" s="130"/>
      <c r="H31" s="52" t="s">
        <v>26</v>
      </c>
      <c r="I31" s="53" t="str">
        <f>'Necesidades Trimestrales'!F29</f>
        <v>UNIDAD</v>
      </c>
      <c r="J31" s="58">
        <f>'Necesidades Trimestrales'!H29</f>
        <v>243</v>
      </c>
      <c r="K31" s="61">
        <f>'Necesidades Trimestrales'!G29</f>
        <v>5</v>
      </c>
      <c r="M31" s="115"/>
    </row>
    <row r="32" spans="1:13" ht="43.5" customHeight="1" thickBot="1" x14ac:dyDescent="0.3">
      <c r="A32" s="51">
        <f>'Necesidades Trimestrales'!A30</f>
        <v>21</v>
      </c>
      <c r="B32" s="54">
        <f>'Necesidades Trimestrales'!B30</f>
        <v>0</v>
      </c>
      <c r="C32" s="130" t="str">
        <f>'Necesidades Trimestrales'!E30</f>
        <v>HEMOSUCTOR  X 800 ML</v>
      </c>
      <c r="D32" s="130"/>
      <c r="E32" s="130"/>
      <c r="F32" s="130"/>
      <c r="G32" s="130"/>
      <c r="H32" s="52" t="s">
        <v>26</v>
      </c>
      <c r="I32" s="53" t="str">
        <f>'Necesidades Trimestrales'!F30</f>
        <v>UNIDAD</v>
      </c>
      <c r="J32" s="58">
        <f>'Necesidades Trimestrales'!H30</f>
        <v>1387.5</v>
      </c>
      <c r="K32" s="61">
        <f>'Necesidades Trimestrales'!G30</f>
        <v>10</v>
      </c>
      <c r="M32" s="115"/>
    </row>
    <row r="33" spans="1:13" ht="43.5" customHeight="1" thickBot="1" x14ac:dyDescent="0.3">
      <c r="A33" s="51">
        <f>'Necesidades Trimestrales'!A31</f>
        <v>22</v>
      </c>
      <c r="B33" s="54">
        <f>'Necesidades Trimestrales'!B31</f>
        <v>0</v>
      </c>
      <c r="C33" s="130" t="str">
        <f>'Necesidades Trimestrales'!E31</f>
        <v>LIGACLIP LT 300 TIPO ETHICON</v>
      </c>
      <c r="D33" s="130"/>
      <c r="E33" s="130"/>
      <c r="F33" s="130"/>
      <c r="G33" s="130"/>
      <c r="H33" s="52" t="s">
        <v>26</v>
      </c>
      <c r="I33" s="53" t="str">
        <f>'Necesidades Trimestrales'!F31</f>
        <v>UNIDAD</v>
      </c>
      <c r="J33" s="58">
        <f>'Necesidades Trimestrales'!H31</f>
        <v>971.1</v>
      </c>
      <c r="K33" s="61">
        <f>'Necesidades Trimestrales'!G31</f>
        <v>30</v>
      </c>
      <c r="M33" s="115"/>
    </row>
    <row r="34" spans="1:13" ht="43.5" customHeight="1" thickBot="1" x14ac:dyDescent="0.3">
      <c r="A34" s="51">
        <f>'Necesidades Trimestrales'!A32</f>
        <v>23</v>
      </c>
      <c r="B34" s="54">
        <f>'Necesidades Trimestrales'!B32</f>
        <v>0</v>
      </c>
      <c r="C34" s="130" t="str">
        <f>'Necesidades Trimestrales'!E32</f>
        <v>LIGACLIP LT 400 TIPO ETHICON</v>
      </c>
      <c r="D34" s="130"/>
      <c r="E34" s="130"/>
      <c r="F34" s="130"/>
      <c r="G34" s="130"/>
      <c r="H34" s="52" t="s">
        <v>26</v>
      </c>
      <c r="I34" s="53" t="str">
        <f>'Necesidades Trimestrales'!F32</f>
        <v>UNIDAD</v>
      </c>
      <c r="J34" s="58">
        <f>'Necesidades Trimestrales'!H32</f>
        <v>971.1</v>
      </c>
      <c r="K34" s="61">
        <f>'Necesidades Trimestrales'!G32</f>
        <v>20</v>
      </c>
      <c r="M34" s="115"/>
    </row>
    <row r="35" spans="1:13" ht="43.5" customHeight="1" thickBot="1" x14ac:dyDescent="0.3">
      <c r="A35" s="51">
        <f>'Necesidades Trimestrales'!A33</f>
        <v>24</v>
      </c>
      <c r="B35" s="54">
        <f>'Necesidades Trimestrales'!B33</f>
        <v>0</v>
      </c>
      <c r="C35" s="130" t="str">
        <f>'Necesidades Trimestrales'!E33</f>
        <v>MALLA ABSORBIBLE POLIGLICOLICO 30 X 30 TIPO VICRYL</v>
      </c>
      <c r="D35" s="130"/>
      <c r="E35" s="130"/>
      <c r="F35" s="130"/>
      <c r="G35" s="130"/>
      <c r="H35" s="52" t="s">
        <v>26</v>
      </c>
      <c r="I35" s="53" t="str">
        <f>'Necesidades Trimestrales'!F33</f>
        <v>UNIDAD</v>
      </c>
      <c r="J35" s="58">
        <f>'Necesidades Trimestrales'!H33</f>
        <v>7327.5</v>
      </c>
      <c r="K35" s="61">
        <f>'Necesidades Trimestrales'!G33</f>
        <v>1</v>
      </c>
      <c r="M35" s="115"/>
    </row>
    <row r="36" spans="1:13" ht="43.5" customHeight="1" thickBot="1" x14ac:dyDescent="0.3">
      <c r="A36" s="51">
        <f>'Necesidades Trimestrales'!A34</f>
        <v>25</v>
      </c>
      <c r="B36" s="54">
        <f>'Necesidades Trimestrales'!B34</f>
        <v>0</v>
      </c>
      <c r="C36" s="130" t="str">
        <f>'Necesidades Trimestrales'!E34</f>
        <v xml:space="preserve">MALLA QUIRURGICA SINTETICA NO ABSORBIBLE 30 X 30 TIPO PROLENE </v>
      </c>
      <c r="D36" s="130"/>
      <c r="E36" s="130"/>
      <c r="F36" s="130"/>
      <c r="G36" s="130"/>
      <c r="H36" s="52" t="s">
        <v>26</v>
      </c>
      <c r="I36" s="53" t="str">
        <f>'Necesidades Trimestrales'!F34</f>
        <v>UNIDAD</v>
      </c>
      <c r="J36" s="58">
        <f>'Necesidades Trimestrales'!H34</f>
        <v>9909.2999999999993</v>
      </c>
      <c r="K36" s="61">
        <f>'Necesidades Trimestrales'!G34</f>
        <v>1</v>
      </c>
      <c r="M36" s="115"/>
    </row>
    <row r="37" spans="1:13" ht="43.5" customHeight="1" thickBot="1" x14ac:dyDescent="0.3">
      <c r="A37" s="51">
        <f>'Necesidades Trimestrales'!A35</f>
        <v>26</v>
      </c>
      <c r="B37" s="54">
        <f>'Necesidades Trimestrales'!B35</f>
        <v>0</v>
      </c>
      <c r="C37" s="130" t="str">
        <f>'Necesidades Trimestrales'!E35</f>
        <v>SET CATETER PERIDURAL N 18</v>
      </c>
      <c r="D37" s="130"/>
      <c r="E37" s="130"/>
      <c r="F37" s="130"/>
      <c r="G37" s="130"/>
      <c r="H37" s="52" t="s">
        <v>26</v>
      </c>
      <c r="I37" s="53" t="str">
        <f>'Necesidades Trimestrales'!F35</f>
        <v>UNIDAD</v>
      </c>
      <c r="J37" s="58">
        <f>'Necesidades Trimestrales'!H35</f>
        <v>3491.8</v>
      </c>
      <c r="K37" s="61">
        <f>'Necesidades Trimestrales'!G35</f>
        <v>10</v>
      </c>
      <c r="M37" s="115"/>
    </row>
    <row r="38" spans="1:13" ht="43.5" customHeight="1" thickBot="1" x14ac:dyDescent="0.3">
      <c r="A38" s="51">
        <f>'Necesidades Trimestrales'!A36</f>
        <v>27</v>
      </c>
      <c r="B38" s="54">
        <f>'Necesidades Trimestrales'!B36</f>
        <v>0</v>
      </c>
      <c r="C38" s="130" t="str">
        <f>'Necesidades Trimestrales'!E36</f>
        <v>SET CATETER PERIDURAL N 20</v>
      </c>
      <c r="D38" s="130"/>
      <c r="E38" s="130"/>
      <c r="F38" s="130"/>
      <c r="G38" s="130"/>
      <c r="H38" s="52" t="s">
        <v>26</v>
      </c>
      <c r="I38" s="53" t="str">
        <f>'Necesidades Trimestrales'!F36</f>
        <v>UNIDAD</v>
      </c>
      <c r="J38" s="58">
        <f>'Necesidades Trimestrales'!H36</f>
        <v>3491.8</v>
      </c>
      <c r="K38" s="61">
        <f>'Necesidades Trimestrales'!G36</f>
        <v>10</v>
      </c>
      <c r="M38" s="115"/>
    </row>
    <row r="39" spans="1:13" ht="43.5" customHeight="1" thickBot="1" x14ac:dyDescent="0.3">
      <c r="A39" s="51">
        <f>'Necesidades Trimestrales'!A37</f>
        <v>28</v>
      </c>
      <c r="B39" s="54">
        <f>'Necesidades Trimestrales'!B37</f>
        <v>0</v>
      </c>
      <c r="C39" s="130" t="str">
        <f>'Necesidades Trimestrales'!E37</f>
        <v>SURGICEL 7 x 5 CM SOBRE</v>
      </c>
      <c r="D39" s="130"/>
      <c r="E39" s="130"/>
      <c r="F39" s="130"/>
      <c r="G39" s="130"/>
      <c r="H39" s="52" t="s">
        <v>26</v>
      </c>
      <c r="I39" s="53" t="str">
        <f>'Necesidades Trimestrales'!F37</f>
        <v>UNIDAD</v>
      </c>
      <c r="J39" s="58">
        <f>'Necesidades Trimestrales'!H37</f>
        <v>988</v>
      </c>
      <c r="K39" s="61">
        <f>'Necesidades Trimestrales'!G37</f>
        <v>25</v>
      </c>
      <c r="M39" s="115"/>
    </row>
    <row r="40" spans="1:13" ht="43.5" customHeight="1" thickBot="1" x14ac:dyDescent="0.3">
      <c r="A40" s="51">
        <f>'Necesidades Trimestrales'!A38</f>
        <v>29</v>
      </c>
      <c r="B40" s="54">
        <f>'Necesidades Trimestrales'!B38</f>
        <v>0</v>
      </c>
      <c r="C40" s="130" t="str">
        <f>'Necesidades Trimestrales'!E38</f>
        <v>TROCAR P/DRENAJE PLEURAL FR 10</v>
      </c>
      <c r="D40" s="130"/>
      <c r="E40" s="130"/>
      <c r="F40" s="130"/>
      <c r="G40" s="130"/>
      <c r="H40" s="52" t="s">
        <v>26</v>
      </c>
      <c r="I40" s="53" t="str">
        <f>'Necesidades Trimestrales'!F38</f>
        <v>UNIDAD</v>
      </c>
      <c r="J40" s="58">
        <f>'Necesidades Trimestrales'!H38</f>
        <v>804.375</v>
      </c>
      <c r="K40" s="61">
        <f>'Necesidades Trimestrales'!G38</f>
        <v>10</v>
      </c>
      <c r="M40" s="115"/>
    </row>
    <row r="41" spans="1:13" ht="43.5" customHeight="1" x14ac:dyDescent="0.25">
      <c r="A41" s="51">
        <f>'Necesidades Trimestrales'!A39</f>
        <v>30</v>
      </c>
      <c r="B41" s="54">
        <f>'Necesidades Trimestrales'!B39</f>
        <v>0</v>
      </c>
      <c r="C41" s="130" t="str">
        <f>'Necesidades Trimestrales'!E39</f>
        <v>TROCAR P/DRENAJE PLEURAL FR 8</v>
      </c>
      <c r="D41" s="130"/>
      <c r="E41" s="130"/>
      <c r="F41" s="130"/>
      <c r="G41" s="130"/>
      <c r="H41" s="52" t="s">
        <v>26</v>
      </c>
      <c r="I41" s="53" t="str">
        <f>'Necesidades Trimestrales'!F39</f>
        <v>UNIDAD</v>
      </c>
      <c r="J41" s="58">
        <f>'Necesidades Trimestrales'!H39</f>
        <v>804.38</v>
      </c>
      <c r="K41" s="61">
        <f>'Necesidades Trimestrales'!G39</f>
        <v>30</v>
      </c>
      <c r="M41" s="115"/>
    </row>
    <row r="42" spans="1:13" ht="41.25" customHeight="1" thickBot="1" x14ac:dyDescent="0.25">
      <c r="A42" s="132" t="s">
        <v>107</v>
      </c>
      <c r="B42" s="133"/>
      <c r="C42" s="133"/>
      <c r="D42" s="133"/>
      <c r="E42" s="133"/>
      <c r="F42" s="133"/>
      <c r="G42" s="133"/>
      <c r="H42" s="133"/>
      <c r="I42" s="134"/>
      <c r="J42" s="135">
        <v>2309985.12</v>
      </c>
      <c r="K42" s="136"/>
    </row>
    <row r="43" spans="1:13" ht="12.75" customHeight="1" x14ac:dyDescent="0.2"/>
    <row r="45" spans="1:13" ht="12.75" customHeight="1" x14ac:dyDescent="0.2">
      <c r="J45" s="131"/>
      <c r="K45" s="131"/>
    </row>
    <row r="46" spans="1:13" ht="12.75" customHeight="1" x14ac:dyDescent="0.2">
      <c r="D46" s="56"/>
      <c r="E46" s="56"/>
      <c r="F46" s="56"/>
      <c r="G46" s="56"/>
      <c r="H46" s="56"/>
      <c r="I46" s="56"/>
    </row>
    <row r="47" spans="1:13" ht="15" x14ac:dyDescent="0.2">
      <c r="D47" s="56"/>
      <c r="E47" s="56"/>
      <c r="F47" s="56"/>
      <c r="G47" s="56"/>
      <c r="H47" s="56"/>
      <c r="I47" s="56"/>
    </row>
    <row r="48" spans="1:13" ht="30" customHeight="1" x14ac:dyDescent="0.2">
      <c r="D48" s="56"/>
      <c r="E48" s="56"/>
      <c r="F48" s="56"/>
      <c r="G48" s="56"/>
      <c r="H48" s="56"/>
      <c r="I48" s="56"/>
    </row>
    <row r="49" spans="4:9" ht="15" customHeight="1" x14ac:dyDescent="0.2">
      <c r="D49" s="57"/>
      <c r="E49" s="56"/>
      <c r="F49" s="56"/>
      <c r="G49" s="56"/>
      <c r="H49" s="56"/>
      <c r="I49" s="56"/>
    </row>
  </sheetData>
  <mergeCells count="53">
    <mergeCell ref="C41:G41"/>
    <mergeCell ref="C35:G35"/>
    <mergeCell ref="C36:G36"/>
    <mergeCell ref="C37:G37"/>
    <mergeCell ref="C38:G38"/>
    <mergeCell ref="C39:G3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45:K45"/>
    <mergeCell ref="A42:I42"/>
    <mergeCell ref="J42:K42"/>
    <mergeCell ref="C22:G22"/>
    <mergeCell ref="C15:G15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40:G40"/>
    <mergeCell ref="C14:G14"/>
    <mergeCell ref="C24:G24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opLeftCell="A7" workbookViewId="0">
      <selection activeCell="S16" sqref="S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6" t="s">
        <v>3</v>
      </c>
      <c r="B1" s="166"/>
      <c r="C1" s="166"/>
      <c r="D1" s="167">
        <v>2022</v>
      </c>
      <c r="E1" s="167"/>
      <c r="F1" s="4"/>
      <c r="G1" s="4"/>
      <c r="H1" s="5"/>
      <c r="I1" s="5"/>
      <c r="J1" s="5"/>
      <c r="K1" s="5"/>
      <c r="L1" s="5"/>
      <c r="M1" s="5"/>
      <c r="N1" s="5"/>
      <c r="P1" s="168" t="s">
        <v>27</v>
      </c>
      <c r="Q1" s="16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8"/>
      <c r="Q2" s="168"/>
    </row>
    <row r="4" spans="1:17" s="6" customFormat="1" ht="18" customHeight="1" thickBot="1" x14ac:dyDescent="0.25">
      <c r="A4" s="169" t="s">
        <v>28</v>
      </c>
      <c r="B4" s="169"/>
      <c r="C4" s="169"/>
      <c r="D4" s="169"/>
      <c r="E4" s="169"/>
      <c r="F4" s="169"/>
      <c r="G4" s="170" t="str">
        <f>' NotaPedido'!D3</f>
        <v>40- Ministerio de Salud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5" spans="1:17" s="6" customFormat="1" ht="18" customHeight="1" thickBot="1" x14ac:dyDescent="0.25">
      <c r="A5" s="174" t="s">
        <v>14</v>
      </c>
      <c r="B5" s="175"/>
      <c r="C5" s="175"/>
      <c r="D5" s="175"/>
      <c r="E5" s="175"/>
      <c r="F5" s="176"/>
      <c r="G5" s="170" t="str">
        <f>' NotaPedido'!D4</f>
        <v>28- Maternidad Provincial 25 de Mayo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17" s="6" customFormat="1" ht="18" customHeight="1" thickBot="1" x14ac:dyDescent="0.25">
      <c r="A6" s="174" t="s">
        <v>15</v>
      </c>
      <c r="B6" s="175"/>
      <c r="C6" s="175"/>
      <c r="D6" s="175"/>
      <c r="E6" s="175"/>
      <c r="F6" s="176"/>
      <c r="G6" s="170" t="str">
        <f>' NotaPedido'!D5</f>
        <v xml:space="preserve">169- Direccion Asistencial </v>
      </c>
      <c r="H6" s="170"/>
      <c r="I6" s="170"/>
      <c r="J6" s="170"/>
      <c r="K6" s="170"/>
      <c r="L6" s="170"/>
      <c r="M6" s="170"/>
      <c r="N6" s="170"/>
      <c r="O6" s="170"/>
      <c r="P6" s="170"/>
      <c r="Q6" s="170"/>
    </row>
    <row r="7" spans="1:17" s="6" customFormat="1" ht="18" customHeight="1" thickBot="1" x14ac:dyDescent="0.25">
      <c r="A7" s="174" t="s">
        <v>16</v>
      </c>
      <c r="B7" s="175"/>
      <c r="C7" s="175"/>
      <c r="D7" s="175"/>
      <c r="E7" s="175"/>
      <c r="F7" s="176"/>
      <c r="G7" s="170" t="str">
        <f>' NotaPedido'!D6</f>
        <v xml:space="preserve">Servicio de Farmacia  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</row>
    <row r="8" spans="1:17" ht="18" customHeight="1" thickBot="1" x14ac:dyDescent="0.25">
      <c r="A8" s="177" t="s">
        <v>29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</row>
    <row r="9" spans="1:17" ht="18" customHeight="1" x14ac:dyDescent="0.2">
      <c r="A9" s="171" t="s">
        <v>30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"/>
      <c r="P9" s="1"/>
      <c r="Q9" s="7"/>
    </row>
    <row r="10" spans="1:17" ht="54.75" customHeight="1" x14ac:dyDescent="0.2">
      <c r="A10" s="172" t="s">
        <v>104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3" t="s">
        <v>31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15.75" customHeight="1" thickBot="1" x14ac:dyDescent="0.25">
      <c r="A13" s="149" t="s">
        <v>32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33</v>
      </c>
      <c r="P13" s="150"/>
      <c r="Q13" s="151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50"/>
      <c r="P14" s="150"/>
      <c r="Q14" s="151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9</v>
      </c>
      <c r="K15" s="22">
        <v>5</v>
      </c>
      <c r="L15" s="22"/>
      <c r="M15" s="23">
        <v>1</v>
      </c>
      <c r="N15" s="22" t="s">
        <v>48</v>
      </c>
      <c r="O15" s="158" t="s">
        <v>102</v>
      </c>
      <c r="P15" s="159"/>
      <c r="Q15" s="29">
        <v>2309985.12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60"/>
      <c r="P16" s="161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52"/>
      <c r="P17" s="153"/>
      <c r="Q17" s="29"/>
    </row>
    <row r="18" spans="1:17" ht="31.5" customHeight="1" thickBot="1" x14ac:dyDescent="0.25">
      <c r="A18" s="155" t="s">
        <v>108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7">
        <f>SUM(Q15:Q16)</f>
        <v>2309985.12</v>
      </c>
    </row>
    <row r="19" spans="1:17" ht="18" customHeight="1" thickBot="1" x14ac:dyDescent="0.25">
      <c r="A19" s="156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</row>
    <row r="20" spans="1:17" ht="17.25" customHeight="1" thickBot="1" x14ac:dyDescent="0.25">
      <c r="A20" s="162" t="s">
        <v>49</v>
      </c>
      <c r="B20" s="163"/>
      <c r="C20" s="163"/>
      <c r="D20" s="163"/>
      <c r="E20" s="163"/>
      <c r="F20" s="164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spans="1:17" ht="18" customHeight="1" thickBot="1" x14ac:dyDescent="0.25">
      <c r="A21" s="154" t="s">
        <v>69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 spans="1:17" ht="39.75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2022-02-08T11:42:35Z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