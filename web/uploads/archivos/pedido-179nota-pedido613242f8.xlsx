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B4366738-1F55-4FAD-A275-C8E00A1835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NotaPedido'!$A$1:$K$76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G6" i="3" l="1"/>
  <c r="L19" i="1"/>
  <c r="L20" i="1"/>
  <c r="H25" i="1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J13" i="2"/>
  <c r="J14" i="2"/>
  <c r="J15" i="2"/>
  <c r="J16" i="2"/>
  <c r="J17" i="2"/>
  <c r="J18" i="2"/>
  <c r="J19" i="2"/>
  <c r="J20" i="2"/>
  <c r="J21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K12" i="2"/>
  <c r="J12" i="2"/>
  <c r="I12" i="2"/>
  <c r="C12" i="2"/>
  <c r="B12" i="2"/>
  <c r="I11" i="1"/>
  <c r="I12" i="1"/>
  <c r="I13" i="1"/>
  <c r="I14" i="1"/>
  <c r="I15" i="1"/>
  <c r="I16" i="1"/>
  <c r="I17" i="1"/>
  <c r="I18" i="1"/>
  <c r="I19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10" i="1"/>
  <c r="H24" i="1" l="1"/>
  <c r="I24" i="1" s="1"/>
  <c r="J27" i="2"/>
  <c r="I25" i="1"/>
  <c r="H23" i="1"/>
  <c r="J25" i="2" s="1"/>
  <c r="H27" i="1"/>
  <c r="J29" i="2" s="1"/>
  <c r="H22" i="1"/>
  <c r="H26" i="1"/>
  <c r="H20" i="1"/>
  <c r="H21" i="1"/>
  <c r="I23" i="1" l="1"/>
  <c r="J26" i="2"/>
  <c r="J23" i="2"/>
  <c r="I21" i="1"/>
  <c r="J24" i="2"/>
  <c r="I22" i="1"/>
  <c r="I26" i="1"/>
  <c r="J28" i="2"/>
  <c r="I27" i="1"/>
  <c r="I20" i="1"/>
  <c r="J22" i="2"/>
  <c r="G7" i="3"/>
  <c r="D3" i="2"/>
  <c r="G4" i="3" s="1"/>
  <c r="D4" i="2"/>
  <c r="G5" i="3" s="1"/>
  <c r="I74" i="1" l="1"/>
  <c r="J76" i="2"/>
  <c r="Q15" i="3" s="1"/>
  <c r="Q16" i="3" s="1"/>
  <c r="A10" i="3"/>
  <c r="D1" i="3"/>
</calcChain>
</file>

<file path=xl/sharedStrings.xml><?xml version="1.0" encoding="utf-8"?>
<sst xmlns="http://schemas.openxmlformats.org/spreadsheetml/2006/main" count="602" uniqueCount="291">
  <si>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</si>
  <si>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</si>
  <si>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</si>
  <si>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</si>
  <si>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</si>
  <si>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</si>
  <si>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</si>
  <si>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</si>
  <si>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</si>
  <si>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</si>
  <si>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</si>
  <si>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</si>
  <si>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</si>
  <si>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</si>
  <si>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</si>
  <si>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</si>
  <si>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</si>
  <si>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</si>
  <si>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</si>
  <si>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</si>
  <si>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</si>
  <si>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</si>
  <si>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</si>
  <si>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</si>
  <si>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</si>
  <si>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</si>
  <si>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</si>
  <si>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</si>
  <si>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</si>
  <si>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</si>
  <si>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</si>
  <si>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</si>
  <si>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</si>
  <si>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</si>
  <si>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</si>
  <si>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</si>
  <si>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</si>
  <si>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</si>
  <si>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</si>
  <si>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</si>
  <si>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</si>
  <si>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</si>
  <si>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</si>
  <si>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</si>
  <si>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</si>
  <si>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</si>
  <si>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</si>
  <si>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</si>
  <si>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</si>
  <si>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</si>
  <si>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</si>
  <si>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</si>
  <si>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</si>
  <si>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</si>
  <si>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</si>
  <si>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</si>
  <si>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</si>
  <si>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</si>
  <si>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7 - Direccion de Administracion de la Policia de la Provincia de Catamarca</t>
  </si>
  <si>
    <t>2.1.1-481.38</t>
  </si>
  <si>
    <t>2.1.1-454.25</t>
  </si>
  <si>
    <t>2.1.1-489.66</t>
  </si>
  <si>
    <t>2.1.1-489.109</t>
  </si>
  <si>
    <t>2.1.1-708.23</t>
  </si>
  <si>
    <t>2.1.1-514.15</t>
  </si>
  <si>
    <t>2.1.1-482.77</t>
  </si>
  <si>
    <t>2.1.1-482.81</t>
  </si>
  <si>
    <t>2.1.1-482.69</t>
  </si>
  <si>
    <t>2.1.1-2616.6</t>
  </si>
  <si>
    <t>2.1.1-706.6</t>
  </si>
  <si>
    <t>2.1.1-6547.13</t>
  </si>
  <si>
    <t>2.1.1-709.25</t>
  </si>
  <si>
    <t>2.1.1-542.236</t>
  </si>
  <si>
    <t>2.1.1-6546.108</t>
  </si>
  <si>
    <t>2.1.1-6546.236</t>
  </si>
  <si>
    <t>2.1.1-6546.167</t>
  </si>
  <si>
    <t>2.1.1-6546.153</t>
  </si>
  <si>
    <t>2.1.1-6539.30</t>
  </si>
  <si>
    <t>2.1.1-6539.8</t>
  </si>
  <si>
    <t>2.1.1-6546.34</t>
  </si>
  <si>
    <t>2.1.1-6546.47</t>
  </si>
  <si>
    <t>ALIMENTOS</t>
  </si>
  <si>
    <t>AZUCARES; TIPO: "A" COMUN, ESTADO: MOLIDA, PESO: 1 Kg, MATERIAL ENVASE: PLASTICO, CERTIFICADO FORESTAL (GFS): SIN, ELEM. TRANSPORTE: SIN, MATERIAL ELEM. TRANSPORTE: SIN</t>
  </si>
  <si>
    <t>YERBAS; PALO: CON, PESO: 1 Kg, MATERIAL ENVASE : PAPEL, CERTIFICADO FORESTAL (GFS): CON, ELEM. TRANSPORTE: SIN, MATERIAL ELEM. TRANSPORTE: SIN, LIBRE DE GLUTEN: SI</t>
  </si>
  <si>
    <t>ESPECIAS; TIPO: OREGANO, PRESENTACION: BOLSA DE 1 Kg</t>
  </si>
  <si>
    <t>ESPECIAS; TIPO: PROVENZAL, PRESENTACION: PAQUETE X 1 Kg</t>
  </si>
  <si>
    <t>CONSERVAS PESCADO Y FRUTOS MAR; ESTADO: AL NATURAL, PESO: 380 GR, ENVASE: LATA, TIPO: CABALLA, ESPECIE: CABALLA</t>
  </si>
  <si>
    <t>SAL DE MESA; CONSISTENCIA: GRUESA, ENVASE: BOLSA, PESO: 1 Kg, TIPO: SIN VALOR</t>
  </si>
  <si>
    <t>HARINAS; TIPO: DE TRIGO 0000, PRESENTACION: ENVASE X 1 Kg, MATERIAL ENVASE: PAPEL, CERTICADO FORESTAL (GFS): SIN, ELEM. TRANSPORTE: SIN, MATERIAL ELEM. TRANSPORTE: SIN, LIBRE DE GLUTEN: NO</t>
  </si>
  <si>
    <t>HARINAS; TIPO: LEUDANTE, PRESENTACION: ENVASE X 1 Kg, MATERIAL ENVASE: PAPEL, CERTICADO FORESTAL (GFS): SIN, ELEM. TRANSPORTE: SIN, MATERIAL ELEM. TRANSPORTE: SIN, LIBRE DE GLUTEN: NO</t>
  </si>
  <si>
    <t>HARINAS; TIPO: MAIZ, PRESENTACION: ENVASE X 1 Kg, MATERIAL ENVASE: PAPEL, CERTICADO FORESTAL (GFS): SIN, ELEM. TRANSPORTE: SIN, MATERIAL ELEM. TRANSPORTE: SIN, LIBRE DE GLUTEN: NO</t>
  </si>
  <si>
    <t>MAIZ; TIPO: BLANCO, PRESENTACION: PAQUETE X 1 Kg, FORMA DE PRESENTACION: PISADO</t>
  </si>
  <si>
    <t>MATE COCIDO; ENVASE: CAJA CARTON, PRESENTACION: ENSOBRADO, SAQUITOS P/CAJA: 100 UN, PESO X SAQ.: 3 GR</t>
  </si>
  <si>
    <t>LEGUMBRES; VARIEDAD: ARVEJA, ESTADO: REMOJADO EN CONSERVA, PRESENTACION: LATA, PESO: 380 GR</t>
  </si>
  <si>
    <t>CAFE; ENVASE: SAQUITO EN CAJA X 20 SOBRE, CONTENIDO: 7 GR, ESTADO: MOLIDO, PROCESO: TORRADO, TIPO: FUERTE, PRESENTACION: 20 X ENVASE X 7 GR</t>
  </si>
  <si>
    <t>QUESOS; TIPO: CREMOSO, PRESENTACION: AL PESO, ELEM. TRANSPORTE: SIN, MATERIAL ELEM. TRANSPORTE: SIN, MATERIAL ENVASE: SIN, CERTIFICADO FORESTAL (GFS): SIN, LIBRE DE GLUTEN: A DEFINIR</t>
  </si>
  <si>
    <t>VERDURAS Y HORTALIZAS; VARIEDAD: PAPA NEGRA, ESTADO: NATURAL, PRESENTACION: BOLSA, PESO: 10 Kg</t>
  </si>
  <si>
    <t>VERDURAS Y HORTALIZAS; VARIEDAD: CEBOLLA, ESTADO: NATURAL, PRESENTACION: BOLSA, PESO: 20 Kg</t>
  </si>
  <si>
    <t>VERDURAS Y HORTALIZAS; VARIEDAD: ZANAHORIA, PRESENTACION: BOLSA, ESTADO: NATURAL, PESO: 20 Kg</t>
  </si>
  <si>
    <t>VERDURAS Y HORTALIZAS; VARIEDAD: AJO, ESTADO: NATURAL, PRESENTACION: RISTRA, PESO: SIN VALOR</t>
  </si>
  <si>
    <t>VERDURAS Y HORTALIZAS; VARIEDAD: ACELGA, ESTADO: EN HOJA, PRESENTACION: ATADO, PESO: SIN VALOR</t>
  </si>
  <si>
    <t>VERDURAS Y HORTALIZAS; VARIEDAD: CEBOLLA DE VERDEO, ESTADO: NATURAL, PRESENTACION: GRANEL, PESO: SIN VALOR</t>
  </si>
  <si>
    <t>NO</t>
  </si>
  <si>
    <t>ALIMENTOS PARA PERSONAS</t>
  </si>
  <si>
    <t>Escuela de Cadetes "Tte. Gral. Juan Domingo Peron" la Provincia de Catamarca</t>
  </si>
  <si>
    <t>1.1</t>
  </si>
  <si>
    <t>Especificidades de todos los Items.</t>
  </si>
  <si>
    <t>2.1.1-439.67</t>
  </si>
  <si>
    <t>ACEITES COMESTIBLES; TIPO: GIRASOL, PRESENTACION: ENVASE X 900 CM3, MATERIAL ENVASE: PLASTICO 1 (PET), ELEM. TRANSPORTE: SIN, MATERIAL ELEM. TRANSPORTE : SIN, LIBRE DE GLUTEN: NO</t>
  </si>
  <si>
    <t>2.1.1-6546.95</t>
  </si>
  <si>
    <t>VERDURAS Y HORTALIZAS; VARIEDAD: MORRON VERDE, ESTADO: NATURAL, PRESENTACION: GRANEL, PESO: SIN VALOR</t>
  </si>
  <si>
    <r>
      <t xml:space="preserve">Para los oferentes que </t>
    </r>
    <r>
      <rPr>
        <b/>
        <u/>
        <sz val="9"/>
        <rFont val="Century Gothic"/>
        <family val="2"/>
      </rPr>
      <t>coticen carnes, frutas y verduras</t>
    </r>
    <r>
      <rPr>
        <sz val="9"/>
        <rFont val="Century Gothic"/>
        <family val="2"/>
      </rPr>
      <t xml:space="preserve"> deberán presentar: CERTIFICADO DE HABILITACIÓN DEL LOCAL, DESINFECCIÓN DEL MISMO emitido por el Dpto. de Bromatología y CARNET SANITARIO del personal, en copia debidamente certificada por autoridad de Aplicación o Escribano Publico. El bien a proveer, deberá constar con la rotulación del frigorífico de origen para el ítem N° 25.- </t>
    </r>
  </si>
  <si>
    <r>
      <t xml:space="preserve">Para los distintos tipos de </t>
    </r>
    <r>
      <rPr>
        <b/>
        <u/>
        <sz val="9"/>
        <rFont val="Century Gothic"/>
        <family val="2"/>
      </rPr>
      <t>Carnes:</t>
    </r>
    <r>
      <rPr>
        <sz val="9"/>
        <rFont val="Century Gothic"/>
        <family val="2"/>
      </rPr>
      <t xml:space="preserve"> Sin exceso de grasas, sin elementos extraños y en óptimas condiciones de higiene. Los oferentes deberán contar con la Habilitación del Local para la venta, expedida por Bromatología Municipal y Certificado de Transporte Alimenticio expedido por el Dpto. de Bromatología de la Provincia de Catamarca o Habilitación de Transporte Alimenticio según normas SENASA. Si el oferente no posee transporte propio, deberá presentar Acta Convenio, en cual se encuentre establecido el periodo de prestación del servicio y los datos del vehículo a utilizar.</t>
    </r>
  </si>
  <si>
    <t>2.1.1-489.136</t>
  </si>
  <si>
    <t>ESPECIAS; TIPO: PIMENTON EXTRA DULCE, PRESENTACION: BOLSA X 1 Kg</t>
  </si>
  <si>
    <t>2.1.1-489.165</t>
  </si>
  <si>
    <t>ESPECIAS; TIPO: PIMIENTA BLANCA MOLIDA, PRESENTACION: ENVASE X 1 Kg, LIBRE DE GLUTEN: NO</t>
  </si>
  <si>
    <t>2.1.1-489.119</t>
  </si>
  <si>
    <t>ESPECIAS; TIPO: COMINO, PRESENTACION: BOLSA X 1 Kg</t>
  </si>
  <si>
    <t>2.1.1-489.68</t>
  </si>
  <si>
    <t>ESPECIAS; PRESENTACION: BOLSA DE 1 Kg, TIPO: AJI MOLIDO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</si>
  <si>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</si>
  <si>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</si>
  <si>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2.1.1-2868.61</t>
  </si>
  <si>
    <t>FIDEOS SECOS; VARIEDAD: MOÑOS BLANCOS, RELLENO: SIN, PRESENTACION: ENVASE X 500 GR, MATERIAL ENVASE: PLASTICO 1 (PET), ELEM. TRANSPORTE: CAJA, MATERIAL ELEM. TRANSPORTE: SIN, CERTIFICADO FORESTAL (GFS): SIN,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</si>
  <si>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</si>
  <si>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</si>
  <si>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</si>
  <si>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</si>
  <si>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2.1.1-2868.65</t>
  </si>
  <si>
    <t>FIDEOS SECOS; VARIEDAD: SPAGHETTI VERDES, RELLENO: SIN, PRESENTACION: ENVASE X 5 Kg, MATERIAL ENVASE: PLASTICO 1 (PET), ELEM. TRANSPORTE: SIN, MATERIAL ELEM. TRANSPORTE: SIN, CERTIFICADO FORESTAL (GFS): SIN, LIBRE DE GLUTEN: NO</t>
  </si>
  <si>
    <t>2.1.1-2868.85</t>
  </si>
  <si>
    <t>FIDEOS SECOS; VARIEDAD: TAGLIATELLE, RELLENO: SIN, PRESENTACION: ENVASE X 500 GR, MATERIAL ENVASE: POLIETILENO, ELEM. TRANSPORTE: SIN, MATERIAL ELEM. TRANSPORTE: SIN, CERTIFICADO FORESTAL (GFS): SIN, LIBRE DE GLUTEN: NO</t>
  </si>
  <si>
    <t>2.1.1-2868.45</t>
  </si>
  <si>
    <t>FIDEOS SECOS; VARIEDAD: TALLARINES AMARILLOS, RELLENO: SIN, PRESENTACION: ENVASE X 5 Kg, MATERIAL ENVASE: CARTON, ELEM. TRANSPORTE: SIN, MATERIAL ELEM. TRANSPORTE: SIN, CERTIFICADO FORESTAL (GFS): CON,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</si>
  <si>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</si>
  <si>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</si>
  <si>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</si>
  <si>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</si>
  <si>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2.1.1-6547.56</t>
  </si>
  <si>
    <t>LEGUMBRES; VARIEDAD: POROTO BLANCO OVAL, ESTADO: SECO, PRESENTACION: BOLSA, PESO: 500 GR</t>
  </si>
  <si>
    <t>2.1.1-509.10</t>
  </si>
  <si>
    <t>PURE; TIPO: DE TOMATE, ENVASE: CAJA DE CARTON, PESO: 530 GR</t>
  </si>
  <si>
    <t>2.1.1-519.27</t>
  </si>
  <si>
    <t>VINAGRES; TIPO: VINO, PRESENTACION: ENVASE X 1 L, MATERIAL ENVASE: PLASTICO 1 (PET), LIBRE DE GLUTEN: NO</t>
  </si>
  <si>
    <t>2.1.1-709.6</t>
  </si>
  <si>
    <t>CAFE; ESTADO: MOLIDO, ENVASE: PAQUETE, PROCESO: TORRADO C/AZUCAR, CONTENIDO: 500 GR, TIPO: SIN VALOR, PRESENTACION: ENVASE X 500 GR</t>
  </si>
  <si>
    <t>2.1.1-511.5</t>
  </si>
  <si>
    <t>TE; PRESENTACION: EN SAQUITOS ENSOBRADOS, PESO: SIN VALOR, TIPO: SIN VALOR, SAQUITOS 2G P/CAJA: 50</t>
  </si>
  <si>
    <t>2.1.1-2116.1</t>
  </si>
  <si>
    <t>LEVADURAS; TIPO: DE CERVEZA, PRESENTACION: PAQUETE, PESO: 500 GR</t>
  </si>
  <si>
    <t>2.1.1-705.95</t>
  </si>
  <si>
    <t>LECHE; ESTADO: POLVO, TIPO: DESCREMADA, PROCESO: PASTEURIZADA, AGREGADO: VITAMINAS A Y D, PRESENTACION: ENVASE X 400 GR, MATERIAL ENVASE: CARTON, ELEM. TRANSPORTE: SIN, MATERIAL ELEM. TRANSPORTE: SIN, CERTIFICADO FORESTAL (GFS): SIN, LIBRE DE GLUTEN: NO</t>
  </si>
  <si>
    <t>2.1.1-2113.21</t>
  </si>
  <si>
    <t>DULCES; TIPO: BATATA A LA VAINILLA, PRESENTACION: LATA, PESO: 5 Kg</t>
  </si>
  <si>
    <t>2.1.1-2615.13</t>
  </si>
  <si>
    <t>CACAO; TIPO: AMARGO, PRESENTACION: ENVASE X 500 GR, FORMA DE PRESENTACION: POLVO, MATERIAL ENVASE: CARTON, CERTICADO FORESTAL (GFS): CON</t>
  </si>
  <si>
    <t>2.1.1-456.22</t>
  </si>
  <si>
    <t>YOGHURT; CAPACIDAD: 1 L, SABOR: FRUTILLA, TIPO: ENTERO, ENVASE: SACHET, AGREGADO: SIN VALOR, CONSISTENCIA: BEBIBLE, PRESENTACION: SACHET X 1 L</t>
  </si>
  <si>
    <t>2.1.1-621.13</t>
  </si>
  <si>
    <t>AVES; ESPECIE: POLLO, PRESENTACION: CAJON X 8 UN, EVISCERADO: SIN VALOR, TIPO: POLLO</t>
  </si>
  <si>
    <t>2.1.1-541.176</t>
  </si>
  <si>
    <t>CARNES; TIPO: VACUNA, CORTE: CUARTO TRASERO</t>
  </si>
  <si>
    <t>2.1.1-483.37</t>
  </si>
  <si>
    <t>HUEVO DE GALLINA; TAMAÑO: GRANDE, COLOR: COLOR, PRESENTACION: 30 UN</t>
  </si>
  <si>
    <t>2.1.1-6546.188</t>
  </si>
  <si>
    <t>VERDURAS Y HORTALIZAS; ESTADO: NATURAL, PRESENTACION: GRANEL, PESO: SIN VALOR, VARIEDAD: ZAPALLO CRIOLLO</t>
  </si>
  <si>
    <t>2.1.1-6546.169</t>
  </si>
  <si>
    <t>VERDURAS Y HORTALIZAS; VARIEDAD: ESPINACA, PRESENTACION: ATADO, ESTADO: NATURAL, PESO: SIN VALOR</t>
  </si>
  <si>
    <t>2.1.1-6546.54</t>
  </si>
  <si>
    <t>VERDURAS Y HORTALIZAS; VARIEDAD: CHOCLO, ESTADO: NATURAL, PRESENTACION: GRANEL, PESO: SIN VALOR</t>
  </si>
  <si>
    <t>FRUTAS; VARIEDAD: NARANJA ESPECIAL, ESTADO: NATURAL, PRESENTACION: CAJON, PESO: SIN VALOR</t>
  </si>
  <si>
    <t>2.1.1</t>
  </si>
  <si>
    <r>
      <t xml:space="preserve">Que Cumpla con lo Solicitado de Forma Integra. </t>
    </r>
    <r>
      <rPr>
        <b/>
        <u/>
        <sz val="9"/>
        <rFont val="Century Gothic"/>
        <family val="2"/>
      </rPr>
      <t/>
    </r>
  </si>
  <si>
    <t>*</t>
  </si>
  <si>
    <t>30 dias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</si>
  <si>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</si>
  <si>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</si>
  <si>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</si>
  <si>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</si>
  <si>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</si>
  <si>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</si>
  <si>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</si>
  <si>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</si>
  <si>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</si>
  <si>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</si>
  <si>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</si>
  <si>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</si>
  <si>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</si>
  <si>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</si>
  <si>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</si>
  <si>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</si>
  <si>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</si>
  <si>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</si>
  <si>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</si>
  <si>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</si>
  <si>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</si>
  <si>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</si>
  <si>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</si>
  <si>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</si>
  <si>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</si>
  <si>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</si>
  <si>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</si>
  <si>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</si>
  <si>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</si>
  <si>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</si>
  <si>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</si>
  <si>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</si>
  <si>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</si>
  <si>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</si>
  <si>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</si>
  <si>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</si>
  <si>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</si>
  <si>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</si>
  <si>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</si>
  <si>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</si>
  <si>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</si>
  <si>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</si>
  <si>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</si>
  <si>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</si>
  <si>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</si>
  <si>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</si>
  <si>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</si>
  <si>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</si>
  <si>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</si>
  <si>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</si>
  <si>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</si>
  <si>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</si>
  <si>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</si>
  <si>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</si>
  <si>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</si>
  <si>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</si>
  <si>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</si>
  <si>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</si>
  <si>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</si>
  <si>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</si>
  <si>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</si>
  <si>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</si>
  <si>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</si>
  <si>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</si>
  <si>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KILOGRAMOS</t>
  </si>
  <si>
    <t>CAJON</t>
  </si>
  <si>
    <t>DOCENA</t>
  </si>
  <si>
    <t>BOLSA</t>
  </si>
  <si>
    <t>2.1.1-3438.2</t>
  </si>
  <si>
    <t>CEREALES EN COPOS; VARIEDAD: SIN AZUCAR, TIPO: COPOS, PRESENTACION: ENVASE X 400 GR</t>
  </si>
  <si>
    <t>2.1.1-6546.18</t>
  </si>
  <si>
    <t>VERDURAS Y HORTALIZAS; VARIEDAD: TOMATE REDONDO, ESTADO: NATURAL, PRESENTACION: CAJON, PESO: 10 Kg</t>
  </si>
  <si>
    <r>
      <t xml:space="preserve">ITEM 53: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CAJON POR 15KG</t>
    </r>
  </si>
  <si>
    <t>ITEM 47: MAPLE POR 30 UNIDADES</t>
  </si>
  <si>
    <t>FRUTAS; VARIEDAD: BANANA, PRESENTACION: CAJON, ESTADO: NATURAL, PESO: SIN VALOR</t>
  </si>
  <si>
    <r>
      <t xml:space="preserve">ITEM 61: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CAJON POR 20 KG</t>
    </r>
  </si>
  <si>
    <t>FRUTAS; VARIEDAD: MANZANA, ESTADO: NATURAL, PRESENTACION: ENVASE X 20 Kg</t>
  </si>
  <si>
    <t>2.1.1-6539.160</t>
  </si>
  <si>
    <r>
      <t xml:space="preserve">ITEM 63: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CAJON POR 10 KG</t>
    </r>
  </si>
  <si>
    <t>FRUTAS; VARIEDAD: PERA, ESTADO: NATURAL, PRESENTACION: ENVASE X 20 Kg</t>
  </si>
  <si>
    <t>2.1.1-6539.157</t>
  </si>
  <si>
    <t>2.1.1-6546.151</t>
  </si>
  <si>
    <t>VERDURAS Y HORTALIZAS; VARIEDAD: ZAPALLITO REDONDO, ESTADO: NATURAL, PRESENTACION: CAJON, PESO: SIN VALOR</t>
  </si>
  <si>
    <t>Adquisición de alimentos para personas .</t>
  </si>
  <si>
    <t>SAL DE MESA; CONSISTENCIA: FINA, ENVASE: BOLSA, PESO: 1 Kg, TIPO: SIN VALOR</t>
  </si>
  <si>
    <t>2.1.1-514.17</t>
  </si>
  <si>
    <t>2.1.1-6546.4</t>
  </si>
  <si>
    <t>VERDURAS Y HORTALIZAS; VARIEDAD: TOMATE PERITA, ESTADO: TRITURADO, PRESENTACION: BOTELLA, PESO: 950 GR</t>
  </si>
  <si>
    <t>BOTELLA</t>
  </si>
  <si>
    <t>VERDURAS Y HORTALIZAS; VARIEDAD: PEREJIL, ESTADO: NATURAL, PRESENTACION: GRANEL, PESO: SIN VALOR</t>
  </si>
  <si>
    <t>2.1.1-6546.132</t>
  </si>
  <si>
    <t>ATADO</t>
  </si>
  <si>
    <r>
      <t xml:space="preserve">ITEM 55:  </t>
    </r>
    <r>
      <rPr>
        <b/>
        <sz val="9"/>
        <color rgb="FF000000"/>
        <rFont val="Century Gothic"/>
        <family val="2"/>
      </rPr>
      <t>PESO</t>
    </r>
    <r>
      <rPr>
        <sz val="9"/>
        <color rgb="FF000000"/>
        <rFont val="Century Gothic"/>
        <family val="2"/>
      </rPr>
      <t xml:space="preserve">: 600 GR. APROX. </t>
    </r>
  </si>
  <si>
    <r>
      <t xml:space="preserve">ITEM 57: </t>
    </r>
    <r>
      <rPr>
        <b/>
        <sz val="9"/>
        <color rgb="FF000000"/>
        <rFont val="Century Gothic"/>
        <family val="2"/>
      </rPr>
      <t xml:space="preserve"> PESO:</t>
    </r>
    <r>
      <rPr>
        <sz val="9"/>
        <color rgb="FF000000"/>
        <rFont val="Century Gothic"/>
        <family val="2"/>
      </rPr>
      <t xml:space="preserve"> 350 GR. APROX. </t>
    </r>
  </si>
  <si>
    <t>PAQUETE</t>
  </si>
  <si>
    <t>LATA</t>
  </si>
  <si>
    <t>CAJA</t>
  </si>
  <si>
    <t>2.1.1-2431.13</t>
  </si>
  <si>
    <t>CALDOS; GUSTO: VERDURA, TIPO: DESHIDRATADO, PRESENTACION: ENVASE X 12 UN</t>
  </si>
  <si>
    <t>CALDOS; GUSTO: GALLINA, TIPO: CONCENTRADO, PRESENTACION: ENVASE X 12 CUBOS</t>
  </si>
  <si>
    <t>2.1.1-2431.20</t>
  </si>
  <si>
    <t>CALDOS; GUSTO: CARNE, TIPO: CONCENTRADO, PRESENTACION: ENVASE X 12 UN</t>
  </si>
  <si>
    <t>2.1.1-2431.19</t>
  </si>
  <si>
    <t>SACHET</t>
  </si>
  <si>
    <r>
      <t xml:space="preserve">ITEM 56:  </t>
    </r>
    <r>
      <rPr>
        <b/>
        <sz val="9"/>
        <color rgb="FF000000"/>
        <rFont val="Century Gothic"/>
        <family val="2"/>
      </rPr>
      <t>PESO</t>
    </r>
    <r>
      <rPr>
        <sz val="9"/>
        <color rgb="FF000000"/>
        <rFont val="Century Gothic"/>
        <family val="2"/>
      </rPr>
      <t xml:space="preserve">: ATADOS DE 100 GR. APROX. </t>
    </r>
  </si>
  <si>
    <r>
      <t xml:space="preserve">ITEM 58: 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LA PRESENTACION PUEDE SER EN ATADO DE 350 GM APROX</t>
    </r>
  </si>
  <si>
    <r>
      <t xml:space="preserve">ITEM 52: </t>
    </r>
    <r>
      <rPr>
        <b/>
        <sz val="9"/>
        <color rgb="FF000000"/>
        <rFont val="Century Gothic"/>
        <family val="2"/>
      </rPr>
      <t>PESO:</t>
    </r>
    <r>
      <rPr>
        <sz val="9"/>
        <color rgb="FF000000"/>
        <rFont val="Century Gothic"/>
        <family val="2"/>
      </rPr>
      <t xml:space="preserve"> LA PRESENTACION PUEDE SER EN CAJON  POR 20 KG. APROX. </t>
    </r>
  </si>
  <si>
    <t>1º Trimestre Año 2021</t>
  </si>
  <si>
    <t>02/2021</t>
  </si>
  <si>
    <r>
      <t>AUTORIZACIÓN</t>
    </r>
    <r>
      <rPr>
        <b/>
        <sz val="10"/>
        <rFont val="Century Gothic"/>
        <family val="2"/>
      </rPr>
      <t>:</t>
    </r>
  </si>
  <si>
    <t>Costo total estimado: PESOS CUATRO MILLONES NOVECIENTOS CINCUENTA MIL CIENTO DIECIOCHO CON 00/100</t>
  </si>
  <si>
    <t>CUATRO MILLONES NOVECIENTOS CINCUENTA MIL CIENTO DIECIOCHO CON 00/100</t>
  </si>
  <si>
    <r>
      <t xml:space="preserve">a) </t>
    </r>
    <r>
      <rPr>
        <b/>
        <sz val="9"/>
        <rFont val="Century Gothic"/>
        <family val="2"/>
      </rPr>
      <t>LUGAR DE ENTREGA</t>
    </r>
    <r>
      <rPr>
        <sz val="9"/>
        <rFont val="Century Gothic"/>
        <family val="2"/>
      </rPr>
      <t>: En la Escuela de Cadetes de Policía– sito en Av. Acosta Villafañez al 1.500 de la ciudad de San Fernando del Valle de Catamarca. 
b)</t>
    </r>
    <r>
      <rPr>
        <b/>
        <sz val="9"/>
        <rFont val="Century Gothic"/>
        <family val="2"/>
      </rPr>
      <t xml:space="preserve"> FORMA DE LA ENTREGA</t>
    </r>
    <r>
      <rPr>
        <sz val="9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9"/>
        <rFont val="Century Gothic"/>
        <family val="2"/>
      </rPr>
      <t>PLAZO DE ENTREGA</t>
    </r>
    <r>
      <rPr>
        <sz val="9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Reglamento Pracial N° 2 de la ley 4938.</t>
    </r>
  </si>
  <si>
    <t>Policia de la Provincia de Catamarca</t>
  </si>
  <si>
    <t>Adquisición de alimentos para personas destinada a  Realizar las Racciones Diarias.-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</si>
</sst>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b/>
      <sz val="9"/>
      <name val="Century Gothic"/>
      <family val="2"/>
    </font>
    <font>
      <b/>
      <sz val="9"/>
      <color rgb="FF000000"/>
      <name val="Century Gothic"/>
      <family val="2"/>
    </font>
    <font>
      <u/>
      <sz val="9"/>
      <name val="Century Gothic"/>
      <family val="2"/>
    </font>
    <font>
      <b/>
      <u/>
      <sz val="9"/>
      <name val="Century Gothic"/>
      <family val="2"/>
    </font>
    <font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color theme="0"/>
      <name val="Century Gothic"/>
      <family val="2"/>
    </font>
    <font>
      <b/>
      <sz val="16"/>
      <name val="Century Gothic"/>
      <family val="2"/>
    </font>
    <font>
      <sz val="11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94">
    <xf numFmtId="0" fontId="0" fillId="0" borderId="0" xfId="0"/>
    <xf numFmtId="0" fontId="11" fillId="0" borderId="0" xfId="0" applyFont="1"/>
    <xf numFmtId="0" fontId="12" fillId="0" borderId="20" xfId="0" applyFont="1" applyBorder="1" applyAlignment="1">
      <alignment horizontal="right" vertical="center"/>
    </xf>
    <xf numFmtId="0" fontId="11" fillId="0" borderId="0" xfId="0" applyFont="1" applyBorder="1" applyAlignment="1">
      <alignment vertical="center"/>
    </xf>
    <xf numFmtId="0" fontId="12" fillId="0" borderId="22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1" fillId="0" borderId="3" xfId="0" quotePrefix="1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/>
    </xf>
    <xf numFmtId="49" fontId="11" fillId="0" borderId="4" xfId="0" applyNumberFormat="1" applyFont="1" applyFill="1" applyBorder="1" applyAlignment="1">
      <alignment horizontal="center" vertical="center" wrapText="1"/>
    </xf>
    <xf numFmtId="169" fontId="11" fillId="0" borderId="4" xfId="1" applyNumberFormat="1" applyFont="1" applyBorder="1" applyAlignment="1" applyProtection="1">
      <alignment horizontal="center" vertical="center"/>
    </xf>
    <xf numFmtId="3" fontId="11" fillId="0" borderId="5" xfId="0" applyNumberFormat="1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49" fontId="11" fillId="0" borderId="7" xfId="0" applyNumberFormat="1" applyFont="1" applyFill="1" applyBorder="1" applyAlignment="1">
      <alignment horizontal="left" vertical="center" wrapText="1"/>
    </xf>
    <xf numFmtId="49" fontId="11" fillId="0" borderId="7" xfId="0" applyNumberFormat="1" applyFont="1" applyFill="1" applyBorder="1" applyAlignment="1">
      <alignment horizontal="center" vertical="center" wrapText="1"/>
    </xf>
    <xf numFmtId="169" fontId="11" fillId="0" borderId="7" xfId="1" applyNumberFormat="1" applyFont="1" applyBorder="1" applyAlignment="1" applyProtection="1">
      <alignment horizontal="center" vertical="center"/>
    </xf>
    <xf numFmtId="0" fontId="11" fillId="0" borderId="6" xfId="0" quotePrefix="1" applyFont="1" applyFill="1" applyBorder="1" applyAlignment="1">
      <alignment horizontal="center" vertical="center" wrapText="1"/>
    </xf>
    <xf numFmtId="3" fontId="11" fillId="0" borderId="8" xfId="0" applyNumberFormat="1" applyFont="1" applyFill="1" applyBorder="1" applyAlignment="1">
      <alignment horizontal="center" vertical="center"/>
    </xf>
    <xf numFmtId="0" fontId="11" fillId="0" borderId="9" xfId="0" quotePrefix="1" applyFont="1" applyFill="1" applyBorder="1" applyAlignment="1">
      <alignment horizontal="center" vertical="center" wrapText="1"/>
    </xf>
    <xf numFmtId="49" fontId="11" fillId="0" borderId="10" xfId="0" applyNumberFormat="1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center" vertical="center"/>
    </xf>
    <xf numFmtId="49" fontId="11" fillId="0" borderId="10" xfId="0" applyNumberFormat="1" applyFont="1" applyFill="1" applyBorder="1" applyAlignment="1">
      <alignment horizontal="center" vertical="center" wrapText="1"/>
    </xf>
    <xf numFmtId="169" fontId="11" fillId="0" borderId="10" xfId="1" applyNumberFormat="1" applyFont="1" applyBorder="1" applyAlignment="1" applyProtection="1">
      <alignment horizontal="center" vertical="center"/>
    </xf>
    <xf numFmtId="3" fontId="11" fillId="0" borderId="11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6" fillId="3" borderId="0" xfId="0" applyFont="1" applyFill="1" applyAlignment="1">
      <alignment horizontal="left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 wrapText="1"/>
    </xf>
    <xf numFmtId="169" fontId="8" fillId="3" borderId="2" xfId="0" applyNumberFormat="1" applyFont="1" applyFill="1" applyBorder="1" applyAlignment="1">
      <alignment horizontal="center" vertical="center" wrapText="1"/>
    </xf>
    <xf numFmtId="0" fontId="8" fillId="3" borderId="3" xfId="0" quotePrefix="1" applyFont="1" applyFill="1" applyBorder="1" applyAlignment="1">
      <alignment horizontal="center" vertical="center" wrapText="1"/>
    </xf>
    <xf numFmtId="49" fontId="11" fillId="3" borderId="4" xfId="0" applyNumberFormat="1" applyFont="1" applyFill="1" applyBorder="1"/>
    <xf numFmtId="49" fontId="11" fillId="3" borderId="4" xfId="0" applyNumberFormat="1" applyFont="1" applyFill="1" applyBorder="1" applyAlignment="1">
      <alignment wrapText="1"/>
    </xf>
    <xf numFmtId="0" fontId="8" fillId="3" borderId="4" xfId="0" applyFont="1" applyFill="1" applyBorder="1" applyAlignment="1">
      <alignment horizontal="center" vertical="center" wrapText="1"/>
    </xf>
    <xf numFmtId="170" fontId="8" fillId="3" borderId="4" xfId="0" applyNumberFormat="1" applyFont="1" applyFill="1" applyBorder="1" applyAlignment="1">
      <alignment horizontal="center" vertical="center" wrapText="1"/>
    </xf>
    <xf numFmtId="169" fontId="8" fillId="3" borderId="5" xfId="0" applyNumberFormat="1" applyFont="1" applyFill="1" applyBorder="1" applyAlignment="1">
      <alignment horizontal="center" vertical="center" wrapText="1"/>
    </xf>
    <xf numFmtId="0" fontId="8" fillId="3" borderId="6" xfId="0" quotePrefix="1" applyFont="1" applyFill="1" applyBorder="1" applyAlignment="1">
      <alignment horizontal="center" vertical="center" wrapText="1"/>
    </xf>
    <xf numFmtId="49" fontId="11" fillId="3" borderId="7" xfId="0" applyNumberFormat="1" applyFont="1" applyFill="1" applyBorder="1"/>
    <xf numFmtId="49" fontId="11" fillId="3" borderId="7" xfId="0" applyNumberFormat="1" applyFont="1" applyFill="1" applyBorder="1" applyAlignment="1">
      <alignment wrapText="1"/>
    </xf>
    <xf numFmtId="0" fontId="11" fillId="3" borderId="7" xfId="0" applyFont="1" applyFill="1" applyBorder="1"/>
    <xf numFmtId="0" fontId="8" fillId="3" borderId="7" xfId="0" applyFont="1" applyFill="1" applyBorder="1" applyAlignment="1">
      <alignment horizontal="center" vertical="center" wrapText="1"/>
    </xf>
    <xf numFmtId="170" fontId="8" fillId="3" borderId="7" xfId="0" applyNumberFormat="1" applyFont="1" applyFill="1" applyBorder="1" applyAlignment="1">
      <alignment horizontal="center" vertical="center" wrapText="1"/>
    </xf>
    <xf numFmtId="169" fontId="8" fillId="3" borderId="8" xfId="0" applyNumberFormat="1" applyFont="1" applyFill="1" applyBorder="1" applyAlignment="1">
      <alignment horizontal="center" vertical="center" wrapText="1"/>
    </xf>
    <xf numFmtId="170" fontId="5" fillId="3" borderId="7" xfId="0" applyNumberFormat="1" applyFont="1" applyFill="1" applyBorder="1" applyAlignment="1">
      <alignment horizontal="center" vertical="center"/>
    </xf>
    <xf numFmtId="0" fontId="8" fillId="3" borderId="9" xfId="0" quotePrefix="1" applyFont="1" applyFill="1" applyBorder="1" applyAlignment="1">
      <alignment horizontal="center" vertical="center" wrapText="1"/>
    </xf>
    <xf numFmtId="49" fontId="11" fillId="3" borderId="10" xfId="0" applyNumberFormat="1" applyFont="1" applyFill="1" applyBorder="1"/>
    <xf numFmtId="49" fontId="11" fillId="3" borderId="10" xfId="0" applyNumberFormat="1" applyFont="1" applyFill="1" applyBorder="1" applyAlignment="1">
      <alignment wrapText="1"/>
    </xf>
    <xf numFmtId="0" fontId="11" fillId="3" borderId="10" xfId="0" applyFont="1" applyFill="1" applyBorder="1"/>
    <xf numFmtId="0" fontId="8" fillId="3" borderId="10" xfId="0" applyFont="1" applyFill="1" applyBorder="1" applyAlignment="1">
      <alignment horizontal="center" vertical="center" wrapText="1"/>
    </xf>
    <xf numFmtId="170" fontId="8" fillId="3" borderId="10" xfId="0" applyNumberFormat="1" applyFont="1" applyFill="1" applyBorder="1" applyAlignment="1">
      <alignment horizontal="center" vertical="center" wrapText="1"/>
    </xf>
    <xf numFmtId="169" fontId="8" fillId="3" borderId="11" xfId="0" applyNumberFormat="1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 wrapText="1"/>
    </xf>
    <xf numFmtId="169" fontId="8" fillId="3" borderId="24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3" xfId="0" applyFont="1" applyFill="1" applyBorder="1"/>
    <xf numFmtId="0" fontId="5" fillId="3" borderId="14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3" borderId="16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wrapText="1"/>
    </xf>
    <xf numFmtId="0" fontId="5" fillId="3" borderId="16" xfId="0" applyFont="1" applyFill="1" applyBorder="1" applyAlignment="1">
      <alignment wrapText="1"/>
    </xf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0" fontId="5" fillId="3" borderId="16" xfId="0" applyFont="1" applyFill="1" applyBorder="1" applyAlignment="1"/>
    <xf numFmtId="0" fontId="5" fillId="3" borderId="17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8" xfId="0" applyFont="1" applyFill="1" applyBorder="1"/>
    <xf numFmtId="0" fontId="5" fillId="3" borderId="19" xfId="0" applyFont="1" applyFill="1" applyBorder="1" applyAlignment="1">
      <alignment horizontal="left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/>
    </xf>
    <xf numFmtId="49" fontId="11" fillId="3" borderId="0" xfId="0" applyNumberFormat="1" applyFont="1" applyFill="1"/>
    <xf numFmtId="49" fontId="11" fillId="3" borderId="0" xfId="0" applyNumberFormat="1" applyFont="1" applyFill="1" applyAlignment="1">
      <alignment horizontal="left"/>
    </xf>
    <xf numFmtId="0" fontId="11" fillId="3" borderId="0" xfId="0" applyFont="1" applyFill="1"/>
    <xf numFmtId="0" fontId="16" fillId="3" borderId="0" xfId="0" applyFont="1" applyFill="1"/>
    <xf numFmtId="0" fontId="8" fillId="3" borderId="0" xfId="0" applyFont="1" applyFill="1" applyAlignment="1">
      <alignment horizontal="left" vertical="center" wrapText="1"/>
    </xf>
    <xf numFmtId="49" fontId="0" fillId="0" borderId="0" xfId="0" applyNumberFormat="1"/>
    <xf numFmtId="49" fontId="11" fillId="0" borderId="7" xfId="0" applyNumberFormat="1" applyFont="1" applyFill="1" applyBorder="1" applyAlignment="1">
      <alignment wrapText="1"/>
    </xf>
    <xf numFmtId="49" fontId="11" fillId="0" borderId="0" xfId="0" applyNumberFormat="1" applyFont="1"/>
    <xf numFmtId="49" fontId="11" fillId="0" borderId="7" xfId="0" applyNumberFormat="1" applyFont="1" applyBorder="1"/>
    <xf numFmtId="0" fontId="8" fillId="0" borderId="6" xfId="0" quotePrefix="1" applyFont="1" applyFill="1" applyBorder="1" applyAlignment="1">
      <alignment horizontal="center" vertical="center" wrapText="1"/>
    </xf>
    <xf numFmtId="49" fontId="11" fillId="0" borderId="7" xfId="0" applyNumberFormat="1" applyFont="1" applyFill="1" applyBorder="1"/>
    <xf numFmtId="0" fontId="11" fillId="0" borderId="7" xfId="0" applyFont="1" applyFill="1" applyBorder="1"/>
    <xf numFmtId="0" fontId="8" fillId="0" borderId="7" xfId="0" applyFont="1" applyFill="1" applyBorder="1" applyAlignment="1">
      <alignment horizontal="center" vertical="center" wrapText="1"/>
    </xf>
    <xf numFmtId="170" fontId="8" fillId="0" borderId="7" xfId="0" applyNumberFormat="1" applyFont="1" applyFill="1" applyBorder="1" applyAlignment="1">
      <alignment horizontal="center" vertical="center" wrapText="1"/>
    </xf>
    <xf numFmtId="169" fontId="8" fillId="0" borderId="8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49" fontId="0" fillId="0" borderId="7" xfId="0" applyNumberFormat="1" applyBorder="1"/>
    <xf numFmtId="49" fontId="13" fillId="0" borderId="21" xfId="0" applyNumberFormat="1" applyFont="1" applyFill="1" applyBorder="1" applyAlignment="1">
      <alignment horizontal="center" vertical="center"/>
    </xf>
    <xf numFmtId="3" fontId="15" fillId="0" borderId="0" xfId="0" applyNumberFormat="1" applyFont="1" applyBorder="1" applyAlignment="1"/>
    <xf numFmtId="168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Border="1"/>
    <xf numFmtId="0" fontId="11" fillId="0" borderId="20" xfId="0" applyFont="1" applyBorder="1"/>
    <xf numFmtId="0" fontId="11" fillId="0" borderId="34" xfId="0" applyFont="1" applyBorder="1"/>
    <xf numFmtId="0" fontId="11" fillId="0" borderId="22" xfId="0" applyFont="1" applyBorder="1"/>
    <xf numFmtId="0" fontId="11" fillId="0" borderId="22" xfId="0" applyFont="1" applyBorder="1" applyAlignment="1">
      <alignment horizontal="left"/>
    </xf>
    <xf numFmtId="0" fontId="11" fillId="0" borderId="35" xfId="0" applyFont="1" applyBorder="1"/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8" xfId="0" applyFont="1" applyBorder="1" applyAlignment="1">
      <alignment horizontal="left" vertical="center"/>
    </xf>
    <xf numFmtId="0" fontId="20" fillId="0" borderId="39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166" fontId="11" fillId="0" borderId="43" xfId="3" applyNumberFormat="1" applyFont="1" applyBorder="1" applyAlignment="1" applyProtection="1">
      <alignment horizontal="center" vertical="center"/>
    </xf>
    <xf numFmtId="166" fontId="20" fillId="0" borderId="44" xfId="0" applyNumberFormat="1" applyFont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/>
    <xf numFmtId="0" fontId="5" fillId="3" borderId="0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/>
    </xf>
    <xf numFmtId="0" fontId="5" fillId="3" borderId="16" xfId="0" applyFont="1" applyFill="1" applyBorder="1" applyAlignment="1">
      <alignment horizontal="center"/>
    </xf>
    <xf numFmtId="0" fontId="5" fillId="3" borderId="0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wrapText="1"/>
    </xf>
    <xf numFmtId="0" fontId="5" fillId="3" borderId="16" xfId="0" applyFont="1" applyFill="1" applyBorder="1" applyAlignment="1">
      <alignment wrapText="1"/>
    </xf>
    <xf numFmtId="0" fontId="5" fillId="3" borderId="29" xfId="0" applyFont="1" applyFill="1" applyBorder="1" applyAlignment="1">
      <alignment horizontal="left" wrapText="1"/>
    </xf>
    <xf numFmtId="0" fontId="5" fillId="3" borderId="54" xfId="0" applyFont="1" applyFill="1" applyBorder="1" applyAlignment="1">
      <alignment horizontal="left" wrapText="1"/>
    </xf>
    <xf numFmtId="0" fontId="5" fillId="3" borderId="30" xfId="0" applyFont="1" applyFill="1" applyBorder="1" applyAlignment="1">
      <alignment horizontal="left" wrapText="1"/>
    </xf>
    <xf numFmtId="0" fontId="5" fillId="3" borderId="29" xfId="0" applyFont="1" applyFill="1" applyBorder="1" applyAlignment="1">
      <alignment horizontal="left" vertical="center" wrapText="1"/>
    </xf>
    <xf numFmtId="0" fontId="5" fillId="3" borderId="54" xfId="0" applyFont="1" applyFill="1" applyBorder="1" applyAlignment="1">
      <alignment horizontal="left" vertical="center" wrapText="1"/>
    </xf>
    <xf numFmtId="0" fontId="5" fillId="3" borderId="3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left" wrapText="1"/>
    </xf>
    <xf numFmtId="0" fontId="13" fillId="0" borderId="51" xfId="0" applyFont="1" applyFill="1" applyBorder="1" applyAlignment="1">
      <alignment horizontal="left" vertical="center" wrapText="1" indent="1"/>
    </xf>
    <xf numFmtId="167" fontId="14" fillId="0" borderId="51" xfId="0" applyNumberFormat="1" applyFont="1" applyBorder="1" applyAlignment="1">
      <alignment horizontal="center" vertical="center"/>
    </xf>
    <xf numFmtId="0" fontId="13" fillId="0" borderId="27" xfId="0" applyFont="1" applyFill="1" applyBorder="1" applyAlignment="1">
      <alignment horizontal="left" vertical="center" wrapText="1" indent="1"/>
    </xf>
    <xf numFmtId="0" fontId="15" fillId="0" borderId="26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49" fontId="11" fillId="0" borderId="7" xfId="0" applyNumberFormat="1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4" fillId="0" borderId="26" xfId="0" applyFont="1" applyBorder="1" applyAlignment="1">
      <alignment horizontal="left" vertical="center"/>
    </xf>
    <xf numFmtId="49" fontId="11" fillId="0" borderId="4" xfId="0" applyNumberFormat="1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 indent="1"/>
    </xf>
    <xf numFmtId="0" fontId="14" fillId="0" borderId="25" xfId="0" applyFont="1" applyBorder="1" applyAlignment="1">
      <alignment horizontal="left" vertical="center" wrapText="1"/>
    </xf>
    <xf numFmtId="49" fontId="11" fillId="0" borderId="10" xfId="0" applyNumberFormat="1" applyFont="1" applyFill="1" applyBorder="1" applyAlignment="1">
      <alignment horizontal="left" vertical="center" wrapText="1"/>
    </xf>
    <xf numFmtId="0" fontId="11" fillId="0" borderId="10" xfId="0" applyFont="1" applyFill="1" applyBorder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11" fillId="0" borderId="52" xfId="0" applyFont="1" applyBorder="1" applyAlignment="1">
      <alignment horizontal="left" vertical="center" wrapText="1"/>
    </xf>
    <xf numFmtId="0" fontId="15" fillId="0" borderId="29" xfId="0" applyFont="1" applyBorder="1" applyAlignment="1">
      <alignment vertical="center" wrapText="1"/>
    </xf>
    <xf numFmtId="0" fontId="15" fillId="0" borderId="45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8" fillId="0" borderId="36" xfId="0" applyFont="1" applyBorder="1" applyAlignment="1">
      <alignment vertical="center" wrapText="1"/>
    </xf>
    <xf numFmtId="0" fontId="18" fillId="0" borderId="32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20" xfId="0" applyFont="1" applyFill="1" applyBorder="1" applyAlignment="1">
      <alignment horizontal="left" vertical="center" wrapText="1"/>
    </xf>
    <xf numFmtId="0" fontId="18" fillId="0" borderId="34" xfId="0" applyFont="1" applyFill="1" applyBorder="1" applyAlignment="1">
      <alignment horizontal="left" vertical="center" wrapText="1"/>
    </xf>
    <xf numFmtId="0" fontId="18" fillId="0" borderId="22" xfId="0" applyFont="1" applyFill="1" applyBorder="1" applyAlignment="1">
      <alignment horizontal="left" vertical="center" wrapText="1"/>
    </xf>
    <xf numFmtId="0" fontId="18" fillId="0" borderId="35" xfId="0" applyFont="1" applyFill="1" applyBorder="1" applyAlignment="1">
      <alignment horizontal="left" vertical="center" wrapText="1"/>
    </xf>
    <xf numFmtId="0" fontId="15" fillId="0" borderId="44" xfId="0" applyFont="1" applyBorder="1" applyAlignment="1">
      <alignment horizontal="left" vertical="center" wrapText="1"/>
    </xf>
    <xf numFmtId="0" fontId="20" fillId="0" borderId="25" xfId="0" applyFont="1" applyBorder="1" applyAlignment="1">
      <alignment vertical="center"/>
    </xf>
    <xf numFmtId="0" fontId="20" fillId="0" borderId="53" xfId="0" applyFont="1" applyBorder="1" applyAlignment="1">
      <alignment vertical="center"/>
    </xf>
    <xf numFmtId="0" fontId="20" fillId="0" borderId="36" xfId="0" applyFont="1" applyBorder="1" applyAlignment="1">
      <alignment vertical="center"/>
    </xf>
    <xf numFmtId="0" fontId="18" fillId="0" borderId="32" xfId="0" applyFont="1" applyBorder="1"/>
    <xf numFmtId="0" fontId="18" fillId="0" borderId="33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/>
    </xf>
    <xf numFmtId="0" fontId="11" fillId="0" borderId="23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indent="1"/>
    </xf>
    <xf numFmtId="0" fontId="19" fillId="0" borderId="21" xfId="0" applyFont="1" applyBorder="1" applyAlignment="1">
      <alignment horizontal="left"/>
    </xf>
    <xf numFmtId="0" fontId="18" fillId="0" borderId="23" xfId="0" applyFont="1" applyBorder="1" applyAlignment="1">
      <alignment horizontal="left" wrapText="1" indent="1"/>
    </xf>
    <xf numFmtId="0" fontId="18" fillId="0" borderId="46" xfId="0" applyFont="1" applyBorder="1" applyAlignment="1">
      <alignment horizontal="left" wrapText="1" indent="1"/>
    </xf>
    <xf numFmtId="0" fontId="18" fillId="0" borderId="47" xfId="0" applyFont="1" applyBorder="1" applyAlignment="1">
      <alignment horizontal="left" wrapText="1" indent="1"/>
    </xf>
    <xf numFmtId="0" fontId="11" fillId="0" borderId="29" xfId="0" applyFont="1" applyBorder="1" applyAlignment="1">
      <alignment horizontal="center"/>
    </xf>
    <xf numFmtId="3" fontId="15" fillId="0" borderId="30" xfId="0" applyNumberFormat="1" applyFont="1" applyBorder="1" applyAlignment="1">
      <alignment horizontal="center"/>
    </xf>
    <xf numFmtId="0" fontId="13" fillId="0" borderId="21" xfId="0" applyFont="1" applyBorder="1" applyAlignment="1">
      <alignment horizontal="center" vertical="center" wrapText="1"/>
    </xf>
    <xf numFmtId="0" fontId="11" fillId="0" borderId="2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65"/>
  <sheetViews>
    <sheetView tabSelected="1" zoomScale="115" zoomScaleNormal="115" workbookViewId="0">
      <selection activeCell="C94" sqref="C94:E94"/>
    </sheetView>
  </sheetViews>
  <sheetFormatPr baseColWidth="10" defaultColWidth="11" defaultRowHeight="14.25" x14ac:dyDescent="0.3"/>
  <cols>
    <col min="1" max="1" width="7.140625" style="26" customWidth="1"/>
    <col min="2" max="2" width="14.5703125" style="26" customWidth="1"/>
    <col min="3" max="3" width="18.5703125" style="26" customWidth="1"/>
    <col min="4" max="4" width="8.42578125" style="28" customWidth="1"/>
    <col min="5" max="5" width="136.28515625" style="82" bestFit="1" customWidth="1"/>
    <col min="6" max="6" width="15.85546875" style="26" customWidth="1"/>
    <col min="7" max="7" width="12.7109375" style="26" customWidth="1"/>
    <col min="8" max="8" width="13.85546875" style="26" customWidth="1"/>
    <col min="9" max="9" width="18.5703125" style="27" customWidth="1"/>
    <col min="10" max="16384" width="11" style="28"/>
  </cols>
  <sheetData>
    <row r="2" spans="1:9" ht="20.25" x14ac:dyDescent="0.3">
      <c r="B2" s="138" t="s">
        <v>0</v>
      </c>
      <c r="C2" s="138"/>
      <c r="D2" s="138"/>
      <c r="E2" s="138"/>
      <c r="F2" s="138"/>
      <c r="G2" s="138"/>
      <c r="H2" s="138"/>
    </row>
    <row r="4" spans="1:9" ht="18" customHeight="1" x14ac:dyDescent="0.3">
      <c r="A4" s="137" t="s">
        <v>1</v>
      </c>
      <c r="B4" s="137"/>
      <c r="C4" s="139" t="s">
        <v>57</v>
      </c>
      <c r="D4" s="139"/>
      <c r="E4" s="139"/>
      <c r="F4" s="29"/>
      <c r="G4" s="29"/>
      <c r="H4" s="29"/>
    </row>
    <row r="5" spans="1:9" ht="18" customHeight="1" x14ac:dyDescent="0.3">
      <c r="A5" s="137" t="s">
        <v>2</v>
      </c>
      <c r="B5" s="137"/>
      <c r="C5" s="139" t="s">
        <v>58</v>
      </c>
      <c r="D5" s="139"/>
      <c r="E5" s="139"/>
      <c r="F5" s="29"/>
      <c r="G5" s="29"/>
      <c r="H5" s="29"/>
    </row>
    <row r="6" spans="1:9" ht="16.5" customHeight="1" x14ac:dyDescent="0.3">
      <c r="A6" s="137" t="s">
        <v>3</v>
      </c>
      <c r="B6" s="137"/>
      <c r="C6" s="87">
        <v>2021</v>
      </c>
      <c r="D6" s="30"/>
      <c r="E6" s="30"/>
      <c r="F6" s="29"/>
      <c r="G6" s="29"/>
      <c r="H6" s="29"/>
    </row>
    <row r="7" spans="1:9" ht="16.5" customHeight="1" x14ac:dyDescent="0.3">
      <c r="A7" s="137" t="s">
        <v>4</v>
      </c>
      <c r="B7" s="137"/>
      <c r="C7" s="87">
        <v>1</v>
      </c>
      <c r="D7" s="30"/>
      <c r="E7" s="30"/>
      <c r="F7" s="29"/>
      <c r="G7" s="29"/>
      <c r="H7" s="29"/>
    </row>
    <row r="8" spans="1:9" x14ac:dyDescent="0.3">
      <c r="B8" s="29"/>
      <c r="C8" s="29"/>
      <c r="D8" s="31"/>
      <c r="E8" s="31"/>
      <c r="F8" s="29"/>
      <c r="G8" s="29"/>
      <c r="H8" s="29"/>
    </row>
    <row r="9" spans="1:9" ht="42" thickTop="1" thickBot="1" x14ac:dyDescent="0.35">
      <c r="A9" s="32" t="s">
        <v>5</v>
      </c>
      <c r="B9" s="32" t="s">
        <v>6</v>
      </c>
      <c r="C9" s="32" t="s">
        <v>7</v>
      </c>
      <c r="D9" s="32" t="s">
        <v>8</v>
      </c>
      <c r="E9" s="33" t="s">
        <v>9</v>
      </c>
      <c r="F9" s="32" t="s">
        <v>10</v>
      </c>
      <c r="G9" s="32" t="s">
        <v>11</v>
      </c>
      <c r="H9" s="32" t="s">
        <v>12</v>
      </c>
      <c r="I9" s="34" t="s">
        <v>13</v>
      </c>
    </row>
    <row r="10" spans="1:9" ht="28.5" customHeight="1" x14ac:dyDescent="0.3">
      <c r="A10" s="35" t="s">
        <v>176</v>
      </c>
      <c r="B10" s="36" t="s">
        <v>59</v>
      </c>
      <c r="C10" s="36" t="s">
        <v>81</v>
      </c>
      <c r="D10" s="36" t="s">
        <v>172</v>
      </c>
      <c r="E10" s="37" t="s">
        <v>82</v>
      </c>
      <c r="F10" s="36" t="s">
        <v>243</v>
      </c>
      <c r="G10" s="38">
        <v>2000</v>
      </c>
      <c r="H10" s="39">
        <v>89</v>
      </c>
      <c r="I10" s="40">
        <f>(G10*H10)</f>
        <v>178000</v>
      </c>
    </row>
    <row r="11" spans="1:9" ht="28.5" customHeight="1" x14ac:dyDescent="0.3">
      <c r="A11" s="41" t="s">
        <v>177</v>
      </c>
      <c r="B11" s="42" t="s">
        <v>60</v>
      </c>
      <c r="C11" s="42" t="s">
        <v>81</v>
      </c>
      <c r="D11" s="42" t="s">
        <v>172</v>
      </c>
      <c r="E11" s="43" t="s">
        <v>83</v>
      </c>
      <c r="F11" s="44" t="s">
        <v>270</v>
      </c>
      <c r="G11" s="45">
        <v>400</v>
      </c>
      <c r="H11" s="46">
        <v>490</v>
      </c>
      <c r="I11" s="47">
        <f t="shared" ref="I11:I73" si="0">(G11*H11)</f>
        <v>196000</v>
      </c>
    </row>
    <row r="12" spans="1:9" ht="28.5" customHeight="1" x14ac:dyDescent="0.3">
      <c r="A12" s="41" t="s">
        <v>178</v>
      </c>
      <c r="B12" s="42" t="s">
        <v>113</v>
      </c>
      <c r="C12" s="42" t="s">
        <v>81</v>
      </c>
      <c r="D12" s="42" t="s">
        <v>172</v>
      </c>
      <c r="E12" s="43" t="s">
        <v>114</v>
      </c>
      <c r="F12" s="44" t="s">
        <v>243</v>
      </c>
      <c r="G12" s="45">
        <v>60</v>
      </c>
      <c r="H12" s="46">
        <v>990</v>
      </c>
      <c r="I12" s="47">
        <f t="shared" si="0"/>
        <v>59400</v>
      </c>
    </row>
    <row r="13" spans="1:9" ht="28.5" customHeight="1" x14ac:dyDescent="0.3">
      <c r="A13" s="41" t="s">
        <v>179</v>
      </c>
      <c r="B13" s="42" t="s">
        <v>61</v>
      </c>
      <c r="C13" s="42" t="s">
        <v>81</v>
      </c>
      <c r="D13" s="42" t="s">
        <v>172</v>
      </c>
      <c r="E13" s="43" t="s">
        <v>84</v>
      </c>
      <c r="F13" s="44" t="s">
        <v>243</v>
      </c>
      <c r="G13" s="45">
        <v>30</v>
      </c>
      <c r="H13" s="46">
        <v>1900</v>
      </c>
      <c r="I13" s="47">
        <f t="shared" si="0"/>
        <v>57000</v>
      </c>
    </row>
    <row r="14" spans="1:9" ht="28.5" customHeight="1" x14ac:dyDescent="0.3">
      <c r="A14" s="41" t="s">
        <v>180</v>
      </c>
      <c r="B14" s="42" t="s">
        <v>62</v>
      </c>
      <c r="C14" s="42" t="s">
        <v>81</v>
      </c>
      <c r="D14" s="42" t="s">
        <v>172</v>
      </c>
      <c r="E14" s="43" t="s">
        <v>85</v>
      </c>
      <c r="F14" s="44" t="s">
        <v>270</v>
      </c>
      <c r="G14" s="45">
        <v>30</v>
      </c>
      <c r="H14" s="46">
        <v>1900</v>
      </c>
      <c r="I14" s="47">
        <f t="shared" si="0"/>
        <v>57000</v>
      </c>
    </row>
    <row r="15" spans="1:9" ht="28.5" customHeight="1" x14ac:dyDescent="0.3">
      <c r="A15" s="41" t="s">
        <v>181</v>
      </c>
      <c r="B15" s="42" t="s">
        <v>115</v>
      </c>
      <c r="C15" s="42" t="s">
        <v>81</v>
      </c>
      <c r="D15" s="42" t="s">
        <v>172</v>
      </c>
      <c r="E15" s="43" t="s">
        <v>116</v>
      </c>
      <c r="F15" s="44" t="s">
        <v>14</v>
      </c>
      <c r="G15" s="45">
        <v>20</v>
      </c>
      <c r="H15" s="46">
        <v>1900</v>
      </c>
      <c r="I15" s="47">
        <f t="shared" si="0"/>
        <v>38000</v>
      </c>
    </row>
    <row r="16" spans="1:9" ht="28.5" customHeight="1" x14ac:dyDescent="0.3">
      <c r="A16" s="41" t="s">
        <v>182</v>
      </c>
      <c r="B16" s="42" t="s">
        <v>117</v>
      </c>
      <c r="C16" s="42" t="s">
        <v>81</v>
      </c>
      <c r="D16" s="42" t="s">
        <v>172</v>
      </c>
      <c r="E16" s="43" t="s">
        <v>118</v>
      </c>
      <c r="F16" s="44" t="s">
        <v>243</v>
      </c>
      <c r="G16" s="45">
        <v>20</v>
      </c>
      <c r="H16" s="46">
        <v>1100</v>
      </c>
      <c r="I16" s="47">
        <f t="shared" si="0"/>
        <v>22000</v>
      </c>
    </row>
    <row r="17" spans="1:12" ht="28.5" customHeight="1" x14ac:dyDescent="0.3">
      <c r="A17" s="41" t="s">
        <v>183</v>
      </c>
      <c r="B17" s="42" t="s">
        <v>119</v>
      </c>
      <c r="C17" s="42" t="s">
        <v>81</v>
      </c>
      <c r="D17" s="42" t="s">
        <v>172</v>
      </c>
      <c r="E17" s="43" t="s">
        <v>120</v>
      </c>
      <c r="F17" s="44" t="s">
        <v>243</v>
      </c>
      <c r="G17" s="45">
        <v>20</v>
      </c>
      <c r="H17" s="46">
        <v>1490</v>
      </c>
      <c r="I17" s="47">
        <f t="shared" si="0"/>
        <v>29800</v>
      </c>
    </row>
    <row r="18" spans="1:12" ht="28.5" customHeight="1" x14ac:dyDescent="0.3">
      <c r="A18" s="41" t="s">
        <v>184</v>
      </c>
      <c r="B18" s="42" t="s">
        <v>107</v>
      </c>
      <c r="C18" s="42" t="s">
        <v>81</v>
      </c>
      <c r="D18" s="42" t="s">
        <v>172</v>
      </c>
      <c r="E18" s="43" t="s">
        <v>108</v>
      </c>
      <c r="F18" s="44" t="s">
        <v>264</v>
      </c>
      <c r="G18" s="45">
        <v>400</v>
      </c>
      <c r="H18" s="46">
        <v>198</v>
      </c>
      <c r="I18" s="47">
        <f t="shared" si="0"/>
        <v>79200</v>
      </c>
      <c r="K18" s="86"/>
      <c r="L18" s="86"/>
    </row>
    <row r="19" spans="1:12" ht="28.5" customHeight="1" x14ac:dyDescent="0.3">
      <c r="A19" s="41" t="s">
        <v>185</v>
      </c>
      <c r="B19" s="42" t="s">
        <v>63</v>
      </c>
      <c r="C19" s="42" t="s">
        <v>81</v>
      </c>
      <c r="D19" s="42" t="s">
        <v>172</v>
      </c>
      <c r="E19" s="43" t="s">
        <v>86</v>
      </c>
      <c r="F19" s="44" t="s">
        <v>271</v>
      </c>
      <c r="G19" s="45">
        <v>200</v>
      </c>
      <c r="H19" s="46">
        <v>215</v>
      </c>
      <c r="I19" s="47">
        <f t="shared" si="0"/>
        <v>43000</v>
      </c>
      <c r="K19" s="86"/>
      <c r="L19" s="86">
        <f>40*12</f>
        <v>480</v>
      </c>
    </row>
    <row r="20" spans="1:12" ht="28.5" customHeight="1" x14ac:dyDescent="0.3">
      <c r="A20" s="41" t="s">
        <v>186</v>
      </c>
      <c r="B20" s="42" t="s">
        <v>121</v>
      </c>
      <c r="C20" s="42" t="s">
        <v>81</v>
      </c>
      <c r="D20" s="42" t="s">
        <v>172</v>
      </c>
      <c r="E20" s="43" t="s">
        <v>122</v>
      </c>
      <c r="F20" s="44" t="s">
        <v>270</v>
      </c>
      <c r="G20" s="45">
        <v>960</v>
      </c>
      <c r="H20" s="46">
        <f>L20</f>
        <v>65.833333333333329</v>
      </c>
      <c r="I20" s="47">
        <f>(G20*H20)</f>
        <v>63199.999999999993</v>
      </c>
      <c r="K20" s="86"/>
      <c r="L20" s="86">
        <f>790/12</f>
        <v>65.833333333333329</v>
      </c>
    </row>
    <row r="21" spans="1:12" ht="28.5" customHeight="1" x14ac:dyDescent="0.3">
      <c r="A21" s="41" t="s">
        <v>187</v>
      </c>
      <c r="B21" s="42" t="s">
        <v>123</v>
      </c>
      <c r="C21" s="42" t="s">
        <v>81</v>
      </c>
      <c r="D21" s="42" t="s">
        <v>172</v>
      </c>
      <c r="E21" s="43" t="s">
        <v>124</v>
      </c>
      <c r="F21" s="44" t="s">
        <v>270</v>
      </c>
      <c r="G21" s="45">
        <v>960</v>
      </c>
      <c r="H21" s="46">
        <f>L20</f>
        <v>65.833333333333329</v>
      </c>
      <c r="I21" s="47">
        <f t="shared" si="0"/>
        <v>63199.999999999993</v>
      </c>
      <c r="K21" s="86"/>
      <c r="L21" s="86"/>
    </row>
    <row r="22" spans="1:12" ht="28.5" customHeight="1" x14ac:dyDescent="0.3">
      <c r="A22" s="41" t="s">
        <v>188</v>
      </c>
      <c r="B22" s="42" t="s">
        <v>125</v>
      </c>
      <c r="C22" s="42" t="s">
        <v>81</v>
      </c>
      <c r="D22" s="42" t="s">
        <v>172</v>
      </c>
      <c r="E22" s="43" t="s">
        <v>126</v>
      </c>
      <c r="F22" s="44" t="s">
        <v>270</v>
      </c>
      <c r="G22" s="45">
        <v>960</v>
      </c>
      <c r="H22" s="46">
        <f>L20</f>
        <v>65.833333333333329</v>
      </c>
      <c r="I22" s="47">
        <f t="shared" si="0"/>
        <v>63199.999999999993</v>
      </c>
    </row>
    <row r="23" spans="1:12" ht="28.5" customHeight="1" x14ac:dyDescent="0.3">
      <c r="A23" s="41" t="s">
        <v>189</v>
      </c>
      <c r="B23" s="42" t="s">
        <v>127</v>
      </c>
      <c r="C23" s="42" t="s">
        <v>81</v>
      </c>
      <c r="D23" s="42" t="s">
        <v>172</v>
      </c>
      <c r="E23" s="43" t="s">
        <v>128</v>
      </c>
      <c r="F23" s="44" t="s">
        <v>270</v>
      </c>
      <c r="G23" s="45">
        <v>960</v>
      </c>
      <c r="H23" s="46">
        <f>L20</f>
        <v>65.833333333333329</v>
      </c>
      <c r="I23" s="47">
        <f t="shared" si="0"/>
        <v>63199.999999999993</v>
      </c>
    </row>
    <row r="24" spans="1:12" s="98" customFormat="1" ht="28.5" customHeight="1" x14ac:dyDescent="0.3">
      <c r="A24" s="92" t="s">
        <v>190</v>
      </c>
      <c r="B24" s="93" t="s">
        <v>129</v>
      </c>
      <c r="C24" s="93" t="s">
        <v>81</v>
      </c>
      <c r="D24" s="93" t="s">
        <v>172</v>
      </c>
      <c r="E24" s="89" t="s">
        <v>130</v>
      </c>
      <c r="F24" s="94" t="s">
        <v>270</v>
      </c>
      <c r="G24" s="95">
        <v>960</v>
      </c>
      <c r="H24" s="96">
        <f>L20</f>
        <v>65.833333333333329</v>
      </c>
      <c r="I24" s="97">
        <f t="shared" si="0"/>
        <v>63199.999999999993</v>
      </c>
    </row>
    <row r="25" spans="1:12" ht="28.5" customHeight="1" x14ac:dyDescent="0.3">
      <c r="A25" s="41" t="s">
        <v>191</v>
      </c>
      <c r="B25" s="42" t="s">
        <v>131</v>
      </c>
      <c r="C25" s="42" t="s">
        <v>81</v>
      </c>
      <c r="D25" s="42" t="s">
        <v>172</v>
      </c>
      <c r="E25" s="43" t="s">
        <v>132</v>
      </c>
      <c r="F25" s="44" t="s">
        <v>270</v>
      </c>
      <c r="G25" s="45">
        <v>960</v>
      </c>
      <c r="H25" s="46">
        <f>L20</f>
        <v>65.833333333333329</v>
      </c>
      <c r="I25" s="47">
        <f t="shared" si="0"/>
        <v>63199.999999999993</v>
      </c>
    </row>
    <row r="26" spans="1:12" s="98" customFormat="1" ht="28.5" customHeight="1" x14ac:dyDescent="0.3">
      <c r="A26" s="92" t="s">
        <v>192</v>
      </c>
      <c r="B26" s="93" t="s">
        <v>133</v>
      </c>
      <c r="C26" s="93" t="s">
        <v>81</v>
      </c>
      <c r="D26" s="93" t="s">
        <v>172</v>
      </c>
      <c r="E26" s="89" t="s">
        <v>134</v>
      </c>
      <c r="F26" s="94" t="s">
        <v>270</v>
      </c>
      <c r="G26" s="95">
        <v>960</v>
      </c>
      <c r="H26" s="96">
        <f>L20</f>
        <v>65.833333333333329</v>
      </c>
      <c r="I26" s="97">
        <f t="shared" si="0"/>
        <v>63199.999999999993</v>
      </c>
    </row>
    <row r="27" spans="1:12" ht="28.5" customHeight="1" x14ac:dyDescent="0.3">
      <c r="A27" s="41" t="s">
        <v>193</v>
      </c>
      <c r="B27" s="42" t="s">
        <v>135</v>
      </c>
      <c r="C27" s="42" t="s">
        <v>81</v>
      </c>
      <c r="D27" s="42" t="s">
        <v>172</v>
      </c>
      <c r="E27" s="43" t="s">
        <v>136</v>
      </c>
      <c r="F27" s="44" t="s">
        <v>270</v>
      </c>
      <c r="G27" s="45">
        <v>960</v>
      </c>
      <c r="H27" s="46">
        <f>L20</f>
        <v>65.833333333333329</v>
      </c>
      <c r="I27" s="47">
        <f t="shared" si="0"/>
        <v>63199.999999999993</v>
      </c>
    </row>
    <row r="28" spans="1:12" ht="48" customHeight="1" x14ac:dyDescent="0.3">
      <c r="A28" s="41" t="s">
        <v>194</v>
      </c>
      <c r="B28" s="42" t="s">
        <v>137</v>
      </c>
      <c r="C28" s="42" t="s">
        <v>81</v>
      </c>
      <c r="D28" s="42" t="s">
        <v>172</v>
      </c>
      <c r="E28" s="43" t="s">
        <v>138</v>
      </c>
      <c r="F28" s="44" t="s">
        <v>243</v>
      </c>
      <c r="G28" s="45">
        <v>400</v>
      </c>
      <c r="H28" s="46">
        <v>145</v>
      </c>
      <c r="I28" s="47">
        <f t="shared" si="0"/>
        <v>58000</v>
      </c>
    </row>
    <row r="29" spans="1:12" ht="28.5" customHeight="1" x14ac:dyDescent="0.3">
      <c r="A29" s="41" t="s">
        <v>195</v>
      </c>
      <c r="B29" s="42" t="s">
        <v>67</v>
      </c>
      <c r="C29" s="42" t="s">
        <v>81</v>
      </c>
      <c r="D29" s="42" t="s">
        <v>172</v>
      </c>
      <c r="E29" s="43" t="s">
        <v>90</v>
      </c>
      <c r="F29" s="44" t="s">
        <v>270</v>
      </c>
      <c r="G29" s="45">
        <v>162</v>
      </c>
      <c r="H29" s="46">
        <v>99</v>
      </c>
      <c r="I29" s="47">
        <f t="shared" si="0"/>
        <v>16038</v>
      </c>
    </row>
    <row r="30" spans="1:12" ht="28.5" customHeight="1" x14ac:dyDescent="0.3">
      <c r="A30" s="41" t="s">
        <v>196</v>
      </c>
      <c r="B30" s="42" t="s">
        <v>68</v>
      </c>
      <c r="C30" s="42" t="s">
        <v>81</v>
      </c>
      <c r="D30" s="42" t="s">
        <v>172</v>
      </c>
      <c r="E30" s="43" t="s">
        <v>91</v>
      </c>
      <c r="F30" s="44" t="s">
        <v>270</v>
      </c>
      <c r="G30" s="45">
        <v>100</v>
      </c>
      <c r="H30" s="46">
        <v>170</v>
      </c>
      <c r="I30" s="47">
        <f t="shared" si="0"/>
        <v>17000</v>
      </c>
    </row>
    <row r="31" spans="1:12" ht="28.5" customHeight="1" x14ac:dyDescent="0.3">
      <c r="A31" s="41" t="s">
        <v>197</v>
      </c>
      <c r="B31" s="42" t="s">
        <v>139</v>
      </c>
      <c r="C31" s="42" t="s">
        <v>81</v>
      </c>
      <c r="D31" s="42" t="s">
        <v>172</v>
      </c>
      <c r="E31" s="43" t="s">
        <v>140</v>
      </c>
      <c r="F31" s="44" t="s">
        <v>243</v>
      </c>
      <c r="G31" s="45">
        <v>60</v>
      </c>
      <c r="H31" s="46">
        <v>195</v>
      </c>
      <c r="I31" s="47">
        <f t="shared" si="0"/>
        <v>11700</v>
      </c>
    </row>
    <row r="32" spans="1:12" ht="28.5" customHeight="1" x14ac:dyDescent="0.3">
      <c r="A32" s="41" t="s">
        <v>198</v>
      </c>
      <c r="B32" s="42" t="s">
        <v>64</v>
      </c>
      <c r="C32" s="42" t="s">
        <v>81</v>
      </c>
      <c r="D32" s="42" t="s">
        <v>172</v>
      </c>
      <c r="E32" s="89" t="s">
        <v>87</v>
      </c>
      <c r="F32" s="44" t="s">
        <v>243</v>
      </c>
      <c r="G32" s="45">
        <v>160</v>
      </c>
      <c r="H32" s="46">
        <v>140</v>
      </c>
      <c r="I32" s="47">
        <f t="shared" si="0"/>
        <v>22400</v>
      </c>
    </row>
    <row r="33" spans="1:9" ht="28.5" customHeight="1" x14ac:dyDescent="0.3">
      <c r="A33" s="41" t="s">
        <v>199</v>
      </c>
      <c r="B33" s="42" t="s">
        <v>261</v>
      </c>
      <c r="C33" s="42" t="s">
        <v>81</v>
      </c>
      <c r="D33" s="42" t="s">
        <v>172</v>
      </c>
      <c r="E33" s="89" t="s">
        <v>260</v>
      </c>
      <c r="F33" s="44" t="s">
        <v>243</v>
      </c>
      <c r="G33" s="45">
        <v>80</v>
      </c>
      <c r="H33" s="46">
        <v>120</v>
      </c>
      <c r="I33" s="47">
        <f t="shared" si="0"/>
        <v>9600</v>
      </c>
    </row>
    <row r="34" spans="1:9" ht="28.5" customHeight="1" x14ac:dyDescent="0.3">
      <c r="A34" s="41" t="s">
        <v>200</v>
      </c>
      <c r="B34" s="42" t="s">
        <v>65</v>
      </c>
      <c r="C34" s="42" t="s">
        <v>81</v>
      </c>
      <c r="D34" s="42" t="s">
        <v>172</v>
      </c>
      <c r="E34" s="43" t="s">
        <v>88</v>
      </c>
      <c r="F34" s="44" t="s">
        <v>270</v>
      </c>
      <c r="G34" s="45">
        <v>160</v>
      </c>
      <c r="H34" s="48">
        <v>115</v>
      </c>
      <c r="I34" s="47">
        <f t="shared" si="0"/>
        <v>18400</v>
      </c>
    </row>
    <row r="35" spans="1:9" ht="28.5" customHeight="1" x14ac:dyDescent="0.3">
      <c r="A35" s="41" t="s">
        <v>201</v>
      </c>
      <c r="B35" s="42" t="s">
        <v>66</v>
      </c>
      <c r="C35" s="42" t="s">
        <v>81</v>
      </c>
      <c r="D35" s="42" t="s">
        <v>172</v>
      </c>
      <c r="E35" s="43" t="s">
        <v>89</v>
      </c>
      <c r="F35" s="44" t="s">
        <v>270</v>
      </c>
      <c r="G35" s="45">
        <v>300</v>
      </c>
      <c r="H35" s="46">
        <v>120</v>
      </c>
      <c r="I35" s="47">
        <f t="shared" si="0"/>
        <v>36000</v>
      </c>
    </row>
    <row r="36" spans="1:9" ht="28.5" customHeight="1" x14ac:dyDescent="0.3">
      <c r="A36" s="41" t="s">
        <v>202</v>
      </c>
      <c r="B36" s="88" t="s">
        <v>262</v>
      </c>
      <c r="C36" s="42" t="s">
        <v>81</v>
      </c>
      <c r="D36" s="42" t="s">
        <v>172</v>
      </c>
      <c r="E36" s="88" t="s">
        <v>263</v>
      </c>
      <c r="F36" s="44" t="s">
        <v>264</v>
      </c>
      <c r="G36" s="45">
        <v>200</v>
      </c>
      <c r="H36" s="46">
        <v>198</v>
      </c>
      <c r="I36" s="47">
        <f t="shared" si="0"/>
        <v>39600</v>
      </c>
    </row>
    <row r="37" spans="1:9" ht="28.5" customHeight="1" x14ac:dyDescent="0.3">
      <c r="A37" s="41" t="s">
        <v>203</v>
      </c>
      <c r="B37" s="42" t="s">
        <v>141</v>
      </c>
      <c r="C37" s="42" t="s">
        <v>81</v>
      </c>
      <c r="D37" s="42" t="s">
        <v>172</v>
      </c>
      <c r="E37" s="43" t="s">
        <v>142</v>
      </c>
      <c r="F37" s="44" t="s">
        <v>272</v>
      </c>
      <c r="G37" s="45">
        <v>400</v>
      </c>
      <c r="H37" s="48">
        <v>79</v>
      </c>
      <c r="I37" s="47">
        <f t="shared" si="0"/>
        <v>31600</v>
      </c>
    </row>
    <row r="38" spans="1:9" ht="28.5" customHeight="1" x14ac:dyDescent="0.3">
      <c r="A38" s="41" t="s">
        <v>204</v>
      </c>
      <c r="B38" s="42" t="s">
        <v>143</v>
      </c>
      <c r="C38" s="42" t="s">
        <v>81</v>
      </c>
      <c r="D38" s="42" t="s">
        <v>172</v>
      </c>
      <c r="E38" s="43" t="s">
        <v>144</v>
      </c>
      <c r="F38" s="44" t="s">
        <v>264</v>
      </c>
      <c r="G38" s="45">
        <v>100</v>
      </c>
      <c r="H38" s="46">
        <v>115</v>
      </c>
      <c r="I38" s="47">
        <f t="shared" si="0"/>
        <v>11500</v>
      </c>
    </row>
    <row r="39" spans="1:9" ht="28.5" customHeight="1" x14ac:dyDescent="0.3">
      <c r="A39" s="41" t="s">
        <v>205</v>
      </c>
      <c r="B39" s="42" t="s">
        <v>145</v>
      </c>
      <c r="C39" s="42" t="s">
        <v>81</v>
      </c>
      <c r="D39" s="42" t="s">
        <v>172</v>
      </c>
      <c r="E39" s="43" t="s">
        <v>146</v>
      </c>
      <c r="F39" s="44" t="s">
        <v>270</v>
      </c>
      <c r="G39" s="45">
        <v>80</v>
      </c>
      <c r="H39" s="46">
        <v>475</v>
      </c>
      <c r="I39" s="47">
        <f t="shared" si="0"/>
        <v>38000</v>
      </c>
    </row>
    <row r="40" spans="1:9" ht="28.5" customHeight="1" x14ac:dyDescent="0.3">
      <c r="A40" s="41" t="s">
        <v>206</v>
      </c>
      <c r="B40" s="88" t="s">
        <v>273</v>
      </c>
      <c r="C40" s="42" t="s">
        <v>81</v>
      </c>
      <c r="D40" s="42" t="s">
        <v>172</v>
      </c>
      <c r="E40" s="88" t="s">
        <v>274</v>
      </c>
      <c r="F40" s="44" t="s">
        <v>272</v>
      </c>
      <c r="G40" s="45">
        <v>40</v>
      </c>
      <c r="H40" s="46">
        <v>145</v>
      </c>
      <c r="I40" s="47">
        <f t="shared" si="0"/>
        <v>5800</v>
      </c>
    </row>
    <row r="41" spans="1:9" ht="28.5" customHeight="1" x14ac:dyDescent="0.3">
      <c r="A41" s="41" t="s">
        <v>207</v>
      </c>
      <c r="B41" s="42" t="s">
        <v>276</v>
      </c>
      <c r="C41" s="42" t="s">
        <v>81</v>
      </c>
      <c r="D41" s="42" t="s">
        <v>172</v>
      </c>
      <c r="E41" s="99" t="s">
        <v>275</v>
      </c>
      <c r="F41" s="44" t="s">
        <v>272</v>
      </c>
      <c r="G41" s="45">
        <v>40</v>
      </c>
      <c r="H41" s="46">
        <v>145</v>
      </c>
      <c r="I41" s="47">
        <f t="shared" si="0"/>
        <v>5800</v>
      </c>
    </row>
    <row r="42" spans="1:9" ht="28.5" customHeight="1" x14ac:dyDescent="0.3">
      <c r="A42" s="41" t="s">
        <v>208</v>
      </c>
      <c r="B42" s="42" t="s">
        <v>278</v>
      </c>
      <c r="C42" s="42" t="s">
        <v>81</v>
      </c>
      <c r="D42" s="42" t="s">
        <v>172</v>
      </c>
      <c r="E42" s="88" t="s">
        <v>277</v>
      </c>
      <c r="F42" s="44" t="s">
        <v>272</v>
      </c>
      <c r="G42" s="45">
        <v>40</v>
      </c>
      <c r="H42" s="46">
        <v>145</v>
      </c>
      <c r="I42" s="47">
        <f t="shared" si="0"/>
        <v>5800</v>
      </c>
    </row>
    <row r="43" spans="1:9" ht="28.5" customHeight="1" x14ac:dyDescent="0.3">
      <c r="A43" s="41" t="s">
        <v>209</v>
      </c>
      <c r="B43" s="42" t="s">
        <v>70</v>
      </c>
      <c r="C43" s="42" t="s">
        <v>81</v>
      </c>
      <c r="D43" s="42" t="s">
        <v>172</v>
      </c>
      <c r="E43" s="43" t="s">
        <v>93</v>
      </c>
      <c r="F43" s="44" t="s">
        <v>271</v>
      </c>
      <c r="G43" s="45">
        <v>200</v>
      </c>
      <c r="H43" s="46">
        <v>89</v>
      </c>
      <c r="I43" s="47">
        <f t="shared" si="0"/>
        <v>17800</v>
      </c>
    </row>
    <row r="44" spans="1:9" ht="28.5" customHeight="1" x14ac:dyDescent="0.3">
      <c r="A44" s="41" t="s">
        <v>210</v>
      </c>
      <c r="B44" s="42" t="s">
        <v>72</v>
      </c>
      <c r="C44" s="42" t="s">
        <v>81</v>
      </c>
      <c r="D44" s="42" t="s">
        <v>172</v>
      </c>
      <c r="E44" s="43" t="s">
        <v>95</v>
      </c>
      <c r="F44" s="44" t="s">
        <v>240</v>
      </c>
      <c r="G44" s="45">
        <v>140</v>
      </c>
      <c r="H44" s="46">
        <v>620</v>
      </c>
      <c r="I44" s="47">
        <f t="shared" si="0"/>
        <v>86800</v>
      </c>
    </row>
    <row r="45" spans="1:9" ht="28.5" customHeight="1" x14ac:dyDescent="0.3">
      <c r="A45" s="41" t="s">
        <v>211</v>
      </c>
      <c r="B45" s="42" t="s">
        <v>69</v>
      </c>
      <c r="C45" s="42" t="s">
        <v>81</v>
      </c>
      <c r="D45" s="42" t="s">
        <v>172</v>
      </c>
      <c r="E45" s="43" t="s">
        <v>92</v>
      </c>
      <c r="F45" s="44" t="s">
        <v>272</v>
      </c>
      <c r="G45" s="45">
        <v>160</v>
      </c>
      <c r="H45" s="46">
        <v>145</v>
      </c>
      <c r="I45" s="47">
        <f t="shared" si="0"/>
        <v>23200</v>
      </c>
    </row>
    <row r="46" spans="1:9" ht="28.5" customHeight="1" x14ac:dyDescent="0.3">
      <c r="A46" s="41" t="s">
        <v>212</v>
      </c>
      <c r="B46" s="42" t="s">
        <v>147</v>
      </c>
      <c r="C46" s="42" t="s">
        <v>81</v>
      </c>
      <c r="D46" s="42" t="s">
        <v>172</v>
      </c>
      <c r="E46" s="43" t="s">
        <v>148</v>
      </c>
      <c r="F46" s="44" t="s">
        <v>272</v>
      </c>
      <c r="G46" s="45">
        <v>160</v>
      </c>
      <c r="H46" s="46">
        <v>179</v>
      </c>
      <c r="I46" s="47">
        <f t="shared" si="0"/>
        <v>28640</v>
      </c>
    </row>
    <row r="47" spans="1:9" ht="28.5" customHeight="1" x14ac:dyDescent="0.3">
      <c r="A47" s="41" t="s">
        <v>213</v>
      </c>
      <c r="B47" s="42" t="s">
        <v>71</v>
      </c>
      <c r="C47" s="42" t="s">
        <v>81</v>
      </c>
      <c r="D47" s="42" t="s">
        <v>172</v>
      </c>
      <c r="E47" s="43" t="s">
        <v>94</v>
      </c>
      <c r="F47" s="44" t="s">
        <v>272</v>
      </c>
      <c r="G47" s="45">
        <v>200</v>
      </c>
      <c r="H47" s="46">
        <v>189</v>
      </c>
      <c r="I47" s="47">
        <f t="shared" si="0"/>
        <v>37800</v>
      </c>
    </row>
    <row r="48" spans="1:9" ht="28.5" customHeight="1" x14ac:dyDescent="0.3">
      <c r="A48" s="41" t="s">
        <v>214</v>
      </c>
      <c r="B48" s="42" t="s">
        <v>149</v>
      </c>
      <c r="C48" s="42" t="s">
        <v>81</v>
      </c>
      <c r="D48" s="42" t="s">
        <v>172</v>
      </c>
      <c r="E48" s="43" t="s">
        <v>150</v>
      </c>
      <c r="F48" s="44" t="s">
        <v>270</v>
      </c>
      <c r="G48" s="45">
        <v>60</v>
      </c>
      <c r="H48" s="46">
        <v>390</v>
      </c>
      <c r="I48" s="47">
        <f t="shared" si="0"/>
        <v>23400</v>
      </c>
    </row>
    <row r="49" spans="1:9" ht="28.5" customHeight="1" x14ac:dyDescent="0.3">
      <c r="A49" s="41" t="s">
        <v>215</v>
      </c>
      <c r="B49" s="42" t="s">
        <v>151</v>
      </c>
      <c r="C49" s="42" t="s">
        <v>81</v>
      </c>
      <c r="D49" s="42" t="s">
        <v>172</v>
      </c>
      <c r="E49" s="43" t="s">
        <v>152</v>
      </c>
      <c r="F49" s="44" t="s">
        <v>272</v>
      </c>
      <c r="G49" s="45">
        <v>140</v>
      </c>
      <c r="H49" s="46">
        <v>410</v>
      </c>
      <c r="I49" s="47">
        <f t="shared" si="0"/>
        <v>57400</v>
      </c>
    </row>
    <row r="50" spans="1:9" ht="28.5" customHeight="1" x14ac:dyDescent="0.3">
      <c r="A50" s="41" t="s">
        <v>216</v>
      </c>
      <c r="B50" s="42" t="s">
        <v>153</v>
      </c>
      <c r="C50" s="42" t="s">
        <v>81</v>
      </c>
      <c r="D50" s="42" t="s">
        <v>172</v>
      </c>
      <c r="E50" s="43" t="s">
        <v>154</v>
      </c>
      <c r="F50" s="44" t="s">
        <v>271</v>
      </c>
      <c r="G50" s="45">
        <v>100</v>
      </c>
      <c r="H50" s="46">
        <v>590</v>
      </c>
      <c r="I50" s="47">
        <f t="shared" si="0"/>
        <v>59000</v>
      </c>
    </row>
    <row r="51" spans="1:9" ht="28.5" customHeight="1" x14ac:dyDescent="0.3">
      <c r="A51" s="41" t="s">
        <v>217</v>
      </c>
      <c r="B51" s="42" t="s">
        <v>155</v>
      </c>
      <c r="C51" s="42" t="s">
        <v>81</v>
      </c>
      <c r="D51" s="42" t="s">
        <v>172</v>
      </c>
      <c r="E51" s="43" t="s">
        <v>156</v>
      </c>
      <c r="F51" s="44" t="s">
        <v>270</v>
      </c>
      <c r="G51" s="45">
        <v>160</v>
      </c>
      <c r="H51" s="46">
        <v>290</v>
      </c>
      <c r="I51" s="47">
        <f t="shared" si="0"/>
        <v>46400</v>
      </c>
    </row>
    <row r="52" spans="1:9" ht="28.5" customHeight="1" x14ac:dyDescent="0.3">
      <c r="A52" s="41" t="s">
        <v>218</v>
      </c>
      <c r="B52" s="42" t="s">
        <v>157</v>
      </c>
      <c r="C52" s="42" t="s">
        <v>81</v>
      </c>
      <c r="D52" s="42" t="s">
        <v>172</v>
      </c>
      <c r="E52" s="43" t="s">
        <v>158</v>
      </c>
      <c r="F52" s="44" t="s">
        <v>279</v>
      </c>
      <c r="G52" s="45">
        <v>400</v>
      </c>
      <c r="H52" s="46">
        <v>170</v>
      </c>
      <c r="I52" s="47">
        <f t="shared" si="0"/>
        <v>68000</v>
      </c>
    </row>
    <row r="53" spans="1:9" ht="28.5" customHeight="1" x14ac:dyDescent="0.3">
      <c r="A53" s="41" t="s">
        <v>219</v>
      </c>
      <c r="B53" s="43" t="s">
        <v>244</v>
      </c>
      <c r="C53" s="42" t="s">
        <v>81</v>
      </c>
      <c r="D53" s="42" t="s">
        <v>172</v>
      </c>
      <c r="E53" s="83" t="s">
        <v>245</v>
      </c>
      <c r="F53" s="44" t="s">
        <v>270</v>
      </c>
      <c r="G53" s="45">
        <v>300</v>
      </c>
      <c r="H53" s="46">
        <v>132</v>
      </c>
      <c r="I53" s="47">
        <f t="shared" si="0"/>
        <v>39600</v>
      </c>
    </row>
    <row r="54" spans="1:9" ht="28.5" customHeight="1" x14ac:dyDescent="0.3">
      <c r="A54" s="41" t="s">
        <v>220</v>
      </c>
      <c r="B54" s="42" t="s">
        <v>159</v>
      </c>
      <c r="C54" s="42" t="s">
        <v>81</v>
      </c>
      <c r="D54" s="42" t="s">
        <v>172</v>
      </c>
      <c r="E54" s="43" t="s">
        <v>160</v>
      </c>
      <c r="F54" s="44" t="s">
        <v>241</v>
      </c>
      <c r="G54" s="45">
        <v>160</v>
      </c>
      <c r="H54" s="46">
        <v>3200</v>
      </c>
      <c r="I54" s="47">
        <f t="shared" si="0"/>
        <v>512000</v>
      </c>
    </row>
    <row r="55" spans="1:9" ht="28.5" customHeight="1" x14ac:dyDescent="0.3">
      <c r="A55" s="41" t="s">
        <v>221</v>
      </c>
      <c r="B55" s="42" t="s">
        <v>161</v>
      </c>
      <c r="C55" s="42" t="s">
        <v>81</v>
      </c>
      <c r="D55" s="42" t="s">
        <v>172</v>
      </c>
      <c r="E55" s="43" t="s">
        <v>162</v>
      </c>
      <c r="F55" s="44" t="s">
        <v>240</v>
      </c>
      <c r="G55" s="45">
        <v>1836</v>
      </c>
      <c r="H55" s="46">
        <v>630</v>
      </c>
      <c r="I55" s="47">
        <f t="shared" si="0"/>
        <v>1156680</v>
      </c>
    </row>
    <row r="56" spans="1:9" ht="28.5" customHeight="1" x14ac:dyDescent="0.3">
      <c r="A56" s="41" t="s">
        <v>222</v>
      </c>
      <c r="B56" s="42" t="s">
        <v>163</v>
      </c>
      <c r="C56" s="42" t="s">
        <v>81</v>
      </c>
      <c r="D56" s="42" t="s">
        <v>172</v>
      </c>
      <c r="E56" s="43" t="s">
        <v>164</v>
      </c>
      <c r="F56" s="44" t="s">
        <v>14</v>
      </c>
      <c r="G56" s="45">
        <v>100</v>
      </c>
      <c r="H56" s="46">
        <v>490</v>
      </c>
      <c r="I56" s="47">
        <f t="shared" si="0"/>
        <v>49000</v>
      </c>
    </row>
    <row r="57" spans="1:9" ht="21.75" customHeight="1" x14ac:dyDescent="0.3">
      <c r="A57" s="41" t="s">
        <v>223</v>
      </c>
      <c r="B57" s="43" t="s">
        <v>73</v>
      </c>
      <c r="C57" s="42" t="s">
        <v>81</v>
      </c>
      <c r="D57" s="42" t="s">
        <v>172</v>
      </c>
      <c r="E57" s="43" t="s">
        <v>96</v>
      </c>
      <c r="F57" s="44" t="s">
        <v>243</v>
      </c>
      <c r="G57" s="45">
        <v>200</v>
      </c>
      <c r="H57" s="46">
        <v>950</v>
      </c>
      <c r="I57" s="47">
        <f t="shared" si="0"/>
        <v>190000</v>
      </c>
    </row>
    <row r="58" spans="1:9" ht="28.5" customHeight="1" x14ac:dyDescent="0.3">
      <c r="A58" s="41" t="s">
        <v>224</v>
      </c>
      <c r="B58" s="42" t="s">
        <v>74</v>
      </c>
      <c r="C58" s="42" t="s">
        <v>81</v>
      </c>
      <c r="D58" s="42" t="s">
        <v>172</v>
      </c>
      <c r="E58" s="43" t="s">
        <v>97</v>
      </c>
      <c r="F58" s="44" t="s">
        <v>243</v>
      </c>
      <c r="G58" s="45">
        <v>100</v>
      </c>
      <c r="H58" s="46">
        <v>1500</v>
      </c>
      <c r="I58" s="47">
        <f t="shared" si="0"/>
        <v>150000</v>
      </c>
    </row>
    <row r="59" spans="1:9" ht="28.5" customHeight="1" x14ac:dyDescent="0.3">
      <c r="A59" s="41" t="s">
        <v>225</v>
      </c>
      <c r="B59" s="42" t="s">
        <v>75</v>
      </c>
      <c r="C59" s="42" t="s">
        <v>81</v>
      </c>
      <c r="D59" s="42" t="s">
        <v>172</v>
      </c>
      <c r="E59" s="43" t="s">
        <v>98</v>
      </c>
      <c r="F59" s="44" t="s">
        <v>243</v>
      </c>
      <c r="G59" s="45">
        <v>60</v>
      </c>
      <c r="H59" s="46">
        <v>1500</v>
      </c>
      <c r="I59" s="47">
        <f t="shared" si="0"/>
        <v>90000</v>
      </c>
    </row>
    <row r="60" spans="1:9" ht="28.5" customHeight="1" x14ac:dyDescent="0.3">
      <c r="A60" s="41" t="s">
        <v>226</v>
      </c>
      <c r="B60" s="43" t="s">
        <v>246</v>
      </c>
      <c r="C60" s="42" t="s">
        <v>81</v>
      </c>
      <c r="D60" s="42" t="s">
        <v>172</v>
      </c>
      <c r="E60" s="43" t="s">
        <v>247</v>
      </c>
      <c r="F60" s="44" t="s">
        <v>241</v>
      </c>
      <c r="G60" s="45">
        <v>80</v>
      </c>
      <c r="H60" s="46">
        <v>1600</v>
      </c>
      <c r="I60" s="47">
        <f t="shared" si="0"/>
        <v>128000</v>
      </c>
    </row>
    <row r="61" spans="1:9" ht="28.5" customHeight="1" x14ac:dyDescent="0.3">
      <c r="A61" s="41" t="s">
        <v>227</v>
      </c>
      <c r="B61" s="42" t="s">
        <v>109</v>
      </c>
      <c r="C61" s="42" t="s">
        <v>81</v>
      </c>
      <c r="D61" s="42" t="s">
        <v>172</v>
      </c>
      <c r="E61" s="43" t="s">
        <v>110</v>
      </c>
      <c r="F61" s="44" t="s">
        <v>240</v>
      </c>
      <c r="G61" s="45">
        <v>600</v>
      </c>
      <c r="H61" s="46">
        <v>110</v>
      </c>
      <c r="I61" s="47">
        <f t="shared" si="0"/>
        <v>66000</v>
      </c>
    </row>
    <row r="62" spans="1:9" ht="28.5" customHeight="1" x14ac:dyDescent="0.3">
      <c r="A62" s="41" t="s">
        <v>228</v>
      </c>
      <c r="B62" s="90" t="s">
        <v>257</v>
      </c>
      <c r="C62" s="42" t="s">
        <v>81</v>
      </c>
      <c r="D62" s="42" t="s">
        <v>172</v>
      </c>
      <c r="E62" s="90" t="s">
        <v>258</v>
      </c>
      <c r="F62" s="44" t="s">
        <v>241</v>
      </c>
      <c r="G62" s="45">
        <v>40</v>
      </c>
      <c r="H62" s="46">
        <v>1500</v>
      </c>
      <c r="I62" s="47">
        <f t="shared" si="0"/>
        <v>60000</v>
      </c>
    </row>
    <row r="63" spans="1:9" ht="28.5" customHeight="1" x14ac:dyDescent="0.3">
      <c r="A63" s="41" t="s">
        <v>229</v>
      </c>
      <c r="B63" s="42" t="s">
        <v>165</v>
      </c>
      <c r="C63" s="42" t="s">
        <v>81</v>
      </c>
      <c r="D63" s="42" t="s">
        <v>172</v>
      </c>
      <c r="E63" s="43" t="s">
        <v>166</v>
      </c>
      <c r="F63" s="44" t="s">
        <v>240</v>
      </c>
      <c r="G63" s="45">
        <v>162</v>
      </c>
      <c r="H63" s="46">
        <v>220</v>
      </c>
      <c r="I63" s="47">
        <f t="shared" si="0"/>
        <v>35640</v>
      </c>
    </row>
    <row r="64" spans="1:9" ht="28.5" customHeight="1" x14ac:dyDescent="0.3">
      <c r="A64" s="41" t="s">
        <v>230</v>
      </c>
      <c r="B64" s="42" t="s">
        <v>79</v>
      </c>
      <c r="C64" s="42" t="s">
        <v>81</v>
      </c>
      <c r="D64" s="42" t="s">
        <v>172</v>
      </c>
      <c r="E64" s="43" t="s">
        <v>100</v>
      </c>
      <c r="F64" s="44" t="s">
        <v>267</v>
      </c>
      <c r="G64" s="45">
        <v>100</v>
      </c>
      <c r="H64" s="46">
        <v>60</v>
      </c>
      <c r="I64" s="47">
        <f t="shared" si="0"/>
        <v>6000</v>
      </c>
    </row>
    <row r="65" spans="1:9" ht="28.5" customHeight="1" x14ac:dyDescent="0.3">
      <c r="A65" s="41" t="s">
        <v>231</v>
      </c>
      <c r="B65" s="42" t="s">
        <v>266</v>
      </c>
      <c r="C65" s="42" t="s">
        <v>81</v>
      </c>
      <c r="D65" s="42" t="s">
        <v>172</v>
      </c>
      <c r="E65" s="88" t="s">
        <v>265</v>
      </c>
      <c r="F65" s="44" t="s">
        <v>240</v>
      </c>
      <c r="G65" s="45">
        <v>10</v>
      </c>
      <c r="H65" s="46">
        <v>600</v>
      </c>
      <c r="I65" s="47">
        <f t="shared" si="0"/>
        <v>6000</v>
      </c>
    </row>
    <row r="66" spans="1:9" ht="28.5" customHeight="1" x14ac:dyDescent="0.3">
      <c r="A66" s="41" t="s">
        <v>232</v>
      </c>
      <c r="B66" s="42" t="s">
        <v>167</v>
      </c>
      <c r="C66" s="42" t="s">
        <v>81</v>
      </c>
      <c r="D66" s="42" t="s">
        <v>172</v>
      </c>
      <c r="E66" s="43" t="s">
        <v>168</v>
      </c>
      <c r="F66" s="44" t="s">
        <v>267</v>
      </c>
      <c r="G66" s="45">
        <v>100</v>
      </c>
      <c r="H66" s="46">
        <v>60</v>
      </c>
      <c r="I66" s="47">
        <f t="shared" si="0"/>
        <v>6000</v>
      </c>
    </row>
    <row r="67" spans="1:9" ht="28.5" customHeight="1" x14ac:dyDescent="0.3">
      <c r="A67" s="41" t="s">
        <v>233</v>
      </c>
      <c r="B67" s="42" t="s">
        <v>80</v>
      </c>
      <c r="C67" s="42" t="s">
        <v>81</v>
      </c>
      <c r="D67" s="42" t="s">
        <v>172</v>
      </c>
      <c r="E67" s="43" t="s">
        <v>101</v>
      </c>
      <c r="F67" s="44" t="s">
        <v>240</v>
      </c>
      <c r="G67" s="45">
        <v>34</v>
      </c>
      <c r="H67" s="46">
        <v>180</v>
      </c>
      <c r="I67" s="47">
        <f t="shared" si="0"/>
        <v>6120</v>
      </c>
    </row>
    <row r="68" spans="1:9" ht="28.5" customHeight="1" x14ac:dyDescent="0.3">
      <c r="A68" s="41" t="s">
        <v>234</v>
      </c>
      <c r="B68" s="42" t="s">
        <v>169</v>
      </c>
      <c r="C68" s="42" t="s">
        <v>81</v>
      </c>
      <c r="D68" s="42" t="s">
        <v>172</v>
      </c>
      <c r="E68" s="43" t="s">
        <v>170</v>
      </c>
      <c r="F68" s="44" t="s">
        <v>242</v>
      </c>
      <c r="G68" s="45">
        <v>80</v>
      </c>
      <c r="H68" s="46">
        <v>900</v>
      </c>
      <c r="I68" s="47">
        <f t="shared" si="0"/>
        <v>72000</v>
      </c>
    </row>
    <row r="69" spans="1:9" ht="28.5" customHeight="1" x14ac:dyDescent="0.3">
      <c r="A69" s="41" t="s">
        <v>235</v>
      </c>
      <c r="B69" s="42" t="s">
        <v>76</v>
      </c>
      <c r="C69" s="42" t="s">
        <v>81</v>
      </c>
      <c r="D69" s="42" t="s">
        <v>172</v>
      </c>
      <c r="E69" s="43" t="s">
        <v>99</v>
      </c>
      <c r="F69" s="44" t="s">
        <v>14</v>
      </c>
      <c r="G69" s="45">
        <v>12</v>
      </c>
      <c r="H69" s="46">
        <v>4900</v>
      </c>
      <c r="I69" s="47">
        <f t="shared" si="0"/>
        <v>58800</v>
      </c>
    </row>
    <row r="70" spans="1:9" ht="28.5" customHeight="1" x14ac:dyDescent="0.3">
      <c r="A70" s="41" t="s">
        <v>236</v>
      </c>
      <c r="B70" s="91" t="s">
        <v>77</v>
      </c>
      <c r="C70" s="42" t="s">
        <v>81</v>
      </c>
      <c r="D70" s="42" t="s">
        <v>172</v>
      </c>
      <c r="E70" s="43" t="s">
        <v>250</v>
      </c>
      <c r="F70" s="44" t="s">
        <v>241</v>
      </c>
      <c r="G70" s="45">
        <v>20</v>
      </c>
      <c r="H70" s="46">
        <v>3200</v>
      </c>
      <c r="I70" s="47">
        <f t="shared" si="0"/>
        <v>64000</v>
      </c>
    </row>
    <row r="71" spans="1:9" ht="28.5" customHeight="1" x14ac:dyDescent="0.3">
      <c r="A71" s="41" t="s">
        <v>237</v>
      </c>
      <c r="B71" s="90" t="s">
        <v>253</v>
      </c>
      <c r="C71" s="42" t="s">
        <v>81</v>
      </c>
      <c r="D71" s="42" t="s">
        <v>172</v>
      </c>
      <c r="E71" s="43" t="s">
        <v>252</v>
      </c>
      <c r="F71" s="44" t="s">
        <v>241</v>
      </c>
      <c r="G71" s="45">
        <v>16</v>
      </c>
      <c r="H71" s="46">
        <v>4600</v>
      </c>
      <c r="I71" s="47">
        <f t="shared" si="0"/>
        <v>73600</v>
      </c>
    </row>
    <row r="72" spans="1:9" ht="28.5" customHeight="1" x14ac:dyDescent="0.3">
      <c r="A72" s="41" t="s">
        <v>238</v>
      </c>
      <c r="B72" s="42" t="s">
        <v>78</v>
      </c>
      <c r="C72" s="42" t="s">
        <v>81</v>
      </c>
      <c r="D72" s="42" t="s">
        <v>172</v>
      </c>
      <c r="E72" s="43" t="s">
        <v>171</v>
      </c>
      <c r="F72" s="44" t="s">
        <v>241</v>
      </c>
      <c r="G72" s="45">
        <v>40</v>
      </c>
      <c r="H72" s="46">
        <v>1900</v>
      </c>
      <c r="I72" s="47">
        <f t="shared" si="0"/>
        <v>76000</v>
      </c>
    </row>
    <row r="73" spans="1:9" ht="28.5" customHeight="1" thickBot="1" x14ac:dyDescent="0.35">
      <c r="A73" s="49" t="s">
        <v>239</v>
      </c>
      <c r="B73" s="50" t="s">
        <v>256</v>
      </c>
      <c r="C73" s="50" t="s">
        <v>81</v>
      </c>
      <c r="D73" s="50" t="s">
        <v>172</v>
      </c>
      <c r="E73" s="51" t="s">
        <v>255</v>
      </c>
      <c r="F73" s="52" t="s">
        <v>241</v>
      </c>
      <c r="G73" s="53">
        <v>20</v>
      </c>
      <c r="H73" s="54">
        <v>3200</v>
      </c>
      <c r="I73" s="55">
        <f t="shared" si="0"/>
        <v>64000</v>
      </c>
    </row>
    <row r="74" spans="1:9" ht="17.25" customHeight="1" thickBot="1" x14ac:dyDescent="0.35">
      <c r="A74" s="56"/>
      <c r="B74" s="56"/>
      <c r="C74" s="56"/>
      <c r="D74" s="56"/>
      <c r="E74" s="57"/>
      <c r="F74" s="56"/>
      <c r="G74" s="56"/>
      <c r="H74" s="56"/>
      <c r="I74" s="58">
        <f>SUM(I10:I73)</f>
        <v>4950118</v>
      </c>
    </row>
    <row r="75" spans="1:9" x14ac:dyDescent="0.3">
      <c r="B75" s="59" t="s">
        <v>106</v>
      </c>
      <c r="C75" s="60"/>
      <c r="D75" s="61"/>
      <c r="E75" s="62"/>
    </row>
    <row r="76" spans="1:9" x14ac:dyDescent="0.3">
      <c r="B76" s="63"/>
      <c r="C76" s="64"/>
      <c r="D76" s="65"/>
      <c r="E76" s="66"/>
    </row>
    <row r="77" spans="1:9" x14ac:dyDescent="0.3">
      <c r="B77" s="67" t="s">
        <v>15</v>
      </c>
      <c r="C77" s="64"/>
      <c r="D77" s="65"/>
      <c r="E77" s="66"/>
    </row>
    <row r="78" spans="1:9" ht="17.25" customHeight="1" x14ac:dyDescent="0.3">
      <c r="B78" s="67"/>
      <c r="C78" s="68" t="s">
        <v>249</v>
      </c>
      <c r="D78" s="65"/>
      <c r="E78" s="66"/>
    </row>
    <row r="79" spans="1:9" ht="17.25" customHeight="1" x14ac:dyDescent="0.3">
      <c r="B79" s="67"/>
      <c r="C79" s="120" t="s">
        <v>282</v>
      </c>
      <c r="D79" s="120"/>
      <c r="E79" s="121"/>
    </row>
    <row r="80" spans="1:9" ht="17.25" customHeight="1" x14ac:dyDescent="0.3">
      <c r="B80" s="67"/>
      <c r="C80" s="120" t="s">
        <v>248</v>
      </c>
      <c r="D80" s="120"/>
      <c r="E80" s="121"/>
    </row>
    <row r="81" spans="2:5" ht="17.25" customHeight="1" x14ac:dyDescent="0.3">
      <c r="B81" s="67"/>
      <c r="C81" s="120" t="s">
        <v>268</v>
      </c>
      <c r="D81" s="120"/>
      <c r="E81" s="121"/>
    </row>
    <row r="82" spans="2:5" ht="17.25" customHeight="1" x14ac:dyDescent="0.3">
      <c r="B82" s="67"/>
      <c r="C82" s="120" t="s">
        <v>280</v>
      </c>
      <c r="D82" s="120"/>
      <c r="E82" s="121"/>
    </row>
    <row r="83" spans="2:5" ht="17.25" customHeight="1" x14ac:dyDescent="0.3">
      <c r="B83" s="67"/>
      <c r="C83" s="120" t="s">
        <v>269</v>
      </c>
      <c r="D83" s="120"/>
      <c r="E83" s="121"/>
    </row>
    <row r="84" spans="2:5" ht="17.25" customHeight="1" x14ac:dyDescent="0.3">
      <c r="B84" s="67"/>
      <c r="C84" s="120" t="s">
        <v>281</v>
      </c>
      <c r="D84" s="120"/>
      <c r="E84" s="121"/>
    </row>
    <row r="85" spans="2:5" ht="17.25" customHeight="1" x14ac:dyDescent="0.3">
      <c r="B85" s="67"/>
      <c r="C85" s="120" t="s">
        <v>251</v>
      </c>
      <c r="D85" s="120"/>
      <c r="E85" s="121"/>
    </row>
    <row r="86" spans="2:5" ht="17.25" customHeight="1" x14ac:dyDescent="0.3">
      <c r="B86" s="67"/>
      <c r="C86" s="120" t="s">
        <v>254</v>
      </c>
      <c r="D86" s="120"/>
      <c r="E86" s="121"/>
    </row>
    <row r="87" spans="2:5" ht="21" customHeight="1" thickBot="1" x14ac:dyDescent="0.35">
      <c r="B87" s="67"/>
      <c r="C87" s="69"/>
      <c r="D87" s="69"/>
      <c r="E87" s="70"/>
    </row>
    <row r="88" spans="2:5" ht="49.5" customHeight="1" thickBot="1" x14ac:dyDescent="0.35">
      <c r="B88" s="134" t="s">
        <v>111</v>
      </c>
      <c r="C88" s="135"/>
      <c r="D88" s="135"/>
      <c r="E88" s="136"/>
    </row>
    <row r="89" spans="2:5" ht="65.25" customHeight="1" thickBot="1" x14ac:dyDescent="0.35">
      <c r="B89" s="131" t="s">
        <v>112</v>
      </c>
      <c r="C89" s="132"/>
      <c r="D89" s="132"/>
      <c r="E89" s="133"/>
    </row>
    <row r="90" spans="2:5" x14ac:dyDescent="0.3">
      <c r="B90" s="67" t="s">
        <v>16</v>
      </c>
      <c r="C90" s="64"/>
      <c r="D90" s="65"/>
      <c r="E90" s="66"/>
    </row>
    <row r="91" spans="2:5" ht="82.5" customHeight="1" x14ac:dyDescent="0.3">
      <c r="B91" s="63"/>
      <c r="C91" s="123" t="s">
        <v>288</v>
      </c>
      <c r="D91" s="123"/>
      <c r="E91" s="124"/>
    </row>
    <row r="92" spans="2:5" x14ac:dyDescent="0.3">
      <c r="B92" s="63"/>
      <c r="C92" s="125"/>
      <c r="D92" s="125"/>
      <c r="E92" s="126"/>
    </row>
    <row r="93" spans="2:5" x14ac:dyDescent="0.3">
      <c r="B93" s="67" t="s">
        <v>17</v>
      </c>
      <c r="C93" s="64"/>
      <c r="D93" s="65"/>
      <c r="E93" s="66"/>
    </row>
    <row r="94" spans="2:5" ht="29.25" customHeight="1" x14ac:dyDescent="0.3">
      <c r="B94" s="63"/>
      <c r="C94" s="127" t="s">
        <v>173</v>
      </c>
      <c r="D94" s="127"/>
      <c r="E94" s="128"/>
    </row>
    <row r="95" spans="2:5" x14ac:dyDescent="0.3">
      <c r="B95" s="67" t="s">
        <v>18</v>
      </c>
      <c r="C95" s="71"/>
      <c r="D95" s="72"/>
      <c r="E95" s="73"/>
    </row>
    <row r="96" spans="2:5" ht="18.75" customHeight="1" x14ac:dyDescent="0.3">
      <c r="B96" s="63"/>
      <c r="C96" s="129" t="s">
        <v>175</v>
      </c>
      <c r="D96" s="129"/>
      <c r="E96" s="130"/>
    </row>
    <row r="97" spans="1:5" x14ac:dyDescent="0.3">
      <c r="B97" s="67" t="s">
        <v>19</v>
      </c>
      <c r="C97" s="74"/>
      <c r="D97" s="75"/>
      <c r="E97" s="76"/>
    </row>
    <row r="98" spans="1:5" x14ac:dyDescent="0.3">
      <c r="B98" s="67"/>
      <c r="C98" s="122" t="s">
        <v>174</v>
      </c>
      <c r="D98" s="122"/>
      <c r="E98" s="122"/>
    </row>
    <row r="99" spans="1:5" ht="15" thickBot="1" x14ac:dyDescent="0.35">
      <c r="B99" s="77"/>
      <c r="C99" s="78"/>
      <c r="D99" s="79"/>
      <c r="E99" s="80"/>
    </row>
    <row r="100" spans="1:5" x14ac:dyDescent="0.3">
      <c r="B100" s="81"/>
    </row>
    <row r="101" spans="1:5" x14ac:dyDescent="0.3">
      <c r="B101" s="81"/>
    </row>
    <row r="102" spans="1:5" s="85" customFormat="1" ht="13.5" x14ac:dyDescent="0.25">
      <c r="A102" s="83"/>
      <c r="B102" s="84"/>
      <c r="C102" s="83"/>
      <c r="D102" s="83"/>
    </row>
    <row r="103" spans="1:5" customFormat="1" ht="12.75" x14ac:dyDescent="0.2">
      <c r="A103" s="88"/>
      <c r="B103" s="88"/>
      <c r="C103" s="88"/>
      <c r="D103" s="88"/>
    </row>
    <row r="104" spans="1:5" s="85" customFormat="1" ht="13.5" x14ac:dyDescent="0.25">
      <c r="A104" s="83"/>
      <c r="B104" s="84"/>
      <c r="C104" s="83"/>
      <c r="D104" s="83"/>
    </row>
    <row r="105" spans="1:5" s="85" customFormat="1" ht="13.5" x14ac:dyDescent="0.25">
      <c r="A105" s="83"/>
      <c r="B105" s="84"/>
      <c r="C105" s="83"/>
      <c r="D105" s="83"/>
    </row>
    <row r="106" spans="1:5" s="85" customFormat="1" ht="13.5" x14ac:dyDescent="0.25">
      <c r="A106" s="83"/>
      <c r="B106" s="84"/>
      <c r="C106" s="83"/>
      <c r="D106" s="83"/>
    </row>
    <row r="107" spans="1:5" s="85" customFormat="1" ht="13.5" x14ac:dyDescent="0.25">
      <c r="A107" s="83"/>
      <c r="B107" s="84"/>
      <c r="C107" s="83"/>
      <c r="D107" s="83"/>
    </row>
    <row r="108" spans="1:5" s="85" customFormat="1" ht="13.5" x14ac:dyDescent="0.25">
      <c r="A108" s="83"/>
      <c r="B108" s="84"/>
      <c r="C108" s="83"/>
      <c r="D108" s="83"/>
    </row>
    <row r="109" spans="1:5" s="85" customFormat="1" ht="13.5" x14ac:dyDescent="0.25">
      <c r="A109" s="83"/>
      <c r="B109" s="84"/>
      <c r="C109" s="83"/>
      <c r="D109" s="83"/>
    </row>
    <row r="110" spans="1:5" s="85" customFormat="1" ht="13.5" x14ac:dyDescent="0.25">
      <c r="A110" s="83"/>
      <c r="B110" s="84"/>
      <c r="C110" s="83"/>
      <c r="D110" s="83"/>
    </row>
    <row r="111" spans="1:5" s="85" customFormat="1" ht="13.5" x14ac:dyDescent="0.25">
      <c r="A111" s="83"/>
      <c r="B111" s="84"/>
      <c r="C111" s="83"/>
      <c r="D111" s="83"/>
    </row>
    <row r="112" spans="1:5" s="85" customFormat="1" ht="13.5" x14ac:dyDescent="0.25">
      <c r="A112" s="83"/>
      <c r="B112" s="84"/>
      <c r="C112" s="83"/>
      <c r="D112" s="83"/>
    </row>
    <row r="113" spans="1:4" s="85" customFormat="1" ht="13.5" x14ac:dyDescent="0.25">
      <c r="A113" s="83"/>
      <c r="B113" s="84"/>
      <c r="C113" s="83"/>
      <c r="D113" s="83"/>
    </row>
    <row r="114" spans="1:4" s="85" customFormat="1" ht="13.5" x14ac:dyDescent="0.25">
      <c r="A114" s="83"/>
      <c r="B114" s="84"/>
      <c r="C114" s="83"/>
      <c r="D114" s="83"/>
    </row>
    <row r="115" spans="1:4" s="85" customFormat="1" ht="13.5" x14ac:dyDescent="0.25">
      <c r="A115" s="83"/>
      <c r="B115" s="84"/>
      <c r="C115" s="83"/>
      <c r="D115" s="83"/>
    </row>
    <row r="116" spans="1:4" s="85" customFormat="1" ht="13.5" x14ac:dyDescent="0.25">
      <c r="A116" s="83"/>
      <c r="B116" s="84"/>
      <c r="C116" s="83"/>
      <c r="D116" s="83"/>
    </row>
    <row r="117" spans="1:4" s="85" customFormat="1" ht="13.5" x14ac:dyDescent="0.25">
      <c r="A117" s="83"/>
      <c r="B117" s="84"/>
      <c r="C117" s="83"/>
      <c r="D117" s="83"/>
    </row>
    <row r="118" spans="1:4" s="85" customFormat="1" ht="13.5" x14ac:dyDescent="0.25">
      <c r="A118" s="83"/>
      <c r="B118" s="84"/>
      <c r="C118" s="83"/>
      <c r="D118" s="83"/>
    </row>
    <row r="119" spans="1:4" s="85" customFormat="1" ht="13.5" x14ac:dyDescent="0.25">
      <c r="A119" s="83"/>
      <c r="B119" s="84"/>
      <c r="C119" s="83"/>
      <c r="D119" s="83"/>
    </row>
    <row r="120" spans="1:4" s="85" customFormat="1" ht="13.5" x14ac:dyDescent="0.25">
      <c r="A120" s="83"/>
      <c r="B120" s="84"/>
      <c r="C120" s="83"/>
      <c r="D120" s="83"/>
    </row>
    <row r="121" spans="1:4" s="85" customFormat="1" ht="13.5" x14ac:dyDescent="0.25">
      <c r="A121" s="83"/>
      <c r="B121" s="84"/>
      <c r="C121" s="83"/>
      <c r="D121" s="83"/>
    </row>
    <row r="122" spans="1:4" s="85" customFormat="1" ht="13.5" x14ac:dyDescent="0.25">
      <c r="A122" s="83"/>
      <c r="B122" s="84"/>
      <c r="C122" s="83"/>
      <c r="D122" s="83"/>
    </row>
    <row r="123" spans="1:4" s="85" customFormat="1" ht="13.5" x14ac:dyDescent="0.25">
      <c r="A123" s="83"/>
      <c r="B123" s="84"/>
      <c r="C123" s="83"/>
      <c r="D123" s="83"/>
    </row>
    <row r="124" spans="1:4" s="85" customFormat="1" ht="13.5" x14ac:dyDescent="0.25">
      <c r="A124" s="83"/>
      <c r="B124" s="84"/>
      <c r="C124" s="83"/>
      <c r="D124" s="83"/>
    </row>
    <row r="125" spans="1:4" s="85" customFormat="1" ht="13.5" x14ac:dyDescent="0.25">
      <c r="A125" s="83"/>
      <c r="B125" s="84"/>
      <c r="C125" s="83"/>
      <c r="D125" s="83"/>
    </row>
    <row r="126" spans="1:4" s="85" customFormat="1" ht="13.5" x14ac:dyDescent="0.25">
      <c r="A126" s="83"/>
      <c r="B126" s="84"/>
      <c r="C126" s="83"/>
      <c r="D126" s="83"/>
    </row>
    <row r="127" spans="1:4" s="85" customFormat="1" ht="13.5" x14ac:dyDescent="0.25">
      <c r="A127" s="83"/>
      <c r="B127" s="84"/>
      <c r="C127" s="83"/>
      <c r="D127" s="83"/>
    </row>
    <row r="128" spans="1:4" s="85" customFormat="1" ht="13.5" x14ac:dyDescent="0.25">
      <c r="A128" s="83"/>
      <c r="B128" s="84"/>
      <c r="C128" s="83"/>
      <c r="D128" s="83"/>
    </row>
    <row r="129" spans="1:4" s="85" customFormat="1" ht="13.5" x14ac:dyDescent="0.25">
      <c r="A129" s="83"/>
      <c r="B129" s="84"/>
      <c r="C129" s="83"/>
      <c r="D129" s="83"/>
    </row>
    <row r="130" spans="1:4" s="85" customFormat="1" ht="13.5" x14ac:dyDescent="0.25">
      <c r="A130" s="83"/>
      <c r="B130" s="84"/>
      <c r="C130" s="83"/>
      <c r="D130" s="83"/>
    </row>
    <row r="131" spans="1:4" s="85" customFormat="1" ht="13.5" x14ac:dyDescent="0.25">
      <c r="A131" s="83"/>
      <c r="B131" s="84"/>
      <c r="C131" s="83"/>
      <c r="D131" s="83"/>
    </row>
    <row r="132" spans="1:4" s="85" customFormat="1" ht="13.5" x14ac:dyDescent="0.25">
      <c r="A132" s="83"/>
      <c r="B132" s="84"/>
      <c r="C132" s="83"/>
      <c r="D132" s="83"/>
    </row>
    <row r="133" spans="1:4" s="85" customFormat="1" ht="13.5" x14ac:dyDescent="0.25">
      <c r="A133" s="83"/>
      <c r="B133" s="84"/>
      <c r="C133" s="83"/>
      <c r="D133" s="83"/>
    </row>
    <row r="134" spans="1:4" s="85" customFormat="1" ht="13.5" x14ac:dyDescent="0.25">
      <c r="A134" s="83"/>
      <c r="B134" s="84"/>
      <c r="C134" s="83"/>
      <c r="D134" s="83"/>
    </row>
    <row r="135" spans="1:4" s="85" customFormat="1" ht="13.5" x14ac:dyDescent="0.25">
      <c r="A135" s="83"/>
      <c r="B135" s="84"/>
      <c r="C135" s="83"/>
      <c r="D135" s="83"/>
    </row>
    <row r="136" spans="1:4" s="85" customFormat="1" ht="13.5" x14ac:dyDescent="0.25">
      <c r="A136" s="83"/>
      <c r="B136" s="84"/>
      <c r="C136" s="83"/>
      <c r="D136" s="83"/>
    </row>
    <row r="137" spans="1:4" s="85" customFormat="1" ht="13.5" x14ac:dyDescent="0.25">
      <c r="A137" s="83"/>
      <c r="B137" s="84"/>
      <c r="C137" s="83"/>
      <c r="D137" s="83"/>
    </row>
    <row r="138" spans="1:4" s="85" customFormat="1" ht="13.5" x14ac:dyDescent="0.25">
      <c r="A138" s="83"/>
      <c r="B138" s="84"/>
      <c r="C138" s="83"/>
      <c r="D138" s="83"/>
    </row>
    <row r="139" spans="1:4" s="85" customFormat="1" ht="13.5" x14ac:dyDescent="0.25">
      <c r="A139" s="83"/>
      <c r="B139" s="84"/>
      <c r="C139" s="83"/>
      <c r="D139" s="83"/>
    </row>
    <row r="140" spans="1:4" s="85" customFormat="1" ht="13.5" x14ac:dyDescent="0.25">
      <c r="A140" s="83"/>
      <c r="B140" s="84"/>
      <c r="C140" s="83"/>
      <c r="D140" s="83"/>
    </row>
    <row r="141" spans="1:4" s="85" customFormat="1" ht="13.5" x14ac:dyDescent="0.25">
      <c r="A141" s="83"/>
      <c r="B141" s="84"/>
      <c r="C141" s="83"/>
      <c r="D141" s="83"/>
    </row>
    <row r="142" spans="1:4" s="85" customFormat="1" ht="13.5" x14ac:dyDescent="0.25">
      <c r="A142" s="83"/>
      <c r="B142" s="84"/>
      <c r="C142" s="83"/>
      <c r="D142" s="83"/>
    </row>
    <row r="143" spans="1:4" s="85" customFormat="1" ht="13.5" x14ac:dyDescent="0.25">
      <c r="A143" s="83"/>
      <c r="B143" s="84"/>
      <c r="C143" s="83"/>
      <c r="D143" s="83"/>
    </row>
    <row r="144" spans="1:4" s="85" customFormat="1" ht="13.5" x14ac:dyDescent="0.25">
      <c r="A144" s="83"/>
      <c r="B144" s="84"/>
      <c r="C144" s="83"/>
      <c r="D144" s="83"/>
    </row>
    <row r="145" spans="1:4" s="85" customFormat="1" ht="13.5" x14ac:dyDescent="0.25">
      <c r="A145" s="83"/>
      <c r="B145" s="84"/>
      <c r="C145" s="83"/>
      <c r="D145" s="83"/>
    </row>
    <row r="146" spans="1:4" s="85" customFormat="1" ht="13.5" x14ac:dyDescent="0.25">
      <c r="A146" s="83"/>
      <c r="B146" s="84"/>
      <c r="C146" s="83"/>
      <c r="D146" s="83"/>
    </row>
    <row r="147" spans="1:4" s="85" customFormat="1" ht="13.5" x14ac:dyDescent="0.25">
      <c r="A147" s="83"/>
      <c r="B147" s="83"/>
      <c r="C147" s="83"/>
      <c r="D147" s="83"/>
    </row>
    <row r="148" spans="1:4" s="85" customFormat="1" ht="13.5" x14ac:dyDescent="0.25">
      <c r="A148" s="83"/>
      <c r="B148" s="83"/>
      <c r="C148" s="83"/>
      <c r="D148" s="83"/>
    </row>
    <row r="149" spans="1:4" s="85" customFormat="1" ht="13.5" x14ac:dyDescent="0.25">
      <c r="A149" s="83"/>
      <c r="B149" s="83"/>
      <c r="C149" s="83"/>
      <c r="D149" s="83"/>
    </row>
    <row r="150" spans="1:4" s="85" customFormat="1" ht="13.5" x14ac:dyDescent="0.25">
      <c r="A150" s="83"/>
      <c r="B150" s="83"/>
      <c r="C150" s="83"/>
      <c r="D150" s="83"/>
    </row>
    <row r="151" spans="1:4" s="85" customFormat="1" ht="13.5" x14ac:dyDescent="0.25">
      <c r="A151" s="83"/>
      <c r="B151" s="83"/>
      <c r="C151" s="83"/>
      <c r="D151" s="83"/>
    </row>
    <row r="152" spans="1:4" s="85" customFormat="1" ht="13.5" x14ac:dyDescent="0.25">
      <c r="A152" s="83"/>
      <c r="B152" s="83"/>
      <c r="C152" s="83"/>
      <c r="D152" s="83"/>
    </row>
    <row r="153" spans="1:4" s="85" customFormat="1" ht="13.5" x14ac:dyDescent="0.25">
      <c r="A153" s="83"/>
      <c r="B153" s="83"/>
      <c r="C153" s="83"/>
      <c r="D153" s="83"/>
    </row>
    <row r="154" spans="1:4" s="85" customFormat="1" ht="13.5" x14ac:dyDescent="0.25">
      <c r="A154" s="83"/>
      <c r="B154" s="83"/>
      <c r="C154" s="83"/>
      <c r="D154" s="83"/>
    </row>
    <row r="155" spans="1:4" s="85" customFormat="1" ht="13.5" x14ac:dyDescent="0.25">
      <c r="A155" s="83"/>
      <c r="B155" s="83"/>
      <c r="C155" s="83"/>
      <c r="D155" s="83"/>
    </row>
    <row r="156" spans="1:4" s="85" customFormat="1" ht="13.5" x14ac:dyDescent="0.25">
      <c r="A156" s="83"/>
      <c r="B156" s="83"/>
      <c r="C156" s="83"/>
      <c r="D156" s="83"/>
    </row>
    <row r="157" spans="1:4" s="85" customFormat="1" ht="13.5" x14ac:dyDescent="0.25">
      <c r="A157" s="83"/>
      <c r="B157" s="83"/>
      <c r="C157" s="83"/>
      <c r="D157" s="83"/>
    </row>
    <row r="158" spans="1:4" s="85" customFormat="1" ht="13.5" x14ac:dyDescent="0.25">
      <c r="A158" s="83"/>
      <c r="B158" s="83"/>
      <c r="C158" s="83"/>
      <c r="D158" s="83"/>
    </row>
    <row r="159" spans="1:4" s="85" customFormat="1" ht="13.5" x14ac:dyDescent="0.25">
      <c r="A159" s="83"/>
      <c r="B159" s="83"/>
      <c r="C159" s="83"/>
      <c r="D159" s="83"/>
    </row>
    <row r="160" spans="1:4" s="85" customFormat="1" ht="13.5" x14ac:dyDescent="0.25">
      <c r="A160" s="83"/>
      <c r="B160" s="83"/>
      <c r="C160" s="83"/>
      <c r="D160" s="83"/>
    </row>
    <row r="161" spans="1:4" s="85" customFormat="1" ht="13.5" x14ac:dyDescent="0.25">
      <c r="A161" s="83"/>
      <c r="B161" s="83"/>
      <c r="C161" s="83"/>
      <c r="D161" s="83"/>
    </row>
    <row r="162" spans="1:4" s="85" customFormat="1" ht="13.5" x14ac:dyDescent="0.25">
      <c r="A162" s="83"/>
      <c r="B162" s="83"/>
      <c r="C162" s="83"/>
      <c r="D162" s="83"/>
    </row>
    <row r="163" spans="1:4" s="85" customFormat="1" ht="13.5" x14ac:dyDescent="0.25">
      <c r="A163" s="83"/>
      <c r="B163" s="83"/>
      <c r="C163" s="83"/>
      <c r="D163" s="83"/>
    </row>
    <row r="164" spans="1:4" s="85" customFormat="1" ht="13.5" x14ac:dyDescent="0.25">
      <c r="A164" s="83"/>
      <c r="B164" s="83"/>
      <c r="C164" s="83"/>
      <c r="D164" s="83"/>
    </row>
    <row r="165" spans="1:4" s="85" customFormat="1" ht="13.5" x14ac:dyDescent="0.25">
      <c r="A165" s="83"/>
      <c r="B165" s="83"/>
      <c r="C165" s="83"/>
      <c r="D165" s="83"/>
    </row>
  </sheetData>
  <mergeCells count="22">
    <mergeCell ref="C81:E81"/>
    <mergeCell ref="C83:E83"/>
    <mergeCell ref="C84:E84"/>
    <mergeCell ref="C85:E85"/>
    <mergeCell ref="C82:E82"/>
    <mergeCell ref="A6:B6"/>
    <mergeCell ref="A7:B7"/>
    <mergeCell ref="C79:E79"/>
    <mergeCell ref="C80:E80"/>
    <mergeCell ref="B2:H2"/>
    <mergeCell ref="A4:B4"/>
    <mergeCell ref="C4:E4"/>
    <mergeCell ref="A5:B5"/>
    <mergeCell ref="C5:E5"/>
    <mergeCell ref="C86:E86"/>
    <mergeCell ref="C98:E98"/>
    <mergeCell ref="C91:E91"/>
    <mergeCell ref="C92:E92"/>
    <mergeCell ref="C94:E94"/>
    <mergeCell ref="C96:E96"/>
    <mergeCell ref="B89:E89"/>
    <mergeCell ref="B88:E8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6"/>
  <sheetViews>
    <sheetView topLeftCell="A73" workbookViewId="0">
      <selection activeCell="C10" sqref="C10:G11"/>
    </sheetView>
  </sheetViews>
  <sheetFormatPr baseColWidth="10" defaultColWidth="9.140625" defaultRowHeight="13.5" x14ac:dyDescent="0.25"/>
  <cols>
    <col min="1" max="1" width="5.42578125" style="3" customWidth="1"/>
    <col min="2" max="2" width="16.42578125" style="3" customWidth="1"/>
    <col min="3" max="3" width="14.140625" style="3" customWidth="1"/>
    <col min="4" max="4" width="26" style="3" customWidth="1"/>
    <col min="5" max="5" width="8" style="3" customWidth="1"/>
    <col min="6" max="6" width="7.85546875" style="3" customWidth="1"/>
    <col min="7" max="7" width="44.7109375" style="3" customWidth="1"/>
    <col min="8" max="8" width="11.140625" style="3" customWidth="1"/>
    <col min="9" max="9" width="20.140625" style="3" customWidth="1"/>
    <col min="10" max="10" width="11.42578125" style="3" customWidth="1"/>
    <col min="11" max="11" width="10.85546875" style="3" customWidth="1"/>
    <col min="12" max="14" width="5.85546875" style="3" customWidth="1"/>
    <col min="15" max="15" width="12.5703125" style="3" customWidth="1"/>
    <col min="16" max="1024" width="9.140625" style="3"/>
    <col min="1025" max="16384" width="9.140625" style="1"/>
  </cols>
  <sheetData>
    <row r="1" spans="1:11" ht="18" customHeight="1" x14ac:dyDescent="0.25">
      <c r="A1" s="154" t="s">
        <v>20</v>
      </c>
      <c r="B1" s="154"/>
      <c r="C1" s="154"/>
      <c r="D1" s="154"/>
      <c r="E1" s="154"/>
      <c r="F1" s="154"/>
      <c r="G1" s="154"/>
      <c r="H1" s="154"/>
      <c r="I1" s="154"/>
      <c r="J1" s="2" t="s">
        <v>21</v>
      </c>
      <c r="K1" s="100" t="s">
        <v>284</v>
      </c>
    </row>
    <row r="2" spans="1:11" ht="18.75" customHeight="1" thickBot="1" x14ac:dyDescent="0.3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3">
      <c r="A3" s="155" t="s">
        <v>54</v>
      </c>
      <c r="B3" s="155"/>
      <c r="C3" s="155"/>
      <c r="D3" s="156" t="str">
        <f>'Necesidades Trimestrales'!C4</f>
        <v>90 - Ministerio de Seguridad</v>
      </c>
      <c r="E3" s="156"/>
      <c r="F3" s="156"/>
      <c r="G3" s="156"/>
      <c r="H3" s="156"/>
      <c r="I3" s="156"/>
      <c r="J3" s="156"/>
      <c r="K3" s="156"/>
    </row>
    <row r="4" spans="1:11" ht="18.75" customHeight="1" thickBot="1" x14ac:dyDescent="0.3">
      <c r="A4" s="157" t="s">
        <v>55</v>
      </c>
      <c r="B4" s="157"/>
      <c r="C4" s="157"/>
      <c r="D4" s="156" t="str">
        <f>'Necesidades Trimestrales'!C5</f>
        <v>7 - Direccion de Administracion de la Policia de la Provincia de Catamarca</v>
      </c>
      <c r="E4" s="156"/>
      <c r="F4" s="156"/>
      <c r="G4" s="156"/>
      <c r="H4" s="156"/>
      <c r="I4" s="156"/>
      <c r="J4" s="156"/>
      <c r="K4" s="156"/>
    </row>
    <row r="5" spans="1:11" ht="18.75" customHeight="1" thickBot="1" x14ac:dyDescent="0.3">
      <c r="A5" s="157" t="s">
        <v>33</v>
      </c>
      <c r="B5" s="157"/>
      <c r="C5" s="157"/>
      <c r="D5" s="156" t="s">
        <v>289</v>
      </c>
      <c r="E5" s="156"/>
      <c r="F5" s="156"/>
      <c r="G5" s="156"/>
      <c r="H5" s="156"/>
      <c r="I5" s="156"/>
      <c r="J5" s="156"/>
      <c r="K5" s="156"/>
    </row>
    <row r="6" spans="1:11" ht="16.5" customHeight="1" thickBot="1" x14ac:dyDescent="0.3">
      <c r="A6" s="155" t="s">
        <v>56</v>
      </c>
      <c r="B6" s="155"/>
      <c r="C6" s="155"/>
      <c r="D6" s="156" t="s">
        <v>104</v>
      </c>
      <c r="E6" s="156"/>
      <c r="F6" s="156"/>
      <c r="G6" s="156"/>
      <c r="H6" s="156"/>
      <c r="I6" s="156"/>
      <c r="J6" s="156"/>
      <c r="K6" s="156"/>
    </row>
    <row r="7" spans="1:11" ht="16.5" customHeight="1" thickBot="1" x14ac:dyDescent="0.3">
      <c r="A7" s="157" t="s">
        <v>22</v>
      </c>
      <c r="B7" s="157"/>
      <c r="C7" s="157"/>
      <c r="D7" s="156" t="s">
        <v>283</v>
      </c>
      <c r="E7" s="156"/>
      <c r="F7" s="156"/>
      <c r="G7" s="156"/>
      <c r="H7" s="156"/>
      <c r="I7" s="156"/>
      <c r="J7" s="156"/>
      <c r="K7" s="156"/>
    </row>
    <row r="8" spans="1:11" ht="16.5" customHeight="1" thickBot="1" x14ac:dyDescent="0.3">
      <c r="A8" s="151" t="s">
        <v>23</v>
      </c>
      <c r="B8" s="151"/>
      <c r="C8" s="151"/>
      <c r="D8" s="142" t="s">
        <v>259</v>
      </c>
      <c r="E8" s="142"/>
      <c r="F8" s="142"/>
      <c r="G8" s="142"/>
      <c r="H8" s="142"/>
      <c r="I8" s="142"/>
      <c r="J8" s="142"/>
      <c r="K8" s="142"/>
    </row>
    <row r="9" spans="1:11" ht="18" thickBot="1" x14ac:dyDescent="0.3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4.25" thickBot="1" x14ac:dyDescent="0.3">
      <c r="A10" s="143" t="s">
        <v>24</v>
      </c>
      <c r="B10" s="145" t="s">
        <v>25</v>
      </c>
      <c r="C10" s="145" t="s">
        <v>26</v>
      </c>
      <c r="D10" s="145"/>
      <c r="E10" s="145"/>
      <c r="F10" s="145"/>
      <c r="G10" s="145"/>
      <c r="H10" s="145" t="s">
        <v>27</v>
      </c>
      <c r="I10" s="145" t="s">
        <v>28</v>
      </c>
      <c r="J10" s="145" t="s">
        <v>29</v>
      </c>
      <c r="K10" s="147" t="s">
        <v>30</v>
      </c>
    </row>
    <row r="11" spans="1:11" ht="14.25" thickBot="1" x14ac:dyDescent="0.3">
      <c r="A11" s="144"/>
      <c r="B11" s="146"/>
      <c r="C11" s="146"/>
      <c r="D11" s="146"/>
      <c r="E11" s="146"/>
      <c r="F11" s="146"/>
      <c r="G11" s="146"/>
      <c r="H11" s="146"/>
      <c r="I11" s="146"/>
      <c r="J11" s="146"/>
      <c r="K11" s="148"/>
    </row>
    <row r="12" spans="1:11" ht="42" customHeight="1" x14ac:dyDescent="0.25">
      <c r="A12" s="8" t="s">
        <v>176</v>
      </c>
      <c r="B12" s="9" t="str">
        <f>'Necesidades Trimestrales'!B10</f>
        <v>2.1.1-481.38</v>
      </c>
      <c r="C12" s="152" t="str">
        <f>'Necesidades Trimestrales'!E10</f>
        <v>AZUCARES; TIPO: "A" COMUN, ESTADO: MOLIDA, PESO: 1 Kg, MATERIAL ENVASE: PLASTICO, CERTIFICADO FORESTAL (GFS): SIN, ELEM. TRANSPORTE: SIN, MATERIAL ELEM. TRANSPORTE: SIN</v>
      </c>
      <c r="D12" s="153"/>
      <c r="E12" s="153"/>
      <c r="F12" s="153"/>
      <c r="G12" s="153"/>
      <c r="H12" s="10" t="s">
        <v>102</v>
      </c>
      <c r="I12" s="11" t="str">
        <f>'Necesidades Trimestrales'!F10</f>
        <v>BOLSA</v>
      </c>
      <c r="J12" s="12">
        <f>'Necesidades Trimestrales'!H10</f>
        <v>89</v>
      </c>
      <c r="K12" s="13">
        <f>'Necesidades Trimestrales'!G10</f>
        <v>2000</v>
      </c>
    </row>
    <row r="13" spans="1:11" ht="42" customHeight="1" x14ac:dyDescent="0.25">
      <c r="A13" s="18" t="s">
        <v>177</v>
      </c>
      <c r="B13" s="15" t="str">
        <f>'Necesidades Trimestrales'!B11</f>
        <v>2.1.1-454.25</v>
      </c>
      <c r="C13" s="149" t="str">
        <f>'Necesidades Trimestrales'!E11</f>
        <v>YERBAS; PALO: CON, PESO: 1 Kg, MATERIAL ENVASE : PAPEL, CERTIFICADO FORESTAL (GFS): CON, ELEM. TRANSPORTE: SIN, MATERIAL ELEM. TRANSPORTE: SIN, LIBRE DE GLUTEN: SI</v>
      </c>
      <c r="D13" s="150"/>
      <c r="E13" s="150"/>
      <c r="F13" s="150"/>
      <c r="G13" s="150"/>
      <c r="H13" s="14" t="s">
        <v>102</v>
      </c>
      <c r="I13" s="16" t="str">
        <f>'Necesidades Trimestrales'!F11</f>
        <v>PAQUETE</v>
      </c>
      <c r="J13" s="17">
        <f>'Necesidades Trimestrales'!H11</f>
        <v>490</v>
      </c>
      <c r="K13" s="19">
        <f>'Necesidades Trimestrales'!G11</f>
        <v>400</v>
      </c>
    </row>
    <row r="14" spans="1:11" ht="42" customHeight="1" x14ac:dyDescent="0.25">
      <c r="A14" s="18" t="s">
        <v>178</v>
      </c>
      <c r="B14" s="15" t="str">
        <f>'Necesidades Trimestrales'!B12</f>
        <v>2.1.1-489.136</v>
      </c>
      <c r="C14" s="149" t="str">
        <f>'Necesidades Trimestrales'!E12</f>
        <v>ESPECIAS; TIPO: PIMENTON EXTRA DULCE, PRESENTACION: BOLSA X 1 Kg</v>
      </c>
      <c r="D14" s="150"/>
      <c r="E14" s="150"/>
      <c r="F14" s="150"/>
      <c r="G14" s="150"/>
      <c r="H14" s="14" t="s">
        <v>102</v>
      </c>
      <c r="I14" s="16" t="str">
        <f>'Necesidades Trimestrales'!F12</f>
        <v>BOLSA</v>
      </c>
      <c r="J14" s="17">
        <f>'Necesidades Trimestrales'!H12</f>
        <v>990</v>
      </c>
      <c r="K14" s="19">
        <f>'Necesidades Trimestrales'!G12</f>
        <v>60</v>
      </c>
    </row>
    <row r="15" spans="1:11" ht="42" customHeight="1" x14ac:dyDescent="0.25">
      <c r="A15" s="18" t="s">
        <v>179</v>
      </c>
      <c r="B15" s="15" t="str">
        <f>'Necesidades Trimestrales'!B13</f>
        <v>2.1.1-489.66</v>
      </c>
      <c r="C15" s="149" t="str">
        <f>'Necesidades Trimestrales'!E13</f>
        <v>ESPECIAS; TIPO: OREGANO, PRESENTACION: BOLSA DE 1 Kg</v>
      </c>
      <c r="D15" s="150"/>
      <c r="E15" s="150"/>
      <c r="F15" s="150"/>
      <c r="G15" s="150"/>
      <c r="H15" s="14" t="s">
        <v>102</v>
      </c>
      <c r="I15" s="16" t="str">
        <f>'Necesidades Trimestrales'!F13</f>
        <v>BOLSA</v>
      </c>
      <c r="J15" s="17">
        <f>'Necesidades Trimestrales'!H13</f>
        <v>1900</v>
      </c>
      <c r="K15" s="19">
        <f>'Necesidades Trimestrales'!G13</f>
        <v>30</v>
      </c>
    </row>
    <row r="16" spans="1:11" ht="42" customHeight="1" x14ac:dyDescent="0.25">
      <c r="A16" s="18" t="s">
        <v>180</v>
      </c>
      <c r="B16" s="15" t="str">
        <f>'Necesidades Trimestrales'!B14</f>
        <v>2.1.1-489.109</v>
      </c>
      <c r="C16" s="149" t="str">
        <f>'Necesidades Trimestrales'!E14</f>
        <v>ESPECIAS; TIPO: PROVENZAL, PRESENTACION: PAQUETE X 1 Kg</v>
      </c>
      <c r="D16" s="150"/>
      <c r="E16" s="150"/>
      <c r="F16" s="150"/>
      <c r="G16" s="150"/>
      <c r="H16" s="14" t="s">
        <v>102</v>
      </c>
      <c r="I16" s="16" t="str">
        <f>'Necesidades Trimestrales'!F14</f>
        <v>PAQUETE</v>
      </c>
      <c r="J16" s="17">
        <f>'Necesidades Trimestrales'!H14</f>
        <v>1900</v>
      </c>
      <c r="K16" s="19">
        <f>'Necesidades Trimestrales'!G14</f>
        <v>30</v>
      </c>
    </row>
    <row r="17" spans="1:11" ht="42" customHeight="1" x14ac:dyDescent="0.25">
      <c r="A17" s="18" t="s">
        <v>181</v>
      </c>
      <c r="B17" s="15" t="str">
        <f>'Necesidades Trimestrales'!B15</f>
        <v>2.1.1-489.165</v>
      </c>
      <c r="C17" s="149" t="str">
        <f>'Necesidades Trimestrales'!E15</f>
        <v>ESPECIAS; TIPO: PIMIENTA BLANCA MOLIDA, PRESENTACION: ENVASE X 1 Kg, LIBRE DE GLUTEN: NO</v>
      </c>
      <c r="D17" s="150"/>
      <c r="E17" s="150"/>
      <c r="F17" s="150"/>
      <c r="G17" s="150"/>
      <c r="H17" s="14" t="s">
        <v>102</v>
      </c>
      <c r="I17" s="16" t="str">
        <f>'Necesidades Trimestrales'!F15</f>
        <v>UNIDAD</v>
      </c>
      <c r="J17" s="17">
        <f>'Necesidades Trimestrales'!H15</f>
        <v>1900</v>
      </c>
      <c r="K17" s="19">
        <f>'Necesidades Trimestrales'!G15</f>
        <v>20</v>
      </c>
    </row>
    <row r="18" spans="1:11" ht="42" customHeight="1" x14ac:dyDescent="0.25">
      <c r="A18" s="18" t="s">
        <v>182</v>
      </c>
      <c r="B18" s="15" t="str">
        <f>'Necesidades Trimestrales'!B16</f>
        <v>2.1.1-489.119</v>
      </c>
      <c r="C18" s="149" t="str">
        <f>'Necesidades Trimestrales'!E16</f>
        <v>ESPECIAS; TIPO: COMINO, PRESENTACION: BOLSA X 1 Kg</v>
      </c>
      <c r="D18" s="150"/>
      <c r="E18" s="150"/>
      <c r="F18" s="150"/>
      <c r="G18" s="150"/>
      <c r="H18" s="14" t="s">
        <v>102</v>
      </c>
      <c r="I18" s="16" t="str">
        <f>'Necesidades Trimestrales'!F16</f>
        <v>BOLSA</v>
      </c>
      <c r="J18" s="17">
        <f>'Necesidades Trimestrales'!H16</f>
        <v>1100</v>
      </c>
      <c r="K18" s="19">
        <f>'Necesidades Trimestrales'!G16</f>
        <v>20</v>
      </c>
    </row>
    <row r="19" spans="1:11" ht="42" customHeight="1" x14ac:dyDescent="0.25">
      <c r="A19" s="18" t="s">
        <v>183</v>
      </c>
      <c r="B19" s="15" t="str">
        <f>'Necesidades Trimestrales'!B17</f>
        <v>2.1.1-489.68</v>
      </c>
      <c r="C19" s="149" t="str">
        <f>'Necesidades Trimestrales'!E17</f>
        <v>ESPECIAS; PRESENTACION: BOLSA DE 1 Kg, TIPO: AJI MOLIDO</v>
      </c>
      <c r="D19" s="150"/>
      <c r="E19" s="150"/>
      <c r="F19" s="150"/>
      <c r="G19" s="150"/>
      <c r="H19" s="14" t="s">
        <v>102</v>
      </c>
      <c r="I19" s="16" t="str">
        <f>'Necesidades Trimestrales'!F17</f>
        <v>BOLSA</v>
      </c>
      <c r="J19" s="17">
        <f>'Necesidades Trimestrales'!H17</f>
        <v>1490</v>
      </c>
      <c r="K19" s="19">
        <f>'Necesidades Trimestrales'!G17</f>
        <v>20</v>
      </c>
    </row>
    <row r="20" spans="1:11" ht="42" customHeight="1" x14ac:dyDescent="0.25">
      <c r="A20" s="18" t="s">
        <v>184</v>
      </c>
      <c r="B20" s="15" t="str">
        <f>'Necesidades Trimestrales'!B18</f>
        <v>2.1.1-439.67</v>
      </c>
      <c r="C20" s="149" t="str">
        <f>'Necesidades Trimestrales'!E18</f>
        <v>ACEITES COMESTIBLES; TIPO: GIRASOL, PRESENTACION: ENVASE X 900 CM3, MATERIAL ENVASE: PLASTICO 1 (PET), ELEM. TRANSPORTE: SIN, MATERIAL ELEM. TRANSPORTE : SIN, LIBRE DE GLUTEN: NO</v>
      </c>
      <c r="D20" s="150"/>
      <c r="E20" s="150"/>
      <c r="F20" s="150"/>
      <c r="G20" s="150"/>
      <c r="H20" s="14" t="s">
        <v>102</v>
      </c>
      <c r="I20" s="16" t="str">
        <f>'Necesidades Trimestrales'!F18</f>
        <v>BOTELLA</v>
      </c>
      <c r="J20" s="17">
        <f>'Necesidades Trimestrales'!H18</f>
        <v>198</v>
      </c>
      <c r="K20" s="19">
        <f>'Necesidades Trimestrales'!G18</f>
        <v>400</v>
      </c>
    </row>
    <row r="21" spans="1:11" ht="42" customHeight="1" x14ac:dyDescent="0.25">
      <c r="A21" s="18" t="s">
        <v>185</v>
      </c>
      <c r="B21" s="15" t="str">
        <f>'Necesidades Trimestrales'!B19</f>
        <v>2.1.1-708.23</v>
      </c>
      <c r="C21" s="149" t="str">
        <f>'Necesidades Trimestrales'!E19</f>
        <v>CONSERVAS PESCADO Y FRUTOS MAR; ESTADO: AL NATURAL, PESO: 380 GR, ENVASE: LATA, TIPO: CABALLA, ESPECIE: CABALLA</v>
      </c>
      <c r="D21" s="150"/>
      <c r="E21" s="150"/>
      <c r="F21" s="150"/>
      <c r="G21" s="150"/>
      <c r="H21" s="14" t="s">
        <v>102</v>
      </c>
      <c r="I21" s="16" t="str">
        <f>'Necesidades Trimestrales'!F19</f>
        <v>LATA</v>
      </c>
      <c r="J21" s="17">
        <f>'Necesidades Trimestrales'!H19</f>
        <v>215</v>
      </c>
      <c r="K21" s="19">
        <f>'Necesidades Trimestrales'!G19</f>
        <v>200</v>
      </c>
    </row>
    <row r="22" spans="1:11" ht="42" customHeight="1" x14ac:dyDescent="0.25">
      <c r="A22" s="18" t="s">
        <v>186</v>
      </c>
      <c r="B22" s="15" t="str">
        <f>'Necesidades Trimestrales'!B20</f>
        <v>2.1.1-2868.56</v>
      </c>
      <c r="C22" s="149" t="str">
        <f>'Necesidades Trimestrales'!E20</f>
        <v>FIDEOS SECOS; VARIEDAD: CABELLO DE ANGEL, RELLENO: SIN, PRESENTACION: ENVASE X 500 GR, MATERIAL ENVASE: PVC, ELEM. TRANSPORTE: CAJA, MATERIAL ELEM. TRANSPORTE: CARTON, CERTIFICADO FORESTAL (GFS): SIN, LIBRE DE GLUTEN: NO</v>
      </c>
      <c r="D22" s="150"/>
      <c r="E22" s="150"/>
      <c r="F22" s="150"/>
      <c r="G22" s="150"/>
      <c r="H22" s="14" t="s">
        <v>102</v>
      </c>
      <c r="I22" s="16" t="str">
        <f>'Necesidades Trimestrales'!F20</f>
        <v>PAQUETE</v>
      </c>
      <c r="J22" s="17">
        <f>'Necesidades Trimestrales'!H20</f>
        <v>65.833333333333329</v>
      </c>
      <c r="K22" s="19">
        <f>'Necesidades Trimestrales'!G20</f>
        <v>960</v>
      </c>
    </row>
    <row r="23" spans="1:11" ht="42" customHeight="1" x14ac:dyDescent="0.25">
      <c r="A23" s="18" t="s">
        <v>187</v>
      </c>
      <c r="B23" s="15" t="str">
        <f>'Necesidades Trimestrales'!B21</f>
        <v>2.1.1-2868.61</v>
      </c>
      <c r="C23" s="149" t="str">
        <f>'Necesidades Trimestrales'!E21</f>
        <v>FIDEOS SECOS; VARIEDAD: MOÑOS BLANCOS, RELLENO: SIN, PRESENTACION: ENVASE X 500 GR, MATERIAL ENVASE: PLASTICO 1 (PET), ELEM. TRANSPORTE: CAJA, MATERIAL ELEM. TRANSPORTE: SIN, CERTIFICADO FORESTAL (GFS): SIN, LIBRE DE GLUTEN: NO</v>
      </c>
      <c r="D23" s="150"/>
      <c r="E23" s="150"/>
      <c r="F23" s="150"/>
      <c r="G23" s="150"/>
      <c r="H23" s="14" t="s">
        <v>102</v>
      </c>
      <c r="I23" s="16" t="str">
        <f>'Necesidades Trimestrales'!F21</f>
        <v>PAQUETE</v>
      </c>
      <c r="J23" s="17">
        <f>'Necesidades Trimestrales'!H21</f>
        <v>65.833333333333329</v>
      </c>
      <c r="K23" s="19">
        <f>'Necesidades Trimestrales'!G21</f>
        <v>960</v>
      </c>
    </row>
    <row r="24" spans="1:11" ht="42" customHeight="1" x14ac:dyDescent="0.25">
      <c r="A24" s="18" t="s">
        <v>188</v>
      </c>
      <c r="B24" s="15" t="str">
        <f>'Necesidades Trimestrales'!B22</f>
        <v>2.1.1-2868.59</v>
      </c>
      <c r="C24" s="149" t="str">
        <f>'Necesidades Trimestrales'!E22</f>
        <v>FIDEOS SECOS; VARIEDAD: MOSTACHOLES, RELLENO: SIN, PRESENTACION: ENVASE X 500 GR, MATERIAL ENVASE: PVC, ELEM. TRANSPORTE: CAJA, MATERIAL ELEM. TRANSPORTE: CARTON, CERTIFICADO FORESTAL (GFS): SIN, LIBRE DE GLUTEN: NO</v>
      </c>
      <c r="D24" s="150"/>
      <c r="E24" s="150"/>
      <c r="F24" s="150"/>
      <c r="G24" s="150"/>
      <c r="H24" s="14" t="s">
        <v>102</v>
      </c>
      <c r="I24" s="16" t="str">
        <f>'Necesidades Trimestrales'!F22</f>
        <v>PAQUETE</v>
      </c>
      <c r="J24" s="17">
        <f>'Necesidades Trimestrales'!H22</f>
        <v>65.833333333333329</v>
      </c>
      <c r="K24" s="19">
        <f>'Necesidades Trimestrales'!G22</f>
        <v>960</v>
      </c>
    </row>
    <row r="25" spans="1:11" ht="42" customHeight="1" x14ac:dyDescent="0.25">
      <c r="A25" s="18" t="s">
        <v>189</v>
      </c>
      <c r="B25" s="15" t="str">
        <f>'Necesidades Trimestrales'!B23</f>
        <v>2.1.1-2868.58</v>
      </c>
      <c r="C25" s="149" t="str">
        <f>'Necesidades Trimestrales'!E23</f>
        <v>FIDEOS SECOS; VARIEDAD: MUNICION, RELLENO: SIN, PRESENTACION: ENVASE X 500 GR, MATERIAL ENVASE: PVC, ELEM. TRANSPORTE: CAJA, MATERIAL ELEM. TRANSPORTE: CARTON, CERTIFICADO FORESTAL (GFS): SIN, LIBRE DE GLUTEN: NO</v>
      </c>
      <c r="D25" s="150"/>
      <c r="E25" s="150"/>
      <c r="F25" s="150"/>
      <c r="G25" s="150"/>
      <c r="H25" s="14" t="s">
        <v>102</v>
      </c>
      <c r="I25" s="16" t="str">
        <f>'Necesidades Trimestrales'!F23</f>
        <v>PAQUETE</v>
      </c>
      <c r="J25" s="17">
        <f>'Necesidades Trimestrales'!H23</f>
        <v>65.833333333333329</v>
      </c>
      <c r="K25" s="19">
        <f>'Necesidades Trimestrales'!G23</f>
        <v>960</v>
      </c>
    </row>
    <row r="26" spans="1:11" ht="42" customHeight="1" x14ac:dyDescent="0.25">
      <c r="A26" s="18" t="s">
        <v>190</v>
      </c>
      <c r="B26" s="15" t="str">
        <f>'Necesidades Trimestrales'!B24</f>
        <v>2.1.1-2868.65</v>
      </c>
      <c r="C26" s="149" t="str">
        <f>'Necesidades Trimestrales'!E24</f>
        <v>FIDEOS SECOS; VARIEDAD: SPAGHETTI VERDES, RELLENO: SIN, PRESENTACION: ENVASE X 5 Kg, MATERIAL ENVASE: PLASTICO 1 (PET), ELEM. TRANSPORTE: SIN, MATERIAL ELEM. TRANSPORTE: SIN, CERTIFICADO FORESTAL (GFS): SIN, LIBRE DE GLUTEN: NO</v>
      </c>
      <c r="D26" s="150"/>
      <c r="E26" s="150"/>
      <c r="F26" s="150"/>
      <c r="G26" s="150"/>
      <c r="H26" s="14" t="s">
        <v>102</v>
      </c>
      <c r="I26" s="16" t="str">
        <f>'Necesidades Trimestrales'!F24</f>
        <v>PAQUETE</v>
      </c>
      <c r="J26" s="17">
        <f>'Necesidades Trimestrales'!H24</f>
        <v>65.833333333333329</v>
      </c>
      <c r="K26" s="19">
        <f>'Necesidades Trimestrales'!G24</f>
        <v>960</v>
      </c>
    </row>
    <row r="27" spans="1:11" ht="42" customHeight="1" x14ac:dyDescent="0.25">
      <c r="A27" s="18" t="s">
        <v>191</v>
      </c>
      <c r="B27" s="15" t="str">
        <f>'Necesidades Trimestrales'!B25</f>
        <v>2.1.1-2868.85</v>
      </c>
      <c r="C27" s="149" t="str">
        <f>'Necesidades Trimestrales'!E25</f>
        <v>FIDEOS SECOS; VARIEDAD: TAGLIATELLE, RELLENO: SIN, PRESENTACION: ENVASE X 500 GR, MATERIAL ENVASE: POLIETILENO, ELEM. TRANSPORTE: SIN, MATERIAL ELEM. TRANSPORTE: SIN, CERTIFICADO FORESTAL (GFS): SIN, LIBRE DE GLUTEN: NO</v>
      </c>
      <c r="D27" s="150"/>
      <c r="E27" s="150"/>
      <c r="F27" s="150"/>
      <c r="G27" s="150"/>
      <c r="H27" s="14" t="s">
        <v>102</v>
      </c>
      <c r="I27" s="16" t="str">
        <f>'Necesidades Trimestrales'!F25</f>
        <v>PAQUETE</v>
      </c>
      <c r="J27" s="17">
        <f>'Necesidades Trimestrales'!H25</f>
        <v>65.833333333333329</v>
      </c>
      <c r="K27" s="19">
        <f>'Necesidades Trimestrales'!G25</f>
        <v>960</v>
      </c>
    </row>
    <row r="28" spans="1:11" ht="42" customHeight="1" x14ac:dyDescent="0.25">
      <c r="A28" s="18" t="s">
        <v>192</v>
      </c>
      <c r="B28" s="15" t="str">
        <f>'Necesidades Trimestrales'!B26</f>
        <v>2.1.1-2868.45</v>
      </c>
      <c r="C28" s="149" t="str">
        <f>'Necesidades Trimestrales'!E26</f>
        <v>FIDEOS SECOS; VARIEDAD: TALLARINES AMARILLOS, RELLENO: SIN, PRESENTACION: ENVASE X 5 Kg, MATERIAL ENVASE: CARTON, ELEM. TRANSPORTE: SIN, MATERIAL ELEM. TRANSPORTE: SIN, CERTIFICADO FORESTAL (GFS): CON, LIBRE DE GLUTEN: NO</v>
      </c>
      <c r="D28" s="150"/>
      <c r="E28" s="150"/>
      <c r="F28" s="150"/>
      <c r="G28" s="150"/>
      <c r="H28" s="14" t="s">
        <v>102</v>
      </c>
      <c r="I28" s="16" t="str">
        <f>'Necesidades Trimestrales'!F26</f>
        <v>PAQUETE</v>
      </c>
      <c r="J28" s="17">
        <f>'Necesidades Trimestrales'!H26</f>
        <v>65.833333333333329</v>
      </c>
      <c r="K28" s="19">
        <f>'Necesidades Trimestrales'!G26</f>
        <v>960</v>
      </c>
    </row>
    <row r="29" spans="1:11" ht="42" customHeight="1" x14ac:dyDescent="0.25">
      <c r="A29" s="18" t="s">
        <v>193</v>
      </c>
      <c r="B29" s="15" t="str">
        <f>'Necesidades Trimestrales'!B27</f>
        <v>2.1.1-2868.53</v>
      </c>
      <c r="C29" s="149" t="str">
        <f>'Necesidades Trimestrales'!E27</f>
        <v>FIDEOS SECOS; VARIEDAD: TIRABUZON, RELLENO: SIN, PRESENTACION: ENVASE X 500 GR, MATERIAL ENVASE: PLASTICO 1 (PET), ELEM. TRANSPORTE: SIN, MATERIAL ELEM. TRANSPORTE: SIN, CERTIFICADO FORESTAL (GFS): SIN, LIBRE DE GLUTEN: NO</v>
      </c>
      <c r="D29" s="150"/>
      <c r="E29" s="150"/>
      <c r="F29" s="150"/>
      <c r="G29" s="150"/>
      <c r="H29" s="14" t="s">
        <v>102</v>
      </c>
      <c r="I29" s="16" t="str">
        <f>'Necesidades Trimestrales'!F27</f>
        <v>PAQUETE</v>
      </c>
      <c r="J29" s="17">
        <f>'Necesidades Trimestrales'!H27</f>
        <v>65.833333333333329</v>
      </c>
      <c r="K29" s="19">
        <f>'Necesidades Trimestrales'!G27</f>
        <v>960</v>
      </c>
    </row>
    <row r="30" spans="1:11" ht="42" customHeight="1" x14ac:dyDescent="0.25">
      <c r="A30" s="18" t="s">
        <v>194</v>
      </c>
      <c r="B30" s="15" t="str">
        <f>'Necesidades Trimestrales'!B28</f>
        <v>2.1.1-435.60</v>
      </c>
      <c r="C30" s="149" t="str">
        <f>'Necesidades Trimestrales'!E28</f>
        <v>ARROZ; TIPO GRANO: LARGO-FINO, TIPO: BLANCO, PROCESO: SIN CASCARA, PRESENTACION: BOLSA X 1 Kg, MATERIAL ENVASE: PLASTICO, CERTIFICADO FORESTAL (GFS): SIN, ELEM. TRANSPORTE: SIN, MATERIAL ELEM. TRANSPORTE: SIN, LIBRE DE GLUTEN: SI</v>
      </c>
      <c r="D30" s="150"/>
      <c r="E30" s="150"/>
      <c r="F30" s="150"/>
      <c r="G30" s="150"/>
      <c r="H30" s="14" t="s">
        <v>102</v>
      </c>
      <c r="I30" s="16" t="str">
        <f>'Necesidades Trimestrales'!F28</f>
        <v>BOLSA</v>
      </c>
      <c r="J30" s="17">
        <f>'Necesidades Trimestrales'!H28</f>
        <v>145</v>
      </c>
      <c r="K30" s="19">
        <f>'Necesidades Trimestrales'!G28</f>
        <v>400</v>
      </c>
    </row>
    <row r="31" spans="1:11" ht="42" customHeight="1" x14ac:dyDescent="0.25">
      <c r="A31" s="18" t="s">
        <v>195</v>
      </c>
      <c r="B31" s="15" t="str">
        <f>'Necesidades Trimestrales'!B29</f>
        <v>2.1.1-482.69</v>
      </c>
      <c r="C31" s="149" t="str">
        <f>'Necesidades Trimestrales'!E29</f>
        <v>HARINAS; TIPO: MAIZ, PRESENTACION: ENVASE X 1 Kg, MATERIAL ENVASE: PAPEL, CERTICADO FORESTAL (GFS): SIN, ELEM. TRANSPORTE: SIN, MATERIAL ELEM. TRANSPORTE: SIN, LIBRE DE GLUTEN: NO</v>
      </c>
      <c r="D31" s="150"/>
      <c r="E31" s="150"/>
      <c r="F31" s="150"/>
      <c r="G31" s="150"/>
      <c r="H31" s="14" t="s">
        <v>102</v>
      </c>
      <c r="I31" s="16" t="str">
        <f>'Necesidades Trimestrales'!F29</f>
        <v>PAQUETE</v>
      </c>
      <c r="J31" s="17">
        <f>'Necesidades Trimestrales'!H29</f>
        <v>99</v>
      </c>
      <c r="K31" s="19">
        <f>'Necesidades Trimestrales'!G29</f>
        <v>162</v>
      </c>
    </row>
    <row r="32" spans="1:11" ht="42" customHeight="1" x14ac:dyDescent="0.25">
      <c r="A32" s="18" t="s">
        <v>196</v>
      </c>
      <c r="B32" s="15" t="str">
        <f>'Necesidades Trimestrales'!B30</f>
        <v>2.1.1-2616.6</v>
      </c>
      <c r="C32" s="149" t="str">
        <f>'Necesidades Trimestrales'!E30</f>
        <v>MAIZ; TIPO: BLANCO, PRESENTACION: PAQUETE X 1 Kg, FORMA DE PRESENTACION: PISADO</v>
      </c>
      <c r="D32" s="150"/>
      <c r="E32" s="150"/>
      <c r="F32" s="150"/>
      <c r="G32" s="150"/>
      <c r="H32" s="14" t="s">
        <v>102</v>
      </c>
      <c r="I32" s="16" t="str">
        <f>'Necesidades Trimestrales'!F30</f>
        <v>PAQUETE</v>
      </c>
      <c r="J32" s="17">
        <f>'Necesidades Trimestrales'!H30</f>
        <v>170</v>
      </c>
      <c r="K32" s="19">
        <f>'Necesidades Trimestrales'!G30</f>
        <v>100</v>
      </c>
    </row>
    <row r="33" spans="1:11" ht="42" customHeight="1" x14ac:dyDescent="0.25">
      <c r="A33" s="18" t="s">
        <v>197</v>
      </c>
      <c r="B33" s="15" t="str">
        <f>'Necesidades Trimestrales'!B31</f>
        <v>2.1.1-6547.56</v>
      </c>
      <c r="C33" s="149" t="str">
        <f>'Necesidades Trimestrales'!E31</f>
        <v>LEGUMBRES; VARIEDAD: POROTO BLANCO OVAL, ESTADO: SECO, PRESENTACION: BOLSA, PESO: 500 GR</v>
      </c>
      <c r="D33" s="150"/>
      <c r="E33" s="150"/>
      <c r="F33" s="150"/>
      <c r="G33" s="150"/>
      <c r="H33" s="14" t="s">
        <v>102</v>
      </c>
      <c r="I33" s="16" t="str">
        <f>'Necesidades Trimestrales'!F31</f>
        <v>BOLSA</v>
      </c>
      <c r="J33" s="17">
        <f>'Necesidades Trimestrales'!H31</f>
        <v>195</v>
      </c>
      <c r="K33" s="19">
        <f>'Necesidades Trimestrales'!G31</f>
        <v>60</v>
      </c>
    </row>
    <row r="34" spans="1:11" ht="42" customHeight="1" x14ac:dyDescent="0.25">
      <c r="A34" s="18" t="s">
        <v>198</v>
      </c>
      <c r="B34" s="15" t="str">
        <f>'Necesidades Trimestrales'!B32</f>
        <v>2.1.1-514.15</v>
      </c>
      <c r="C34" s="149" t="str">
        <f>'Necesidades Trimestrales'!E32</f>
        <v>SAL DE MESA; CONSISTENCIA: GRUESA, ENVASE: BOLSA, PESO: 1 Kg, TIPO: SIN VALOR</v>
      </c>
      <c r="D34" s="150"/>
      <c r="E34" s="150"/>
      <c r="F34" s="150"/>
      <c r="G34" s="150"/>
      <c r="H34" s="14" t="s">
        <v>102</v>
      </c>
      <c r="I34" s="16" t="str">
        <f>'Necesidades Trimestrales'!F32</f>
        <v>BOLSA</v>
      </c>
      <c r="J34" s="17">
        <f>'Necesidades Trimestrales'!H32</f>
        <v>140</v>
      </c>
      <c r="K34" s="19">
        <f>'Necesidades Trimestrales'!G32</f>
        <v>160</v>
      </c>
    </row>
    <row r="35" spans="1:11" ht="42" customHeight="1" x14ac:dyDescent="0.25">
      <c r="A35" s="18" t="s">
        <v>199</v>
      </c>
      <c r="B35" s="15" t="str">
        <f>'Necesidades Trimestrales'!B33</f>
        <v>2.1.1-514.17</v>
      </c>
      <c r="C35" s="149" t="str">
        <f>'Necesidades Trimestrales'!E33</f>
        <v>SAL DE MESA; CONSISTENCIA: FINA, ENVASE: BOLSA, PESO: 1 Kg, TIPO: SIN VALOR</v>
      </c>
      <c r="D35" s="150"/>
      <c r="E35" s="150"/>
      <c r="F35" s="150"/>
      <c r="G35" s="150"/>
      <c r="H35" s="14" t="s">
        <v>102</v>
      </c>
      <c r="I35" s="16" t="str">
        <f>'Necesidades Trimestrales'!F33</f>
        <v>BOLSA</v>
      </c>
      <c r="J35" s="17">
        <f>'Necesidades Trimestrales'!H33</f>
        <v>120</v>
      </c>
      <c r="K35" s="19">
        <f>'Necesidades Trimestrales'!G33</f>
        <v>80</v>
      </c>
    </row>
    <row r="36" spans="1:11" ht="42" customHeight="1" x14ac:dyDescent="0.25">
      <c r="A36" s="18" t="s">
        <v>200</v>
      </c>
      <c r="B36" s="15" t="str">
        <f>'Necesidades Trimestrales'!B34</f>
        <v>2.1.1-482.77</v>
      </c>
      <c r="C36" s="149" t="str">
        <f>'Necesidades Trimestrales'!E34</f>
        <v>HARINAS; TIPO: DE TRIGO 0000, PRESENTACION: ENVASE X 1 Kg, MATERIAL ENVASE: PAPEL, CERTICADO FORESTAL (GFS): SIN, ELEM. TRANSPORTE: SIN, MATERIAL ELEM. TRANSPORTE: SIN, LIBRE DE GLUTEN: NO</v>
      </c>
      <c r="D36" s="150"/>
      <c r="E36" s="150"/>
      <c r="F36" s="150"/>
      <c r="G36" s="150"/>
      <c r="H36" s="14" t="s">
        <v>102</v>
      </c>
      <c r="I36" s="16" t="str">
        <f>'Necesidades Trimestrales'!F34</f>
        <v>PAQUETE</v>
      </c>
      <c r="J36" s="17">
        <f>'Necesidades Trimestrales'!H34</f>
        <v>115</v>
      </c>
      <c r="K36" s="19">
        <f>'Necesidades Trimestrales'!G34</f>
        <v>160</v>
      </c>
    </row>
    <row r="37" spans="1:11" ht="42" customHeight="1" x14ac:dyDescent="0.25">
      <c r="A37" s="18" t="s">
        <v>201</v>
      </c>
      <c r="B37" s="15" t="str">
        <f>'Necesidades Trimestrales'!B35</f>
        <v>2.1.1-482.81</v>
      </c>
      <c r="C37" s="149" t="str">
        <f>'Necesidades Trimestrales'!E35</f>
        <v>HARINAS; TIPO: LEUDANTE, PRESENTACION: ENVASE X 1 Kg, MATERIAL ENVASE: PAPEL, CERTICADO FORESTAL (GFS): SIN, ELEM. TRANSPORTE: SIN, MATERIAL ELEM. TRANSPORTE: SIN, LIBRE DE GLUTEN: NO</v>
      </c>
      <c r="D37" s="150"/>
      <c r="E37" s="150"/>
      <c r="F37" s="150"/>
      <c r="G37" s="150"/>
      <c r="H37" s="14" t="s">
        <v>102</v>
      </c>
      <c r="I37" s="16" t="str">
        <f>'Necesidades Trimestrales'!F35</f>
        <v>PAQUETE</v>
      </c>
      <c r="J37" s="17">
        <f>'Necesidades Trimestrales'!H35</f>
        <v>120</v>
      </c>
      <c r="K37" s="19">
        <f>'Necesidades Trimestrales'!G35</f>
        <v>300</v>
      </c>
    </row>
    <row r="38" spans="1:11" ht="42" customHeight="1" x14ac:dyDescent="0.25">
      <c r="A38" s="18" t="s">
        <v>202</v>
      </c>
      <c r="B38" s="15" t="str">
        <f>'Necesidades Trimestrales'!B36</f>
        <v>2.1.1-6546.4</v>
      </c>
      <c r="C38" s="149" t="str">
        <f>'Necesidades Trimestrales'!E36</f>
        <v>VERDURAS Y HORTALIZAS; VARIEDAD: TOMATE PERITA, ESTADO: TRITURADO, PRESENTACION: BOTELLA, PESO: 950 GR</v>
      </c>
      <c r="D38" s="150"/>
      <c r="E38" s="150"/>
      <c r="F38" s="150"/>
      <c r="G38" s="150"/>
      <c r="H38" s="14" t="s">
        <v>102</v>
      </c>
      <c r="I38" s="16" t="str">
        <f>'Necesidades Trimestrales'!F36</f>
        <v>BOTELLA</v>
      </c>
      <c r="J38" s="17">
        <f>'Necesidades Trimestrales'!H36</f>
        <v>198</v>
      </c>
      <c r="K38" s="19">
        <f>'Necesidades Trimestrales'!G36</f>
        <v>200</v>
      </c>
    </row>
    <row r="39" spans="1:11" ht="42" customHeight="1" x14ac:dyDescent="0.25">
      <c r="A39" s="18" t="s">
        <v>203</v>
      </c>
      <c r="B39" s="15" t="str">
        <f>'Necesidades Trimestrales'!B37</f>
        <v>2.1.1-509.10</v>
      </c>
      <c r="C39" s="149" t="str">
        <f>'Necesidades Trimestrales'!E37</f>
        <v>PURE; TIPO: DE TOMATE, ENVASE: CAJA DE CARTON, PESO: 530 GR</v>
      </c>
      <c r="D39" s="150"/>
      <c r="E39" s="150"/>
      <c r="F39" s="150"/>
      <c r="G39" s="150"/>
      <c r="H39" s="14" t="s">
        <v>102</v>
      </c>
      <c r="I39" s="16" t="str">
        <f>'Necesidades Trimestrales'!F37</f>
        <v>CAJA</v>
      </c>
      <c r="J39" s="17">
        <f>'Necesidades Trimestrales'!H37</f>
        <v>79</v>
      </c>
      <c r="K39" s="19">
        <f>'Necesidades Trimestrales'!G37</f>
        <v>400</v>
      </c>
    </row>
    <row r="40" spans="1:11" ht="42" customHeight="1" x14ac:dyDescent="0.25">
      <c r="A40" s="18" t="s">
        <v>204</v>
      </c>
      <c r="B40" s="15" t="str">
        <f>'Necesidades Trimestrales'!B38</f>
        <v>2.1.1-519.27</v>
      </c>
      <c r="C40" s="149" t="str">
        <f>'Necesidades Trimestrales'!E38</f>
        <v>VINAGRES; TIPO: VINO, PRESENTACION: ENVASE X 1 L, MATERIAL ENVASE: PLASTICO 1 (PET), LIBRE DE GLUTEN: NO</v>
      </c>
      <c r="D40" s="150"/>
      <c r="E40" s="150"/>
      <c r="F40" s="150"/>
      <c r="G40" s="150"/>
      <c r="H40" s="14" t="s">
        <v>102</v>
      </c>
      <c r="I40" s="16" t="str">
        <f>'Necesidades Trimestrales'!F38</f>
        <v>BOTELLA</v>
      </c>
      <c r="J40" s="17">
        <f>'Necesidades Trimestrales'!H38</f>
        <v>115</v>
      </c>
      <c r="K40" s="19">
        <f>'Necesidades Trimestrales'!G38</f>
        <v>100</v>
      </c>
    </row>
    <row r="41" spans="1:11" ht="42" customHeight="1" x14ac:dyDescent="0.25">
      <c r="A41" s="18" t="s">
        <v>205</v>
      </c>
      <c r="B41" s="15" t="str">
        <f>'Necesidades Trimestrales'!B39</f>
        <v>2.1.1-709.6</v>
      </c>
      <c r="C41" s="149" t="str">
        <f>'Necesidades Trimestrales'!E39</f>
        <v>CAFE; ESTADO: MOLIDO, ENVASE: PAQUETE, PROCESO: TORRADO C/AZUCAR, CONTENIDO: 500 GR, TIPO: SIN VALOR, PRESENTACION: ENVASE X 500 GR</v>
      </c>
      <c r="D41" s="150"/>
      <c r="E41" s="150"/>
      <c r="F41" s="150"/>
      <c r="G41" s="150"/>
      <c r="H41" s="14" t="s">
        <v>102</v>
      </c>
      <c r="I41" s="16" t="str">
        <f>'Necesidades Trimestrales'!F39</f>
        <v>PAQUETE</v>
      </c>
      <c r="J41" s="17">
        <f>'Necesidades Trimestrales'!H39</f>
        <v>475</v>
      </c>
      <c r="K41" s="19">
        <f>'Necesidades Trimestrales'!G39</f>
        <v>80</v>
      </c>
    </row>
    <row r="42" spans="1:11" ht="42" customHeight="1" x14ac:dyDescent="0.25">
      <c r="A42" s="18" t="s">
        <v>206</v>
      </c>
      <c r="B42" s="15" t="str">
        <f>'Necesidades Trimestrales'!B40</f>
        <v>2.1.1-2431.13</v>
      </c>
      <c r="C42" s="149" t="str">
        <f>'Necesidades Trimestrales'!E40</f>
        <v>CALDOS; GUSTO: VERDURA, TIPO: DESHIDRATADO, PRESENTACION: ENVASE X 12 UN</v>
      </c>
      <c r="D42" s="150"/>
      <c r="E42" s="150"/>
      <c r="F42" s="150"/>
      <c r="G42" s="150"/>
      <c r="H42" s="14" t="s">
        <v>102</v>
      </c>
      <c r="I42" s="16" t="str">
        <f>'Necesidades Trimestrales'!F40</f>
        <v>CAJA</v>
      </c>
      <c r="J42" s="17">
        <f>'Necesidades Trimestrales'!H40</f>
        <v>145</v>
      </c>
      <c r="K42" s="19">
        <f>'Necesidades Trimestrales'!G40</f>
        <v>40</v>
      </c>
    </row>
    <row r="43" spans="1:11" ht="42" customHeight="1" x14ac:dyDescent="0.25">
      <c r="A43" s="18" t="s">
        <v>207</v>
      </c>
      <c r="B43" s="15" t="str">
        <f>'Necesidades Trimestrales'!B41</f>
        <v>2.1.1-2431.20</v>
      </c>
      <c r="C43" s="149" t="str">
        <f>'Necesidades Trimestrales'!E41</f>
        <v>CALDOS; GUSTO: GALLINA, TIPO: CONCENTRADO, PRESENTACION: ENVASE X 12 CUBOS</v>
      </c>
      <c r="D43" s="150"/>
      <c r="E43" s="150"/>
      <c r="F43" s="150"/>
      <c r="G43" s="150"/>
      <c r="H43" s="14" t="s">
        <v>102</v>
      </c>
      <c r="I43" s="16" t="str">
        <f>'Necesidades Trimestrales'!F41</f>
        <v>CAJA</v>
      </c>
      <c r="J43" s="17">
        <f>'Necesidades Trimestrales'!H41</f>
        <v>145</v>
      </c>
      <c r="K43" s="19">
        <f>'Necesidades Trimestrales'!G41</f>
        <v>40</v>
      </c>
    </row>
    <row r="44" spans="1:11" ht="42" customHeight="1" x14ac:dyDescent="0.25">
      <c r="A44" s="18" t="s">
        <v>208</v>
      </c>
      <c r="B44" s="15" t="str">
        <f>'Necesidades Trimestrales'!B42</f>
        <v>2.1.1-2431.19</v>
      </c>
      <c r="C44" s="149" t="str">
        <f>'Necesidades Trimestrales'!E42</f>
        <v>CALDOS; GUSTO: CARNE, TIPO: CONCENTRADO, PRESENTACION: ENVASE X 12 UN</v>
      </c>
      <c r="D44" s="150"/>
      <c r="E44" s="150"/>
      <c r="F44" s="150"/>
      <c r="G44" s="150"/>
      <c r="H44" s="14" t="s">
        <v>102</v>
      </c>
      <c r="I44" s="16" t="str">
        <f>'Necesidades Trimestrales'!F42</f>
        <v>CAJA</v>
      </c>
      <c r="J44" s="17">
        <f>'Necesidades Trimestrales'!H42</f>
        <v>145</v>
      </c>
      <c r="K44" s="19">
        <f>'Necesidades Trimestrales'!G42</f>
        <v>40</v>
      </c>
    </row>
    <row r="45" spans="1:11" ht="42" customHeight="1" x14ac:dyDescent="0.25">
      <c r="A45" s="18" t="s">
        <v>209</v>
      </c>
      <c r="B45" s="15" t="str">
        <f>'Necesidades Trimestrales'!B43</f>
        <v>2.1.1-6547.13</v>
      </c>
      <c r="C45" s="149" t="str">
        <f>'Necesidades Trimestrales'!E43</f>
        <v>LEGUMBRES; VARIEDAD: ARVEJA, ESTADO: REMOJADO EN CONSERVA, PRESENTACION: LATA, PESO: 380 GR</v>
      </c>
      <c r="D45" s="150"/>
      <c r="E45" s="150"/>
      <c r="F45" s="150"/>
      <c r="G45" s="150"/>
      <c r="H45" s="14" t="s">
        <v>102</v>
      </c>
      <c r="I45" s="16" t="str">
        <f>'Necesidades Trimestrales'!F43</f>
        <v>LATA</v>
      </c>
      <c r="J45" s="17">
        <f>'Necesidades Trimestrales'!H43</f>
        <v>89</v>
      </c>
      <c r="K45" s="19">
        <f>'Necesidades Trimestrales'!G43</f>
        <v>200</v>
      </c>
    </row>
    <row r="46" spans="1:11" ht="42" customHeight="1" x14ac:dyDescent="0.25">
      <c r="A46" s="18" t="s">
        <v>210</v>
      </c>
      <c r="B46" s="15" t="str">
        <f>'Necesidades Trimestrales'!B44</f>
        <v>2.1.1-542.236</v>
      </c>
      <c r="C46" s="149" t="str">
        <f>'Necesidades Trimestrales'!E44</f>
        <v>QUESOS; TIPO: CREMOSO, PRESENTACION: AL PESO, ELEM. TRANSPORTE: SIN, MATERIAL ELEM. TRANSPORTE: SIN, MATERIAL ENVASE: SIN, CERTIFICADO FORESTAL (GFS): SIN, LIBRE DE GLUTEN: A DEFINIR</v>
      </c>
      <c r="D46" s="150"/>
      <c r="E46" s="150"/>
      <c r="F46" s="150"/>
      <c r="G46" s="150"/>
      <c r="H46" s="14" t="s">
        <v>102</v>
      </c>
      <c r="I46" s="16" t="str">
        <f>'Necesidades Trimestrales'!F44</f>
        <v>KILOGRAMOS</v>
      </c>
      <c r="J46" s="17">
        <f>'Necesidades Trimestrales'!H44</f>
        <v>620</v>
      </c>
      <c r="K46" s="19">
        <f>'Necesidades Trimestrales'!G44</f>
        <v>140</v>
      </c>
    </row>
    <row r="47" spans="1:11" ht="42" customHeight="1" x14ac:dyDescent="0.25">
      <c r="A47" s="18" t="s">
        <v>211</v>
      </c>
      <c r="B47" s="15" t="str">
        <f>'Necesidades Trimestrales'!B45</f>
        <v>2.1.1-706.6</v>
      </c>
      <c r="C47" s="149" t="str">
        <f>'Necesidades Trimestrales'!E45</f>
        <v>MATE COCIDO; ENVASE: CAJA CARTON, PRESENTACION: ENSOBRADO, SAQUITOS P/CAJA: 100 UN, PESO X SAQ.: 3 GR</v>
      </c>
      <c r="D47" s="150"/>
      <c r="E47" s="150"/>
      <c r="F47" s="150"/>
      <c r="G47" s="150"/>
      <c r="H47" s="14" t="s">
        <v>102</v>
      </c>
      <c r="I47" s="16" t="str">
        <f>'Necesidades Trimestrales'!F45</f>
        <v>CAJA</v>
      </c>
      <c r="J47" s="17">
        <f>'Necesidades Trimestrales'!H45</f>
        <v>145</v>
      </c>
      <c r="K47" s="19">
        <f>'Necesidades Trimestrales'!G45</f>
        <v>160</v>
      </c>
    </row>
    <row r="48" spans="1:11" ht="42" customHeight="1" x14ac:dyDescent="0.25">
      <c r="A48" s="18" t="s">
        <v>212</v>
      </c>
      <c r="B48" s="15" t="str">
        <f>'Necesidades Trimestrales'!B46</f>
        <v>2.1.1-511.5</v>
      </c>
      <c r="C48" s="149" t="str">
        <f>'Necesidades Trimestrales'!E46</f>
        <v>TE; PRESENTACION: EN SAQUITOS ENSOBRADOS, PESO: SIN VALOR, TIPO: SIN VALOR, SAQUITOS 2G P/CAJA: 50</v>
      </c>
      <c r="D48" s="150"/>
      <c r="E48" s="150"/>
      <c r="F48" s="150"/>
      <c r="G48" s="150"/>
      <c r="H48" s="14" t="s">
        <v>102</v>
      </c>
      <c r="I48" s="16" t="str">
        <f>'Necesidades Trimestrales'!F46</f>
        <v>CAJA</v>
      </c>
      <c r="J48" s="17">
        <f>'Necesidades Trimestrales'!H46</f>
        <v>179</v>
      </c>
      <c r="K48" s="19">
        <f>'Necesidades Trimestrales'!G46</f>
        <v>160</v>
      </c>
    </row>
    <row r="49" spans="1:11" ht="42" customHeight="1" x14ac:dyDescent="0.25">
      <c r="A49" s="18" t="s">
        <v>213</v>
      </c>
      <c r="B49" s="15" t="str">
        <f>'Necesidades Trimestrales'!B47</f>
        <v>2.1.1-709.25</v>
      </c>
      <c r="C49" s="149" t="str">
        <f>'Necesidades Trimestrales'!E47</f>
        <v>CAFE; ENVASE: SAQUITO EN CAJA X 20 SOBRE, CONTENIDO: 7 GR, ESTADO: MOLIDO, PROCESO: TORRADO, TIPO: FUERTE, PRESENTACION: 20 X ENVASE X 7 GR</v>
      </c>
      <c r="D49" s="150"/>
      <c r="E49" s="150"/>
      <c r="F49" s="150"/>
      <c r="G49" s="150"/>
      <c r="H49" s="14" t="s">
        <v>102</v>
      </c>
      <c r="I49" s="16" t="str">
        <f>'Necesidades Trimestrales'!F47</f>
        <v>CAJA</v>
      </c>
      <c r="J49" s="17">
        <f>'Necesidades Trimestrales'!H47</f>
        <v>189</v>
      </c>
      <c r="K49" s="19">
        <f>'Necesidades Trimestrales'!G47</f>
        <v>200</v>
      </c>
    </row>
    <row r="50" spans="1:11" ht="42" customHeight="1" x14ac:dyDescent="0.25">
      <c r="A50" s="18" t="s">
        <v>214</v>
      </c>
      <c r="B50" s="15" t="str">
        <f>'Necesidades Trimestrales'!B48</f>
        <v>2.1.1-2116.1</v>
      </c>
      <c r="C50" s="149" t="str">
        <f>'Necesidades Trimestrales'!E48</f>
        <v>LEVADURAS; TIPO: DE CERVEZA, PRESENTACION: PAQUETE, PESO: 500 GR</v>
      </c>
      <c r="D50" s="150"/>
      <c r="E50" s="150"/>
      <c r="F50" s="150"/>
      <c r="G50" s="150"/>
      <c r="H50" s="14" t="s">
        <v>102</v>
      </c>
      <c r="I50" s="16" t="str">
        <f>'Necesidades Trimestrales'!F48</f>
        <v>PAQUETE</v>
      </c>
      <c r="J50" s="17">
        <f>'Necesidades Trimestrales'!H48</f>
        <v>390</v>
      </c>
      <c r="K50" s="19">
        <f>'Necesidades Trimestrales'!G48</f>
        <v>60</v>
      </c>
    </row>
    <row r="51" spans="1:11" ht="42" customHeight="1" x14ac:dyDescent="0.25">
      <c r="A51" s="18" t="s">
        <v>215</v>
      </c>
      <c r="B51" s="15" t="str">
        <f>'Necesidades Trimestrales'!B49</f>
        <v>2.1.1-705.95</v>
      </c>
      <c r="C51" s="149" t="str">
        <f>'Necesidades Trimestrales'!E49</f>
        <v>LECHE; ESTADO: POLVO, TIPO: DESCREMADA, PROCESO: PASTEURIZADA, AGREGADO: VITAMINAS A Y D, PRESENTACION: ENVASE X 400 GR, MATERIAL ENVASE: CARTON, ELEM. TRANSPORTE: SIN, MATERIAL ELEM. TRANSPORTE: SIN, CERTIFICADO FORESTAL (GFS): SIN, LIBRE DE GLUTEN: NO</v>
      </c>
      <c r="D51" s="150"/>
      <c r="E51" s="150"/>
      <c r="F51" s="150"/>
      <c r="G51" s="150"/>
      <c r="H51" s="14" t="s">
        <v>102</v>
      </c>
      <c r="I51" s="16" t="str">
        <f>'Necesidades Trimestrales'!F49</f>
        <v>CAJA</v>
      </c>
      <c r="J51" s="17">
        <f>'Necesidades Trimestrales'!H49</f>
        <v>410</v>
      </c>
      <c r="K51" s="19">
        <f>'Necesidades Trimestrales'!G49</f>
        <v>140</v>
      </c>
    </row>
    <row r="52" spans="1:11" ht="42" customHeight="1" x14ac:dyDescent="0.25">
      <c r="A52" s="18" t="s">
        <v>216</v>
      </c>
      <c r="B52" s="15" t="str">
        <f>'Necesidades Trimestrales'!B50</f>
        <v>2.1.1-2113.21</v>
      </c>
      <c r="C52" s="149" t="str">
        <f>'Necesidades Trimestrales'!E50</f>
        <v>DULCES; TIPO: BATATA A LA VAINILLA, PRESENTACION: LATA, PESO: 5 Kg</v>
      </c>
      <c r="D52" s="150"/>
      <c r="E52" s="150"/>
      <c r="F52" s="150"/>
      <c r="G52" s="150"/>
      <c r="H52" s="14" t="s">
        <v>102</v>
      </c>
      <c r="I52" s="16" t="str">
        <f>'Necesidades Trimestrales'!F50</f>
        <v>LATA</v>
      </c>
      <c r="J52" s="17">
        <f>'Necesidades Trimestrales'!H50</f>
        <v>590</v>
      </c>
      <c r="K52" s="19">
        <f>'Necesidades Trimestrales'!G50</f>
        <v>100</v>
      </c>
    </row>
    <row r="53" spans="1:11" ht="42" customHeight="1" x14ac:dyDescent="0.25">
      <c r="A53" s="18" t="s">
        <v>217</v>
      </c>
      <c r="B53" s="15" t="str">
        <f>'Necesidades Trimestrales'!B51</f>
        <v>2.1.1-2615.13</v>
      </c>
      <c r="C53" s="149" t="str">
        <f>'Necesidades Trimestrales'!E51</f>
        <v>CACAO; TIPO: AMARGO, PRESENTACION: ENVASE X 500 GR, FORMA DE PRESENTACION: POLVO, MATERIAL ENVASE: CARTON, CERTICADO FORESTAL (GFS): CON</v>
      </c>
      <c r="D53" s="150"/>
      <c r="E53" s="150"/>
      <c r="F53" s="150"/>
      <c r="G53" s="150"/>
      <c r="H53" s="14" t="s">
        <v>102</v>
      </c>
      <c r="I53" s="16" t="str">
        <f>'Necesidades Trimestrales'!F51</f>
        <v>PAQUETE</v>
      </c>
      <c r="J53" s="17">
        <f>'Necesidades Trimestrales'!H51</f>
        <v>290</v>
      </c>
      <c r="K53" s="19">
        <f>'Necesidades Trimestrales'!G51</f>
        <v>160</v>
      </c>
    </row>
    <row r="54" spans="1:11" ht="42" customHeight="1" x14ac:dyDescent="0.25">
      <c r="A54" s="18" t="s">
        <v>218</v>
      </c>
      <c r="B54" s="15" t="str">
        <f>'Necesidades Trimestrales'!B52</f>
        <v>2.1.1-456.22</v>
      </c>
      <c r="C54" s="149" t="str">
        <f>'Necesidades Trimestrales'!E52</f>
        <v>YOGHURT; CAPACIDAD: 1 L, SABOR: FRUTILLA, TIPO: ENTERO, ENVASE: SACHET, AGREGADO: SIN VALOR, CONSISTENCIA: BEBIBLE, PRESENTACION: SACHET X 1 L</v>
      </c>
      <c r="D54" s="150"/>
      <c r="E54" s="150"/>
      <c r="F54" s="150"/>
      <c r="G54" s="150"/>
      <c r="H54" s="14" t="s">
        <v>102</v>
      </c>
      <c r="I54" s="16" t="str">
        <f>'Necesidades Trimestrales'!F52</f>
        <v>SACHET</v>
      </c>
      <c r="J54" s="17">
        <f>'Necesidades Trimestrales'!H52</f>
        <v>170</v>
      </c>
      <c r="K54" s="19">
        <f>'Necesidades Trimestrales'!G52</f>
        <v>400</v>
      </c>
    </row>
    <row r="55" spans="1:11" ht="42" customHeight="1" x14ac:dyDescent="0.25">
      <c r="A55" s="18" t="s">
        <v>219</v>
      </c>
      <c r="B55" s="15" t="str">
        <f>'Necesidades Trimestrales'!B53</f>
        <v>2.1.1-3438.2</v>
      </c>
      <c r="C55" s="149" t="str">
        <f>'Necesidades Trimestrales'!E53</f>
        <v>CEREALES EN COPOS; VARIEDAD: SIN AZUCAR, TIPO: COPOS, PRESENTACION: ENVASE X 400 GR</v>
      </c>
      <c r="D55" s="150"/>
      <c r="E55" s="150"/>
      <c r="F55" s="150"/>
      <c r="G55" s="150"/>
      <c r="H55" s="14" t="s">
        <v>102</v>
      </c>
      <c r="I55" s="16" t="str">
        <f>'Necesidades Trimestrales'!F53</f>
        <v>PAQUETE</v>
      </c>
      <c r="J55" s="17">
        <f>'Necesidades Trimestrales'!H53</f>
        <v>132</v>
      </c>
      <c r="K55" s="19">
        <f>'Necesidades Trimestrales'!G53</f>
        <v>300</v>
      </c>
    </row>
    <row r="56" spans="1:11" ht="42" customHeight="1" x14ac:dyDescent="0.25">
      <c r="A56" s="18" t="s">
        <v>220</v>
      </c>
      <c r="B56" s="15" t="str">
        <f>'Necesidades Trimestrales'!B54</f>
        <v>2.1.1-621.13</v>
      </c>
      <c r="C56" s="149" t="str">
        <f>'Necesidades Trimestrales'!E54</f>
        <v>AVES; ESPECIE: POLLO, PRESENTACION: CAJON X 8 UN, EVISCERADO: SIN VALOR, TIPO: POLLO</v>
      </c>
      <c r="D56" s="150"/>
      <c r="E56" s="150"/>
      <c r="F56" s="150"/>
      <c r="G56" s="150"/>
      <c r="H56" s="14" t="s">
        <v>102</v>
      </c>
      <c r="I56" s="16" t="str">
        <f>'Necesidades Trimestrales'!F54</f>
        <v>CAJON</v>
      </c>
      <c r="J56" s="17">
        <f>'Necesidades Trimestrales'!H54</f>
        <v>3200</v>
      </c>
      <c r="K56" s="19">
        <f>'Necesidades Trimestrales'!G54</f>
        <v>160</v>
      </c>
    </row>
    <row r="57" spans="1:11" ht="42" customHeight="1" x14ac:dyDescent="0.25">
      <c r="A57" s="18" t="s">
        <v>221</v>
      </c>
      <c r="B57" s="15" t="str">
        <f>'Necesidades Trimestrales'!B55</f>
        <v>2.1.1-541.176</v>
      </c>
      <c r="C57" s="149" t="str">
        <f>'Necesidades Trimestrales'!E55</f>
        <v>CARNES; TIPO: VACUNA, CORTE: CUARTO TRASERO</v>
      </c>
      <c r="D57" s="150"/>
      <c r="E57" s="150"/>
      <c r="F57" s="150"/>
      <c r="G57" s="150"/>
      <c r="H57" s="14" t="s">
        <v>102</v>
      </c>
      <c r="I57" s="16" t="str">
        <f>'Necesidades Trimestrales'!F55</f>
        <v>KILOGRAMOS</v>
      </c>
      <c r="J57" s="17">
        <f>'Necesidades Trimestrales'!H55</f>
        <v>630</v>
      </c>
      <c r="K57" s="19">
        <f>'Necesidades Trimestrales'!G55</f>
        <v>1836</v>
      </c>
    </row>
    <row r="58" spans="1:11" ht="42" customHeight="1" x14ac:dyDescent="0.25">
      <c r="A58" s="18" t="s">
        <v>222</v>
      </c>
      <c r="B58" s="15" t="str">
        <f>'Necesidades Trimestrales'!B56</f>
        <v>2.1.1-483.37</v>
      </c>
      <c r="C58" s="149" t="str">
        <f>'Necesidades Trimestrales'!E56</f>
        <v>HUEVO DE GALLINA; TAMAÑO: GRANDE, COLOR: COLOR, PRESENTACION: 30 UN</v>
      </c>
      <c r="D58" s="150"/>
      <c r="E58" s="150"/>
      <c r="F58" s="150"/>
      <c r="G58" s="150"/>
      <c r="H58" s="14" t="s">
        <v>102</v>
      </c>
      <c r="I58" s="16" t="str">
        <f>'Necesidades Trimestrales'!F56</f>
        <v>UNIDAD</v>
      </c>
      <c r="J58" s="17">
        <f>'Necesidades Trimestrales'!H56</f>
        <v>490</v>
      </c>
      <c r="K58" s="19">
        <f>'Necesidades Trimestrales'!G56</f>
        <v>100</v>
      </c>
    </row>
    <row r="59" spans="1:11" ht="42" customHeight="1" x14ac:dyDescent="0.25">
      <c r="A59" s="18" t="s">
        <v>223</v>
      </c>
      <c r="B59" s="15" t="str">
        <f>'Necesidades Trimestrales'!B57</f>
        <v>2.1.1-6546.108</v>
      </c>
      <c r="C59" s="149" t="str">
        <f>'Necesidades Trimestrales'!E57</f>
        <v>VERDURAS Y HORTALIZAS; VARIEDAD: PAPA NEGRA, ESTADO: NATURAL, PRESENTACION: BOLSA, PESO: 10 Kg</v>
      </c>
      <c r="D59" s="150"/>
      <c r="E59" s="150"/>
      <c r="F59" s="150"/>
      <c r="G59" s="150"/>
      <c r="H59" s="14" t="s">
        <v>102</v>
      </c>
      <c r="I59" s="16" t="str">
        <f>'Necesidades Trimestrales'!F57</f>
        <v>BOLSA</v>
      </c>
      <c r="J59" s="17">
        <f>'Necesidades Trimestrales'!H57</f>
        <v>950</v>
      </c>
      <c r="K59" s="19">
        <f>'Necesidades Trimestrales'!G57</f>
        <v>200</v>
      </c>
    </row>
    <row r="60" spans="1:11" ht="42" customHeight="1" x14ac:dyDescent="0.25">
      <c r="A60" s="18" t="s">
        <v>224</v>
      </c>
      <c r="B60" s="15" t="str">
        <f>'Necesidades Trimestrales'!B58</f>
        <v>2.1.1-6546.236</v>
      </c>
      <c r="C60" s="149" t="str">
        <f>'Necesidades Trimestrales'!E58</f>
        <v>VERDURAS Y HORTALIZAS; VARIEDAD: CEBOLLA, ESTADO: NATURAL, PRESENTACION: BOLSA, PESO: 20 Kg</v>
      </c>
      <c r="D60" s="150"/>
      <c r="E60" s="150"/>
      <c r="F60" s="150"/>
      <c r="G60" s="150"/>
      <c r="H60" s="14" t="s">
        <v>102</v>
      </c>
      <c r="I60" s="16" t="str">
        <f>'Necesidades Trimestrales'!F58</f>
        <v>BOLSA</v>
      </c>
      <c r="J60" s="17">
        <f>'Necesidades Trimestrales'!H58</f>
        <v>1500</v>
      </c>
      <c r="K60" s="19">
        <f>'Necesidades Trimestrales'!G58</f>
        <v>100</v>
      </c>
    </row>
    <row r="61" spans="1:11" ht="42" customHeight="1" x14ac:dyDescent="0.25">
      <c r="A61" s="18" t="s">
        <v>225</v>
      </c>
      <c r="B61" s="15" t="str">
        <f>'Necesidades Trimestrales'!B59</f>
        <v>2.1.1-6546.167</v>
      </c>
      <c r="C61" s="149" t="str">
        <f>'Necesidades Trimestrales'!E59</f>
        <v>VERDURAS Y HORTALIZAS; VARIEDAD: ZANAHORIA, PRESENTACION: BOLSA, ESTADO: NATURAL, PESO: 20 Kg</v>
      </c>
      <c r="D61" s="150"/>
      <c r="E61" s="150"/>
      <c r="F61" s="150"/>
      <c r="G61" s="150"/>
      <c r="H61" s="14" t="s">
        <v>102</v>
      </c>
      <c r="I61" s="16" t="str">
        <f>'Necesidades Trimestrales'!F59</f>
        <v>BOLSA</v>
      </c>
      <c r="J61" s="17">
        <f>'Necesidades Trimestrales'!H59</f>
        <v>1500</v>
      </c>
      <c r="K61" s="19">
        <f>'Necesidades Trimestrales'!G59</f>
        <v>60</v>
      </c>
    </row>
    <row r="62" spans="1:11" ht="42" customHeight="1" x14ac:dyDescent="0.25">
      <c r="A62" s="18" t="s">
        <v>226</v>
      </c>
      <c r="B62" s="15" t="str">
        <f>'Necesidades Trimestrales'!B60</f>
        <v>2.1.1-6546.18</v>
      </c>
      <c r="C62" s="149" t="str">
        <f>'Necesidades Trimestrales'!E60</f>
        <v>VERDURAS Y HORTALIZAS; VARIEDAD: TOMATE REDONDO, ESTADO: NATURAL, PRESENTACION: CAJON, PESO: 10 Kg</v>
      </c>
      <c r="D62" s="150"/>
      <c r="E62" s="150"/>
      <c r="F62" s="150"/>
      <c r="G62" s="150"/>
      <c r="H62" s="14" t="s">
        <v>102</v>
      </c>
      <c r="I62" s="16" t="str">
        <f>'Necesidades Trimestrales'!F60</f>
        <v>CAJON</v>
      </c>
      <c r="J62" s="17">
        <f>'Necesidades Trimestrales'!H60</f>
        <v>1600</v>
      </c>
      <c r="K62" s="19">
        <f>'Necesidades Trimestrales'!G60</f>
        <v>80</v>
      </c>
    </row>
    <row r="63" spans="1:11" ht="42" customHeight="1" x14ac:dyDescent="0.25">
      <c r="A63" s="18" t="s">
        <v>227</v>
      </c>
      <c r="B63" s="15" t="str">
        <f>'Necesidades Trimestrales'!B61</f>
        <v>2.1.1-6546.95</v>
      </c>
      <c r="C63" s="149" t="str">
        <f>'Necesidades Trimestrales'!E61</f>
        <v>VERDURAS Y HORTALIZAS; VARIEDAD: MORRON VERDE, ESTADO: NATURAL, PRESENTACION: GRANEL, PESO: SIN VALOR</v>
      </c>
      <c r="D63" s="150"/>
      <c r="E63" s="150"/>
      <c r="F63" s="150"/>
      <c r="G63" s="150"/>
      <c r="H63" s="14" t="s">
        <v>102</v>
      </c>
      <c r="I63" s="16" t="str">
        <f>'Necesidades Trimestrales'!F61</f>
        <v>KILOGRAMOS</v>
      </c>
      <c r="J63" s="17">
        <f>'Necesidades Trimestrales'!H61</f>
        <v>110</v>
      </c>
      <c r="K63" s="19">
        <f>'Necesidades Trimestrales'!G61</f>
        <v>600</v>
      </c>
    </row>
    <row r="64" spans="1:11" ht="42" customHeight="1" x14ac:dyDescent="0.25">
      <c r="A64" s="18" t="s">
        <v>228</v>
      </c>
      <c r="B64" s="15" t="str">
        <f>'Necesidades Trimestrales'!B62</f>
        <v>2.1.1-6546.151</v>
      </c>
      <c r="C64" s="149" t="str">
        <f>'Necesidades Trimestrales'!E62</f>
        <v>VERDURAS Y HORTALIZAS; VARIEDAD: ZAPALLITO REDONDO, ESTADO: NATURAL, PRESENTACION: CAJON, PESO: SIN VALOR</v>
      </c>
      <c r="D64" s="150"/>
      <c r="E64" s="150"/>
      <c r="F64" s="150"/>
      <c r="G64" s="150"/>
      <c r="H64" s="14" t="s">
        <v>102</v>
      </c>
      <c r="I64" s="16" t="str">
        <f>'Necesidades Trimestrales'!F62</f>
        <v>CAJON</v>
      </c>
      <c r="J64" s="17">
        <f>'Necesidades Trimestrales'!H62</f>
        <v>1500</v>
      </c>
      <c r="K64" s="19">
        <f>'Necesidades Trimestrales'!G62</f>
        <v>40</v>
      </c>
    </row>
    <row r="65" spans="1:1024" ht="42" customHeight="1" x14ac:dyDescent="0.25">
      <c r="A65" s="18" t="s">
        <v>229</v>
      </c>
      <c r="B65" s="15" t="str">
        <f>'Necesidades Trimestrales'!B63</f>
        <v>2.1.1-6546.188</v>
      </c>
      <c r="C65" s="149" t="str">
        <f>'Necesidades Trimestrales'!E63</f>
        <v>VERDURAS Y HORTALIZAS; ESTADO: NATURAL, PRESENTACION: GRANEL, PESO: SIN VALOR, VARIEDAD: ZAPALLO CRIOLLO</v>
      </c>
      <c r="D65" s="150"/>
      <c r="E65" s="150"/>
      <c r="F65" s="150"/>
      <c r="G65" s="150"/>
      <c r="H65" s="14" t="s">
        <v>102</v>
      </c>
      <c r="I65" s="16" t="str">
        <f>'Necesidades Trimestrales'!F63</f>
        <v>KILOGRAMOS</v>
      </c>
      <c r="J65" s="17">
        <f>'Necesidades Trimestrales'!H63</f>
        <v>220</v>
      </c>
      <c r="K65" s="19">
        <f>'Necesidades Trimestrales'!G63</f>
        <v>162</v>
      </c>
    </row>
    <row r="66" spans="1:1024" ht="42" customHeight="1" x14ac:dyDescent="0.25">
      <c r="A66" s="18" t="s">
        <v>230</v>
      </c>
      <c r="B66" s="15" t="str">
        <f>'Necesidades Trimestrales'!B64</f>
        <v>2.1.1-6546.34</v>
      </c>
      <c r="C66" s="149" t="str">
        <f>'Necesidades Trimestrales'!E64</f>
        <v>VERDURAS Y HORTALIZAS; VARIEDAD: ACELGA, ESTADO: EN HOJA, PRESENTACION: ATADO, PESO: SIN VALOR</v>
      </c>
      <c r="D66" s="150"/>
      <c r="E66" s="150"/>
      <c r="F66" s="150"/>
      <c r="G66" s="150"/>
      <c r="H66" s="14" t="s">
        <v>102</v>
      </c>
      <c r="I66" s="16" t="str">
        <f>'Necesidades Trimestrales'!F64</f>
        <v>ATADO</v>
      </c>
      <c r="J66" s="17">
        <f>'Necesidades Trimestrales'!H64</f>
        <v>60</v>
      </c>
      <c r="K66" s="19">
        <f>'Necesidades Trimestrales'!G64</f>
        <v>100</v>
      </c>
    </row>
    <row r="67" spans="1:1024" ht="42" customHeight="1" x14ac:dyDescent="0.25">
      <c r="A67" s="18" t="s">
        <v>231</v>
      </c>
      <c r="B67" s="15" t="str">
        <f>'Necesidades Trimestrales'!B65</f>
        <v>2.1.1-6546.132</v>
      </c>
      <c r="C67" s="149" t="str">
        <f>'Necesidades Trimestrales'!E65</f>
        <v>VERDURAS Y HORTALIZAS; VARIEDAD: PEREJIL, ESTADO: NATURAL, PRESENTACION: GRANEL, PESO: SIN VALOR</v>
      </c>
      <c r="D67" s="150"/>
      <c r="E67" s="150"/>
      <c r="F67" s="150"/>
      <c r="G67" s="150"/>
      <c r="H67" s="14" t="s">
        <v>102</v>
      </c>
      <c r="I67" s="16" t="str">
        <f>'Necesidades Trimestrales'!F65</f>
        <v>KILOGRAMOS</v>
      </c>
      <c r="J67" s="17">
        <f>'Necesidades Trimestrales'!H65</f>
        <v>600</v>
      </c>
      <c r="K67" s="19">
        <f>'Necesidades Trimestrales'!G65</f>
        <v>10</v>
      </c>
    </row>
    <row r="68" spans="1:1024" ht="42" customHeight="1" x14ac:dyDescent="0.25">
      <c r="A68" s="18" t="s">
        <v>232</v>
      </c>
      <c r="B68" s="15" t="str">
        <f>'Necesidades Trimestrales'!B66</f>
        <v>2.1.1-6546.169</v>
      </c>
      <c r="C68" s="149" t="str">
        <f>'Necesidades Trimestrales'!E66</f>
        <v>VERDURAS Y HORTALIZAS; VARIEDAD: ESPINACA, PRESENTACION: ATADO, ESTADO: NATURAL, PESO: SIN VALOR</v>
      </c>
      <c r="D68" s="150"/>
      <c r="E68" s="150"/>
      <c r="F68" s="150"/>
      <c r="G68" s="150"/>
      <c r="H68" s="14" t="s">
        <v>102</v>
      </c>
      <c r="I68" s="16" t="str">
        <f>'Necesidades Trimestrales'!F66</f>
        <v>ATADO</v>
      </c>
      <c r="J68" s="17">
        <f>'Necesidades Trimestrales'!H66</f>
        <v>60</v>
      </c>
      <c r="K68" s="19">
        <f>'Necesidades Trimestrales'!G66</f>
        <v>100</v>
      </c>
    </row>
    <row r="69" spans="1:1024" ht="42" customHeight="1" x14ac:dyDescent="0.25">
      <c r="A69" s="18" t="s">
        <v>233</v>
      </c>
      <c r="B69" s="15" t="str">
        <f>'Necesidades Trimestrales'!B67</f>
        <v>2.1.1-6546.47</v>
      </c>
      <c r="C69" s="149" t="str">
        <f>'Necesidades Trimestrales'!E67</f>
        <v>VERDURAS Y HORTALIZAS; VARIEDAD: CEBOLLA DE VERDEO, ESTADO: NATURAL, PRESENTACION: GRANEL, PESO: SIN VALOR</v>
      </c>
      <c r="D69" s="150"/>
      <c r="E69" s="150"/>
      <c r="F69" s="150"/>
      <c r="G69" s="150"/>
      <c r="H69" s="14" t="s">
        <v>102</v>
      </c>
      <c r="I69" s="16" t="str">
        <f>'Necesidades Trimestrales'!F67</f>
        <v>KILOGRAMOS</v>
      </c>
      <c r="J69" s="17">
        <f>'Necesidades Trimestrales'!H67</f>
        <v>180</v>
      </c>
      <c r="K69" s="19">
        <f>'Necesidades Trimestrales'!G67</f>
        <v>34</v>
      </c>
    </row>
    <row r="70" spans="1:1024" ht="42" customHeight="1" x14ac:dyDescent="0.25">
      <c r="A70" s="18" t="s">
        <v>234</v>
      </c>
      <c r="B70" s="15" t="str">
        <f>'Necesidades Trimestrales'!B68</f>
        <v>2.1.1-6546.54</v>
      </c>
      <c r="C70" s="149" t="str">
        <f>'Necesidades Trimestrales'!E68</f>
        <v>VERDURAS Y HORTALIZAS; VARIEDAD: CHOCLO, ESTADO: NATURAL, PRESENTACION: GRANEL, PESO: SIN VALOR</v>
      </c>
      <c r="D70" s="150"/>
      <c r="E70" s="150"/>
      <c r="F70" s="150"/>
      <c r="G70" s="150"/>
      <c r="H70" s="14" t="s">
        <v>102</v>
      </c>
      <c r="I70" s="16" t="str">
        <f>'Necesidades Trimestrales'!F68</f>
        <v>DOCENA</v>
      </c>
      <c r="J70" s="17">
        <f>'Necesidades Trimestrales'!H68</f>
        <v>900</v>
      </c>
      <c r="K70" s="19">
        <f>'Necesidades Trimestrales'!G68</f>
        <v>80</v>
      </c>
    </row>
    <row r="71" spans="1:1024" ht="42" customHeight="1" x14ac:dyDescent="0.25">
      <c r="A71" s="18" t="s">
        <v>235</v>
      </c>
      <c r="B71" s="15" t="str">
        <f>'Necesidades Trimestrales'!B69</f>
        <v>2.1.1-6546.153</v>
      </c>
      <c r="C71" s="149" t="str">
        <f>'Necesidades Trimestrales'!E69</f>
        <v>VERDURAS Y HORTALIZAS; VARIEDAD: AJO, ESTADO: NATURAL, PRESENTACION: RISTRA, PESO: SIN VALOR</v>
      </c>
      <c r="D71" s="150"/>
      <c r="E71" s="150"/>
      <c r="F71" s="150"/>
      <c r="G71" s="150"/>
      <c r="H71" s="14" t="s">
        <v>102</v>
      </c>
      <c r="I71" s="16" t="str">
        <f>'Necesidades Trimestrales'!F69</f>
        <v>UNIDAD</v>
      </c>
      <c r="J71" s="17">
        <f>'Necesidades Trimestrales'!H69</f>
        <v>4900</v>
      </c>
      <c r="K71" s="19">
        <f>'Necesidades Trimestrales'!G69</f>
        <v>12</v>
      </c>
    </row>
    <row r="72" spans="1:1024" ht="42" customHeight="1" x14ac:dyDescent="0.25">
      <c r="A72" s="18" t="s">
        <v>236</v>
      </c>
      <c r="B72" s="15" t="str">
        <f>'Necesidades Trimestrales'!B70</f>
        <v>2.1.1-6539.30</v>
      </c>
      <c r="C72" s="149" t="str">
        <f>'Necesidades Trimestrales'!E70</f>
        <v>FRUTAS; VARIEDAD: BANANA, PRESENTACION: CAJON, ESTADO: NATURAL, PESO: SIN VALOR</v>
      </c>
      <c r="D72" s="150"/>
      <c r="E72" s="150"/>
      <c r="F72" s="150"/>
      <c r="G72" s="150"/>
      <c r="H72" s="14" t="s">
        <v>102</v>
      </c>
      <c r="I72" s="16" t="str">
        <f>'Necesidades Trimestrales'!F70</f>
        <v>CAJON</v>
      </c>
      <c r="J72" s="17">
        <f>'Necesidades Trimestrales'!H70</f>
        <v>3200</v>
      </c>
      <c r="K72" s="19">
        <f>'Necesidades Trimestrales'!G70</f>
        <v>20</v>
      </c>
    </row>
    <row r="73" spans="1:1024" ht="42" customHeight="1" x14ac:dyDescent="0.25">
      <c r="A73" s="18" t="s">
        <v>237</v>
      </c>
      <c r="B73" s="15" t="str">
        <f>'Necesidades Trimestrales'!B71</f>
        <v>2.1.1-6539.160</v>
      </c>
      <c r="C73" s="149" t="str">
        <f>'Necesidades Trimestrales'!E71</f>
        <v>FRUTAS; VARIEDAD: MANZANA, ESTADO: NATURAL, PRESENTACION: ENVASE X 20 Kg</v>
      </c>
      <c r="D73" s="150"/>
      <c r="E73" s="150"/>
      <c r="F73" s="150"/>
      <c r="G73" s="150"/>
      <c r="H73" s="14" t="s">
        <v>102</v>
      </c>
      <c r="I73" s="16" t="str">
        <f>'Necesidades Trimestrales'!F71</f>
        <v>CAJON</v>
      </c>
      <c r="J73" s="17">
        <f>'Necesidades Trimestrales'!H71</f>
        <v>4600</v>
      </c>
      <c r="K73" s="19">
        <f>'Necesidades Trimestrales'!G71</f>
        <v>16</v>
      </c>
    </row>
    <row r="74" spans="1:1024" ht="42" customHeight="1" x14ac:dyDescent="0.25">
      <c r="A74" s="18" t="s">
        <v>238</v>
      </c>
      <c r="B74" s="15" t="str">
        <f>'Necesidades Trimestrales'!B72</f>
        <v>2.1.1-6539.8</v>
      </c>
      <c r="C74" s="149" t="str">
        <f>'Necesidades Trimestrales'!E72</f>
        <v>FRUTAS; VARIEDAD: NARANJA ESPECIAL, ESTADO: NATURAL, PRESENTACION: CAJON, PESO: SIN VALOR</v>
      </c>
      <c r="D74" s="150"/>
      <c r="E74" s="150"/>
      <c r="F74" s="150"/>
      <c r="G74" s="150"/>
      <c r="H74" s="14" t="s">
        <v>102</v>
      </c>
      <c r="I74" s="16" t="str">
        <f>'Necesidades Trimestrales'!F72</f>
        <v>CAJON</v>
      </c>
      <c r="J74" s="17">
        <f>'Necesidades Trimestrales'!H72</f>
        <v>1900</v>
      </c>
      <c r="K74" s="19">
        <f>'Necesidades Trimestrales'!G72</f>
        <v>40</v>
      </c>
    </row>
    <row r="75" spans="1:1024" ht="42" customHeight="1" thickBot="1" x14ac:dyDescent="0.3">
      <c r="A75" s="20" t="s">
        <v>239</v>
      </c>
      <c r="B75" s="21" t="str">
        <f>'Necesidades Trimestrales'!B73</f>
        <v>2.1.1-6539.157</v>
      </c>
      <c r="C75" s="158" t="str">
        <f>'Necesidades Trimestrales'!E73</f>
        <v>FRUTAS; VARIEDAD: PERA, ESTADO: NATURAL, PRESENTACION: ENVASE X 20 Kg</v>
      </c>
      <c r="D75" s="159"/>
      <c r="E75" s="159"/>
      <c r="F75" s="159"/>
      <c r="G75" s="159"/>
      <c r="H75" s="22" t="s">
        <v>102</v>
      </c>
      <c r="I75" s="23" t="str">
        <f>'Necesidades Trimestrales'!F73</f>
        <v>CAJON</v>
      </c>
      <c r="J75" s="24">
        <f>'Necesidades Trimestrales'!H73</f>
        <v>3200</v>
      </c>
      <c r="K75" s="25">
        <f>'Necesidades Trimestrales'!G73</f>
        <v>20</v>
      </c>
    </row>
    <row r="76" spans="1:1024" ht="18" thickBot="1" x14ac:dyDescent="0.3">
      <c r="A76" s="140" t="s">
        <v>286</v>
      </c>
      <c r="B76" s="140"/>
      <c r="C76" s="140"/>
      <c r="D76" s="140"/>
      <c r="E76" s="140"/>
      <c r="F76" s="140"/>
      <c r="G76" s="140"/>
      <c r="H76" s="140"/>
      <c r="I76" s="140"/>
      <c r="J76" s="141">
        <f>SUMPRODUCT(+J12:J75,K12:K75)</f>
        <v>4950118</v>
      </c>
      <c r="K76" s="14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</row>
  </sheetData>
  <mergeCells count="86">
    <mergeCell ref="C74:G74"/>
    <mergeCell ref="C75:G75"/>
    <mergeCell ref="C68:G68"/>
    <mergeCell ref="C69:G69"/>
    <mergeCell ref="C70:G70"/>
    <mergeCell ref="C71:G71"/>
    <mergeCell ref="C72:G72"/>
    <mergeCell ref="C64:G64"/>
    <mergeCell ref="C65:G65"/>
    <mergeCell ref="C66:G66"/>
    <mergeCell ref="C67:G67"/>
    <mergeCell ref="C73:G73"/>
    <mergeCell ref="C59:G59"/>
    <mergeCell ref="C60:G60"/>
    <mergeCell ref="C61:G61"/>
    <mergeCell ref="C62:G62"/>
    <mergeCell ref="C63:G63"/>
    <mergeCell ref="C54:G54"/>
    <mergeCell ref="C55:G55"/>
    <mergeCell ref="C56:G56"/>
    <mergeCell ref="C57:G57"/>
    <mergeCell ref="C58:G58"/>
    <mergeCell ref="C40:G40"/>
    <mergeCell ref="C41:G41"/>
    <mergeCell ref="C42:G42"/>
    <mergeCell ref="C43:G43"/>
    <mergeCell ref="C53:G53"/>
    <mergeCell ref="C17:G17"/>
    <mergeCell ref="C18:G18"/>
    <mergeCell ref="C29:G29"/>
    <mergeCell ref="C48:G48"/>
    <mergeCell ref="C45:G45"/>
    <mergeCell ref="C46:G46"/>
    <mergeCell ref="C47:G47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14:G14"/>
    <mergeCell ref="C15:G15"/>
    <mergeCell ref="C16:G16"/>
    <mergeCell ref="C49:G49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39:G39"/>
    <mergeCell ref="C44:G4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76:I76"/>
    <mergeCell ref="J76:K76"/>
    <mergeCell ref="D8:K8"/>
    <mergeCell ref="A10:A11"/>
    <mergeCell ref="B10:B11"/>
    <mergeCell ref="C10:G11"/>
    <mergeCell ref="H10:H11"/>
    <mergeCell ref="I10:I11"/>
    <mergeCell ref="J10:J11"/>
    <mergeCell ref="K10:K11"/>
    <mergeCell ref="C50:G50"/>
    <mergeCell ref="C51:G51"/>
    <mergeCell ref="C52:G52"/>
    <mergeCell ref="A8:C8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zoomScale="130" zoomScaleNormal="130" workbookViewId="0">
      <selection activeCell="A21" sqref="A21"/>
    </sheetView>
  </sheetViews>
  <sheetFormatPr baseColWidth="10" defaultColWidth="11" defaultRowHeight="13.5" x14ac:dyDescent="0.25"/>
  <cols>
    <col min="1" max="5" width="4.42578125" style="1" customWidth="1"/>
    <col min="6" max="6" width="8.5703125" style="1" customWidth="1"/>
    <col min="7" max="7" width="4.42578125" style="103" customWidth="1"/>
    <col min="8" max="14" width="4.42578125" style="1" customWidth="1"/>
    <col min="15" max="16" width="14.85546875" style="1" customWidth="1"/>
    <col min="17" max="17" width="14.7109375" style="1" customWidth="1"/>
    <col min="18" max="16384" width="11" style="1"/>
  </cols>
  <sheetData>
    <row r="1" spans="1:17" ht="15.75" customHeight="1" x14ac:dyDescent="0.25">
      <c r="A1" s="190" t="s">
        <v>3</v>
      </c>
      <c r="B1" s="190"/>
      <c r="C1" s="190"/>
      <c r="D1" s="191">
        <f>'Necesidades Trimestrales'!C6</f>
        <v>2021</v>
      </c>
      <c r="E1" s="191"/>
      <c r="F1" s="101"/>
      <c r="G1" s="101"/>
      <c r="H1" s="102"/>
      <c r="I1" s="102"/>
      <c r="J1" s="102"/>
      <c r="K1" s="102"/>
      <c r="L1" s="102"/>
      <c r="M1" s="102"/>
      <c r="N1" s="102"/>
      <c r="P1" s="192" t="s">
        <v>31</v>
      </c>
      <c r="Q1" s="192"/>
    </row>
    <row r="2" spans="1:17" ht="15.75" customHeight="1" x14ac:dyDescent="0.25">
      <c r="H2" s="102"/>
      <c r="I2" s="102"/>
      <c r="J2" s="102"/>
      <c r="K2" s="102"/>
      <c r="L2" s="102"/>
      <c r="M2" s="102"/>
      <c r="N2" s="102"/>
      <c r="P2" s="192"/>
      <c r="Q2" s="192"/>
    </row>
    <row r="4" spans="1:17" ht="18" customHeight="1" thickBot="1" x14ac:dyDescent="0.35">
      <c r="A4" s="193" t="s">
        <v>32</v>
      </c>
      <c r="B4" s="193"/>
      <c r="C4" s="193"/>
      <c r="D4" s="193"/>
      <c r="E4" s="193"/>
      <c r="F4" s="193"/>
      <c r="G4" s="185" t="str">
        <f>' NotaPedido'!D3</f>
        <v>90 - Ministerio de Seguridad</v>
      </c>
      <c r="H4" s="185"/>
      <c r="I4" s="185"/>
      <c r="J4" s="185"/>
      <c r="K4" s="185"/>
      <c r="L4" s="185"/>
      <c r="M4" s="185"/>
      <c r="N4" s="185"/>
      <c r="O4" s="185"/>
      <c r="P4" s="185"/>
      <c r="Q4" s="185"/>
    </row>
    <row r="5" spans="1:17" ht="18" customHeight="1" thickBot="1" x14ac:dyDescent="0.35">
      <c r="A5" s="182" t="s">
        <v>55</v>
      </c>
      <c r="B5" s="183"/>
      <c r="C5" s="183"/>
      <c r="D5" s="183"/>
      <c r="E5" s="183"/>
      <c r="F5" s="184"/>
      <c r="G5" s="185" t="str">
        <f>' NotaPedido'!D4</f>
        <v>7 - Direccion de Administracion de la Policia de la Provincia de Catamarca</v>
      </c>
      <c r="H5" s="185"/>
      <c r="I5" s="185"/>
      <c r="J5" s="185"/>
      <c r="K5" s="185"/>
      <c r="L5" s="185"/>
      <c r="M5" s="185"/>
      <c r="N5" s="185"/>
      <c r="O5" s="185"/>
      <c r="P5" s="185"/>
      <c r="Q5" s="185"/>
    </row>
    <row r="6" spans="1:17" ht="18" customHeight="1" thickBot="1" x14ac:dyDescent="0.35">
      <c r="A6" s="182" t="s">
        <v>33</v>
      </c>
      <c r="B6" s="183"/>
      <c r="C6" s="183"/>
      <c r="D6" s="183"/>
      <c r="E6" s="183"/>
      <c r="F6" s="184"/>
      <c r="G6" s="185" t="str">
        <f>' NotaPedido'!D5</f>
        <v>Policia de la Provincia de Catamarca</v>
      </c>
      <c r="H6" s="185"/>
      <c r="I6" s="185"/>
      <c r="J6" s="185"/>
      <c r="K6" s="185"/>
      <c r="L6" s="185"/>
      <c r="M6" s="185"/>
      <c r="N6" s="185"/>
      <c r="O6" s="185"/>
      <c r="P6" s="185"/>
      <c r="Q6" s="185"/>
    </row>
    <row r="7" spans="1:17" ht="34.5" customHeight="1" thickBot="1" x14ac:dyDescent="0.35">
      <c r="A7" s="182" t="s">
        <v>56</v>
      </c>
      <c r="B7" s="183"/>
      <c r="C7" s="183"/>
      <c r="D7" s="183"/>
      <c r="E7" s="183"/>
      <c r="F7" s="184"/>
      <c r="G7" s="187" t="str">
        <f>' NotaPedido'!D6</f>
        <v>Escuela de Cadetes "Tte. Gral. Juan Domingo Peron" la Provincia de Catamarca</v>
      </c>
      <c r="H7" s="188"/>
      <c r="I7" s="188"/>
      <c r="J7" s="188"/>
      <c r="K7" s="188"/>
      <c r="L7" s="188"/>
      <c r="M7" s="188"/>
      <c r="N7" s="188"/>
      <c r="O7" s="188"/>
      <c r="P7" s="188"/>
      <c r="Q7" s="189"/>
    </row>
    <row r="8" spans="1:17" ht="18" customHeight="1" thickBot="1" x14ac:dyDescent="0.3">
      <c r="A8" s="186" t="s">
        <v>285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</row>
    <row r="9" spans="1:17" ht="18" customHeight="1" x14ac:dyDescent="0.3">
      <c r="A9" s="176" t="s">
        <v>34</v>
      </c>
      <c r="B9" s="176"/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04"/>
      <c r="P9" s="104"/>
      <c r="Q9" s="105"/>
    </row>
    <row r="10" spans="1:17" ht="54.75" customHeight="1" x14ac:dyDescent="0.25">
      <c r="A10" s="17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02/2021,  afectando la erogación resultante a los créditos presupuestarios aprobados a favor de esta Unidad Ejecutora, conforme al siguiente detalle:</v>
      </c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</row>
    <row r="11" spans="1:17" ht="9" customHeight="1" x14ac:dyDescent="0.25">
      <c r="A11" s="106"/>
      <c r="B11" s="107"/>
      <c r="C11" s="107"/>
      <c r="D11" s="107"/>
      <c r="E11" s="107"/>
      <c r="F11" s="107"/>
      <c r="G11" s="108"/>
      <c r="H11" s="107"/>
      <c r="I11" s="107"/>
      <c r="J11" s="107"/>
      <c r="K11" s="107"/>
      <c r="L11" s="107"/>
      <c r="M11" s="107"/>
      <c r="N11" s="107"/>
      <c r="O11" s="107"/>
      <c r="P11" s="107"/>
      <c r="Q11" s="109"/>
    </row>
    <row r="12" spans="1:17" ht="15.75" customHeight="1" x14ac:dyDescent="0.25">
      <c r="A12" s="178" t="s">
        <v>35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</row>
    <row r="13" spans="1:17" ht="15.75" customHeight="1" x14ac:dyDescent="0.25">
      <c r="A13" s="179" t="s">
        <v>36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80" t="s">
        <v>37</v>
      </c>
      <c r="P13" s="180"/>
      <c r="Q13" s="181" t="s">
        <v>38</v>
      </c>
    </row>
    <row r="14" spans="1:17" ht="15.75" customHeight="1" thickBot="1" x14ac:dyDescent="0.3">
      <c r="A14" s="110" t="s">
        <v>39</v>
      </c>
      <c r="B14" s="111" t="s">
        <v>40</v>
      </c>
      <c r="C14" s="111" t="s">
        <v>41</v>
      </c>
      <c r="D14" s="111" t="s">
        <v>42</v>
      </c>
      <c r="E14" s="111" t="s">
        <v>43</v>
      </c>
      <c r="F14" s="111" t="s">
        <v>44</v>
      </c>
      <c r="G14" s="112" t="s">
        <v>45</v>
      </c>
      <c r="H14" s="111" t="s">
        <v>46</v>
      </c>
      <c r="I14" s="111" t="s">
        <v>47</v>
      </c>
      <c r="J14" s="111" t="s">
        <v>48</v>
      </c>
      <c r="K14" s="111" t="s">
        <v>48</v>
      </c>
      <c r="L14" s="111" t="s">
        <v>49</v>
      </c>
      <c r="M14" s="113" t="s">
        <v>50</v>
      </c>
      <c r="N14" s="114" t="s">
        <v>51</v>
      </c>
      <c r="O14" s="180"/>
      <c r="P14" s="180"/>
      <c r="Q14" s="181"/>
    </row>
    <row r="15" spans="1:17" ht="17.25" customHeight="1" x14ac:dyDescent="0.25">
      <c r="A15" s="115">
        <v>16</v>
      </c>
      <c r="B15" s="116">
        <v>0</v>
      </c>
      <c r="C15" s="116">
        <v>0</v>
      </c>
      <c r="D15" s="116">
        <v>2</v>
      </c>
      <c r="E15" s="116">
        <v>0</v>
      </c>
      <c r="F15" s="116">
        <v>10</v>
      </c>
      <c r="G15" s="116">
        <v>2</v>
      </c>
      <c r="H15" s="116">
        <v>1</v>
      </c>
      <c r="I15" s="116">
        <v>2</v>
      </c>
      <c r="J15" s="116">
        <v>1</v>
      </c>
      <c r="K15" s="116">
        <v>1</v>
      </c>
      <c r="L15" s="116">
        <v>0</v>
      </c>
      <c r="M15" s="117">
        <v>1</v>
      </c>
      <c r="N15" s="116" t="s">
        <v>105</v>
      </c>
      <c r="O15" s="160" t="s">
        <v>103</v>
      </c>
      <c r="P15" s="161"/>
      <c r="Q15" s="118">
        <f>' NotaPedido'!J76</f>
        <v>4950118</v>
      </c>
    </row>
    <row r="16" spans="1:17" ht="20.25" customHeight="1" thickBot="1" x14ac:dyDescent="0.3">
      <c r="A16" s="172" t="s">
        <v>52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19">
        <f>SUM(Q15:Q15)</f>
        <v>4950118</v>
      </c>
    </row>
    <row r="17" spans="1:17" ht="18" customHeight="1" thickBot="1" x14ac:dyDescent="0.3">
      <c r="A17" s="173" t="s">
        <v>287</v>
      </c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5"/>
    </row>
    <row r="18" spans="1:17" ht="17.25" customHeight="1" thickBot="1" x14ac:dyDescent="0.3">
      <c r="A18" s="162" t="s">
        <v>53</v>
      </c>
      <c r="B18" s="163"/>
      <c r="C18" s="163"/>
      <c r="D18" s="163"/>
      <c r="E18" s="163"/>
      <c r="F18" s="164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</row>
    <row r="19" spans="1:17" ht="18" customHeight="1" x14ac:dyDescent="0.25">
      <c r="A19" s="166" t="s">
        <v>290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</row>
    <row r="20" spans="1:17" ht="15" customHeight="1" thickBot="1" x14ac:dyDescent="0.3">
      <c r="A20" s="169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1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riccheri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2021-08-12T14:43:28Z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