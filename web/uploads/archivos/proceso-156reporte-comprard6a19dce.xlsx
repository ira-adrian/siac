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010 -  ELEMENTOS DE LIMPIEZA HSJB\"/>
    </mc:Choice>
  </mc:AlternateContent>
  <xr:revisionPtr revIDLastSave="0" documentId="8_{CCD969BC-0677-4F1E-ACBC-F49D3DD359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39" i="2" l="1"/>
  <c r="M39" i="2"/>
  <c r="Q39" i="2"/>
  <c r="U39" i="2"/>
</calcChain>
</file>

<file path=xl/sharedStrings.xml><?xml version="1.0" encoding="utf-8"?>
<sst xmlns="http://schemas.openxmlformats.org/spreadsheetml/2006/main" count="238" uniqueCount="168">
  <si>
    <t>Número expediente:</t>
  </si>
  <si>
    <t>EX-2025-01179516-   -CAT-DPCBS#MHOP</t>
  </si>
  <si>
    <t>Número proceso de compra:</t>
  </si>
  <si>
    <t>100-0100-CDI25</t>
  </si>
  <si>
    <t>Nombre descriptivo proceso de compra:</t>
  </si>
  <si>
    <t>ADQUISICION DE ARTICULOS DE LIMPIEZA PARA EL HOSPITAL INTERZONAL SAN JUAN BAUTISTA</t>
  </si>
  <si>
    <t>Unidad Operativa de Compras:</t>
  </si>
  <si>
    <t>Secretaria de Compras y Abastecimiento</t>
  </si>
  <si>
    <t>Fecha de Apertura:</t>
  </si>
  <si>
    <t>23/06/2025</t>
  </si>
  <si>
    <t>Renglón</t>
  </si>
  <si>
    <t>SAMSA S.R.L.</t>
  </si>
  <si>
    <t>GUSTAVORAFAEL ROCO</t>
  </si>
  <si>
    <t>LUJAIKO SRL</t>
  </si>
  <si>
    <t>M.A. COMERCIAL S.R.L.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</si>
  <si>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</si>
  <si>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</si>
  <si>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</si>
  <si>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</si>
  <si>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</si>
  <si>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</si>
  <si>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</si>
  <si>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</si>
  <si>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</si>
  <si>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</si>
  <si>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2.9.1-6951.28 </t>
  </si>
  <si>
    <t xml:space="preserve">LIMPIADORES; TIPO: LAVANDINA, PRESENTACION: ENVASE X 1 L </t>
  </si>
  <si>
    <t xml:space="preserve">UNIDAD </t>
  </si>
  <si>
    <t xml:space="preserve">LIMPIADORES; TIPO: LAVANDINA, PRESENTACION: ENVASE X 1 L. 55 GRAMOS 
DE CLORO POR LITRO- DEBIDAMENTE ETIQUETADO CADA BOTELLA. MARCA: LIMPIALIN 
</t>
  </si>
  <si>
    <t xml:space="preserve">2 </t>
  </si>
  <si>
    <t xml:space="preserve">2.9.1-6951.284 </t>
  </si>
  <si>
    <t xml:space="preserve">LIMPIADORES; TIPO: DESODORANTE ANTIBACTERIAL, PRESENTACION: ENVASE X 900 CM3, BIODEGRADABLE: 
NO </t>
  </si>
  <si>
    <t xml:space="preserve">LIMPIADORES; TIPO: DESODORANTE ANTIBACTERIAL, PRESENTACION: ENVASE X 900 CM3, BIODEGRADABLE: 
NO. AROMAS CEREZA, LAVANDA, PRODUCTO DE MARCA IDEFIX. </t>
  </si>
  <si>
    <t xml:space="preserve">LIMPIADORES; TIPO: DESODORANTE ANTIBACTERIAL, PRESENTACION: ENVASE X 900 CM3, BIODEGRADABLE: 
NO , AROMAS CHERRY, LAVANDA, PRODUCTO DE MARCA REGISTRADA MARCA 
JARDIN  </t>
  </si>
  <si>
    <t xml:space="preserve">LIMPIADORES; TIPO: DESODORANTE ANTIBACTERIAL, PRESENTACION: ENVASE X 900 CM3, BIODEGRADABLE: 
NO AROMAS CHERRY, LAVANDA MARCA BAGORT </t>
  </si>
  <si>
    <t xml:space="preserve">3 </t>
  </si>
  <si>
    <t xml:space="preserve">2.9.1-6951.214 </t>
  </si>
  <si>
    <t xml:space="preserve">LIMPIADORES; TIPO: DETERGENTE NEUTRO, PRESENTACION: ENVASE X 5 L </t>
  </si>
  <si>
    <t xml:space="preserve">LIMPIADORES; TIPO: DETERGENTE NEUTRO, PRESENTACION: ENVASE X 5 L. 15% 
DE MATERIA ACTIVA POR BIDÓN DE 5 LITROS - MARCA: 
MAXCLEAN </t>
  </si>
  <si>
    <t xml:space="preserve">LIMPIADORES; TIPO: DETERGENTE NEUTRO, PRESENTACION: ENVASE X 5 L MARCA 
BAGORT </t>
  </si>
  <si>
    <t xml:space="preserve">4 </t>
  </si>
  <si>
    <t xml:space="preserve">2.9.1-1083.10 </t>
  </si>
  <si>
    <t xml:space="preserve">ESPONJA DE ACERO; PESO: 80 GR, MATERIAL: ACERO INOXIDABLE </t>
  </si>
  <si>
    <t xml:space="preserve">ESPONJA DE ACERO; PESO: 80 GR, MATERIAL: ACERO INOXIDABLE. MARCA: 
SINA </t>
  </si>
  <si>
    <t xml:space="preserve">ESPONJA DE ACERO; PESO: 80 GR, MATERIAL: ACERO INOXIDABLE MARCA 
DEA  </t>
  </si>
  <si>
    <t xml:space="preserve">5 </t>
  </si>
  <si>
    <t xml:space="preserve">2.9.1-1164.10 </t>
  </si>
  <si>
    <t xml:space="preserve">ESPONJAS; MATERIAL: ESPONJA NATURAL, USO: P/COCINA, FORMA: RECTANGULAR, COLOR: AMARILLO, 
ADITAMENTO: SIN VALOR, LARGO X ANCHO X ESP: 9,7 X 
5,7 Cm </t>
  </si>
  <si>
    <t xml:space="preserve">ESPONJAS; MATERIAL: ESPONJA NATURAL, USO: P/COCINA, FORMA: RECTANGULAR, COLOR: AMARILLO, 
ADITAMENTO: SIN VALOR, LARGO X ANCHO X ESP: 9,7 X 
5,7 Cm. MARCA: FIBRALIMP </t>
  </si>
  <si>
    <t xml:space="preserve">ESPONJAS; MATERIAL: ESPONJA NATURAL, USO: P/COCINA, FORMA: RECTANGULAR, COLOR: AMARILLO, 
ADITAMENTO: SIN VALOR, LARGO X ANCHO X ESP: 9,7 X 
5,7 Cm MARCA O.K. </t>
  </si>
  <si>
    <t xml:space="preserve">6 </t>
  </si>
  <si>
    <t xml:space="preserve">2.9.1-714.3 </t>
  </si>
  <si>
    <t xml:space="preserve">FRANELAS; DIMENSION: 50 X 45 Cm </t>
  </si>
  <si>
    <t xml:space="preserve">FRANELAS; DIMENSIONES: 50 X 45 Cm. MARCA: SINA </t>
  </si>
  <si>
    <t xml:space="preserve">FRANELAS; DIMENSION: 50 X 45 Cm MARCA SINA </t>
  </si>
  <si>
    <t xml:space="preserve">7 </t>
  </si>
  <si>
    <t xml:space="preserve">2.9.1-761.7 </t>
  </si>
  <si>
    <t xml:space="preserve">GUANTES P/LIMPIEZA; MATERIAL: LATEX C/FELPA INTERIOR, TAMAÑO: CHICO </t>
  </si>
  <si>
    <t xml:space="preserve">GUANTES P/LIMPIEZA; MATERIAL: LATEX C/FELPA INTERIOR, TAMAÑO: CHICO.  TAMAÑO 
CHICO, COLOR: AMARILLO. MARCA: SINA </t>
  </si>
  <si>
    <t xml:space="preserve">GUANTES P/LIMPIEZA; MATERIAL: LATEX C/FELPA INTERIOR, TAMAÑO: CHICO TAMAÑO CHICO, 
COLOR: AMARILLO O NARANJADO MARCA TASK  </t>
  </si>
  <si>
    <t xml:space="preserve">GUANTES P/LIMPIEZA; MATERIAL: LATEX C/FELPA INTERIOR, TAMAÑO: CHICO MARCA DEA 
</t>
  </si>
  <si>
    <t xml:space="preserve">Make afelpado  </t>
  </si>
  <si>
    <t xml:space="preserve">8 </t>
  </si>
  <si>
    <t xml:space="preserve">2.5.8-723.30 </t>
  </si>
  <si>
    <t xml:space="preserve">PRECINTOS PLASTICOS; TIPO: Nº4, LENGÜETA: SIN, LARGO X ANCHO: 200 
X 4 mm, PRESENTACION: CAJA X 100, NUMERADO: NO, GRABADO: 
NO, TRABAS DE SEGURIDAD: CON, NUMERACION: NO </t>
  </si>
  <si>
    <t xml:space="preserve">9 </t>
  </si>
  <si>
    <t xml:space="preserve">2.9.1-6956.73 </t>
  </si>
  <si>
    <t xml:space="preserve">ARTICULOS DE TOCADOR; TIPO: JABON LIQUIDO, PRESENTACION: ENVASE X 5 
L </t>
  </si>
  <si>
    <t xml:space="preserve">ARTÍCULOS DE TOCADOR; TIPO: JABON LIQUIDO, PRESENTACION: ENVASE X 5 
L. MARCA: MAXCLEAN </t>
  </si>
  <si>
    <t xml:space="preserve">ARTICULOS DE TOCADOR; TIPO: JABON LIQUIDO, PRESENTACION: ENVASE X 5 
L MARCA BAGORT </t>
  </si>
  <si>
    <t xml:space="preserve">10 </t>
  </si>
  <si>
    <t xml:space="preserve">2.9.1-6960.32 </t>
  </si>
  <si>
    <t xml:space="preserve">ELEM. LIMPIEZA P/INDUMENTARIA; TIPO: JABON CONCENTRADO LIQUIDO, PRESENTACION: ENVASE X 
5 L </t>
  </si>
  <si>
    <t xml:space="preserve">ELEM. LIMPIEZA P/INDUMENTARIA; TIPO: JABON CONCENTRADO LIQUIDO, PRESENTACION: ENVASE X 
5 L. MARCA: MAXCLEAN </t>
  </si>
  <si>
    <t xml:space="preserve">ELEM. LIMPIEZA P/INDUMENTARIA; TIPO: JABON CONCENTRADO LIQUIDO, PRESENTACION: ENVASE X 
5 L MARCA BAGORT </t>
  </si>
  <si>
    <t xml:space="preserve">Granby x 5 l.  </t>
  </si>
  <si>
    <t xml:space="preserve">11 </t>
  </si>
  <si>
    <t xml:space="preserve">2.9.1-6960.1 </t>
  </si>
  <si>
    <t xml:space="preserve">ELEM. LIMPIEZA P/INDUMENTARIA; TIPO: SUAVIZANTE P/ROPA, PRESENTACION: ENVASE X 5 
L </t>
  </si>
  <si>
    <t xml:space="preserve">ELEM. LIMPIEZA P/INDUMENTARIA; TIPO: SUAVIZANTE P/ROPA, PRESENTACION: ENVASE X 5 
L. MARCA: MAXCLEAN </t>
  </si>
  <si>
    <t xml:space="preserve">ELEM. LIMPIEZA P/INDUMENTARIA; TIPO: SUAVIZANTE P/ROPA, PRESENTACION: ENVASE X 5 
L MARCA BAGORT </t>
  </si>
  <si>
    <t xml:space="preserve">Vivere  </t>
  </si>
  <si>
    <t xml:space="preserve">12 </t>
  </si>
  <si>
    <t xml:space="preserve">2.9.1-6950.32 </t>
  </si>
  <si>
    <t xml:space="preserve">LUSTRADORES; TIPO: CERA DE LUSTRAR LIQUIDA, PRESENTACION: ENVASE X 900 
CM3 </t>
  </si>
  <si>
    <t xml:space="preserve"> LUSTRADORES; TIPO: CERA DE LUSTRAR LIQUIDA, PRESENTACION: ENVASE X 
900 CM3. CERA PARA PISO COLOR ROJA. MARCA: MAXCLEAN </t>
  </si>
  <si>
    <t xml:space="preserve">LUSTRADORES; TIPO: CERA DE LUSTRAR LIQUIDA, PRESENTACION: ENVASE X 900 
CM3 CERA PARA PISO COLOR ROJA MARCA BAGORT </t>
  </si>
  <si>
    <t xml:space="preserve">13 </t>
  </si>
  <si>
    <t xml:space="preserve">2.9.1-544.73 </t>
  </si>
  <si>
    <t xml:space="preserve">DESODORANTES DE AMBIENTE; FORMATO: AEROSOL, FRAGANCIA: LAVANDA, PRESENTACION: ENVASE X 
360 CM3, LIBRE DE CFC: SI </t>
  </si>
  <si>
    <t xml:space="preserve">DESODORANTES DE AMBIENTE; FORMATO: AEROSOL, FRAGANCIA: LAVANDA, PRESENTACION: ENVASE X 
360 CM3, LIBRE DE CFC: SI. MARCA: CLIO </t>
  </si>
  <si>
    <t xml:space="preserve">DESODORANTES DE AMBIENTE; FORMATO: AEROSOL, FRAGANCIA: LAVANDA, PRESENTACION: ENVASE X 
360 CM3, LIBRE DE CFC: SI MARCA CLIO </t>
  </si>
  <si>
    <t xml:space="preserve">14 </t>
  </si>
  <si>
    <t xml:space="preserve">2.5.4-506.157 </t>
  </si>
  <si>
    <t xml:space="preserve">INSECTICIDAS; PRINCIPIO ACTIVO: TETRAMETRINA,D-ALETRINA,D-FENO, CONTROL: MOSCA, MOSQUITO Y ZANCUDO, ACCION: 
RESIDUAL, PRESENTACION: ENVASE X 360 CM3 </t>
  </si>
  <si>
    <t xml:space="preserve">INSECTICIDAS; PRINCIPIO ACTIVO: TETRAMETRINA,D-ALETRINA,D-FENO, CONTROL: MOSCA, MOSQUITO Y ZANCUDO, ACCION: 
RESIDUAL, PRESENTACION: ENVASE X 360 CM3. MARCA: EFECTO </t>
  </si>
  <si>
    <t xml:space="preserve">INSECTICIDAS; PRINCIPIO ACTIVO: TETRAMETRINA,D-ALETRINA,D-FENO, CONTROL: MOSCA, MOSQUITO Y ZANCUDO, ACCION: 
RESIDUAL, PRESENTACION: ENVASE X 360 CM3 MARCA ESCUDO </t>
  </si>
  <si>
    <t xml:space="preserve">15 </t>
  </si>
  <si>
    <t xml:space="preserve">2.9.1-564.13 </t>
  </si>
  <si>
    <t xml:space="preserve">BALDES DE PLASTICO; CAPACIDAD: 17 L, COLOR: SIN VALOR </t>
  </si>
  <si>
    <t xml:space="preserve">BALDES DE PLÁSTICO; CAPACIDAD: 17 L, COLOR: SIN VALOR. COLOR: 
INDISTINTO - MATERIAL DEL MANGO: INDISTINTO. MARCA: SINA </t>
  </si>
  <si>
    <t xml:space="preserve">16 </t>
  </si>
  <si>
    <t xml:space="preserve">2.9.1-6951.281 </t>
  </si>
  <si>
    <t xml:space="preserve">LIMPIADORES; TIPO: QUITASARRO, PRESENTACION: ENVASE X 1 L, BIODEGRADABLE: SI 
</t>
  </si>
  <si>
    <t xml:space="preserve">LIMPIADORES; TIPO: QUITASARRO, PRESENTACION: ENVASE X 1 L, BIODEGRADABLE: SI. 
MARCA: MAXCLEAN </t>
  </si>
  <si>
    <t xml:space="preserve">17 </t>
  </si>
  <si>
    <t xml:space="preserve">2.9.1-1156.6 </t>
  </si>
  <si>
    <t xml:space="preserve">PLUMEROS; PLUMA: SINTETICA, CLASE: EXTRADURO, MATERIAL MANGO: MADERA, LARGO MANGO: 
200 Cm, Nº VUELTAS PENACHO: 3, TIPO: EXTRADURO </t>
  </si>
  <si>
    <t xml:space="preserve">PLUMEROS; PLUMA: SINTETICA, CLASE: EXTRADURO, MATERIAL MANGO: MADERA, LARGO MANGO: 
200 Cm, Nº VUELTAS PENACHO: 3, TIPO: EXTRADURO MARCA AVEZTRUZ 
 </t>
  </si>
  <si>
    <t xml:space="preserve">18 </t>
  </si>
  <si>
    <t xml:space="preserve">2.3.4-786.51 </t>
  </si>
  <si>
    <t xml:space="preserve">PAPEL HIGIENICO; PRESENTACION: PAQUETE X 4 UN, TIPO: PRECORTADO, HOJA: 
SIMPLE, ANCHO: 10 Cm, LARGO: 30 M, MATERIAL HOJA: SIMPLE, 
TIPO DE HOJA: SIMPLE </t>
  </si>
  <si>
    <t xml:space="preserve"> PAPEL HIGIÉNICO; PRESENTACION: PAQUETE X 4 UN, TIPO: PRECORTADO, 
HOJA: SIMPLE, ANCHO: 10 Cm, LARGO: 30 M, MATERIAL HOJA: 
SIMPLE, TIPO DE HOJA: SIMPLE. MARCA: ELEGANTE </t>
  </si>
  <si>
    <t xml:space="preserve">Elegante HS 30 mts. x 4. Bolson 12 x 4 
 </t>
  </si>
  <si>
    <t xml:space="preserve">19 </t>
  </si>
  <si>
    <t xml:space="preserve">2.9.1-683.6 </t>
  </si>
  <si>
    <t xml:space="preserve">SECADORES DE GOMA; COLOR: NEGRO, LARGO: 50 Cm </t>
  </si>
  <si>
    <t xml:space="preserve">SECADORES DE GOMA; COLOR: NEGRO, LARGO: 50 Cm. MARCA: SINA 
</t>
  </si>
  <si>
    <t xml:space="preserve">SECADORES DE GOMA; COLOR: NEGRO, LARGO: 50 Cm MARCA SINA 
</t>
  </si>
  <si>
    <t xml:space="preserve">20 </t>
  </si>
  <si>
    <t xml:space="preserve">2.9.1-683.4 </t>
  </si>
  <si>
    <t xml:space="preserve">SECADORES DE GOMA; LARGO: 80 Cm, COLOR: ROJO </t>
  </si>
  <si>
    <t xml:space="preserve">SECADORES DE GOMA; LARGO: 80 Cm, COLOR: ROJO. MARCA: SINA 
</t>
  </si>
  <si>
    <t xml:space="preserve">SECADORES DE GOMA; LARGO: 80 Cm, COLOR: ROJO MARCA SG 
 </t>
  </si>
  <si>
    <t xml:space="preserve">SECADORES DE GOMA; LARGO: 80 Cm, COLOR: ROJO MARCA SUPER 
GOMA </t>
  </si>
  <si>
    <t xml:space="preserve">21 </t>
  </si>
  <si>
    <t xml:space="preserve">2.9.1-6951.174 </t>
  </si>
  <si>
    <t xml:space="preserve">LIMPIADORES; TIPO: POLVO LIMPIADOR, PRESENTACION: ENVASE X 400 GR </t>
  </si>
  <si>
    <t xml:space="preserve">LIMPIADORES; TIPO: POLVO LIMPIADOR, PRESENTACION: ENVASE X 400 GR MARCA 
RESPLANDOR  </t>
  </si>
  <si>
    <t xml:space="preserve">22 </t>
  </si>
  <si>
    <t xml:space="preserve">2.9.1-713.5 </t>
  </si>
  <si>
    <t xml:space="preserve">TRAPOS DE PISO; COLOR: BLANCO, DIMENSION: 60 X 70 Cm 
</t>
  </si>
  <si>
    <t xml:space="preserve">TRAPOS DE PISO; COLOR: BLANCO, MEDIDAS: 60 X 70 Cm. 
TRAPO DE PISO 90 % ALGODÓN - COMUN COLOR BLANCO. 
MARCA: SINA </t>
  </si>
  <si>
    <t xml:space="preserve">TRAPOS DE PISO; COLOR: BLANCO, DIMENSION: 60 X 70 Cm 
TRAPO DE PISO 90 % ALGODÓN - COMUN COLOR BLANCO 
MARCA MR TRAPO </t>
  </si>
  <si>
    <t xml:space="preserve">23 </t>
  </si>
  <si>
    <t xml:space="preserve">2.9.1-678.7 </t>
  </si>
  <si>
    <t xml:space="preserve">TRAPOS REJILLA; DIMENSION: 40 X 50 Cm, COLOR: SIN VALOR, 
MATERIAL: ALGODON </t>
  </si>
  <si>
    <t xml:space="preserve">TRAPOS REJILLA; MEDIDAS: 40 X 50 Cm, COLOR: SIN VALOR, 
MATERIAL: ALGODÓN. MARCA: SINA </t>
  </si>
  <si>
    <t xml:space="preserve">TRAPOS REJILLA; DIMENSION: 40 X 50 Cm, COLOR: SIN VALOR, 
MATERIAL: ALGODON MARCA SINA </t>
  </si>
  <si>
    <t xml:space="preserve">24 </t>
  </si>
  <si>
    <t xml:space="preserve">2.9.1-646.18 </t>
  </si>
  <si>
    <t xml:space="preserve">BOLSAS DE RESIDUOS; COLOR: OBSCURO, ESPESOR: 40 Mn, DIMENSION: 45 
X 60 Cm, PRESENTACION: SIN VALOR </t>
  </si>
  <si>
    <t xml:space="preserve"> BOLSAS DE RESIDUOS; COLOR: OBSCURO, ESPESOR: 40 Mn, DIMENSIONES: 
45 X 60 Cm, PRESENTACION: SIN VALOR. NO DE ARRASTRE 
(INDIVIDUAL). MARCA: MAXBOL </t>
  </si>
  <si>
    <t xml:space="preserve">  BOLSAS DE RESIDUOS; COLOR: OBSCURO, ESPESOR: 40 Mn, 
DIMENSION: 45 X 60 Cm, PRESENTACION: INDIVIDUAL MARCA POLITUC </t>
  </si>
  <si>
    <t xml:space="preserve">25 </t>
  </si>
  <si>
    <t xml:space="preserve">2.9.1-646.48 </t>
  </si>
  <si>
    <t xml:space="preserve">BOLSAS DE RESIDUOS; DIMENSION: 60 X 90 Cm, PRESENTACION: BOLSA 
X 50 UN, ESPESOR: 45 Mn, COLOR: NEGRO </t>
  </si>
  <si>
    <t xml:space="preserve">BOLSAS DE RESIDUOS; MEDIDAS: 60 X 90 Cm, PRESENTACION: BOLSA 
X 50 UN, ESPESOR: 45 Mn, COLOR: NEGRO. NO DE 
ARRASTRE (INDIVIDUAL). MARCA: MAXBOL </t>
  </si>
  <si>
    <t xml:space="preserve">BOLSAS DE RESIDUOS; DIMENSION: 60 X 90 Cm, PRESENTACION: BOLSA 
X 50 UN, ESPESOR: 45 Mn, COLOR: NEGRO  MARCA 
POLITUC </t>
  </si>
  <si>
    <t xml:space="preserve">26 </t>
  </si>
  <si>
    <t xml:space="preserve">2.9.1-2030.1 </t>
  </si>
  <si>
    <t xml:space="preserve">LANAS DE ACERO; PRESENTACION: PAQUETE, CONTENIDO: MADEJA </t>
  </si>
  <si>
    <t xml:space="preserve">LANAS DE ACERO; PRESENTACIÓN: PAQUETE, CONTENIDO: MADEJA.  PAQUETE DE 
10 ROLLITOS. MARCA: OK </t>
  </si>
  <si>
    <t xml:space="preserve">LANAS DE ACERO; PRESENTACION: PAQUETE, CONTENIDO: MADEJA PAQUETE X 10 
ROLLITOS MARCA DEA </t>
  </si>
  <si>
    <t xml:space="preserve">27 </t>
  </si>
  <si>
    <t xml:space="preserve">2.9.1-646.5 </t>
  </si>
  <si>
    <t xml:space="preserve">BOLSAS DE RESIDUOS; PRESENTACION: BOLSA X 50, DIMENSION: 50 X 
70 Cm, COLOR: SIN VALOR, ESPESOR: SIN VALOR </t>
  </si>
  <si>
    <t xml:space="preserve">BOLSAS DE RESIDUOS; PRESENTACION: BOLSA X 50, MEDIDAS: 50 X 
70 Cm, COLOR: SIN VALOR, ESPESOR: SIN VALOR.  BOLSA 
DE RESIDUOS PATOGENOS COLOR ROJO DE 120MN DE ESPESOR -INDIVIDUALES. 
MARCA: MAXBOL </t>
  </si>
  <si>
    <t xml:space="preserve">28 </t>
  </si>
  <si>
    <t xml:space="preserve">2.9.1-646.104 </t>
  </si>
  <si>
    <t xml:space="preserve">BOLSAS DE RESIDUOS; DIMENSION: 60 X 90 Cm, PRESENTACION: ENVASE 
X 100 UN, ESPESOR: 50 Mn </t>
  </si>
  <si>
    <t xml:space="preserve">29 </t>
  </si>
  <si>
    <t xml:space="preserve">2.3.4-783.84 </t>
  </si>
  <si>
    <t xml:space="preserve">TOALLAS DE PAPEL; MATERIAL: FIBRA CELULOSICA, GRAMAJE: 20 GR/M2, DIMENSION: 
25 Cm, PRESENTACION: 2 X BOBINA X 400 M </t>
  </si>
  <si>
    <t xml:space="preserve">TOALLAS DE PAPEL; MATERIAL: FIBRA CELULOSICA, GRAMAJE: 20 GR/M2, DIMENSIONES: 
25 Cm, ??PRESENTACION: 2 X BOBINA X 400 M. PAQUETE 
DEBE INCLUIR 2 BOBINAS DE 25 CM DE ANCHO X 
400 M DE LARGO. MARCA: MAXBOL </t>
  </si>
  <si>
    <t xml:space="preserve">TOALLAS DE PAPEL; MATERIAL: FIBRA CELULOSICA, GRAMAJE: 20 GR/M2, DIMENSION: 
25 Cm, PRESENTACION: 2 X BOBINA X 400 M PAQUETE 
2 BOBINAS DE 25 CM DE ANCHO X 400 M 
DE LARGO MARCA CONVERTIDORA MEDITERRANEA </t>
  </si>
  <si>
    <t xml:space="preserve">IPU Extra Blanca 250 mts.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</si>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</sst>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39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39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39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39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39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pane xSplit="3" ySplit="9" topLeftCell="S10" activePane="bottomRight" state="frozenSplit"/>
      <selection pane="topRight"/>
      <selection pane="bottomLeft"/>
      <selection pane="bottomRight" activeCell="D10" sqref="D10"/>
    </sheetView>
  </sheetViews>
  <sheetFormatPr baseColWidth="10" defaultColWidth="8.88671875" defaultRowHeight="14.4" x14ac:dyDescent="0.3"/>
  <cols>
    <col min="1" max="1" width="8.77734375" customWidth="1"/>
    <col min="2" max="2" width="11.21875" customWidth="1"/>
    <col min="3" max="3" width="14.6640625" customWidth="1"/>
    <col min="4" max="4" width="109.21875" customWidth="1"/>
    <col min="5" max="5" width="85.33203125" customWidth="1"/>
    <col min="6" max="6" width="17.44140625" customWidth="1"/>
    <col min="7" max="7" width="14.33203125" customWidth="1"/>
    <col min="8" max="8" width="17.21875" customWidth="1"/>
    <col min="9" max="9" width="16.5546875" customWidth="1"/>
    <col min="10" max="10" width="109.21875" customWidth="1"/>
    <col min="11" max="11" width="14.33203125" customWidth="1"/>
    <col min="12" max="12" width="17.21875" customWidth="1"/>
    <col min="13" max="13" width="16.5546875" customWidth="1"/>
    <col min="14" max="14" width="94.44140625" customWidth="1"/>
    <col min="15" max="15" width="14.33203125" customWidth="1"/>
    <col min="16" max="16" width="17.21875" customWidth="1"/>
    <col min="17" max="17" width="16.5546875" customWidth="1"/>
    <col min="18" max="18" width="109.21875" customWidth="1"/>
    <col min="19" max="19" width="14.33203125" customWidth="1"/>
    <col min="20" max="20" width="17.21875" customWidth="1"/>
    <col min="21" max="21" width="16.5546875" customWidth="1"/>
    <col min="22" max="22" width="33.88671875" customWidth="1"/>
  </cols>
  <sheetData>
    <row r="1" spans="1:22" x14ac:dyDescent="0.3">
      <c r="D1" s="2" t="s">
        <v>0</v>
      </c>
      <c r="E1" s="2" t="s">
        <v>1</v>
      </c>
    </row>
    <row r="2" spans="1:22" x14ac:dyDescent="0.3">
      <c r="D2" s="2" t="s">
        <v>2</v>
      </c>
      <c r="E2" s="2" t="s">
        <v>3</v>
      </c>
    </row>
    <row r="3" spans="1:22" x14ac:dyDescent="0.3">
      <c r="D3" s="2" t="s">
        <v>4</v>
      </c>
      <c r="E3" s="2" t="s">
        <v>5</v>
      </c>
    </row>
    <row r="4" spans="1:22" x14ac:dyDescent="0.3">
      <c r="D4" s="2" t="s">
        <v>6</v>
      </c>
      <c r="E4" s="2" t="s">
        <v>7</v>
      </c>
    </row>
    <row r="5" spans="1:22" x14ac:dyDescent="0.3">
      <c r="D5" s="2" t="s">
        <v>8</v>
      </c>
      <c r="E5" s="2" t="s">
        <v>9</v>
      </c>
    </row>
    <row r="8" spans="1:22" x14ac:dyDescent="0.3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</row>
    <row r="9" spans="1:22" x14ac:dyDescent="0.3">
      <c r="A9" t="s">
        <v>10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s="3" t="s">
        <v>20</v>
      </c>
      <c r="H9" s="3" t="s">
        <v>21</v>
      </c>
      <c r="I9" t="s">
        <v>22</v>
      </c>
      <c r="J9" t="s">
        <v>23</v>
      </c>
      <c r="K9" s="3" t="s">
        <v>20</v>
      </c>
      <c r="L9" s="3" t="s">
        <v>21</v>
      </c>
      <c r="M9" t="s">
        <v>22</v>
      </c>
      <c r="N9" t="s">
        <v>23</v>
      </c>
      <c r="O9" s="3" t="s">
        <v>20</v>
      </c>
      <c r="P9" s="3" t="s">
        <v>21</v>
      </c>
      <c r="Q9" t="s">
        <v>22</v>
      </c>
      <c r="R9" t="s">
        <v>23</v>
      </c>
      <c r="S9" s="3" t="s">
        <v>20</v>
      </c>
      <c r="T9" s="3" t="s">
        <v>21</v>
      </c>
      <c r="U9" t="s">
        <v>22</v>
      </c>
      <c r="V9" t="s">
        <v>23</v>
      </c>
    </row>
    <row r="10" spans="1:22" ht="43.2" x14ac:dyDescent="0.3">
      <c r="A10" t="s">
        <v>24</v>
      </c>
      <c r="B10" t="s">
        <v>24</v>
      </c>
      <c r="C10" t="s">
        <v>25</v>
      </c>
      <c r="D10" t="s">
        <v>26</v>
      </c>
      <c r="E10">
        <v>4000</v>
      </c>
      <c r="F10" t="s">
        <v>27</v>
      </c>
      <c r="G10" s="3">
        <v>1499</v>
      </c>
      <c r="H10" s="3">
        <v>4000</v>
      </c>
      <c r="I10" s="4">
        <v>5996000</v>
      </c>
      <c r="J10" s="5" t="s">
        <v>28</v>
      </c>
      <c r="K10" s="3"/>
      <c r="L10" s="3"/>
      <c r="M10" s="4"/>
      <c r="O10" s="3"/>
      <c r="P10" s="3"/>
      <c r="Q10" s="4"/>
      <c r="S10" s="3"/>
      <c r="T10" s="3"/>
      <c r="U10" s="4"/>
    </row>
    <row r="11" spans="1:22" ht="43.2" x14ac:dyDescent="0.3">
      <c r="A11" t="s">
        <v>29</v>
      </c>
      <c r="B11" t="s">
        <v>24</v>
      </c>
      <c r="C11" t="s">
        <v>30</v>
      </c>
      <c r="D11" s="5" t="s">
        <v>31</v>
      </c>
      <c r="E11">
        <v>4000</v>
      </c>
      <c r="F11" t="s">
        <v>27</v>
      </c>
      <c r="G11" s="3">
        <v>835</v>
      </c>
      <c r="H11" s="3">
        <v>4000</v>
      </c>
      <c r="I11" s="4">
        <v>3340000</v>
      </c>
      <c r="J11" s="5" t="s">
        <v>32</v>
      </c>
      <c r="K11" s="3">
        <v>2122</v>
      </c>
      <c r="L11" s="3">
        <v>4000</v>
      </c>
      <c r="M11" s="4">
        <v>8488000</v>
      </c>
      <c r="N11" s="5" t="s">
        <v>33</v>
      </c>
      <c r="O11" s="3">
        <v>907.2</v>
      </c>
      <c r="P11" s="3">
        <v>4000</v>
      </c>
      <c r="Q11" s="4">
        <v>3628800</v>
      </c>
      <c r="R11" s="5" t="s">
        <v>34</v>
      </c>
      <c r="S11" s="3"/>
      <c r="T11" s="3"/>
      <c r="U11" s="4"/>
    </row>
    <row r="12" spans="1:22" ht="43.2" x14ac:dyDescent="0.3">
      <c r="A12" t="s">
        <v>35</v>
      </c>
      <c r="B12" t="s">
        <v>24</v>
      </c>
      <c r="C12" t="s">
        <v>36</v>
      </c>
      <c r="D12" t="s">
        <v>37</v>
      </c>
      <c r="E12">
        <v>80</v>
      </c>
      <c r="F12" t="s">
        <v>27</v>
      </c>
      <c r="G12" s="3">
        <v>2850</v>
      </c>
      <c r="H12" s="3">
        <v>80</v>
      </c>
      <c r="I12" s="4">
        <v>228000</v>
      </c>
      <c r="J12" s="5" t="s">
        <v>38</v>
      </c>
      <c r="K12" s="3"/>
      <c r="L12" s="3"/>
      <c r="M12" s="4"/>
      <c r="O12" s="3">
        <v>3515.4</v>
      </c>
      <c r="P12" s="3">
        <v>80</v>
      </c>
      <c r="Q12" s="4">
        <v>281232</v>
      </c>
      <c r="R12" s="5" t="s">
        <v>39</v>
      </c>
      <c r="S12" s="3"/>
      <c r="T12" s="3"/>
      <c r="U12" s="4"/>
    </row>
    <row r="13" spans="1:22" ht="28.8" x14ac:dyDescent="0.3">
      <c r="A13" t="s">
        <v>40</v>
      </c>
      <c r="B13" t="s">
        <v>24</v>
      </c>
      <c r="C13" t="s">
        <v>41</v>
      </c>
      <c r="D13" t="s">
        <v>42</v>
      </c>
      <c r="E13">
        <v>300</v>
      </c>
      <c r="F13" t="s">
        <v>27</v>
      </c>
      <c r="G13" s="3">
        <v>839</v>
      </c>
      <c r="H13" s="3">
        <v>300</v>
      </c>
      <c r="I13" s="4">
        <v>251700</v>
      </c>
      <c r="J13" s="5" t="s">
        <v>43</v>
      </c>
      <c r="K13" s="3">
        <v>2800</v>
      </c>
      <c r="L13" s="3">
        <v>300</v>
      </c>
      <c r="M13" s="4">
        <v>840000</v>
      </c>
      <c r="N13" s="5" t="s">
        <v>44</v>
      </c>
      <c r="O13" s="3"/>
      <c r="P13" s="3"/>
      <c r="Q13" s="4"/>
      <c r="S13" s="3"/>
      <c r="T13" s="3"/>
      <c r="U13" s="4"/>
    </row>
    <row r="14" spans="1:22" ht="43.2" x14ac:dyDescent="0.3">
      <c r="A14" t="s">
        <v>45</v>
      </c>
      <c r="B14" t="s">
        <v>24</v>
      </c>
      <c r="C14" t="s">
        <v>46</v>
      </c>
      <c r="D14" s="5" t="s">
        <v>47</v>
      </c>
      <c r="E14">
        <v>300</v>
      </c>
      <c r="F14" t="s">
        <v>27</v>
      </c>
      <c r="G14" s="3">
        <v>238</v>
      </c>
      <c r="H14" s="3">
        <v>300</v>
      </c>
      <c r="I14" s="4">
        <v>71400</v>
      </c>
      <c r="J14" s="5" t="s">
        <v>48</v>
      </c>
      <c r="K14" s="3"/>
      <c r="L14" s="3"/>
      <c r="M14" s="4"/>
      <c r="O14" s="3">
        <v>293.36</v>
      </c>
      <c r="P14" s="3">
        <v>300</v>
      </c>
      <c r="Q14" s="4">
        <v>88008</v>
      </c>
      <c r="R14" s="5" t="s">
        <v>49</v>
      </c>
      <c r="S14" s="3"/>
      <c r="T14" s="3"/>
      <c r="U14" s="4"/>
    </row>
    <row r="15" spans="1:22" x14ac:dyDescent="0.3">
      <c r="A15" t="s">
        <v>50</v>
      </c>
      <c r="B15" t="s">
        <v>24</v>
      </c>
      <c r="C15" t="s">
        <v>51</v>
      </c>
      <c r="D15" t="s">
        <v>52</v>
      </c>
      <c r="E15">
        <v>200</v>
      </c>
      <c r="F15" t="s">
        <v>27</v>
      </c>
      <c r="G15" s="3">
        <v>869</v>
      </c>
      <c r="H15" s="3">
        <v>200</v>
      </c>
      <c r="I15" s="4">
        <v>173800</v>
      </c>
      <c r="J15" t="s">
        <v>53</v>
      </c>
      <c r="K15" s="3"/>
      <c r="L15" s="3"/>
      <c r="M15" s="4"/>
      <c r="O15" s="3">
        <v>883.31</v>
      </c>
      <c r="P15" s="3">
        <v>200</v>
      </c>
      <c r="Q15" s="4">
        <v>176662</v>
      </c>
      <c r="R15" t="s">
        <v>54</v>
      </c>
      <c r="S15" s="3"/>
      <c r="T15" s="3"/>
      <c r="U15" s="4"/>
    </row>
    <row r="16" spans="1:22" ht="28.8" x14ac:dyDescent="0.3">
      <c r="A16" t="s">
        <v>55</v>
      </c>
      <c r="B16" t="s">
        <v>24</v>
      </c>
      <c r="C16" t="s">
        <v>56</v>
      </c>
      <c r="D16" t="s">
        <v>57</v>
      </c>
      <c r="E16">
        <v>75</v>
      </c>
      <c r="F16" t="s">
        <v>27</v>
      </c>
      <c r="G16" s="3">
        <v>1392</v>
      </c>
      <c r="H16" s="3">
        <v>75</v>
      </c>
      <c r="I16" s="4">
        <v>104400</v>
      </c>
      <c r="J16" s="5" t="s">
        <v>58</v>
      </c>
      <c r="K16" s="3">
        <v>2360</v>
      </c>
      <c r="L16" s="3">
        <v>75</v>
      </c>
      <c r="M16" s="4">
        <v>177000</v>
      </c>
      <c r="N16" s="5" t="s">
        <v>59</v>
      </c>
      <c r="O16" s="3">
        <v>2357.1</v>
      </c>
      <c r="P16" s="3">
        <v>75</v>
      </c>
      <c r="Q16" s="4">
        <v>176782.5</v>
      </c>
      <c r="R16" s="5" t="s">
        <v>60</v>
      </c>
      <c r="S16" s="3">
        <v>1686.37</v>
      </c>
      <c r="T16" s="3">
        <v>75</v>
      </c>
      <c r="U16" s="4">
        <v>126477.75</v>
      </c>
      <c r="V16" t="s">
        <v>61</v>
      </c>
    </row>
    <row r="17" spans="1:22" ht="43.2" x14ac:dyDescent="0.3">
      <c r="A17" t="s">
        <v>62</v>
      </c>
      <c r="B17" t="s">
        <v>24</v>
      </c>
      <c r="C17" t="s">
        <v>63</v>
      </c>
      <c r="D17" s="5" t="s">
        <v>64</v>
      </c>
      <c r="E17">
        <v>50</v>
      </c>
      <c r="F17" t="s">
        <v>27</v>
      </c>
      <c r="G17" s="3"/>
      <c r="H17" s="3"/>
      <c r="I17" s="4"/>
      <c r="K17" s="3"/>
      <c r="L17" s="3"/>
      <c r="M17" s="4"/>
      <c r="O17" s="3"/>
      <c r="P17" s="3"/>
      <c r="Q17" s="4"/>
      <c r="S17" s="3"/>
      <c r="T17" s="3"/>
      <c r="U17" s="4"/>
    </row>
    <row r="18" spans="1:22" ht="28.8" x14ac:dyDescent="0.3">
      <c r="A18" t="s">
        <v>65</v>
      </c>
      <c r="B18" t="s">
        <v>24</v>
      </c>
      <c r="C18" t="s">
        <v>66</v>
      </c>
      <c r="D18" s="5" t="s">
        <v>67</v>
      </c>
      <c r="E18">
        <v>20</v>
      </c>
      <c r="F18" t="s">
        <v>27</v>
      </c>
      <c r="G18" s="3">
        <v>2990</v>
      </c>
      <c r="H18" s="3">
        <v>20</v>
      </c>
      <c r="I18" s="4">
        <v>59800</v>
      </c>
      <c r="J18" s="5" t="s">
        <v>68</v>
      </c>
      <c r="K18" s="3"/>
      <c r="L18" s="3"/>
      <c r="M18" s="4"/>
      <c r="O18" s="3">
        <v>3321.95</v>
      </c>
      <c r="P18" s="3">
        <v>20</v>
      </c>
      <c r="Q18" s="4">
        <v>66439</v>
      </c>
      <c r="R18" s="5" t="s">
        <v>69</v>
      </c>
      <c r="S18" s="3"/>
      <c r="T18" s="3"/>
      <c r="U18" s="4"/>
    </row>
    <row r="19" spans="1:22" ht="28.8" x14ac:dyDescent="0.3">
      <c r="A19" t="s">
        <v>70</v>
      </c>
      <c r="B19" t="s">
        <v>24</v>
      </c>
      <c r="C19" t="s">
        <v>71</v>
      </c>
      <c r="D19" s="5" t="s">
        <v>72</v>
      </c>
      <c r="E19">
        <v>300</v>
      </c>
      <c r="F19" t="s">
        <v>27</v>
      </c>
      <c r="G19" s="3">
        <v>3056</v>
      </c>
      <c r="H19" s="3">
        <v>300</v>
      </c>
      <c r="I19" s="4">
        <v>916800</v>
      </c>
      <c r="J19" s="5" t="s">
        <v>73</v>
      </c>
      <c r="K19" s="3"/>
      <c r="L19" s="3"/>
      <c r="M19" s="4"/>
      <c r="O19" s="3">
        <v>3784.5</v>
      </c>
      <c r="P19" s="3">
        <v>300</v>
      </c>
      <c r="Q19" s="4">
        <v>1135350</v>
      </c>
      <c r="R19" s="5" t="s">
        <v>74</v>
      </c>
      <c r="S19" s="3">
        <v>10976.05</v>
      </c>
      <c r="T19" s="3">
        <v>300</v>
      </c>
      <c r="U19" s="4">
        <v>3292815</v>
      </c>
      <c r="V19" t="s">
        <v>75</v>
      </c>
    </row>
    <row r="20" spans="1:22" ht="28.8" x14ac:dyDescent="0.3">
      <c r="A20" t="s">
        <v>76</v>
      </c>
      <c r="B20" t="s">
        <v>24</v>
      </c>
      <c r="C20" t="s">
        <v>77</v>
      </c>
      <c r="D20" s="5" t="s">
        <v>78</v>
      </c>
      <c r="E20">
        <v>55</v>
      </c>
      <c r="F20" t="s">
        <v>27</v>
      </c>
      <c r="G20" s="3">
        <v>3056</v>
      </c>
      <c r="H20" s="3">
        <v>55</v>
      </c>
      <c r="I20" s="4">
        <v>168080</v>
      </c>
      <c r="J20" s="5" t="s">
        <v>79</v>
      </c>
      <c r="K20" s="3"/>
      <c r="L20" s="3"/>
      <c r="M20" s="4"/>
      <c r="O20" s="3">
        <v>3661</v>
      </c>
      <c r="P20" s="3">
        <v>55</v>
      </c>
      <c r="Q20" s="4">
        <v>201355</v>
      </c>
      <c r="R20" s="5" t="s">
        <v>80</v>
      </c>
      <c r="S20" s="3">
        <v>12550.97</v>
      </c>
      <c r="T20" s="3">
        <v>55</v>
      </c>
      <c r="U20" s="4">
        <v>690303.35</v>
      </c>
      <c r="V20" t="s">
        <v>81</v>
      </c>
    </row>
    <row r="21" spans="1:22" ht="28.8" x14ac:dyDescent="0.3">
      <c r="A21" t="s">
        <v>82</v>
      </c>
      <c r="B21" t="s">
        <v>24</v>
      </c>
      <c r="C21" t="s">
        <v>83</v>
      </c>
      <c r="D21" s="5" t="s">
        <v>84</v>
      </c>
      <c r="E21">
        <v>50</v>
      </c>
      <c r="F21" t="s">
        <v>27</v>
      </c>
      <c r="G21" s="3">
        <v>1432</v>
      </c>
      <c r="H21" s="3">
        <v>50</v>
      </c>
      <c r="I21" s="4">
        <v>71600</v>
      </c>
      <c r="J21" s="5" t="s">
        <v>85</v>
      </c>
      <c r="K21" s="3"/>
      <c r="L21" s="3"/>
      <c r="M21" s="4"/>
      <c r="O21" s="3">
        <v>2339.5500000000002</v>
      </c>
      <c r="P21" s="3">
        <v>50</v>
      </c>
      <c r="Q21" s="4">
        <v>116977.5</v>
      </c>
      <c r="R21" s="5" t="s">
        <v>86</v>
      </c>
      <c r="S21" s="3"/>
      <c r="T21" s="3"/>
      <c r="U21" s="4"/>
    </row>
    <row r="22" spans="1:22" ht="28.8" x14ac:dyDescent="0.3">
      <c r="A22" t="s">
        <v>87</v>
      </c>
      <c r="B22" t="s">
        <v>24</v>
      </c>
      <c r="C22" t="s">
        <v>88</v>
      </c>
      <c r="D22" s="5" t="s">
        <v>89</v>
      </c>
      <c r="E22">
        <v>150</v>
      </c>
      <c r="F22" t="s">
        <v>27</v>
      </c>
      <c r="G22" s="3">
        <v>1840</v>
      </c>
      <c r="H22" s="3">
        <v>150</v>
      </c>
      <c r="I22" s="4">
        <v>276000</v>
      </c>
      <c r="J22" s="5" t="s">
        <v>90</v>
      </c>
      <c r="K22" s="3"/>
      <c r="L22" s="3"/>
      <c r="M22" s="4"/>
      <c r="O22" s="3">
        <v>2034.11</v>
      </c>
      <c r="P22" s="3">
        <v>150</v>
      </c>
      <c r="Q22" s="4">
        <v>305116.5</v>
      </c>
      <c r="R22" s="5" t="s">
        <v>91</v>
      </c>
      <c r="S22" s="3"/>
      <c r="T22" s="3"/>
      <c r="U22" s="4"/>
    </row>
    <row r="23" spans="1:22" ht="28.8" x14ac:dyDescent="0.3">
      <c r="A23" t="s">
        <v>92</v>
      </c>
      <c r="B23" t="s">
        <v>24</v>
      </c>
      <c r="C23" t="s">
        <v>93</v>
      </c>
      <c r="D23" s="5" t="s">
        <v>94</v>
      </c>
      <c r="E23">
        <v>120</v>
      </c>
      <c r="F23" t="s">
        <v>27</v>
      </c>
      <c r="G23" s="3">
        <v>2290</v>
      </c>
      <c r="H23" s="3">
        <v>120</v>
      </c>
      <c r="I23" s="4">
        <v>274800</v>
      </c>
      <c r="J23" s="5" t="s">
        <v>95</v>
      </c>
      <c r="K23" s="3"/>
      <c r="L23" s="3"/>
      <c r="M23" s="4"/>
      <c r="O23" s="3">
        <v>2759.4</v>
      </c>
      <c r="P23" s="3">
        <v>120</v>
      </c>
      <c r="Q23" s="4">
        <v>331128</v>
      </c>
      <c r="R23" s="5" t="s">
        <v>96</v>
      </c>
      <c r="S23" s="3"/>
      <c r="T23" s="3"/>
      <c r="U23" s="4"/>
    </row>
    <row r="24" spans="1:22" ht="28.8" x14ac:dyDescent="0.3">
      <c r="A24" t="s">
        <v>97</v>
      </c>
      <c r="B24" t="s">
        <v>24</v>
      </c>
      <c r="C24" t="s">
        <v>98</v>
      </c>
      <c r="D24" t="s">
        <v>99</v>
      </c>
      <c r="E24">
        <v>10</v>
      </c>
      <c r="F24" t="s">
        <v>27</v>
      </c>
      <c r="G24" s="3">
        <v>4360</v>
      </c>
      <c r="H24" s="3">
        <v>10</v>
      </c>
      <c r="I24" s="4">
        <v>43600</v>
      </c>
      <c r="J24" s="5" t="s">
        <v>100</v>
      </c>
      <c r="K24" s="3"/>
      <c r="L24" s="3"/>
      <c r="M24" s="4"/>
      <c r="O24" s="3"/>
      <c r="P24" s="3"/>
      <c r="Q24" s="4"/>
      <c r="S24" s="3"/>
      <c r="T24" s="3"/>
      <c r="U24" s="4"/>
    </row>
    <row r="25" spans="1:22" ht="28.8" x14ac:dyDescent="0.3">
      <c r="A25" t="s">
        <v>101</v>
      </c>
      <c r="B25" t="s">
        <v>24</v>
      </c>
      <c r="C25" t="s">
        <v>102</v>
      </c>
      <c r="D25" s="5" t="s">
        <v>103</v>
      </c>
      <c r="E25">
        <v>50</v>
      </c>
      <c r="F25" t="s">
        <v>27</v>
      </c>
      <c r="G25" s="3">
        <v>1230</v>
      </c>
      <c r="H25" s="3">
        <v>50</v>
      </c>
      <c r="I25" s="4">
        <v>61500</v>
      </c>
      <c r="J25" s="5" t="s">
        <v>104</v>
      </c>
      <c r="K25" s="3"/>
      <c r="L25" s="3"/>
      <c r="M25" s="4"/>
      <c r="O25" s="3"/>
      <c r="P25" s="3"/>
      <c r="Q25" s="4"/>
      <c r="S25" s="3"/>
      <c r="T25" s="3"/>
      <c r="U25" s="4"/>
    </row>
    <row r="26" spans="1:22" ht="43.2" x14ac:dyDescent="0.3">
      <c r="A26" t="s">
        <v>105</v>
      </c>
      <c r="B26" t="s">
        <v>24</v>
      </c>
      <c r="C26" t="s">
        <v>106</v>
      </c>
      <c r="D26" s="5" t="s">
        <v>107</v>
      </c>
      <c r="E26">
        <v>20</v>
      </c>
      <c r="F26" t="s">
        <v>27</v>
      </c>
      <c r="G26" s="3"/>
      <c r="H26" s="3"/>
      <c r="I26" s="4"/>
      <c r="K26" s="3">
        <v>20380</v>
      </c>
      <c r="L26" s="3">
        <v>20</v>
      </c>
      <c r="M26" s="4">
        <v>407600</v>
      </c>
      <c r="N26" s="5" t="s">
        <v>108</v>
      </c>
      <c r="O26" s="3"/>
      <c r="P26" s="3"/>
      <c r="Q26" s="4"/>
      <c r="S26" s="3"/>
      <c r="T26" s="3"/>
      <c r="U26" s="4"/>
    </row>
    <row r="27" spans="1:22" ht="43.2" x14ac:dyDescent="0.3">
      <c r="A27" t="s">
        <v>109</v>
      </c>
      <c r="B27" t="s">
        <v>24</v>
      </c>
      <c r="C27" t="s">
        <v>110</v>
      </c>
      <c r="D27" s="5" t="s">
        <v>111</v>
      </c>
      <c r="E27">
        <v>600</v>
      </c>
      <c r="F27" t="s">
        <v>27</v>
      </c>
      <c r="G27" s="3">
        <v>1350</v>
      </c>
      <c r="H27" s="3">
        <v>600</v>
      </c>
      <c r="I27" s="4">
        <v>810000</v>
      </c>
      <c r="J27" s="5" t="s">
        <v>112</v>
      </c>
      <c r="K27" s="3"/>
      <c r="L27" s="3"/>
      <c r="M27" s="4"/>
      <c r="O27" s="3"/>
      <c r="P27" s="3"/>
      <c r="Q27" s="4"/>
      <c r="S27" s="3">
        <v>1775.81</v>
      </c>
      <c r="T27" s="3">
        <v>600</v>
      </c>
      <c r="U27" s="4">
        <v>1065486</v>
      </c>
      <c r="V27" s="5" t="s">
        <v>113</v>
      </c>
    </row>
    <row r="28" spans="1:22" ht="28.8" x14ac:dyDescent="0.3">
      <c r="A28" t="s">
        <v>114</v>
      </c>
      <c r="B28" t="s">
        <v>24</v>
      </c>
      <c r="C28" t="s">
        <v>115</v>
      </c>
      <c r="D28" t="s">
        <v>116</v>
      </c>
      <c r="E28">
        <v>300</v>
      </c>
      <c r="F28" t="s">
        <v>27</v>
      </c>
      <c r="G28" s="3">
        <v>2405</v>
      </c>
      <c r="H28" s="3">
        <v>300</v>
      </c>
      <c r="I28" s="4">
        <v>721500</v>
      </c>
      <c r="J28" s="5" t="s">
        <v>117</v>
      </c>
      <c r="K28" s="3"/>
      <c r="L28" s="3"/>
      <c r="M28" s="4"/>
      <c r="O28" s="3">
        <v>2660.31</v>
      </c>
      <c r="P28" s="3">
        <v>300</v>
      </c>
      <c r="Q28" s="4">
        <v>798093</v>
      </c>
      <c r="R28" s="5" t="s">
        <v>118</v>
      </c>
      <c r="S28" s="3"/>
      <c r="T28" s="3"/>
      <c r="U28" s="4"/>
    </row>
    <row r="29" spans="1:22" ht="28.8" x14ac:dyDescent="0.3">
      <c r="A29" t="s">
        <v>119</v>
      </c>
      <c r="B29" t="s">
        <v>24</v>
      </c>
      <c r="C29" t="s">
        <v>120</v>
      </c>
      <c r="D29" t="s">
        <v>121</v>
      </c>
      <c r="E29">
        <v>20</v>
      </c>
      <c r="F29" t="s">
        <v>27</v>
      </c>
      <c r="G29" s="3">
        <v>6979</v>
      </c>
      <c r="H29" s="3">
        <v>20</v>
      </c>
      <c r="I29" s="4">
        <v>139580</v>
      </c>
      <c r="J29" s="5" t="s">
        <v>122</v>
      </c>
      <c r="K29" s="3">
        <v>13583</v>
      </c>
      <c r="L29" s="3">
        <v>20</v>
      </c>
      <c r="M29" s="4">
        <v>271660</v>
      </c>
      <c r="N29" s="5" t="s">
        <v>123</v>
      </c>
      <c r="O29" s="3">
        <v>7701.21</v>
      </c>
      <c r="P29" s="3">
        <v>20</v>
      </c>
      <c r="Q29" s="4">
        <v>154024.20000000001</v>
      </c>
      <c r="R29" s="5" t="s">
        <v>124</v>
      </c>
      <c r="S29" s="3"/>
      <c r="T29" s="3"/>
      <c r="U29" s="4"/>
    </row>
    <row r="30" spans="1:22" ht="28.8" x14ac:dyDescent="0.3">
      <c r="A30" t="s">
        <v>125</v>
      </c>
      <c r="B30" t="s">
        <v>24</v>
      </c>
      <c r="C30" t="s">
        <v>126</v>
      </c>
      <c r="D30" t="s">
        <v>127</v>
      </c>
      <c r="E30">
        <v>50</v>
      </c>
      <c r="F30" t="s">
        <v>27</v>
      </c>
      <c r="G30" s="3"/>
      <c r="H30" s="3"/>
      <c r="I30" s="4"/>
      <c r="K30" s="3">
        <v>6900</v>
      </c>
      <c r="L30" s="3">
        <v>50</v>
      </c>
      <c r="M30" s="4">
        <v>345000</v>
      </c>
      <c r="N30" s="5" t="s">
        <v>128</v>
      </c>
      <c r="O30" s="3"/>
      <c r="P30" s="3"/>
      <c r="Q30" s="4"/>
      <c r="S30" s="3"/>
      <c r="T30" s="3"/>
      <c r="U30" s="4"/>
    </row>
    <row r="31" spans="1:22" ht="43.2" x14ac:dyDescent="0.3">
      <c r="A31" t="s">
        <v>129</v>
      </c>
      <c r="B31" t="s">
        <v>24</v>
      </c>
      <c r="C31" t="s">
        <v>130</v>
      </c>
      <c r="D31" s="5" t="s">
        <v>131</v>
      </c>
      <c r="E31">
        <v>300</v>
      </c>
      <c r="F31" t="s">
        <v>27</v>
      </c>
      <c r="G31" s="3">
        <v>2030</v>
      </c>
      <c r="H31" s="3">
        <v>300</v>
      </c>
      <c r="I31" s="4">
        <v>609000</v>
      </c>
      <c r="J31" s="5" t="s">
        <v>132</v>
      </c>
      <c r="K31" s="3"/>
      <c r="L31" s="3"/>
      <c r="M31" s="4"/>
      <c r="O31" s="3">
        <v>2250.3200000000002</v>
      </c>
      <c r="P31" s="3">
        <v>300</v>
      </c>
      <c r="Q31" s="4">
        <v>675096</v>
      </c>
      <c r="R31" s="5" t="s">
        <v>133</v>
      </c>
      <c r="S31" s="3"/>
      <c r="T31" s="3"/>
      <c r="U31" s="4"/>
    </row>
    <row r="32" spans="1:22" ht="28.8" x14ac:dyDescent="0.3">
      <c r="A32" t="s">
        <v>134</v>
      </c>
      <c r="B32" t="s">
        <v>24</v>
      </c>
      <c r="C32" t="s">
        <v>135</v>
      </c>
      <c r="D32" s="5" t="s">
        <v>136</v>
      </c>
      <c r="E32">
        <v>350</v>
      </c>
      <c r="F32" t="s">
        <v>27</v>
      </c>
      <c r="G32" s="3">
        <v>646</v>
      </c>
      <c r="H32" s="3">
        <v>350</v>
      </c>
      <c r="I32" s="4">
        <v>226100</v>
      </c>
      <c r="J32" s="5" t="s">
        <v>137</v>
      </c>
      <c r="K32" s="3"/>
      <c r="L32" s="3"/>
      <c r="M32" s="4"/>
      <c r="O32" s="3">
        <v>403.11</v>
      </c>
      <c r="P32" s="3">
        <v>350</v>
      </c>
      <c r="Q32" s="4">
        <v>141088.5</v>
      </c>
      <c r="R32" s="5" t="s">
        <v>138</v>
      </c>
      <c r="S32" s="3"/>
      <c r="T32" s="3"/>
      <c r="U32" s="4"/>
    </row>
    <row r="33" spans="1:22" ht="43.2" x14ac:dyDescent="0.3">
      <c r="A33" t="s">
        <v>139</v>
      </c>
      <c r="B33" t="s">
        <v>24</v>
      </c>
      <c r="C33" t="s">
        <v>140</v>
      </c>
      <c r="D33" s="5" t="s">
        <v>141</v>
      </c>
      <c r="E33">
        <v>12000</v>
      </c>
      <c r="F33" t="s">
        <v>27</v>
      </c>
      <c r="G33" s="3">
        <v>55</v>
      </c>
      <c r="H33" s="3">
        <v>12000</v>
      </c>
      <c r="I33" s="4">
        <v>660000</v>
      </c>
      <c r="J33" s="5" t="s">
        <v>142</v>
      </c>
      <c r="K33" s="3"/>
      <c r="L33" s="3"/>
      <c r="M33" s="4"/>
      <c r="O33" s="3">
        <v>25.04</v>
      </c>
      <c r="P33" s="3">
        <v>12000</v>
      </c>
      <c r="Q33" s="4">
        <v>300480</v>
      </c>
      <c r="R33" s="5" t="s">
        <v>143</v>
      </c>
      <c r="S33" s="3"/>
      <c r="T33" s="3"/>
      <c r="U33" s="4"/>
    </row>
    <row r="34" spans="1:22" ht="43.2" x14ac:dyDescent="0.3">
      <c r="A34" t="s">
        <v>144</v>
      </c>
      <c r="B34" t="s">
        <v>24</v>
      </c>
      <c r="C34" t="s">
        <v>145</v>
      </c>
      <c r="D34" s="5" t="s">
        <v>146</v>
      </c>
      <c r="E34">
        <v>325</v>
      </c>
      <c r="F34" t="s">
        <v>27</v>
      </c>
      <c r="G34" s="3">
        <v>3699</v>
      </c>
      <c r="H34" s="3">
        <v>325</v>
      </c>
      <c r="I34" s="4">
        <v>1202175</v>
      </c>
      <c r="J34" s="5" t="s">
        <v>147</v>
      </c>
      <c r="K34" s="3"/>
      <c r="L34" s="3"/>
      <c r="M34" s="4"/>
      <c r="O34" s="3">
        <v>3260.25</v>
      </c>
      <c r="P34" s="3">
        <v>325</v>
      </c>
      <c r="Q34" s="4">
        <v>1059581.25</v>
      </c>
      <c r="R34" s="5" t="s">
        <v>148</v>
      </c>
      <c r="S34" s="3"/>
      <c r="T34" s="3"/>
      <c r="U34" s="4"/>
    </row>
    <row r="35" spans="1:22" ht="28.8" x14ac:dyDescent="0.3">
      <c r="A35" t="s">
        <v>149</v>
      </c>
      <c r="B35" t="s">
        <v>24</v>
      </c>
      <c r="C35" t="s">
        <v>150</v>
      </c>
      <c r="D35" t="s">
        <v>151</v>
      </c>
      <c r="E35">
        <v>150</v>
      </c>
      <c r="F35" t="s">
        <v>27</v>
      </c>
      <c r="G35" s="3">
        <v>567</v>
      </c>
      <c r="H35" s="3">
        <v>150</v>
      </c>
      <c r="I35" s="4">
        <v>85050</v>
      </c>
      <c r="J35" s="5" t="s">
        <v>152</v>
      </c>
      <c r="K35" s="3"/>
      <c r="L35" s="3"/>
      <c r="M35" s="4"/>
      <c r="O35" s="3">
        <v>936.9</v>
      </c>
      <c r="P35" s="3">
        <v>150</v>
      </c>
      <c r="Q35" s="4">
        <v>140535</v>
      </c>
      <c r="R35" s="5" t="s">
        <v>153</v>
      </c>
      <c r="S35" s="3"/>
      <c r="T35" s="3"/>
      <c r="U35" s="4"/>
    </row>
    <row r="36" spans="1:22" ht="57.6" x14ac:dyDescent="0.3">
      <c r="A36" t="s">
        <v>154</v>
      </c>
      <c r="B36" t="s">
        <v>24</v>
      </c>
      <c r="C36" t="s">
        <v>155</v>
      </c>
      <c r="D36" s="5" t="s">
        <v>156</v>
      </c>
      <c r="E36">
        <v>2500</v>
      </c>
      <c r="F36" t="s">
        <v>27</v>
      </c>
      <c r="G36" s="3">
        <v>343</v>
      </c>
      <c r="H36" s="3">
        <v>2500</v>
      </c>
      <c r="I36" s="4">
        <v>857500</v>
      </c>
      <c r="J36" s="5" t="s">
        <v>157</v>
      </c>
      <c r="K36" s="3"/>
      <c r="L36" s="3"/>
      <c r="M36" s="4"/>
      <c r="O36" s="3"/>
      <c r="P36" s="3"/>
      <c r="Q36" s="4"/>
      <c r="S36" s="3"/>
      <c r="T36" s="3"/>
      <c r="U36" s="4"/>
    </row>
    <row r="37" spans="1:22" ht="28.8" x14ac:dyDescent="0.3">
      <c r="A37" t="s">
        <v>158</v>
      </c>
      <c r="B37" t="s">
        <v>24</v>
      </c>
      <c r="C37" t="s">
        <v>159</v>
      </c>
      <c r="D37" s="5" t="s">
        <v>160</v>
      </c>
      <c r="E37">
        <v>30</v>
      </c>
      <c r="F37" t="s">
        <v>27</v>
      </c>
      <c r="G37" s="3"/>
      <c r="H37" s="3"/>
      <c r="I37" s="4"/>
      <c r="K37" s="3"/>
      <c r="L37" s="3"/>
      <c r="M37" s="4"/>
      <c r="O37" s="3"/>
      <c r="P37" s="3"/>
      <c r="Q37" s="4"/>
      <c r="S37" s="3"/>
      <c r="T37" s="3"/>
      <c r="U37" s="4"/>
    </row>
    <row r="38" spans="1:22" ht="57.6" x14ac:dyDescent="0.3">
      <c r="A38" t="s">
        <v>161</v>
      </c>
      <c r="B38" t="s">
        <v>24</v>
      </c>
      <c r="C38" t="s">
        <v>162</v>
      </c>
      <c r="D38" s="5" t="s">
        <v>163</v>
      </c>
      <c r="E38">
        <v>600</v>
      </c>
      <c r="F38" t="s">
        <v>27</v>
      </c>
      <c r="G38" s="3">
        <v>14990</v>
      </c>
      <c r="H38" s="3">
        <v>600</v>
      </c>
      <c r="I38" s="4">
        <v>8994000</v>
      </c>
      <c r="J38" s="5" t="s">
        <v>164</v>
      </c>
      <c r="K38" s="3"/>
      <c r="L38" s="3"/>
      <c r="M38" s="4"/>
      <c r="O38" s="3">
        <v>24900.75</v>
      </c>
      <c r="P38" s="3">
        <v>600</v>
      </c>
      <c r="Q38" s="4">
        <v>14940450</v>
      </c>
      <c r="R38" s="5" t="s">
        <v>165</v>
      </c>
      <c r="S38" s="3">
        <v>21140.37</v>
      </c>
      <c r="T38" s="3">
        <v>600</v>
      </c>
      <c r="U38" s="4">
        <v>12684222</v>
      </c>
      <c r="V38" t="s">
        <v>166</v>
      </c>
    </row>
    <row r="39" spans="1:22" x14ac:dyDescent="0.3">
      <c r="C39" t="s">
        <v>167</v>
      </c>
      <c r="D39" s="5"/>
      <c r="G39" s="3"/>
      <c r="H39" s="3"/>
      <c r="I39" s="4">
        <f>SUBTOTAL(109,Table2[Total por renglón])</f>
        <v>26342385</v>
      </c>
      <c r="J39" s="5"/>
      <c r="K39" s="3"/>
      <c r="L39" s="3"/>
      <c r="M39" s="4">
        <f>SUBTOTAL(109,Table3[Total por renglón])</f>
        <v>10529260</v>
      </c>
      <c r="O39" s="3"/>
      <c r="P39" s="3"/>
      <c r="Q39" s="4">
        <f>SUBTOTAL(109,Table4[Total por renglón])</f>
        <v>24717198.449999999</v>
      </c>
      <c r="R39" s="5"/>
      <c r="S39" s="3"/>
      <c r="T39" s="3"/>
      <c r="U39" s="4">
        <f>SUBTOTAL(109,Table5[Total por renglón])</f>
        <v>17859304.100000001</v>
      </c>
    </row>
  </sheetData>
  <mergeCells count="5">
    <mergeCell ref="G8:J8"/>
    <mergeCell ref="K8:N8"/>
    <mergeCell ref="O8:R8"/>
    <mergeCell ref="S8:V8"/>
    <mergeCell ref="A8:F8"/>
  </mergeCells>
  <pageMargins left="0.75" right="0.75" top="0.75" bottom="0.5" header="0.5" footer="0.75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BELLIDO</dc:creator>
  <cp:lastModifiedBy>CARINA BELLIDO</cp:lastModifiedBy>
  <dcterms:created xsi:type="dcterms:W3CDTF">2025-06-24T12:40:51Z</dcterms:created>
  <dcterms:modified xsi:type="dcterms:W3CDTF">2025-06-24T12:46:58Z</dcterms:modified>
</cp:coreProperties>
</file>