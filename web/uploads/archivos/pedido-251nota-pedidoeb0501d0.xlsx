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357D3E8-0745-4EB5-A327-BC66E9A8587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Trimestrales'!$A$9:$I$23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Trimestrales'!$E$9:$E$23</definedName>
  </definedNames>
  <calcPr calcId="181029"/>
</workbook>
</file>

<file path=xl/calcChain.xml><?xml version="1.0" encoding="utf-8"?>
<calcChain xmlns="http://schemas.openxmlformats.org/spreadsheetml/2006/main">
  <c r="Q23" i="3" l="1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E2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E25" i="2"/>
  <c r="B25" i="2"/>
  <c r="E23" i="2"/>
  <c r="B23" i="2"/>
  <c r="I22" i="1" l="1"/>
  <c r="I21" i="1"/>
  <c r="I20" i="1"/>
  <c r="I10" i="1" l="1"/>
  <c r="G12" i="2" l="1"/>
  <c r="F12" i="2"/>
  <c r="I23" i="1"/>
  <c r="I19" i="1"/>
  <c r="I18" i="1"/>
  <c r="I17" i="1"/>
  <c r="I16" i="1"/>
  <c r="I15" i="1"/>
  <c r="I14" i="1"/>
  <c r="I13" i="1"/>
  <c r="F26" i="2" l="1"/>
  <c r="D4" i="2"/>
  <c r="D3" i="2"/>
  <c r="A10" i="3" l="1"/>
  <c r="B14" i="2" l="1"/>
  <c r="B16" i="2"/>
  <c r="B17" i="2"/>
  <c r="B18" i="2"/>
  <c r="B19" i="2"/>
  <c r="B20" i="2"/>
  <c r="B21" i="2"/>
  <c r="B22" i="2"/>
  <c r="E14" i="2"/>
  <c r="E15" i="2"/>
  <c r="E16" i="2"/>
  <c r="E17" i="2"/>
  <c r="E18" i="2"/>
  <c r="E19" i="2"/>
  <c r="E20" i="2"/>
  <c r="E21" i="2"/>
  <c r="E22" i="2"/>
  <c r="E13" i="2"/>
  <c r="B13" i="2"/>
  <c r="I12" i="1" l="1"/>
  <c r="I11" i="1"/>
  <c r="D1" i="3" l="1"/>
  <c r="E12" i="2"/>
  <c r="C12" i="2"/>
</calcChain>
</file>

<file path=xl/sharedStrings.xml><?xml version="1.0" encoding="utf-8"?>
<sst xmlns="http://schemas.openxmlformats.org/spreadsheetml/2006/main" count="139" uniqueCount="90">
  <si>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</si>
  <si>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</si>
  <si>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</si>
  <si>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</si>
  <si>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</si>
  <si>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</si>
  <si>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</si>
  <si>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</si>
  <si>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</si>
  <si>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</si>
  <si>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</si>
  <si>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</si>
  <si>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</si>
  <si>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</si>
  <si>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</si>
  <si>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</si>
  <si>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</si>
  <si>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</si>
  <si>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</si>
  <si>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</si>
  <si>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</si>
  <si>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</si>
  <si>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</si>
  <si>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</si>
  <si>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</si>
  <si>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</si>
  <si>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</si>
  <si>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</si>
  <si>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</si>
  <si>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</si>
  <si>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</si>
  <si>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</si>
  <si>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</si>
  <si>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</si>
  <si>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</si>
  <si>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</si>
  <si>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</si>
  <si>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</si>
  <si>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</si>
  <si>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</si>
  <si>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</si>
  <si>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</si>
  <si>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</si>
  <si>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</si>
  <si>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</si>
  <si>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</si>
  <si>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</si>
  <si>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</si>
  <si>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</si>
  <si>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</si>
  <si>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</si>
  <si>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</si>
  <si>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</si>
  <si>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</si>
  <si>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</si>
  <si>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</si>
  <si>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</si>
  <si>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</si>
  <si>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</si>
  <si>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</si>
  <si>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</si>
  <si>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</si>
  <si>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</si>
  <si>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</si>
  <si>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</si>
  <si>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</si>
  <si>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</si>
  <si>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</si>
  <si>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LIDOCAINA JALEA X 25 ML.</t>
  </si>
  <si>
    <t>LIDOCAINA 10% SPRAY X 50 GR</t>
  </si>
  <si>
    <t>REMIFENTANILO 5MG INY.LIOF.X 1</t>
  </si>
  <si>
    <t>NEOSTIGMINA 0,5 MG.AMP. X 1 ML.</t>
  </si>
  <si>
    <t>ALCOHOL 70%  X 500 ML</t>
  </si>
  <si>
    <t>ALCOHOL 70% EN GEL X 250 ML</t>
  </si>
  <si>
    <t>ALCOHOL 70% EN GEL X 500 ML</t>
  </si>
  <si>
    <t>ALCOHOL 96º X  500 ML.</t>
  </si>
  <si>
    <t>ALCOHOL 96º X 1000 ML</t>
  </si>
  <si>
    <t>IODOPOVIDONA SOLUCION 10% X 1000ML C/DISP.</t>
  </si>
  <si>
    <t>NITROFURAZONA 0,22% SOL.X 1 LTS.</t>
  </si>
  <si>
    <t>021/2021</t>
  </si>
  <si>
    <t>Para la adquisición de Antibioticos y Anticepticos destinados al servico de Farmacia del Hospital Interzonal de Niños Eva Peron, para el normal funcionamiento del organismo.</t>
  </si>
  <si>
    <t>TOTAL DE PESOS: Dos Millones cuatrocientos Setenta y nueve mil Setecientos cinco CON 50/100.</t>
  </si>
  <si>
    <t>JABON LIQUIDO HIPOALERGENICO ENV.X 800ML CAJ.X 10 UNID.</t>
  </si>
  <si>
    <t xml:space="preserve"> Items 11: Envase para Dispenser tipo JL4</t>
  </si>
  <si>
    <t>LOCION HIDROALCOHOLICA ANTI. MICROB.C/CLORHE.</t>
  </si>
  <si>
    <t xml:space="preserve"> Items 12: Envase para Dispenser tipo L9</t>
  </si>
  <si>
    <t xml:space="preserve">LOCION ALCOHOLICA BACT. C/EMOLIEN. ENV. X 800. </t>
  </si>
  <si>
    <t xml:space="preserve"> Items 14: Envase para Dispenser tipo L7</t>
  </si>
  <si>
    <t>Descripción de Items.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</si>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</sst>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25" fillId="0" borderId="52" xfId="0" applyFont="1" applyBorder="1"/>
    <xf numFmtId="0" fontId="15" fillId="0" borderId="55" xfId="0" applyFont="1" applyBorder="1"/>
    <xf numFmtId="0" fontId="15" fillId="0" borderId="0" xfId="0" applyFont="1" applyBorder="1"/>
    <xf numFmtId="0" fontId="15" fillId="0" borderId="56" xfId="0" applyFont="1" applyBorder="1"/>
    <xf numFmtId="0" fontId="15" fillId="0" borderId="57" xfId="0" applyFont="1" applyBorder="1"/>
    <xf numFmtId="0" fontId="17" fillId="0" borderId="0" xfId="0" applyFont="1" applyBorder="1" applyAlignment="1">
      <alignment horizontal="left" vertical="center" wrapText="1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3" fillId="3" borderId="15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24" fillId="0" borderId="53" xfId="0" applyFont="1" applyBorder="1" applyAlignment="1">
      <alignment horizontal="left" indent="3"/>
    </xf>
    <xf numFmtId="0" fontId="24" fillId="0" borderId="0" xfId="0" applyFont="1" applyBorder="1" applyAlignment="1"/>
    <xf numFmtId="0" fontId="15" fillId="0" borderId="0" xfId="0" applyFont="1" applyBorder="1" applyAlignment="1">
      <alignment horizontal="left" indent="3"/>
    </xf>
    <xf numFmtId="0" fontId="15" fillId="0" borderId="58" xfId="0" applyFont="1" applyBorder="1" applyAlignment="1">
      <alignment horizontal="left" indent="3"/>
    </xf>
    <xf numFmtId="0" fontId="25" fillId="0" borderId="53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0"/>
  <sheetViews>
    <sheetView tabSelected="1" zoomScaleNormal="100" workbookViewId="0">
      <selection activeCell="B10" sqref="B10"/>
    </sheetView>
  </sheetViews>
  <sheetFormatPr baseColWidth="10" defaultColWidth="11" defaultRowHeight="12.75" x14ac:dyDescent="0.2"/>
  <cols>
    <col min="1" max="1" width="4.5703125" style="32" customWidth="1"/>
    <col min="2" max="3" width="14" style="32" customWidth="1"/>
    <col min="4" max="4" width="13.28515625" style="32" customWidth="1"/>
    <col min="5" max="5" width="52.5703125" style="32" customWidth="1"/>
    <col min="6" max="6" width="11" style="32" customWidth="1"/>
    <col min="7" max="7" width="10.42578125" style="85" bestFit="1" customWidth="1"/>
    <col min="8" max="8" width="13.85546875" style="78" customWidth="1"/>
    <col min="9" max="9" width="18.5703125" style="32" customWidth="1"/>
    <col min="10" max="16384" width="11" style="32"/>
  </cols>
  <sheetData>
    <row r="2" spans="1:9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9" ht="12" customHeight="1" x14ac:dyDescent="0.2"/>
    <row r="4" spans="1:9" ht="18" customHeight="1" x14ac:dyDescent="0.25">
      <c r="A4" s="101" t="s">
        <v>1</v>
      </c>
      <c r="B4" s="101"/>
      <c r="C4" s="96"/>
      <c r="D4" s="103" t="s">
        <v>52</v>
      </c>
      <c r="E4" s="103"/>
      <c r="F4" s="33"/>
      <c r="G4" s="86"/>
    </row>
    <row r="5" spans="1:9" ht="18" customHeight="1" x14ac:dyDescent="0.25">
      <c r="A5" s="101" t="s">
        <v>2</v>
      </c>
      <c r="B5" s="101"/>
      <c r="C5" s="96"/>
      <c r="D5" s="103" t="s">
        <v>51</v>
      </c>
      <c r="E5" s="103"/>
      <c r="F5" s="33"/>
      <c r="G5" s="86"/>
    </row>
    <row r="6" spans="1:9" ht="16.5" customHeight="1" x14ac:dyDescent="0.25">
      <c r="A6" s="101" t="s">
        <v>3</v>
      </c>
      <c r="B6" s="101"/>
      <c r="C6" s="96"/>
      <c r="D6" s="56">
        <v>2021</v>
      </c>
      <c r="E6" s="57"/>
      <c r="F6" s="33"/>
      <c r="G6" s="86"/>
    </row>
    <row r="7" spans="1:9" ht="16.5" customHeight="1" x14ac:dyDescent="0.25">
      <c r="A7" s="101" t="s">
        <v>4</v>
      </c>
      <c r="B7" s="101"/>
      <c r="C7" s="96"/>
      <c r="D7" s="56">
        <v>1</v>
      </c>
      <c r="E7" s="57"/>
      <c r="F7" s="33"/>
      <c r="G7" s="86"/>
    </row>
    <row r="8" spans="1:9" ht="13.5" thickBot="1" x14ac:dyDescent="0.25">
      <c r="B8" s="33"/>
      <c r="C8" s="33"/>
      <c r="D8" s="34"/>
      <c r="E8" s="33"/>
      <c r="F8" s="33"/>
      <c r="G8" s="86"/>
    </row>
    <row r="9" spans="1:9" ht="27" thickTop="1" thickBot="1" x14ac:dyDescent="0.25">
      <c r="A9" s="37" t="s">
        <v>5</v>
      </c>
      <c r="B9" s="35" t="s">
        <v>89</v>
      </c>
      <c r="C9" s="35" t="s">
        <v>6</v>
      </c>
      <c r="D9" s="35" t="s">
        <v>7</v>
      </c>
      <c r="E9" s="66" t="s">
        <v>8</v>
      </c>
      <c r="F9" s="38" t="s">
        <v>9</v>
      </c>
      <c r="G9" s="35" t="s">
        <v>10</v>
      </c>
      <c r="H9" s="79" t="s">
        <v>11</v>
      </c>
      <c r="I9" s="35" t="s">
        <v>12</v>
      </c>
    </row>
    <row r="10" spans="1:9" ht="13.5" thickTop="1" x14ac:dyDescent="0.2">
      <c r="A10" s="36">
        <v>1</v>
      </c>
      <c r="B10" s="39">
        <v>252</v>
      </c>
      <c r="C10" s="39"/>
      <c r="D10" s="39" t="s">
        <v>55</v>
      </c>
      <c r="E10" s="39" t="s">
        <v>68</v>
      </c>
      <c r="F10" s="65" t="s">
        <v>13</v>
      </c>
      <c r="G10" s="87">
        <v>150</v>
      </c>
      <c r="H10" s="80">
        <v>125.13</v>
      </c>
      <c r="I10" s="58">
        <f>+G10*H10</f>
        <v>18769.5</v>
      </c>
    </row>
    <row r="11" spans="1:9" x14ac:dyDescent="0.2">
      <c r="A11" s="36">
        <v>2</v>
      </c>
      <c r="B11" s="39">
        <v>252</v>
      </c>
      <c r="C11" s="39"/>
      <c r="D11" s="39" t="s">
        <v>55</v>
      </c>
      <c r="E11" s="39" t="s">
        <v>69</v>
      </c>
      <c r="F11" s="65" t="s">
        <v>13</v>
      </c>
      <c r="G11" s="88">
        <v>50</v>
      </c>
      <c r="H11" s="81">
        <v>469.73</v>
      </c>
      <c r="I11" s="59">
        <f>G11*H11</f>
        <v>23486.5</v>
      </c>
    </row>
    <row r="12" spans="1:9" ht="13.5" thickBot="1" x14ac:dyDescent="0.25">
      <c r="A12" s="36">
        <v>3</v>
      </c>
      <c r="B12" s="39">
        <v>252</v>
      </c>
      <c r="C12" s="39"/>
      <c r="D12" s="39" t="s">
        <v>55</v>
      </c>
      <c r="E12" s="39" t="s">
        <v>70</v>
      </c>
      <c r="F12" s="65" t="s">
        <v>13</v>
      </c>
      <c r="G12" s="88">
        <v>100</v>
      </c>
      <c r="H12" s="81">
        <v>942.45</v>
      </c>
      <c r="I12" s="59">
        <f t="shared" ref="I12" si="0">G12*H12</f>
        <v>94245</v>
      </c>
    </row>
    <row r="13" spans="1:9" ht="13.5" thickBot="1" x14ac:dyDescent="0.25">
      <c r="A13" s="36">
        <v>4</v>
      </c>
      <c r="B13" s="39">
        <v>252</v>
      </c>
      <c r="C13" s="39"/>
      <c r="D13" s="39" t="s">
        <v>55</v>
      </c>
      <c r="E13" s="39" t="s">
        <v>71</v>
      </c>
      <c r="F13" s="65" t="s">
        <v>13</v>
      </c>
      <c r="G13" s="88">
        <v>100</v>
      </c>
      <c r="H13" s="81">
        <v>56.65</v>
      </c>
      <c r="I13" s="58">
        <f t="shared" ref="I13:I23" si="1">+G13*H13</f>
        <v>5665</v>
      </c>
    </row>
    <row r="14" spans="1:9" ht="13.5" thickBot="1" x14ac:dyDescent="0.25">
      <c r="A14" s="36">
        <v>5</v>
      </c>
      <c r="B14" s="39">
        <v>251</v>
      </c>
      <c r="C14" s="39"/>
      <c r="D14" s="39" t="s">
        <v>55</v>
      </c>
      <c r="E14" s="39" t="s">
        <v>72</v>
      </c>
      <c r="F14" s="65" t="s">
        <v>13</v>
      </c>
      <c r="G14" s="88">
        <v>8000</v>
      </c>
      <c r="H14" s="81">
        <v>98.99</v>
      </c>
      <c r="I14" s="58">
        <f t="shared" si="1"/>
        <v>791920</v>
      </c>
    </row>
    <row r="15" spans="1:9" ht="13.5" thickBot="1" x14ac:dyDescent="0.25">
      <c r="A15" s="36">
        <v>6</v>
      </c>
      <c r="B15" s="39">
        <v>251</v>
      </c>
      <c r="C15" s="39"/>
      <c r="D15" s="39" t="s">
        <v>55</v>
      </c>
      <c r="E15" s="39" t="s">
        <v>73</v>
      </c>
      <c r="F15" s="65" t="s">
        <v>13</v>
      </c>
      <c r="G15" s="88">
        <v>2000</v>
      </c>
      <c r="H15" s="81">
        <v>99</v>
      </c>
      <c r="I15" s="58">
        <f t="shared" si="1"/>
        <v>198000</v>
      </c>
    </row>
    <row r="16" spans="1:9" ht="13.5" thickBot="1" x14ac:dyDescent="0.25">
      <c r="A16" s="36">
        <v>7</v>
      </c>
      <c r="B16" s="39">
        <v>251</v>
      </c>
      <c r="C16" s="39"/>
      <c r="D16" s="39" t="s">
        <v>55</v>
      </c>
      <c r="E16" s="39" t="s">
        <v>74</v>
      </c>
      <c r="F16" s="65" t="s">
        <v>13</v>
      </c>
      <c r="G16" s="88">
        <v>2000</v>
      </c>
      <c r="H16" s="81">
        <v>196.99</v>
      </c>
      <c r="I16" s="58">
        <f t="shared" si="1"/>
        <v>393980</v>
      </c>
    </row>
    <row r="17" spans="1:9" ht="13.5" thickBot="1" x14ac:dyDescent="0.25">
      <c r="A17" s="36">
        <v>8</v>
      </c>
      <c r="B17" s="39">
        <v>251</v>
      </c>
      <c r="C17" s="39"/>
      <c r="D17" s="39" t="s">
        <v>55</v>
      </c>
      <c r="E17" s="39" t="s">
        <v>75</v>
      </c>
      <c r="F17" s="65" t="s">
        <v>13</v>
      </c>
      <c r="G17" s="88">
        <v>2000</v>
      </c>
      <c r="H17" s="81">
        <v>185</v>
      </c>
      <c r="I17" s="58">
        <f t="shared" si="1"/>
        <v>370000</v>
      </c>
    </row>
    <row r="18" spans="1:9" ht="13.5" thickBot="1" x14ac:dyDescent="0.25">
      <c r="A18" s="36">
        <v>9</v>
      </c>
      <c r="B18" s="39">
        <v>251</v>
      </c>
      <c r="C18" s="39"/>
      <c r="D18" s="39" t="s">
        <v>55</v>
      </c>
      <c r="E18" s="39" t="s">
        <v>76</v>
      </c>
      <c r="F18" s="65" t="s">
        <v>13</v>
      </c>
      <c r="G18" s="88">
        <v>2000</v>
      </c>
      <c r="H18" s="81">
        <v>199</v>
      </c>
      <c r="I18" s="58">
        <f t="shared" si="1"/>
        <v>398000</v>
      </c>
    </row>
    <row r="19" spans="1:9" ht="13.5" thickBot="1" x14ac:dyDescent="0.25">
      <c r="A19" s="36">
        <v>10</v>
      </c>
      <c r="B19" s="39">
        <v>252</v>
      </c>
      <c r="C19" s="39"/>
      <c r="D19" s="39" t="s">
        <v>55</v>
      </c>
      <c r="E19" s="39" t="s">
        <v>77</v>
      </c>
      <c r="F19" s="65" t="s">
        <v>13</v>
      </c>
      <c r="G19" s="88">
        <v>100</v>
      </c>
      <c r="H19" s="81">
        <v>604</v>
      </c>
      <c r="I19" s="58">
        <f t="shared" si="1"/>
        <v>60400</v>
      </c>
    </row>
    <row r="20" spans="1:9" ht="13.5" thickBot="1" x14ac:dyDescent="0.25">
      <c r="A20" s="36">
        <v>11</v>
      </c>
      <c r="B20" s="39">
        <v>251</v>
      </c>
      <c r="C20" s="39"/>
      <c r="D20" s="39" t="s">
        <v>55</v>
      </c>
      <c r="E20" s="39" t="s">
        <v>82</v>
      </c>
      <c r="F20" s="65" t="s">
        <v>13</v>
      </c>
      <c r="G20" s="88">
        <v>60</v>
      </c>
      <c r="H20" s="81">
        <v>847</v>
      </c>
      <c r="I20" s="58">
        <f t="shared" ref="I20:I22" si="2">+G20*H20</f>
        <v>50820</v>
      </c>
    </row>
    <row r="21" spans="1:9" ht="13.5" thickBot="1" x14ac:dyDescent="0.25">
      <c r="A21" s="36">
        <v>12</v>
      </c>
      <c r="B21" s="39">
        <v>251</v>
      </c>
      <c r="C21" s="39"/>
      <c r="D21" s="39" t="s">
        <v>55</v>
      </c>
      <c r="E21" s="39" t="s">
        <v>84</v>
      </c>
      <c r="F21" s="65" t="s">
        <v>13</v>
      </c>
      <c r="G21" s="88">
        <v>20</v>
      </c>
      <c r="H21" s="81">
        <v>980.1</v>
      </c>
      <c r="I21" s="58">
        <f t="shared" si="2"/>
        <v>19602</v>
      </c>
    </row>
    <row r="22" spans="1:9" ht="13.5" thickBot="1" x14ac:dyDescent="0.25">
      <c r="A22" s="36">
        <v>13</v>
      </c>
      <c r="B22" s="39">
        <v>252</v>
      </c>
      <c r="C22" s="39"/>
      <c r="D22" s="39" t="s">
        <v>55</v>
      </c>
      <c r="E22" s="39" t="s">
        <v>78</v>
      </c>
      <c r="F22" s="65" t="s">
        <v>13</v>
      </c>
      <c r="G22" s="88">
        <v>50</v>
      </c>
      <c r="H22" s="81">
        <v>764.81</v>
      </c>
      <c r="I22" s="58">
        <f t="shared" si="2"/>
        <v>38240.5</v>
      </c>
    </row>
    <row r="23" spans="1:9" x14ac:dyDescent="0.2">
      <c r="A23" s="36">
        <v>14</v>
      </c>
      <c r="B23" s="39">
        <v>251</v>
      </c>
      <c r="C23" s="39"/>
      <c r="D23" s="39" t="s">
        <v>55</v>
      </c>
      <c r="E23" s="39" t="s">
        <v>86</v>
      </c>
      <c r="F23" s="65" t="s">
        <v>13</v>
      </c>
      <c r="G23" s="88">
        <v>20</v>
      </c>
      <c r="H23" s="81">
        <v>828.85</v>
      </c>
      <c r="I23" s="58">
        <f t="shared" si="1"/>
        <v>16577</v>
      </c>
    </row>
    <row r="25" spans="1:9" ht="13.5" thickBot="1" x14ac:dyDescent="0.25"/>
    <row r="26" spans="1:9" x14ac:dyDescent="0.2">
      <c r="B26" s="67" t="s">
        <v>60</v>
      </c>
      <c r="C26" s="146"/>
      <c r="D26" s="68"/>
      <c r="E26" s="68"/>
      <c r="F26" s="69"/>
      <c r="G26" s="89"/>
      <c r="H26" s="82"/>
    </row>
    <row r="27" spans="1:9" ht="12.75" customHeight="1" x14ac:dyDescent="0.2">
      <c r="B27" s="97" t="s">
        <v>61</v>
      </c>
      <c r="C27" s="98"/>
      <c r="D27" s="98"/>
      <c r="E27" s="98"/>
      <c r="F27" s="99"/>
      <c r="G27" s="89"/>
      <c r="H27" s="82"/>
    </row>
    <row r="28" spans="1:9" ht="26.25" customHeight="1" x14ac:dyDescent="0.2">
      <c r="B28" s="97"/>
      <c r="C28" s="98"/>
      <c r="D28" s="98"/>
      <c r="E28" s="98"/>
      <c r="F28" s="99"/>
      <c r="G28" s="89"/>
      <c r="H28" s="82"/>
    </row>
    <row r="29" spans="1:9" ht="26.25" customHeight="1" x14ac:dyDescent="0.2">
      <c r="B29" s="97" t="s">
        <v>67</v>
      </c>
      <c r="C29" s="98"/>
      <c r="D29" s="98"/>
      <c r="E29" s="98"/>
      <c r="F29" s="99"/>
      <c r="G29" s="89"/>
      <c r="H29" s="82"/>
    </row>
    <row r="30" spans="1:9" ht="26.25" customHeight="1" x14ac:dyDescent="0.2">
      <c r="B30" s="97" t="s">
        <v>62</v>
      </c>
      <c r="C30" s="98"/>
      <c r="D30" s="98"/>
      <c r="E30" s="98"/>
      <c r="F30" s="99"/>
      <c r="G30" s="89"/>
      <c r="H30" s="82"/>
    </row>
    <row r="31" spans="1:9" x14ac:dyDescent="0.2">
      <c r="B31" s="70" t="s">
        <v>65</v>
      </c>
      <c r="C31" s="147"/>
      <c r="D31" s="71"/>
      <c r="E31" s="72"/>
      <c r="F31" s="73"/>
      <c r="G31" s="89"/>
      <c r="H31" s="82"/>
    </row>
    <row r="32" spans="1:9" ht="26.25" customHeight="1" x14ac:dyDescent="0.2">
      <c r="B32" s="74"/>
      <c r="C32" s="148"/>
      <c r="D32" s="100" t="s">
        <v>63</v>
      </c>
      <c r="E32" s="100"/>
      <c r="F32" s="100"/>
      <c r="G32" s="89"/>
      <c r="H32" s="82"/>
    </row>
    <row r="33" spans="2:8" ht="13.5" thickBot="1" x14ac:dyDescent="0.25">
      <c r="B33" s="75"/>
      <c r="C33" s="149"/>
      <c r="D33" s="76"/>
      <c r="E33" s="76"/>
      <c r="F33" s="77"/>
      <c r="G33" s="89"/>
      <c r="H33" s="82"/>
    </row>
    <row r="34" spans="2:8" ht="13.5" thickBot="1" x14ac:dyDescent="0.25">
      <c r="G34" s="89"/>
      <c r="H34" s="82"/>
    </row>
    <row r="35" spans="2:8" x14ac:dyDescent="0.2">
      <c r="B35" s="91" t="s">
        <v>88</v>
      </c>
      <c r="C35" s="150"/>
      <c r="D35" s="68"/>
      <c r="E35" s="68"/>
      <c r="F35" s="69"/>
    </row>
    <row r="36" spans="2:8" x14ac:dyDescent="0.2">
      <c r="B36" s="92"/>
      <c r="C36" s="93"/>
      <c r="D36" s="93"/>
      <c r="E36" s="93"/>
      <c r="F36" s="94"/>
    </row>
    <row r="37" spans="2:8" x14ac:dyDescent="0.2">
      <c r="B37" s="92" t="s">
        <v>83</v>
      </c>
      <c r="C37" s="93"/>
      <c r="D37" s="93"/>
      <c r="E37" s="93"/>
      <c r="F37" s="94"/>
    </row>
    <row r="38" spans="2:8" x14ac:dyDescent="0.2">
      <c r="B38" s="92" t="s">
        <v>85</v>
      </c>
      <c r="C38" s="93"/>
      <c r="D38" s="93"/>
      <c r="E38" s="93"/>
      <c r="F38" s="94"/>
    </row>
    <row r="39" spans="2:8" x14ac:dyDescent="0.2">
      <c r="B39" s="92" t="s">
        <v>87</v>
      </c>
      <c r="C39" s="93"/>
      <c r="D39" s="93"/>
      <c r="E39" s="93"/>
      <c r="F39" s="94"/>
    </row>
    <row r="40" spans="2:8" ht="13.5" thickBot="1" x14ac:dyDescent="0.25">
      <c r="B40" s="95"/>
      <c r="C40" s="76"/>
      <c r="D40" s="76"/>
      <c r="E40" s="76"/>
      <c r="F40" s="77"/>
    </row>
  </sheetData>
  <autoFilter ref="A9:I23" xr:uid="{00000000-0009-0000-0000-000000000000}"/>
  <sortState xmlns:xlrd2="http://schemas.microsoft.com/office/spreadsheetml/2017/richdata2" ref="E454:I576">
    <sortCondition ref="I576"/>
  </sortState>
  <mergeCells count="11">
    <mergeCell ref="B2:H2"/>
    <mergeCell ref="A4:B4"/>
    <mergeCell ref="D4:E4"/>
    <mergeCell ref="A5:B5"/>
    <mergeCell ref="D5:E5"/>
    <mergeCell ref="B27:F28"/>
    <mergeCell ref="B30:F30"/>
    <mergeCell ref="D32:F32"/>
    <mergeCell ref="A6:B6"/>
    <mergeCell ref="A7:B7"/>
    <mergeCell ref="B29:F2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26"/>
  <sheetViews>
    <sheetView topLeftCell="A11" zoomScaleNormal="100" workbookViewId="0">
      <selection activeCell="J17" sqref="J17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13" t="s">
        <v>14</v>
      </c>
      <c r="B1" s="113"/>
      <c r="C1" s="113"/>
      <c r="D1" s="113"/>
      <c r="E1" s="113"/>
      <c r="F1" s="40" t="s">
        <v>15</v>
      </c>
      <c r="G1" s="90" t="s">
        <v>79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14" t="s">
        <v>48</v>
      </c>
      <c r="B3" s="114"/>
      <c r="C3" s="114"/>
      <c r="D3" s="116" t="str">
        <f>'[1]Necesidades Trimestrales'!C4</f>
        <v>040 - Ministerio de Salud</v>
      </c>
      <c r="E3" s="117"/>
      <c r="F3" s="117"/>
      <c r="G3" s="118"/>
    </row>
    <row r="4" spans="1:7" ht="18.75" customHeight="1" thickBot="1" x14ac:dyDescent="0.25">
      <c r="A4" s="115" t="s">
        <v>49</v>
      </c>
      <c r="B4" s="115"/>
      <c r="C4" s="115"/>
      <c r="D4" s="107" t="str">
        <f>'[1]Necesidades Trimestrales'!C5</f>
        <v>024 - Hospital Interzonal de Niños</v>
      </c>
      <c r="E4" s="107"/>
      <c r="F4" s="107"/>
      <c r="G4" s="107"/>
    </row>
    <row r="5" spans="1:7" ht="18.75" customHeight="1" thickBot="1" x14ac:dyDescent="0.25">
      <c r="A5" s="115" t="s">
        <v>27</v>
      </c>
      <c r="B5" s="115"/>
      <c r="C5" s="115"/>
      <c r="D5" s="107" t="s">
        <v>51</v>
      </c>
      <c r="E5" s="107"/>
      <c r="F5" s="107"/>
      <c r="G5" s="107"/>
    </row>
    <row r="6" spans="1:7" ht="16.5" customHeight="1" thickBot="1" x14ac:dyDescent="0.25">
      <c r="A6" s="114" t="s">
        <v>50</v>
      </c>
      <c r="B6" s="114"/>
      <c r="C6" s="114"/>
      <c r="D6" s="107" t="s">
        <v>57</v>
      </c>
      <c r="E6" s="107"/>
      <c r="F6" s="107"/>
      <c r="G6" s="107"/>
    </row>
    <row r="7" spans="1:7" ht="16.5" customHeight="1" thickBot="1" x14ac:dyDescent="0.25">
      <c r="A7" s="115" t="s">
        <v>16</v>
      </c>
      <c r="B7" s="115"/>
      <c r="C7" s="115"/>
      <c r="D7" s="107" t="s">
        <v>66</v>
      </c>
      <c r="E7" s="107"/>
      <c r="F7" s="107"/>
      <c r="G7" s="107"/>
    </row>
    <row r="8" spans="1:7" ht="16.5" customHeight="1" thickBot="1" x14ac:dyDescent="0.25">
      <c r="A8" s="109" t="s">
        <v>17</v>
      </c>
      <c r="B8" s="109"/>
      <c r="C8" s="109"/>
      <c r="D8" s="108" t="s">
        <v>58</v>
      </c>
      <c r="E8" s="108"/>
      <c r="F8" s="108"/>
      <c r="G8" s="108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0" t="s">
        <v>18</v>
      </c>
      <c r="B10" s="111" t="s">
        <v>19</v>
      </c>
      <c r="C10" s="111" t="s">
        <v>20</v>
      </c>
      <c r="D10" s="111" t="s">
        <v>21</v>
      </c>
      <c r="E10" s="111" t="s">
        <v>22</v>
      </c>
      <c r="F10" s="111" t="s">
        <v>23</v>
      </c>
      <c r="G10" s="112" t="s">
        <v>24</v>
      </c>
    </row>
    <row r="11" spans="1:7" ht="24" customHeight="1" thickBot="1" x14ac:dyDescent="0.25">
      <c r="A11" s="110"/>
      <c r="B11" s="111"/>
      <c r="C11" s="111"/>
      <c r="D11" s="111"/>
      <c r="E11" s="111"/>
      <c r="F11" s="111"/>
      <c r="G11" s="112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Trimestrales'!E10</f>
        <v>LIDOCAINA JALEA X 25 ML.</v>
      </c>
      <c r="D12" s="49" t="s">
        <v>54</v>
      </c>
      <c r="E12" s="50" t="str">
        <f>'Necesidades Trimestrales'!F10</f>
        <v>UNIDAD</v>
      </c>
      <c r="F12" s="51">
        <f>+'Necesidades Trimestrales'!H10</f>
        <v>125.13</v>
      </c>
      <c r="G12" s="52">
        <f>+'Necesidades Trimestrales'!G10</f>
        <v>150</v>
      </c>
    </row>
    <row r="13" spans="1:7" ht="20.25" customHeight="1" thickBot="1" x14ac:dyDescent="0.25">
      <c r="A13" s="47">
        <v>2</v>
      </c>
      <c r="B13" s="53">
        <f>'Necesidades Trimestrales'!B11</f>
        <v>252</v>
      </c>
      <c r="C13" s="48" t="str">
        <f>'Necesidades Trimestrales'!E11</f>
        <v>LIDOCAINA 10% SPRAY X 50 GR</v>
      </c>
      <c r="D13" s="54" t="s">
        <v>54</v>
      </c>
      <c r="E13" s="55" t="str">
        <f>'Necesidades Trimestrales'!F11</f>
        <v>UNIDAD</v>
      </c>
      <c r="F13" s="51">
        <f>+'Necesidades Trimestrales'!H11</f>
        <v>469.73</v>
      </c>
      <c r="G13" s="52">
        <f>+'Necesidades Trimestrales'!G11</f>
        <v>50</v>
      </c>
    </row>
    <row r="14" spans="1:7" ht="20.25" customHeight="1" thickBot="1" x14ac:dyDescent="0.25">
      <c r="A14" s="47">
        <v>3</v>
      </c>
      <c r="B14" s="53">
        <f>'Necesidades Trimestrales'!B12</f>
        <v>252</v>
      </c>
      <c r="C14" s="48" t="str">
        <f>'Necesidades Trimestrales'!E12</f>
        <v>REMIFENTANILO 5MG INY.LIOF.X 1</v>
      </c>
      <c r="D14" s="54" t="s">
        <v>54</v>
      </c>
      <c r="E14" s="55" t="str">
        <f>'Necesidades Trimestrales'!F12</f>
        <v>UNIDAD</v>
      </c>
      <c r="F14" s="51">
        <f>+'Necesidades Trimestrales'!H12</f>
        <v>942.45</v>
      </c>
      <c r="G14" s="52">
        <f>+'Necesidades Trimestrales'!G12</f>
        <v>100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Trimestrales'!E13</f>
        <v>NEOSTIGMINA 0,5 MG.AMP. X 1 ML.</v>
      </c>
      <c r="D15" s="54" t="s">
        <v>54</v>
      </c>
      <c r="E15" s="55" t="str">
        <f>'Necesidades Trimestrales'!F13</f>
        <v>UNIDAD</v>
      </c>
      <c r="F15" s="51">
        <f>+'Necesidades Trimestrales'!H13</f>
        <v>56.65</v>
      </c>
      <c r="G15" s="52">
        <f>+'Necesidades Trimestrales'!G13</f>
        <v>100</v>
      </c>
    </row>
    <row r="16" spans="1:7" ht="20.25" customHeight="1" thickBot="1" x14ac:dyDescent="0.25">
      <c r="A16" s="47">
        <v>5</v>
      </c>
      <c r="B16" s="53">
        <f>'Necesidades Trimestrales'!B14</f>
        <v>251</v>
      </c>
      <c r="C16" s="48" t="str">
        <f>'Necesidades Trimestrales'!E14</f>
        <v>ALCOHOL 70%  X 500 ML</v>
      </c>
      <c r="D16" s="54" t="s">
        <v>54</v>
      </c>
      <c r="E16" s="55" t="str">
        <f>'Necesidades Trimestrales'!F14</f>
        <v>UNIDAD</v>
      </c>
      <c r="F16" s="51">
        <f>+'Necesidades Trimestrales'!H14</f>
        <v>98.99</v>
      </c>
      <c r="G16" s="52">
        <f>+'Necesidades Trimestrales'!G14</f>
        <v>8000</v>
      </c>
    </row>
    <row r="17" spans="1:9" ht="20.25" customHeight="1" thickBot="1" x14ac:dyDescent="0.25">
      <c r="A17" s="47">
        <v>6</v>
      </c>
      <c r="B17" s="53">
        <f>'Necesidades Trimestrales'!B15</f>
        <v>251</v>
      </c>
      <c r="C17" s="48" t="str">
        <f>'Necesidades Trimestrales'!E15</f>
        <v>ALCOHOL 70% EN GEL X 250 ML</v>
      </c>
      <c r="D17" s="54" t="s">
        <v>54</v>
      </c>
      <c r="E17" s="55" t="str">
        <f>'Necesidades Trimestrales'!F15</f>
        <v>UNIDAD</v>
      </c>
      <c r="F17" s="51">
        <f>+'Necesidades Trimestrales'!H15</f>
        <v>99</v>
      </c>
      <c r="G17" s="52">
        <f>+'Necesidades Trimestrales'!G15</f>
        <v>2000</v>
      </c>
    </row>
    <row r="18" spans="1:9" ht="20.25" customHeight="1" thickBot="1" x14ac:dyDescent="0.25">
      <c r="A18" s="47">
        <v>7</v>
      </c>
      <c r="B18" s="53">
        <f>'Necesidades Trimestrales'!B16</f>
        <v>251</v>
      </c>
      <c r="C18" s="48" t="str">
        <f>'Necesidades Trimestrales'!E16</f>
        <v>ALCOHOL 70% EN GEL X 500 ML</v>
      </c>
      <c r="D18" s="54" t="s">
        <v>54</v>
      </c>
      <c r="E18" s="55" t="str">
        <f>'Necesidades Trimestrales'!F16</f>
        <v>UNIDAD</v>
      </c>
      <c r="F18" s="51">
        <f>+'Necesidades Trimestrales'!H16</f>
        <v>196.99</v>
      </c>
      <c r="G18" s="52">
        <f>+'Necesidades Trimestrales'!G16</f>
        <v>2000</v>
      </c>
    </row>
    <row r="19" spans="1:9" ht="20.25" customHeight="1" thickBot="1" x14ac:dyDescent="0.25">
      <c r="A19" s="47">
        <v>8</v>
      </c>
      <c r="B19" s="53">
        <f>'Necesidades Trimestrales'!B17</f>
        <v>251</v>
      </c>
      <c r="C19" s="48" t="str">
        <f>'Necesidades Trimestrales'!E17</f>
        <v>ALCOHOL 96º X  500 ML.</v>
      </c>
      <c r="D19" s="54" t="s">
        <v>54</v>
      </c>
      <c r="E19" s="55" t="str">
        <f>'Necesidades Trimestrales'!F17</f>
        <v>UNIDAD</v>
      </c>
      <c r="F19" s="51">
        <f>+'Necesidades Trimestrales'!H17</f>
        <v>185</v>
      </c>
      <c r="G19" s="52">
        <f>+'Necesidades Trimestrales'!G17</f>
        <v>2000</v>
      </c>
    </row>
    <row r="20" spans="1:9" ht="20.25" customHeight="1" thickBot="1" x14ac:dyDescent="0.25">
      <c r="A20" s="47">
        <v>9</v>
      </c>
      <c r="B20" s="53">
        <f>'Necesidades Trimestrales'!B18</f>
        <v>251</v>
      </c>
      <c r="C20" s="48" t="str">
        <f>'Necesidades Trimestrales'!E18</f>
        <v>ALCOHOL 96º X 1000 ML</v>
      </c>
      <c r="D20" s="54" t="s">
        <v>54</v>
      </c>
      <c r="E20" s="55" t="str">
        <f>'Necesidades Trimestrales'!F18</f>
        <v>UNIDAD</v>
      </c>
      <c r="F20" s="51">
        <f>+'Necesidades Trimestrales'!H18</f>
        <v>199</v>
      </c>
      <c r="G20" s="52">
        <f>+'Necesidades Trimestrales'!G18</f>
        <v>2000</v>
      </c>
    </row>
    <row r="21" spans="1:9" ht="20.25" customHeight="1" thickBot="1" x14ac:dyDescent="0.25">
      <c r="A21" s="47">
        <v>10</v>
      </c>
      <c r="B21" s="53">
        <f>'Necesidades Trimestrales'!B19</f>
        <v>252</v>
      </c>
      <c r="C21" s="48" t="str">
        <f>'Necesidades Trimestrales'!E19</f>
        <v>IODOPOVIDONA SOLUCION 10% X 1000ML C/DISP.</v>
      </c>
      <c r="D21" s="54" t="s">
        <v>54</v>
      </c>
      <c r="E21" s="55" t="str">
        <f>'Necesidades Trimestrales'!F19</f>
        <v>UNIDAD</v>
      </c>
      <c r="F21" s="51">
        <f>+'Necesidades Trimestrales'!H19</f>
        <v>604</v>
      </c>
      <c r="G21" s="52">
        <f>+'Necesidades Trimestrales'!G19</f>
        <v>100</v>
      </c>
    </row>
    <row r="22" spans="1:9" ht="20.25" customHeight="1" thickBot="1" x14ac:dyDescent="0.25">
      <c r="A22" s="47">
        <v>11</v>
      </c>
      <c r="B22" s="53">
        <f>'Necesidades Trimestrales'!B23</f>
        <v>251</v>
      </c>
      <c r="C22" s="48" t="str">
        <f>'Necesidades Trimestrales'!E20</f>
        <v>JABON LIQUIDO HIPOALERGENICO ENV.X 800ML CAJ.X 10 UNID.</v>
      </c>
      <c r="D22" s="54" t="s">
        <v>54</v>
      </c>
      <c r="E22" s="55" t="str">
        <f>'Necesidades Trimestrales'!F23</f>
        <v>UNIDAD</v>
      </c>
      <c r="F22" s="51">
        <f>+'Necesidades Trimestrales'!H20</f>
        <v>847</v>
      </c>
      <c r="G22" s="52">
        <f>+'Necesidades Trimestrales'!G20</f>
        <v>60</v>
      </c>
    </row>
    <row r="23" spans="1:9" ht="20.25" customHeight="1" thickBot="1" x14ac:dyDescent="0.25">
      <c r="A23" s="47">
        <v>12</v>
      </c>
      <c r="B23" s="53">
        <f>'Necesidades Trimestrales'!B21</f>
        <v>251</v>
      </c>
      <c r="C23" s="48" t="str">
        <f>'Necesidades Trimestrales'!E21</f>
        <v>LOCION HIDROALCOHOLICA ANTI. MICROB.C/CLORHE.</v>
      </c>
      <c r="D23" s="54" t="s">
        <v>54</v>
      </c>
      <c r="E23" s="55" t="str">
        <f>'Necesidades Trimestrales'!F21</f>
        <v>UNIDAD</v>
      </c>
      <c r="F23" s="51">
        <f>+'Necesidades Trimestrales'!H21</f>
        <v>980.1</v>
      </c>
      <c r="G23" s="52">
        <f>+'Necesidades Trimestrales'!G21</f>
        <v>20</v>
      </c>
    </row>
    <row r="24" spans="1:9" ht="20.25" customHeight="1" thickBot="1" x14ac:dyDescent="0.25">
      <c r="A24" s="47">
        <v>13</v>
      </c>
      <c r="B24" s="53">
        <v>252</v>
      </c>
      <c r="C24" s="48" t="str">
        <f>'Necesidades Trimestrales'!E22</f>
        <v>NITROFURAZONA 0,22% SOL.X 1 LTS.</v>
      </c>
      <c r="D24" s="54" t="s">
        <v>54</v>
      </c>
      <c r="E24" s="55" t="str">
        <f>'Necesidades Trimestrales'!F22</f>
        <v>UNIDAD</v>
      </c>
      <c r="F24" s="51">
        <f>+'Necesidades Trimestrales'!H22</f>
        <v>764.81</v>
      </c>
      <c r="G24" s="52">
        <f>+'Necesidades Trimestrales'!G22</f>
        <v>50</v>
      </c>
    </row>
    <row r="25" spans="1:9" ht="20.25" customHeight="1" thickBot="1" x14ac:dyDescent="0.25">
      <c r="A25" s="47">
        <v>14</v>
      </c>
      <c r="B25" s="53">
        <f>'Necesidades Trimestrales'!B22</f>
        <v>252</v>
      </c>
      <c r="C25" s="48" t="str">
        <f>'Necesidades Trimestrales'!E23</f>
        <v xml:space="preserve">LOCION ALCOHOLICA BACT. C/EMOLIEN. ENV. X 800. </v>
      </c>
      <c r="D25" s="54" t="s">
        <v>54</v>
      </c>
      <c r="E25" s="55" t="str">
        <f>'Necesidades Trimestrales'!F22</f>
        <v>UNIDAD</v>
      </c>
      <c r="F25" s="51">
        <f>+'Necesidades Trimestrales'!H23</f>
        <v>828.85</v>
      </c>
      <c r="G25" s="52">
        <f>+'Necesidades Trimestrales'!G23</f>
        <v>20</v>
      </c>
    </row>
    <row r="26" spans="1:9" ht="25.5" customHeight="1" thickBot="1" x14ac:dyDescent="0.25">
      <c r="A26" s="104" t="s">
        <v>56</v>
      </c>
      <c r="B26" s="105"/>
      <c r="C26" s="105"/>
      <c r="D26" s="105"/>
      <c r="E26" s="105"/>
      <c r="F26" s="106">
        <f>SUMPRODUCT(F12:F25,G12:G25)</f>
        <v>2479705.5</v>
      </c>
      <c r="G26" s="106"/>
      <c r="I26" s="83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26:E26"/>
    <mergeCell ref="F26:G2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9" t="s">
        <v>3</v>
      </c>
      <c r="B1" s="119"/>
      <c r="C1" s="119"/>
      <c r="D1" s="120">
        <f>'Necesidades Trimestrales'!D6</f>
        <v>2021</v>
      </c>
      <c r="E1" s="120"/>
      <c r="F1" s="3"/>
      <c r="G1" s="3"/>
      <c r="H1" s="4"/>
      <c r="I1" s="4"/>
      <c r="J1" s="4"/>
      <c r="K1" s="4"/>
      <c r="L1" s="4"/>
      <c r="M1" s="4"/>
      <c r="N1" s="4"/>
      <c r="P1" s="121" t="s">
        <v>25</v>
      </c>
      <c r="Q1" s="121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1"/>
      <c r="Q2" s="121"/>
    </row>
    <row r="4" spans="1:19" s="5" customFormat="1" ht="18" customHeight="1" thickBot="1" x14ac:dyDescent="0.25">
      <c r="A4" s="122" t="s">
        <v>26</v>
      </c>
      <c r="B4" s="122"/>
      <c r="C4" s="122"/>
      <c r="D4" s="122"/>
      <c r="E4" s="122"/>
      <c r="F4" s="122"/>
      <c r="G4" s="123" t="s">
        <v>52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9" s="5" customFormat="1" ht="18" customHeight="1" thickBot="1" x14ac:dyDescent="0.25">
      <c r="A5" s="124" t="s">
        <v>49</v>
      </c>
      <c r="B5" s="125"/>
      <c r="C5" s="125"/>
      <c r="D5" s="125"/>
      <c r="E5" s="125"/>
      <c r="F5" s="126"/>
      <c r="G5" s="123" t="s">
        <v>51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9" s="5" customFormat="1" ht="18" customHeight="1" thickBot="1" x14ac:dyDescent="0.25">
      <c r="A6" s="124" t="s">
        <v>27</v>
      </c>
      <c r="B6" s="125"/>
      <c r="C6" s="125"/>
      <c r="D6" s="125"/>
      <c r="E6" s="125"/>
      <c r="F6" s="126"/>
      <c r="G6" s="123" t="s">
        <v>51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9" s="5" customFormat="1" ht="18" customHeight="1" thickBot="1" x14ac:dyDescent="0.25">
      <c r="A7" s="124" t="s">
        <v>50</v>
      </c>
      <c r="B7" s="125"/>
      <c r="C7" s="125"/>
      <c r="D7" s="125"/>
      <c r="E7" s="125"/>
      <c r="F7" s="126"/>
      <c r="G7" s="123" t="s">
        <v>64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9" ht="18" customHeight="1" thickBot="1" x14ac:dyDescent="0.25">
      <c r="A8" s="127" t="s">
        <v>28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9" ht="18" customHeight="1" x14ac:dyDescent="0.2">
      <c r="A9" s="128" t="s">
        <v>29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6"/>
    </row>
    <row r="10" spans="1:19" ht="54.75" customHeight="1" x14ac:dyDescent="0.2">
      <c r="A10" s="129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021/2021,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0" t="s">
        <v>30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9" ht="15.75" customHeight="1" x14ac:dyDescent="0.2">
      <c r="A13" s="131" t="s">
        <v>31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32</v>
      </c>
      <c r="P13" s="132"/>
      <c r="Q13" s="133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2"/>
      <c r="P14" s="132"/>
      <c r="Q14" s="133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53</v>
      </c>
      <c r="O15" s="134" t="s">
        <v>59</v>
      </c>
      <c r="P15" s="135"/>
      <c r="Q15" s="16">
        <v>240806.5</v>
      </c>
      <c r="S15" s="84"/>
    </row>
    <row r="16" spans="1:19" ht="17.25" customHeight="1" x14ac:dyDescent="0.2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5</v>
      </c>
      <c r="K16" s="18">
        <v>1</v>
      </c>
      <c r="L16" s="18"/>
      <c r="M16" s="19">
        <v>1</v>
      </c>
      <c r="N16" s="24" t="s">
        <v>53</v>
      </c>
      <c r="O16" s="136"/>
      <c r="P16" s="137"/>
      <c r="Q16" s="21">
        <v>2238899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7"/>
      <c r="P17" s="13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7"/>
      <c r="P18" s="137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7"/>
      <c r="P19" s="137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7"/>
      <c r="P20" s="137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6"/>
      <c r="P21" s="136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3"/>
      <c r="P22" s="143"/>
      <c r="Q22" s="30"/>
    </row>
    <row r="23" spans="1:18" ht="29.25" customHeight="1" x14ac:dyDescent="0.2">
      <c r="A23" s="144" t="s">
        <v>81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31">
        <f>SUM(Q15:Q22)</f>
        <v>2479705.5</v>
      </c>
    </row>
    <row r="24" spans="1:18" ht="18" customHeight="1" thickBot="1" x14ac:dyDescent="0.25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8" ht="17.25" customHeight="1" thickBot="1" x14ac:dyDescent="0.25">
      <c r="A25" s="138" t="s">
        <v>47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80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2021-08-13T12:36:13Z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