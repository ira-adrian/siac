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POLICIA CTCA\Repuestos\NO-2021-00848742-CAT-DA#PC 11-08-21\"/>
    </mc:Choice>
  </mc:AlternateContent>
  <xr:revisionPtr revIDLastSave="0" documentId="13_ncr:1_{DA5305A8-CF48-4C48-A3D2-0012C2F8C4E8}" xr6:coauthVersionLast="46" xr6:coauthVersionMax="46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Necesidades Trimestrales" sheetId="1" r:id="rId1"/>
    <sheet name="NOTA" sheetId="4" r:id="rId2"/>
    <sheet name=" NotaPedido" sheetId="2" state="hidden" r:id="rId3"/>
    <sheet name="Autor Gastar" sheetId="3" state="hidden" r:id="rId4"/>
  </sheets>
  <definedNames>
    <definedName name="_xlnm._FilterDatabase" localSheetId="0" hidden="1">'Necesidades Trimestrales'!$A$9:$K$119</definedName>
    <definedName name="_xlnm.Print_Area" localSheetId="2">' NotaPedido'!$A$1:$K$121</definedName>
    <definedName name="_xlnm.Print_Area" localSheetId="3">'Autor Gastar'!$A$1:$Q$21</definedName>
  </definedNames>
  <calcPr calcId="181029"/>
</workbook>
</file>

<file path=xl/calcChain.xml><?xml version="1.0" encoding="utf-8"?>
<calcChain xmlns="http://schemas.openxmlformats.org/spreadsheetml/2006/main">
  <c r="Q17" i="3" l="1"/>
  <c r="A10" i="3"/>
  <c r="A20" i="3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K12" i="2"/>
  <c r="J12" i="2"/>
  <c r="C12" i="2"/>
  <c r="A12" i="2"/>
  <c r="B12" i="2"/>
  <c r="I12" i="2"/>
  <c r="J121" i="2" l="1"/>
  <c r="I10" i="1"/>
  <c r="I119" i="1" l="1"/>
  <c r="G6" i="3"/>
  <c r="G7" i="3"/>
  <c r="D7" i="2"/>
  <c r="D3" i="2"/>
  <c r="G4" i="3" s="1"/>
  <c r="D4" i="2"/>
  <c r="G5" i="3" s="1"/>
  <c r="D1" i="3" l="1"/>
</calcChain>
</file>

<file path=xl/sharedStrings.xml><?xml version="1.0" encoding="utf-8"?>
<sst xmlns="http://schemas.openxmlformats.org/spreadsheetml/2006/main" count="1065" uniqueCount="446">
  <si>
    <t>Pedido de Necesidades Trimestrales</t>
  </si>
  <si>
    <t>JURISDICCION:</t>
  </si>
  <si>
    <t>90 - Ministerio de Seguridad</t>
  </si>
  <si>
    <t xml:space="preserve">SAF N°: </t>
  </si>
  <si>
    <t>7- Dirección Provincial de Administración de la Policía de la Provincia de Catamarca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</si>
  <si>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</si>
  <si>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</si>
  <si>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</si>
  <si>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</si>
  <si>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</si>
  <si>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</si>
  <si>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</si>
  <si>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</si>
  <si>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</si>
  <si>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</si>
  <si>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</si>
  <si>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2.9.6-9688.624</t>
  </si>
  <si>
    <t>REPUESTOS</t>
  </si>
  <si>
    <t>2.9.6</t>
  </si>
  <si>
    <t>REP. Y ACC. P/CAMIONETAS; MARCA AUTOMOTOR: SEGÚN PLIEGO, MODELO AUTOMOTOR: SEGÚN PLIEGO, ELEMENTO: KIT DE FILTROS</t>
  </si>
  <si>
    <t>UNIDAD</t>
  </si>
  <si>
    <t>2.9.6-9688.390</t>
  </si>
  <si>
    <t>REP. Y ACC. P/CAMIONETAS; MARCA AUTOMOTOR: TOYOTA, MODELO AUTOMOTOR: HILUX, ELEMENTO: KIT DE FILTROS</t>
  </si>
  <si>
    <t>2.9.6-9688.386</t>
  </si>
  <si>
    <t>REP. Y ACC. P/CAMIONETAS; MARCA AUTOMOTOR: CHEVROLET, MODELO AUTOMOTOR: S10, ELEMENTO: KIT DE FILTROS</t>
  </si>
  <si>
    <t>2.9.6-9688.521</t>
  </si>
  <si>
    <t>REP. Y ACC. P/CAMIONETAS; MARCA AUTOMOTOR: VOLKSWAGEN, MODELO AUTOMOTOR: AMAROK, ELEMENTO: AMORTIGUADOR</t>
  </si>
  <si>
    <t>2.9.6-9688.376</t>
  </si>
  <si>
    <t>REP. Y ACC. P/CAMIONETAS; MARCA AUTOMOTOR: TOYOTA, MODELO AUTOMOTOR: HILUX, ELEMENTO: AMORTIGUADOR DELANTERO</t>
  </si>
  <si>
    <t>2.9.6-9688.377</t>
  </si>
  <si>
    <t>REP. Y ACC. P/CAMIONETAS; MARCA AUTOMOTOR: TOYOTA, MODELO AUTOMOTOR: HILUX, ELEMENTO: AMORTIGUADOR TRASERO</t>
  </si>
  <si>
    <t>2.9.6-9688.534</t>
  </si>
  <si>
    <t>REP. Y ACC. P/CAMIONETAS; MARCA AUTOMOTOR: CHEVROLET, MODELO AUTOMOTOR: S10, ELEMENTO: AMORTIGUADOR DELANTERO</t>
  </si>
  <si>
    <t>2.9.6-9688.535</t>
  </si>
  <si>
    <t>REP. Y ACC. P/CAMIONETAS; MARCA AUTOMOTOR: CHEVROLET, MODELO AUTOMOTOR: S10, ELEMENTO: AMORTIGUADOR TRASERO</t>
  </si>
  <si>
    <t>2.9.6-9688.203</t>
  </si>
  <si>
    <t>REP. Y ACC. P/CAMIONETAS; MARCA AUTOMOTOR: VOLKSWAGEN, MODELO AUTOMOTOR: AMAROK, ELEMENTO: PASTILLA DE FRENO</t>
  </si>
  <si>
    <t>2.9.6-9688.137</t>
  </si>
  <si>
    <t>REP. Y ACC. P/CAMIONETAS; MARCA AUTOMOTOR: TOYOTA, MODELO AUTOMOTOR: HILUX, ELEMENTO: JGO DE PASTILLAS DE FRENO</t>
  </si>
  <si>
    <t>2.9.6-9688.625</t>
  </si>
  <si>
    <t>REP. Y ACC. P/CAMIONETAS; MARCA AUTOMOTOR: SEGÚN PLIEGO, MODELO AUTOMOTOR: SEGÚN PLIEGO, ELEMENTO: JUEGO PASTILLAS DE FRENO</t>
  </si>
  <si>
    <t>2.9.6-9688.286</t>
  </si>
  <si>
    <t>REP. Y ACC. P/CAMIONETAS; MARCA AUTOMOTOR: VOLKSWAGEN, MODELO AUTOMOTOR: AMAROK, ELEMENTO: INYECTORES</t>
  </si>
  <si>
    <t>2.9.6-9688.483</t>
  </si>
  <si>
    <t>REP. Y ACC. P/CAMIONETAS; MARCA AUTOMOTOR: TOYOTA, MODELO AUTOMOTOR: HILUX, ELEMENTO: INYECTOR</t>
  </si>
  <si>
    <t>2.9.6-9688.540</t>
  </si>
  <si>
    <t>REP. Y ACC. P/CAMIONETAS; MARCA AUTOMOTOR: CHEVROLET, MODELO AUTOMOTOR: S10, ELEMENTO: JUEGO DE INYECTORES</t>
  </si>
  <si>
    <t>2.9.6-9688.626</t>
  </si>
  <si>
    <t>REP. Y ACC. P/CAMIONETAS; MARCA AUTOMOTOR: SEGÚN PLIEGO, MODELO AUTOMOTOR: SEGÚN PLIEGO, ELEMENTO: RADIADOR</t>
  </si>
  <si>
    <t>2.9.6-9688.606</t>
  </si>
  <si>
    <t>REP. Y ACC. P/CAMIONETAS; MARCA AUTOMOTOR: TOYOTA, MODELO AUTOMOTOR: HILUX, ELEMENTO: RADIADOR</t>
  </si>
  <si>
    <t>2.9.6-9688.627</t>
  </si>
  <si>
    <t>REP. Y ACC. P/CAMIONETAS; MARCA AUTOMOTOR: SEGÚN PLIEGO, MODELO AUTOMOTOR: SEGÚN PLIEGO, ELEMENTO: VOLANTE BIMASA</t>
  </si>
  <si>
    <t>2.9.6-9688.145</t>
  </si>
  <si>
    <t>REP. Y ACC. P/CAMIONETAS; MARCA AUTOMOTOR: VOLKSWAGEN, MODELO AUTOMOTOR: AMAROK, ELEMENTO: CONJUNTO EMBRAGUE</t>
  </si>
  <si>
    <t>2.9.6-9688.583</t>
  </si>
  <si>
    <t>REP. Y ACC. P/CAMIONETAS; MARCA AUTOMOTOR: VOLKSWAGEN, MODELO AUTOMOTOR: AMAROK, ELEMENTO: BOMBA DE AGUA</t>
  </si>
  <si>
    <t>2.9.6-9688.189</t>
  </si>
  <si>
    <t>REP. Y ACC. P/CAMIONETAS; MARCA AUTOMOTOR: VOLKSWAGEN, MODELO AUTOMOTOR: AMAROK, ELEMENTO: KIT DE DISTRIBUCION</t>
  </si>
  <si>
    <t>2.9.6-9688.628</t>
  </si>
  <si>
    <t>REP. Y ACC. P/CAMIONETAS; MARCA AUTOMOTOR: SEGÚN PLIEGO, MODELO AUTOMOTOR: SEGÚN PLIEGO, ELEMENTO: ENFRIADOR DE ACEITE</t>
  </si>
  <si>
    <t>2.9.6-9688.632</t>
  </si>
  <si>
    <t>REP. Y ACC. P/CAMIONETAS; MARCA AUTOMOTOR: SEGÚN PLIEGO, MODELO AUTOMOTOR: SEGÚN PLIEGO, ELEMENTO: CORREA DEL ALTERNADOR TRACKER</t>
  </si>
  <si>
    <t>2.9.6-9688.641</t>
  </si>
  <si>
    <t>REP. Y ACC. P/CAMIONETAS; MARCA AUTOMOTOR: SEGÚN PLIEGO, MODELO AUTOMOTOR: SEGÚN PLIEGO, ELEMENTO: PARRILLA SUPERIOR</t>
  </si>
  <si>
    <t>2.9.6-9688.190</t>
  </si>
  <si>
    <t>REP. Y ACC. P/CAMIONETAS; MARCA AUTOMOTOR: VOLKSWAGEN, MODELO AUTOMOTOR: AMAROK, ELEMENTO: PARRILLA DE SUSPENSION INF.</t>
  </si>
  <si>
    <t>2.9.6-9688.633</t>
  </si>
  <si>
    <t>REP. Y ACC. P/CAMIONETAS; MARCA AUTOMOTOR: SEGÚN PLIEGO, MODELO AUTOMOTOR: SEGÚN PLIEGO, ELEMENTO: TENSOR MONOCORREA</t>
  </si>
  <si>
    <t>2.9.6-9688.202</t>
  </si>
  <si>
    <t>REP. Y ACC. P/CAMIONETAS; MARCA AUTOMOTOR: VOLKSWAGEN, MODELO AUTOMOTOR: AMAROK, ELEMENTO: DISCOS DE FRENOS</t>
  </si>
  <si>
    <t>2.9.6-9688.629</t>
  </si>
  <si>
    <t>REP. Y ACC. P/CAMIONETAS; MARCA AUTOMOTOR: SEGÚN PLIEGO, MODELO AUTOMOTOR: SEGÚN PLIEGO, ELEMENTO: BOMBA DE COMBUSTIBLE</t>
  </si>
  <si>
    <t>2.9.6-9688.195</t>
  </si>
  <si>
    <t>REP. Y ACC. P/CAMIONETAS; MARCA AUTOMOTOR: VOLKSWAGEN, MODELO AUTOMOTOR: AMAROK, ELEMENTO: ROTULAS DE SUSPENSION</t>
  </si>
  <si>
    <t>2.9.6-9688.634</t>
  </si>
  <si>
    <t>REP. Y ACC. P/CAMIONETAS; MARCA AUTOMOTOR: SEGÚN PLIEGO, MODELO AUTOMOTOR: SEGÚN PLIEGO, ELEMENTO: BOMBA AUXILIAR ELECTRICA</t>
  </si>
  <si>
    <t>2.9.6-9688.157</t>
  </si>
  <si>
    <t>REP. Y ACC. P/CAMIONETAS; MARCA AUTOMOTOR: VOLKSWAGEN, MODELO AUTOMOTOR: AMAROK, ELEMENTO: CORREA POLI V</t>
  </si>
  <si>
    <t>2.9.6-9688.636</t>
  </si>
  <si>
    <t>REP. Y ACC. P/CAMIONETAS; MARCA AUTOMOTOR: SEGÚN PLIEGO, MODELO AUTOMOTOR: SEGÚN PLIEGO, ELEMENTO: RETEN DE CIGÜEÑAL CON CARCASA PORTA RETEN</t>
  </si>
  <si>
    <t>2.9.6-9688.204</t>
  </si>
  <si>
    <t>REP. Y ACC. P/CAMIONETAS; MARCA AUTOMOTOR: VOLKSWAGEN, MODELO AUTOMOTOR: AMAROK, ELEMENTO: MASA DE RUEDA DELANTERA</t>
  </si>
  <si>
    <t>2.9.6-9688.198</t>
  </si>
  <si>
    <t>REP. Y ACC. P/CAMIONETAS; MARCA AUTOMOTOR: VOLKSWAGEN, MODELO AUTOMOTOR: AMAROK, ELEMENTO: TENSOR CORREA MULTIVIA</t>
  </si>
  <si>
    <t>2.9.6-4978.8452</t>
  </si>
  <si>
    <t>REP. Y ACC. P/AUTOMOTOR; REPUESTO: DISCO DE FRENO, MARCA: TOYOTA, MODELO: HILUX</t>
  </si>
  <si>
    <t>2.9.6-9688.365</t>
  </si>
  <si>
    <t>REP. Y ACC. P/CAMIONETAS; MARCA AUTOMOTOR: TOYOTA, MODELO AUTOMOTOR: HILUX, ELEMENTO: KIT DE DISTRIBUCION</t>
  </si>
  <si>
    <t>2.9.6-9688.435</t>
  </si>
  <si>
    <t>REP. Y ACC. P/CAMIONETAS; MARCA AUTOMOTOR: TOYOTA, MODELO AUTOMOTOR: HILUX, ELEMENTO: BOMBA DE AGUA</t>
  </si>
  <si>
    <t>2.9.6-9688.575</t>
  </si>
  <si>
    <t>REP. Y ACC. P/CAMIONETAS; MARCA AUTOMOTOR: TOYOTA, MODELO AUTOMOTOR: HILUX, ELEMENTO: PARRILLA SUPERIOR</t>
  </si>
  <si>
    <t>2.9.6-9688.574</t>
  </si>
  <si>
    <t>REP. Y ACC. P/CAMIONETAS; MARCA AUTOMOTOR: TOYOTA, MODELO AUTOMOTOR: HILUX, ELEMENTO: PARRILLA INFERIOR</t>
  </si>
  <si>
    <t>2.9.6-9688.637</t>
  </si>
  <si>
    <t>REP. Y ACC. P/CAMIONETAS; MARCA AUTOMOTOR: SEGÚN PLIEGO, MODELO AUTOMOTOR: SEGÚN PLIEGO, ELEMENTO: DERIVADOR DE AGUA</t>
  </si>
  <si>
    <t>2.9.6-9688.638</t>
  </si>
  <si>
    <t>REP. Y ACC. P/CAMIONETAS; MARCA AUTOMOTOR: SEGÚN PLIEGO, MODELO AUTOMOTOR: SEGÚN PLIEGO, ELEMENTO: POLEA EMBRAGUE PARA ALTERNADOR</t>
  </si>
  <si>
    <t>2.9.6-9688.639</t>
  </si>
  <si>
    <t>REP. Y ACC. P/CAMIONETAS; MARCA AUTOMOTOR: SEGÚN PLIEGO, MODELO AUTOMOTOR: SEGÚN PLIEGO, ELEMENTO: TERMOSTATO</t>
  </si>
  <si>
    <t>2.9.6-9688.640</t>
  </si>
  <si>
    <t>REP. Y ACC. P/CAMIONETAS; MARCA AUTOMOTOR: SEGÚN PLIEGO, MODELO AUTOMOTOR: SEGÚN PLIEGO, ELEMENTO: RODAMIENTO</t>
  </si>
  <si>
    <t>2.9.6-4978.9992</t>
  </si>
  <si>
    <t>REP. Y ACC. P/AUTOMOTOR; REPUESTO: KIT DE FILTRO, MARCA: SEGÚN PLIEGO, MODELO: SEGÚN PLIEGO</t>
  </si>
  <si>
    <t>2.9.6-4978.9993</t>
  </si>
  <si>
    <t>REP. Y ACC. P/AUTOMOTOR; REPUESTO: RAMPA INYECTORA, MARCA: SEGÚN PLIEGO, MODELO: SEGÚN PLIEGO</t>
  </si>
  <si>
    <t>2.9.6-4978.9986</t>
  </si>
  <si>
    <t>REP. Y ACC. P/AUTOMOTOR; REPUESTO: PRECAP, MARCA: SEGUN PLIEGO, MODELO: SEGUN PLIEGO, TIPO: AUTO</t>
  </si>
  <si>
    <t>2.9.6-4978.9987</t>
  </si>
  <si>
    <t>REP. Y ACC. P/AUTOMOTOR; REPUESTO: BIELETA, MARCA: SEGUN PLIEGO, MODELO: SEGUN PLIEGO, TIPO: AUTO</t>
  </si>
  <si>
    <t>2.9.6-4978.9988</t>
  </si>
  <si>
    <t>REP. Y ACC. P/AUTOMOTOR; REPUESTO: EXTREMO DE DIRECCION, MARCA: SEGUN PLIEGO, MODELO: SEGUN PLIEGO, TIPO: AUTO</t>
  </si>
  <si>
    <t>2.9.6-4978.9989</t>
  </si>
  <si>
    <t>REP. Y ACC. P/AUTOMOTOR; REPUESTO: JUEGO DE PASTILLAS DE FRENO, MARCA: SEGUN PLIEGO, MODELO: SEGUN PLIEGO, TIPO: AUTO</t>
  </si>
  <si>
    <t>2.9.6-9740.913</t>
  </si>
  <si>
    <t>REP. Y ACC. P/AUTOMOVILES; MARCA AUTOMOVIL: TOYOTA, MODELO AUTOMOVIL: ETIOS, ELEMENTO: PARRILLA SUPERIOR</t>
  </si>
  <si>
    <t>2.9.6-4978.9990</t>
  </si>
  <si>
    <t>REP. Y ACC. P/AUTOMOTOR; REPUESTO: BUJE BARRA ESTABILIZADORA, MARCA: SEGUN PLIEGO, MODELO: SEGUN PLIEGO, TIPO: AUTO</t>
  </si>
  <si>
    <t>2.9.6-4978.9991</t>
  </si>
  <si>
    <t>REP. Y ACC. P/AUTOMOTOR; REPUESTO: HOMOCINETICA, MARCA: SEGUN PLIEGO, MODELO: SEGUN PLIEGO, TIPO: AUTO</t>
  </si>
  <si>
    <t>2.9.6-9688.630</t>
  </si>
  <si>
    <t>REP. Y ACC. P/CAMIONETAS; MARCA AUTOMOTOR: SEGUN PLIEGO, MODELO AUTOMOTOR: SEGUN PLIEGO, ELEMENTO: SOPORTE DE CAJA</t>
  </si>
  <si>
    <t>2.9.6-9688.631</t>
  </si>
  <si>
    <t>REP. Y ACC. P/CAMIONETAS; MARCA AUTOMOTOR: SEGUN PLIEGO, MODELO AUTOMOTOR: SEGUN PLIEGO, ELEMENTO: BUJE BARRA ESTABILIZADORA</t>
  </si>
  <si>
    <t>2.9.6-9688.635</t>
  </si>
  <si>
    <t>REP. Y ACC. P/CAMIONETAS; MARCA AUTOMOTOR: SEGUN PLIEGO, MODELO AUTOMOTOR: SEGUN PLIEGO, ELEMENTO: BUJE CAJA DIRECCION</t>
  </si>
  <si>
    <t>2.9.6-9688.573</t>
  </si>
  <si>
    <t>REP. Y ACC. P/CAMIONETAS; MARCA AUTOMOTOR: TOYOTA, MODELO AUTOMOTOR: HILUX, ELEMENTO: BIELETAS DE BARRA</t>
  </si>
  <si>
    <t>2.9.6-9688.372</t>
  </si>
  <si>
    <t>REP. Y ACC. P/CAMIONETAS; MARCA AUTOMOTOR: TOYOTA, MODELO AUTOMOTOR: HILUX, ELEMENTO: EXTREMO DE DIRECCION</t>
  </si>
  <si>
    <t>2.9.6-9688.441</t>
  </si>
  <si>
    <t>REP. Y ACC. P/CAMIONETAS; MARCA AUTOMOTOR: TOYOTA, MODELO AUTOMOTOR: HILUX, ELEMENTO: PRECAP</t>
  </si>
  <si>
    <t>2.9.6-9688.368</t>
  </si>
  <si>
    <t>REP. Y ACC. P/CAMIONETAS; MARCA AUTOMOTOR: TOYOTA, MODELO AUTOMOTOR: HILUX, ELEMENTO: BUJE BARRA ESTABILIZADORA</t>
  </si>
  <si>
    <t>2.9.6-3997.225</t>
  </si>
  <si>
    <t>2.9.6.</t>
  </si>
  <si>
    <t>REP. Y ACC. P/MOTOS; REPUESTO: FILTRO DE AIRE, USO: HONDA, MODELO AUTOMOTOR: XR 250 R /// XR 250 TORNADO, MODELO MOTO: XR 250 R</t>
  </si>
  <si>
    <t>2.9.6-3997.620</t>
  </si>
  <si>
    <t>REP. Y ACC. P/MOTOS; REPUESTO: FILTRO DE AIRE, USO: SEGUN PLIEGO, MODELO MOTO: SEGUN PLIEGO</t>
  </si>
  <si>
    <t>2.9.6-3997.553</t>
  </si>
  <si>
    <t>REP. Y ACC. P/MOTOS; REPUESTO: PASTILLA FRENO DELANTERO, USO: HONDA, MODELO MOTO: XR 250 TORNADO</t>
  </si>
  <si>
    <t>2.9.6-3997.621</t>
  </si>
  <si>
    <t>REP. Y ACC. P/MOTOS; REPUESTO: JUEGO DE PASTILLAS DE FRENO, USO: SEGUN PLIEGO, MODELO MOTO: SEGUN PLIEGO</t>
  </si>
  <si>
    <t>2.9.6-3997.622</t>
  </si>
  <si>
    <t>REP. Y ACC. P/MOTOS; REPUESTO: ZAPATAS DE FRENO TRASERO, USO: SEGUN PLIEGO, MODELO MOTO: SEGUN PLIEGO</t>
  </si>
  <si>
    <t>2.9.6-3997.518</t>
  </si>
  <si>
    <t>REP. Y ACC. P/MOTOS; REPUESTO: CABLE DE EMBRAGUE, USO: HONDA, MODELO MOTO: XR 250</t>
  </si>
  <si>
    <t>2.9.6-3997.517</t>
  </si>
  <si>
    <t>REP. Y ACC. P/MOTOS; REPUESTO: CABLE DE ACELERADOR, USO: HONDA, MODELO MOTO: XR 250</t>
  </si>
  <si>
    <t>2.9.6-3997.623</t>
  </si>
  <si>
    <t>REP. Y ACC. P/MOTOS; REPUESTO: PALANCA DE EMBRAGUE, USO: SEGUN PLIEGO, MODELO MOTO: SEGUN PLIEGO</t>
  </si>
  <si>
    <t>2.9.6-3997.624</t>
  </si>
  <si>
    <t>REP. Y ACC. P/MOTOS; REPUESTO: PALANCA DE FRENO A DISCO, USO: SEGÚN PLIEGO, MODELO MOTO: SEGÚN PLIEGO</t>
  </si>
  <si>
    <t>2.9.6-3997.625</t>
  </si>
  <si>
    <t>REP. Y ACC. P/MOTOS; REPUESTO: BULBO DE FRENO, USO: SEGÚN PLIEGO, MODELO MOTO: SEGÚN PLIEGO</t>
  </si>
  <si>
    <t>2.9.6-3997.626</t>
  </si>
  <si>
    <t>REP. Y ACC. P/MOTOS; REPUESTO: UNION DE CADENA, USO: SEGÚN PLIEGO, MODELO MOTO: SEGÚN PLIEGO</t>
  </si>
  <si>
    <t>2.9.6-3997.627</t>
  </si>
  <si>
    <t>REP. Y ACC. P/MOTOS; REPUESTO: JUEGOS DE RETENES DE SUSPENSION, USO: SEGUN PLIEGO, MODELO MOTO: SEGUN PLIEGO</t>
  </si>
  <si>
    <t>2.9.6-3997.628</t>
  </si>
  <si>
    <t>REP. Y ACC. P/MOTOS; REPUESTO: JUEGOS DE CARBONES DE MOTOR DE ARRANQUE, USO: SEGUN PLIEGO, MODELO MOTO: SEGUN PLIEGO</t>
  </si>
  <si>
    <t>2.9.6-3997.629</t>
  </si>
  <si>
    <t>REP. Y ACC. P/MOTOS; REPUESTO: JUEGOS DE DISCOS DE EMBRAGUE, USO: SEGUN PLIEGO, MODELO MOTO: SEGUN PLIEGO</t>
  </si>
  <si>
    <t>2.9.6-3997.630</t>
  </si>
  <si>
    <t>REP. Y ACC. P/MOTOS; REPUESTO: BUJIA, USO: SEGÚN PLIEGO, MODELO MOTO: SEGÚN PLIEGO</t>
  </si>
  <si>
    <t>2.9.6-3997.546</t>
  </si>
  <si>
    <t>REP. Y ACC. P/MOTOS; REPUESTO: KIT EMBRAGUE, USO: HONDA, MODELO MOTO: XR 250 TORNADO</t>
  </si>
  <si>
    <t>Especificidades</t>
  </si>
  <si>
    <t xml:space="preserve"> Item N° : 01</t>
  </si>
  <si>
    <t>Descripción técnica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</si>
  <si>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DE FILTROS PARA SERVIS  Incluye filtro de aire, filtro de aceite, filtro de aire acondicionado, filtro de combustible</t>
    </r>
  </si>
  <si>
    <t xml:space="preserve"> Item N° : 02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</si>
  <si>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DE FILTROS PARA SERVIS Incluye filtro de aire, filtro de aceite, filtro de aire acondicionado,</t>
    </r>
  </si>
  <si>
    <t xml:space="preserve"> filtro decombustible</t>
  </si>
  <si>
    <t xml:space="preserve"> Item N° : 03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</si>
  <si>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S-10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2019,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DE FILTROS PARA SERVIS Incluye filtro de aire, filtro de aceite, filtro de aire acondicionado, filtro de combustible</t>
    </r>
  </si>
  <si>
    <t xml:space="preserve"> Item N° : 04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</si>
  <si>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AMORTIGUADORES DELANTEROS (incluye 2: 1 Derecho y 1 Izquierdo) </t>
    </r>
  </si>
  <si>
    <t xml:space="preserve"> Item N° : 05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</si>
  <si>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AMORTIGUADORES TRASEROS (incluye 2: 1 Derecho y 1 Izquierdo) </t>
    </r>
  </si>
  <si>
    <t xml:space="preserve"> Item N° : 06</t>
  </si>
  <si>
    <r>
      <t xml:space="preserve">MARCA </t>
    </r>
    <r>
      <rPr>
        <sz val="10"/>
        <rFont val="Century Gothic"/>
        <family val="2"/>
      </rPr>
      <t>TOYOTA</t>
    </r>
    <r>
      <rPr>
        <u/>
        <sz val="10"/>
        <rFont val="Century Gothic"/>
        <family val="2"/>
      </rPr>
      <t xml:space="preserve"> MODELO:</t>
    </r>
    <r>
      <rPr>
        <sz val="10"/>
        <rFont val="Century Gothic"/>
        <family val="2"/>
      </rPr>
      <t xml:space="preserve"> HILUX 4X2</t>
    </r>
    <r>
      <rPr>
        <u/>
        <sz val="10"/>
        <rFont val="Century Gothic"/>
        <family val="2"/>
      </rPr>
      <t xml:space="preserve"> AÑO: </t>
    </r>
    <r>
      <rPr>
        <sz val="10"/>
        <rFont val="Century Gothic"/>
        <family val="2"/>
      </rPr>
      <t xml:space="preserve">2015 </t>
    </r>
    <r>
      <rPr>
        <u/>
        <sz val="10"/>
        <rFont val="Century Gothic"/>
        <family val="2"/>
      </rPr>
      <t xml:space="preserve"> ELEMENTO: </t>
    </r>
    <r>
      <rPr>
        <sz val="10"/>
        <rFont val="Century Gothic"/>
        <family val="2"/>
      </rPr>
      <t xml:space="preserve">JUEGO AMORTIGUADORES DELANTEROS  (incluye 2: 1 Derecho y 1 Izquierdo) </t>
    </r>
  </si>
  <si>
    <t xml:space="preserve"> Item N° : 07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</si>
  <si>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AMORTIGUADORES TRASEROS  (incluye 2: 1 Derecho y 1 Izquierdo) </t>
    </r>
  </si>
  <si>
    <t xml:space="preserve"> Item N° : 08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</si>
  <si>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MODELO:</t>
    </r>
    <r>
      <rPr>
        <sz val="10"/>
        <rFont val="Century Gothic"/>
        <family val="2"/>
      </rPr>
      <t xml:space="preserve"> HILUX 4X4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2012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AMORTIGUADORES DELANTEROS   (incluye 2: 1 Derecho y 1 Izquierdo) </t>
    </r>
  </si>
  <si>
    <t xml:space="preserve"> Item N° : 09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</si>
  <si>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4X4,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2012 </t>
    </r>
    <r>
      <rPr>
        <u/>
        <sz val="10"/>
        <rFont val="Century Gothic"/>
        <family val="2"/>
      </rPr>
      <t xml:space="preserve">ELEMENTO: </t>
    </r>
    <r>
      <rPr>
        <sz val="10"/>
        <rFont val="Century Gothic"/>
        <family val="2"/>
      </rPr>
      <t xml:space="preserve">JUEGO AMORTIGUADORES TRASEROS    (incluye 2: 1 Derecho y 1 Izquierdo) </t>
    </r>
  </si>
  <si>
    <t xml:space="preserve"> Item N° : 10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</si>
  <si>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S-10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2010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AMORTIGUADORES DELANTEROS   (incluye 2: 1 Derecho y 1 Izquierdo) </t>
    </r>
  </si>
  <si>
    <t xml:space="preserve"> Item N° : 11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</si>
  <si>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S-10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2010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AMORTIGUADORES TRASEROS   (incluye 2: 1 Derecho y 1 Izquierdo) </t>
    </r>
  </si>
  <si>
    <t xml:space="preserve"> Item N° : 12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</si>
  <si>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S-10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2019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AMORTIGUADORES DELANTEROS   (incluye 2: 1 Derecho y 1 Izquierdo) </t>
    </r>
  </si>
  <si>
    <t xml:space="preserve"> Item N° : 13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</si>
  <si>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S-10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2019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AMORTIGUADORES TRASEROS   (incluye 2: 1 Derecho y 1 Izquierdo) </t>
    </r>
  </si>
  <si>
    <t xml:space="preserve"> Item N° : 14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</si>
  <si>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MODELO:</t>
    </r>
    <r>
      <rPr>
        <sz val="10"/>
        <rFont val="Century Gothic"/>
        <family val="2"/>
      </rPr>
      <t xml:space="preserve"> AMAROK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PASTILLAS DE FRENO    (incluye 2 pares : 1 Derecho y 1 Izquierdo) </t>
    </r>
  </si>
  <si>
    <t xml:space="preserve"> Item N° : 15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</si>
  <si>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PASTILLAS DE FRENO   </t>
    </r>
  </si>
  <si>
    <t xml:space="preserve">(incluye 2 pares : 1 Derecho y 1 Izquierdo) </t>
  </si>
  <si>
    <t xml:space="preserve"> Item N° : 16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</si>
  <si>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4X4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2012, </t>
    </r>
    <r>
      <rPr>
        <u/>
        <sz val="10"/>
        <rFont val="Century Gothic"/>
        <family val="2"/>
      </rPr>
      <t xml:space="preserve">ELEMENTO: </t>
    </r>
    <r>
      <rPr>
        <sz val="10"/>
        <rFont val="Century Gothic"/>
        <family val="2"/>
      </rPr>
      <t xml:space="preserve">JUEGO DE PASTILLAS DE FRENO   </t>
    </r>
  </si>
  <si>
    <t xml:space="preserve"> Item N° : 17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</si>
  <si>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S-10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2.019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PASTILLAS DE FRENO   (incluye 2 pares : 1 Derecho y 1 Izquierdo) </t>
    </r>
  </si>
  <si>
    <t xml:space="preserve"> Item N° : 18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</si>
  <si>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INYECTORES PARA MOTOR 2.5 (Incluye: cuatro (4) inyectores diesel por juego)</t>
    </r>
  </si>
  <si>
    <t xml:space="preserve"> Item N° : 19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</si>
  <si>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INYECTORES  PARA MOTOR 2.5 (Incluye: cuatro (4) inyectores diesel por juego)</t>
    </r>
  </si>
  <si>
    <t xml:space="preserve"> Item N° : 20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</si>
  <si>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4X4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2012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INYECTORES  PARA MOTOR 3.0 (Incluye: cuatro (4) inyectores diesel por juego)</t>
    </r>
  </si>
  <si>
    <t xml:space="preserve"> Item N° : 21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</si>
  <si>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S-10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2.019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INYECTORES PARA MOTOR 2.5 (Incluye: cuatro (4) inyectores diesel por juego)</t>
    </r>
  </si>
  <si>
    <t xml:space="preserve"> Item N° : 22</t>
  </si>
  <si>
    <t>MARCA VOLKSWAGEN. MODELO: AMAROK 4x2, AÑO: 2015 ELEMENTO: RADIADOR DE AGUA (Altura x Ancho: 62 cm x 58 cm, Tipo de montaje: Delantero, Espesor: 30
                                                                                                                                                                    cm)</t>
  </si>
  <si>
    <t xml:space="preserve"> Item N° : 23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</si>
  <si>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RADIADOR DE AGUA (Montaje delantero, Altura x Ancho: 53 cm x 65 cm, Material: PLASTICO Y ALUMINIO)</t>
    </r>
  </si>
  <si>
    <t xml:space="preserve"> Item N° : 24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</si>
  <si>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4X4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RADIADOR DE AGUA   (montaje delantero, Altura x Ancho: 53 cm x 65 cm, Material: PLASTICO Y ALUMINIO)</t>
    </r>
  </si>
  <si>
    <t xml:space="preserve"> Item N° : 25</t>
  </si>
  <si>
    <t>MARCA CHEVROLET MODELO: S-10 4X2 AÑO: 2.019 ELEMENTO: RADIADOR DE AGUA (Otras características, Altura x Ancho: 580 cm x 650 cm, Tipo de montaje: Delantero, 
                                                                                                                                                     Espesor: 26 mm, Material: PLASTICO ALUMINIO BRAZADO)</t>
  </si>
  <si>
    <t xml:space="preserve"> Item N° : 26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</si>
  <si>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VOLANTE MOTOR BIMASA (Cantidad de dientes: 118, Diámetro: 300 mm, Material: Acero)</t>
    </r>
  </si>
  <si>
    <t xml:space="preserve"> Item N° : 27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</si>
  <si>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DE EMBRAGUE COMPLETO Tipo de embrague: Monodisco, Incluye placa: Sí, Incluye disco: Sí, Diámetro del disco: 240 mm </t>
    </r>
  </si>
  <si>
    <t xml:space="preserve"> Item N° : 28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</si>
  <si>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BOMBA DE AGUA PARA VW AMAROK/PASSAT 2.0TD.I .Material del cuerpo: Plastico  </t>
    </r>
  </si>
  <si>
    <t xml:space="preserve"> Item N° : 29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</si>
  <si>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DE DISTRIBUCION VW AMAROK 2.0 (Incluye: tensor, bomba de agua, correa poli v,</t>
    </r>
  </si>
  <si>
    <t xml:space="preserve">      rodamientos, rodillo)</t>
  </si>
  <si>
    <t xml:space="preserve"> Item N° : 30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</si>
  <si>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ENFRIADOR DE ACEITE (Enfriador de aceite, base de filtro aceite, filtro de aceite)</t>
    </r>
  </si>
  <si>
    <t xml:space="preserve"> Item N° : 31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</si>
  <si>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CORREA DE ALTERNADOR TRAKER POLI V 6PK1550 ALTERNADOR/AIRE ACONDICIONADO, Material: Goma, Largo: 1555 mm, Peso: 500 g</t>
    </r>
  </si>
  <si>
    <t xml:space="preserve"> Item N° : 32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</si>
  <si>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PARRILLA SUPERIOR DERECHA. (Material del buje: Goma, Material de la parrilla: Metal)</t>
    </r>
  </si>
  <si>
    <t xml:space="preserve"> Item N° : 33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</si>
  <si>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PARRILLA SUPERIOR IZQUIERDA.  (Material del buje: Goma, Material de la parrilla: Metal) </t>
    </r>
  </si>
  <si>
    <t xml:space="preserve"> Item N° : 34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</si>
  <si>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PARRILLA INFERIOR DERECHA. (Material del buje: Goma, Material de la parrilla: Metal)</t>
    </r>
  </si>
  <si>
    <t xml:space="preserve"> Item N° : 35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</si>
  <si>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PARRILLA INFERIOR IZQUIERDA. (Material del buje: Goma, Material de la parrilla: Metal)</t>
    </r>
  </si>
  <si>
    <t xml:space="preserve"> Item N° : 36</t>
  </si>
  <si>
    <t>MARCA VOLKSWAGEN. MODELO: AMAROK 4x2, AÑO: 2015, ELEMENTO: TENSOR MONOCORREA (MOVIL) VW AMAROK  4X2 2015 (Material del tensor de distribución: 
                                                                                                                              Alum/ Polimeto alta Resist, Ancho del tensor de distribución: 70 mm, Diámetro externo del 
                                                                                                                              tensor de distribución: 24 mm)</t>
  </si>
  <si>
    <t xml:space="preserve"> Item N° : 37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</si>
  <si>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DISCOS DE FRENO (Incluye 2 discos, IZQ y DER)</t>
    </r>
  </si>
  <si>
    <t xml:space="preserve"> Item N° : 38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</si>
  <si>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BOMBA DE COMBUSTIBLE SUMERGIDA (MOTOR SOLO) Tipo de combustible: Diésel. Es eléctrica: Sí. Incluye filtro: No. Incluye kit de montaje: No. Incluye junta o sello: No</t>
    </r>
  </si>
  <si>
    <t xml:space="preserve"> Item N° : 39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</si>
  <si>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ROTULAS INFERIOR CON SEGURO (Incluye 2 rótulas IZQ y DER)</t>
    </r>
  </si>
  <si>
    <t xml:space="preserve"> Item N° : 40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</si>
  <si>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BOMBA AUXILIAR ELECTRICA (Material del cuerpo: PLASTICO, Material de la hélice: Plástico)</t>
    </r>
  </si>
  <si>
    <t xml:space="preserve"> Item N° : 41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</si>
  <si>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CORREA POLI "V" (correa unicamente) Material: Goma. Largo: 1755 mm- Peso: 500 mg</t>
    </r>
  </si>
  <si>
    <t xml:space="preserve"> Item N° : 42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</si>
  <si>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RETEN DE CIGÜEÑAL CON CARCAZA PORTA RETEN </t>
    </r>
  </si>
  <si>
    <t xml:space="preserve"> Item N° : 43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</si>
  <si>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MASA DELANTERA (Incluye maza, rodamiento y bulones (5))</t>
    </r>
  </si>
  <si>
    <t xml:space="preserve"> Item N° : 44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</si>
  <si>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TENSOR FIJO (Material del tensor de distribución: Metal, Ancho del tensor de distribución: 23.6 mm, Diámetro interno del tensor de distribución: 10 mm, Diámetro externo del tensor de distribución: 85 mm)</t>
    </r>
  </si>
  <si>
    <t xml:space="preserve"> Item N° : 45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</si>
  <si>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DISCOS DE FRENO (Incluye 2 discos IZQ y DER) Posición: Delantera. Tipo de disco de freno: Ventilado. Diámetro externo: 318 mm</t>
    </r>
  </si>
  <si>
    <t xml:space="preserve"> Item N° : 46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</si>
  <si>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4X4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2012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DISCOS DE FRENO (Incluye 2 discos IZQ y DER)  Posición: Delantera. Tipo de disco de freno: Ventilado. Diámetro externo: 318 mm</t>
    </r>
  </si>
  <si>
    <t xml:space="preserve"> Item N° : 47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</si>
  <si>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DE DISTRIBUCION  (Incluye: tensor, bomba de agua, correa poli v,</t>
    </r>
  </si>
  <si>
    <t xml:space="preserve"> Item N° : 48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</si>
  <si>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4x4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2012,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DE DISTRIBUCION (Incluye: tensor, bomba de agua, correa poli v,</t>
    </r>
  </si>
  <si>
    <t xml:space="preserve"> Item N° : 49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</si>
  <si>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BOMBA DE AGUA Material de la hélice : Aluminio, Material del cuerpo : Aluminio)</t>
    </r>
  </si>
  <si>
    <t xml:space="preserve"> Item N° : 50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</si>
  <si>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PARRILLA SUPERIOR DERECHA COMPLETA. Incluye rótula: Sí. Incluye buje: Sí. Incluye grasa: Sí</t>
    </r>
  </si>
  <si>
    <t xml:space="preserve"> Item N° : 51</t>
  </si>
  <si>
    <r>
      <rPr>
        <u/>
        <sz val="10"/>
        <rFont val="Century Gothic"/>
        <family val="2"/>
      </rPr>
      <t>MARCA TOYOTA MODELO: HILUX 4X2 AÑO: 2015</t>
    </r>
    <r>
      <rPr>
        <sz val="10"/>
        <rFont val="Century Gothic"/>
        <family val="2"/>
      </rPr>
      <t xml:space="preserve">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PARRILLA INFERIOR  IZQUIERDA COMPLETA. Incluye rótula: Sí. Incluye buje: Sí. Incluye grasa: Sí</t>
    </r>
  </si>
  <si>
    <t xml:space="preserve"> Item N° : 52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</si>
  <si>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PARRILLA INFERIOR DERECHA COMPLETA.  Incluye rótula: Sí. Incluye buje: Sí. Incluye grasa: Sí</t>
    </r>
  </si>
  <si>
    <t xml:space="preserve"> Item N° : 53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</si>
  <si>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PARRILLA SUPERIOR IZQUIERDA COMPLETA5.  Incluye rótula: Sí. Incluye buje: Sí. Incluye grasa: Sí</t>
    </r>
  </si>
  <si>
    <t xml:space="preserve"> Item N° : 54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</si>
  <si>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 4X4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2012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PARRILLA SUPERIOR DERECHA COMPLETA.  Incluye rótula: Sí. Incluye buje: Sí. Incluye grasa: Sí  </t>
    </r>
  </si>
  <si>
    <t xml:space="preserve"> Item N° : 55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</si>
  <si>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 4X4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2012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PARRILLA INFERIOR  IZQUIERDA COMPLETA. Incluye rótula: Sí. Incluye buje: Sí. Incluye grasa: Sí</t>
    </r>
  </si>
  <si>
    <t xml:space="preserve"> Item N° : 56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</si>
  <si>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 4X4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2012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PARRILLA INFERIOR DERECHA COMPLETA.  Incluye rótula: Sí. Incluye buje: Sí. Incluye grasa: Sí </t>
    </r>
  </si>
  <si>
    <t xml:space="preserve"> Item N° : 57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</si>
  <si>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 4X4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2012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PARRILLA SUPERIOR IZQUIERDA COMPLETA.  Incluye rótula: Sí. Incluye buje: Sí. Incluye grasa: Sí </t>
    </r>
  </si>
  <si>
    <t xml:space="preserve"> Item N° : 58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</si>
  <si>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DERIVADOR DE AGUA (Material del cuerpo: Plastico)</t>
    </r>
  </si>
  <si>
    <t xml:space="preserve"> Item N° : 59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</si>
  <si>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POLEA EMBRAGUE PARA ALTERNADOR. Ancho de la polea: 40.2 mm. Diámetro interno: 17 mm.Diámetro externo: 49.4 mm</t>
    </r>
  </si>
  <si>
    <t xml:space="preserve"> Item N° : 60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</si>
  <si>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TERMOSTATO  (Temperatura de apertura: 80 °C)</t>
    </r>
  </si>
  <si>
    <t xml:space="preserve"> Item N° : 61</t>
  </si>
  <si>
    <t>MARCA VOLKSWAGEN. MODELO: AMAROK 4x2, AÑO: 2015, ELEMENTO: RODAMIENTOS DELANTEROS (Ancho : 57, Condición del ítem : Nuevo, Diametro Externo : 78 Mm, Diametro Interno : 46 Mm)</t>
  </si>
  <si>
    <t xml:space="preserve"> Item N° : 62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</si>
  <si>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ETIOS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DE FILTROS PARA SERVIS   Incluye filtro de aire, filtro de  aceite, y filtro de combustible</t>
    </r>
  </si>
  <si>
    <t xml:space="preserve"> Item N° : 63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</si>
  <si>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RAMPA INYECTORES (Cantidad de inyectores: 4, Tipo de sistema de combustible: Diésel, Largo de la rampa de inyectores: 1 cm, Distancia entre inyectores: 1 cm )</t>
    </r>
  </si>
  <si>
    <t xml:space="preserve"> Item N° : 64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</si>
  <si>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ETIOS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PRECAP. LARGO 289 mm. ROSCA LADO CAJA 14 x 1.5 mm. ROSCA LADO EXTREMO 12 x 1.25 mm. TIPO ROSCA CAJA MACHO. TIPO ROSCA EXTREMO MACHO</t>
    </r>
  </si>
  <si>
    <t xml:space="preserve"> Item N° : 65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</si>
  <si>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ETIOS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BIELETA. Posición: Delantera   </t>
    </r>
  </si>
  <si>
    <t xml:space="preserve"> Item N° : 66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</si>
  <si>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ETIOS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EXTREMO DE DIRECCION  DERECHO-IZQUIERDO. Largo: 145 mm. Género de rosca: Hembra. Medida de rosca: 12 x 1.25</t>
    </r>
  </si>
  <si>
    <t xml:space="preserve"> Item N° : 67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</si>
  <si>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ETIOS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PASTILLAS DE FRENO (incluye 2 pares de pastillas) Posición: delante. Material: Semimetálica. Cantidad de pastillas: 4</t>
    </r>
  </si>
  <si>
    <t xml:space="preserve"> Item N° : 68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</si>
  <si>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ETIOS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PARRILLA CON ROTULA COMPLETA. Posición del eje: Delantera. Incluye rótula: Sí. Incluye buje: Sí</t>
    </r>
  </si>
  <si>
    <t xml:space="preserve"> Item N° : 69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</si>
  <si>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ETIOS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BUJE BARRA ESTABILIZADORA. Material: Goma. Tipo de buje de control de suspensión: De barra estabilizadora</t>
    </r>
  </si>
  <si>
    <t xml:space="preserve"> Item N° : 70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</si>
  <si>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ETIOS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HOMOCINETICA. Incluye abrazadera: Sí. Incluye grasa: Sí. Incluye fuelle: Sí. Cantidad de estrías externas: 26. Cantidad de estrías internas: 21</t>
    </r>
  </si>
  <si>
    <t xml:space="preserve"> Item N° : 71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</si>
  <si>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SOPORTE MONTANTE DE CAJA</t>
    </r>
  </si>
  <si>
    <t xml:space="preserve"> Item N° : 72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</si>
  <si>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BUJE BARRA ESTABILIZADORA. Material: Goma</t>
    </r>
  </si>
  <si>
    <t xml:space="preserve"> Item N° : 73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</si>
  <si>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BUJE CAJA DIRECCION. Material: Goma</t>
    </r>
  </si>
  <si>
    <t xml:space="preserve"> Item N° : 74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</si>
  <si>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BIELETA DE BARRA DE SUSPENSION (Incluye 2 bieletas, IZQ y DER)</t>
    </r>
  </si>
  <si>
    <t xml:space="preserve"> Item N° : 75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</si>
  <si>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4x4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2012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BIELETA DE BARRA DE SUSPENSION (Incluye 2 bieletas, IZQ y DER)</t>
    </r>
  </si>
  <si>
    <t xml:space="preserve"> Item N° : 76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</si>
  <si>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EXTREMO DIRECCION. Largo: 85 mm. Género de rosca: Hembra. Medida de rosca: 15x1.5</t>
    </r>
  </si>
  <si>
    <t xml:space="preserve"> Item N° : 77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</si>
  <si>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4x4,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2012,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EXTREMO DIRECCION. Largo: 85 mm. Género de rosca: Hembra. Medida de rosca: 15x1.5</t>
    </r>
  </si>
  <si>
    <t xml:space="preserve"> Item N° : 78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</si>
  <si>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PRECAP. Largo: 295 mm. Género de rosca: Macho. Medida de rosca: 14 mm</t>
    </r>
  </si>
  <si>
    <t xml:space="preserve"> Item N° : 79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</si>
  <si>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4x4,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2012,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PRECAP. Largo: 295 mm. Género de rosca: Macho. Medida de rosca: 14 mm</t>
    </r>
  </si>
  <si>
    <t xml:space="preserve"> Item N° : 80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</si>
  <si>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4x4,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2012,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BUJE BARRA ESTABILIZADORA. Material: Goma</t>
    </r>
  </si>
  <si>
    <t xml:space="preserve"> Item N° : 81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</si>
  <si>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SOPORTE DE CAJA </t>
    </r>
  </si>
  <si>
    <t xml:space="preserve"> Item N° : 82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</si>
  <si>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XR-250 CC. TORNADO -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FILTRO DE AIRE. Material: celulosa. Forma del filtro: Rectangular. Diámetro de entrada: 13.5 cm. Diseño: Flexible</t>
    </r>
  </si>
  <si>
    <t xml:space="preserve"> Item N° : 83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</si>
  <si>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CBX 250 CC. TWISTER 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FILTRO DE AIRE. Material: Aluminio. Forma del filtro: redondo. Diámetro de entrada: 6 cm. Diseño: Rígido </t>
    </r>
  </si>
  <si>
    <t xml:space="preserve"> Item N° : 84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</si>
  <si>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XR-150 CC. 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FILTRO DE AIRE . Material: Papel de celulosa. Forma del filtro: Rectangular. Diseño: Rígido</t>
    </r>
  </si>
  <si>
    <t xml:space="preserve"> Item N° : 85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</si>
  <si>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250 CC. TORNADO </t>
    </r>
    <r>
      <rPr>
        <u/>
        <sz val="10"/>
        <rFont val="Century Gothic"/>
        <family val="2"/>
      </rPr>
      <t xml:space="preserve"> </t>
    </r>
    <r>
      <rPr>
        <sz val="10"/>
        <rFont val="Century Gothic"/>
        <family val="2"/>
      </rPr>
      <t xml:space="preserve">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PASTILLAS DE FRENO (Incluye: 2 pastillas por juego)  Posición: Delantera. Material: ferodo.</t>
    </r>
  </si>
  <si>
    <t xml:space="preserve"> Item N° : 86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</si>
  <si>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CBX 250 CC. TWISTER 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PASTILLAS DE FRENO (Incluye: 2 pastillas por juego) Posición: Delantera. Material: Bajos metales</t>
    </r>
  </si>
  <si>
    <t xml:space="preserve"> Item N° : 87</t>
  </si>
  <si>
    <r>
      <t xml:space="preserve">MARCA </t>
    </r>
    <r>
      <rPr>
        <sz val="10"/>
        <rFont val="Century Gothic"/>
        <family val="2"/>
      </rPr>
      <t>HONDA</t>
    </r>
    <r>
      <rPr>
        <u/>
        <sz val="10"/>
        <rFont val="Century Gothic"/>
        <family val="2"/>
      </rPr>
      <t xml:space="preserve"> MODELO:</t>
    </r>
    <r>
      <rPr>
        <sz val="10"/>
        <rFont val="Century Gothic"/>
        <family val="2"/>
      </rPr>
      <t xml:space="preserve"> XR 150 CC </t>
    </r>
    <r>
      <rPr>
        <u/>
        <sz val="10"/>
        <rFont val="Century Gothic"/>
        <family val="2"/>
      </rPr>
      <t xml:space="preserve"> ELEMENTO: </t>
    </r>
    <r>
      <rPr>
        <sz val="10"/>
        <rFont val="Century Gothic"/>
        <family val="2"/>
      </rPr>
      <t>JUEGO DE PASTILLAS DE FRENO  (Incluye: 2 pastillas por juego)Posición: Delantera. Material: ferodo</t>
    </r>
  </si>
  <si>
    <t xml:space="preserve"> Item N° : 88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</si>
  <si>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CBX 250 CC. TWISTER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ZAPATAS DE FRENO TRASERO . Espesor del material de fricción de la cinta primaria: 5 mm. Espesor del material de fricción de la cinta secundaria: 5 mm. Largo del material de fricción de la cinta primaria: 130 mm. Largo del material de fricción de la cinta secundaria: 130 mm</t>
    </r>
  </si>
  <si>
    <t xml:space="preserve"> Item N° : 89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</si>
  <si>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MODELO:</t>
    </r>
    <r>
      <rPr>
        <sz val="10"/>
        <rFont val="Century Gothic"/>
        <family val="2"/>
      </rPr>
      <t xml:space="preserve"> XR 250 CC. TORNADO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ZAPATAS DE FRENO TRASERO. Espesor del material de fricción de la cinta primaria: 4 mm. Espesor del material de fricción de la cinta secundaria: 4 mm. Largo del material de fricción de la cinta primaria: 110 mm. Largo del material de fricción de la cinta secundaria: 110 mm</t>
    </r>
  </si>
  <si>
    <t xml:space="preserve"> Item N° : 90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</si>
  <si>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150 CC.  </t>
    </r>
    <r>
      <rPr>
        <u/>
        <sz val="10"/>
        <rFont val="Century Gothic"/>
        <family val="2"/>
      </rPr>
      <t xml:space="preserve">ELEMENTO: </t>
    </r>
    <r>
      <rPr>
        <sz val="10"/>
        <rFont val="Century Gothic"/>
        <family val="2"/>
      </rPr>
      <t>ZAPATAS DE FRENO TRASERO. Espesor del material de fricción de la cinta primaria: 2 mm. Espesor del material de fricción de la cinta secundaria: 2 mm. Largo del material de fricción de la cinta primaria: 10 mm. Largo del material de fricción de la cinta secundaria: 10 mm</t>
    </r>
  </si>
  <si>
    <t xml:space="preserve"> Item N° : 91</t>
  </si>
  <si>
    <t xml:space="preserve">MARCA HONDA MODELO: MARCA HONDA MODELO: HONDA ELEMENTO:  CABLE DE EMBRAGUE  PARA MOTOCICLETA original   </t>
  </si>
  <si>
    <t xml:space="preserve"> Item N° : 92</t>
  </si>
  <si>
    <t xml:space="preserve">MARCA HONDA MODELO: HONDA ELEMENTO: CABLE DE ACELERADOR PARA MOTOCICLETA. Material del cable de acelerador: Aleación de metales. </t>
  </si>
  <si>
    <t xml:space="preserve"> Item N° : 93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</si>
  <si>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250 CC. TORNADO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PALANCA DE EMBRAGUE. Material: Aluminio. Largo: 18 cm</t>
    </r>
  </si>
  <si>
    <t xml:space="preserve"> Item N° : 94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</si>
  <si>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150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PALANCA DE EMBRAGUE  Material: Aluminio. Largo: 18 cm</t>
    </r>
  </si>
  <si>
    <t xml:space="preserve"> Item N° : 95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</si>
  <si>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MODELO:</t>
    </r>
    <r>
      <rPr>
        <sz val="10"/>
        <rFont val="Century Gothic"/>
        <family val="2"/>
      </rPr>
      <t xml:space="preserve"> CBX 250 CC. TWISTER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PALANCA DE EMBRAGUE. Material: Aluminio. Largo: 18 cm</t>
    </r>
  </si>
  <si>
    <t xml:space="preserve"> Item N° : 96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</si>
  <si>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250 CC. TORNADO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PALANCA DE FRENO A DISCO. Material: Aluminio. Largo: 18 cm </t>
    </r>
  </si>
  <si>
    <t xml:space="preserve"> Item N° : 97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</si>
  <si>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CBX 250 CC. TWISTER  </t>
    </r>
    <r>
      <rPr>
        <u/>
        <sz val="10"/>
        <rFont val="Century Gothic"/>
        <family val="2"/>
      </rPr>
      <t xml:space="preserve">ELEMENTO: </t>
    </r>
    <r>
      <rPr>
        <sz val="10"/>
        <rFont val="Century Gothic"/>
        <family val="2"/>
      </rPr>
      <t>PALANCA DE FRENO A DISCO. Material: Aluminio. Largo: 18 cm</t>
    </r>
  </si>
  <si>
    <t xml:space="preserve"> Item N° : 98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</si>
  <si>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150 CC. 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PALANCA DE FRENO A DISCO. Material: Aluminio. Largo: 18 cm</t>
    </r>
  </si>
  <si>
    <t xml:space="preserve"> Item N° : 99</t>
  </si>
  <si>
    <r>
      <rPr>
        <u/>
        <sz val="10"/>
        <rFont val="Century Gothic"/>
        <family val="2"/>
      </rPr>
      <t xml:space="preserve">MARCA </t>
    </r>
    <r>
      <rPr>
        <sz val="10"/>
        <rFont val="Century Gothic"/>
        <family val="2"/>
      </rPr>
      <t>UNIVERSAL</t>
    </r>
    <r>
      <rPr>
        <u/>
        <sz val="10"/>
        <rFont val="Century Gothic"/>
        <family val="2"/>
      </rPr>
      <t xml:space="preserve">  MODELO: </t>
    </r>
    <r>
      <rPr>
        <sz val="10"/>
        <rFont val="Century Gothic"/>
        <family val="2"/>
      </rPr>
      <t xml:space="preserve">UNIVERSAL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BULBO DE FRENO TRASERO PARA MOTOCICLETA</t>
    </r>
  </si>
  <si>
    <t xml:space="preserve"> Item N° : 100</t>
  </si>
  <si>
    <r>
      <rPr>
        <u/>
        <sz val="10"/>
        <rFont val="Century Gothic"/>
        <family val="2"/>
      </rPr>
      <t xml:space="preserve">MARCA </t>
    </r>
    <r>
      <rPr>
        <sz val="10"/>
        <rFont val="Century Gothic"/>
        <family val="2"/>
      </rPr>
      <t>UNIVERSAL</t>
    </r>
    <r>
      <rPr>
        <u/>
        <sz val="10"/>
        <rFont val="Century Gothic"/>
        <family val="2"/>
      </rPr>
      <t xml:space="preserve">  MODELO: </t>
    </r>
    <r>
      <rPr>
        <sz val="10"/>
        <rFont val="Century Gothic"/>
        <family val="2"/>
      </rPr>
      <t xml:space="preserve">UNIVERSAL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BULBO DE FRENO DELANTERO PARA MOTOCICLETA</t>
    </r>
  </si>
  <si>
    <t xml:space="preserve"> Item N° : 101</t>
  </si>
  <si>
    <r>
      <rPr>
        <u/>
        <sz val="10"/>
        <rFont val="Century Gothic"/>
        <family val="2"/>
      </rPr>
      <t xml:space="preserve">MARCA </t>
    </r>
    <r>
      <rPr>
        <sz val="10"/>
        <rFont val="Century Gothic"/>
        <family val="2"/>
      </rPr>
      <t>UNIVERSAL</t>
    </r>
    <r>
      <rPr>
        <u/>
        <sz val="10"/>
        <rFont val="Century Gothic"/>
        <family val="2"/>
      </rPr>
      <t xml:space="preserve">  MODELO: </t>
    </r>
    <r>
      <rPr>
        <sz val="10"/>
        <rFont val="Century Gothic"/>
        <family val="2"/>
      </rPr>
      <t xml:space="preserve">UNIVERSAL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UNION DE CADENA PARA MOTOCICLETA 520</t>
    </r>
  </si>
  <si>
    <t xml:space="preserve"> Item N° : 102</t>
  </si>
  <si>
    <r>
      <rPr>
        <u/>
        <sz val="10"/>
        <rFont val="Century Gothic"/>
        <family val="2"/>
      </rPr>
      <t xml:space="preserve">MARCA </t>
    </r>
    <r>
      <rPr>
        <sz val="10"/>
        <rFont val="Century Gothic"/>
        <family val="2"/>
      </rPr>
      <t>UNIVERSAL</t>
    </r>
    <r>
      <rPr>
        <u/>
        <sz val="10"/>
        <rFont val="Century Gothic"/>
        <family val="2"/>
      </rPr>
      <t xml:space="preserve">  MODELO: </t>
    </r>
    <r>
      <rPr>
        <sz val="10"/>
        <rFont val="Century Gothic"/>
        <family val="2"/>
      </rPr>
      <t xml:space="preserve">UNIVERSAL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UNION DE CADENA PARA MOTOCICLETA 428</t>
    </r>
  </si>
  <si>
    <t xml:space="preserve"> Item N° : 103</t>
  </si>
  <si>
    <r>
      <rPr>
        <u/>
        <sz val="10"/>
        <rFont val="Century Gothic"/>
        <family val="2"/>
      </rPr>
      <t>MARCA:</t>
    </r>
    <r>
      <rPr>
        <sz val="10"/>
        <rFont val="Century Gothic"/>
        <family val="2"/>
      </rPr>
      <t xml:space="preserve"> HONDA  </t>
    </r>
    <r>
      <rPr>
        <u/>
        <sz val="10"/>
        <rFont val="Century Gothic"/>
        <family val="2"/>
      </rPr>
      <t>MODELO:</t>
    </r>
    <r>
      <rPr>
        <sz val="10"/>
        <rFont val="Century Gothic"/>
        <family val="2"/>
      </rPr>
      <t xml:space="preserve">  XR 150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JUEGOS DE RETENES DE SUSPENSIÓN DELANTERA 31/43/10.5. Posición: Delantera. Diámetro: 31 mm. Largo: 10.5 mm</t>
    </r>
  </si>
  <si>
    <t xml:space="preserve"> Item N° : 104</t>
  </si>
  <si>
    <r>
      <rPr>
        <u/>
        <sz val="10"/>
        <rFont val="Century Gothic"/>
        <family val="2"/>
      </rPr>
      <t>MARCA:</t>
    </r>
    <r>
      <rPr>
        <sz val="10"/>
        <rFont val="Century Gothic"/>
        <family val="2"/>
      </rPr>
      <t xml:space="preserve"> HONDA  </t>
    </r>
    <r>
      <rPr>
        <u/>
        <sz val="10"/>
        <rFont val="Century Gothic"/>
        <family val="2"/>
      </rPr>
      <t>MODELO:</t>
    </r>
    <r>
      <rPr>
        <sz val="10"/>
        <rFont val="Century Gothic"/>
        <family val="2"/>
      </rPr>
      <t xml:space="preserve">  XR 250 CC. TORNADO.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JUEGOS DE RETENES DE SUSPENSION DELANTERA 37/50/11. Posición: Delantera. Diámetro: 37 mm. Largo: 11 mm</t>
    </r>
  </si>
  <si>
    <t xml:space="preserve"> Item N° : 105</t>
  </si>
  <si>
    <r>
      <rPr>
        <u/>
        <sz val="10"/>
        <rFont val="Century Gothic"/>
        <family val="2"/>
      </rPr>
      <t xml:space="preserve">MARCA </t>
    </r>
    <r>
      <rPr>
        <sz val="10"/>
        <rFont val="Century Gothic"/>
        <family val="2"/>
      </rPr>
      <t>UNIVERSAL</t>
    </r>
    <r>
      <rPr>
        <u/>
        <sz val="10"/>
        <rFont val="Century Gothic"/>
        <family val="2"/>
      </rPr>
      <t xml:space="preserve">  MODELO: </t>
    </r>
    <r>
      <rPr>
        <sz val="10"/>
        <rFont val="Century Gothic"/>
        <family val="2"/>
      </rPr>
      <t xml:space="preserve">UNIVERSAL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JUEGOS DE CARBONES DE ARRANQUE 6X11. Incluye dos carbones de arranque</t>
    </r>
  </si>
  <si>
    <t xml:space="preserve"> Item N° : 106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</si>
  <si>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150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JUEGOS DE DISCOS DE EMBRAGUE   (incluye 6 discos). Diámetro: 9.12 cm. Material: Metal, friccion. Cantidad de estrías:8</t>
    </r>
  </si>
  <si>
    <t xml:space="preserve"> Item N° : 107</t>
  </si>
  <si>
    <r>
      <rPr>
        <u/>
        <sz val="10"/>
        <rFont val="Century Gothic"/>
        <family val="2"/>
      </rPr>
      <t>MARCA:</t>
    </r>
    <r>
      <rPr>
        <sz val="10"/>
        <rFont val="Century Gothic"/>
        <family val="2"/>
      </rPr>
      <t xml:space="preserve"> HONDA  </t>
    </r>
    <r>
      <rPr>
        <u/>
        <sz val="10"/>
        <rFont val="Century Gothic"/>
        <family val="2"/>
      </rPr>
      <t>MODELO:</t>
    </r>
    <r>
      <rPr>
        <sz val="10"/>
        <rFont val="Century Gothic"/>
        <family val="2"/>
      </rPr>
      <t xml:space="preserve">  XR 150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BUJIAS CR8EA</t>
    </r>
  </si>
  <si>
    <t xml:space="preserve"> Item N° : 108</t>
  </si>
  <si>
    <r>
      <rPr>
        <u/>
        <sz val="10"/>
        <rFont val="Century Gothic"/>
        <family val="2"/>
      </rPr>
      <t>MARCA:</t>
    </r>
    <r>
      <rPr>
        <sz val="10"/>
        <rFont val="Century Gothic"/>
        <family val="2"/>
      </rPr>
      <t xml:space="preserve"> HONDA  </t>
    </r>
    <r>
      <rPr>
        <u/>
        <sz val="10"/>
        <rFont val="Century Gothic"/>
        <family val="2"/>
      </rPr>
      <t>MODELO:</t>
    </r>
    <r>
      <rPr>
        <sz val="10"/>
        <rFont val="Century Gothic"/>
        <family val="2"/>
      </rPr>
      <t xml:space="preserve">  XR 250 CC. TORNADO.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BUJIAS D8EA</t>
    </r>
  </si>
  <si>
    <t xml:space="preserve"> Item N° : 109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</si>
  <si>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250 CC. TORNADO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JUEGOS DE DISCOS DE EMBRAGUE (Incluye 6 discos). Diámetro: 101 ". Material: Metal sinterizado. Cantidad de estrías: 10</t>
    </r>
  </si>
  <si>
    <t>Plazos y lugares de entrega</t>
  </si>
  <si>
    <r>
      <t xml:space="preserve">a) </t>
    </r>
    <r>
      <rPr>
        <b/>
        <sz val="10"/>
        <rFont val="Century Gothic"/>
        <family val="2"/>
      </rPr>
      <t>LUGAR DE ENTREGA: Departamento Logística, sito en Av. Felix Avellaneda RP N° 33  KM 2</t>
    </r>
    <r>
      <rPr>
        <sz val="10"/>
        <rFont val="Century Gothic"/>
        <family val="2"/>
      </rPr>
      <t>., SUMALAO - VALLE VIEJO. De 08 a 12 horas. 
b)</t>
    </r>
    <r>
      <rPr>
        <b/>
        <sz val="10"/>
        <rFont val="Century Gothic"/>
        <family val="2"/>
      </rPr>
      <t xml:space="preserve"> FORMA DE LA ENTREGA</t>
    </r>
    <r>
      <rPr>
        <sz val="10"/>
        <rFont val="Century Gothic"/>
        <family val="2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Century Gothic"/>
        <family val="2"/>
      </rPr>
      <t>PLAZO DE ENTREGA</t>
    </r>
    <r>
      <rPr>
        <sz val="10"/>
        <rFont val="Century Gothic"/>
        <family val="2"/>
      </rPr>
      <t>: El Oferente deberá establecer plazo de entrega de los elementos cotizados, debiendo ser expresado en días hábiles; que no podrá ser superior a cinco (5) días hábiles, contados a partir de la recepción de la comunicación prevista en el Artículo 80° de del Reglamento Parcial N° 2 de la ley 4938.</t>
    </r>
  </si>
  <si>
    <t>Calidad Minima esperada</t>
  </si>
  <si>
    <r>
      <t xml:space="preserve">Que Cumpla con lo Solicitado de Forma Integra. </t>
    </r>
    <r>
      <rPr>
        <b/>
        <u/>
        <sz val="10"/>
        <rFont val="Times New Roman"/>
        <family val="1"/>
      </rPr>
      <t/>
    </r>
  </si>
  <si>
    <t>Mantenimiento</t>
  </si>
  <si>
    <t xml:space="preserve">30 (treinta)  días </t>
  </si>
  <si>
    <t>Garantia</t>
  </si>
  <si>
    <t>12 meses</t>
  </si>
  <si>
    <t>ACLARACIÒN PARA ITEMS, 99, 100, 101, 102 Y 105: DICHOS REPUESTOS DEBEN SER COMPATIBLES CON LOS SIGUIENES MODELOS DE MOTOS MARCA HONDA: XR 150 CC, XR 250 CC TORNADO Y CBX 250 CC TWISTER.</t>
  </si>
  <si>
    <t>NOTA DE PEDIDO</t>
  </si>
  <si>
    <t>N°</t>
  </si>
  <si>
    <t>57/2021</t>
  </si>
  <si>
    <t xml:space="preserve">JURISDICCIÓN: </t>
  </si>
  <si>
    <t>SAF:</t>
  </si>
  <si>
    <t>UNIDAD EJECUTORA:</t>
  </si>
  <si>
    <t>Jefatura de Policía de la Provincia de Catamarca</t>
  </si>
  <si>
    <t xml:space="preserve">DEPENDENCIA SOLICITANTE: </t>
  </si>
  <si>
    <t>División Transporte (D-4)</t>
  </si>
  <si>
    <t>PERIODO UTILIZACIÓN:</t>
  </si>
  <si>
    <t>OBJETO:</t>
  </si>
  <si>
    <t>Adquisición de Repuestos de Automotor destinados a División Transporte (D-4)- Policia de Catamarca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</si>
  <si>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</si>
  <si>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</si>
  <si>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</si>
  <si>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</si>
  <si>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</si>
  <si>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</si>
  <si>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</si>
  <si>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</si>
  <si>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Costo total estimado: Pesos Veintitres millones doscientos cincuenta y cinco  mil cuatrocientos cuarenta y ocho con 90/100</t>
  </si>
  <si>
    <t>AUTORIZACION PARA GASTAR</t>
  </si>
  <si>
    <t>JURISDICCIÓN:</t>
  </si>
  <si>
    <r>
      <t>AUTORIZACIÓN</t>
    </r>
    <r>
      <rPr>
        <b/>
        <sz val="10"/>
        <rFont val="Century Gothic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</si>
  <si>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</si>
  <si>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</si>
  <si>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</si>
  <si>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</si>
  <si>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</si>
  <si>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</si>
  <si>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</si>
  <si>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</si>
  <si>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</si>
  <si>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</si>
  <si>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</si>
  <si>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</si>
  <si>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</si>
  <si>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</si>
  <si>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</si>
  <si>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</si>
  <si>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</si>
  <si>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</si>
  <si>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</si>
  <si>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REPUESTOS Y ACCESORIOS</t>
  </si>
  <si>
    <t>TOTAL DE PESOS: Pesos Veintitres millones doscientos cincuenta y cinco  mil cuatrocientos cuarenta y ocho con 90/100</t>
  </si>
  <si>
    <t>JUSTIFICACIÓN: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</si>
</sst>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&quot;$&quot;\ * #,##0.00_ ;_ &quot;$&quot;\ * \-#,##0.00_ ;_ &quot;$&quot;\ * &quot;-&quot;??_ ;_ @_ 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</numFmts>
  <fonts count="22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b/>
      <u/>
      <sz val="10"/>
      <name val="Times New Roman"/>
      <family val="1"/>
    </font>
    <font>
      <b/>
      <sz val="10"/>
      <color rgb="FF000000"/>
      <name val="Century Gothic"/>
      <family val="2"/>
    </font>
    <font>
      <sz val="10"/>
      <name val="Century Gothic"/>
      <family val="2"/>
    </font>
    <font>
      <sz val="10"/>
      <color rgb="FF000000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u/>
      <sz val="10"/>
      <name val="Century Gothic"/>
      <family val="2"/>
    </font>
    <font>
      <b/>
      <sz val="10"/>
      <name val="Century Gothic"/>
      <family val="2"/>
    </font>
    <font>
      <b/>
      <sz val="22"/>
      <name val="Century Gothic"/>
      <family val="2"/>
    </font>
    <font>
      <b/>
      <sz val="11"/>
      <color rgb="FF000000"/>
      <name val="Century Gothic"/>
      <family val="2"/>
    </font>
    <font>
      <b/>
      <sz val="12"/>
      <color rgb="FF000000"/>
      <name val="Century Gothic"/>
      <family val="2"/>
    </font>
    <font>
      <u/>
      <sz val="10"/>
      <name val="Century Gothic"/>
      <family val="2"/>
    </font>
    <font>
      <sz val="11"/>
      <name val="Century Gothic"/>
      <family val="2"/>
    </font>
    <font>
      <b/>
      <sz val="11"/>
      <name val="Century Gothic"/>
      <family val="2"/>
    </font>
    <font>
      <b/>
      <u/>
      <sz val="16"/>
      <name val="Century Gothic"/>
      <family val="2"/>
    </font>
    <font>
      <b/>
      <sz val="14"/>
      <name val="Arial"/>
      <family val="2"/>
    </font>
    <font>
      <sz val="11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45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6">
    <xf numFmtId="0" fontId="0" fillId="0" borderId="0"/>
    <xf numFmtId="166" fontId="4" fillId="0" borderId="0" applyBorder="0" applyProtection="0"/>
    <xf numFmtId="0" fontId="1" fillId="0" borderId="1" applyProtection="0"/>
    <xf numFmtId="165" fontId="2" fillId="0" borderId="0" applyBorder="0" applyProtection="0"/>
    <xf numFmtId="0" fontId="3" fillId="2" borderId="0" applyBorder="0" applyProtection="0"/>
    <xf numFmtId="0" fontId="4" fillId="0" borderId="0"/>
  </cellStyleXfs>
  <cellXfs count="166">
    <xf numFmtId="0" fontId="0" fillId="0" borderId="0" xfId="0"/>
    <xf numFmtId="0" fontId="11" fillId="3" borderId="11" xfId="0" applyFont="1" applyFill="1" applyBorder="1" applyAlignment="1">
      <alignment horizontal="right" vertical="center"/>
    </xf>
    <xf numFmtId="0" fontId="7" fillId="3" borderId="0" xfId="0" applyFont="1" applyFill="1" applyBorder="1" applyAlignment="1">
      <alignment vertical="center"/>
    </xf>
    <xf numFmtId="0" fontId="7" fillId="3" borderId="0" xfId="0" applyFont="1" applyFill="1"/>
    <xf numFmtId="0" fontId="11" fillId="3" borderId="13" xfId="0" applyFont="1" applyFill="1" applyBorder="1" applyAlignment="1">
      <alignment vertical="center"/>
    </xf>
    <xf numFmtId="0" fontId="11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12" fillId="3" borderId="0" xfId="0" applyFont="1" applyFill="1" applyBorder="1" applyAlignment="1">
      <alignment horizontal="left" vertical="center" wrapText="1" indent="1"/>
    </xf>
    <xf numFmtId="0" fontId="12" fillId="3" borderId="39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 wrapText="1"/>
    </xf>
    <xf numFmtId="164" fontId="12" fillId="3" borderId="39" xfId="0" applyNumberFormat="1" applyFont="1" applyFill="1" applyBorder="1" applyAlignment="1">
      <alignment horizontal="center" vertical="center" wrapText="1"/>
    </xf>
    <xf numFmtId="3" fontId="12" fillId="3" borderId="39" xfId="0" applyNumberFormat="1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left" wrapText="1"/>
    </xf>
    <xf numFmtId="0" fontId="8" fillId="3" borderId="0" xfId="0" applyFont="1" applyFill="1" applyAlignment="1">
      <alignment horizont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41" xfId="0" applyFont="1" applyFill="1" applyBorder="1" applyAlignment="1">
      <alignment horizontal="center" vertical="center" wrapText="1"/>
    </xf>
    <xf numFmtId="0" fontId="6" fillId="3" borderId="42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7" fillId="3" borderId="40" xfId="0" applyFont="1" applyFill="1" applyBorder="1" applyAlignment="1">
      <alignment vertical="top" wrapText="1"/>
    </xf>
    <xf numFmtId="0" fontId="7" fillId="3" borderId="40" xfId="0" applyFont="1" applyFill="1" applyBorder="1" applyAlignment="1">
      <alignment horizontal="center" vertical="center"/>
    </xf>
    <xf numFmtId="3" fontId="7" fillId="3" borderId="40" xfId="0" applyNumberFormat="1" applyFont="1" applyFill="1" applyBorder="1" applyAlignment="1">
      <alignment horizontal="center" vertical="center"/>
    </xf>
    <xf numFmtId="164" fontId="7" fillId="3" borderId="40" xfId="1" applyNumberFormat="1" applyFont="1" applyFill="1" applyBorder="1" applyAlignment="1">
      <alignment horizontal="center" vertical="center"/>
    </xf>
    <xf numFmtId="167" fontId="7" fillId="3" borderId="40" xfId="1" applyNumberFormat="1" applyFont="1" applyFill="1" applyBorder="1" applyAlignment="1" applyProtection="1">
      <alignment horizontal="right" vertical="center" wrapText="1"/>
    </xf>
    <xf numFmtId="167" fontId="12" fillId="3" borderId="43" xfId="0" applyNumberFormat="1" applyFont="1" applyFill="1" applyBorder="1"/>
    <xf numFmtId="167" fontId="12" fillId="3" borderId="0" xfId="0" applyNumberFormat="1" applyFont="1" applyFill="1" applyBorder="1"/>
    <xf numFmtId="0" fontId="7" fillId="3" borderId="0" xfId="0" applyFont="1" applyFill="1" applyBorder="1"/>
    <xf numFmtId="49" fontId="0" fillId="3" borderId="0" xfId="0" applyNumberFormat="1" applyFill="1"/>
    <xf numFmtId="0" fontId="0" fillId="3" borderId="0" xfId="0" applyFill="1"/>
    <xf numFmtId="49" fontId="4" fillId="3" borderId="0" xfId="0" applyNumberFormat="1" applyFont="1" applyFill="1"/>
    <xf numFmtId="0" fontId="15" fillId="3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8" fillId="3" borderId="40" xfId="0" applyFont="1" applyFill="1" applyBorder="1" applyAlignment="1">
      <alignment horizontal="left" vertical="center" wrapText="1"/>
    </xf>
    <xf numFmtId="0" fontId="7" fillId="3" borderId="40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 wrapText="1"/>
    </xf>
    <xf numFmtId="3" fontId="18" fillId="3" borderId="0" xfId="0" applyNumberFormat="1" applyFont="1" applyFill="1" applyBorder="1" applyAlignment="1"/>
    <xf numFmtId="169" fontId="7" fillId="3" borderId="0" xfId="0" applyNumberFormat="1" applyFont="1" applyFill="1" applyAlignment="1">
      <alignment horizontal="left"/>
    </xf>
    <xf numFmtId="0" fontId="7" fillId="3" borderId="0" xfId="0" applyFont="1" applyFill="1" applyAlignment="1">
      <alignment horizontal="left"/>
    </xf>
    <xf numFmtId="0" fontId="7" fillId="3" borderId="11" xfId="0" applyFont="1" applyFill="1" applyBorder="1"/>
    <xf numFmtId="0" fontId="7" fillId="3" borderId="25" xfId="0" applyFont="1" applyFill="1" applyBorder="1"/>
    <xf numFmtId="0" fontId="7" fillId="3" borderId="13" xfId="0" applyFont="1" applyFill="1" applyBorder="1"/>
    <xf numFmtId="0" fontId="7" fillId="3" borderId="13" xfId="0" applyFont="1" applyFill="1" applyBorder="1" applyAlignment="1">
      <alignment horizontal="left"/>
    </xf>
    <xf numFmtId="0" fontId="7" fillId="3" borderId="26" xfId="0" applyFont="1" applyFill="1" applyBorder="1"/>
    <xf numFmtId="0" fontId="12" fillId="3" borderId="28" xfId="0" applyFont="1" applyFill="1" applyBorder="1" applyAlignment="1">
      <alignment horizontal="center" vertical="center"/>
    </xf>
    <xf numFmtId="0" fontId="12" fillId="3" borderId="29" xfId="0" applyFont="1" applyFill="1" applyBorder="1" applyAlignment="1">
      <alignment horizontal="center" vertical="center"/>
    </xf>
    <xf numFmtId="0" fontId="12" fillId="3" borderId="29" xfId="0" applyFont="1" applyFill="1" applyBorder="1" applyAlignment="1">
      <alignment horizontal="left" vertical="center"/>
    </xf>
    <xf numFmtId="0" fontId="12" fillId="3" borderId="30" xfId="0" applyFont="1" applyFill="1" applyBorder="1" applyAlignment="1">
      <alignment horizontal="center" vertical="center"/>
    </xf>
    <xf numFmtId="0" fontId="12" fillId="3" borderId="24" xfId="0" applyFont="1" applyFill="1" applyBorder="1" applyAlignment="1">
      <alignment horizontal="center" vertical="center"/>
    </xf>
    <xf numFmtId="0" fontId="7" fillId="3" borderId="31" xfId="0" applyFont="1" applyFill="1" applyBorder="1" applyAlignment="1">
      <alignment horizontal="center" vertical="center"/>
    </xf>
    <xf numFmtId="0" fontId="7" fillId="3" borderId="32" xfId="0" applyFont="1" applyFill="1" applyBorder="1" applyAlignment="1">
      <alignment horizontal="center" vertical="center"/>
    </xf>
    <xf numFmtId="0" fontId="7" fillId="3" borderId="33" xfId="0" applyFont="1" applyFill="1" applyBorder="1" applyAlignment="1">
      <alignment horizontal="center" vertical="center"/>
    </xf>
    <xf numFmtId="167" fontId="7" fillId="3" borderId="34" xfId="3" applyNumberFormat="1" applyFont="1" applyFill="1" applyBorder="1" applyAlignment="1" applyProtection="1">
      <alignment horizontal="center" vertical="center"/>
    </xf>
    <xf numFmtId="167" fontId="12" fillId="3" borderId="35" xfId="0" applyNumberFormat="1" applyFont="1" applyFill="1" applyBorder="1" applyAlignment="1">
      <alignment horizontal="center" vertical="center"/>
    </xf>
    <xf numFmtId="0" fontId="8" fillId="3" borderId="39" xfId="0" applyFont="1" applyFill="1" applyBorder="1" applyAlignment="1">
      <alignment horizontal="left" vertical="center" wrapText="1"/>
    </xf>
    <xf numFmtId="0" fontId="7" fillId="3" borderId="39" xfId="0" applyFont="1" applyFill="1" applyBorder="1" applyAlignment="1">
      <alignment horizontal="center" vertical="center"/>
    </xf>
    <xf numFmtId="0" fontId="7" fillId="3" borderId="39" xfId="0" applyFont="1" applyFill="1" applyBorder="1" applyAlignment="1">
      <alignment vertical="top" wrapText="1"/>
    </xf>
    <xf numFmtId="0" fontId="8" fillId="3" borderId="39" xfId="0" applyFont="1" applyFill="1" applyBorder="1" applyAlignment="1">
      <alignment horizontal="center" vertical="center" wrapText="1"/>
    </xf>
    <xf numFmtId="3" fontId="7" fillId="3" borderId="39" xfId="0" applyNumberFormat="1" applyFont="1" applyFill="1" applyBorder="1" applyAlignment="1">
      <alignment horizontal="center" vertical="center"/>
    </xf>
    <xf numFmtId="164" fontId="7" fillId="3" borderId="39" xfId="1" applyNumberFormat="1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vertical="center"/>
    </xf>
    <xf numFmtId="0" fontId="7" fillId="4" borderId="4" xfId="0" applyFont="1" applyFill="1" applyBorder="1" applyAlignment="1">
      <alignment horizontal="left" vertical="center"/>
    </xf>
    <xf numFmtId="0" fontId="7" fillId="4" borderId="4" xfId="0" applyFont="1" applyFill="1" applyBorder="1"/>
    <xf numFmtId="0" fontId="7" fillId="4" borderId="6" xfId="0" applyFont="1" applyFill="1" applyBorder="1" applyAlignment="1">
      <alignment vertical="center"/>
    </xf>
    <xf numFmtId="0" fontId="7" fillId="4" borderId="0" xfId="0" applyFont="1" applyFill="1" applyBorder="1" applyAlignment="1">
      <alignment horizontal="left" vertical="center"/>
    </xf>
    <xf numFmtId="0" fontId="7" fillId="4" borderId="0" xfId="0" applyFont="1" applyFill="1" applyBorder="1"/>
    <xf numFmtId="0" fontId="16" fillId="4" borderId="0" xfId="0" applyFont="1" applyFill="1" applyBorder="1" applyAlignment="1">
      <alignment horizontal="left" vertical="center"/>
    </xf>
    <xf numFmtId="0" fontId="7" fillId="4" borderId="0" xfId="0" applyFont="1" applyFill="1" applyBorder="1" applyAlignment="1">
      <alignment vertical="center"/>
    </xf>
    <xf numFmtId="0" fontId="7" fillId="4" borderId="0" xfId="0" applyFont="1" applyFill="1" applyBorder="1" applyAlignment="1"/>
    <xf numFmtId="0" fontId="16" fillId="4" borderId="6" xfId="0" applyFont="1" applyFill="1" applyBorder="1" applyAlignment="1">
      <alignment vertical="center"/>
    </xf>
    <xf numFmtId="0" fontId="16" fillId="4" borderId="0" xfId="0" applyFont="1" applyFill="1" applyBorder="1" applyAlignment="1">
      <alignment vertical="center"/>
    </xf>
    <xf numFmtId="168" fontId="7" fillId="4" borderId="0" xfId="0" applyNumberFormat="1" applyFont="1" applyFill="1" applyBorder="1"/>
    <xf numFmtId="0" fontId="7" fillId="4" borderId="6" xfId="0" applyFont="1" applyFill="1" applyBorder="1" applyAlignment="1">
      <alignment horizontal="left" vertical="center"/>
    </xf>
    <xf numFmtId="0" fontId="16" fillId="4" borderId="6" xfId="0" applyFont="1" applyFill="1" applyBorder="1" applyAlignment="1">
      <alignment horizontal="left" vertical="center"/>
    </xf>
    <xf numFmtId="0" fontId="11" fillId="4" borderId="6" xfId="0" applyFont="1" applyFill="1" applyBorder="1" applyAlignment="1">
      <alignment vertical="center"/>
    </xf>
    <xf numFmtId="0" fontId="7" fillId="4" borderId="0" xfId="0" applyFont="1" applyFill="1" applyBorder="1" applyAlignment="1">
      <alignment horizontal="left"/>
    </xf>
    <xf numFmtId="0" fontId="7" fillId="4" borderId="0" xfId="0" applyFont="1" applyFill="1" applyBorder="1" applyAlignment="1">
      <alignment horizontal="center" wrapText="1"/>
    </xf>
    <xf numFmtId="0" fontId="9" fillId="3" borderId="12" xfId="0" applyNumberFormat="1" applyFont="1" applyFill="1" applyBorder="1" applyAlignment="1">
      <alignment horizontal="center" vertical="center"/>
    </xf>
    <xf numFmtId="0" fontId="7" fillId="3" borderId="5" xfId="0" applyFont="1" applyFill="1" applyBorder="1"/>
    <xf numFmtId="0" fontId="7" fillId="3" borderId="7" xfId="0" applyFont="1" applyFill="1" applyBorder="1"/>
    <xf numFmtId="0" fontId="0" fillId="3" borderId="0" xfId="0" applyFill="1" applyBorder="1"/>
    <xf numFmtId="0" fontId="0" fillId="3" borderId="7" xfId="0" applyFill="1" applyBorder="1"/>
    <xf numFmtId="0" fontId="7" fillId="3" borderId="6" xfId="0" applyFont="1" applyFill="1" applyBorder="1" applyAlignment="1">
      <alignment horizontal="left" vertical="center"/>
    </xf>
    <xf numFmtId="0" fontId="7" fillId="3" borderId="8" xfId="0" applyFont="1" applyFill="1" applyBorder="1" applyAlignment="1">
      <alignment horizontal="left" vertical="center"/>
    </xf>
    <xf numFmtId="0" fontId="7" fillId="3" borderId="9" xfId="0" applyFont="1" applyFill="1" applyBorder="1" applyAlignment="1">
      <alignment horizontal="left" vertical="center"/>
    </xf>
    <xf numFmtId="0" fontId="7" fillId="3" borderId="9" xfId="0" applyFont="1" applyFill="1" applyBorder="1"/>
    <xf numFmtId="0" fontId="7" fillId="3" borderId="10" xfId="0" applyFont="1" applyFill="1" applyBorder="1"/>
    <xf numFmtId="0" fontId="4" fillId="0" borderId="44" xfId="0" applyFont="1" applyBorder="1"/>
    <xf numFmtId="0" fontId="7" fillId="5" borderId="6" xfId="0" applyFont="1" applyFill="1" applyBorder="1" applyAlignment="1">
      <alignment vertical="center"/>
    </xf>
    <xf numFmtId="0" fontId="16" fillId="5" borderId="0" xfId="0" applyFont="1" applyFill="1" applyBorder="1" applyAlignment="1">
      <alignment horizontal="left" vertical="center"/>
    </xf>
    <xf numFmtId="0" fontId="7" fillId="5" borderId="0" xfId="0" applyFont="1" applyFill="1" applyBorder="1" applyAlignment="1">
      <alignment vertical="center"/>
    </xf>
    <xf numFmtId="0" fontId="7" fillId="5" borderId="0" xfId="0" applyFont="1" applyFill="1" applyBorder="1" applyAlignment="1"/>
    <xf numFmtId="0" fontId="7" fillId="5" borderId="0" xfId="0" applyFont="1" applyFill="1" applyBorder="1"/>
    <xf numFmtId="0" fontId="7" fillId="5" borderId="6" xfId="0" applyFont="1" applyFill="1" applyBorder="1" applyAlignment="1">
      <alignment horizontal="left" vertical="center"/>
    </xf>
    <xf numFmtId="0" fontId="16" fillId="5" borderId="6" xfId="0" applyFont="1" applyFill="1" applyBorder="1" applyAlignment="1">
      <alignment horizontal="left" vertical="center"/>
    </xf>
    <xf numFmtId="0" fontId="7" fillId="5" borderId="0" xfId="0" applyFont="1" applyFill="1" applyBorder="1" applyAlignment="1">
      <alignment horizontal="left" vertical="center"/>
    </xf>
    <xf numFmtId="0" fontId="7" fillId="4" borderId="0" xfId="0" applyFont="1" applyFill="1" applyBorder="1" applyAlignment="1">
      <alignment horizontal="left" vertical="center" wrapText="1"/>
    </xf>
    <xf numFmtId="0" fontId="7" fillId="3" borderId="39" xfId="0" applyFont="1" applyFill="1" applyBorder="1" applyAlignment="1">
      <alignment horizontal="left" vertical="center" wrapText="1"/>
    </xf>
    <xf numFmtId="0" fontId="21" fillId="0" borderId="0" xfId="0" applyFont="1" applyFill="1"/>
    <xf numFmtId="0" fontId="21" fillId="0" borderId="0" xfId="0" applyFont="1"/>
    <xf numFmtId="0" fontId="7" fillId="0" borderId="0" xfId="0" applyFont="1" applyFill="1" applyBorder="1" applyAlignment="1">
      <alignment horizontal="left" vertical="center"/>
    </xf>
    <xf numFmtId="0" fontId="16" fillId="0" borderId="0" xfId="0" applyFont="1" applyFill="1" applyBorder="1" applyAlignment="1">
      <alignment horizontal="left" vertical="center"/>
    </xf>
    <xf numFmtId="168" fontId="7" fillId="0" borderId="0" xfId="0" applyNumberFormat="1" applyFont="1" applyFill="1" applyBorder="1" applyAlignment="1">
      <alignment horizontal="left" vertical="center"/>
    </xf>
    <xf numFmtId="0" fontId="7" fillId="4" borderId="0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5" borderId="0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7" fillId="4" borderId="0" xfId="0" applyFont="1" applyFill="1" applyBorder="1" applyAlignment="1">
      <alignment horizontal="left" vertical="top" wrapText="1"/>
    </xf>
    <xf numFmtId="0" fontId="7" fillId="4" borderId="7" xfId="0" applyFont="1" applyFill="1" applyBorder="1" applyAlignment="1">
      <alignment horizontal="left" vertical="top" wrapText="1"/>
    </xf>
    <xf numFmtId="0" fontId="7" fillId="4" borderId="0" xfId="0" applyFont="1" applyFill="1" applyBorder="1" applyAlignment="1">
      <alignment horizontal="left" vertical="center" wrapText="1"/>
    </xf>
    <xf numFmtId="0" fontId="7" fillId="4" borderId="7" xfId="0" applyFont="1" applyFill="1" applyBorder="1" applyAlignment="1">
      <alignment horizontal="left" vertical="center" wrapText="1"/>
    </xf>
    <xf numFmtId="0" fontId="7" fillId="4" borderId="0" xfId="0" applyFont="1" applyFill="1" applyBorder="1" applyAlignment="1">
      <alignment horizontal="left" vertical="top"/>
    </xf>
    <xf numFmtId="0" fontId="7" fillId="4" borderId="7" xfId="0" applyFont="1" applyFill="1" applyBorder="1" applyAlignment="1">
      <alignment horizontal="left" vertical="top"/>
    </xf>
    <xf numFmtId="0" fontId="7" fillId="4" borderId="0" xfId="0" applyFont="1" applyFill="1" applyBorder="1" applyAlignment="1">
      <alignment horizontal="left" wrapText="1"/>
    </xf>
    <xf numFmtId="0" fontId="13" fillId="3" borderId="0" xfId="0" applyFont="1" applyFill="1" applyBorder="1" applyAlignment="1">
      <alignment horizontal="center"/>
    </xf>
    <xf numFmtId="0" fontId="14" fillId="3" borderId="0" xfId="0" applyFont="1" applyFill="1" applyBorder="1" applyAlignment="1">
      <alignment horizontal="left" vertical="center" wrapText="1"/>
    </xf>
    <xf numFmtId="0" fontId="15" fillId="3" borderId="0" xfId="0" applyFont="1" applyFill="1" applyBorder="1" applyAlignment="1">
      <alignment horizontal="left" vertical="center" wrapText="1" indent="1"/>
    </xf>
    <xf numFmtId="0" fontId="15" fillId="3" borderId="0" xfId="0" applyFont="1" applyFill="1" applyBorder="1" applyAlignment="1">
      <alignment horizontal="left" vertical="center" wrapText="1"/>
    </xf>
    <xf numFmtId="168" fontId="7" fillId="4" borderId="0" xfId="0" applyNumberFormat="1" applyFont="1" applyFill="1" applyBorder="1" applyAlignment="1">
      <alignment horizontal="left" wrapText="1"/>
    </xf>
    <xf numFmtId="168" fontId="7" fillId="4" borderId="7" xfId="0" applyNumberFormat="1" applyFont="1" applyFill="1" applyBorder="1" applyAlignment="1">
      <alignment horizontal="left" wrapText="1"/>
    </xf>
    <xf numFmtId="0" fontId="7" fillId="5" borderId="0" xfId="0" applyFont="1" applyFill="1" applyBorder="1" applyAlignment="1">
      <alignment horizontal="left" vertical="center" wrapText="1"/>
    </xf>
    <xf numFmtId="0" fontId="7" fillId="5" borderId="7" xfId="0" applyFont="1" applyFill="1" applyBorder="1" applyAlignment="1">
      <alignment horizontal="left" vertical="center" wrapText="1"/>
    </xf>
    <xf numFmtId="0" fontId="20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68" fontId="12" fillId="3" borderId="15" xfId="0" applyNumberFormat="1" applyFont="1" applyFill="1" applyBorder="1" applyAlignment="1">
      <alignment horizontal="center" vertical="center"/>
    </xf>
    <xf numFmtId="0" fontId="7" fillId="3" borderId="39" xfId="0" applyFont="1" applyFill="1" applyBorder="1" applyAlignment="1">
      <alignment horizontal="left" vertical="center" wrapText="1"/>
    </xf>
    <xf numFmtId="0" fontId="12" fillId="3" borderId="15" xfId="0" applyFont="1" applyFill="1" applyBorder="1" applyAlignment="1">
      <alignment horizontal="left" vertical="center" wrapText="1" indent="1"/>
    </xf>
    <xf numFmtId="0" fontId="10" fillId="3" borderId="17" xfId="0" applyFont="1" applyFill="1" applyBorder="1" applyAlignment="1">
      <alignment horizontal="left" vertical="center"/>
    </xf>
    <xf numFmtId="0" fontId="9" fillId="3" borderId="18" xfId="0" applyFont="1" applyFill="1" applyBorder="1" applyAlignment="1">
      <alignment horizontal="left" vertical="center" wrapText="1" indent="1"/>
    </xf>
    <xf numFmtId="0" fontId="12" fillId="3" borderId="17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0" fontId="19" fillId="3" borderId="0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left" vertical="center" wrapText="1"/>
    </xf>
    <xf numFmtId="0" fontId="9" fillId="3" borderId="15" xfId="0" applyFont="1" applyFill="1" applyBorder="1" applyAlignment="1">
      <alignment horizontal="left" vertical="center" wrapText="1" indent="1"/>
    </xf>
    <xf numFmtId="0" fontId="10" fillId="3" borderId="16" xfId="0" applyFont="1" applyFill="1" applyBorder="1" applyAlignment="1">
      <alignment horizontal="left" vertical="center" wrapText="1"/>
    </xf>
    <xf numFmtId="0" fontId="7" fillId="3" borderId="32" xfId="0" applyFont="1" applyFill="1" applyBorder="1" applyAlignment="1">
      <alignment horizontal="left" vertical="center" wrapText="1"/>
    </xf>
    <xf numFmtId="0" fontId="18" fillId="3" borderId="20" xfId="0" applyFont="1" applyFill="1" applyBorder="1" applyAlignment="1">
      <alignment vertical="center" wrapText="1"/>
    </xf>
    <xf numFmtId="0" fontId="18" fillId="3" borderId="36" xfId="0" applyFont="1" applyFill="1" applyBorder="1" applyAlignment="1">
      <alignment vertical="center" wrapText="1"/>
    </xf>
    <xf numFmtId="0" fontId="18" fillId="3" borderId="18" xfId="0" applyFont="1" applyFill="1" applyBorder="1" applyAlignment="1">
      <alignment vertical="center" wrapText="1"/>
    </xf>
    <xf numFmtId="0" fontId="17" fillId="3" borderId="27" xfId="0" applyFont="1" applyFill="1" applyBorder="1" applyAlignment="1">
      <alignment vertical="center" wrapText="1"/>
    </xf>
    <xf numFmtId="0" fontId="17" fillId="3" borderId="35" xfId="0" applyFont="1" applyFill="1" applyBorder="1" applyAlignment="1">
      <alignment horizontal="left" vertical="center" wrapText="1" indent="1"/>
    </xf>
    <xf numFmtId="0" fontId="18" fillId="3" borderId="35" xfId="0" applyFont="1" applyFill="1" applyBorder="1" applyAlignment="1">
      <alignment horizontal="left" vertical="center" wrapText="1"/>
    </xf>
    <xf numFmtId="0" fontId="7" fillId="3" borderId="22" xfId="0" applyFont="1" applyFill="1" applyBorder="1" applyAlignment="1"/>
    <xf numFmtId="0" fontId="17" fillId="3" borderId="23" xfId="0" applyFont="1" applyFill="1" applyBorder="1" applyAlignment="1"/>
    <xf numFmtId="0" fontId="17" fillId="3" borderId="24" xfId="0" applyFont="1" applyFill="1" applyBorder="1" applyAlignment="1">
      <alignment horizontal="left" vertical="center" wrapText="1" indent="1"/>
    </xf>
    <xf numFmtId="0" fontId="12" fillId="3" borderId="22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2" fillId="3" borderId="22" xfId="0" applyFont="1" applyFill="1" applyBorder="1" applyAlignment="1">
      <alignment horizontal="center" vertical="center" wrapText="1"/>
    </xf>
    <xf numFmtId="0" fontId="12" fillId="3" borderId="27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left" vertical="center" wrapText="1"/>
    </xf>
    <xf numFmtId="0" fontId="7" fillId="3" borderId="37" xfId="0" applyFont="1" applyFill="1" applyBorder="1" applyAlignment="1">
      <alignment horizontal="left" vertical="center" wrapText="1"/>
    </xf>
    <xf numFmtId="0" fontId="7" fillId="3" borderId="38" xfId="0" applyFont="1" applyFill="1" applyBorder="1" applyAlignment="1">
      <alignment horizontal="left" vertical="center" wrapText="1"/>
    </xf>
    <xf numFmtId="0" fontId="17" fillId="3" borderId="12" xfId="0" applyFont="1" applyFill="1" applyBorder="1" applyAlignment="1">
      <alignment horizontal="left" indent="1"/>
    </xf>
    <xf numFmtId="0" fontId="11" fillId="3" borderId="12" xfId="0" applyFont="1" applyFill="1" applyBorder="1" applyAlignment="1">
      <alignment horizontal="left"/>
    </xf>
    <xf numFmtId="0" fontId="7" fillId="3" borderId="20" xfId="0" applyFont="1" applyFill="1" applyBorder="1" applyAlignment="1">
      <alignment horizontal="center"/>
    </xf>
    <xf numFmtId="3" fontId="18" fillId="3" borderId="21" xfId="0" applyNumberFormat="1" applyFont="1" applyFill="1" applyBorder="1" applyAlignment="1">
      <alignment horizontal="center"/>
    </xf>
    <xf numFmtId="0" fontId="9" fillId="3" borderId="12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/>
  </cellXfs>
  <cellStyles count="6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2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455"/>
  <sheetViews>
    <sheetView topLeftCell="A4" zoomScale="90" zoomScaleNormal="90" workbookViewId="0">
      <selection activeCell="H12" sqref="H12"/>
    </sheetView>
  </sheetViews>
  <sheetFormatPr baseColWidth="10" defaultColWidth="11" defaultRowHeight="13.5" x14ac:dyDescent="0.25"/>
  <cols>
    <col min="1" max="1" width="4.5703125" style="3" customWidth="1"/>
    <col min="2" max="2" width="17.140625" style="34" customWidth="1"/>
    <col min="3" max="3" width="20.42578125" style="34" customWidth="1"/>
    <col min="4" max="4" width="8.42578125" style="3" customWidth="1"/>
    <col min="5" max="5" width="76.28515625" style="3" customWidth="1"/>
    <col min="6" max="6" width="11" style="3"/>
    <col min="7" max="7" width="10.7109375" style="3" customWidth="1"/>
    <col min="8" max="8" width="13.85546875" style="3" customWidth="1"/>
    <col min="9" max="9" width="26.140625" style="3" customWidth="1"/>
    <col min="10" max="10" width="11" style="3"/>
    <col min="11" max="11" width="12.5703125" style="3" bestFit="1" customWidth="1"/>
    <col min="12" max="16384" width="11" style="3"/>
  </cols>
  <sheetData>
    <row r="2" spans="1:12" ht="28.5" x14ac:dyDescent="0.4">
      <c r="B2" s="114" t="s">
        <v>0</v>
      </c>
      <c r="C2" s="114"/>
      <c r="D2" s="114"/>
      <c r="E2" s="114"/>
      <c r="F2" s="114"/>
      <c r="G2" s="114"/>
      <c r="H2" s="114"/>
    </row>
    <row r="4" spans="1:12" ht="18" customHeight="1" x14ac:dyDescent="0.25">
      <c r="A4" s="115" t="s">
        <v>1</v>
      </c>
      <c r="B4" s="115"/>
      <c r="C4" s="116" t="s">
        <v>2</v>
      </c>
      <c r="D4" s="116"/>
      <c r="E4" s="116"/>
      <c r="F4" s="12"/>
      <c r="G4" s="13"/>
      <c r="H4" s="12"/>
    </row>
    <row r="5" spans="1:12" ht="27" customHeight="1" x14ac:dyDescent="0.25">
      <c r="A5" s="115" t="s">
        <v>3</v>
      </c>
      <c r="B5" s="115"/>
      <c r="C5" s="117" t="s">
        <v>4</v>
      </c>
      <c r="D5" s="117"/>
      <c r="E5" s="117"/>
      <c r="F5" s="117"/>
      <c r="G5" s="117"/>
      <c r="H5" s="117"/>
      <c r="I5" s="117"/>
    </row>
    <row r="6" spans="1:12" ht="16.5" customHeight="1" x14ac:dyDescent="0.25">
      <c r="A6" s="115" t="s">
        <v>5</v>
      </c>
      <c r="B6" s="115"/>
      <c r="C6" s="29">
        <v>2021</v>
      </c>
      <c r="D6" s="35"/>
      <c r="E6" s="35"/>
      <c r="F6" s="12"/>
      <c r="G6" s="13"/>
      <c r="H6" s="12"/>
    </row>
    <row r="7" spans="1:12" ht="16.5" customHeight="1" x14ac:dyDescent="0.25">
      <c r="A7" s="115" t="s">
        <v>6</v>
      </c>
      <c r="B7" s="115"/>
      <c r="C7" s="29">
        <v>3</v>
      </c>
      <c r="D7" s="35"/>
      <c r="E7" s="35"/>
      <c r="F7" s="12"/>
      <c r="G7" s="13"/>
      <c r="H7" s="12"/>
    </row>
    <row r="8" spans="1:12" ht="14.25" thickBot="1" x14ac:dyDescent="0.3">
      <c r="B8" s="30"/>
      <c r="C8" s="30"/>
      <c r="D8" s="12"/>
      <c r="E8" s="12"/>
      <c r="F8" s="12"/>
      <c r="G8" s="13"/>
      <c r="H8" s="12"/>
    </row>
    <row r="9" spans="1:12" ht="39.75" thickTop="1" thickBot="1" x14ac:dyDescent="0.3">
      <c r="A9" s="14" t="s">
        <v>7</v>
      </c>
      <c r="B9" s="31" t="s">
        <v>8</v>
      </c>
      <c r="C9" s="31" t="s">
        <v>9</v>
      </c>
      <c r="D9" s="14" t="s">
        <v>10</v>
      </c>
      <c r="E9" s="14" t="s">
        <v>11</v>
      </c>
      <c r="F9" s="14" t="s">
        <v>12</v>
      </c>
      <c r="G9" s="15" t="s">
        <v>13</v>
      </c>
      <c r="H9" s="15" t="s">
        <v>14</v>
      </c>
      <c r="I9" s="15" t="s">
        <v>15</v>
      </c>
    </row>
    <row r="10" spans="1:12" ht="28.5" customHeight="1" thickBot="1" x14ac:dyDescent="0.3">
      <c r="A10" s="16">
        <v>1</v>
      </c>
      <c r="B10" s="32" t="s">
        <v>16</v>
      </c>
      <c r="C10" s="33" t="s">
        <v>17</v>
      </c>
      <c r="D10" s="19" t="s">
        <v>18</v>
      </c>
      <c r="E10" s="18" t="s">
        <v>19</v>
      </c>
      <c r="F10" s="17" t="s">
        <v>20</v>
      </c>
      <c r="G10" s="20">
        <v>170</v>
      </c>
      <c r="H10" s="21">
        <v>12343.27</v>
      </c>
      <c r="I10" s="22">
        <f t="shared" ref="I10:I73" si="0">G10*H10</f>
        <v>2098355.9</v>
      </c>
      <c r="J10" s="98"/>
      <c r="L10" s="100"/>
    </row>
    <row r="11" spans="1:12" ht="28.5" customHeight="1" thickBot="1" x14ac:dyDescent="0.3">
      <c r="A11" s="16">
        <v>2</v>
      </c>
      <c r="B11" s="54" t="s">
        <v>21</v>
      </c>
      <c r="C11" s="97" t="s">
        <v>17</v>
      </c>
      <c r="D11" s="55" t="s">
        <v>18</v>
      </c>
      <c r="E11" s="56" t="s">
        <v>22</v>
      </c>
      <c r="F11" s="57" t="s">
        <v>20</v>
      </c>
      <c r="G11" s="58">
        <v>200</v>
      </c>
      <c r="H11" s="59">
        <v>9314</v>
      </c>
      <c r="I11" s="22">
        <f t="shared" si="0"/>
        <v>1862800</v>
      </c>
      <c r="J11" s="98"/>
      <c r="L11" s="100"/>
    </row>
    <row r="12" spans="1:12" ht="28.5" customHeight="1" thickBot="1" x14ac:dyDescent="0.3">
      <c r="A12" s="16">
        <v>3</v>
      </c>
      <c r="B12" s="54" t="s">
        <v>23</v>
      </c>
      <c r="C12" s="97" t="s">
        <v>17</v>
      </c>
      <c r="D12" s="55" t="s">
        <v>18</v>
      </c>
      <c r="E12" s="56" t="s">
        <v>24</v>
      </c>
      <c r="F12" s="57" t="s">
        <v>20</v>
      </c>
      <c r="G12" s="58">
        <v>70</v>
      </c>
      <c r="H12" s="59">
        <v>7990</v>
      </c>
      <c r="I12" s="22">
        <f t="shared" si="0"/>
        <v>559300</v>
      </c>
      <c r="J12" s="98"/>
      <c r="L12" s="100"/>
    </row>
    <row r="13" spans="1:12" ht="28.5" customHeight="1" thickBot="1" x14ac:dyDescent="0.3">
      <c r="A13" s="16">
        <v>4</v>
      </c>
      <c r="B13" s="54" t="s">
        <v>25</v>
      </c>
      <c r="C13" s="97" t="s">
        <v>17</v>
      </c>
      <c r="D13" s="55" t="s">
        <v>18</v>
      </c>
      <c r="E13" s="56" t="s">
        <v>26</v>
      </c>
      <c r="F13" s="57" t="s">
        <v>20</v>
      </c>
      <c r="G13" s="58">
        <v>10</v>
      </c>
      <c r="H13" s="59">
        <v>24900</v>
      </c>
      <c r="I13" s="22">
        <f t="shared" si="0"/>
        <v>249000</v>
      </c>
      <c r="J13" s="98"/>
      <c r="L13" s="100"/>
    </row>
    <row r="14" spans="1:12" ht="28.5" customHeight="1" thickBot="1" x14ac:dyDescent="0.3">
      <c r="A14" s="16">
        <v>5</v>
      </c>
      <c r="B14" s="54" t="s">
        <v>25</v>
      </c>
      <c r="C14" s="97" t="s">
        <v>17</v>
      </c>
      <c r="D14" s="55" t="s">
        <v>18</v>
      </c>
      <c r="E14" s="56" t="s">
        <v>26</v>
      </c>
      <c r="F14" s="57" t="s">
        <v>20</v>
      </c>
      <c r="G14" s="58">
        <v>10</v>
      </c>
      <c r="H14" s="59">
        <v>10896</v>
      </c>
      <c r="I14" s="22">
        <f t="shared" si="0"/>
        <v>108960</v>
      </c>
      <c r="J14" s="98"/>
      <c r="L14" s="100"/>
    </row>
    <row r="15" spans="1:12" ht="28.5" customHeight="1" thickBot="1" x14ac:dyDescent="0.3">
      <c r="A15" s="16">
        <v>6</v>
      </c>
      <c r="B15" s="54" t="s">
        <v>27</v>
      </c>
      <c r="C15" s="97" t="s">
        <v>17</v>
      </c>
      <c r="D15" s="55" t="s">
        <v>18</v>
      </c>
      <c r="E15" s="56" t="s">
        <v>28</v>
      </c>
      <c r="F15" s="57" t="s">
        <v>20</v>
      </c>
      <c r="G15" s="58">
        <v>10</v>
      </c>
      <c r="H15" s="59">
        <v>15998</v>
      </c>
      <c r="I15" s="22">
        <f t="shared" si="0"/>
        <v>159980</v>
      </c>
      <c r="J15" s="98"/>
      <c r="L15" s="101"/>
    </row>
    <row r="16" spans="1:12" ht="28.5" customHeight="1" thickBot="1" x14ac:dyDescent="0.3">
      <c r="A16" s="16">
        <v>7</v>
      </c>
      <c r="B16" s="54" t="s">
        <v>29</v>
      </c>
      <c r="C16" s="97" t="s">
        <v>17</v>
      </c>
      <c r="D16" s="55" t="s">
        <v>18</v>
      </c>
      <c r="E16" s="56" t="s">
        <v>30</v>
      </c>
      <c r="F16" s="57" t="s">
        <v>20</v>
      </c>
      <c r="G16" s="58">
        <v>10</v>
      </c>
      <c r="H16" s="59">
        <v>9500</v>
      </c>
      <c r="I16" s="22">
        <f t="shared" si="0"/>
        <v>95000</v>
      </c>
      <c r="J16" s="98"/>
      <c r="L16" s="100"/>
    </row>
    <row r="17" spans="1:12" ht="28.5" customHeight="1" thickBot="1" x14ac:dyDescent="0.3">
      <c r="A17" s="16">
        <v>8</v>
      </c>
      <c r="B17" s="54" t="s">
        <v>27</v>
      </c>
      <c r="C17" s="97" t="s">
        <v>17</v>
      </c>
      <c r="D17" s="55" t="s">
        <v>18</v>
      </c>
      <c r="E17" s="56" t="s">
        <v>28</v>
      </c>
      <c r="F17" s="57" t="s">
        <v>20</v>
      </c>
      <c r="G17" s="58">
        <v>5</v>
      </c>
      <c r="H17" s="59">
        <v>15998</v>
      </c>
      <c r="I17" s="22">
        <f t="shared" si="0"/>
        <v>79990</v>
      </c>
      <c r="J17" s="98"/>
      <c r="L17" s="102"/>
    </row>
    <row r="18" spans="1:12" ht="28.5" customHeight="1" thickBot="1" x14ac:dyDescent="0.3">
      <c r="A18" s="16">
        <v>9</v>
      </c>
      <c r="B18" s="54" t="s">
        <v>29</v>
      </c>
      <c r="C18" s="97" t="s">
        <v>17</v>
      </c>
      <c r="D18" s="55" t="s">
        <v>18</v>
      </c>
      <c r="E18" s="56" t="s">
        <v>30</v>
      </c>
      <c r="F18" s="57" t="s">
        <v>20</v>
      </c>
      <c r="G18" s="58">
        <v>5</v>
      </c>
      <c r="H18" s="59">
        <v>9500</v>
      </c>
      <c r="I18" s="22">
        <f t="shared" si="0"/>
        <v>47500</v>
      </c>
      <c r="J18" s="98"/>
      <c r="L18" s="100"/>
    </row>
    <row r="19" spans="1:12" ht="28.5" customHeight="1" thickBot="1" x14ac:dyDescent="0.3">
      <c r="A19" s="16">
        <v>10</v>
      </c>
      <c r="B19" s="54" t="s">
        <v>31</v>
      </c>
      <c r="C19" s="97" t="s">
        <v>17</v>
      </c>
      <c r="D19" s="55" t="s">
        <v>18</v>
      </c>
      <c r="E19" s="56" t="s">
        <v>32</v>
      </c>
      <c r="F19" s="57" t="s">
        <v>20</v>
      </c>
      <c r="G19" s="58">
        <v>10</v>
      </c>
      <c r="H19" s="59">
        <v>9453</v>
      </c>
      <c r="I19" s="22">
        <f t="shared" si="0"/>
        <v>94530</v>
      </c>
      <c r="J19" s="98"/>
      <c r="L19" s="100"/>
    </row>
    <row r="20" spans="1:12" ht="28.5" customHeight="1" thickBot="1" x14ac:dyDescent="0.3">
      <c r="A20" s="16">
        <v>11</v>
      </c>
      <c r="B20" s="54" t="s">
        <v>33</v>
      </c>
      <c r="C20" s="97" t="s">
        <v>17</v>
      </c>
      <c r="D20" s="55" t="s">
        <v>18</v>
      </c>
      <c r="E20" s="56" t="s">
        <v>34</v>
      </c>
      <c r="F20" s="57" t="s">
        <v>20</v>
      </c>
      <c r="G20" s="58">
        <v>10</v>
      </c>
      <c r="H20" s="59">
        <v>16736</v>
      </c>
      <c r="I20" s="22">
        <f t="shared" si="0"/>
        <v>167360</v>
      </c>
      <c r="J20" s="98"/>
      <c r="L20" s="100"/>
    </row>
    <row r="21" spans="1:12" ht="28.5" customHeight="1" thickBot="1" x14ac:dyDescent="0.3">
      <c r="A21" s="16">
        <v>12</v>
      </c>
      <c r="B21" s="54" t="s">
        <v>31</v>
      </c>
      <c r="C21" s="97" t="s">
        <v>17</v>
      </c>
      <c r="D21" s="55" t="s">
        <v>18</v>
      </c>
      <c r="E21" s="56" t="s">
        <v>32</v>
      </c>
      <c r="F21" s="57" t="s">
        <v>20</v>
      </c>
      <c r="G21" s="58">
        <v>10</v>
      </c>
      <c r="H21" s="59">
        <v>9453</v>
      </c>
      <c r="I21" s="22">
        <f t="shared" si="0"/>
        <v>94530</v>
      </c>
      <c r="J21" s="98"/>
      <c r="L21" s="100"/>
    </row>
    <row r="22" spans="1:12" ht="28.5" customHeight="1" thickBot="1" x14ac:dyDescent="0.3">
      <c r="A22" s="16">
        <v>13</v>
      </c>
      <c r="B22" s="54" t="s">
        <v>33</v>
      </c>
      <c r="C22" s="97" t="s">
        <v>17</v>
      </c>
      <c r="D22" s="55" t="s">
        <v>18</v>
      </c>
      <c r="E22" s="56" t="s">
        <v>34</v>
      </c>
      <c r="F22" s="57" t="s">
        <v>20</v>
      </c>
      <c r="G22" s="58">
        <v>10</v>
      </c>
      <c r="H22" s="59">
        <v>16736</v>
      </c>
      <c r="I22" s="22">
        <f t="shared" si="0"/>
        <v>167360</v>
      </c>
      <c r="J22" s="98"/>
      <c r="L22" s="100"/>
    </row>
    <row r="23" spans="1:12" ht="28.5" customHeight="1" thickBot="1" x14ac:dyDescent="0.3">
      <c r="A23" s="16">
        <v>14</v>
      </c>
      <c r="B23" s="54" t="s">
        <v>35</v>
      </c>
      <c r="C23" s="97" t="s">
        <v>17</v>
      </c>
      <c r="D23" s="55" t="s">
        <v>18</v>
      </c>
      <c r="E23" s="56" t="s">
        <v>36</v>
      </c>
      <c r="F23" s="57" t="s">
        <v>20</v>
      </c>
      <c r="G23" s="58">
        <v>40</v>
      </c>
      <c r="H23" s="59">
        <v>8332</v>
      </c>
      <c r="I23" s="22">
        <f t="shared" si="0"/>
        <v>333280</v>
      </c>
      <c r="J23" s="98"/>
      <c r="L23" s="102"/>
    </row>
    <row r="24" spans="1:12" ht="28.5" customHeight="1" thickBot="1" x14ac:dyDescent="0.3">
      <c r="A24" s="16">
        <v>15</v>
      </c>
      <c r="B24" s="54" t="s">
        <v>37</v>
      </c>
      <c r="C24" s="97" t="s">
        <v>17</v>
      </c>
      <c r="D24" s="55" t="s">
        <v>18</v>
      </c>
      <c r="E24" s="56" t="s">
        <v>38</v>
      </c>
      <c r="F24" s="57" t="s">
        <v>20</v>
      </c>
      <c r="G24" s="58">
        <v>40</v>
      </c>
      <c r="H24" s="59">
        <v>16559</v>
      </c>
      <c r="I24" s="22">
        <f t="shared" si="0"/>
        <v>662360</v>
      </c>
      <c r="J24" s="98"/>
      <c r="L24" s="100"/>
    </row>
    <row r="25" spans="1:12" ht="28.5" customHeight="1" thickBot="1" x14ac:dyDescent="0.3">
      <c r="A25" s="16">
        <v>16</v>
      </c>
      <c r="B25" s="54" t="s">
        <v>37</v>
      </c>
      <c r="C25" s="97" t="s">
        <v>17</v>
      </c>
      <c r="D25" s="55" t="s">
        <v>18</v>
      </c>
      <c r="E25" s="56" t="s">
        <v>38</v>
      </c>
      <c r="F25" s="57" t="s">
        <v>20</v>
      </c>
      <c r="G25" s="58">
        <v>40</v>
      </c>
      <c r="H25" s="59">
        <v>16559</v>
      </c>
      <c r="I25" s="22">
        <f t="shared" si="0"/>
        <v>662360</v>
      </c>
      <c r="J25" s="98"/>
      <c r="L25" s="100"/>
    </row>
    <row r="26" spans="1:12" ht="28.5" customHeight="1" thickBot="1" x14ac:dyDescent="0.3">
      <c r="A26" s="16">
        <v>17</v>
      </c>
      <c r="B26" s="54" t="s">
        <v>39</v>
      </c>
      <c r="C26" s="97" t="s">
        <v>17</v>
      </c>
      <c r="D26" s="55" t="s">
        <v>18</v>
      </c>
      <c r="E26" s="56" t="s">
        <v>40</v>
      </c>
      <c r="F26" s="57" t="s">
        <v>20</v>
      </c>
      <c r="G26" s="58">
        <v>40</v>
      </c>
      <c r="H26" s="59">
        <v>7053</v>
      </c>
      <c r="I26" s="22">
        <f t="shared" si="0"/>
        <v>282120</v>
      </c>
      <c r="J26" s="98"/>
      <c r="L26" s="100"/>
    </row>
    <row r="27" spans="1:12" ht="28.5" customHeight="1" thickBot="1" x14ac:dyDescent="0.3">
      <c r="A27" s="16">
        <v>18</v>
      </c>
      <c r="B27" s="54" t="s">
        <v>41</v>
      </c>
      <c r="C27" s="97" t="s">
        <v>17</v>
      </c>
      <c r="D27" s="55" t="s">
        <v>18</v>
      </c>
      <c r="E27" s="56" t="s">
        <v>42</v>
      </c>
      <c r="F27" s="57" t="s">
        <v>20</v>
      </c>
      <c r="G27" s="58">
        <v>10</v>
      </c>
      <c r="H27" s="59">
        <v>116000</v>
      </c>
      <c r="I27" s="22">
        <f t="shared" si="0"/>
        <v>1160000</v>
      </c>
      <c r="J27" s="98"/>
      <c r="L27" s="100"/>
    </row>
    <row r="28" spans="1:12" ht="28.5" customHeight="1" thickBot="1" x14ac:dyDescent="0.3">
      <c r="A28" s="16">
        <v>19</v>
      </c>
      <c r="B28" s="54" t="s">
        <v>43</v>
      </c>
      <c r="C28" s="97" t="s">
        <v>17</v>
      </c>
      <c r="D28" s="55" t="s">
        <v>18</v>
      </c>
      <c r="E28" s="56" t="s">
        <v>44</v>
      </c>
      <c r="F28" s="57" t="s">
        <v>20</v>
      </c>
      <c r="G28" s="58">
        <v>10</v>
      </c>
      <c r="H28" s="59">
        <v>164782</v>
      </c>
      <c r="I28" s="22">
        <f t="shared" si="0"/>
        <v>1647820</v>
      </c>
      <c r="J28" s="98"/>
      <c r="L28" s="100"/>
    </row>
    <row r="29" spans="1:12" ht="28.5" customHeight="1" thickBot="1" x14ac:dyDescent="0.3">
      <c r="A29" s="16">
        <v>20</v>
      </c>
      <c r="B29" s="54" t="s">
        <v>43</v>
      </c>
      <c r="C29" s="97" t="s">
        <v>17</v>
      </c>
      <c r="D29" s="55" t="s">
        <v>18</v>
      </c>
      <c r="E29" s="56" t="s">
        <v>44</v>
      </c>
      <c r="F29" s="57" t="s">
        <v>20</v>
      </c>
      <c r="G29" s="58">
        <v>10</v>
      </c>
      <c r="H29" s="59">
        <v>164782</v>
      </c>
      <c r="I29" s="22">
        <f t="shared" si="0"/>
        <v>1647820</v>
      </c>
      <c r="J29" s="98"/>
      <c r="L29" s="100"/>
    </row>
    <row r="30" spans="1:12" ht="28.5" customHeight="1" thickBot="1" x14ac:dyDescent="0.3">
      <c r="A30" s="16">
        <v>21</v>
      </c>
      <c r="B30" s="54" t="s">
        <v>45</v>
      </c>
      <c r="C30" s="97" t="s">
        <v>17</v>
      </c>
      <c r="D30" s="55" t="s">
        <v>18</v>
      </c>
      <c r="E30" s="56" t="s">
        <v>46</v>
      </c>
      <c r="F30" s="57" t="s">
        <v>20</v>
      </c>
      <c r="G30" s="58">
        <v>5</v>
      </c>
      <c r="H30" s="59">
        <v>109905</v>
      </c>
      <c r="I30" s="22">
        <f t="shared" si="0"/>
        <v>549525</v>
      </c>
      <c r="J30" s="98"/>
      <c r="L30" s="100"/>
    </row>
    <row r="31" spans="1:12" ht="28.5" customHeight="1" thickBot="1" x14ac:dyDescent="0.3">
      <c r="A31" s="16">
        <v>22</v>
      </c>
      <c r="B31" s="54" t="s">
        <v>47</v>
      </c>
      <c r="C31" s="97" t="s">
        <v>17</v>
      </c>
      <c r="D31" s="55" t="s">
        <v>18</v>
      </c>
      <c r="E31" s="56" t="s">
        <v>48</v>
      </c>
      <c r="F31" s="57" t="s">
        <v>20</v>
      </c>
      <c r="G31" s="58">
        <v>10</v>
      </c>
      <c r="H31" s="59">
        <v>35000</v>
      </c>
      <c r="I31" s="22">
        <f t="shared" si="0"/>
        <v>350000</v>
      </c>
      <c r="J31" s="98"/>
      <c r="L31" s="100"/>
    </row>
    <row r="32" spans="1:12" ht="28.5" customHeight="1" thickBot="1" x14ac:dyDescent="0.3">
      <c r="A32" s="16">
        <v>23</v>
      </c>
      <c r="B32" s="54" t="s">
        <v>49</v>
      </c>
      <c r="C32" s="97" t="s">
        <v>17</v>
      </c>
      <c r="D32" s="55" t="s">
        <v>18</v>
      </c>
      <c r="E32" s="56" t="s">
        <v>50</v>
      </c>
      <c r="F32" s="57" t="s">
        <v>20</v>
      </c>
      <c r="G32" s="58">
        <v>5</v>
      </c>
      <c r="H32" s="59">
        <v>29374</v>
      </c>
      <c r="I32" s="22">
        <f t="shared" si="0"/>
        <v>146870</v>
      </c>
      <c r="J32" s="98"/>
      <c r="L32" s="100"/>
    </row>
    <row r="33" spans="1:12" ht="28.5" customHeight="1" thickBot="1" x14ac:dyDescent="0.3">
      <c r="A33" s="16">
        <v>24</v>
      </c>
      <c r="B33" s="54" t="s">
        <v>49</v>
      </c>
      <c r="C33" s="97" t="s">
        <v>17</v>
      </c>
      <c r="D33" s="55" t="s">
        <v>18</v>
      </c>
      <c r="E33" s="56" t="s">
        <v>50</v>
      </c>
      <c r="F33" s="57" t="s">
        <v>20</v>
      </c>
      <c r="G33" s="58">
        <v>5</v>
      </c>
      <c r="H33" s="59">
        <v>29374</v>
      </c>
      <c r="I33" s="22">
        <f t="shared" si="0"/>
        <v>146870</v>
      </c>
      <c r="J33" s="98"/>
      <c r="L33" s="100"/>
    </row>
    <row r="34" spans="1:12" ht="28.5" customHeight="1" thickBot="1" x14ac:dyDescent="0.3">
      <c r="A34" s="16">
        <v>25</v>
      </c>
      <c r="B34" s="54" t="s">
        <v>47</v>
      </c>
      <c r="C34" s="97" t="s">
        <v>17</v>
      </c>
      <c r="D34" s="55" t="s">
        <v>18</v>
      </c>
      <c r="E34" s="56" t="s">
        <v>48</v>
      </c>
      <c r="F34" s="57" t="s">
        <v>20</v>
      </c>
      <c r="G34" s="58">
        <v>5</v>
      </c>
      <c r="H34" s="59">
        <v>41338</v>
      </c>
      <c r="I34" s="22">
        <f t="shared" si="0"/>
        <v>206690</v>
      </c>
      <c r="J34" s="98"/>
      <c r="L34" s="100"/>
    </row>
    <row r="35" spans="1:12" ht="28.5" customHeight="1" thickBot="1" x14ac:dyDescent="0.3">
      <c r="A35" s="16">
        <v>26</v>
      </c>
      <c r="B35" s="54" t="s">
        <v>51</v>
      </c>
      <c r="C35" s="97" t="s">
        <v>17</v>
      </c>
      <c r="D35" s="55" t="s">
        <v>18</v>
      </c>
      <c r="E35" s="56" t="s">
        <v>52</v>
      </c>
      <c r="F35" s="57" t="s">
        <v>20</v>
      </c>
      <c r="G35" s="58">
        <v>10</v>
      </c>
      <c r="H35" s="59">
        <v>112765</v>
      </c>
      <c r="I35" s="22">
        <f t="shared" si="0"/>
        <v>1127650</v>
      </c>
      <c r="J35" s="98"/>
      <c r="L35" s="100"/>
    </row>
    <row r="36" spans="1:12" ht="28.5" customHeight="1" thickBot="1" x14ac:dyDescent="0.3">
      <c r="A36" s="16">
        <v>27</v>
      </c>
      <c r="B36" s="54" t="s">
        <v>53</v>
      </c>
      <c r="C36" s="97" t="s">
        <v>17</v>
      </c>
      <c r="D36" s="55" t="s">
        <v>18</v>
      </c>
      <c r="E36" s="56" t="s">
        <v>54</v>
      </c>
      <c r="F36" s="57" t="s">
        <v>20</v>
      </c>
      <c r="G36" s="58">
        <v>10</v>
      </c>
      <c r="H36" s="59">
        <v>52587</v>
      </c>
      <c r="I36" s="22">
        <f t="shared" si="0"/>
        <v>525870</v>
      </c>
      <c r="J36" s="98"/>
      <c r="L36" s="100"/>
    </row>
    <row r="37" spans="1:12" ht="28.5" customHeight="1" thickBot="1" x14ac:dyDescent="0.3">
      <c r="A37" s="16">
        <v>28</v>
      </c>
      <c r="B37" s="54" t="s">
        <v>55</v>
      </c>
      <c r="C37" s="97" t="s">
        <v>17</v>
      </c>
      <c r="D37" s="55" t="s">
        <v>18</v>
      </c>
      <c r="E37" s="56" t="s">
        <v>56</v>
      </c>
      <c r="F37" s="57" t="s">
        <v>20</v>
      </c>
      <c r="G37" s="58">
        <v>10</v>
      </c>
      <c r="H37" s="59">
        <v>10140</v>
      </c>
      <c r="I37" s="22">
        <f t="shared" si="0"/>
        <v>101400</v>
      </c>
      <c r="J37" s="98"/>
      <c r="L37" s="100"/>
    </row>
    <row r="38" spans="1:12" ht="28.5" customHeight="1" thickBot="1" x14ac:dyDescent="0.3">
      <c r="A38" s="16">
        <v>29</v>
      </c>
      <c r="B38" s="54" t="s">
        <v>57</v>
      </c>
      <c r="C38" s="97" t="s">
        <v>17</v>
      </c>
      <c r="D38" s="55" t="s">
        <v>18</v>
      </c>
      <c r="E38" s="56" t="s">
        <v>58</v>
      </c>
      <c r="F38" s="57" t="s">
        <v>20</v>
      </c>
      <c r="G38" s="58">
        <v>20</v>
      </c>
      <c r="H38" s="59">
        <v>27500</v>
      </c>
      <c r="I38" s="22">
        <f t="shared" si="0"/>
        <v>550000</v>
      </c>
      <c r="J38" s="98"/>
      <c r="L38" s="100"/>
    </row>
    <row r="39" spans="1:12" ht="28.5" customHeight="1" thickBot="1" x14ac:dyDescent="0.3">
      <c r="A39" s="16">
        <v>30</v>
      </c>
      <c r="B39" s="54" t="s">
        <v>59</v>
      </c>
      <c r="C39" s="97" t="s">
        <v>17</v>
      </c>
      <c r="D39" s="55" t="s">
        <v>18</v>
      </c>
      <c r="E39" s="56" t="s">
        <v>60</v>
      </c>
      <c r="F39" s="57" t="s">
        <v>20</v>
      </c>
      <c r="G39" s="58">
        <v>10</v>
      </c>
      <c r="H39" s="59">
        <v>11701</v>
      </c>
      <c r="I39" s="22">
        <f t="shared" si="0"/>
        <v>117010</v>
      </c>
      <c r="J39" s="98"/>
      <c r="L39" s="100"/>
    </row>
    <row r="40" spans="1:12" ht="28.5" customHeight="1" thickBot="1" x14ac:dyDescent="0.3">
      <c r="A40" s="16">
        <v>31</v>
      </c>
      <c r="B40" s="54" t="s">
        <v>61</v>
      </c>
      <c r="C40" s="97" t="s">
        <v>17</v>
      </c>
      <c r="D40" s="55" t="s">
        <v>18</v>
      </c>
      <c r="E40" s="56" t="s">
        <v>62</v>
      </c>
      <c r="F40" s="57" t="s">
        <v>20</v>
      </c>
      <c r="G40" s="58">
        <v>10</v>
      </c>
      <c r="H40" s="59">
        <v>3969</v>
      </c>
      <c r="I40" s="22">
        <f t="shared" si="0"/>
        <v>39690</v>
      </c>
      <c r="J40" s="98"/>
      <c r="L40" s="100"/>
    </row>
    <row r="41" spans="1:12" ht="28.5" customHeight="1" thickBot="1" x14ac:dyDescent="0.3">
      <c r="A41" s="16">
        <v>32</v>
      </c>
      <c r="B41" s="54" t="s">
        <v>63</v>
      </c>
      <c r="C41" s="97" t="s">
        <v>17</v>
      </c>
      <c r="D41" s="55" t="s">
        <v>18</v>
      </c>
      <c r="E41" s="56" t="s">
        <v>64</v>
      </c>
      <c r="F41" s="57" t="s">
        <v>20</v>
      </c>
      <c r="G41" s="58">
        <v>10</v>
      </c>
      <c r="H41" s="59">
        <v>9100</v>
      </c>
      <c r="I41" s="22">
        <f t="shared" si="0"/>
        <v>91000</v>
      </c>
      <c r="J41" s="98"/>
      <c r="L41" s="100"/>
    </row>
    <row r="42" spans="1:12" ht="28.5" customHeight="1" thickBot="1" x14ac:dyDescent="0.3">
      <c r="A42" s="16">
        <v>33</v>
      </c>
      <c r="B42" s="54" t="s">
        <v>63</v>
      </c>
      <c r="C42" s="97" t="s">
        <v>17</v>
      </c>
      <c r="D42" s="55" t="s">
        <v>18</v>
      </c>
      <c r="E42" s="56" t="s">
        <v>64</v>
      </c>
      <c r="F42" s="57" t="s">
        <v>20</v>
      </c>
      <c r="G42" s="58">
        <v>10</v>
      </c>
      <c r="H42" s="59">
        <v>5795</v>
      </c>
      <c r="I42" s="22">
        <f t="shared" si="0"/>
        <v>57950</v>
      </c>
      <c r="J42" s="98"/>
      <c r="L42" s="100"/>
    </row>
    <row r="43" spans="1:12" ht="28.5" customHeight="1" thickBot="1" x14ac:dyDescent="0.3">
      <c r="A43" s="16">
        <v>34</v>
      </c>
      <c r="B43" s="54" t="s">
        <v>65</v>
      </c>
      <c r="C43" s="97" t="s">
        <v>17</v>
      </c>
      <c r="D43" s="55" t="s">
        <v>18</v>
      </c>
      <c r="E43" s="56" t="s">
        <v>66</v>
      </c>
      <c r="F43" s="57" t="s">
        <v>20</v>
      </c>
      <c r="G43" s="58">
        <v>10</v>
      </c>
      <c r="H43" s="59">
        <v>18400</v>
      </c>
      <c r="I43" s="22">
        <f t="shared" si="0"/>
        <v>184000</v>
      </c>
      <c r="J43" s="98"/>
      <c r="L43" s="100"/>
    </row>
    <row r="44" spans="1:12" ht="28.5" customHeight="1" thickBot="1" x14ac:dyDescent="0.3">
      <c r="A44" s="16">
        <v>35</v>
      </c>
      <c r="B44" s="54" t="s">
        <v>65</v>
      </c>
      <c r="C44" s="97" t="s">
        <v>17</v>
      </c>
      <c r="D44" s="55" t="s">
        <v>18</v>
      </c>
      <c r="E44" s="56" t="s">
        <v>66</v>
      </c>
      <c r="F44" s="57" t="s">
        <v>20</v>
      </c>
      <c r="G44" s="58">
        <v>10</v>
      </c>
      <c r="H44" s="59">
        <v>12442</v>
      </c>
      <c r="I44" s="22">
        <f t="shared" si="0"/>
        <v>124420</v>
      </c>
      <c r="J44" s="98"/>
      <c r="L44" s="100"/>
    </row>
    <row r="45" spans="1:12" ht="28.5" customHeight="1" thickBot="1" x14ac:dyDescent="0.3">
      <c r="A45" s="16">
        <v>36</v>
      </c>
      <c r="B45" s="54" t="s">
        <v>67</v>
      </c>
      <c r="C45" s="97" t="s">
        <v>17</v>
      </c>
      <c r="D45" s="55" t="s">
        <v>18</v>
      </c>
      <c r="E45" s="56" t="s">
        <v>68</v>
      </c>
      <c r="F45" s="57" t="s">
        <v>20</v>
      </c>
      <c r="G45" s="58">
        <v>10</v>
      </c>
      <c r="H45" s="59">
        <v>12842</v>
      </c>
      <c r="I45" s="22">
        <f t="shared" si="0"/>
        <v>128420</v>
      </c>
      <c r="J45" s="98"/>
      <c r="L45" s="100"/>
    </row>
    <row r="46" spans="1:12" ht="28.5" customHeight="1" thickBot="1" x14ac:dyDescent="0.3">
      <c r="A46" s="16">
        <v>37</v>
      </c>
      <c r="B46" s="54" t="s">
        <v>69</v>
      </c>
      <c r="C46" s="97" t="s">
        <v>17</v>
      </c>
      <c r="D46" s="55" t="s">
        <v>18</v>
      </c>
      <c r="E46" s="56" t="s">
        <v>70</v>
      </c>
      <c r="F46" s="57" t="s">
        <v>20</v>
      </c>
      <c r="G46" s="58">
        <v>10</v>
      </c>
      <c r="H46" s="59">
        <v>14599</v>
      </c>
      <c r="I46" s="22">
        <f t="shared" si="0"/>
        <v>145990</v>
      </c>
      <c r="J46" s="98"/>
      <c r="L46" s="100"/>
    </row>
    <row r="47" spans="1:12" ht="28.5" customHeight="1" thickBot="1" x14ac:dyDescent="0.3">
      <c r="A47" s="16">
        <v>38</v>
      </c>
      <c r="B47" s="54" t="s">
        <v>71</v>
      </c>
      <c r="C47" s="97" t="s">
        <v>17</v>
      </c>
      <c r="D47" s="55" t="s">
        <v>18</v>
      </c>
      <c r="E47" s="56" t="s">
        <v>72</v>
      </c>
      <c r="F47" s="57" t="s">
        <v>20</v>
      </c>
      <c r="G47" s="58">
        <v>20</v>
      </c>
      <c r="H47" s="59">
        <v>5988</v>
      </c>
      <c r="I47" s="22">
        <f t="shared" si="0"/>
        <v>119760</v>
      </c>
      <c r="J47" s="98"/>
      <c r="L47" s="100"/>
    </row>
    <row r="48" spans="1:12" ht="28.5" customHeight="1" thickBot="1" x14ac:dyDescent="0.3">
      <c r="A48" s="16">
        <v>39</v>
      </c>
      <c r="B48" s="54" t="s">
        <v>73</v>
      </c>
      <c r="C48" s="97" t="s">
        <v>17</v>
      </c>
      <c r="D48" s="55" t="s">
        <v>18</v>
      </c>
      <c r="E48" s="56" t="s">
        <v>74</v>
      </c>
      <c r="F48" s="57" t="s">
        <v>20</v>
      </c>
      <c r="G48" s="58">
        <v>20</v>
      </c>
      <c r="H48" s="59">
        <v>5165</v>
      </c>
      <c r="I48" s="22">
        <f t="shared" si="0"/>
        <v>103300</v>
      </c>
      <c r="J48" s="98"/>
      <c r="L48" s="100"/>
    </row>
    <row r="49" spans="1:12" ht="28.5" customHeight="1" thickBot="1" x14ac:dyDescent="0.3">
      <c r="A49" s="16">
        <v>40</v>
      </c>
      <c r="B49" s="54" t="s">
        <v>75</v>
      </c>
      <c r="C49" s="97" t="s">
        <v>17</v>
      </c>
      <c r="D49" s="55" t="s">
        <v>18</v>
      </c>
      <c r="E49" s="56" t="s">
        <v>76</v>
      </c>
      <c r="F49" s="57" t="s">
        <v>20</v>
      </c>
      <c r="G49" s="58">
        <v>20</v>
      </c>
      <c r="H49" s="59">
        <v>12596</v>
      </c>
      <c r="I49" s="22">
        <f t="shared" si="0"/>
        <v>251920</v>
      </c>
      <c r="J49" s="98"/>
      <c r="L49" s="100"/>
    </row>
    <row r="50" spans="1:12" ht="28.5" customHeight="1" thickBot="1" x14ac:dyDescent="0.3">
      <c r="A50" s="16">
        <v>41</v>
      </c>
      <c r="B50" s="54" t="s">
        <v>77</v>
      </c>
      <c r="C50" s="97" t="s">
        <v>17</v>
      </c>
      <c r="D50" s="55" t="s">
        <v>18</v>
      </c>
      <c r="E50" s="56" t="s">
        <v>78</v>
      </c>
      <c r="F50" s="57" t="s">
        <v>20</v>
      </c>
      <c r="G50" s="58">
        <v>20</v>
      </c>
      <c r="H50" s="59">
        <v>3969</v>
      </c>
      <c r="I50" s="22">
        <f t="shared" si="0"/>
        <v>79380</v>
      </c>
      <c r="J50" s="98"/>
      <c r="L50" s="100"/>
    </row>
    <row r="51" spans="1:12" ht="28.5" customHeight="1" thickBot="1" x14ac:dyDescent="0.3">
      <c r="A51" s="16">
        <v>42</v>
      </c>
      <c r="B51" s="54" t="s">
        <v>79</v>
      </c>
      <c r="C51" s="97" t="s">
        <v>17</v>
      </c>
      <c r="D51" s="55" t="s">
        <v>18</v>
      </c>
      <c r="E51" s="56" t="s">
        <v>80</v>
      </c>
      <c r="F51" s="57" t="s">
        <v>20</v>
      </c>
      <c r="G51" s="58">
        <v>10</v>
      </c>
      <c r="H51" s="59">
        <v>19519</v>
      </c>
      <c r="I51" s="22">
        <f t="shared" si="0"/>
        <v>195190</v>
      </c>
      <c r="J51" s="98"/>
      <c r="L51" s="100"/>
    </row>
    <row r="52" spans="1:12" ht="28.5" customHeight="1" thickBot="1" x14ac:dyDescent="0.3">
      <c r="A52" s="16">
        <v>43</v>
      </c>
      <c r="B52" s="54" t="s">
        <v>81</v>
      </c>
      <c r="C52" s="97" t="s">
        <v>17</v>
      </c>
      <c r="D52" s="55" t="s">
        <v>18</v>
      </c>
      <c r="E52" s="56" t="s">
        <v>82</v>
      </c>
      <c r="F52" s="57" t="s">
        <v>20</v>
      </c>
      <c r="G52" s="58">
        <v>10</v>
      </c>
      <c r="H52" s="59">
        <v>9359</v>
      </c>
      <c r="I52" s="22">
        <f t="shared" si="0"/>
        <v>93590</v>
      </c>
      <c r="J52" s="98"/>
      <c r="L52" s="100"/>
    </row>
    <row r="53" spans="1:12" ht="28.5" customHeight="1" thickBot="1" x14ac:dyDescent="0.3">
      <c r="A53" s="16">
        <v>44</v>
      </c>
      <c r="B53" s="54" t="s">
        <v>83</v>
      </c>
      <c r="C53" s="97" t="s">
        <v>17</v>
      </c>
      <c r="D53" s="55" t="s">
        <v>18</v>
      </c>
      <c r="E53" s="56" t="s">
        <v>84</v>
      </c>
      <c r="F53" s="57" t="s">
        <v>20</v>
      </c>
      <c r="G53" s="58">
        <v>10</v>
      </c>
      <c r="H53" s="59">
        <v>9093</v>
      </c>
      <c r="I53" s="22">
        <f t="shared" si="0"/>
        <v>90930</v>
      </c>
      <c r="J53" s="98"/>
      <c r="L53" s="100"/>
    </row>
    <row r="54" spans="1:12" ht="28.5" customHeight="1" thickBot="1" x14ac:dyDescent="0.3">
      <c r="A54" s="16">
        <v>45</v>
      </c>
      <c r="B54" s="54" t="s">
        <v>85</v>
      </c>
      <c r="C54" s="97" t="s">
        <v>17</v>
      </c>
      <c r="D54" s="55" t="s">
        <v>18</v>
      </c>
      <c r="E54" s="56" t="s">
        <v>86</v>
      </c>
      <c r="F54" s="57" t="s">
        <v>20</v>
      </c>
      <c r="G54" s="58">
        <v>10</v>
      </c>
      <c r="H54" s="59">
        <v>9858</v>
      </c>
      <c r="I54" s="22">
        <f t="shared" si="0"/>
        <v>98580</v>
      </c>
      <c r="J54" s="98"/>
      <c r="L54" s="100"/>
    </row>
    <row r="55" spans="1:12" ht="28.5" customHeight="1" thickBot="1" x14ac:dyDescent="0.3">
      <c r="A55" s="16">
        <v>46</v>
      </c>
      <c r="B55" s="54" t="s">
        <v>85</v>
      </c>
      <c r="C55" s="97" t="s">
        <v>17</v>
      </c>
      <c r="D55" s="55" t="s">
        <v>18</v>
      </c>
      <c r="E55" s="56" t="s">
        <v>86</v>
      </c>
      <c r="F55" s="57" t="s">
        <v>20</v>
      </c>
      <c r="G55" s="58">
        <v>10</v>
      </c>
      <c r="H55" s="59">
        <v>9858</v>
      </c>
      <c r="I55" s="22">
        <f t="shared" si="0"/>
        <v>98580</v>
      </c>
      <c r="J55" s="98"/>
      <c r="L55" s="100"/>
    </row>
    <row r="56" spans="1:12" ht="28.5" customHeight="1" thickBot="1" x14ac:dyDescent="0.3">
      <c r="A56" s="16">
        <v>47</v>
      </c>
      <c r="B56" s="54" t="s">
        <v>87</v>
      </c>
      <c r="C56" s="97" t="s">
        <v>17</v>
      </c>
      <c r="D56" s="55" t="s">
        <v>18</v>
      </c>
      <c r="E56" s="56" t="s">
        <v>88</v>
      </c>
      <c r="F56" s="57" t="s">
        <v>20</v>
      </c>
      <c r="G56" s="58">
        <v>20</v>
      </c>
      <c r="H56" s="59">
        <v>28999</v>
      </c>
      <c r="I56" s="22">
        <f t="shared" si="0"/>
        <v>579980</v>
      </c>
      <c r="J56" s="98"/>
      <c r="L56" s="100"/>
    </row>
    <row r="57" spans="1:12" ht="28.5" customHeight="1" thickBot="1" x14ac:dyDescent="0.3">
      <c r="A57" s="16">
        <v>48</v>
      </c>
      <c r="B57" s="54" t="s">
        <v>87</v>
      </c>
      <c r="C57" s="97" t="s">
        <v>17</v>
      </c>
      <c r="D57" s="55" t="s">
        <v>18</v>
      </c>
      <c r="E57" s="56" t="s">
        <v>88</v>
      </c>
      <c r="F57" s="57" t="s">
        <v>20</v>
      </c>
      <c r="G57" s="58">
        <v>25</v>
      </c>
      <c r="H57" s="59">
        <v>13042</v>
      </c>
      <c r="I57" s="22">
        <f t="shared" si="0"/>
        <v>326050</v>
      </c>
      <c r="J57" s="98"/>
      <c r="L57" s="100"/>
    </row>
    <row r="58" spans="1:12" ht="28.5" customHeight="1" thickBot="1" x14ac:dyDescent="0.3">
      <c r="A58" s="16">
        <v>49</v>
      </c>
      <c r="B58" s="54" t="s">
        <v>89</v>
      </c>
      <c r="C58" s="97" t="s">
        <v>17</v>
      </c>
      <c r="D58" s="55" t="s">
        <v>18</v>
      </c>
      <c r="E58" s="56" t="s">
        <v>90</v>
      </c>
      <c r="F58" s="57" t="s">
        <v>20</v>
      </c>
      <c r="G58" s="58">
        <v>10</v>
      </c>
      <c r="H58" s="59">
        <v>7577</v>
      </c>
      <c r="I58" s="22">
        <f t="shared" si="0"/>
        <v>75770</v>
      </c>
      <c r="J58" s="98"/>
      <c r="L58" s="100"/>
    </row>
    <row r="59" spans="1:12" ht="28.5" customHeight="1" thickBot="1" x14ac:dyDescent="0.3">
      <c r="A59" s="16">
        <v>50</v>
      </c>
      <c r="B59" s="54" t="s">
        <v>91</v>
      </c>
      <c r="C59" s="97" t="s">
        <v>17</v>
      </c>
      <c r="D59" s="55" t="s">
        <v>18</v>
      </c>
      <c r="E59" s="56" t="s">
        <v>92</v>
      </c>
      <c r="F59" s="57" t="s">
        <v>20</v>
      </c>
      <c r="G59" s="58">
        <v>10</v>
      </c>
      <c r="H59" s="59">
        <v>7826</v>
      </c>
      <c r="I59" s="22">
        <f t="shared" si="0"/>
        <v>78260</v>
      </c>
      <c r="J59" s="98"/>
      <c r="L59" s="100"/>
    </row>
    <row r="60" spans="1:12" ht="28.5" customHeight="1" thickBot="1" x14ac:dyDescent="0.3">
      <c r="A60" s="16">
        <v>51</v>
      </c>
      <c r="B60" s="54" t="s">
        <v>93</v>
      </c>
      <c r="C60" s="97" t="s">
        <v>17</v>
      </c>
      <c r="D60" s="55" t="s">
        <v>18</v>
      </c>
      <c r="E60" s="56" t="s">
        <v>94</v>
      </c>
      <c r="F60" s="57" t="s">
        <v>20</v>
      </c>
      <c r="G60" s="58">
        <v>10</v>
      </c>
      <c r="H60" s="59">
        <v>9450</v>
      </c>
      <c r="I60" s="22">
        <f t="shared" si="0"/>
        <v>94500</v>
      </c>
      <c r="J60" s="98"/>
      <c r="L60" s="100"/>
    </row>
    <row r="61" spans="1:12" ht="28.5" customHeight="1" thickBot="1" x14ac:dyDescent="0.3">
      <c r="A61" s="16">
        <v>52</v>
      </c>
      <c r="B61" s="54" t="s">
        <v>93</v>
      </c>
      <c r="C61" s="97" t="s">
        <v>17</v>
      </c>
      <c r="D61" s="55" t="s">
        <v>18</v>
      </c>
      <c r="E61" s="56" t="s">
        <v>94</v>
      </c>
      <c r="F61" s="57" t="s">
        <v>20</v>
      </c>
      <c r="G61" s="58">
        <v>10</v>
      </c>
      <c r="H61" s="59">
        <v>10500</v>
      </c>
      <c r="I61" s="22">
        <f t="shared" si="0"/>
        <v>105000</v>
      </c>
      <c r="J61" s="98"/>
      <c r="L61" s="100"/>
    </row>
    <row r="62" spans="1:12" ht="28.5" customHeight="1" thickBot="1" x14ac:dyDescent="0.3">
      <c r="A62" s="16">
        <v>53</v>
      </c>
      <c r="B62" s="54" t="s">
        <v>91</v>
      </c>
      <c r="C62" s="97" t="s">
        <v>17</v>
      </c>
      <c r="D62" s="55" t="s">
        <v>18</v>
      </c>
      <c r="E62" s="56" t="s">
        <v>92</v>
      </c>
      <c r="F62" s="57" t="s">
        <v>20</v>
      </c>
      <c r="G62" s="58">
        <v>10</v>
      </c>
      <c r="H62" s="59">
        <v>7826</v>
      </c>
      <c r="I62" s="22">
        <f t="shared" si="0"/>
        <v>78260</v>
      </c>
      <c r="J62" s="98"/>
      <c r="L62" s="100"/>
    </row>
    <row r="63" spans="1:12" ht="28.5" customHeight="1" thickBot="1" x14ac:dyDescent="0.3">
      <c r="A63" s="16">
        <v>54</v>
      </c>
      <c r="B63" s="54" t="s">
        <v>91</v>
      </c>
      <c r="C63" s="97" t="s">
        <v>17</v>
      </c>
      <c r="D63" s="55" t="s">
        <v>18</v>
      </c>
      <c r="E63" s="56" t="s">
        <v>92</v>
      </c>
      <c r="F63" s="57" t="s">
        <v>20</v>
      </c>
      <c r="G63" s="58">
        <v>10</v>
      </c>
      <c r="H63" s="59">
        <v>7826</v>
      </c>
      <c r="I63" s="22">
        <f t="shared" si="0"/>
        <v>78260</v>
      </c>
      <c r="J63" s="98"/>
      <c r="L63" s="100"/>
    </row>
    <row r="64" spans="1:12" ht="28.5" customHeight="1" thickBot="1" x14ac:dyDescent="0.3">
      <c r="A64" s="16">
        <v>55</v>
      </c>
      <c r="B64" s="54" t="s">
        <v>93</v>
      </c>
      <c r="C64" s="97" t="s">
        <v>17</v>
      </c>
      <c r="D64" s="55" t="s">
        <v>18</v>
      </c>
      <c r="E64" s="56" t="s">
        <v>94</v>
      </c>
      <c r="F64" s="57" t="s">
        <v>20</v>
      </c>
      <c r="G64" s="58">
        <v>10</v>
      </c>
      <c r="H64" s="59">
        <v>9450</v>
      </c>
      <c r="I64" s="22">
        <f t="shared" si="0"/>
        <v>94500</v>
      </c>
      <c r="J64" s="98"/>
      <c r="L64" s="100"/>
    </row>
    <row r="65" spans="1:12" ht="28.5" customHeight="1" thickBot="1" x14ac:dyDescent="0.3">
      <c r="A65" s="16">
        <v>56</v>
      </c>
      <c r="B65" s="54" t="s">
        <v>93</v>
      </c>
      <c r="C65" s="97" t="s">
        <v>17</v>
      </c>
      <c r="D65" s="55" t="s">
        <v>18</v>
      </c>
      <c r="E65" s="56" t="s">
        <v>94</v>
      </c>
      <c r="F65" s="57" t="s">
        <v>20</v>
      </c>
      <c r="G65" s="58">
        <v>10</v>
      </c>
      <c r="H65" s="59">
        <v>10500</v>
      </c>
      <c r="I65" s="22">
        <f t="shared" si="0"/>
        <v>105000</v>
      </c>
      <c r="J65" s="98"/>
      <c r="L65" s="100"/>
    </row>
    <row r="66" spans="1:12" ht="28.5" customHeight="1" thickBot="1" x14ac:dyDescent="0.3">
      <c r="A66" s="16">
        <v>57</v>
      </c>
      <c r="B66" s="54" t="s">
        <v>91</v>
      </c>
      <c r="C66" s="97" t="s">
        <v>17</v>
      </c>
      <c r="D66" s="55" t="s">
        <v>18</v>
      </c>
      <c r="E66" s="56" t="s">
        <v>92</v>
      </c>
      <c r="F66" s="57" t="s">
        <v>20</v>
      </c>
      <c r="G66" s="58">
        <v>10</v>
      </c>
      <c r="H66" s="59">
        <v>7826</v>
      </c>
      <c r="I66" s="22">
        <f t="shared" si="0"/>
        <v>78260</v>
      </c>
      <c r="J66" s="98"/>
      <c r="L66" s="100"/>
    </row>
    <row r="67" spans="1:12" ht="28.5" customHeight="1" thickBot="1" x14ac:dyDescent="0.3">
      <c r="A67" s="16">
        <v>58</v>
      </c>
      <c r="B67" s="54" t="s">
        <v>95</v>
      </c>
      <c r="C67" s="97" t="s">
        <v>17</v>
      </c>
      <c r="D67" s="55" t="s">
        <v>18</v>
      </c>
      <c r="E67" s="56" t="s">
        <v>96</v>
      </c>
      <c r="F67" s="57" t="s">
        <v>20</v>
      </c>
      <c r="G67" s="58">
        <v>10</v>
      </c>
      <c r="H67" s="59">
        <v>8841</v>
      </c>
      <c r="I67" s="22">
        <f t="shared" si="0"/>
        <v>88410</v>
      </c>
      <c r="J67" s="98"/>
      <c r="L67" s="100"/>
    </row>
    <row r="68" spans="1:12" ht="28.5" customHeight="1" thickBot="1" x14ac:dyDescent="0.3">
      <c r="A68" s="16">
        <v>59</v>
      </c>
      <c r="B68" s="54" t="s">
        <v>97</v>
      </c>
      <c r="C68" s="97" t="s">
        <v>17</v>
      </c>
      <c r="D68" s="55" t="s">
        <v>18</v>
      </c>
      <c r="E68" s="56" t="s">
        <v>98</v>
      </c>
      <c r="F68" s="57" t="s">
        <v>20</v>
      </c>
      <c r="G68" s="58">
        <v>10</v>
      </c>
      <c r="H68" s="59">
        <v>5977</v>
      </c>
      <c r="I68" s="22">
        <f t="shared" si="0"/>
        <v>59770</v>
      </c>
      <c r="J68" s="98"/>
      <c r="L68" s="100"/>
    </row>
    <row r="69" spans="1:12" ht="28.5" customHeight="1" thickBot="1" x14ac:dyDescent="0.3">
      <c r="A69" s="16">
        <v>60</v>
      </c>
      <c r="B69" s="54" t="s">
        <v>99</v>
      </c>
      <c r="C69" s="97" t="s">
        <v>17</v>
      </c>
      <c r="D69" s="55" t="s">
        <v>18</v>
      </c>
      <c r="E69" s="56" t="s">
        <v>100</v>
      </c>
      <c r="F69" s="57" t="s">
        <v>20</v>
      </c>
      <c r="G69" s="58">
        <v>10</v>
      </c>
      <c r="H69" s="59">
        <v>3587</v>
      </c>
      <c r="I69" s="22">
        <f t="shared" si="0"/>
        <v>35870</v>
      </c>
      <c r="J69" s="98"/>
      <c r="L69" s="100"/>
    </row>
    <row r="70" spans="1:12" ht="28.5" customHeight="1" thickBot="1" x14ac:dyDescent="0.3">
      <c r="A70" s="16">
        <v>61</v>
      </c>
      <c r="B70" s="54" t="s">
        <v>101</v>
      </c>
      <c r="C70" s="97" t="s">
        <v>17</v>
      </c>
      <c r="D70" s="55" t="s">
        <v>18</v>
      </c>
      <c r="E70" s="56" t="s">
        <v>102</v>
      </c>
      <c r="F70" s="57" t="s">
        <v>20</v>
      </c>
      <c r="G70" s="58">
        <v>10</v>
      </c>
      <c r="H70" s="59">
        <v>1392</v>
      </c>
      <c r="I70" s="22">
        <f t="shared" si="0"/>
        <v>13920</v>
      </c>
      <c r="J70" s="98"/>
      <c r="L70" s="100"/>
    </row>
    <row r="71" spans="1:12" ht="28.5" customHeight="1" thickBot="1" x14ac:dyDescent="0.3">
      <c r="A71" s="16">
        <v>62</v>
      </c>
      <c r="B71" s="54" t="s">
        <v>103</v>
      </c>
      <c r="C71" s="97" t="s">
        <v>17</v>
      </c>
      <c r="D71" s="55" t="s">
        <v>18</v>
      </c>
      <c r="E71" s="56" t="s">
        <v>104</v>
      </c>
      <c r="F71" s="57" t="s">
        <v>20</v>
      </c>
      <c r="G71" s="58">
        <v>30</v>
      </c>
      <c r="H71" s="59">
        <v>6204</v>
      </c>
      <c r="I71" s="22">
        <f t="shared" si="0"/>
        <v>186120</v>
      </c>
      <c r="J71" s="98"/>
      <c r="L71" s="100"/>
    </row>
    <row r="72" spans="1:12" ht="28.5" customHeight="1" thickBot="1" x14ac:dyDescent="0.3">
      <c r="A72" s="16">
        <v>63</v>
      </c>
      <c r="B72" s="54" t="s">
        <v>105</v>
      </c>
      <c r="C72" s="97" t="s">
        <v>17</v>
      </c>
      <c r="D72" s="55" t="s">
        <v>18</v>
      </c>
      <c r="E72" s="56" t="s">
        <v>106</v>
      </c>
      <c r="F72" s="57" t="s">
        <v>20</v>
      </c>
      <c r="G72" s="58">
        <v>6</v>
      </c>
      <c r="H72" s="59">
        <v>54002</v>
      </c>
      <c r="I72" s="22">
        <f t="shared" si="0"/>
        <v>324012</v>
      </c>
      <c r="J72" s="98"/>
      <c r="L72" s="100"/>
    </row>
    <row r="73" spans="1:12" ht="28.5" customHeight="1" thickBot="1" x14ac:dyDescent="0.3">
      <c r="A73" s="16">
        <v>64</v>
      </c>
      <c r="B73" s="54" t="s">
        <v>107</v>
      </c>
      <c r="C73" s="97" t="s">
        <v>17</v>
      </c>
      <c r="D73" s="55" t="s">
        <v>18</v>
      </c>
      <c r="E73" s="56" t="s">
        <v>108</v>
      </c>
      <c r="F73" s="57" t="s">
        <v>20</v>
      </c>
      <c r="G73" s="58">
        <v>10</v>
      </c>
      <c r="H73" s="59">
        <v>2208</v>
      </c>
      <c r="I73" s="22">
        <f t="shared" si="0"/>
        <v>22080</v>
      </c>
      <c r="J73" s="98"/>
      <c r="L73" s="100"/>
    </row>
    <row r="74" spans="1:12" ht="28.5" customHeight="1" thickBot="1" x14ac:dyDescent="0.3">
      <c r="A74" s="16">
        <v>65</v>
      </c>
      <c r="B74" s="87" t="s">
        <v>109</v>
      </c>
      <c r="C74" s="97" t="s">
        <v>17</v>
      </c>
      <c r="D74" s="55" t="s">
        <v>18</v>
      </c>
      <c r="E74" s="56" t="s">
        <v>110</v>
      </c>
      <c r="F74" s="57" t="s">
        <v>20</v>
      </c>
      <c r="G74" s="58">
        <v>10</v>
      </c>
      <c r="H74" s="59">
        <v>1678</v>
      </c>
      <c r="I74" s="22">
        <f t="shared" ref="I74:I118" si="1">G74*H74</f>
        <v>16780</v>
      </c>
      <c r="J74" s="98"/>
      <c r="L74" s="100"/>
    </row>
    <row r="75" spans="1:12" ht="28.5" customHeight="1" thickBot="1" x14ac:dyDescent="0.3">
      <c r="A75" s="16">
        <v>66</v>
      </c>
      <c r="B75" s="54" t="s">
        <v>111</v>
      </c>
      <c r="C75" s="97" t="s">
        <v>17</v>
      </c>
      <c r="D75" s="55" t="s">
        <v>18</v>
      </c>
      <c r="E75" s="56" t="s">
        <v>112</v>
      </c>
      <c r="F75" s="57" t="s">
        <v>20</v>
      </c>
      <c r="G75" s="58">
        <v>20</v>
      </c>
      <c r="H75" s="59">
        <v>3186</v>
      </c>
      <c r="I75" s="22">
        <f t="shared" si="1"/>
        <v>63720</v>
      </c>
      <c r="J75" s="98"/>
      <c r="L75" s="100"/>
    </row>
    <row r="76" spans="1:12" ht="28.5" customHeight="1" thickBot="1" x14ac:dyDescent="0.3">
      <c r="A76" s="16">
        <v>67</v>
      </c>
      <c r="B76" s="54" t="s">
        <v>113</v>
      </c>
      <c r="C76" s="97" t="s">
        <v>17</v>
      </c>
      <c r="D76" s="55" t="s">
        <v>18</v>
      </c>
      <c r="E76" s="56" t="s">
        <v>114</v>
      </c>
      <c r="F76" s="57" t="s">
        <v>20</v>
      </c>
      <c r="G76" s="58">
        <v>15</v>
      </c>
      <c r="H76" s="59">
        <v>3767</v>
      </c>
      <c r="I76" s="22">
        <f t="shared" si="1"/>
        <v>56505</v>
      </c>
      <c r="J76" s="98"/>
      <c r="L76" s="100"/>
    </row>
    <row r="77" spans="1:12" ht="28.5" customHeight="1" thickBot="1" x14ac:dyDescent="0.3">
      <c r="A77" s="16">
        <v>68</v>
      </c>
      <c r="B77" s="54" t="s">
        <v>115</v>
      </c>
      <c r="C77" s="97" t="s">
        <v>17</v>
      </c>
      <c r="D77" s="55" t="s">
        <v>18</v>
      </c>
      <c r="E77" s="56" t="s">
        <v>116</v>
      </c>
      <c r="F77" s="57" t="s">
        <v>20</v>
      </c>
      <c r="G77" s="58">
        <v>5</v>
      </c>
      <c r="H77" s="59">
        <v>8097</v>
      </c>
      <c r="I77" s="22">
        <f t="shared" si="1"/>
        <v>40485</v>
      </c>
      <c r="J77" s="98"/>
      <c r="L77" s="100"/>
    </row>
    <row r="78" spans="1:12" ht="28.5" customHeight="1" thickBot="1" x14ac:dyDescent="0.3">
      <c r="A78" s="16">
        <v>69</v>
      </c>
      <c r="B78" s="54" t="s">
        <v>117</v>
      </c>
      <c r="C78" s="97" t="s">
        <v>17</v>
      </c>
      <c r="D78" s="55" t="s">
        <v>18</v>
      </c>
      <c r="E78" s="56" t="s">
        <v>118</v>
      </c>
      <c r="F78" s="57" t="s">
        <v>20</v>
      </c>
      <c r="G78" s="58">
        <v>6</v>
      </c>
      <c r="H78" s="59">
        <v>1101</v>
      </c>
      <c r="I78" s="22">
        <f t="shared" si="1"/>
        <v>6606</v>
      </c>
      <c r="J78" s="98"/>
      <c r="L78" s="100"/>
    </row>
    <row r="79" spans="1:12" ht="28.5" customHeight="1" thickBot="1" x14ac:dyDescent="0.3">
      <c r="A79" s="16">
        <v>70</v>
      </c>
      <c r="B79" s="54" t="s">
        <v>119</v>
      </c>
      <c r="C79" s="97" t="s">
        <v>17</v>
      </c>
      <c r="D79" s="55" t="s">
        <v>18</v>
      </c>
      <c r="E79" s="56" t="s">
        <v>120</v>
      </c>
      <c r="F79" s="57" t="s">
        <v>20</v>
      </c>
      <c r="G79" s="58">
        <v>5</v>
      </c>
      <c r="H79" s="59">
        <v>10722</v>
      </c>
      <c r="I79" s="22">
        <f t="shared" si="1"/>
        <v>53610</v>
      </c>
      <c r="J79" s="98"/>
      <c r="L79" s="100"/>
    </row>
    <row r="80" spans="1:12" ht="28.5" customHeight="1" thickBot="1" x14ac:dyDescent="0.3">
      <c r="A80" s="16">
        <v>71</v>
      </c>
      <c r="B80" s="54" t="s">
        <v>121</v>
      </c>
      <c r="C80" s="97" t="s">
        <v>17</v>
      </c>
      <c r="D80" s="55" t="s">
        <v>18</v>
      </c>
      <c r="E80" s="56" t="s">
        <v>122</v>
      </c>
      <c r="F80" s="57" t="s">
        <v>20</v>
      </c>
      <c r="G80" s="58">
        <v>4</v>
      </c>
      <c r="H80" s="59">
        <v>8196</v>
      </c>
      <c r="I80" s="22">
        <f t="shared" si="1"/>
        <v>32784</v>
      </c>
      <c r="J80" s="98"/>
      <c r="L80" s="100"/>
    </row>
    <row r="81" spans="1:12" ht="28.5" customHeight="1" thickBot="1" x14ac:dyDescent="0.3">
      <c r="A81" s="16">
        <v>72</v>
      </c>
      <c r="B81" s="54" t="s">
        <v>123</v>
      </c>
      <c r="C81" s="97" t="s">
        <v>17</v>
      </c>
      <c r="D81" s="55" t="s">
        <v>18</v>
      </c>
      <c r="E81" s="56" t="s">
        <v>124</v>
      </c>
      <c r="F81" s="57" t="s">
        <v>20</v>
      </c>
      <c r="G81" s="58">
        <v>5</v>
      </c>
      <c r="H81" s="59">
        <v>1035</v>
      </c>
      <c r="I81" s="22">
        <f t="shared" si="1"/>
        <v>5175</v>
      </c>
      <c r="J81" s="98"/>
      <c r="L81" s="100"/>
    </row>
    <row r="82" spans="1:12" ht="28.5" customHeight="1" thickBot="1" x14ac:dyDescent="0.3">
      <c r="A82" s="16">
        <v>73</v>
      </c>
      <c r="B82" s="54" t="s">
        <v>125</v>
      </c>
      <c r="C82" s="97" t="s">
        <v>17</v>
      </c>
      <c r="D82" s="55" t="s">
        <v>18</v>
      </c>
      <c r="E82" s="56" t="s">
        <v>126</v>
      </c>
      <c r="F82" s="57" t="s">
        <v>20</v>
      </c>
      <c r="G82" s="58">
        <v>5</v>
      </c>
      <c r="H82" s="59">
        <v>1900</v>
      </c>
      <c r="I82" s="22">
        <f t="shared" si="1"/>
        <v>9500</v>
      </c>
      <c r="J82" s="98"/>
      <c r="L82" s="100"/>
    </row>
    <row r="83" spans="1:12" ht="28.5" customHeight="1" thickBot="1" x14ac:dyDescent="0.3">
      <c r="A83" s="16">
        <v>74</v>
      </c>
      <c r="B83" s="54" t="s">
        <v>127</v>
      </c>
      <c r="C83" s="97" t="s">
        <v>17</v>
      </c>
      <c r="D83" s="55" t="s">
        <v>18</v>
      </c>
      <c r="E83" s="56" t="s">
        <v>128</v>
      </c>
      <c r="F83" s="57" t="s">
        <v>20</v>
      </c>
      <c r="G83" s="58">
        <v>10</v>
      </c>
      <c r="H83" s="59">
        <v>3457</v>
      </c>
      <c r="I83" s="22">
        <f t="shared" si="1"/>
        <v>34570</v>
      </c>
      <c r="J83" s="98"/>
      <c r="L83" s="100"/>
    </row>
    <row r="84" spans="1:12" ht="28.5" customHeight="1" thickBot="1" x14ac:dyDescent="0.3">
      <c r="A84" s="16">
        <v>75</v>
      </c>
      <c r="B84" s="54" t="s">
        <v>127</v>
      </c>
      <c r="C84" s="97" t="s">
        <v>17</v>
      </c>
      <c r="D84" s="55" t="s">
        <v>18</v>
      </c>
      <c r="E84" s="56" t="s">
        <v>128</v>
      </c>
      <c r="F84" s="57" t="s">
        <v>20</v>
      </c>
      <c r="G84" s="58">
        <v>10</v>
      </c>
      <c r="H84" s="59">
        <v>3457</v>
      </c>
      <c r="I84" s="22">
        <f t="shared" si="1"/>
        <v>34570</v>
      </c>
      <c r="J84" s="98"/>
      <c r="L84" s="100"/>
    </row>
    <row r="85" spans="1:12" ht="28.5" customHeight="1" thickBot="1" x14ac:dyDescent="0.3">
      <c r="A85" s="16">
        <v>76</v>
      </c>
      <c r="B85" s="54" t="s">
        <v>129</v>
      </c>
      <c r="C85" s="97" t="s">
        <v>17</v>
      </c>
      <c r="D85" s="55" t="s">
        <v>18</v>
      </c>
      <c r="E85" s="56" t="s">
        <v>130</v>
      </c>
      <c r="F85" s="57" t="s">
        <v>20</v>
      </c>
      <c r="G85" s="58">
        <v>10</v>
      </c>
      <c r="H85" s="59">
        <v>2139</v>
      </c>
      <c r="I85" s="22">
        <f t="shared" si="1"/>
        <v>21390</v>
      </c>
      <c r="J85" s="98"/>
      <c r="L85" s="100"/>
    </row>
    <row r="86" spans="1:12" ht="28.5" customHeight="1" thickBot="1" x14ac:dyDescent="0.3">
      <c r="A86" s="16">
        <v>77</v>
      </c>
      <c r="B86" s="54" t="s">
        <v>129</v>
      </c>
      <c r="C86" s="97" t="s">
        <v>17</v>
      </c>
      <c r="D86" s="55" t="s">
        <v>18</v>
      </c>
      <c r="E86" s="56" t="s">
        <v>130</v>
      </c>
      <c r="F86" s="57" t="s">
        <v>20</v>
      </c>
      <c r="G86" s="58">
        <v>10</v>
      </c>
      <c r="H86" s="59">
        <v>2139</v>
      </c>
      <c r="I86" s="22">
        <f t="shared" si="1"/>
        <v>21390</v>
      </c>
      <c r="J86" s="98"/>
      <c r="L86" s="100"/>
    </row>
    <row r="87" spans="1:12" ht="28.5" customHeight="1" thickBot="1" x14ac:dyDescent="0.3">
      <c r="A87" s="16">
        <v>78</v>
      </c>
      <c r="B87" s="54" t="s">
        <v>131</v>
      </c>
      <c r="C87" s="97" t="s">
        <v>17</v>
      </c>
      <c r="D87" s="55" t="s">
        <v>18</v>
      </c>
      <c r="E87" s="56" t="s">
        <v>132</v>
      </c>
      <c r="F87" s="57" t="s">
        <v>20</v>
      </c>
      <c r="G87" s="58">
        <v>10</v>
      </c>
      <c r="H87" s="59">
        <v>2610</v>
      </c>
      <c r="I87" s="22">
        <f t="shared" si="1"/>
        <v>26100</v>
      </c>
      <c r="J87" s="98"/>
      <c r="L87" s="100"/>
    </row>
    <row r="88" spans="1:12" ht="28.5" customHeight="1" thickBot="1" x14ac:dyDescent="0.3">
      <c r="A88" s="16">
        <v>79</v>
      </c>
      <c r="B88" s="54" t="s">
        <v>131</v>
      </c>
      <c r="C88" s="97" t="s">
        <v>17</v>
      </c>
      <c r="D88" s="55" t="s">
        <v>18</v>
      </c>
      <c r="E88" s="56" t="s">
        <v>132</v>
      </c>
      <c r="F88" s="57" t="s">
        <v>20</v>
      </c>
      <c r="G88" s="58">
        <v>10</v>
      </c>
      <c r="H88" s="59">
        <v>2610</v>
      </c>
      <c r="I88" s="22">
        <f t="shared" si="1"/>
        <v>26100</v>
      </c>
      <c r="J88" s="98"/>
      <c r="L88" s="100"/>
    </row>
    <row r="89" spans="1:12" ht="28.5" customHeight="1" thickBot="1" x14ac:dyDescent="0.3">
      <c r="A89" s="16">
        <v>80</v>
      </c>
      <c r="B89" s="54" t="s">
        <v>133</v>
      </c>
      <c r="C89" s="97" t="s">
        <v>17</v>
      </c>
      <c r="D89" s="55" t="s">
        <v>18</v>
      </c>
      <c r="E89" s="56" t="s">
        <v>134</v>
      </c>
      <c r="F89" s="57" t="s">
        <v>20</v>
      </c>
      <c r="G89" s="58">
        <v>10</v>
      </c>
      <c r="H89" s="59">
        <v>3038</v>
      </c>
      <c r="I89" s="22">
        <f t="shared" si="1"/>
        <v>30380</v>
      </c>
      <c r="J89" s="98"/>
      <c r="L89" s="100"/>
    </row>
    <row r="90" spans="1:12" ht="28.5" customHeight="1" thickBot="1" x14ac:dyDescent="0.3">
      <c r="A90" s="16">
        <v>81</v>
      </c>
      <c r="B90" s="54" t="s">
        <v>121</v>
      </c>
      <c r="C90" s="97" t="s">
        <v>17</v>
      </c>
      <c r="D90" s="55" t="s">
        <v>18</v>
      </c>
      <c r="E90" s="56" t="s">
        <v>122</v>
      </c>
      <c r="F90" s="57" t="s">
        <v>20</v>
      </c>
      <c r="G90" s="58">
        <v>10</v>
      </c>
      <c r="H90" s="59">
        <v>18244</v>
      </c>
      <c r="I90" s="22">
        <f t="shared" si="1"/>
        <v>182440</v>
      </c>
      <c r="J90" s="98"/>
      <c r="L90" s="100"/>
    </row>
    <row r="91" spans="1:12" ht="28.5" customHeight="1" thickBot="1" x14ac:dyDescent="0.3">
      <c r="A91" s="16">
        <v>82</v>
      </c>
      <c r="B91" s="54" t="s">
        <v>135</v>
      </c>
      <c r="C91" s="97" t="s">
        <v>17</v>
      </c>
      <c r="D91" s="55" t="s">
        <v>136</v>
      </c>
      <c r="E91" s="56" t="s">
        <v>137</v>
      </c>
      <c r="F91" s="57" t="s">
        <v>20</v>
      </c>
      <c r="G91" s="58">
        <v>50</v>
      </c>
      <c r="H91" s="59">
        <v>1668</v>
      </c>
      <c r="I91" s="22">
        <f t="shared" si="1"/>
        <v>83400</v>
      </c>
      <c r="J91" s="98"/>
      <c r="L91" s="100"/>
    </row>
    <row r="92" spans="1:12" ht="28.5" customHeight="1" thickBot="1" x14ac:dyDescent="0.3">
      <c r="A92" s="16">
        <v>83</v>
      </c>
      <c r="B92" s="54" t="s">
        <v>138</v>
      </c>
      <c r="C92" s="97" t="s">
        <v>17</v>
      </c>
      <c r="D92" s="55" t="s">
        <v>136</v>
      </c>
      <c r="E92" s="56" t="s">
        <v>139</v>
      </c>
      <c r="F92" s="57" t="s">
        <v>20</v>
      </c>
      <c r="G92" s="58">
        <v>25</v>
      </c>
      <c r="H92" s="59">
        <v>1973</v>
      </c>
      <c r="I92" s="22">
        <f t="shared" si="1"/>
        <v>49325</v>
      </c>
      <c r="J92" s="98"/>
      <c r="L92" s="100"/>
    </row>
    <row r="93" spans="1:12" ht="28.5" customHeight="1" thickBot="1" x14ac:dyDescent="0.3">
      <c r="A93" s="16">
        <v>84</v>
      </c>
      <c r="B93" s="54" t="s">
        <v>138</v>
      </c>
      <c r="C93" s="97" t="s">
        <v>17</v>
      </c>
      <c r="D93" s="55" t="s">
        <v>136</v>
      </c>
      <c r="E93" s="56" t="s">
        <v>139</v>
      </c>
      <c r="F93" s="57" t="s">
        <v>20</v>
      </c>
      <c r="G93" s="58">
        <v>50</v>
      </c>
      <c r="H93" s="59">
        <v>1170</v>
      </c>
      <c r="I93" s="22">
        <f t="shared" si="1"/>
        <v>58500</v>
      </c>
      <c r="J93" s="98"/>
      <c r="L93" s="100"/>
    </row>
    <row r="94" spans="1:12" ht="28.5" customHeight="1" thickBot="1" x14ac:dyDescent="0.3">
      <c r="A94" s="16">
        <v>85</v>
      </c>
      <c r="B94" s="54" t="s">
        <v>140</v>
      </c>
      <c r="C94" s="97" t="s">
        <v>17</v>
      </c>
      <c r="D94" s="55" t="s">
        <v>136</v>
      </c>
      <c r="E94" s="56" t="s">
        <v>141</v>
      </c>
      <c r="F94" s="57" t="s">
        <v>20</v>
      </c>
      <c r="G94" s="58">
        <v>50</v>
      </c>
      <c r="H94" s="59">
        <v>1249</v>
      </c>
      <c r="I94" s="22">
        <f t="shared" si="1"/>
        <v>62450</v>
      </c>
      <c r="J94" s="98"/>
      <c r="L94" s="100"/>
    </row>
    <row r="95" spans="1:12" ht="28.5" customHeight="1" thickBot="1" x14ac:dyDescent="0.3">
      <c r="A95" s="16">
        <v>86</v>
      </c>
      <c r="B95" s="54" t="s">
        <v>142</v>
      </c>
      <c r="C95" s="97" t="s">
        <v>17</v>
      </c>
      <c r="D95" s="55" t="s">
        <v>136</v>
      </c>
      <c r="E95" s="56" t="s">
        <v>143</v>
      </c>
      <c r="F95" s="57" t="s">
        <v>20</v>
      </c>
      <c r="G95" s="58">
        <v>50</v>
      </c>
      <c r="H95" s="59">
        <v>1994</v>
      </c>
      <c r="I95" s="22">
        <f t="shared" si="1"/>
        <v>99700</v>
      </c>
      <c r="J95" s="98"/>
      <c r="L95" s="100"/>
    </row>
    <row r="96" spans="1:12" ht="28.5" customHeight="1" thickBot="1" x14ac:dyDescent="0.3">
      <c r="A96" s="16">
        <v>87</v>
      </c>
      <c r="B96" s="54" t="s">
        <v>142</v>
      </c>
      <c r="C96" s="97" t="s">
        <v>17</v>
      </c>
      <c r="D96" s="55" t="s">
        <v>136</v>
      </c>
      <c r="E96" s="56" t="s">
        <v>143</v>
      </c>
      <c r="F96" s="57" t="s">
        <v>20</v>
      </c>
      <c r="G96" s="58">
        <v>50</v>
      </c>
      <c r="H96" s="59">
        <v>1510</v>
      </c>
      <c r="I96" s="22">
        <f t="shared" si="1"/>
        <v>75500</v>
      </c>
      <c r="J96" s="98"/>
      <c r="L96" s="101"/>
    </row>
    <row r="97" spans="1:12" ht="28.5" customHeight="1" thickBot="1" x14ac:dyDescent="0.3">
      <c r="A97" s="16">
        <v>88</v>
      </c>
      <c r="B97" s="54" t="s">
        <v>144</v>
      </c>
      <c r="C97" s="97" t="s">
        <v>17</v>
      </c>
      <c r="D97" s="55" t="s">
        <v>136</v>
      </c>
      <c r="E97" s="56" t="s">
        <v>145</v>
      </c>
      <c r="F97" s="57" t="s">
        <v>20</v>
      </c>
      <c r="G97" s="58">
        <v>20</v>
      </c>
      <c r="H97" s="59">
        <v>1281</v>
      </c>
      <c r="I97" s="22">
        <f t="shared" si="1"/>
        <v>25620</v>
      </c>
      <c r="J97" s="98"/>
      <c r="L97" s="100"/>
    </row>
    <row r="98" spans="1:12" ht="28.5" customHeight="1" thickBot="1" x14ac:dyDescent="0.3">
      <c r="A98" s="16">
        <v>89</v>
      </c>
      <c r="B98" s="54" t="s">
        <v>144</v>
      </c>
      <c r="C98" s="97" t="s">
        <v>17</v>
      </c>
      <c r="D98" s="55" t="s">
        <v>136</v>
      </c>
      <c r="E98" s="56" t="s">
        <v>145</v>
      </c>
      <c r="F98" s="57" t="s">
        <v>20</v>
      </c>
      <c r="G98" s="58">
        <v>50</v>
      </c>
      <c r="H98" s="59">
        <v>1281</v>
      </c>
      <c r="I98" s="22">
        <f t="shared" si="1"/>
        <v>64050</v>
      </c>
      <c r="J98" s="98"/>
      <c r="L98" s="102"/>
    </row>
    <row r="99" spans="1:12" ht="28.5" customHeight="1" thickBot="1" x14ac:dyDescent="0.3">
      <c r="A99" s="16">
        <v>90</v>
      </c>
      <c r="B99" s="54" t="s">
        <v>144</v>
      </c>
      <c r="C99" s="97" t="s">
        <v>17</v>
      </c>
      <c r="D99" s="55" t="s">
        <v>136</v>
      </c>
      <c r="E99" s="56" t="s">
        <v>145</v>
      </c>
      <c r="F99" s="57" t="s">
        <v>20</v>
      </c>
      <c r="G99" s="58">
        <v>80</v>
      </c>
      <c r="H99" s="59">
        <v>1583</v>
      </c>
      <c r="I99" s="22">
        <f t="shared" si="1"/>
        <v>126640</v>
      </c>
      <c r="J99" s="98"/>
      <c r="L99" s="100"/>
    </row>
    <row r="100" spans="1:12" ht="28.5" customHeight="1" thickBot="1" x14ac:dyDescent="0.3">
      <c r="A100" s="16">
        <v>91</v>
      </c>
      <c r="B100" s="54" t="s">
        <v>146</v>
      </c>
      <c r="C100" s="97" t="s">
        <v>17</v>
      </c>
      <c r="D100" s="55" t="s">
        <v>136</v>
      </c>
      <c r="E100" s="56" t="s">
        <v>147</v>
      </c>
      <c r="F100" s="57" t="s">
        <v>20</v>
      </c>
      <c r="G100" s="58">
        <v>150</v>
      </c>
      <c r="H100" s="59">
        <v>300</v>
      </c>
      <c r="I100" s="22">
        <f t="shared" si="1"/>
        <v>45000</v>
      </c>
      <c r="J100" s="99"/>
      <c r="L100" s="100"/>
    </row>
    <row r="101" spans="1:12" ht="28.5" customHeight="1" thickBot="1" x14ac:dyDescent="0.3">
      <c r="A101" s="16">
        <v>92</v>
      </c>
      <c r="B101" s="54" t="s">
        <v>148</v>
      </c>
      <c r="C101" s="97" t="s">
        <v>17</v>
      </c>
      <c r="D101" s="55" t="s">
        <v>136</v>
      </c>
      <c r="E101" s="56" t="s">
        <v>149</v>
      </c>
      <c r="F101" s="57" t="s">
        <v>20</v>
      </c>
      <c r="G101" s="58">
        <v>150</v>
      </c>
      <c r="H101" s="59">
        <v>990</v>
      </c>
      <c r="I101" s="22">
        <f t="shared" si="1"/>
        <v>148500</v>
      </c>
      <c r="J101" s="99"/>
      <c r="L101" s="100"/>
    </row>
    <row r="102" spans="1:12" ht="28.5" customHeight="1" thickBot="1" x14ac:dyDescent="0.3">
      <c r="A102" s="16">
        <v>93</v>
      </c>
      <c r="B102" s="54" t="s">
        <v>150</v>
      </c>
      <c r="C102" s="97" t="s">
        <v>17</v>
      </c>
      <c r="D102" s="55" t="s">
        <v>136</v>
      </c>
      <c r="E102" s="56" t="s">
        <v>151</v>
      </c>
      <c r="F102" s="57" t="s">
        <v>20</v>
      </c>
      <c r="G102" s="58">
        <v>50</v>
      </c>
      <c r="H102" s="59">
        <v>3025</v>
      </c>
      <c r="I102" s="22">
        <f t="shared" si="1"/>
        <v>151250</v>
      </c>
      <c r="J102" s="98"/>
      <c r="L102" s="100"/>
    </row>
    <row r="103" spans="1:12" ht="28.5" customHeight="1" thickBot="1" x14ac:dyDescent="0.3">
      <c r="A103" s="16">
        <v>94</v>
      </c>
      <c r="B103" s="54" t="s">
        <v>150</v>
      </c>
      <c r="C103" s="97" t="s">
        <v>17</v>
      </c>
      <c r="D103" s="55" t="s">
        <v>136</v>
      </c>
      <c r="E103" s="56" t="s">
        <v>151</v>
      </c>
      <c r="F103" s="57" t="s">
        <v>20</v>
      </c>
      <c r="G103" s="58">
        <v>50</v>
      </c>
      <c r="H103" s="59">
        <v>1036</v>
      </c>
      <c r="I103" s="22">
        <f t="shared" si="1"/>
        <v>51800</v>
      </c>
      <c r="J103" s="98"/>
      <c r="L103" s="100"/>
    </row>
    <row r="104" spans="1:12" ht="28.5" customHeight="1" thickBot="1" x14ac:dyDescent="0.3">
      <c r="A104" s="16">
        <v>95</v>
      </c>
      <c r="B104" s="54" t="s">
        <v>150</v>
      </c>
      <c r="C104" s="97" t="s">
        <v>17</v>
      </c>
      <c r="D104" s="55" t="s">
        <v>136</v>
      </c>
      <c r="E104" s="56" t="s">
        <v>151</v>
      </c>
      <c r="F104" s="57" t="s">
        <v>20</v>
      </c>
      <c r="G104" s="58">
        <v>50</v>
      </c>
      <c r="H104" s="59">
        <v>1320</v>
      </c>
      <c r="I104" s="22">
        <f t="shared" si="1"/>
        <v>66000</v>
      </c>
      <c r="J104" s="98"/>
      <c r="L104" s="102"/>
    </row>
    <row r="105" spans="1:12" ht="28.5" customHeight="1" thickBot="1" x14ac:dyDescent="0.3">
      <c r="A105" s="16">
        <v>96</v>
      </c>
      <c r="B105" s="54" t="s">
        <v>152</v>
      </c>
      <c r="C105" s="97" t="s">
        <v>17</v>
      </c>
      <c r="D105" s="55" t="s">
        <v>136</v>
      </c>
      <c r="E105" s="56" t="s">
        <v>153</v>
      </c>
      <c r="F105" s="57" t="s">
        <v>20</v>
      </c>
      <c r="G105" s="58">
        <v>50</v>
      </c>
      <c r="H105" s="59">
        <v>1977</v>
      </c>
      <c r="I105" s="22">
        <f t="shared" si="1"/>
        <v>98850</v>
      </c>
      <c r="J105" s="98"/>
      <c r="L105" s="100"/>
    </row>
    <row r="106" spans="1:12" ht="28.5" customHeight="1" thickBot="1" x14ac:dyDescent="0.3">
      <c r="A106" s="16">
        <v>97</v>
      </c>
      <c r="B106" s="54" t="s">
        <v>152</v>
      </c>
      <c r="C106" s="97" t="s">
        <v>17</v>
      </c>
      <c r="D106" s="55" t="s">
        <v>136</v>
      </c>
      <c r="E106" s="56" t="s">
        <v>153</v>
      </c>
      <c r="F106" s="57" t="s">
        <v>20</v>
      </c>
      <c r="G106" s="58">
        <v>50</v>
      </c>
      <c r="H106" s="59">
        <v>1977</v>
      </c>
      <c r="I106" s="22">
        <f t="shared" si="1"/>
        <v>98850</v>
      </c>
      <c r="J106" s="98"/>
      <c r="L106" s="100"/>
    </row>
    <row r="107" spans="1:12" ht="28.5" customHeight="1" thickBot="1" x14ac:dyDescent="0.3">
      <c r="A107" s="16">
        <v>98</v>
      </c>
      <c r="B107" s="54" t="s">
        <v>152</v>
      </c>
      <c r="C107" s="97" t="s">
        <v>17</v>
      </c>
      <c r="D107" s="55" t="s">
        <v>136</v>
      </c>
      <c r="E107" s="56" t="s">
        <v>153</v>
      </c>
      <c r="F107" s="57" t="s">
        <v>20</v>
      </c>
      <c r="G107" s="58">
        <v>50</v>
      </c>
      <c r="H107" s="59">
        <v>2134</v>
      </c>
      <c r="I107" s="22">
        <f t="shared" si="1"/>
        <v>106700</v>
      </c>
      <c r="J107" s="98"/>
      <c r="L107" s="100"/>
    </row>
    <row r="108" spans="1:12" ht="28.5" customHeight="1" thickBot="1" x14ac:dyDescent="0.3">
      <c r="A108" s="16">
        <v>99</v>
      </c>
      <c r="B108" s="54" t="s">
        <v>154</v>
      </c>
      <c r="C108" s="97" t="s">
        <v>17</v>
      </c>
      <c r="D108" s="55" t="s">
        <v>136</v>
      </c>
      <c r="E108" s="56" t="s">
        <v>155</v>
      </c>
      <c r="F108" s="57" t="s">
        <v>20</v>
      </c>
      <c r="G108" s="58">
        <v>50</v>
      </c>
      <c r="H108" s="59">
        <v>640</v>
      </c>
      <c r="I108" s="22">
        <f t="shared" si="1"/>
        <v>32000</v>
      </c>
      <c r="J108" s="98"/>
      <c r="L108" s="100"/>
    </row>
    <row r="109" spans="1:12" ht="28.5" customHeight="1" thickBot="1" x14ac:dyDescent="0.3">
      <c r="A109" s="16">
        <v>100</v>
      </c>
      <c r="B109" s="54" t="s">
        <v>154</v>
      </c>
      <c r="C109" s="97" t="s">
        <v>17</v>
      </c>
      <c r="D109" s="55" t="s">
        <v>136</v>
      </c>
      <c r="E109" s="56" t="s">
        <v>155</v>
      </c>
      <c r="F109" s="57" t="s">
        <v>20</v>
      </c>
      <c r="G109" s="58">
        <v>50</v>
      </c>
      <c r="H109" s="59">
        <v>920</v>
      </c>
      <c r="I109" s="22">
        <f t="shared" si="1"/>
        <v>46000</v>
      </c>
      <c r="J109" s="98"/>
      <c r="L109" s="100"/>
    </row>
    <row r="110" spans="1:12" ht="28.5" customHeight="1" thickBot="1" x14ac:dyDescent="0.3">
      <c r="A110" s="16">
        <v>101</v>
      </c>
      <c r="B110" s="54" t="s">
        <v>156</v>
      </c>
      <c r="C110" s="97" t="s">
        <v>17</v>
      </c>
      <c r="D110" s="55" t="s">
        <v>136</v>
      </c>
      <c r="E110" s="56" t="s">
        <v>157</v>
      </c>
      <c r="F110" s="57" t="s">
        <v>20</v>
      </c>
      <c r="G110" s="58">
        <v>50</v>
      </c>
      <c r="H110" s="59">
        <v>605</v>
      </c>
      <c r="I110" s="22">
        <f t="shared" si="1"/>
        <v>30250</v>
      </c>
      <c r="J110" s="98"/>
      <c r="L110" s="100"/>
    </row>
    <row r="111" spans="1:12" ht="28.5" customHeight="1" thickBot="1" x14ac:dyDescent="0.3">
      <c r="A111" s="16">
        <v>102</v>
      </c>
      <c r="B111" s="54" t="s">
        <v>156</v>
      </c>
      <c r="C111" s="97" t="s">
        <v>17</v>
      </c>
      <c r="D111" s="55" t="s">
        <v>136</v>
      </c>
      <c r="E111" s="56" t="s">
        <v>157</v>
      </c>
      <c r="F111" s="57" t="s">
        <v>20</v>
      </c>
      <c r="G111" s="58">
        <v>50</v>
      </c>
      <c r="H111" s="59">
        <v>754.22</v>
      </c>
      <c r="I111" s="22">
        <f t="shared" si="1"/>
        <v>37711</v>
      </c>
      <c r="J111" s="98"/>
      <c r="L111" s="100"/>
    </row>
    <row r="112" spans="1:12" ht="28.5" customHeight="1" thickBot="1" x14ac:dyDescent="0.3">
      <c r="A112" s="16">
        <v>103</v>
      </c>
      <c r="B112" s="54" t="s">
        <v>158</v>
      </c>
      <c r="C112" s="97" t="s">
        <v>17</v>
      </c>
      <c r="D112" s="55" t="s">
        <v>136</v>
      </c>
      <c r="E112" s="56" t="s">
        <v>159</v>
      </c>
      <c r="F112" s="57" t="s">
        <v>20</v>
      </c>
      <c r="G112" s="58">
        <v>50</v>
      </c>
      <c r="H112" s="59">
        <v>3866</v>
      </c>
      <c r="I112" s="22">
        <f t="shared" si="1"/>
        <v>193300</v>
      </c>
      <c r="J112" s="98"/>
      <c r="L112" s="100"/>
    </row>
    <row r="113" spans="1:12" ht="28.5" customHeight="1" thickBot="1" x14ac:dyDescent="0.3">
      <c r="A113" s="16">
        <v>104</v>
      </c>
      <c r="B113" s="54" t="s">
        <v>158</v>
      </c>
      <c r="C113" s="97" t="s">
        <v>17</v>
      </c>
      <c r="D113" s="55" t="s">
        <v>136</v>
      </c>
      <c r="E113" s="56" t="s">
        <v>159</v>
      </c>
      <c r="F113" s="57" t="s">
        <v>20</v>
      </c>
      <c r="G113" s="58">
        <v>50</v>
      </c>
      <c r="H113" s="59">
        <v>2990</v>
      </c>
      <c r="I113" s="22">
        <f t="shared" si="1"/>
        <v>149500</v>
      </c>
      <c r="J113" s="98"/>
      <c r="L113" s="100"/>
    </row>
    <row r="114" spans="1:12" ht="28.5" customHeight="1" thickBot="1" x14ac:dyDescent="0.3">
      <c r="A114" s="16">
        <v>105</v>
      </c>
      <c r="B114" s="54" t="s">
        <v>160</v>
      </c>
      <c r="C114" s="97" t="s">
        <v>17</v>
      </c>
      <c r="D114" s="55" t="s">
        <v>136</v>
      </c>
      <c r="E114" s="56" t="s">
        <v>161</v>
      </c>
      <c r="F114" s="57" t="s">
        <v>20</v>
      </c>
      <c r="G114" s="58">
        <v>100</v>
      </c>
      <c r="H114" s="59">
        <v>1685</v>
      </c>
      <c r="I114" s="22">
        <f t="shared" si="1"/>
        <v>168500</v>
      </c>
      <c r="J114" s="98"/>
      <c r="L114" s="100"/>
    </row>
    <row r="115" spans="1:12" ht="28.5" customHeight="1" thickBot="1" x14ac:dyDescent="0.3">
      <c r="A115" s="16">
        <v>106</v>
      </c>
      <c r="B115" s="54" t="s">
        <v>162</v>
      </c>
      <c r="C115" s="97" t="s">
        <v>17</v>
      </c>
      <c r="D115" s="55" t="s">
        <v>136</v>
      </c>
      <c r="E115" s="56" t="s">
        <v>163</v>
      </c>
      <c r="F115" s="57" t="s">
        <v>20</v>
      </c>
      <c r="G115" s="58">
        <v>30</v>
      </c>
      <c r="H115" s="59">
        <v>2114</v>
      </c>
      <c r="I115" s="22">
        <f t="shared" si="1"/>
        <v>63420</v>
      </c>
      <c r="J115" s="98"/>
      <c r="L115" s="100"/>
    </row>
    <row r="116" spans="1:12" ht="28.5" customHeight="1" thickBot="1" x14ac:dyDescent="0.3">
      <c r="A116" s="16">
        <v>107</v>
      </c>
      <c r="B116" s="54" t="s">
        <v>164</v>
      </c>
      <c r="C116" s="97" t="s">
        <v>17</v>
      </c>
      <c r="D116" s="55" t="s">
        <v>136</v>
      </c>
      <c r="E116" s="56" t="s">
        <v>165</v>
      </c>
      <c r="F116" s="57" t="s">
        <v>20</v>
      </c>
      <c r="G116" s="58">
        <v>80</v>
      </c>
      <c r="H116" s="59">
        <v>1200</v>
      </c>
      <c r="I116" s="22">
        <f t="shared" si="1"/>
        <v>96000</v>
      </c>
      <c r="J116" s="98"/>
      <c r="L116" s="100"/>
    </row>
    <row r="117" spans="1:12" ht="28.5" customHeight="1" thickBot="1" x14ac:dyDescent="0.3">
      <c r="A117" s="16">
        <v>108</v>
      </c>
      <c r="B117" s="54" t="s">
        <v>164</v>
      </c>
      <c r="C117" s="97" t="s">
        <v>17</v>
      </c>
      <c r="D117" s="55" t="s">
        <v>136</v>
      </c>
      <c r="E117" s="56" t="s">
        <v>165</v>
      </c>
      <c r="F117" s="57" t="s">
        <v>20</v>
      </c>
      <c r="G117" s="58">
        <v>50</v>
      </c>
      <c r="H117" s="59">
        <v>653.4</v>
      </c>
      <c r="I117" s="22">
        <f t="shared" si="1"/>
        <v>32670</v>
      </c>
      <c r="J117" s="98"/>
      <c r="L117" s="100"/>
    </row>
    <row r="118" spans="1:12" ht="28.5" customHeight="1" x14ac:dyDescent="0.25">
      <c r="A118" s="16">
        <v>109</v>
      </c>
      <c r="B118" s="54" t="s">
        <v>166</v>
      </c>
      <c r="C118" s="97" t="s">
        <v>17</v>
      </c>
      <c r="D118" s="55" t="s">
        <v>136</v>
      </c>
      <c r="E118" s="56" t="s">
        <v>167</v>
      </c>
      <c r="F118" s="57" t="s">
        <v>20</v>
      </c>
      <c r="G118" s="58">
        <v>30</v>
      </c>
      <c r="H118" s="59">
        <v>7655</v>
      </c>
      <c r="I118" s="22">
        <f t="shared" si="1"/>
        <v>229650</v>
      </c>
      <c r="J118" s="98"/>
      <c r="L118" s="100"/>
    </row>
    <row r="119" spans="1:12" ht="21" customHeight="1" thickBot="1" x14ac:dyDescent="0.3">
      <c r="I119" s="23">
        <f>SUM(I10:I118)</f>
        <v>23482273.899999999</v>
      </c>
    </row>
    <row r="120" spans="1:12" ht="6" customHeight="1" thickBot="1" x14ac:dyDescent="0.3">
      <c r="I120" s="24"/>
    </row>
    <row r="121" spans="1:12" x14ac:dyDescent="0.25">
      <c r="B121" s="60" t="s">
        <v>168</v>
      </c>
      <c r="C121" s="61"/>
      <c r="D121" s="62"/>
      <c r="E121" s="62"/>
      <c r="F121" s="62"/>
      <c r="G121" s="62"/>
      <c r="H121" s="62"/>
      <c r="I121" s="62"/>
      <c r="J121" s="78"/>
      <c r="K121" s="25"/>
    </row>
    <row r="122" spans="1:12" x14ac:dyDescent="0.25">
      <c r="B122" s="63" t="s">
        <v>169</v>
      </c>
      <c r="C122" s="64"/>
      <c r="D122" s="65"/>
      <c r="E122" s="65"/>
      <c r="F122" s="65"/>
      <c r="G122" s="65"/>
      <c r="H122" s="65"/>
      <c r="I122" s="65"/>
      <c r="J122" s="79"/>
      <c r="K122" s="25"/>
    </row>
    <row r="123" spans="1:12" ht="24" customHeight="1" x14ac:dyDescent="0.25">
      <c r="B123" s="63"/>
      <c r="C123" s="66" t="s">
        <v>170</v>
      </c>
      <c r="D123" s="103" t="s">
        <v>171</v>
      </c>
      <c r="E123" s="103"/>
      <c r="F123" s="103"/>
      <c r="G123" s="103"/>
      <c r="H123" s="103"/>
      <c r="I123" s="103"/>
      <c r="J123" s="79"/>
      <c r="K123" s="25"/>
    </row>
    <row r="124" spans="1:12" x14ac:dyDescent="0.25">
      <c r="B124" s="63"/>
      <c r="C124" s="66"/>
      <c r="D124" s="67"/>
      <c r="E124" s="68"/>
      <c r="F124" s="65"/>
      <c r="G124" s="65"/>
      <c r="H124" s="65"/>
      <c r="I124" s="65"/>
      <c r="J124" s="79"/>
      <c r="K124" s="25"/>
    </row>
    <row r="125" spans="1:12" x14ac:dyDescent="0.25">
      <c r="B125" s="63" t="s">
        <v>172</v>
      </c>
      <c r="C125" s="64"/>
      <c r="D125" s="65"/>
      <c r="E125" s="65"/>
      <c r="F125" s="65"/>
      <c r="G125" s="65"/>
      <c r="H125" s="65"/>
      <c r="I125" s="65"/>
      <c r="J125" s="79"/>
      <c r="K125" s="25"/>
    </row>
    <row r="126" spans="1:12" s="27" customFormat="1" x14ac:dyDescent="0.25">
      <c r="A126" s="26"/>
      <c r="B126" s="63"/>
      <c r="C126" s="66" t="s">
        <v>170</v>
      </c>
      <c r="D126" s="67" t="s">
        <v>173</v>
      </c>
      <c r="E126" s="68"/>
      <c r="F126" s="65"/>
      <c r="G126" s="65"/>
      <c r="H126" s="65"/>
      <c r="I126" s="65"/>
      <c r="J126" s="81"/>
      <c r="K126" s="80"/>
    </row>
    <row r="127" spans="1:12" s="27" customFormat="1" x14ac:dyDescent="0.25">
      <c r="A127" s="26"/>
      <c r="B127" s="63"/>
      <c r="C127" s="66"/>
      <c r="D127" s="67"/>
      <c r="E127" s="68"/>
      <c r="F127" s="65" t="s">
        <v>174</v>
      </c>
      <c r="G127" s="65"/>
      <c r="H127" s="65"/>
      <c r="I127" s="65"/>
      <c r="J127" s="81"/>
      <c r="K127" s="80"/>
    </row>
    <row r="128" spans="1:12" s="27" customFormat="1" x14ac:dyDescent="0.25">
      <c r="A128" s="26"/>
      <c r="B128" s="63" t="s">
        <v>175</v>
      </c>
      <c r="C128" s="64"/>
      <c r="D128" s="65"/>
      <c r="E128" s="65"/>
      <c r="F128" s="65"/>
      <c r="G128" s="65"/>
      <c r="H128" s="65"/>
      <c r="I128" s="65"/>
      <c r="J128" s="81"/>
      <c r="K128" s="80"/>
    </row>
    <row r="129" spans="1:11" x14ac:dyDescent="0.25">
      <c r="B129" s="69"/>
      <c r="C129" s="66" t="s">
        <v>170</v>
      </c>
      <c r="D129" s="103" t="s">
        <v>176</v>
      </c>
      <c r="E129" s="103"/>
      <c r="F129" s="103"/>
      <c r="G129" s="103"/>
      <c r="H129" s="103"/>
      <c r="I129" s="103"/>
      <c r="J129" s="79"/>
      <c r="K129" s="25"/>
    </row>
    <row r="130" spans="1:11" s="27" customFormat="1" x14ac:dyDescent="0.2">
      <c r="A130" s="28"/>
      <c r="B130" s="69"/>
      <c r="C130" s="66"/>
      <c r="D130" s="103"/>
      <c r="E130" s="103"/>
      <c r="F130" s="103"/>
      <c r="G130" s="103"/>
      <c r="H130" s="103"/>
      <c r="I130" s="103"/>
      <c r="J130" s="81"/>
      <c r="K130" s="80"/>
    </row>
    <row r="131" spans="1:11" x14ac:dyDescent="0.25">
      <c r="B131" s="63" t="s">
        <v>177</v>
      </c>
      <c r="C131" s="64"/>
      <c r="D131" s="65"/>
      <c r="E131" s="65"/>
      <c r="F131" s="65"/>
      <c r="G131" s="65"/>
      <c r="H131" s="65"/>
      <c r="I131" s="65"/>
      <c r="J131" s="79"/>
      <c r="K131" s="25"/>
    </row>
    <row r="132" spans="1:11" s="27" customFormat="1" x14ac:dyDescent="0.25">
      <c r="A132" s="28"/>
      <c r="B132" s="63"/>
      <c r="C132" s="66" t="s">
        <v>170</v>
      </c>
      <c r="D132" s="67" t="s">
        <v>178</v>
      </c>
      <c r="E132" s="68"/>
      <c r="F132" s="65"/>
      <c r="G132" s="65"/>
      <c r="H132" s="65"/>
      <c r="I132" s="65"/>
      <c r="J132" s="81"/>
      <c r="K132" s="80"/>
    </row>
    <row r="133" spans="1:11" s="27" customFormat="1" x14ac:dyDescent="0.25">
      <c r="A133" s="26"/>
      <c r="B133" s="63" t="s">
        <v>179</v>
      </c>
      <c r="C133" s="64"/>
      <c r="D133" s="65"/>
      <c r="E133" s="65"/>
      <c r="F133" s="65"/>
      <c r="G133" s="65"/>
      <c r="H133" s="65"/>
      <c r="I133" s="65"/>
      <c r="J133" s="81"/>
      <c r="K133" s="80"/>
    </row>
    <row r="134" spans="1:11" s="27" customFormat="1" x14ac:dyDescent="0.25">
      <c r="A134" s="26"/>
      <c r="B134" s="63"/>
      <c r="C134" s="66" t="s">
        <v>170</v>
      </c>
      <c r="D134" s="67" t="s">
        <v>180</v>
      </c>
      <c r="E134" s="68"/>
      <c r="F134" s="65"/>
      <c r="G134" s="65"/>
      <c r="H134" s="65"/>
      <c r="I134" s="65"/>
      <c r="J134" s="81"/>
      <c r="K134" s="80"/>
    </row>
    <row r="135" spans="1:11" x14ac:dyDescent="0.25">
      <c r="B135" s="69"/>
      <c r="C135" s="66"/>
      <c r="D135" s="67"/>
      <c r="E135" s="68"/>
      <c r="F135" s="65"/>
      <c r="G135" s="65"/>
      <c r="H135" s="65"/>
      <c r="I135" s="65"/>
      <c r="J135" s="79"/>
      <c r="K135" s="25"/>
    </row>
    <row r="136" spans="1:11" x14ac:dyDescent="0.25">
      <c r="B136" s="63" t="s">
        <v>181</v>
      </c>
      <c r="C136" s="64"/>
      <c r="D136" s="65"/>
      <c r="E136" s="65"/>
      <c r="F136" s="65"/>
      <c r="G136" s="65"/>
      <c r="H136" s="65"/>
      <c r="I136" s="65"/>
      <c r="J136" s="79"/>
      <c r="K136" s="25"/>
    </row>
    <row r="137" spans="1:11" s="27" customFormat="1" x14ac:dyDescent="0.25">
      <c r="A137" s="26"/>
      <c r="B137" s="63"/>
      <c r="C137" s="66" t="s">
        <v>170</v>
      </c>
      <c r="D137" s="70" t="s">
        <v>182</v>
      </c>
      <c r="E137" s="68"/>
      <c r="F137" s="65"/>
      <c r="G137" s="65"/>
      <c r="H137" s="65"/>
      <c r="I137" s="65"/>
      <c r="J137" s="81"/>
      <c r="K137" s="80"/>
    </row>
    <row r="138" spans="1:11" x14ac:dyDescent="0.25">
      <c r="B138" s="69"/>
      <c r="C138" s="66"/>
      <c r="D138" s="67"/>
      <c r="E138" s="68"/>
      <c r="F138" s="65"/>
      <c r="G138" s="65"/>
      <c r="H138" s="65"/>
      <c r="I138" s="65"/>
      <c r="J138" s="79"/>
      <c r="K138" s="25"/>
    </row>
    <row r="139" spans="1:11" s="27" customFormat="1" x14ac:dyDescent="0.25">
      <c r="A139" s="28"/>
      <c r="B139" s="63" t="s">
        <v>183</v>
      </c>
      <c r="C139" s="64"/>
      <c r="D139" s="65"/>
      <c r="E139" s="65"/>
      <c r="F139" s="65"/>
      <c r="G139" s="65"/>
      <c r="H139" s="65"/>
      <c r="I139" s="65"/>
      <c r="J139" s="81"/>
      <c r="K139" s="80"/>
    </row>
    <row r="140" spans="1:11" s="27" customFormat="1" x14ac:dyDescent="0.25">
      <c r="A140" s="26"/>
      <c r="B140" s="63"/>
      <c r="C140" s="66" t="s">
        <v>170</v>
      </c>
      <c r="D140" s="67" t="s">
        <v>184</v>
      </c>
      <c r="E140" s="68"/>
      <c r="F140" s="65"/>
      <c r="G140" s="65"/>
      <c r="H140" s="65"/>
      <c r="I140" s="65"/>
      <c r="J140" s="81"/>
      <c r="K140" s="80"/>
    </row>
    <row r="141" spans="1:11" x14ac:dyDescent="0.25">
      <c r="B141" s="69"/>
      <c r="C141" s="66"/>
      <c r="D141" s="67"/>
      <c r="E141" s="68"/>
      <c r="F141" s="65"/>
      <c r="G141" s="65"/>
      <c r="H141" s="65"/>
      <c r="I141" s="65"/>
      <c r="J141" s="79"/>
      <c r="K141" s="25"/>
    </row>
    <row r="142" spans="1:11" x14ac:dyDescent="0.25">
      <c r="B142" s="63" t="s">
        <v>185</v>
      </c>
      <c r="C142" s="64"/>
      <c r="D142" s="65"/>
      <c r="E142" s="65"/>
      <c r="F142" s="65"/>
      <c r="G142" s="65"/>
      <c r="H142" s="65"/>
      <c r="I142" s="65"/>
      <c r="J142" s="79"/>
      <c r="K142" s="25"/>
    </row>
    <row r="143" spans="1:11" x14ac:dyDescent="0.25">
      <c r="B143" s="63"/>
      <c r="C143" s="66" t="s">
        <v>170</v>
      </c>
      <c r="D143" s="71" t="s">
        <v>186</v>
      </c>
      <c r="E143" s="68"/>
      <c r="F143" s="65"/>
      <c r="G143" s="65"/>
      <c r="H143" s="65"/>
      <c r="I143" s="65"/>
      <c r="J143" s="79"/>
      <c r="K143" s="25"/>
    </row>
    <row r="144" spans="1:11" x14ac:dyDescent="0.25">
      <c r="B144" s="69"/>
      <c r="C144" s="66"/>
      <c r="D144" s="67"/>
      <c r="E144" s="68"/>
      <c r="F144" s="65"/>
      <c r="G144" s="65"/>
      <c r="H144" s="65"/>
      <c r="I144" s="65"/>
      <c r="J144" s="79"/>
      <c r="K144" s="25"/>
    </row>
    <row r="145" spans="2:11" x14ac:dyDescent="0.25">
      <c r="B145" s="63" t="s">
        <v>187</v>
      </c>
      <c r="C145" s="64"/>
      <c r="D145" s="65"/>
      <c r="E145" s="65"/>
      <c r="F145" s="65"/>
      <c r="G145" s="65"/>
      <c r="H145" s="65"/>
      <c r="I145" s="65"/>
      <c r="J145" s="79"/>
      <c r="K145" s="25"/>
    </row>
    <row r="146" spans="2:11" x14ac:dyDescent="0.25">
      <c r="B146" s="63"/>
      <c r="C146" s="66" t="s">
        <v>170</v>
      </c>
      <c r="D146" s="67" t="s">
        <v>188</v>
      </c>
      <c r="E146" s="68"/>
      <c r="F146" s="65"/>
      <c r="G146" s="65"/>
      <c r="H146" s="65"/>
      <c r="I146" s="65"/>
      <c r="J146" s="79"/>
      <c r="K146" s="25"/>
    </row>
    <row r="147" spans="2:11" x14ac:dyDescent="0.25">
      <c r="B147" s="69"/>
      <c r="C147" s="66"/>
      <c r="D147" s="67"/>
      <c r="E147" s="68"/>
      <c r="F147" s="65"/>
      <c r="G147" s="65"/>
      <c r="H147" s="65"/>
      <c r="I147" s="65"/>
      <c r="J147" s="79"/>
      <c r="K147" s="25"/>
    </row>
    <row r="148" spans="2:11" x14ac:dyDescent="0.25">
      <c r="B148" s="63" t="s">
        <v>189</v>
      </c>
      <c r="C148" s="64"/>
      <c r="D148" s="65"/>
      <c r="E148" s="65"/>
      <c r="F148" s="65"/>
      <c r="G148" s="65"/>
      <c r="H148" s="65"/>
      <c r="I148" s="65"/>
      <c r="J148" s="79"/>
      <c r="K148" s="25"/>
    </row>
    <row r="149" spans="2:11" x14ac:dyDescent="0.25">
      <c r="B149" s="63"/>
      <c r="C149" s="66" t="s">
        <v>170</v>
      </c>
      <c r="D149" s="67" t="s">
        <v>190</v>
      </c>
      <c r="E149" s="68"/>
      <c r="F149" s="65"/>
      <c r="G149" s="65"/>
      <c r="H149" s="65"/>
      <c r="I149" s="65"/>
      <c r="J149" s="79"/>
      <c r="K149" s="25"/>
    </row>
    <row r="150" spans="2:11" x14ac:dyDescent="0.25">
      <c r="B150" s="69"/>
      <c r="C150" s="66"/>
      <c r="D150" s="67"/>
      <c r="E150" s="68"/>
      <c r="F150" s="65"/>
      <c r="G150" s="65"/>
      <c r="H150" s="65"/>
      <c r="I150" s="65"/>
      <c r="J150" s="79"/>
      <c r="K150" s="25"/>
    </row>
    <row r="151" spans="2:11" x14ac:dyDescent="0.25">
      <c r="B151" s="63" t="s">
        <v>191</v>
      </c>
      <c r="C151" s="64"/>
      <c r="D151" s="65"/>
      <c r="E151" s="65"/>
      <c r="F151" s="65"/>
      <c r="G151" s="65"/>
      <c r="H151" s="65"/>
      <c r="I151" s="65"/>
      <c r="J151" s="79"/>
      <c r="K151" s="25"/>
    </row>
    <row r="152" spans="2:11" x14ac:dyDescent="0.25">
      <c r="B152" s="63"/>
      <c r="C152" s="66" t="s">
        <v>170</v>
      </c>
      <c r="D152" s="67" t="s">
        <v>192</v>
      </c>
      <c r="E152" s="68"/>
      <c r="F152" s="65"/>
      <c r="G152" s="65"/>
      <c r="H152" s="65"/>
      <c r="I152" s="65"/>
      <c r="J152" s="79"/>
      <c r="K152" s="25"/>
    </row>
    <row r="153" spans="2:11" x14ac:dyDescent="0.25">
      <c r="B153" s="69"/>
      <c r="C153" s="66"/>
      <c r="D153" s="67"/>
      <c r="E153" s="68"/>
      <c r="F153" s="65"/>
      <c r="G153" s="65"/>
      <c r="H153" s="65"/>
      <c r="I153" s="65"/>
      <c r="J153" s="79"/>
      <c r="K153" s="25"/>
    </row>
    <row r="154" spans="2:11" x14ac:dyDescent="0.25">
      <c r="B154" s="63" t="s">
        <v>193</v>
      </c>
      <c r="C154" s="64"/>
      <c r="D154" s="65"/>
      <c r="E154" s="65"/>
      <c r="F154" s="65"/>
      <c r="G154" s="65"/>
      <c r="H154" s="65"/>
      <c r="I154" s="65"/>
      <c r="J154" s="79"/>
      <c r="K154" s="25"/>
    </row>
    <row r="155" spans="2:11" x14ac:dyDescent="0.25">
      <c r="B155" s="63"/>
      <c r="C155" s="66" t="s">
        <v>170</v>
      </c>
      <c r="D155" s="67" t="s">
        <v>194</v>
      </c>
      <c r="E155" s="68"/>
      <c r="F155" s="65"/>
      <c r="G155" s="65"/>
      <c r="H155" s="65"/>
      <c r="I155" s="65"/>
      <c r="J155" s="79"/>
      <c r="K155" s="25"/>
    </row>
    <row r="156" spans="2:11" x14ac:dyDescent="0.25">
      <c r="B156" s="69"/>
      <c r="C156" s="66"/>
      <c r="D156" s="67"/>
      <c r="E156" s="68"/>
      <c r="F156" s="65"/>
      <c r="G156" s="65"/>
      <c r="H156" s="65"/>
      <c r="I156" s="65"/>
      <c r="J156" s="79"/>
      <c r="K156" s="25"/>
    </row>
    <row r="157" spans="2:11" x14ac:dyDescent="0.25">
      <c r="B157" s="63" t="s">
        <v>195</v>
      </c>
      <c r="C157" s="64"/>
      <c r="D157" s="65"/>
      <c r="E157" s="65"/>
      <c r="F157" s="65"/>
      <c r="G157" s="65"/>
      <c r="H157" s="65"/>
      <c r="I157" s="65"/>
      <c r="J157" s="79"/>
      <c r="K157" s="25"/>
    </row>
    <row r="158" spans="2:11" x14ac:dyDescent="0.25">
      <c r="B158" s="63"/>
      <c r="C158" s="66" t="s">
        <v>170</v>
      </c>
      <c r="D158" s="67" t="s">
        <v>196</v>
      </c>
      <c r="E158" s="68"/>
      <c r="F158" s="65"/>
      <c r="G158" s="65"/>
      <c r="H158" s="65"/>
      <c r="I158" s="65"/>
      <c r="J158" s="79"/>
      <c r="K158" s="25"/>
    </row>
    <row r="159" spans="2:11" x14ac:dyDescent="0.25">
      <c r="B159" s="69"/>
      <c r="C159" s="66"/>
      <c r="D159" s="67"/>
      <c r="E159" s="68"/>
      <c r="F159" s="65"/>
      <c r="G159" s="65"/>
      <c r="H159" s="65"/>
      <c r="I159" s="65"/>
      <c r="J159" s="79"/>
      <c r="K159" s="25"/>
    </row>
    <row r="160" spans="2:11" x14ac:dyDescent="0.25">
      <c r="B160" s="63" t="s">
        <v>197</v>
      </c>
      <c r="C160" s="64"/>
      <c r="D160" s="65"/>
      <c r="E160" s="65"/>
      <c r="F160" s="65"/>
      <c r="G160" s="65"/>
      <c r="H160" s="65"/>
      <c r="I160" s="65"/>
      <c r="J160" s="79"/>
      <c r="K160" s="25"/>
    </row>
    <row r="161" spans="2:11" x14ac:dyDescent="0.25">
      <c r="B161" s="63"/>
      <c r="C161" s="66" t="s">
        <v>170</v>
      </c>
      <c r="D161" s="71" t="s">
        <v>198</v>
      </c>
      <c r="E161" s="68"/>
      <c r="F161" s="65"/>
      <c r="G161" s="65"/>
      <c r="H161" s="65"/>
      <c r="I161" s="65"/>
      <c r="J161" s="79"/>
      <c r="K161" s="25"/>
    </row>
    <row r="162" spans="2:11" x14ac:dyDescent="0.25">
      <c r="B162" s="69"/>
      <c r="C162" s="64"/>
      <c r="D162" s="65"/>
      <c r="E162" s="65"/>
      <c r="F162" s="65"/>
      <c r="G162" s="65"/>
      <c r="H162" s="65"/>
      <c r="I162" s="65"/>
      <c r="J162" s="79"/>
      <c r="K162" s="25"/>
    </row>
    <row r="163" spans="2:11" x14ac:dyDescent="0.25">
      <c r="B163" s="63" t="s">
        <v>199</v>
      </c>
      <c r="C163" s="66" t="s">
        <v>170</v>
      </c>
      <c r="D163" s="67" t="s">
        <v>200</v>
      </c>
      <c r="E163" s="68"/>
      <c r="F163" s="65" t="s">
        <v>201</v>
      </c>
      <c r="G163" s="65"/>
      <c r="H163" s="65"/>
      <c r="I163" s="65"/>
      <c r="J163" s="79"/>
      <c r="K163" s="25"/>
    </row>
    <row r="164" spans="2:11" x14ac:dyDescent="0.25">
      <c r="B164" s="63"/>
      <c r="C164" s="66"/>
      <c r="D164" s="67"/>
      <c r="E164" s="68"/>
      <c r="F164" s="65"/>
      <c r="G164" s="65"/>
      <c r="H164" s="65"/>
      <c r="I164" s="65"/>
      <c r="J164" s="79"/>
      <c r="K164" s="25"/>
    </row>
    <row r="165" spans="2:11" x14ac:dyDescent="0.25">
      <c r="B165" s="69"/>
      <c r="C165" s="64"/>
      <c r="D165" s="65"/>
      <c r="E165" s="65"/>
      <c r="F165" s="65"/>
      <c r="G165" s="65"/>
      <c r="H165" s="65"/>
      <c r="I165" s="65"/>
      <c r="J165" s="79"/>
      <c r="K165" s="25"/>
    </row>
    <row r="166" spans="2:11" x14ac:dyDescent="0.25">
      <c r="B166" s="63" t="s">
        <v>202</v>
      </c>
      <c r="C166" s="66" t="s">
        <v>170</v>
      </c>
      <c r="D166" s="67" t="s">
        <v>203</v>
      </c>
      <c r="E166" s="68"/>
      <c r="F166" s="65" t="s">
        <v>201</v>
      </c>
      <c r="G166" s="65"/>
      <c r="H166" s="65"/>
      <c r="I166" s="65"/>
      <c r="J166" s="79"/>
      <c r="K166" s="25"/>
    </row>
    <row r="167" spans="2:11" x14ac:dyDescent="0.25">
      <c r="B167" s="63"/>
      <c r="C167" s="66"/>
      <c r="D167" s="67"/>
      <c r="E167" s="68"/>
      <c r="F167" s="65"/>
      <c r="G167" s="65"/>
      <c r="H167" s="65"/>
      <c r="I167" s="65"/>
      <c r="J167" s="79"/>
      <c r="K167" s="25"/>
    </row>
    <row r="168" spans="2:11" x14ac:dyDescent="0.25">
      <c r="B168" s="69"/>
      <c r="C168" s="64"/>
      <c r="D168" s="65"/>
      <c r="E168" s="65"/>
      <c r="F168" s="65"/>
      <c r="G168" s="65"/>
      <c r="H168" s="65"/>
      <c r="I168" s="65"/>
      <c r="J168" s="79"/>
      <c r="K168" s="25"/>
    </row>
    <row r="169" spans="2:11" x14ac:dyDescent="0.25">
      <c r="B169" s="63" t="s">
        <v>204</v>
      </c>
      <c r="C169" s="66" t="s">
        <v>170</v>
      </c>
      <c r="D169" s="67" t="s">
        <v>205</v>
      </c>
      <c r="E169" s="68"/>
      <c r="F169" s="65"/>
      <c r="G169" s="65"/>
      <c r="H169" s="65"/>
      <c r="I169" s="65"/>
      <c r="J169" s="79"/>
      <c r="K169" s="25"/>
    </row>
    <row r="170" spans="2:11" x14ac:dyDescent="0.25">
      <c r="B170" s="63"/>
      <c r="C170" s="66"/>
      <c r="D170" s="67"/>
      <c r="E170" s="68"/>
      <c r="F170" s="65"/>
      <c r="G170" s="65"/>
      <c r="H170" s="65"/>
      <c r="I170" s="65"/>
      <c r="J170" s="79"/>
      <c r="K170" s="25"/>
    </row>
    <row r="171" spans="2:11" x14ac:dyDescent="0.25">
      <c r="B171" s="69"/>
      <c r="C171" s="64"/>
      <c r="D171" s="65"/>
      <c r="E171" s="65"/>
      <c r="F171" s="65"/>
      <c r="G171" s="65"/>
      <c r="H171" s="65"/>
      <c r="I171" s="65"/>
      <c r="J171" s="79"/>
      <c r="K171" s="25"/>
    </row>
    <row r="172" spans="2:11" x14ac:dyDescent="0.25">
      <c r="B172" s="63" t="s">
        <v>206</v>
      </c>
      <c r="C172" s="66" t="s">
        <v>170</v>
      </c>
      <c r="D172" s="67" t="s">
        <v>207</v>
      </c>
      <c r="E172" s="68"/>
      <c r="F172" s="65"/>
      <c r="G172" s="65"/>
      <c r="H172" s="65"/>
      <c r="I172" s="65"/>
      <c r="J172" s="79"/>
      <c r="K172" s="25"/>
    </row>
    <row r="173" spans="2:11" x14ac:dyDescent="0.25">
      <c r="B173" s="63"/>
      <c r="C173" s="66"/>
      <c r="D173" s="67"/>
      <c r="E173" s="68"/>
      <c r="F173" s="65"/>
      <c r="G173" s="65"/>
      <c r="H173" s="65"/>
      <c r="I173" s="65"/>
      <c r="J173" s="79"/>
      <c r="K173" s="25"/>
    </row>
    <row r="174" spans="2:11" x14ac:dyDescent="0.25">
      <c r="B174" s="69"/>
      <c r="C174" s="64"/>
      <c r="D174" s="65"/>
      <c r="E174" s="65"/>
      <c r="F174" s="65"/>
      <c r="G174" s="65"/>
      <c r="H174" s="65"/>
      <c r="I174" s="65"/>
      <c r="J174" s="79"/>
      <c r="K174" s="25"/>
    </row>
    <row r="175" spans="2:11" x14ac:dyDescent="0.25">
      <c r="B175" s="63" t="s">
        <v>208</v>
      </c>
      <c r="C175" s="66" t="s">
        <v>170</v>
      </c>
      <c r="D175" s="67" t="s">
        <v>209</v>
      </c>
      <c r="E175" s="68"/>
      <c r="F175" s="65"/>
      <c r="G175" s="65"/>
      <c r="H175" s="65"/>
      <c r="I175" s="65"/>
      <c r="J175" s="79"/>
      <c r="K175" s="25"/>
    </row>
    <row r="176" spans="2:11" x14ac:dyDescent="0.25">
      <c r="B176" s="63"/>
      <c r="C176" s="66"/>
      <c r="D176" s="67"/>
      <c r="E176" s="68"/>
      <c r="F176" s="65"/>
      <c r="G176" s="65"/>
      <c r="H176" s="65"/>
      <c r="I176" s="65"/>
      <c r="J176" s="79"/>
      <c r="K176" s="25"/>
    </row>
    <row r="177" spans="2:11" x14ac:dyDescent="0.25">
      <c r="B177" s="69"/>
      <c r="C177" s="64"/>
      <c r="D177" s="65"/>
      <c r="E177" s="65"/>
      <c r="F177" s="65"/>
      <c r="G177" s="65"/>
      <c r="H177" s="65"/>
      <c r="I177" s="65"/>
      <c r="J177" s="79"/>
      <c r="K177" s="25"/>
    </row>
    <row r="178" spans="2:11" x14ac:dyDescent="0.25">
      <c r="B178" s="63" t="s">
        <v>210</v>
      </c>
      <c r="C178" s="66" t="s">
        <v>170</v>
      </c>
      <c r="D178" s="67" t="s">
        <v>211</v>
      </c>
      <c r="E178" s="68"/>
      <c r="F178" s="65"/>
      <c r="G178" s="65"/>
      <c r="H178" s="65"/>
      <c r="I178" s="65"/>
      <c r="J178" s="79"/>
      <c r="K178" s="25"/>
    </row>
    <row r="179" spans="2:11" x14ac:dyDescent="0.25">
      <c r="B179" s="63"/>
      <c r="C179" s="66"/>
      <c r="D179" s="67"/>
      <c r="E179" s="68"/>
      <c r="F179" s="65"/>
      <c r="G179" s="65"/>
      <c r="H179" s="65"/>
      <c r="I179" s="65"/>
      <c r="J179" s="79"/>
      <c r="K179" s="25"/>
    </row>
    <row r="180" spans="2:11" x14ac:dyDescent="0.25">
      <c r="B180" s="69"/>
      <c r="C180" s="64"/>
      <c r="D180" s="65"/>
      <c r="E180" s="65"/>
      <c r="F180" s="65"/>
      <c r="G180" s="65"/>
      <c r="H180" s="65"/>
      <c r="I180" s="65"/>
      <c r="J180" s="79"/>
      <c r="K180" s="25"/>
    </row>
    <row r="181" spans="2:11" x14ac:dyDescent="0.25">
      <c r="B181" s="63" t="s">
        <v>212</v>
      </c>
      <c r="C181" s="66" t="s">
        <v>170</v>
      </c>
      <c r="D181" s="67" t="s">
        <v>213</v>
      </c>
      <c r="E181" s="68"/>
      <c r="F181" s="65"/>
      <c r="G181" s="65"/>
      <c r="H181" s="65"/>
      <c r="I181" s="65"/>
      <c r="J181" s="79"/>
      <c r="K181" s="25"/>
    </row>
    <row r="182" spans="2:11" x14ac:dyDescent="0.25">
      <c r="B182" s="63"/>
      <c r="C182" s="66"/>
      <c r="D182" s="67"/>
      <c r="E182" s="68"/>
      <c r="F182" s="65"/>
      <c r="G182" s="65"/>
      <c r="H182" s="65"/>
      <c r="I182" s="65"/>
      <c r="J182" s="79"/>
      <c r="K182" s="25"/>
    </row>
    <row r="183" spans="2:11" x14ac:dyDescent="0.25">
      <c r="B183" s="69"/>
      <c r="C183" s="64"/>
      <c r="D183" s="65"/>
      <c r="E183" s="65"/>
      <c r="F183" s="65"/>
      <c r="G183" s="65"/>
      <c r="H183" s="65"/>
      <c r="I183" s="65"/>
      <c r="J183" s="79"/>
      <c r="K183" s="25"/>
    </row>
    <row r="184" spans="2:11" x14ac:dyDescent="0.25">
      <c r="B184" s="63" t="s">
        <v>214</v>
      </c>
      <c r="C184" s="66" t="s">
        <v>170</v>
      </c>
      <c r="D184" s="109" t="s">
        <v>215</v>
      </c>
      <c r="E184" s="109"/>
      <c r="F184" s="109"/>
      <c r="G184" s="109"/>
      <c r="H184" s="109"/>
      <c r="I184" s="109"/>
      <c r="J184" s="110"/>
      <c r="K184" s="25"/>
    </row>
    <row r="185" spans="2:11" x14ac:dyDescent="0.25">
      <c r="B185" s="63"/>
      <c r="C185" s="66"/>
      <c r="D185" s="109"/>
      <c r="E185" s="109"/>
      <c r="F185" s="109"/>
      <c r="G185" s="109"/>
      <c r="H185" s="109"/>
      <c r="I185" s="109"/>
      <c r="J185" s="110"/>
      <c r="K185" s="25"/>
    </row>
    <row r="186" spans="2:11" x14ac:dyDescent="0.25">
      <c r="B186" s="69"/>
      <c r="C186" s="64"/>
      <c r="D186" s="65"/>
      <c r="E186" s="65"/>
      <c r="F186" s="65"/>
      <c r="G186" s="65"/>
      <c r="H186" s="65"/>
      <c r="I186" s="65"/>
      <c r="J186" s="79"/>
      <c r="K186" s="25"/>
    </row>
    <row r="187" spans="2:11" x14ac:dyDescent="0.25">
      <c r="B187" s="63" t="s">
        <v>216</v>
      </c>
      <c r="C187" s="66" t="s">
        <v>170</v>
      </c>
      <c r="D187" s="67" t="s">
        <v>217</v>
      </c>
      <c r="E187" s="68"/>
      <c r="F187" s="65"/>
      <c r="G187" s="65"/>
      <c r="H187" s="65"/>
      <c r="I187" s="65"/>
      <c r="J187" s="79"/>
      <c r="K187" s="25"/>
    </row>
    <row r="188" spans="2:11" x14ac:dyDescent="0.25">
      <c r="B188" s="63"/>
      <c r="C188" s="66"/>
      <c r="D188" s="67"/>
      <c r="E188" s="68"/>
      <c r="F188" s="65"/>
      <c r="G188" s="65"/>
      <c r="H188" s="65"/>
      <c r="I188" s="65"/>
      <c r="J188" s="79"/>
      <c r="K188" s="25"/>
    </row>
    <row r="189" spans="2:11" x14ac:dyDescent="0.25">
      <c r="B189" s="69"/>
      <c r="C189" s="64"/>
      <c r="D189" s="65"/>
      <c r="E189" s="65"/>
      <c r="F189" s="65"/>
      <c r="G189" s="65"/>
      <c r="H189" s="65"/>
      <c r="I189" s="65"/>
      <c r="J189" s="79"/>
      <c r="K189" s="25"/>
    </row>
    <row r="190" spans="2:11" x14ac:dyDescent="0.25">
      <c r="B190" s="63" t="s">
        <v>218</v>
      </c>
      <c r="C190" s="66" t="s">
        <v>170</v>
      </c>
      <c r="D190" s="67" t="s">
        <v>219</v>
      </c>
      <c r="E190" s="68"/>
      <c r="F190" s="65"/>
      <c r="G190" s="65"/>
      <c r="H190" s="65"/>
      <c r="I190" s="65"/>
      <c r="J190" s="79"/>
      <c r="K190" s="25"/>
    </row>
    <row r="191" spans="2:11" x14ac:dyDescent="0.25">
      <c r="B191" s="63"/>
      <c r="C191" s="66"/>
      <c r="D191" s="67"/>
      <c r="E191" s="68"/>
      <c r="F191" s="65"/>
      <c r="G191" s="65"/>
      <c r="H191" s="65"/>
      <c r="I191" s="65"/>
      <c r="J191" s="79"/>
      <c r="K191" s="25"/>
    </row>
    <row r="192" spans="2:11" x14ac:dyDescent="0.25">
      <c r="B192" s="69"/>
      <c r="C192" s="64"/>
      <c r="D192" s="65"/>
      <c r="E192" s="65"/>
      <c r="F192" s="65"/>
      <c r="G192" s="65"/>
      <c r="H192" s="65"/>
      <c r="I192" s="65"/>
      <c r="J192" s="79"/>
      <c r="K192" s="25"/>
    </row>
    <row r="193" spans="2:11" x14ac:dyDescent="0.25">
      <c r="B193" s="63" t="s">
        <v>220</v>
      </c>
      <c r="C193" s="66" t="s">
        <v>170</v>
      </c>
      <c r="D193" s="109" t="s">
        <v>221</v>
      </c>
      <c r="E193" s="109"/>
      <c r="F193" s="109"/>
      <c r="G193" s="109"/>
      <c r="H193" s="109"/>
      <c r="I193" s="109"/>
      <c r="J193" s="110"/>
      <c r="K193" s="25"/>
    </row>
    <row r="194" spans="2:11" x14ac:dyDescent="0.25">
      <c r="B194" s="63"/>
      <c r="C194" s="66"/>
      <c r="D194" s="109"/>
      <c r="E194" s="109"/>
      <c r="F194" s="109"/>
      <c r="G194" s="109"/>
      <c r="H194" s="109"/>
      <c r="I194" s="109"/>
      <c r="J194" s="110"/>
      <c r="K194" s="25"/>
    </row>
    <row r="195" spans="2:11" x14ac:dyDescent="0.25">
      <c r="B195" s="69"/>
      <c r="C195" s="64"/>
      <c r="D195" s="65"/>
      <c r="E195" s="65"/>
      <c r="F195" s="65"/>
      <c r="G195" s="65"/>
      <c r="H195" s="65"/>
      <c r="I195" s="65"/>
      <c r="J195" s="79"/>
      <c r="K195" s="25"/>
    </row>
    <row r="196" spans="2:11" x14ac:dyDescent="0.25">
      <c r="B196" s="63" t="s">
        <v>222</v>
      </c>
      <c r="C196" s="66" t="s">
        <v>170</v>
      </c>
      <c r="D196" s="67" t="s">
        <v>223</v>
      </c>
      <c r="E196" s="68"/>
      <c r="F196" s="65"/>
      <c r="G196" s="65"/>
      <c r="H196" s="65"/>
      <c r="I196" s="65"/>
      <c r="J196" s="79"/>
      <c r="K196" s="25"/>
    </row>
    <row r="197" spans="2:11" x14ac:dyDescent="0.25">
      <c r="B197" s="63"/>
      <c r="C197" s="66"/>
      <c r="D197" s="67"/>
      <c r="E197" s="68"/>
      <c r="F197" s="65"/>
      <c r="G197" s="65"/>
      <c r="H197" s="65"/>
      <c r="I197" s="65"/>
      <c r="J197" s="79"/>
      <c r="K197" s="25"/>
    </row>
    <row r="198" spans="2:11" x14ac:dyDescent="0.25">
      <c r="B198" s="69"/>
      <c r="C198" s="64"/>
      <c r="D198" s="65"/>
      <c r="E198" s="65"/>
      <c r="F198" s="65"/>
      <c r="G198" s="65"/>
      <c r="H198" s="65"/>
      <c r="I198" s="65"/>
      <c r="J198" s="79"/>
      <c r="K198" s="25"/>
    </row>
    <row r="199" spans="2:11" x14ac:dyDescent="0.25">
      <c r="B199" s="63" t="s">
        <v>224</v>
      </c>
      <c r="C199" s="66" t="s">
        <v>170</v>
      </c>
      <c r="D199" s="103" t="s">
        <v>225</v>
      </c>
      <c r="E199" s="103"/>
      <c r="F199" s="103"/>
      <c r="G199" s="103"/>
      <c r="H199" s="103"/>
      <c r="I199" s="103"/>
      <c r="J199" s="104"/>
      <c r="K199" s="25"/>
    </row>
    <row r="200" spans="2:11" x14ac:dyDescent="0.25">
      <c r="B200" s="63"/>
      <c r="C200" s="66"/>
      <c r="D200" s="103"/>
      <c r="E200" s="103"/>
      <c r="F200" s="103"/>
      <c r="G200" s="103"/>
      <c r="H200" s="103"/>
      <c r="I200" s="103"/>
      <c r="J200" s="104"/>
      <c r="K200" s="25"/>
    </row>
    <row r="201" spans="2:11" x14ac:dyDescent="0.25">
      <c r="B201" s="69"/>
      <c r="C201" s="64"/>
      <c r="D201" s="65"/>
      <c r="E201" s="65"/>
      <c r="F201" s="65"/>
      <c r="G201" s="65"/>
      <c r="H201" s="65"/>
      <c r="I201" s="65"/>
      <c r="J201" s="79"/>
      <c r="K201" s="25"/>
    </row>
    <row r="202" spans="2:11" x14ac:dyDescent="0.25">
      <c r="B202" s="63" t="s">
        <v>226</v>
      </c>
      <c r="C202" s="66" t="s">
        <v>170</v>
      </c>
      <c r="D202" s="67" t="s">
        <v>227</v>
      </c>
      <c r="E202" s="68"/>
      <c r="F202" s="65"/>
      <c r="G202" s="65"/>
      <c r="H202" s="65"/>
      <c r="I202" s="65"/>
      <c r="J202" s="79"/>
      <c r="K202" s="25"/>
    </row>
    <row r="203" spans="2:11" x14ac:dyDescent="0.25">
      <c r="B203" s="63"/>
      <c r="C203" s="66"/>
      <c r="D203" s="67"/>
      <c r="E203" s="68"/>
      <c r="F203" s="65"/>
      <c r="G203" s="65"/>
      <c r="H203" s="65"/>
      <c r="I203" s="65"/>
      <c r="J203" s="79"/>
      <c r="K203" s="25"/>
    </row>
    <row r="204" spans="2:11" x14ac:dyDescent="0.25">
      <c r="B204" s="69"/>
      <c r="C204" s="64"/>
      <c r="D204" s="65"/>
      <c r="E204" s="65"/>
      <c r="F204" s="65"/>
      <c r="G204" s="65"/>
      <c r="H204" s="65"/>
      <c r="I204" s="65"/>
      <c r="J204" s="79"/>
      <c r="K204" s="25"/>
    </row>
    <row r="205" spans="2:11" x14ac:dyDescent="0.25">
      <c r="B205" s="63" t="s">
        <v>228</v>
      </c>
      <c r="C205" s="66" t="s">
        <v>170</v>
      </c>
      <c r="D205" s="67" t="s">
        <v>229</v>
      </c>
      <c r="E205" s="68"/>
      <c r="F205" s="65"/>
      <c r="G205" s="65"/>
      <c r="H205" s="65"/>
      <c r="I205" s="65"/>
      <c r="J205" s="79"/>
      <c r="K205" s="25"/>
    </row>
    <row r="206" spans="2:11" x14ac:dyDescent="0.25">
      <c r="B206" s="63"/>
      <c r="C206" s="66"/>
      <c r="D206" s="67"/>
      <c r="E206" s="68"/>
      <c r="F206" s="65"/>
      <c r="G206" s="65"/>
      <c r="H206" s="65" t="s">
        <v>230</v>
      </c>
      <c r="I206" s="65"/>
      <c r="J206" s="79"/>
      <c r="K206" s="25"/>
    </row>
    <row r="207" spans="2:11" x14ac:dyDescent="0.25">
      <c r="B207" s="69"/>
      <c r="C207" s="64"/>
      <c r="D207" s="65"/>
      <c r="E207" s="65"/>
      <c r="F207" s="65"/>
      <c r="G207" s="65"/>
      <c r="H207" s="65"/>
      <c r="I207" s="65"/>
      <c r="J207" s="79"/>
      <c r="K207" s="25"/>
    </row>
    <row r="208" spans="2:11" x14ac:dyDescent="0.25">
      <c r="B208" s="63" t="s">
        <v>231</v>
      </c>
      <c r="C208" s="66" t="s">
        <v>170</v>
      </c>
      <c r="D208" s="67" t="s">
        <v>232</v>
      </c>
      <c r="E208" s="68"/>
      <c r="F208" s="65"/>
      <c r="G208" s="65"/>
      <c r="H208" s="65"/>
      <c r="I208" s="65"/>
      <c r="J208" s="79"/>
      <c r="K208" s="25"/>
    </row>
    <row r="209" spans="2:11" x14ac:dyDescent="0.25">
      <c r="B209" s="63"/>
      <c r="C209" s="66"/>
      <c r="D209" s="67"/>
      <c r="E209" s="68"/>
      <c r="F209" s="65"/>
      <c r="G209" s="65"/>
      <c r="H209" s="65"/>
      <c r="I209" s="65"/>
      <c r="J209" s="79"/>
      <c r="K209" s="25"/>
    </row>
    <row r="210" spans="2:11" x14ac:dyDescent="0.25">
      <c r="B210" s="69"/>
      <c r="C210" s="64"/>
      <c r="D210" s="65"/>
      <c r="E210" s="65"/>
      <c r="F210" s="65"/>
      <c r="G210" s="65"/>
      <c r="H210" s="65"/>
      <c r="I210" s="65"/>
      <c r="J210" s="79"/>
      <c r="K210" s="25"/>
    </row>
    <row r="211" spans="2:11" x14ac:dyDescent="0.25">
      <c r="B211" s="63" t="s">
        <v>233</v>
      </c>
      <c r="C211" s="66" t="s">
        <v>170</v>
      </c>
      <c r="D211" s="103" t="s">
        <v>234</v>
      </c>
      <c r="E211" s="103"/>
      <c r="F211" s="103"/>
      <c r="G211" s="103"/>
      <c r="H211" s="103"/>
      <c r="I211" s="103"/>
      <c r="J211" s="104"/>
      <c r="K211" s="25"/>
    </row>
    <row r="212" spans="2:11" x14ac:dyDescent="0.25">
      <c r="B212" s="63"/>
      <c r="C212" s="66"/>
      <c r="D212" s="103"/>
      <c r="E212" s="103"/>
      <c r="F212" s="103"/>
      <c r="G212" s="103"/>
      <c r="H212" s="103"/>
      <c r="I212" s="103"/>
      <c r="J212" s="104"/>
      <c r="K212" s="25"/>
    </row>
    <row r="213" spans="2:11" x14ac:dyDescent="0.25">
      <c r="B213" s="69"/>
      <c r="C213" s="64"/>
      <c r="D213" s="65"/>
      <c r="E213" s="65"/>
      <c r="F213" s="65"/>
      <c r="G213" s="65"/>
      <c r="H213" s="65"/>
      <c r="I213" s="65"/>
      <c r="J213" s="79"/>
      <c r="K213" s="25"/>
    </row>
    <row r="214" spans="2:11" x14ac:dyDescent="0.25">
      <c r="B214" s="63" t="s">
        <v>235</v>
      </c>
      <c r="C214" s="66" t="s">
        <v>170</v>
      </c>
      <c r="D214" s="67" t="s">
        <v>236</v>
      </c>
      <c r="E214" s="68"/>
      <c r="F214" s="65"/>
      <c r="G214" s="65"/>
      <c r="H214" s="65"/>
      <c r="I214" s="65"/>
      <c r="J214" s="79"/>
      <c r="K214" s="25"/>
    </row>
    <row r="215" spans="2:11" x14ac:dyDescent="0.25">
      <c r="B215" s="63"/>
      <c r="C215" s="66"/>
      <c r="D215" s="67"/>
      <c r="E215" s="68"/>
      <c r="F215" s="65"/>
      <c r="G215" s="65"/>
      <c r="H215" s="65"/>
      <c r="I215" s="65"/>
      <c r="J215" s="79"/>
      <c r="K215" s="25"/>
    </row>
    <row r="216" spans="2:11" x14ac:dyDescent="0.25">
      <c r="B216" s="69"/>
      <c r="C216" s="64"/>
      <c r="D216" s="65"/>
      <c r="E216" s="65"/>
      <c r="F216" s="65"/>
      <c r="G216" s="65"/>
      <c r="H216" s="65"/>
      <c r="I216" s="65"/>
      <c r="J216" s="79"/>
      <c r="K216" s="25"/>
    </row>
    <row r="217" spans="2:11" x14ac:dyDescent="0.25">
      <c r="B217" s="63" t="s">
        <v>237</v>
      </c>
      <c r="C217" s="66" t="s">
        <v>170</v>
      </c>
      <c r="D217" s="67" t="s">
        <v>238</v>
      </c>
      <c r="E217" s="68"/>
      <c r="F217" s="65"/>
      <c r="G217" s="65"/>
      <c r="H217" s="65"/>
      <c r="I217" s="65"/>
      <c r="J217" s="79"/>
      <c r="K217" s="25"/>
    </row>
    <row r="218" spans="2:11" x14ac:dyDescent="0.25">
      <c r="B218" s="63"/>
      <c r="C218" s="66"/>
      <c r="D218" s="67"/>
      <c r="E218" s="68"/>
      <c r="F218" s="65"/>
      <c r="G218" s="65"/>
      <c r="H218" s="65"/>
      <c r="I218" s="65"/>
      <c r="J218" s="79"/>
      <c r="K218" s="25"/>
    </row>
    <row r="219" spans="2:11" x14ac:dyDescent="0.25">
      <c r="B219" s="69"/>
      <c r="C219" s="64"/>
      <c r="D219" s="65"/>
      <c r="E219" s="65"/>
      <c r="F219" s="65"/>
      <c r="G219" s="65"/>
      <c r="H219" s="65"/>
      <c r="I219" s="65"/>
      <c r="J219" s="79"/>
      <c r="K219" s="25"/>
    </row>
    <row r="220" spans="2:11" x14ac:dyDescent="0.25">
      <c r="B220" s="63" t="s">
        <v>239</v>
      </c>
      <c r="C220" s="66" t="s">
        <v>170</v>
      </c>
      <c r="D220" s="67" t="s">
        <v>240</v>
      </c>
      <c r="E220" s="68"/>
      <c r="F220" s="65"/>
      <c r="G220" s="65"/>
      <c r="H220" s="65"/>
      <c r="I220" s="65"/>
      <c r="J220" s="79"/>
      <c r="K220" s="25"/>
    </row>
    <row r="221" spans="2:11" x14ac:dyDescent="0.25">
      <c r="B221" s="63"/>
      <c r="C221" s="66"/>
      <c r="D221" s="67"/>
      <c r="E221" s="68"/>
      <c r="F221" s="65"/>
      <c r="G221" s="65"/>
      <c r="H221" s="65"/>
      <c r="I221" s="65"/>
      <c r="J221" s="79"/>
      <c r="K221" s="25"/>
    </row>
    <row r="222" spans="2:11" x14ac:dyDescent="0.25">
      <c r="B222" s="69"/>
      <c r="C222" s="64"/>
      <c r="D222" s="65"/>
      <c r="E222" s="65"/>
      <c r="F222" s="65"/>
      <c r="G222" s="65"/>
      <c r="H222" s="65"/>
      <c r="I222" s="65"/>
      <c r="J222" s="79"/>
      <c r="K222" s="25"/>
    </row>
    <row r="223" spans="2:11" x14ac:dyDescent="0.25">
      <c r="B223" s="63" t="s">
        <v>241</v>
      </c>
      <c r="C223" s="66" t="s">
        <v>170</v>
      </c>
      <c r="D223" s="67" t="s">
        <v>242</v>
      </c>
      <c r="E223" s="68"/>
      <c r="F223" s="65"/>
      <c r="G223" s="65"/>
      <c r="H223" s="65"/>
      <c r="I223" s="65"/>
      <c r="J223" s="79"/>
      <c r="K223" s="25"/>
    </row>
    <row r="224" spans="2:11" x14ac:dyDescent="0.25">
      <c r="B224" s="63"/>
      <c r="C224" s="66"/>
      <c r="D224" s="67"/>
      <c r="E224" s="68"/>
      <c r="F224" s="65"/>
      <c r="G224" s="65"/>
      <c r="H224" s="65"/>
      <c r="I224" s="65"/>
      <c r="J224" s="79"/>
      <c r="K224" s="25"/>
    </row>
    <row r="225" spans="2:11" x14ac:dyDescent="0.25">
      <c r="B225" s="69"/>
      <c r="C225" s="64"/>
      <c r="D225" s="65"/>
      <c r="E225" s="65"/>
      <c r="F225" s="65"/>
      <c r="G225" s="65"/>
      <c r="H225" s="65"/>
      <c r="I225" s="65"/>
      <c r="J225" s="79"/>
      <c r="K225" s="25"/>
    </row>
    <row r="226" spans="2:11" ht="24" customHeight="1" x14ac:dyDescent="0.25">
      <c r="B226" s="63" t="s">
        <v>243</v>
      </c>
      <c r="C226" s="66" t="s">
        <v>170</v>
      </c>
      <c r="D226" s="109" t="s">
        <v>244</v>
      </c>
      <c r="E226" s="109"/>
      <c r="F226" s="109"/>
      <c r="G226" s="109"/>
      <c r="H226" s="109"/>
      <c r="I226" s="109"/>
      <c r="J226" s="110"/>
      <c r="K226" s="25"/>
    </row>
    <row r="227" spans="2:11" ht="21" customHeight="1" x14ac:dyDescent="0.25">
      <c r="B227" s="63"/>
      <c r="C227" s="66"/>
      <c r="D227" s="109"/>
      <c r="E227" s="109"/>
      <c r="F227" s="109"/>
      <c r="G227" s="109"/>
      <c r="H227" s="109"/>
      <c r="I227" s="109"/>
      <c r="J227" s="110"/>
      <c r="K227" s="25"/>
    </row>
    <row r="228" spans="2:11" x14ac:dyDescent="0.25">
      <c r="B228" s="69"/>
      <c r="C228" s="64"/>
      <c r="D228" s="65"/>
      <c r="E228" s="65"/>
      <c r="F228" s="65"/>
      <c r="G228" s="65"/>
      <c r="H228" s="65"/>
      <c r="I228" s="65"/>
      <c r="J228" s="79"/>
      <c r="K228" s="25"/>
    </row>
    <row r="229" spans="2:11" x14ac:dyDescent="0.25">
      <c r="B229" s="63" t="s">
        <v>245</v>
      </c>
      <c r="C229" s="66" t="s">
        <v>170</v>
      </c>
      <c r="D229" s="67" t="s">
        <v>246</v>
      </c>
      <c r="E229" s="68"/>
      <c r="F229" s="65"/>
      <c r="G229" s="65"/>
      <c r="H229" s="65"/>
      <c r="I229" s="65"/>
      <c r="J229" s="79"/>
      <c r="K229" s="25"/>
    </row>
    <row r="230" spans="2:11" x14ac:dyDescent="0.25">
      <c r="B230" s="63"/>
      <c r="C230" s="66"/>
      <c r="D230" s="67"/>
      <c r="E230" s="68"/>
      <c r="F230" s="65"/>
      <c r="G230" s="65"/>
      <c r="H230" s="65"/>
      <c r="I230" s="65"/>
      <c r="J230" s="79"/>
      <c r="K230" s="25"/>
    </row>
    <row r="231" spans="2:11" x14ac:dyDescent="0.25">
      <c r="B231" s="69"/>
      <c r="C231" s="64"/>
      <c r="D231" s="65"/>
      <c r="E231" s="65"/>
      <c r="F231" s="65"/>
      <c r="G231" s="65"/>
      <c r="H231" s="65"/>
      <c r="I231" s="65"/>
      <c r="J231" s="79"/>
      <c r="K231" s="25"/>
    </row>
    <row r="232" spans="2:11" x14ac:dyDescent="0.25">
      <c r="B232" s="63" t="s">
        <v>247</v>
      </c>
      <c r="C232" s="66" t="s">
        <v>170</v>
      </c>
      <c r="D232" s="109" t="s">
        <v>248</v>
      </c>
      <c r="E232" s="109"/>
      <c r="F232" s="109"/>
      <c r="G232" s="109"/>
      <c r="H232" s="109"/>
      <c r="I232" s="109"/>
      <c r="J232" s="110"/>
      <c r="K232" s="25"/>
    </row>
    <row r="233" spans="2:11" x14ac:dyDescent="0.25">
      <c r="B233" s="63"/>
      <c r="C233" s="66"/>
      <c r="D233" s="109"/>
      <c r="E233" s="109"/>
      <c r="F233" s="109"/>
      <c r="G233" s="109"/>
      <c r="H233" s="109"/>
      <c r="I233" s="109"/>
      <c r="J233" s="110"/>
      <c r="K233" s="25"/>
    </row>
    <row r="234" spans="2:11" x14ac:dyDescent="0.25">
      <c r="B234" s="69"/>
      <c r="C234" s="64"/>
      <c r="D234" s="65"/>
      <c r="E234" s="65"/>
      <c r="F234" s="65"/>
      <c r="G234" s="65"/>
      <c r="H234" s="65"/>
      <c r="I234" s="65"/>
      <c r="J234" s="79"/>
      <c r="K234" s="25"/>
    </row>
    <row r="235" spans="2:11" x14ac:dyDescent="0.25">
      <c r="B235" s="63" t="s">
        <v>249</v>
      </c>
      <c r="C235" s="66" t="s">
        <v>170</v>
      </c>
      <c r="D235" s="67" t="s">
        <v>250</v>
      </c>
      <c r="E235" s="68"/>
      <c r="F235" s="65"/>
      <c r="G235" s="65"/>
      <c r="H235" s="65"/>
      <c r="I235" s="65"/>
      <c r="J235" s="79"/>
      <c r="K235" s="25"/>
    </row>
    <row r="236" spans="2:11" x14ac:dyDescent="0.25">
      <c r="B236" s="63"/>
      <c r="C236" s="66"/>
      <c r="D236" s="67"/>
      <c r="E236" s="68"/>
      <c r="F236" s="65"/>
      <c r="G236" s="65"/>
      <c r="H236" s="65"/>
      <c r="I236" s="65"/>
      <c r="J236" s="79"/>
      <c r="K236" s="25"/>
    </row>
    <row r="237" spans="2:11" x14ac:dyDescent="0.25">
      <c r="B237" s="69"/>
      <c r="C237" s="64"/>
      <c r="D237" s="65"/>
      <c r="E237" s="65"/>
      <c r="F237" s="65"/>
      <c r="G237" s="65"/>
      <c r="H237" s="65"/>
      <c r="I237" s="65"/>
      <c r="J237" s="79"/>
      <c r="K237" s="25"/>
    </row>
    <row r="238" spans="2:11" x14ac:dyDescent="0.25">
      <c r="B238" s="63" t="s">
        <v>251</v>
      </c>
      <c r="C238" s="66" t="s">
        <v>170</v>
      </c>
      <c r="D238" s="67" t="s">
        <v>252</v>
      </c>
      <c r="E238" s="68"/>
      <c r="F238" s="65"/>
      <c r="G238" s="65"/>
      <c r="H238" s="65"/>
      <c r="I238" s="65"/>
      <c r="J238" s="79"/>
      <c r="K238" s="25"/>
    </row>
    <row r="239" spans="2:11" x14ac:dyDescent="0.25">
      <c r="B239" s="63"/>
      <c r="C239" s="66"/>
      <c r="D239" s="67"/>
      <c r="E239" s="68"/>
      <c r="F239" s="65"/>
      <c r="G239" s="65"/>
      <c r="H239" s="65"/>
      <c r="I239" s="65"/>
      <c r="J239" s="79"/>
      <c r="K239" s="25"/>
    </row>
    <row r="240" spans="2:11" x14ac:dyDescent="0.25">
      <c r="B240" s="69"/>
      <c r="C240" s="64"/>
      <c r="D240" s="65"/>
      <c r="E240" s="65"/>
      <c r="F240" s="65"/>
      <c r="G240" s="65"/>
      <c r="H240" s="65"/>
      <c r="I240" s="65"/>
      <c r="J240" s="79"/>
      <c r="K240" s="25"/>
    </row>
    <row r="241" spans="2:11" x14ac:dyDescent="0.25">
      <c r="B241" s="63" t="s">
        <v>253</v>
      </c>
      <c r="C241" s="66" t="s">
        <v>170</v>
      </c>
      <c r="D241" s="67" t="s">
        <v>254</v>
      </c>
      <c r="E241" s="68"/>
      <c r="F241" s="65"/>
      <c r="G241" s="65"/>
      <c r="H241" s="65"/>
      <c r="I241" s="65"/>
      <c r="J241" s="79"/>
      <c r="K241" s="25"/>
    </row>
    <row r="242" spans="2:11" x14ac:dyDescent="0.25">
      <c r="B242" s="63"/>
      <c r="C242" s="66"/>
      <c r="D242" s="67"/>
      <c r="E242" s="68"/>
      <c r="F242" s="65"/>
      <c r="G242" s="65"/>
      <c r="H242" s="65"/>
      <c r="I242" s="65"/>
      <c r="J242" s="79"/>
      <c r="K242" s="25"/>
    </row>
    <row r="243" spans="2:11" x14ac:dyDescent="0.25">
      <c r="B243" s="69"/>
      <c r="C243" s="64"/>
      <c r="D243" s="65"/>
      <c r="E243" s="65"/>
      <c r="F243" s="65"/>
      <c r="G243" s="65"/>
      <c r="H243" s="65"/>
      <c r="I243" s="65"/>
      <c r="J243" s="79"/>
      <c r="K243" s="25"/>
    </row>
    <row r="244" spans="2:11" x14ac:dyDescent="0.25">
      <c r="B244" s="63" t="s">
        <v>255</v>
      </c>
      <c r="C244" s="66" t="s">
        <v>170</v>
      </c>
      <c r="D244" s="67" t="s">
        <v>256</v>
      </c>
      <c r="E244" s="68"/>
      <c r="F244" s="65"/>
      <c r="G244" s="65"/>
      <c r="H244" s="65"/>
      <c r="I244" s="65"/>
      <c r="J244" s="79"/>
      <c r="K244" s="25"/>
    </row>
    <row r="245" spans="2:11" x14ac:dyDescent="0.25">
      <c r="B245" s="63"/>
      <c r="C245" s="66"/>
      <c r="D245" s="67"/>
      <c r="E245" s="68"/>
      <c r="F245" s="65"/>
      <c r="G245" s="65"/>
      <c r="H245" s="65"/>
      <c r="I245" s="65"/>
      <c r="J245" s="79"/>
      <c r="K245" s="25"/>
    </row>
    <row r="246" spans="2:11" x14ac:dyDescent="0.25">
      <c r="B246" s="69"/>
      <c r="C246" s="64"/>
      <c r="D246" s="65"/>
      <c r="E246" s="65"/>
      <c r="F246" s="65"/>
      <c r="G246" s="65"/>
      <c r="H246" s="65"/>
      <c r="I246" s="65"/>
      <c r="J246" s="79"/>
      <c r="K246" s="25"/>
    </row>
    <row r="247" spans="2:11" x14ac:dyDescent="0.25">
      <c r="B247" s="63" t="s">
        <v>257</v>
      </c>
      <c r="C247" s="66" t="s">
        <v>170</v>
      </c>
      <c r="D247" s="67" t="s">
        <v>258</v>
      </c>
      <c r="E247" s="68"/>
      <c r="F247" s="65"/>
      <c r="G247" s="65"/>
      <c r="H247" s="65"/>
      <c r="I247" s="65"/>
      <c r="J247" s="79"/>
      <c r="K247" s="25"/>
    </row>
    <row r="248" spans="2:11" x14ac:dyDescent="0.25">
      <c r="B248" s="63"/>
      <c r="C248" s="66"/>
      <c r="D248" s="67"/>
      <c r="E248" s="68"/>
      <c r="F248" s="65"/>
      <c r="G248" s="65"/>
      <c r="H248" s="65"/>
      <c r="I248" s="65"/>
      <c r="J248" s="79"/>
      <c r="K248" s="25"/>
    </row>
    <row r="249" spans="2:11" x14ac:dyDescent="0.25">
      <c r="B249" s="69"/>
      <c r="C249" s="64"/>
      <c r="D249" s="65"/>
      <c r="E249" s="65"/>
      <c r="F249" s="65"/>
      <c r="G249" s="65"/>
      <c r="H249" s="65"/>
      <c r="I249" s="65"/>
      <c r="J249" s="79"/>
      <c r="K249" s="25"/>
    </row>
    <row r="250" spans="2:11" x14ac:dyDescent="0.25">
      <c r="B250" s="63" t="s">
        <v>259</v>
      </c>
      <c r="C250" s="66" t="s">
        <v>170</v>
      </c>
      <c r="D250" s="103" t="s">
        <v>260</v>
      </c>
      <c r="E250" s="103"/>
      <c r="F250" s="103"/>
      <c r="G250" s="103"/>
      <c r="H250" s="103"/>
      <c r="I250" s="103"/>
      <c r="J250" s="104"/>
      <c r="K250" s="25"/>
    </row>
    <row r="251" spans="2:11" x14ac:dyDescent="0.25">
      <c r="B251" s="63"/>
      <c r="C251" s="66"/>
      <c r="D251" s="103"/>
      <c r="E251" s="103"/>
      <c r="F251" s="103"/>
      <c r="G251" s="103"/>
      <c r="H251" s="103"/>
      <c r="I251" s="103"/>
      <c r="J251" s="104"/>
      <c r="K251" s="25"/>
    </row>
    <row r="252" spans="2:11" x14ac:dyDescent="0.25">
      <c r="B252" s="69"/>
      <c r="C252" s="64"/>
      <c r="D252" s="65"/>
      <c r="E252" s="65"/>
      <c r="F252" s="65"/>
      <c r="G252" s="65"/>
      <c r="H252" s="65"/>
      <c r="I252" s="65"/>
      <c r="J252" s="79"/>
      <c r="K252" s="25"/>
    </row>
    <row r="253" spans="2:11" x14ac:dyDescent="0.25">
      <c r="B253" s="63" t="s">
        <v>261</v>
      </c>
      <c r="C253" s="66" t="s">
        <v>170</v>
      </c>
      <c r="D253" s="109" t="s">
        <v>262</v>
      </c>
      <c r="E253" s="109"/>
      <c r="F253" s="109"/>
      <c r="G253" s="109"/>
      <c r="H253" s="109"/>
      <c r="I253" s="109"/>
      <c r="J253" s="110"/>
      <c r="K253" s="25"/>
    </row>
    <row r="254" spans="2:11" x14ac:dyDescent="0.25">
      <c r="B254" s="63"/>
      <c r="C254" s="66"/>
      <c r="D254" s="109"/>
      <c r="E254" s="109"/>
      <c r="F254" s="109"/>
      <c r="G254" s="109"/>
      <c r="H254" s="109"/>
      <c r="I254" s="109"/>
      <c r="J254" s="110"/>
      <c r="K254" s="25"/>
    </row>
    <row r="255" spans="2:11" x14ac:dyDescent="0.25">
      <c r="B255" s="69"/>
      <c r="C255" s="64"/>
      <c r="D255" s="65"/>
      <c r="E255" s="65"/>
      <c r="F255" s="65"/>
      <c r="G255" s="65"/>
      <c r="H255" s="65"/>
      <c r="I255" s="65"/>
      <c r="J255" s="79"/>
      <c r="K255" s="25"/>
    </row>
    <row r="256" spans="2:11" x14ac:dyDescent="0.25">
      <c r="B256" s="63" t="s">
        <v>263</v>
      </c>
      <c r="C256" s="66" t="s">
        <v>170</v>
      </c>
      <c r="D256" s="109" t="s">
        <v>264</v>
      </c>
      <c r="E256" s="109"/>
      <c r="F256" s="109"/>
      <c r="G256" s="109"/>
      <c r="H256" s="109"/>
      <c r="I256" s="109"/>
      <c r="J256" s="110"/>
      <c r="K256" s="25"/>
    </row>
    <row r="257" spans="2:11" x14ac:dyDescent="0.25">
      <c r="B257" s="63"/>
      <c r="C257" s="66"/>
      <c r="D257" s="109"/>
      <c r="E257" s="109"/>
      <c r="F257" s="109"/>
      <c r="G257" s="109"/>
      <c r="H257" s="109"/>
      <c r="I257" s="109"/>
      <c r="J257" s="110"/>
      <c r="K257" s="25"/>
    </row>
    <row r="258" spans="2:11" x14ac:dyDescent="0.25">
      <c r="B258" s="69"/>
      <c r="C258" s="64"/>
      <c r="D258" s="109"/>
      <c r="E258" s="109"/>
      <c r="F258" s="109"/>
      <c r="G258" s="109"/>
      <c r="H258" s="109"/>
      <c r="I258" s="109"/>
      <c r="J258" s="110"/>
      <c r="K258" s="25"/>
    </row>
    <row r="259" spans="2:11" x14ac:dyDescent="0.25">
      <c r="B259" s="63" t="s">
        <v>265</v>
      </c>
      <c r="C259" s="66" t="s">
        <v>170</v>
      </c>
      <c r="D259" s="67" t="s">
        <v>266</v>
      </c>
      <c r="E259" s="68"/>
      <c r="F259" s="65"/>
      <c r="G259" s="65"/>
      <c r="H259" s="65"/>
      <c r="I259" s="65"/>
      <c r="J259" s="79"/>
      <c r="K259" s="25"/>
    </row>
    <row r="260" spans="2:11" x14ac:dyDescent="0.25">
      <c r="B260" s="63"/>
      <c r="C260" s="66"/>
      <c r="D260" s="67"/>
      <c r="E260" s="68"/>
      <c r="F260" s="65" t="s">
        <v>230</v>
      </c>
      <c r="G260" s="65"/>
      <c r="H260" s="65"/>
      <c r="I260" s="65"/>
      <c r="J260" s="79"/>
      <c r="K260" s="25"/>
    </row>
    <row r="261" spans="2:11" x14ac:dyDescent="0.25">
      <c r="B261" s="69"/>
      <c r="C261" s="64"/>
      <c r="D261" s="65"/>
      <c r="E261" s="65"/>
      <c r="F261" s="65"/>
      <c r="G261" s="65"/>
      <c r="H261" s="65"/>
      <c r="I261" s="65"/>
      <c r="J261" s="79"/>
      <c r="K261" s="25"/>
    </row>
    <row r="262" spans="2:11" x14ac:dyDescent="0.25">
      <c r="B262" s="88" t="s">
        <v>267</v>
      </c>
      <c r="C262" s="89" t="s">
        <v>170</v>
      </c>
      <c r="D262" s="90" t="s">
        <v>268</v>
      </c>
      <c r="E262" s="91"/>
      <c r="F262" s="92"/>
      <c r="G262" s="92"/>
      <c r="H262" s="92"/>
      <c r="I262" s="92"/>
      <c r="J262" s="79"/>
      <c r="K262" s="25"/>
    </row>
    <row r="263" spans="2:11" x14ac:dyDescent="0.25">
      <c r="B263" s="63"/>
      <c r="C263" s="66"/>
      <c r="D263" s="67"/>
      <c r="E263" s="68"/>
      <c r="F263" s="65" t="s">
        <v>230</v>
      </c>
      <c r="G263" s="65"/>
      <c r="H263" s="65"/>
      <c r="I263" s="65"/>
      <c r="J263" s="79"/>
      <c r="K263" s="25"/>
    </row>
    <row r="264" spans="2:11" x14ac:dyDescent="0.25">
      <c r="B264" s="69"/>
      <c r="C264" s="64"/>
      <c r="D264" s="65"/>
      <c r="E264" s="65"/>
      <c r="F264" s="65"/>
      <c r="G264" s="65"/>
      <c r="H264" s="65"/>
      <c r="I264" s="65"/>
      <c r="J264" s="79"/>
      <c r="K264" s="25"/>
    </row>
    <row r="265" spans="2:11" x14ac:dyDescent="0.25">
      <c r="B265" s="63" t="s">
        <v>269</v>
      </c>
      <c r="C265" s="66" t="s">
        <v>170</v>
      </c>
      <c r="D265" s="67" t="s">
        <v>270</v>
      </c>
      <c r="E265" s="68"/>
      <c r="F265" s="65"/>
      <c r="G265" s="65"/>
      <c r="H265" s="65"/>
      <c r="I265" s="65"/>
      <c r="J265" s="79"/>
      <c r="K265" s="25"/>
    </row>
    <row r="266" spans="2:11" x14ac:dyDescent="0.25">
      <c r="B266" s="63"/>
      <c r="C266" s="66"/>
      <c r="D266" s="67"/>
      <c r="E266" s="68"/>
      <c r="F266" s="65"/>
      <c r="G266" s="65"/>
      <c r="H266" s="65"/>
      <c r="I266" s="65"/>
      <c r="J266" s="79"/>
      <c r="K266" s="25"/>
    </row>
    <row r="267" spans="2:11" x14ac:dyDescent="0.25">
      <c r="B267" s="69"/>
      <c r="C267" s="64"/>
      <c r="D267" s="65"/>
      <c r="E267" s="65"/>
      <c r="F267" s="65"/>
      <c r="G267" s="65"/>
      <c r="H267" s="65"/>
      <c r="I267" s="65"/>
      <c r="J267" s="79"/>
      <c r="K267" s="25"/>
    </row>
    <row r="268" spans="2:11" x14ac:dyDescent="0.25">
      <c r="B268" s="63" t="s">
        <v>271</v>
      </c>
      <c r="C268" s="66" t="s">
        <v>170</v>
      </c>
      <c r="D268" s="111" t="s">
        <v>272</v>
      </c>
      <c r="E268" s="111"/>
      <c r="F268" s="111"/>
      <c r="G268" s="111"/>
      <c r="H268" s="111"/>
      <c r="I268" s="111"/>
      <c r="J268" s="112"/>
      <c r="K268" s="25"/>
    </row>
    <row r="269" spans="2:11" x14ac:dyDescent="0.25">
      <c r="B269" s="63"/>
      <c r="C269" s="66"/>
      <c r="D269" s="111"/>
      <c r="E269" s="111"/>
      <c r="F269" s="111"/>
      <c r="G269" s="111"/>
      <c r="H269" s="111"/>
      <c r="I269" s="111"/>
      <c r="J269" s="112"/>
      <c r="K269" s="25"/>
    </row>
    <row r="270" spans="2:11" x14ac:dyDescent="0.25">
      <c r="B270" s="69"/>
      <c r="C270" s="64"/>
      <c r="D270" s="65"/>
      <c r="E270" s="65"/>
      <c r="F270" s="65"/>
      <c r="G270" s="65"/>
      <c r="H270" s="65"/>
      <c r="I270" s="65"/>
      <c r="J270" s="79"/>
      <c r="K270" s="25"/>
    </row>
    <row r="271" spans="2:11" x14ac:dyDescent="0.25">
      <c r="B271" s="63" t="s">
        <v>273</v>
      </c>
      <c r="C271" s="66" t="s">
        <v>170</v>
      </c>
      <c r="D271" s="67" t="s">
        <v>274</v>
      </c>
      <c r="E271" s="68"/>
      <c r="F271" s="65"/>
      <c r="G271" s="65"/>
      <c r="H271" s="65"/>
      <c r="I271" s="65"/>
      <c r="J271" s="79"/>
      <c r="K271" s="25"/>
    </row>
    <row r="272" spans="2:11" x14ac:dyDescent="0.25">
      <c r="B272" s="63"/>
      <c r="C272" s="66"/>
      <c r="D272" s="67"/>
      <c r="E272" s="68"/>
      <c r="F272" s="65"/>
      <c r="G272" s="65"/>
      <c r="H272" s="65"/>
      <c r="I272" s="65"/>
      <c r="J272" s="79"/>
      <c r="K272" s="25"/>
    </row>
    <row r="273" spans="2:11" x14ac:dyDescent="0.25">
      <c r="B273" s="69"/>
      <c r="C273" s="64"/>
      <c r="D273" s="65"/>
      <c r="E273" s="65"/>
      <c r="F273" s="65"/>
      <c r="G273" s="65"/>
      <c r="H273" s="65"/>
      <c r="I273" s="65"/>
      <c r="J273" s="79"/>
      <c r="K273" s="25"/>
    </row>
    <row r="274" spans="2:11" x14ac:dyDescent="0.25">
      <c r="B274" s="63" t="s">
        <v>275</v>
      </c>
      <c r="C274" s="66" t="s">
        <v>170</v>
      </c>
      <c r="D274" s="67" t="s">
        <v>276</v>
      </c>
      <c r="E274" s="68"/>
      <c r="F274" s="65"/>
      <c r="G274" s="65"/>
      <c r="H274" s="65"/>
      <c r="I274" s="65"/>
      <c r="J274" s="79"/>
      <c r="K274" s="25"/>
    </row>
    <row r="275" spans="2:11" x14ac:dyDescent="0.25">
      <c r="B275" s="63"/>
      <c r="C275" s="66"/>
      <c r="D275" s="67"/>
      <c r="E275" s="68"/>
      <c r="F275" s="65"/>
      <c r="G275" s="65"/>
      <c r="H275" s="65"/>
      <c r="I275" s="65"/>
      <c r="J275" s="79"/>
      <c r="K275" s="25"/>
    </row>
    <row r="276" spans="2:11" x14ac:dyDescent="0.25">
      <c r="B276" s="69"/>
      <c r="C276" s="64"/>
      <c r="D276" s="65"/>
      <c r="E276" s="65"/>
      <c r="F276" s="65"/>
      <c r="G276" s="65"/>
      <c r="H276" s="65"/>
      <c r="I276" s="65"/>
      <c r="J276" s="79"/>
      <c r="K276" s="25"/>
    </row>
    <row r="277" spans="2:11" x14ac:dyDescent="0.25">
      <c r="B277" s="63" t="s">
        <v>277</v>
      </c>
      <c r="C277" s="66" t="s">
        <v>170</v>
      </c>
      <c r="D277" s="67" t="s">
        <v>278</v>
      </c>
      <c r="E277" s="68"/>
      <c r="F277" s="65"/>
      <c r="G277" s="65"/>
      <c r="H277" s="65"/>
      <c r="I277" s="65"/>
      <c r="J277" s="79"/>
      <c r="K277" s="25"/>
    </row>
    <row r="278" spans="2:11" x14ac:dyDescent="0.25">
      <c r="B278" s="63"/>
      <c r="C278" s="66"/>
      <c r="D278" s="67"/>
      <c r="E278" s="68"/>
      <c r="F278" s="65"/>
      <c r="G278" s="65"/>
      <c r="H278" s="65"/>
      <c r="I278" s="65"/>
      <c r="J278" s="79"/>
      <c r="K278" s="25"/>
    </row>
    <row r="279" spans="2:11" x14ac:dyDescent="0.25">
      <c r="B279" s="69"/>
      <c r="C279" s="64"/>
      <c r="D279" s="65"/>
      <c r="E279" s="65"/>
      <c r="F279" s="65"/>
      <c r="G279" s="65"/>
      <c r="H279" s="65"/>
      <c r="I279" s="65"/>
      <c r="J279" s="79"/>
      <c r="K279" s="25"/>
    </row>
    <row r="280" spans="2:11" x14ac:dyDescent="0.25">
      <c r="B280" s="63" t="s">
        <v>279</v>
      </c>
      <c r="C280" s="66" t="s">
        <v>170</v>
      </c>
      <c r="D280" s="67" t="s">
        <v>280</v>
      </c>
      <c r="E280" s="68"/>
      <c r="F280" s="65"/>
      <c r="G280" s="65"/>
      <c r="H280" s="65"/>
      <c r="I280" s="65"/>
      <c r="J280" s="79"/>
      <c r="K280" s="25"/>
    </row>
    <row r="281" spans="2:11" x14ac:dyDescent="0.25">
      <c r="B281" s="63"/>
      <c r="C281" s="66"/>
      <c r="D281" s="67"/>
      <c r="E281" s="68"/>
      <c r="F281" s="65"/>
      <c r="G281" s="65"/>
      <c r="H281" s="65"/>
      <c r="I281" s="65"/>
      <c r="J281" s="79"/>
      <c r="K281" s="25"/>
    </row>
    <row r="282" spans="2:11" x14ac:dyDescent="0.25">
      <c r="B282" s="69"/>
      <c r="C282" s="64"/>
      <c r="D282" s="65"/>
      <c r="E282" s="65"/>
      <c r="F282" s="65"/>
      <c r="G282" s="65"/>
      <c r="H282" s="65"/>
      <c r="I282" s="65"/>
      <c r="J282" s="79"/>
      <c r="K282" s="25"/>
    </row>
    <row r="283" spans="2:11" x14ac:dyDescent="0.25">
      <c r="B283" s="63" t="s">
        <v>281</v>
      </c>
      <c r="C283" s="66" t="s">
        <v>170</v>
      </c>
      <c r="D283" s="67" t="s">
        <v>282</v>
      </c>
      <c r="E283" s="68"/>
      <c r="F283" s="65"/>
      <c r="G283" s="65"/>
      <c r="H283" s="65"/>
      <c r="I283" s="65"/>
      <c r="J283" s="79"/>
      <c r="K283" s="25"/>
    </row>
    <row r="284" spans="2:11" x14ac:dyDescent="0.25">
      <c r="B284" s="63"/>
      <c r="C284" s="66"/>
      <c r="D284" s="67"/>
      <c r="E284" s="68"/>
      <c r="F284" s="65"/>
      <c r="G284" s="65"/>
      <c r="H284" s="65"/>
      <c r="I284" s="65"/>
      <c r="J284" s="79"/>
      <c r="K284" s="25"/>
    </row>
    <row r="285" spans="2:11" x14ac:dyDescent="0.25">
      <c r="B285" s="69"/>
      <c r="C285" s="64"/>
      <c r="D285" s="65"/>
      <c r="E285" s="65"/>
      <c r="F285" s="65"/>
      <c r="G285" s="65"/>
      <c r="H285" s="65"/>
      <c r="I285" s="65"/>
      <c r="J285" s="79"/>
      <c r="K285" s="25"/>
    </row>
    <row r="286" spans="2:11" x14ac:dyDescent="0.25">
      <c r="B286" s="63" t="s">
        <v>283</v>
      </c>
      <c r="C286" s="66" t="s">
        <v>170</v>
      </c>
      <c r="D286" s="67" t="s">
        <v>284</v>
      </c>
      <c r="E286" s="68"/>
      <c r="F286" s="65"/>
      <c r="G286" s="65"/>
      <c r="H286" s="65"/>
      <c r="I286" s="65"/>
      <c r="J286" s="79"/>
      <c r="K286" s="25"/>
    </row>
    <row r="287" spans="2:11" x14ac:dyDescent="0.25">
      <c r="B287" s="63"/>
      <c r="C287" s="66"/>
      <c r="D287" s="67"/>
      <c r="E287" s="68"/>
      <c r="F287" s="65"/>
      <c r="G287" s="65"/>
      <c r="H287" s="65"/>
      <c r="I287" s="65"/>
      <c r="J287" s="79"/>
      <c r="K287" s="25"/>
    </row>
    <row r="288" spans="2:11" x14ac:dyDescent="0.25">
      <c r="B288" s="69"/>
      <c r="C288" s="64"/>
      <c r="D288" s="65"/>
      <c r="E288" s="65"/>
      <c r="F288" s="65"/>
      <c r="G288" s="65"/>
      <c r="H288" s="65"/>
      <c r="I288" s="65"/>
      <c r="J288" s="79"/>
      <c r="K288" s="25"/>
    </row>
    <row r="289" spans="2:11" x14ac:dyDescent="0.25">
      <c r="B289" s="63" t="s">
        <v>285</v>
      </c>
      <c r="C289" s="66" t="s">
        <v>170</v>
      </c>
      <c r="D289" s="67" t="s">
        <v>286</v>
      </c>
      <c r="E289" s="68"/>
      <c r="F289" s="65"/>
      <c r="G289" s="65"/>
      <c r="H289" s="65"/>
      <c r="I289" s="65"/>
      <c r="J289" s="79"/>
      <c r="K289" s="25"/>
    </row>
    <row r="290" spans="2:11" x14ac:dyDescent="0.25">
      <c r="B290" s="63"/>
      <c r="C290" s="66"/>
      <c r="D290" s="67"/>
      <c r="E290" s="68"/>
      <c r="F290" s="65"/>
      <c r="G290" s="65"/>
      <c r="H290" s="65"/>
      <c r="I290" s="65"/>
      <c r="J290" s="79"/>
      <c r="K290" s="25"/>
    </row>
    <row r="291" spans="2:11" x14ac:dyDescent="0.25">
      <c r="B291" s="69"/>
      <c r="C291" s="64"/>
      <c r="D291" s="65"/>
      <c r="E291" s="65"/>
      <c r="F291" s="65"/>
      <c r="G291" s="65"/>
      <c r="H291" s="65"/>
      <c r="I291" s="65"/>
      <c r="J291" s="79"/>
      <c r="K291" s="25"/>
    </row>
    <row r="292" spans="2:11" x14ac:dyDescent="0.25">
      <c r="B292" s="63" t="s">
        <v>287</v>
      </c>
      <c r="C292" s="66" t="s">
        <v>170</v>
      </c>
      <c r="D292" s="67" t="s">
        <v>288</v>
      </c>
      <c r="E292" s="68"/>
      <c r="F292" s="65"/>
      <c r="G292" s="65"/>
      <c r="H292" s="65"/>
      <c r="I292" s="65"/>
      <c r="J292" s="79"/>
      <c r="K292" s="25"/>
    </row>
    <row r="293" spans="2:11" x14ac:dyDescent="0.25">
      <c r="B293" s="63"/>
      <c r="C293" s="66"/>
      <c r="D293" s="67"/>
      <c r="E293" s="68"/>
      <c r="F293" s="65"/>
      <c r="G293" s="65"/>
      <c r="H293" s="65"/>
      <c r="I293" s="65"/>
      <c r="J293" s="79"/>
      <c r="K293" s="25"/>
    </row>
    <row r="294" spans="2:11" x14ac:dyDescent="0.25">
      <c r="B294" s="69"/>
      <c r="C294" s="64"/>
      <c r="D294" s="65"/>
      <c r="E294" s="65"/>
      <c r="F294" s="65"/>
      <c r="G294" s="65"/>
      <c r="H294" s="65"/>
      <c r="I294" s="65"/>
      <c r="J294" s="79"/>
      <c r="K294" s="25"/>
    </row>
    <row r="295" spans="2:11" x14ac:dyDescent="0.25">
      <c r="B295" s="63" t="s">
        <v>289</v>
      </c>
      <c r="C295" s="66" t="s">
        <v>170</v>
      </c>
      <c r="D295" s="103" t="s">
        <v>290</v>
      </c>
      <c r="E295" s="103"/>
      <c r="F295" s="103"/>
      <c r="G295" s="103"/>
      <c r="H295" s="103"/>
      <c r="I295" s="103"/>
      <c r="J295" s="104"/>
      <c r="K295" s="25"/>
    </row>
    <row r="296" spans="2:11" x14ac:dyDescent="0.25">
      <c r="B296" s="63"/>
      <c r="C296" s="66"/>
      <c r="D296" s="103"/>
      <c r="E296" s="103"/>
      <c r="F296" s="103"/>
      <c r="G296" s="103"/>
      <c r="H296" s="103"/>
      <c r="I296" s="103"/>
      <c r="J296" s="104"/>
      <c r="K296" s="25"/>
    </row>
    <row r="297" spans="2:11" x14ac:dyDescent="0.25">
      <c r="B297" s="69"/>
      <c r="C297" s="64"/>
      <c r="D297" s="65"/>
      <c r="E297" s="65"/>
      <c r="F297" s="65"/>
      <c r="G297" s="65"/>
      <c r="H297" s="65"/>
      <c r="I297" s="65"/>
      <c r="J297" s="79"/>
      <c r="K297" s="25"/>
    </row>
    <row r="298" spans="2:11" x14ac:dyDescent="0.25">
      <c r="B298" s="63" t="s">
        <v>291</v>
      </c>
      <c r="C298" s="66" t="s">
        <v>170</v>
      </c>
      <c r="D298" s="67" t="s">
        <v>292</v>
      </c>
      <c r="E298" s="68"/>
      <c r="F298" s="65"/>
      <c r="G298" s="65"/>
      <c r="H298" s="65"/>
      <c r="I298" s="65"/>
      <c r="J298" s="79"/>
      <c r="K298" s="25"/>
    </row>
    <row r="299" spans="2:11" x14ac:dyDescent="0.25">
      <c r="B299" s="63"/>
      <c r="C299" s="66"/>
      <c r="D299" s="67"/>
      <c r="E299" s="68"/>
      <c r="F299" s="65"/>
      <c r="G299" s="65"/>
      <c r="H299" s="65"/>
      <c r="I299" s="65"/>
      <c r="J299" s="79"/>
      <c r="K299" s="25"/>
    </row>
    <row r="300" spans="2:11" x14ac:dyDescent="0.25">
      <c r="B300" s="69"/>
      <c r="C300" s="64"/>
      <c r="D300" s="65"/>
      <c r="E300" s="65"/>
      <c r="F300" s="65"/>
      <c r="G300" s="65"/>
      <c r="H300" s="65"/>
      <c r="I300" s="65"/>
      <c r="J300" s="79"/>
      <c r="K300" s="25"/>
    </row>
    <row r="301" spans="2:11" x14ac:dyDescent="0.25">
      <c r="B301" s="88" t="s">
        <v>293</v>
      </c>
      <c r="C301" s="89" t="s">
        <v>170</v>
      </c>
      <c r="D301" s="105" t="s">
        <v>294</v>
      </c>
      <c r="E301" s="105"/>
      <c r="F301" s="105"/>
      <c r="G301" s="105"/>
      <c r="H301" s="105"/>
      <c r="I301" s="105"/>
      <c r="J301" s="106"/>
      <c r="K301" s="25"/>
    </row>
    <row r="302" spans="2:11" x14ac:dyDescent="0.25">
      <c r="B302" s="88"/>
      <c r="C302" s="89"/>
      <c r="D302" s="105"/>
      <c r="E302" s="105"/>
      <c r="F302" s="105"/>
      <c r="G302" s="105"/>
      <c r="H302" s="105"/>
      <c r="I302" s="105"/>
      <c r="J302" s="106"/>
      <c r="K302" s="25"/>
    </row>
    <row r="303" spans="2:11" x14ac:dyDescent="0.25">
      <c r="B303" s="69"/>
      <c r="C303" s="64"/>
      <c r="D303" s="65"/>
      <c r="E303" s="65"/>
      <c r="F303" s="65"/>
      <c r="G303" s="65"/>
      <c r="H303" s="65"/>
      <c r="I303" s="65"/>
      <c r="J303" s="79"/>
      <c r="K303" s="25"/>
    </row>
    <row r="304" spans="2:11" x14ac:dyDescent="0.25">
      <c r="B304" s="63" t="s">
        <v>295</v>
      </c>
      <c r="C304" s="66" t="s">
        <v>170</v>
      </c>
      <c r="D304" s="67" t="s">
        <v>296</v>
      </c>
      <c r="E304" s="68"/>
      <c r="F304" s="65"/>
      <c r="G304" s="65"/>
      <c r="H304" s="65"/>
      <c r="I304" s="65"/>
      <c r="J304" s="79"/>
      <c r="K304" s="25"/>
    </row>
    <row r="305" spans="2:11" x14ac:dyDescent="0.25">
      <c r="B305" s="63"/>
      <c r="C305" s="66"/>
      <c r="D305" s="67"/>
      <c r="E305" s="68"/>
      <c r="F305" s="65"/>
      <c r="G305" s="65"/>
      <c r="H305" s="65"/>
      <c r="I305" s="65"/>
      <c r="J305" s="79"/>
      <c r="K305" s="25"/>
    </row>
    <row r="306" spans="2:11" x14ac:dyDescent="0.25">
      <c r="B306" s="69"/>
      <c r="C306" s="64"/>
      <c r="D306" s="65"/>
      <c r="E306" s="65"/>
      <c r="F306" s="65"/>
      <c r="G306" s="65"/>
      <c r="H306" s="65"/>
      <c r="I306" s="65"/>
      <c r="J306" s="79"/>
      <c r="K306" s="25"/>
    </row>
    <row r="307" spans="2:11" x14ac:dyDescent="0.25">
      <c r="B307" s="63" t="s">
        <v>297</v>
      </c>
      <c r="C307" s="66" t="s">
        <v>170</v>
      </c>
      <c r="D307" s="103" t="s">
        <v>298</v>
      </c>
      <c r="E307" s="103"/>
      <c r="F307" s="103"/>
      <c r="G307" s="103"/>
      <c r="H307" s="103"/>
      <c r="I307" s="103"/>
      <c r="J307" s="104"/>
      <c r="K307" s="25"/>
    </row>
    <row r="308" spans="2:11" x14ac:dyDescent="0.25">
      <c r="B308" s="63"/>
      <c r="C308" s="66"/>
      <c r="D308" s="103"/>
      <c r="E308" s="103"/>
      <c r="F308" s="103"/>
      <c r="G308" s="103"/>
      <c r="H308" s="103"/>
      <c r="I308" s="103"/>
      <c r="J308" s="104"/>
      <c r="K308" s="25"/>
    </row>
    <row r="309" spans="2:11" x14ac:dyDescent="0.25">
      <c r="B309" s="69"/>
      <c r="C309" s="64"/>
      <c r="D309" s="65"/>
      <c r="E309" s="65"/>
      <c r="F309" s="65"/>
      <c r="G309" s="65"/>
      <c r="H309" s="65"/>
      <c r="I309" s="65"/>
      <c r="J309" s="79"/>
      <c r="K309" s="25"/>
    </row>
    <row r="310" spans="2:11" x14ac:dyDescent="0.25">
      <c r="B310" s="63" t="s">
        <v>299</v>
      </c>
      <c r="C310" s="66" t="s">
        <v>170</v>
      </c>
      <c r="D310" s="103" t="s">
        <v>300</v>
      </c>
      <c r="E310" s="103"/>
      <c r="F310" s="103"/>
      <c r="G310" s="103"/>
      <c r="H310" s="103"/>
      <c r="I310" s="103"/>
      <c r="J310" s="104"/>
      <c r="K310" s="25"/>
    </row>
    <row r="311" spans="2:11" x14ac:dyDescent="0.25">
      <c r="B311" s="63"/>
      <c r="C311" s="66"/>
      <c r="D311" s="103"/>
      <c r="E311" s="103"/>
      <c r="F311" s="103"/>
      <c r="G311" s="103"/>
      <c r="H311" s="103"/>
      <c r="I311" s="103"/>
      <c r="J311" s="104"/>
      <c r="K311" s="25"/>
    </row>
    <row r="312" spans="2:11" x14ac:dyDescent="0.25">
      <c r="B312" s="69"/>
      <c r="C312" s="64"/>
      <c r="D312" s="65"/>
      <c r="E312" s="65"/>
      <c r="F312" s="65"/>
      <c r="G312" s="65"/>
      <c r="H312" s="65"/>
      <c r="I312" s="65"/>
      <c r="J312" s="79"/>
      <c r="K312" s="25"/>
    </row>
    <row r="313" spans="2:11" x14ac:dyDescent="0.25">
      <c r="B313" s="63" t="s">
        <v>301</v>
      </c>
      <c r="C313" s="66" t="s">
        <v>170</v>
      </c>
      <c r="D313" s="67" t="s">
        <v>302</v>
      </c>
      <c r="E313" s="68"/>
      <c r="F313" s="65"/>
      <c r="G313" s="65"/>
      <c r="H313" s="65"/>
      <c r="I313" s="65"/>
      <c r="J313" s="79"/>
      <c r="K313" s="25"/>
    </row>
    <row r="314" spans="2:11" x14ac:dyDescent="0.25">
      <c r="B314" s="63"/>
      <c r="C314" s="66"/>
      <c r="D314" s="67"/>
      <c r="E314" s="68"/>
      <c r="F314" s="65"/>
      <c r="G314" s="65"/>
      <c r="H314" s="65"/>
      <c r="I314" s="65"/>
      <c r="J314" s="79"/>
      <c r="K314" s="25"/>
    </row>
    <row r="315" spans="2:11" x14ac:dyDescent="0.25">
      <c r="B315" s="69"/>
      <c r="C315" s="64"/>
      <c r="D315" s="65"/>
      <c r="E315" s="65"/>
      <c r="F315" s="65"/>
      <c r="G315" s="65"/>
      <c r="H315" s="65"/>
      <c r="I315" s="65"/>
      <c r="J315" s="79"/>
      <c r="K315" s="25"/>
    </row>
    <row r="316" spans="2:11" x14ac:dyDescent="0.25">
      <c r="B316" s="63" t="s">
        <v>303</v>
      </c>
      <c r="C316" s="66" t="s">
        <v>170</v>
      </c>
      <c r="D316" s="103" t="s">
        <v>304</v>
      </c>
      <c r="E316" s="103"/>
      <c r="F316" s="103"/>
      <c r="G316" s="103"/>
      <c r="H316" s="103"/>
      <c r="I316" s="103"/>
      <c r="J316" s="104"/>
      <c r="K316" s="25"/>
    </row>
    <row r="317" spans="2:11" x14ac:dyDescent="0.25">
      <c r="B317" s="63"/>
      <c r="C317" s="66"/>
      <c r="D317" s="103"/>
      <c r="E317" s="103"/>
      <c r="F317" s="103"/>
      <c r="G317" s="103"/>
      <c r="H317" s="103"/>
      <c r="I317" s="103"/>
      <c r="J317" s="104"/>
      <c r="K317" s="25"/>
    </row>
    <row r="318" spans="2:11" x14ac:dyDescent="0.25">
      <c r="B318" s="69"/>
      <c r="C318" s="64"/>
      <c r="D318" s="65"/>
      <c r="E318" s="65"/>
      <c r="F318" s="65"/>
      <c r="G318" s="65"/>
      <c r="H318" s="65"/>
      <c r="I318" s="65"/>
      <c r="J318" s="79"/>
      <c r="K318" s="25"/>
    </row>
    <row r="319" spans="2:11" x14ac:dyDescent="0.25">
      <c r="B319" s="63" t="s">
        <v>305</v>
      </c>
      <c r="C319" s="66" t="s">
        <v>170</v>
      </c>
      <c r="D319" s="103" t="s">
        <v>306</v>
      </c>
      <c r="E319" s="103"/>
      <c r="F319" s="103"/>
      <c r="G319" s="103"/>
      <c r="H319" s="103"/>
      <c r="I319" s="103"/>
      <c r="J319" s="104"/>
      <c r="K319" s="25"/>
    </row>
    <row r="320" spans="2:11" x14ac:dyDescent="0.25">
      <c r="B320" s="63"/>
      <c r="C320" s="66"/>
      <c r="D320" s="103"/>
      <c r="E320" s="103"/>
      <c r="F320" s="103"/>
      <c r="G320" s="103"/>
      <c r="H320" s="103"/>
      <c r="I320" s="103"/>
      <c r="J320" s="104"/>
      <c r="K320" s="25"/>
    </row>
    <row r="321" spans="2:11" x14ac:dyDescent="0.25">
      <c r="B321" s="69"/>
      <c r="C321" s="64"/>
      <c r="D321" s="65"/>
      <c r="E321" s="65"/>
      <c r="F321" s="65"/>
      <c r="G321" s="65"/>
      <c r="H321" s="65"/>
      <c r="I321" s="65"/>
      <c r="J321" s="79"/>
      <c r="K321" s="25"/>
    </row>
    <row r="322" spans="2:11" x14ac:dyDescent="0.25">
      <c r="B322" s="88" t="s">
        <v>307</v>
      </c>
      <c r="C322" s="89" t="s">
        <v>170</v>
      </c>
      <c r="D322" s="90" t="s">
        <v>308</v>
      </c>
      <c r="E322" s="91"/>
      <c r="F322" s="92"/>
      <c r="G322" s="92"/>
      <c r="H322" s="92"/>
      <c r="I322" s="92"/>
      <c r="J322" s="79"/>
      <c r="K322" s="25"/>
    </row>
    <row r="323" spans="2:11" x14ac:dyDescent="0.25">
      <c r="B323" s="63"/>
      <c r="C323" s="66"/>
      <c r="D323" s="67"/>
      <c r="E323" s="68"/>
      <c r="F323" s="65"/>
      <c r="G323" s="65"/>
      <c r="H323" s="65"/>
      <c r="I323" s="65"/>
      <c r="J323" s="79"/>
      <c r="K323" s="25"/>
    </row>
    <row r="324" spans="2:11" x14ac:dyDescent="0.25">
      <c r="B324" s="69"/>
      <c r="C324" s="64"/>
      <c r="D324" s="65"/>
      <c r="E324" s="65"/>
      <c r="F324" s="65"/>
      <c r="G324" s="65"/>
      <c r="H324" s="65"/>
      <c r="I324" s="65"/>
      <c r="J324" s="79"/>
      <c r="K324" s="25"/>
    </row>
    <row r="325" spans="2:11" x14ac:dyDescent="0.25">
      <c r="B325" s="63" t="s">
        <v>309</v>
      </c>
      <c r="C325" s="66" t="s">
        <v>170</v>
      </c>
      <c r="D325" s="67" t="s">
        <v>310</v>
      </c>
      <c r="E325" s="68"/>
      <c r="F325" s="65"/>
      <c r="G325" s="65"/>
      <c r="H325" s="65"/>
      <c r="I325" s="65"/>
      <c r="J325" s="79"/>
      <c r="K325" s="25"/>
    </row>
    <row r="326" spans="2:11" x14ac:dyDescent="0.25">
      <c r="B326" s="63"/>
      <c r="C326" s="66"/>
      <c r="D326" s="67"/>
      <c r="E326" s="68"/>
      <c r="F326" s="65"/>
      <c r="G326" s="65"/>
      <c r="H326" s="65"/>
      <c r="I326" s="65"/>
      <c r="J326" s="79"/>
      <c r="K326" s="25"/>
    </row>
    <row r="327" spans="2:11" x14ac:dyDescent="0.25">
      <c r="B327" s="69"/>
      <c r="C327" s="64"/>
      <c r="D327" s="65"/>
      <c r="E327" s="65"/>
      <c r="F327" s="65"/>
      <c r="G327" s="65"/>
      <c r="H327" s="65"/>
      <c r="I327" s="65"/>
      <c r="J327" s="79"/>
      <c r="K327" s="25"/>
    </row>
    <row r="328" spans="2:11" x14ac:dyDescent="0.25">
      <c r="B328" s="63" t="s">
        <v>311</v>
      </c>
      <c r="C328" s="66" t="s">
        <v>170</v>
      </c>
      <c r="D328" s="109" t="s">
        <v>312</v>
      </c>
      <c r="E328" s="109"/>
      <c r="F328" s="109"/>
      <c r="G328" s="109"/>
      <c r="H328" s="109"/>
      <c r="I328" s="109"/>
      <c r="J328" s="110"/>
      <c r="K328" s="25"/>
    </row>
    <row r="329" spans="2:11" x14ac:dyDescent="0.25">
      <c r="B329" s="63"/>
      <c r="C329" s="66"/>
      <c r="D329" s="109"/>
      <c r="E329" s="109"/>
      <c r="F329" s="109"/>
      <c r="G329" s="109"/>
      <c r="H329" s="109"/>
      <c r="I329" s="109"/>
      <c r="J329" s="110"/>
      <c r="K329" s="25"/>
    </row>
    <row r="330" spans="2:11" x14ac:dyDescent="0.25">
      <c r="B330" s="69"/>
      <c r="C330" s="64"/>
      <c r="D330" s="65"/>
      <c r="E330" s="65"/>
      <c r="F330" s="65"/>
      <c r="G330" s="65"/>
      <c r="H330" s="65"/>
      <c r="I330" s="65"/>
      <c r="J330" s="79"/>
      <c r="K330" s="25"/>
    </row>
    <row r="331" spans="2:11" x14ac:dyDescent="0.25">
      <c r="B331" s="63" t="s">
        <v>313</v>
      </c>
      <c r="C331" s="66" t="s">
        <v>170</v>
      </c>
      <c r="D331" s="67" t="s">
        <v>314</v>
      </c>
      <c r="E331" s="68"/>
      <c r="F331" s="65"/>
      <c r="G331" s="65"/>
      <c r="H331" s="65"/>
      <c r="I331" s="65"/>
      <c r="J331" s="79"/>
      <c r="K331" s="25"/>
    </row>
    <row r="332" spans="2:11" x14ac:dyDescent="0.25">
      <c r="B332" s="63"/>
      <c r="C332" s="66"/>
      <c r="D332" s="67"/>
      <c r="E332" s="68"/>
      <c r="F332" s="65"/>
      <c r="G332" s="65"/>
      <c r="H332" s="65"/>
      <c r="I332" s="65"/>
      <c r="J332" s="79"/>
      <c r="K332" s="25"/>
    </row>
    <row r="333" spans="2:11" x14ac:dyDescent="0.25">
      <c r="B333" s="69"/>
      <c r="C333" s="64"/>
      <c r="D333" s="65"/>
      <c r="E333" s="65"/>
      <c r="F333" s="65"/>
      <c r="G333" s="65"/>
      <c r="H333" s="65"/>
      <c r="I333" s="65"/>
      <c r="J333" s="79"/>
      <c r="K333" s="25"/>
    </row>
    <row r="334" spans="2:11" x14ac:dyDescent="0.25">
      <c r="B334" s="63" t="s">
        <v>315</v>
      </c>
      <c r="C334" s="66" t="s">
        <v>170</v>
      </c>
      <c r="D334" s="67" t="s">
        <v>316</v>
      </c>
      <c r="E334" s="68"/>
      <c r="F334" s="65"/>
      <c r="G334" s="65"/>
      <c r="H334" s="65"/>
      <c r="I334" s="65"/>
      <c r="J334" s="79"/>
      <c r="K334" s="25"/>
    </row>
    <row r="335" spans="2:11" x14ac:dyDescent="0.25">
      <c r="B335" s="63"/>
      <c r="C335" s="66"/>
      <c r="D335" s="67"/>
      <c r="E335" s="68"/>
      <c r="F335" s="65"/>
      <c r="G335" s="65"/>
      <c r="H335" s="65"/>
      <c r="I335" s="65"/>
      <c r="J335" s="79"/>
      <c r="K335" s="25"/>
    </row>
    <row r="336" spans="2:11" x14ac:dyDescent="0.25">
      <c r="B336" s="69"/>
      <c r="C336" s="64"/>
      <c r="D336" s="65"/>
      <c r="E336" s="65"/>
      <c r="F336" s="65"/>
      <c r="G336" s="65"/>
      <c r="H336" s="65"/>
      <c r="I336" s="65"/>
      <c r="J336" s="79"/>
      <c r="K336" s="25"/>
    </row>
    <row r="337" spans="2:11" x14ac:dyDescent="0.25">
      <c r="B337" s="63" t="s">
        <v>317</v>
      </c>
      <c r="C337" s="66" t="s">
        <v>170</v>
      </c>
      <c r="D337" s="67" t="s">
        <v>318</v>
      </c>
      <c r="E337" s="68"/>
      <c r="F337" s="65"/>
      <c r="G337" s="65"/>
      <c r="H337" s="65"/>
      <c r="I337" s="65"/>
      <c r="J337" s="79"/>
      <c r="K337" s="25"/>
    </row>
    <row r="338" spans="2:11" x14ac:dyDescent="0.25">
      <c r="B338" s="63"/>
      <c r="C338" s="66"/>
      <c r="D338" s="67"/>
      <c r="E338" s="68"/>
      <c r="F338" s="65"/>
      <c r="G338" s="65"/>
      <c r="H338" s="65"/>
      <c r="I338" s="65"/>
      <c r="J338" s="79"/>
      <c r="K338" s="25"/>
    </row>
    <row r="339" spans="2:11" x14ac:dyDescent="0.25">
      <c r="B339" s="69"/>
      <c r="C339" s="64"/>
      <c r="D339" s="65"/>
      <c r="E339" s="65"/>
      <c r="F339" s="65"/>
      <c r="G339" s="65"/>
      <c r="H339" s="65"/>
      <c r="I339" s="65"/>
      <c r="J339" s="79"/>
      <c r="K339" s="25"/>
    </row>
    <row r="340" spans="2:11" x14ac:dyDescent="0.25">
      <c r="B340" s="63" t="s">
        <v>319</v>
      </c>
      <c r="C340" s="66" t="s">
        <v>170</v>
      </c>
      <c r="D340" s="67" t="s">
        <v>320</v>
      </c>
      <c r="E340" s="68"/>
      <c r="F340" s="65"/>
      <c r="G340" s="65"/>
      <c r="H340" s="65"/>
      <c r="I340" s="65"/>
      <c r="J340" s="79"/>
      <c r="K340" s="25"/>
    </row>
    <row r="341" spans="2:11" x14ac:dyDescent="0.25">
      <c r="B341" s="63"/>
      <c r="C341" s="66"/>
      <c r="D341" s="67"/>
      <c r="E341" s="68"/>
      <c r="F341" s="65"/>
      <c r="G341" s="65"/>
      <c r="H341" s="65"/>
      <c r="I341" s="65"/>
      <c r="J341" s="79"/>
      <c r="K341" s="25"/>
    </row>
    <row r="342" spans="2:11" x14ac:dyDescent="0.25">
      <c r="B342" s="69"/>
      <c r="C342" s="64"/>
      <c r="D342" s="65"/>
      <c r="E342" s="65"/>
      <c r="F342" s="65"/>
      <c r="G342" s="65"/>
      <c r="H342" s="65"/>
      <c r="I342" s="65"/>
      <c r="J342" s="79"/>
      <c r="K342" s="25"/>
    </row>
    <row r="343" spans="2:11" x14ac:dyDescent="0.25">
      <c r="B343" s="63" t="s">
        <v>321</v>
      </c>
      <c r="C343" s="66" t="s">
        <v>170</v>
      </c>
      <c r="D343" s="67" t="s">
        <v>322</v>
      </c>
      <c r="E343" s="68"/>
      <c r="F343" s="65"/>
      <c r="G343" s="65"/>
      <c r="H343" s="65"/>
      <c r="I343" s="65"/>
      <c r="J343" s="79"/>
      <c r="K343" s="25"/>
    </row>
    <row r="344" spans="2:11" x14ac:dyDescent="0.25">
      <c r="B344" s="63"/>
      <c r="C344" s="66"/>
      <c r="D344" s="67"/>
      <c r="E344" s="68"/>
      <c r="F344" s="65"/>
      <c r="G344" s="65"/>
      <c r="H344" s="65"/>
      <c r="I344" s="65"/>
      <c r="J344" s="79"/>
      <c r="K344" s="25"/>
    </row>
    <row r="345" spans="2:11" x14ac:dyDescent="0.25">
      <c r="B345" s="69"/>
      <c r="C345" s="64"/>
      <c r="D345" s="65"/>
      <c r="E345" s="65"/>
      <c r="F345" s="65"/>
      <c r="G345" s="65"/>
      <c r="H345" s="65"/>
      <c r="I345" s="65"/>
      <c r="J345" s="79"/>
      <c r="K345" s="25"/>
    </row>
    <row r="346" spans="2:11" x14ac:dyDescent="0.25">
      <c r="B346" s="63" t="s">
        <v>323</v>
      </c>
      <c r="C346" s="66" t="s">
        <v>170</v>
      </c>
      <c r="D346" s="67" t="s">
        <v>324</v>
      </c>
      <c r="E346" s="68"/>
      <c r="F346" s="65"/>
      <c r="G346" s="65"/>
      <c r="H346" s="65"/>
      <c r="I346" s="65"/>
      <c r="J346" s="79"/>
      <c r="K346" s="25"/>
    </row>
    <row r="347" spans="2:11" x14ac:dyDescent="0.25">
      <c r="B347" s="63"/>
      <c r="C347" s="66"/>
      <c r="D347" s="67"/>
      <c r="E347" s="68"/>
      <c r="F347" s="65"/>
      <c r="G347" s="65"/>
      <c r="H347" s="65"/>
      <c r="I347" s="65"/>
      <c r="J347" s="79"/>
      <c r="K347" s="25"/>
    </row>
    <row r="348" spans="2:11" x14ac:dyDescent="0.25">
      <c r="B348" s="69"/>
      <c r="C348" s="64"/>
      <c r="D348" s="65"/>
      <c r="E348" s="65"/>
      <c r="F348" s="65"/>
      <c r="G348" s="65"/>
      <c r="H348" s="65"/>
      <c r="I348" s="65"/>
      <c r="J348" s="79"/>
      <c r="K348" s="25"/>
    </row>
    <row r="349" spans="2:11" x14ac:dyDescent="0.25">
      <c r="B349" s="63" t="s">
        <v>325</v>
      </c>
      <c r="C349" s="66" t="s">
        <v>170</v>
      </c>
      <c r="D349" s="67" t="s">
        <v>326</v>
      </c>
      <c r="E349" s="68"/>
      <c r="F349" s="65"/>
      <c r="G349" s="65"/>
      <c r="H349" s="65"/>
      <c r="I349" s="65"/>
      <c r="J349" s="79"/>
      <c r="K349" s="25"/>
    </row>
    <row r="350" spans="2:11" x14ac:dyDescent="0.25">
      <c r="B350" s="63"/>
      <c r="C350" s="66"/>
      <c r="D350" s="67"/>
      <c r="E350" s="68"/>
      <c r="F350" s="65"/>
      <c r="G350" s="65"/>
      <c r="H350" s="65"/>
      <c r="I350" s="65"/>
      <c r="J350" s="79"/>
      <c r="K350" s="25"/>
    </row>
    <row r="351" spans="2:11" x14ac:dyDescent="0.25">
      <c r="B351" s="69"/>
      <c r="C351" s="64"/>
      <c r="D351" s="65"/>
      <c r="E351" s="65"/>
      <c r="F351" s="65"/>
      <c r="G351" s="65"/>
      <c r="H351" s="65"/>
      <c r="I351" s="65"/>
      <c r="J351" s="79"/>
      <c r="K351" s="25"/>
    </row>
    <row r="352" spans="2:11" x14ac:dyDescent="0.25">
      <c r="B352" s="63" t="s">
        <v>327</v>
      </c>
      <c r="C352" s="66" t="s">
        <v>170</v>
      </c>
      <c r="D352" s="67" t="s">
        <v>328</v>
      </c>
      <c r="E352" s="68"/>
      <c r="F352" s="65"/>
      <c r="G352" s="65"/>
      <c r="H352" s="65"/>
      <c r="I352" s="65"/>
      <c r="J352" s="79"/>
      <c r="K352" s="25"/>
    </row>
    <row r="353" spans="2:11" x14ac:dyDescent="0.25">
      <c r="B353" s="63"/>
      <c r="C353" s="66"/>
      <c r="D353" s="67"/>
      <c r="E353" s="68"/>
      <c r="F353" s="65"/>
      <c r="G353" s="65"/>
      <c r="H353" s="65"/>
      <c r="I353" s="65"/>
      <c r="J353" s="79"/>
      <c r="K353" s="25"/>
    </row>
    <row r="354" spans="2:11" x14ac:dyDescent="0.25">
      <c r="B354" s="69"/>
      <c r="C354" s="64"/>
      <c r="D354" s="65"/>
      <c r="E354" s="65"/>
      <c r="F354" s="65"/>
      <c r="G354" s="65"/>
      <c r="H354" s="65"/>
      <c r="I354" s="65"/>
      <c r="J354" s="79"/>
      <c r="K354" s="25"/>
    </row>
    <row r="355" spans="2:11" x14ac:dyDescent="0.25">
      <c r="B355" s="63" t="s">
        <v>329</v>
      </c>
      <c r="C355" s="66" t="s">
        <v>170</v>
      </c>
      <c r="D355" s="67" t="s">
        <v>330</v>
      </c>
      <c r="E355" s="68"/>
      <c r="F355" s="65"/>
      <c r="G355" s="65"/>
      <c r="H355" s="65"/>
      <c r="I355" s="65"/>
      <c r="J355" s="79"/>
      <c r="K355" s="25"/>
    </row>
    <row r="356" spans="2:11" x14ac:dyDescent="0.25">
      <c r="B356" s="63"/>
      <c r="C356" s="66"/>
      <c r="D356" s="67"/>
      <c r="E356" s="68"/>
      <c r="F356" s="65"/>
      <c r="G356" s="65"/>
      <c r="H356" s="65"/>
      <c r="I356" s="65"/>
      <c r="J356" s="79"/>
      <c r="K356" s="25"/>
    </row>
    <row r="357" spans="2:11" x14ac:dyDescent="0.25">
      <c r="B357" s="69"/>
      <c r="C357" s="64"/>
      <c r="D357" s="65"/>
      <c r="E357" s="65"/>
      <c r="F357" s="65"/>
      <c r="G357" s="65"/>
      <c r="H357" s="65"/>
      <c r="I357" s="65"/>
      <c r="J357" s="79"/>
      <c r="K357" s="25"/>
    </row>
    <row r="358" spans="2:11" x14ac:dyDescent="0.25">
      <c r="B358" s="63" t="s">
        <v>331</v>
      </c>
      <c r="C358" s="66" t="s">
        <v>170</v>
      </c>
      <c r="D358" s="67" t="s">
        <v>332</v>
      </c>
      <c r="E358" s="68"/>
      <c r="F358" s="65"/>
      <c r="G358" s="65"/>
      <c r="H358" s="65"/>
      <c r="I358" s="65"/>
      <c r="J358" s="79"/>
      <c r="K358" s="25"/>
    </row>
    <row r="359" spans="2:11" x14ac:dyDescent="0.25">
      <c r="B359" s="63"/>
      <c r="C359" s="66"/>
      <c r="D359" s="67"/>
      <c r="E359" s="68"/>
      <c r="F359" s="65"/>
      <c r="G359" s="65"/>
      <c r="H359" s="65"/>
      <c r="I359" s="65"/>
      <c r="J359" s="79"/>
      <c r="K359" s="25"/>
    </row>
    <row r="360" spans="2:11" x14ac:dyDescent="0.25">
      <c r="B360" s="69"/>
      <c r="C360" s="64"/>
      <c r="D360" s="65"/>
      <c r="E360" s="65"/>
      <c r="F360" s="65"/>
      <c r="G360" s="65"/>
      <c r="H360" s="65"/>
      <c r="I360" s="65"/>
      <c r="J360" s="79"/>
      <c r="K360" s="25"/>
    </row>
    <row r="361" spans="2:11" x14ac:dyDescent="0.25">
      <c r="B361" s="63" t="s">
        <v>333</v>
      </c>
      <c r="C361" s="66" t="s">
        <v>170</v>
      </c>
      <c r="D361" s="67" t="s">
        <v>334</v>
      </c>
      <c r="E361" s="68"/>
      <c r="F361" s="65"/>
      <c r="G361" s="65"/>
      <c r="H361" s="65"/>
      <c r="I361" s="65"/>
      <c r="J361" s="79"/>
      <c r="K361" s="25"/>
    </row>
    <row r="362" spans="2:11" x14ac:dyDescent="0.25">
      <c r="B362" s="63"/>
      <c r="C362" s="66"/>
      <c r="D362" s="67"/>
      <c r="E362" s="68"/>
      <c r="F362" s="65"/>
      <c r="G362" s="65"/>
      <c r="H362" s="65"/>
      <c r="I362" s="65"/>
      <c r="J362" s="79"/>
      <c r="K362" s="25"/>
    </row>
    <row r="363" spans="2:11" x14ac:dyDescent="0.25">
      <c r="B363" s="72" t="s">
        <v>335</v>
      </c>
      <c r="C363" s="64"/>
      <c r="D363" s="65"/>
      <c r="E363" s="65"/>
      <c r="F363" s="65"/>
      <c r="G363" s="65"/>
      <c r="H363" s="65"/>
      <c r="I363" s="65"/>
      <c r="J363" s="79"/>
      <c r="K363" s="25"/>
    </row>
    <row r="364" spans="2:11" x14ac:dyDescent="0.25">
      <c r="B364" s="93"/>
      <c r="C364" s="89" t="s">
        <v>170</v>
      </c>
      <c r="D364" s="105" t="s">
        <v>336</v>
      </c>
      <c r="E364" s="105"/>
      <c r="F364" s="105"/>
      <c r="G364" s="105"/>
      <c r="H364" s="105"/>
      <c r="I364" s="105"/>
      <c r="J364" s="106"/>
      <c r="K364" s="25"/>
    </row>
    <row r="365" spans="2:11" x14ac:dyDescent="0.25">
      <c r="B365" s="93"/>
      <c r="C365" s="89"/>
      <c r="D365" s="105"/>
      <c r="E365" s="105"/>
      <c r="F365" s="105"/>
      <c r="G365" s="105"/>
      <c r="H365" s="105"/>
      <c r="I365" s="105"/>
      <c r="J365" s="106"/>
      <c r="K365" s="25"/>
    </row>
    <row r="366" spans="2:11" x14ac:dyDescent="0.25">
      <c r="B366" s="72" t="s">
        <v>337</v>
      </c>
      <c r="C366" s="64"/>
      <c r="D366" s="65"/>
      <c r="E366" s="65"/>
      <c r="F366" s="65"/>
      <c r="G366" s="65"/>
      <c r="H366" s="65"/>
      <c r="I366" s="65"/>
      <c r="J366" s="79"/>
      <c r="K366" s="25"/>
    </row>
    <row r="367" spans="2:11" x14ac:dyDescent="0.25">
      <c r="B367" s="72"/>
      <c r="C367" s="66" t="s">
        <v>170</v>
      </c>
      <c r="D367" s="67" t="s">
        <v>338</v>
      </c>
      <c r="E367" s="68"/>
      <c r="F367" s="65"/>
      <c r="G367" s="65"/>
      <c r="H367" s="65"/>
      <c r="I367" s="65"/>
      <c r="J367" s="79"/>
      <c r="K367" s="25"/>
    </row>
    <row r="368" spans="2:11" x14ac:dyDescent="0.25">
      <c r="B368" s="72"/>
      <c r="C368" s="66"/>
      <c r="D368" s="67"/>
      <c r="E368" s="68"/>
      <c r="F368" s="65"/>
      <c r="G368" s="65"/>
      <c r="H368" s="65"/>
      <c r="I368" s="65"/>
      <c r="J368" s="79"/>
      <c r="K368" s="25"/>
    </row>
    <row r="369" spans="2:11" x14ac:dyDescent="0.25">
      <c r="B369" s="72" t="s">
        <v>339</v>
      </c>
      <c r="C369" s="64"/>
      <c r="D369" s="65"/>
      <c r="E369" s="65"/>
      <c r="F369" s="65"/>
      <c r="G369" s="65"/>
      <c r="H369" s="65"/>
      <c r="I369" s="65"/>
      <c r="J369" s="79"/>
      <c r="K369" s="25"/>
    </row>
    <row r="370" spans="2:11" x14ac:dyDescent="0.25">
      <c r="B370" s="73"/>
      <c r="C370" s="66" t="s">
        <v>170</v>
      </c>
      <c r="D370" s="67" t="s">
        <v>340</v>
      </c>
      <c r="E370" s="68"/>
      <c r="F370" s="65"/>
      <c r="G370" s="65"/>
      <c r="H370" s="65"/>
      <c r="I370" s="65"/>
      <c r="J370" s="79"/>
      <c r="K370" s="25"/>
    </row>
    <row r="371" spans="2:11" x14ac:dyDescent="0.25">
      <c r="B371" s="73"/>
      <c r="C371" s="66"/>
      <c r="D371" s="67"/>
      <c r="E371" s="68"/>
      <c r="F371" s="65"/>
      <c r="G371" s="65"/>
      <c r="H371" s="65"/>
      <c r="I371" s="65"/>
      <c r="J371" s="79"/>
      <c r="K371" s="25"/>
    </row>
    <row r="372" spans="2:11" x14ac:dyDescent="0.25">
      <c r="B372" s="72" t="s">
        <v>341</v>
      </c>
      <c r="C372" s="64"/>
      <c r="D372" s="65"/>
      <c r="E372" s="65"/>
      <c r="F372" s="65"/>
      <c r="G372" s="65"/>
      <c r="H372" s="65"/>
      <c r="I372" s="65"/>
      <c r="J372" s="79"/>
      <c r="K372" s="25"/>
    </row>
    <row r="373" spans="2:11" ht="13.5" customHeight="1" x14ac:dyDescent="0.25">
      <c r="B373" s="72"/>
      <c r="C373" s="66" t="s">
        <v>170</v>
      </c>
      <c r="D373" s="107" t="s">
        <v>342</v>
      </c>
      <c r="E373" s="107"/>
      <c r="F373" s="107"/>
      <c r="G373" s="107"/>
      <c r="H373" s="107"/>
      <c r="I373" s="107"/>
      <c r="J373" s="108"/>
      <c r="K373" s="25"/>
    </row>
    <row r="374" spans="2:11" x14ac:dyDescent="0.25">
      <c r="B374" s="72" t="s">
        <v>343</v>
      </c>
      <c r="C374" s="64"/>
      <c r="D374" s="107"/>
      <c r="E374" s="107"/>
      <c r="F374" s="107"/>
      <c r="G374" s="107"/>
      <c r="H374" s="107"/>
      <c r="I374" s="107"/>
      <c r="J374" s="108"/>
      <c r="K374" s="25"/>
    </row>
    <row r="375" spans="2:11" x14ac:dyDescent="0.25">
      <c r="B375" s="72"/>
      <c r="C375" s="66" t="s">
        <v>170</v>
      </c>
      <c r="D375" s="67" t="s">
        <v>344</v>
      </c>
      <c r="E375" s="68"/>
      <c r="F375" s="65"/>
      <c r="G375" s="65"/>
      <c r="H375" s="65"/>
      <c r="I375" s="65"/>
      <c r="J375" s="79"/>
      <c r="K375" s="25"/>
    </row>
    <row r="376" spans="2:11" x14ac:dyDescent="0.25">
      <c r="B376" s="73"/>
      <c r="C376" s="66"/>
      <c r="D376" s="67"/>
      <c r="E376" s="68"/>
      <c r="F376" s="65"/>
      <c r="G376" s="65"/>
      <c r="H376" s="65"/>
      <c r="I376" s="65"/>
      <c r="J376" s="79"/>
      <c r="K376" s="25"/>
    </row>
    <row r="377" spans="2:11" x14ac:dyDescent="0.25">
      <c r="B377" s="72" t="s">
        <v>345</v>
      </c>
      <c r="C377" s="64"/>
      <c r="D377" s="65"/>
      <c r="E377" s="65"/>
      <c r="F377" s="65"/>
      <c r="G377" s="65"/>
      <c r="H377" s="65"/>
      <c r="I377" s="65"/>
      <c r="J377" s="79"/>
      <c r="K377" s="25"/>
    </row>
    <row r="378" spans="2:11" x14ac:dyDescent="0.25">
      <c r="B378" s="72"/>
      <c r="C378" s="66" t="s">
        <v>170</v>
      </c>
      <c r="D378" s="70" t="s">
        <v>346</v>
      </c>
      <c r="E378" s="68"/>
      <c r="F378" s="65"/>
      <c r="G378" s="65"/>
      <c r="H378" s="65"/>
      <c r="I378" s="65"/>
      <c r="J378" s="79"/>
      <c r="K378" s="25"/>
    </row>
    <row r="379" spans="2:11" x14ac:dyDescent="0.25">
      <c r="B379" s="73"/>
      <c r="C379" s="66"/>
      <c r="D379" s="67"/>
      <c r="E379" s="68"/>
      <c r="F379" s="65"/>
      <c r="G379" s="65"/>
      <c r="H379" s="65"/>
      <c r="I379" s="65"/>
      <c r="J379" s="79"/>
      <c r="K379" s="25"/>
    </row>
    <row r="380" spans="2:11" x14ac:dyDescent="0.25">
      <c r="B380" s="72" t="s">
        <v>347</v>
      </c>
      <c r="C380" s="64"/>
      <c r="D380" s="65"/>
      <c r="E380" s="65"/>
      <c r="F380" s="65"/>
      <c r="G380" s="65"/>
      <c r="H380" s="65"/>
      <c r="I380" s="65"/>
      <c r="J380" s="79"/>
      <c r="K380" s="25"/>
    </row>
    <row r="381" spans="2:11" x14ac:dyDescent="0.25">
      <c r="B381" s="72"/>
      <c r="C381" s="66" t="s">
        <v>170</v>
      </c>
      <c r="D381" s="109" t="s">
        <v>348</v>
      </c>
      <c r="E381" s="109"/>
      <c r="F381" s="109"/>
      <c r="G381" s="109"/>
      <c r="H381" s="109"/>
      <c r="I381" s="109"/>
      <c r="J381" s="110"/>
      <c r="K381" s="25"/>
    </row>
    <row r="382" spans="2:11" ht="23.25" customHeight="1" x14ac:dyDescent="0.25">
      <c r="B382" s="73"/>
      <c r="C382" s="66"/>
      <c r="D382" s="109"/>
      <c r="E382" s="109"/>
      <c r="F382" s="109"/>
      <c r="G382" s="109"/>
      <c r="H382" s="109"/>
      <c r="I382" s="109"/>
      <c r="J382" s="110"/>
      <c r="K382" s="25"/>
    </row>
    <row r="383" spans="2:11" x14ac:dyDescent="0.25">
      <c r="B383" s="72" t="s">
        <v>349</v>
      </c>
      <c r="C383" s="64"/>
      <c r="D383" s="65"/>
      <c r="E383" s="65"/>
      <c r="F383" s="65"/>
      <c r="G383" s="65"/>
      <c r="H383" s="65"/>
      <c r="I383" s="65"/>
      <c r="J383" s="79"/>
      <c r="K383" s="25"/>
    </row>
    <row r="384" spans="2:11" x14ac:dyDescent="0.25">
      <c r="B384" s="72"/>
      <c r="C384" s="66" t="s">
        <v>170</v>
      </c>
      <c r="D384" s="118" t="s">
        <v>350</v>
      </c>
      <c r="E384" s="118"/>
      <c r="F384" s="118"/>
      <c r="G384" s="118"/>
      <c r="H384" s="118"/>
      <c r="I384" s="118"/>
      <c r="J384" s="119"/>
      <c r="K384" s="25"/>
    </row>
    <row r="385" spans="2:11" ht="27.75" customHeight="1" x14ac:dyDescent="0.25">
      <c r="B385" s="73"/>
      <c r="C385" s="66"/>
      <c r="D385" s="118"/>
      <c r="E385" s="118"/>
      <c r="F385" s="118"/>
      <c r="G385" s="118"/>
      <c r="H385" s="118"/>
      <c r="I385" s="118"/>
      <c r="J385" s="119"/>
      <c r="K385" s="25"/>
    </row>
    <row r="386" spans="2:11" x14ac:dyDescent="0.25">
      <c r="B386" s="72" t="s">
        <v>351</v>
      </c>
      <c r="C386" s="64"/>
      <c r="D386" s="65"/>
      <c r="E386" s="65"/>
      <c r="F386" s="65"/>
      <c r="G386" s="65"/>
      <c r="H386" s="65"/>
      <c r="I386" s="65"/>
      <c r="J386" s="79"/>
      <c r="K386" s="25"/>
    </row>
    <row r="387" spans="2:11" x14ac:dyDescent="0.25">
      <c r="B387" s="72"/>
      <c r="C387" s="66" t="s">
        <v>170</v>
      </c>
      <c r="D387" s="109" t="s">
        <v>352</v>
      </c>
      <c r="E387" s="109"/>
      <c r="F387" s="109"/>
      <c r="G387" s="109"/>
      <c r="H387" s="109"/>
      <c r="I387" s="109"/>
      <c r="J387" s="110"/>
      <c r="K387" s="25"/>
    </row>
    <row r="388" spans="2:11" x14ac:dyDescent="0.25">
      <c r="B388" s="73"/>
      <c r="C388" s="66"/>
      <c r="D388" s="109"/>
      <c r="E388" s="109"/>
      <c r="F388" s="109"/>
      <c r="G388" s="109"/>
      <c r="H388" s="109"/>
      <c r="I388" s="109"/>
      <c r="J388" s="110"/>
      <c r="K388" s="25"/>
    </row>
    <row r="389" spans="2:11" x14ac:dyDescent="0.25">
      <c r="B389" s="72" t="s">
        <v>353</v>
      </c>
      <c r="C389" s="64"/>
      <c r="D389" s="65"/>
      <c r="E389" s="65"/>
      <c r="F389" s="65"/>
      <c r="G389" s="65"/>
      <c r="H389" s="65"/>
      <c r="I389" s="65"/>
      <c r="J389" s="79"/>
      <c r="K389" s="25"/>
    </row>
    <row r="390" spans="2:11" x14ac:dyDescent="0.25">
      <c r="B390" s="72"/>
      <c r="C390" s="66" t="s">
        <v>170</v>
      </c>
      <c r="D390" s="109" t="s">
        <v>354</v>
      </c>
      <c r="E390" s="109"/>
      <c r="F390" s="109"/>
      <c r="G390" s="109"/>
      <c r="H390" s="109"/>
      <c r="I390" s="109"/>
      <c r="J390" s="110"/>
      <c r="K390" s="25"/>
    </row>
    <row r="391" spans="2:11" x14ac:dyDescent="0.25">
      <c r="B391" s="73"/>
      <c r="C391" s="66"/>
      <c r="D391" s="109"/>
      <c r="E391" s="109"/>
      <c r="F391" s="109"/>
      <c r="G391" s="109"/>
      <c r="H391" s="109"/>
      <c r="I391" s="109"/>
      <c r="J391" s="110"/>
      <c r="K391" s="25"/>
    </row>
    <row r="392" spans="2:11" x14ac:dyDescent="0.25">
      <c r="B392" s="72" t="s">
        <v>355</v>
      </c>
      <c r="C392" s="64"/>
      <c r="D392" s="65"/>
      <c r="E392" s="65"/>
      <c r="F392" s="65"/>
      <c r="G392" s="65"/>
      <c r="H392" s="65"/>
      <c r="I392" s="65"/>
      <c r="J392" s="79"/>
      <c r="K392" s="25"/>
    </row>
    <row r="393" spans="2:11" x14ac:dyDescent="0.25">
      <c r="B393" s="72"/>
      <c r="C393" s="66" t="s">
        <v>170</v>
      </c>
      <c r="D393" s="109" t="s">
        <v>356</v>
      </c>
      <c r="E393" s="109"/>
      <c r="F393" s="109"/>
      <c r="G393" s="109"/>
      <c r="H393" s="109"/>
      <c r="I393" s="109"/>
      <c r="J393" s="110"/>
      <c r="K393" s="25"/>
    </row>
    <row r="394" spans="2:11" x14ac:dyDescent="0.25">
      <c r="B394" s="73"/>
      <c r="C394" s="66"/>
      <c r="D394" s="109"/>
      <c r="E394" s="109"/>
      <c r="F394" s="109"/>
      <c r="G394" s="109"/>
      <c r="H394" s="109"/>
      <c r="I394" s="109"/>
      <c r="J394" s="110"/>
      <c r="K394" s="25"/>
    </row>
    <row r="395" spans="2:11" x14ac:dyDescent="0.25">
      <c r="B395" s="72" t="s">
        <v>357</v>
      </c>
      <c r="C395" s="64"/>
      <c r="D395" s="65"/>
      <c r="E395" s="65"/>
      <c r="F395" s="65"/>
      <c r="G395" s="65"/>
      <c r="H395" s="65"/>
      <c r="I395" s="65"/>
      <c r="J395" s="79"/>
      <c r="K395" s="25"/>
    </row>
    <row r="396" spans="2:11" x14ac:dyDescent="0.25">
      <c r="B396" s="72"/>
      <c r="C396" s="66" t="s">
        <v>170</v>
      </c>
      <c r="D396" s="67" t="s">
        <v>358</v>
      </c>
      <c r="E396" s="68"/>
      <c r="F396" s="65"/>
      <c r="G396" s="65"/>
      <c r="H396" s="65"/>
      <c r="I396" s="65"/>
      <c r="J396" s="79"/>
      <c r="K396" s="25"/>
    </row>
    <row r="397" spans="2:11" x14ac:dyDescent="0.25">
      <c r="B397" s="73"/>
      <c r="C397" s="66"/>
      <c r="D397" s="67"/>
      <c r="E397" s="68"/>
      <c r="F397" s="65"/>
      <c r="G397" s="65"/>
      <c r="H397" s="65"/>
      <c r="I397" s="65"/>
      <c r="J397" s="79"/>
      <c r="K397" s="25"/>
    </row>
    <row r="398" spans="2:11" x14ac:dyDescent="0.25">
      <c r="B398" s="72" t="s">
        <v>359</v>
      </c>
      <c r="C398" s="64"/>
      <c r="D398" s="65"/>
      <c r="E398" s="65"/>
      <c r="F398" s="65"/>
      <c r="G398" s="65"/>
      <c r="H398" s="65"/>
      <c r="I398" s="65"/>
      <c r="J398" s="79"/>
      <c r="K398" s="25"/>
    </row>
    <row r="399" spans="2:11" x14ac:dyDescent="0.25">
      <c r="B399" s="72"/>
      <c r="C399" s="66" t="s">
        <v>170</v>
      </c>
      <c r="D399" s="67" t="s">
        <v>360</v>
      </c>
      <c r="E399" s="68"/>
      <c r="F399" s="65"/>
      <c r="G399" s="65"/>
      <c r="H399" s="65"/>
      <c r="I399" s="65"/>
      <c r="J399" s="79"/>
      <c r="K399" s="25"/>
    </row>
    <row r="400" spans="2:11" x14ac:dyDescent="0.25">
      <c r="B400" s="73"/>
      <c r="C400" s="66"/>
      <c r="D400" s="67"/>
      <c r="E400" s="68"/>
      <c r="F400" s="65"/>
      <c r="G400" s="65"/>
      <c r="H400" s="65"/>
      <c r="I400" s="65"/>
      <c r="J400" s="79"/>
      <c r="K400" s="25"/>
    </row>
    <row r="401" spans="2:11" x14ac:dyDescent="0.25">
      <c r="B401" s="72" t="s">
        <v>361</v>
      </c>
      <c r="C401" s="64"/>
      <c r="D401" s="65"/>
      <c r="E401" s="65"/>
      <c r="F401" s="65"/>
      <c r="G401" s="65"/>
      <c r="H401" s="65"/>
      <c r="I401" s="65"/>
      <c r="J401" s="79"/>
      <c r="K401" s="25"/>
    </row>
    <row r="402" spans="2:11" x14ac:dyDescent="0.25">
      <c r="B402" s="72"/>
      <c r="C402" s="66" t="s">
        <v>170</v>
      </c>
      <c r="D402" s="71" t="s">
        <v>362</v>
      </c>
      <c r="E402" s="68"/>
      <c r="F402" s="65"/>
      <c r="G402" s="65"/>
      <c r="H402" s="65"/>
      <c r="I402" s="65"/>
      <c r="J402" s="79"/>
      <c r="K402" s="25"/>
    </row>
    <row r="403" spans="2:11" x14ac:dyDescent="0.25">
      <c r="B403" s="73"/>
      <c r="C403" s="64"/>
      <c r="D403" s="65"/>
      <c r="E403" s="65"/>
      <c r="F403" s="65"/>
      <c r="G403" s="65"/>
      <c r="H403" s="65"/>
      <c r="I403" s="65"/>
      <c r="J403" s="79"/>
      <c r="K403" s="25"/>
    </row>
    <row r="404" spans="2:11" x14ac:dyDescent="0.25">
      <c r="B404" s="72" t="s">
        <v>363</v>
      </c>
      <c r="C404" s="66" t="s">
        <v>170</v>
      </c>
      <c r="D404" s="67" t="s">
        <v>364</v>
      </c>
      <c r="E404" s="68"/>
      <c r="F404" s="65"/>
      <c r="G404" s="65"/>
      <c r="H404" s="65"/>
      <c r="I404" s="65"/>
      <c r="J404" s="79"/>
      <c r="K404" s="25"/>
    </row>
    <row r="405" spans="2:11" x14ac:dyDescent="0.25">
      <c r="B405" s="72"/>
      <c r="C405" s="66"/>
      <c r="D405" s="67"/>
      <c r="E405" s="68"/>
      <c r="F405" s="65"/>
      <c r="G405" s="65"/>
      <c r="H405" s="65"/>
      <c r="I405" s="65"/>
      <c r="J405" s="79"/>
      <c r="K405" s="25"/>
    </row>
    <row r="406" spans="2:11" x14ac:dyDescent="0.25">
      <c r="B406" s="73"/>
      <c r="C406" s="64"/>
      <c r="D406" s="65"/>
      <c r="E406" s="65"/>
      <c r="F406" s="65"/>
      <c r="G406" s="65"/>
      <c r="H406" s="65"/>
      <c r="I406" s="65"/>
      <c r="J406" s="79"/>
      <c r="K406" s="25"/>
    </row>
    <row r="407" spans="2:11" x14ac:dyDescent="0.25">
      <c r="B407" s="72" t="s">
        <v>365</v>
      </c>
      <c r="C407" s="66" t="s">
        <v>170</v>
      </c>
      <c r="D407" s="67" t="s">
        <v>366</v>
      </c>
      <c r="E407" s="68"/>
      <c r="F407" s="65"/>
      <c r="G407" s="65"/>
      <c r="H407" s="65"/>
      <c r="I407" s="65"/>
      <c r="J407" s="79"/>
      <c r="K407" s="25"/>
    </row>
    <row r="408" spans="2:11" x14ac:dyDescent="0.25">
      <c r="B408" s="72"/>
      <c r="C408" s="66"/>
      <c r="D408" s="67"/>
      <c r="E408" s="68"/>
      <c r="F408" s="65"/>
      <c r="G408" s="65"/>
      <c r="H408" s="65"/>
      <c r="I408" s="65"/>
      <c r="J408" s="79"/>
      <c r="K408" s="25"/>
    </row>
    <row r="409" spans="2:11" x14ac:dyDescent="0.25">
      <c r="B409" s="73"/>
      <c r="C409" s="64"/>
      <c r="D409" s="65"/>
      <c r="E409" s="65"/>
      <c r="F409" s="65"/>
      <c r="G409" s="65"/>
      <c r="H409" s="65"/>
      <c r="I409" s="65"/>
      <c r="J409" s="79"/>
      <c r="K409" s="25"/>
    </row>
    <row r="410" spans="2:11" x14ac:dyDescent="0.25">
      <c r="B410" s="72" t="s">
        <v>367</v>
      </c>
      <c r="C410" s="66" t="s">
        <v>170</v>
      </c>
      <c r="D410" s="67" t="s">
        <v>368</v>
      </c>
      <c r="E410" s="68"/>
      <c r="F410" s="65"/>
      <c r="G410" s="65"/>
      <c r="H410" s="65"/>
      <c r="I410" s="65"/>
      <c r="J410" s="79"/>
      <c r="K410" s="25"/>
    </row>
    <row r="411" spans="2:11" x14ac:dyDescent="0.25">
      <c r="B411" s="72"/>
      <c r="C411" s="66"/>
      <c r="D411" s="67"/>
      <c r="E411" s="68"/>
      <c r="F411" s="65"/>
      <c r="G411" s="65"/>
      <c r="H411" s="65"/>
      <c r="I411" s="65"/>
      <c r="J411" s="79"/>
      <c r="K411" s="25"/>
    </row>
    <row r="412" spans="2:11" x14ac:dyDescent="0.25">
      <c r="B412" s="73"/>
      <c r="C412" s="64"/>
      <c r="D412" s="65"/>
      <c r="E412" s="65"/>
      <c r="F412" s="65"/>
      <c r="G412" s="65"/>
      <c r="H412" s="65"/>
      <c r="I412" s="65"/>
      <c r="J412" s="79"/>
      <c r="K412" s="25"/>
    </row>
    <row r="413" spans="2:11" x14ac:dyDescent="0.25">
      <c r="B413" s="72" t="s">
        <v>369</v>
      </c>
      <c r="C413" s="66" t="s">
        <v>170</v>
      </c>
      <c r="D413" s="67" t="s">
        <v>370</v>
      </c>
      <c r="E413" s="68"/>
      <c r="F413" s="65"/>
      <c r="G413" s="65"/>
      <c r="H413" s="65"/>
      <c r="I413" s="65"/>
      <c r="J413" s="79"/>
      <c r="K413" s="25"/>
    </row>
    <row r="414" spans="2:11" x14ac:dyDescent="0.25">
      <c r="B414" s="72"/>
      <c r="C414" s="66"/>
      <c r="D414" s="67"/>
      <c r="E414" s="68"/>
      <c r="F414" s="65"/>
      <c r="G414" s="65"/>
      <c r="H414" s="65"/>
      <c r="I414" s="65"/>
      <c r="J414" s="79"/>
      <c r="K414" s="25"/>
    </row>
    <row r="415" spans="2:11" x14ac:dyDescent="0.25">
      <c r="B415" s="73"/>
      <c r="C415" s="64"/>
      <c r="D415" s="65"/>
      <c r="E415" s="65"/>
      <c r="F415" s="65"/>
      <c r="G415" s="65"/>
      <c r="H415" s="65"/>
      <c r="I415" s="65"/>
      <c r="J415" s="79"/>
      <c r="K415" s="25"/>
    </row>
    <row r="416" spans="2:11" x14ac:dyDescent="0.25">
      <c r="B416" s="72" t="s">
        <v>371</v>
      </c>
      <c r="C416" s="66" t="s">
        <v>170</v>
      </c>
      <c r="D416" s="67" t="s">
        <v>372</v>
      </c>
      <c r="E416" s="68"/>
      <c r="F416" s="65"/>
      <c r="G416" s="65"/>
      <c r="H416" s="65"/>
      <c r="I416" s="65"/>
      <c r="J416" s="79"/>
      <c r="K416" s="25"/>
    </row>
    <row r="417" spans="2:11" x14ac:dyDescent="0.25">
      <c r="B417" s="72"/>
      <c r="C417" s="66"/>
      <c r="D417" s="67"/>
      <c r="E417" s="68"/>
      <c r="F417" s="65"/>
      <c r="G417" s="65"/>
      <c r="H417" s="65"/>
      <c r="I417" s="65"/>
      <c r="J417" s="79"/>
      <c r="K417" s="25"/>
    </row>
    <row r="418" spans="2:11" x14ac:dyDescent="0.25">
      <c r="B418" s="73"/>
      <c r="C418" s="64"/>
      <c r="D418" s="65"/>
      <c r="E418" s="65"/>
      <c r="F418" s="65"/>
      <c r="G418" s="65"/>
      <c r="H418" s="65"/>
      <c r="I418" s="65"/>
      <c r="J418" s="79"/>
      <c r="K418" s="25"/>
    </row>
    <row r="419" spans="2:11" x14ac:dyDescent="0.25">
      <c r="B419" s="72" t="s">
        <v>373</v>
      </c>
      <c r="C419" s="66" t="s">
        <v>170</v>
      </c>
      <c r="D419" s="67" t="s">
        <v>374</v>
      </c>
      <c r="E419" s="68"/>
      <c r="F419" s="65"/>
      <c r="G419" s="65"/>
      <c r="H419" s="65"/>
      <c r="I419" s="65"/>
      <c r="J419" s="79"/>
      <c r="K419" s="25"/>
    </row>
    <row r="420" spans="2:11" x14ac:dyDescent="0.25">
      <c r="B420" s="72"/>
      <c r="C420" s="66"/>
      <c r="D420" s="67"/>
      <c r="E420" s="68"/>
      <c r="F420" s="65"/>
      <c r="G420" s="65"/>
      <c r="H420" s="65"/>
      <c r="I420" s="65"/>
      <c r="J420" s="79"/>
      <c r="K420" s="25"/>
    </row>
    <row r="421" spans="2:11" x14ac:dyDescent="0.25">
      <c r="B421" s="73"/>
      <c r="C421" s="64"/>
      <c r="D421" s="65"/>
      <c r="E421" s="65"/>
      <c r="F421" s="65"/>
      <c r="G421" s="65"/>
      <c r="H421" s="65"/>
      <c r="I421" s="65"/>
      <c r="J421" s="79"/>
      <c r="K421" s="25"/>
    </row>
    <row r="422" spans="2:11" x14ac:dyDescent="0.25">
      <c r="B422" s="72" t="s">
        <v>375</v>
      </c>
      <c r="C422" s="66" t="s">
        <v>170</v>
      </c>
      <c r="D422" s="67" t="s">
        <v>376</v>
      </c>
      <c r="E422" s="68"/>
      <c r="F422" s="65"/>
      <c r="G422" s="65"/>
      <c r="H422" s="65"/>
      <c r="I422" s="65"/>
      <c r="J422" s="79"/>
      <c r="K422" s="25"/>
    </row>
    <row r="423" spans="2:11" x14ac:dyDescent="0.25">
      <c r="B423" s="72"/>
      <c r="C423" s="66"/>
      <c r="D423" s="67"/>
      <c r="E423" s="68"/>
      <c r="F423" s="65"/>
      <c r="G423" s="65"/>
      <c r="H423" s="65"/>
      <c r="I423" s="65"/>
      <c r="J423" s="79"/>
      <c r="K423" s="25"/>
    </row>
    <row r="424" spans="2:11" x14ac:dyDescent="0.25">
      <c r="B424" s="73"/>
      <c r="C424" s="64"/>
      <c r="D424" s="65"/>
      <c r="E424" s="65"/>
      <c r="F424" s="65"/>
      <c r="G424" s="65"/>
      <c r="H424" s="65"/>
      <c r="I424" s="65"/>
      <c r="J424" s="79"/>
      <c r="K424" s="25"/>
    </row>
    <row r="425" spans="2:11" x14ac:dyDescent="0.25">
      <c r="B425" s="72" t="s">
        <v>377</v>
      </c>
      <c r="C425" s="66" t="s">
        <v>170</v>
      </c>
      <c r="D425" s="67" t="s">
        <v>378</v>
      </c>
      <c r="E425" s="68"/>
      <c r="F425" s="65"/>
      <c r="G425" s="65"/>
      <c r="H425" s="65"/>
      <c r="I425" s="65"/>
      <c r="J425" s="79"/>
      <c r="K425" s="25"/>
    </row>
    <row r="426" spans="2:11" x14ac:dyDescent="0.25">
      <c r="B426" s="72"/>
      <c r="C426" s="66"/>
      <c r="D426" s="67"/>
      <c r="E426" s="68"/>
      <c r="F426" s="65"/>
      <c r="G426" s="65"/>
      <c r="H426" s="65"/>
      <c r="I426" s="65"/>
      <c r="J426" s="79"/>
      <c r="K426" s="25"/>
    </row>
    <row r="427" spans="2:11" x14ac:dyDescent="0.25">
      <c r="B427" s="73"/>
      <c r="C427" s="64"/>
      <c r="D427" s="65"/>
      <c r="E427" s="65"/>
      <c r="F427" s="65"/>
      <c r="G427" s="65"/>
      <c r="H427" s="65"/>
      <c r="I427" s="65"/>
      <c r="J427" s="79"/>
      <c r="K427" s="25"/>
    </row>
    <row r="428" spans="2:11" x14ac:dyDescent="0.25">
      <c r="B428" s="93" t="s">
        <v>379</v>
      </c>
      <c r="C428" s="89" t="s">
        <v>170</v>
      </c>
      <c r="D428" s="120" t="s">
        <v>380</v>
      </c>
      <c r="E428" s="120"/>
      <c r="F428" s="120"/>
      <c r="G428" s="120"/>
      <c r="H428" s="120"/>
      <c r="I428" s="120"/>
      <c r="J428" s="121"/>
      <c r="K428" s="25"/>
    </row>
    <row r="429" spans="2:11" x14ac:dyDescent="0.25">
      <c r="B429" s="93"/>
      <c r="C429" s="89"/>
      <c r="D429" s="120"/>
      <c r="E429" s="120"/>
      <c r="F429" s="120"/>
      <c r="G429" s="120"/>
      <c r="H429" s="120"/>
      <c r="I429" s="120"/>
      <c r="J429" s="121"/>
      <c r="K429" s="25"/>
    </row>
    <row r="430" spans="2:11" x14ac:dyDescent="0.25">
      <c r="B430" s="94"/>
      <c r="C430" s="95"/>
      <c r="D430" s="92"/>
      <c r="E430" s="92"/>
      <c r="F430" s="92"/>
      <c r="G430" s="92"/>
      <c r="H430" s="92"/>
      <c r="I430" s="92"/>
      <c r="J430" s="79"/>
      <c r="K430" s="25"/>
    </row>
    <row r="431" spans="2:11" x14ac:dyDescent="0.25">
      <c r="B431" s="72" t="s">
        <v>381</v>
      </c>
      <c r="C431" s="66" t="s">
        <v>170</v>
      </c>
      <c r="D431" s="67" t="s">
        <v>382</v>
      </c>
      <c r="E431" s="68"/>
      <c r="F431" s="65"/>
      <c r="G431" s="65"/>
      <c r="H431" s="65"/>
      <c r="I431" s="65"/>
      <c r="J431" s="79"/>
      <c r="K431" s="25"/>
    </row>
    <row r="432" spans="2:11" x14ac:dyDescent="0.25">
      <c r="B432" s="72"/>
      <c r="C432" s="66"/>
      <c r="D432" s="67"/>
      <c r="E432" s="68"/>
      <c r="F432" s="65"/>
      <c r="G432" s="65"/>
      <c r="H432" s="65"/>
      <c r="I432" s="65"/>
      <c r="J432" s="79"/>
      <c r="K432" s="25"/>
    </row>
    <row r="433" spans="2:11" x14ac:dyDescent="0.25">
      <c r="B433" s="73"/>
      <c r="C433" s="64"/>
      <c r="D433" s="65"/>
      <c r="E433" s="65"/>
      <c r="F433" s="65"/>
      <c r="G433" s="65"/>
      <c r="H433" s="65"/>
      <c r="I433" s="65"/>
      <c r="J433" s="79"/>
      <c r="K433" s="25"/>
    </row>
    <row r="434" spans="2:11" x14ac:dyDescent="0.25">
      <c r="B434" s="72" t="s">
        <v>383</v>
      </c>
      <c r="C434" s="66" t="s">
        <v>170</v>
      </c>
      <c r="D434" s="67" t="s">
        <v>384</v>
      </c>
      <c r="E434" s="68"/>
      <c r="F434" s="65"/>
      <c r="G434" s="65"/>
      <c r="H434" s="65"/>
      <c r="I434" s="65"/>
      <c r="J434" s="79"/>
      <c r="K434" s="25"/>
    </row>
    <row r="435" spans="2:11" x14ac:dyDescent="0.25">
      <c r="B435" s="72"/>
      <c r="C435" s="66"/>
      <c r="D435" s="67"/>
      <c r="E435" s="68"/>
      <c r="F435" s="65"/>
      <c r="G435" s="65"/>
      <c r="H435" s="65"/>
      <c r="I435" s="65"/>
      <c r="J435" s="79"/>
      <c r="K435" s="25"/>
    </row>
    <row r="436" spans="2:11" x14ac:dyDescent="0.25">
      <c r="B436" s="73"/>
      <c r="C436" s="64"/>
      <c r="D436" s="65"/>
      <c r="E436" s="65"/>
      <c r="F436" s="65"/>
      <c r="G436" s="65"/>
      <c r="H436" s="65"/>
      <c r="I436" s="65"/>
      <c r="J436" s="79"/>
      <c r="K436" s="25"/>
    </row>
    <row r="437" spans="2:11" x14ac:dyDescent="0.25">
      <c r="B437" s="72" t="s">
        <v>385</v>
      </c>
      <c r="C437" s="66" t="s">
        <v>170</v>
      </c>
      <c r="D437" s="67" t="s">
        <v>386</v>
      </c>
      <c r="E437" s="68"/>
      <c r="F437" s="65"/>
      <c r="G437" s="65"/>
      <c r="H437" s="65"/>
      <c r="I437" s="65"/>
      <c r="J437" s="79"/>
      <c r="K437" s="25"/>
    </row>
    <row r="438" spans="2:11" x14ac:dyDescent="0.25">
      <c r="B438" s="72"/>
      <c r="C438" s="66"/>
      <c r="D438" s="67"/>
      <c r="E438" s="68"/>
      <c r="F438" s="65"/>
      <c r="G438" s="65"/>
      <c r="H438" s="65"/>
      <c r="I438" s="65"/>
      <c r="J438" s="79"/>
      <c r="K438" s="25"/>
    </row>
    <row r="439" spans="2:11" x14ac:dyDescent="0.25">
      <c r="B439" s="73"/>
      <c r="C439" s="64"/>
      <c r="D439" s="65"/>
      <c r="E439" s="65"/>
      <c r="F439" s="65"/>
      <c r="G439" s="65"/>
      <c r="H439" s="65"/>
      <c r="I439" s="65"/>
      <c r="J439" s="79"/>
      <c r="K439" s="25"/>
    </row>
    <row r="440" spans="2:11" x14ac:dyDescent="0.25">
      <c r="B440" s="72" t="s">
        <v>387</v>
      </c>
      <c r="C440" s="66" t="s">
        <v>170</v>
      </c>
      <c r="D440" s="67" t="s">
        <v>388</v>
      </c>
      <c r="E440" s="68"/>
      <c r="F440" s="65"/>
      <c r="G440" s="65"/>
      <c r="H440" s="65"/>
      <c r="I440" s="65"/>
      <c r="J440" s="79"/>
      <c r="K440" s="25"/>
    </row>
    <row r="441" spans="2:11" x14ac:dyDescent="0.25">
      <c r="B441" s="72"/>
      <c r="C441" s="66"/>
      <c r="D441" s="67"/>
      <c r="E441" s="68"/>
      <c r="F441" s="65"/>
      <c r="G441" s="65"/>
      <c r="H441" s="65"/>
      <c r="I441" s="65"/>
      <c r="J441" s="79"/>
      <c r="K441" s="25"/>
    </row>
    <row r="442" spans="2:11" x14ac:dyDescent="0.25">
      <c r="B442" s="73"/>
      <c r="C442" s="64"/>
      <c r="D442" s="65"/>
      <c r="E442" s="65"/>
      <c r="F442" s="65"/>
      <c r="G442" s="65"/>
      <c r="H442" s="65"/>
      <c r="I442" s="65"/>
      <c r="J442" s="79"/>
      <c r="K442" s="25"/>
    </row>
    <row r="443" spans="2:11" x14ac:dyDescent="0.25">
      <c r="B443" s="72" t="s">
        <v>389</v>
      </c>
      <c r="C443" s="66" t="s">
        <v>170</v>
      </c>
      <c r="D443" s="109" t="s">
        <v>390</v>
      </c>
      <c r="E443" s="109"/>
      <c r="F443" s="109"/>
      <c r="G443" s="109"/>
      <c r="H443" s="109"/>
      <c r="I443" s="109"/>
      <c r="J443" s="110"/>
      <c r="K443" s="25"/>
    </row>
    <row r="444" spans="2:11" x14ac:dyDescent="0.25">
      <c r="B444" s="72"/>
      <c r="C444" s="66"/>
      <c r="D444" s="109"/>
      <c r="E444" s="109"/>
      <c r="F444" s="109"/>
      <c r="G444" s="109"/>
      <c r="H444" s="109"/>
      <c r="I444" s="109"/>
      <c r="J444" s="110"/>
      <c r="K444" s="25"/>
    </row>
    <row r="445" spans="2:11" x14ac:dyDescent="0.25">
      <c r="B445" s="72"/>
      <c r="C445" s="66"/>
      <c r="D445" s="67"/>
      <c r="E445" s="68"/>
      <c r="F445" s="65"/>
      <c r="G445" s="65"/>
      <c r="H445" s="65"/>
      <c r="I445" s="65"/>
      <c r="J445" s="79"/>
      <c r="K445" s="25"/>
    </row>
    <row r="446" spans="2:11" x14ac:dyDescent="0.25">
      <c r="B446" s="74" t="s">
        <v>391</v>
      </c>
      <c r="C446" s="64"/>
      <c r="D446" s="65"/>
      <c r="E446" s="75"/>
      <c r="F446" s="65"/>
      <c r="G446" s="65"/>
      <c r="H446" s="65"/>
      <c r="I446" s="65"/>
      <c r="J446" s="79"/>
      <c r="K446" s="25"/>
    </row>
    <row r="447" spans="2:11" ht="119.25" customHeight="1" x14ac:dyDescent="0.25">
      <c r="B447" s="63"/>
      <c r="C447" s="109" t="s">
        <v>392</v>
      </c>
      <c r="D447" s="109"/>
      <c r="E447" s="109"/>
      <c r="F447" s="65"/>
      <c r="G447" s="65"/>
      <c r="H447" s="65"/>
      <c r="I447" s="65"/>
      <c r="J447" s="79"/>
      <c r="K447" s="25"/>
    </row>
    <row r="448" spans="2:11" x14ac:dyDescent="0.25">
      <c r="B448" s="74" t="s">
        <v>393</v>
      </c>
      <c r="C448" s="64"/>
      <c r="D448" s="65"/>
      <c r="E448" s="75"/>
      <c r="F448" s="65"/>
      <c r="G448" s="65"/>
      <c r="H448" s="65"/>
      <c r="I448" s="65"/>
      <c r="J448" s="79"/>
      <c r="K448" s="25"/>
    </row>
    <row r="449" spans="2:11" ht="19.5" customHeight="1" x14ac:dyDescent="0.25">
      <c r="B449" s="63"/>
      <c r="C449" s="109" t="s">
        <v>394</v>
      </c>
      <c r="D449" s="109"/>
      <c r="E449" s="109"/>
      <c r="F449" s="65"/>
      <c r="G449" s="65"/>
      <c r="H449" s="65"/>
      <c r="I449" s="65"/>
      <c r="J449" s="79"/>
      <c r="K449" s="25"/>
    </row>
    <row r="450" spans="2:11" x14ac:dyDescent="0.25">
      <c r="B450" s="74" t="s">
        <v>395</v>
      </c>
      <c r="C450" s="96"/>
      <c r="D450" s="76"/>
      <c r="E450" s="76"/>
      <c r="F450" s="65"/>
      <c r="G450" s="65"/>
      <c r="H450" s="65"/>
      <c r="I450" s="65"/>
      <c r="J450" s="79"/>
      <c r="K450" s="25"/>
    </row>
    <row r="451" spans="2:11" x14ac:dyDescent="0.25">
      <c r="B451" s="63"/>
      <c r="C451" s="113" t="s">
        <v>396</v>
      </c>
      <c r="D451" s="113"/>
      <c r="E451" s="113"/>
      <c r="F451" s="65"/>
      <c r="G451" s="65"/>
      <c r="H451" s="65"/>
      <c r="I451" s="65"/>
      <c r="J451" s="79"/>
      <c r="K451" s="25"/>
    </row>
    <row r="452" spans="2:11" x14ac:dyDescent="0.25">
      <c r="B452" s="74" t="s">
        <v>397</v>
      </c>
      <c r="C452" s="64"/>
      <c r="D452" s="65"/>
      <c r="E452" s="65"/>
      <c r="F452" s="65"/>
      <c r="G452" s="65"/>
      <c r="H452" s="65"/>
      <c r="I452" s="65"/>
      <c r="J452" s="79"/>
      <c r="K452" s="25"/>
    </row>
    <row r="453" spans="2:11" x14ac:dyDescent="0.25">
      <c r="B453" s="63"/>
      <c r="C453" s="64" t="s">
        <v>398</v>
      </c>
      <c r="D453" s="65"/>
      <c r="E453" s="65"/>
      <c r="F453" s="65"/>
      <c r="G453" s="65"/>
      <c r="H453" s="65"/>
      <c r="I453" s="65"/>
      <c r="J453" s="79"/>
      <c r="K453" s="25"/>
    </row>
    <row r="454" spans="2:11" x14ac:dyDescent="0.25">
      <c r="B454" s="82"/>
      <c r="C454" s="6"/>
      <c r="D454" s="25"/>
      <c r="E454" s="25"/>
      <c r="F454" s="25"/>
      <c r="G454" s="25"/>
      <c r="H454" s="25"/>
      <c r="I454" s="25"/>
      <c r="J454" s="79"/>
      <c r="K454" s="25"/>
    </row>
    <row r="455" spans="2:11" ht="14.25" thickBot="1" x14ac:dyDescent="0.3">
      <c r="B455" s="83"/>
      <c r="C455" s="84"/>
      <c r="D455" s="85"/>
      <c r="E455" s="85"/>
      <c r="F455" s="85"/>
      <c r="G455" s="85"/>
      <c r="H455" s="85"/>
      <c r="I455" s="85"/>
      <c r="J455" s="86"/>
      <c r="K455" s="25"/>
    </row>
  </sheetData>
  <autoFilter ref="A9:K119" xr:uid="{00000000-0009-0000-0000-000000000000}"/>
  <mergeCells count="38">
    <mergeCell ref="D443:J444"/>
    <mergeCell ref="D384:J385"/>
    <mergeCell ref="D381:J382"/>
    <mergeCell ref="D387:J388"/>
    <mergeCell ref="D393:J394"/>
    <mergeCell ref="D428:J429"/>
    <mergeCell ref="D390:J391"/>
    <mergeCell ref="D307:J308"/>
    <mergeCell ref="C447:E447"/>
    <mergeCell ref="C449:E449"/>
    <mergeCell ref="C451:E451"/>
    <mergeCell ref="B2:H2"/>
    <mergeCell ref="A4:B4"/>
    <mergeCell ref="C4:E4"/>
    <mergeCell ref="A5:B5"/>
    <mergeCell ref="C5:I5"/>
    <mergeCell ref="A6:B6"/>
    <mergeCell ref="A7:B7"/>
    <mergeCell ref="D123:I123"/>
    <mergeCell ref="D129:I130"/>
    <mergeCell ref="D199:J200"/>
    <mergeCell ref="D226:J227"/>
    <mergeCell ref="D250:J251"/>
    <mergeCell ref="D301:J302"/>
    <mergeCell ref="D184:J185"/>
    <mergeCell ref="D193:J194"/>
    <mergeCell ref="D211:J212"/>
    <mergeCell ref="D232:J233"/>
    <mergeCell ref="D253:J254"/>
    <mergeCell ref="D256:J258"/>
    <mergeCell ref="D268:J269"/>
    <mergeCell ref="D295:J296"/>
    <mergeCell ref="D310:J311"/>
    <mergeCell ref="D316:J317"/>
    <mergeCell ref="D319:J320"/>
    <mergeCell ref="D364:J365"/>
    <mergeCell ref="D373:J374"/>
    <mergeCell ref="D328:J329"/>
  </mergeCells>
  <pageMargins left="0.7" right="0.234375" top="0.52696078431372551" bottom="0.31862745098039214" header="0.51180555555555496" footer="0.51180555555555496"/>
  <pageSetup paperSize="190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tabSelected="1" workbookViewId="0">
      <selection activeCell="E13" sqref="E13"/>
    </sheetView>
  </sheetViews>
  <sheetFormatPr baseColWidth="10" defaultColWidth="11.42578125" defaultRowHeight="12.75" x14ac:dyDescent="0.2"/>
  <sheetData>
    <row r="1" spans="1:8" x14ac:dyDescent="0.2">
      <c r="A1" s="122" t="s">
        <v>399</v>
      </c>
      <c r="B1" s="123"/>
      <c r="C1" s="123"/>
      <c r="D1" s="123"/>
      <c r="E1" s="123"/>
      <c r="F1" s="123"/>
      <c r="G1" s="123"/>
      <c r="H1" s="124"/>
    </row>
    <row r="2" spans="1:8" x14ac:dyDescent="0.2">
      <c r="A2" s="125"/>
      <c r="B2" s="126"/>
      <c r="C2" s="126"/>
      <c r="D2" s="126"/>
      <c r="E2" s="126"/>
      <c r="F2" s="126"/>
      <c r="G2" s="126"/>
      <c r="H2" s="127"/>
    </row>
    <row r="3" spans="1:8" x14ac:dyDescent="0.2">
      <c r="A3" s="125"/>
      <c r="B3" s="126"/>
      <c r="C3" s="126"/>
      <c r="D3" s="126"/>
      <c r="E3" s="126"/>
      <c r="F3" s="126"/>
      <c r="G3" s="126"/>
      <c r="H3" s="127"/>
    </row>
    <row r="4" spans="1:8" x14ac:dyDescent="0.2">
      <c r="A4" s="125"/>
      <c r="B4" s="126"/>
      <c r="C4" s="126"/>
      <c r="D4" s="126"/>
      <c r="E4" s="126"/>
      <c r="F4" s="126"/>
      <c r="G4" s="126"/>
      <c r="H4" s="127"/>
    </row>
    <row r="5" spans="1:8" x14ac:dyDescent="0.2">
      <c r="A5" s="125"/>
      <c r="B5" s="126"/>
      <c r="C5" s="126"/>
      <c r="D5" s="126"/>
      <c r="E5" s="126"/>
      <c r="F5" s="126"/>
      <c r="G5" s="126"/>
      <c r="H5" s="127"/>
    </row>
    <row r="6" spans="1:8" ht="13.5" thickBot="1" x14ac:dyDescent="0.25">
      <c r="A6" s="128"/>
      <c r="B6" s="129"/>
      <c r="C6" s="129"/>
      <c r="D6" s="129"/>
      <c r="E6" s="129"/>
      <c r="F6" s="129"/>
      <c r="G6" s="129"/>
      <c r="H6" s="130"/>
    </row>
  </sheetData>
  <mergeCells count="1">
    <mergeCell ref="A1:H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J121"/>
  <sheetViews>
    <sheetView topLeftCell="P14" zoomScale="85" zoomScaleNormal="85" workbookViewId="0">
      <selection activeCell="Q15" sqref="Q15:S16"/>
    </sheetView>
  </sheetViews>
  <sheetFormatPr baseColWidth="10" defaultColWidth="9.140625" defaultRowHeight="13.5" x14ac:dyDescent="0.25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  <col min="1025" max="16384" width="9.140625" style="3"/>
  </cols>
  <sheetData>
    <row r="1" spans="1:11" ht="26.25" customHeight="1" x14ac:dyDescent="0.25">
      <c r="A1" s="139" t="s">
        <v>400</v>
      </c>
      <c r="B1" s="139"/>
      <c r="C1" s="139"/>
      <c r="D1" s="139"/>
      <c r="E1" s="139"/>
      <c r="F1" s="139"/>
      <c r="G1" s="139"/>
      <c r="H1" s="139"/>
      <c r="I1" s="139"/>
      <c r="J1" s="1" t="s">
        <v>401</v>
      </c>
      <c r="K1" s="77" t="s">
        <v>402</v>
      </c>
    </row>
    <row r="2" spans="1:11" ht="18.75" customHeight="1" thickBot="1" x14ac:dyDescent="0.3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3">
      <c r="A3" s="140" t="s">
        <v>403</v>
      </c>
      <c r="B3" s="140"/>
      <c r="C3" s="140"/>
      <c r="D3" s="141" t="str">
        <f>'Necesidades Trimestrales'!C4</f>
        <v>90 - Ministerio de Seguridad</v>
      </c>
      <c r="E3" s="141"/>
      <c r="F3" s="141"/>
      <c r="G3" s="141"/>
      <c r="H3" s="141"/>
      <c r="I3" s="141"/>
      <c r="J3" s="141"/>
      <c r="K3" s="141"/>
    </row>
    <row r="4" spans="1:11" ht="18.75" customHeight="1" thickBot="1" x14ac:dyDescent="0.3">
      <c r="A4" s="142" t="s">
        <v>404</v>
      </c>
      <c r="B4" s="142"/>
      <c r="C4" s="142"/>
      <c r="D4" s="141" t="str">
        <f>'Necesidades Trimestrales'!C5</f>
        <v>7- Dirección Provincial de Administración de la Policía de la Provincia de Catamarca</v>
      </c>
      <c r="E4" s="141"/>
      <c r="F4" s="141"/>
      <c r="G4" s="141"/>
      <c r="H4" s="141"/>
      <c r="I4" s="141"/>
      <c r="J4" s="141"/>
      <c r="K4" s="141"/>
    </row>
    <row r="5" spans="1:11" ht="18.75" customHeight="1" thickBot="1" x14ac:dyDescent="0.3">
      <c r="A5" s="142" t="s">
        <v>405</v>
      </c>
      <c r="B5" s="142"/>
      <c r="C5" s="142"/>
      <c r="D5" s="141" t="s">
        <v>406</v>
      </c>
      <c r="E5" s="141"/>
      <c r="F5" s="141"/>
      <c r="G5" s="141"/>
      <c r="H5" s="141"/>
      <c r="I5" s="141"/>
      <c r="J5" s="141"/>
      <c r="K5" s="141"/>
    </row>
    <row r="6" spans="1:11" ht="16.5" customHeight="1" thickBot="1" x14ac:dyDescent="0.3">
      <c r="A6" s="140" t="s">
        <v>407</v>
      </c>
      <c r="B6" s="140"/>
      <c r="C6" s="140"/>
      <c r="D6" s="141" t="s">
        <v>408</v>
      </c>
      <c r="E6" s="141"/>
      <c r="F6" s="141"/>
      <c r="G6" s="141"/>
      <c r="H6" s="141"/>
      <c r="I6" s="141"/>
      <c r="J6" s="141"/>
      <c r="K6" s="141"/>
    </row>
    <row r="7" spans="1:11" ht="16.5" customHeight="1" x14ac:dyDescent="0.25">
      <c r="A7" s="142" t="s">
        <v>409</v>
      </c>
      <c r="B7" s="142"/>
      <c r="C7" s="142"/>
      <c r="D7" s="141" t="str">
        <f>'Necesidades Trimestrales'!C7 &amp; "° Trimestre - Año " &amp; 'Necesidades Trimestrales'!C6</f>
        <v>3° Trimestre - Año 2021</v>
      </c>
      <c r="E7" s="141"/>
      <c r="F7" s="141"/>
      <c r="G7" s="141"/>
      <c r="H7" s="141"/>
      <c r="I7" s="141"/>
      <c r="J7" s="141"/>
      <c r="K7" s="141"/>
    </row>
    <row r="8" spans="1:11" ht="16.5" customHeight="1" x14ac:dyDescent="0.25">
      <c r="A8" s="134" t="s">
        <v>410</v>
      </c>
      <c r="B8" s="134"/>
      <c r="C8" s="134"/>
      <c r="D8" s="135" t="s">
        <v>411</v>
      </c>
      <c r="E8" s="135"/>
      <c r="F8" s="135"/>
      <c r="G8" s="135"/>
      <c r="H8" s="135"/>
      <c r="I8" s="135"/>
      <c r="J8" s="135"/>
      <c r="K8" s="135"/>
    </row>
    <row r="9" spans="1:11" ht="14.25" thickBot="1" x14ac:dyDescent="0.3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thickBot="1" x14ac:dyDescent="0.3">
      <c r="A10" s="136" t="s">
        <v>412</v>
      </c>
      <c r="B10" s="137" t="s">
        <v>413</v>
      </c>
      <c r="C10" s="137" t="s">
        <v>414</v>
      </c>
      <c r="D10" s="137"/>
      <c r="E10" s="137"/>
      <c r="F10" s="137"/>
      <c r="G10" s="137"/>
      <c r="H10" s="137" t="s">
        <v>415</v>
      </c>
      <c r="I10" s="137" t="s">
        <v>416</v>
      </c>
      <c r="J10" s="137" t="s">
        <v>417</v>
      </c>
      <c r="K10" s="138" t="s">
        <v>418</v>
      </c>
    </row>
    <row r="11" spans="1:11" ht="24" customHeight="1" thickBot="1" x14ac:dyDescent="0.3">
      <c r="A11" s="136"/>
      <c r="B11" s="137"/>
      <c r="C11" s="137"/>
      <c r="D11" s="137"/>
      <c r="E11" s="137"/>
      <c r="F11" s="137"/>
      <c r="G11" s="137"/>
      <c r="H11" s="137"/>
      <c r="I11" s="137"/>
      <c r="J11" s="137"/>
      <c r="K11" s="138"/>
    </row>
    <row r="12" spans="1:11" ht="29.25" customHeight="1" x14ac:dyDescent="0.25">
      <c r="A12" s="8">
        <f>'Necesidades Trimestrales'!A10</f>
        <v>1</v>
      </c>
      <c r="B12" s="9" t="str">
        <f>'Necesidades Trimestrales'!B10</f>
        <v>2.9.6-9688.624</v>
      </c>
      <c r="C12" s="132" t="str">
        <f>'Necesidades Trimestrales'!E10</f>
        <v>REP. Y ACC. P/CAMIONETAS; MARCA AUTOMOTOR: SEGÚN PLIEGO, MODELO AUTOMOTOR: SEGÚN PLIEGO, ELEMENTO: KIT DE FILTROS</v>
      </c>
      <c r="D12" s="132"/>
      <c r="E12" s="132"/>
      <c r="F12" s="132"/>
      <c r="G12" s="132"/>
      <c r="H12" s="9" t="s">
        <v>419</v>
      </c>
      <c r="I12" s="9" t="str">
        <f>'Necesidades Trimestrales'!F10</f>
        <v>UNIDAD</v>
      </c>
      <c r="J12" s="10">
        <f>'Necesidades Trimestrales'!H10</f>
        <v>12343.27</v>
      </c>
      <c r="K12" s="11">
        <f>'Necesidades Trimestrales'!G10</f>
        <v>170</v>
      </c>
    </row>
    <row r="13" spans="1:11" ht="29.25" customHeight="1" x14ac:dyDescent="0.25">
      <c r="A13" s="8">
        <v>2</v>
      </c>
      <c r="B13" s="9" t="str">
        <f>'Necesidades Trimestrales'!B11</f>
        <v>2.9.6-9688.390</v>
      </c>
      <c r="C13" s="132" t="str">
        <f>'Necesidades Trimestrales'!E11</f>
        <v>REP. Y ACC. P/CAMIONETAS; MARCA AUTOMOTOR: TOYOTA, MODELO AUTOMOTOR: HILUX, ELEMENTO: KIT DE FILTROS</v>
      </c>
      <c r="D13" s="132"/>
      <c r="E13" s="132"/>
      <c r="F13" s="132"/>
      <c r="G13" s="132"/>
      <c r="H13" s="9" t="s">
        <v>419</v>
      </c>
      <c r="I13" s="9" t="str">
        <f>'Necesidades Trimestrales'!F11</f>
        <v>UNIDAD</v>
      </c>
      <c r="J13" s="10">
        <f>'Necesidades Trimestrales'!H11</f>
        <v>9314</v>
      </c>
      <c r="K13" s="11">
        <f>'Necesidades Trimestrales'!G11</f>
        <v>200</v>
      </c>
    </row>
    <row r="14" spans="1:11" ht="29.25" customHeight="1" x14ac:dyDescent="0.25">
      <c r="A14" s="8">
        <v>3</v>
      </c>
      <c r="B14" s="9" t="str">
        <f>'Necesidades Trimestrales'!B12</f>
        <v>2.9.6-9688.386</v>
      </c>
      <c r="C14" s="132" t="str">
        <f>'Necesidades Trimestrales'!E12</f>
        <v>REP. Y ACC. P/CAMIONETAS; MARCA AUTOMOTOR: CHEVROLET, MODELO AUTOMOTOR: S10, ELEMENTO: KIT DE FILTROS</v>
      </c>
      <c r="D14" s="132"/>
      <c r="E14" s="132"/>
      <c r="F14" s="132"/>
      <c r="G14" s="132"/>
      <c r="H14" s="9" t="s">
        <v>419</v>
      </c>
      <c r="I14" s="9" t="str">
        <f>'Necesidades Trimestrales'!F12</f>
        <v>UNIDAD</v>
      </c>
      <c r="J14" s="10">
        <f>'Necesidades Trimestrales'!H12</f>
        <v>7990</v>
      </c>
      <c r="K14" s="11">
        <f>'Necesidades Trimestrales'!G12</f>
        <v>70</v>
      </c>
    </row>
    <row r="15" spans="1:11" ht="29.25" customHeight="1" x14ac:dyDescent="0.25">
      <c r="A15" s="8">
        <v>4</v>
      </c>
      <c r="B15" s="9" t="str">
        <f>'Necesidades Trimestrales'!B13</f>
        <v>2.9.6-9688.521</v>
      </c>
      <c r="C15" s="132" t="str">
        <f>'Necesidades Trimestrales'!E13</f>
        <v>REP. Y ACC. P/CAMIONETAS; MARCA AUTOMOTOR: VOLKSWAGEN, MODELO AUTOMOTOR: AMAROK, ELEMENTO: AMORTIGUADOR</v>
      </c>
      <c r="D15" s="132"/>
      <c r="E15" s="132"/>
      <c r="F15" s="132"/>
      <c r="G15" s="132"/>
      <c r="H15" s="9" t="s">
        <v>419</v>
      </c>
      <c r="I15" s="9" t="str">
        <f>'Necesidades Trimestrales'!F13</f>
        <v>UNIDAD</v>
      </c>
      <c r="J15" s="10">
        <f>'Necesidades Trimestrales'!H13</f>
        <v>24900</v>
      </c>
      <c r="K15" s="11">
        <f>'Necesidades Trimestrales'!G13</f>
        <v>10</v>
      </c>
    </row>
    <row r="16" spans="1:11" ht="29.25" customHeight="1" x14ac:dyDescent="0.25">
      <c r="A16" s="8">
        <v>5</v>
      </c>
      <c r="B16" s="9" t="str">
        <f>'Necesidades Trimestrales'!B14</f>
        <v>2.9.6-9688.521</v>
      </c>
      <c r="C16" s="132" t="str">
        <f>'Necesidades Trimestrales'!E14</f>
        <v>REP. Y ACC. P/CAMIONETAS; MARCA AUTOMOTOR: VOLKSWAGEN, MODELO AUTOMOTOR: AMAROK, ELEMENTO: AMORTIGUADOR</v>
      </c>
      <c r="D16" s="132"/>
      <c r="E16" s="132"/>
      <c r="F16" s="132"/>
      <c r="G16" s="132"/>
      <c r="H16" s="9" t="s">
        <v>419</v>
      </c>
      <c r="I16" s="9" t="str">
        <f>'Necesidades Trimestrales'!F14</f>
        <v>UNIDAD</v>
      </c>
      <c r="J16" s="10">
        <f>'Necesidades Trimestrales'!H14</f>
        <v>10896</v>
      </c>
      <c r="K16" s="11">
        <f>'Necesidades Trimestrales'!G14</f>
        <v>10</v>
      </c>
    </row>
    <row r="17" spans="1:11" ht="29.25" customHeight="1" x14ac:dyDescent="0.25">
      <c r="A17" s="8">
        <v>6</v>
      </c>
      <c r="B17" s="9" t="str">
        <f>'Necesidades Trimestrales'!B15</f>
        <v>2.9.6-9688.376</v>
      </c>
      <c r="C17" s="132" t="str">
        <f>'Necesidades Trimestrales'!E15</f>
        <v>REP. Y ACC. P/CAMIONETAS; MARCA AUTOMOTOR: TOYOTA, MODELO AUTOMOTOR: HILUX, ELEMENTO: AMORTIGUADOR DELANTERO</v>
      </c>
      <c r="D17" s="132"/>
      <c r="E17" s="132"/>
      <c r="F17" s="132"/>
      <c r="G17" s="132"/>
      <c r="H17" s="9" t="s">
        <v>419</v>
      </c>
      <c r="I17" s="9" t="str">
        <f>'Necesidades Trimestrales'!F15</f>
        <v>UNIDAD</v>
      </c>
      <c r="J17" s="10">
        <f>'Necesidades Trimestrales'!H15</f>
        <v>15998</v>
      </c>
      <c r="K17" s="11">
        <f>'Necesidades Trimestrales'!G15</f>
        <v>10</v>
      </c>
    </row>
    <row r="18" spans="1:11" ht="29.25" customHeight="1" x14ac:dyDescent="0.25">
      <c r="A18" s="8">
        <v>7</v>
      </c>
      <c r="B18" s="9" t="str">
        <f>'Necesidades Trimestrales'!B16</f>
        <v>2.9.6-9688.377</v>
      </c>
      <c r="C18" s="132" t="str">
        <f>'Necesidades Trimestrales'!E16</f>
        <v>REP. Y ACC. P/CAMIONETAS; MARCA AUTOMOTOR: TOYOTA, MODELO AUTOMOTOR: HILUX, ELEMENTO: AMORTIGUADOR TRASERO</v>
      </c>
      <c r="D18" s="132"/>
      <c r="E18" s="132"/>
      <c r="F18" s="132"/>
      <c r="G18" s="132"/>
      <c r="H18" s="9" t="s">
        <v>419</v>
      </c>
      <c r="I18" s="9" t="str">
        <f>'Necesidades Trimestrales'!F16</f>
        <v>UNIDAD</v>
      </c>
      <c r="J18" s="10">
        <f>'Necesidades Trimestrales'!H16</f>
        <v>9500</v>
      </c>
      <c r="K18" s="11">
        <f>'Necesidades Trimestrales'!G16</f>
        <v>10</v>
      </c>
    </row>
    <row r="19" spans="1:11" ht="29.25" customHeight="1" x14ac:dyDescent="0.25">
      <c r="A19" s="8">
        <v>8</v>
      </c>
      <c r="B19" s="9" t="str">
        <f>'Necesidades Trimestrales'!B17</f>
        <v>2.9.6-9688.376</v>
      </c>
      <c r="C19" s="132" t="str">
        <f>'Necesidades Trimestrales'!E17</f>
        <v>REP. Y ACC. P/CAMIONETAS; MARCA AUTOMOTOR: TOYOTA, MODELO AUTOMOTOR: HILUX, ELEMENTO: AMORTIGUADOR DELANTERO</v>
      </c>
      <c r="D19" s="132"/>
      <c r="E19" s="132"/>
      <c r="F19" s="132"/>
      <c r="G19" s="132"/>
      <c r="H19" s="9" t="s">
        <v>419</v>
      </c>
      <c r="I19" s="9" t="str">
        <f>'Necesidades Trimestrales'!F17</f>
        <v>UNIDAD</v>
      </c>
      <c r="J19" s="10">
        <f>'Necesidades Trimestrales'!H17</f>
        <v>15998</v>
      </c>
      <c r="K19" s="11">
        <f>'Necesidades Trimestrales'!G17</f>
        <v>5</v>
      </c>
    </row>
    <row r="20" spans="1:11" ht="29.25" customHeight="1" x14ac:dyDescent="0.25">
      <c r="A20" s="8">
        <v>9</v>
      </c>
      <c r="B20" s="9" t="str">
        <f>'Necesidades Trimestrales'!B18</f>
        <v>2.9.6-9688.377</v>
      </c>
      <c r="C20" s="132" t="str">
        <f>'Necesidades Trimestrales'!E18</f>
        <v>REP. Y ACC. P/CAMIONETAS; MARCA AUTOMOTOR: TOYOTA, MODELO AUTOMOTOR: HILUX, ELEMENTO: AMORTIGUADOR TRASERO</v>
      </c>
      <c r="D20" s="132"/>
      <c r="E20" s="132"/>
      <c r="F20" s="132"/>
      <c r="G20" s="132"/>
      <c r="H20" s="9" t="s">
        <v>419</v>
      </c>
      <c r="I20" s="9" t="str">
        <f>'Necesidades Trimestrales'!F18</f>
        <v>UNIDAD</v>
      </c>
      <c r="J20" s="10">
        <f>'Necesidades Trimestrales'!H18</f>
        <v>9500</v>
      </c>
      <c r="K20" s="11">
        <f>'Necesidades Trimestrales'!G18</f>
        <v>5</v>
      </c>
    </row>
    <row r="21" spans="1:11" ht="29.25" customHeight="1" x14ac:dyDescent="0.25">
      <c r="A21" s="8">
        <v>10</v>
      </c>
      <c r="B21" s="9" t="str">
        <f>'Necesidades Trimestrales'!B19</f>
        <v>2.9.6-9688.534</v>
      </c>
      <c r="C21" s="132" t="str">
        <f>'Necesidades Trimestrales'!E19</f>
        <v>REP. Y ACC. P/CAMIONETAS; MARCA AUTOMOTOR: CHEVROLET, MODELO AUTOMOTOR: S10, ELEMENTO: AMORTIGUADOR DELANTERO</v>
      </c>
      <c r="D21" s="132"/>
      <c r="E21" s="132"/>
      <c r="F21" s="132"/>
      <c r="G21" s="132"/>
      <c r="H21" s="9" t="s">
        <v>419</v>
      </c>
      <c r="I21" s="9" t="str">
        <f>'Necesidades Trimestrales'!F19</f>
        <v>UNIDAD</v>
      </c>
      <c r="J21" s="10">
        <f>'Necesidades Trimestrales'!H19</f>
        <v>9453</v>
      </c>
      <c r="K21" s="11">
        <f>'Necesidades Trimestrales'!G19</f>
        <v>10</v>
      </c>
    </row>
    <row r="22" spans="1:11" ht="29.25" customHeight="1" x14ac:dyDescent="0.25">
      <c r="A22" s="8">
        <v>11</v>
      </c>
      <c r="B22" s="9" t="str">
        <f>'Necesidades Trimestrales'!B20</f>
        <v>2.9.6-9688.535</v>
      </c>
      <c r="C22" s="132" t="str">
        <f>'Necesidades Trimestrales'!E20</f>
        <v>REP. Y ACC. P/CAMIONETAS; MARCA AUTOMOTOR: CHEVROLET, MODELO AUTOMOTOR: S10, ELEMENTO: AMORTIGUADOR TRASERO</v>
      </c>
      <c r="D22" s="132"/>
      <c r="E22" s="132"/>
      <c r="F22" s="132"/>
      <c r="G22" s="132"/>
      <c r="H22" s="9" t="s">
        <v>419</v>
      </c>
      <c r="I22" s="9" t="str">
        <f>'Necesidades Trimestrales'!F20</f>
        <v>UNIDAD</v>
      </c>
      <c r="J22" s="10">
        <f>'Necesidades Trimestrales'!H20</f>
        <v>16736</v>
      </c>
      <c r="K22" s="11">
        <f>'Necesidades Trimestrales'!G20</f>
        <v>10</v>
      </c>
    </row>
    <row r="23" spans="1:11" ht="29.25" customHeight="1" x14ac:dyDescent="0.25">
      <c r="A23" s="8">
        <v>12</v>
      </c>
      <c r="B23" s="9" t="str">
        <f>'Necesidades Trimestrales'!B21</f>
        <v>2.9.6-9688.534</v>
      </c>
      <c r="C23" s="132" t="str">
        <f>'Necesidades Trimestrales'!E21</f>
        <v>REP. Y ACC. P/CAMIONETAS; MARCA AUTOMOTOR: CHEVROLET, MODELO AUTOMOTOR: S10, ELEMENTO: AMORTIGUADOR DELANTERO</v>
      </c>
      <c r="D23" s="132"/>
      <c r="E23" s="132"/>
      <c r="F23" s="132"/>
      <c r="G23" s="132"/>
      <c r="H23" s="9" t="s">
        <v>419</v>
      </c>
      <c r="I23" s="9" t="str">
        <f>'Necesidades Trimestrales'!F21</f>
        <v>UNIDAD</v>
      </c>
      <c r="J23" s="10">
        <f>'Necesidades Trimestrales'!H21</f>
        <v>9453</v>
      </c>
      <c r="K23" s="11">
        <f>'Necesidades Trimestrales'!G21</f>
        <v>10</v>
      </c>
    </row>
    <row r="24" spans="1:11" ht="29.25" customHeight="1" x14ac:dyDescent="0.25">
      <c r="A24" s="8">
        <v>13</v>
      </c>
      <c r="B24" s="9" t="str">
        <f>'Necesidades Trimestrales'!B22</f>
        <v>2.9.6-9688.535</v>
      </c>
      <c r="C24" s="132" t="str">
        <f>'Necesidades Trimestrales'!E22</f>
        <v>REP. Y ACC. P/CAMIONETAS; MARCA AUTOMOTOR: CHEVROLET, MODELO AUTOMOTOR: S10, ELEMENTO: AMORTIGUADOR TRASERO</v>
      </c>
      <c r="D24" s="132"/>
      <c r="E24" s="132"/>
      <c r="F24" s="132"/>
      <c r="G24" s="132"/>
      <c r="H24" s="9" t="s">
        <v>419</v>
      </c>
      <c r="I24" s="9" t="str">
        <f>'Necesidades Trimestrales'!F22</f>
        <v>UNIDAD</v>
      </c>
      <c r="J24" s="10">
        <f>'Necesidades Trimestrales'!H22</f>
        <v>16736</v>
      </c>
      <c r="K24" s="11">
        <f>'Necesidades Trimestrales'!G22</f>
        <v>10</v>
      </c>
    </row>
    <row r="25" spans="1:11" ht="29.25" customHeight="1" x14ac:dyDescent="0.25">
      <c r="A25" s="8">
        <v>14</v>
      </c>
      <c r="B25" s="9" t="str">
        <f>'Necesidades Trimestrales'!B23</f>
        <v>2.9.6-9688.203</v>
      </c>
      <c r="C25" s="132" t="str">
        <f>'Necesidades Trimestrales'!E23</f>
        <v>REP. Y ACC. P/CAMIONETAS; MARCA AUTOMOTOR: VOLKSWAGEN, MODELO AUTOMOTOR: AMAROK, ELEMENTO: PASTILLA DE FRENO</v>
      </c>
      <c r="D25" s="132"/>
      <c r="E25" s="132"/>
      <c r="F25" s="132"/>
      <c r="G25" s="132"/>
      <c r="H25" s="9" t="s">
        <v>419</v>
      </c>
      <c r="I25" s="9" t="str">
        <f>'Necesidades Trimestrales'!F23</f>
        <v>UNIDAD</v>
      </c>
      <c r="J25" s="10">
        <f>'Necesidades Trimestrales'!H23</f>
        <v>8332</v>
      </c>
      <c r="K25" s="11">
        <f>'Necesidades Trimestrales'!G23</f>
        <v>40</v>
      </c>
    </row>
    <row r="26" spans="1:11" ht="29.25" customHeight="1" x14ac:dyDescent="0.25">
      <c r="A26" s="8">
        <v>15</v>
      </c>
      <c r="B26" s="9" t="str">
        <f>'Necesidades Trimestrales'!B24</f>
        <v>2.9.6-9688.137</v>
      </c>
      <c r="C26" s="132" t="str">
        <f>'Necesidades Trimestrales'!E24</f>
        <v>REP. Y ACC. P/CAMIONETAS; MARCA AUTOMOTOR: TOYOTA, MODELO AUTOMOTOR: HILUX, ELEMENTO: JGO DE PASTILLAS DE FRENO</v>
      </c>
      <c r="D26" s="132"/>
      <c r="E26" s="132"/>
      <c r="F26" s="132"/>
      <c r="G26" s="132"/>
      <c r="H26" s="9" t="s">
        <v>419</v>
      </c>
      <c r="I26" s="9" t="str">
        <f>'Necesidades Trimestrales'!F24</f>
        <v>UNIDAD</v>
      </c>
      <c r="J26" s="10">
        <f>'Necesidades Trimestrales'!H24</f>
        <v>16559</v>
      </c>
      <c r="K26" s="11">
        <f>'Necesidades Trimestrales'!G24</f>
        <v>40</v>
      </c>
    </row>
    <row r="27" spans="1:11" ht="29.25" customHeight="1" x14ac:dyDescent="0.25">
      <c r="A27" s="8">
        <v>16</v>
      </c>
      <c r="B27" s="9" t="str">
        <f>'Necesidades Trimestrales'!B25</f>
        <v>2.9.6-9688.137</v>
      </c>
      <c r="C27" s="132" t="str">
        <f>'Necesidades Trimestrales'!E25</f>
        <v>REP. Y ACC. P/CAMIONETAS; MARCA AUTOMOTOR: TOYOTA, MODELO AUTOMOTOR: HILUX, ELEMENTO: JGO DE PASTILLAS DE FRENO</v>
      </c>
      <c r="D27" s="132"/>
      <c r="E27" s="132"/>
      <c r="F27" s="132"/>
      <c r="G27" s="132"/>
      <c r="H27" s="9" t="s">
        <v>419</v>
      </c>
      <c r="I27" s="9" t="str">
        <f>'Necesidades Trimestrales'!F25</f>
        <v>UNIDAD</v>
      </c>
      <c r="J27" s="10">
        <f>'Necesidades Trimestrales'!H25</f>
        <v>16559</v>
      </c>
      <c r="K27" s="11">
        <f>'Necesidades Trimestrales'!G25</f>
        <v>40</v>
      </c>
    </row>
    <row r="28" spans="1:11" ht="29.25" customHeight="1" x14ac:dyDescent="0.25">
      <c r="A28" s="8">
        <v>17</v>
      </c>
      <c r="B28" s="9" t="str">
        <f>'Necesidades Trimestrales'!B26</f>
        <v>2.9.6-9688.625</v>
      </c>
      <c r="C28" s="132" t="str">
        <f>'Necesidades Trimestrales'!E26</f>
        <v>REP. Y ACC. P/CAMIONETAS; MARCA AUTOMOTOR: SEGÚN PLIEGO, MODELO AUTOMOTOR: SEGÚN PLIEGO, ELEMENTO: JUEGO PASTILLAS DE FRENO</v>
      </c>
      <c r="D28" s="132"/>
      <c r="E28" s="132"/>
      <c r="F28" s="132"/>
      <c r="G28" s="132"/>
      <c r="H28" s="9" t="s">
        <v>419</v>
      </c>
      <c r="I28" s="9" t="str">
        <f>'Necesidades Trimestrales'!F26</f>
        <v>UNIDAD</v>
      </c>
      <c r="J28" s="10">
        <f>'Necesidades Trimestrales'!H26</f>
        <v>7053</v>
      </c>
      <c r="K28" s="11">
        <f>'Necesidades Trimestrales'!G26</f>
        <v>40</v>
      </c>
    </row>
    <row r="29" spans="1:11" ht="29.25" customHeight="1" x14ac:dyDescent="0.25">
      <c r="A29" s="8">
        <v>18</v>
      </c>
      <c r="B29" s="9" t="str">
        <f>'Necesidades Trimestrales'!B27</f>
        <v>2.9.6-9688.286</v>
      </c>
      <c r="C29" s="132" t="str">
        <f>'Necesidades Trimestrales'!E27</f>
        <v>REP. Y ACC. P/CAMIONETAS; MARCA AUTOMOTOR: VOLKSWAGEN, MODELO AUTOMOTOR: AMAROK, ELEMENTO: INYECTORES</v>
      </c>
      <c r="D29" s="132"/>
      <c r="E29" s="132"/>
      <c r="F29" s="132"/>
      <c r="G29" s="132"/>
      <c r="H29" s="9" t="s">
        <v>419</v>
      </c>
      <c r="I29" s="9" t="str">
        <f>'Necesidades Trimestrales'!F27</f>
        <v>UNIDAD</v>
      </c>
      <c r="J29" s="10">
        <f>'Necesidades Trimestrales'!H27</f>
        <v>116000</v>
      </c>
      <c r="K29" s="11">
        <f>'Necesidades Trimestrales'!G27</f>
        <v>10</v>
      </c>
    </row>
    <row r="30" spans="1:11" ht="29.25" customHeight="1" x14ac:dyDescent="0.25">
      <c r="A30" s="8">
        <v>19</v>
      </c>
      <c r="B30" s="9" t="str">
        <f>'Necesidades Trimestrales'!B28</f>
        <v>2.9.6-9688.483</v>
      </c>
      <c r="C30" s="132" t="str">
        <f>'Necesidades Trimestrales'!E28</f>
        <v>REP. Y ACC. P/CAMIONETAS; MARCA AUTOMOTOR: TOYOTA, MODELO AUTOMOTOR: HILUX, ELEMENTO: INYECTOR</v>
      </c>
      <c r="D30" s="132"/>
      <c r="E30" s="132"/>
      <c r="F30" s="132"/>
      <c r="G30" s="132"/>
      <c r="H30" s="9" t="s">
        <v>419</v>
      </c>
      <c r="I30" s="9" t="str">
        <f>'Necesidades Trimestrales'!F28</f>
        <v>UNIDAD</v>
      </c>
      <c r="J30" s="10">
        <f>'Necesidades Trimestrales'!H28</f>
        <v>164782</v>
      </c>
      <c r="K30" s="11">
        <f>'Necesidades Trimestrales'!G28</f>
        <v>10</v>
      </c>
    </row>
    <row r="31" spans="1:11" ht="29.25" customHeight="1" x14ac:dyDescent="0.25">
      <c r="A31" s="8">
        <v>20</v>
      </c>
      <c r="B31" s="9" t="str">
        <f>'Necesidades Trimestrales'!B29</f>
        <v>2.9.6-9688.483</v>
      </c>
      <c r="C31" s="132" t="str">
        <f>'Necesidades Trimestrales'!E29</f>
        <v>REP. Y ACC. P/CAMIONETAS; MARCA AUTOMOTOR: TOYOTA, MODELO AUTOMOTOR: HILUX, ELEMENTO: INYECTOR</v>
      </c>
      <c r="D31" s="132"/>
      <c r="E31" s="132"/>
      <c r="F31" s="132"/>
      <c r="G31" s="132"/>
      <c r="H31" s="9" t="s">
        <v>419</v>
      </c>
      <c r="I31" s="9" t="str">
        <f>'Necesidades Trimestrales'!F29</f>
        <v>UNIDAD</v>
      </c>
      <c r="J31" s="10">
        <f>'Necesidades Trimestrales'!H29</f>
        <v>164782</v>
      </c>
      <c r="K31" s="11">
        <f>'Necesidades Trimestrales'!G29</f>
        <v>10</v>
      </c>
    </row>
    <row r="32" spans="1:11" ht="29.25" customHeight="1" x14ac:dyDescent="0.25">
      <c r="A32" s="8">
        <v>21</v>
      </c>
      <c r="B32" s="9" t="str">
        <f>'Necesidades Trimestrales'!B30</f>
        <v>2.9.6-9688.540</v>
      </c>
      <c r="C32" s="132" t="str">
        <f>'Necesidades Trimestrales'!E30</f>
        <v>REP. Y ACC. P/CAMIONETAS; MARCA AUTOMOTOR: CHEVROLET, MODELO AUTOMOTOR: S10, ELEMENTO: JUEGO DE INYECTORES</v>
      </c>
      <c r="D32" s="132"/>
      <c r="E32" s="132"/>
      <c r="F32" s="132"/>
      <c r="G32" s="132"/>
      <c r="H32" s="9" t="s">
        <v>419</v>
      </c>
      <c r="I32" s="9" t="str">
        <f>'Necesidades Trimestrales'!F30</f>
        <v>UNIDAD</v>
      </c>
      <c r="J32" s="10">
        <f>'Necesidades Trimestrales'!H30</f>
        <v>109905</v>
      </c>
      <c r="K32" s="11">
        <f>'Necesidades Trimestrales'!G30</f>
        <v>5</v>
      </c>
    </row>
    <row r="33" spans="1:11" ht="29.25" customHeight="1" x14ac:dyDescent="0.25">
      <c r="A33" s="8">
        <v>22</v>
      </c>
      <c r="B33" s="9" t="str">
        <f>'Necesidades Trimestrales'!B31</f>
        <v>2.9.6-9688.626</v>
      </c>
      <c r="C33" s="132" t="str">
        <f>'Necesidades Trimestrales'!E31</f>
        <v>REP. Y ACC. P/CAMIONETAS; MARCA AUTOMOTOR: SEGÚN PLIEGO, MODELO AUTOMOTOR: SEGÚN PLIEGO, ELEMENTO: RADIADOR</v>
      </c>
      <c r="D33" s="132"/>
      <c r="E33" s="132"/>
      <c r="F33" s="132"/>
      <c r="G33" s="132"/>
      <c r="H33" s="9" t="s">
        <v>419</v>
      </c>
      <c r="I33" s="9" t="str">
        <f>'Necesidades Trimestrales'!F31</f>
        <v>UNIDAD</v>
      </c>
      <c r="J33" s="10">
        <f>'Necesidades Trimestrales'!H31</f>
        <v>35000</v>
      </c>
      <c r="K33" s="11">
        <f>'Necesidades Trimestrales'!G31</f>
        <v>10</v>
      </c>
    </row>
    <row r="34" spans="1:11" ht="29.25" customHeight="1" x14ac:dyDescent="0.25">
      <c r="A34" s="8">
        <v>23</v>
      </c>
      <c r="B34" s="9" t="str">
        <f>'Necesidades Trimestrales'!B32</f>
        <v>2.9.6-9688.606</v>
      </c>
      <c r="C34" s="132" t="str">
        <f>'Necesidades Trimestrales'!E32</f>
        <v>REP. Y ACC. P/CAMIONETAS; MARCA AUTOMOTOR: TOYOTA, MODELO AUTOMOTOR: HILUX, ELEMENTO: RADIADOR</v>
      </c>
      <c r="D34" s="132"/>
      <c r="E34" s="132"/>
      <c r="F34" s="132"/>
      <c r="G34" s="132"/>
      <c r="H34" s="9" t="s">
        <v>419</v>
      </c>
      <c r="I34" s="9" t="str">
        <f>'Necesidades Trimestrales'!F32</f>
        <v>UNIDAD</v>
      </c>
      <c r="J34" s="10">
        <f>'Necesidades Trimestrales'!H32</f>
        <v>29374</v>
      </c>
      <c r="K34" s="11">
        <f>'Necesidades Trimestrales'!G32</f>
        <v>5</v>
      </c>
    </row>
    <row r="35" spans="1:11" ht="29.25" customHeight="1" x14ac:dyDescent="0.25">
      <c r="A35" s="8">
        <v>24</v>
      </c>
      <c r="B35" s="9" t="str">
        <f>'Necesidades Trimestrales'!B33</f>
        <v>2.9.6-9688.606</v>
      </c>
      <c r="C35" s="132" t="str">
        <f>'Necesidades Trimestrales'!E33</f>
        <v>REP. Y ACC. P/CAMIONETAS; MARCA AUTOMOTOR: TOYOTA, MODELO AUTOMOTOR: HILUX, ELEMENTO: RADIADOR</v>
      </c>
      <c r="D35" s="132"/>
      <c r="E35" s="132"/>
      <c r="F35" s="132"/>
      <c r="G35" s="132"/>
      <c r="H35" s="9" t="s">
        <v>419</v>
      </c>
      <c r="I35" s="9" t="str">
        <f>'Necesidades Trimestrales'!F33</f>
        <v>UNIDAD</v>
      </c>
      <c r="J35" s="10">
        <f>'Necesidades Trimestrales'!H33</f>
        <v>29374</v>
      </c>
      <c r="K35" s="11">
        <f>'Necesidades Trimestrales'!G33</f>
        <v>5</v>
      </c>
    </row>
    <row r="36" spans="1:11" ht="29.25" customHeight="1" x14ac:dyDescent="0.25">
      <c r="A36" s="8">
        <v>25</v>
      </c>
      <c r="B36" s="9" t="str">
        <f>'Necesidades Trimestrales'!B34</f>
        <v>2.9.6-9688.626</v>
      </c>
      <c r="C36" s="132" t="str">
        <f>'Necesidades Trimestrales'!E34</f>
        <v>REP. Y ACC. P/CAMIONETAS; MARCA AUTOMOTOR: SEGÚN PLIEGO, MODELO AUTOMOTOR: SEGÚN PLIEGO, ELEMENTO: RADIADOR</v>
      </c>
      <c r="D36" s="132"/>
      <c r="E36" s="132"/>
      <c r="F36" s="132"/>
      <c r="G36" s="132"/>
      <c r="H36" s="9" t="s">
        <v>419</v>
      </c>
      <c r="I36" s="9" t="str">
        <f>'Necesidades Trimestrales'!F34</f>
        <v>UNIDAD</v>
      </c>
      <c r="J36" s="10">
        <f>'Necesidades Trimestrales'!H34</f>
        <v>41338</v>
      </c>
      <c r="K36" s="11">
        <f>'Necesidades Trimestrales'!G34</f>
        <v>5</v>
      </c>
    </row>
    <row r="37" spans="1:11" ht="29.25" customHeight="1" x14ac:dyDescent="0.25">
      <c r="A37" s="8">
        <v>26</v>
      </c>
      <c r="B37" s="9" t="str">
        <f>'Necesidades Trimestrales'!B35</f>
        <v>2.9.6-9688.627</v>
      </c>
      <c r="C37" s="132" t="str">
        <f>'Necesidades Trimestrales'!E35</f>
        <v>REP. Y ACC. P/CAMIONETAS; MARCA AUTOMOTOR: SEGÚN PLIEGO, MODELO AUTOMOTOR: SEGÚN PLIEGO, ELEMENTO: VOLANTE BIMASA</v>
      </c>
      <c r="D37" s="132"/>
      <c r="E37" s="132"/>
      <c r="F37" s="132"/>
      <c r="G37" s="132"/>
      <c r="H37" s="9" t="s">
        <v>419</v>
      </c>
      <c r="I37" s="9" t="str">
        <f>'Necesidades Trimestrales'!F35</f>
        <v>UNIDAD</v>
      </c>
      <c r="J37" s="10">
        <f>'Necesidades Trimestrales'!H35</f>
        <v>112765</v>
      </c>
      <c r="K37" s="11">
        <f>'Necesidades Trimestrales'!G35</f>
        <v>10</v>
      </c>
    </row>
    <row r="38" spans="1:11" ht="29.25" customHeight="1" x14ac:dyDescent="0.25">
      <c r="A38" s="8">
        <v>27</v>
      </c>
      <c r="B38" s="9" t="str">
        <f>'Necesidades Trimestrales'!B36</f>
        <v>2.9.6-9688.145</v>
      </c>
      <c r="C38" s="132" t="str">
        <f>'Necesidades Trimestrales'!E36</f>
        <v>REP. Y ACC. P/CAMIONETAS; MARCA AUTOMOTOR: VOLKSWAGEN, MODELO AUTOMOTOR: AMAROK, ELEMENTO: CONJUNTO EMBRAGUE</v>
      </c>
      <c r="D38" s="132"/>
      <c r="E38" s="132"/>
      <c r="F38" s="132"/>
      <c r="G38" s="132"/>
      <c r="H38" s="9" t="s">
        <v>419</v>
      </c>
      <c r="I38" s="9" t="str">
        <f>'Necesidades Trimestrales'!F36</f>
        <v>UNIDAD</v>
      </c>
      <c r="J38" s="10">
        <f>'Necesidades Trimestrales'!H36</f>
        <v>52587</v>
      </c>
      <c r="K38" s="11">
        <f>'Necesidades Trimestrales'!G36</f>
        <v>10</v>
      </c>
    </row>
    <row r="39" spans="1:11" ht="29.25" customHeight="1" x14ac:dyDescent="0.25">
      <c r="A39" s="8">
        <v>28</v>
      </c>
      <c r="B39" s="9" t="str">
        <f>'Necesidades Trimestrales'!B37</f>
        <v>2.9.6-9688.583</v>
      </c>
      <c r="C39" s="132" t="str">
        <f>'Necesidades Trimestrales'!E37</f>
        <v>REP. Y ACC. P/CAMIONETAS; MARCA AUTOMOTOR: VOLKSWAGEN, MODELO AUTOMOTOR: AMAROK, ELEMENTO: BOMBA DE AGUA</v>
      </c>
      <c r="D39" s="132"/>
      <c r="E39" s="132"/>
      <c r="F39" s="132"/>
      <c r="G39" s="132"/>
      <c r="H39" s="9" t="s">
        <v>419</v>
      </c>
      <c r="I39" s="9" t="str">
        <f>'Necesidades Trimestrales'!F37</f>
        <v>UNIDAD</v>
      </c>
      <c r="J39" s="10">
        <f>'Necesidades Trimestrales'!H37</f>
        <v>10140</v>
      </c>
      <c r="K39" s="11">
        <f>'Necesidades Trimestrales'!G37</f>
        <v>10</v>
      </c>
    </row>
    <row r="40" spans="1:11" ht="29.25" customHeight="1" x14ac:dyDescent="0.25">
      <c r="A40" s="8">
        <v>29</v>
      </c>
      <c r="B40" s="9" t="str">
        <f>'Necesidades Trimestrales'!B38</f>
        <v>2.9.6-9688.189</v>
      </c>
      <c r="C40" s="132" t="str">
        <f>'Necesidades Trimestrales'!E38</f>
        <v>REP. Y ACC. P/CAMIONETAS; MARCA AUTOMOTOR: VOLKSWAGEN, MODELO AUTOMOTOR: AMAROK, ELEMENTO: KIT DE DISTRIBUCION</v>
      </c>
      <c r="D40" s="132"/>
      <c r="E40" s="132"/>
      <c r="F40" s="132"/>
      <c r="G40" s="132"/>
      <c r="H40" s="9" t="s">
        <v>419</v>
      </c>
      <c r="I40" s="9" t="str">
        <f>'Necesidades Trimestrales'!F38</f>
        <v>UNIDAD</v>
      </c>
      <c r="J40" s="10">
        <f>'Necesidades Trimestrales'!H38</f>
        <v>27500</v>
      </c>
      <c r="K40" s="11">
        <f>'Necesidades Trimestrales'!G38</f>
        <v>20</v>
      </c>
    </row>
    <row r="41" spans="1:11" ht="29.25" customHeight="1" x14ac:dyDescent="0.25">
      <c r="A41" s="8">
        <v>30</v>
      </c>
      <c r="B41" s="9" t="str">
        <f>'Necesidades Trimestrales'!B39</f>
        <v>2.9.6-9688.628</v>
      </c>
      <c r="C41" s="132" t="str">
        <f>'Necesidades Trimestrales'!E39</f>
        <v>REP. Y ACC. P/CAMIONETAS; MARCA AUTOMOTOR: SEGÚN PLIEGO, MODELO AUTOMOTOR: SEGÚN PLIEGO, ELEMENTO: ENFRIADOR DE ACEITE</v>
      </c>
      <c r="D41" s="132"/>
      <c r="E41" s="132"/>
      <c r="F41" s="132"/>
      <c r="G41" s="132"/>
      <c r="H41" s="9" t="s">
        <v>419</v>
      </c>
      <c r="I41" s="9" t="str">
        <f>'Necesidades Trimestrales'!F39</f>
        <v>UNIDAD</v>
      </c>
      <c r="J41" s="10">
        <f>'Necesidades Trimestrales'!H39</f>
        <v>11701</v>
      </c>
      <c r="K41" s="11">
        <f>'Necesidades Trimestrales'!G39</f>
        <v>10</v>
      </c>
    </row>
    <row r="42" spans="1:11" ht="29.25" customHeight="1" x14ac:dyDescent="0.25">
      <c r="A42" s="8">
        <v>31</v>
      </c>
      <c r="B42" s="9" t="str">
        <f>'Necesidades Trimestrales'!B40</f>
        <v>2.9.6-9688.632</v>
      </c>
      <c r="C42" s="132" t="str">
        <f>'Necesidades Trimestrales'!E40</f>
        <v>REP. Y ACC. P/CAMIONETAS; MARCA AUTOMOTOR: SEGÚN PLIEGO, MODELO AUTOMOTOR: SEGÚN PLIEGO, ELEMENTO: CORREA DEL ALTERNADOR TRACKER</v>
      </c>
      <c r="D42" s="132"/>
      <c r="E42" s="132"/>
      <c r="F42" s="132"/>
      <c r="G42" s="132"/>
      <c r="H42" s="9" t="s">
        <v>419</v>
      </c>
      <c r="I42" s="9" t="str">
        <f>'Necesidades Trimestrales'!F40</f>
        <v>UNIDAD</v>
      </c>
      <c r="J42" s="10">
        <f>'Necesidades Trimestrales'!H40</f>
        <v>3969</v>
      </c>
      <c r="K42" s="11">
        <f>'Necesidades Trimestrales'!G40</f>
        <v>10</v>
      </c>
    </row>
    <row r="43" spans="1:11" ht="29.25" customHeight="1" x14ac:dyDescent="0.25">
      <c r="A43" s="8">
        <v>32</v>
      </c>
      <c r="B43" s="9" t="str">
        <f>'Necesidades Trimestrales'!B41</f>
        <v>2.9.6-9688.641</v>
      </c>
      <c r="C43" s="132" t="str">
        <f>'Necesidades Trimestrales'!E41</f>
        <v>REP. Y ACC. P/CAMIONETAS; MARCA AUTOMOTOR: SEGÚN PLIEGO, MODELO AUTOMOTOR: SEGÚN PLIEGO, ELEMENTO: PARRILLA SUPERIOR</v>
      </c>
      <c r="D43" s="132"/>
      <c r="E43" s="132"/>
      <c r="F43" s="132"/>
      <c r="G43" s="132"/>
      <c r="H43" s="9" t="s">
        <v>419</v>
      </c>
      <c r="I43" s="9" t="str">
        <f>'Necesidades Trimestrales'!F41</f>
        <v>UNIDAD</v>
      </c>
      <c r="J43" s="10">
        <f>'Necesidades Trimestrales'!H41</f>
        <v>9100</v>
      </c>
      <c r="K43" s="11">
        <f>'Necesidades Trimestrales'!G41</f>
        <v>10</v>
      </c>
    </row>
    <row r="44" spans="1:11" ht="29.25" customHeight="1" x14ac:dyDescent="0.25">
      <c r="A44" s="8">
        <v>33</v>
      </c>
      <c r="B44" s="9" t="str">
        <f>'Necesidades Trimestrales'!B42</f>
        <v>2.9.6-9688.641</v>
      </c>
      <c r="C44" s="132" t="str">
        <f>'Necesidades Trimestrales'!E42</f>
        <v>REP. Y ACC. P/CAMIONETAS; MARCA AUTOMOTOR: SEGÚN PLIEGO, MODELO AUTOMOTOR: SEGÚN PLIEGO, ELEMENTO: PARRILLA SUPERIOR</v>
      </c>
      <c r="D44" s="132"/>
      <c r="E44" s="132"/>
      <c r="F44" s="132"/>
      <c r="G44" s="132"/>
      <c r="H44" s="9" t="s">
        <v>419</v>
      </c>
      <c r="I44" s="9" t="str">
        <f>'Necesidades Trimestrales'!F42</f>
        <v>UNIDAD</v>
      </c>
      <c r="J44" s="10">
        <f>'Necesidades Trimestrales'!H42</f>
        <v>5795</v>
      </c>
      <c r="K44" s="11">
        <f>'Necesidades Trimestrales'!G42</f>
        <v>10</v>
      </c>
    </row>
    <row r="45" spans="1:11" ht="29.25" customHeight="1" x14ac:dyDescent="0.25">
      <c r="A45" s="8">
        <v>34</v>
      </c>
      <c r="B45" s="9" t="str">
        <f>'Necesidades Trimestrales'!B43</f>
        <v>2.9.6-9688.190</v>
      </c>
      <c r="C45" s="132" t="str">
        <f>'Necesidades Trimestrales'!E43</f>
        <v>REP. Y ACC. P/CAMIONETAS; MARCA AUTOMOTOR: VOLKSWAGEN, MODELO AUTOMOTOR: AMAROK, ELEMENTO: PARRILLA DE SUSPENSION INF.</v>
      </c>
      <c r="D45" s="132"/>
      <c r="E45" s="132"/>
      <c r="F45" s="132"/>
      <c r="G45" s="132"/>
      <c r="H45" s="9" t="s">
        <v>419</v>
      </c>
      <c r="I45" s="9" t="str">
        <f>'Necesidades Trimestrales'!F43</f>
        <v>UNIDAD</v>
      </c>
      <c r="J45" s="10">
        <f>'Necesidades Trimestrales'!H43</f>
        <v>18400</v>
      </c>
      <c r="K45" s="11">
        <f>'Necesidades Trimestrales'!G43</f>
        <v>10</v>
      </c>
    </row>
    <row r="46" spans="1:11" ht="29.25" customHeight="1" x14ac:dyDescent="0.25">
      <c r="A46" s="8">
        <v>35</v>
      </c>
      <c r="B46" s="9" t="str">
        <f>'Necesidades Trimestrales'!B44</f>
        <v>2.9.6-9688.190</v>
      </c>
      <c r="C46" s="132" t="str">
        <f>'Necesidades Trimestrales'!E44</f>
        <v>REP. Y ACC. P/CAMIONETAS; MARCA AUTOMOTOR: VOLKSWAGEN, MODELO AUTOMOTOR: AMAROK, ELEMENTO: PARRILLA DE SUSPENSION INF.</v>
      </c>
      <c r="D46" s="132"/>
      <c r="E46" s="132"/>
      <c r="F46" s="132"/>
      <c r="G46" s="132"/>
      <c r="H46" s="9" t="s">
        <v>419</v>
      </c>
      <c r="I46" s="9" t="str">
        <f>'Necesidades Trimestrales'!F44</f>
        <v>UNIDAD</v>
      </c>
      <c r="J46" s="10">
        <f>'Necesidades Trimestrales'!H44</f>
        <v>12442</v>
      </c>
      <c r="K46" s="11">
        <f>'Necesidades Trimestrales'!G44</f>
        <v>10</v>
      </c>
    </row>
    <row r="47" spans="1:11" ht="29.25" customHeight="1" x14ac:dyDescent="0.25">
      <c r="A47" s="8">
        <v>36</v>
      </c>
      <c r="B47" s="9" t="str">
        <f>'Necesidades Trimestrales'!B45</f>
        <v>2.9.6-9688.633</v>
      </c>
      <c r="C47" s="132" t="str">
        <f>'Necesidades Trimestrales'!E45</f>
        <v>REP. Y ACC. P/CAMIONETAS; MARCA AUTOMOTOR: SEGÚN PLIEGO, MODELO AUTOMOTOR: SEGÚN PLIEGO, ELEMENTO: TENSOR MONOCORREA</v>
      </c>
      <c r="D47" s="132"/>
      <c r="E47" s="132"/>
      <c r="F47" s="132"/>
      <c r="G47" s="132"/>
      <c r="H47" s="9" t="s">
        <v>419</v>
      </c>
      <c r="I47" s="9" t="str">
        <f>'Necesidades Trimestrales'!F45</f>
        <v>UNIDAD</v>
      </c>
      <c r="J47" s="10">
        <f>'Necesidades Trimestrales'!H45</f>
        <v>12842</v>
      </c>
      <c r="K47" s="11">
        <f>'Necesidades Trimestrales'!G45</f>
        <v>10</v>
      </c>
    </row>
    <row r="48" spans="1:11" ht="29.25" customHeight="1" x14ac:dyDescent="0.25">
      <c r="A48" s="8">
        <v>37</v>
      </c>
      <c r="B48" s="9" t="str">
        <f>'Necesidades Trimestrales'!B46</f>
        <v>2.9.6-9688.202</v>
      </c>
      <c r="C48" s="132" t="str">
        <f>'Necesidades Trimestrales'!E46</f>
        <v>REP. Y ACC. P/CAMIONETAS; MARCA AUTOMOTOR: VOLKSWAGEN, MODELO AUTOMOTOR: AMAROK, ELEMENTO: DISCOS DE FRENOS</v>
      </c>
      <c r="D48" s="132"/>
      <c r="E48" s="132"/>
      <c r="F48" s="132"/>
      <c r="G48" s="132"/>
      <c r="H48" s="9" t="s">
        <v>419</v>
      </c>
      <c r="I48" s="9" t="str">
        <f>'Necesidades Trimestrales'!F46</f>
        <v>UNIDAD</v>
      </c>
      <c r="J48" s="10">
        <f>'Necesidades Trimestrales'!H46</f>
        <v>14599</v>
      </c>
      <c r="K48" s="11">
        <f>'Necesidades Trimestrales'!G46</f>
        <v>10</v>
      </c>
    </row>
    <row r="49" spans="1:11" ht="29.25" customHeight="1" x14ac:dyDescent="0.25">
      <c r="A49" s="8">
        <v>38</v>
      </c>
      <c r="B49" s="9" t="str">
        <f>'Necesidades Trimestrales'!B47</f>
        <v>2.9.6-9688.629</v>
      </c>
      <c r="C49" s="132" t="str">
        <f>'Necesidades Trimestrales'!E47</f>
        <v>REP. Y ACC. P/CAMIONETAS; MARCA AUTOMOTOR: SEGÚN PLIEGO, MODELO AUTOMOTOR: SEGÚN PLIEGO, ELEMENTO: BOMBA DE COMBUSTIBLE</v>
      </c>
      <c r="D49" s="132"/>
      <c r="E49" s="132"/>
      <c r="F49" s="132"/>
      <c r="G49" s="132"/>
      <c r="H49" s="9" t="s">
        <v>419</v>
      </c>
      <c r="I49" s="9" t="str">
        <f>'Necesidades Trimestrales'!F47</f>
        <v>UNIDAD</v>
      </c>
      <c r="J49" s="10">
        <f>'Necesidades Trimestrales'!H47</f>
        <v>5988</v>
      </c>
      <c r="K49" s="11">
        <f>'Necesidades Trimestrales'!G47</f>
        <v>20</v>
      </c>
    </row>
    <row r="50" spans="1:11" ht="29.25" customHeight="1" x14ac:dyDescent="0.25">
      <c r="A50" s="8">
        <v>39</v>
      </c>
      <c r="B50" s="9" t="str">
        <f>'Necesidades Trimestrales'!B48</f>
        <v>2.9.6-9688.195</v>
      </c>
      <c r="C50" s="132" t="str">
        <f>'Necesidades Trimestrales'!E48</f>
        <v>REP. Y ACC. P/CAMIONETAS; MARCA AUTOMOTOR: VOLKSWAGEN, MODELO AUTOMOTOR: AMAROK, ELEMENTO: ROTULAS DE SUSPENSION</v>
      </c>
      <c r="D50" s="132"/>
      <c r="E50" s="132"/>
      <c r="F50" s="132"/>
      <c r="G50" s="132"/>
      <c r="H50" s="9" t="s">
        <v>419</v>
      </c>
      <c r="I50" s="9" t="str">
        <f>'Necesidades Trimestrales'!F48</f>
        <v>UNIDAD</v>
      </c>
      <c r="J50" s="10">
        <f>'Necesidades Trimestrales'!H48</f>
        <v>5165</v>
      </c>
      <c r="K50" s="11">
        <f>'Necesidades Trimestrales'!G48</f>
        <v>20</v>
      </c>
    </row>
    <row r="51" spans="1:11" ht="29.25" customHeight="1" x14ac:dyDescent="0.25">
      <c r="A51" s="8">
        <v>40</v>
      </c>
      <c r="B51" s="9" t="str">
        <f>'Necesidades Trimestrales'!B49</f>
        <v>2.9.6-9688.634</v>
      </c>
      <c r="C51" s="132" t="str">
        <f>'Necesidades Trimestrales'!E49</f>
        <v>REP. Y ACC. P/CAMIONETAS; MARCA AUTOMOTOR: SEGÚN PLIEGO, MODELO AUTOMOTOR: SEGÚN PLIEGO, ELEMENTO: BOMBA AUXILIAR ELECTRICA</v>
      </c>
      <c r="D51" s="132"/>
      <c r="E51" s="132"/>
      <c r="F51" s="132"/>
      <c r="G51" s="132"/>
      <c r="H51" s="9" t="s">
        <v>419</v>
      </c>
      <c r="I51" s="9" t="str">
        <f>'Necesidades Trimestrales'!F49</f>
        <v>UNIDAD</v>
      </c>
      <c r="J51" s="10">
        <f>'Necesidades Trimestrales'!H49</f>
        <v>12596</v>
      </c>
      <c r="K51" s="11">
        <f>'Necesidades Trimestrales'!G49</f>
        <v>20</v>
      </c>
    </row>
    <row r="52" spans="1:11" ht="29.25" customHeight="1" x14ac:dyDescent="0.25">
      <c r="A52" s="8">
        <v>41</v>
      </c>
      <c r="B52" s="9" t="str">
        <f>'Necesidades Trimestrales'!B50</f>
        <v>2.9.6-9688.157</v>
      </c>
      <c r="C52" s="132" t="str">
        <f>'Necesidades Trimestrales'!E50</f>
        <v>REP. Y ACC. P/CAMIONETAS; MARCA AUTOMOTOR: VOLKSWAGEN, MODELO AUTOMOTOR: AMAROK, ELEMENTO: CORREA POLI V</v>
      </c>
      <c r="D52" s="132"/>
      <c r="E52" s="132"/>
      <c r="F52" s="132"/>
      <c r="G52" s="132"/>
      <c r="H52" s="9" t="s">
        <v>419</v>
      </c>
      <c r="I52" s="9" t="str">
        <f>'Necesidades Trimestrales'!F50</f>
        <v>UNIDAD</v>
      </c>
      <c r="J52" s="10">
        <f>'Necesidades Trimestrales'!H50</f>
        <v>3969</v>
      </c>
      <c r="K52" s="11">
        <f>'Necesidades Trimestrales'!G50</f>
        <v>20</v>
      </c>
    </row>
    <row r="53" spans="1:11" ht="29.25" customHeight="1" x14ac:dyDescent="0.25">
      <c r="A53" s="8">
        <v>42</v>
      </c>
      <c r="B53" s="9" t="str">
        <f>'Necesidades Trimestrales'!B51</f>
        <v>2.9.6-9688.636</v>
      </c>
      <c r="C53" s="132" t="str">
        <f>'Necesidades Trimestrales'!E51</f>
        <v>REP. Y ACC. P/CAMIONETAS; MARCA AUTOMOTOR: SEGÚN PLIEGO, MODELO AUTOMOTOR: SEGÚN PLIEGO, ELEMENTO: RETEN DE CIGÜEÑAL CON CARCASA PORTA RETEN</v>
      </c>
      <c r="D53" s="132"/>
      <c r="E53" s="132"/>
      <c r="F53" s="132"/>
      <c r="G53" s="132"/>
      <c r="H53" s="9" t="s">
        <v>419</v>
      </c>
      <c r="I53" s="9" t="str">
        <f>'Necesidades Trimestrales'!F51</f>
        <v>UNIDAD</v>
      </c>
      <c r="J53" s="10">
        <f>'Necesidades Trimestrales'!H51</f>
        <v>19519</v>
      </c>
      <c r="K53" s="11">
        <f>'Necesidades Trimestrales'!G51</f>
        <v>10</v>
      </c>
    </row>
    <row r="54" spans="1:11" ht="29.25" customHeight="1" x14ac:dyDescent="0.25">
      <c r="A54" s="8">
        <v>43</v>
      </c>
      <c r="B54" s="9" t="str">
        <f>'Necesidades Trimestrales'!B52</f>
        <v>2.9.6-9688.204</v>
      </c>
      <c r="C54" s="132" t="str">
        <f>'Necesidades Trimestrales'!E52</f>
        <v>REP. Y ACC. P/CAMIONETAS; MARCA AUTOMOTOR: VOLKSWAGEN, MODELO AUTOMOTOR: AMAROK, ELEMENTO: MASA DE RUEDA DELANTERA</v>
      </c>
      <c r="D54" s="132"/>
      <c r="E54" s="132"/>
      <c r="F54" s="132"/>
      <c r="G54" s="132"/>
      <c r="H54" s="9" t="s">
        <v>419</v>
      </c>
      <c r="I54" s="9" t="str">
        <f>'Necesidades Trimestrales'!F52</f>
        <v>UNIDAD</v>
      </c>
      <c r="J54" s="10">
        <f>'Necesidades Trimestrales'!H52</f>
        <v>9359</v>
      </c>
      <c r="K54" s="11">
        <f>'Necesidades Trimestrales'!G52</f>
        <v>10</v>
      </c>
    </row>
    <row r="55" spans="1:11" ht="29.25" customHeight="1" x14ac:dyDescent="0.25">
      <c r="A55" s="8">
        <v>44</v>
      </c>
      <c r="B55" s="9" t="str">
        <f>'Necesidades Trimestrales'!B53</f>
        <v>2.9.6-9688.198</v>
      </c>
      <c r="C55" s="132" t="str">
        <f>'Necesidades Trimestrales'!E53</f>
        <v>REP. Y ACC. P/CAMIONETAS; MARCA AUTOMOTOR: VOLKSWAGEN, MODELO AUTOMOTOR: AMAROK, ELEMENTO: TENSOR CORREA MULTIVIA</v>
      </c>
      <c r="D55" s="132"/>
      <c r="E55" s="132"/>
      <c r="F55" s="132"/>
      <c r="G55" s="132"/>
      <c r="H55" s="9" t="s">
        <v>419</v>
      </c>
      <c r="I55" s="9" t="str">
        <f>'Necesidades Trimestrales'!F53</f>
        <v>UNIDAD</v>
      </c>
      <c r="J55" s="10">
        <f>'Necesidades Trimestrales'!H53</f>
        <v>9093</v>
      </c>
      <c r="K55" s="11">
        <f>'Necesidades Trimestrales'!G53</f>
        <v>10</v>
      </c>
    </row>
    <row r="56" spans="1:11" ht="29.25" customHeight="1" x14ac:dyDescent="0.25">
      <c r="A56" s="8">
        <v>45</v>
      </c>
      <c r="B56" s="9" t="str">
        <f>'Necesidades Trimestrales'!B54</f>
        <v>2.9.6-4978.8452</v>
      </c>
      <c r="C56" s="132" t="str">
        <f>'Necesidades Trimestrales'!E54</f>
        <v>REP. Y ACC. P/AUTOMOTOR; REPUESTO: DISCO DE FRENO, MARCA: TOYOTA, MODELO: HILUX</v>
      </c>
      <c r="D56" s="132"/>
      <c r="E56" s="132"/>
      <c r="F56" s="132"/>
      <c r="G56" s="132"/>
      <c r="H56" s="9" t="s">
        <v>419</v>
      </c>
      <c r="I56" s="9" t="str">
        <f>'Necesidades Trimestrales'!F54</f>
        <v>UNIDAD</v>
      </c>
      <c r="J56" s="10">
        <f>'Necesidades Trimestrales'!H54</f>
        <v>9858</v>
      </c>
      <c r="K56" s="11">
        <f>'Necesidades Trimestrales'!G54</f>
        <v>10</v>
      </c>
    </row>
    <row r="57" spans="1:11" ht="29.25" customHeight="1" x14ac:dyDescent="0.25">
      <c r="A57" s="8">
        <v>46</v>
      </c>
      <c r="B57" s="9" t="str">
        <f>'Necesidades Trimestrales'!B55</f>
        <v>2.9.6-4978.8452</v>
      </c>
      <c r="C57" s="132" t="str">
        <f>'Necesidades Trimestrales'!E55</f>
        <v>REP. Y ACC. P/AUTOMOTOR; REPUESTO: DISCO DE FRENO, MARCA: TOYOTA, MODELO: HILUX</v>
      </c>
      <c r="D57" s="132"/>
      <c r="E57" s="132"/>
      <c r="F57" s="132"/>
      <c r="G57" s="132"/>
      <c r="H57" s="9" t="s">
        <v>419</v>
      </c>
      <c r="I57" s="9" t="str">
        <f>'Necesidades Trimestrales'!F55</f>
        <v>UNIDAD</v>
      </c>
      <c r="J57" s="10">
        <f>'Necesidades Trimestrales'!H55</f>
        <v>9858</v>
      </c>
      <c r="K57" s="11">
        <f>'Necesidades Trimestrales'!G55</f>
        <v>10</v>
      </c>
    </row>
    <row r="58" spans="1:11" ht="29.25" customHeight="1" x14ac:dyDescent="0.25">
      <c r="A58" s="8">
        <v>47</v>
      </c>
      <c r="B58" s="9" t="str">
        <f>'Necesidades Trimestrales'!B56</f>
        <v>2.9.6-9688.365</v>
      </c>
      <c r="C58" s="132" t="str">
        <f>'Necesidades Trimestrales'!E56</f>
        <v>REP. Y ACC. P/CAMIONETAS; MARCA AUTOMOTOR: TOYOTA, MODELO AUTOMOTOR: HILUX, ELEMENTO: KIT DE DISTRIBUCION</v>
      </c>
      <c r="D58" s="132"/>
      <c r="E58" s="132"/>
      <c r="F58" s="132"/>
      <c r="G58" s="132"/>
      <c r="H58" s="9" t="s">
        <v>419</v>
      </c>
      <c r="I58" s="9" t="str">
        <f>'Necesidades Trimestrales'!F56</f>
        <v>UNIDAD</v>
      </c>
      <c r="J58" s="10">
        <f>'Necesidades Trimestrales'!H56</f>
        <v>28999</v>
      </c>
      <c r="K58" s="11">
        <f>'Necesidades Trimestrales'!G56</f>
        <v>20</v>
      </c>
    </row>
    <row r="59" spans="1:11" ht="29.25" customHeight="1" x14ac:dyDescent="0.25">
      <c r="A59" s="8">
        <v>48</v>
      </c>
      <c r="B59" s="9" t="str">
        <f>'Necesidades Trimestrales'!B57</f>
        <v>2.9.6-9688.365</v>
      </c>
      <c r="C59" s="132" t="str">
        <f>'Necesidades Trimestrales'!E57</f>
        <v>REP. Y ACC. P/CAMIONETAS; MARCA AUTOMOTOR: TOYOTA, MODELO AUTOMOTOR: HILUX, ELEMENTO: KIT DE DISTRIBUCION</v>
      </c>
      <c r="D59" s="132"/>
      <c r="E59" s="132"/>
      <c r="F59" s="132"/>
      <c r="G59" s="132"/>
      <c r="H59" s="9" t="s">
        <v>419</v>
      </c>
      <c r="I59" s="9" t="str">
        <f>'Necesidades Trimestrales'!F57</f>
        <v>UNIDAD</v>
      </c>
      <c r="J59" s="10">
        <f>'Necesidades Trimestrales'!H57</f>
        <v>13042</v>
      </c>
      <c r="K59" s="11">
        <f>'Necesidades Trimestrales'!G57</f>
        <v>25</v>
      </c>
    </row>
    <row r="60" spans="1:11" ht="29.25" customHeight="1" x14ac:dyDescent="0.25">
      <c r="A60" s="8">
        <v>49</v>
      </c>
      <c r="B60" s="9" t="str">
        <f>'Necesidades Trimestrales'!B58</f>
        <v>2.9.6-9688.435</v>
      </c>
      <c r="C60" s="132" t="str">
        <f>'Necesidades Trimestrales'!E58</f>
        <v>REP. Y ACC. P/CAMIONETAS; MARCA AUTOMOTOR: TOYOTA, MODELO AUTOMOTOR: HILUX, ELEMENTO: BOMBA DE AGUA</v>
      </c>
      <c r="D60" s="132"/>
      <c r="E60" s="132"/>
      <c r="F60" s="132"/>
      <c r="G60" s="132"/>
      <c r="H60" s="9" t="s">
        <v>419</v>
      </c>
      <c r="I60" s="9" t="str">
        <f>'Necesidades Trimestrales'!F58</f>
        <v>UNIDAD</v>
      </c>
      <c r="J60" s="10">
        <f>'Necesidades Trimestrales'!H58</f>
        <v>7577</v>
      </c>
      <c r="K60" s="11">
        <f>'Necesidades Trimestrales'!G58</f>
        <v>10</v>
      </c>
    </row>
    <row r="61" spans="1:11" ht="29.25" customHeight="1" x14ac:dyDescent="0.25">
      <c r="A61" s="8">
        <v>50</v>
      </c>
      <c r="B61" s="9" t="str">
        <f>'Necesidades Trimestrales'!B59</f>
        <v>2.9.6-9688.575</v>
      </c>
      <c r="C61" s="132" t="str">
        <f>'Necesidades Trimestrales'!E59</f>
        <v>REP. Y ACC. P/CAMIONETAS; MARCA AUTOMOTOR: TOYOTA, MODELO AUTOMOTOR: HILUX, ELEMENTO: PARRILLA SUPERIOR</v>
      </c>
      <c r="D61" s="132"/>
      <c r="E61" s="132"/>
      <c r="F61" s="132"/>
      <c r="G61" s="132"/>
      <c r="H61" s="9" t="s">
        <v>419</v>
      </c>
      <c r="I61" s="9" t="str">
        <f>'Necesidades Trimestrales'!F59</f>
        <v>UNIDAD</v>
      </c>
      <c r="J61" s="10">
        <f>'Necesidades Trimestrales'!H59</f>
        <v>7826</v>
      </c>
      <c r="K61" s="11">
        <f>'Necesidades Trimestrales'!G59</f>
        <v>10</v>
      </c>
    </row>
    <row r="62" spans="1:11" ht="29.25" customHeight="1" x14ac:dyDescent="0.25">
      <c r="A62" s="8">
        <v>51</v>
      </c>
      <c r="B62" s="9" t="str">
        <f>'Necesidades Trimestrales'!B60</f>
        <v>2.9.6-9688.574</v>
      </c>
      <c r="C62" s="132" t="str">
        <f>'Necesidades Trimestrales'!E60</f>
        <v>REP. Y ACC. P/CAMIONETAS; MARCA AUTOMOTOR: TOYOTA, MODELO AUTOMOTOR: HILUX, ELEMENTO: PARRILLA INFERIOR</v>
      </c>
      <c r="D62" s="132"/>
      <c r="E62" s="132"/>
      <c r="F62" s="132"/>
      <c r="G62" s="132"/>
      <c r="H62" s="9" t="s">
        <v>419</v>
      </c>
      <c r="I62" s="9" t="str">
        <f>'Necesidades Trimestrales'!F60</f>
        <v>UNIDAD</v>
      </c>
      <c r="J62" s="10">
        <f>'Necesidades Trimestrales'!H60</f>
        <v>9450</v>
      </c>
      <c r="K62" s="11">
        <f>'Necesidades Trimestrales'!G60</f>
        <v>10</v>
      </c>
    </row>
    <row r="63" spans="1:11" ht="29.25" customHeight="1" x14ac:dyDescent="0.25">
      <c r="A63" s="8">
        <v>52</v>
      </c>
      <c r="B63" s="9" t="str">
        <f>'Necesidades Trimestrales'!B61</f>
        <v>2.9.6-9688.574</v>
      </c>
      <c r="C63" s="132" t="str">
        <f>'Necesidades Trimestrales'!E61</f>
        <v>REP. Y ACC. P/CAMIONETAS; MARCA AUTOMOTOR: TOYOTA, MODELO AUTOMOTOR: HILUX, ELEMENTO: PARRILLA INFERIOR</v>
      </c>
      <c r="D63" s="132"/>
      <c r="E63" s="132"/>
      <c r="F63" s="132"/>
      <c r="G63" s="132"/>
      <c r="H63" s="9" t="s">
        <v>419</v>
      </c>
      <c r="I63" s="9" t="str">
        <f>'Necesidades Trimestrales'!F61</f>
        <v>UNIDAD</v>
      </c>
      <c r="J63" s="10">
        <f>'Necesidades Trimestrales'!H61</f>
        <v>10500</v>
      </c>
      <c r="K63" s="11">
        <f>'Necesidades Trimestrales'!G61</f>
        <v>10</v>
      </c>
    </row>
    <row r="64" spans="1:11" ht="29.25" customHeight="1" x14ac:dyDescent="0.25">
      <c r="A64" s="8">
        <v>53</v>
      </c>
      <c r="B64" s="9" t="str">
        <f>'Necesidades Trimestrales'!B62</f>
        <v>2.9.6-9688.575</v>
      </c>
      <c r="C64" s="132" t="str">
        <f>'Necesidades Trimestrales'!E62</f>
        <v>REP. Y ACC. P/CAMIONETAS; MARCA AUTOMOTOR: TOYOTA, MODELO AUTOMOTOR: HILUX, ELEMENTO: PARRILLA SUPERIOR</v>
      </c>
      <c r="D64" s="132"/>
      <c r="E64" s="132"/>
      <c r="F64" s="132"/>
      <c r="G64" s="132"/>
      <c r="H64" s="9" t="s">
        <v>419</v>
      </c>
      <c r="I64" s="9" t="str">
        <f>'Necesidades Trimestrales'!F62</f>
        <v>UNIDAD</v>
      </c>
      <c r="J64" s="10">
        <f>'Necesidades Trimestrales'!H62</f>
        <v>7826</v>
      </c>
      <c r="K64" s="11">
        <f>'Necesidades Trimestrales'!G62</f>
        <v>10</v>
      </c>
    </row>
    <row r="65" spans="1:11" ht="29.25" customHeight="1" x14ac:dyDescent="0.25">
      <c r="A65" s="8">
        <v>54</v>
      </c>
      <c r="B65" s="9" t="str">
        <f>'Necesidades Trimestrales'!B63</f>
        <v>2.9.6-9688.575</v>
      </c>
      <c r="C65" s="132" t="str">
        <f>'Necesidades Trimestrales'!E63</f>
        <v>REP. Y ACC. P/CAMIONETAS; MARCA AUTOMOTOR: TOYOTA, MODELO AUTOMOTOR: HILUX, ELEMENTO: PARRILLA SUPERIOR</v>
      </c>
      <c r="D65" s="132"/>
      <c r="E65" s="132"/>
      <c r="F65" s="132"/>
      <c r="G65" s="132"/>
      <c r="H65" s="9" t="s">
        <v>419</v>
      </c>
      <c r="I65" s="9" t="str">
        <f>'Necesidades Trimestrales'!F63</f>
        <v>UNIDAD</v>
      </c>
      <c r="J65" s="10">
        <f>'Necesidades Trimestrales'!H63</f>
        <v>7826</v>
      </c>
      <c r="K65" s="11">
        <f>'Necesidades Trimestrales'!G63</f>
        <v>10</v>
      </c>
    </row>
    <row r="66" spans="1:11" ht="29.25" customHeight="1" x14ac:dyDescent="0.25">
      <c r="A66" s="8">
        <v>55</v>
      </c>
      <c r="B66" s="9" t="str">
        <f>'Necesidades Trimestrales'!B64</f>
        <v>2.9.6-9688.574</v>
      </c>
      <c r="C66" s="132" t="str">
        <f>'Necesidades Trimestrales'!E64</f>
        <v>REP. Y ACC. P/CAMIONETAS; MARCA AUTOMOTOR: TOYOTA, MODELO AUTOMOTOR: HILUX, ELEMENTO: PARRILLA INFERIOR</v>
      </c>
      <c r="D66" s="132"/>
      <c r="E66" s="132"/>
      <c r="F66" s="132"/>
      <c r="G66" s="132"/>
      <c r="H66" s="9" t="s">
        <v>419</v>
      </c>
      <c r="I66" s="9" t="str">
        <f>'Necesidades Trimestrales'!F64</f>
        <v>UNIDAD</v>
      </c>
      <c r="J66" s="10">
        <f>'Necesidades Trimestrales'!H64</f>
        <v>9450</v>
      </c>
      <c r="K66" s="11">
        <f>'Necesidades Trimestrales'!G64</f>
        <v>10</v>
      </c>
    </row>
    <row r="67" spans="1:11" ht="29.25" customHeight="1" x14ac:dyDescent="0.25">
      <c r="A67" s="8">
        <v>56</v>
      </c>
      <c r="B67" s="9" t="str">
        <f>'Necesidades Trimestrales'!B65</f>
        <v>2.9.6-9688.574</v>
      </c>
      <c r="C67" s="132" t="str">
        <f>'Necesidades Trimestrales'!E65</f>
        <v>REP. Y ACC. P/CAMIONETAS; MARCA AUTOMOTOR: TOYOTA, MODELO AUTOMOTOR: HILUX, ELEMENTO: PARRILLA INFERIOR</v>
      </c>
      <c r="D67" s="132"/>
      <c r="E67" s="132"/>
      <c r="F67" s="132"/>
      <c r="G67" s="132"/>
      <c r="H67" s="9" t="s">
        <v>419</v>
      </c>
      <c r="I67" s="9" t="str">
        <f>'Necesidades Trimestrales'!F65</f>
        <v>UNIDAD</v>
      </c>
      <c r="J67" s="10">
        <f>'Necesidades Trimestrales'!H65</f>
        <v>10500</v>
      </c>
      <c r="K67" s="11">
        <f>'Necesidades Trimestrales'!G65</f>
        <v>10</v>
      </c>
    </row>
    <row r="68" spans="1:11" ht="29.25" customHeight="1" x14ac:dyDescent="0.25">
      <c r="A68" s="8">
        <v>57</v>
      </c>
      <c r="B68" s="9" t="str">
        <f>'Necesidades Trimestrales'!B66</f>
        <v>2.9.6-9688.575</v>
      </c>
      <c r="C68" s="132" t="str">
        <f>'Necesidades Trimestrales'!E66</f>
        <v>REP. Y ACC. P/CAMIONETAS; MARCA AUTOMOTOR: TOYOTA, MODELO AUTOMOTOR: HILUX, ELEMENTO: PARRILLA SUPERIOR</v>
      </c>
      <c r="D68" s="132"/>
      <c r="E68" s="132"/>
      <c r="F68" s="132"/>
      <c r="G68" s="132"/>
      <c r="H68" s="9" t="s">
        <v>419</v>
      </c>
      <c r="I68" s="9" t="str">
        <f>'Necesidades Trimestrales'!F66</f>
        <v>UNIDAD</v>
      </c>
      <c r="J68" s="10">
        <f>'Necesidades Trimestrales'!H66</f>
        <v>7826</v>
      </c>
      <c r="K68" s="11">
        <f>'Necesidades Trimestrales'!G66</f>
        <v>10</v>
      </c>
    </row>
    <row r="69" spans="1:11" ht="29.25" customHeight="1" x14ac:dyDescent="0.25">
      <c r="A69" s="8">
        <v>58</v>
      </c>
      <c r="B69" s="9" t="str">
        <f>'Necesidades Trimestrales'!B67</f>
        <v>2.9.6-9688.637</v>
      </c>
      <c r="C69" s="132" t="str">
        <f>'Necesidades Trimestrales'!E67</f>
        <v>REP. Y ACC. P/CAMIONETAS; MARCA AUTOMOTOR: SEGÚN PLIEGO, MODELO AUTOMOTOR: SEGÚN PLIEGO, ELEMENTO: DERIVADOR DE AGUA</v>
      </c>
      <c r="D69" s="132"/>
      <c r="E69" s="132"/>
      <c r="F69" s="132"/>
      <c r="G69" s="132"/>
      <c r="H69" s="9" t="s">
        <v>419</v>
      </c>
      <c r="I69" s="9" t="str">
        <f>'Necesidades Trimestrales'!F67</f>
        <v>UNIDAD</v>
      </c>
      <c r="J69" s="10">
        <f>'Necesidades Trimestrales'!H67</f>
        <v>8841</v>
      </c>
      <c r="K69" s="11">
        <f>'Necesidades Trimestrales'!G67</f>
        <v>10</v>
      </c>
    </row>
    <row r="70" spans="1:11" ht="29.25" customHeight="1" x14ac:dyDescent="0.25">
      <c r="A70" s="8">
        <v>59</v>
      </c>
      <c r="B70" s="9" t="str">
        <f>'Necesidades Trimestrales'!B68</f>
        <v>2.9.6-9688.638</v>
      </c>
      <c r="C70" s="132" t="str">
        <f>'Necesidades Trimestrales'!E68</f>
        <v>REP. Y ACC. P/CAMIONETAS; MARCA AUTOMOTOR: SEGÚN PLIEGO, MODELO AUTOMOTOR: SEGÚN PLIEGO, ELEMENTO: POLEA EMBRAGUE PARA ALTERNADOR</v>
      </c>
      <c r="D70" s="132"/>
      <c r="E70" s="132"/>
      <c r="F70" s="132"/>
      <c r="G70" s="132"/>
      <c r="H70" s="9" t="s">
        <v>419</v>
      </c>
      <c r="I70" s="9" t="str">
        <f>'Necesidades Trimestrales'!F68</f>
        <v>UNIDAD</v>
      </c>
      <c r="J70" s="10">
        <f>'Necesidades Trimestrales'!H68</f>
        <v>5977</v>
      </c>
      <c r="K70" s="11">
        <f>'Necesidades Trimestrales'!G68</f>
        <v>10</v>
      </c>
    </row>
    <row r="71" spans="1:11" ht="29.25" customHeight="1" x14ac:dyDescent="0.25">
      <c r="A71" s="8">
        <v>60</v>
      </c>
      <c r="B71" s="9" t="str">
        <f>'Necesidades Trimestrales'!B69</f>
        <v>2.9.6-9688.639</v>
      </c>
      <c r="C71" s="132" t="str">
        <f>'Necesidades Trimestrales'!E69</f>
        <v>REP. Y ACC. P/CAMIONETAS; MARCA AUTOMOTOR: SEGÚN PLIEGO, MODELO AUTOMOTOR: SEGÚN PLIEGO, ELEMENTO: TERMOSTATO</v>
      </c>
      <c r="D71" s="132"/>
      <c r="E71" s="132"/>
      <c r="F71" s="132"/>
      <c r="G71" s="132"/>
      <c r="H71" s="9" t="s">
        <v>419</v>
      </c>
      <c r="I71" s="9" t="str">
        <f>'Necesidades Trimestrales'!F69</f>
        <v>UNIDAD</v>
      </c>
      <c r="J71" s="10">
        <f>'Necesidades Trimestrales'!H69</f>
        <v>3587</v>
      </c>
      <c r="K71" s="11">
        <f>'Necesidades Trimestrales'!G69</f>
        <v>10</v>
      </c>
    </row>
    <row r="72" spans="1:11" ht="29.25" customHeight="1" x14ac:dyDescent="0.25">
      <c r="A72" s="8">
        <v>61</v>
      </c>
      <c r="B72" s="9" t="str">
        <f>'Necesidades Trimestrales'!B70</f>
        <v>2.9.6-9688.640</v>
      </c>
      <c r="C72" s="132" t="str">
        <f>'Necesidades Trimestrales'!E70</f>
        <v>REP. Y ACC. P/CAMIONETAS; MARCA AUTOMOTOR: SEGÚN PLIEGO, MODELO AUTOMOTOR: SEGÚN PLIEGO, ELEMENTO: RODAMIENTO</v>
      </c>
      <c r="D72" s="132"/>
      <c r="E72" s="132"/>
      <c r="F72" s="132"/>
      <c r="G72" s="132"/>
      <c r="H72" s="9" t="s">
        <v>419</v>
      </c>
      <c r="I72" s="9" t="str">
        <f>'Necesidades Trimestrales'!F70</f>
        <v>UNIDAD</v>
      </c>
      <c r="J72" s="10">
        <f>'Necesidades Trimestrales'!H70</f>
        <v>1392</v>
      </c>
      <c r="K72" s="11">
        <f>'Necesidades Trimestrales'!G70</f>
        <v>10</v>
      </c>
    </row>
    <row r="73" spans="1:11" ht="29.25" customHeight="1" x14ac:dyDescent="0.25">
      <c r="A73" s="8">
        <v>62</v>
      </c>
      <c r="B73" s="9" t="str">
        <f>'Necesidades Trimestrales'!B71</f>
        <v>2.9.6-4978.9992</v>
      </c>
      <c r="C73" s="132" t="str">
        <f>'Necesidades Trimestrales'!E71</f>
        <v>REP. Y ACC. P/AUTOMOTOR; REPUESTO: KIT DE FILTRO, MARCA: SEGÚN PLIEGO, MODELO: SEGÚN PLIEGO</v>
      </c>
      <c r="D73" s="132"/>
      <c r="E73" s="132"/>
      <c r="F73" s="132"/>
      <c r="G73" s="132"/>
      <c r="H73" s="9" t="s">
        <v>419</v>
      </c>
      <c r="I73" s="9" t="str">
        <f>'Necesidades Trimestrales'!F71</f>
        <v>UNIDAD</v>
      </c>
      <c r="J73" s="10">
        <f>'Necesidades Trimestrales'!H71</f>
        <v>6204</v>
      </c>
      <c r="K73" s="11">
        <f>'Necesidades Trimestrales'!G71</f>
        <v>30</v>
      </c>
    </row>
    <row r="74" spans="1:11" ht="29.25" customHeight="1" x14ac:dyDescent="0.25">
      <c r="A74" s="8">
        <v>63</v>
      </c>
      <c r="B74" s="9" t="str">
        <f>'Necesidades Trimestrales'!B72</f>
        <v>2.9.6-4978.9993</v>
      </c>
      <c r="C74" s="132" t="str">
        <f>'Necesidades Trimestrales'!E72</f>
        <v>REP. Y ACC. P/AUTOMOTOR; REPUESTO: RAMPA INYECTORA, MARCA: SEGÚN PLIEGO, MODELO: SEGÚN PLIEGO</v>
      </c>
      <c r="D74" s="132"/>
      <c r="E74" s="132"/>
      <c r="F74" s="132"/>
      <c r="G74" s="132"/>
      <c r="H74" s="9" t="s">
        <v>419</v>
      </c>
      <c r="I74" s="9" t="str">
        <f>'Necesidades Trimestrales'!F72</f>
        <v>UNIDAD</v>
      </c>
      <c r="J74" s="10">
        <f>'Necesidades Trimestrales'!H72</f>
        <v>54002</v>
      </c>
      <c r="K74" s="11">
        <f>'Necesidades Trimestrales'!G72</f>
        <v>6</v>
      </c>
    </row>
    <row r="75" spans="1:11" ht="29.25" customHeight="1" x14ac:dyDescent="0.25">
      <c r="A75" s="8">
        <v>64</v>
      </c>
      <c r="B75" s="9" t="str">
        <f>'Necesidades Trimestrales'!B73</f>
        <v>2.9.6-4978.9986</v>
      </c>
      <c r="C75" s="132" t="str">
        <f>'Necesidades Trimestrales'!E73</f>
        <v>REP. Y ACC. P/AUTOMOTOR; REPUESTO: PRECAP, MARCA: SEGUN PLIEGO, MODELO: SEGUN PLIEGO, TIPO: AUTO</v>
      </c>
      <c r="D75" s="132"/>
      <c r="E75" s="132"/>
      <c r="F75" s="132"/>
      <c r="G75" s="132"/>
      <c r="H75" s="9" t="s">
        <v>419</v>
      </c>
      <c r="I75" s="9" t="str">
        <f>'Necesidades Trimestrales'!F73</f>
        <v>UNIDAD</v>
      </c>
      <c r="J75" s="10">
        <f>'Necesidades Trimestrales'!H73</f>
        <v>2208</v>
      </c>
      <c r="K75" s="11">
        <f>'Necesidades Trimestrales'!G73</f>
        <v>10</v>
      </c>
    </row>
    <row r="76" spans="1:11" ht="29.25" customHeight="1" x14ac:dyDescent="0.25">
      <c r="A76" s="8">
        <v>65</v>
      </c>
      <c r="B76" s="9" t="str">
        <f>'Necesidades Trimestrales'!B74</f>
        <v>2.9.6-4978.9987</v>
      </c>
      <c r="C76" s="132" t="str">
        <f>'Necesidades Trimestrales'!E74</f>
        <v>REP. Y ACC. P/AUTOMOTOR; REPUESTO: BIELETA, MARCA: SEGUN PLIEGO, MODELO: SEGUN PLIEGO, TIPO: AUTO</v>
      </c>
      <c r="D76" s="132"/>
      <c r="E76" s="132"/>
      <c r="F76" s="132"/>
      <c r="G76" s="132"/>
      <c r="H76" s="9" t="s">
        <v>419</v>
      </c>
      <c r="I76" s="9" t="str">
        <f>'Necesidades Trimestrales'!F74</f>
        <v>UNIDAD</v>
      </c>
      <c r="J76" s="10">
        <f>'Necesidades Trimestrales'!H74</f>
        <v>1678</v>
      </c>
      <c r="K76" s="11">
        <f>'Necesidades Trimestrales'!G74</f>
        <v>10</v>
      </c>
    </row>
    <row r="77" spans="1:11" ht="29.25" customHeight="1" x14ac:dyDescent="0.25">
      <c r="A77" s="8">
        <v>66</v>
      </c>
      <c r="B77" s="9" t="str">
        <f>'Necesidades Trimestrales'!B75</f>
        <v>2.9.6-4978.9988</v>
      </c>
      <c r="C77" s="132" t="str">
        <f>'Necesidades Trimestrales'!E75</f>
        <v>REP. Y ACC. P/AUTOMOTOR; REPUESTO: EXTREMO DE DIRECCION, MARCA: SEGUN PLIEGO, MODELO: SEGUN PLIEGO, TIPO: AUTO</v>
      </c>
      <c r="D77" s="132"/>
      <c r="E77" s="132"/>
      <c r="F77" s="132"/>
      <c r="G77" s="132"/>
      <c r="H77" s="9" t="s">
        <v>419</v>
      </c>
      <c r="I77" s="9" t="str">
        <f>'Necesidades Trimestrales'!F75</f>
        <v>UNIDAD</v>
      </c>
      <c r="J77" s="10">
        <f>'Necesidades Trimestrales'!H75</f>
        <v>3186</v>
      </c>
      <c r="K77" s="11">
        <f>'Necesidades Trimestrales'!G75</f>
        <v>20</v>
      </c>
    </row>
    <row r="78" spans="1:11" ht="29.25" customHeight="1" x14ac:dyDescent="0.25">
      <c r="A78" s="8">
        <v>67</v>
      </c>
      <c r="B78" s="9" t="str">
        <f>'Necesidades Trimestrales'!B76</f>
        <v>2.9.6-4978.9989</v>
      </c>
      <c r="C78" s="132" t="str">
        <f>'Necesidades Trimestrales'!E76</f>
        <v>REP. Y ACC. P/AUTOMOTOR; REPUESTO: JUEGO DE PASTILLAS DE FRENO, MARCA: SEGUN PLIEGO, MODELO: SEGUN PLIEGO, TIPO: AUTO</v>
      </c>
      <c r="D78" s="132"/>
      <c r="E78" s="132"/>
      <c r="F78" s="132"/>
      <c r="G78" s="132"/>
      <c r="H78" s="9" t="s">
        <v>419</v>
      </c>
      <c r="I78" s="9" t="str">
        <f>'Necesidades Trimestrales'!F76</f>
        <v>UNIDAD</v>
      </c>
      <c r="J78" s="10">
        <f>'Necesidades Trimestrales'!H76</f>
        <v>3767</v>
      </c>
      <c r="K78" s="11">
        <f>'Necesidades Trimestrales'!G76</f>
        <v>15</v>
      </c>
    </row>
    <row r="79" spans="1:11" ht="29.25" customHeight="1" x14ac:dyDescent="0.25">
      <c r="A79" s="8">
        <v>68</v>
      </c>
      <c r="B79" s="9" t="str">
        <f>'Necesidades Trimestrales'!B77</f>
        <v>2.9.6-9740.913</v>
      </c>
      <c r="C79" s="132" t="str">
        <f>'Necesidades Trimestrales'!E77</f>
        <v>REP. Y ACC. P/AUTOMOVILES; MARCA AUTOMOVIL: TOYOTA, MODELO AUTOMOVIL: ETIOS, ELEMENTO: PARRILLA SUPERIOR</v>
      </c>
      <c r="D79" s="132"/>
      <c r="E79" s="132"/>
      <c r="F79" s="132"/>
      <c r="G79" s="132"/>
      <c r="H79" s="9" t="s">
        <v>419</v>
      </c>
      <c r="I79" s="9" t="str">
        <f>'Necesidades Trimestrales'!F77</f>
        <v>UNIDAD</v>
      </c>
      <c r="J79" s="10">
        <f>'Necesidades Trimestrales'!H77</f>
        <v>8097</v>
      </c>
      <c r="K79" s="11">
        <f>'Necesidades Trimestrales'!G77</f>
        <v>5</v>
      </c>
    </row>
    <row r="80" spans="1:11" ht="29.25" customHeight="1" x14ac:dyDescent="0.25">
      <c r="A80" s="8">
        <v>69</v>
      </c>
      <c r="B80" s="9" t="str">
        <f>'Necesidades Trimestrales'!B78</f>
        <v>2.9.6-4978.9990</v>
      </c>
      <c r="C80" s="132" t="str">
        <f>'Necesidades Trimestrales'!E78</f>
        <v>REP. Y ACC. P/AUTOMOTOR; REPUESTO: BUJE BARRA ESTABILIZADORA, MARCA: SEGUN PLIEGO, MODELO: SEGUN PLIEGO, TIPO: AUTO</v>
      </c>
      <c r="D80" s="132"/>
      <c r="E80" s="132"/>
      <c r="F80" s="132"/>
      <c r="G80" s="132"/>
      <c r="H80" s="9" t="s">
        <v>419</v>
      </c>
      <c r="I80" s="9" t="str">
        <f>'Necesidades Trimestrales'!F78</f>
        <v>UNIDAD</v>
      </c>
      <c r="J80" s="10">
        <f>'Necesidades Trimestrales'!H78</f>
        <v>1101</v>
      </c>
      <c r="K80" s="11">
        <f>'Necesidades Trimestrales'!G78</f>
        <v>6</v>
      </c>
    </row>
    <row r="81" spans="1:11" ht="29.25" customHeight="1" x14ac:dyDescent="0.25">
      <c r="A81" s="8">
        <v>70</v>
      </c>
      <c r="B81" s="9" t="str">
        <f>'Necesidades Trimestrales'!B79</f>
        <v>2.9.6-4978.9991</v>
      </c>
      <c r="C81" s="132" t="str">
        <f>'Necesidades Trimestrales'!E79</f>
        <v>REP. Y ACC. P/AUTOMOTOR; REPUESTO: HOMOCINETICA, MARCA: SEGUN PLIEGO, MODELO: SEGUN PLIEGO, TIPO: AUTO</v>
      </c>
      <c r="D81" s="132"/>
      <c r="E81" s="132"/>
      <c r="F81" s="132"/>
      <c r="G81" s="132"/>
      <c r="H81" s="9" t="s">
        <v>419</v>
      </c>
      <c r="I81" s="9" t="str">
        <f>'Necesidades Trimestrales'!F79</f>
        <v>UNIDAD</v>
      </c>
      <c r="J81" s="10">
        <f>'Necesidades Trimestrales'!H79</f>
        <v>10722</v>
      </c>
      <c r="K81" s="11">
        <f>'Necesidades Trimestrales'!G79</f>
        <v>5</v>
      </c>
    </row>
    <row r="82" spans="1:11" ht="29.25" customHeight="1" x14ac:dyDescent="0.25">
      <c r="A82" s="8">
        <v>71</v>
      </c>
      <c r="B82" s="9" t="str">
        <f>'Necesidades Trimestrales'!B80</f>
        <v>2.9.6-9688.630</v>
      </c>
      <c r="C82" s="132" t="str">
        <f>'Necesidades Trimestrales'!E80</f>
        <v>REP. Y ACC. P/CAMIONETAS; MARCA AUTOMOTOR: SEGUN PLIEGO, MODELO AUTOMOTOR: SEGUN PLIEGO, ELEMENTO: SOPORTE DE CAJA</v>
      </c>
      <c r="D82" s="132"/>
      <c r="E82" s="132"/>
      <c r="F82" s="132"/>
      <c r="G82" s="132"/>
      <c r="H82" s="9" t="s">
        <v>419</v>
      </c>
      <c r="I82" s="9" t="str">
        <f>'Necesidades Trimestrales'!F80</f>
        <v>UNIDAD</v>
      </c>
      <c r="J82" s="10">
        <f>'Necesidades Trimestrales'!H80</f>
        <v>8196</v>
      </c>
      <c r="K82" s="11">
        <f>'Necesidades Trimestrales'!G80</f>
        <v>4</v>
      </c>
    </row>
    <row r="83" spans="1:11" ht="29.25" customHeight="1" x14ac:dyDescent="0.25">
      <c r="A83" s="8">
        <v>72</v>
      </c>
      <c r="B83" s="9" t="str">
        <f>'Necesidades Trimestrales'!B81</f>
        <v>2.9.6-9688.631</v>
      </c>
      <c r="C83" s="132" t="str">
        <f>'Necesidades Trimestrales'!E81</f>
        <v>REP. Y ACC. P/CAMIONETAS; MARCA AUTOMOTOR: SEGUN PLIEGO, MODELO AUTOMOTOR: SEGUN PLIEGO, ELEMENTO: BUJE BARRA ESTABILIZADORA</v>
      </c>
      <c r="D83" s="132"/>
      <c r="E83" s="132"/>
      <c r="F83" s="132"/>
      <c r="G83" s="132"/>
      <c r="H83" s="9" t="s">
        <v>419</v>
      </c>
      <c r="I83" s="9" t="str">
        <f>'Necesidades Trimestrales'!F81</f>
        <v>UNIDAD</v>
      </c>
      <c r="J83" s="10">
        <f>'Necesidades Trimestrales'!H81</f>
        <v>1035</v>
      </c>
      <c r="K83" s="11">
        <f>'Necesidades Trimestrales'!G81</f>
        <v>5</v>
      </c>
    </row>
    <row r="84" spans="1:11" ht="29.25" customHeight="1" x14ac:dyDescent="0.25">
      <c r="A84" s="8">
        <v>73</v>
      </c>
      <c r="B84" s="9" t="str">
        <f>'Necesidades Trimestrales'!B82</f>
        <v>2.9.6-9688.635</v>
      </c>
      <c r="C84" s="132" t="str">
        <f>'Necesidades Trimestrales'!E82</f>
        <v>REP. Y ACC. P/CAMIONETAS; MARCA AUTOMOTOR: SEGUN PLIEGO, MODELO AUTOMOTOR: SEGUN PLIEGO, ELEMENTO: BUJE CAJA DIRECCION</v>
      </c>
      <c r="D84" s="132"/>
      <c r="E84" s="132"/>
      <c r="F84" s="132"/>
      <c r="G84" s="132"/>
      <c r="H84" s="9" t="s">
        <v>419</v>
      </c>
      <c r="I84" s="9" t="str">
        <f>'Necesidades Trimestrales'!F82</f>
        <v>UNIDAD</v>
      </c>
      <c r="J84" s="10">
        <f>'Necesidades Trimestrales'!H82</f>
        <v>1900</v>
      </c>
      <c r="K84" s="11">
        <f>'Necesidades Trimestrales'!G82</f>
        <v>5</v>
      </c>
    </row>
    <row r="85" spans="1:11" ht="29.25" customHeight="1" x14ac:dyDescent="0.25">
      <c r="A85" s="8">
        <v>74</v>
      </c>
      <c r="B85" s="9" t="str">
        <f>'Necesidades Trimestrales'!B83</f>
        <v>2.9.6-9688.573</v>
      </c>
      <c r="C85" s="132" t="str">
        <f>'Necesidades Trimestrales'!E83</f>
        <v>REP. Y ACC. P/CAMIONETAS; MARCA AUTOMOTOR: TOYOTA, MODELO AUTOMOTOR: HILUX, ELEMENTO: BIELETAS DE BARRA</v>
      </c>
      <c r="D85" s="132"/>
      <c r="E85" s="132"/>
      <c r="F85" s="132"/>
      <c r="G85" s="132"/>
      <c r="H85" s="9" t="s">
        <v>419</v>
      </c>
      <c r="I85" s="9" t="str">
        <f>'Necesidades Trimestrales'!F83</f>
        <v>UNIDAD</v>
      </c>
      <c r="J85" s="10">
        <f>'Necesidades Trimestrales'!H83</f>
        <v>3457</v>
      </c>
      <c r="K85" s="11">
        <f>'Necesidades Trimestrales'!G83</f>
        <v>10</v>
      </c>
    </row>
    <row r="86" spans="1:11" ht="29.25" customHeight="1" x14ac:dyDescent="0.25">
      <c r="A86" s="8">
        <v>75</v>
      </c>
      <c r="B86" s="9" t="str">
        <f>'Necesidades Trimestrales'!B84</f>
        <v>2.9.6-9688.573</v>
      </c>
      <c r="C86" s="132" t="str">
        <f>'Necesidades Trimestrales'!E84</f>
        <v>REP. Y ACC. P/CAMIONETAS; MARCA AUTOMOTOR: TOYOTA, MODELO AUTOMOTOR: HILUX, ELEMENTO: BIELETAS DE BARRA</v>
      </c>
      <c r="D86" s="132"/>
      <c r="E86" s="132"/>
      <c r="F86" s="132"/>
      <c r="G86" s="132"/>
      <c r="H86" s="9" t="s">
        <v>419</v>
      </c>
      <c r="I86" s="9" t="str">
        <f>'Necesidades Trimestrales'!F84</f>
        <v>UNIDAD</v>
      </c>
      <c r="J86" s="10">
        <f>'Necesidades Trimestrales'!H84</f>
        <v>3457</v>
      </c>
      <c r="K86" s="11">
        <f>'Necesidades Trimestrales'!G84</f>
        <v>10</v>
      </c>
    </row>
    <row r="87" spans="1:11" ht="29.25" customHeight="1" x14ac:dyDescent="0.25">
      <c r="A87" s="8">
        <v>76</v>
      </c>
      <c r="B87" s="9" t="str">
        <f>'Necesidades Trimestrales'!B85</f>
        <v>2.9.6-9688.372</v>
      </c>
      <c r="C87" s="132" t="str">
        <f>'Necesidades Trimestrales'!E85</f>
        <v>REP. Y ACC. P/CAMIONETAS; MARCA AUTOMOTOR: TOYOTA, MODELO AUTOMOTOR: HILUX, ELEMENTO: EXTREMO DE DIRECCION</v>
      </c>
      <c r="D87" s="132"/>
      <c r="E87" s="132"/>
      <c r="F87" s="132"/>
      <c r="G87" s="132"/>
      <c r="H87" s="9" t="s">
        <v>419</v>
      </c>
      <c r="I87" s="9" t="str">
        <f>'Necesidades Trimestrales'!F85</f>
        <v>UNIDAD</v>
      </c>
      <c r="J87" s="10">
        <f>'Necesidades Trimestrales'!H85</f>
        <v>2139</v>
      </c>
      <c r="K87" s="11">
        <f>'Necesidades Trimestrales'!G85</f>
        <v>10</v>
      </c>
    </row>
    <row r="88" spans="1:11" ht="29.25" customHeight="1" x14ac:dyDescent="0.25">
      <c r="A88" s="8">
        <v>77</v>
      </c>
      <c r="B88" s="9" t="str">
        <f>'Necesidades Trimestrales'!B86</f>
        <v>2.9.6-9688.372</v>
      </c>
      <c r="C88" s="132" t="str">
        <f>'Necesidades Trimestrales'!E86</f>
        <v>REP. Y ACC. P/CAMIONETAS; MARCA AUTOMOTOR: TOYOTA, MODELO AUTOMOTOR: HILUX, ELEMENTO: EXTREMO DE DIRECCION</v>
      </c>
      <c r="D88" s="132"/>
      <c r="E88" s="132"/>
      <c r="F88" s="132"/>
      <c r="G88" s="132"/>
      <c r="H88" s="9" t="s">
        <v>419</v>
      </c>
      <c r="I88" s="9" t="str">
        <f>'Necesidades Trimestrales'!F86</f>
        <v>UNIDAD</v>
      </c>
      <c r="J88" s="10">
        <f>'Necesidades Trimestrales'!H86</f>
        <v>2139</v>
      </c>
      <c r="K88" s="11">
        <f>'Necesidades Trimestrales'!G86</f>
        <v>10</v>
      </c>
    </row>
    <row r="89" spans="1:11" ht="29.25" customHeight="1" x14ac:dyDescent="0.25">
      <c r="A89" s="8">
        <v>78</v>
      </c>
      <c r="B89" s="9" t="str">
        <f>'Necesidades Trimestrales'!B87</f>
        <v>2.9.6-9688.441</v>
      </c>
      <c r="C89" s="132" t="str">
        <f>'Necesidades Trimestrales'!E87</f>
        <v>REP. Y ACC. P/CAMIONETAS; MARCA AUTOMOTOR: TOYOTA, MODELO AUTOMOTOR: HILUX, ELEMENTO: PRECAP</v>
      </c>
      <c r="D89" s="132"/>
      <c r="E89" s="132"/>
      <c r="F89" s="132"/>
      <c r="G89" s="132"/>
      <c r="H89" s="9" t="s">
        <v>419</v>
      </c>
      <c r="I89" s="9" t="str">
        <f>'Necesidades Trimestrales'!F87</f>
        <v>UNIDAD</v>
      </c>
      <c r="J89" s="10">
        <f>'Necesidades Trimestrales'!H87</f>
        <v>2610</v>
      </c>
      <c r="K89" s="11">
        <f>'Necesidades Trimestrales'!G87</f>
        <v>10</v>
      </c>
    </row>
    <row r="90" spans="1:11" ht="29.25" customHeight="1" x14ac:dyDescent="0.25">
      <c r="A90" s="8">
        <v>79</v>
      </c>
      <c r="B90" s="9" t="str">
        <f>'Necesidades Trimestrales'!B88</f>
        <v>2.9.6-9688.441</v>
      </c>
      <c r="C90" s="132" t="str">
        <f>'Necesidades Trimestrales'!E88</f>
        <v>REP. Y ACC. P/CAMIONETAS; MARCA AUTOMOTOR: TOYOTA, MODELO AUTOMOTOR: HILUX, ELEMENTO: PRECAP</v>
      </c>
      <c r="D90" s="132"/>
      <c r="E90" s="132"/>
      <c r="F90" s="132"/>
      <c r="G90" s="132"/>
      <c r="H90" s="9" t="s">
        <v>419</v>
      </c>
      <c r="I90" s="9" t="str">
        <f>'Necesidades Trimestrales'!F88</f>
        <v>UNIDAD</v>
      </c>
      <c r="J90" s="10">
        <f>'Necesidades Trimestrales'!H88</f>
        <v>2610</v>
      </c>
      <c r="K90" s="11">
        <f>'Necesidades Trimestrales'!G88</f>
        <v>10</v>
      </c>
    </row>
    <row r="91" spans="1:11" ht="29.25" customHeight="1" x14ac:dyDescent="0.25">
      <c r="A91" s="8">
        <v>80</v>
      </c>
      <c r="B91" s="9" t="str">
        <f>'Necesidades Trimestrales'!B89</f>
        <v>2.9.6-9688.368</v>
      </c>
      <c r="C91" s="132" t="str">
        <f>'Necesidades Trimestrales'!E89</f>
        <v>REP. Y ACC. P/CAMIONETAS; MARCA AUTOMOTOR: TOYOTA, MODELO AUTOMOTOR: HILUX, ELEMENTO: BUJE BARRA ESTABILIZADORA</v>
      </c>
      <c r="D91" s="132"/>
      <c r="E91" s="132"/>
      <c r="F91" s="132"/>
      <c r="G91" s="132"/>
      <c r="H91" s="9" t="s">
        <v>419</v>
      </c>
      <c r="I91" s="9" t="str">
        <f>'Necesidades Trimestrales'!F89</f>
        <v>UNIDAD</v>
      </c>
      <c r="J91" s="10">
        <f>'Necesidades Trimestrales'!H89</f>
        <v>3038</v>
      </c>
      <c r="K91" s="11">
        <f>'Necesidades Trimestrales'!G89</f>
        <v>10</v>
      </c>
    </row>
    <row r="92" spans="1:11" ht="29.25" customHeight="1" x14ac:dyDescent="0.25">
      <c r="A92" s="8">
        <v>81</v>
      </c>
      <c r="B92" s="9" t="str">
        <f>'Necesidades Trimestrales'!B90</f>
        <v>2.9.6-9688.630</v>
      </c>
      <c r="C92" s="132" t="str">
        <f>'Necesidades Trimestrales'!E90</f>
        <v>REP. Y ACC. P/CAMIONETAS; MARCA AUTOMOTOR: SEGUN PLIEGO, MODELO AUTOMOTOR: SEGUN PLIEGO, ELEMENTO: SOPORTE DE CAJA</v>
      </c>
      <c r="D92" s="132"/>
      <c r="E92" s="132"/>
      <c r="F92" s="132"/>
      <c r="G92" s="132"/>
      <c r="H92" s="9" t="s">
        <v>419</v>
      </c>
      <c r="I92" s="9" t="str">
        <f>'Necesidades Trimestrales'!F90</f>
        <v>UNIDAD</v>
      </c>
      <c r="J92" s="10">
        <f>'Necesidades Trimestrales'!H90</f>
        <v>18244</v>
      </c>
      <c r="K92" s="11">
        <f>'Necesidades Trimestrales'!G90</f>
        <v>10</v>
      </c>
    </row>
    <row r="93" spans="1:11" ht="29.25" customHeight="1" x14ac:dyDescent="0.25">
      <c r="A93" s="8">
        <v>82</v>
      </c>
      <c r="B93" s="9" t="str">
        <f>'Necesidades Trimestrales'!B91</f>
        <v>2.9.6-3997.225</v>
      </c>
      <c r="C93" s="132" t="str">
        <f>'Necesidades Trimestrales'!E91</f>
        <v>REP. Y ACC. P/MOTOS; REPUESTO: FILTRO DE AIRE, USO: HONDA, MODELO AUTOMOTOR: XR 250 R /// XR 250 TORNADO, MODELO MOTO: XR 250 R</v>
      </c>
      <c r="D93" s="132"/>
      <c r="E93" s="132"/>
      <c r="F93" s="132"/>
      <c r="G93" s="132"/>
      <c r="H93" s="9" t="s">
        <v>419</v>
      </c>
      <c r="I93" s="9" t="str">
        <f>'Necesidades Trimestrales'!F91</f>
        <v>UNIDAD</v>
      </c>
      <c r="J93" s="10">
        <f>'Necesidades Trimestrales'!H91</f>
        <v>1668</v>
      </c>
      <c r="K93" s="11">
        <f>'Necesidades Trimestrales'!G91</f>
        <v>50</v>
      </c>
    </row>
    <row r="94" spans="1:11" ht="29.25" customHeight="1" x14ac:dyDescent="0.25">
      <c r="A94" s="8">
        <v>83</v>
      </c>
      <c r="B94" s="9" t="str">
        <f>'Necesidades Trimestrales'!B92</f>
        <v>2.9.6-3997.620</v>
      </c>
      <c r="C94" s="132" t="str">
        <f>'Necesidades Trimestrales'!E92</f>
        <v>REP. Y ACC. P/MOTOS; REPUESTO: FILTRO DE AIRE, USO: SEGUN PLIEGO, MODELO MOTO: SEGUN PLIEGO</v>
      </c>
      <c r="D94" s="132"/>
      <c r="E94" s="132"/>
      <c r="F94" s="132"/>
      <c r="G94" s="132"/>
      <c r="H94" s="9" t="s">
        <v>419</v>
      </c>
      <c r="I94" s="9" t="str">
        <f>'Necesidades Trimestrales'!F92</f>
        <v>UNIDAD</v>
      </c>
      <c r="J94" s="10">
        <f>'Necesidades Trimestrales'!H92</f>
        <v>1973</v>
      </c>
      <c r="K94" s="11">
        <f>'Necesidades Trimestrales'!G92</f>
        <v>25</v>
      </c>
    </row>
    <row r="95" spans="1:11" ht="29.25" customHeight="1" x14ac:dyDescent="0.25">
      <c r="A95" s="8">
        <v>84</v>
      </c>
      <c r="B95" s="9" t="str">
        <f>'Necesidades Trimestrales'!B93</f>
        <v>2.9.6-3997.620</v>
      </c>
      <c r="C95" s="132" t="str">
        <f>'Necesidades Trimestrales'!E93</f>
        <v>REP. Y ACC. P/MOTOS; REPUESTO: FILTRO DE AIRE, USO: SEGUN PLIEGO, MODELO MOTO: SEGUN PLIEGO</v>
      </c>
      <c r="D95" s="132"/>
      <c r="E95" s="132"/>
      <c r="F95" s="132"/>
      <c r="G95" s="132"/>
      <c r="H95" s="9" t="s">
        <v>419</v>
      </c>
      <c r="I95" s="9" t="str">
        <f>'Necesidades Trimestrales'!F93</f>
        <v>UNIDAD</v>
      </c>
      <c r="J95" s="10">
        <f>'Necesidades Trimestrales'!H93</f>
        <v>1170</v>
      </c>
      <c r="K95" s="11">
        <f>'Necesidades Trimestrales'!G93</f>
        <v>50</v>
      </c>
    </row>
    <row r="96" spans="1:11" ht="29.25" customHeight="1" x14ac:dyDescent="0.25">
      <c r="A96" s="8">
        <v>85</v>
      </c>
      <c r="B96" s="9" t="str">
        <f>'Necesidades Trimestrales'!B94</f>
        <v>2.9.6-3997.553</v>
      </c>
      <c r="C96" s="132" t="str">
        <f>'Necesidades Trimestrales'!E94</f>
        <v>REP. Y ACC. P/MOTOS; REPUESTO: PASTILLA FRENO DELANTERO, USO: HONDA, MODELO MOTO: XR 250 TORNADO</v>
      </c>
      <c r="D96" s="132"/>
      <c r="E96" s="132"/>
      <c r="F96" s="132"/>
      <c r="G96" s="132"/>
      <c r="H96" s="9" t="s">
        <v>419</v>
      </c>
      <c r="I96" s="9" t="str">
        <f>'Necesidades Trimestrales'!F94</f>
        <v>UNIDAD</v>
      </c>
      <c r="J96" s="10">
        <f>'Necesidades Trimestrales'!H94</f>
        <v>1249</v>
      </c>
      <c r="K96" s="11">
        <f>'Necesidades Trimestrales'!G94</f>
        <v>50</v>
      </c>
    </row>
    <row r="97" spans="1:11" ht="29.25" customHeight="1" x14ac:dyDescent="0.25">
      <c r="A97" s="8">
        <v>86</v>
      </c>
      <c r="B97" s="9" t="str">
        <f>'Necesidades Trimestrales'!B95</f>
        <v>2.9.6-3997.621</v>
      </c>
      <c r="C97" s="132" t="str">
        <f>'Necesidades Trimestrales'!E95</f>
        <v>REP. Y ACC. P/MOTOS; REPUESTO: JUEGO DE PASTILLAS DE FRENO, USO: SEGUN PLIEGO, MODELO MOTO: SEGUN PLIEGO</v>
      </c>
      <c r="D97" s="132"/>
      <c r="E97" s="132"/>
      <c r="F97" s="132"/>
      <c r="G97" s="132"/>
      <c r="H97" s="9" t="s">
        <v>419</v>
      </c>
      <c r="I97" s="9" t="str">
        <f>'Necesidades Trimestrales'!F95</f>
        <v>UNIDAD</v>
      </c>
      <c r="J97" s="10">
        <f>'Necesidades Trimestrales'!H95</f>
        <v>1994</v>
      </c>
      <c r="K97" s="11">
        <f>'Necesidades Trimestrales'!G95</f>
        <v>50</v>
      </c>
    </row>
    <row r="98" spans="1:11" ht="29.25" customHeight="1" x14ac:dyDescent="0.25">
      <c r="A98" s="8">
        <v>87</v>
      </c>
      <c r="B98" s="9" t="str">
        <f>'Necesidades Trimestrales'!B96</f>
        <v>2.9.6-3997.621</v>
      </c>
      <c r="C98" s="132" t="str">
        <f>'Necesidades Trimestrales'!E96</f>
        <v>REP. Y ACC. P/MOTOS; REPUESTO: JUEGO DE PASTILLAS DE FRENO, USO: SEGUN PLIEGO, MODELO MOTO: SEGUN PLIEGO</v>
      </c>
      <c r="D98" s="132"/>
      <c r="E98" s="132"/>
      <c r="F98" s="132"/>
      <c r="G98" s="132"/>
      <c r="H98" s="9" t="s">
        <v>419</v>
      </c>
      <c r="I98" s="9" t="str">
        <f>'Necesidades Trimestrales'!F96</f>
        <v>UNIDAD</v>
      </c>
      <c r="J98" s="10">
        <f>'Necesidades Trimestrales'!H96</f>
        <v>1510</v>
      </c>
      <c r="K98" s="11">
        <f>'Necesidades Trimestrales'!G96</f>
        <v>50</v>
      </c>
    </row>
    <row r="99" spans="1:11" ht="29.25" customHeight="1" x14ac:dyDescent="0.25">
      <c r="A99" s="8">
        <v>88</v>
      </c>
      <c r="B99" s="9" t="str">
        <f>'Necesidades Trimestrales'!B97</f>
        <v>2.9.6-3997.622</v>
      </c>
      <c r="C99" s="132" t="str">
        <f>'Necesidades Trimestrales'!E97</f>
        <v>REP. Y ACC. P/MOTOS; REPUESTO: ZAPATAS DE FRENO TRASERO, USO: SEGUN PLIEGO, MODELO MOTO: SEGUN PLIEGO</v>
      </c>
      <c r="D99" s="132"/>
      <c r="E99" s="132"/>
      <c r="F99" s="132"/>
      <c r="G99" s="132"/>
      <c r="H99" s="9" t="s">
        <v>419</v>
      </c>
      <c r="I99" s="9" t="str">
        <f>'Necesidades Trimestrales'!F97</f>
        <v>UNIDAD</v>
      </c>
      <c r="J99" s="10">
        <f>'Necesidades Trimestrales'!H97</f>
        <v>1281</v>
      </c>
      <c r="K99" s="11">
        <f>'Necesidades Trimestrales'!G97</f>
        <v>20</v>
      </c>
    </row>
    <row r="100" spans="1:11" ht="29.25" customHeight="1" x14ac:dyDescent="0.25">
      <c r="A100" s="8">
        <v>89</v>
      </c>
      <c r="B100" s="9" t="str">
        <f>'Necesidades Trimestrales'!B98</f>
        <v>2.9.6-3997.622</v>
      </c>
      <c r="C100" s="132" t="str">
        <f>'Necesidades Trimestrales'!E98</f>
        <v>REP. Y ACC. P/MOTOS; REPUESTO: ZAPATAS DE FRENO TRASERO, USO: SEGUN PLIEGO, MODELO MOTO: SEGUN PLIEGO</v>
      </c>
      <c r="D100" s="132"/>
      <c r="E100" s="132"/>
      <c r="F100" s="132"/>
      <c r="G100" s="132"/>
      <c r="H100" s="9" t="s">
        <v>419</v>
      </c>
      <c r="I100" s="9" t="str">
        <f>'Necesidades Trimestrales'!F98</f>
        <v>UNIDAD</v>
      </c>
      <c r="J100" s="10">
        <f>'Necesidades Trimestrales'!H98</f>
        <v>1281</v>
      </c>
      <c r="K100" s="11">
        <f>'Necesidades Trimestrales'!G98</f>
        <v>50</v>
      </c>
    </row>
    <row r="101" spans="1:11" ht="29.25" customHeight="1" x14ac:dyDescent="0.25">
      <c r="A101" s="8">
        <v>90</v>
      </c>
      <c r="B101" s="9" t="str">
        <f>'Necesidades Trimestrales'!B99</f>
        <v>2.9.6-3997.622</v>
      </c>
      <c r="C101" s="132" t="str">
        <f>'Necesidades Trimestrales'!E99</f>
        <v>REP. Y ACC. P/MOTOS; REPUESTO: ZAPATAS DE FRENO TRASERO, USO: SEGUN PLIEGO, MODELO MOTO: SEGUN PLIEGO</v>
      </c>
      <c r="D101" s="132"/>
      <c r="E101" s="132"/>
      <c r="F101" s="132"/>
      <c r="G101" s="132"/>
      <c r="H101" s="9" t="s">
        <v>419</v>
      </c>
      <c r="I101" s="9" t="str">
        <f>'Necesidades Trimestrales'!F99</f>
        <v>UNIDAD</v>
      </c>
      <c r="J101" s="10">
        <f>'Necesidades Trimestrales'!H99</f>
        <v>1583</v>
      </c>
      <c r="K101" s="11">
        <f>'Necesidades Trimestrales'!G99</f>
        <v>80</v>
      </c>
    </row>
    <row r="102" spans="1:11" ht="29.25" customHeight="1" x14ac:dyDescent="0.25">
      <c r="A102" s="8">
        <v>91</v>
      </c>
      <c r="B102" s="9" t="str">
        <f>'Necesidades Trimestrales'!B100</f>
        <v>2.9.6-3997.518</v>
      </c>
      <c r="C102" s="132" t="str">
        <f>'Necesidades Trimestrales'!E100</f>
        <v>REP. Y ACC. P/MOTOS; REPUESTO: CABLE DE EMBRAGUE, USO: HONDA, MODELO MOTO: XR 250</v>
      </c>
      <c r="D102" s="132"/>
      <c r="E102" s="132"/>
      <c r="F102" s="132"/>
      <c r="G102" s="132"/>
      <c r="H102" s="9" t="s">
        <v>419</v>
      </c>
      <c r="I102" s="9" t="str">
        <f>'Necesidades Trimestrales'!F100</f>
        <v>UNIDAD</v>
      </c>
      <c r="J102" s="10">
        <f>'Necesidades Trimestrales'!H100</f>
        <v>300</v>
      </c>
      <c r="K102" s="11">
        <f>'Necesidades Trimestrales'!G100</f>
        <v>150</v>
      </c>
    </row>
    <row r="103" spans="1:11" ht="29.25" customHeight="1" x14ac:dyDescent="0.25">
      <c r="A103" s="8">
        <v>92</v>
      </c>
      <c r="B103" s="9" t="str">
        <f>'Necesidades Trimestrales'!B101</f>
        <v>2.9.6-3997.517</v>
      </c>
      <c r="C103" s="132" t="str">
        <f>'Necesidades Trimestrales'!E101</f>
        <v>REP. Y ACC. P/MOTOS; REPUESTO: CABLE DE ACELERADOR, USO: HONDA, MODELO MOTO: XR 250</v>
      </c>
      <c r="D103" s="132"/>
      <c r="E103" s="132"/>
      <c r="F103" s="132"/>
      <c r="G103" s="132"/>
      <c r="H103" s="9" t="s">
        <v>419</v>
      </c>
      <c r="I103" s="9" t="str">
        <f>'Necesidades Trimestrales'!F101</f>
        <v>UNIDAD</v>
      </c>
      <c r="J103" s="10">
        <f>'Necesidades Trimestrales'!H101</f>
        <v>990</v>
      </c>
      <c r="K103" s="11">
        <f>'Necesidades Trimestrales'!G101</f>
        <v>150</v>
      </c>
    </row>
    <row r="104" spans="1:11" ht="29.25" customHeight="1" x14ac:dyDescent="0.25">
      <c r="A104" s="8">
        <v>93</v>
      </c>
      <c r="B104" s="9" t="str">
        <f>'Necesidades Trimestrales'!B102</f>
        <v>2.9.6-3997.623</v>
      </c>
      <c r="C104" s="132" t="str">
        <f>'Necesidades Trimestrales'!E102</f>
        <v>REP. Y ACC. P/MOTOS; REPUESTO: PALANCA DE EMBRAGUE, USO: SEGUN PLIEGO, MODELO MOTO: SEGUN PLIEGO</v>
      </c>
      <c r="D104" s="132"/>
      <c r="E104" s="132"/>
      <c r="F104" s="132"/>
      <c r="G104" s="132"/>
      <c r="H104" s="9" t="s">
        <v>419</v>
      </c>
      <c r="I104" s="9" t="str">
        <f>'Necesidades Trimestrales'!F102</f>
        <v>UNIDAD</v>
      </c>
      <c r="J104" s="10">
        <f>'Necesidades Trimestrales'!H102</f>
        <v>3025</v>
      </c>
      <c r="K104" s="11">
        <f>'Necesidades Trimestrales'!G102</f>
        <v>50</v>
      </c>
    </row>
    <row r="105" spans="1:11" ht="29.25" customHeight="1" x14ac:dyDescent="0.25">
      <c r="A105" s="8">
        <v>94</v>
      </c>
      <c r="B105" s="9" t="str">
        <f>'Necesidades Trimestrales'!B103</f>
        <v>2.9.6-3997.623</v>
      </c>
      <c r="C105" s="132" t="str">
        <f>'Necesidades Trimestrales'!E103</f>
        <v>REP. Y ACC. P/MOTOS; REPUESTO: PALANCA DE EMBRAGUE, USO: SEGUN PLIEGO, MODELO MOTO: SEGUN PLIEGO</v>
      </c>
      <c r="D105" s="132"/>
      <c r="E105" s="132"/>
      <c r="F105" s="132"/>
      <c r="G105" s="132"/>
      <c r="H105" s="9" t="s">
        <v>419</v>
      </c>
      <c r="I105" s="9" t="str">
        <f>'Necesidades Trimestrales'!F103</f>
        <v>UNIDAD</v>
      </c>
      <c r="J105" s="10">
        <f>'Necesidades Trimestrales'!H103</f>
        <v>1036</v>
      </c>
      <c r="K105" s="11">
        <f>'Necesidades Trimestrales'!G103</f>
        <v>50</v>
      </c>
    </row>
    <row r="106" spans="1:11" ht="29.25" customHeight="1" x14ac:dyDescent="0.25">
      <c r="A106" s="8">
        <v>95</v>
      </c>
      <c r="B106" s="9" t="str">
        <f>'Necesidades Trimestrales'!B104</f>
        <v>2.9.6-3997.623</v>
      </c>
      <c r="C106" s="132" t="str">
        <f>'Necesidades Trimestrales'!E104</f>
        <v>REP. Y ACC. P/MOTOS; REPUESTO: PALANCA DE EMBRAGUE, USO: SEGUN PLIEGO, MODELO MOTO: SEGUN PLIEGO</v>
      </c>
      <c r="D106" s="132"/>
      <c r="E106" s="132"/>
      <c r="F106" s="132"/>
      <c r="G106" s="132"/>
      <c r="H106" s="9" t="s">
        <v>419</v>
      </c>
      <c r="I106" s="9" t="str">
        <f>'Necesidades Trimestrales'!F104</f>
        <v>UNIDAD</v>
      </c>
      <c r="J106" s="10">
        <f>'Necesidades Trimestrales'!H104</f>
        <v>1320</v>
      </c>
      <c r="K106" s="11">
        <f>'Necesidades Trimestrales'!G104</f>
        <v>50</v>
      </c>
    </row>
    <row r="107" spans="1:11" ht="29.25" customHeight="1" x14ac:dyDescent="0.25">
      <c r="A107" s="8">
        <v>96</v>
      </c>
      <c r="B107" s="9" t="str">
        <f>'Necesidades Trimestrales'!B105</f>
        <v>2.9.6-3997.624</v>
      </c>
      <c r="C107" s="132" t="str">
        <f>'Necesidades Trimestrales'!E105</f>
        <v>REP. Y ACC. P/MOTOS; REPUESTO: PALANCA DE FRENO A DISCO, USO: SEGÚN PLIEGO, MODELO MOTO: SEGÚN PLIEGO</v>
      </c>
      <c r="D107" s="132"/>
      <c r="E107" s="132"/>
      <c r="F107" s="132"/>
      <c r="G107" s="132"/>
      <c r="H107" s="9" t="s">
        <v>419</v>
      </c>
      <c r="I107" s="9" t="str">
        <f>'Necesidades Trimestrales'!F105</f>
        <v>UNIDAD</v>
      </c>
      <c r="J107" s="10">
        <f>'Necesidades Trimestrales'!H105</f>
        <v>1977</v>
      </c>
      <c r="K107" s="11">
        <f>'Necesidades Trimestrales'!G105</f>
        <v>50</v>
      </c>
    </row>
    <row r="108" spans="1:11" ht="29.25" customHeight="1" x14ac:dyDescent="0.25">
      <c r="A108" s="8">
        <v>97</v>
      </c>
      <c r="B108" s="9" t="str">
        <f>'Necesidades Trimestrales'!B106</f>
        <v>2.9.6-3997.624</v>
      </c>
      <c r="C108" s="132" t="str">
        <f>'Necesidades Trimestrales'!E106</f>
        <v>REP. Y ACC. P/MOTOS; REPUESTO: PALANCA DE FRENO A DISCO, USO: SEGÚN PLIEGO, MODELO MOTO: SEGÚN PLIEGO</v>
      </c>
      <c r="D108" s="132"/>
      <c r="E108" s="132"/>
      <c r="F108" s="132"/>
      <c r="G108" s="132"/>
      <c r="H108" s="9" t="s">
        <v>419</v>
      </c>
      <c r="I108" s="9" t="str">
        <f>'Necesidades Trimestrales'!F106</f>
        <v>UNIDAD</v>
      </c>
      <c r="J108" s="10">
        <f>'Necesidades Trimestrales'!H106</f>
        <v>1977</v>
      </c>
      <c r="K108" s="11">
        <f>'Necesidades Trimestrales'!G106</f>
        <v>50</v>
      </c>
    </row>
    <row r="109" spans="1:11" ht="29.25" customHeight="1" x14ac:dyDescent="0.25">
      <c r="A109" s="8">
        <v>98</v>
      </c>
      <c r="B109" s="9" t="str">
        <f>'Necesidades Trimestrales'!B107</f>
        <v>2.9.6-3997.624</v>
      </c>
      <c r="C109" s="132" t="str">
        <f>'Necesidades Trimestrales'!E107</f>
        <v>REP. Y ACC. P/MOTOS; REPUESTO: PALANCA DE FRENO A DISCO, USO: SEGÚN PLIEGO, MODELO MOTO: SEGÚN PLIEGO</v>
      </c>
      <c r="D109" s="132"/>
      <c r="E109" s="132"/>
      <c r="F109" s="132"/>
      <c r="G109" s="132"/>
      <c r="H109" s="9" t="s">
        <v>419</v>
      </c>
      <c r="I109" s="9" t="str">
        <f>'Necesidades Trimestrales'!F107</f>
        <v>UNIDAD</v>
      </c>
      <c r="J109" s="10">
        <f>'Necesidades Trimestrales'!H107</f>
        <v>2134</v>
      </c>
      <c r="K109" s="11">
        <f>'Necesidades Trimestrales'!G107</f>
        <v>50</v>
      </c>
    </row>
    <row r="110" spans="1:11" ht="29.25" customHeight="1" x14ac:dyDescent="0.25">
      <c r="A110" s="8">
        <v>99</v>
      </c>
      <c r="B110" s="9" t="str">
        <f>'Necesidades Trimestrales'!B108</f>
        <v>2.9.6-3997.625</v>
      </c>
      <c r="C110" s="132" t="str">
        <f>'Necesidades Trimestrales'!E108</f>
        <v>REP. Y ACC. P/MOTOS; REPUESTO: BULBO DE FRENO, USO: SEGÚN PLIEGO, MODELO MOTO: SEGÚN PLIEGO</v>
      </c>
      <c r="D110" s="132"/>
      <c r="E110" s="132"/>
      <c r="F110" s="132"/>
      <c r="G110" s="132"/>
      <c r="H110" s="9" t="s">
        <v>419</v>
      </c>
      <c r="I110" s="9" t="str">
        <f>'Necesidades Trimestrales'!F108</f>
        <v>UNIDAD</v>
      </c>
      <c r="J110" s="10">
        <f>'Necesidades Trimestrales'!H108</f>
        <v>640</v>
      </c>
      <c r="K110" s="11">
        <f>'Necesidades Trimestrales'!G108</f>
        <v>50</v>
      </c>
    </row>
    <row r="111" spans="1:11" ht="29.25" customHeight="1" x14ac:dyDescent="0.25">
      <c r="A111" s="8">
        <v>100</v>
      </c>
      <c r="B111" s="9" t="str">
        <f>'Necesidades Trimestrales'!B109</f>
        <v>2.9.6-3997.625</v>
      </c>
      <c r="C111" s="132" t="str">
        <f>'Necesidades Trimestrales'!E109</f>
        <v>REP. Y ACC. P/MOTOS; REPUESTO: BULBO DE FRENO, USO: SEGÚN PLIEGO, MODELO MOTO: SEGÚN PLIEGO</v>
      </c>
      <c r="D111" s="132"/>
      <c r="E111" s="132"/>
      <c r="F111" s="132"/>
      <c r="G111" s="132"/>
      <c r="H111" s="9" t="s">
        <v>419</v>
      </c>
      <c r="I111" s="9" t="str">
        <f>'Necesidades Trimestrales'!F109</f>
        <v>UNIDAD</v>
      </c>
      <c r="J111" s="10">
        <f>'Necesidades Trimestrales'!H109</f>
        <v>920</v>
      </c>
      <c r="K111" s="11">
        <f>'Necesidades Trimestrales'!G109</f>
        <v>50</v>
      </c>
    </row>
    <row r="112" spans="1:11" ht="29.25" customHeight="1" x14ac:dyDescent="0.25">
      <c r="A112" s="8">
        <v>101</v>
      </c>
      <c r="B112" s="9" t="str">
        <f>'Necesidades Trimestrales'!B110</f>
        <v>2.9.6-3997.626</v>
      </c>
      <c r="C112" s="132" t="str">
        <f>'Necesidades Trimestrales'!E110</f>
        <v>REP. Y ACC. P/MOTOS; REPUESTO: UNION DE CADENA, USO: SEGÚN PLIEGO, MODELO MOTO: SEGÚN PLIEGO</v>
      </c>
      <c r="D112" s="132"/>
      <c r="E112" s="132"/>
      <c r="F112" s="132"/>
      <c r="G112" s="132"/>
      <c r="H112" s="9" t="s">
        <v>419</v>
      </c>
      <c r="I112" s="9" t="str">
        <f>'Necesidades Trimestrales'!F110</f>
        <v>UNIDAD</v>
      </c>
      <c r="J112" s="10">
        <f>'Necesidades Trimestrales'!H110</f>
        <v>605</v>
      </c>
      <c r="K112" s="11">
        <f>'Necesidades Trimestrales'!G110</f>
        <v>50</v>
      </c>
    </row>
    <row r="113" spans="1:11" ht="29.25" customHeight="1" x14ac:dyDescent="0.25">
      <c r="A113" s="8">
        <v>102</v>
      </c>
      <c r="B113" s="9" t="str">
        <f>'Necesidades Trimestrales'!B111</f>
        <v>2.9.6-3997.626</v>
      </c>
      <c r="C113" s="132" t="str">
        <f>'Necesidades Trimestrales'!E111</f>
        <v>REP. Y ACC. P/MOTOS; REPUESTO: UNION DE CADENA, USO: SEGÚN PLIEGO, MODELO MOTO: SEGÚN PLIEGO</v>
      </c>
      <c r="D113" s="132"/>
      <c r="E113" s="132"/>
      <c r="F113" s="132"/>
      <c r="G113" s="132"/>
      <c r="H113" s="9" t="s">
        <v>419</v>
      </c>
      <c r="I113" s="9" t="str">
        <f>'Necesidades Trimestrales'!F111</f>
        <v>UNIDAD</v>
      </c>
      <c r="J113" s="10">
        <f>'Necesidades Trimestrales'!H111</f>
        <v>754.22</v>
      </c>
      <c r="K113" s="11">
        <f>'Necesidades Trimestrales'!G111</f>
        <v>50</v>
      </c>
    </row>
    <row r="114" spans="1:11" ht="29.25" customHeight="1" x14ac:dyDescent="0.25">
      <c r="A114" s="8">
        <v>103</v>
      </c>
      <c r="B114" s="9" t="str">
        <f>'Necesidades Trimestrales'!B112</f>
        <v>2.9.6-3997.627</v>
      </c>
      <c r="C114" s="132" t="str">
        <f>'Necesidades Trimestrales'!E112</f>
        <v>REP. Y ACC. P/MOTOS; REPUESTO: JUEGOS DE RETENES DE SUSPENSION, USO: SEGUN PLIEGO, MODELO MOTO: SEGUN PLIEGO</v>
      </c>
      <c r="D114" s="132"/>
      <c r="E114" s="132"/>
      <c r="F114" s="132"/>
      <c r="G114" s="132"/>
      <c r="H114" s="9" t="s">
        <v>419</v>
      </c>
      <c r="I114" s="9" t="str">
        <f>'Necesidades Trimestrales'!F112</f>
        <v>UNIDAD</v>
      </c>
      <c r="J114" s="10">
        <f>'Necesidades Trimestrales'!H112</f>
        <v>3866</v>
      </c>
      <c r="K114" s="11">
        <f>'Necesidades Trimestrales'!G112</f>
        <v>50</v>
      </c>
    </row>
    <row r="115" spans="1:11" ht="29.25" customHeight="1" x14ac:dyDescent="0.25">
      <c r="A115" s="8">
        <v>104</v>
      </c>
      <c r="B115" s="9" t="str">
        <f>'Necesidades Trimestrales'!B113</f>
        <v>2.9.6-3997.627</v>
      </c>
      <c r="C115" s="132" t="str">
        <f>'Necesidades Trimestrales'!E113</f>
        <v>REP. Y ACC. P/MOTOS; REPUESTO: JUEGOS DE RETENES DE SUSPENSION, USO: SEGUN PLIEGO, MODELO MOTO: SEGUN PLIEGO</v>
      </c>
      <c r="D115" s="132"/>
      <c r="E115" s="132"/>
      <c r="F115" s="132"/>
      <c r="G115" s="132"/>
      <c r="H115" s="9" t="s">
        <v>419</v>
      </c>
      <c r="I115" s="9" t="str">
        <f>'Necesidades Trimestrales'!F113</f>
        <v>UNIDAD</v>
      </c>
      <c r="J115" s="10">
        <f>'Necesidades Trimestrales'!H113</f>
        <v>2990</v>
      </c>
      <c r="K115" s="11">
        <f>'Necesidades Trimestrales'!G113</f>
        <v>50</v>
      </c>
    </row>
    <row r="116" spans="1:11" ht="29.25" customHeight="1" x14ac:dyDescent="0.25">
      <c r="A116" s="8">
        <v>105</v>
      </c>
      <c r="B116" s="9" t="str">
        <f>'Necesidades Trimestrales'!B114</f>
        <v>2.9.6-3997.628</v>
      </c>
      <c r="C116" s="132" t="str">
        <f>'Necesidades Trimestrales'!E114</f>
        <v>REP. Y ACC. P/MOTOS; REPUESTO: JUEGOS DE CARBONES DE MOTOR DE ARRANQUE, USO: SEGUN PLIEGO, MODELO MOTO: SEGUN PLIEGO</v>
      </c>
      <c r="D116" s="132"/>
      <c r="E116" s="132"/>
      <c r="F116" s="132"/>
      <c r="G116" s="132"/>
      <c r="H116" s="9" t="s">
        <v>419</v>
      </c>
      <c r="I116" s="9" t="str">
        <f>'Necesidades Trimestrales'!F114</f>
        <v>UNIDAD</v>
      </c>
      <c r="J116" s="10">
        <f>'Necesidades Trimestrales'!H114</f>
        <v>1685</v>
      </c>
      <c r="K116" s="11">
        <f>'Necesidades Trimestrales'!G114</f>
        <v>100</v>
      </c>
    </row>
    <row r="117" spans="1:11" ht="29.25" customHeight="1" x14ac:dyDescent="0.25">
      <c r="A117" s="8">
        <v>106</v>
      </c>
      <c r="B117" s="9" t="str">
        <f>'Necesidades Trimestrales'!B115</f>
        <v>2.9.6-3997.629</v>
      </c>
      <c r="C117" s="132" t="str">
        <f>'Necesidades Trimestrales'!E115</f>
        <v>REP. Y ACC. P/MOTOS; REPUESTO: JUEGOS DE DISCOS DE EMBRAGUE, USO: SEGUN PLIEGO, MODELO MOTO: SEGUN PLIEGO</v>
      </c>
      <c r="D117" s="132"/>
      <c r="E117" s="132"/>
      <c r="F117" s="132"/>
      <c r="G117" s="132"/>
      <c r="H117" s="9" t="s">
        <v>419</v>
      </c>
      <c r="I117" s="9" t="str">
        <f>'Necesidades Trimestrales'!F115</f>
        <v>UNIDAD</v>
      </c>
      <c r="J117" s="10">
        <f>'Necesidades Trimestrales'!H115</f>
        <v>2114</v>
      </c>
      <c r="K117" s="11">
        <f>'Necesidades Trimestrales'!G115</f>
        <v>30</v>
      </c>
    </row>
    <row r="118" spans="1:11" ht="29.25" customHeight="1" x14ac:dyDescent="0.25">
      <c r="A118" s="8">
        <v>107</v>
      </c>
      <c r="B118" s="9" t="str">
        <f>'Necesidades Trimestrales'!B116</f>
        <v>2.9.6-3997.630</v>
      </c>
      <c r="C118" s="132" t="str">
        <f>'Necesidades Trimestrales'!E116</f>
        <v>REP. Y ACC. P/MOTOS; REPUESTO: BUJIA, USO: SEGÚN PLIEGO, MODELO MOTO: SEGÚN PLIEGO</v>
      </c>
      <c r="D118" s="132"/>
      <c r="E118" s="132"/>
      <c r="F118" s="132"/>
      <c r="G118" s="132"/>
      <c r="H118" s="9" t="s">
        <v>419</v>
      </c>
      <c r="I118" s="9" t="str">
        <f>'Necesidades Trimestrales'!F116</f>
        <v>UNIDAD</v>
      </c>
      <c r="J118" s="10">
        <f>'Necesidades Trimestrales'!H116</f>
        <v>1200</v>
      </c>
      <c r="K118" s="11">
        <f>'Necesidades Trimestrales'!G116</f>
        <v>80</v>
      </c>
    </row>
    <row r="119" spans="1:11" ht="29.25" customHeight="1" x14ac:dyDescent="0.25">
      <c r="A119" s="8">
        <v>108</v>
      </c>
      <c r="B119" s="9" t="str">
        <f>'Necesidades Trimestrales'!B117</f>
        <v>2.9.6-3997.630</v>
      </c>
      <c r="C119" s="132" t="str">
        <f>'Necesidades Trimestrales'!E117</f>
        <v>REP. Y ACC. P/MOTOS; REPUESTO: BUJIA, USO: SEGÚN PLIEGO, MODELO MOTO: SEGÚN PLIEGO</v>
      </c>
      <c r="D119" s="132"/>
      <c r="E119" s="132"/>
      <c r="F119" s="132"/>
      <c r="G119" s="132"/>
      <c r="H119" s="9" t="s">
        <v>419</v>
      </c>
      <c r="I119" s="9" t="str">
        <f>'Necesidades Trimestrales'!F117</f>
        <v>UNIDAD</v>
      </c>
      <c r="J119" s="10">
        <f>'Necesidades Trimestrales'!H117</f>
        <v>653.4</v>
      </c>
      <c r="K119" s="11">
        <f>'Necesidades Trimestrales'!G117</f>
        <v>50</v>
      </c>
    </row>
    <row r="120" spans="1:11" ht="29.25" customHeight="1" thickBot="1" x14ac:dyDescent="0.3">
      <c r="A120" s="8">
        <v>109</v>
      </c>
      <c r="B120" s="9" t="str">
        <f>'Necesidades Trimestrales'!B118</f>
        <v>2.9.6-3997.546</v>
      </c>
      <c r="C120" s="132" t="str">
        <f>'Necesidades Trimestrales'!E118</f>
        <v>REP. Y ACC. P/MOTOS; REPUESTO: KIT EMBRAGUE, USO: HONDA, MODELO MOTO: XR 250 TORNADO</v>
      </c>
      <c r="D120" s="132"/>
      <c r="E120" s="132"/>
      <c r="F120" s="132"/>
      <c r="G120" s="132"/>
      <c r="H120" s="9" t="s">
        <v>419</v>
      </c>
      <c r="I120" s="9" t="str">
        <f>'Necesidades Trimestrales'!F118</f>
        <v>UNIDAD</v>
      </c>
      <c r="J120" s="10">
        <f>'Necesidades Trimestrales'!H118</f>
        <v>7655</v>
      </c>
      <c r="K120" s="11">
        <f>'Necesidades Trimestrales'!G118</f>
        <v>30</v>
      </c>
    </row>
    <row r="121" spans="1:11" ht="20.25" customHeight="1" thickBot="1" x14ac:dyDescent="0.3">
      <c r="A121" s="133" t="s">
        <v>420</v>
      </c>
      <c r="B121" s="133"/>
      <c r="C121" s="133"/>
      <c r="D121" s="133"/>
      <c r="E121" s="133"/>
      <c r="F121" s="133"/>
      <c r="G121" s="133"/>
      <c r="H121" s="133"/>
      <c r="I121" s="133"/>
      <c r="J121" s="131">
        <f>SUMPRODUCT(J12:J120,K12:K120)</f>
        <v>23482273.899999999</v>
      </c>
      <c r="K121" s="131"/>
    </row>
  </sheetData>
  <mergeCells count="131">
    <mergeCell ref="C107:G107"/>
    <mergeCell ref="C108:G108"/>
    <mergeCell ref="C109:G109"/>
    <mergeCell ref="C110:G110"/>
    <mergeCell ref="C114:G114"/>
    <mergeCell ref="C102:G102"/>
    <mergeCell ref="C103:G103"/>
    <mergeCell ref="C104:G104"/>
    <mergeCell ref="C105:G105"/>
    <mergeCell ref="C106:G106"/>
    <mergeCell ref="C97:G97"/>
    <mergeCell ref="C98:G98"/>
    <mergeCell ref="C99:G99"/>
    <mergeCell ref="C100:G100"/>
    <mergeCell ref="C101:G101"/>
    <mergeCell ref="C78:G78"/>
    <mergeCell ref="C79:G79"/>
    <mergeCell ref="C80:G80"/>
    <mergeCell ref="C81:G81"/>
    <mergeCell ref="C96:G96"/>
    <mergeCell ref="C93:G93"/>
    <mergeCell ref="C94:G94"/>
    <mergeCell ref="C95:G95"/>
    <mergeCell ref="C73:G73"/>
    <mergeCell ref="C74:G74"/>
    <mergeCell ref="C75:G75"/>
    <mergeCell ref="C76:G76"/>
    <mergeCell ref="C77:G77"/>
    <mergeCell ref="C68:G68"/>
    <mergeCell ref="C69:G69"/>
    <mergeCell ref="C70:G70"/>
    <mergeCell ref="C71:G71"/>
    <mergeCell ref="C72:G72"/>
    <mergeCell ref="C63:G63"/>
    <mergeCell ref="C64:G64"/>
    <mergeCell ref="C65:G65"/>
    <mergeCell ref="C66:G66"/>
    <mergeCell ref="C67:G67"/>
    <mergeCell ref="C58:G58"/>
    <mergeCell ref="C59:G59"/>
    <mergeCell ref="C60:G60"/>
    <mergeCell ref="C61:G61"/>
    <mergeCell ref="C62:G62"/>
    <mergeCell ref="C41:G41"/>
    <mergeCell ref="C42:G42"/>
    <mergeCell ref="C53:G53"/>
    <mergeCell ref="C54:G54"/>
    <mergeCell ref="C55:G55"/>
    <mergeCell ref="C56:G56"/>
    <mergeCell ref="C57:G57"/>
    <mergeCell ref="C48:G48"/>
    <mergeCell ref="C49:G49"/>
    <mergeCell ref="C50:G50"/>
    <mergeCell ref="C51:G51"/>
    <mergeCell ref="C52:G52"/>
    <mergeCell ref="C43:G43"/>
    <mergeCell ref="C23:G23"/>
    <mergeCell ref="C24:G24"/>
    <mergeCell ref="C25:G25"/>
    <mergeCell ref="C26:G26"/>
    <mergeCell ref="C27:G27"/>
    <mergeCell ref="C18:G18"/>
    <mergeCell ref="C19:G19"/>
    <mergeCell ref="C20:G20"/>
    <mergeCell ref="C21:G21"/>
    <mergeCell ref="C22:G22"/>
    <mergeCell ref="C33:G33"/>
    <mergeCell ref="C34:G34"/>
    <mergeCell ref="C35:G35"/>
    <mergeCell ref="C36:G36"/>
    <mergeCell ref="C37:G37"/>
    <mergeCell ref="C28:G28"/>
    <mergeCell ref="C29:G29"/>
    <mergeCell ref="C30:G30"/>
    <mergeCell ref="C31:G31"/>
    <mergeCell ref="C32:G32"/>
    <mergeCell ref="C12:G12"/>
    <mergeCell ref="C82:G82"/>
    <mergeCell ref="C83:G83"/>
    <mergeCell ref="C84:G84"/>
    <mergeCell ref="C85:G85"/>
    <mergeCell ref="C89:G89"/>
    <mergeCell ref="C90:G90"/>
    <mergeCell ref="C91:G91"/>
    <mergeCell ref="C92:G92"/>
    <mergeCell ref="C13:G13"/>
    <mergeCell ref="C14:G14"/>
    <mergeCell ref="C15:G15"/>
    <mergeCell ref="C16:G16"/>
    <mergeCell ref="C17:G17"/>
    <mergeCell ref="C86:G86"/>
    <mergeCell ref="C87:G87"/>
    <mergeCell ref="C88:G88"/>
    <mergeCell ref="C44:G44"/>
    <mergeCell ref="C45:G45"/>
    <mergeCell ref="C46:G46"/>
    <mergeCell ref="C47:G47"/>
    <mergeCell ref="C38:G38"/>
    <mergeCell ref="C39:G39"/>
    <mergeCell ref="C40:G40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J121:K121"/>
    <mergeCell ref="C111:G111"/>
    <mergeCell ref="C112:G112"/>
    <mergeCell ref="C113:G113"/>
    <mergeCell ref="A121:I121"/>
    <mergeCell ref="C119:G119"/>
    <mergeCell ref="C115:G115"/>
    <mergeCell ref="C116:G116"/>
    <mergeCell ref="C117:G117"/>
    <mergeCell ref="C118:G118"/>
    <mergeCell ref="C120:G120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1"/>
  <sheetViews>
    <sheetView zoomScale="115" zoomScaleNormal="115" workbookViewId="0">
      <selection activeCell="A10" sqref="A10"/>
    </sheetView>
  </sheetViews>
  <sheetFormatPr baseColWidth="10" defaultColWidth="11" defaultRowHeight="13.5" x14ac:dyDescent="0.25"/>
  <cols>
    <col min="1" max="6" width="4.42578125" style="3" customWidth="1"/>
    <col min="7" max="7" width="4.42578125" style="38" customWidth="1"/>
    <col min="8" max="14" width="4.42578125" style="3" customWidth="1"/>
    <col min="15" max="16" width="14.85546875" style="3" customWidth="1"/>
    <col min="17" max="17" width="14.7109375" style="3" customWidth="1"/>
    <col min="18" max="16384" width="11" style="3"/>
  </cols>
  <sheetData>
    <row r="1" spans="1:17" ht="15.75" customHeight="1" x14ac:dyDescent="0.25">
      <c r="A1" s="162" t="s">
        <v>5</v>
      </c>
      <c r="B1" s="162"/>
      <c r="C1" s="162"/>
      <c r="D1" s="163">
        <f>'Necesidades Trimestrales'!C6</f>
        <v>2021</v>
      </c>
      <c r="E1" s="163"/>
      <c r="F1" s="36"/>
      <c r="G1" s="36"/>
      <c r="H1" s="37"/>
      <c r="I1" s="37"/>
      <c r="J1" s="37"/>
      <c r="K1" s="37"/>
      <c r="L1" s="37"/>
      <c r="M1" s="37"/>
      <c r="N1" s="37"/>
      <c r="P1" s="164" t="s">
        <v>421</v>
      </c>
      <c r="Q1" s="164"/>
    </row>
    <row r="2" spans="1:17" ht="15.75" customHeight="1" x14ac:dyDescent="0.25">
      <c r="H2" s="37"/>
      <c r="I2" s="37"/>
      <c r="J2" s="37"/>
      <c r="K2" s="37"/>
      <c r="L2" s="37"/>
      <c r="M2" s="37"/>
      <c r="N2" s="37"/>
      <c r="P2" s="164"/>
      <c r="Q2" s="164"/>
    </row>
    <row r="4" spans="1:17" ht="18" customHeight="1" thickBot="1" x14ac:dyDescent="0.35">
      <c r="A4" s="165" t="s">
        <v>422</v>
      </c>
      <c r="B4" s="165"/>
      <c r="C4" s="165"/>
      <c r="D4" s="165"/>
      <c r="E4" s="165"/>
      <c r="F4" s="165"/>
      <c r="G4" s="160" t="str">
        <f>' NotaPedido'!D3</f>
        <v>90 - Ministerio de Seguridad</v>
      </c>
      <c r="H4" s="160"/>
      <c r="I4" s="160"/>
      <c r="J4" s="160"/>
      <c r="K4" s="160"/>
      <c r="L4" s="160"/>
      <c r="M4" s="160"/>
      <c r="N4" s="160"/>
      <c r="O4" s="160"/>
      <c r="P4" s="160"/>
      <c r="Q4" s="160"/>
    </row>
    <row r="5" spans="1:17" ht="18" customHeight="1" thickBot="1" x14ac:dyDescent="0.35">
      <c r="A5" s="157" t="s">
        <v>404</v>
      </c>
      <c r="B5" s="158"/>
      <c r="C5" s="158"/>
      <c r="D5" s="158"/>
      <c r="E5" s="158"/>
      <c r="F5" s="159"/>
      <c r="G5" s="160" t="str">
        <f>' NotaPedido'!D4</f>
        <v>7- Dirección Provincial de Administración de la Policía de la Provincia de Catamarca</v>
      </c>
      <c r="H5" s="160"/>
      <c r="I5" s="160"/>
      <c r="J5" s="160"/>
      <c r="K5" s="160"/>
      <c r="L5" s="160"/>
      <c r="M5" s="160"/>
      <c r="N5" s="160"/>
      <c r="O5" s="160"/>
      <c r="P5" s="160"/>
      <c r="Q5" s="160"/>
    </row>
    <row r="6" spans="1:17" ht="18" customHeight="1" thickBot="1" x14ac:dyDescent="0.35">
      <c r="A6" s="157" t="s">
        <v>405</v>
      </c>
      <c r="B6" s="158"/>
      <c r="C6" s="158"/>
      <c r="D6" s="158"/>
      <c r="E6" s="158"/>
      <c r="F6" s="159"/>
      <c r="G6" s="160" t="str">
        <f>' NotaPedido'!D5</f>
        <v>Jefatura de Policía de la Provincia de Catamarca</v>
      </c>
      <c r="H6" s="160"/>
      <c r="I6" s="160"/>
      <c r="J6" s="160"/>
      <c r="K6" s="160"/>
      <c r="L6" s="160"/>
      <c r="M6" s="160"/>
      <c r="N6" s="160"/>
      <c r="O6" s="160"/>
      <c r="P6" s="160"/>
      <c r="Q6" s="160"/>
    </row>
    <row r="7" spans="1:17" ht="18" customHeight="1" thickBot="1" x14ac:dyDescent="0.35">
      <c r="A7" s="157" t="s">
        <v>407</v>
      </c>
      <c r="B7" s="158"/>
      <c r="C7" s="158"/>
      <c r="D7" s="158"/>
      <c r="E7" s="158"/>
      <c r="F7" s="159"/>
      <c r="G7" s="160" t="str">
        <f>' NotaPedido'!D6</f>
        <v>División Transporte (D-4)</v>
      </c>
      <c r="H7" s="160"/>
      <c r="I7" s="160"/>
      <c r="J7" s="160"/>
      <c r="K7" s="160"/>
      <c r="L7" s="160"/>
      <c r="M7" s="160"/>
      <c r="N7" s="160"/>
      <c r="O7" s="160"/>
      <c r="P7" s="160"/>
      <c r="Q7" s="160"/>
    </row>
    <row r="8" spans="1:17" ht="18" customHeight="1" thickBot="1" x14ac:dyDescent="0.3">
      <c r="A8" s="161" t="s">
        <v>423</v>
      </c>
      <c r="B8" s="161"/>
      <c r="C8" s="161"/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161"/>
      <c r="P8" s="161"/>
      <c r="Q8" s="161"/>
    </row>
    <row r="9" spans="1:17" ht="18" customHeight="1" x14ac:dyDescent="0.3">
      <c r="A9" s="151" t="s">
        <v>424</v>
      </c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25"/>
      <c r="P9" s="25"/>
      <c r="Q9" s="39"/>
    </row>
    <row r="10" spans="1:17" ht="65.25" customHeight="1" x14ac:dyDescent="0.25">
      <c r="A10" s="152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57/2021,  afectando la erogación resultante a los créditos presupuestarios aprobados a favor de esta Unidad Ejecutora, conforme al siguiente detalle:</v>
      </c>
      <c r="B10" s="152"/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</row>
    <row r="11" spans="1:17" ht="9" customHeight="1" x14ac:dyDescent="0.25">
      <c r="A11" s="40"/>
      <c r="B11" s="41"/>
      <c r="C11" s="41"/>
      <c r="D11" s="41"/>
      <c r="E11" s="41"/>
      <c r="F11" s="41"/>
      <c r="G11" s="42"/>
      <c r="H11" s="41"/>
      <c r="I11" s="41"/>
      <c r="J11" s="41"/>
      <c r="K11" s="41"/>
      <c r="L11" s="41"/>
      <c r="M11" s="41"/>
      <c r="N11" s="41"/>
      <c r="O11" s="41"/>
      <c r="P11" s="41"/>
      <c r="Q11" s="43"/>
    </row>
    <row r="12" spans="1:17" ht="15.75" customHeight="1" x14ac:dyDescent="0.25">
      <c r="A12" s="153" t="s">
        <v>425</v>
      </c>
      <c r="B12" s="153"/>
      <c r="C12" s="153"/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N12" s="153"/>
      <c r="O12" s="153"/>
      <c r="P12" s="153"/>
      <c r="Q12" s="153"/>
    </row>
    <row r="13" spans="1:17" ht="15.75" customHeight="1" x14ac:dyDescent="0.25">
      <c r="A13" s="154" t="s">
        <v>426</v>
      </c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5" t="s">
        <v>427</v>
      </c>
      <c r="P13" s="155"/>
      <c r="Q13" s="156" t="s">
        <v>428</v>
      </c>
    </row>
    <row r="14" spans="1:17" ht="15.75" customHeight="1" x14ac:dyDescent="0.25">
      <c r="A14" s="44" t="s">
        <v>429</v>
      </c>
      <c r="B14" s="45" t="s">
        <v>430</v>
      </c>
      <c r="C14" s="45" t="s">
        <v>431</v>
      </c>
      <c r="D14" s="45" t="s">
        <v>432</v>
      </c>
      <c r="E14" s="45" t="s">
        <v>433</v>
      </c>
      <c r="F14" s="45" t="s">
        <v>434</v>
      </c>
      <c r="G14" s="46" t="s">
        <v>435</v>
      </c>
      <c r="H14" s="45" t="s">
        <v>436</v>
      </c>
      <c r="I14" s="45" t="s">
        <v>437</v>
      </c>
      <c r="J14" s="45" t="s">
        <v>438</v>
      </c>
      <c r="K14" s="45" t="s">
        <v>438</v>
      </c>
      <c r="L14" s="45" t="s">
        <v>439</v>
      </c>
      <c r="M14" s="47" t="s">
        <v>440</v>
      </c>
      <c r="N14" s="48" t="s">
        <v>441</v>
      </c>
      <c r="O14" s="155"/>
      <c r="P14" s="155"/>
      <c r="Q14" s="156"/>
    </row>
    <row r="15" spans="1:17" ht="17.25" customHeight="1" x14ac:dyDescent="0.25">
      <c r="A15" s="49">
        <v>16</v>
      </c>
      <c r="B15" s="50">
        <v>0</v>
      </c>
      <c r="C15" s="50">
        <v>0</v>
      </c>
      <c r="D15" s="50">
        <v>1</v>
      </c>
      <c r="E15" s="50">
        <v>0</v>
      </c>
      <c r="F15" s="50">
        <v>10</v>
      </c>
      <c r="G15" s="50">
        <v>2</v>
      </c>
      <c r="H15" s="50">
        <v>1</v>
      </c>
      <c r="I15" s="50">
        <v>2</v>
      </c>
      <c r="J15" s="50">
        <v>9</v>
      </c>
      <c r="K15" s="50">
        <v>6</v>
      </c>
      <c r="L15" s="50">
        <v>0</v>
      </c>
      <c r="M15" s="51">
        <v>1</v>
      </c>
      <c r="N15" s="50" t="s">
        <v>442</v>
      </c>
      <c r="O15" s="143" t="s">
        <v>443</v>
      </c>
      <c r="P15" s="143"/>
      <c r="Q15" s="52">
        <v>4200000</v>
      </c>
    </row>
    <row r="16" spans="1:17" ht="17.25" customHeight="1" x14ac:dyDescent="0.25">
      <c r="A16" s="49">
        <v>16</v>
      </c>
      <c r="B16" s="50">
        <v>0</v>
      </c>
      <c r="C16" s="50">
        <v>0</v>
      </c>
      <c r="D16" s="50">
        <v>7</v>
      </c>
      <c r="E16" s="50">
        <v>0</v>
      </c>
      <c r="F16" s="50">
        <v>10</v>
      </c>
      <c r="G16" s="50">
        <v>2</v>
      </c>
      <c r="H16" s="50">
        <v>1</v>
      </c>
      <c r="I16" s="50">
        <v>2</v>
      </c>
      <c r="J16" s="50">
        <v>9</v>
      </c>
      <c r="K16" s="50">
        <v>6</v>
      </c>
      <c r="L16" s="50">
        <v>0</v>
      </c>
      <c r="M16" s="51">
        <v>1</v>
      </c>
      <c r="N16" s="50" t="s">
        <v>442</v>
      </c>
      <c r="O16" s="143" t="s">
        <v>443</v>
      </c>
      <c r="P16" s="143"/>
      <c r="Q16" s="52">
        <v>19055448.899999999</v>
      </c>
    </row>
    <row r="17" spans="1:17" ht="28.5" customHeight="1" x14ac:dyDescent="0.25">
      <c r="A17" s="149" t="s">
        <v>444</v>
      </c>
      <c r="B17" s="149"/>
      <c r="C17" s="149"/>
      <c r="D17" s="149"/>
      <c r="E17" s="149"/>
      <c r="F17" s="149"/>
      <c r="G17" s="149"/>
      <c r="H17" s="149"/>
      <c r="I17" s="149"/>
      <c r="J17" s="149"/>
      <c r="K17" s="149"/>
      <c r="L17" s="149"/>
      <c r="M17" s="149"/>
      <c r="N17" s="149"/>
      <c r="O17" s="149"/>
      <c r="P17" s="149"/>
      <c r="Q17" s="53">
        <f>SUM(Q15:Q16)</f>
        <v>23255448.899999999</v>
      </c>
    </row>
    <row r="18" spans="1:17" ht="18" customHeight="1" thickBot="1" x14ac:dyDescent="0.3">
      <c r="A18" s="150"/>
      <c r="B18" s="150"/>
      <c r="C18" s="150"/>
      <c r="D18" s="150"/>
      <c r="E18" s="150"/>
      <c r="F18" s="150"/>
      <c r="G18" s="150"/>
      <c r="H18" s="150"/>
      <c r="I18" s="150"/>
      <c r="J18" s="150"/>
      <c r="K18" s="150"/>
      <c r="L18" s="150"/>
      <c r="M18" s="150"/>
      <c r="N18" s="150"/>
      <c r="O18" s="150"/>
      <c r="P18" s="150"/>
      <c r="Q18" s="150"/>
    </row>
    <row r="19" spans="1:17" ht="17.25" customHeight="1" thickBot="1" x14ac:dyDescent="0.3">
      <c r="A19" s="144" t="s">
        <v>445</v>
      </c>
      <c r="B19" s="145"/>
      <c r="C19" s="145"/>
      <c r="D19" s="145"/>
      <c r="E19" s="145"/>
      <c r="F19" s="146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</row>
    <row r="20" spans="1:17" ht="18" customHeight="1" thickBot="1" x14ac:dyDescent="0.3">
      <c r="A20" s="148" t="str">
        <f>' NotaPedido'!D8</f>
        <v>Adquisición de Repuestos de Automotor destinados a División Transporte (D-4)- Policia de Catamarca</v>
      </c>
      <c r="B20" s="148"/>
      <c r="C20" s="148"/>
      <c r="D20" s="148"/>
      <c r="E20" s="148"/>
      <c r="F20" s="148"/>
      <c r="G20" s="148"/>
      <c r="H20" s="148"/>
      <c r="I20" s="148"/>
      <c r="J20" s="148"/>
      <c r="K20" s="148"/>
      <c r="L20" s="148"/>
      <c r="M20" s="148"/>
      <c r="N20" s="148"/>
      <c r="O20" s="148"/>
      <c r="P20" s="148"/>
      <c r="Q20" s="148"/>
    </row>
    <row r="21" spans="1:17" ht="15" customHeight="1" x14ac:dyDescent="0.25">
      <c r="A21" s="148"/>
      <c r="B21" s="148"/>
      <c r="C21" s="148"/>
      <c r="D21" s="148"/>
      <c r="E21" s="148"/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8"/>
    </row>
  </sheetData>
  <mergeCells count="25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A19:F19"/>
    <mergeCell ref="G19:Q19"/>
    <mergeCell ref="A20:Q21"/>
    <mergeCell ref="A17:P17"/>
    <mergeCell ref="A18:Q18"/>
    <mergeCell ref="O16:P16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Necesidades Trimestrales</vt:lpstr>
      <vt:lpstr>NOTA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Policia</dc:creator>
  <cp:lastModifiedBy>COMPRAS</cp:lastModifiedBy>
  <cp:revision>2</cp:revision>
  <dcterms:created xsi:type="dcterms:W3CDTF">2020-07-17T23:44:49Z</dcterms:created>
  <dcterms:modified xsi:type="dcterms:W3CDTF">2021-08-11T15:33:58Z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