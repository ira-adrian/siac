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nde\Combustible; Chapas y Nylon\chapas y nylon\"/>
    </mc:Choice>
  </mc:AlternateContent>
  <xr:revisionPtr revIDLastSave="0" documentId="13_ncr:1_{E19E652C-B8BE-46F8-9E34-4B066222559F}" xr6:coauthVersionLast="45" xr6:coauthVersionMax="45" xr10:uidLastSave="{00000000-0000-0000-0000-000000000000}"/>
  <bookViews>
    <workbookView xWindow="-120" yWindow="-120" windowWidth="20730" windowHeight="11160" xr2:uid="{E4CE6C1F-C7B9-4D14-89BA-16814F4AF145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0" i="2" l="1"/>
  <c r="D10" i="2"/>
  <c r="I9" i="2"/>
  <c r="I11" i="2" s="1"/>
  <c r="D9" i="2"/>
</calcChain>
</file>

<file path=xl/sharedStrings.xml><?xml version="1.0" encoding="utf-8"?>
<sst xmlns="http://schemas.openxmlformats.org/spreadsheetml/2006/main" count="39" uniqueCount="37">
  <si>
    <t>Pedido de Necesidades Trimestrales</t>
  </si>
  <si>
    <t>JURISDICCION:</t>
  </si>
  <si>
    <t>90 - MINISTERIO DE SEGURIDAD</t>
  </si>
  <si>
    <t xml:space="preserve">SAF N°: </t>
  </si>
  <si>
    <t>SAF 19 - DIRECCIÓN PROVINCIAL DE ADM. Y RR.HH. DEL MINISTERIO DE SEGURIDAD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</si>
  <si>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</si>
  <si>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</si>
  <si>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</si>
  <si>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</si>
  <si>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</si>
  <si>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</si>
  <si>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</si>
  <si>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</si>
  <si>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</si>
  <si>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</si>
  <si>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</si>
  <si>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</si>
  <si>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2.7.1-331.34</t>
  </si>
  <si>
    <t>MATERIALES DE CONSTRUCCION</t>
  </si>
  <si>
    <t>CHAPAS GALVANIZADAS; ANCHO: 1100 mm, CALIBRE (BWG): SIN VALOR, LARGO UTIL: 3,50 M, CALIBRE BWG: SIN VALOR, LARGO: 3,50 M</t>
  </si>
  <si>
    <t>Especificidades Item N° 1:</t>
  </si>
  <si>
    <t>Descripción técnica</t>
  </si>
  <si>
    <t>Especificidades Item N° 2:</t>
  </si>
  <si>
    <t>Descripción técnica:</t>
  </si>
  <si>
    <t xml:space="preserve">      Plazos y lugares de entrega:</t>
  </si>
  <si>
    <t xml:space="preserve">       Calidad Minima esperada:</t>
  </si>
  <si>
    <t xml:space="preserve">Que Cumpla con lo Solicitado de Forma Integra. </t>
  </si>
  <si>
    <t xml:space="preserve">       Mantenimiento:</t>
  </si>
  <si>
    <t>Treinta (30) Dias</t>
  </si>
  <si>
    <t xml:space="preserve">      Garantia:</t>
  </si>
  <si>
    <t>a) LUGAR DE ENTREGA: Direccion de Defensa Civil , con domicilio en Av. Acosta Villafañez esq. Hernando de Pedraza.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 Periodo de Utilización. 60 días</t>
  </si>
  <si>
    <t>COSTO TOTAL ESTIMADO: TRES MILLONES NOVECIENTOS NOVENTA Y DOS MIL QUINIENTOS SESENTA Y UNO CON 64/100.-</t>
  </si>
  <si>
    <t>2.5.8-1922.47</t>
  </si>
  <si>
    <t>FERRETERIA</t>
  </si>
  <si>
    <t>NAILON; ANCHO: 4 M, ESPESOR: 200 MN</t>
  </si>
  <si>
    <t>Rollo de Nylon, por 4 metros de ancho, 50 metros de largo y 200 micrones de espesor. Color: Negro.</t>
  </si>
  <si>
    <t>Chapas Galvanizadas; de Calibre BWG 25, largo 3,50 metros, y ancho de 1,10 metros.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</si>
</sst>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$-2C0A]\ #,##0.00;[$$-2C0A]&quot; -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sz val="10"/>
      <name val="Times New Roman"/>
      <family val="1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Times New Roman"/>
      <family val="1"/>
    </font>
    <font>
      <sz val="9"/>
      <name val="Arial"/>
      <family val="2"/>
    </font>
    <font>
      <sz val="9"/>
      <color rgb="FF000000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b/>
      <sz val="12"/>
      <name val="Times New Roman"/>
      <family val="1"/>
      <charset val="1"/>
    </font>
    <font>
      <b/>
      <u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164" fontId="10" fillId="0" borderId="10" xfId="1" applyNumberFormat="1" applyFont="1" applyFill="1" applyBorder="1" applyAlignment="1" applyProtection="1">
      <alignment horizontal="center" vertical="center" wrapText="1"/>
    </xf>
    <xf numFmtId="164" fontId="12" fillId="0" borderId="11" xfId="1" applyNumberFormat="1" applyFont="1" applyFill="1" applyBorder="1" applyAlignment="1" applyProtection="1">
      <alignment horizontal="center" vertical="center" wrapText="1"/>
    </xf>
    <xf numFmtId="164" fontId="14" fillId="0" borderId="15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164" fontId="14" fillId="0" borderId="0" xfId="0" applyNumberFormat="1" applyFont="1" applyAlignment="1">
      <alignment horizontal="center" vertical="center" wrapText="1"/>
    </xf>
    <xf numFmtId="0" fontId="15" fillId="0" borderId="16" xfId="0" applyFont="1" applyBorder="1"/>
    <xf numFmtId="0" fontId="2" fillId="0" borderId="17" xfId="0" applyFont="1" applyBorder="1"/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indent="3"/>
    </xf>
    <xf numFmtId="0" fontId="2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left" indent="3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21" xfId="0" applyFont="1" applyBorder="1"/>
    <xf numFmtId="0" fontId="2" fillId="0" borderId="22" xfId="0" applyFont="1" applyBorder="1"/>
    <xf numFmtId="0" fontId="2" fillId="0" borderId="12" xfId="0" applyFont="1" applyBorder="1" applyAlignment="1">
      <alignment horizontal="left" indent="3"/>
    </xf>
    <xf numFmtId="0" fontId="2" fillId="0" borderId="19" xfId="0" applyFont="1" applyBorder="1"/>
    <xf numFmtId="0" fontId="2" fillId="0" borderId="20" xfId="0" applyFont="1" applyBorder="1"/>
    <xf numFmtId="0" fontId="2" fillId="0" borderId="13" xfId="0" applyFont="1" applyBorder="1"/>
    <xf numFmtId="0" fontId="2" fillId="0" borderId="23" xfId="0" applyFont="1" applyBorder="1"/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2" fillId="0" borderId="2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3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0205-18AC-4083-9A51-9A9E86163981}">
  <dimension ref="A1:I28"/>
  <sheetViews>
    <sheetView tabSelected="1" workbookViewId="0">
      <selection activeCell="H14" sqref="H14"/>
    </sheetView>
  </sheetViews>
  <sheetFormatPr baseColWidth="10" defaultRowHeight="15" x14ac:dyDescent="0.25"/>
  <cols>
    <col min="2" max="2" width="15.140625" customWidth="1"/>
    <col min="3" max="3" width="23.42578125" customWidth="1"/>
    <col min="5" max="5" width="67.42578125" customWidth="1"/>
    <col min="6" max="6" width="13.7109375" customWidth="1"/>
    <col min="7" max="7" width="12.85546875" customWidth="1"/>
    <col min="8" max="8" width="14.28515625" customWidth="1"/>
    <col min="9" max="9" width="17.7109375" customWidth="1"/>
  </cols>
  <sheetData>
    <row r="1" spans="1:9" ht="27.75" x14ac:dyDescent="0.4">
      <c r="A1" s="1"/>
      <c r="B1" s="45" t="s">
        <v>0</v>
      </c>
      <c r="C1" s="45"/>
      <c r="D1" s="45"/>
      <c r="E1" s="45"/>
      <c r="F1" s="45"/>
      <c r="G1" s="45"/>
      <c r="H1" s="45"/>
      <c r="I1" s="2"/>
    </row>
    <row r="2" spans="1:9" x14ac:dyDescent="0.25">
      <c r="A2" s="1"/>
      <c r="B2" s="1"/>
      <c r="C2" s="1"/>
      <c r="D2" s="1"/>
      <c r="E2" s="1"/>
      <c r="F2" s="1"/>
      <c r="G2" s="1"/>
      <c r="H2" s="1"/>
      <c r="I2" s="2"/>
    </row>
    <row r="3" spans="1:9" ht="15.75" x14ac:dyDescent="0.25">
      <c r="A3" s="44" t="s">
        <v>1</v>
      </c>
      <c r="B3" s="44"/>
      <c r="C3" s="46" t="s">
        <v>2</v>
      </c>
      <c r="D3" s="46"/>
      <c r="E3" s="46"/>
      <c r="F3" s="3"/>
      <c r="G3" s="4"/>
      <c r="H3" s="3"/>
      <c r="I3" s="2"/>
    </row>
    <row r="4" spans="1:9" ht="15.75" x14ac:dyDescent="0.25">
      <c r="A4" s="44" t="s">
        <v>3</v>
      </c>
      <c r="B4" s="44"/>
      <c r="C4" s="46" t="s">
        <v>4</v>
      </c>
      <c r="D4" s="46"/>
      <c r="E4" s="46"/>
      <c r="F4" s="3"/>
      <c r="G4" s="4"/>
      <c r="H4" s="3"/>
      <c r="I4" s="2"/>
    </row>
    <row r="5" spans="1:9" ht="15.75" x14ac:dyDescent="0.25">
      <c r="A5" s="44" t="s">
        <v>5</v>
      </c>
      <c r="B5" s="44"/>
      <c r="C5" s="5">
        <v>2022</v>
      </c>
      <c r="D5" s="6"/>
      <c r="E5" s="6"/>
      <c r="F5" s="3"/>
      <c r="G5" s="4"/>
      <c r="H5" s="3"/>
      <c r="I5" s="2"/>
    </row>
    <row r="6" spans="1:9" ht="15.75" x14ac:dyDescent="0.25">
      <c r="A6" s="44" t="s">
        <v>6</v>
      </c>
      <c r="B6" s="44"/>
      <c r="C6" s="5">
        <v>4</v>
      </c>
      <c r="D6" s="6"/>
      <c r="E6" s="6"/>
      <c r="F6" s="3"/>
      <c r="G6" s="4"/>
      <c r="H6" s="3"/>
      <c r="I6" s="2"/>
    </row>
    <row r="7" spans="1:9" ht="15.75" thickBot="1" x14ac:dyDescent="0.3">
      <c r="A7" s="1"/>
      <c r="B7" s="3"/>
      <c r="C7" s="4"/>
      <c r="D7" s="3"/>
      <c r="E7" s="3"/>
      <c r="F7" s="3"/>
      <c r="G7" s="4"/>
      <c r="H7" s="3"/>
      <c r="I7" s="2"/>
    </row>
    <row r="8" spans="1:9" ht="39" thickBot="1" x14ac:dyDescent="0.3">
      <c r="A8" s="7" t="s">
        <v>7</v>
      </c>
      <c r="B8" s="8" t="s">
        <v>8</v>
      </c>
      <c r="C8" s="9" t="s">
        <v>9</v>
      </c>
      <c r="D8" s="10" t="s">
        <v>10</v>
      </c>
      <c r="E8" s="11" t="s">
        <v>11</v>
      </c>
      <c r="F8" s="12" t="s">
        <v>12</v>
      </c>
      <c r="G8" s="12" t="s">
        <v>13</v>
      </c>
      <c r="H8" s="12" t="s">
        <v>14</v>
      </c>
      <c r="I8" s="13" t="s">
        <v>15</v>
      </c>
    </row>
    <row r="9" spans="1:9" ht="49.5" customHeight="1" thickBot="1" x14ac:dyDescent="0.3">
      <c r="A9" s="14">
        <v>1</v>
      </c>
      <c r="B9" s="15" t="s">
        <v>32</v>
      </c>
      <c r="C9" s="16" t="s">
        <v>33</v>
      </c>
      <c r="D9" s="16" t="str">
        <f>LEFT(B9,5)</f>
        <v>2.5.8</v>
      </c>
      <c r="E9" s="15" t="s">
        <v>34</v>
      </c>
      <c r="F9" s="17" t="s">
        <v>16</v>
      </c>
      <c r="G9" s="18">
        <v>117</v>
      </c>
      <c r="H9" s="19">
        <v>25685.32</v>
      </c>
      <c r="I9" s="20">
        <f>H9*G9</f>
        <v>3005182.44</v>
      </c>
    </row>
    <row r="10" spans="1:9" ht="34.5" customHeight="1" thickBot="1" x14ac:dyDescent="0.3">
      <c r="A10" s="14">
        <v>2</v>
      </c>
      <c r="B10" s="15" t="s">
        <v>17</v>
      </c>
      <c r="C10" s="16" t="s">
        <v>18</v>
      </c>
      <c r="D10" s="16" t="str">
        <f t="shared" ref="D10" si="0">LEFT(B10,5)</f>
        <v>2.7.1</v>
      </c>
      <c r="E10" s="15" t="s">
        <v>19</v>
      </c>
      <c r="F10" s="17" t="s">
        <v>16</v>
      </c>
      <c r="G10" s="18">
        <v>60</v>
      </c>
      <c r="H10" s="19">
        <v>16456.32</v>
      </c>
      <c r="I10" s="20">
        <f>+H10*G10</f>
        <v>987379.19999999995</v>
      </c>
    </row>
    <row r="11" spans="1:9" ht="16.5" thickBot="1" x14ac:dyDescent="0.3">
      <c r="A11" s="50" t="s">
        <v>31</v>
      </c>
      <c r="B11" s="51"/>
      <c r="C11" s="51"/>
      <c r="D11" s="51"/>
      <c r="E11" s="51"/>
      <c r="F11" s="52"/>
      <c r="G11" s="52"/>
      <c r="H11" s="52"/>
      <c r="I11" s="21">
        <f>SUM(I9:I10)</f>
        <v>3992561.6399999997</v>
      </c>
    </row>
    <row r="12" spans="1:9" ht="15.75" x14ac:dyDescent="0.25">
      <c r="A12" s="22"/>
      <c r="B12" s="22"/>
      <c r="C12" s="22"/>
      <c r="D12" s="22"/>
      <c r="E12" s="22"/>
      <c r="F12" s="22"/>
      <c r="G12" s="22"/>
      <c r="H12" s="22"/>
      <c r="I12" s="23"/>
    </row>
    <row r="13" spans="1:9" ht="15.75" x14ac:dyDescent="0.25">
      <c r="A13" s="22"/>
      <c r="B13" s="22"/>
      <c r="C13" s="22"/>
      <c r="D13" s="22"/>
      <c r="E13" s="22"/>
      <c r="F13" s="22"/>
      <c r="G13" s="22"/>
      <c r="H13" s="22"/>
      <c r="I13" s="23"/>
    </row>
    <row r="14" spans="1:9" x14ac:dyDescent="0.25">
      <c r="B14" s="24" t="s">
        <v>20</v>
      </c>
      <c r="C14" s="32"/>
      <c r="D14" s="32"/>
      <c r="E14" s="33"/>
    </row>
    <row r="15" spans="1:9" x14ac:dyDescent="0.25">
      <c r="B15" s="28" t="s">
        <v>23</v>
      </c>
      <c r="C15" s="34"/>
      <c r="D15" s="34"/>
      <c r="E15" s="35"/>
    </row>
    <row r="16" spans="1:9" x14ac:dyDescent="0.25">
      <c r="B16" s="31"/>
      <c r="C16" s="53" t="s">
        <v>35</v>
      </c>
      <c r="D16" s="53"/>
      <c r="E16" s="47"/>
    </row>
    <row r="17" spans="2:5" x14ac:dyDescent="0.25">
      <c r="B17" s="24" t="s">
        <v>22</v>
      </c>
      <c r="C17" s="25"/>
      <c r="D17" s="26"/>
      <c r="E17" s="27"/>
    </row>
    <row r="18" spans="2:5" x14ac:dyDescent="0.25">
      <c r="B18" s="28" t="s">
        <v>21</v>
      </c>
      <c r="C18" s="29"/>
      <c r="D18" s="29"/>
      <c r="E18" s="30"/>
    </row>
    <row r="19" spans="2:5" ht="15.75" thickBot="1" x14ac:dyDescent="0.3">
      <c r="B19" s="31"/>
      <c r="C19" s="53" t="s">
        <v>36</v>
      </c>
      <c r="D19" s="53"/>
      <c r="E19" s="47"/>
    </row>
    <row r="20" spans="2:5" x14ac:dyDescent="0.25">
      <c r="B20" s="36" t="s">
        <v>24</v>
      </c>
      <c r="C20" s="37"/>
      <c r="D20" s="37"/>
      <c r="E20" s="38"/>
    </row>
    <row r="21" spans="2:5" ht="101.25" customHeight="1" thickBot="1" x14ac:dyDescent="0.3">
      <c r="B21" s="39"/>
      <c r="C21" s="54" t="s">
        <v>30</v>
      </c>
      <c r="D21" s="54"/>
      <c r="E21" s="55"/>
    </row>
    <row r="22" spans="2:5" ht="16.5" customHeight="1" x14ac:dyDescent="0.25">
      <c r="B22" s="40" t="s">
        <v>25</v>
      </c>
      <c r="C22" s="1"/>
      <c r="D22" s="1"/>
      <c r="E22" s="41"/>
    </row>
    <row r="23" spans="2:5" x14ac:dyDescent="0.25">
      <c r="B23" s="40"/>
      <c r="C23" s="56" t="s">
        <v>26</v>
      </c>
      <c r="D23" s="56"/>
      <c r="E23" s="56"/>
    </row>
    <row r="24" spans="2:5" x14ac:dyDescent="0.25">
      <c r="B24" s="40" t="s">
        <v>27</v>
      </c>
      <c r="C24" s="29"/>
      <c r="D24" s="29"/>
      <c r="E24" s="30"/>
    </row>
    <row r="25" spans="2:5" x14ac:dyDescent="0.25">
      <c r="B25" s="40"/>
      <c r="C25" s="47" t="s">
        <v>28</v>
      </c>
      <c r="D25" s="47"/>
      <c r="E25" s="47"/>
    </row>
    <row r="26" spans="2:5" x14ac:dyDescent="0.25">
      <c r="B26" s="40" t="s">
        <v>29</v>
      </c>
      <c r="C26" s="48" t="s">
        <v>28</v>
      </c>
      <c r="D26" s="48"/>
      <c r="E26" s="49"/>
    </row>
    <row r="27" spans="2:5" x14ac:dyDescent="0.25">
      <c r="B27" s="31"/>
      <c r="C27" s="48"/>
      <c r="D27" s="48"/>
      <c r="E27" s="49"/>
    </row>
    <row r="28" spans="2:5" ht="15.75" thickBot="1" x14ac:dyDescent="0.3">
      <c r="B28" s="39"/>
      <c r="C28" s="42"/>
      <c r="D28" s="42"/>
      <c r="E28" s="43"/>
    </row>
  </sheetData>
  <mergeCells count="14">
    <mergeCell ref="C25:E25"/>
    <mergeCell ref="C26:E27"/>
    <mergeCell ref="A6:B6"/>
    <mergeCell ref="A11:H11"/>
    <mergeCell ref="C19:E19"/>
    <mergeCell ref="C16:E16"/>
    <mergeCell ref="C21:E21"/>
    <mergeCell ref="C23:E23"/>
    <mergeCell ref="A5:B5"/>
    <mergeCell ref="B1:H1"/>
    <mergeCell ref="A3:B3"/>
    <mergeCell ref="C3:E3"/>
    <mergeCell ref="A4:B4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2022-09-28T15:07:09Z</dcterms:created>
  <dcterms:modified xsi:type="dcterms:W3CDTF">2022-10-04T15:51:43Z</dcterms:modified>
</cp:coreProperties>
</file>