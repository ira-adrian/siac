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OLFO SARTOR\Downloads\UTILES DE ESCRITORIO Ministerio de Trabajo\"/>
    </mc:Choice>
  </mc:AlternateContent>
  <xr:revisionPtr revIDLastSave="0" documentId="13_ncr:1_{A1CEA4B9-95DC-4432-A649-26D90B48650D}" xr6:coauthVersionLast="47" xr6:coauthVersionMax="47" xr10:uidLastSave="{00000000-0000-0000-0000-000000000000}"/>
  <bookViews>
    <workbookView xWindow="-120" yWindow="-120" windowWidth="29040" windowHeight="15840" xr2:uid="{6945B5A4-6319-420A-A800-9B68CE73DD0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4" i="1" l="1"/>
  <c r="I53" i="1"/>
  <c r="I52" i="1"/>
  <c r="I51" i="1"/>
  <c r="D51" i="1"/>
  <c r="I50" i="1"/>
  <c r="D50" i="1"/>
  <c r="I49" i="1"/>
  <c r="D49" i="1"/>
  <c r="I48" i="1"/>
  <c r="D48" i="1"/>
  <c r="I47" i="1"/>
  <c r="D47" i="1"/>
  <c r="I46" i="1"/>
  <c r="D46" i="1"/>
  <c r="I45" i="1"/>
  <c r="D45" i="1"/>
  <c r="I44" i="1"/>
  <c r="D44" i="1"/>
  <c r="I43" i="1"/>
  <c r="D43" i="1"/>
  <c r="I42" i="1"/>
  <c r="D42" i="1"/>
  <c r="I41" i="1"/>
  <c r="D41" i="1"/>
  <c r="I40" i="1"/>
  <c r="D40" i="1"/>
  <c r="I39" i="1"/>
  <c r="D39" i="1"/>
  <c r="I38" i="1"/>
  <c r="D38" i="1"/>
  <c r="I37" i="1"/>
  <c r="D37" i="1"/>
  <c r="I36" i="1"/>
  <c r="D36" i="1"/>
  <c r="I35" i="1"/>
  <c r="D35" i="1"/>
  <c r="I34" i="1"/>
  <c r="D34" i="1"/>
  <c r="I33" i="1"/>
  <c r="D33" i="1"/>
  <c r="I32" i="1"/>
  <c r="D32" i="1"/>
  <c r="I31" i="1"/>
  <c r="D31" i="1"/>
  <c r="I30" i="1"/>
  <c r="D30" i="1"/>
  <c r="I29" i="1"/>
  <c r="D29" i="1"/>
  <c r="I28" i="1"/>
  <c r="D28" i="1"/>
  <c r="I27" i="1"/>
  <c r="D27" i="1"/>
  <c r="I26" i="1"/>
  <c r="D26" i="1"/>
  <c r="I25" i="1"/>
  <c r="D25" i="1"/>
  <c r="I24" i="1"/>
  <c r="D24" i="1"/>
  <c r="I23" i="1"/>
  <c r="D23" i="1"/>
  <c r="I22" i="1"/>
  <c r="D22" i="1"/>
  <c r="I21" i="1"/>
  <c r="D21" i="1"/>
  <c r="I20" i="1"/>
  <c r="D20" i="1"/>
  <c r="I19" i="1"/>
  <c r="D19" i="1"/>
  <c r="I18" i="1"/>
  <c r="D18" i="1"/>
  <c r="I17" i="1"/>
  <c r="D17" i="1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D10" i="1"/>
  <c r="I9" i="1"/>
  <c r="I8" i="1"/>
  <c r="D8" i="1"/>
  <c r="D7" i="1"/>
  <c r="I6" i="1"/>
  <c r="D6" i="1"/>
  <c r="I5" i="1"/>
  <c r="D5" i="1"/>
  <c r="I4" i="1"/>
  <c r="D4" i="1"/>
  <c r="I3" i="1"/>
  <c r="D3" i="1"/>
  <c r="I2" i="1"/>
  <c r="D2" i="1"/>
</calcChain>
</file>

<file path=xl/sharedStrings.xml><?xml version="1.0" encoding="utf-8"?>
<sst xmlns="http://schemas.openxmlformats.org/spreadsheetml/2006/main" count="225" uniqueCount="120">
  <si>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</si>
  <si>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</si>
  <si>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</si>
  <si>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</si>
  <si>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</si>
  <si>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</si>
  <si>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</si>
  <si>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</si>
  <si>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</si>
  <si>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2.3.1-6563.1009</t>
  </si>
  <si>
    <t>LIBRERIA,PAP. Y UTILES OFICINA</t>
  </si>
  <si>
    <r>
      <t xml:space="preserve">PAPELES EN HOJA; TIPO DE PAPEL: BLANCO, DIMENSION: </t>
    </r>
    <r>
      <rPr>
        <b/>
        <sz val="10"/>
        <rFont val="Times New Roman"/>
        <family val="1"/>
      </rPr>
      <t>OFICIO</t>
    </r>
    <r>
      <rPr>
        <sz val="10"/>
        <rFont val="Times New Roman"/>
        <family val="1"/>
      </rPr>
      <t xml:space="preserve">, GRAMAJE: 80 GR, PRESENTACION: </t>
    </r>
    <r>
      <rPr>
        <b/>
        <sz val="10"/>
        <rFont val="Times New Roman"/>
        <family val="1"/>
      </rPr>
      <t>ENVASE X 500 HOJAS</t>
    </r>
    <r>
      <rPr>
        <sz val="10"/>
        <rFont val="Times New Roman"/>
        <family val="1"/>
      </rPr>
      <t>, CERTIFICADO FORESTAL (GFS): SIN, PORC. FIBRAS RECICLADAS: 0 %, CERT. FIBRA ALTERNATIVA (FCA): SIN</t>
    </r>
  </si>
  <si>
    <t>UNIDAD</t>
  </si>
  <si>
    <t>2.3.1-6563.968</t>
  </si>
  <si>
    <r>
      <t>PAPELES EN HOJA; TIPO DE PAPEL: EXTRA BLANCO, DIMENSION:</t>
    </r>
    <r>
      <rPr>
        <b/>
        <sz val="10"/>
        <rFont val="Times New Roman"/>
        <family val="1"/>
      </rPr>
      <t xml:space="preserve"> A4</t>
    </r>
    <r>
      <rPr>
        <sz val="10"/>
        <rFont val="Times New Roman"/>
        <family val="1"/>
      </rPr>
      <t>, GRAMAJE: 80 GR, PRESENTACION:</t>
    </r>
    <r>
      <rPr>
        <b/>
        <sz val="10"/>
        <rFont val="Times New Roman"/>
        <family val="1"/>
      </rPr>
      <t xml:space="preserve"> RESMA X 500 HOJAS</t>
    </r>
    <r>
      <rPr>
        <sz val="10"/>
        <rFont val="Times New Roman"/>
        <family val="1"/>
      </rPr>
      <t>, CERTIFICADO FORESTAL (GFS): SIN, PORC. FIBRAS RECICLADAS: 0 %, CERT. FIBRA ALTERNATIVA (FCA): CON</t>
    </r>
  </si>
  <si>
    <t>2.3.1-6587.291</t>
  </si>
  <si>
    <r>
      <rPr>
        <b/>
        <sz val="10"/>
        <rFont val="Times New Roman"/>
        <family val="1"/>
      </rPr>
      <t>PAPELES ENCUADERNADOS</t>
    </r>
    <r>
      <rPr>
        <sz val="10"/>
        <rFont val="Times New Roman"/>
        <family val="1"/>
      </rPr>
      <t xml:space="preserve">; CANT. DE HOJAS: </t>
    </r>
    <r>
      <rPr>
        <b/>
        <sz val="10"/>
        <rFont val="Times New Roman"/>
        <family val="1"/>
      </rPr>
      <t>120 HOJAS, TAMAÑO: 16 X 21</t>
    </r>
    <r>
      <rPr>
        <sz val="10"/>
        <rFont val="Times New Roman"/>
        <family val="1"/>
      </rPr>
      <t xml:space="preserve"> Cm, TIPO: RAYADO ESPIRALADO, CERTIFICADO FORESTAL (GFS): SIN, PORC. FIBRAS RECICLADAS: SIN VALOR %, CERT. FIBRA ALTERNATIVA (FCA): SIN</t>
    </r>
  </si>
  <si>
    <t>2.3.1-6587.333</t>
  </si>
  <si>
    <r>
      <rPr>
        <b/>
        <sz val="10"/>
        <rFont val="Times New Roman"/>
        <family val="1"/>
      </rPr>
      <t>PAPELES ENCUADERNADO</t>
    </r>
    <r>
      <rPr>
        <sz val="10"/>
        <rFont val="Times New Roman"/>
        <family val="1"/>
      </rPr>
      <t xml:space="preserve">S; CANT. DE </t>
    </r>
    <r>
      <rPr>
        <b/>
        <sz val="10"/>
        <rFont val="Times New Roman"/>
        <family val="1"/>
      </rPr>
      <t xml:space="preserve">HOJAS: 84 HOJAS, TAMAÑO: 21 X 29,7 Cm, TIPO: RAYADO ESPIRALADO, </t>
    </r>
    <r>
      <rPr>
        <sz val="10"/>
        <rFont val="Times New Roman"/>
        <family val="1"/>
      </rPr>
      <t>CERTIFICADO FORESTAL (GFS): CON, PORC. FIBRAS RECICLADAS: 0 %, CERT. FIBRA ALTERNATIVA (FCA): SIN</t>
    </r>
  </si>
  <si>
    <t>2.3.1-6587.346</t>
  </si>
  <si>
    <r>
      <t xml:space="preserve">PAPELES ENCUADERNADOS; CANT. DE </t>
    </r>
    <r>
      <rPr>
        <b/>
        <sz val="10"/>
        <rFont val="Times New Roman"/>
        <family val="1"/>
      </rPr>
      <t>HOJAS: 100, TAMAÑO: A4, TIPO: CUADERNO ESPIRALADO TAPA DURA, C</t>
    </r>
    <r>
      <rPr>
        <sz val="10"/>
        <rFont val="Times New Roman"/>
        <family val="1"/>
      </rPr>
      <t>ERTIFICADO FORESTAL (GFS): SIN, PORC. FIBRAS RECICLADAS: 0 %, CERT. FIBRA ALTERNATIVA (FCA): SIN</t>
    </r>
  </si>
  <si>
    <t>2.3.1-6590.555</t>
  </si>
  <si>
    <r>
      <rPr>
        <b/>
        <sz val="10"/>
        <rFont val="Times New Roman"/>
        <family val="1"/>
      </rPr>
      <t>SOBRES DE PAPEL</t>
    </r>
    <r>
      <rPr>
        <sz val="10"/>
        <rFont val="Times New Roman"/>
        <family val="1"/>
      </rPr>
      <t>; TIPO: MANILA, TAMAÑO: OFICIO, GRAMAJE: 80 GR, PRESENTACION: UNIDAD, CERTIFICADO FORESTAL (GFS): SIN, PORC. FIBRAS RECICLADAS: 0 %, CERT. FIBRA ALTERNATIVA (FCA): SIN</t>
    </r>
  </si>
  <si>
    <t>2.3.1-6590.556</t>
  </si>
  <si>
    <r>
      <rPr>
        <b/>
        <sz val="10"/>
        <rFont val="Times New Roman"/>
        <family val="1"/>
      </rPr>
      <t>SOBRES DE PAPEL;</t>
    </r>
    <r>
      <rPr>
        <sz val="10"/>
        <rFont val="Times New Roman"/>
        <family val="1"/>
      </rPr>
      <t xml:space="preserve"> TIPO: MANILA, TAMAÑO: A4, GRAMAJE: 80 GR, PRESENTACION: UNIDAD, CERTIFICADO FORESTAL (GFS): SIN, PORC. FIBRAS RECICLADAS: 0 %, CERT. FIBRA ALTERNATIVA (FCA): SIN</t>
    </r>
  </si>
  <si>
    <t>2.9.2-791.41</t>
  </si>
  <si>
    <t>2.9.2</t>
  </si>
  <si>
    <t>TALONARIOS NOTAS AUTOADHESIVAS; MEDIDA: 50 X 50 mm</t>
  </si>
  <si>
    <t>2.9.2-1062.5</t>
  </si>
  <si>
    <r>
      <rPr>
        <b/>
        <sz val="10"/>
        <rFont val="Times New Roman"/>
        <family val="1"/>
      </rPr>
      <t>PAPELES ANOTADOR AUTOADHESIVOS;</t>
    </r>
    <r>
      <rPr>
        <sz val="10"/>
        <rFont val="Times New Roman"/>
        <family val="1"/>
      </rPr>
      <t xml:space="preserve"> PRESENTACION: 400 HOJAS, LARGO X ANCHO: 9 X 9 Cm, DIMENSION: SIN VALOR, MATERIAL: SIN VALOR</t>
    </r>
  </si>
  <si>
    <t>2.9.2-1153.35</t>
  </si>
  <si>
    <r>
      <rPr>
        <b/>
        <sz val="10"/>
        <rFont val="Times New Roman"/>
        <family val="1"/>
      </rPr>
      <t>CINTAS ADHESIVAS; TIPO: EMBALAR, COLOR MARRON</t>
    </r>
    <r>
      <rPr>
        <sz val="10"/>
        <rFont val="Times New Roman"/>
        <family val="1"/>
      </rPr>
      <t>, ANCHO: 5 Cm, LARGO ROLLO: 50 M, MATERIAL: CELOFAN, ACCESORIO: SIN, LARGO: 50 M</t>
    </r>
  </si>
  <si>
    <t>2.9.2-1153.47</t>
  </si>
  <si>
    <r>
      <rPr>
        <b/>
        <sz val="10"/>
        <rFont val="Times New Roman"/>
        <family val="1"/>
      </rPr>
      <t xml:space="preserve">CINTAS ADHESIVAS; TIPO: ADHESIVA, ANCHO: 12 Cm, </t>
    </r>
    <r>
      <rPr>
        <sz val="10"/>
        <rFont val="Times New Roman"/>
        <family val="1"/>
      </rPr>
      <t>LARGO ROLLO: 50 M, MATERIAL: PLASTICO, ACCESORIO: SIN, LARGO: 50 M</t>
    </r>
  </si>
  <si>
    <t>2.9.2-1153.90</t>
  </si>
  <si>
    <r>
      <rPr>
        <b/>
        <sz val="10"/>
        <rFont val="Times New Roman"/>
        <family val="1"/>
      </rPr>
      <t>CINTAS ADHESIVAS; TIPO: EMBALAR, ANCHO: 48 mm</t>
    </r>
    <r>
      <rPr>
        <sz val="10"/>
        <rFont val="Times New Roman"/>
        <family val="1"/>
      </rPr>
      <t>, LARGO ROLLO: 50 M, MATERIAL: PLASTICO, ACCESORIO: SIN, LARGO: 50 M</t>
    </r>
  </si>
  <si>
    <t>2.9.2-1354.15</t>
  </si>
  <si>
    <r>
      <rPr>
        <b/>
        <sz val="10"/>
        <rFont val="Times New Roman"/>
        <family val="1"/>
      </rPr>
      <t>RESALTADORES; PUNTA: 3</t>
    </r>
    <r>
      <rPr>
        <sz val="10"/>
        <rFont val="Times New Roman"/>
        <family val="1"/>
      </rPr>
      <t xml:space="preserve"> PLANA mm, ACCESORIO: SIN, </t>
    </r>
    <r>
      <rPr>
        <b/>
        <sz val="10"/>
        <rFont val="Times New Roman"/>
        <family val="1"/>
      </rPr>
      <t>COLOR: VERDE</t>
    </r>
    <r>
      <rPr>
        <sz val="10"/>
        <rFont val="Times New Roman"/>
        <family val="1"/>
      </rPr>
      <t>, TIPO PUNTA: 3 PLANA mm</t>
    </r>
  </si>
  <si>
    <t>2.9.2-1354.17</t>
  </si>
  <si>
    <r>
      <rPr>
        <b/>
        <sz val="10"/>
        <rFont val="Times New Roman"/>
        <family val="1"/>
      </rPr>
      <t>RESALTADORES; PUNTA: 5 PLANA</t>
    </r>
    <r>
      <rPr>
        <sz val="10"/>
        <rFont val="Times New Roman"/>
        <family val="1"/>
      </rPr>
      <t xml:space="preserve">, ACCESORIO: SIN, </t>
    </r>
    <r>
      <rPr>
        <b/>
        <sz val="10"/>
        <rFont val="Times New Roman"/>
        <family val="1"/>
      </rPr>
      <t>COLOR: AZUL</t>
    </r>
    <r>
      <rPr>
        <sz val="10"/>
        <rFont val="Times New Roman"/>
        <family val="1"/>
      </rPr>
      <t>, TIPO PUNTA: 5 PLANA</t>
    </r>
  </si>
  <si>
    <t>2.9.2-1354.28</t>
  </si>
  <si>
    <r>
      <rPr>
        <b/>
        <sz val="10"/>
        <rFont val="Times New Roman"/>
        <family val="1"/>
      </rPr>
      <t>RESALTADORES; PUNTA: FINA</t>
    </r>
    <r>
      <rPr>
        <sz val="10"/>
        <rFont val="Times New Roman"/>
        <family val="1"/>
      </rPr>
      <t xml:space="preserve">, ACCESORIO: SIN, </t>
    </r>
    <r>
      <rPr>
        <b/>
        <sz val="10"/>
        <rFont val="Times New Roman"/>
        <family val="1"/>
      </rPr>
      <t>COLOR: AMARILLO</t>
    </r>
    <r>
      <rPr>
        <sz val="10"/>
        <rFont val="Times New Roman"/>
        <family val="1"/>
      </rPr>
      <t>, TIPO PUNTA: FINA</t>
    </r>
  </si>
  <si>
    <t>2.9.2-1354.29</t>
  </si>
  <si>
    <r>
      <rPr>
        <b/>
        <sz val="10"/>
        <rFont val="Times New Roman"/>
        <family val="1"/>
      </rPr>
      <t>RESALTADORES; PUNTA: FINA</t>
    </r>
    <r>
      <rPr>
        <sz val="10"/>
        <rFont val="Times New Roman"/>
        <family val="1"/>
      </rPr>
      <t xml:space="preserve">, ACCESORIO: SIN, </t>
    </r>
    <r>
      <rPr>
        <b/>
        <sz val="10"/>
        <rFont val="Times New Roman"/>
        <family val="1"/>
      </rPr>
      <t>COLOR: VERDE</t>
    </r>
    <r>
      <rPr>
        <sz val="10"/>
        <rFont val="Times New Roman"/>
        <family val="1"/>
      </rPr>
      <t>, TIPO PUNTA: FINA</t>
    </r>
  </si>
  <si>
    <t>2.9.2-1358.34</t>
  </si>
  <si>
    <r>
      <rPr>
        <b/>
        <sz val="10"/>
        <rFont val="Times New Roman"/>
        <family val="1"/>
      </rPr>
      <t xml:space="preserve">CARPETAS; MATERIAL PVC </t>
    </r>
    <r>
      <rPr>
        <sz val="10"/>
        <rFont val="Times New Roman"/>
        <family val="1"/>
      </rPr>
      <t>- TAMAÑO OFICIO</t>
    </r>
  </si>
  <si>
    <t>PAQUETE</t>
  </si>
  <si>
    <t>2.9.2-1358.35</t>
  </si>
  <si>
    <r>
      <rPr>
        <b/>
        <sz val="10"/>
        <rFont val="Times New Roman"/>
        <family val="1"/>
      </rPr>
      <t>CARPETAS; MATERIAL PVC -</t>
    </r>
    <r>
      <rPr>
        <sz val="10"/>
        <rFont val="Times New Roman"/>
        <family val="1"/>
      </rPr>
      <t xml:space="preserve"> TAMAÑO A4</t>
    </r>
  </si>
  <si>
    <t>2.9.2-1450.30</t>
  </si>
  <si>
    <r>
      <rPr>
        <b/>
        <sz val="10"/>
        <rFont val="Times New Roman"/>
        <family val="1"/>
      </rPr>
      <t>TINTAS P/SELLOS</t>
    </r>
    <r>
      <rPr>
        <sz val="10"/>
        <rFont val="Times New Roman"/>
        <family val="1"/>
      </rPr>
      <t>; TIPO DE SELLO: DE GOMA, ENVASE: 60 CM3, COLOR: AZUL, PRESENTACION: ENVASE X 60 CM3</t>
    </r>
  </si>
  <si>
    <t xml:space="preserve">UNIDAD </t>
  </si>
  <si>
    <t>2.9.2-1450.4</t>
  </si>
  <si>
    <t>TINTAS P/SELLOS; TIPO DE SELLO: DE GOMA, COLOR: NEGRO, PRESENTACION: ENVASE X 50 CM3, ENVASE: 50 CM3</t>
  </si>
  <si>
    <t>2.9.2-1616.128</t>
  </si>
  <si>
    <r>
      <rPr>
        <b/>
        <sz val="10"/>
        <rFont val="Times New Roman"/>
        <family val="1"/>
      </rPr>
      <t xml:space="preserve">MARCADORES; </t>
    </r>
    <r>
      <rPr>
        <sz val="10"/>
        <rFont val="Times New Roman"/>
        <family val="1"/>
      </rPr>
      <t>TIPO PARA PIZARRA - TRAZO GRUESO - PUNTA REDONDA - RECARGABLE NO</t>
    </r>
  </si>
  <si>
    <t>2.9.2-1616.134</t>
  </si>
  <si>
    <r>
      <rPr>
        <b/>
        <sz val="10"/>
        <rFont val="Times New Roman"/>
        <family val="1"/>
      </rPr>
      <t>MARCADORES</t>
    </r>
    <r>
      <rPr>
        <sz val="10"/>
        <rFont val="Times New Roman"/>
        <family val="1"/>
      </rPr>
      <t>; TIPO: AL SOLVENTE, TRAZO: GRUESO, PUNTA: CHANFLEADA,</t>
    </r>
    <r>
      <rPr>
        <b/>
        <sz val="10"/>
        <rFont val="Times New Roman"/>
        <family val="1"/>
      </rPr>
      <t xml:space="preserve"> COLOR: VERDE</t>
    </r>
    <r>
      <rPr>
        <sz val="10"/>
        <rFont val="Times New Roman"/>
        <family val="1"/>
      </rPr>
      <t>, RECARGABLE:NO</t>
    </r>
  </si>
  <si>
    <t>2.9.2-1616.79</t>
  </si>
  <si>
    <r>
      <rPr>
        <b/>
        <sz val="11"/>
        <rFont val="Times New Roman"/>
        <family val="1"/>
      </rPr>
      <t>MARCADORES</t>
    </r>
    <r>
      <rPr>
        <sz val="11"/>
        <rFont val="Times New Roman"/>
        <family val="1"/>
      </rPr>
      <t xml:space="preserve">; TIPO: AL SOLVENTE, TRAZO: FINO, PUNTA: REDONDA, </t>
    </r>
    <r>
      <rPr>
        <b/>
        <sz val="11"/>
        <rFont val="Times New Roman"/>
        <family val="1"/>
      </rPr>
      <t xml:space="preserve">COLOR: NEGRO, </t>
    </r>
    <r>
      <rPr>
        <sz val="11"/>
        <rFont val="Times New Roman"/>
        <family val="1"/>
      </rPr>
      <t>RECARGABLE: NO</t>
    </r>
  </si>
  <si>
    <t>2.9.2-262.4</t>
  </si>
  <si>
    <r>
      <rPr>
        <b/>
        <sz val="10"/>
        <rFont val="Times New Roman"/>
        <family val="1"/>
      </rPr>
      <t>ADHESIVOS P/PAPEL</t>
    </r>
    <r>
      <rPr>
        <sz val="10"/>
        <rFont val="Times New Roman"/>
        <family val="1"/>
      </rPr>
      <t xml:space="preserve">; PRESENTACION: 250 GR, TIPO: </t>
    </r>
    <r>
      <rPr>
        <b/>
        <sz val="10"/>
        <rFont val="Times New Roman"/>
        <family val="1"/>
      </rPr>
      <t>COLA VINILICA</t>
    </r>
  </si>
  <si>
    <t>2.9.2-262.45</t>
  </si>
  <si>
    <r>
      <rPr>
        <b/>
        <sz val="10"/>
        <rFont val="Times New Roman"/>
        <family val="1"/>
      </rPr>
      <t xml:space="preserve">ADHESIVOS P/PAPEL; </t>
    </r>
    <r>
      <rPr>
        <sz val="10"/>
        <rFont val="Times New Roman"/>
        <family val="1"/>
      </rPr>
      <t>PRESENTACION: 30 CM3, TIPO: TRANSPARENTE</t>
    </r>
  </si>
  <si>
    <t>2.9.2-274.49</t>
  </si>
  <si>
    <r>
      <rPr>
        <b/>
        <sz val="10"/>
        <rFont val="Times New Roman"/>
        <family val="1"/>
      </rPr>
      <t>BIBLIORATOS;</t>
    </r>
    <r>
      <rPr>
        <sz val="10"/>
        <rFont val="Times New Roman"/>
        <family val="1"/>
      </rPr>
      <t xml:space="preserve"> </t>
    </r>
    <r>
      <rPr>
        <b/>
        <sz val="10"/>
        <rFont val="Times New Roman"/>
        <family val="1"/>
      </rPr>
      <t>COLOR: GRIS</t>
    </r>
    <r>
      <rPr>
        <sz val="10"/>
        <rFont val="Times New Roman"/>
        <family val="1"/>
      </rPr>
      <t xml:space="preserve">, ANCHO: 28 Cm, ANILLO: 2 Y PALANCA, TAMAÑO: </t>
    </r>
    <r>
      <rPr>
        <b/>
        <sz val="10"/>
        <rFont val="Times New Roman"/>
        <family val="1"/>
      </rPr>
      <t>OFICIO</t>
    </r>
    <r>
      <rPr>
        <sz val="10"/>
        <rFont val="Times New Roman"/>
        <family val="1"/>
      </rPr>
      <t>, TAPAS: CARTON, LOMO: CARTON, MATERIAL: CARTON</t>
    </r>
  </si>
  <si>
    <t>2.9.2-274.73</t>
  </si>
  <si>
    <r>
      <rPr>
        <b/>
        <sz val="10"/>
        <rFont val="Times New Roman"/>
        <family val="1"/>
      </rPr>
      <t>BIBLIORATOS</t>
    </r>
    <r>
      <rPr>
        <sz val="10"/>
        <rFont val="Times New Roman"/>
        <family val="1"/>
      </rPr>
      <t xml:space="preserve">; ANCHO: 80 mm, ANILLO: 2 Y PALANCA, TAMAÑO: </t>
    </r>
    <r>
      <rPr>
        <b/>
        <sz val="10"/>
        <rFont val="Times New Roman"/>
        <family val="1"/>
      </rPr>
      <t>A4</t>
    </r>
    <r>
      <rPr>
        <sz val="10"/>
        <rFont val="Times New Roman"/>
        <family val="1"/>
      </rPr>
      <t>, MATERIAL: CARTON FORRADO EN PVC</t>
    </r>
  </si>
  <si>
    <t>2.9.2-317.1</t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</si>
  <si>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>; COLOR TINTA: AZUL, TRAZO: 0,7 mm</t>
    </r>
  </si>
  <si>
    <t>2.9.2-317.21</t>
  </si>
  <si>
    <r>
      <rPr>
        <b/>
        <sz val="10"/>
        <rFont val="Times New Roman"/>
        <family val="1"/>
      </rPr>
      <t>BOLIGRAFOS;</t>
    </r>
    <r>
      <rPr>
        <sz val="10"/>
        <rFont val="Times New Roman"/>
        <family val="1"/>
      </rPr>
      <t xml:space="preserve"> TRAZO: 0,1 mm, COLOR TINTA: AZUL</t>
    </r>
  </si>
  <si>
    <t>2.9.2-317.17</t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</si>
  <si>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>; TRAZO: GRUESO, COLOR TINTA: NEGRO</t>
    </r>
  </si>
  <si>
    <t>2.9.2-317.5</t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</si>
  <si>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 xml:space="preserve">; TRAZO 1,0mm </t>
    </r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</si>
  <si>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>; TRAZO 1,0mm</t>
    </r>
  </si>
  <si>
    <t>2.9.2-323.4</t>
  </si>
  <si>
    <r>
      <rPr>
        <b/>
        <sz val="10"/>
        <rFont val="Times New Roman"/>
        <family val="1"/>
      </rPr>
      <t>CORRECTORES DE ESCRITURA</t>
    </r>
    <r>
      <rPr>
        <sz val="10"/>
        <rFont val="Times New Roman"/>
        <family val="1"/>
      </rPr>
      <t>; CAPACIDAD: 7 mL, ENVASE: LAPIZ (PUNTA METAL), PRESENTACION: LAPIZ (PUNTA METAL) X 7 mL</t>
    </r>
  </si>
  <si>
    <t>2.9.2-660.10</t>
  </si>
  <si>
    <r>
      <rPr>
        <b/>
        <sz val="10"/>
        <rFont val="Times New Roman"/>
        <family val="1"/>
      </rPr>
      <t>CLIPS P/PAPEL</t>
    </r>
    <r>
      <rPr>
        <sz val="10"/>
        <rFont val="Times New Roman"/>
        <family val="1"/>
      </rPr>
      <t xml:space="preserve">; </t>
    </r>
    <r>
      <rPr>
        <u/>
        <sz val="10"/>
        <rFont val="Times New Roman"/>
        <family val="1"/>
      </rPr>
      <t>CANT. X CAJA: 50</t>
    </r>
    <r>
      <rPr>
        <sz val="10"/>
        <rFont val="Times New Roman"/>
        <family val="1"/>
      </rPr>
      <t>, NUMERO:</t>
    </r>
    <r>
      <rPr>
        <b/>
        <sz val="10"/>
        <rFont val="Times New Roman"/>
        <family val="1"/>
      </rPr>
      <t xml:space="preserve"> 6, </t>
    </r>
    <r>
      <rPr>
        <sz val="10"/>
        <rFont val="Times New Roman"/>
        <family val="1"/>
      </rPr>
      <t>MATERIAL: METAL, PRESENTACION: CAJA X 50</t>
    </r>
  </si>
  <si>
    <t>CAJA</t>
  </si>
  <si>
    <t>2.9.2-660.19</t>
  </si>
  <si>
    <r>
      <rPr>
        <b/>
        <sz val="10"/>
        <rFont val="Times New Roman"/>
        <family val="1"/>
      </rPr>
      <t>CLIPS P/PAPEL; NUMERO: 2,</t>
    </r>
    <r>
      <rPr>
        <sz val="10"/>
        <rFont val="Times New Roman"/>
        <family val="1"/>
      </rPr>
      <t xml:space="preserve"> MATERIAL: ACERO INOXIDABLE TRIANGULARES, CANT. X</t>
    </r>
    <r>
      <rPr>
        <b/>
        <u/>
        <sz val="10"/>
        <rFont val="Times New Roman"/>
        <family val="1"/>
      </rPr>
      <t xml:space="preserve"> CAJA: 20 UNIDADES</t>
    </r>
    <r>
      <rPr>
        <sz val="10"/>
        <rFont val="Times New Roman"/>
        <family val="1"/>
      </rPr>
      <t>, PRESENTACION: CAJA X 20</t>
    </r>
  </si>
  <si>
    <t>2.9.2-660.43</t>
  </si>
  <si>
    <r>
      <rPr>
        <b/>
        <sz val="10"/>
        <rFont val="Times New Roman"/>
        <family val="1"/>
      </rPr>
      <t xml:space="preserve">CLIPS P/PAPEL; NUMERO: 12, </t>
    </r>
    <r>
      <rPr>
        <sz val="10"/>
        <rFont val="Times New Roman"/>
        <family val="1"/>
      </rPr>
      <t xml:space="preserve">MATERIAL: METAL, PRESENTACION: </t>
    </r>
    <r>
      <rPr>
        <u/>
        <sz val="10"/>
        <rFont val="Times New Roman"/>
        <family val="1"/>
      </rPr>
      <t>CAJA X 100 UN</t>
    </r>
  </si>
  <si>
    <t>2.9.2-674.9</t>
  </si>
  <si>
    <r>
      <rPr>
        <b/>
        <sz val="10"/>
        <rFont val="Times New Roman"/>
        <family val="1"/>
      </rPr>
      <t>REGLAS GRADUADAS</t>
    </r>
    <r>
      <rPr>
        <sz val="10"/>
        <rFont val="Times New Roman"/>
        <family val="1"/>
      </rPr>
      <t>; TIPO: PLANA, MATERIAL: PLASTICO, LONG.DE CUERPO: 30 Cm</t>
    </r>
  </si>
  <si>
    <t>2.9.2-700.59</t>
  </si>
  <si>
    <r>
      <rPr>
        <b/>
        <sz val="10"/>
        <rFont val="Times New Roman"/>
        <family val="1"/>
      </rPr>
      <t>BROCHES P/ABROCHADORA</t>
    </r>
    <r>
      <rPr>
        <sz val="10"/>
        <rFont val="Times New Roman"/>
        <family val="1"/>
      </rPr>
      <t>; NUMERO: 23, PRESENTACION: CAJA X 1000</t>
    </r>
  </si>
  <si>
    <t>2.9.2-753.11</t>
  </si>
  <si>
    <r>
      <rPr>
        <b/>
        <sz val="10"/>
        <rFont val="Times New Roman"/>
        <family val="1"/>
      </rPr>
      <t>PORTA SELLOS;</t>
    </r>
    <r>
      <rPr>
        <sz val="10"/>
        <rFont val="Times New Roman"/>
        <family val="1"/>
      </rPr>
      <t xml:space="preserve"> CANT. DE SELLOS: 12, MATERIAL: METAL</t>
    </r>
  </si>
  <si>
    <t>2.9.2-758.8</t>
  </si>
  <si>
    <r>
      <rPr>
        <b/>
        <sz val="10"/>
        <rFont val="Times New Roman"/>
        <family val="1"/>
      </rPr>
      <t xml:space="preserve">TIJERAS </t>
    </r>
    <r>
      <rPr>
        <sz val="10"/>
        <rFont val="Times New Roman"/>
        <family val="1"/>
      </rPr>
      <t>P/CORTAR PAPELES; CUCHILLA: PUNTIAGUDAS, MATERIAL: ACERO BRUÑIDO, MANGO: PLASTICO, LONG.DE CUERPO: 17 Cm</t>
    </r>
  </si>
  <si>
    <t>2.9.2-790.10</t>
  </si>
  <si>
    <r>
      <rPr>
        <b/>
        <sz val="10"/>
        <rFont val="Times New Roman"/>
        <family val="1"/>
      </rPr>
      <t xml:space="preserve">CUTER; </t>
    </r>
    <r>
      <rPr>
        <sz val="10"/>
        <rFont val="Times New Roman"/>
        <family val="1"/>
      </rPr>
      <t>ANCHO HOJA: 12 mm, MATERIAL MANGO: METAL, TIPO HOJA: MOVIL SECCIONABLE, TIPO DE HOJA: MOVIL SECCIONABLE, ANCHO DE HOJA: 12 mm</t>
    </r>
  </si>
  <si>
    <t>2.9.2-791.9</t>
  </si>
  <si>
    <r>
      <rPr>
        <b/>
        <sz val="10"/>
        <rFont val="Times New Roman"/>
        <family val="1"/>
      </rPr>
      <t xml:space="preserve">TALONARIOS NOTAS </t>
    </r>
    <r>
      <rPr>
        <sz val="10"/>
        <rFont val="Times New Roman"/>
        <family val="1"/>
      </rPr>
      <t>AUTOADHESIVAS; MEDIDA 76 X 76mm</t>
    </r>
  </si>
  <si>
    <t>2.9.2-848.20</t>
  </si>
  <si>
    <r>
      <rPr>
        <b/>
        <sz val="10"/>
        <rFont val="Times New Roman"/>
        <family val="1"/>
      </rPr>
      <t>LAPIZ</t>
    </r>
    <r>
      <rPr>
        <sz val="10"/>
        <rFont val="Times New Roman"/>
        <family val="1"/>
      </rPr>
      <t>; TIPO: 2HB, COLOR: NEGRO</t>
    </r>
  </si>
  <si>
    <t>2.9.2-848.22</t>
  </si>
  <si>
    <r>
      <rPr>
        <b/>
        <sz val="10"/>
        <rFont val="Times New Roman"/>
        <family val="1"/>
      </rPr>
      <t>LAPIZ;</t>
    </r>
    <r>
      <rPr>
        <sz val="10"/>
        <rFont val="Times New Roman"/>
        <family val="1"/>
      </rPr>
      <t xml:space="preserve"> TIPO: CON GOMA, COLOR: NEGRO</t>
    </r>
  </si>
  <si>
    <t>2.9.2-661.11</t>
  </si>
  <si>
    <r>
      <rPr>
        <b/>
        <sz val="10"/>
        <rFont val="Times New Roman"/>
        <family val="1"/>
      </rPr>
      <t>GOMAS DE BORRAR</t>
    </r>
    <r>
      <rPr>
        <sz val="10"/>
        <rFont val="Times New Roman"/>
        <family val="1"/>
      </rPr>
      <t>; USO: LAPIZ Y TINTA, CANT. X CAJA: 36, DIMENSION: 4 X 1 X 1 Cm, MATERIAL: PLASTICO, PRESENTACION: CAJA X 36</t>
    </r>
  </si>
  <si>
    <t>2.9.2-853.17</t>
  </si>
  <si>
    <r>
      <rPr>
        <b/>
        <sz val="10"/>
        <rFont val="Times New Roman"/>
        <family val="1"/>
      </rPr>
      <t>BROCHES</t>
    </r>
    <r>
      <rPr>
        <sz val="10"/>
        <rFont val="Times New Roman"/>
        <family val="1"/>
      </rPr>
      <t xml:space="preserve"> P/EXPEDIENTE; TIPO:</t>
    </r>
    <r>
      <rPr>
        <b/>
        <sz val="10"/>
        <rFont val="Times New Roman"/>
        <family val="1"/>
      </rPr>
      <t xml:space="preserve"> MARIPOSA,</t>
    </r>
    <r>
      <rPr>
        <sz val="10"/>
        <rFont val="Times New Roman"/>
        <family val="1"/>
      </rPr>
      <t xml:space="preserve"> LONG.DE CUERPO: 65 mm</t>
    </r>
  </si>
  <si>
    <t>2.9.2-853.30</t>
  </si>
  <si>
    <r>
      <rPr>
        <b/>
        <sz val="10"/>
        <rFont val="Times New Roman"/>
        <family val="1"/>
      </rPr>
      <t>BROCHES P/EXPEDIENTE</t>
    </r>
    <r>
      <rPr>
        <sz val="10"/>
        <rFont val="Times New Roman"/>
        <family val="1"/>
      </rPr>
      <t xml:space="preserve">; TIPO: </t>
    </r>
    <r>
      <rPr>
        <b/>
        <sz val="10"/>
        <rFont val="Times New Roman"/>
        <family val="1"/>
      </rPr>
      <t>MARIPOSA</t>
    </r>
    <r>
      <rPr>
        <sz val="10"/>
        <rFont val="Times New Roman"/>
        <family val="1"/>
      </rPr>
      <t>, LONG.DE CUERPO: 25 mm</t>
    </r>
  </si>
  <si>
    <t>2.9.2-853.31</t>
  </si>
  <si>
    <r>
      <rPr>
        <b/>
        <sz val="10"/>
        <rFont val="Times New Roman"/>
        <family val="1"/>
      </rPr>
      <t>BROCHES P/EXPEDIENTE</t>
    </r>
    <r>
      <rPr>
        <sz val="10"/>
        <rFont val="Times New Roman"/>
        <family val="1"/>
      </rPr>
      <t>; TIPO: MARIPOSA, LONG.DE CUERPO: 75 mm</t>
    </r>
  </si>
  <si>
    <t>2.3.1-928.8</t>
  </si>
  <si>
    <r>
      <rPr>
        <b/>
        <sz val="10"/>
        <rFont val="Times New Roman"/>
        <family val="1"/>
      </rPr>
      <t>ARANDELAS DE CARTON;</t>
    </r>
    <r>
      <rPr>
        <sz val="10"/>
        <rFont val="Times New Roman"/>
        <family val="1"/>
      </rPr>
      <t xml:space="preserve"> DIAMETRO: 1 pulg, PRESENTACION: CAJA X 500 UNIDADES</t>
    </r>
  </si>
  <si>
    <t>2.9.2-873.1</t>
  </si>
  <si>
    <r>
      <rPr>
        <b/>
        <sz val="10"/>
        <rFont val="Times New Roman"/>
        <family val="1"/>
      </rPr>
      <t>PINCHES P/PAPELES</t>
    </r>
    <r>
      <rPr>
        <sz val="10"/>
        <rFont val="Times New Roman"/>
        <family val="1"/>
      </rPr>
      <t>; ALTURA 125mm - BASE METAL</t>
    </r>
  </si>
  <si>
    <t>2.9.2-1611.1</t>
  </si>
  <si>
    <r>
      <rPr>
        <b/>
        <u/>
        <sz val="10"/>
        <rFont val="Times New Roman"/>
        <family val="1"/>
      </rPr>
      <t>FOLIOS TRANSPARENTES</t>
    </r>
    <r>
      <rPr>
        <sz val="10"/>
        <rFont val="Times New Roman"/>
        <family val="1"/>
      </rPr>
      <t>; MATERIAL: PLASTICO (POLIETILENO), TAMAÑO: OFICIO, PERFORACIONES: 5 UNIVERSALES</t>
    </r>
  </si>
  <si>
    <t>2.9.2-1611.21</t>
  </si>
  <si>
    <r>
      <rPr>
        <b/>
        <u/>
        <sz val="10"/>
        <rFont val="Times New Roman"/>
        <family val="1"/>
      </rPr>
      <t>FOLIOS TRANSPARENTES;</t>
    </r>
    <r>
      <rPr>
        <sz val="10"/>
        <rFont val="Times New Roman"/>
        <family val="1"/>
      </rPr>
      <t xml:space="preserve"> TAMAÑO: A4, PERFORACIONES: SIN, MATERIAL: POLIETILENO</t>
    </r>
  </si>
  <si>
    <t>2.9.2-261.14</t>
  </si>
  <si>
    <r>
      <rPr>
        <b/>
        <u/>
        <sz val="10"/>
        <rFont val="Times New Roman"/>
        <family val="1"/>
      </rPr>
      <t>ABROCHADORAS DE PAPEL</t>
    </r>
    <r>
      <rPr>
        <sz val="10"/>
        <rFont val="Times New Roman"/>
        <family val="1"/>
      </rPr>
      <t>; TIPO: PINZA, P/BROCHES: 10/50, MATERIAL: METALICA, MEDIDA: 10/50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</si>
</sst>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5" formatCode="_ [$$-2C0A]\ * #,##0.00_ ;_ [$$-2C0A]\ * \-#,##0.00_ ;_ [$$-2C0A]\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u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165" fontId="1" fillId="0" borderId="2" xfId="1" applyNumberFormat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3" fontId="3" fillId="0" borderId="5" xfId="0" applyNumberFormat="1" applyFont="1" applyBorder="1" applyAlignment="1">
      <alignment horizontal="center" vertical="center"/>
    </xf>
    <xf numFmtId="165" fontId="1" fillId="0" borderId="5" xfId="1" applyNumberFormat="1" applyBorder="1" applyAlignment="1">
      <alignment horizontal="center" vertical="center"/>
    </xf>
    <xf numFmtId="165" fontId="4" fillId="0" borderId="6" xfId="1" applyNumberFormat="1" applyFont="1" applyFill="1" applyBorder="1" applyAlignment="1" applyProtection="1">
      <alignment horizontal="right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5" fontId="1" fillId="0" borderId="5" xfId="1" applyNumberForma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3" fontId="3" fillId="0" borderId="7" xfId="0" applyNumberFormat="1" applyFont="1" applyBorder="1" applyAlignment="1">
      <alignment horizontal="center" vertical="center" wrapText="1"/>
    </xf>
    <xf numFmtId="165" fontId="1" fillId="0" borderId="7" xfId="1" applyNumberFormat="1" applyBorder="1" applyAlignment="1">
      <alignment horizontal="center" vertical="center"/>
    </xf>
    <xf numFmtId="165" fontId="4" fillId="0" borderId="8" xfId="1" applyNumberFormat="1" applyFont="1" applyFill="1" applyBorder="1" applyAlignment="1" applyProtection="1">
      <alignment horizontal="right" vertical="center" wrapText="1"/>
    </xf>
    <xf numFmtId="3" fontId="3" fillId="0" borderId="5" xfId="0" applyNumberFormat="1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69FBE-3EBF-4AEF-8462-001E6E1F05B3}">
  <dimension ref="A1:I54"/>
  <sheetViews>
    <sheetView tabSelected="1" workbookViewId="0">
      <selection activeCell="B57" sqref="B57"/>
    </sheetView>
  </sheetViews>
  <sheetFormatPr baseColWidth="10" defaultRowHeight="15" x14ac:dyDescent="0.25"/>
  <cols>
    <col min="5" max="5" width="65" customWidth="1"/>
    <col min="9" max="9" width="10.85546875" bestFit="1" customWidth="1"/>
  </cols>
  <sheetData>
    <row r="1" spans="1:9" ht="4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</row>
    <row r="2" spans="1:9" ht="51" x14ac:dyDescent="0.25">
      <c r="A2" s="6">
        <v>1</v>
      </c>
      <c r="B2" s="7" t="s">
        <v>9</v>
      </c>
      <c r="C2" s="8" t="s">
        <v>10</v>
      </c>
      <c r="D2" s="8" t="str">
        <f t="shared" ref="D2:D50" si="0">+LEFT(B2,5)</f>
        <v>2.3.1</v>
      </c>
      <c r="E2" s="9" t="s">
        <v>11</v>
      </c>
      <c r="F2" s="8" t="s">
        <v>12</v>
      </c>
      <c r="G2" s="10">
        <v>300</v>
      </c>
      <c r="H2" s="11">
        <v>1280</v>
      </c>
      <c r="I2" s="12">
        <f t="shared" ref="I2:I54" si="1">+H2*G2</f>
        <v>384000</v>
      </c>
    </row>
    <row r="3" spans="1:9" ht="51" x14ac:dyDescent="0.25">
      <c r="A3" s="6">
        <v>2</v>
      </c>
      <c r="B3" s="7" t="s">
        <v>13</v>
      </c>
      <c r="C3" s="8" t="s">
        <v>10</v>
      </c>
      <c r="D3" s="8" t="str">
        <f t="shared" si="0"/>
        <v>2.3.1</v>
      </c>
      <c r="E3" s="9" t="s">
        <v>14</v>
      </c>
      <c r="F3" s="8" t="s">
        <v>12</v>
      </c>
      <c r="G3" s="10">
        <v>300</v>
      </c>
      <c r="H3" s="11">
        <v>1212</v>
      </c>
      <c r="I3" s="12">
        <f t="shared" si="1"/>
        <v>363600</v>
      </c>
    </row>
    <row r="4" spans="1:9" ht="51" x14ac:dyDescent="0.25">
      <c r="A4" s="6">
        <v>3</v>
      </c>
      <c r="B4" s="7" t="s">
        <v>15</v>
      </c>
      <c r="C4" s="8" t="s">
        <v>10</v>
      </c>
      <c r="D4" s="8" t="str">
        <f t="shared" si="0"/>
        <v>2.3.1</v>
      </c>
      <c r="E4" s="9" t="s">
        <v>16</v>
      </c>
      <c r="F4" s="13" t="s">
        <v>12</v>
      </c>
      <c r="G4" s="14">
        <v>80</v>
      </c>
      <c r="H4" s="11">
        <v>1064</v>
      </c>
      <c r="I4" s="12">
        <f t="shared" si="1"/>
        <v>85120</v>
      </c>
    </row>
    <row r="5" spans="1:9" ht="51" x14ac:dyDescent="0.25">
      <c r="A5" s="6">
        <v>4</v>
      </c>
      <c r="B5" s="7" t="s">
        <v>17</v>
      </c>
      <c r="C5" s="8" t="s">
        <v>10</v>
      </c>
      <c r="D5" s="13" t="str">
        <f t="shared" si="0"/>
        <v>2.3.1</v>
      </c>
      <c r="E5" s="9" t="s">
        <v>18</v>
      </c>
      <c r="F5" s="13" t="s">
        <v>12</v>
      </c>
      <c r="G5" s="14">
        <v>80</v>
      </c>
      <c r="H5" s="11">
        <v>543.91999999999996</v>
      </c>
      <c r="I5" s="12">
        <f t="shared" si="1"/>
        <v>43513.599999999999</v>
      </c>
    </row>
    <row r="6" spans="1:9" ht="51" x14ac:dyDescent="0.25">
      <c r="A6" s="6">
        <v>5</v>
      </c>
      <c r="B6" s="7" t="s">
        <v>19</v>
      </c>
      <c r="C6" s="8" t="s">
        <v>10</v>
      </c>
      <c r="D6" s="13" t="str">
        <f t="shared" si="0"/>
        <v>2.3.1</v>
      </c>
      <c r="E6" s="9" t="s">
        <v>20</v>
      </c>
      <c r="F6" s="13" t="s">
        <v>12</v>
      </c>
      <c r="G6" s="14">
        <v>80</v>
      </c>
      <c r="H6" s="11">
        <v>1098</v>
      </c>
      <c r="I6" s="12">
        <f t="shared" si="1"/>
        <v>87840</v>
      </c>
    </row>
    <row r="7" spans="1:9" ht="51" x14ac:dyDescent="0.25">
      <c r="A7" s="6">
        <v>6</v>
      </c>
      <c r="B7" s="7" t="s">
        <v>21</v>
      </c>
      <c r="C7" s="8" t="s">
        <v>10</v>
      </c>
      <c r="D7" s="13" t="str">
        <f t="shared" si="0"/>
        <v>2.3.1</v>
      </c>
      <c r="E7" s="9" t="s">
        <v>22</v>
      </c>
      <c r="F7" s="13" t="s">
        <v>12</v>
      </c>
      <c r="G7" s="14">
        <v>100</v>
      </c>
      <c r="H7" s="11">
        <v>17.75</v>
      </c>
      <c r="I7" s="12">
        <v>1775</v>
      </c>
    </row>
    <row r="8" spans="1:9" ht="51" x14ac:dyDescent="0.25">
      <c r="A8" s="6">
        <v>7</v>
      </c>
      <c r="B8" s="7" t="s">
        <v>23</v>
      </c>
      <c r="C8" s="8" t="s">
        <v>10</v>
      </c>
      <c r="D8" s="13" t="str">
        <f t="shared" si="0"/>
        <v>2.3.1</v>
      </c>
      <c r="E8" s="9" t="s">
        <v>24</v>
      </c>
      <c r="F8" s="13" t="s">
        <v>12</v>
      </c>
      <c r="G8" s="14">
        <v>200</v>
      </c>
      <c r="H8" s="11">
        <v>17.989999999999998</v>
      </c>
      <c r="I8" s="12">
        <f t="shared" si="1"/>
        <v>3597.9999999999995</v>
      </c>
    </row>
    <row r="9" spans="1:9" ht="51" x14ac:dyDescent="0.25">
      <c r="A9" s="6">
        <v>8</v>
      </c>
      <c r="B9" s="7" t="s">
        <v>25</v>
      </c>
      <c r="C9" s="8" t="s">
        <v>10</v>
      </c>
      <c r="D9" s="13" t="s">
        <v>26</v>
      </c>
      <c r="E9" s="9" t="s">
        <v>27</v>
      </c>
      <c r="F9" s="13" t="s">
        <v>12</v>
      </c>
      <c r="G9" s="14">
        <v>100</v>
      </c>
      <c r="H9" s="11">
        <v>430</v>
      </c>
      <c r="I9" s="12">
        <f t="shared" si="1"/>
        <v>43000</v>
      </c>
    </row>
    <row r="10" spans="1:9" ht="51" x14ac:dyDescent="0.25">
      <c r="A10" s="6">
        <v>9</v>
      </c>
      <c r="B10" s="7" t="s">
        <v>28</v>
      </c>
      <c r="C10" s="8" t="s">
        <v>10</v>
      </c>
      <c r="D10" s="13" t="str">
        <f t="shared" si="0"/>
        <v>2.9.2</v>
      </c>
      <c r="E10" s="9" t="s">
        <v>29</v>
      </c>
      <c r="F10" s="13" t="s">
        <v>12</v>
      </c>
      <c r="G10" s="10">
        <v>50</v>
      </c>
      <c r="H10" s="11">
        <v>787</v>
      </c>
      <c r="I10" s="12">
        <f t="shared" si="1"/>
        <v>39350</v>
      </c>
    </row>
    <row r="11" spans="1:9" ht="51" x14ac:dyDescent="0.25">
      <c r="A11" s="6">
        <v>10</v>
      </c>
      <c r="B11" s="7" t="s">
        <v>30</v>
      </c>
      <c r="C11" s="8" t="s">
        <v>10</v>
      </c>
      <c r="D11" s="13" t="str">
        <f t="shared" si="0"/>
        <v>2.9.2</v>
      </c>
      <c r="E11" s="9" t="s">
        <v>31</v>
      </c>
      <c r="F11" s="13" t="s">
        <v>12</v>
      </c>
      <c r="G11" s="14">
        <v>50</v>
      </c>
      <c r="H11" s="11">
        <v>231</v>
      </c>
      <c r="I11" s="12">
        <f t="shared" si="1"/>
        <v>11550</v>
      </c>
    </row>
    <row r="12" spans="1:9" ht="51" x14ac:dyDescent="0.25">
      <c r="A12" s="6">
        <v>11</v>
      </c>
      <c r="B12" s="7" t="s">
        <v>32</v>
      </c>
      <c r="C12" s="8" t="s">
        <v>10</v>
      </c>
      <c r="D12" s="13" t="str">
        <f t="shared" si="0"/>
        <v>2.9.2</v>
      </c>
      <c r="E12" s="9" t="s">
        <v>33</v>
      </c>
      <c r="F12" s="13" t="s">
        <v>12</v>
      </c>
      <c r="G12" s="14">
        <v>50</v>
      </c>
      <c r="H12" s="11">
        <v>120</v>
      </c>
      <c r="I12" s="12">
        <f t="shared" si="1"/>
        <v>6000</v>
      </c>
    </row>
    <row r="13" spans="1:9" ht="51" x14ac:dyDescent="0.25">
      <c r="A13" s="6">
        <v>12</v>
      </c>
      <c r="B13" s="7" t="s">
        <v>34</v>
      </c>
      <c r="C13" s="8" t="s">
        <v>10</v>
      </c>
      <c r="D13" s="13" t="str">
        <f t="shared" si="0"/>
        <v>2.9.2</v>
      </c>
      <c r="E13" s="9" t="s">
        <v>35</v>
      </c>
      <c r="F13" s="13" t="s">
        <v>12</v>
      </c>
      <c r="G13" s="10">
        <v>50</v>
      </c>
      <c r="H13" s="11">
        <v>209</v>
      </c>
      <c r="I13" s="12">
        <f t="shared" si="1"/>
        <v>10450</v>
      </c>
    </row>
    <row r="14" spans="1:9" ht="51" x14ac:dyDescent="0.25">
      <c r="A14" s="6">
        <v>13</v>
      </c>
      <c r="B14" s="7" t="s">
        <v>36</v>
      </c>
      <c r="C14" s="8" t="s">
        <v>10</v>
      </c>
      <c r="D14" s="13" t="str">
        <f t="shared" si="0"/>
        <v>2.9.2</v>
      </c>
      <c r="E14" s="9" t="s">
        <v>37</v>
      </c>
      <c r="F14" s="13" t="s">
        <v>12</v>
      </c>
      <c r="G14" s="10">
        <v>100</v>
      </c>
      <c r="H14" s="11">
        <v>100</v>
      </c>
      <c r="I14" s="12">
        <f t="shared" si="1"/>
        <v>10000</v>
      </c>
    </row>
    <row r="15" spans="1:9" ht="51" x14ac:dyDescent="0.25">
      <c r="A15" s="6">
        <v>14</v>
      </c>
      <c r="B15" s="7" t="s">
        <v>38</v>
      </c>
      <c r="C15" s="8" t="s">
        <v>10</v>
      </c>
      <c r="D15" s="13" t="str">
        <f t="shared" si="0"/>
        <v>2.9.2</v>
      </c>
      <c r="E15" s="9" t="s">
        <v>39</v>
      </c>
      <c r="F15" s="13" t="s">
        <v>12</v>
      </c>
      <c r="G15" s="10">
        <v>100</v>
      </c>
      <c r="H15" s="11">
        <v>92.5</v>
      </c>
      <c r="I15" s="12">
        <f t="shared" si="1"/>
        <v>9250</v>
      </c>
    </row>
    <row r="16" spans="1:9" ht="51" x14ac:dyDescent="0.25">
      <c r="A16" s="6">
        <v>15</v>
      </c>
      <c r="B16" s="7" t="s">
        <v>40</v>
      </c>
      <c r="C16" s="8" t="s">
        <v>10</v>
      </c>
      <c r="D16" s="8" t="str">
        <f t="shared" si="0"/>
        <v>2.9.2</v>
      </c>
      <c r="E16" s="9" t="s">
        <v>41</v>
      </c>
      <c r="F16" s="8" t="s">
        <v>12</v>
      </c>
      <c r="G16" s="10">
        <v>100</v>
      </c>
      <c r="H16" s="11">
        <v>63</v>
      </c>
      <c r="I16" s="12">
        <f t="shared" si="1"/>
        <v>6300</v>
      </c>
    </row>
    <row r="17" spans="1:9" ht="51" x14ac:dyDescent="0.25">
      <c r="A17" s="6">
        <v>16</v>
      </c>
      <c r="B17" s="7" t="s">
        <v>42</v>
      </c>
      <c r="C17" s="8" t="s">
        <v>10</v>
      </c>
      <c r="D17" s="8" t="str">
        <f t="shared" si="0"/>
        <v>2.9.2</v>
      </c>
      <c r="E17" s="9" t="s">
        <v>43</v>
      </c>
      <c r="F17" s="8" t="s">
        <v>12</v>
      </c>
      <c r="G17" s="10">
        <v>100</v>
      </c>
      <c r="H17" s="11">
        <v>76.599999999999994</v>
      </c>
      <c r="I17" s="12">
        <f t="shared" si="1"/>
        <v>7659.9999999999991</v>
      </c>
    </row>
    <row r="18" spans="1:9" ht="63.75" x14ac:dyDescent="0.25">
      <c r="A18" s="6">
        <v>17</v>
      </c>
      <c r="B18" s="15" t="s">
        <v>44</v>
      </c>
      <c r="C18" s="8" t="s">
        <v>10</v>
      </c>
      <c r="D18" s="13" t="str">
        <f t="shared" si="0"/>
        <v>2.9.2</v>
      </c>
      <c r="E18" s="9" t="s">
        <v>45</v>
      </c>
      <c r="F18" s="13" t="s">
        <v>46</v>
      </c>
      <c r="G18" s="10">
        <v>15</v>
      </c>
      <c r="H18" s="11">
        <v>914</v>
      </c>
      <c r="I18" s="12">
        <f t="shared" si="1"/>
        <v>13710</v>
      </c>
    </row>
    <row r="19" spans="1:9" ht="51" x14ac:dyDescent="0.25">
      <c r="A19" s="6">
        <v>18</v>
      </c>
      <c r="B19" s="7" t="s">
        <v>47</v>
      </c>
      <c r="C19" s="8" t="s">
        <v>10</v>
      </c>
      <c r="D19" s="13" t="str">
        <f t="shared" si="0"/>
        <v>2.9.2</v>
      </c>
      <c r="E19" s="9" t="s">
        <v>48</v>
      </c>
      <c r="F19" s="13" t="s">
        <v>46</v>
      </c>
      <c r="G19" s="10">
        <v>15</v>
      </c>
      <c r="H19" s="11">
        <v>545</v>
      </c>
      <c r="I19" s="12">
        <f t="shared" si="1"/>
        <v>8175</v>
      </c>
    </row>
    <row r="20" spans="1:9" ht="51" x14ac:dyDescent="0.25">
      <c r="A20" s="6">
        <v>19</v>
      </c>
      <c r="B20" s="7" t="s">
        <v>49</v>
      </c>
      <c r="C20" s="8" t="s">
        <v>10</v>
      </c>
      <c r="D20" s="13" t="str">
        <f t="shared" si="0"/>
        <v>2.9.2</v>
      </c>
      <c r="E20" s="9" t="s">
        <v>50</v>
      </c>
      <c r="F20" s="13" t="s">
        <v>51</v>
      </c>
      <c r="G20" s="10">
        <v>40</v>
      </c>
      <c r="H20" s="11">
        <v>346</v>
      </c>
      <c r="I20" s="12">
        <f t="shared" si="1"/>
        <v>13840</v>
      </c>
    </row>
    <row r="21" spans="1:9" ht="51" x14ac:dyDescent="0.25">
      <c r="A21" s="6">
        <v>20</v>
      </c>
      <c r="B21" s="7" t="s">
        <v>52</v>
      </c>
      <c r="C21" s="8" t="s">
        <v>10</v>
      </c>
      <c r="D21" s="13" t="str">
        <f t="shared" si="0"/>
        <v>2.9.2</v>
      </c>
      <c r="E21" s="16" t="s">
        <v>53</v>
      </c>
      <c r="F21" s="13" t="s">
        <v>12</v>
      </c>
      <c r="G21" s="10">
        <v>40</v>
      </c>
      <c r="H21" s="11">
        <v>346</v>
      </c>
      <c r="I21" s="12">
        <f t="shared" si="1"/>
        <v>13840</v>
      </c>
    </row>
    <row r="22" spans="1:9" ht="51" x14ac:dyDescent="0.25">
      <c r="A22" s="6">
        <v>21</v>
      </c>
      <c r="B22" s="7" t="s">
        <v>54</v>
      </c>
      <c r="C22" s="8" t="s">
        <v>10</v>
      </c>
      <c r="D22" s="13" t="str">
        <f t="shared" si="0"/>
        <v>2.9.2</v>
      </c>
      <c r="E22" s="9" t="s">
        <v>55</v>
      </c>
      <c r="F22" s="13" t="s">
        <v>12</v>
      </c>
      <c r="G22" s="10">
        <v>40</v>
      </c>
      <c r="H22" s="11">
        <v>117.9</v>
      </c>
      <c r="I22" s="12">
        <f t="shared" si="1"/>
        <v>4716</v>
      </c>
    </row>
    <row r="23" spans="1:9" ht="51" x14ac:dyDescent="0.25">
      <c r="A23" s="6">
        <v>22</v>
      </c>
      <c r="B23" s="7" t="s">
        <v>56</v>
      </c>
      <c r="C23" s="8" t="s">
        <v>10</v>
      </c>
      <c r="D23" s="13" t="str">
        <f t="shared" si="0"/>
        <v>2.9.2</v>
      </c>
      <c r="E23" s="9" t="s">
        <v>57</v>
      </c>
      <c r="F23" s="13" t="s">
        <v>12</v>
      </c>
      <c r="G23" s="10">
        <v>40</v>
      </c>
      <c r="H23" s="11">
        <v>228</v>
      </c>
      <c r="I23" s="12">
        <f t="shared" si="1"/>
        <v>9120</v>
      </c>
    </row>
    <row r="24" spans="1:9" ht="60" x14ac:dyDescent="0.25">
      <c r="A24" s="6">
        <v>23</v>
      </c>
      <c r="B24" s="17" t="s">
        <v>58</v>
      </c>
      <c r="C24" s="18" t="s">
        <v>10</v>
      </c>
      <c r="D24" s="13" t="str">
        <f t="shared" si="0"/>
        <v>2.9.2</v>
      </c>
      <c r="E24" s="19" t="s">
        <v>59</v>
      </c>
      <c r="F24" s="20" t="s">
        <v>12</v>
      </c>
      <c r="G24" s="21">
        <v>40</v>
      </c>
      <c r="H24" s="11">
        <v>330</v>
      </c>
      <c r="I24" s="12">
        <f t="shared" si="1"/>
        <v>13200</v>
      </c>
    </row>
    <row r="25" spans="1:9" ht="51" x14ac:dyDescent="0.25">
      <c r="A25" s="6">
        <v>24</v>
      </c>
      <c r="B25" s="7" t="s">
        <v>60</v>
      </c>
      <c r="C25" s="8" t="s">
        <v>10</v>
      </c>
      <c r="D25" s="13" t="str">
        <f t="shared" si="0"/>
        <v>2.9.2</v>
      </c>
      <c r="E25" s="9" t="s">
        <v>61</v>
      </c>
      <c r="F25" s="13" t="s">
        <v>12</v>
      </c>
      <c r="G25" s="10">
        <v>50</v>
      </c>
      <c r="H25" s="11">
        <v>350</v>
      </c>
      <c r="I25" s="12">
        <f t="shared" si="1"/>
        <v>17500</v>
      </c>
    </row>
    <row r="26" spans="1:9" ht="51" x14ac:dyDescent="0.25">
      <c r="A26" s="6">
        <v>25</v>
      </c>
      <c r="B26" s="7" t="s">
        <v>62</v>
      </c>
      <c r="C26" s="8" t="s">
        <v>10</v>
      </c>
      <c r="D26" s="13" t="str">
        <f t="shared" si="0"/>
        <v>2.9.2</v>
      </c>
      <c r="E26" s="9" t="s">
        <v>63</v>
      </c>
      <c r="F26" s="13" t="s">
        <v>12</v>
      </c>
      <c r="G26" s="10">
        <v>80</v>
      </c>
      <c r="H26" s="11">
        <v>150</v>
      </c>
      <c r="I26" s="12">
        <f t="shared" si="1"/>
        <v>12000</v>
      </c>
    </row>
    <row r="27" spans="1:9" ht="51" x14ac:dyDescent="0.25">
      <c r="A27" s="6">
        <v>26</v>
      </c>
      <c r="B27" s="7" t="s">
        <v>64</v>
      </c>
      <c r="C27" s="8" t="s">
        <v>10</v>
      </c>
      <c r="D27" s="13" t="str">
        <f t="shared" si="0"/>
        <v>2.9.2</v>
      </c>
      <c r="E27" s="9" t="s">
        <v>65</v>
      </c>
      <c r="F27" s="13" t="s">
        <v>12</v>
      </c>
      <c r="G27" s="10">
        <v>50</v>
      </c>
      <c r="H27" s="11">
        <v>729</v>
      </c>
      <c r="I27" s="12">
        <f t="shared" si="1"/>
        <v>36450</v>
      </c>
    </row>
    <row r="28" spans="1:9" ht="51" x14ac:dyDescent="0.25">
      <c r="A28" s="6">
        <v>27</v>
      </c>
      <c r="B28" s="7" t="s">
        <v>66</v>
      </c>
      <c r="C28" s="8" t="s">
        <v>10</v>
      </c>
      <c r="D28" s="13" t="str">
        <f t="shared" si="0"/>
        <v>2.9.2</v>
      </c>
      <c r="E28" s="9" t="s">
        <v>67</v>
      </c>
      <c r="F28" s="13" t="s">
        <v>12</v>
      </c>
      <c r="G28" s="10">
        <v>50</v>
      </c>
      <c r="H28" s="11">
        <v>379</v>
      </c>
      <c r="I28" s="12">
        <f t="shared" si="1"/>
        <v>18950</v>
      </c>
    </row>
    <row r="29" spans="1:9" ht="51" x14ac:dyDescent="0.25">
      <c r="A29" s="6">
        <v>28</v>
      </c>
      <c r="B29" s="7" t="s">
        <v>68</v>
      </c>
      <c r="C29" s="8" t="s">
        <v>10</v>
      </c>
      <c r="D29" s="13" t="str">
        <f>+LEFT(B29,5)</f>
        <v>2.9.2</v>
      </c>
      <c r="E29" s="9" t="s">
        <v>69</v>
      </c>
      <c r="F29" s="13" t="s">
        <v>12</v>
      </c>
      <c r="G29" s="10">
        <v>300</v>
      </c>
      <c r="H29" s="11">
        <v>63.5</v>
      </c>
      <c r="I29" s="12">
        <f t="shared" si="1"/>
        <v>19050</v>
      </c>
    </row>
    <row r="30" spans="1:9" ht="51" x14ac:dyDescent="0.25">
      <c r="A30" s="6">
        <v>29</v>
      </c>
      <c r="B30" s="7" t="s">
        <v>70</v>
      </c>
      <c r="C30" s="8" t="s">
        <v>10</v>
      </c>
      <c r="D30" s="13" t="str">
        <f>+LEFT(B30,5)</f>
        <v>2.9.2</v>
      </c>
      <c r="E30" s="9" t="s">
        <v>71</v>
      </c>
      <c r="F30" s="13" t="s">
        <v>12</v>
      </c>
      <c r="G30" s="10">
        <v>300</v>
      </c>
      <c r="H30" s="11">
        <v>56.91</v>
      </c>
      <c r="I30" s="12">
        <f t="shared" si="1"/>
        <v>17073</v>
      </c>
    </row>
    <row r="31" spans="1:9" ht="51" x14ac:dyDescent="0.25">
      <c r="A31" s="6">
        <v>30</v>
      </c>
      <c r="B31" s="7" t="s">
        <v>72</v>
      </c>
      <c r="C31" s="8" t="s">
        <v>10</v>
      </c>
      <c r="D31" s="13" t="str">
        <f>+LEFT(B31,5)</f>
        <v>2.9.2</v>
      </c>
      <c r="E31" s="9" t="s">
        <v>73</v>
      </c>
      <c r="F31" s="13" t="s">
        <v>12</v>
      </c>
      <c r="G31" s="10">
        <v>300</v>
      </c>
      <c r="H31" s="11">
        <v>144.59</v>
      </c>
      <c r="I31" s="12">
        <f t="shared" si="1"/>
        <v>43377</v>
      </c>
    </row>
    <row r="32" spans="1:9" ht="51" x14ac:dyDescent="0.25">
      <c r="A32" s="6">
        <v>31</v>
      </c>
      <c r="B32" s="7" t="s">
        <v>74</v>
      </c>
      <c r="C32" s="8" t="s">
        <v>10</v>
      </c>
      <c r="D32" s="13" t="str">
        <f>+LEFT(B32,5)</f>
        <v>2.9.2</v>
      </c>
      <c r="E32" s="9" t="s">
        <v>75</v>
      </c>
      <c r="F32" s="13" t="s">
        <v>12</v>
      </c>
      <c r="G32" s="10">
        <v>300</v>
      </c>
      <c r="H32" s="11">
        <v>39.799999999999997</v>
      </c>
      <c r="I32" s="12">
        <f t="shared" si="1"/>
        <v>11940</v>
      </c>
    </row>
    <row r="33" spans="1:9" ht="51" x14ac:dyDescent="0.25">
      <c r="A33" s="6">
        <v>32</v>
      </c>
      <c r="B33" s="7" t="s">
        <v>74</v>
      </c>
      <c r="C33" s="8" t="s">
        <v>10</v>
      </c>
      <c r="D33" s="13" t="str">
        <f>+LEFT(B33,5)</f>
        <v>2.9.2</v>
      </c>
      <c r="E33" s="9" t="s">
        <v>76</v>
      </c>
      <c r="F33" s="13" t="s">
        <v>12</v>
      </c>
      <c r="G33" s="10">
        <v>300</v>
      </c>
      <c r="H33" s="11">
        <v>39.799999999999997</v>
      </c>
      <c r="I33" s="12">
        <f t="shared" si="1"/>
        <v>11940</v>
      </c>
    </row>
    <row r="34" spans="1:9" ht="51" x14ac:dyDescent="0.25">
      <c r="A34" s="6">
        <v>33</v>
      </c>
      <c r="B34" s="7" t="s">
        <v>77</v>
      </c>
      <c r="C34" s="8" t="s">
        <v>10</v>
      </c>
      <c r="D34" s="13" t="str">
        <f t="shared" si="0"/>
        <v>2.9.2</v>
      </c>
      <c r="E34" s="9" t="s">
        <v>78</v>
      </c>
      <c r="F34" s="13" t="s">
        <v>12</v>
      </c>
      <c r="G34" s="10">
        <v>150</v>
      </c>
      <c r="H34" s="11">
        <v>107.5</v>
      </c>
      <c r="I34" s="12">
        <f t="shared" si="1"/>
        <v>16125</v>
      </c>
    </row>
    <row r="35" spans="1:9" ht="51" x14ac:dyDescent="0.25">
      <c r="A35" s="6">
        <v>34</v>
      </c>
      <c r="B35" s="7" t="s">
        <v>79</v>
      </c>
      <c r="C35" s="8" t="s">
        <v>10</v>
      </c>
      <c r="D35" s="13" t="str">
        <f t="shared" si="0"/>
        <v>2.9.2</v>
      </c>
      <c r="E35" s="9" t="s">
        <v>80</v>
      </c>
      <c r="F35" s="13" t="s">
        <v>81</v>
      </c>
      <c r="G35" s="10">
        <v>10</v>
      </c>
      <c r="H35" s="11">
        <v>220</v>
      </c>
      <c r="I35" s="12">
        <f t="shared" si="1"/>
        <v>2200</v>
      </c>
    </row>
    <row r="36" spans="1:9" ht="51" x14ac:dyDescent="0.25">
      <c r="A36" s="6">
        <v>35</v>
      </c>
      <c r="B36" s="7" t="s">
        <v>82</v>
      </c>
      <c r="C36" s="8" t="s">
        <v>10</v>
      </c>
      <c r="D36" s="13" t="str">
        <f t="shared" si="0"/>
        <v>2.9.2</v>
      </c>
      <c r="E36" s="9" t="s">
        <v>83</v>
      </c>
      <c r="F36" s="13" t="s">
        <v>81</v>
      </c>
      <c r="G36" s="10">
        <v>10</v>
      </c>
      <c r="H36" s="11">
        <v>68.75</v>
      </c>
      <c r="I36" s="12">
        <f t="shared" si="1"/>
        <v>687.5</v>
      </c>
    </row>
    <row r="37" spans="1:9" ht="51" x14ac:dyDescent="0.25">
      <c r="A37" s="6">
        <v>36</v>
      </c>
      <c r="B37" s="7" t="s">
        <v>84</v>
      </c>
      <c r="C37" s="8" t="s">
        <v>10</v>
      </c>
      <c r="D37" s="13" t="str">
        <f t="shared" si="0"/>
        <v>2.9.2</v>
      </c>
      <c r="E37" s="9" t="s">
        <v>85</v>
      </c>
      <c r="F37" s="13" t="s">
        <v>81</v>
      </c>
      <c r="G37" s="10">
        <v>10</v>
      </c>
      <c r="H37" s="11">
        <v>239</v>
      </c>
      <c r="I37" s="12">
        <f t="shared" si="1"/>
        <v>2390</v>
      </c>
    </row>
    <row r="38" spans="1:9" ht="51" x14ac:dyDescent="0.25">
      <c r="A38" s="6">
        <v>37</v>
      </c>
      <c r="B38" s="7" t="s">
        <v>86</v>
      </c>
      <c r="C38" s="8" t="s">
        <v>10</v>
      </c>
      <c r="D38" s="13" t="str">
        <f t="shared" si="0"/>
        <v>2.9.2</v>
      </c>
      <c r="E38" s="9" t="s">
        <v>87</v>
      </c>
      <c r="F38" s="13" t="s">
        <v>12</v>
      </c>
      <c r="G38" s="10">
        <v>30</v>
      </c>
      <c r="H38" s="11">
        <v>109</v>
      </c>
      <c r="I38" s="12">
        <f t="shared" si="1"/>
        <v>3270</v>
      </c>
    </row>
    <row r="39" spans="1:9" ht="51" x14ac:dyDescent="0.25">
      <c r="A39" s="6">
        <v>38</v>
      </c>
      <c r="B39" s="7" t="s">
        <v>88</v>
      </c>
      <c r="C39" s="8" t="s">
        <v>10</v>
      </c>
      <c r="D39" s="8" t="str">
        <f t="shared" si="0"/>
        <v>2.9.2</v>
      </c>
      <c r="E39" s="9" t="s">
        <v>89</v>
      </c>
      <c r="F39" s="8" t="s">
        <v>81</v>
      </c>
      <c r="G39" s="10">
        <v>20</v>
      </c>
      <c r="H39" s="11">
        <v>250</v>
      </c>
      <c r="I39" s="12">
        <f t="shared" si="1"/>
        <v>5000</v>
      </c>
    </row>
    <row r="40" spans="1:9" ht="51" x14ac:dyDescent="0.25">
      <c r="A40" s="6">
        <v>39</v>
      </c>
      <c r="B40" s="7" t="s">
        <v>90</v>
      </c>
      <c r="C40" s="8" t="s">
        <v>10</v>
      </c>
      <c r="D40" s="8" t="str">
        <f t="shared" si="0"/>
        <v>2.9.2</v>
      </c>
      <c r="E40" s="9" t="s">
        <v>91</v>
      </c>
      <c r="F40" s="13" t="s">
        <v>12</v>
      </c>
      <c r="G40" s="10">
        <v>20</v>
      </c>
      <c r="H40" s="22">
        <v>495</v>
      </c>
      <c r="I40" s="12">
        <f t="shared" si="1"/>
        <v>9900</v>
      </c>
    </row>
    <row r="41" spans="1:9" ht="51" x14ac:dyDescent="0.25">
      <c r="A41" s="6">
        <v>40</v>
      </c>
      <c r="B41" s="7" t="s">
        <v>92</v>
      </c>
      <c r="C41" s="8" t="s">
        <v>10</v>
      </c>
      <c r="D41" s="8" t="str">
        <f t="shared" si="0"/>
        <v>2.9.2</v>
      </c>
      <c r="E41" s="9" t="s">
        <v>93</v>
      </c>
      <c r="F41" s="8" t="s">
        <v>12</v>
      </c>
      <c r="G41" s="10">
        <v>30</v>
      </c>
      <c r="H41" s="11">
        <v>209</v>
      </c>
      <c r="I41" s="12">
        <f t="shared" si="1"/>
        <v>6270</v>
      </c>
    </row>
    <row r="42" spans="1:9" ht="51" x14ac:dyDescent="0.25">
      <c r="A42" s="6">
        <v>41</v>
      </c>
      <c r="B42" s="7" t="s">
        <v>94</v>
      </c>
      <c r="C42" s="8" t="s">
        <v>10</v>
      </c>
      <c r="D42" s="13" t="str">
        <f t="shared" si="0"/>
        <v>2.9.2</v>
      </c>
      <c r="E42" s="9" t="s">
        <v>95</v>
      </c>
      <c r="F42" s="13" t="s">
        <v>12</v>
      </c>
      <c r="G42" s="10">
        <v>30</v>
      </c>
      <c r="H42" s="11">
        <v>140</v>
      </c>
      <c r="I42" s="12">
        <f t="shared" si="1"/>
        <v>4200</v>
      </c>
    </row>
    <row r="43" spans="1:9" ht="76.5" x14ac:dyDescent="0.25">
      <c r="A43" s="6">
        <v>42</v>
      </c>
      <c r="B43" s="7" t="s">
        <v>96</v>
      </c>
      <c r="C43" s="8" t="s">
        <v>10</v>
      </c>
      <c r="D43" s="13" t="str">
        <f t="shared" si="0"/>
        <v>2.9.2</v>
      </c>
      <c r="E43" s="9" t="s">
        <v>97</v>
      </c>
      <c r="F43" s="13" t="s">
        <v>12</v>
      </c>
      <c r="G43" s="10">
        <v>200</v>
      </c>
      <c r="H43" s="11">
        <v>180</v>
      </c>
      <c r="I43" s="12">
        <f t="shared" si="1"/>
        <v>36000</v>
      </c>
    </row>
    <row r="44" spans="1:9" ht="51" x14ac:dyDescent="0.25">
      <c r="A44" s="6">
        <v>43</v>
      </c>
      <c r="B44" s="7" t="s">
        <v>98</v>
      </c>
      <c r="C44" s="8" t="s">
        <v>10</v>
      </c>
      <c r="D44" s="13" t="str">
        <f t="shared" si="0"/>
        <v>2.9.2</v>
      </c>
      <c r="E44" s="9" t="s">
        <v>99</v>
      </c>
      <c r="F44" s="13" t="s">
        <v>12</v>
      </c>
      <c r="G44" s="10">
        <v>120</v>
      </c>
      <c r="H44" s="11">
        <v>99</v>
      </c>
      <c r="I44" s="12">
        <f t="shared" si="1"/>
        <v>11880</v>
      </c>
    </row>
    <row r="45" spans="1:9" ht="63.75" x14ac:dyDescent="0.25">
      <c r="A45" s="6">
        <v>44</v>
      </c>
      <c r="B45" s="7" t="s">
        <v>100</v>
      </c>
      <c r="C45" s="8" t="s">
        <v>10</v>
      </c>
      <c r="D45" s="13" t="str">
        <f>+LEFT(B45,5)</f>
        <v>2.9.2</v>
      </c>
      <c r="E45" s="9" t="s">
        <v>101</v>
      </c>
      <c r="F45" s="13" t="s">
        <v>12</v>
      </c>
      <c r="G45" s="10">
        <v>100</v>
      </c>
      <c r="H45" s="11">
        <v>90.25</v>
      </c>
      <c r="I45" s="12">
        <f t="shared" si="1"/>
        <v>9025</v>
      </c>
    </row>
    <row r="46" spans="1:9" ht="51" x14ac:dyDescent="0.25">
      <c r="A46" s="6">
        <v>45</v>
      </c>
      <c r="B46" s="7" t="s">
        <v>102</v>
      </c>
      <c r="C46" s="8" t="s">
        <v>10</v>
      </c>
      <c r="D46" s="13" t="str">
        <f>+LEFT(B46,5)</f>
        <v>2.9.2</v>
      </c>
      <c r="E46" s="9" t="s">
        <v>103</v>
      </c>
      <c r="F46" s="13" t="s">
        <v>81</v>
      </c>
      <c r="G46" s="10">
        <v>8</v>
      </c>
      <c r="H46" s="11">
        <v>1767</v>
      </c>
      <c r="I46" s="12">
        <f t="shared" si="1"/>
        <v>14136</v>
      </c>
    </row>
    <row r="47" spans="1:9" ht="51" x14ac:dyDescent="0.25">
      <c r="A47" s="6">
        <v>46</v>
      </c>
      <c r="B47" s="7" t="s">
        <v>104</v>
      </c>
      <c r="C47" s="8" t="s">
        <v>10</v>
      </c>
      <c r="D47" s="13" t="str">
        <f t="shared" si="0"/>
        <v>2.9.2</v>
      </c>
      <c r="E47" s="9" t="s">
        <v>105</v>
      </c>
      <c r="F47" s="13" t="s">
        <v>81</v>
      </c>
      <c r="G47" s="10">
        <v>20</v>
      </c>
      <c r="H47" s="11">
        <v>650</v>
      </c>
      <c r="I47" s="12">
        <f t="shared" si="1"/>
        <v>13000</v>
      </c>
    </row>
    <row r="48" spans="1:9" ht="51" x14ac:dyDescent="0.25">
      <c r="A48" s="6">
        <v>47</v>
      </c>
      <c r="B48" s="7" t="s">
        <v>106</v>
      </c>
      <c r="C48" s="8" t="s">
        <v>10</v>
      </c>
      <c r="D48" s="13" t="str">
        <f t="shared" si="0"/>
        <v>2.9.2</v>
      </c>
      <c r="E48" s="9" t="s">
        <v>107</v>
      </c>
      <c r="F48" s="13" t="s">
        <v>81</v>
      </c>
      <c r="G48" s="10">
        <v>20</v>
      </c>
      <c r="H48" s="11">
        <v>363</v>
      </c>
      <c r="I48" s="12">
        <f t="shared" si="1"/>
        <v>7260</v>
      </c>
    </row>
    <row r="49" spans="1:9" ht="51" x14ac:dyDescent="0.25">
      <c r="A49" s="6">
        <v>48</v>
      </c>
      <c r="B49" s="7" t="s">
        <v>108</v>
      </c>
      <c r="C49" s="8" t="s">
        <v>10</v>
      </c>
      <c r="D49" s="13" t="str">
        <f t="shared" si="0"/>
        <v>2.9.2</v>
      </c>
      <c r="E49" s="9" t="s">
        <v>109</v>
      </c>
      <c r="F49" s="13" t="s">
        <v>81</v>
      </c>
      <c r="G49" s="10">
        <v>20</v>
      </c>
      <c r="H49" s="11">
        <v>515</v>
      </c>
      <c r="I49" s="12">
        <f t="shared" si="1"/>
        <v>10300</v>
      </c>
    </row>
    <row r="50" spans="1:9" ht="51" x14ac:dyDescent="0.25">
      <c r="A50" s="6">
        <v>49</v>
      </c>
      <c r="B50" s="9" t="s">
        <v>110</v>
      </c>
      <c r="C50" s="9" t="s">
        <v>10</v>
      </c>
      <c r="D50" s="13" t="str">
        <f t="shared" si="0"/>
        <v>2.3.1</v>
      </c>
      <c r="E50" s="9" t="s">
        <v>111</v>
      </c>
      <c r="F50" s="9" t="s">
        <v>81</v>
      </c>
      <c r="G50" s="23">
        <v>10</v>
      </c>
      <c r="H50" s="11">
        <v>481.45</v>
      </c>
      <c r="I50" s="12">
        <f t="shared" si="1"/>
        <v>4814.5</v>
      </c>
    </row>
    <row r="51" spans="1:9" ht="51" x14ac:dyDescent="0.25">
      <c r="A51" s="6">
        <v>50</v>
      </c>
      <c r="B51" s="9" t="s">
        <v>112</v>
      </c>
      <c r="C51" s="9" t="s">
        <v>10</v>
      </c>
      <c r="D51" s="13" t="str">
        <f>+LEFT(B51,5)</f>
        <v>2.9.2</v>
      </c>
      <c r="E51" s="9" t="s">
        <v>113</v>
      </c>
      <c r="F51" s="9" t="s">
        <v>12</v>
      </c>
      <c r="G51" s="23">
        <v>20</v>
      </c>
      <c r="H51" s="11">
        <v>220</v>
      </c>
      <c r="I51" s="12">
        <f t="shared" si="1"/>
        <v>4400</v>
      </c>
    </row>
    <row r="52" spans="1:9" ht="51" x14ac:dyDescent="0.25">
      <c r="A52" s="6">
        <v>51</v>
      </c>
      <c r="B52" s="24" t="s">
        <v>114</v>
      </c>
      <c r="C52" s="24" t="s">
        <v>10</v>
      </c>
      <c r="D52" s="25" t="s">
        <v>26</v>
      </c>
      <c r="E52" s="24" t="s">
        <v>115</v>
      </c>
      <c r="F52" s="24" t="s">
        <v>12</v>
      </c>
      <c r="G52" s="26">
        <v>500</v>
      </c>
      <c r="H52" s="27">
        <v>14.4</v>
      </c>
      <c r="I52" s="28">
        <f t="shared" si="1"/>
        <v>7200</v>
      </c>
    </row>
    <row r="53" spans="1:9" ht="51" x14ac:dyDescent="0.25">
      <c r="A53" s="6">
        <v>52</v>
      </c>
      <c r="B53" s="24" t="s">
        <v>116</v>
      </c>
      <c r="C53" s="24" t="s">
        <v>10</v>
      </c>
      <c r="D53" s="25" t="s">
        <v>26</v>
      </c>
      <c r="E53" s="24" t="s">
        <v>117</v>
      </c>
      <c r="F53" s="24" t="s">
        <v>12</v>
      </c>
      <c r="G53" s="26">
        <v>300</v>
      </c>
      <c r="H53" s="27">
        <v>12.9</v>
      </c>
      <c r="I53" s="28">
        <f t="shared" si="1"/>
        <v>3870</v>
      </c>
    </row>
    <row r="54" spans="1:9" ht="51" x14ac:dyDescent="0.25">
      <c r="A54" s="6">
        <v>53</v>
      </c>
      <c r="B54" s="9" t="s">
        <v>118</v>
      </c>
      <c r="C54" s="9" t="s">
        <v>10</v>
      </c>
      <c r="D54" s="13" t="s">
        <v>26</v>
      </c>
      <c r="E54" s="9" t="s">
        <v>119</v>
      </c>
      <c r="F54" s="9" t="s">
        <v>12</v>
      </c>
      <c r="G54" s="29">
        <v>30</v>
      </c>
      <c r="H54" s="11">
        <v>2500</v>
      </c>
      <c r="I54" s="12">
        <f t="shared" si="1"/>
        <v>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SARTOR</dc:creator>
  <cp:lastModifiedBy>RODOLFO SARTOR</cp:lastModifiedBy>
  <dcterms:created xsi:type="dcterms:W3CDTF">2022-07-05T14:53:11Z</dcterms:created>
  <dcterms:modified xsi:type="dcterms:W3CDTF">2022-07-05T14:56:23Z</dcterms:modified>
</cp:coreProperties>
</file>