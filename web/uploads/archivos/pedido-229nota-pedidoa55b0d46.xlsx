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cundo\Downloads\"/>
    </mc:Choice>
  </mc:AlternateContent>
  <bookViews>
    <workbookView xWindow="0" yWindow="0" windowWidth="20490" windowHeight="7155" tabRatio="500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NotaPedido'!$A$1:$K$70</definedName>
    <definedName name="_xlnm.Print_Area" localSheetId="2">'Autor Gastar'!$A$1:$Q$27</definedName>
    <definedName name="_xlnm.Print_Area" localSheetId="0">'Necesidades Trimestrales'!$A$1:$I$112</definedName>
  </definedNames>
  <calcPr calcId="152511"/>
</workbook>
</file>

<file path=xl/calcChain.xml><?xml version="1.0" encoding="utf-8"?>
<calcChain xmlns="http://schemas.openxmlformats.org/spreadsheetml/2006/main">
  <c r="I62" i="2" l="1"/>
  <c r="K64" i="2" l="1"/>
  <c r="K65" i="2"/>
  <c r="K66" i="2"/>
  <c r="K67" i="2"/>
  <c r="J67" i="2"/>
  <c r="J64" i="2"/>
  <c r="J65" i="2"/>
  <c r="J66" i="2"/>
  <c r="I64" i="2"/>
  <c r="I65" i="2"/>
  <c r="I66" i="2"/>
  <c r="I67" i="2"/>
  <c r="C64" i="2"/>
  <c r="C65" i="2"/>
  <c r="C66" i="2"/>
  <c r="C67" i="2"/>
  <c r="B64" i="2"/>
  <c r="B65" i="2"/>
  <c r="B66" i="2"/>
  <c r="B67" i="2"/>
  <c r="I64" i="1"/>
  <c r="D64" i="1"/>
  <c r="D63" i="1" l="1"/>
  <c r="I63" i="1"/>
  <c r="K62" i="2" l="1"/>
  <c r="K63" i="2"/>
  <c r="J62" i="2"/>
  <c r="J63" i="2"/>
  <c r="I63" i="2"/>
  <c r="C62" i="2"/>
  <c r="C63" i="2"/>
  <c r="B62" i="2"/>
  <c r="B63" i="2"/>
  <c r="I62" i="1"/>
  <c r="I61" i="1"/>
  <c r="D62" i="1"/>
  <c r="D61" i="1"/>
  <c r="I60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5" i="1"/>
  <c r="K45" i="2" l="1"/>
  <c r="K46" i="2"/>
  <c r="K47" i="2"/>
  <c r="K48" i="2"/>
  <c r="K49" i="2"/>
  <c r="K50" i="2"/>
  <c r="K51" i="2"/>
  <c r="J45" i="2"/>
  <c r="J46" i="2"/>
  <c r="J47" i="2"/>
  <c r="J48" i="2"/>
  <c r="J49" i="2"/>
  <c r="J50" i="2"/>
  <c r="J51" i="2"/>
  <c r="I45" i="2"/>
  <c r="I46" i="2"/>
  <c r="I47" i="2"/>
  <c r="I48" i="2"/>
  <c r="I49" i="2"/>
  <c r="I50" i="2"/>
  <c r="I51" i="2"/>
  <c r="B45" i="2"/>
  <c r="B46" i="2"/>
  <c r="B47" i="2"/>
  <c r="B48" i="2"/>
  <c r="B49" i="2"/>
  <c r="B50" i="2"/>
  <c r="B51" i="2"/>
  <c r="C45" i="2"/>
  <c r="C46" i="2"/>
  <c r="C47" i="2"/>
  <c r="C48" i="2"/>
  <c r="C49" i="2"/>
  <c r="C50" i="2"/>
  <c r="C51" i="2"/>
  <c r="K55" i="2"/>
  <c r="K56" i="2"/>
  <c r="K57" i="2"/>
  <c r="K58" i="2"/>
  <c r="K59" i="2"/>
  <c r="K60" i="2"/>
  <c r="K61" i="2"/>
  <c r="J55" i="2"/>
  <c r="J56" i="2"/>
  <c r="J57" i="2"/>
  <c r="J58" i="2"/>
  <c r="J59" i="2"/>
  <c r="J60" i="2"/>
  <c r="J61" i="2"/>
  <c r="I55" i="2"/>
  <c r="I56" i="2"/>
  <c r="I57" i="2"/>
  <c r="I58" i="2"/>
  <c r="I59" i="2"/>
  <c r="I60" i="2"/>
  <c r="I61" i="2"/>
  <c r="B56" i="2"/>
  <c r="B57" i="2"/>
  <c r="B58" i="2"/>
  <c r="B59" i="2"/>
  <c r="B60" i="2"/>
  <c r="B61" i="2"/>
  <c r="B55" i="2"/>
  <c r="C55" i="2"/>
  <c r="C56" i="2"/>
  <c r="C57" i="2"/>
  <c r="C58" i="2"/>
  <c r="C59" i="2"/>
  <c r="C60" i="2"/>
  <c r="C61" i="2"/>
  <c r="I65" i="1"/>
  <c r="I55" i="1"/>
  <c r="I56" i="1"/>
  <c r="I57" i="1"/>
  <c r="I58" i="1"/>
  <c r="I59" i="1"/>
  <c r="I54" i="1"/>
  <c r="I42" i="1"/>
  <c r="I43" i="1"/>
  <c r="I44" i="1"/>
  <c r="I45" i="1"/>
  <c r="I46" i="1"/>
  <c r="I47" i="1"/>
  <c r="I48" i="1"/>
  <c r="I49" i="1"/>
  <c r="I50" i="1"/>
  <c r="I51" i="1"/>
  <c r="I52" i="1"/>
  <c r="I53" i="1"/>
  <c r="D42" i="1"/>
  <c r="D43" i="1"/>
  <c r="D44" i="1"/>
  <c r="K16" i="2" l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52" i="2"/>
  <c r="K53" i="2"/>
  <c r="K54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52" i="2"/>
  <c r="J53" i="2"/>
  <c r="J54" i="2"/>
  <c r="J30" i="2"/>
  <c r="J29" i="2"/>
  <c r="J28" i="2"/>
  <c r="I54" i="2"/>
  <c r="I53" i="2"/>
  <c r="I52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C28" i="2" l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52" i="2"/>
  <c r="C53" i="2"/>
  <c r="C54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52" i="2"/>
  <c r="B53" i="2"/>
  <c r="B54" i="2"/>
  <c r="I26" i="1"/>
  <c r="I27" i="1"/>
  <c r="I28" i="1"/>
  <c r="D26" i="1"/>
  <c r="D27" i="1"/>
  <c r="D28" i="1"/>
  <c r="I36" i="1" l="1"/>
  <c r="I37" i="1"/>
  <c r="I38" i="1"/>
  <c r="I39" i="1"/>
  <c r="K13" i="2" l="1"/>
  <c r="K14" i="2"/>
  <c r="K15" i="2"/>
  <c r="J21" i="2"/>
  <c r="J22" i="2"/>
  <c r="J23" i="2"/>
  <c r="J24" i="2"/>
  <c r="J25" i="2"/>
  <c r="J26" i="2"/>
  <c r="J27" i="2"/>
  <c r="J13" i="2"/>
  <c r="J14" i="2"/>
  <c r="J15" i="2"/>
  <c r="J16" i="2"/>
  <c r="J17" i="2"/>
  <c r="J18" i="2"/>
  <c r="J19" i="2"/>
  <c r="J20" i="2"/>
  <c r="I23" i="2"/>
  <c r="I24" i="2"/>
  <c r="I25" i="2"/>
  <c r="I26" i="2"/>
  <c r="I27" i="2"/>
  <c r="I13" i="2"/>
  <c r="I14" i="2"/>
  <c r="I15" i="2"/>
  <c r="I16" i="2"/>
  <c r="I17" i="2"/>
  <c r="I18" i="2"/>
  <c r="I19" i="2"/>
  <c r="I20" i="2"/>
  <c r="I21" i="2"/>
  <c r="I22" i="2"/>
  <c r="B21" i="2"/>
  <c r="B22" i="2"/>
  <c r="B23" i="2"/>
  <c r="B24" i="2"/>
  <c r="B25" i="2"/>
  <c r="B26" i="2"/>
  <c r="B13" i="2"/>
  <c r="B14" i="2"/>
  <c r="B15" i="2"/>
  <c r="B16" i="2"/>
  <c r="B17" i="2"/>
  <c r="B18" i="2"/>
  <c r="B19" i="2"/>
  <c r="B20" i="2"/>
  <c r="C26" i="2"/>
  <c r="C27" i="2"/>
  <c r="C14" i="2"/>
  <c r="C15" i="2"/>
  <c r="C16" i="2"/>
  <c r="C17" i="2"/>
  <c r="C18" i="2"/>
  <c r="C19" i="2"/>
  <c r="C20" i="2"/>
  <c r="C21" i="2"/>
  <c r="C22" i="2"/>
  <c r="C23" i="2"/>
  <c r="C24" i="2"/>
  <c r="C25" i="2"/>
  <c r="C13" i="2"/>
  <c r="I18" i="1"/>
  <c r="I19" i="1"/>
  <c r="I20" i="1"/>
  <c r="I21" i="1"/>
  <c r="I22" i="1"/>
  <c r="I23" i="1"/>
  <c r="I24" i="1"/>
  <c r="I25" i="1"/>
  <c r="I29" i="1"/>
  <c r="I30" i="1"/>
  <c r="I31" i="1"/>
  <c r="I32" i="1"/>
  <c r="I33" i="1"/>
  <c r="I34" i="1"/>
  <c r="I35" i="1"/>
  <c r="D24" i="1"/>
  <c r="D23" i="1"/>
  <c r="D18" i="1"/>
  <c r="I13" i="1"/>
  <c r="I14" i="1"/>
  <c r="I15" i="1"/>
  <c r="I16" i="1"/>
  <c r="I17" i="1"/>
  <c r="I40" i="1"/>
  <c r="I41" i="1"/>
  <c r="D31" i="1"/>
  <c r="D32" i="1"/>
  <c r="D35" i="1"/>
  <c r="D40" i="1"/>
  <c r="D41" i="1"/>
  <c r="D13" i="1"/>
  <c r="G7" i="3" l="1"/>
  <c r="G6" i="3"/>
  <c r="I11" i="1" l="1"/>
  <c r="I12" i="1"/>
  <c r="D16" i="1"/>
  <c r="D17" i="1"/>
  <c r="D19" i="1"/>
  <c r="D20" i="1"/>
  <c r="D21" i="1"/>
  <c r="D22" i="1"/>
  <c r="D25" i="1"/>
  <c r="D29" i="1"/>
  <c r="D11" i="1" l="1"/>
  <c r="D12" i="1"/>
  <c r="D14" i="1"/>
  <c r="D15" i="1"/>
  <c r="D30" i="1"/>
  <c r="D10" i="1"/>
  <c r="I10" i="1" l="1"/>
  <c r="I15" i="3" l="1"/>
  <c r="Q23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</calcChain>
</file>

<file path=xl/sharedStrings.xml><?xml version="1.0" encoding="utf-8"?>
<sst xmlns="http://schemas.openxmlformats.org/spreadsheetml/2006/main" count="1293" uniqueCount="306">
  <si>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</si>
  <si>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</si>
  <si>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</si>
  <si>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</si>
  <si>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</si>
  <si>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</si>
  <si>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</si>
  <si>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</si>
  <si>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</si>
  <si>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</si>
  <si>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</si>
  <si>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</si>
  <si>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</si>
  <si>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</si>
  <si>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</si>
  <si>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</si>
  <si>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</si>
  <si>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</si>
  <si>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</si>
  <si>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</si>
  <si>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</si>
  <si>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</si>
  <si>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</si>
  <si>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</si>
  <si>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</si>
  <si>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</si>
  <si>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</si>
  <si>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</si>
  <si>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</si>
  <si>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</si>
  <si>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</si>
  <si>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</si>
  <si>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</si>
  <si>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</si>
  <si>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</si>
  <si>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</si>
  <si>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</si>
  <si>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</si>
  <si>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</si>
  <si>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</si>
  <si>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</si>
  <si>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</si>
  <si>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</si>
  <si>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</si>
  <si>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</si>
  <si>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</si>
  <si>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</si>
  <si>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</si>
  <si>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</si>
  <si>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</si>
  <si>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</si>
  <si>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</si>
  <si>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</si>
  <si>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</si>
  <si>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</si>
  <si>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</si>
  <si>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</si>
  <si>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Administracion y RRHH</t>
  </si>
  <si>
    <t>S/E</t>
  </si>
  <si>
    <t>NO</t>
  </si>
  <si>
    <t>1.1</t>
  </si>
  <si>
    <t>01- Actividad Central</t>
  </si>
  <si>
    <t>Especificidades Item N° 1:</t>
  </si>
  <si>
    <t>10 dias</t>
  </si>
  <si>
    <t>Secretaria de Deporte y Recreacion- Polideportivo Capital cito en calle: RAMON J. LUNA S/N San Fernando del Valle de Catamarca</t>
  </si>
  <si>
    <t>ALTA</t>
  </si>
  <si>
    <t>60 dias</t>
  </si>
  <si>
    <t>Especificidades Item N° 2:</t>
  </si>
  <si>
    <t>Pelota de futbol tipo Nassau Gemini, material PVC, cosida a mano, Nº5, uso semi profesional, tipo de superficie : cesped natural.</t>
  </si>
  <si>
    <t>Especificidades Item N° 3:</t>
  </si>
  <si>
    <t>Pelota de futbol tipo Goalty, material PU, cámara butyl, cosida a mano, Nº5, uso amateur, tipo de superficie : cesped natural.</t>
  </si>
  <si>
    <t>Especificidades Item N°5:</t>
  </si>
  <si>
    <t>Especificidades Item N°6:</t>
  </si>
  <si>
    <t>Especificidades Item N°7:</t>
  </si>
  <si>
    <t>Especificidades Item N°8:</t>
  </si>
  <si>
    <t>Especificidades Item N°9:</t>
  </si>
  <si>
    <t>Especificidades Item N°10:</t>
  </si>
  <si>
    <t>Especificidades Item N°11:</t>
  </si>
  <si>
    <t>Especificidades Item N°12:</t>
  </si>
  <si>
    <t>Especificidades Item N°13:</t>
  </si>
  <si>
    <t>Especificidades Item N°14:</t>
  </si>
  <si>
    <t>Especificidades Item N°15:</t>
  </si>
  <si>
    <t>Especificidades Item N°19:</t>
  </si>
  <si>
    <t>Trofeo de 100 cm, tres columnas, material plastico, base de marmol, con grabado</t>
  </si>
  <si>
    <t>Especificidades Item N°20:</t>
  </si>
  <si>
    <t>Trofeo de 120 cm, tres columnas, material plastico, base de marmol, con grabado</t>
  </si>
  <si>
    <t>Especificidades Item N°21:</t>
  </si>
  <si>
    <t>Trofeo de 130 cm, tres columnas, material plastico, base de marmol, con grabado</t>
  </si>
  <si>
    <t>Especificidades Item N°22:</t>
  </si>
  <si>
    <t>Medalla de 40 mm de diámetro, material zamac, color plateado a viejo, con grabado.</t>
  </si>
  <si>
    <t>Especificidades Item N°23:</t>
  </si>
  <si>
    <t>Medalla de 50 mm de diámetro, material zamac, color plateado a viejo, con grabado.</t>
  </si>
  <si>
    <t>Especificidades Item N°24:</t>
  </si>
  <si>
    <t>Medalla de 60 mm de diámetro, material zamac, color plateado a viejo, con grabado.</t>
  </si>
  <si>
    <t>Especificidades Item N°25:</t>
  </si>
  <si>
    <t>Medalla de 80 mm de diámetro, material zamac, color plateado a viejo, con grabado.</t>
  </si>
  <si>
    <t>Especificidades Item N°26:</t>
  </si>
  <si>
    <t>Bocha de hockey tipo Nassau, punteada , material PVC , nucleo hueco.</t>
  </si>
  <si>
    <t>Especificidades Item N°27:</t>
  </si>
  <si>
    <t>Pelota de basquet tipo Molten  GR6, Tamaño: N°6, Color: Naranja, Material: Caucho, Cámara: Butilo, Paneles: 12, Confección: Laminado</t>
  </si>
  <si>
    <t>Especificidades Item N°28:</t>
  </si>
  <si>
    <t>Pelotas de basquet N°7  tipo Molten GG7X, tamaño y peso oficiales Liga Nacional Basquet, Cuero compuesto premium, 12 paneles , camara Nylon enrollado butilo vejiga, Construcción Laminado, uso en interiores</t>
  </si>
  <si>
    <t>Especificidades Item N°29:</t>
  </si>
  <si>
    <t>Red de basquet tejido doble hilo, 4 mm, polietileno, el par</t>
  </si>
  <si>
    <t>Especificidades Item N°30:</t>
  </si>
  <si>
    <t>Pelota de basquet tipo Molten N° 5</t>
  </si>
  <si>
    <t>Especificidades Item N°31:</t>
  </si>
  <si>
    <t>Pelotas de voley, tipo Nassau Dynamic</t>
  </si>
  <si>
    <t>Especificidades Item N°32:</t>
  </si>
  <si>
    <t>Pelotas de voley tipo Molten VSM3500</t>
  </si>
  <si>
    <t>Especificidades Item N°33:</t>
  </si>
  <si>
    <t xml:space="preserve">Pelotas de Voley tipo Mi Kasa oficial, Federación Internacional Voley - FIVB </t>
  </si>
  <si>
    <t>Especificidades Item N°34:</t>
  </si>
  <si>
    <t>Red de voley con cable doble banda  PVC, malla 10 x10 polietileno</t>
  </si>
  <si>
    <t>Especificidades Item N°35:</t>
  </si>
  <si>
    <t>Red de voley con soga, banda arriba de PVC polietileno</t>
  </si>
  <si>
    <t>Especificidades Item N°36:</t>
  </si>
  <si>
    <t>Pelotas de rugby N° 5, tipo Nassau Drop</t>
  </si>
  <si>
    <t>Especificidades Item N°37:</t>
  </si>
  <si>
    <t>Pelotas de rugby N° 5, tipo Goalty Trainner</t>
  </si>
  <si>
    <t>Especificidades Item N°38:</t>
  </si>
  <si>
    <t>Flotador tipo tabla para natacion</t>
  </si>
  <si>
    <t>Especificidades Item N°39:</t>
  </si>
  <si>
    <t>Set para ciclismo infantil,  incluye casco, rodilleras, coderas y muñequeras</t>
  </si>
  <si>
    <t>Especificidades Item N°40:</t>
  </si>
  <si>
    <t>Casco para mountain bike, tipo adulto ,material plastico, con ventilaciones</t>
  </si>
  <si>
    <t>Especificidades Item N°3:</t>
  </si>
  <si>
    <t>Especificidades Item N°4:</t>
  </si>
  <si>
    <t xml:space="preserve">Conos tortuguitas de pvc </t>
  </si>
  <si>
    <t xml:space="preserve">45- Ministerio de Desarrollo Social </t>
  </si>
  <si>
    <t>TINTAS P/SELLOS; ENVASE: 30 CM3, COLOR: NEGRO, TIPO DE SELLO: DE GOMA, PRESENTACION: ENVASE X 30 CM3</t>
  </si>
  <si>
    <t>CORRECTORES DE ESCRITURA; CAPACIDAD: 7 mL, ENVASE: LAPIZ (PUNTA METAL), PRESENTACION: LAPIZ (PUNTA METAL) X 7 mL</t>
  </si>
  <si>
    <t>PERFORADORAS; DIST. ENTRE AGUJ.: FIJO, N° PERFORACIONES: 2, MATERIAL ESTRUCTURA: FUNDICION HIERRO BASE MADERA, GUIA POSICION PAPEL: CON, TAMAÑO: GRANDE, MATERIAL: FUNDICION HIERRO BASE MADERA</t>
  </si>
  <si>
    <t>LIBRERIA,PAP. Y UTILES OFICINA</t>
  </si>
  <si>
    <t>2.9.2-261.4</t>
  </si>
  <si>
    <t>ABROCHADORAS DE PAPEL; TIPO: PINZA, MATERIAL: SIN VALOR, P/BROCHES: 21/6, MEDIDA: 21/6</t>
  </si>
  <si>
    <t>2.9.2-262.40</t>
  </si>
  <si>
    <t>ADHESIVOS P/PAPEL; PRESENTACION: 50 mL, TIPO: SINTETICO TRANSPARENTE</t>
  </si>
  <si>
    <t>2.9.2-1428.44</t>
  </si>
  <si>
    <t>BANDAS ELASTICAS; DIAMETRO: 40 mm, PRESENTACION: ENVASE X 500 GR, ESPESOR: 1 mm</t>
  </si>
  <si>
    <t>2.9.2-1428.36</t>
  </si>
  <si>
    <t>BANDAS ELASTICAS; DIAMETRO: 1 Cm, PRESENTACION: ENVASE X 100 GR, ESPESOR: 1 Cm</t>
  </si>
  <si>
    <t>2.9.2-700.2</t>
  </si>
  <si>
    <t>BROCHES P/ABROCHADORA; NUMERO: 21/6, PRESENTACION: CAJA X 1000 UNIDADES</t>
  </si>
  <si>
    <t>2.9.2-700.28</t>
  </si>
  <si>
    <t>BROCHES P/ABROCHADORA; NUMERO: 10/50, PRESENTACION: CAJA X 1000 UNIDADES</t>
  </si>
  <si>
    <t>2.9.2-1153.166</t>
  </si>
  <si>
    <t>CINTAS ADHESIVAS; TIPO: P/EMBALAR, ANCHO: 48 mm, LARGO: 40 M, MATERIAL: TRANSPARENTE, ACCESORIO: SIN</t>
  </si>
  <si>
    <t>2.9.2-1611.19</t>
  </si>
  <si>
    <t>FOLIOS TRANSPARENTES; TAMAÑO: A4, PERFORACIONES: 5, MATERIAL: PLASTICO (POLIETILENO)</t>
  </si>
  <si>
    <t>2.9.2-1611.18</t>
  </si>
  <si>
    <t>FOLIOS TRANSPARENTES; TAMAÑO: OFICIO, PERFORACIONES: 5, MATERIAL: PLASTICO (POLIETILENO)</t>
  </si>
  <si>
    <t>2.9.2-848.20</t>
  </si>
  <si>
    <t>LAPIZ; TIPO: 2HB, COLOR: NEGRO</t>
  </si>
  <si>
    <t>2.9.2-858.7</t>
  </si>
  <si>
    <t>2.9.2-1450.2</t>
  </si>
  <si>
    <t>2.9.2-323.4</t>
  </si>
  <si>
    <t>2.9.2-872.52</t>
  </si>
  <si>
    <t>ANILLADOS; MATERIAL: PLASTICO, PASO: AMERICANO, DIAMETRO: 18 mm, LONG.DE CUERPO: 35,5 mm</t>
  </si>
  <si>
    <t>2.9.2-872.21</t>
  </si>
  <si>
    <t>ANILLADOS; MATERIAL: PLASTICO, PASO: AMERICANO, LONG.DE CUERPO: 35,5 Cm, DIAMETRO: 33 mm</t>
  </si>
  <si>
    <t>2.9.2-261.14</t>
  </si>
  <si>
    <t>ABROCHADORAS DE PAPEL; TIPO: PINZA, P/BROCHES: 10/50, MATERIAL: METALICA, MEDIDA: 10/50</t>
  </si>
  <si>
    <t>TAPAS PLASTICAS; TIPO: POLIPROPILENO, FORMATO: A4, PRESENTACION: ENVASE X 100 UN, GRAMAJE: 80 GR/M2</t>
  </si>
  <si>
    <t>2.9.2-1634.60</t>
  </si>
  <si>
    <t>2.9.2-1634.59</t>
  </si>
  <si>
    <t>TAPAS PLASTICAS; TIPO: POLIPROPILENO, FORMATO: OFICIO, PRESENTACION: ENVASE X 50 UN, GRAMAJE: 80 GR/M2</t>
  </si>
  <si>
    <t>2.9.6-401.2045</t>
  </si>
  <si>
    <t>REPUESTOS</t>
  </si>
  <si>
    <t>CARTUCHOS DE TONER; CODIGO: TN 1060, USO: BROTHER</t>
  </si>
  <si>
    <t>2.9.6-401.1563</t>
  </si>
  <si>
    <t>CARTUCHOS DE TONER; CODIGO: HP 85A, USO: HP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</si>
  <si>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</si>
  <si>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</si>
  <si>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PAPELES EN HOJA; TIPO DE PAPEL: EXTRA BLANCO, DIMENSION: A4, GRAMAJE: 80 GR, PRESENTACION: RESMA X 500 HOJAS, CERTIFICADO FORESTAL (GFS): SIN, PORC. FIBRAS RECICLADAS: 0 %, CERT. FIBRA ALTERNATIVA (FCA): SIN</t>
  </si>
  <si>
    <t>2.3.1-6563.1105</t>
  </si>
  <si>
    <t>2.9.2-317.17</t>
  </si>
  <si>
    <t>BOLIGRAFOS; TRAZO: GRUESO, COLOR TINTA: NEGRO</t>
  </si>
  <si>
    <t>2.3.1-6563.1077</t>
  </si>
  <si>
    <t>PAPELES EN HOJA; TIPO DE PAPEL: CARBONICO, DIMENSION: OFICIO, GRAMAJE: 30 GR/M2, PRESENTACION: ENVASE X 50 HOJAS, CERTIFICADO FORESTAL (GFS): SIN, PORC. FIBRAS RECICLADAS: 0 %, CERT. FIBRA ALTERNATIVA (FCA): SIN</t>
  </si>
  <si>
    <t>2.3.1-6563.833</t>
  </si>
  <si>
    <t>PAPELES EN HOJA; TIPO DE PAPEL: OBRA, DIMENSION: 21,6 X 35,6 Cm, GRAMAJE: 75 GR/M2, PRESENTACION: ENVASE X 500 HOJAS, CERTIFICADO FORESTAL (GFS): CON, PORC. FIBRAS RECICLADAS: 0 %</t>
  </si>
  <si>
    <t>Ministerio de Desarrollo Social - Division Licitaciones Compras y Patrimonio cito en calle: Avenida Republica de Venezuela - CAPE Pabellon N° 25 San Fernando del Valle de Catamarca</t>
  </si>
  <si>
    <t>05 dias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</si>
  <si>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</si>
  <si>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</si>
  <si>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</si>
  <si>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</si>
  <si>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</si>
  <si>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</si>
  <si>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</si>
  <si>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</si>
  <si>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</si>
  <si>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</si>
  <si>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</si>
  <si>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SI</t>
  </si>
  <si>
    <t>2.9.2-674.22</t>
  </si>
  <si>
    <t>REGLAS GRADUADAS; TIPO: PLANA, LONG.DE CUERPO: 30 Cm, MATERIAL: ACRILICO</t>
  </si>
  <si>
    <t>Especificidades Item N° 27:</t>
  </si>
  <si>
    <t>2.9.2</t>
  </si>
  <si>
    <t>Especificidades Item N° 28:</t>
  </si>
  <si>
    <t>Especificidades Item N° 29:</t>
  </si>
  <si>
    <t>Especificidades Item N° 30:</t>
  </si>
  <si>
    <t>Especificidades Item N° 31:</t>
  </si>
  <si>
    <t>2.9.2-1062.12</t>
  </si>
  <si>
    <t>PAPELES ANOTADOR AUTOADHESIVOS; PRESENTACION: 100 HOJAS, LARGO X ANCHO: 76 X 76 mm</t>
  </si>
  <si>
    <t>2.9.2-696.18</t>
  </si>
  <si>
    <t>SACAPUNTAS; MATERIAL: PLASTICO, FIJACION: SIN, NUMERO: UNIVERSAL, CANTIDAD DE BOCAS: 1, TIPO: ESCOLAR</t>
  </si>
  <si>
    <t>Especificidades Item N° 32:</t>
  </si>
  <si>
    <t>2.3.1-6587.276</t>
  </si>
  <si>
    <t>PAPELES ENCUADERNADOS; CANT. DE HOJAS: 80 HOJAS, TAMAÑO: A4, TIPO: BLOCK, CERTIFICADO FORESTAL (GFS): SIN, PORC. FIBRAS RECICLADAS: 0 %</t>
  </si>
  <si>
    <t xml:space="preserve">PAPELES ENCUADERNADOS; CANT. DE HOJAS: 80 HOJAS, TAMAÑO: A4, TIPO: BLOCK, RAYADO TAPA DURA </t>
  </si>
  <si>
    <t>2.9.2-5042.36</t>
  </si>
  <si>
    <t>HERRAMIENTAS</t>
  </si>
  <si>
    <t>TIJERA; USO: P/PAPEL, MATERIAL: ACERO INOXIDABLE, LONG.DE CUERPO: 17 Cm</t>
  </si>
  <si>
    <t>2.9.2-1358.353</t>
  </si>
  <si>
    <t>CARPETAS; MATERIAL PLASTICO - TAMAÑO A4.</t>
  </si>
  <si>
    <t>2.9.2-1358.354</t>
  </si>
  <si>
    <t>CARPETAS; MATERIAL PLASTICO - TAMAÑO OFICIO.</t>
  </si>
  <si>
    <t>Especificidades Item N° 33:</t>
  </si>
  <si>
    <t>2.3.1-6563.967</t>
  </si>
  <si>
    <t>PAPELES EN HOJA; TIPO DE PAPEL: CARTULINA, DIMENSION: 74 X 110 Cm, GRAMAJE: 120 GR, PRESENTACION: UNIDAD, CERTIFICADO FORESTAL (GFS): SIN, PORC. FIBRAS RECICLADAS: 0 %, CERT. FIBRA ALTERNATIVA (FCA): 0 %</t>
  </si>
  <si>
    <t>PAPELES EN HOJA; TIPO DE PAPEL: CARTULINA, DIMENSION: 74 X 110 Cm, GRAMAJE: 120 GR, PRESENTACION: UNIDAD, COLOR AMARILLO</t>
  </si>
  <si>
    <t>Especificidades Item N° 34:</t>
  </si>
  <si>
    <t>Especificidades Item N° 35:</t>
  </si>
  <si>
    <t>Especificidades Item N° 36:</t>
  </si>
  <si>
    <t>Especificidades Item N° 37:</t>
  </si>
  <si>
    <t xml:space="preserve"> PAPELES EN HOJA  OBRA 21,6 X 35,6 Cm, 75 GR/M2, PRESENTACION: ENVASE X 500 HOJAS, COLOR CELESTE</t>
  </si>
  <si>
    <t>PAPELES EN HOJA  OBRA 21,6 X 35,6 Cm, 75 GR/M2, PRESENTACION: ENVASE X 500 HOJAS, COLOR AMARILLO</t>
  </si>
  <si>
    <t>PAPELES EN HOJA  OBRA 21,6 X 35,6 Cm, 75 GR/M2, PRESENTACION: ENVASE X 500 HOJAS, COLOR ROSADO</t>
  </si>
  <si>
    <t>Papel de Escritorio y Carton</t>
  </si>
  <si>
    <t>Utiles de Escritorio, Oficina y Enseñanza</t>
  </si>
  <si>
    <t>2.9.2-661.43</t>
  </si>
  <si>
    <t>GOMAS DE BORRAR; USO: LAPIZ Y TINTA, DIMENSION: 42 X 18 X 10 mm, MATERIAL: CAUCHO, PRESENTACION: ENVASE X 40 UN</t>
  </si>
  <si>
    <t>2.9.2-848.21</t>
  </si>
  <si>
    <t>LAPIZ; TIPO: CAJA X 24, COLOR: VARIADOS</t>
  </si>
  <si>
    <t>2.9.2-1954.1</t>
  </si>
  <si>
    <t>BORRADORES; MATERIAL: PLASTICO - FIBRA, TIPO: PARA MARCADOR</t>
  </si>
  <si>
    <t>2.9.2-1616.128</t>
  </si>
  <si>
    <t>MARCADORES; TIPO PARA PIZARRA - TRAZO GRUESO - PUNTA REDONDA - RECARGABLE NO</t>
  </si>
  <si>
    <t>2.9.2-5457.11</t>
  </si>
  <si>
    <t>ANOTADORES; TAMAÑO: 15 X 21 Cm, TIPO: RAYADO</t>
  </si>
  <si>
    <t>2.9.2-660.7</t>
  </si>
  <si>
    <t>CLIPS P/PAPEL; NUMERO: 5, MATERIAL: METAL, CANT. X CAJA: 50, PRESENTACION: CAJA X 50</t>
  </si>
  <si>
    <t>2.9.2-1358.121</t>
  </si>
  <si>
    <t>CARPETAS; MATERIAL: POLIPROPILENO, COLOR: MARRON, TAMAÑO: OFICIO, TIPO: TRES SOLAPAS Y BANDA ELASTICA, PRESENTACION: SIN VALOR, MEMBRETE: SIN, LENGÜETA: SIN, SUJECION: SIN VALOR</t>
  </si>
  <si>
    <t>2.9.2-1354.22</t>
  </si>
  <si>
    <t>RESALTADORES; ACCESORIO SIN - TIPO PUNTA 5 (CHANFLEADA) mm</t>
  </si>
  <si>
    <t>Especificidades Item N° 38:</t>
  </si>
  <si>
    <t>Especificidades Item N° 39:</t>
  </si>
  <si>
    <t>2.9.2-661.45</t>
  </si>
  <si>
    <t>GOMAS DE BORRAR; USO: LAPIZ, DIMENSION: 20 X 30 X 8 mm, MATERIAL: CAUCHO, PRESENTACION: ENVASE X 40 UN</t>
  </si>
  <si>
    <t>2.9.2-674.28</t>
  </si>
  <si>
    <t>REGLAS GRADUADAS; TIPO: PLANA, MATERIAL: PLASTICO, LONG.DE CUERPO: 15 Cm</t>
  </si>
  <si>
    <t>2.9.2-850.206</t>
  </si>
  <si>
    <t>CAJAS DE ARCHIVO; MATERIAL: PLASTICO CORRUGADO, DIMENSION: 39 X 28 X 12 Cm</t>
  </si>
  <si>
    <t>2.9.2-5042.40</t>
  </si>
  <si>
    <t>TIJERA; USO: CORTE, MATERIAL: ACERO INOXIDABLE, LONG.DE CUERPO: 21 Cm</t>
  </si>
  <si>
    <t>Especificidades Item N° 40:</t>
  </si>
  <si>
    <t>Especificidades Item N° 41:</t>
  </si>
  <si>
    <t>Especificidades Item N° 42:</t>
  </si>
  <si>
    <t>Especificidades Item N° 43:</t>
  </si>
  <si>
    <t>Especificidades Item N° 44:</t>
  </si>
  <si>
    <t>Especificidades Item N° 45:</t>
  </si>
  <si>
    <t>Especificidades Item N° 46:</t>
  </si>
  <si>
    <t>Especificidades Item N° 47:</t>
  </si>
  <si>
    <t>Especificidades Item N° 48:</t>
  </si>
  <si>
    <t>Especificidades Item N° 49:</t>
  </si>
  <si>
    <t>Especificidades Item N°50:</t>
  </si>
  <si>
    <t>Especificidades Item N° 51:</t>
  </si>
  <si>
    <t>Especificidades Item N° 52:</t>
  </si>
  <si>
    <t>Especificidades Item N° 53:</t>
  </si>
  <si>
    <t>RESALTADORES; ACCESORIO SIN - TIPO PUNTA 5 (CHANFLEADA) mm - COLOR NARANJA</t>
  </si>
  <si>
    <t>RESALTADORES; ACCESORIO SIN - TIPO PUNTA 5 (CHANFLEADA) mm - COLOR AMARILLO</t>
  </si>
  <si>
    <t>RESALTADORES; ACCESORIO SIN - TIPO PUNTA 5 (CHANFLEADA) mm - COLOR ROSADO</t>
  </si>
  <si>
    <t>2.9.2-317.5</t>
  </si>
  <si>
    <t>BOLIGRAFOS; TRAZO 1,0mm</t>
  </si>
  <si>
    <t>Especificidades Item N° 54:</t>
  </si>
  <si>
    <t>2.9.2-317.32</t>
  </si>
  <si>
    <t>BOLIGRAFOS; TRAZO: 0,8 mm</t>
  </si>
  <si>
    <t>BOLIGRAFOS; TRAZO: 0,8 mm Color Rojo</t>
  </si>
  <si>
    <t>BOLIGRAFOS; TRAZO 1,0mm color azul</t>
  </si>
  <si>
    <t>Especificidades Item N° 55:</t>
  </si>
  <si>
    <t>Especificidades Item N° 56:</t>
  </si>
  <si>
    <t xml:space="preserve"> PAPELES EN HOJA  OBRA 21,6 X 35,6 Cm, 75 GR/M2, PRESENTACION: ENVASE X 500 HOJAS, COLORE VERDE </t>
  </si>
  <si>
    <t>BOLIGRAFOS; TRAZO: 0,8 mm Color Azul</t>
  </si>
  <si>
    <t>BOLIGRAFOS; TRAZO: 0,8 mm Color Negro</t>
  </si>
  <si>
    <t>2.3.1-6586.182</t>
  </si>
  <si>
    <t>PAPELES EN ROLLO; TIPO DE PAPEL: TERMICO, LONGITUD: SIN VALOR, ANCHO: SIN VALOR, CERTIFICADO FORESTAL (GFS): SIN VALOR, PORC. FIBRAS RECICLADAS: SIN VALOR</t>
  </si>
  <si>
    <t>2.3.1-6587.353</t>
  </si>
  <si>
    <t>PAPELES ENCUADERNADOS; CANT. DE HOJAS: 80 HOJAS, TAMAÑO: A4, TIPO: ESPIRALADO CUADRICULADO, CERTIFICADO FORESTAL (GFS): SIN, PORC. FIBRAS RECICLADAS: 0 %, CERT. FIBRA ALTERNATIVA (FCA): SIN</t>
  </si>
  <si>
    <t>177/2022</t>
  </si>
  <si>
    <t xml:space="preserve">01 - Ministerio Desarrollo Social </t>
  </si>
  <si>
    <t>PAPELES ANOTADOR AUTOADHESIVOS; PRESENTACION: 100 HOJAS, LARGO X ANCHO: 76 X 76 mm - COLOR AMARILLO</t>
  </si>
  <si>
    <t>MARCADORES; TIPO PARA PIZARRA - TRAZO GRUESO - PUNTA REDONDA - RECARGABLE NO - COLOR: NEGRO</t>
  </si>
  <si>
    <t>CAJAS DE ARCHIVO; MATERIAL: PLASTICO CORRUGADO, DIMENSION: 39 X 28 X 12 Cm - COLOR: AZUL</t>
  </si>
  <si>
    <t>PAPELES EN ROLLO; TIPO DE PAPEL: TERMICO, 80X60  X 50 GRS - COLOR: BLANCO</t>
  </si>
  <si>
    <t>CARTUCHOS DE TONER; CODIGO: HP 85A, USO: HP (ALTERNATIVO) - COLOR: NEGRO</t>
  </si>
  <si>
    <t>CARTUCHOS DE TONER; CODIGO: TN 1060, USO: BROTHER (ALTERNATIVO) - COLOR: NEGRO</t>
  </si>
  <si>
    <t>ANOTADORES; TAMAÑO: 15 X 21 Cm, TIPO: RAYADO (80 HOJAS)</t>
  </si>
  <si>
    <t>CARPETAS; MATERIAL PLASTICO - TAMAÑO A4 - BASE OPACA - TAPA TRANSPARENTE - COLOR NEGRO</t>
  </si>
  <si>
    <t>CARPETAS; MATERIAL PLASTICO - TAMAÑO OFICIO - BASE OPACA - TAPA TRANSPARENTE - COLOR: NEGRO</t>
  </si>
  <si>
    <t>2.9.6</t>
  </si>
  <si>
    <t xml:space="preserve">Adquisicion de Articulos de Librería destinados a las distintas oficinas dependientes del Ministerio de Desarrollo Social </t>
  </si>
  <si>
    <r>
      <t xml:space="preserve">Costo total estimado:  TRES MILLONES CIENTO DOS MIL CUATROCIENTOS DOCE </t>
    </r>
    <r>
      <rPr>
        <b/>
        <sz val="10"/>
        <rFont val="Times New Roman"/>
        <family val="1"/>
      </rPr>
      <t xml:space="preserve"> CON 60/100.-</t>
    </r>
  </si>
  <si>
    <t>TOTAL DE PESOS: TRES MILLONES CIENTO DOS MIL CUATROCIENTOS DOCE  CON 60/100.-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</si>
</sst>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9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9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0" xfId="0" applyBorder="1"/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0" xfId="0" applyFont="1" applyBorder="1"/>
    <xf numFmtId="0" fontId="16" fillId="0" borderId="9" xfId="0" applyFont="1" applyBorder="1"/>
    <xf numFmtId="0" fontId="21" fillId="0" borderId="8" xfId="0" applyFont="1" applyBorder="1" applyAlignment="1">
      <alignment horizontal="left" indent="3"/>
    </xf>
    <xf numFmtId="0" fontId="16" fillId="0" borderId="8" xfId="0" applyFont="1" applyBorder="1" applyAlignment="1">
      <alignment horizontal="left" indent="3"/>
    </xf>
    <xf numFmtId="0" fontId="16" fillId="0" borderId="10" xfId="0" applyFont="1" applyBorder="1" applyAlignment="1">
      <alignment horizontal="left" indent="3"/>
    </xf>
    <xf numFmtId="0" fontId="0" fillId="0" borderId="0" xfId="0"/>
    <xf numFmtId="166" fontId="16" fillId="0" borderId="0" xfId="0" applyNumberFormat="1" applyFont="1"/>
    <xf numFmtId="167" fontId="16" fillId="0" borderId="0" xfId="0" applyNumberFormat="1" applyFont="1"/>
    <xf numFmtId="0" fontId="0" fillId="0" borderId="55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15" fillId="0" borderId="56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166" fontId="15" fillId="0" borderId="58" xfId="3" applyNumberFormat="1" applyFont="1" applyBorder="1" applyAlignment="1" applyProtection="1">
      <alignment horizontal="center" vertical="center"/>
    </xf>
    <xf numFmtId="166" fontId="15" fillId="0" borderId="54" xfId="3" applyNumberFormat="1" applyFont="1" applyBorder="1" applyAlignment="1" applyProtection="1">
      <alignment horizontal="center" vertical="center"/>
    </xf>
    <xf numFmtId="167" fontId="2" fillId="0" borderId="0" xfId="0" applyNumberFormat="1" applyFont="1" applyBorder="1" applyAlignment="1">
      <alignment vertical="center"/>
    </xf>
    <xf numFmtId="0" fontId="28" fillId="0" borderId="24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5" fillId="0" borderId="0" xfId="0" applyFont="1"/>
    <xf numFmtId="166" fontId="25" fillId="0" borderId="0" xfId="0" applyNumberFormat="1" applyFont="1"/>
    <xf numFmtId="166" fontId="15" fillId="0" borderId="0" xfId="0" applyNumberFormat="1" applyFont="1" applyAlignment="1">
      <alignment horizontal="right"/>
    </xf>
    <xf numFmtId="166" fontId="15" fillId="0" borderId="0" xfId="0" applyNumberFormat="1" applyFont="1"/>
    <xf numFmtId="0" fontId="26" fillId="0" borderId="59" xfId="0" applyFont="1" applyBorder="1" applyAlignment="1">
      <alignment horizontal="center" vertical="center"/>
    </xf>
    <xf numFmtId="0" fontId="29" fillId="0" borderId="67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center" vertical="center" wrapText="1"/>
    </xf>
    <xf numFmtId="3" fontId="4" fillId="0" borderId="22" xfId="0" applyNumberFormat="1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16" fillId="0" borderId="0" xfId="0" applyFont="1" applyFill="1" applyBorder="1"/>
    <xf numFmtId="0" fontId="16" fillId="0" borderId="9" xfId="0" applyFont="1" applyFill="1" applyBorder="1"/>
    <xf numFmtId="0" fontId="16" fillId="0" borderId="0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center" wrapText="1"/>
    </xf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/>
    <xf numFmtId="0" fontId="16" fillId="0" borderId="6" xfId="0" applyFont="1" applyFill="1" applyBorder="1"/>
    <xf numFmtId="0" fontId="16" fillId="0" borderId="7" xfId="0" applyFont="1" applyFill="1" applyBorder="1"/>
    <xf numFmtId="166" fontId="15" fillId="0" borderId="67" xfId="1" applyNumberFormat="1" applyFont="1" applyFill="1" applyBorder="1" applyAlignment="1" applyProtection="1">
      <alignment horizontal="center" vertical="center" wrapText="1"/>
    </xf>
    <xf numFmtId="166" fontId="15" fillId="0" borderId="66" xfId="1" applyNumberFormat="1" applyFont="1" applyFill="1" applyBorder="1" applyAlignment="1" applyProtection="1">
      <alignment horizontal="center" vertical="center" wrapText="1"/>
    </xf>
    <xf numFmtId="166" fontId="15" fillId="0" borderId="3" xfId="1" applyNumberFormat="1" applyFont="1" applyFill="1" applyBorder="1" applyAlignment="1" applyProtection="1">
      <alignment horizontal="center" vertical="center" wrapText="1"/>
    </xf>
    <xf numFmtId="166" fontId="15" fillId="0" borderId="65" xfId="1" applyNumberFormat="1" applyFont="1" applyFill="1" applyBorder="1" applyAlignment="1" applyProtection="1">
      <alignment horizontal="center" vertical="center" wrapText="1"/>
    </xf>
    <xf numFmtId="166" fontId="26" fillId="0" borderId="3" xfId="1" applyNumberFormat="1" applyFont="1" applyFill="1" applyBorder="1" applyAlignment="1" applyProtection="1">
      <alignment horizontal="center" vertical="center" wrapText="1"/>
    </xf>
    <xf numFmtId="166" fontId="15" fillId="0" borderId="48" xfId="1" applyNumberFormat="1" applyFont="1" applyFill="1" applyBorder="1" applyAlignment="1" applyProtection="1">
      <alignment horizontal="center" vertical="center" wrapText="1"/>
    </xf>
    <xf numFmtId="166" fontId="15" fillId="0" borderId="77" xfId="1" applyNumberFormat="1" applyFont="1" applyFill="1" applyBorder="1" applyAlignment="1" applyProtection="1">
      <alignment horizontal="center" vertical="center" wrapText="1"/>
    </xf>
    <xf numFmtId="166" fontId="15" fillId="0" borderId="4" xfId="1" applyNumberFormat="1" applyFont="1" applyFill="1" applyBorder="1" applyAlignment="1" applyProtection="1">
      <alignment horizontal="center" vertical="center" wrapText="1"/>
    </xf>
    <xf numFmtId="166" fontId="15" fillId="0" borderId="76" xfId="1" applyNumberFormat="1" applyFont="1" applyFill="1" applyBorder="1" applyAlignment="1" applyProtection="1">
      <alignment horizontal="center" vertical="center" wrapText="1"/>
    </xf>
    <xf numFmtId="0" fontId="26" fillId="0" borderId="67" xfId="0" applyFont="1" applyBorder="1" applyAlignment="1">
      <alignment horizontal="left" vertical="center"/>
    </xf>
    <xf numFmtId="0" fontId="26" fillId="0" borderId="69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/>
    </xf>
    <xf numFmtId="0" fontId="26" fillId="0" borderId="60" xfId="0" applyFont="1" applyBorder="1" applyAlignment="1">
      <alignment horizontal="left" vertical="center"/>
    </xf>
    <xf numFmtId="0" fontId="26" fillId="0" borderId="48" xfId="0" applyFont="1" applyBorder="1" applyAlignment="1">
      <alignment horizontal="left" vertical="center" wrapText="1"/>
    </xf>
    <xf numFmtId="0" fontId="26" fillId="0" borderId="64" xfId="0" applyFont="1" applyBorder="1" applyAlignment="1">
      <alignment horizontal="left" vertical="center"/>
    </xf>
    <xf numFmtId="0" fontId="26" fillId="0" borderId="6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 wrapText="1"/>
    </xf>
    <xf numFmtId="0" fontId="26" fillId="0" borderId="48" xfId="0" applyFont="1" applyBorder="1" applyAlignment="1">
      <alignment horizontal="left" vertical="center"/>
    </xf>
    <xf numFmtId="0" fontId="26" fillId="0" borderId="70" xfId="0" applyFont="1" applyBorder="1" applyAlignment="1">
      <alignment horizontal="left" vertical="center"/>
    </xf>
    <xf numFmtId="0" fontId="26" fillId="0" borderId="61" xfId="0" applyFont="1" applyBorder="1" applyAlignment="1">
      <alignment horizontal="left" vertical="center" wrapText="1"/>
    </xf>
    <xf numFmtId="0" fontId="26" fillId="0" borderId="68" xfId="0" applyFont="1" applyBorder="1" applyAlignment="1">
      <alignment horizontal="left" vertical="center"/>
    </xf>
    <xf numFmtId="0" fontId="26" fillId="0" borderId="68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/>
    </xf>
    <xf numFmtId="0" fontId="26" fillId="0" borderId="63" xfId="0" applyFont="1" applyBorder="1" applyAlignment="1">
      <alignment horizontal="left" vertical="center"/>
    </xf>
    <xf numFmtId="0" fontId="26" fillId="0" borderId="71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/>
    </xf>
    <xf numFmtId="0" fontId="15" fillId="0" borderId="70" xfId="0" applyFont="1" applyBorder="1" applyAlignment="1">
      <alignment horizontal="left" vertical="center"/>
    </xf>
    <xf numFmtId="0" fontId="15" fillId="0" borderId="70" xfId="0" applyFont="1" applyBorder="1" applyAlignment="1">
      <alignment horizontal="left" vertical="center" wrapText="1"/>
    </xf>
    <xf numFmtId="0" fontId="15" fillId="0" borderId="7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72" xfId="0" applyFont="1" applyBorder="1" applyAlignment="1">
      <alignment horizontal="left" vertical="center" wrapText="1"/>
    </xf>
    <xf numFmtId="166" fontId="4" fillId="0" borderId="22" xfId="1" applyNumberFormat="1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4" fillId="0" borderId="2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 inden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 wrapText="1" indent="1"/>
    </xf>
    <xf numFmtId="0" fontId="8" fillId="0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wrapText="1" indent="1"/>
    </xf>
    <xf numFmtId="0" fontId="6" fillId="0" borderId="75" xfId="0" applyFont="1" applyFill="1" applyBorder="1" applyAlignment="1">
      <alignment horizontal="left" vertical="center" wrapText="1" indent="1"/>
    </xf>
    <xf numFmtId="0" fontId="6" fillId="0" borderId="25" xfId="0" applyFont="1" applyFill="1" applyBorder="1" applyAlignment="1">
      <alignment horizontal="left" vertical="center" wrapText="1" indent="1"/>
    </xf>
    <xf numFmtId="167" fontId="23" fillId="0" borderId="24" xfId="0" applyNumberFormat="1" applyFont="1" applyFill="1" applyBorder="1" applyAlignment="1">
      <alignment horizontal="center" vertical="center"/>
    </xf>
    <xf numFmtId="167" fontId="23" fillId="0" borderId="25" xfId="0" applyNumberFormat="1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2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/>
    </xf>
    <xf numFmtId="0" fontId="12" fillId="0" borderId="27" xfId="0" applyFont="1" applyBorder="1"/>
    <xf numFmtId="0" fontId="12" fillId="0" borderId="28" xfId="0" applyFont="1" applyBorder="1" applyAlignment="1">
      <alignment horizontal="left" vertical="center" wrapText="1" indent="1"/>
    </xf>
    <xf numFmtId="0" fontId="14" fillId="0" borderId="2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5" fillId="0" borderId="56" xfId="0" applyFont="1" applyBorder="1" applyAlignment="1">
      <alignment horizontal="left" vertical="center" wrapText="1"/>
    </xf>
    <xf numFmtId="0" fontId="0" fillId="0" borderId="56" xfId="0" applyFont="1" applyBorder="1" applyAlignment="1">
      <alignment horizontal="left" vertical="center" wrapText="1"/>
    </xf>
    <xf numFmtId="0" fontId="15" fillId="0" borderId="73" xfId="0" applyFont="1" applyBorder="1" applyAlignment="1">
      <alignment horizontal="left" vertical="center" wrapText="1"/>
    </xf>
    <xf numFmtId="0" fontId="0" fillId="0" borderId="74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4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5" fillId="0" borderId="44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0" fillId="0" borderId="26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CION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90"/>
  <sheetViews>
    <sheetView tabSelected="1" topLeftCell="A53" zoomScaleNormal="100" workbookViewId="0">
      <selection activeCell="E26" sqref="E26"/>
    </sheetView>
  </sheetViews>
  <sheetFormatPr baseColWidth="10" defaultColWidth="11" defaultRowHeight="12.75" x14ac:dyDescent="0.2"/>
  <cols>
    <col min="1" max="1" width="4.5703125" style="32" customWidth="1"/>
    <col min="2" max="2" width="27.28515625" style="32" bestFit="1" customWidth="1"/>
    <col min="3" max="3" width="32.5703125" style="32" customWidth="1"/>
    <col min="4" max="4" width="6.28515625" style="32" customWidth="1"/>
    <col min="5" max="5" width="123.140625" style="32" customWidth="1"/>
    <col min="6" max="6" width="10.5703125" style="32" bestFit="1" customWidth="1"/>
    <col min="7" max="7" width="11" style="32" customWidth="1"/>
    <col min="8" max="8" width="13.28515625" style="32" customWidth="1"/>
    <col min="9" max="9" width="15.7109375" style="32" bestFit="1" customWidth="1"/>
    <col min="10" max="10" width="11" style="32"/>
    <col min="11" max="11" width="19.42578125" style="32" customWidth="1"/>
    <col min="12" max="12" width="13.28515625" style="32" customWidth="1"/>
    <col min="13" max="16384" width="11" style="32"/>
  </cols>
  <sheetData>
    <row r="2" spans="1:12" ht="27" x14ac:dyDescent="0.35">
      <c r="B2" s="141" t="s">
        <v>0</v>
      </c>
      <c r="C2" s="141"/>
      <c r="D2" s="141"/>
      <c r="E2" s="141"/>
      <c r="F2" s="141"/>
      <c r="G2" s="141"/>
      <c r="H2" s="141"/>
    </row>
    <row r="4" spans="1:12" ht="18" customHeight="1" x14ac:dyDescent="0.25">
      <c r="A4" s="142" t="s">
        <v>1</v>
      </c>
      <c r="B4" s="142"/>
      <c r="C4" s="143" t="s">
        <v>129</v>
      </c>
      <c r="D4" s="143"/>
      <c r="E4" s="143"/>
      <c r="F4" s="33"/>
      <c r="G4" s="34"/>
      <c r="H4" s="33"/>
    </row>
    <row r="5" spans="1:12" ht="18" customHeight="1" x14ac:dyDescent="0.25">
      <c r="A5" s="142" t="s">
        <v>2</v>
      </c>
      <c r="B5" s="142"/>
      <c r="C5" s="143" t="s">
        <v>57</v>
      </c>
      <c r="D5" s="143"/>
      <c r="E5" s="143"/>
      <c r="F5" s="33"/>
      <c r="G5" s="34"/>
      <c r="H5" s="33"/>
    </row>
    <row r="6" spans="1:12" ht="16.5" customHeight="1" x14ac:dyDescent="0.25">
      <c r="A6" s="142" t="s">
        <v>3</v>
      </c>
      <c r="B6" s="142"/>
      <c r="C6" s="86">
        <v>2022</v>
      </c>
      <c r="D6" s="87"/>
      <c r="E6" s="87"/>
      <c r="F6" s="33"/>
      <c r="G6" s="34"/>
      <c r="H6" s="33"/>
    </row>
    <row r="7" spans="1:12" ht="16.5" customHeight="1" x14ac:dyDescent="0.25">
      <c r="A7" s="142" t="s">
        <v>4</v>
      </c>
      <c r="B7" s="142"/>
      <c r="C7" s="86">
        <v>2</v>
      </c>
      <c r="D7" s="87"/>
      <c r="E7" s="87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" thickBot="1" x14ac:dyDescent="0.25">
      <c r="A9" s="55" t="s">
        <v>5</v>
      </c>
      <c r="B9" s="56" t="s">
        <v>6</v>
      </c>
      <c r="C9" s="56" t="s">
        <v>7</v>
      </c>
      <c r="D9" s="57" t="s">
        <v>8</v>
      </c>
      <c r="E9" s="56" t="s">
        <v>9</v>
      </c>
      <c r="F9" s="58" t="s">
        <v>10</v>
      </c>
      <c r="G9" s="59" t="s">
        <v>11</v>
      </c>
      <c r="H9" s="59" t="s">
        <v>12</v>
      </c>
      <c r="I9" s="60" t="s">
        <v>13</v>
      </c>
    </row>
    <row r="10" spans="1:12" ht="15.75" customHeight="1" x14ac:dyDescent="0.2">
      <c r="A10" s="68">
        <v>1</v>
      </c>
      <c r="B10" s="108" t="s">
        <v>146</v>
      </c>
      <c r="C10" s="109" t="s">
        <v>133</v>
      </c>
      <c r="D10" s="61" t="str">
        <f>LEFT(B10,5)</f>
        <v>2.9.2</v>
      </c>
      <c r="E10" s="110" t="s">
        <v>147</v>
      </c>
      <c r="F10" s="69" t="s">
        <v>14</v>
      </c>
      <c r="G10" s="69">
        <v>300</v>
      </c>
      <c r="H10" s="99">
        <v>226.38</v>
      </c>
      <c r="I10" s="100">
        <f>+G10*H10</f>
        <v>67914</v>
      </c>
      <c r="K10" s="45"/>
      <c r="L10" s="45"/>
    </row>
    <row r="11" spans="1:12" x14ac:dyDescent="0.2">
      <c r="A11" s="70">
        <v>2</v>
      </c>
      <c r="B11" s="111" t="s">
        <v>155</v>
      </c>
      <c r="C11" s="111" t="s">
        <v>133</v>
      </c>
      <c r="D11" s="62" t="str">
        <f t="shared" ref="D11:D65" si="0">LEFT(B11,5)</f>
        <v>2.9.2</v>
      </c>
      <c r="E11" s="110" t="s">
        <v>130</v>
      </c>
      <c r="F11" s="71" t="s">
        <v>14</v>
      </c>
      <c r="G11" s="71">
        <v>60</v>
      </c>
      <c r="H11" s="101">
        <v>616</v>
      </c>
      <c r="I11" s="102">
        <f t="shared" ref="I11:I65" si="1">+G11*H11</f>
        <v>36960</v>
      </c>
      <c r="K11" s="45"/>
      <c r="L11" s="45"/>
    </row>
    <row r="12" spans="1:12" x14ac:dyDescent="0.2">
      <c r="A12" s="70">
        <v>3</v>
      </c>
      <c r="B12" s="112" t="s">
        <v>148</v>
      </c>
      <c r="C12" s="112" t="s">
        <v>133</v>
      </c>
      <c r="D12" s="62" t="str">
        <f t="shared" si="0"/>
        <v>2.9.2</v>
      </c>
      <c r="E12" s="113" t="s">
        <v>149</v>
      </c>
      <c r="F12" s="71" t="s">
        <v>14</v>
      </c>
      <c r="G12" s="71">
        <v>300</v>
      </c>
      <c r="H12" s="101">
        <v>21</v>
      </c>
      <c r="I12" s="102">
        <f t="shared" si="1"/>
        <v>6300</v>
      </c>
      <c r="K12" s="45"/>
      <c r="L12" s="45"/>
    </row>
    <row r="13" spans="1:12" x14ac:dyDescent="0.2">
      <c r="A13" s="70">
        <v>4</v>
      </c>
      <c r="B13" s="112" t="s">
        <v>150</v>
      </c>
      <c r="C13" s="112" t="s">
        <v>133</v>
      </c>
      <c r="D13" s="62" t="str">
        <f t="shared" si="0"/>
        <v>2.9.2</v>
      </c>
      <c r="E13" s="113" t="s">
        <v>151</v>
      </c>
      <c r="F13" s="71" t="s">
        <v>14</v>
      </c>
      <c r="G13" s="72">
        <v>300</v>
      </c>
      <c r="H13" s="101">
        <v>20.3</v>
      </c>
      <c r="I13" s="102">
        <f t="shared" si="1"/>
        <v>6090</v>
      </c>
      <c r="K13" s="45"/>
      <c r="L13" s="45"/>
    </row>
    <row r="14" spans="1:12" x14ac:dyDescent="0.2">
      <c r="A14" s="70">
        <v>5</v>
      </c>
      <c r="B14" s="112" t="s">
        <v>156</v>
      </c>
      <c r="C14" s="112" t="s">
        <v>133</v>
      </c>
      <c r="D14" s="62" t="str">
        <f t="shared" si="0"/>
        <v>2.9.2</v>
      </c>
      <c r="E14" s="113" t="s">
        <v>131</v>
      </c>
      <c r="F14" s="71" t="s">
        <v>14</v>
      </c>
      <c r="G14" s="72">
        <v>180</v>
      </c>
      <c r="H14" s="101">
        <v>204.4</v>
      </c>
      <c r="I14" s="102">
        <f t="shared" si="1"/>
        <v>36792</v>
      </c>
      <c r="K14" s="45"/>
      <c r="L14" s="45"/>
    </row>
    <row r="15" spans="1:12" ht="25.5" x14ac:dyDescent="0.2">
      <c r="A15" s="70">
        <v>6</v>
      </c>
      <c r="B15" s="111" t="s">
        <v>154</v>
      </c>
      <c r="C15" s="111" t="s">
        <v>133</v>
      </c>
      <c r="D15" s="62" t="str">
        <f t="shared" si="0"/>
        <v>2.9.2</v>
      </c>
      <c r="E15" s="110" t="s">
        <v>132</v>
      </c>
      <c r="F15" s="71" t="s">
        <v>14</v>
      </c>
      <c r="G15" s="72">
        <v>20</v>
      </c>
      <c r="H15" s="101">
        <v>5178.6000000000004</v>
      </c>
      <c r="I15" s="102">
        <f t="shared" si="1"/>
        <v>103572</v>
      </c>
      <c r="K15" s="45"/>
      <c r="L15" s="45"/>
    </row>
    <row r="16" spans="1:12" ht="25.5" x14ac:dyDescent="0.2">
      <c r="A16" s="70">
        <v>7</v>
      </c>
      <c r="B16" s="111" t="s">
        <v>178</v>
      </c>
      <c r="C16" s="111" t="s">
        <v>133</v>
      </c>
      <c r="D16" s="62" t="str">
        <f t="shared" ref="D16:D29" si="2">LEFT(B16,5)</f>
        <v>2.3.1</v>
      </c>
      <c r="E16" s="110" t="s">
        <v>179</v>
      </c>
      <c r="F16" s="71" t="s">
        <v>14</v>
      </c>
      <c r="G16" s="72">
        <v>10</v>
      </c>
      <c r="H16" s="101">
        <v>5780.6</v>
      </c>
      <c r="I16" s="102">
        <f t="shared" si="1"/>
        <v>57806</v>
      </c>
      <c r="K16" s="45"/>
      <c r="L16" s="45"/>
    </row>
    <row r="17" spans="1:12" x14ac:dyDescent="0.2">
      <c r="A17" s="70">
        <v>8</v>
      </c>
      <c r="B17" s="114" t="s">
        <v>134</v>
      </c>
      <c r="C17" s="114" t="s">
        <v>133</v>
      </c>
      <c r="D17" s="63" t="str">
        <f t="shared" si="2"/>
        <v>2.9.2</v>
      </c>
      <c r="E17" s="115" t="s">
        <v>135</v>
      </c>
      <c r="F17" s="71" t="s">
        <v>14</v>
      </c>
      <c r="G17" s="72">
        <v>40</v>
      </c>
      <c r="H17" s="101">
        <v>3836</v>
      </c>
      <c r="I17" s="102">
        <f t="shared" si="1"/>
        <v>153440</v>
      </c>
      <c r="K17" s="45"/>
      <c r="L17" s="45"/>
    </row>
    <row r="18" spans="1:12" x14ac:dyDescent="0.2">
      <c r="A18" s="70">
        <v>9</v>
      </c>
      <c r="B18" s="111" t="s">
        <v>161</v>
      </c>
      <c r="C18" s="116" t="s">
        <v>133</v>
      </c>
      <c r="D18" s="63" t="str">
        <f t="shared" si="2"/>
        <v>2.9.2</v>
      </c>
      <c r="E18" s="117" t="s">
        <v>162</v>
      </c>
      <c r="F18" s="71" t="s">
        <v>14</v>
      </c>
      <c r="G18" s="72">
        <v>40</v>
      </c>
      <c r="H18" s="101">
        <v>2226</v>
      </c>
      <c r="I18" s="102">
        <f t="shared" si="1"/>
        <v>89040</v>
      </c>
      <c r="K18" s="45"/>
      <c r="L18" s="45"/>
    </row>
    <row r="19" spans="1:12" x14ac:dyDescent="0.2">
      <c r="A19" s="70">
        <v>10</v>
      </c>
      <c r="B19" s="118" t="s">
        <v>142</v>
      </c>
      <c r="C19" s="119" t="s">
        <v>133</v>
      </c>
      <c r="D19" s="62" t="str">
        <f t="shared" si="2"/>
        <v>2.9.2</v>
      </c>
      <c r="E19" s="120" t="s">
        <v>143</v>
      </c>
      <c r="F19" s="71" t="s">
        <v>14</v>
      </c>
      <c r="G19" s="72">
        <v>400</v>
      </c>
      <c r="H19" s="103">
        <v>141.4</v>
      </c>
      <c r="I19" s="102">
        <f t="shared" si="1"/>
        <v>56560</v>
      </c>
      <c r="K19" s="45"/>
      <c r="L19" s="45"/>
    </row>
    <row r="20" spans="1:12" x14ac:dyDescent="0.2">
      <c r="A20" s="70">
        <v>11</v>
      </c>
      <c r="B20" s="118" t="s">
        <v>144</v>
      </c>
      <c r="C20" s="112" t="s">
        <v>133</v>
      </c>
      <c r="D20" s="62" t="str">
        <f t="shared" si="2"/>
        <v>2.9.2</v>
      </c>
      <c r="E20" s="113" t="s">
        <v>145</v>
      </c>
      <c r="F20" s="71" t="s">
        <v>14</v>
      </c>
      <c r="G20" s="72">
        <v>600</v>
      </c>
      <c r="H20" s="103">
        <v>252</v>
      </c>
      <c r="I20" s="102">
        <f t="shared" si="1"/>
        <v>151200</v>
      </c>
      <c r="K20" s="45"/>
      <c r="L20" s="45"/>
    </row>
    <row r="21" spans="1:12" ht="25.5" x14ac:dyDescent="0.2">
      <c r="A21" s="70">
        <v>12</v>
      </c>
      <c r="B21" s="118" t="s">
        <v>172</v>
      </c>
      <c r="C21" s="119" t="s">
        <v>133</v>
      </c>
      <c r="D21" s="62" t="str">
        <f t="shared" si="2"/>
        <v>2.3.1</v>
      </c>
      <c r="E21" s="120" t="s">
        <v>173</v>
      </c>
      <c r="F21" s="71" t="s">
        <v>14</v>
      </c>
      <c r="G21" s="72">
        <v>600</v>
      </c>
      <c r="H21" s="101">
        <v>1428</v>
      </c>
      <c r="I21" s="102">
        <f t="shared" si="1"/>
        <v>856800</v>
      </c>
      <c r="K21" s="45"/>
      <c r="L21" s="45"/>
    </row>
    <row r="22" spans="1:12" ht="25.5" x14ac:dyDescent="0.2">
      <c r="A22" s="70">
        <v>13</v>
      </c>
      <c r="B22" s="116" t="s">
        <v>175</v>
      </c>
      <c r="C22" s="111" t="s">
        <v>133</v>
      </c>
      <c r="D22" s="62" t="str">
        <f t="shared" si="2"/>
        <v>2.3.1</v>
      </c>
      <c r="E22" s="110" t="s">
        <v>174</v>
      </c>
      <c r="F22" s="71" t="s">
        <v>14</v>
      </c>
      <c r="G22" s="72">
        <v>500</v>
      </c>
      <c r="H22" s="103">
        <v>1234.8</v>
      </c>
      <c r="I22" s="102">
        <f t="shared" si="1"/>
        <v>617400</v>
      </c>
      <c r="K22" s="45"/>
      <c r="L22" s="45"/>
    </row>
    <row r="23" spans="1:12" x14ac:dyDescent="0.2">
      <c r="A23" s="70">
        <v>14</v>
      </c>
      <c r="B23" s="116" t="s">
        <v>275</v>
      </c>
      <c r="C23" s="111" t="s">
        <v>133</v>
      </c>
      <c r="D23" s="62" t="str">
        <f t="shared" si="2"/>
        <v>2.9.2</v>
      </c>
      <c r="E23" s="110" t="s">
        <v>276</v>
      </c>
      <c r="F23" s="71" t="s">
        <v>14</v>
      </c>
      <c r="G23" s="72">
        <v>300</v>
      </c>
      <c r="H23" s="103">
        <v>78.400000000000006</v>
      </c>
      <c r="I23" s="102">
        <f t="shared" si="1"/>
        <v>23520</v>
      </c>
      <c r="K23" s="45"/>
      <c r="L23" s="45"/>
    </row>
    <row r="24" spans="1:12" x14ac:dyDescent="0.2">
      <c r="A24" s="70">
        <v>15</v>
      </c>
      <c r="B24" s="116" t="s">
        <v>176</v>
      </c>
      <c r="C24" s="111" t="s">
        <v>133</v>
      </c>
      <c r="D24" s="62" t="str">
        <f t="shared" si="2"/>
        <v>2.9.2</v>
      </c>
      <c r="E24" s="110" t="s">
        <v>177</v>
      </c>
      <c r="F24" s="71" t="s">
        <v>14</v>
      </c>
      <c r="G24" s="72">
        <v>300</v>
      </c>
      <c r="H24" s="103">
        <v>78.400000000000006</v>
      </c>
      <c r="I24" s="102">
        <f t="shared" si="1"/>
        <v>23520</v>
      </c>
      <c r="K24" s="45"/>
      <c r="L24" s="45"/>
    </row>
    <row r="25" spans="1:12" ht="25.5" x14ac:dyDescent="0.2">
      <c r="A25" s="70">
        <v>16</v>
      </c>
      <c r="B25" s="116" t="s">
        <v>180</v>
      </c>
      <c r="C25" s="111" t="s">
        <v>133</v>
      </c>
      <c r="D25" s="62" t="str">
        <f t="shared" si="2"/>
        <v>2.3.1</v>
      </c>
      <c r="E25" s="110" t="s">
        <v>181</v>
      </c>
      <c r="F25" s="71" t="s">
        <v>14</v>
      </c>
      <c r="G25" s="72">
        <v>50</v>
      </c>
      <c r="H25" s="101">
        <v>1820</v>
      </c>
      <c r="I25" s="102">
        <f t="shared" si="1"/>
        <v>91000</v>
      </c>
      <c r="K25" s="45"/>
      <c r="L25" s="45"/>
    </row>
    <row r="26" spans="1:12" ht="25.5" x14ac:dyDescent="0.2">
      <c r="A26" s="70">
        <v>17</v>
      </c>
      <c r="B26" s="116" t="s">
        <v>180</v>
      </c>
      <c r="C26" s="111" t="s">
        <v>133</v>
      </c>
      <c r="D26" s="62" t="str">
        <f t="shared" si="2"/>
        <v>2.3.1</v>
      </c>
      <c r="E26" s="110" t="s">
        <v>181</v>
      </c>
      <c r="F26" s="71" t="s">
        <v>14</v>
      </c>
      <c r="G26" s="72">
        <v>50</v>
      </c>
      <c r="H26" s="101">
        <v>1820</v>
      </c>
      <c r="I26" s="102">
        <f t="shared" si="1"/>
        <v>91000</v>
      </c>
      <c r="K26" s="45"/>
      <c r="L26" s="45"/>
    </row>
    <row r="27" spans="1:12" ht="25.5" x14ac:dyDescent="0.2">
      <c r="A27" s="70">
        <v>18</v>
      </c>
      <c r="B27" s="116" t="s">
        <v>180</v>
      </c>
      <c r="C27" s="111" t="s">
        <v>133</v>
      </c>
      <c r="D27" s="62" t="str">
        <f t="shared" si="2"/>
        <v>2.3.1</v>
      </c>
      <c r="E27" s="110" t="s">
        <v>181</v>
      </c>
      <c r="F27" s="71" t="s">
        <v>14</v>
      </c>
      <c r="G27" s="72">
        <v>50</v>
      </c>
      <c r="H27" s="101">
        <v>1820</v>
      </c>
      <c r="I27" s="102">
        <f t="shared" si="1"/>
        <v>91000</v>
      </c>
      <c r="K27" s="45"/>
      <c r="L27" s="45"/>
    </row>
    <row r="28" spans="1:12" ht="25.5" x14ac:dyDescent="0.2">
      <c r="A28" s="70">
        <v>19</v>
      </c>
      <c r="B28" s="116" t="s">
        <v>180</v>
      </c>
      <c r="C28" s="111" t="s">
        <v>133</v>
      </c>
      <c r="D28" s="62" t="str">
        <f t="shared" si="2"/>
        <v>2.3.1</v>
      </c>
      <c r="E28" s="110" t="s">
        <v>181</v>
      </c>
      <c r="F28" s="71" t="s">
        <v>14</v>
      </c>
      <c r="G28" s="72">
        <v>50</v>
      </c>
      <c r="H28" s="101">
        <v>1820</v>
      </c>
      <c r="I28" s="102">
        <f t="shared" si="1"/>
        <v>91000</v>
      </c>
      <c r="K28" s="45"/>
      <c r="L28" s="45"/>
    </row>
    <row r="29" spans="1:12" x14ac:dyDescent="0.2">
      <c r="A29" s="70">
        <v>20</v>
      </c>
      <c r="B29" s="116" t="s">
        <v>136</v>
      </c>
      <c r="C29" s="111" t="s">
        <v>133</v>
      </c>
      <c r="D29" s="62" t="str">
        <f t="shared" si="2"/>
        <v>2.9.2</v>
      </c>
      <c r="E29" s="110" t="s">
        <v>137</v>
      </c>
      <c r="F29" s="71" t="s">
        <v>14</v>
      </c>
      <c r="G29" s="72">
        <v>96</v>
      </c>
      <c r="H29" s="101">
        <v>250.6</v>
      </c>
      <c r="I29" s="102">
        <f t="shared" si="1"/>
        <v>24057.599999999999</v>
      </c>
      <c r="K29" s="45"/>
      <c r="L29" s="45"/>
    </row>
    <row r="30" spans="1:12" x14ac:dyDescent="0.2">
      <c r="A30" s="70">
        <v>21</v>
      </c>
      <c r="B30" s="116" t="s">
        <v>157</v>
      </c>
      <c r="C30" s="121" t="s">
        <v>133</v>
      </c>
      <c r="D30" s="62" t="str">
        <f t="shared" si="0"/>
        <v>2.9.2</v>
      </c>
      <c r="E30" s="122" t="s">
        <v>158</v>
      </c>
      <c r="F30" s="71" t="s">
        <v>14</v>
      </c>
      <c r="G30" s="71">
        <v>100</v>
      </c>
      <c r="H30" s="101">
        <v>45.5</v>
      </c>
      <c r="I30" s="102">
        <f t="shared" si="1"/>
        <v>4550</v>
      </c>
      <c r="K30" s="45"/>
      <c r="L30" s="45"/>
    </row>
    <row r="31" spans="1:12" x14ac:dyDescent="0.2">
      <c r="A31" s="70">
        <v>22</v>
      </c>
      <c r="B31" s="116" t="s">
        <v>152</v>
      </c>
      <c r="C31" s="121" t="s">
        <v>133</v>
      </c>
      <c r="D31" s="62" t="str">
        <f t="shared" si="0"/>
        <v>2.9.2</v>
      </c>
      <c r="E31" s="122" t="s">
        <v>153</v>
      </c>
      <c r="F31" s="71" t="s">
        <v>14</v>
      </c>
      <c r="G31" s="72">
        <v>120</v>
      </c>
      <c r="H31" s="101">
        <v>50.4</v>
      </c>
      <c r="I31" s="102">
        <f t="shared" si="1"/>
        <v>6048</v>
      </c>
      <c r="K31" s="45"/>
      <c r="L31" s="45"/>
    </row>
    <row r="32" spans="1:12" x14ac:dyDescent="0.2">
      <c r="A32" s="70">
        <v>23</v>
      </c>
      <c r="B32" s="116" t="s">
        <v>159</v>
      </c>
      <c r="C32" s="121" t="s">
        <v>133</v>
      </c>
      <c r="D32" s="62" t="str">
        <f t="shared" si="0"/>
        <v>2.9.2</v>
      </c>
      <c r="E32" s="122" t="s">
        <v>160</v>
      </c>
      <c r="F32" s="71" t="s">
        <v>14</v>
      </c>
      <c r="G32" s="72">
        <v>100</v>
      </c>
      <c r="H32" s="101">
        <v>56</v>
      </c>
      <c r="I32" s="102">
        <f t="shared" si="1"/>
        <v>5600</v>
      </c>
      <c r="K32" s="45"/>
      <c r="L32" s="45"/>
    </row>
    <row r="33" spans="1:12" x14ac:dyDescent="0.2">
      <c r="A33" s="70">
        <v>24</v>
      </c>
      <c r="B33" s="116" t="s">
        <v>167</v>
      </c>
      <c r="C33" s="121" t="s">
        <v>168</v>
      </c>
      <c r="D33" s="62" t="s">
        <v>302</v>
      </c>
      <c r="E33" s="122" t="s">
        <v>169</v>
      </c>
      <c r="F33" s="71" t="s">
        <v>14</v>
      </c>
      <c r="G33" s="72">
        <v>15</v>
      </c>
      <c r="H33" s="101">
        <v>1666</v>
      </c>
      <c r="I33" s="102">
        <f t="shared" si="1"/>
        <v>24990</v>
      </c>
      <c r="K33" s="45"/>
      <c r="L33" s="45"/>
    </row>
    <row r="34" spans="1:12" x14ac:dyDescent="0.2">
      <c r="A34" s="70">
        <v>25</v>
      </c>
      <c r="B34" s="116" t="s">
        <v>170</v>
      </c>
      <c r="C34" s="121" t="s">
        <v>168</v>
      </c>
      <c r="D34" s="62" t="s">
        <v>302</v>
      </c>
      <c r="E34" s="122" t="s">
        <v>171</v>
      </c>
      <c r="F34" s="71" t="s">
        <v>14</v>
      </c>
      <c r="G34" s="72">
        <v>15</v>
      </c>
      <c r="H34" s="101">
        <v>1225</v>
      </c>
      <c r="I34" s="102">
        <f t="shared" si="1"/>
        <v>18375</v>
      </c>
      <c r="K34" s="45"/>
      <c r="L34" s="45"/>
    </row>
    <row r="35" spans="1:12" x14ac:dyDescent="0.2">
      <c r="A35" s="70">
        <v>26</v>
      </c>
      <c r="B35" s="116" t="s">
        <v>165</v>
      </c>
      <c r="C35" s="121" t="s">
        <v>133</v>
      </c>
      <c r="D35" s="62" t="str">
        <f t="shared" si="0"/>
        <v>2.9.2</v>
      </c>
      <c r="E35" s="122" t="s">
        <v>166</v>
      </c>
      <c r="F35" s="71" t="s">
        <v>14</v>
      </c>
      <c r="G35" s="72">
        <v>2</v>
      </c>
      <c r="H35" s="101">
        <v>1062.5999999999999</v>
      </c>
      <c r="I35" s="102">
        <f t="shared" si="1"/>
        <v>2125.1999999999998</v>
      </c>
      <c r="K35" s="45"/>
      <c r="L35" s="45"/>
    </row>
    <row r="36" spans="1:12" x14ac:dyDescent="0.2">
      <c r="A36" s="70">
        <v>27</v>
      </c>
      <c r="B36" s="116" t="s">
        <v>164</v>
      </c>
      <c r="C36" s="121" t="s">
        <v>133</v>
      </c>
      <c r="D36" s="62" t="s">
        <v>199</v>
      </c>
      <c r="E36" s="122" t="s">
        <v>163</v>
      </c>
      <c r="F36" s="71" t="s">
        <v>14</v>
      </c>
      <c r="G36" s="72">
        <v>1</v>
      </c>
      <c r="H36" s="101">
        <v>2125.1999999999998</v>
      </c>
      <c r="I36" s="102">
        <f t="shared" si="1"/>
        <v>2125.1999999999998</v>
      </c>
      <c r="K36" s="45"/>
      <c r="L36" s="45"/>
    </row>
    <row r="37" spans="1:12" x14ac:dyDescent="0.2">
      <c r="A37" s="70">
        <v>28</v>
      </c>
      <c r="B37" s="116" t="s">
        <v>138</v>
      </c>
      <c r="C37" s="121" t="s">
        <v>133</v>
      </c>
      <c r="D37" s="62" t="s">
        <v>199</v>
      </c>
      <c r="E37" s="122" t="s">
        <v>139</v>
      </c>
      <c r="F37" s="71" t="s">
        <v>14</v>
      </c>
      <c r="G37" s="72">
        <v>5</v>
      </c>
      <c r="H37" s="101">
        <v>1323</v>
      </c>
      <c r="I37" s="102">
        <f t="shared" si="1"/>
        <v>6615</v>
      </c>
      <c r="K37" s="45"/>
      <c r="L37" s="45"/>
    </row>
    <row r="38" spans="1:12" x14ac:dyDescent="0.2">
      <c r="A38" s="70">
        <v>29</v>
      </c>
      <c r="B38" s="116" t="s">
        <v>140</v>
      </c>
      <c r="C38" s="121" t="s">
        <v>133</v>
      </c>
      <c r="D38" s="62" t="s">
        <v>199</v>
      </c>
      <c r="E38" s="122" t="s">
        <v>141</v>
      </c>
      <c r="F38" s="71" t="s">
        <v>14</v>
      </c>
      <c r="G38" s="72">
        <v>5</v>
      </c>
      <c r="H38" s="101">
        <v>1008</v>
      </c>
      <c r="I38" s="102">
        <f t="shared" si="1"/>
        <v>5040</v>
      </c>
      <c r="K38" s="45"/>
      <c r="L38" s="45"/>
    </row>
    <row r="39" spans="1:12" x14ac:dyDescent="0.2">
      <c r="A39" s="70">
        <v>30</v>
      </c>
      <c r="B39" s="116" t="s">
        <v>196</v>
      </c>
      <c r="C39" s="121" t="s">
        <v>133</v>
      </c>
      <c r="D39" s="62" t="s">
        <v>199</v>
      </c>
      <c r="E39" s="122" t="s">
        <v>197</v>
      </c>
      <c r="F39" s="71" t="s">
        <v>14</v>
      </c>
      <c r="G39" s="72">
        <v>30</v>
      </c>
      <c r="H39" s="101">
        <v>252</v>
      </c>
      <c r="I39" s="102">
        <f t="shared" si="1"/>
        <v>7560</v>
      </c>
      <c r="K39" s="45"/>
      <c r="L39" s="45"/>
    </row>
    <row r="40" spans="1:12" x14ac:dyDescent="0.2">
      <c r="A40" s="70">
        <v>31</v>
      </c>
      <c r="B40" s="116" t="s">
        <v>204</v>
      </c>
      <c r="C40" s="116" t="s">
        <v>133</v>
      </c>
      <c r="D40" s="62" t="str">
        <f t="shared" si="0"/>
        <v>2.9.2</v>
      </c>
      <c r="E40" s="110" t="s">
        <v>205</v>
      </c>
      <c r="F40" s="71" t="s">
        <v>14</v>
      </c>
      <c r="G40" s="72">
        <v>50</v>
      </c>
      <c r="H40" s="101">
        <v>179.2</v>
      </c>
      <c r="I40" s="102">
        <f t="shared" si="1"/>
        <v>8960</v>
      </c>
      <c r="K40" s="45"/>
      <c r="L40" s="45"/>
    </row>
    <row r="41" spans="1:12" x14ac:dyDescent="0.2">
      <c r="A41" s="70">
        <v>32</v>
      </c>
      <c r="B41" s="111" t="s">
        <v>206</v>
      </c>
      <c r="C41" s="116" t="s">
        <v>133</v>
      </c>
      <c r="D41" s="62" t="str">
        <f t="shared" si="0"/>
        <v>2.9.2</v>
      </c>
      <c r="E41" s="110" t="s">
        <v>207</v>
      </c>
      <c r="F41" s="71" t="s">
        <v>14</v>
      </c>
      <c r="G41" s="72">
        <v>40</v>
      </c>
      <c r="H41" s="101">
        <v>173.6</v>
      </c>
      <c r="I41" s="102">
        <f t="shared" si="1"/>
        <v>6944</v>
      </c>
      <c r="K41" s="45"/>
      <c r="L41" s="45"/>
    </row>
    <row r="42" spans="1:12" ht="25.5" x14ac:dyDescent="0.2">
      <c r="A42" s="70">
        <v>33</v>
      </c>
      <c r="B42" s="123" t="s">
        <v>209</v>
      </c>
      <c r="C42" s="124" t="s">
        <v>133</v>
      </c>
      <c r="D42" s="62" t="str">
        <f t="shared" si="0"/>
        <v>2.3.1</v>
      </c>
      <c r="E42" s="125" t="s">
        <v>210</v>
      </c>
      <c r="F42" s="72" t="s">
        <v>14</v>
      </c>
      <c r="G42" s="72">
        <v>50</v>
      </c>
      <c r="H42" s="104">
        <v>1064</v>
      </c>
      <c r="I42" s="102">
        <f t="shared" si="1"/>
        <v>53200</v>
      </c>
      <c r="K42" s="45"/>
      <c r="L42" s="45"/>
    </row>
    <row r="43" spans="1:12" x14ac:dyDescent="0.2">
      <c r="A43" s="70">
        <v>34</v>
      </c>
      <c r="B43" s="121" t="s">
        <v>212</v>
      </c>
      <c r="C43" s="116" t="s">
        <v>213</v>
      </c>
      <c r="D43" s="62" t="str">
        <f t="shared" si="0"/>
        <v>2.9.2</v>
      </c>
      <c r="E43" s="117" t="s">
        <v>214</v>
      </c>
      <c r="F43" s="72" t="s">
        <v>14</v>
      </c>
      <c r="G43" s="72">
        <v>30</v>
      </c>
      <c r="H43" s="104">
        <v>336</v>
      </c>
      <c r="I43" s="102">
        <f t="shared" si="1"/>
        <v>10080</v>
      </c>
      <c r="K43" s="45"/>
      <c r="L43" s="45"/>
    </row>
    <row r="44" spans="1:12" x14ac:dyDescent="0.2">
      <c r="A44" s="70">
        <v>35</v>
      </c>
      <c r="B44" s="121" t="s">
        <v>215</v>
      </c>
      <c r="C44" s="116" t="s">
        <v>133</v>
      </c>
      <c r="D44" s="62" t="str">
        <f t="shared" si="0"/>
        <v>2.9.2</v>
      </c>
      <c r="E44" s="117" t="s">
        <v>216</v>
      </c>
      <c r="F44" s="72" t="s">
        <v>14</v>
      </c>
      <c r="G44" s="72">
        <v>100</v>
      </c>
      <c r="H44" s="104">
        <v>92.4</v>
      </c>
      <c r="I44" s="102">
        <f t="shared" si="1"/>
        <v>9240</v>
      </c>
      <c r="K44" s="45"/>
      <c r="L44" s="45"/>
    </row>
    <row r="45" spans="1:12" x14ac:dyDescent="0.2">
      <c r="A45" s="70">
        <v>36</v>
      </c>
      <c r="B45" s="121" t="s">
        <v>217</v>
      </c>
      <c r="C45" s="116" t="s">
        <v>133</v>
      </c>
      <c r="D45" s="62" t="str">
        <f t="shared" si="0"/>
        <v>2.9.2</v>
      </c>
      <c r="E45" s="117" t="s">
        <v>218</v>
      </c>
      <c r="F45" s="72" t="s">
        <v>14</v>
      </c>
      <c r="G45" s="72">
        <v>100</v>
      </c>
      <c r="H45" s="104">
        <v>78.400000000000006</v>
      </c>
      <c r="I45" s="102">
        <f t="shared" si="1"/>
        <v>7840.0000000000009</v>
      </c>
      <c r="K45" s="45"/>
      <c r="L45" s="45"/>
    </row>
    <row r="46" spans="1:12" ht="25.5" x14ac:dyDescent="0.2">
      <c r="A46" s="70">
        <v>37</v>
      </c>
      <c r="B46" s="121" t="s">
        <v>220</v>
      </c>
      <c r="C46" s="116" t="s">
        <v>133</v>
      </c>
      <c r="D46" s="62" t="str">
        <f t="shared" si="0"/>
        <v>2.3.1</v>
      </c>
      <c r="E46" s="117" t="s">
        <v>221</v>
      </c>
      <c r="F46" s="72" t="s">
        <v>14</v>
      </c>
      <c r="G46" s="72">
        <v>100</v>
      </c>
      <c r="H46" s="104">
        <v>20</v>
      </c>
      <c r="I46" s="102">
        <f t="shared" si="1"/>
        <v>2000</v>
      </c>
      <c r="K46" s="45"/>
      <c r="L46" s="45"/>
    </row>
    <row r="47" spans="1:12" x14ac:dyDescent="0.2">
      <c r="A47" s="70">
        <v>38</v>
      </c>
      <c r="B47" s="121" t="s">
        <v>232</v>
      </c>
      <c r="C47" s="116" t="s">
        <v>133</v>
      </c>
      <c r="D47" s="62" t="str">
        <f t="shared" si="0"/>
        <v>2.9.2</v>
      </c>
      <c r="E47" s="117" t="s">
        <v>233</v>
      </c>
      <c r="F47" s="72" t="s">
        <v>14</v>
      </c>
      <c r="G47" s="72">
        <v>4</v>
      </c>
      <c r="H47" s="104">
        <v>1783.6</v>
      </c>
      <c r="I47" s="102">
        <f t="shared" si="1"/>
        <v>7134.4</v>
      </c>
      <c r="K47" s="45"/>
      <c r="L47" s="45"/>
    </row>
    <row r="48" spans="1:12" x14ac:dyDescent="0.2">
      <c r="A48" s="70">
        <v>39</v>
      </c>
      <c r="B48" s="121" t="s">
        <v>234</v>
      </c>
      <c r="C48" s="116" t="s">
        <v>133</v>
      </c>
      <c r="D48" s="62" t="str">
        <f t="shared" si="0"/>
        <v>2.9.2</v>
      </c>
      <c r="E48" s="117" t="s">
        <v>235</v>
      </c>
      <c r="F48" s="72" t="s">
        <v>14</v>
      </c>
      <c r="G48" s="72">
        <v>15</v>
      </c>
      <c r="H48" s="104">
        <v>1960</v>
      </c>
      <c r="I48" s="102">
        <f t="shared" si="1"/>
        <v>29400</v>
      </c>
      <c r="K48" s="45"/>
      <c r="L48" s="45"/>
    </row>
    <row r="49" spans="1:12" x14ac:dyDescent="0.2">
      <c r="A49" s="70">
        <v>40</v>
      </c>
      <c r="B49" s="123" t="s">
        <v>236</v>
      </c>
      <c r="C49" s="124" t="s">
        <v>133</v>
      </c>
      <c r="D49" s="62" t="str">
        <f t="shared" si="0"/>
        <v>2.9.2</v>
      </c>
      <c r="E49" s="125" t="s">
        <v>237</v>
      </c>
      <c r="F49" s="72" t="s">
        <v>14</v>
      </c>
      <c r="G49" s="72">
        <v>12</v>
      </c>
      <c r="H49" s="104">
        <v>392</v>
      </c>
      <c r="I49" s="102">
        <f t="shared" si="1"/>
        <v>4704</v>
      </c>
      <c r="K49" s="45"/>
      <c r="L49" s="45"/>
    </row>
    <row r="50" spans="1:12" x14ac:dyDescent="0.2">
      <c r="A50" s="70">
        <v>41</v>
      </c>
      <c r="B50" s="121" t="s">
        <v>238</v>
      </c>
      <c r="C50" s="116" t="s">
        <v>133</v>
      </c>
      <c r="D50" s="62" t="str">
        <f t="shared" si="0"/>
        <v>2.9.2</v>
      </c>
      <c r="E50" s="117" t="s">
        <v>239</v>
      </c>
      <c r="F50" s="72" t="s">
        <v>14</v>
      </c>
      <c r="G50" s="72">
        <v>48</v>
      </c>
      <c r="H50" s="104">
        <v>239.4</v>
      </c>
      <c r="I50" s="102">
        <f t="shared" si="1"/>
        <v>11491.2</v>
      </c>
      <c r="K50" s="45"/>
      <c r="L50" s="45"/>
    </row>
    <row r="51" spans="1:12" x14ac:dyDescent="0.2">
      <c r="A51" s="70">
        <v>42</v>
      </c>
      <c r="B51" s="119" t="s">
        <v>240</v>
      </c>
      <c r="C51" s="118" t="s">
        <v>133</v>
      </c>
      <c r="D51" s="62" t="str">
        <f t="shared" si="0"/>
        <v>2.9.2</v>
      </c>
      <c r="E51" s="120" t="s">
        <v>241</v>
      </c>
      <c r="F51" s="72" t="s">
        <v>14</v>
      </c>
      <c r="G51" s="72">
        <v>60</v>
      </c>
      <c r="H51" s="104">
        <v>488.25</v>
      </c>
      <c r="I51" s="102">
        <f t="shared" si="1"/>
        <v>29295</v>
      </c>
      <c r="K51" s="45"/>
      <c r="L51" s="45"/>
    </row>
    <row r="52" spans="1:12" x14ac:dyDescent="0.2">
      <c r="A52" s="70">
        <v>43</v>
      </c>
      <c r="B52" s="116" t="s">
        <v>242</v>
      </c>
      <c r="C52" s="116" t="s">
        <v>133</v>
      </c>
      <c r="D52" s="62" t="str">
        <f t="shared" si="0"/>
        <v>2.9.2</v>
      </c>
      <c r="E52" s="110" t="s">
        <v>243</v>
      </c>
      <c r="F52" s="72" t="s">
        <v>14</v>
      </c>
      <c r="G52" s="72">
        <v>30</v>
      </c>
      <c r="H52" s="104">
        <v>119</v>
      </c>
      <c r="I52" s="102">
        <f t="shared" si="1"/>
        <v>3570</v>
      </c>
      <c r="K52" s="45"/>
      <c r="L52" s="45"/>
    </row>
    <row r="53" spans="1:12" ht="25.5" x14ac:dyDescent="0.2">
      <c r="A53" s="70">
        <v>44</v>
      </c>
      <c r="B53" s="126" t="s">
        <v>244</v>
      </c>
      <c r="C53" s="116" t="s">
        <v>133</v>
      </c>
      <c r="D53" s="62" t="str">
        <f t="shared" si="0"/>
        <v>2.9.2</v>
      </c>
      <c r="E53" s="127" t="s">
        <v>245</v>
      </c>
      <c r="F53" s="72" t="s">
        <v>14</v>
      </c>
      <c r="G53" s="72">
        <v>40</v>
      </c>
      <c r="H53" s="104">
        <v>180.6</v>
      </c>
      <c r="I53" s="102">
        <f t="shared" si="1"/>
        <v>7224</v>
      </c>
      <c r="K53" s="45"/>
      <c r="L53" s="45"/>
    </row>
    <row r="54" spans="1:12" x14ac:dyDescent="0.2">
      <c r="A54" s="70">
        <v>45</v>
      </c>
      <c r="B54" s="128" t="s">
        <v>246</v>
      </c>
      <c r="C54" s="116" t="s">
        <v>133</v>
      </c>
      <c r="D54" s="62" t="str">
        <f t="shared" si="0"/>
        <v>2.9.2</v>
      </c>
      <c r="E54" s="127" t="s">
        <v>247</v>
      </c>
      <c r="F54" s="72" t="s">
        <v>14</v>
      </c>
      <c r="G54" s="72">
        <v>10</v>
      </c>
      <c r="H54" s="104">
        <v>224</v>
      </c>
      <c r="I54" s="102">
        <f t="shared" si="1"/>
        <v>2240</v>
      </c>
      <c r="K54" s="45"/>
      <c r="L54" s="45"/>
    </row>
    <row r="55" spans="1:12" x14ac:dyDescent="0.2">
      <c r="A55" s="70">
        <v>46</v>
      </c>
      <c r="B55" s="128" t="s">
        <v>246</v>
      </c>
      <c r="C55" s="116" t="s">
        <v>133</v>
      </c>
      <c r="D55" s="62" t="str">
        <f t="shared" si="0"/>
        <v>2.9.2</v>
      </c>
      <c r="E55" s="127" t="s">
        <v>247</v>
      </c>
      <c r="F55" s="72" t="s">
        <v>14</v>
      </c>
      <c r="G55" s="72">
        <v>10</v>
      </c>
      <c r="H55" s="104">
        <v>224</v>
      </c>
      <c r="I55" s="102">
        <f t="shared" si="1"/>
        <v>2240</v>
      </c>
      <c r="K55" s="45"/>
      <c r="L55" s="45"/>
    </row>
    <row r="56" spans="1:12" x14ac:dyDescent="0.2">
      <c r="A56" s="70">
        <v>47</v>
      </c>
      <c r="B56" s="128" t="s">
        <v>246</v>
      </c>
      <c r="C56" s="116" t="s">
        <v>133</v>
      </c>
      <c r="D56" s="62" t="str">
        <f t="shared" si="0"/>
        <v>2.9.2</v>
      </c>
      <c r="E56" s="127" t="s">
        <v>247</v>
      </c>
      <c r="F56" s="72" t="s">
        <v>14</v>
      </c>
      <c r="G56" s="72">
        <v>10</v>
      </c>
      <c r="H56" s="104">
        <v>224</v>
      </c>
      <c r="I56" s="102">
        <f t="shared" si="1"/>
        <v>2240</v>
      </c>
      <c r="K56" s="45"/>
      <c r="L56" s="45"/>
    </row>
    <row r="57" spans="1:12" x14ac:dyDescent="0.2">
      <c r="A57" s="70">
        <v>48</v>
      </c>
      <c r="B57" s="128" t="s">
        <v>250</v>
      </c>
      <c r="C57" s="116" t="s">
        <v>133</v>
      </c>
      <c r="D57" s="62" t="str">
        <f t="shared" si="0"/>
        <v>2.9.2</v>
      </c>
      <c r="E57" s="127" t="s">
        <v>251</v>
      </c>
      <c r="F57" s="72" t="s">
        <v>14</v>
      </c>
      <c r="G57" s="72">
        <v>4</v>
      </c>
      <c r="H57" s="104">
        <v>1820</v>
      </c>
      <c r="I57" s="102">
        <f t="shared" si="1"/>
        <v>7280</v>
      </c>
      <c r="K57" s="45"/>
      <c r="L57" s="45"/>
    </row>
    <row r="58" spans="1:12" x14ac:dyDescent="0.2">
      <c r="A58" s="70">
        <v>49</v>
      </c>
      <c r="B58" s="128" t="s">
        <v>252</v>
      </c>
      <c r="C58" s="116" t="s">
        <v>133</v>
      </c>
      <c r="D58" s="62" t="str">
        <f t="shared" si="0"/>
        <v>2.9.2</v>
      </c>
      <c r="E58" s="127" t="s">
        <v>253</v>
      </c>
      <c r="F58" s="72" t="s">
        <v>14</v>
      </c>
      <c r="G58" s="72">
        <v>30</v>
      </c>
      <c r="H58" s="104">
        <v>49</v>
      </c>
      <c r="I58" s="102">
        <f t="shared" si="1"/>
        <v>1470</v>
      </c>
      <c r="K58" s="45"/>
      <c r="L58" s="45"/>
    </row>
    <row r="59" spans="1:12" x14ac:dyDescent="0.2">
      <c r="A59" s="70">
        <v>50</v>
      </c>
      <c r="B59" s="128" t="s">
        <v>254</v>
      </c>
      <c r="C59" s="116" t="s">
        <v>133</v>
      </c>
      <c r="D59" s="62" t="str">
        <f t="shared" si="0"/>
        <v>2.9.2</v>
      </c>
      <c r="E59" s="127" t="s">
        <v>255</v>
      </c>
      <c r="F59" s="71" t="s">
        <v>14</v>
      </c>
      <c r="G59" s="71">
        <v>80</v>
      </c>
      <c r="H59" s="101">
        <v>602</v>
      </c>
      <c r="I59" s="102">
        <f t="shared" si="1"/>
        <v>48160</v>
      </c>
      <c r="K59" s="45"/>
      <c r="L59" s="45"/>
    </row>
    <row r="60" spans="1:12" x14ac:dyDescent="0.2">
      <c r="A60" s="70">
        <v>51</v>
      </c>
      <c r="B60" s="129" t="s">
        <v>278</v>
      </c>
      <c r="C60" s="118" t="s">
        <v>133</v>
      </c>
      <c r="D60" s="62" t="str">
        <f t="shared" si="0"/>
        <v>2.9.2</v>
      </c>
      <c r="E60" s="130" t="s">
        <v>279</v>
      </c>
      <c r="F60" s="71" t="s">
        <v>14</v>
      </c>
      <c r="G60" s="72">
        <v>100</v>
      </c>
      <c r="H60" s="104">
        <v>78.400000000000006</v>
      </c>
      <c r="I60" s="105">
        <f t="shared" si="1"/>
        <v>7840.0000000000009</v>
      </c>
      <c r="K60" s="45"/>
      <c r="L60" s="45"/>
    </row>
    <row r="61" spans="1:12" x14ac:dyDescent="0.2">
      <c r="A61" s="70">
        <v>52</v>
      </c>
      <c r="B61" s="129" t="s">
        <v>278</v>
      </c>
      <c r="C61" s="118" t="s">
        <v>133</v>
      </c>
      <c r="D61" s="62" t="str">
        <f t="shared" si="0"/>
        <v>2.9.2</v>
      </c>
      <c r="E61" s="130" t="s">
        <v>279</v>
      </c>
      <c r="F61" s="71" t="s">
        <v>14</v>
      </c>
      <c r="G61" s="72">
        <v>300</v>
      </c>
      <c r="H61" s="104">
        <v>78.400000000000006</v>
      </c>
      <c r="I61" s="105">
        <f t="shared" si="1"/>
        <v>23520</v>
      </c>
      <c r="K61" s="45"/>
      <c r="L61" s="45"/>
    </row>
    <row r="62" spans="1:12" x14ac:dyDescent="0.2">
      <c r="A62" s="70">
        <v>53</v>
      </c>
      <c r="B62" s="129" t="s">
        <v>278</v>
      </c>
      <c r="C62" s="118" t="s">
        <v>133</v>
      </c>
      <c r="D62" s="62" t="str">
        <f t="shared" si="0"/>
        <v>2.9.2</v>
      </c>
      <c r="E62" s="130" t="s">
        <v>279</v>
      </c>
      <c r="F62" s="71" t="s">
        <v>14</v>
      </c>
      <c r="G62" s="72">
        <v>300</v>
      </c>
      <c r="H62" s="104">
        <v>78.400000000000006</v>
      </c>
      <c r="I62" s="105">
        <f t="shared" si="1"/>
        <v>23520</v>
      </c>
      <c r="K62" s="45"/>
      <c r="L62" s="45"/>
    </row>
    <row r="63" spans="1:12" ht="25.5" x14ac:dyDescent="0.2">
      <c r="A63" s="70">
        <v>54</v>
      </c>
      <c r="B63" s="129" t="s">
        <v>287</v>
      </c>
      <c r="C63" s="118" t="s">
        <v>133</v>
      </c>
      <c r="D63" s="62" t="str">
        <f t="shared" si="0"/>
        <v>2.3.1</v>
      </c>
      <c r="E63" s="130" t="s">
        <v>288</v>
      </c>
      <c r="F63" s="71" t="s">
        <v>14</v>
      </c>
      <c r="G63" s="72">
        <v>50</v>
      </c>
      <c r="H63" s="104">
        <v>160</v>
      </c>
      <c r="I63" s="105">
        <f t="shared" si="1"/>
        <v>8000</v>
      </c>
      <c r="K63" s="45"/>
      <c r="L63" s="45"/>
    </row>
    <row r="64" spans="1:12" ht="25.5" x14ac:dyDescent="0.2">
      <c r="A64" s="70">
        <v>55</v>
      </c>
      <c r="B64" s="129" t="s">
        <v>289</v>
      </c>
      <c r="C64" s="118" t="s">
        <v>133</v>
      </c>
      <c r="D64" s="62" t="str">
        <f t="shared" si="0"/>
        <v>2.3.1</v>
      </c>
      <c r="E64" s="130" t="s">
        <v>290</v>
      </c>
      <c r="F64" s="71" t="s">
        <v>14</v>
      </c>
      <c r="G64" s="72">
        <v>50</v>
      </c>
      <c r="H64" s="104">
        <v>430</v>
      </c>
      <c r="I64" s="105">
        <f t="shared" si="1"/>
        <v>21500</v>
      </c>
      <c r="K64" s="45"/>
      <c r="L64" s="45"/>
    </row>
    <row r="65" spans="1:12" ht="13.5" thickBot="1" x14ac:dyDescent="0.25">
      <c r="A65" s="70">
        <v>56</v>
      </c>
      <c r="B65" s="131" t="s">
        <v>256</v>
      </c>
      <c r="C65" s="132" t="s">
        <v>213</v>
      </c>
      <c r="D65" s="62" t="str">
        <f t="shared" si="0"/>
        <v>2.9.2</v>
      </c>
      <c r="E65" s="133" t="s">
        <v>257</v>
      </c>
      <c r="F65" s="73" t="s">
        <v>14</v>
      </c>
      <c r="G65" s="73">
        <v>10</v>
      </c>
      <c r="H65" s="106">
        <v>532</v>
      </c>
      <c r="I65" s="107">
        <f t="shared" si="1"/>
        <v>5320</v>
      </c>
      <c r="K65" s="45"/>
      <c r="L65" s="45"/>
    </row>
    <row r="66" spans="1:12" x14ac:dyDescent="0.2">
      <c r="A66" s="64"/>
      <c r="B66" s="64"/>
      <c r="C66" s="64"/>
      <c r="D66" s="64"/>
      <c r="E66" s="64"/>
      <c r="F66" s="64"/>
      <c r="G66" s="64"/>
      <c r="H66" s="65"/>
      <c r="I66" s="66"/>
      <c r="J66" s="45"/>
    </row>
    <row r="67" spans="1:12" ht="13.5" thickBot="1" x14ac:dyDescent="0.25">
      <c r="A67" s="64"/>
      <c r="B67" s="64"/>
      <c r="C67" s="64"/>
      <c r="D67" s="64"/>
      <c r="E67" s="64"/>
      <c r="F67" s="64"/>
      <c r="G67" s="64"/>
      <c r="H67" s="67"/>
      <c r="I67" s="67"/>
      <c r="J67" s="46"/>
    </row>
    <row r="68" spans="1:12" x14ac:dyDescent="0.2">
      <c r="B68" s="35" t="s">
        <v>62</v>
      </c>
      <c r="C68" s="36"/>
      <c r="D68" s="36"/>
      <c r="E68" s="37"/>
      <c r="H68" s="45"/>
      <c r="I68" s="46"/>
    </row>
    <row r="69" spans="1:12" ht="5.25" customHeight="1" x14ac:dyDescent="0.2">
      <c r="B69" s="38"/>
      <c r="C69" s="39"/>
      <c r="D69" s="39"/>
      <c r="E69" s="40"/>
    </row>
    <row r="70" spans="1:12" x14ac:dyDescent="0.2">
      <c r="B70" s="41" t="s">
        <v>15</v>
      </c>
      <c r="C70" s="39"/>
      <c r="D70" s="39"/>
      <c r="E70" s="40"/>
    </row>
    <row r="71" spans="1:12" ht="33.75" customHeight="1" x14ac:dyDescent="0.2">
      <c r="B71" s="41"/>
      <c r="C71" s="140"/>
      <c r="D71" s="140"/>
      <c r="E71" s="140"/>
      <c r="H71" s="46"/>
    </row>
    <row r="72" spans="1:12" x14ac:dyDescent="0.2">
      <c r="B72" s="41" t="s">
        <v>16</v>
      </c>
      <c r="C72" s="88"/>
      <c r="D72" s="88"/>
      <c r="E72" s="89"/>
    </row>
    <row r="73" spans="1:12" x14ac:dyDescent="0.2">
      <c r="B73" s="42"/>
      <c r="C73" s="137" t="s">
        <v>183</v>
      </c>
      <c r="D73" s="137"/>
      <c r="E73" s="137"/>
    </row>
    <row r="74" spans="1:12" x14ac:dyDescent="0.2">
      <c r="B74" s="42"/>
      <c r="C74" s="137" t="s">
        <v>182</v>
      </c>
      <c r="D74" s="137"/>
      <c r="E74" s="137"/>
    </row>
    <row r="75" spans="1:12" x14ac:dyDescent="0.2">
      <c r="B75" s="41" t="s">
        <v>17</v>
      </c>
      <c r="C75" s="90"/>
      <c r="D75" s="90"/>
      <c r="E75" s="91"/>
    </row>
    <row r="76" spans="1:12" ht="26.25" customHeight="1" x14ac:dyDescent="0.2">
      <c r="B76" s="42"/>
      <c r="C76" s="136" t="s">
        <v>65</v>
      </c>
      <c r="D76" s="136"/>
      <c r="E76" s="136"/>
    </row>
    <row r="77" spans="1:12" x14ac:dyDescent="0.2">
      <c r="B77" s="41" t="s">
        <v>18</v>
      </c>
      <c r="C77" s="92"/>
      <c r="D77" s="92"/>
      <c r="E77" s="93"/>
    </row>
    <row r="78" spans="1:12" ht="26.25" customHeight="1" x14ac:dyDescent="0.2">
      <c r="B78" s="42"/>
      <c r="C78" s="138" t="s">
        <v>66</v>
      </c>
      <c r="D78" s="138"/>
      <c r="E78" s="138"/>
    </row>
    <row r="79" spans="1:12" x14ac:dyDescent="0.2">
      <c r="B79" s="41" t="s">
        <v>19</v>
      </c>
      <c r="C79" s="90"/>
      <c r="D79" s="90"/>
      <c r="E79" s="91"/>
    </row>
    <row r="80" spans="1:12" ht="23.25" customHeight="1" x14ac:dyDescent="0.2">
      <c r="B80" s="41"/>
      <c r="C80" s="139" t="s">
        <v>58</v>
      </c>
      <c r="D80" s="139"/>
      <c r="E80" s="139"/>
    </row>
    <row r="81" spans="2:5" ht="13.5" thickBot="1" x14ac:dyDescent="0.25">
      <c r="B81" s="43"/>
      <c r="C81" s="94"/>
      <c r="D81" s="94"/>
      <c r="E81" s="95"/>
    </row>
    <row r="82" spans="2:5" ht="13.5" hidden="1" customHeight="1" thickBot="1" x14ac:dyDescent="0.25">
      <c r="C82" s="96"/>
      <c r="D82" s="96"/>
      <c r="E82" s="96"/>
    </row>
    <row r="83" spans="2:5" ht="12.75" hidden="1" customHeight="1" x14ac:dyDescent="0.2">
      <c r="B83" s="35" t="s">
        <v>67</v>
      </c>
      <c r="C83" s="97"/>
      <c r="D83" s="97"/>
      <c r="E83" s="98"/>
    </row>
    <row r="84" spans="2:5" ht="7.5" hidden="1" customHeight="1" x14ac:dyDescent="0.2">
      <c r="B84" s="38"/>
      <c r="C84" s="88"/>
      <c r="D84" s="88"/>
      <c r="E84" s="89"/>
    </row>
    <row r="85" spans="2:5" ht="12.75" hidden="1" customHeight="1" x14ac:dyDescent="0.2">
      <c r="B85" s="41" t="s">
        <v>15</v>
      </c>
      <c r="C85" s="88"/>
      <c r="D85" s="88"/>
      <c r="E85" s="89"/>
    </row>
    <row r="86" spans="2:5" ht="42.75" hidden="1" customHeight="1" x14ac:dyDescent="0.2">
      <c r="B86" s="41"/>
      <c r="C86" s="140" t="s">
        <v>68</v>
      </c>
      <c r="D86" s="140"/>
      <c r="E86" s="140"/>
    </row>
    <row r="87" spans="2:5" ht="12.75" hidden="1" customHeight="1" x14ac:dyDescent="0.2">
      <c r="B87" s="41" t="s">
        <v>16</v>
      </c>
      <c r="C87" s="88"/>
      <c r="D87" s="88"/>
      <c r="E87" s="89"/>
    </row>
    <row r="88" spans="2:5" ht="12.75" hidden="1" customHeight="1" x14ac:dyDescent="0.2">
      <c r="B88" s="42"/>
      <c r="C88" s="137" t="s">
        <v>63</v>
      </c>
      <c r="D88" s="137"/>
      <c r="E88" s="137"/>
    </row>
    <row r="89" spans="2:5" ht="12.75" hidden="1" customHeight="1" x14ac:dyDescent="0.2">
      <c r="B89" s="42"/>
      <c r="C89" s="137" t="s">
        <v>64</v>
      </c>
      <c r="D89" s="137"/>
      <c r="E89" s="137"/>
    </row>
    <row r="90" spans="2:5" ht="12.75" hidden="1" customHeight="1" x14ac:dyDescent="0.2">
      <c r="B90" s="41" t="s">
        <v>17</v>
      </c>
      <c r="C90" s="90"/>
      <c r="D90" s="90"/>
      <c r="E90" s="91"/>
    </row>
    <row r="91" spans="2:5" ht="12.75" hidden="1" customHeight="1" x14ac:dyDescent="0.2">
      <c r="B91" s="42"/>
      <c r="C91" s="136" t="s">
        <v>65</v>
      </c>
      <c r="D91" s="136"/>
      <c r="E91" s="136"/>
    </row>
    <row r="92" spans="2:5" ht="12.75" hidden="1" customHeight="1" x14ac:dyDescent="0.2">
      <c r="B92" s="41" t="s">
        <v>18</v>
      </c>
      <c r="C92" s="92"/>
      <c r="D92" s="92"/>
      <c r="E92" s="93"/>
    </row>
    <row r="93" spans="2:5" ht="12.75" hidden="1" customHeight="1" x14ac:dyDescent="0.2">
      <c r="B93" s="42"/>
      <c r="C93" s="138" t="s">
        <v>66</v>
      </c>
      <c r="D93" s="138"/>
      <c r="E93" s="138"/>
    </row>
    <row r="94" spans="2:5" ht="12.75" hidden="1" customHeight="1" x14ac:dyDescent="0.2">
      <c r="B94" s="41" t="s">
        <v>19</v>
      </c>
      <c r="C94" s="90"/>
      <c r="D94" s="90"/>
      <c r="E94" s="91"/>
    </row>
    <row r="95" spans="2:5" ht="12.75" hidden="1" customHeight="1" x14ac:dyDescent="0.2">
      <c r="B95" s="41"/>
      <c r="C95" s="139" t="s">
        <v>58</v>
      </c>
      <c r="D95" s="139"/>
      <c r="E95" s="139"/>
    </row>
    <row r="96" spans="2:5" ht="13.5" hidden="1" customHeight="1" thickBot="1" x14ac:dyDescent="0.25">
      <c r="B96" s="43"/>
      <c r="C96" s="94"/>
      <c r="D96" s="94"/>
      <c r="E96" s="95"/>
    </row>
    <row r="97" spans="2:5" ht="12.75" hidden="1" customHeight="1" x14ac:dyDescent="0.2">
      <c r="C97" s="96"/>
      <c r="D97" s="96"/>
      <c r="E97" s="96"/>
    </row>
    <row r="98" spans="2:5" ht="12.75" hidden="1" customHeight="1" x14ac:dyDescent="0.2">
      <c r="B98" s="35" t="s">
        <v>69</v>
      </c>
      <c r="C98" s="97"/>
      <c r="D98" s="97"/>
      <c r="E98" s="98"/>
    </row>
    <row r="99" spans="2:5" ht="12.75" hidden="1" customHeight="1" x14ac:dyDescent="0.2">
      <c r="B99" s="38"/>
      <c r="C99" s="88"/>
      <c r="D99" s="88"/>
      <c r="E99" s="89"/>
    </row>
    <row r="100" spans="2:5" ht="12.75" hidden="1" customHeight="1" x14ac:dyDescent="0.2">
      <c r="B100" s="41" t="s">
        <v>15</v>
      </c>
      <c r="C100" s="88"/>
      <c r="D100" s="88"/>
      <c r="E100" s="89"/>
    </row>
    <row r="101" spans="2:5" ht="39.75" hidden="1" customHeight="1" x14ac:dyDescent="0.2">
      <c r="B101" s="41"/>
      <c r="C101" s="140" t="s">
        <v>70</v>
      </c>
      <c r="D101" s="140"/>
      <c r="E101" s="140"/>
    </row>
    <row r="102" spans="2:5" ht="12.75" hidden="1" customHeight="1" x14ac:dyDescent="0.2">
      <c r="B102" s="41" t="s">
        <v>16</v>
      </c>
      <c r="C102" s="88"/>
      <c r="D102" s="88"/>
      <c r="E102" s="89"/>
    </row>
    <row r="103" spans="2:5" ht="12.75" hidden="1" customHeight="1" x14ac:dyDescent="0.2">
      <c r="B103" s="42"/>
      <c r="C103" s="137" t="s">
        <v>63</v>
      </c>
      <c r="D103" s="137"/>
      <c r="E103" s="137"/>
    </row>
    <row r="104" spans="2:5" ht="12.75" hidden="1" customHeight="1" x14ac:dyDescent="0.2">
      <c r="B104" s="42"/>
      <c r="C104" s="137" t="s">
        <v>64</v>
      </c>
      <c r="D104" s="137"/>
      <c r="E104" s="137"/>
    </row>
    <row r="105" spans="2:5" ht="12.75" hidden="1" customHeight="1" x14ac:dyDescent="0.2">
      <c r="B105" s="41" t="s">
        <v>17</v>
      </c>
      <c r="C105" s="90"/>
      <c r="D105" s="90"/>
      <c r="E105" s="91"/>
    </row>
    <row r="106" spans="2:5" ht="12.75" hidden="1" customHeight="1" x14ac:dyDescent="0.2">
      <c r="B106" s="42"/>
      <c r="C106" s="136" t="s">
        <v>65</v>
      </c>
      <c r="D106" s="136"/>
      <c r="E106" s="136"/>
    </row>
    <row r="107" spans="2:5" ht="12.75" hidden="1" customHeight="1" x14ac:dyDescent="0.2">
      <c r="B107" s="41" t="s">
        <v>18</v>
      </c>
      <c r="C107" s="92"/>
      <c r="D107" s="92"/>
      <c r="E107" s="93"/>
    </row>
    <row r="108" spans="2:5" ht="12.75" hidden="1" customHeight="1" x14ac:dyDescent="0.2">
      <c r="B108" s="42"/>
      <c r="C108" s="138" t="s">
        <v>66</v>
      </c>
      <c r="D108" s="138"/>
      <c r="E108" s="138"/>
    </row>
    <row r="109" spans="2:5" ht="12.75" hidden="1" customHeight="1" x14ac:dyDescent="0.2">
      <c r="B109" s="41" t="s">
        <v>19</v>
      </c>
      <c r="C109" s="90"/>
      <c r="D109" s="90"/>
      <c r="E109" s="91"/>
    </row>
    <row r="110" spans="2:5" ht="12.75" hidden="1" customHeight="1" x14ac:dyDescent="0.2">
      <c r="B110" s="41"/>
      <c r="C110" s="139" t="s">
        <v>58</v>
      </c>
      <c r="D110" s="139"/>
      <c r="E110" s="139"/>
    </row>
    <row r="111" spans="2:5" ht="13.5" hidden="1" customHeight="1" thickBot="1" x14ac:dyDescent="0.25">
      <c r="B111" s="43"/>
      <c r="C111" s="94"/>
      <c r="D111" s="94"/>
      <c r="E111" s="95"/>
    </row>
    <row r="112" spans="2:5" ht="12.75" hidden="1" customHeight="1" x14ac:dyDescent="0.2">
      <c r="C112" s="96"/>
      <c r="D112" s="96"/>
      <c r="E112" s="96"/>
    </row>
    <row r="113" spans="2:5" ht="12.75" customHeight="1" thickBot="1" x14ac:dyDescent="0.25">
      <c r="C113" s="96"/>
      <c r="D113" s="96"/>
      <c r="E113" s="96"/>
    </row>
    <row r="114" spans="2:5" x14ac:dyDescent="0.2">
      <c r="B114" s="35" t="s">
        <v>67</v>
      </c>
      <c r="C114" s="97"/>
      <c r="D114" s="97"/>
      <c r="E114" s="98"/>
    </row>
    <row r="115" spans="2:5" x14ac:dyDescent="0.2">
      <c r="B115" s="38"/>
      <c r="C115" s="88"/>
      <c r="D115" s="88"/>
      <c r="E115" s="89"/>
    </row>
    <row r="116" spans="2:5" x14ac:dyDescent="0.2">
      <c r="B116" s="41" t="s">
        <v>15</v>
      </c>
      <c r="C116" s="88"/>
      <c r="D116" s="88"/>
      <c r="E116" s="89"/>
    </row>
    <row r="117" spans="2:5" ht="26.25" customHeight="1" x14ac:dyDescent="0.2">
      <c r="B117" s="41"/>
      <c r="C117" s="140"/>
      <c r="D117" s="140"/>
      <c r="E117" s="140"/>
    </row>
    <row r="118" spans="2:5" x14ac:dyDescent="0.2">
      <c r="B118" s="41" t="s">
        <v>16</v>
      </c>
      <c r="C118" s="88"/>
      <c r="D118" s="88"/>
      <c r="E118" s="89"/>
    </row>
    <row r="119" spans="2:5" x14ac:dyDescent="0.2">
      <c r="B119" s="42"/>
      <c r="C119" s="137" t="s">
        <v>183</v>
      </c>
      <c r="D119" s="137"/>
      <c r="E119" s="137"/>
    </row>
    <row r="120" spans="2:5" x14ac:dyDescent="0.2">
      <c r="B120" s="42"/>
      <c r="C120" s="137" t="s">
        <v>182</v>
      </c>
      <c r="D120" s="137"/>
      <c r="E120" s="137"/>
    </row>
    <row r="121" spans="2:5" x14ac:dyDescent="0.2">
      <c r="B121" s="41" t="s">
        <v>17</v>
      </c>
      <c r="C121" s="90"/>
      <c r="D121" s="90"/>
      <c r="E121" s="91"/>
    </row>
    <row r="122" spans="2:5" x14ac:dyDescent="0.2">
      <c r="B122" s="42"/>
      <c r="C122" s="136" t="s">
        <v>65</v>
      </c>
      <c r="D122" s="136"/>
      <c r="E122" s="136"/>
    </row>
    <row r="123" spans="2:5" x14ac:dyDescent="0.2">
      <c r="B123" s="41" t="s">
        <v>18</v>
      </c>
      <c r="C123" s="92"/>
      <c r="D123" s="92"/>
      <c r="E123" s="93"/>
    </row>
    <row r="124" spans="2:5" x14ac:dyDescent="0.2">
      <c r="B124" s="42"/>
      <c r="C124" s="138" t="s">
        <v>66</v>
      </c>
      <c r="D124" s="138"/>
      <c r="E124" s="138"/>
    </row>
    <row r="125" spans="2:5" x14ac:dyDescent="0.2">
      <c r="B125" s="41" t="s">
        <v>19</v>
      </c>
      <c r="C125" s="90"/>
      <c r="D125" s="90"/>
      <c r="E125" s="91"/>
    </row>
    <row r="126" spans="2:5" x14ac:dyDescent="0.2">
      <c r="B126" s="41"/>
      <c r="C126" s="139" t="s">
        <v>58</v>
      </c>
      <c r="D126" s="139"/>
      <c r="E126" s="139"/>
    </row>
    <row r="127" spans="2:5" ht="13.5" thickBot="1" x14ac:dyDescent="0.25">
      <c r="B127" s="43"/>
      <c r="C127" s="94"/>
      <c r="D127" s="94"/>
      <c r="E127" s="95"/>
    </row>
    <row r="128" spans="2:5" ht="13.5" thickBot="1" x14ac:dyDescent="0.25">
      <c r="C128" s="96"/>
      <c r="D128" s="96"/>
      <c r="E128" s="96"/>
    </row>
    <row r="129" spans="2:5" x14ac:dyDescent="0.2">
      <c r="B129" s="35" t="s">
        <v>126</v>
      </c>
      <c r="C129" s="97"/>
      <c r="D129" s="97"/>
      <c r="E129" s="98"/>
    </row>
    <row r="130" spans="2:5" x14ac:dyDescent="0.2">
      <c r="B130" s="38"/>
      <c r="C130" s="88"/>
      <c r="D130" s="88"/>
      <c r="E130" s="89"/>
    </row>
    <row r="131" spans="2:5" x14ac:dyDescent="0.2">
      <c r="B131" s="41" t="s">
        <v>15</v>
      </c>
      <c r="C131" s="88"/>
      <c r="D131" s="88"/>
      <c r="E131" s="89"/>
    </row>
    <row r="132" spans="2:5" ht="21" customHeight="1" x14ac:dyDescent="0.2">
      <c r="B132" s="41"/>
      <c r="C132" s="135"/>
      <c r="D132" s="135"/>
      <c r="E132" s="136"/>
    </row>
    <row r="133" spans="2:5" x14ac:dyDescent="0.2">
      <c r="B133" s="41" t="s">
        <v>16</v>
      </c>
      <c r="C133" s="88"/>
      <c r="D133" s="88"/>
      <c r="E133" s="89"/>
    </row>
    <row r="134" spans="2:5" x14ac:dyDescent="0.2">
      <c r="B134" s="42"/>
      <c r="C134" s="137" t="s">
        <v>183</v>
      </c>
      <c r="D134" s="137"/>
      <c r="E134" s="137"/>
    </row>
    <row r="135" spans="2:5" x14ac:dyDescent="0.2">
      <c r="B135" s="42"/>
      <c r="C135" s="137" t="s">
        <v>182</v>
      </c>
      <c r="D135" s="137"/>
      <c r="E135" s="137"/>
    </row>
    <row r="136" spans="2:5" x14ac:dyDescent="0.2">
      <c r="B136" s="41" t="s">
        <v>17</v>
      </c>
      <c r="C136" s="90"/>
      <c r="D136" s="90"/>
      <c r="E136" s="91"/>
    </row>
    <row r="137" spans="2:5" x14ac:dyDescent="0.2">
      <c r="B137" s="42"/>
      <c r="C137" s="136" t="s">
        <v>65</v>
      </c>
      <c r="D137" s="136"/>
      <c r="E137" s="136"/>
    </row>
    <row r="138" spans="2:5" x14ac:dyDescent="0.2">
      <c r="B138" s="41" t="s">
        <v>18</v>
      </c>
      <c r="C138" s="92"/>
      <c r="D138" s="92"/>
      <c r="E138" s="93"/>
    </row>
    <row r="139" spans="2:5" x14ac:dyDescent="0.2">
      <c r="B139" s="42"/>
      <c r="C139" s="138" t="s">
        <v>66</v>
      </c>
      <c r="D139" s="138"/>
      <c r="E139" s="138"/>
    </row>
    <row r="140" spans="2:5" x14ac:dyDescent="0.2">
      <c r="B140" s="41" t="s">
        <v>19</v>
      </c>
      <c r="C140" s="90"/>
      <c r="D140" s="90"/>
      <c r="E140" s="91"/>
    </row>
    <row r="141" spans="2:5" x14ac:dyDescent="0.2">
      <c r="B141" s="41"/>
      <c r="C141" s="139" t="s">
        <v>58</v>
      </c>
      <c r="D141" s="139"/>
      <c r="E141" s="139"/>
    </row>
    <row r="142" spans="2:5" ht="13.5" thickBot="1" x14ac:dyDescent="0.25">
      <c r="B142" s="43"/>
      <c r="C142" s="94"/>
      <c r="D142" s="94"/>
      <c r="E142" s="95"/>
    </row>
    <row r="143" spans="2:5" ht="13.5" thickBot="1" x14ac:dyDescent="0.25">
      <c r="C143" s="96"/>
      <c r="D143" s="96"/>
      <c r="E143" s="96"/>
    </row>
    <row r="144" spans="2:5" x14ac:dyDescent="0.2">
      <c r="B144" s="35" t="s">
        <v>127</v>
      </c>
      <c r="C144" s="97"/>
      <c r="D144" s="97"/>
      <c r="E144" s="98"/>
    </row>
    <row r="145" spans="2:5" x14ac:dyDescent="0.2">
      <c r="B145" s="38"/>
      <c r="C145" s="88"/>
      <c r="D145" s="88"/>
      <c r="E145" s="89"/>
    </row>
    <row r="146" spans="2:5" x14ac:dyDescent="0.2">
      <c r="B146" s="41" t="s">
        <v>15</v>
      </c>
      <c r="C146" s="88"/>
      <c r="D146" s="88"/>
      <c r="E146" s="89"/>
    </row>
    <row r="147" spans="2:5" ht="25.5" customHeight="1" x14ac:dyDescent="0.2">
      <c r="B147" s="41"/>
      <c r="C147" s="135"/>
      <c r="D147" s="135"/>
      <c r="E147" s="136"/>
    </row>
    <row r="148" spans="2:5" x14ac:dyDescent="0.2">
      <c r="B148" s="41" t="s">
        <v>16</v>
      </c>
      <c r="C148" s="88"/>
      <c r="D148" s="88"/>
      <c r="E148" s="89"/>
    </row>
    <row r="149" spans="2:5" x14ac:dyDescent="0.2">
      <c r="B149" s="42"/>
      <c r="C149" s="137" t="s">
        <v>183</v>
      </c>
      <c r="D149" s="137"/>
      <c r="E149" s="137"/>
    </row>
    <row r="150" spans="2:5" x14ac:dyDescent="0.2">
      <c r="B150" s="42"/>
      <c r="C150" s="137" t="s">
        <v>182</v>
      </c>
      <c r="D150" s="137"/>
      <c r="E150" s="137"/>
    </row>
    <row r="151" spans="2:5" x14ac:dyDescent="0.2">
      <c r="B151" s="41" t="s">
        <v>17</v>
      </c>
      <c r="C151" s="90"/>
      <c r="D151" s="90"/>
      <c r="E151" s="91"/>
    </row>
    <row r="152" spans="2:5" x14ac:dyDescent="0.2">
      <c r="B152" s="42"/>
      <c r="C152" s="136" t="s">
        <v>65</v>
      </c>
      <c r="D152" s="136"/>
      <c r="E152" s="136"/>
    </row>
    <row r="153" spans="2:5" x14ac:dyDescent="0.2">
      <c r="B153" s="41" t="s">
        <v>18</v>
      </c>
      <c r="C153" s="92"/>
      <c r="D153" s="92"/>
      <c r="E153" s="93"/>
    </row>
    <row r="154" spans="2:5" x14ac:dyDescent="0.2">
      <c r="B154" s="42"/>
      <c r="C154" s="138" t="s">
        <v>66</v>
      </c>
      <c r="D154" s="138"/>
      <c r="E154" s="138"/>
    </row>
    <row r="155" spans="2:5" x14ac:dyDescent="0.2">
      <c r="B155" s="41" t="s">
        <v>19</v>
      </c>
      <c r="C155" s="90"/>
      <c r="D155" s="90"/>
      <c r="E155" s="91"/>
    </row>
    <row r="156" spans="2:5" x14ac:dyDescent="0.2">
      <c r="B156" s="41"/>
      <c r="C156" s="139" t="s">
        <v>58</v>
      </c>
      <c r="D156" s="139"/>
      <c r="E156" s="139"/>
    </row>
    <row r="157" spans="2:5" ht="13.5" thickBot="1" x14ac:dyDescent="0.25">
      <c r="B157" s="43"/>
      <c r="C157" s="94"/>
      <c r="D157" s="94"/>
      <c r="E157" s="95"/>
    </row>
    <row r="158" spans="2:5" ht="13.5" thickBot="1" x14ac:dyDescent="0.25">
      <c r="C158" s="96"/>
      <c r="D158" s="96"/>
      <c r="E158" s="96"/>
    </row>
    <row r="159" spans="2:5" x14ac:dyDescent="0.2">
      <c r="B159" s="35" t="s">
        <v>71</v>
      </c>
      <c r="C159" s="97"/>
      <c r="D159" s="97"/>
      <c r="E159" s="98"/>
    </row>
    <row r="160" spans="2:5" x14ac:dyDescent="0.2">
      <c r="B160" s="38"/>
      <c r="C160" s="88"/>
      <c r="D160" s="88"/>
      <c r="E160" s="89"/>
    </row>
    <row r="161" spans="2:5" x14ac:dyDescent="0.2">
      <c r="B161" s="41" t="s">
        <v>15</v>
      </c>
      <c r="C161" s="88"/>
      <c r="D161" s="88"/>
      <c r="E161" s="89"/>
    </row>
    <row r="162" spans="2:5" x14ac:dyDescent="0.2">
      <c r="B162" s="41"/>
      <c r="C162" s="135"/>
      <c r="D162" s="135"/>
      <c r="E162" s="136"/>
    </row>
    <row r="163" spans="2:5" x14ac:dyDescent="0.2">
      <c r="B163" s="41" t="s">
        <v>16</v>
      </c>
      <c r="C163" s="88"/>
      <c r="D163" s="88"/>
      <c r="E163" s="89"/>
    </row>
    <row r="164" spans="2:5" x14ac:dyDescent="0.2">
      <c r="B164" s="42"/>
      <c r="C164" s="137" t="s">
        <v>183</v>
      </c>
      <c r="D164" s="137"/>
      <c r="E164" s="137"/>
    </row>
    <row r="165" spans="2:5" x14ac:dyDescent="0.2">
      <c r="B165" s="42"/>
      <c r="C165" s="137" t="s">
        <v>182</v>
      </c>
      <c r="D165" s="137"/>
      <c r="E165" s="137"/>
    </row>
    <row r="166" spans="2:5" x14ac:dyDescent="0.2">
      <c r="B166" s="41" t="s">
        <v>17</v>
      </c>
      <c r="C166" s="90"/>
      <c r="D166" s="90"/>
      <c r="E166" s="91"/>
    </row>
    <row r="167" spans="2:5" x14ac:dyDescent="0.2">
      <c r="B167" s="42"/>
      <c r="C167" s="136" t="s">
        <v>65</v>
      </c>
      <c r="D167" s="136"/>
      <c r="E167" s="136"/>
    </row>
    <row r="168" spans="2:5" x14ac:dyDescent="0.2">
      <c r="B168" s="41" t="s">
        <v>18</v>
      </c>
      <c r="C168" s="92"/>
      <c r="D168" s="92"/>
      <c r="E168" s="93"/>
    </row>
    <row r="169" spans="2:5" x14ac:dyDescent="0.2">
      <c r="B169" s="42"/>
      <c r="C169" s="138" t="s">
        <v>66</v>
      </c>
      <c r="D169" s="138"/>
      <c r="E169" s="138"/>
    </row>
    <row r="170" spans="2:5" x14ac:dyDescent="0.2">
      <c r="B170" s="41" t="s">
        <v>19</v>
      </c>
      <c r="C170" s="90"/>
      <c r="D170" s="90"/>
      <c r="E170" s="91"/>
    </row>
    <row r="171" spans="2:5" x14ac:dyDescent="0.2">
      <c r="B171" s="41"/>
      <c r="C171" s="139" t="s">
        <v>58</v>
      </c>
      <c r="D171" s="139"/>
      <c r="E171" s="139"/>
    </row>
    <row r="172" spans="2:5" ht="13.5" thickBot="1" x14ac:dyDescent="0.25">
      <c r="B172" s="43"/>
      <c r="C172" s="94"/>
      <c r="D172" s="94"/>
      <c r="E172" s="95"/>
    </row>
    <row r="173" spans="2:5" ht="13.5" thickBot="1" x14ac:dyDescent="0.25">
      <c r="C173" s="96"/>
      <c r="D173" s="96"/>
      <c r="E173" s="96"/>
    </row>
    <row r="174" spans="2:5" x14ac:dyDescent="0.2">
      <c r="B174" s="35" t="s">
        <v>72</v>
      </c>
      <c r="C174" s="97"/>
      <c r="D174" s="97"/>
      <c r="E174" s="98"/>
    </row>
    <row r="175" spans="2:5" x14ac:dyDescent="0.2">
      <c r="B175" s="38"/>
      <c r="C175" s="88"/>
      <c r="D175" s="88"/>
      <c r="E175" s="89"/>
    </row>
    <row r="176" spans="2:5" x14ac:dyDescent="0.2">
      <c r="B176" s="41" t="s">
        <v>15</v>
      </c>
      <c r="C176" s="88"/>
      <c r="D176" s="88"/>
      <c r="E176" s="89"/>
    </row>
    <row r="177" spans="2:5" x14ac:dyDescent="0.2">
      <c r="B177" s="41"/>
      <c r="C177" s="140"/>
      <c r="D177" s="140"/>
      <c r="E177" s="140"/>
    </row>
    <row r="178" spans="2:5" x14ac:dyDescent="0.2">
      <c r="B178" s="41" t="s">
        <v>16</v>
      </c>
      <c r="C178" s="88"/>
      <c r="D178" s="88"/>
      <c r="E178" s="89"/>
    </row>
    <row r="179" spans="2:5" x14ac:dyDescent="0.2">
      <c r="B179" s="42"/>
      <c r="C179" s="137" t="s">
        <v>183</v>
      </c>
      <c r="D179" s="137"/>
      <c r="E179" s="137"/>
    </row>
    <row r="180" spans="2:5" x14ac:dyDescent="0.2">
      <c r="B180" s="42"/>
      <c r="C180" s="137" t="s">
        <v>182</v>
      </c>
      <c r="D180" s="137"/>
      <c r="E180" s="137"/>
    </row>
    <row r="181" spans="2:5" x14ac:dyDescent="0.2">
      <c r="B181" s="41" t="s">
        <v>17</v>
      </c>
      <c r="C181" s="90"/>
      <c r="D181" s="90"/>
      <c r="E181" s="91"/>
    </row>
    <row r="182" spans="2:5" x14ac:dyDescent="0.2">
      <c r="B182" s="42"/>
      <c r="C182" s="136" t="s">
        <v>65</v>
      </c>
      <c r="D182" s="136"/>
      <c r="E182" s="136"/>
    </row>
    <row r="183" spans="2:5" x14ac:dyDescent="0.2">
      <c r="B183" s="41" t="s">
        <v>18</v>
      </c>
      <c r="C183" s="92"/>
      <c r="D183" s="92"/>
      <c r="E183" s="93"/>
    </row>
    <row r="184" spans="2:5" x14ac:dyDescent="0.2">
      <c r="B184" s="42"/>
      <c r="C184" s="138" t="s">
        <v>66</v>
      </c>
      <c r="D184" s="138"/>
      <c r="E184" s="138"/>
    </row>
    <row r="185" spans="2:5" x14ac:dyDescent="0.2">
      <c r="B185" s="41" t="s">
        <v>19</v>
      </c>
      <c r="C185" s="90"/>
      <c r="D185" s="90"/>
      <c r="E185" s="91"/>
    </row>
    <row r="186" spans="2:5" x14ac:dyDescent="0.2">
      <c r="B186" s="41"/>
      <c r="C186" s="139" t="s">
        <v>58</v>
      </c>
      <c r="D186" s="139"/>
      <c r="E186" s="139"/>
    </row>
    <row r="187" spans="2:5" ht="13.5" thickBot="1" x14ac:dyDescent="0.25">
      <c r="B187" s="43"/>
      <c r="C187" s="94"/>
      <c r="D187" s="94"/>
      <c r="E187" s="95"/>
    </row>
    <row r="188" spans="2:5" ht="13.5" thickBot="1" x14ac:dyDescent="0.25">
      <c r="C188" s="96"/>
      <c r="D188" s="96"/>
      <c r="E188" s="96"/>
    </row>
    <row r="189" spans="2:5" x14ac:dyDescent="0.2">
      <c r="B189" s="35" t="s">
        <v>73</v>
      </c>
      <c r="C189" s="97"/>
      <c r="D189" s="97"/>
      <c r="E189" s="98"/>
    </row>
    <row r="190" spans="2:5" x14ac:dyDescent="0.2">
      <c r="B190" s="38"/>
      <c r="C190" s="88"/>
      <c r="D190" s="88"/>
      <c r="E190" s="89"/>
    </row>
    <row r="191" spans="2:5" x14ac:dyDescent="0.2">
      <c r="B191" s="41" t="s">
        <v>15</v>
      </c>
      <c r="C191" s="88"/>
      <c r="D191" s="88"/>
      <c r="E191" s="89"/>
    </row>
    <row r="192" spans="2:5" x14ac:dyDescent="0.2">
      <c r="B192" s="41"/>
      <c r="C192" s="140"/>
      <c r="D192" s="140"/>
      <c r="E192" s="140"/>
    </row>
    <row r="193" spans="2:5" x14ac:dyDescent="0.2">
      <c r="B193" s="41" t="s">
        <v>16</v>
      </c>
      <c r="C193" s="88"/>
      <c r="D193" s="88"/>
      <c r="E193" s="89"/>
    </row>
    <row r="194" spans="2:5" x14ac:dyDescent="0.2">
      <c r="B194" s="42"/>
      <c r="C194" s="137" t="s">
        <v>183</v>
      </c>
      <c r="D194" s="137"/>
      <c r="E194" s="137"/>
    </row>
    <row r="195" spans="2:5" x14ac:dyDescent="0.2">
      <c r="B195" s="42"/>
      <c r="C195" s="137" t="s">
        <v>182</v>
      </c>
      <c r="D195" s="137"/>
      <c r="E195" s="137"/>
    </row>
    <row r="196" spans="2:5" x14ac:dyDescent="0.2">
      <c r="B196" s="41" t="s">
        <v>17</v>
      </c>
      <c r="C196" s="90"/>
      <c r="D196" s="90"/>
      <c r="E196" s="91"/>
    </row>
    <row r="197" spans="2:5" x14ac:dyDescent="0.2">
      <c r="B197" s="42"/>
      <c r="C197" s="136" t="s">
        <v>65</v>
      </c>
      <c r="D197" s="136"/>
      <c r="E197" s="136"/>
    </row>
    <row r="198" spans="2:5" x14ac:dyDescent="0.2">
      <c r="B198" s="41" t="s">
        <v>18</v>
      </c>
      <c r="C198" s="92"/>
      <c r="D198" s="92"/>
      <c r="E198" s="93"/>
    </row>
    <row r="199" spans="2:5" x14ac:dyDescent="0.2">
      <c r="B199" s="42"/>
      <c r="C199" s="138" t="s">
        <v>66</v>
      </c>
      <c r="D199" s="138"/>
      <c r="E199" s="138"/>
    </row>
    <row r="200" spans="2:5" x14ac:dyDescent="0.2">
      <c r="B200" s="41" t="s">
        <v>19</v>
      </c>
      <c r="C200" s="90"/>
      <c r="D200" s="90"/>
      <c r="E200" s="91"/>
    </row>
    <row r="201" spans="2:5" x14ac:dyDescent="0.2">
      <c r="B201" s="41"/>
      <c r="C201" s="139" t="s">
        <v>58</v>
      </c>
      <c r="D201" s="139"/>
      <c r="E201" s="139"/>
    </row>
    <row r="202" spans="2:5" ht="13.5" thickBot="1" x14ac:dyDescent="0.25">
      <c r="B202" s="43"/>
      <c r="C202" s="94"/>
      <c r="D202" s="94"/>
      <c r="E202" s="95"/>
    </row>
    <row r="203" spans="2:5" ht="13.5" thickBot="1" x14ac:dyDescent="0.25">
      <c r="C203" s="96"/>
      <c r="D203" s="96"/>
      <c r="E203" s="96"/>
    </row>
    <row r="204" spans="2:5" x14ac:dyDescent="0.2">
      <c r="B204" s="35" t="s">
        <v>74</v>
      </c>
      <c r="C204" s="97"/>
      <c r="D204" s="97"/>
      <c r="E204" s="98"/>
    </row>
    <row r="205" spans="2:5" x14ac:dyDescent="0.2">
      <c r="B205" s="38"/>
      <c r="C205" s="88"/>
      <c r="D205" s="88"/>
      <c r="E205" s="89"/>
    </row>
    <row r="206" spans="2:5" x14ac:dyDescent="0.2">
      <c r="B206" s="41" t="s">
        <v>15</v>
      </c>
      <c r="C206" s="88"/>
      <c r="D206" s="88"/>
      <c r="E206" s="89"/>
    </row>
    <row r="207" spans="2:5" x14ac:dyDescent="0.2">
      <c r="B207" s="41"/>
      <c r="C207" s="140"/>
      <c r="D207" s="140"/>
      <c r="E207" s="140"/>
    </row>
    <row r="208" spans="2:5" x14ac:dyDescent="0.2">
      <c r="B208" s="41" t="s">
        <v>16</v>
      </c>
      <c r="C208" s="88"/>
      <c r="D208" s="88"/>
      <c r="E208" s="89"/>
    </row>
    <row r="209" spans="2:5" x14ac:dyDescent="0.2">
      <c r="B209" s="42"/>
      <c r="C209" s="137" t="s">
        <v>183</v>
      </c>
      <c r="D209" s="137"/>
      <c r="E209" s="137"/>
    </row>
    <row r="210" spans="2:5" x14ac:dyDescent="0.2">
      <c r="B210" s="42"/>
      <c r="C210" s="137" t="s">
        <v>182</v>
      </c>
      <c r="D210" s="137"/>
      <c r="E210" s="137"/>
    </row>
    <row r="211" spans="2:5" x14ac:dyDescent="0.2">
      <c r="B211" s="41" t="s">
        <v>17</v>
      </c>
      <c r="C211" s="90"/>
      <c r="D211" s="90"/>
      <c r="E211" s="91"/>
    </row>
    <row r="212" spans="2:5" x14ac:dyDescent="0.2">
      <c r="B212" s="42"/>
      <c r="C212" s="136" t="s">
        <v>65</v>
      </c>
      <c r="D212" s="136"/>
      <c r="E212" s="136"/>
    </row>
    <row r="213" spans="2:5" x14ac:dyDescent="0.2">
      <c r="B213" s="41" t="s">
        <v>18</v>
      </c>
      <c r="C213" s="92"/>
      <c r="D213" s="92"/>
      <c r="E213" s="93"/>
    </row>
    <row r="214" spans="2:5" x14ac:dyDescent="0.2">
      <c r="B214" s="42"/>
      <c r="C214" s="138" t="s">
        <v>66</v>
      </c>
      <c r="D214" s="138"/>
      <c r="E214" s="138"/>
    </row>
    <row r="215" spans="2:5" x14ac:dyDescent="0.2">
      <c r="B215" s="41" t="s">
        <v>19</v>
      </c>
      <c r="C215" s="90"/>
      <c r="D215" s="90"/>
      <c r="E215" s="91"/>
    </row>
    <row r="216" spans="2:5" x14ac:dyDescent="0.2">
      <c r="B216" s="41"/>
      <c r="C216" s="139" t="s">
        <v>58</v>
      </c>
      <c r="D216" s="139"/>
      <c r="E216" s="139"/>
    </row>
    <row r="217" spans="2:5" ht="13.5" thickBot="1" x14ac:dyDescent="0.25">
      <c r="B217" s="43"/>
      <c r="C217" s="94"/>
      <c r="D217" s="94"/>
      <c r="E217" s="95"/>
    </row>
    <row r="218" spans="2:5" ht="13.5" thickBot="1" x14ac:dyDescent="0.25">
      <c r="C218" s="96"/>
      <c r="D218" s="96"/>
      <c r="E218" s="96"/>
    </row>
    <row r="219" spans="2:5" x14ac:dyDescent="0.2">
      <c r="B219" s="35" t="s">
        <v>75</v>
      </c>
      <c r="C219" s="97"/>
      <c r="D219" s="97"/>
      <c r="E219" s="98"/>
    </row>
    <row r="220" spans="2:5" x14ac:dyDescent="0.2">
      <c r="B220" s="38"/>
      <c r="C220" s="88"/>
      <c r="D220" s="88"/>
      <c r="E220" s="89"/>
    </row>
    <row r="221" spans="2:5" x14ac:dyDescent="0.2">
      <c r="B221" s="41" t="s">
        <v>15</v>
      </c>
      <c r="C221" s="88"/>
      <c r="D221" s="88"/>
      <c r="E221" s="89"/>
    </row>
    <row r="222" spans="2:5" x14ac:dyDescent="0.2">
      <c r="B222" s="41"/>
      <c r="C222" s="140"/>
      <c r="D222" s="140"/>
      <c r="E222" s="140"/>
    </row>
    <row r="223" spans="2:5" x14ac:dyDescent="0.2">
      <c r="B223" s="41" t="s">
        <v>16</v>
      </c>
      <c r="C223" s="88"/>
      <c r="D223" s="88"/>
      <c r="E223" s="89"/>
    </row>
    <row r="224" spans="2:5" x14ac:dyDescent="0.2">
      <c r="B224" s="42"/>
      <c r="C224" s="137" t="s">
        <v>183</v>
      </c>
      <c r="D224" s="137"/>
      <c r="E224" s="137"/>
    </row>
    <row r="225" spans="2:5" x14ac:dyDescent="0.2">
      <c r="B225" s="42"/>
      <c r="C225" s="137" t="s">
        <v>182</v>
      </c>
      <c r="D225" s="137"/>
      <c r="E225" s="137"/>
    </row>
    <row r="226" spans="2:5" x14ac:dyDescent="0.2">
      <c r="B226" s="41" t="s">
        <v>17</v>
      </c>
      <c r="C226" s="90"/>
      <c r="D226" s="90"/>
      <c r="E226" s="91"/>
    </row>
    <row r="227" spans="2:5" x14ac:dyDescent="0.2">
      <c r="B227" s="42"/>
      <c r="C227" s="136" t="s">
        <v>65</v>
      </c>
      <c r="D227" s="136"/>
      <c r="E227" s="136"/>
    </row>
    <row r="228" spans="2:5" x14ac:dyDescent="0.2">
      <c r="B228" s="41" t="s">
        <v>18</v>
      </c>
      <c r="C228" s="92"/>
      <c r="D228" s="92"/>
      <c r="E228" s="93"/>
    </row>
    <row r="229" spans="2:5" x14ac:dyDescent="0.2">
      <c r="B229" s="42"/>
      <c r="C229" s="138" t="s">
        <v>66</v>
      </c>
      <c r="D229" s="138"/>
      <c r="E229" s="138"/>
    </row>
    <row r="230" spans="2:5" x14ac:dyDescent="0.2">
      <c r="B230" s="41" t="s">
        <v>19</v>
      </c>
      <c r="C230" s="90"/>
      <c r="D230" s="90"/>
      <c r="E230" s="91"/>
    </row>
    <row r="231" spans="2:5" x14ac:dyDescent="0.2">
      <c r="B231" s="41"/>
      <c r="C231" s="139" t="s">
        <v>58</v>
      </c>
      <c r="D231" s="139"/>
      <c r="E231" s="139"/>
    </row>
    <row r="232" spans="2:5" ht="13.5" thickBot="1" x14ac:dyDescent="0.25">
      <c r="B232" s="43"/>
      <c r="C232" s="94"/>
      <c r="D232" s="94"/>
      <c r="E232" s="95"/>
    </row>
    <row r="233" spans="2:5" ht="13.5" thickBot="1" x14ac:dyDescent="0.25">
      <c r="C233" s="96"/>
      <c r="D233" s="96"/>
      <c r="E233" s="96"/>
    </row>
    <row r="234" spans="2:5" x14ac:dyDescent="0.2">
      <c r="B234" s="35" t="s">
        <v>76</v>
      </c>
      <c r="C234" s="97"/>
      <c r="D234" s="97"/>
      <c r="E234" s="98"/>
    </row>
    <row r="235" spans="2:5" x14ac:dyDescent="0.2">
      <c r="B235" s="38"/>
      <c r="C235" s="88"/>
      <c r="D235" s="88"/>
      <c r="E235" s="89"/>
    </row>
    <row r="236" spans="2:5" x14ac:dyDescent="0.2">
      <c r="B236" s="41" t="s">
        <v>15</v>
      </c>
      <c r="C236" s="88"/>
      <c r="D236" s="88"/>
      <c r="E236" s="89"/>
    </row>
    <row r="237" spans="2:5" x14ac:dyDescent="0.2">
      <c r="B237" s="41"/>
      <c r="C237" s="140"/>
      <c r="D237" s="140"/>
      <c r="E237" s="140"/>
    </row>
    <row r="238" spans="2:5" x14ac:dyDescent="0.2">
      <c r="B238" s="41" t="s">
        <v>16</v>
      </c>
      <c r="C238" s="88"/>
      <c r="D238" s="88"/>
      <c r="E238" s="89"/>
    </row>
    <row r="239" spans="2:5" x14ac:dyDescent="0.2">
      <c r="B239" s="42"/>
      <c r="C239" s="137" t="s">
        <v>183</v>
      </c>
      <c r="D239" s="137"/>
      <c r="E239" s="137"/>
    </row>
    <row r="240" spans="2:5" x14ac:dyDescent="0.2">
      <c r="B240" s="42"/>
      <c r="C240" s="137" t="s">
        <v>182</v>
      </c>
      <c r="D240" s="137"/>
      <c r="E240" s="137"/>
    </row>
    <row r="241" spans="2:5" x14ac:dyDescent="0.2">
      <c r="B241" s="41" t="s">
        <v>17</v>
      </c>
      <c r="C241" s="90"/>
      <c r="D241" s="90"/>
      <c r="E241" s="91"/>
    </row>
    <row r="242" spans="2:5" x14ac:dyDescent="0.2">
      <c r="B242" s="42"/>
      <c r="C242" s="136" t="s">
        <v>65</v>
      </c>
      <c r="D242" s="136"/>
      <c r="E242" s="136"/>
    </row>
    <row r="243" spans="2:5" x14ac:dyDescent="0.2">
      <c r="B243" s="41" t="s">
        <v>18</v>
      </c>
      <c r="C243" s="92"/>
      <c r="D243" s="92"/>
      <c r="E243" s="93"/>
    </row>
    <row r="244" spans="2:5" x14ac:dyDescent="0.2">
      <c r="B244" s="42"/>
      <c r="C244" s="138" t="s">
        <v>66</v>
      </c>
      <c r="D244" s="138"/>
      <c r="E244" s="138"/>
    </row>
    <row r="245" spans="2:5" x14ac:dyDescent="0.2">
      <c r="B245" s="41" t="s">
        <v>19</v>
      </c>
      <c r="C245" s="90"/>
      <c r="D245" s="90"/>
      <c r="E245" s="91"/>
    </row>
    <row r="246" spans="2:5" x14ac:dyDescent="0.2">
      <c r="B246" s="41"/>
      <c r="C246" s="139" t="s">
        <v>58</v>
      </c>
      <c r="D246" s="139"/>
      <c r="E246" s="139"/>
    </row>
    <row r="247" spans="2:5" ht="13.5" thickBot="1" x14ac:dyDescent="0.25">
      <c r="B247" s="43"/>
      <c r="C247" s="94"/>
      <c r="D247" s="94"/>
      <c r="E247" s="95"/>
    </row>
    <row r="248" spans="2:5" ht="13.5" thickBot="1" x14ac:dyDescent="0.25">
      <c r="C248" s="96"/>
      <c r="D248" s="96"/>
      <c r="E248" s="96"/>
    </row>
    <row r="249" spans="2:5" x14ac:dyDescent="0.2">
      <c r="B249" s="35" t="s">
        <v>77</v>
      </c>
      <c r="C249" s="97"/>
      <c r="D249" s="97"/>
      <c r="E249" s="98"/>
    </row>
    <row r="250" spans="2:5" x14ac:dyDescent="0.2">
      <c r="B250" s="38"/>
      <c r="C250" s="88"/>
      <c r="D250" s="88"/>
      <c r="E250" s="89"/>
    </row>
    <row r="251" spans="2:5" x14ac:dyDescent="0.2">
      <c r="B251" s="41" t="s">
        <v>15</v>
      </c>
      <c r="C251" s="88"/>
      <c r="D251" s="88"/>
      <c r="E251" s="89"/>
    </row>
    <row r="252" spans="2:5" x14ac:dyDescent="0.2">
      <c r="B252" s="41"/>
      <c r="C252" s="140"/>
      <c r="D252" s="140"/>
      <c r="E252" s="140"/>
    </row>
    <row r="253" spans="2:5" x14ac:dyDescent="0.2">
      <c r="B253" s="41" t="s">
        <v>16</v>
      </c>
      <c r="C253" s="88"/>
      <c r="D253" s="88"/>
      <c r="E253" s="89"/>
    </row>
    <row r="254" spans="2:5" x14ac:dyDescent="0.2">
      <c r="B254" s="42"/>
      <c r="C254" s="137" t="s">
        <v>183</v>
      </c>
      <c r="D254" s="137"/>
      <c r="E254" s="137"/>
    </row>
    <row r="255" spans="2:5" x14ac:dyDescent="0.2">
      <c r="B255" s="42"/>
      <c r="C255" s="137" t="s">
        <v>182</v>
      </c>
      <c r="D255" s="137"/>
      <c r="E255" s="137"/>
    </row>
    <row r="256" spans="2:5" x14ac:dyDescent="0.2">
      <c r="B256" s="41" t="s">
        <v>17</v>
      </c>
      <c r="C256" s="90"/>
      <c r="D256" s="90"/>
      <c r="E256" s="91"/>
    </row>
    <row r="257" spans="2:5" x14ac:dyDescent="0.2">
      <c r="B257" s="42"/>
      <c r="C257" s="136" t="s">
        <v>65</v>
      </c>
      <c r="D257" s="136"/>
      <c r="E257" s="136"/>
    </row>
    <row r="258" spans="2:5" x14ac:dyDescent="0.2">
      <c r="B258" s="41" t="s">
        <v>18</v>
      </c>
      <c r="C258" s="92"/>
      <c r="D258" s="92"/>
      <c r="E258" s="93"/>
    </row>
    <row r="259" spans="2:5" x14ac:dyDescent="0.2">
      <c r="B259" s="42"/>
      <c r="C259" s="138" t="s">
        <v>66</v>
      </c>
      <c r="D259" s="138"/>
      <c r="E259" s="138"/>
    </row>
    <row r="260" spans="2:5" x14ac:dyDescent="0.2">
      <c r="B260" s="41" t="s">
        <v>19</v>
      </c>
      <c r="C260" s="90"/>
      <c r="D260" s="90"/>
      <c r="E260" s="91"/>
    </row>
    <row r="261" spans="2:5" x14ac:dyDescent="0.2">
      <c r="B261" s="41"/>
      <c r="C261" s="139" t="s">
        <v>58</v>
      </c>
      <c r="D261" s="139"/>
      <c r="E261" s="139"/>
    </row>
    <row r="262" spans="2:5" ht="13.5" thickBot="1" x14ac:dyDescent="0.25">
      <c r="B262" s="43"/>
      <c r="C262" s="94"/>
      <c r="D262" s="94"/>
      <c r="E262" s="95"/>
    </row>
    <row r="263" spans="2:5" ht="13.5" thickBot="1" x14ac:dyDescent="0.25">
      <c r="C263" s="96"/>
      <c r="D263" s="96"/>
      <c r="E263" s="96"/>
    </row>
    <row r="264" spans="2:5" x14ac:dyDescent="0.2">
      <c r="B264" s="35" t="s">
        <v>78</v>
      </c>
      <c r="C264" s="97"/>
      <c r="D264" s="97"/>
      <c r="E264" s="98"/>
    </row>
    <row r="265" spans="2:5" x14ac:dyDescent="0.2">
      <c r="B265" s="38"/>
      <c r="C265" s="88"/>
      <c r="D265" s="88"/>
      <c r="E265" s="89"/>
    </row>
    <row r="266" spans="2:5" x14ac:dyDescent="0.2">
      <c r="B266" s="41" t="s">
        <v>15</v>
      </c>
      <c r="C266" s="88"/>
      <c r="D266" s="88"/>
      <c r="E266" s="89"/>
    </row>
    <row r="267" spans="2:5" x14ac:dyDescent="0.2">
      <c r="B267" s="41"/>
      <c r="C267" s="135"/>
      <c r="D267" s="135"/>
      <c r="E267" s="136"/>
    </row>
    <row r="268" spans="2:5" x14ac:dyDescent="0.2">
      <c r="B268" s="41" t="s">
        <v>16</v>
      </c>
      <c r="C268" s="88"/>
      <c r="D268" s="88"/>
      <c r="E268" s="89"/>
    </row>
    <row r="269" spans="2:5" x14ac:dyDescent="0.2">
      <c r="B269" s="42"/>
      <c r="C269" s="137" t="s">
        <v>183</v>
      </c>
      <c r="D269" s="137"/>
      <c r="E269" s="137"/>
    </row>
    <row r="270" spans="2:5" x14ac:dyDescent="0.2">
      <c r="B270" s="42"/>
      <c r="C270" s="137" t="s">
        <v>182</v>
      </c>
      <c r="D270" s="137"/>
      <c r="E270" s="137"/>
    </row>
    <row r="271" spans="2:5" x14ac:dyDescent="0.2">
      <c r="B271" s="41" t="s">
        <v>17</v>
      </c>
      <c r="C271" s="90"/>
      <c r="D271" s="90"/>
      <c r="E271" s="91"/>
    </row>
    <row r="272" spans="2:5" x14ac:dyDescent="0.2">
      <c r="B272" s="42"/>
      <c r="C272" s="136" t="s">
        <v>65</v>
      </c>
      <c r="D272" s="136"/>
      <c r="E272" s="136"/>
    </row>
    <row r="273" spans="2:5" x14ac:dyDescent="0.2">
      <c r="B273" s="41" t="s">
        <v>18</v>
      </c>
      <c r="C273" s="92"/>
      <c r="D273" s="92"/>
      <c r="E273" s="93"/>
    </row>
    <row r="274" spans="2:5" x14ac:dyDescent="0.2">
      <c r="B274" s="42"/>
      <c r="C274" s="138" t="s">
        <v>66</v>
      </c>
      <c r="D274" s="138"/>
      <c r="E274" s="138"/>
    </row>
    <row r="275" spans="2:5" x14ac:dyDescent="0.2">
      <c r="B275" s="41" t="s">
        <v>19</v>
      </c>
      <c r="C275" s="90"/>
      <c r="D275" s="90"/>
      <c r="E275" s="91"/>
    </row>
    <row r="276" spans="2:5" x14ac:dyDescent="0.2">
      <c r="B276" s="41"/>
      <c r="C276" s="139" t="s">
        <v>58</v>
      </c>
      <c r="D276" s="139"/>
      <c r="E276" s="139"/>
    </row>
    <row r="277" spans="2:5" ht="13.5" thickBot="1" x14ac:dyDescent="0.25">
      <c r="B277" s="43"/>
      <c r="C277" s="94"/>
      <c r="D277" s="94"/>
      <c r="E277" s="95"/>
    </row>
    <row r="278" spans="2:5" ht="13.5" thickBot="1" x14ac:dyDescent="0.25">
      <c r="C278" s="96"/>
      <c r="D278" s="96"/>
      <c r="E278" s="96"/>
    </row>
    <row r="279" spans="2:5" x14ac:dyDescent="0.2">
      <c r="B279" s="35" t="s">
        <v>79</v>
      </c>
      <c r="C279" s="97"/>
      <c r="D279" s="97"/>
      <c r="E279" s="98"/>
    </row>
    <row r="280" spans="2:5" x14ac:dyDescent="0.2">
      <c r="B280" s="38"/>
      <c r="C280" s="88"/>
      <c r="D280" s="88"/>
      <c r="E280" s="89"/>
    </row>
    <row r="281" spans="2:5" x14ac:dyDescent="0.2">
      <c r="B281" s="41" t="s">
        <v>15</v>
      </c>
      <c r="C281" s="88"/>
      <c r="D281" s="88"/>
      <c r="E281" s="89"/>
    </row>
    <row r="282" spans="2:5" x14ac:dyDescent="0.2">
      <c r="B282" s="41"/>
      <c r="C282" s="135"/>
      <c r="D282" s="135"/>
      <c r="E282" s="136"/>
    </row>
    <row r="283" spans="2:5" x14ac:dyDescent="0.2">
      <c r="B283" s="41" t="s">
        <v>16</v>
      </c>
      <c r="C283" s="88"/>
      <c r="D283" s="88"/>
      <c r="E283" s="89"/>
    </row>
    <row r="284" spans="2:5" x14ac:dyDescent="0.2">
      <c r="B284" s="42"/>
      <c r="C284" s="137" t="s">
        <v>183</v>
      </c>
      <c r="D284" s="137"/>
      <c r="E284" s="137"/>
    </row>
    <row r="285" spans="2:5" x14ac:dyDescent="0.2">
      <c r="B285" s="42"/>
      <c r="C285" s="137" t="s">
        <v>182</v>
      </c>
      <c r="D285" s="137"/>
      <c r="E285" s="137"/>
    </row>
    <row r="286" spans="2:5" x14ac:dyDescent="0.2">
      <c r="B286" s="41" t="s">
        <v>17</v>
      </c>
      <c r="C286" s="90"/>
      <c r="D286" s="90"/>
      <c r="E286" s="91"/>
    </row>
    <row r="287" spans="2:5" x14ac:dyDescent="0.2">
      <c r="B287" s="42"/>
      <c r="C287" s="136" t="s">
        <v>65</v>
      </c>
      <c r="D287" s="136"/>
      <c r="E287" s="136"/>
    </row>
    <row r="288" spans="2:5" x14ac:dyDescent="0.2">
      <c r="B288" s="41" t="s">
        <v>18</v>
      </c>
      <c r="C288" s="92"/>
      <c r="D288" s="92"/>
      <c r="E288" s="93"/>
    </row>
    <row r="289" spans="2:5" x14ac:dyDescent="0.2">
      <c r="B289" s="42"/>
      <c r="C289" s="138" t="s">
        <v>66</v>
      </c>
      <c r="D289" s="138"/>
      <c r="E289" s="138"/>
    </row>
    <row r="290" spans="2:5" x14ac:dyDescent="0.2">
      <c r="B290" s="41" t="s">
        <v>19</v>
      </c>
      <c r="C290" s="90"/>
      <c r="D290" s="90"/>
      <c r="E290" s="91"/>
    </row>
    <row r="291" spans="2:5" x14ac:dyDescent="0.2">
      <c r="B291" s="41"/>
      <c r="C291" s="139" t="s">
        <v>58</v>
      </c>
      <c r="D291" s="139"/>
      <c r="E291" s="139"/>
    </row>
    <row r="292" spans="2:5" ht="13.5" thickBot="1" x14ac:dyDescent="0.25">
      <c r="B292" s="43"/>
      <c r="C292" s="94"/>
      <c r="D292" s="94"/>
      <c r="E292" s="95"/>
    </row>
    <row r="293" spans="2:5" x14ac:dyDescent="0.2">
      <c r="C293" s="96"/>
      <c r="D293" s="96"/>
      <c r="E293" s="96"/>
    </row>
    <row r="294" spans="2:5" hidden="1" x14ac:dyDescent="0.2">
      <c r="B294" s="35" t="s">
        <v>80</v>
      </c>
      <c r="C294" s="97"/>
      <c r="D294" s="97"/>
      <c r="E294" s="98"/>
    </row>
    <row r="295" spans="2:5" hidden="1" x14ac:dyDescent="0.2">
      <c r="B295" s="38"/>
      <c r="C295" s="88"/>
      <c r="D295" s="88"/>
      <c r="E295" s="89"/>
    </row>
    <row r="296" spans="2:5" hidden="1" x14ac:dyDescent="0.2">
      <c r="B296" s="41" t="s">
        <v>15</v>
      </c>
      <c r="C296" s="88"/>
      <c r="D296" s="88"/>
      <c r="E296" s="89"/>
    </row>
    <row r="297" spans="2:5" hidden="1" x14ac:dyDescent="0.2">
      <c r="B297" s="41"/>
      <c r="C297" s="140" t="s">
        <v>128</v>
      </c>
      <c r="D297" s="140"/>
      <c r="E297" s="140"/>
    </row>
    <row r="298" spans="2:5" hidden="1" x14ac:dyDescent="0.2">
      <c r="B298" s="41" t="s">
        <v>16</v>
      </c>
      <c r="C298" s="88"/>
      <c r="D298" s="88"/>
      <c r="E298" s="89"/>
    </row>
    <row r="299" spans="2:5" hidden="1" x14ac:dyDescent="0.2">
      <c r="B299" s="42"/>
      <c r="C299" s="137" t="s">
        <v>63</v>
      </c>
      <c r="D299" s="137"/>
      <c r="E299" s="137"/>
    </row>
    <row r="300" spans="2:5" hidden="1" x14ac:dyDescent="0.2">
      <c r="B300" s="42"/>
      <c r="C300" s="137" t="s">
        <v>64</v>
      </c>
      <c r="D300" s="137"/>
      <c r="E300" s="137"/>
    </row>
    <row r="301" spans="2:5" hidden="1" x14ac:dyDescent="0.2">
      <c r="B301" s="41" t="s">
        <v>17</v>
      </c>
      <c r="C301" s="90"/>
      <c r="D301" s="90"/>
      <c r="E301" s="91"/>
    </row>
    <row r="302" spans="2:5" hidden="1" x14ac:dyDescent="0.2">
      <c r="B302" s="42"/>
      <c r="C302" s="136" t="s">
        <v>65</v>
      </c>
      <c r="D302" s="136"/>
      <c r="E302" s="136"/>
    </row>
    <row r="303" spans="2:5" hidden="1" x14ac:dyDescent="0.2">
      <c r="B303" s="41" t="s">
        <v>18</v>
      </c>
      <c r="C303" s="92"/>
      <c r="D303" s="92"/>
      <c r="E303" s="93"/>
    </row>
    <row r="304" spans="2:5" hidden="1" x14ac:dyDescent="0.2">
      <c r="B304" s="42"/>
      <c r="C304" s="138" t="s">
        <v>66</v>
      </c>
      <c r="D304" s="138"/>
      <c r="E304" s="138"/>
    </row>
    <row r="305" spans="2:5" hidden="1" x14ac:dyDescent="0.2">
      <c r="B305" s="41" t="s">
        <v>19</v>
      </c>
      <c r="C305" s="90"/>
      <c r="D305" s="90"/>
      <c r="E305" s="91"/>
    </row>
    <row r="306" spans="2:5" hidden="1" x14ac:dyDescent="0.2">
      <c r="B306" s="41"/>
      <c r="C306" s="139" t="s">
        <v>58</v>
      </c>
      <c r="D306" s="139"/>
      <c r="E306" s="139"/>
    </row>
    <row r="307" spans="2:5" ht="13.5" hidden="1" thickBot="1" x14ac:dyDescent="0.25">
      <c r="B307" s="43"/>
      <c r="C307" s="94"/>
      <c r="D307" s="94"/>
      <c r="E307" s="95"/>
    </row>
    <row r="308" spans="2:5" ht="13.5" thickBot="1" x14ac:dyDescent="0.25">
      <c r="C308" s="96"/>
      <c r="D308" s="96"/>
      <c r="E308" s="96"/>
    </row>
    <row r="309" spans="2:5" x14ac:dyDescent="0.2">
      <c r="B309" s="35" t="s">
        <v>80</v>
      </c>
      <c r="C309" s="97"/>
      <c r="D309" s="97"/>
      <c r="E309" s="98"/>
    </row>
    <row r="310" spans="2:5" x14ac:dyDescent="0.2">
      <c r="B310" s="38"/>
      <c r="C310" s="88"/>
      <c r="D310" s="88"/>
      <c r="E310" s="89"/>
    </row>
    <row r="311" spans="2:5" x14ac:dyDescent="0.2">
      <c r="B311" s="41" t="s">
        <v>15</v>
      </c>
      <c r="C311" s="88"/>
      <c r="D311" s="88"/>
      <c r="E311" s="89"/>
    </row>
    <row r="312" spans="2:5" x14ac:dyDescent="0.2">
      <c r="B312" s="41"/>
      <c r="C312" s="135" t="s">
        <v>281</v>
      </c>
      <c r="D312" s="135"/>
      <c r="E312" s="136"/>
    </row>
    <row r="313" spans="2:5" x14ac:dyDescent="0.2">
      <c r="B313" s="41" t="s">
        <v>16</v>
      </c>
      <c r="C313" s="88"/>
      <c r="D313" s="88"/>
      <c r="E313" s="89"/>
    </row>
    <row r="314" spans="2:5" x14ac:dyDescent="0.2">
      <c r="B314" s="42"/>
      <c r="C314" s="137" t="s">
        <v>183</v>
      </c>
      <c r="D314" s="137"/>
      <c r="E314" s="137"/>
    </row>
    <row r="315" spans="2:5" x14ac:dyDescent="0.2">
      <c r="B315" s="42"/>
      <c r="C315" s="137" t="s">
        <v>182</v>
      </c>
      <c r="D315" s="137"/>
      <c r="E315" s="137"/>
    </row>
    <row r="316" spans="2:5" x14ac:dyDescent="0.2">
      <c r="B316" s="41" t="s">
        <v>17</v>
      </c>
      <c r="C316" s="90"/>
      <c r="D316" s="90"/>
      <c r="E316" s="91"/>
    </row>
    <row r="317" spans="2:5" x14ac:dyDescent="0.2">
      <c r="B317" s="42"/>
      <c r="C317" s="136" t="s">
        <v>65</v>
      </c>
      <c r="D317" s="136"/>
      <c r="E317" s="136"/>
    </row>
    <row r="318" spans="2:5" x14ac:dyDescent="0.2">
      <c r="B318" s="41" t="s">
        <v>18</v>
      </c>
      <c r="C318" s="92"/>
      <c r="D318" s="92"/>
      <c r="E318" s="93"/>
    </row>
    <row r="319" spans="2:5" x14ac:dyDescent="0.2">
      <c r="B319" s="42"/>
      <c r="C319" s="138" t="s">
        <v>66</v>
      </c>
      <c r="D319" s="138"/>
      <c r="E319" s="138"/>
    </row>
    <row r="320" spans="2:5" x14ac:dyDescent="0.2">
      <c r="B320" s="41" t="s">
        <v>19</v>
      </c>
      <c r="C320" s="90"/>
      <c r="D320" s="90"/>
      <c r="E320" s="91"/>
    </row>
    <row r="321" spans="2:5" x14ac:dyDescent="0.2">
      <c r="B321" s="41"/>
      <c r="C321" s="139" t="s">
        <v>58</v>
      </c>
      <c r="D321" s="139"/>
      <c r="E321" s="139"/>
    </row>
    <row r="322" spans="2:5" ht="13.5" thickBot="1" x14ac:dyDescent="0.25">
      <c r="B322" s="43"/>
      <c r="C322" s="94"/>
      <c r="D322" s="94"/>
      <c r="E322" s="95"/>
    </row>
    <row r="323" spans="2:5" ht="13.5" thickBot="1" x14ac:dyDescent="0.25">
      <c r="C323" s="96"/>
      <c r="D323" s="96"/>
      <c r="E323" s="96"/>
    </row>
    <row r="324" spans="2:5" x14ac:dyDescent="0.2">
      <c r="B324" s="35" t="s">
        <v>81</v>
      </c>
      <c r="C324" s="97"/>
      <c r="D324" s="97"/>
      <c r="E324" s="98"/>
    </row>
    <row r="325" spans="2:5" x14ac:dyDescent="0.2">
      <c r="B325" s="38"/>
      <c r="C325" s="88"/>
      <c r="D325" s="88"/>
      <c r="E325" s="89"/>
    </row>
    <row r="326" spans="2:5" x14ac:dyDescent="0.2">
      <c r="B326" s="41" t="s">
        <v>15</v>
      </c>
      <c r="C326" s="88"/>
      <c r="D326" s="88"/>
      <c r="E326" s="89"/>
    </row>
    <row r="327" spans="2:5" x14ac:dyDescent="0.2">
      <c r="B327" s="41"/>
      <c r="C327" s="135"/>
      <c r="D327" s="135"/>
      <c r="E327" s="136"/>
    </row>
    <row r="328" spans="2:5" x14ac:dyDescent="0.2">
      <c r="B328" s="41" t="s">
        <v>16</v>
      </c>
      <c r="C328" s="88"/>
      <c r="D328" s="88"/>
      <c r="E328" s="89"/>
    </row>
    <row r="329" spans="2:5" x14ac:dyDescent="0.2">
      <c r="B329" s="42"/>
      <c r="C329" s="137" t="s">
        <v>183</v>
      </c>
      <c r="D329" s="137"/>
      <c r="E329" s="137"/>
    </row>
    <row r="330" spans="2:5" x14ac:dyDescent="0.2">
      <c r="B330" s="42"/>
      <c r="C330" s="137" t="s">
        <v>182</v>
      </c>
      <c r="D330" s="137"/>
      <c r="E330" s="137"/>
    </row>
    <row r="331" spans="2:5" x14ac:dyDescent="0.2">
      <c r="B331" s="41" t="s">
        <v>17</v>
      </c>
      <c r="C331" s="90"/>
      <c r="D331" s="90"/>
      <c r="E331" s="91"/>
    </row>
    <row r="332" spans="2:5" x14ac:dyDescent="0.2">
      <c r="B332" s="42"/>
      <c r="C332" s="136" t="s">
        <v>65</v>
      </c>
      <c r="D332" s="136"/>
      <c r="E332" s="136"/>
    </row>
    <row r="333" spans="2:5" x14ac:dyDescent="0.2">
      <c r="B333" s="41" t="s">
        <v>18</v>
      </c>
      <c r="C333" s="92"/>
      <c r="D333" s="92"/>
      <c r="E333" s="93"/>
    </row>
    <row r="334" spans="2:5" x14ac:dyDescent="0.2">
      <c r="B334" s="42"/>
      <c r="C334" s="138" t="s">
        <v>66</v>
      </c>
      <c r="D334" s="138"/>
      <c r="E334" s="138"/>
    </row>
    <row r="335" spans="2:5" x14ac:dyDescent="0.2">
      <c r="B335" s="41" t="s">
        <v>19</v>
      </c>
      <c r="C335" s="90"/>
      <c r="D335" s="90"/>
      <c r="E335" s="91"/>
    </row>
    <row r="336" spans="2:5" x14ac:dyDescent="0.2">
      <c r="B336" s="41"/>
      <c r="C336" s="139" t="s">
        <v>58</v>
      </c>
      <c r="D336" s="139"/>
      <c r="E336" s="139"/>
    </row>
    <row r="337" spans="2:5" ht="13.5" thickBot="1" x14ac:dyDescent="0.25">
      <c r="B337" s="43"/>
      <c r="C337" s="94"/>
      <c r="D337" s="94"/>
      <c r="E337" s="95"/>
    </row>
    <row r="338" spans="2:5" ht="13.5" thickBot="1" x14ac:dyDescent="0.25">
      <c r="C338" s="96"/>
      <c r="D338" s="96"/>
      <c r="E338" s="96"/>
    </row>
    <row r="339" spans="2:5" hidden="1" x14ac:dyDescent="0.2">
      <c r="B339" s="35" t="s">
        <v>82</v>
      </c>
      <c r="C339" s="97"/>
      <c r="D339" s="97"/>
      <c r="E339" s="98"/>
    </row>
    <row r="340" spans="2:5" hidden="1" x14ac:dyDescent="0.2">
      <c r="B340" s="38"/>
      <c r="C340" s="88"/>
      <c r="D340" s="88"/>
      <c r="E340" s="89"/>
    </row>
    <row r="341" spans="2:5" hidden="1" x14ac:dyDescent="0.2">
      <c r="B341" s="41" t="s">
        <v>15</v>
      </c>
      <c r="C341" s="88"/>
      <c r="D341" s="88"/>
      <c r="E341" s="89"/>
    </row>
    <row r="342" spans="2:5" hidden="1" x14ac:dyDescent="0.2">
      <c r="B342" s="41"/>
      <c r="C342" s="140" t="s">
        <v>83</v>
      </c>
      <c r="D342" s="140"/>
      <c r="E342" s="140"/>
    </row>
    <row r="343" spans="2:5" hidden="1" x14ac:dyDescent="0.2">
      <c r="B343" s="41" t="s">
        <v>16</v>
      </c>
      <c r="C343" s="88"/>
      <c r="D343" s="88"/>
      <c r="E343" s="89"/>
    </row>
    <row r="344" spans="2:5" hidden="1" x14ac:dyDescent="0.2">
      <c r="B344" s="42"/>
      <c r="C344" s="137" t="s">
        <v>63</v>
      </c>
      <c r="D344" s="137"/>
      <c r="E344" s="137"/>
    </row>
    <row r="345" spans="2:5" hidden="1" x14ac:dyDescent="0.2">
      <c r="B345" s="42"/>
      <c r="C345" s="137" t="s">
        <v>64</v>
      </c>
      <c r="D345" s="137"/>
      <c r="E345" s="137"/>
    </row>
    <row r="346" spans="2:5" hidden="1" x14ac:dyDescent="0.2">
      <c r="B346" s="41" t="s">
        <v>17</v>
      </c>
      <c r="C346" s="90"/>
      <c r="D346" s="90"/>
      <c r="E346" s="91"/>
    </row>
    <row r="347" spans="2:5" hidden="1" x14ac:dyDescent="0.2">
      <c r="B347" s="42"/>
      <c r="C347" s="136" t="s">
        <v>65</v>
      </c>
      <c r="D347" s="136"/>
      <c r="E347" s="136"/>
    </row>
    <row r="348" spans="2:5" hidden="1" x14ac:dyDescent="0.2">
      <c r="B348" s="41" t="s">
        <v>18</v>
      </c>
      <c r="C348" s="92"/>
      <c r="D348" s="92"/>
      <c r="E348" s="93"/>
    </row>
    <row r="349" spans="2:5" hidden="1" x14ac:dyDescent="0.2">
      <c r="B349" s="42"/>
      <c r="C349" s="138" t="s">
        <v>66</v>
      </c>
      <c r="D349" s="138"/>
      <c r="E349" s="138"/>
    </row>
    <row r="350" spans="2:5" hidden="1" x14ac:dyDescent="0.2">
      <c r="B350" s="41" t="s">
        <v>19</v>
      </c>
      <c r="C350" s="90"/>
      <c r="D350" s="90"/>
      <c r="E350" s="91"/>
    </row>
    <row r="351" spans="2:5" hidden="1" x14ac:dyDescent="0.2">
      <c r="B351" s="41"/>
      <c r="C351" s="139" t="s">
        <v>58</v>
      </c>
      <c r="D351" s="139"/>
      <c r="E351" s="139"/>
    </row>
    <row r="352" spans="2:5" ht="13.5" hidden="1" thickBot="1" x14ac:dyDescent="0.25">
      <c r="B352" s="43"/>
      <c r="C352" s="94"/>
      <c r="D352" s="94"/>
      <c r="E352" s="95"/>
    </row>
    <row r="353" spans="2:5" ht="13.5" hidden="1" thickBot="1" x14ac:dyDescent="0.25">
      <c r="C353" s="96"/>
      <c r="D353" s="96"/>
      <c r="E353" s="96"/>
    </row>
    <row r="354" spans="2:5" hidden="1" x14ac:dyDescent="0.2">
      <c r="B354" s="35" t="s">
        <v>84</v>
      </c>
      <c r="C354" s="97"/>
      <c r="D354" s="97"/>
      <c r="E354" s="98"/>
    </row>
    <row r="355" spans="2:5" hidden="1" x14ac:dyDescent="0.2">
      <c r="B355" s="38"/>
      <c r="C355" s="88"/>
      <c r="D355" s="88"/>
      <c r="E355" s="89"/>
    </row>
    <row r="356" spans="2:5" hidden="1" x14ac:dyDescent="0.2">
      <c r="B356" s="41" t="s">
        <v>15</v>
      </c>
      <c r="C356" s="88"/>
      <c r="D356" s="88"/>
      <c r="E356" s="89"/>
    </row>
    <row r="357" spans="2:5" hidden="1" x14ac:dyDescent="0.2">
      <c r="B357" s="41"/>
      <c r="C357" s="140" t="s">
        <v>85</v>
      </c>
      <c r="D357" s="140"/>
      <c r="E357" s="140"/>
    </row>
    <row r="358" spans="2:5" hidden="1" x14ac:dyDescent="0.2">
      <c r="B358" s="41" t="s">
        <v>16</v>
      </c>
      <c r="C358" s="88"/>
      <c r="D358" s="88"/>
      <c r="E358" s="89"/>
    </row>
    <row r="359" spans="2:5" hidden="1" x14ac:dyDescent="0.2">
      <c r="B359" s="42"/>
      <c r="C359" s="137" t="s">
        <v>63</v>
      </c>
      <c r="D359" s="137"/>
      <c r="E359" s="137"/>
    </row>
    <row r="360" spans="2:5" hidden="1" x14ac:dyDescent="0.2">
      <c r="B360" s="42"/>
      <c r="C360" s="137" t="s">
        <v>64</v>
      </c>
      <c r="D360" s="137"/>
      <c r="E360" s="137"/>
    </row>
    <row r="361" spans="2:5" hidden="1" x14ac:dyDescent="0.2">
      <c r="B361" s="41" t="s">
        <v>17</v>
      </c>
      <c r="C361" s="90"/>
      <c r="D361" s="90"/>
      <c r="E361" s="91"/>
    </row>
    <row r="362" spans="2:5" hidden="1" x14ac:dyDescent="0.2">
      <c r="B362" s="42"/>
      <c r="C362" s="136" t="s">
        <v>65</v>
      </c>
      <c r="D362" s="136"/>
      <c r="E362" s="136"/>
    </row>
    <row r="363" spans="2:5" hidden="1" x14ac:dyDescent="0.2">
      <c r="B363" s="41" t="s">
        <v>18</v>
      </c>
      <c r="C363" s="92"/>
      <c r="D363" s="92"/>
      <c r="E363" s="93"/>
    </row>
    <row r="364" spans="2:5" hidden="1" x14ac:dyDescent="0.2">
      <c r="B364" s="42"/>
      <c r="C364" s="138" t="s">
        <v>66</v>
      </c>
      <c r="D364" s="138"/>
      <c r="E364" s="138"/>
    </row>
    <row r="365" spans="2:5" hidden="1" x14ac:dyDescent="0.2">
      <c r="B365" s="41" t="s">
        <v>19</v>
      </c>
      <c r="C365" s="90"/>
      <c r="D365" s="90"/>
      <c r="E365" s="91"/>
    </row>
    <row r="366" spans="2:5" hidden="1" x14ac:dyDescent="0.2">
      <c r="B366" s="41"/>
      <c r="C366" s="139" t="s">
        <v>58</v>
      </c>
      <c r="D366" s="139"/>
      <c r="E366" s="139"/>
    </row>
    <row r="367" spans="2:5" ht="13.5" hidden="1" thickBot="1" x14ac:dyDescent="0.25">
      <c r="B367" s="43"/>
      <c r="C367" s="94"/>
      <c r="D367" s="94"/>
      <c r="E367" s="95"/>
    </row>
    <row r="368" spans="2:5" ht="13.5" hidden="1" thickBot="1" x14ac:dyDescent="0.25">
      <c r="C368" s="96"/>
      <c r="D368" s="96"/>
      <c r="E368" s="96"/>
    </row>
    <row r="369" spans="2:5" hidden="1" x14ac:dyDescent="0.2">
      <c r="B369" s="35" t="s">
        <v>86</v>
      </c>
      <c r="C369" s="97"/>
      <c r="D369" s="97"/>
      <c r="E369" s="98"/>
    </row>
    <row r="370" spans="2:5" hidden="1" x14ac:dyDescent="0.2">
      <c r="B370" s="38"/>
      <c r="C370" s="88"/>
      <c r="D370" s="88"/>
      <c r="E370" s="89"/>
    </row>
    <row r="371" spans="2:5" hidden="1" x14ac:dyDescent="0.2">
      <c r="B371" s="41" t="s">
        <v>15</v>
      </c>
      <c r="C371" s="88"/>
      <c r="D371" s="88"/>
      <c r="E371" s="89"/>
    </row>
    <row r="372" spans="2:5" hidden="1" x14ac:dyDescent="0.2">
      <c r="B372" s="41"/>
      <c r="C372" s="140" t="s">
        <v>87</v>
      </c>
      <c r="D372" s="140"/>
      <c r="E372" s="140"/>
    </row>
    <row r="373" spans="2:5" hidden="1" x14ac:dyDescent="0.2">
      <c r="B373" s="41" t="s">
        <v>16</v>
      </c>
      <c r="C373" s="88"/>
      <c r="D373" s="88"/>
      <c r="E373" s="89"/>
    </row>
    <row r="374" spans="2:5" hidden="1" x14ac:dyDescent="0.2">
      <c r="B374" s="42"/>
      <c r="C374" s="137" t="s">
        <v>63</v>
      </c>
      <c r="D374" s="137"/>
      <c r="E374" s="137"/>
    </row>
    <row r="375" spans="2:5" hidden="1" x14ac:dyDescent="0.2">
      <c r="B375" s="42"/>
      <c r="C375" s="137" t="s">
        <v>64</v>
      </c>
      <c r="D375" s="137"/>
      <c r="E375" s="137"/>
    </row>
    <row r="376" spans="2:5" hidden="1" x14ac:dyDescent="0.2">
      <c r="B376" s="41" t="s">
        <v>17</v>
      </c>
      <c r="C376" s="90"/>
      <c r="D376" s="90"/>
      <c r="E376" s="91"/>
    </row>
    <row r="377" spans="2:5" hidden="1" x14ac:dyDescent="0.2">
      <c r="B377" s="42"/>
      <c r="C377" s="136" t="s">
        <v>65</v>
      </c>
      <c r="D377" s="136"/>
      <c r="E377" s="136"/>
    </row>
    <row r="378" spans="2:5" hidden="1" x14ac:dyDescent="0.2">
      <c r="B378" s="41" t="s">
        <v>18</v>
      </c>
      <c r="C378" s="92"/>
      <c r="D378" s="92"/>
      <c r="E378" s="93"/>
    </row>
    <row r="379" spans="2:5" hidden="1" x14ac:dyDescent="0.2">
      <c r="B379" s="42"/>
      <c r="C379" s="138" t="s">
        <v>66</v>
      </c>
      <c r="D379" s="138"/>
      <c r="E379" s="138"/>
    </row>
    <row r="380" spans="2:5" hidden="1" x14ac:dyDescent="0.2">
      <c r="B380" s="41" t="s">
        <v>19</v>
      </c>
      <c r="C380" s="90"/>
      <c r="D380" s="90"/>
      <c r="E380" s="91"/>
    </row>
    <row r="381" spans="2:5" hidden="1" x14ac:dyDescent="0.2">
      <c r="B381" s="41"/>
      <c r="C381" s="139" t="s">
        <v>58</v>
      </c>
      <c r="D381" s="139"/>
      <c r="E381" s="139"/>
    </row>
    <row r="382" spans="2:5" ht="13.5" hidden="1" thickBot="1" x14ac:dyDescent="0.25">
      <c r="B382" s="43"/>
      <c r="C382" s="94"/>
      <c r="D382" s="94"/>
      <c r="E382" s="95"/>
    </row>
    <row r="383" spans="2:5" ht="13.5" hidden="1" thickBot="1" x14ac:dyDescent="0.25">
      <c r="C383" s="96"/>
      <c r="D383" s="96"/>
      <c r="E383" s="96"/>
    </row>
    <row r="384" spans="2:5" hidden="1" x14ac:dyDescent="0.2">
      <c r="B384" s="35" t="s">
        <v>88</v>
      </c>
      <c r="C384" s="97"/>
      <c r="D384" s="97"/>
      <c r="E384" s="98"/>
    </row>
    <row r="385" spans="2:5" hidden="1" x14ac:dyDescent="0.2">
      <c r="B385" s="38"/>
      <c r="C385" s="88"/>
      <c r="D385" s="88"/>
      <c r="E385" s="89"/>
    </row>
    <row r="386" spans="2:5" hidden="1" x14ac:dyDescent="0.2">
      <c r="B386" s="41" t="s">
        <v>15</v>
      </c>
      <c r="C386" s="88"/>
      <c r="D386" s="88"/>
      <c r="E386" s="89"/>
    </row>
    <row r="387" spans="2:5" hidden="1" x14ac:dyDescent="0.2">
      <c r="B387" s="41"/>
      <c r="C387" s="140" t="s">
        <v>89</v>
      </c>
      <c r="D387" s="140"/>
      <c r="E387" s="140"/>
    </row>
    <row r="388" spans="2:5" hidden="1" x14ac:dyDescent="0.2">
      <c r="B388" s="41" t="s">
        <v>16</v>
      </c>
      <c r="C388" s="88"/>
      <c r="D388" s="88"/>
      <c r="E388" s="89"/>
    </row>
    <row r="389" spans="2:5" hidden="1" x14ac:dyDescent="0.2">
      <c r="B389" s="42"/>
      <c r="C389" s="137" t="s">
        <v>63</v>
      </c>
      <c r="D389" s="137"/>
      <c r="E389" s="137"/>
    </row>
    <row r="390" spans="2:5" hidden="1" x14ac:dyDescent="0.2">
      <c r="B390" s="42"/>
      <c r="C390" s="137" t="s">
        <v>64</v>
      </c>
      <c r="D390" s="137"/>
      <c r="E390" s="137"/>
    </row>
    <row r="391" spans="2:5" hidden="1" x14ac:dyDescent="0.2">
      <c r="B391" s="41" t="s">
        <v>17</v>
      </c>
      <c r="C391" s="90"/>
      <c r="D391" s="90"/>
      <c r="E391" s="91"/>
    </row>
    <row r="392" spans="2:5" hidden="1" x14ac:dyDescent="0.2">
      <c r="B392" s="42"/>
      <c r="C392" s="136" t="s">
        <v>65</v>
      </c>
      <c r="D392" s="136"/>
      <c r="E392" s="136"/>
    </row>
    <row r="393" spans="2:5" hidden="1" x14ac:dyDescent="0.2">
      <c r="B393" s="41" t="s">
        <v>18</v>
      </c>
      <c r="C393" s="92"/>
      <c r="D393" s="92"/>
      <c r="E393" s="93"/>
    </row>
    <row r="394" spans="2:5" hidden="1" x14ac:dyDescent="0.2">
      <c r="B394" s="42"/>
      <c r="C394" s="138" t="s">
        <v>66</v>
      </c>
      <c r="D394" s="138"/>
      <c r="E394" s="138"/>
    </row>
    <row r="395" spans="2:5" hidden="1" x14ac:dyDescent="0.2">
      <c r="B395" s="41" t="s">
        <v>19</v>
      </c>
      <c r="C395" s="90"/>
      <c r="D395" s="90"/>
      <c r="E395" s="91"/>
    </row>
    <row r="396" spans="2:5" hidden="1" x14ac:dyDescent="0.2">
      <c r="B396" s="41"/>
      <c r="C396" s="139" t="s">
        <v>58</v>
      </c>
      <c r="D396" s="139"/>
      <c r="E396" s="139"/>
    </row>
    <row r="397" spans="2:5" ht="13.5" hidden="1" thickBot="1" x14ac:dyDescent="0.25">
      <c r="B397" s="43"/>
      <c r="C397" s="94"/>
      <c r="D397" s="94"/>
      <c r="E397" s="95"/>
    </row>
    <row r="398" spans="2:5" ht="13.5" hidden="1" thickBot="1" x14ac:dyDescent="0.25">
      <c r="C398" s="96"/>
      <c r="D398" s="96"/>
      <c r="E398" s="96"/>
    </row>
    <row r="399" spans="2:5" hidden="1" x14ac:dyDescent="0.2">
      <c r="B399" s="35" t="s">
        <v>90</v>
      </c>
      <c r="C399" s="97"/>
      <c r="D399" s="97"/>
      <c r="E399" s="98"/>
    </row>
    <row r="400" spans="2:5" hidden="1" x14ac:dyDescent="0.2">
      <c r="B400" s="38"/>
      <c r="C400" s="88"/>
      <c r="D400" s="88"/>
      <c r="E400" s="89"/>
    </row>
    <row r="401" spans="2:5" hidden="1" x14ac:dyDescent="0.2">
      <c r="B401" s="41" t="s">
        <v>15</v>
      </c>
      <c r="C401" s="88"/>
      <c r="D401" s="88"/>
      <c r="E401" s="89"/>
    </row>
    <row r="402" spans="2:5" hidden="1" x14ac:dyDescent="0.2">
      <c r="B402" s="41"/>
      <c r="C402" s="140" t="s">
        <v>91</v>
      </c>
      <c r="D402" s="140"/>
      <c r="E402" s="140"/>
    </row>
    <row r="403" spans="2:5" hidden="1" x14ac:dyDescent="0.2">
      <c r="B403" s="41" t="s">
        <v>16</v>
      </c>
      <c r="C403" s="88"/>
      <c r="D403" s="88"/>
      <c r="E403" s="89"/>
    </row>
    <row r="404" spans="2:5" hidden="1" x14ac:dyDescent="0.2">
      <c r="B404" s="42"/>
      <c r="C404" s="137" t="s">
        <v>63</v>
      </c>
      <c r="D404" s="137"/>
      <c r="E404" s="137"/>
    </row>
    <row r="405" spans="2:5" hidden="1" x14ac:dyDescent="0.2">
      <c r="B405" s="42"/>
      <c r="C405" s="137" t="s">
        <v>64</v>
      </c>
      <c r="D405" s="137"/>
      <c r="E405" s="137"/>
    </row>
    <row r="406" spans="2:5" hidden="1" x14ac:dyDescent="0.2">
      <c r="B406" s="41" t="s">
        <v>17</v>
      </c>
      <c r="C406" s="90"/>
      <c r="D406" s="90"/>
      <c r="E406" s="91"/>
    </row>
    <row r="407" spans="2:5" hidden="1" x14ac:dyDescent="0.2">
      <c r="B407" s="42"/>
      <c r="C407" s="136" t="s">
        <v>65</v>
      </c>
      <c r="D407" s="136"/>
      <c r="E407" s="136"/>
    </row>
    <row r="408" spans="2:5" hidden="1" x14ac:dyDescent="0.2">
      <c r="B408" s="41" t="s">
        <v>18</v>
      </c>
      <c r="C408" s="92"/>
      <c r="D408" s="92"/>
      <c r="E408" s="93"/>
    </row>
    <row r="409" spans="2:5" hidden="1" x14ac:dyDescent="0.2">
      <c r="B409" s="42"/>
      <c r="C409" s="138" t="s">
        <v>66</v>
      </c>
      <c r="D409" s="138"/>
      <c r="E409" s="138"/>
    </row>
    <row r="410" spans="2:5" hidden="1" x14ac:dyDescent="0.2">
      <c r="B410" s="41" t="s">
        <v>19</v>
      </c>
      <c r="C410" s="90"/>
      <c r="D410" s="90"/>
      <c r="E410" s="91"/>
    </row>
    <row r="411" spans="2:5" hidden="1" x14ac:dyDescent="0.2">
      <c r="B411" s="41"/>
      <c r="C411" s="139" t="s">
        <v>58</v>
      </c>
      <c r="D411" s="139"/>
      <c r="E411" s="139"/>
    </row>
    <row r="412" spans="2:5" ht="13.5" hidden="1" thickBot="1" x14ac:dyDescent="0.25">
      <c r="B412" s="43"/>
      <c r="C412" s="94"/>
      <c r="D412" s="94"/>
      <c r="E412" s="95"/>
    </row>
    <row r="413" spans="2:5" ht="13.5" hidden="1" thickBot="1" x14ac:dyDescent="0.25">
      <c r="C413" s="96"/>
      <c r="D413" s="96"/>
      <c r="E413" s="96"/>
    </row>
    <row r="414" spans="2:5" hidden="1" x14ac:dyDescent="0.2">
      <c r="B414" s="35" t="s">
        <v>92</v>
      </c>
      <c r="C414" s="97"/>
      <c r="D414" s="97"/>
      <c r="E414" s="98"/>
    </row>
    <row r="415" spans="2:5" hidden="1" x14ac:dyDescent="0.2">
      <c r="B415" s="38"/>
      <c r="C415" s="88"/>
      <c r="D415" s="88"/>
      <c r="E415" s="89"/>
    </row>
    <row r="416" spans="2:5" hidden="1" x14ac:dyDescent="0.2">
      <c r="B416" s="41" t="s">
        <v>15</v>
      </c>
      <c r="C416" s="88"/>
      <c r="D416" s="88"/>
      <c r="E416" s="89"/>
    </row>
    <row r="417" spans="2:5" hidden="1" x14ac:dyDescent="0.2">
      <c r="B417" s="41"/>
      <c r="C417" s="140" t="s">
        <v>93</v>
      </c>
      <c r="D417" s="140"/>
      <c r="E417" s="140"/>
    </row>
    <row r="418" spans="2:5" hidden="1" x14ac:dyDescent="0.2">
      <c r="B418" s="41" t="s">
        <v>16</v>
      </c>
      <c r="C418" s="88"/>
      <c r="D418" s="88"/>
      <c r="E418" s="89"/>
    </row>
    <row r="419" spans="2:5" hidden="1" x14ac:dyDescent="0.2">
      <c r="B419" s="42"/>
      <c r="C419" s="137" t="s">
        <v>63</v>
      </c>
      <c r="D419" s="137"/>
      <c r="E419" s="137"/>
    </row>
    <row r="420" spans="2:5" hidden="1" x14ac:dyDescent="0.2">
      <c r="B420" s="42"/>
      <c r="C420" s="137" t="s">
        <v>64</v>
      </c>
      <c r="D420" s="137"/>
      <c r="E420" s="137"/>
    </row>
    <row r="421" spans="2:5" hidden="1" x14ac:dyDescent="0.2">
      <c r="B421" s="41" t="s">
        <v>17</v>
      </c>
      <c r="C421" s="90"/>
      <c r="D421" s="90"/>
      <c r="E421" s="91"/>
    </row>
    <row r="422" spans="2:5" hidden="1" x14ac:dyDescent="0.2">
      <c r="B422" s="42"/>
      <c r="C422" s="136" t="s">
        <v>65</v>
      </c>
      <c r="D422" s="136"/>
      <c r="E422" s="136"/>
    </row>
    <row r="423" spans="2:5" hidden="1" x14ac:dyDescent="0.2">
      <c r="B423" s="41" t="s">
        <v>18</v>
      </c>
      <c r="C423" s="92"/>
      <c r="D423" s="92"/>
      <c r="E423" s="93"/>
    </row>
    <row r="424" spans="2:5" hidden="1" x14ac:dyDescent="0.2">
      <c r="B424" s="42"/>
      <c r="C424" s="138" t="s">
        <v>66</v>
      </c>
      <c r="D424" s="138"/>
      <c r="E424" s="138"/>
    </row>
    <row r="425" spans="2:5" hidden="1" x14ac:dyDescent="0.2">
      <c r="B425" s="41" t="s">
        <v>19</v>
      </c>
      <c r="C425" s="90"/>
      <c r="D425" s="90"/>
      <c r="E425" s="91"/>
    </row>
    <row r="426" spans="2:5" hidden="1" x14ac:dyDescent="0.2">
      <c r="B426" s="41"/>
      <c r="C426" s="139" t="s">
        <v>58</v>
      </c>
      <c r="D426" s="139"/>
      <c r="E426" s="139"/>
    </row>
    <row r="427" spans="2:5" ht="13.5" hidden="1" thickBot="1" x14ac:dyDescent="0.25">
      <c r="B427" s="43"/>
      <c r="C427" s="94"/>
      <c r="D427" s="94"/>
      <c r="E427" s="95"/>
    </row>
    <row r="428" spans="2:5" ht="13.5" hidden="1" thickBot="1" x14ac:dyDescent="0.25">
      <c r="C428" s="96"/>
      <c r="D428" s="96"/>
      <c r="E428" s="96"/>
    </row>
    <row r="429" spans="2:5" hidden="1" x14ac:dyDescent="0.2">
      <c r="B429" s="35" t="s">
        <v>94</v>
      </c>
      <c r="C429" s="97"/>
      <c r="D429" s="97"/>
      <c r="E429" s="98"/>
    </row>
    <row r="430" spans="2:5" hidden="1" x14ac:dyDescent="0.2">
      <c r="B430" s="38"/>
      <c r="C430" s="88"/>
      <c r="D430" s="88"/>
      <c r="E430" s="89"/>
    </row>
    <row r="431" spans="2:5" hidden="1" x14ac:dyDescent="0.2">
      <c r="B431" s="41" t="s">
        <v>15</v>
      </c>
      <c r="C431" s="88"/>
      <c r="D431" s="88"/>
      <c r="E431" s="89"/>
    </row>
    <row r="432" spans="2:5" hidden="1" x14ac:dyDescent="0.2">
      <c r="B432" s="41"/>
      <c r="C432" s="140" t="s">
        <v>95</v>
      </c>
      <c r="D432" s="140"/>
      <c r="E432" s="140"/>
    </row>
    <row r="433" spans="2:5" hidden="1" x14ac:dyDescent="0.2">
      <c r="B433" s="41" t="s">
        <v>16</v>
      </c>
      <c r="C433" s="88"/>
      <c r="D433" s="88"/>
      <c r="E433" s="89"/>
    </row>
    <row r="434" spans="2:5" hidden="1" x14ac:dyDescent="0.2">
      <c r="B434" s="42"/>
      <c r="C434" s="137" t="s">
        <v>63</v>
      </c>
      <c r="D434" s="137"/>
      <c r="E434" s="137"/>
    </row>
    <row r="435" spans="2:5" hidden="1" x14ac:dyDescent="0.2">
      <c r="B435" s="42"/>
      <c r="C435" s="137" t="s">
        <v>64</v>
      </c>
      <c r="D435" s="137"/>
      <c r="E435" s="137"/>
    </row>
    <row r="436" spans="2:5" hidden="1" x14ac:dyDescent="0.2">
      <c r="B436" s="41" t="s">
        <v>17</v>
      </c>
      <c r="C436" s="90"/>
      <c r="D436" s="90"/>
      <c r="E436" s="91"/>
    </row>
    <row r="437" spans="2:5" hidden="1" x14ac:dyDescent="0.2">
      <c r="B437" s="42"/>
      <c r="C437" s="136" t="s">
        <v>65</v>
      </c>
      <c r="D437" s="136"/>
      <c r="E437" s="136"/>
    </row>
    <row r="438" spans="2:5" hidden="1" x14ac:dyDescent="0.2">
      <c r="B438" s="41" t="s">
        <v>18</v>
      </c>
      <c r="C438" s="92"/>
      <c r="D438" s="92"/>
      <c r="E438" s="93"/>
    </row>
    <row r="439" spans="2:5" hidden="1" x14ac:dyDescent="0.2">
      <c r="B439" s="42"/>
      <c r="C439" s="138" t="s">
        <v>66</v>
      </c>
      <c r="D439" s="138"/>
      <c r="E439" s="138"/>
    </row>
    <row r="440" spans="2:5" hidden="1" x14ac:dyDescent="0.2">
      <c r="B440" s="41" t="s">
        <v>19</v>
      </c>
      <c r="C440" s="90"/>
      <c r="D440" s="90"/>
      <c r="E440" s="91"/>
    </row>
    <row r="441" spans="2:5" hidden="1" x14ac:dyDescent="0.2">
      <c r="B441" s="41"/>
      <c r="C441" s="139" t="s">
        <v>58</v>
      </c>
      <c r="D441" s="139"/>
      <c r="E441" s="139"/>
    </row>
    <row r="442" spans="2:5" ht="13.5" hidden="1" thickBot="1" x14ac:dyDescent="0.25">
      <c r="B442" s="43"/>
      <c r="C442" s="94"/>
      <c r="D442" s="94"/>
      <c r="E442" s="95"/>
    </row>
    <row r="443" spans="2:5" hidden="1" x14ac:dyDescent="0.2">
      <c r="C443" s="96"/>
      <c r="D443" s="96"/>
      <c r="E443" s="96"/>
    </row>
    <row r="444" spans="2:5" hidden="1" x14ac:dyDescent="0.2">
      <c r="C444" s="96"/>
      <c r="D444" s="96"/>
      <c r="E444" s="96"/>
    </row>
    <row r="445" spans="2:5" ht="13.5" hidden="1" thickBot="1" x14ac:dyDescent="0.25">
      <c r="C445" s="96"/>
      <c r="D445" s="96"/>
      <c r="E445" s="96"/>
    </row>
    <row r="446" spans="2:5" hidden="1" x14ac:dyDescent="0.2">
      <c r="B446" s="35" t="s">
        <v>96</v>
      </c>
      <c r="C446" s="97"/>
      <c r="D446" s="97"/>
      <c r="E446" s="98"/>
    </row>
    <row r="447" spans="2:5" hidden="1" x14ac:dyDescent="0.2">
      <c r="B447" s="38"/>
      <c r="C447" s="88"/>
      <c r="D447" s="88"/>
      <c r="E447" s="89"/>
    </row>
    <row r="448" spans="2:5" hidden="1" x14ac:dyDescent="0.2">
      <c r="B448" s="41" t="s">
        <v>15</v>
      </c>
      <c r="C448" s="88"/>
      <c r="D448" s="88"/>
      <c r="E448" s="89"/>
    </row>
    <row r="449" spans="2:5" hidden="1" x14ac:dyDescent="0.2">
      <c r="B449" s="41"/>
      <c r="C449" s="140" t="s">
        <v>97</v>
      </c>
      <c r="D449" s="140"/>
      <c r="E449" s="140"/>
    </row>
    <row r="450" spans="2:5" hidden="1" x14ac:dyDescent="0.2">
      <c r="B450" s="41" t="s">
        <v>16</v>
      </c>
      <c r="C450" s="88"/>
      <c r="D450" s="88"/>
      <c r="E450" s="89"/>
    </row>
    <row r="451" spans="2:5" hidden="1" x14ac:dyDescent="0.2">
      <c r="B451" s="42"/>
      <c r="C451" s="137" t="s">
        <v>63</v>
      </c>
      <c r="D451" s="137"/>
      <c r="E451" s="137"/>
    </row>
    <row r="452" spans="2:5" hidden="1" x14ac:dyDescent="0.2">
      <c r="B452" s="42"/>
      <c r="C452" s="137" t="s">
        <v>64</v>
      </c>
      <c r="D452" s="137"/>
      <c r="E452" s="137"/>
    </row>
    <row r="453" spans="2:5" hidden="1" x14ac:dyDescent="0.2">
      <c r="B453" s="41" t="s">
        <v>17</v>
      </c>
      <c r="C453" s="90"/>
      <c r="D453" s="90"/>
      <c r="E453" s="91"/>
    </row>
    <row r="454" spans="2:5" hidden="1" x14ac:dyDescent="0.2">
      <c r="B454" s="42"/>
      <c r="C454" s="136" t="s">
        <v>65</v>
      </c>
      <c r="D454" s="136"/>
      <c r="E454" s="136"/>
    </row>
    <row r="455" spans="2:5" hidden="1" x14ac:dyDescent="0.2">
      <c r="B455" s="41" t="s">
        <v>18</v>
      </c>
      <c r="C455" s="92"/>
      <c r="D455" s="92"/>
      <c r="E455" s="93"/>
    </row>
    <row r="456" spans="2:5" hidden="1" x14ac:dyDescent="0.2">
      <c r="B456" s="42"/>
      <c r="C456" s="138" t="s">
        <v>66</v>
      </c>
      <c r="D456" s="138"/>
      <c r="E456" s="138"/>
    </row>
    <row r="457" spans="2:5" hidden="1" x14ac:dyDescent="0.2">
      <c r="B457" s="41" t="s">
        <v>19</v>
      </c>
      <c r="C457" s="90"/>
      <c r="D457" s="90"/>
      <c r="E457" s="91"/>
    </row>
    <row r="458" spans="2:5" hidden="1" x14ac:dyDescent="0.2">
      <c r="B458" s="41"/>
      <c r="C458" s="139" t="s">
        <v>58</v>
      </c>
      <c r="D458" s="139"/>
      <c r="E458" s="139"/>
    </row>
    <row r="459" spans="2:5" ht="13.5" hidden="1" thickBot="1" x14ac:dyDescent="0.25">
      <c r="B459" s="43"/>
      <c r="C459" s="94"/>
      <c r="D459" s="94"/>
      <c r="E459" s="95"/>
    </row>
    <row r="460" spans="2:5" hidden="1" x14ac:dyDescent="0.2">
      <c r="C460" s="96"/>
      <c r="D460" s="96"/>
      <c r="E460" s="96"/>
    </row>
    <row r="461" spans="2:5" hidden="1" x14ac:dyDescent="0.2">
      <c r="C461" s="96"/>
      <c r="D461" s="96"/>
      <c r="E461" s="96"/>
    </row>
    <row r="462" spans="2:5" ht="13.5" hidden="1" thickBot="1" x14ac:dyDescent="0.25">
      <c r="C462" s="96"/>
      <c r="D462" s="96"/>
      <c r="E462" s="96"/>
    </row>
    <row r="463" spans="2:5" hidden="1" x14ac:dyDescent="0.2">
      <c r="B463" s="35" t="s">
        <v>98</v>
      </c>
      <c r="C463" s="97"/>
      <c r="D463" s="97"/>
      <c r="E463" s="98"/>
    </row>
    <row r="464" spans="2:5" hidden="1" x14ac:dyDescent="0.2">
      <c r="B464" s="38"/>
      <c r="C464" s="88"/>
      <c r="D464" s="88"/>
      <c r="E464" s="89"/>
    </row>
    <row r="465" spans="2:5" hidden="1" x14ac:dyDescent="0.2">
      <c r="B465" s="41" t="s">
        <v>15</v>
      </c>
      <c r="C465" s="88"/>
      <c r="D465" s="88"/>
      <c r="E465" s="89"/>
    </row>
    <row r="466" spans="2:5" hidden="1" x14ac:dyDescent="0.2">
      <c r="B466" s="41"/>
      <c r="C466" s="140" t="s">
        <v>99</v>
      </c>
      <c r="D466" s="140"/>
      <c r="E466" s="140"/>
    </row>
    <row r="467" spans="2:5" hidden="1" x14ac:dyDescent="0.2">
      <c r="B467" s="41" t="s">
        <v>16</v>
      </c>
      <c r="C467" s="88"/>
      <c r="D467" s="88"/>
      <c r="E467" s="89"/>
    </row>
    <row r="468" spans="2:5" hidden="1" x14ac:dyDescent="0.2">
      <c r="B468" s="42"/>
      <c r="C468" s="137" t="s">
        <v>63</v>
      </c>
      <c r="D468" s="137"/>
      <c r="E468" s="137"/>
    </row>
    <row r="469" spans="2:5" hidden="1" x14ac:dyDescent="0.2">
      <c r="B469" s="42"/>
      <c r="C469" s="137" t="s">
        <v>64</v>
      </c>
      <c r="D469" s="137"/>
      <c r="E469" s="137"/>
    </row>
    <row r="470" spans="2:5" hidden="1" x14ac:dyDescent="0.2">
      <c r="B470" s="41" t="s">
        <v>17</v>
      </c>
      <c r="C470" s="90"/>
      <c r="D470" s="90"/>
      <c r="E470" s="91"/>
    </row>
    <row r="471" spans="2:5" hidden="1" x14ac:dyDescent="0.2">
      <c r="B471" s="42"/>
      <c r="C471" s="136" t="s">
        <v>65</v>
      </c>
      <c r="D471" s="136"/>
      <c r="E471" s="136"/>
    </row>
    <row r="472" spans="2:5" hidden="1" x14ac:dyDescent="0.2">
      <c r="B472" s="41" t="s">
        <v>18</v>
      </c>
      <c r="C472" s="92"/>
      <c r="D472" s="92"/>
      <c r="E472" s="93"/>
    </row>
    <row r="473" spans="2:5" hidden="1" x14ac:dyDescent="0.2">
      <c r="B473" s="42"/>
      <c r="C473" s="138" t="s">
        <v>66</v>
      </c>
      <c r="D473" s="138"/>
      <c r="E473" s="138"/>
    </row>
    <row r="474" spans="2:5" hidden="1" x14ac:dyDescent="0.2">
      <c r="B474" s="41" t="s">
        <v>19</v>
      </c>
      <c r="C474" s="90"/>
      <c r="D474" s="90"/>
      <c r="E474" s="91"/>
    </row>
    <row r="475" spans="2:5" hidden="1" x14ac:dyDescent="0.2">
      <c r="B475" s="41"/>
      <c r="C475" s="139" t="s">
        <v>58</v>
      </c>
      <c r="D475" s="139"/>
      <c r="E475" s="139"/>
    </row>
    <row r="476" spans="2:5" ht="13.5" hidden="1" thickBot="1" x14ac:dyDescent="0.25">
      <c r="B476" s="43"/>
      <c r="C476" s="94"/>
      <c r="D476" s="94"/>
      <c r="E476" s="95"/>
    </row>
    <row r="477" spans="2:5" ht="13.5" hidden="1" thickBot="1" x14ac:dyDescent="0.25">
      <c r="C477" s="96"/>
      <c r="D477" s="96"/>
      <c r="E477" s="96"/>
    </row>
    <row r="478" spans="2:5" hidden="1" x14ac:dyDescent="0.2">
      <c r="B478" s="35" t="s">
        <v>100</v>
      </c>
      <c r="C478" s="97"/>
      <c r="D478" s="97"/>
      <c r="E478" s="98"/>
    </row>
    <row r="479" spans="2:5" hidden="1" x14ac:dyDescent="0.2">
      <c r="B479" s="38"/>
      <c r="C479" s="88"/>
      <c r="D479" s="88"/>
      <c r="E479" s="89"/>
    </row>
    <row r="480" spans="2:5" hidden="1" x14ac:dyDescent="0.2">
      <c r="B480" s="41" t="s">
        <v>15</v>
      </c>
      <c r="C480" s="88"/>
      <c r="D480" s="88"/>
      <c r="E480" s="89"/>
    </row>
    <row r="481" spans="2:5" hidden="1" x14ac:dyDescent="0.2">
      <c r="B481" s="41"/>
      <c r="C481" s="140" t="s">
        <v>101</v>
      </c>
      <c r="D481" s="140"/>
      <c r="E481" s="140"/>
    </row>
    <row r="482" spans="2:5" hidden="1" x14ac:dyDescent="0.2">
      <c r="B482" s="41" t="s">
        <v>16</v>
      </c>
      <c r="C482" s="88"/>
      <c r="D482" s="88"/>
      <c r="E482" s="89"/>
    </row>
    <row r="483" spans="2:5" hidden="1" x14ac:dyDescent="0.2">
      <c r="B483" s="42"/>
      <c r="C483" s="137" t="s">
        <v>63</v>
      </c>
      <c r="D483" s="137"/>
      <c r="E483" s="137"/>
    </row>
    <row r="484" spans="2:5" hidden="1" x14ac:dyDescent="0.2">
      <c r="B484" s="42"/>
      <c r="C484" s="137" t="s">
        <v>64</v>
      </c>
      <c r="D484" s="137"/>
      <c r="E484" s="137"/>
    </row>
    <row r="485" spans="2:5" hidden="1" x14ac:dyDescent="0.2">
      <c r="B485" s="41" t="s">
        <v>17</v>
      </c>
      <c r="C485" s="90"/>
      <c r="D485" s="90"/>
      <c r="E485" s="91"/>
    </row>
    <row r="486" spans="2:5" hidden="1" x14ac:dyDescent="0.2">
      <c r="B486" s="42"/>
      <c r="C486" s="136" t="s">
        <v>65</v>
      </c>
      <c r="D486" s="136"/>
      <c r="E486" s="136"/>
    </row>
    <row r="487" spans="2:5" hidden="1" x14ac:dyDescent="0.2">
      <c r="B487" s="41" t="s">
        <v>18</v>
      </c>
      <c r="C487" s="92"/>
      <c r="D487" s="92"/>
      <c r="E487" s="93"/>
    </row>
    <row r="488" spans="2:5" hidden="1" x14ac:dyDescent="0.2">
      <c r="B488" s="42"/>
      <c r="C488" s="138" t="s">
        <v>66</v>
      </c>
      <c r="D488" s="138"/>
      <c r="E488" s="138"/>
    </row>
    <row r="489" spans="2:5" hidden="1" x14ac:dyDescent="0.2">
      <c r="B489" s="41" t="s">
        <v>19</v>
      </c>
      <c r="C489" s="90"/>
      <c r="D489" s="90"/>
      <c r="E489" s="91"/>
    </row>
    <row r="490" spans="2:5" hidden="1" x14ac:dyDescent="0.2">
      <c r="B490" s="41"/>
      <c r="C490" s="139" t="s">
        <v>58</v>
      </c>
      <c r="D490" s="139"/>
      <c r="E490" s="139"/>
    </row>
    <row r="491" spans="2:5" ht="13.5" hidden="1" thickBot="1" x14ac:dyDescent="0.25">
      <c r="B491" s="43"/>
      <c r="C491" s="94"/>
      <c r="D491" s="94"/>
      <c r="E491" s="95"/>
    </row>
    <row r="492" spans="2:5" hidden="1" x14ac:dyDescent="0.2">
      <c r="C492" s="96"/>
      <c r="D492" s="96"/>
      <c r="E492" s="96"/>
    </row>
    <row r="493" spans="2:5" ht="13.5" hidden="1" thickBot="1" x14ac:dyDescent="0.25">
      <c r="C493" s="96"/>
      <c r="D493" s="96"/>
      <c r="E493" s="96"/>
    </row>
    <row r="494" spans="2:5" hidden="1" x14ac:dyDescent="0.2">
      <c r="B494" s="35" t="s">
        <v>102</v>
      </c>
      <c r="C494" s="97"/>
      <c r="D494" s="97"/>
      <c r="E494" s="98"/>
    </row>
    <row r="495" spans="2:5" hidden="1" x14ac:dyDescent="0.2">
      <c r="B495" s="38"/>
      <c r="C495" s="88"/>
      <c r="D495" s="88"/>
      <c r="E495" s="89"/>
    </row>
    <row r="496" spans="2:5" hidden="1" x14ac:dyDescent="0.2">
      <c r="B496" s="41" t="s">
        <v>15</v>
      </c>
      <c r="C496" s="88"/>
      <c r="D496" s="88"/>
      <c r="E496" s="89"/>
    </row>
    <row r="497" spans="2:5" hidden="1" x14ac:dyDescent="0.2">
      <c r="B497" s="41"/>
      <c r="C497" s="140" t="s">
        <v>103</v>
      </c>
      <c r="D497" s="140"/>
      <c r="E497" s="140"/>
    </row>
    <row r="498" spans="2:5" hidden="1" x14ac:dyDescent="0.2">
      <c r="B498" s="41" t="s">
        <v>16</v>
      </c>
      <c r="C498" s="88"/>
      <c r="D498" s="88"/>
      <c r="E498" s="89"/>
    </row>
    <row r="499" spans="2:5" hidden="1" x14ac:dyDescent="0.2">
      <c r="B499" s="42"/>
      <c r="C499" s="137" t="s">
        <v>63</v>
      </c>
      <c r="D499" s="137"/>
      <c r="E499" s="137"/>
    </row>
    <row r="500" spans="2:5" hidden="1" x14ac:dyDescent="0.2">
      <c r="B500" s="42"/>
      <c r="C500" s="137" t="s">
        <v>64</v>
      </c>
      <c r="D500" s="137"/>
      <c r="E500" s="137"/>
    </row>
    <row r="501" spans="2:5" hidden="1" x14ac:dyDescent="0.2">
      <c r="B501" s="41" t="s">
        <v>17</v>
      </c>
      <c r="C501" s="90"/>
      <c r="D501" s="90"/>
      <c r="E501" s="91"/>
    </row>
    <row r="502" spans="2:5" hidden="1" x14ac:dyDescent="0.2">
      <c r="B502" s="42"/>
      <c r="C502" s="136" t="s">
        <v>65</v>
      </c>
      <c r="D502" s="136"/>
      <c r="E502" s="136"/>
    </row>
    <row r="503" spans="2:5" hidden="1" x14ac:dyDescent="0.2">
      <c r="B503" s="41" t="s">
        <v>18</v>
      </c>
      <c r="C503" s="92"/>
      <c r="D503" s="92"/>
      <c r="E503" s="93"/>
    </row>
    <row r="504" spans="2:5" hidden="1" x14ac:dyDescent="0.2">
      <c r="B504" s="42"/>
      <c r="C504" s="138" t="s">
        <v>66</v>
      </c>
      <c r="D504" s="138"/>
      <c r="E504" s="138"/>
    </row>
    <row r="505" spans="2:5" hidden="1" x14ac:dyDescent="0.2">
      <c r="B505" s="41" t="s">
        <v>19</v>
      </c>
      <c r="C505" s="90"/>
      <c r="D505" s="90"/>
      <c r="E505" s="91"/>
    </row>
    <row r="506" spans="2:5" hidden="1" x14ac:dyDescent="0.2">
      <c r="B506" s="41"/>
      <c r="C506" s="139" t="s">
        <v>58</v>
      </c>
      <c r="D506" s="139"/>
      <c r="E506" s="139"/>
    </row>
    <row r="507" spans="2:5" ht="13.5" hidden="1" thickBot="1" x14ac:dyDescent="0.25">
      <c r="B507" s="43"/>
      <c r="C507" s="94"/>
      <c r="D507" s="94"/>
      <c r="E507" s="95"/>
    </row>
    <row r="508" spans="2:5" ht="13.5" hidden="1" thickBot="1" x14ac:dyDescent="0.25">
      <c r="C508" s="96"/>
      <c r="D508" s="96"/>
      <c r="E508" s="96"/>
    </row>
    <row r="509" spans="2:5" hidden="1" x14ac:dyDescent="0.2">
      <c r="B509" s="35" t="s">
        <v>104</v>
      </c>
      <c r="C509" s="97"/>
      <c r="D509" s="97"/>
      <c r="E509" s="98"/>
    </row>
    <row r="510" spans="2:5" hidden="1" x14ac:dyDescent="0.2">
      <c r="B510" s="38"/>
      <c r="C510" s="88"/>
      <c r="D510" s="88"/>
      <c r="E510" s="89"/>
    </row>
    <row r="511" spans="2:5" hidden="1" x14ac:dyDescent="0.2">
      <c r="B511" s="41" t="s">
        <v>15</v>
      </c>
      <c r="C511" s="88"/>
      <c r="D511" s="88"/>
      <c r="E511" s="89"/>
    </row>
    <row r="512" spans="2:5" hidden="1" x14ac:dyDescent="0.2">
      <c r="B512" s="41"/>
      <c r="C512" s="140" t="s">
        <v>105</v>
      </c>
      <c r="D512" s="140"/>
      <c r="E512" s="140"/>
    </row>
    <row r="513" spans="2:5" hidden="1" x14ac:dyDescent="0.2">
      <c r="B513" s="41" t="s">
        <v>16</v>
      </c>
      <c r="C513" s="88"/>
      <c r="D513" s="88"/>
      <c r="E513" s="89"/>
    </row>
    <row r="514" spans="2:5" hidden="1" x14ac:dyDescent="0.2">
      <c r="B514" s="42"/>
      <c r="C514" s="137" t="s">
        <v>63</v>
      </c>
      <c r="D514" s="137"/>
      <c r="E514" s="137"/>
    </row>
    <row r="515" spans="2:5" hidden="1" x14ac:dyDescent="0.2">
      <c r="B515" s="42"/>
      <c r="C515" s="137" t="s">
        <v>64</v>
      </c>
      <c r="D515" s="137"/>
      <c r="E515" s="137"/>
    </row>
    <row r="516" spans="2:5" hidden="1" x14ac:dyDescent="0.2">
      <c r="B516" s="41" t="s">
        <v>17</v>
      </c>
      <c r="C516" s="90"/>
      <c r="D516" s="90"/>
      <c r="E516" s="91"/>
    </row>
    <row r="517" spans="2:5" hidden="1" x14ac:dyDescent="0.2">
      <c r="B517" s="42"/>
      <c r="C517" s="136" t="s">
        <v>65</v>
      </c>
      <c r="D517" s="136"/>
      <c r="E517" s="136"/>
    </row>
    <row r="518" spans="2:5" hidden="1" x14ac:dyDescent="0.2">
      <c r="B518" s="41" t="s">
        <v>18</v>
      </c>
      <c r="C518" s="92"/>
      <c r="D518" s="92"/>
      <c r="E518" s="93"/>
    </row>
    <row r="519" spans="2:5" hidden="1" x14ac:dyDescent="0.2">
      <c r="B519" s="42"/>
      <c r="C519" s="138" t="s">
        <v>66</v>
      </c>
      <c r="D519" s="138"/>
      <c r="E519" s="138"/>
    </row>
    <row r="520" spans="2:5" hidden="1" x14ac:dyDescent="0.2">
      <c r="B520" s="41" t="s">
        <v>19</v>
      </c>
      <c r="C520" s="90"/>
      <c r="D520" s="90"/>
      <c r="E520" s="91"/>
    </row>
    <row r="521" spans="2:5" hidden="1" x14ac:dyDescent="0.2">
      <c r="B521" s="41"/>
      <c r="C521" s="139" t="s">
        <v>58</v>
      </c>
      <c r="D521" s="139"/>
      <c r="E521" s="139"/>
    </row>
    <row r="522" spans="2:5" ht="13.5" hidden="1" thickBot="1" x14ac:dyDescent="0.25">
      <c r="B522" s="43"/>
      <c r="C522" s="94"/>
      <c r="D522" s="94"/>
      <c r="E522" s="95"/>
    </row>
    <row r="523" spans="2:5" ht="13.5" hidden="1" thickBot="1" x14ac:dyDescent="0.25">
      <c r="C523" s="96"/>
      <c r="D523" s="96"/>
      <c r="E523" s="96"/>
    </row>
    <row r="524" spans="2:5" hidden="1" x14ac:dyDescent="0.2">
      <c r="B524" s="35" t="s">
        <v>106</v>
      </c>
      <c r="C524" s="97"/>
      <c r="D524" s="97"/>
      <c r="E524" s="98"/>
    </row>
    <row r="525" spans="2:5" hidden="1" x14ac:dyDescent="0.2">
      <c r="B525" s="38"/>
      <c r="C525" s="88"/>
      <c r="D525" s="88"/>
      <c r="E525" s="89"/>
    </row>
    <row r="526" spans="2:5" hidden="1" x14ac:dyDescent="0.2">
      <c r="B526" s="41" t="s">
        <v>15</v>
      </c>
      <c r="C526" s="88"/>
      <c r="D526" s="88"/>
      <c r="E526" s="89"/>
    </row>
    <row r="527" spans="2:5" hidden="1" x14ac:dyDescent="0.2">
      <c r="B527" s="41"/>
      <c r="C527" s="140" t="s">
        <v>107</v>
      </c>
      <c r="D527" s="140"/>
      <c r="E527" s="140"/>
    </row>
    <row r="528" spans="2:5" hidden="1" x14ac:dyDescent="0.2">
      <c r="B528" s="41" t="s">
        <v>16</v>
      </c>
      <c r="C528" s="88"/>
      <c r="D528" s="88"/>
      <c r="E528" s="89"/>
    </row>
    <row r="529" spans="2:5" hidden="1" x14ac:dyDescent="0.2">
      <c r="B529" s="42"/>
      <c r="C529" s="137" t="s">
        <v>63</v>
      </c>
      <c r="D529" s="137"/>
      <c r="E529" s="137"/>
    </row>
    <row r="530" spans="2:5" hidden="1" x14ac:dyDescent="0.2">
      <c r="B530" s="42"/>
      <c r="C530" s="137" t="s">
        <v>64</v>
      </c>
      <c r="D530" s="137"/>
      <c r="E530" s="137"/>
    </row>
    <row r="531" spans="2:5" hidden="1" x14ac:dyDescent="0.2">
      <c r="B531" s="41" t="s">
        <v>17</v>
      </c>
      <c r="C531" s="90"/>
      <c r="D531" s="90"/>
      <c r="E531" s="91"/>
    </row>
    <row r="532" spans="2:5" hidden="1" x14ac:dyDescent="0.2">
      <c r="B532" s="42"/>
      <c r="C532" s="136" t="s">
        <v>65</v>
      </c>
      <c r="D532" s="136"/>
      <c r="E532" s="136"/>
    </row>
    <row r="533" spans="2:5" hidden="1" x14ac:dyDescent="0.2">
      <c r="B533" s="41" t="s">
        <v>18</v>
      </c>
      <c r="C533" s="92"/>
      <c r="D533" s="92"/>
      <c r="E533" s="93"/>
    </row>
    <row r="534" spans="2:5" hidden="1" x14ac:dyDescent="0.2">
      <c r="B534" s="42"/>
      <c r="C534" s="138" t="s">
        <v>66</v>
      </c>
      <c r="D534" s="138"/>
      <c r="E534" s="138"/>
    </row>
    <row r="535" spans="2:5" hidden="1" x14ac:dyDescent="0.2">
      <c r="B535" s="41" t="s">
        <v>19</v>
      </c>
      <c r="C535" s="90"/>
      <c r="D535" s="90"/>
      <c r="E535" s="91"/>
    </row>
    <row r="536" spans="2:5" hidden="1" x14ac:dyDescent="0.2">
      <c r="B536" s="41"/>
      <c r="C536" s="139" t="s">
        <v>58</v>
      </c>
      <c r="D536" s="139"/>
      <c r="E536" s="139"/>
    </row>
    <row r="537" spans="2:5" ht="13.5" hidden="1" thickBot="1" x14ac:dyDescent="0.25">
      <c r="B537" s="43"/>
      <c r="C537" s="94"/>
      <c r="D537" s="94"/>
      <c r="E537" s="95"/>
    </row>
    <row r="538" spans="2:5" ht="13.5" hidden="1" thickBot="1" x14ac:dyDescent="0.25">
      <c r="C538" s="96"/>
      <c r="D538" s="96"/>
      <c r="E538" s="96"/>
    </row>
    <row r="539" spans="2:5" hidden="1" x14ac:dyDescent="0.2">
      <c r="B539" s="35" t="s">
        <v>108</v>
      </c>
      <c r="C539" s="97"/>
      <c r="D539" s="97"/>
      <c r="E539" s="98"/>
    </row>
    <row r="540" spans="2:5" hidden="1" x14ac:dyDescent="0.2">
      <c r="B540" s="38"/>
      <c r="C540" s="88"/>
      <c r="D540" s="88"/>
      <c r="E540" s="89"/>
    </row>
    <row r="541" spans="2:5" hidden="1" x14ac:dyDescent="0.2">
      <c r="B541" s="41" t="s">
        <v>15</v>
      </c>
      <c r="C541" s="88"/>
      <c r="D541" s="88"/>
      <c r="E541" s="89"/>
    </row>
    <row r="542" spans="2:5" hidden="1" x14ac:dyDescent="0.2">
      <c r="B542" s="41"/>
      <c r="C542" s="140" t="s">
        <v>109</v>
      </c>
      <c r="D542" s="140"/>
      <c r="E542" s="140"/>
    </row>
    <row r="543" spans="2:5" hidden="1" x14ac:dyDescent="0.2">
      <c r="B543" s="41" t="s">
        <v>16</v>
      </c>
      <c r="C543" s="88"/>
      <c r="D543" s="88"/>
      <c r="E543" s="89"/>
    </row>
    <row r="544" spans="2:5" hidden="1" x14ac:dyDescent="0.2">
      <c r="B544" s="42"/>
      <c r="C544" s="137" t="s">
        <v>63</v>
      </c>
      <c r="D544" s="137"/>
      <c r="E544" s="137"/>
    </row>
    <row r="545" spans="2:5" hidden="1" x14ac:dyDescent="0.2">
      <c r="B545" s="42"/>
      <c r="C545" s="137" t="s">
        <v>64</v>
      </c>
      <c r="D545" s="137"/>
      <c r="E545" s="137"/>
    </row>
    <row r="546" spans="2:5" hidden="1" x14ac:dyDescent="0.2">
      <c r="B546" s="41" t="s">
        <v>17</v>
      </c>
      <c r="C546" s="90"/>
      <c r="D546" s="90"/>
      <c r="E546" s="91"/>
    </row>
    <row r="547" spans="2:5" hidden="1" x14ac:dyDescent="0.2">
      <c r="B547" s="42"/>
      <c r="C547" s="136" t="s">
        <v>65</v>
      </c>
      <c r="D547" s="136"/>
      <c r="E547" s="136"/>
    </row>
    <row r="548" spans="2:5" hidden="1" x14ac:dyDescent="0.2">
      <c r="B548" s="41" t="s">
        <v>18</v>
      </c>
      <c r="C548" s="92"/>
      <c r="D548" s="92"/>
      <c r="E548" s="93"/>
    </row>
    <row r="549" spans="2:5" hidden="1" x14ac:dyDescent="0.2">
      <c r="B549" s="42"/>
      <c r="C549" s="138" t="s">
        <v>66</v>
      </c>
      <c r="D549" s="138"/>
      <c r="E549" s="138"/>
    </row>
    <row r="550" spans="2:5" hidden="1" x14ac:dyDescent="0.2">
      <c r="B550" s="41" t="s">
        <v>19</v>
      </c>
      <c r="C550" s="90"/>
      <c r="D550" s="90"/>
      <c r="E550" s="91"/>
    </row>
    <row r="551" spans="2:5" hidden="1" x14ac:dyDescent="0.2">
      <c r="B551" s="41"/>
      <c r="C551" s="139" t="s">
        <v>58</v>
      </c>
      <c r="D551" s="139"/>
      <c r="E551" s="139"/>
    </row>
    <row r="552" spans="2:5" ht="13.5" hidden="1" thickBot="1" x14ac:dyDescent="0.25">
      <c r="B552" s="43"/>
      <c r="C552" s="94"/>
      <c r="D552" s="94"/>
      <c r="E552" s="95"/>
    </row>
    <row r="553" spans="2:5" ht="13.5" hidden="1" thickBot="1" x14ac:dyDescent="0.25">
      <c r="C553" s="96"/>
      <c r="D553" s="96"/>
      <c r="E553" s="96"/>
    </row>
    <row r="554" spans="2:5" hidden="1" x14ac:dyDescent="0.2">
      <c r="B554" s="35" t="s">
        <v>110</v>
      </c>
      <c r="C554" s="97"/>
      <c r="D554" s="97"/>
      <c r="E554" s="98"/>
    </row>
    <row r="555" spans="2:5" hidden="1" x14ac:dyDescent="0.2">
      <c r="B555" s="38"/>
      <c r="C555" s="88"/>
      <c r="D555" s="88"/>
      <c r="E555" s="89"/>
    </row>
    <row r="556" spans="2:5" hidden="1" x14ac:dyDescent="0.2">
      <c r="B556" s="41" t="s">
        <v>15</v>
      </c>
      <c r="C556" s="88"/>
      <c r="D556" s="88"/>
      <c r="E556" s="89"/>
    </row>
    <row r="557" spans="2:5" hidden="1" x14ac:dyDescent="0.2">
      <c r="B557" s="41"/>
      <c r="C557" s="140" t="s">
        <v>111</v>
      </c>
      <c r="D557" s="140"/>
      <c r="E557" s="140"/>
    </row>
    <row r="558" spans="2:5" hidden="1" x14ac:dyDescent="0.2">
      <c r="B558" s="41" t="s">
        <v>16</v>
      </c>
      <c r="C558" s="88"/>
      <c r="D558" s="88"/>
      <c r="E558" s="89"/>
    </row>
    <row r="559" spans="2:5" hidden="1" x14ac:dyDescent="0.2">
      <c r="B559" s="42"/>
      <c r="C559" s="137" t="s">
        <v>63</v>
      </c>
      <c r="D559" s="137"/>
      <c r="E559" s="137"/>
    </row>
    <row r="560" spans="2:5" hidden="1" x14ac:dyDescent="0.2">
      <c r="B560" s="42"/>
      <c r="C560" s="137" t="s">
        <v>64</v>
      </c>
      <c r="D560" s="137"/>
      <c r="E560" s="137"/>
    </row>
    <row r="561" spans="2:5" hidden="1" x14ac:dyDescent="0.2">
      <c r="B561" s="41" t="s">
        <v>17</v>
      </c>
      <c r="C561" s="90"/>
      <c r="D561" s="90"/>
      <c r="E561" s="91"/>
    </row>
    <row r="562" spans="2:5" hidden="1" x14ac:dyDescent="0.2">
      <c r="B562" s="42"/>
      <c r="C562" s="136" t="s">
        <v>65</v>
      </c>
      <c r="D562" s="136"/>
      <c r="E562" s="136"/>
    </row>
    <row r="563" spans="2:5" hidden="1" x14ac:dyDescent="0.2">
      <c r="B563" s="41" t="s">
        <v>18</v>
      </c>
      <c r="C563" s="92"/>
      <c r="D563" s="92"/>
      <c r="E563" s="93"/>
    </row>
    <row r="564" spans="2:5" hidden="1" x14ac:dyDescent="0.2">
      <c r="B564" s="42"/>
      <c r="C564" s="138" t="s">
        <v>66</v>
      </c>
      <c r="D564" s="138"/>
      <c r="E564" s="138"/>
    </row>
    <row r="565" spans="2:5" hidden="1" x14ac:dyDescent="0.2">
      <c r="B565" s="41" t="s">
        <v>19</v>
      </c>
      <c r="C565" s="90"/>
      <c r="D565" s="90"/>
      <c r="E565" s="91"/>
    </row>
    <row r="566" spans="2:5" hidden="1" x14ac:dyDescent="0.2">
      <c r="B566" s="41"/>
      <c r="C566" s="139" t="s">
        <v>58</v>
      </c>
      <c r="D566" s="139"/>
      <c r="E566" s="139"/>
    </row>
    <row r="567" spans="2:5" ht="13.5" hidden="1" thickBot="1" x14ac:dyDescent="0.25">
      <c r="B567" s="43"/>
      <c r="C567" s="94"/>
      <c r="D567" s="94"/>
      <c r="E567" s="95"/>
    </row>
    <row r="568" spans="2:5" ht="13.5" hidden="1" thickBot="1" x14ac:dyDescent="0.25">
      <c r="C568" s="96"/>
      <c r="D568" s="96"/>
      <c r="E568" s="96"/>
    </row>
    <row r="569" spans="2:5" hidden="1" x14ac:dyDescent="0.2">
      <c r="B569" s="35" t="s">
        <v>112</v>
      </c>
      <c r="C569" s="97"/>
      <c r="D569" s="97"/>
      <c r="E569" s="98"/>
    </row>
    <row r="570" spans="2:5" hidden="1" x14ac:dyDescent="0.2">
      <c r="B570" s="38"/>
      <c r="C570" s="88"/>
      <c r="D570" s="88"/>
      <c r="E570" s="89"/>
    </row>
    <row r="571" spans="2:5" hidden="1" x14ac:dyDescent="0.2">
      <c r="B571" s="41" t="s">
        <v>15</v>
      </c>
      <c r="C571" s="88"/>
      <c r="D571" s="88"/>
      <c r="E571" s="89"/>
    </row>
    <row r="572" spans="2:5" hidden="1" x14ac:dyDescent="0.2">
      <c r="B572" s="41"/>
      <c r="C572" s="140" t="s">
        <v>113</v>
      </c>
      <c r="D572" s="140"/>
      <c r="E572" s="140"/>
    </row>
    <row r="573" spans="2:5" hidden="1" x14ac:dyDescent="0.2">
      <c r="B573" s="41" t="s">
        <v>16</v>
      </c>
      <c r="C573" s="88"/>
      <c r="D573" s="88"/>
      <c r="E573" s="89"/>
    </row>
    <row r="574" spans="2:5" hidden="1" x14ac:dyDescent="0.2">
      <c r="B574" s="42"/>
      <c r="C574" s="137" t="s">
        <v>63</v>
      </c>
      <c r="D574" s="137"/>
      <c r="E574" s="137"/>
    </row>
    <row r="575" spans="2:5" hidden="1" x14ac:dyDescent="0.2">
      <c r="B575" s="42"/>
      <c r="C575" s="137" t="s">
        <v>64</v>
      </c>
      <c r="D575" s="137"/>
      <c r="E575" s="137"/>
    </row>
    <row r="576" spans="2:5" hidden="1" x14ac:dyDescent="0.2">
      <c r="B576" s="41" t="s">
        <v>17</v>
      </c>
      <c r="C576" s="90"/>
      <c r="D576" s="90"/>
      <c r="E576" s="91"/>
    </row>
    <row r="577" spans="2:5" hidden="1" x14ac:dyDescent="0.2">
      <c r="B577" s="42"/>
      <c r="C577" s="136" t="s">
        <v>65</v>
      </c>
      <c r="D577" s="136"/>
      <c r="E577" s="136"/>
    </row>
    <row r="578" spans="2:5" hidden="1" x14ac:dyDescent="0.2">
      <c r="B578" s="41" t="s">
        <v>18</v>
      </c>
      <c r="C578" s="92"/>
      <c r="D578" s="92"/>
      <c r="E578" s="93"/>
    </row>
    <row r="579" spans="2:5" hidden="1" x14ac:dyDescent="0.2">
      <c r="B579" s="42"/>
      <c r="C579" s="138" t="s">
        <v>66</v>
      </c>
      <c r="D579" s="138"/>
      <c r="E579" s="138"/>
    </row>
    <row r="580" spans="2:5" hidden="1" x14ac:dyDescent="0.2">
      <c r="B580" s="41" t="s">
        <v>19</v>
      </c>
      <c r="C580" s="90"/>
      <c r="D580" s="90"/>
      <c r="E580" s="91"/>
    </row>
    <row r="581" spans="2:5" hidden="1" x14ac:dyDescent="0.2">
      <c r="B581" s="41"/>
      <c r="C581" s="139" t="s">
        <v>58</v>
      </c>
      <c r="D581" s="139"/>
      <c r="E581" s="139"/>
    </row>
    <row r="582" spans="2:5" ht="13.5" hidden="1" thickBot="1" x14ac:dyDescent="0.25">
      <c r="B582" s="43"/>
      <c r="C582" s="94"/>
      <c r="D582" s="94"/>
      <c r="E582" s="95"/>
    </row>
    <row r="583" spans="2:5" ht="13.5" hidden="1" thickBot="1" x14ac:dyDescent="0.25">
      <c r="C583" s="96"/>
      <c r="D583" s="96"/>
      <c r="E583" s="96"/>
    </row>
    <row r="584" spans="2:5" hidden="1" x14ac:dyDescent="0.2">
      <c r="B584" s="35" t="s">
        <v>114</v>
      </c>
      <c r="C584" s="97"/>
      <c r="D584" s="97"/>
      <c r="E584" s="98"/>
    </row>
    <row r="585" spans="2:5" hidden="1" x14ac:dyDescent="0.2">
      <c r="B585" s="38"/>
      <c r="C585" s="88"/>
      <c r="D585" s="88"/>
      <c r="E585" s="89"/>
    </row>
    <row r="586" spans="2:5" hidden="1" x14ac:dyDescent="0.2">
      <c r="B586" s="41" t="s">
        <v>15</v>
      </c>
      <c r="C586" s="88"/>
      <c r="D586" s="88"/>
      <c r="E586" s="89"/>
    </row>
    <row r="587" spans="2:5" hidden="1" x14ac:dyDescent="0.2">
      <c r="B587" s="41"/>
      <c r="C587" s="140" t="s">
        <v>115</v>
      </c>
      <c r="D587" s="140"/>
      <c r="E587" s="140"/>
    </row>
    <row r="588" spans="2:5" hidden="1" x14ac:dyDescent="0.2">
      <c r="B588" s="41" t="s">
        <v>16</v>
      </c>
      <c r="C588" s="88"/>
      <c r="D588" s="88"/>
      <c r="E588" s="89"/>
    </row>
    <row r="589" spans="2:5" hidden="1" x14ac:dyDescent="0.2">
      <c r="B589" s="42"/>
      <c r="C589" s="137" t="s">
        <v>63</v>
      </c>
      <c r="D589" s="137"/>
      <c r="E589" s="137"/>
    </row>
    <row r="590" spans="2:5" hidden="1" x14ac:dyDescent="0.2">
      <c r="B590" s="42"/>
      <c r="C590" s="137" t="s">
        <v>64</v>
      </c>
      <c r="D590" s="137"/>
      <c r="E590" s="137"/>
    </row>
    <row r="591" spans="2:5" hidden="1" x14ac:dyDescent="0.2">
      <c r="B591" s="41" t="s">
        <v>17</v>
      </c>
      <c r="C591" s="90"/>
      <c r="D591" s="90"/>
      <c r="E591" s="91"/>
    </row>
    <row r="592" spans="2:5" hidden="1" x14ac:dyDescent="0.2">
      <c r="B592" s="42"/>
      <c r="C592" s="136" t="s">
        <v>65</v>
      </c>
      <c r="D592" s="136"/>
      <c r="E592" s="136"/>
    </row>
    <row r="593" spans="2:5" hidden="1" x14ac:dyDescent="0.2">
      <c r="B593" s="41" t="s">
        <v>18</v>
      </c>
      <c r="C593" s="92"/>
      <c r="D593" s="92"/>
      <c r="E593" s="93"/>
    </row>
    <row r="594" spans="2:5" hidden="1" x14ac:dyDescent="0.2">
      <c r="B594" s="42"/>
      <c r="C594" s="138" t="s">
        <v>66</v>
      </c>
      <c r="D594" s="138"/>
      <c r="E594" s="138"/>
    </row>
    <row r="595" spans="2:5" hidden="1" x14ac:dyDescent="0.2">
      <c r="B595" s="41" t="s">
        <v>19</v>
      </c>
      <c r="C595" s="90"/>
      <c r="D595" s="90"/>
      <c r="E595" s="91"/>
    </row>
    <row r="596" spans="2:5" hidden="1" x14ac:dyDescent="0.2">
      <c r="B596" s="41"/>
      <c r="C596" s="139" t="s">
        <v>58</v>
      </c>
      <c r="D596" s="139"/>
      <c r="E596" s="139"/>
    </row>
    <row r="597" spans="2:5" ht="13.5" hidden="1" thickBot="1" x14ac:dyDescent="0.25">
      <c r="B597" s="43"/>
      <c r="C597" s="94"/>
      <c r="D597" s="94"/>
      <c r="E597" s="95"/>
    </row>
    <row r="598" spans="2:5" ht="13.5" hidden="1" thickBot="1" x14ac:dyDescent="0.25">
      <c r="C598" s="96"/>
      <c r="D598" s="96"/>
      <c r="E598" s="96"/>
    </row>
    <row r="599" spans="2:5" hidden="1" x14ac:dyDescent="0.2">
      <c r="B599" s="35" t="s">
        <v>116</v>
      </c>
      <c r="C599" s="97"/>
      <c r="D599" s="97"/>
      <c r="E599" s="98"/>
    </row>
    <row r="600" spans="2:5" hidden="1" x14ac:dyDescent="0.2">
      <c r="B600" s="38"/>
      <c r="C600" s="88"/>
      <c r="D600" s="88"/>
      <c r="E600" s="89"/>
    </row>
    <row r="601" spans="2:5" hidden="1" x14ac:dyDescent="0.2">
      <c r="B601" s="41" t="s">
        <v>15</v>
      </c>
      <c r="C601" s="88"/>
      <c r="D601" s="88"/>
      <c r="E601" s="89"/>
    </row>
    <row r="602" spans="2:5" hidden="1" x14ac:dyDescent="0.2">
      <c r="B602" s="41"/>
      <c r="C602" s="140" t="s">
        <v>117</v>
      </c>
      <c r="D602" s="140"/>
      <c r="E602" s="140"/>
    </row>
    <row r="603" spans="2:5" hidden="1" x14ac:dyDescent="0.2">
      <c r="B603" s="41" t="s">
        <v>16</v>
      </c>
      <c r="C603" s="88"/>
      <c r="D603" s="88"/>
      <c r="E603" s="89"/>
    </row>
    <row r="604" spans="2:5" hidden="1" x14ac:dyDescent="0.2">
      <c r="B604" s="42"/>
      <c r="C604" s="137" t="s">
        <v>63</v>
      </c>
      <c r="D604" s="137"/>
      <c r="E604" s="137"/>
    </row>
    <row r="605" spans="2:5" hidden="1" x14ac:dyDescent="0.2">
      <c r="B605" s="42"/>
      <c r="C605" s="137" t="s">
        <v>64</v>
      </c>
      <c r="D605" s="137"/>
      <c r="E605" s="137"/>
    </row>
    <row r="606" spans="2:5" hidden="1" x14ac:dyDescent="0.2">
      <c r="B606" s="41" t="s">
        <v>17</v>
      </c>
      <c r="C606" s="90"/>
      <c r="D606" s="90"/>
      <c r="E606" s="91"/>
    </row>
    <row r="607" spans="2:5" hidden="1" x14ac:dyDescent="0.2">
      <c r="B607" s="42"/>
      <c r="C607" s="136" t="s">
        <v>65</v>
      </c>
      <c r="D607" s="136"/>
      <c r="E607" s="136"/>
    </row>
    <row r="608" spans="2:5" hidden="1" x14ac:dyDescent="0.2">
      <c r="B608" s="41" t="s">
        <v>18</v>
      </c>
      <c r="C608" s="92"/>
      <c r="D608" s="92"/>
      <c r="E608" s="93"/>
    </row>
    <row r="609" spans="2:5" hidden="1" x14ac:dyDescent="0.2">
      <c r="B609" s="42"/>
      <c r="C609" s="138" t="s">
        <v>66</v>
      </c>
      <c r="D609" s="138"/>
      <c r="E609" s="138"/>
    </row>
    <row r="610" spans="2:5" hidden="1" x14ac:dyDescent="0.2">
      <c r="B610" s="41" t="s">
        <v>19</v>
      </c>
      <c r="C610" s="90"/>
      <c r="D610" s="90"/>
      <c r="E610" s="91"/>
    </row>
    <row r="611" spans="2:5" hidden="1" x14ac:dyDescent="0.2">
      <c r="B611" s="41"/>
      <c r="C611" s="139" t="s">
        <v>58</v>
      </c>
      <c r="D611" s="139"/>
      <c r="E611" s="139"/>
    </row>
    <row r="612" spans="2:5" ht="13.5" hidden="1" thickBot="1" x14ac:dyDescent="0.25">
      <c r="B612" s="43"/>
      <c r="C612" s="94"/>
      <c r="D612" s="94"/>
      <c r="E612" s="95"/>
    </row>
    <row r="613" spans="2:5" ht="13.5" hidden="1" thickBot="1" x14ac:dyDescent="0.25">
      <c r="C613" s="96"/>
      <c r="D613" s="96"/>
      <c r="E613" s="96"/>
    </row>
    <row r="614" spans="2:5" hidden="1" x14ac:dyDescent="0.2">
      <c r="B614" s="35" t="s">
        <v>118</v>
      </c>
      <c r="C614" s="97"/>
      <c r="D614" s="97"/>
      <c r="E614" s="98"/>
    </row>
    <row r="615" spans="2:5" hidden="1" x14ac:dyDescent="0.2">
      <c r="B615" s="38"/>
      <c r="C615" s="88"/>
      <c r="D615" s="88"/>
      <c r="E615" s="89"/>
    </row>
    <row r="616" spans="2:5" hidden="1" x14ac:dyDescent="0.2">
      <c r="B616" s="41" t="s">
        <v>15</v>
      </c>
      <c r="C616" s="88"/>
      <c r="D616" s="88"/>
      <c r="E616" s="89"/>
    </row>
    <row r="617" spans="2:5" hidden="1" x14ac:dyDescent="0.2">
      <c r="B617" s="41"/>
      <c r="C617" s="140" t="s">
        <v>119</v>
      </c>
      <c r="D617" s="140"/>
      <c r="E617" s="140"/>
    </row>
    <row r="618" spans="2:5" hidden="1" x14ac:dyDescent="0.2">
      <c r="B618" s="41" t="s">
        <v>16</v>
      </c>
      <c r="C618" s="88"/>
      <c r="D618" s="88"/>
      <c r="E618" s="89"/>
    </row>
    <row r="619" spans="2:5" hidden="1" x14ac:dyDescent="0.2">
      <c r="B619" s="42"/>
      <c r="C619" s="137" t="s">
        <v>63</v>
      </c>
      <c r="D619" s="137"/>
      <c r="E619" s="137"/>
    </row>
    <row r="620" spans="2:5" hidden="1" x14ac:dyDescent="0.2">
      <c r="B620" s="42"/>
      <c r="C620" s="137" t="s">
        <v>64</v>
      </c>
      <c r="D620" s="137"/>
      <c r="E620" s="137"/>
    </row>
    <row r="621" spans="2:5" hidden="1" x14ac:dyDescent="0.2">
      <c r="B621" s="41" t="s">
        <v>17</v>
      </c>
      <c r="C621" s="90"/>
      <c r="D621" s="90"/>
      <c r="E621" s="91"/>
    </row>
    <row r="622" spans="2:5" hidden="1" x14ac:dyDescent="0.2">
      <c r="B622" s="42"/>
      <c r="C622" s="136" t="s">
        <v>65</v>
      </c>
      <c r="D622" s="136"/>
      <c r="E622" s="136"/>
    </row>
    <row r="623" spans="2:5" hidden="1" x14ac:dyDescent="0.2">
      <c r="B623" s="41" t="s">
        <v>18</v>
      </c>
      <c r="C623" s="92"/>
      <c r="D623" s="92"/>
      <c r="E623" s="93"/>
    </row>
    <row r="624" spans="2:5" hidden="1" x14ac:dyDescent="0.2">
      <c r="B624" s="42"/>
      <c r="C624" s="138" t="s">
        <v>66</v>
      </c>
      <c r="D624" s="138"/>
      <c r="E624" s="138"/>
    </row>
    <row r="625" spans="2:5" hidden="1" x14ac:dyDescent="0.2">
      <c r="B625" s="41" t="s">
        <v>19</v>
      </c>
      <c r="C625" s="90"/>
      <c r="D625" s="90"/>
      <c r="E625" s="91"/>
    </row>
    <row r="626" spans="2:5" hidden="1" x14ac:dyDescent="0.2">
      <c r="B626" s="41"/>
      <c r="C626" s="139" t="s">
        <v>58</v>
      </c>
      <c r="D626" s="139"/>
      <c r="E626" s="139"/>
    </row>
    <row r="627" spans="2:5" ht="13.5" hidden="1" thickBot="1" x14ac:dyDescent="0.25">
      <c r="B627" s="43"/>
      <c r="C627" s="94"/>
      <c r="D627" s="94"/>
      <c r="E627" s="95"/>
    </row>
    <row r="628" spans="2:5" hidden="1" x14ac:dyDescent="0.2">
      <c r="C628" s="96"/>
      <c r="D628" s="96"/>
      <c r="E628" s="96"/>
    </row>
    <row r="629" spans="2:5" ht="13.5" hidden="1" thickBot="1" x14ac:dyDescent="0.25">
      <c r="C629" s="96"/>
      <c r="D629" s="96"/>
      <c r="E629" s="96"/>
    </row>
    <row r="630" spans="2:5" hidden="1" x14ac:dyDescent="0.2">
      <c r="B630" s="35" t="s">
        <v>120</v>
      </c>
      <c r="C630" s="97"/>
      <c r="D630" s="97"/>
      <c r="E630" s="98"/>
    </row>
    <row r="631" spans="2:5" hidden="1" x14ac:dyDescent="0.2">
      <c r="B631" s="38"/>
      <c r="C631" s="88"/>
      <c r="D631" s="88"/>
      <c r="E631" s="89"/>
    </row>
    <row r="632" spans="2:5" hidden="1" x14ac:dyDescent="0.2">
      <c r="B632" s="41" t="s">
        <v>15</v>
      </c>
      <c r="C632" s="88"/>
      <c r="D632" s="88"/>
      <c r="E632" s="89"/>
    </row>
    <row r="633" spans="2:5" hidden="1" x14ac:dyDescent="0.2">
      <c r="B633" s="41"/>
      <c r="C633" s="140" t="s">
        <v>121</v>
      </c>
      <c r="D633" s="140"/>
      <c r="E633" s="140"/>
    </row>
    <row r="634" spans="2:5" hidden="1" x14ac:dyDescent="0.2">
      <c r="B634" s="41" t="s">
        <v>16</v>
      </c>
      <c r="C634" s="88"/>
      <c r="D634" s="88"/>
      <c r="E634" s="89"/>
    </row>
    <row r="635" spans="2:5" hidden="1" x14ac:dyDescent="0.2">
      <c r="B635" s="42"/>
      <c r="C635" s="137" t="s">
        <v>63</v>
      </c>
      <c r="D635" s="137"/>
      <c r="E635" s="137"/>
    </row>
    <row r="636" spans="2:5" hidden="1" x14ac:dyDescent="0.2">
      <c r="B636" s="42"/>
      <c r="C636" s="137" t="s">
        <v>64</v>
      </c>
      <c r="D636" s="137"/>
      <c r="E636" s="137"/>
    </row>
    <row r="637" spans="2:5" hidden="1" x14ac:dyDescent="0.2">
      <c r="B637" s="41" t="s">
        <v>17</v>
      </c>
      <c r="C637" s="90"/>
      <c r="D637" s="90"/>
      <c r="E637" s="91"/>
    </row>
    <row r="638" spans="2:5" hidden="1" x14ac:dyDescent="0.2">
      <c r="B638" s="42"/>
      <c r="C638" s="136" t="s">
        <v>65</v>
      </c>
      <c r="D638" s="136"/>
      <c r="E638" s="136"/>
    </row>
    <row r="639" spans="2:5" hidden="1" x14ac:dyDescent="0.2">
      <c r="B639" s="41" t="s">
        <v>18</v>
      </c>
      <c r="C639" s="92"/>
      <c r="D639" s="92"/>
      <c r="E639" s="93"/>
    </row>
    <row r="640" spans="2:5" hidden="1" x14ac:dyDescent="0.2">
      <c r="B640" s="42"/>
      <c r="C640" s="138" t="s">
        <v>66</v>
      </c>
      <c r="D640" s="138"/>
      <c r="E640" s="138"/>
    </row>
    <row r="641" spans="2:5" hidden="1" x14ac:dyDescent="0.2">
      <c r="B641" s="41" t="s">
        <v>19</v>
      </c>
      <c r="C641" s="90"/>
      <c r="D641" s="90"/>
      <c r="E641" s="91"/>
    </row>
    <row r="642" spans="2:5" hidden="1" x14ac:dyDescent="0.2">
      <c r="B642" s="41"/>
      <c r="C642" s="139" t="s">
        <v>58</v>
      </c>
      <c r="D642" s="139"/>
      <c r="E642" s="139"/>
    </row>
    <row r="643" spans="2:5" ht="13.5" hidden="1" thickBot="1" x14ac:dyDescent="0.25">
      <c r="B643" s="43"/>
      <c r="C643" s="94"/>
      <c r="D643" s="94"/>
      <c r="E643" s="95"/>
    </row>
    <row r="644" spans="2:5" hidden="1" x14ac:dyDescent="0.2">
      <c r="C644" s="96"/>
      <c r="D644" s="96"/>
      <c r="E644" s="96"/>
    </row>
    <row r="645" spans="2:5" ht="13.5" hidden="1" thickBot="1" x14ac:dyDescent="0.25">
      <c r="C645" s="96"/>
      <c r="D645" s="96"/>
      <c r="E645" s="96"/>
    </row>
    <row r="646" spans="2:5" hidden="1" x14ac:dyDescent="0.2">
      <c r="B646" s="35" t="s">
        <v>122</v>
      </c>
      <c r="C646" s="97"/>
      <c r="D646" s="97"/>
      <c r="E646" s="98"/>
    </row>
    <row r="647" spans="2:5" hidden="1" x14ac:dyDescent="0.2">
      <c r="B647" s="38"/>
      <c r="C647" s="88"/>
      <c r="D647" s="88"/>
      <c r="E647" s="89"/>
    </row>
    <row r="648" spans="2:5" hidden="1" x14ac:dyDescent="0.2">
      <c r="B648" s="41" t="s">
        <v>15</v>
      </c>
      <c r="C648" s="88"/>
      <c r="D648" s="88"/>
      <c r="E648" s="89"/>
    </row>
    <row r="649" spans="2:5" hidden="1" x14ac:dyDescent="0.2">
      <c r="B649" s="41"/>
      <c r="C649" s="140" t="s">
        <v>123</v>
      </c>
      <c r="D649" s="140"/>
      <c r="E649" s="140"/>
    </row>
    <row r="650" spans="2:5" hidden="1" x14ac:dyDescent="0.2">
      <c r="B650" s="41" t="s">
        <v>16</v>
      </c>
      <c r="C650" s="88"/>
      <c r="D650" s="88"/>
      <c r="E650" s="89"/>
    </row>
    <row r="651" spans="2:5" hidden="1" x14ac:dyDescent="0.2">
      <c r="B651" s="42"/>
      <c r="C651" s="137" t="s">
        <v>63</v>
      </c>
      <c r="D651" s="137"/>
      <c r="E651" s="137"/>
    </row>
    <row r="652" spans="2:5" hidden="1" x14ac:dyDescent="0.2">
      <c r="B652" s="42"/>
      <c r="C652" s="137" t="s">
        <v>64</v>
      </c>
      <c r="D652" s="137"/>
      <c r="E652" s="137"/>
    </row>
    <row r="653" spans="2:5" hidden="1" x14ac:dyDescent="0.2">
      <c r="B653" s="41" t="s">
        <v>17</v>
      </c>
      <c r="C653" s="90"/>
      <c r="D653" s="90"/>
      <c r="E653" s="91"/>
    </row>
    <row r="654" spans="2:5" hidden="1" x14ac:dyDescent="0.2">
      <c r="B654" s="42"/>
      <c r="C654" s="136" t="s">
        <v>65</v>
      </c>
      <c r="D654" s="136"/>
      <c r="E654" s="136"/>
    </row>
    <row r="655" spans="2:5" hidden="1" x14ac:dyDescent="0.2">
      <c r="B655" s="41" t="s">
        <v>18</v>
      </c>
      <c r="C655" s="92"/>
      <c r="D655" s="92"/>
      <c r="E655" s="93"/>
    </row>
    <row r="656" spans="2:5" hidden="1" x14ac:dyDescent="0.2">
      <c r="B656" s="42"/>
      <c r="C656" s="138" t="s">
        <v>66</v>
      </c>
      <c r="D656" s="138"/>
      <c r="E656" s="138"/>
    </row>
    <row r="657" spans="2:5" hidden="1" x14ac:dyDescent="0.2">
      <c r="B657" s="41" t="s">
        <v>19</v>
      </c>
      <c r="C657" s="90"/>
      <c r="D657" s="90"/>
      <c r="E657" s="91"/>
    </row>
    <row r="658" spans="2:5" hidden="1" x14ac:dyDescent="0.2">
      <c r="B658" s="41"/>
      <c r="C658" s="139" t="s">
        <v>58</v>
      </c>
      <c r="D658" s="139"/>
      <c r="E658" s="139"/>
    </row>
    <row r="659" spans="2:5" ht="13.5" hidden="1" thickBot="1" x14ac:dyDescent="0.25">
      <c r="B659" s="43"/>
      <c r="C659" s="94"/>
      <c r="D659" s="94"/>
      <c r="E659" s="95"/>
    </row>
    <row r="660" spans="2:5" ht="13.5" hidden="1" thickBot="1" x14ac:dyDescent="0.25">
      <c r="C660" s="96"/>
      <c r="D660" s="96"/>
      <c r="E660" s="96"/>
    </row>
    <row r="661" spans="2:5" hidden="1" x14ac:dyDescent="0.2">
      <c r="B661" s="35" t="s">
        <v>124</v>
      </c>
      <c r="C661" s="97"/>
      <c r="D661" s="97"/>
      <c r="E661" s="98"/>
    </row>
    <row r="662" spans="2:5" hidden="1" x14ac:dyDescent="0.2">
      <c r="B662" s="38"/>
      <c r="C662" s="88"/>
      <c r="D662" s="88"/>
      <c r="E662" s="89"/>
    </row>
    <row r="663" spans="2:5" hidden="1" x14ac:dyDescent="0.2">
      <c r="B663" s="41" t="s">
        <v>15</v>
      </c>
      <c r="C663" s="88"/>
      <c r="D663" s="88"/>
      <c r="E663" s="89"/>
    </row>
    <row r="664" spans="2:5" hidden="1" x14ac:dyDescent="0.2">
      <c r="B664" s="41"/>
      <c r="C664" s="140" t="s">
        <v>125</v>
      </c>
      <c r="D664" s="140"/>
      <c r="E664" s="140"/>
    </row>
    <row r="665" spans="2:5" hidden="1" x14ac:dyDescent="0.2">
      <c r="B665" s="41" t="s">
        <v>16</v>
      </c>
      <c r="C665" s="88"/>
      <c r="D665" s="88"/>
      <c r="E665" s="89"/>
    </row>
    <row r="666" spans="2:5" hidden="1" x14ac:dyDescent="0.2">
      <c r="B666" s="42"/>
      <c r="C666" s="137" t="s">
        <v>63</v>
      </c>
      <c r="D666" s="137"/>
      <c r="E666" s="137"/>
    </row>
    <row r="667" spans="2:5" hidden="1" x14ac:dyDescent="0.2">
      <c r="B667" s="42"/>
      <c r="C667" s="137" t="s">
        <v>64</v>
      </c>
      <c r="D667" s="137"/>
      <c r="E667" s="137"/>
    </row>
    <row r="668" spans="2:5" hidden="1" x14ac:dyDescent="0.2">
      <c r="B668" s="41" t="s">
        <v>17</v>
      </c>
      <c r="C668" s="90"/>
      <c r="D668" s="90"/>
      <c r="E668" s="91"/>
    </row>
    <row r="669" spans="2:5" hidden="1" x14ac:dyDescent="0.2">
      <c r="B669" s="42"/>
      <c r="C669" s="136" t="s">
        <v>65</v>
      </c>
      <c r="D669" s="136"/>
      <c r="E669" s="136"/>
    </row>
    <row r="670" spans="2:5" hidden="1" x14ac:dyDescent="0.2">
      <c r="B670" s="41" t="s">
        <v>18</v>
      </c>
      <c r="C670" s="92"/>
      <c r="D670" s="92"/>
      <c r="E670" s="93"/>
    </row>
    <row r="671" spans="2:5" hidden="1" x14ac:dyDescent="0.2">
      <c r="B671" s="42"/>
      <c r="C671" s="138" t="s">
        <v>66</v>
      </c>
      <c r="D671" s="138"/>
      <c r="E671" s="138"/>
    </row>
    <row r="672" spans="2:5" hidden="1" x14ac:dyDescent="0.2">
      <c r="B672" s="41" t="s">
        <v>19</v>
      </c>
      <c r="C672" s="90"/>
      <c r="D672" s="90"/>
      <c r="E672" s="91"/>
    </row>
    <row r="673" spans="2:5" hidden="1" x14ac:dyDescent="0.2">
      <c r="B673" s="41"/>
      <c r="C673" s="139" t="s">
        <v>58</v>
      </c>
      <c r="D673" s="139"/>
      <c r="E673" s="139"/>
    </row>
    <row r="674" spans="2:5" ht="13.5" hidden="1" thickBot="1" x14ac:dyDescent="0.25">
      <c r="B674" s="43"/>
      <c r="C674" s="94"/>
      <c r="D674" s="94"/>
      <c r="E674" s="95"/>
    </row>
    <row r="675" spans="2:5" hidden="1" x14ac:dyDescent="0.2">
      <c r="C675" s="96"/>
      <c r="D675" s="96"/>
      <c r="E675" s="96"/>
    </row>
    <row r="676" spans="2:5" x14ac:dyDescent="0.2">
      <c r="B676" s="35" t="s">
        <v>184</v>
      </c>
      <c r="C676" s="97"/>
      <c r="D676" s="97"/>
      <c r="E676" s="98"/>
    </row>
    <row r="677" spans="2:5" x14ac:dyDescent="0.2">
      <c r="B677" s="38"/>
      <c r="C677" s="88"/>
      <c r="D677" s="88"/>
      <c r="E677" s="89"/>
    </row>
    <row r="678" spans="2:5" x14ac:dyDescent="0.2">
      <c r="B678" s="41" t="s">
        <v>15</v>
      </c>
      <c r="C678" s="88"/>
      <c r="D678" s="88"/>
      <c r="E678" s="89"/>
    </row>
    <row r="679" spans="2:5" x14ac:dyDescent="0.2">
      <c r="B679" s="41"/>
      <c r="C679" s="135" t="s">
        <v>227</v>
      </c>
      <c r="D679" s="135"/>
      <c r="E679" s="136"/>
    </row>
    <row r="680" spans="2:5" x14ac:dyDescent="0.2">
      <c r="B680" s="41" t="s">
        <v>16</v>
      </c>
      <c r="C680" s="88"/>
      <c r="D680" s="88"/>
      <c r="E680" s="89"/>
    </row>
    <row r="681" spans="2:5" x14ac:dyDescent="0.2">
      <c r="B681" s="42"/>
      <c r="C681" s="137" t="s">
        <v>183</v>
      </c>
      <c r="D681" s="137"/>
      <c r="E681" s="137"/>
    </row>
    <row r="682" spans="2:5" x14ac:dyDescent="0.2">
      <c r="B682" s="42"/>
      <c r="C682" s="137" t="s">
        <v>182</v>
      </c>
      <c r="D682" s="137"/>
      <c r="E682" s="137"/>
    </row>
    <row r="683" spans="2:5" x14ac:dyDescent="0.2">
      <c r="B683" s="41" t="s">
        <v>17</v>
      </c>
      <c r="C683" s="90"/>
      <c r="D683" s="90"/>
      <c r="E683" s="91"/>
    </row>
    <row r="684" spans="2:5" x14ac:dyDescent="0.2">
      <c r="B684" s="42"/>
      <c r="C684" s="136" t="s">
        <v>65</v>
      </c>
      <c r="D684" s="136"/>
      <c r="E684" s="136"/>
    </row>
    <row r="685" spans="2:5" x14ac:dyDescent="0.2">
      <c r="B685" s="41" t="s">
        <v>18</v>
      </c>
      <c r="C685" s="92"/>
      <c r="D685" s="92"/>
      <c r="E685" s="93"/>
    </row>
    <row r="686" spans="2:5" x14ac:dyDescent="0.2">
      <c r="B686" s="42"/>
      <c r="C686" s="138" t="s">
        <v>66</v>
      </c>
      <c r="D686" s="138"/>
      <c r="E686" s="138"/>
    </row>
    <row r="687" spans="2:5" x14ac:dyDescent="0.2">
      <c r="B687" s="41" t="s">
        <v>19</v>
      </c>
      <c r="C687" s="90"/>
      <c r="D687" s="90"/>
      <c r="E687" s="91"/>
    </row>
    <row r="688" spans="2:5" x14ac:dyDescent="0.2">
      <c r="B688" s="41"/>
      <c r="C688" s="139" t="s">
        <v>58</v>
      </c>
      <c r="D688" s="139"/>
      <c r="E688" s="139"/>
    </row>
    <row r="689" spans="2:5" ht="13.5" thickBot="1" x14ac:dyDescent="0.25">
      <c r="B689" s="43"/>
      <c r="C689" s="94"/>
      <c r="D689" s="94"/>
      <c r="E689" s="95"/>
    </row>
    <row r="690" spans="2:5" ht="13.5" thickBot="1" x14ac:dyDescent="0.25">
      <c r="C690" s="96"/>
      <c r="D690" s="96"/>
      <c r="E690" s="96"/>
    </row>
    <row r="691" spans="2:5" x14ac:dyDescent="0.2">
      <c r="B691" s="35" t="s">
        <v>185</v>
      </c>
      <c r="C691" s="97"/>
      <c r="D691" s="97"/>
      <c r="E691" s="98"/>
    </row>
    <row r="692" spans="2:5" x14ac:dyDescent="0.2">
      <c r="B692" s="38"/>
      <c r="C692" s="88"/>
      <c r="D692" s="88"/>
      <c r="E692" s="89"/>
    </row>
    <row r="693" spans="2:5" x14ac:dyDescent="0.2">
      <c r="B693" s="41" t="s">
        <v>15</v>
      </c>
      <c r="C693" s="88"/>
      <c r="D693" s="88"/>
      <c r="E693" s="89"/>
    </row>
    <row r="694" spans="2:5" x14ac:dyDescent="0.2">
      <c r="B694" s="41"/>
      <c r="C694" s="135" t="s">
        <v>228</v>
      </c>
      <c r="D694" s="135"/>
      <c r="E694" s="136"/>
    </row>
    <row r="695" spans="2:5" x14ac:dyDescent="0.2">
      <c r="B695" s="41" t="s">
        <v>16</v>
      </c>
      <c r="C695" s="88"/>
      <c r="D695" s="88"/>
      <c r="E695" s="89"/>
    </row>
    <row r="696" spans="2:5" x14ac:dyDescent="0.2">
      <c r="B696" s="42"/>
      <c r="C696" s="137" t="s">
        <v>183</v>
      </c>
      <c r="D696" s="137"/>
      <c r="E696" s="137"/>
    </row>
    <row r="697" spans="2:5" x14ac:dyDescent="0.2">
      <c r="B697" s="42"/>
      <c r="C697" s="137" t="s">
        <v>182</v>
      </c>
      <c r="D697" s="137"/>
      <c r="E697" s="137"/>
    </row>
    <row r="698" spans="2:5" x14ac:dyDescent="0.2">
      <c r="B698" s="41" t="s">
        <v>17</v>
      </c>
      <c r="C698" s="90"/>
      <c r="D698" s="90"/>
      <c r="E698" s="91"/>
    </row>
    <row r="699" spans="2:5" x14ac:dyDescent="0.2">
      <c r="B699" s="42"/>
      <c r="C699" s="136" t="s">
        <v>65</v>
      </c>
      <c r="D699" s="136"/>
      <c r="E699" s="136"/>
    </row>
    <row r="700" spans="2:5" x14ac:dyDescent="0.2">
      <c r="B700" s="41" t="s">
        <v>18</v>
      </c>
      <c r="C700" s="92"/>
      <c r="D700" s="92"/>
      <c r="E700" s="93"/>
    </row>
    <row r="701" spans="2:5" x14ac:dyDescent="0.2">
      <c r="B701" s="42"/>
      <c r="C701" s="138" t="s">
        <v>66</v>
      </c>
      <c r="D701" s="138"/>
      <c r="E701" s="138"/>
    </row>
    <row r="702" spans="2:5" x14ac:dyDescent="0.2">
      <c r="B702" s="41" t="s">
        <v>19</v>
      </c>
      <c r="C702" s="90"/>
      <c r="D702" s="90"/>
      <c r="E702" s="91"/>
    </row>
    <row r="703" spans="2:5" x14ac:dyDescent="0.2">
      <c r="B703" s="41"/>
      <c r="C703" s="139" t="s">
        <v>58</v>
      </c>
      <c r="D703" s="139"/>
      <c r="E703" s="139"/>
    </row>
    <row r="704" spans="2:5" ht="13.5" thickBot="1" x14ac:dyDescent="0.25">
      <c r="B704" s="43"/>
      <c r="C704" s="94"/>
      <c r="D704" s="94"/>
      <c r="E704" s="95"/>
    </row>
    <row r="705" spans="2:5" ht="13.5" thickBot="1" x14ac:dyDescent="0.25">
      <c r="C705" s="96"/>
      <c r="D705" s="96"/>
      <c r="E705" s="96"/>
    </row>
    <row r="706" spans="2:5" x14ac:dyDescent="0.2">
      <c r="B706" s="35" t="s">
        <v>186</v>
      </c>
      <c r="C706" s="97"/>
      <c r="D706" s="97"/>
      <c r="E706" s="98"/>
    </row>
    <row r="707" spans="2:5" x14ac:dyDescent="0.2">
      <c r="B707" s="38"/>
      <c r="C707" s="88"/>
      <c r="D707" s="88"/>
      <c r="E707" s="89"/>
    </row>
    <row r="708" spans="2:5" x14ac:dyDescent="0.2">
      <c r="B708" s="41" t="s">
        <v>15</v>
      </c>
      <c r="C708" s="88"/>
      <c r="D708" s="88"/>
      <c r="E708" s="89"/>
    </row>
    <row r="709" spans="2:5" x14ac:dyDescent="0.2">
      <c r="B709" s="41"/>
      <c r="C709" s="135" t="s">
        <v>229</v>
      </c>
      <c r="D709" s="135"/>
      <c r="E709" s="136"/>
    </row>
    <row r="710" spans="2:5" x14ac:dyDescent="0.2">
      <c r="B710" s="41" t="s">
        <v>16</v>
      </c>
      <c r="C710" s="88"/>
      <c r="D710" s="88"/>
      <c r="E710" s="89"/>
    </row>
    <row r="711" spans="2:5" x14ac:dyDescent="0.2">
      <c r="B711" s="42"/>
      <c r="C711" s="137" t="s">
        <v>183</v>
      </c>
      <c r="D711" s="137"/>
      <c r="E711" s="137"/>
    </row>
    <row r="712" spans="2:5" x14ac:dyDescent="0.2">
      <c r="B712" s="42"/>
      <c r="C712" s="137" t="s">
        <v>182</v>
      </c>
      <c r="D712" s="137"/>
      <c r="E712" s="137"/>
    </row>
    <row r="713" spans="2:5" x14ac:dyDescent="0.2">
      <c r="B713" s="41" t="s">
        <v>17</v>
      </c>
      <c r="C713" s="90"/>
      <c r="D713" s="90"/>
      <c r="E713" s="91"/>
    </row>
    <row r="714" spans="2:5" x14ac:dyDescent="0.2">
      <c r="B714" s="42"/>
      <c r="C714" s="136" t="s">
        <v>65</v>
      </c>
      <c r="D714" s="136"/>
      <c r="E714" s="136"/>
    </row>
    <row r="715" spans="2:5" x14ac:dyDescent="0.2">
      <c r="B715" s="41" t="s">
        <v>18</v>
      </c>
      <c r="C715" s="92"/>
      <c r="D715" s="92"/>
      <c r="E715" s="93"/>
    </row>
    <row r="716" spans="2:5" x14ac:dyDescent="0.2">
      <c r="B716" s="42"/>
      <c r="C716" s="138" t="s">
        <v>66</v>
      </c>
      <c r="D716" s="138"/>
      <c r="E716" s="138"/>
    </row>
    <row r="717" spans="2:5" x14ac:dyDescent="0.2">
      <c r="B717" s="41" t="s">
        <v>19</v>
      </c>
      <c r="C717" s="90"/>
      <c r="D717" s="90"/>
      <c r="E717" s="91"/>
    </row>
    <row r="718" spans="2:5" x14ac:dyDescent="0.2">
      <c r="B718" s="41"/>
      <c r="C718" s="139" t="s">
        <v>58</v>
      </c>
      <c r="D718" s="139"/>
      <c r="E718" s="139"/>
    </row>
    <row r="719" spans="2:5" ht="13.5" thickBot="1" x14ac:dyDescent="0.25">
      <c r="B719" s="43"/>
      <c r="C719" s="94"/>
      <c r="D719" s="94"/>
      <c r="E719" s="95"/>
    </row>
    <row r="720" spans="2:5" ht="13.5" thickBot="1" x14ac:dyDescent="0.25">
      <c r="C720" s="96"/>
      <c r="D720" s="96"/>
      <c r="E720" s="96"/>
    </row>
    <row r="721" spans="2:5" x14ac:dyDescent="0.2">
      <c r="B721" s="35" t="s">
        <v>187</v>
      </c>
      <c r="C721" s="97"/>
      <c r="D721" s="97"/>
      <c r="E721" s="98"/>
    </row>
    <row r="722" spans="2:5" x14ac:dyDescent="0.2">
      <c r="B722" s="38"/>
      <c r="C722" s="88"/>
      <c r="D722" s="88"/>
      <c r="E722" s="89"/>
    </row>
    <row r="723" spans="2:5" x14ac:dyDescent="0.2">
      <c r="B723" s="41" t="s">
        <v>15</v>
      </c>
      <c r="C723" s="88"/>
      <c r="D723" s="88"/>
      <c r="E723" s="89"/>
    </row>
    <row r="724" spans="2:5" x14ac:dyDescent="0.2">
      <c r="B724" s="41"/>
      <c r="C724" s="135" t="s">
        <v>284</v>
      </c>
      <c r="D724" s="135"/>
      <c r="E724" s="136"/>
    </row>
    <row r="725" spans="2:5" x14ac:dyDescent="0.2">
      <c r="B725" s="41" t="s">
        <v>16</v>
      </c>
      <c r="C725" s="88"/>
      <c r="D725" s="88"/>
      <c r="E725" s="89"/>
    </row>
    <row r="726" spans="2:5" x14ac:dyDescent="0.2">
      <c r="B726" s="42"/>
      <c r="C726" s="137" t="s">
        <v>183</v>
      </c>
      <c r="D726" s="137"/>
      <c r="E726" s="137"/>
    </row>
    <row r="727" spans="2:5" x14ac:dyDescent="0.2">
      <c r="B727" s="42"/>
      <c r="C727" s="137" t="s">
        <v>182</v>
      </c>
      <c r="D727" s="137"/>
      <c r="E727" s="137"/>
    </row>
    <row r="728" spans="2:5" x14ac:dyDescent="0.2">
      <c r="B728" s="41" t="s">
        <v>17</v>
      </c>
      <c r="C728" s="90"/>
      <c r="D728" s="90"/>
      <c r="E728" s="91"/>
    </row>
    <row r="729" spans="2:5" x14ac:dyDescent="0.2">
      <c r="B729" s="42"/>
      <c r="C729" s="136" t="s">
        <v>65</v>
      </c>
      <c r="D729" s="136"/>
      <c r="E729" s="136"/>
    </row>
    <row r="730" spans="2:5" x14ac:dyDescent="0.2">
      <c r="B730" s="41" t="s">
        <v>18</v>
      </c>
      <c r="C730" s="92"/>
      <c r="D730" s="92"/>
      <c r="E730" s="93"/>
    </row>
    <row r="731" spans="2:5" x14ac:dyDescent="0.2">
      <c r="B731" s="42"/>
      <c r="C731" s="138" t="s">
        <v>66</v>
      </c>
      <c r="D731" s="138"/>
      <c r="E731" s="138"/>
    </row>
    <row r="732" spans="2:5" x14ac:dyDescent="0.2">
      <c r="B732" s="41" t="s">
        <v>19</v>
      </c>
      <c r="C732" s="90"/>
      <c r="D732" s="90"/>
      <c r="E732" s="91"/>
    </row>
    <row r="733" spans="2:5" x14ac:dyDescent="0.2">
      <c r="B733" s="41"/>
      <c r="C733" s="139" t="s">
        <v>58</v>
      </c>
      <c r="D733" s="139"/>
      <c r="E733" s="139"/>
    </row>
    <row r="734" spans="2:5" ht="13.5" thickBot="1" x14ac:dyDescent="0.25">
      <c r="B734" s="43"/>
      <c r="C734" s="94"/>
      <c r="D734" s="94"/>
      <c r="E734" s="95"/>
    </row>
    <row r="735" spans="2:5" ht="13.5" thickBot="1" x14ac:dyDescent="0.25">
      <c r="C735" s="96"/>
      <c r="D735" s="96"/>
      <c r="E735" s="96"/>
    </row>
    <row r="736" spans="2:5" x14ac:dyDescent="0.2">
      <c r="B736" s="35" t="s">
        <v>188</v>
      </c>
      <c r="C736" s="97"/>
      <c r="D736" s="97"/>
      <c r="E736" s="98"/>
    </row>
    <row r="737" spans="2:5" x14ac:dyDescent="0.2">
      <c r="B737" s="38"/>
      <c r="C737" s="88"/>
      <c r="D737" s="88"/>
      <c r="E737" s="89"/>
    </row>
    <row r="738" spans="2:5" x14ac:dyDescent="0.2">
      <c r="B738" s="41" t="s">
        <v>15</v>
      </c>
      <c r="C738" s="88"/>
      <c r="D738" s="88"/>
      <c r="E738" s="89"/>
    </row>
    <row r="739" spans="2:5" x14ac:dyDescent="0.2">
      <c r="B739" s="41"/>
      <c r="C739" s="135"/>
      <c r="D739" s="135"/>
      <c r="E739" s="136"/>
    </row>
    <row r="740" spans="2:5" x14ac:dyDescent="0.2">
      <c r="B740" s="41" t="s">
        <v>16</v>
      </c>
      <c r="C740" s="88"/>
      <c r="D740" s="88"/>
      <c r="E740" s="89"/>
    </row>
    <row r="741" spans="2:5" x14ac:dyDescent="0.2">
      <c r="B741" s="42"/>
      <c r="C741" s="137" t="s">
        <v>183</v>
      </c>
      <c r="D741" s="137"/>
      <c r="E741" s="137"/>
    </row>
    <row r="742" spans="2:5" x14ac:dyDescent="0.2">
      <c r="B742" s="42"/>
      <c r="C742" s="137" t="s">
        <v>182</v>
      </c>
      <c r="D742" s="137"/>
      <c r="E742" s="137"/>
    </row>
    <row r="743" spans="2:5" x14ac:dyDescent="0.2">
      <c r="B743" s="41" t="s">
        <v>17</v>
      </c>
      <c r="C743" s="90"/>
      <c r="D743" s="90"/>
      <c r="E743" s="91"/>
    </row>
    <row r="744" spans="2:5" x14ac:dyDescent="0.2">
      <c r="B744" s="42"/>
      <c r="C744" s="136" t="s">
        <v>65</v>
      </c>
      <c r="D744" s="136"/>
      <c r="E744" s="136"/>
    </row>
    <row r="745" spans="2:5" x14ac:dyDescent="0.2">
      <c r="B745" s="41" t="s">
        <v>18</v>
      </c>
      <c r="C745" s="92"/>
      <c r="D745" s="92"/>
      <c r="E745" s="93"/>
    </row>
    <row r="746" spans="2:5" x14ac:dyDescent="0.2">
      <c r="B746" s="42"/>
      <c r="C746" s="138" t="s">
        <v>66</v>
      </c>
      <c r="D746" s="138"/>
      <c r="E746" s="138"/>
    </row>
    <row r="747" spans="2:5" x14ac:dyDescent="0.2">
      <c r="B747" s="41" t="s">
        <v>19</v>
      </c>
      <c r="C747" s="90"/>
      <c r="D747" s="90"/>
      <c r="E747" s="91"/>
    </row>
    <row r="748" spans="2:5" x14ac:dyDescent="0.2">
      <c r="B748" s="41"/>
      <c r="C748" s="139" t="s">
        <v>58</v>
      </c>
      <c r="D748" s="139"/>
      <c r="E748" s="139"/>
    </row>
    <row r="749" spans="2:5" ht="13.5" thickBot="1" x14ac:dyDescent="0.25">
      <c r="B749" s="43"/>
      <c r="C749" s="94"/>
      <c r="D749" s="94"/>
      <c r="E749" s="95"/>
    </row>
    <row r="750" spans="2:5" ht="13.5" thickBot="1" x14ac:dyDescent="0.25">
      <c r="C750" s="96"/>
      <c r="D750" s="96"/>
      <c r="E750" s="96"/>
    </row>
    <row r="751" spans="2:5" x14ac:dyDescent="0.2">
      <c r="B751" s="35" t="s">
        <v>189</v>
      </c>
      <c r="C751" s="97"/>
      <c r="D751" s="97"/>
      <c r="E751" s="98"/>
    </row>
    <row r="752" spans="2:5" x14ac:dyDescent="0.2">
      <c r="B752" s="38"/>
      <c r="C752" s="88"/>
      <c r="D752" s="88"/>
      <c r="E752" s="89"/>
    </row>
    <row r="753" spans="2:5" x14ac:dyDescent="0.2">
      <c r="B753" s="41" t="s">
        <v>15</v>
      </c>
      <c r="C753" s="88"/>
      <c r="D753" s="88"/>
      <c r="E753" s="89"/>
    </row>
    <row r="754" spans="2:5" x14ac:dyDescent="0.2">
      <c r="B754" s="41"/>
      <c r="C754" s="135"/>
      <c r="D754" s="135"/>
      <c r="E754" s="136"/>
    </row>
    <row r="755" spans="2:5" x14ac:dyDescent="0.2">
      <c r="B755" s="41" t="s">
        <v>16</v>
      </c>
      <c r="C755" s="88"/>
      <c r="D755" s="88"/>
      <c r="E755" s="89"/>
    </row>
    <row r="756" spans="2:5" x14ac:dyDescent="0.2">
      <c r="B756" s="42"/>
      <c r="C756" s="137" t="s">
        <v>183</v>
      </c>
      <c r="D756" s="137"/>
      <c r="E756" s="137"/>
    </row>
    <row r="757" spans="2:5" x14ac:dyDescent="0.2">
      <c r="B757" s="42"/>
      <c r="C757" s="137" t="s">
        <v>182</v>
      </c>
      <c r="D757" s="137"/>
      <c r="E757" s="137"/>
    </row>
    <row r="758" spans="2:5" x14ac:dyDescent="0.2">
      <c r="B758" s="41" t="s">
        <v>17</v>
      </c>
      <c r="C758" s="90"/>
      <c r="D758" s="90"/>
      <c r="E758" s="91"/>
    </row>
    <row r="759" spans="2:5" x14ac:dyDescent="0.2">
      <c r="B759" s="42"/>
      <c r="C759" s="136" t="s">
        <v>65</v>
      </c>
      <c r="D759" s="136"/>
      <c r="E759" s="136"/>
    </row>
    <row r="760" spans="2:5" x14ac:dyDescent="0.2">
      <c r="B760" s="41" t="s">
        <v>18</v>
      </c>
      <c r="C760" s="92"/>
      <c r="D760" s="92"/>
      <c r="E760" s="93"/>
    </row>
    <row r="761" spans="2:5" x14ac:dyDescent="0.2">
      <c r="B761" s="42"/>
      <c r="C761" s="138" t="s">
        <v>66</v>
      </c>
      <c r="D761" s="138"/>
      <c r="E761" s="138"/>
    </row>
    <row r="762" spans="2:5" x14ac:dyDescent="0.2">
      <c r="B762" s="41" t="s">
        <v>19</v>
      </c>
      <c r="C762" s="90"/>
      <c r="D762" s="90"/>
      <c r="E762" s="91"/>
    </row>
    <row r="763" spans="2:5" x14ac:dyDescent="0.2">
      <c r="B763" s="41"/>
      <c r="C763" s="139" t="s">
        <v>58</v>
      </c>
      <c r="D763" s="139"/>
      <c r="E763" s="139"/>
    </row>
    <row r="764" spans="2:5" ht="13.5" thickBot="1" x14ac:dyDescent="0.25">
      <c r="B764" s="43"/>
      <c r="C764" s="94"/>
      <c r="D764" s="94"/>
      <c r="E764" s="95"/>
    </row>
    <row r="765" spans="2:5" ht="13.5" thickBot="1" x14ac:dyDescent="0.25">
      <c r="C765" s="96"/>
      <c r="D765" s="96"/>
      <c r="E765" s="96"/>
    </row>
    <row r="766" spans="2:5" x14ac:dyDescent="0.2">
      <c r="B766" s="35" t="s">
        <v>190</v>
      </c>
      <c r="C766" s="97"/>
      <c r="D766" s="97"/>
      <c r="E766" s="98"/>
    </row>
    <row r="767" spans="2:5" x14ac:dyDescent="0.2">
      <c r="B767" s="38"/>
      <c r="C767" s="88"/>
      <c r="D767" s="88"/>
      <c r="E767" s="89"/>
    </row>
    <row r="768" spans="2:5" x14ac:dyDescent="0.2">
      <c r="B768" s="41" t="s">
        <v>15</v>
      </c>
      <c r="C768" s="88"/>
      <c r="D768" s="88"/>
      <c r="E768" s="89"/>
    </row>
    <row r="769" spans="2:5" x14ac:dyDescent="0.2">
      <c r="B769" s="41"/>
      <c r="C769" s="135"/>
      <c r="D769" s="135"/>
      <c r="E769" s="136"/>
    </row>
    <row r="770" spans="2:5" x14ac:dyDescent="0.2">
      <c r="B770" s="41" t="s">
        <v>16</v>
      </c>
      <c r="C770" s="88"/>
      <c r="D770" s="88"/>
      <c r="E770" s="89"/>
    </row>
    <row r="771" spans="2:5" x14ac:dyDescent="0.2">
      <c r="B771" s="42"/>
      <c r="C771" s="137" t="s">
        <v>183</v>
      </c>
      <c r="D771" s="137"/>
      <c r="E771" s="137"/>
    </row>
    <row r="772" spans="2:5" x14ac:dyDescent="0.2">
      <c r="B772" s="42"/>
      <c r="C772" s="137" t="s">
        <v>182</v>
      </c>
      <c r="D772" s="137"/>
      <c r="E772" s="137"/>
    </row>
    <row r="773" spans="2:5" x14ac:dyDescent="0.2">
      <c r="B773" s="41" t="s">
        <v>17</v>
      </c>
      <c r="C773" s="90"/>
      <c r="D773" s="90"/>
      <c r="E773" s="91"/>
    </row>
    <row r="774" spans="2:5" x14ac:dyDescent="0.2">
      <c r="B774" s="42"/>
      <c r="C774" s="136" t="s">
        <v>65</v>
      </c>
      <c r="D774" s="136"/>
      <c r="E774" s="136"/>
    </row>
    <row r="775" spans="2:5" x14ac:dyDescent="0.2">
      <c r="B775" s="41" t="s">
        <v>18</v>
      </c>
      <c r="C775" s="92"/>
      <c r="D775" s="92"/>
      <c r="E775" s="93"/>
    </row>
    <row r="776" spans="2:5" x14ac:dyDescent="0.2">
      <c r="B776" s="42"/>
      <c r="C776" s="138" t="s">
        <v>66</v>
      </c>
      <c r="D776" s="138"/>
      <c r="E776" s="138"/>
    </row>
    <row r="777" spans="2:5" x14ac:dyDescent="0.2">
      <c r="B777" s="41" t="s">
        <v>19</v>
      </c>
      <c r="C777" s="90"/>
      <c r="D777" s="90"/>
      <c r="E777" s="91"/>
    </row>
    <row r="778" spans="2:5" x14ac:dyDescent="0.2">
      <c r="B778" s="41"/>
      <c r="C778" s="139" t="s">
        <v>58</v>
      </c>
      <c r="D778" s="139"/>
      <c r="E778" s="139"/>
    </row>
    <row r="779" spans="2:5" ht="13.5" thickBot="1" x14ac:dyDescent="0.25">
      <c r="B779" s="43"/>
      <c r="C779" s="94"/>
      <c r="D779" s="94"/>
      <c r="E779" s="95"/>
    </row>
    <row r="780" spans="2:5" ht="13.5" thickBot="1" x14ac:dyDescent="0.25">
      <c r="C780" s="96"/>
      <c r="D780" s="96"/>
      <c r="E780" s="96"/>
    </row>
    <row r="781" spans="2:5" x14ac:dyDescent="0.2">
      <c r="B781" s="35" t="s">
        <v>191</v>
      </c>
      <c r="C781" s="97"/>
      <c r="D781" s="97"/>
      <c r="E781" s="98"/>
    </row>
    <row r="782" spans="2:5" x14ac:dyDescent="0.2">
      <c r="B782" s="38"/>
      <c r="C782" s="88"/>
      <c r="D782" s="88"/>
      <c r="E782" s="89"/>
    </row>
    <row r="783" spans="2:5" x14ac:dyDescent="0.2">
      <c r="B783" s="41" t="s">
        <v>15</v>
      </c>
      <c r="C783" s="88"/>
      <c r="D783" s="88"/>
      <c r="E783" s="89"/>
    </row>
    <row r="784" spans="2:5" x14ac:dyDescent="0.2">
      <c r="B784" s="41"/>
      <c r="C784" s="140"/>
      <c r="D784" s="140"/>
      <c r="E784" s="140"/>
    </row>
    <row r="785" spans="2:5" x14ac:dyDescent="0.2">
      <c r="B785" s="41" t="s">
        <v>16</v>
      </c>
      <c r="C785" s="88"/>
      <c r="D785" s="88"/>
      <c r="E785" s="89"/>
    </row>
    <row r="786" spans="2:5" x14ac:dyDescent="0.2">
      <c r="B786" s="42"/>
      <c r="C786" s="137" t="s">
        <v>183</v>
      </c>
      <c r="D786" s="137"/>
      <c r="E786" s="137"/>
    </row>
    <row r="787" spans="2:5" x14ac:dyDescent="0.2">
      <c r="B787" s="42"/>
      <c r="C787" s="137" t="s">
        <v>182</v>
      </c>
      <c r="D787" s="137"/>
      <c r="E787" s="137"/>
    </row>
    <row r="788" spans="2:5" x14ac:dyDescent="0.2">
      <c r="B788" s="41" t="s">
        <v>17</v>
      </c>
      <c r="C788" s="90"/>
      <c r="D788" s="90"/>
      <c r="E788" s="91"/>
    </row>
    <row r="789" spans="2:5" x14ac:dyDescent="0.2">
      <c r="B789" s="42"/>
      <c r="C789" s="136" t="s">
        <v>65</v>
      </c>
      <c r="D789" s="136"/>
      <c r="E789" s="136"/>
    </row>
    <row r="790" spans="2:5" x14ac:dyDescent="0.2">
      <c r="B790" s="41" t="s">
        <v>18</v>
      </c>
      <c r="C790" s="92"/>
      <c r="D790" s="92"/>
      <c r="E790" s="93"/>
    </row>
    <row r="791" spans="2:5" x14ac:dyDescent="0.2">
      <c r="B791" s="42"/>
      <c r="C791" s="138" t="s">
        <v>66</v>
      </c>
      <c r="D791" s="138"/>
      <c r="E791" s="138"/>
    </row>
    <row r="792" spans="2:5" x14ac:dyDescent="0.2">
      <c r="B792" s="41" t="s">
        <v>19</v>
      </c>
      <c r="C792" s="90"/>
      <c r="D792" s="90"/>
      <c r="E792" s="91"/>
    </row>
    <row r="793" spans="2:5" x14ac:dyDescent="0.2">
      <c r="B793" s="41"/>
      <c r="C793" s="139" t="s">
        <v>58</v>
      </c>
      <c r="D793" s="139"/>
      <c r="E793" s="139"/>
    </row>
    <row r="794" spans="2:5" ht="13.5" thickBot="1" x14ac:dyDescent="0.25">
      <c r="B794" s="43"/>
      <c r="C794" s="94"/>
      <c r="D794" s="94"/>
      <c r="E794" s="95"/>
    </row>
    <row r="795" spans="2:5" ht="13.5" thickBot="1" x14ac:dyDescent="0.25">
      <c r="C795" s="96"/>
      <c r="D795" s="96"/>
      <c r="E795" s="96"/>
    </row>
    <row r="796" spans="2:5" x14ac:dyDescent="0.2">
      <c r="B796" s="35" t="s">
        <v>192</v>
      </c>
      <c r="C796" s="97"/>
      <c r="D796" s="97"/>
      <c r="E796" s="98"/>
    </row>
    <row r="797" spans="2:5" x14ac:dyDescent="0.2">
      <c r="B797" s="38"/>
      <c r="C797" s="88"/>
      <c r="D797" s="88"/>
      <c r="E797" s="89"/>
    </row>
    <row r="798" spans="2:5" x14ac:dyDescent="0.2">
      <c r="B798" s="41" t="s">
        <v>15</v>
      </c>
      <c r="C798" s="88"/>
      <c r="D798" s="88"/>
      <c r="E798" s="89"/>
    </row>
    <row r="799" spans="2:5" x14ac:dyDescent="0.2">
      <c r="B799" s="41"/>
      <c r="C799" s="135" t="s">
        <v>298</v>
      </c>
      <c r="D799" s="135"/>
      <c r="E799" s="136"/>
    </row>
    <row r="800" spans="2:5" x14ac:dyDescent="0.2">
      <c r="B800" s="41" t="s">
        <v>16</v>
      </c>
      <c r="C800" s="88"/>
      <c r="D800" s="88"/>
      <c r="E800" s="89"/>
    </row>
    <row r="801" spans="2:5" x14ac:dyDescent="0.2">
      <c r="B801" s="42"/>
      <c r="C801" s="137" t="s">
        <v>183</v>
      </c>
      <c r="D801" s="137"/>
      <c r="E801" s="137"/>
    </row>
    <row r="802" spans="2:5" x14ac:dyDescent="0.2">
      <c r="B802" s="42"/>
      <c r="C802" s="137" t="s">
        <v>182</v>
      </c>
      <c r="D802" s="137"/>
      <c r="E802" s="137"/>
    </row>
    <row r="803" spans="2:5" x14ac:dyDescent="0.2">
      <c r="B803" s="41" t="s">
        <v>17</v>
      </c>
      <c r="C803" s="90"/>
      <c r="D803" s="90"/>
      <c r="E803" s="91"/>
    </row>
    <row r="804" spans="2:5" x14ac:dyDescent="0.2">
      <c r="B804" s="42"/>
      <c r="C804" s="136" t="s">
        <v>65</v>
      </c>
      <c r="D804" s="136"/>
      <c r="E804" s="136"/>
    </row>
    <row r="805" spans="2:5" x14ac:dyDescent="0.2">
      <c r="B805" s="41" t="s">
        <v>18</v>
      </c>
      <c r="C805" s="92"/>
      <c r="D805" s="92"/>
      <c r="E805" s="93"/>
    </row>
    <row r="806" spans="2:5" x14ac:dyDescent="0.2">
      <c r="B806" s="42"/>
      <c r="C806" s="138" t="s">
        <v>66</v>
      </c>
      <c r="D806" s="138"/>
      <c r="E806" s="138"/>
    </row>
    <row r="807" spans="2:5" x14ac:dyDescent="0.2">
      <c r="B807" s="41" t="s">
        <v>19</v>
      </c>
      <c r="C807" s="90"/>
      <c r="D807" s="90"/>
      <c r="E807" s="91"/>
    </row>
    <row r="808" spans="2:5" x14ac:dyDescent="0.2">
      <c r="B808" s="41"/>
      <c r="C808" s="139" t="s">
        <v>58</v>
      </c>
      <c r="D808" s="139"/>
      <c r="E808" s="139"/>
    </row>
    <row r="809" spans="2:5" ht="13.5" thickBot="1" x14ac:dyDescent="0.25">
      <c r="B809" s="43"/>
      <c r="C809" s="94"/>
      <c r="D809" s="94"/>
      <c r="E809" s="95"/>
    </row>
    <row r="810" spans="2:5" ht="13.5" thickBot="1" x14ac:dyDescent="0.25">
      <c r="C810" s="96"/>
      <c r="D810" s="96"/>
      <c r="E810" s="96"/>
    </row>
    <row r="811" spans="2:5" x14ac:dyDescent="0.2">
      <c r="B811" s="35" t="s">
        <v>193</v>
      </c>
      <c r="C811" s="97"/>
      <c r="D811" s="97"/>
      <c r="E811" s="98"/>
    </row>
    <row r="812" spans="2:5" x14ac:dyDescent="0.2">
      <c r="B812" s="38"/>
      <c r="C812" s="88"/>
      <c r="D812" s="88"/>
      <c r="E812" s="89"/>
    </row>
    <row r="813" spans="2:5" x14ac:dyDescent="0.2">
      <c r="B813" s="41" t="s">
        <v>15</v>
      </c>
      <c r="C813" s="88"/>
      <c r="D813" s="88"/>
      <c r="E813" s="89"/>
    </row>
    <row r="814" spans="2:5" x14ac:dyDescent="0.2">
      <c r="B814" s="41"/>
      <c r="C814" s="135" t="s">
        <v>297</v>
      </c>
      <c r="D814" s="135"/>
      <c r="E814" s="136"/>
    </row>
    <row r="815" spans="2:5" x14ac:dyDescent="0.2">
      <c r="B815" s="41" t="s">
        <v>16</v>
      </c>
      <c r="C815" s="88"/>
      <c r="D815" s="88"/>
      <c r="E815" s="89"/>
    </row>
    <row r="816" spans="2:5" x14ac:dyDescent="0.2">
      <c r="B816" s="42"/>
      <c r="C816" s="137" t="s">
        <v>183</v>
      </c>
      <c r="D816" s="137"/>
      <c r="E816" s="137"/>
    </row>
    <row r="817" spans="2:5" x14ac:dyDescent="0.2">
      <c r="B817" s="42"/>
      <c r="C817" s="137" t="s">
        <v>182</v>
      </c>
      <c r="D817" s="137"/>
      <c r="E817" s="137"/>
    </row>
    <row r="818" spans="2:5" x14ac:dyDescent="0.2">
      <c r="B818" s="41" t="s">
        <v>17</v>
      </c>
      <c r="C818" s="90"/>
      <c r="D818" s="90"/>
      <c r="E818" s="91"/>
    </row>
    <row r="819" spans="2:5" x14ac:dyDescent="0.2">
      <c r="B819" s="42"/>
      <c r="C819" s="136" t="s">
        <v>65</v>
      </c>
      <c r="D819" s="136"/>
      <c r="E819" s="136"/>
    </row>
    <row r="820" spans="2:5" x14ac:dyDescent="0.2">
      <c r="B820" s="41" t="s">
        <v>18</v>
      </c>
      <c r="C820" s="92"/>
      <c r="D820" s="92"/>
      <c r="E820" s="93"/>
    </row>
    <row r="821" spans="2:5" x14ac:dyDescent="0.2">
      <c r="B821" s="42"/>
      <c r="C821" s="138" t="s">
        <v>66</v>
      </c>
      <c r="D821" s="138"/>
      <c r="E821" s="138"/>
    </row>
    <row r="822" spans="2:5" x14ac:dyDescent="0.2">
      <c r="B822" s="41" t="s">
        <v>19</v>
      </c>
      <c r="C822" s="90"/>
      <c r="D822" s="90"/>
      <c r="E822" s="91"/>
    </row>
    <row r="823" spans="2:5" x14ac:dyDescent="0.2">
      <c r="B823" s="41"/>
      <c r="C823" s="139" t="s">
        <v>58</v>
      </c>
      <c r="D823" s="139"/>
      <c r="E823" s="139"/>
    </row>
    <row r="824" spans="2:5" ht="13.5" thickBot="1" x14ac:dyDescent="0.25">
      <c r="B824" s="43"/>
      <c r="C824" s="94"/>
      <c r="D824" s="94"/>
      <c r="E824" s="95"/>
    </row>
    <row r="825" spans="2:5" ht="13.5" thickBot="1" x14ac:dyDescent="0.25">
      <c r="C825" s="96"/>
      <c r="D825" s="96"/>
      <c r="E825" s="96"/>
    </row>
    <row r="826" spans="2:5" x14ac:dyDescent="0.2">
      <c r="B826" s="35" t="s">
        <v>194</v>
      </c>
      <c r="C826" s="97"/>
      <c r="D826" s="97"/>
      <c r="E826" s="98"/>
    </row>
    <row r="827" spans="2:5" x14ac:dyDescent="0.2">
      <c r="B827" s="38"/>
      <c r="C827" s="88"/>
      <c r="D827" s="88"/>
      <c r="E827" s="89"/>
    </row>
    <row r="828" spans="2:5" x14ac:dyDescent="0.2">
      <c r="B828" s="41" t="s">
        <v>15</v>
      </c>
      <c r="C828" s="88"/>
      <c r="D828" s="88"/>
      <c r="E828" s="89"/>
    </row>
    <row r="829" spans="2:5" x14ac:dyDescent="0.2">
      <c r="B829" s="41"/>
      <c r="C829" s="140"/>
      <c r="D829" s="140"/>
      <c r="E829" s="140"/>
    </row>
    <row r="830" spans="2:5" x14ac:dyDescent="0.2">
      <c r="B830" s="41" t="s">
        <v>16</v>
      </c>
      <c r="C830" s="88"/>
      <c r="D830" s="88"/>
      <c r="E830" s="89"/>
    </row>
    <row r="831" spans="2:5" x14ac:dyDescent="0.2">
      <c r="B831" s="42"/>
      <c r="C831" s="137" t="s">
        <v>183</v>
      </c>
      <c r="D831" s="137"/>
      <c r="E831" s="137"/>
    </row>
    <row r="832" spans="2:5" x14ac:dyDescent="0.2">
      <c r="B832" s="42"/>
      <c r="C832" s="137" t="s">
        <v>182</v>
      </c>
      <c r="D832" s="137"/>
      <c r="E832" s="137"/>
    </row>
    <row r="833" spans="2:5" x14ac:dyDescent="0.2">
      <c r="B833" s="41" t="s">
        <v>17</v>
      </c>
      <c r="C833" s="90"/>
      <c r="D833" s="90"/>
      <c r="E833" s="91"/>
    </row>
    <row r="834" spans="2:5" x14ac:dyDescent="0.2">
      <c r="B834" s="42"/>
      <c r="C834" s="136" t="s">
        <v>65</v>
      </c>
      <c r="D834" s="136"/>
      <c r="E834" s="136"/>
    </row>
    <row r="835" spans="2:5" x14ac:dyDescent="0.2">
      <c r="B835" s="41" t="s">
        <v>18</v>
      </c>
      <c r="C835" s="92"/>
      <c r="D835" s="92"/>
      <c r="E835" s="93"/>
    </row>
    <row r="836" spans="2:5" x14ac:dyDescent="0.2">
      <c r="B836" s="42"/>
      <c r="C836" s="138" t="s">
        <v>66</v>
      </c>
      <c r="D836" s="138"/>
      <c r="E836" s="138"/>
    </row>
    <row r="837" spans="2:5" x14ac:dyDescent="0.2">
      <c r="B837" s="41" t="s">
        <v>19</v>
      </c>
      <c r="C837" s="90"/>
      <c r="D837" s="90"/>
      <c r="E837" s="91"/>
    </row>
    <row r="838" spans="2:5" x14ac:dyDescent="0.2">
      <c r="B838" s="41"/>
      <c r="C838" s="139" t="s">
        <v>58</v>
      </c>
      <c r="D838" s="139"/>
      <c r="E838" s="139"/>
    </row>
    <row r="839" spans="2:5" ht="13.5" thickBot="1" x14ac:dyDescent="0.25">
      <c r="B839" s="43"/>
      <c r="C839" s="94"/>
      <c r="D839" s="94"/>
      <c r="E839" s="95"/>
    </row>
    <row r="840" spans="2:5" ht="13.5" thickBot="1" x14ac:dyDescent="0.25">
      <c r="C840" s="96"/>
      <c r="D840" s="96"/>
      <c r="E840" s="96"/>
    </row>
    <row r="841" spans="2:5" x14ac:dyDescent="0.2">
      <c r="B841" s="35" t="s">
        <v>198</v>
      </c>
      <c r="C841" s="97"/>
      <c r="D841" s="97"/>
      <c r="E841" s="98"/>
    </row>
    <row r="842" spans="2:5" x14ac:dyDescent="0.2">
      <c r="B842" s="38"/>
      <c r="C842" s="88"/>
      <c r="D842" s="88"/>
      <c r="E842" s="89"/>
    </row>
    <row r="843" spans="2:5" x14ac:dyDescent="0.2">
      <c r="B843" s="41" t="s">
        <v>15</v>
      </c>
      <c r="C843" s="88"/>
      <c r="D843" s="88"/>
      <c r="E843" s="89"/>
    </row>
    <row r="844" spans="2:5" x14ac:dyDescent="0.2">
      <c r="B844" s="41"/>
      <c r="C844" s="140"/>
      <c r="D844" s="140"/>
      <c r="E844" s="140"/>
    </row>
    <row r="845" spans="2:5" x14ac:dyDescent="0.2">
      <c r="B845" s="41" t="s">
        <v>16</v>
      </c>
      <c r="C845" s="88"/>
      <c r="D845" s="88"/>
      <c r="E845" s="89"/>
    </row>
    <row r="846" spans="2:5" x14ac:dyDescent="0.2">
      <c r="B846" s="42"/>
      <c r="C846" s="137" t="s">
        <v>183</v>
      </c>
      <c r="D846" s="137"/>
      <c r="E846" s="137"/>
    </row>
    <row r="847" spans="2:5" x14ac:dyDescent="0.2">
      <c r="B847" s="42"/>
      <c r="C847" s="137" t="s">
        <v>182</v>
      </c>
      <c r="D847" s="137"/>
      <c r="E847" s="137"/>
    </row>
    <row r="848" spans="2:5" x14ac:dyDescent="0.2">
      <c r="B848" s="41" t="s">
        <v>17</v>
      </c>
      <c r="C848" s="90"/>
      <c r="D848" s="90"/>
      <c r="E848" s="91"/>
    </row>
    <row r="849" spans="2:5" x14ac:dyDescent="0.2">
      <c r="B849" s="42"/>
      <c r="C849" s="136" t="s">
        <v>65</v>
      </c>
      <c r="D849" s="136"/>
      <c r="E849" s="136"/>
    </row>
    <row r="850" spans="2:5" x14ac:dyDescent="0.2">
      <c r="B850" s="41" t="s">
        <v>18</v>
      </c>
      <c r="C850" s="92"/>
      <c r="D850" s="92"/>
      <c r="E850" s="93"/>
    </row>
    <row r="851" spans="2:5" x14ac:dyDescent="0.2">
      <c r="B851" s="42"/>
      <c r="C851" s="138" t="s">
        <v>66</v>
      </c>
      <c r="D851" s="138"/>
      <c r="E851" s="138"/>
    </row>
    <row r="852" spans="2:5" x14ac:dyDescent="0.2">
      <c r="B852" s="41" t="s">
        <v>19</v>
      </c>
      <c r="C852" s="90"/>
      <c r="D852" s="90"/>
      <c r="E852" s="91"/>
    </row>
    <row r="853" spans="2:5" x14ac:dyDescent="0.2">
      <c r="B853" s="41"/>
      <c r="C853" s="139" t="s">
        <v>58</v>
      </c>
      <c r="D853" s="139"/>
      <c r="E853" s="139"/>
    </row>
    <row r="854" spans="2:5" ht="13.5" thickBot="1" x14ac:dyDescent="0.25">
      <c r="B854" s="43"/>
      <c r="C854" s="94"/>
      <c r="D854" s="94"/>
      <c r="E854" s="95"/>
    </row>
    <row r="855" spans="2:5" ht="13.5" thickBot="1" x14ac:dyDescent="0.25">
      <c r="C855" s="96"/>
      <c r="D855" s="96"/>
      <c r="E855" s="96"/>
    </row>
    <row r="856" spans="2:5" x14ac:dyDescent="0.2">
      <c r="B856" s="35" t="s">
        <v>200</v>
      </c>
      <c r="C856" s="97"/>
      <c r="D856" s="97"/>
      <c r="E856" s="98"/>
    </row>
    <row r="857" spans="2:5" x14ac:dyDescent="0.2">
      <c r="B857" s="38"/>
      <c r="C857" s="88"/>
      <c r="D857" s="88"/>
      <c r="E857" s="89"/>
    </row>
    <row r="858" spans="2:5" x14ac:dyDescent="0.2">
      <c r="B858" s="41" t="s">
        <v>15</v>
      </c>
      <c r="C858" s="88"/>
      <c r="D858" s="88"/>
      <c r="E858" s="89"/>
    </row>
    <row r="859" spans="2:5" x14ac:dyDescent="0.2">
      <c r="B859" s="41"/>
      <c r="C859" s="140"/>
      <c r="D859" s="140"/>
      <c r="E859" s="140"/>
    </row>
    <row r="860" spans="2:5" x14ac:dyDescent="0.2">
      <c r="B860" s="41" t="s">
        <v>16</v>
      </c>
      <c r="C860" s="88"/>
      <c r="D860" s="88"/>
      <c r="E860" s="89"/>
    </row>
    <row r="861" spans="2:5" x14ac:dyDescent="0.2">
      <c r="B861" s="42"/>
      <c r="C861" s="137" t="s">
        <v>183</v>
      </c>
      <c r="D861" s="137"/>
      <c r="E861" s="137"/>
    </row>
    <row r="862" spans="2:5" x14ac:dyDescent="0.2">
      <c r="B862" s="42"/>
      <c r="C862" s="137" t="s">
        <v>182</v>
      </c>
      <c r="D862" s="137"/>
      <c r="E862" s="137"/>
    </row>
    <row r="863" spans="2:5" x14ac:dyDescent="0.2">
      <c r="B863" s="41" t="s">
        <v>17</v>
      </c>
      <c r="C863" s="90"/>
      <c r="D863" s="90"/>
      <c r="E863" s="91"/>
    </row>
    <row r="864" spans="2:5" x14ac:dyDescent="0.2">
      <c r="B864" s="42"/>
      <c r="C864" s="136" t="s">
        <v>65</v>
      </c>
      <c r="D864" s="136"/>
      <c r="E864" s="136"/>
    </row>
    <row r="865" spans="2:5" x14ac:dyDescent="0.2">
      <c r="B865" s="41" t="s">
        <v>18</v>
      </c>
      <c r="C865" s="92"/>
      <c r="D865" s="92"/>
      <c r="E865" s="93"/>
    </row>
    <row r="866" spans="2:5" x14ac:dyDescent="0.2">
      <c r="B866" s="42"/>
      <c r="C866" s="138" t="s">
        <v>66</v>
      </c>
      <c r="D866" s="138"/>
      <c r="E866" s="138"/>
    </row>
    <row r="867" spans="2:5" x14ac:dyDescent="0.2">
      <c r="B867" s="41" t="s">
        <v>19</v>
      </c>
      <c r="C867" s="90"/>
      <c r="D867" s="90"/>
      <c r="E867" s="91"/>
    </row>
    <row r="868" spans="2:5" x14ac:dyDescent="0.2">
      <c r="B868" s="41"/>
      <c r="C868" s="139" t="s">
        <v>58</v>
      </c>
      <c r="D868" s="139"/>
      <c r="E868" s="139"/>
    </row>
    <row r="869" spans="2:5" ht="13.5" thickBot="1" x14ac:dyDescent="0.25">
      <c r="B869" s="43"/>
      <c r="C869" s="94"/>
      <c r="D869" s="94"/>
      <c r="E869" s="95"/>
    </row>
    <row r="870" spans="2:5" ht="13.5" thickBot="1" x14ac:dyDescent="0.25">
      <c r="C870" s="96"/>
      <c r="D870" s="96"/>
      <c r="E870" s="96"/>
    </row>
    <row r="871" spans="2:5" x14ac:dyDescent="0.2">
      <c r="B871" s="35" t="s">
        <v>201</v>
      </c>
      <c r="C871" s="97"/>
      <c r="D871" s="97"/>
      <c r="E871" s="98"/>
    </row>
    <row r="872" spans="2:5" x14ac:dyDescent="0.2">
      <c r="B872" s="38"/>
      <c r="C872" s="88"/>
      <c r="D872" s="88"/>
      <c r="E872" s="89"/>
    </row>
    <row r="873" spans="2:5" x14ac:dyDescent="0.2">
      <c r="B873" s="41" t="s">
        <v>15</v>
      </c>
      <c r="C873" s="88"/>
      <c r="D873" s="88"/>
      <c r="E873" s="89"/>
    </row>
    <row r="874" spans="2:5" x14ac:dyDescent="0.2">
      <c r="B874" s="41"/>
      <c r="C874" s="140"/>
      <c r="D874" s="140"/>
      <c r="E874" s="140"/>
    </row>
    <row r="875" spans="2:5" x14ac:dyDescent="0.2">
      <c r="B875" s="41" t="s">
        <v>16</v>
      </c>
      <c r="C875" s="88"/>
      <c r="D875" s="88"/>
      <c r="E875" s="89"/>
    </row>
    <row r="876" spans="2:5" x14ac:dyDescent="0.2">
      <c r="B876" s="42"/>
      <c r="C876" s="137" t="s">
        <v>183</v>
      </c>
      <c r="D876" s="137"/>
      <c r="E876" s="137"/>
    </row>
    <row r="877" spans="2:5" x14ac:dyDescent="0.2">
      <c r="B877" s="42"/>
      <c r="C877" s="137" t="s">
        <v>182</v>
      </c>
      <c r="D877" s="137"/>
      <c r="E877" s="137"/>
    </row>
    <row r="878" spans="2:5" x14ac:dyDescent="0.2">
      <c r="B878" s="41" t="s">
        <v>17</v>
      </c>
      <c r="C878" s="90"/>
      <c r="D878" s="90"/>
      <c r="E878" s="91"/>
    </row>
    <row r="879" spans="2:5" x14ac:dyDescent="0.2">
      <c r="B879" s="42"/>
      <c r="C879" s="136" t="s">
        <v>65</v>
      </c>
      <c r="D879" s="136"/>
      <c r="E879" s="136"/>
    </row>
    <row r="880" spans="2:5" x14ac:dyDescent="0.2">
      <c r="B880" s="41" t="s">
        <v>18</v>
      </c>
      <c r="C880" s="92"/>
      <c r="D880" s="92"/>
      <c r="E880" s="93"/>
    </row>
    <row r="881" spans="2:5" x14ac:dyDescent="0.2">
      <c r="B881" s="42"/>
      <c r="C881" s="138" t="s">
        <v>66</v>
      </c>
      <c r="D881" s="138"/>
      <c r="E881" s="138"/>
    </row>
    <row r="882" spans="2:5" x14ac:dyDescent="0.2">
      <c r="B882" s="41" t="s">
        <v>19</v>
      </c>
      <c r="C882" s="90"/>
      <c r="D882" s="90"/>
      <c r="E882" s="91"/>
    </row>
    <row r="883" spans="2:5" x14ac:dyDescent="0.2">
      <c r="B883" s="41"/>
      <c r="C883" s="139" t="s">
        <v>58</v>
      </c>
      <c r="D883" s="139"/>
      <c r="E883" s="139"/>
    </row>
    <row r="884" spans="2:5" ht="13.5" thickBot="1" x14ac:dyDescent="0.25">
      <c r="B884" s="43"/>
      <c r="C884" s="94"/>
      <c r="D884" s="94"/>
      <c r="E884" s="95"/>
    </row>
    <row r="885" spans="2:5" ht="13.5" thickBot="1" x14ac:dyDescent="0.25">
      <c r="C885" s="96"/>
      <c r="D885" s="96"/>
      <c r="E885" s="96"/>
    </row>
    <row r="886" spans="2:5" x14ac:dyDescent="0.2">
      <c r="B886" s="35" t="s">
        <v>202</v>
      </c>
      <c r="C886" s="97"/>
      <c r="D886" s="97"/>
      <c r="E886" s="98"/>
    </row>
    <row r="887" spans="2:5" x14ac:dyDescent="0.2">
      <c r="B887" s="38"/>
      <c r="C887" s="88"/>
      <c r="D887" s="88"/>
      <c r="E887" s="89"/>
    </row>
    <row r="888" spans="2:5" x14ac:dyDescent="0.2">
      <c r="B888" s="41" t="s">
        <v>15</v>
      </c>
      <c r="C888" s="88"/>
      <c r="D888" s="88"/>
      <c r="E888" s="89"/>
    </row>
    <row r="889" spans="2:5" x14ac:dyDescent="0.2">
      <c r="B889" s="41"/>
      <c r="C889" s="135"/>
      <c r="D889" s="135"/>
      <c r="E889" s="136"/>
    </row>
    <row r="890" spans="2:5" x14ac:dyDescent="0.2">
      <c r="B890" s="41" t="s">
        <v>16</v>
      </c>
      <c r="C890" s="88"/>
      <c r="D890" s="88"/>
      <c r="E890" s="89"/>
    </row>
    <row r="891" spans="2:5" x14ac:dyDescent="0.2">
      <c r="B891" s="42"/>
      <c r="C891" s="137" t="s">
        <v>183</v>
      </c>
      <c r="D891" s="137"/>
      <c r="E891" s="137"/>
    </row>
    <row r="892" spans="2:5" x14ac:dyDescent="0.2">
      <c r="B892" s="42"/>
      <c r="C892" s="137" t="s">
        <v>182</v>
      </c>
      <c r="D892" s="137"/>
      <c r="E892" s="137"/>
    </row>
    <row r="893" spans="2:5" x14ac:dyDescent="0.2">
      <c r="B893" s="41" t="s">
        <v>17</v>
      </c>
      <c r="C893" s="90"/>
      <c r="D893" s="90"/>
      <c r="E893" s="91"/>
    </row>
    <row r="894" spans="2:5" x14ac:dyDescent="0.2">
      <c r="B894" s="42"/>
      <c r="C894" s="136" t="s">
        <v>65</v>
      </c>
      <c r="D894" s="136"/>
      <c r="E894" s="136"/>
    </row>
    <row r="895" spans="2:5" x14ac:dyDescent="0.2">
      <c r="B895" s="41" t="s">
        <v>18</v>
      </c>
      <c r="C895" s="92"/>
      <c r="D895" s="92"/>
      <c r="E895" s="93"/>
    </row>
    <row r="896" spans="2:5" x14ac:dyDescent="0.2">
      <c r="B896" s="42"/>
      <c r="C896" s="138" t="s">
        <v>66</v>
      </c>
      <c r="D896" s="138"/>
      <c r="E896" s="138"/>
    </row>
    <row r="897" spans="2:5" x14ac:dyDescent="0.2">
      <c r="B897" s="41" t="s">
        <v>19</v>
      </c>
      <c r="C897" s="90"/>
      <c r="D897" s="90"/>
      <c r="E897" s="91"/>
    </row>
    <row r="898" spans="2:5" x14ac:dyDescent="0.2">
      <c r="B898" s="41"/>
      <c r="C898" s="139" t="s">
        <v>58</v>
      </c>
      <c r="D898" s="139"/>
      <c r="E898" s="139"/>
    </row>
    <row r="899" spans="2:5" ht="13.5" thickBot="1" x14ac:dyDescent="0.25">
      <c r="B899" s="43"/>
      <c r="C899" s="94"/>
      <c r="D899" s="94"/>
      <c r="E899" s="95"/>
    </row>
    <row r="900" spans="2:5" ht="13.5" thickBot="1" x14ac:dyDescent="0.25">
      <c r="C900" s="96"/>
      <c r="D900" s="96"/>
      <c r="E900" s="96"/>
    </row>
    <row r="901" spans="2:5" x14ac:dyDescent="0.2">
      <c r="B901" s="35" t="s">
        <v>203</v>
      </c>
      <c r="C901" s="97"/>
      <c r="D901" s="97"/>
      <c r="E901" s="98"/>
    </row>
    <row r="902" spans="2:5" x14ac:dyDescent="0.2">
      <c r="B902" s="38"/>
      <c r="C902" s="88"/>
      <c r="D902" s="88"/>
      <c r="E902" s="89"/>
    </row>
    <row r="903" spans="2:5" x14ac:dyDescent="0.2">
      <c r="B903" s="41" t="s">
        <v>15</v>
      </c>
      <c r="C903" s="88"/>
      <c r="D903" s="88"/>
      <c r="E903" s="89"/>
    </row>
    <row r="904" spans="2:5" x14ac:dyDescent="0.2">
      <c r="B904" s="41"/>
      <c r="C904" s="136" t="s">
        <v>293</v>
      </c>
      <c r="D904" s="136"/>
      <c r="E904" s="136"/>
    </row>
    <row r="905" spans="2:5" x14ac:dyDescent="0.2">
      <c r="B905" s="41" t="s">
        <v>16</v>
      </c>
      <c r="C905" s="88"/>
      <c r="D905" s="88"/>
      <c r="E905" s="89"/>
    </row>
    <row r="906" spans="2:5" x14ac:dyDescent="0.2">
      <c r="B906" s="42"/>
      <c r="C906" s="137" t="s">
        <v>183</v>
      </c>
      <c r="D906" s="137"/>
      <c r="E906" s="137"/>
    </row>
    <row r="907" spans="2:5" x14ac:dyDescent="0.2">
      <c r="B907" s="42"/>
      <c r="C907" s="137" t="s">
        <v>182</v>
      </c>
      <c r="D907" s="137"/>
      <c r="E907" s="137"/>
    </row>
    <row r="908" spans="2:5" x14ac:dyDescent="0.2">
      <c r="B908" s="41" t="s">
        <v>17</v>
      </c>
      <c r="C908" s="90"/>
      <c r="D908" s="90"/>
      <c r="E908" s="91"/>
    </row>
    <row r="909" spans="2:5" x14ac:dyDescent="0.2">
      <c r="B909" s="42"/>
      <c r="C909" s="136" t="s">
        <v>65</v>
      </c>
      <c r="D909" s="136"/>
      <c r="E909" s="136"/>
    </row>
    <row r="910" spans="2:5" x14ac:dyDescent="0.2">
      <c r="B910" s="41" t="s">
        <v>18</v>
      </c>
      <c r="C910" s="92"/>
      <c r="D910" s="92"/>
      <c r="E910" s="93"/>
    </row>
    <row r="911" spans="2:5" x14ac:dyDescent="0.2">
      <c r="B911" s="42"/>
      <c r="C911" s="138" t="s">
        <v>66</v>
      </c>
      <c r="D911" s="138"/>
      <c r="E911" s="138"/>
    </row>
    <row r="912" spans="2:5" x14ac:dyDescent="0.2">
      <c r="B912" s="41" t="s">
        <v>19</v>
      </c>
      <c r="C912" s="90"/>
      <c r="D912" s="90"/>
      <c r="E912" s="91"/>
    </row>
    <row r="913" spans="2:5" x14ac:dyDescent="0.2">
      <c r="B913" s="41"/>
      <c r="C913" s="139" t="s">
        <v>58</v>
      </c>
      <c r="D913" s="139"/>
      <c r="E913" s="139"/>
    </row>
    <row r="914" spans="2:5" ht="13.5" thickBot="1" x14ac:dyDescent="0.25">
      <c r="B914" s="43"/>
      <c r="C914" s="94"/>
      <c r="D914" s="94"/>
      <c r="E914" s="95"/>
    </row>
    <row r="915" spans="2:5" ht="13.5" thickBot="1" x14ac:dyDescent="0.25">
      <c r="C915" s="96"/>
      <c r="D915" s="96"/>
      <c r="E915" s="96"/>
    </row>
    <row r="916" spans="2:5" x14ac:dyDescent="0.2">
      <c r="B916" s="35" t="s">
        <v>208</v>
      </c>
      <c r="C916" s="97"/>
      <c r="D916" s="97"/>
      <c r="E916" s="98"/>
    </row>
    <row r="917" spans="2:5" x14ac:dyDescent="0.2">
      <c r="B917" s="38"/>
      <c r="C917" s="88"/>
      <c r="D917" s="88"/>
      <c r="E917" s="89"/>
    </row>
    <row r="918" spans="2:5" x14ac:dyDescent="0.2">
      <c r="B918" s="41" t="s">
        <v>15</v>
      </c>
      <c r="C918" s="88"/>
      <c r="D918" s="88"/>
      <c r="E918" s="89"/>
    </row>
    <row r="919" spans="2:5" x14ac:dyDescent="0.2">
      <c r="B919" s="41"/>
      <c r="C919" s="140"/>
      <c r="D919" s="140"/>
      <c r="E919" s="140"/>
    </row>
    <row r="920" spans="2:5" x14ac:dyDescent="0.2">
      <c r="B920" s="41" t="s">
        <v>16</v>
      </c>
      <c r="C920" s="88"/>
      <c r="D920" s="88"/>
      <c r="E920" s="89"/>
    </row>
    <row r="921" spans="2:5" x14ac:dyDescent="0.2">
      <c r="B921" s="42"/>
      <c r="C921" s="137" t="s">
        <v>183</v>
      </c>
      <c r="D921" s="137"/>
      <c r="E921" s="137"/>
    </row>
    <row r="922" spans="2:5" x14ac:dyDescent="0.2">
      <c r="B922" s="42"/>
      <c r="C922" s="137" t="s">
        <v>182</v>
      </c>
      <c r="D922" s="137"/>
      <c r="E922" s="137"/>
    </row>
    <row r="923" spans="2:5" x14ac:dyDescent="0.2">
      <c r="B923" s="41" t="s">
        <v>17</v>
      </c>
      <c r="C923" s="90"/>
      <c r="D923" s="90"/>
      <c r="E923" s="91"/>
    </row>
    <row r="924" spans="2:5" x14ac:dyDescent="0.2">
      <c r="B924" s="42"/>
      <c r="C924" s="136" t="s">
        <v>65</v>
      </c>
      <c r="D924" s="136"/>
      <c r="E924" s="136"/>
    </row>
    <row r="925" spans="2:5" x14ac:dyDescent="0.2">
      <c r="B925" s="41" t="s">
        <v>18</v>
      </c>
      <c r="C925" s="92"/>
      <c r="D925" s="92"/>
      <c r="E925" s="93"/>
    </row>
    <row r="926" spans="2:5" x14ac:dyDescent="0.2">
      <c r="B926" s="42"/>
      <c r="C926" s="138" t="s">
        <v>66</v>
      </c>
      <c r="D926" s="138"/>
      <c r="E926" s="138"/>
    </row>
    <row r="927" spans="2:5" x14ac:dyDescent="0.2">
      <c r="B927" s="41" t="s">
        <v>19</v>
      </c>
      <c r="C927" s="90"/>
      <c r="D927" s="90"/>
      <c r="E927" s="91"/>
    </row>
    <row r="928" spans="2:5" x14ac:dyDescent="0.2">
      <c r="B928" s="41"/>
      <c r="C928" s="139" t="s">
        <v>58</v>
      </c>
      <c r="D928" s="139"/>
      <c r="E928" s="139"/>
    </row>
    <row r="929" spans="2:5" ht="13.5" thickBot="1" x14ac:dyDescent="0.25">
      <c r="B929" s="43"/>
      <c r="C929" s="94"/>
      <c r="D929" s="94"/>
      <c r="E929" s="95"/>
    </row>
    <row r="930" spans="2:5" ht="13.5" thickBot="1" x14ac:dyDescent="0.25">
      <c r="C930" s="96"/>
      <c r="D930" s="96"/>
      <c r="E930" s="96"/>
    </row>
    <row r="931" spans="2:5" x14ac:dyDescent="0.2">
      <c r="B931" s="35" t="s">
        <v>219</v>
      </c>
      <c r="C931" s="97"/>
      <c r="D931" s="97"/>
      <c r="E931" s="98"/>
    </row>
    <row r="932" spans="2:5" x14ac:dyDescent="0.2">
      <c r="B932" s="38"/>
      <c r="C932" s="88"/>
      <c r="D932" s="88"/>
      <c r="E932" s="89"/>
    </row>
    <row r="933" spans="2:5" x14ac:dyDescent="0.2">
      <c r="B933" s="41" t="s">
        <v>15</v>
      </c>
      <c r="C933" s="88"/>
      <c r="D933" s="88"/>
      <c r="E933" s="89"/>
    </row>
    <row r="934" spans="2:5" x14ac:dyDescent="0.2">
      <c r="B934" s="41"/>
      <c r="C934" s="135" t="s">
        <v>211</v>
      </c>
      <c r="D934" s="135"/>
      <c r="E934" s="136"/>
    </row>
    <row r="935" spans="2:5" x14ac:dyDescent="0.2">
      <c r="B935" s="41" t="s">
        <v>16</v>
      </c>
      <c r="C935" s="88"/>
      <c r="D935" s="88"/>
      <c r="E935" s="89"/>
    </row>
    <row r="936" spans="2:5" x14ac:dyDescent="0.2">
      <c r="B936" s="42"/>
      <c r="C936" s="137" t="s">
        <v>183</v>
      </c>
      <c r="D936" s="137"/>
      <c r="E936" s="137"/>
    </row>
    <row r="937" spans="2:5" x14ac:dyDescent="0.2">
      <c r="B937" s="42"/>
      <c r="C937" s="137" t="s">
        <v>182</v>
      </c>
      <c r="D937" s="137"/>
      <c r="E937" s="137"/>
    </row>
    <row r="938" spans="2:5" x14ac:dyDescent="0.2">
      <c r="B938" s="41" t="s">
        <v>17</v>
      </c>
      <c r="C938" s="90"/>
      <c r="D938" s="90"/>
      <c r="E938" s="91"/>
    </row>
    <row r="939" spans="2:5" x14ac:dyDescent="0.2">
      <c r="B939" s="42"/>
      <c r="C939" s="136" t="s">
        <v>65</v>
      </c>
      <c r="D939" s="136"/>
      <c r="E939" s="136"/>
    </row>
    <row r="940" spans="2:5" x14ac:dyDescent="0.2">
      <c r="B940" s="41" t="s">
        <v>18</v>
      </c>
      <c r="C940" s="92"/>
      <c r="D940" s="92"/>
      <c r="E940" s="93"/>
    </row>
    <row r="941" spans="2:5" x14ac:dyDescent="0.2">
      <c r="B941" s="42"/>
      <c r="C941" s="138" t="s">
        <v>66</v>
      </c>
      <c r="D941" s="138"/>
      <c r="E941" s="138"/>
    </row>
    <row r="942" spans="2:5" x14ac:dyDescent="0.2">
      <c r="B942" s="41" t="s">
        <v>19</v>
      </c>
      <c r="C942" s="90"/>
      <c r="D942" s="90"/>
      <c r="E942" s="91"/>
    </row>
    <row r="943" spans="2:5" x14ac:dyDescent="0.2">
      <c r="B943" s="41"/>
      <c r="C943" s="139" t="s">
        <v>58</v>
      </c>
      <c r="D943" s="139"/>
      <c r="E943" s="139"/>
    </row>
    <row r="944" spans="2:5" ht="13.5" thickBot="1" x14ac:dyDescent="0.25">
      <c r="B944" s="43"/>
      <c r="C944" s="94"/>
      <c r="D944" s="94"/>
      <c r="E944" s="95"/>
    </row>
    <row r="945" spans="2:5" ht="13.5" thickBot="1" x14ac:dyDescent="0.25">
      <c r="C945" s="96"/>
      <c r="D945" s="96"/>
      <c r="E945" s="96"/>
    </row>
    <row r="946" spans="2:5" x14ac:dyDescent="0.2">
      <c r="B946" s="35" t="s">
        <v>223</v>
      </c>
      <c r="C946" s="97"/>
      <c r="D946" s="97"/>
      <c r="E946" s="98"/>
    </row>
    <row r="947" spans="2:5" x14ac:dyDescent="0.2">
      <c r="B947" s="38"/>
      <c r="C947" s="88"/>
      <c r="D947" s="88"/>
      <c r="E947" s="89"/>
    </row>
    <row r="948" spans="2:5" x14ac:dyDescent="0.2">
      <c r="B948" s="41" t="s">
        <v>15</v>
      </c>
      <c r="C948" s="88"/>
      <c r="D948" s="88"/>
      <c r="E948" s="89"/>
    </row>
    <row r="949" spans="2:5" x14ac:dyDescent="0.2">
      <c r="B949" s="41"/>
      <c r="C949" s="135"/>
      <c r="D949" s="135"/>
      <c r="E949" s="136"/>
    </row>
    <row r="950" spans="2:5" x14ac:dyDescent="0.2">
      <c r="B950" s="41" t="s">
        <v>16</v>
      </c>
      <c r="C950" s="88"/>
      <c r="D950" s="88"/>
      <c r="E950" s="89"/>
    </row>
    <row r="951" spans="2:5" x14ac:dyDescent="0.2">
      <c r="B951" s="42"/>
      <c r="C951" s="137" t="s">
        <v>183</v>
      </c>
      <c r="D951" s="137"/>
      <c r="E951" s="137"/>
    </row>
    <row r="952" spans="2:5" x14ac:dyDescent="0.2">
      <c r="B952" s="42"/>
      <c r="C952" s="137" t="s">
        <v>182</v>
      </c>
      <c r="D952" s="137"/>
      <c r="E952" s="137"/>
    </row>
    <row r="953" spans="2:5" x14ac:dyDescent="0.2">
      <c r="B953" s="41" t="s">
        <v>17</v>
      </c>
      <c r="C953" s="90"/>
      <c r="D953" s="90"/>
      <c r="E953" s="91"/>
    </row>
    <row r="954" spans="2:5" x14ac:dyDescent="0.2">
      <c r="B954" s="42"/>
      <c r="C954" s="136" t="s">
        <v>65</v>
      </c>
      <c r="D954" s="136"/>
      <c r="E954" s="136"/>
    </row>
    <row r="955" spans="2:5" x14ac:dyDescent="0.2">
      <c r="B955" s="41" t="s">
        <v>18</v>
      </c>
      <c r="C955" s="92"/>
      <c r="D955" s="92"/>
      <c r="E955" s="93"/>
    </row>
    <row r="956" spans="2:5" x14ac:dyDescent="0.2">
      <c r="B956" s="42"/>
      <c r="C956" s="138" t="s">
        <v>66</v>
      </c>
      <c r="D956" s="138"/>
      <c r="E956" s="138"/>
    </row>
    <row r="957" spans="2:5" x14ac:dyDescent="0.2">
      <c r="B957" s="41" t="s">
        <v>19</v>
      </c>
      <c r="C957" s="90"/>
      <c r="D957" s="90"/>
      <c r="E957" s="91"/>
    </row>
    <row r="958" spans="2:5" x14ac:dyDescent="0.2">
      <c r="B958" s="41"/>
      <c r="C958" s="139" t="s">
        <v>58</v>
      </c>
      <c r="D958" s="139"/>
      <c r="E958" s="139"/>
    </row>
    <row r="959" spans="2:5" ht="13.5" thickBot="1" x14ac:dyDescent="0.25">
      <c r="B959" s="43"/>
      <c r="C959" s="94"/>
      <c r="D959" s="94"/>
      <c r="E959" s="95"/>
    </row>
    <row r="960" spans="2:5" ht="13.5" thickBot="1" x14ac:dyDescent="0.25">
      <c r="C960" s="96"/>
      <c r="D960" s="96"/>
      <c r="E960" s="96"/>
    </row>
    <row r="961" spans="2:5" x14ac:dyDescent="0.2">
      <c r="B961" s="35" t="s">
        <v>224</v>
      </c>
      <c r="C961" s="97"/>
      <c r="D961" s="97"/>
      <c r="E961" s="98"/>
    </row>
    <row r="962" spans="2:5" x14ac:dyDescent="0.2">
      <c r="B962" s="38"/>
      <c r="C962" s="88"/>
      <c r="D962" s="88"/>
      <c r="E962" s="89"/>
    </row>
    <row r="963" spans="2:5" x14ac:dyDescent="0.2">
      <c r="B963" s="41" t="s">
        <v>15</v>
      </c>
      <c r="C963" s="88"/>
      <c r="D963" s="88"/>
      <c r="E963" s="89"/>
    </row>
    <row r="964" spans="2:5" x14ac:dyDescent="0.2">
      <c r="B964" s="41"/>
      <c r="C964" s="135" t="s">
        <v>300</v>
      </c>
      <c r="D964" s="135"/>
      <c r="E964" s="136"/>
    </row>
    <row r="965" spans="2:5" x14ac:dyDescent="0.2">
      <c r="B965" s="41" t="s">
        <v>16</v>
      </c>
      <c r="C965" s="88"/>
      <c r="D965" s="88"/>
      <c r="E965" s="89"/>
    </row>
    <row r="966" spans="2:5" x14ac:dyDescent="0.2">
      <c r="B966" s="42"/>
      <c r="C966" s="137" t="s">
        <v>183</v>
      </c>
      <c r="D966" s="137"/>
      <c r="E966" s="137"/>
    </row>
    <row r="967" spans="2:5" x14ac:dyDescent="0.2">
      <c r="B967" s="42"/>
      <c r="C967" s="137" t="s">
        <v>182</v>
      </c>
      <c r="D967" s="137"/>
      <c r="E967" s="137"/>
    </row>
    <row r="968" spans="2:5" x14ac:dyDescent="0.2">
      <c r="B968" s="41" t="s">
        <v>17</v>
      </c>
      <c r="C968" s="90"/>
      <c r="D968" s="90"/>
      <c r="E968" s="91"/>
    </row>
    <row r="969" spans="2:5" x14ac:dyDescent="0.2">
      <c r="B969" s="42"/>
      <c r="C969" s="136" t="s">
        <v>65</v>
      </c>
      <c r="D969" s="136"/>
      <c r="E969" s="136"/>
    </row>
    <row r="970" spans="2:5" x14ac:dyDescent="0.2">
      <c r="B970" s="41" t="s">
        <v>18</v>
      </c>
      <c r="C970" s="92"/>
      <c r="D970" s="92"/>
      <c r="E970" s="93"/>
    </row>
    <row r="971" spans="2:5" x14ac:dyDescent="0.2">
      <c r="B971" s="42"/>
      <c r="C971" s="138" t="s">
        <v>66</v>
      </c>
      <c r="D971" s="138"/>
      <c r="E971" s="138"/>
    </row>
    <row r="972" spans="2:5" x14ac:dyDescent="0.2">
      <c r="B972" s="41" t="s">
        <v>19</v>
      </c>
      <c r="C972" s="90"/>
      <c r="D972" s="90"/>
      <c r="E972" s="91"/>
    </row>
    <row r="973" spans="2:5" x14ac:dyDescent="0.2">
      <c r="B973" s="41"/>
      <c r="C973" s="139" t="s">
        <v>58</v>
      </c>
      <c r="D973" s="139"/>
      <c r="E973" s="139"/>
    </row>
    <row r="974" spans="2:5" ht="13.5" thickBot="1" x14ac:dyDescent="0.25">
      <c r="B974" s="43"/>
      <c r="C974" s="94"/>
      <c r="D974" s="94"/>
      <c r="E974" s="95"/>
    </row>
    <row r="975" spans="2:5" ht="13.5" thickBot="1" x14ac:dyDescent="0.25">
      <c r="C975" s="96"/>
      <c r="D975" s="96"/>
      <c r="E975" s="96"/>
    </row>
    <row r="976" spans="2:5" x14ac:dyDescent="0.2">
      <c r="B976" s="35" t="s">
        <v>225</v>
      </c>
      <c r="C976" s="97"/>
      <c r="D976" s="97"/>
      <c r="E976" s="98"/>
    </row>
    <row r="977" spans="2:5" x14ac:dyDescent="0.2">
      <c r="B977" s="38"/>
      <c r="C977" s="88"/>
      <c r="D977" s="88"/>
      <c r="E977" s="89"/>
    </row>
    <row r="978" spans="2:5" x14ac:dyDescent="0.2">
      <c r="B978" s="41" t="s">
        <v>15</v>
      </c>
      <c r="C978" s="88"/>
      <c r="D978" s="88"/>
      <c r="E978" s="89"/>
    </row>
    <row r="979" spans="2:5" x14ac:dyDescent="0.2">
      <c r="B979" s="41"/>
      <c r="C979" s="135" t="s">
        <v>301</v>
      </c>
      <c r="D979" s="135"/>
      <c r="E979" s="136"/>
    </row>
    <row r="980" spans="2:5" x14ac:dyDescent="0.2">
      <c r="B980" s="41" t="s">
        <v>16</v>
      </c>
      <c r="C980" s="88"/>
      <c r="D980" s="88"/>
      <c r="E980" s="89"/>
    </row>
    <row r="981" spans="2:5" x14ac:dyDescent="0.2">
      <c r="B981" s="42"/>
      <c r="C981" s="137" t="s">
        <v>183</v>
      </c>
      <c r="D981" s="137"/>
      <c r="E981" s="137"/>
    </row>
    <row r="982" spans="2:5" x14ac:dyDescent="0.2">
      <c r="B982" s="42"/>
      <c r="C982" s="137" t="s">
        <v>182</v>
      </c>
      <c r="D982" s="137"/>
      <c r="E982" s="137"/>
    </row>
    <row r="983" spans="2:5" x14ac:dyDescent="0.2">
      <c r="B983" s="41" t="s">
        <v>17</v>
      </c>
      <c r="C983" s="90"/>
      <c r="D983" s="90"/>
      <c r="E983" s="91"/>
    </row>
    <row r="984" spans="2:5" x14ac:dyDescent="0.2">
      <c r="B984" s="42"/>
      <c r="C984" s="136" t="s">
        <v>65</v>
      </c>
      <c r="D984" s="136"/>
      <c r="E984" s="136"/>
    </row>
    <row r="985" spans="2:5" x14ac:dyDescent="0.2">
      <c r="B985" s="41" t="s">
        <v>18</v>
      </c>
      <c r="C985" s="92"/>
      <c r="D985" s="92"/>
      <c r="E985" s="93"/>
    </row>
    <row r="986" spans="2:5" x14ac:dyDescent="0.2">
      <c r="B986" s="42"/>
      <c r="C986" s="138" t="s">
        <v>66</v>
      </c>
      <c r="D986" s="138"/>
      <c r="E986" s="138"/>
    </row>
    <row r="987" spans="2:5" x14ac:dyDescent="0.2">
      <c r="B987" s="41" t="s">
        <v>19</v>
      </c>
      <c r="C987" s="90"/>
      <c r="D987" s="90"/>
      <c r="E987" s="91"/>
    </row>
    <row r="988" spans="2:5" x14ac:dyDescent="0.2">
      <c r="B988" s="41"/>
      <c r="C988" s="139" t="s">
        <v>58</v>
      </c>
      <c r="D988" s="139"/>
      <c r="E988" s="139"/>
    </row>
    <row r="989" spans="2:5" ht="13.5" thickBot="1" x14ac:dyDescent="0.25">
      <c r="B989" s="43"/>
      <c r="C989" s="94"/>
      <c r="D989" s="94"/>
      <c r="E989" s="95"/>
    </row>
    <row r="990" spans="2:5" ht="13.5" thickBot="1" x14ac:dyDescent="0.25">
      <c r="C990" s="96"/>
      <c r="D990" s="96"/>
      <c r="E990" s="96"/>
    </row>
    <row r="991" spans="2:5" x14ac:dyDescent="0.2">
      <c r="B991" s="35" t="s">
        <v>226</v>
      </c>
      <c r="C991" s="97"/>
      <c r="D991" s="97"/>
      <c r="E991" s="98"/>
    </row>
    <row r="992" spans="2:5" x14ac:dyDescent="0.2">
      <c r="B992" s="38"/>
      <c r="C992" s="88"/>
      <c r="D992" s="88"/>
      <c r="E992" s="89"/>
    </row>
    <row r="993" spans="2:5" x14ac:dyDescent="0.2">
      <c r="B993" s="41" t="s">
        <v>15</v>
      </c>
      <c r="C993" s="88"/>
      <c r="D993" s="88"/>
      <c r="E993" s="89"/>
    </row>
    <row r="994" spans="2:5" x14ac:dyDescent="0.2">
      <c r="B994" s="41"/>
      <c r="C994" s="135" t="s">
        <v>222</v>
      </c>
      <c r="D994" s="135"/>
      <c r="E994" s="136"/>
    </row>
    <row r="995" spans="2:5" x14ac:dyDescent="0.2">
      <c r="B995" s="41" t="s">
        <v>16</v>
      </c>
      <c r="C995" s="88"/>
      <c r="D995" s="88"/>
      <c r="E995" s="89"/>
    </row>
    <row r="996" spans="2:5" x14ac:dyDescent="0.2">
      <c r="B996" s="42"/>
      <c r="C996" s="137" t="s">
        <v>183</v>
      </c>
      <c r="D996" s="137"/>
      <c r="E996" s="137"/>
    </row>
    <row r="997" spans="2:5" x14ac:dyDescent="0.2">
      <c r="B997" s="42"/>
      <c r="C997" s="137" t="s">
        <v>182</v>
      </c>
      <c r="D997" s="137"/>
      <c r="E997" s="137"/>
    </row>
    <row r="998" spans="2:5" x14ac:dyDescent="0.2">
      <c r="B998" s="41" t="s">
        <v>17</v>
      </c>
      <c r="C998" s="90"/>
      <c r="D998" s="90"/>
      <c r="E998" s="91"/>
    </row>
    <row r="999" spans="2:5" x14ac:dyDescent="0.2">
      <c r="B999" s="42"/>
      <c r="C999" s="136" t="s">
        <v>65</v>
      </c>
      <c r="D999" s="136"/>
      <c r="E999" s="136"/>
    </row>
    <row r="1000" spans="2:5" x14ac:dyDescent="0.2">
      <c r="B1000" s="41" t="s">
        <v>18</v>
      </c>
      <c r="C1000" s="92"/>
      <c r="D1000" s="92"/>
      <c r="E1000" s="93"/>
    </row>
    <row r="1001" spans="2:5" x14ac:dyDescent="0.2">
      <c r="B1001" s="42"/>
      <c r="C1001" s="138" t="s">
        <v>66</v>
      </c>
      <c r="D1001" s="138"/>
      <c r="E1001" s="138"/>
    </row>
    <row r="1002" spans="2:5" x14ac:dyDescent="0.2">
      <c r="B1002" s="41" t="s">
        <v>19</v>
      </c>
      <c r="C1002" s="90"/>
      <c r="D1002" s="90"/>
      <c r="E1002" s="91"/>
    </row>
    <row r="1003" spans="2:5" x14ac:dyDescent="0.2">
      <c r="B1003" s="41"/>
      <c r="C1003" s="139" t="s">
        <v>58</v>
      </c>
      <c r="D1003" s="139"/>
      <c r="E1003" s="139"/>
    </row>
    <row r="1004" spans="2:5" ht="13.5" thickBot="1" x14ac:dyDescent="0.25">
      <c r="B1004" s="43"/>
      <c r="C1004" s="94"/>
      <c r="D1004" s="94"/>
      <c r="E1004" s="95"/>
    </row>
    <row r="1005" spans="2:5" ht="13.5" thickBot="1" x14ac:dyDescent="0.25">
      <c r="C1005" s="96"/>
      <c r="D1005" s="96"/>
      <c r="E1005" s="96"/>
    </row>
    <row r="1006" spans="2:5" x14ac:dyDescent="0.2">
      <c r="B1006" s="35" t="s">
        <v>248</v>
      </c>
      <c r="C1006" s="97"/>
      <c r="D1006" s="97"/>
      <c r="E1006" s="98"/>
    </row>
    <row r="1007" spans="2:5" x14ac:dyDescent="0.2">
      <c r="B1007" s="38"/>
      <c r="C1007" s="88"/>
      <c r="D1007" s="88"/>
      <c r="E1007" s="89"/>
    </row>
    <row r="1008" spans="2:5" x14ac:dyDescent="0.2">
      <c r="B1008" s="41" t="s">
        <v>15</v>
      </c>
      <c r="C1008" s="88"/>
      <c r="D1008" s="88"/>
      <c r="E1008" s="89"/>
    </row>
    <row r="1009" spans="2:5" x14ac:dyDescent="0.2">
      <c r="B1009" s="41"/>
      <c r="C1009" s="135"/>
      <c r="D1009" s="135"/>
      <c r="E1009" s="136"/>
    </row>
    <row r="1010" spans="2:5" x14ac:dyDescent="0.2">
      <c r="B1010" s="41" t="s">
        <v>16</v>
      </c>
      <c r="C1010" s="88"/>
      <c r="D1010" s="88"/>
      <c r="E1010" s="89"/>
    </row>
    <row r="1011" spans="2:5" x14ac:dyDescent="0.2">
      <c r="B1011" s="42"/>
      <c r="C1011" s="137" t="s">
        <v>183</v>
      </c>
      <c r="D1011" s="137"/>
      <c r="E1011" s="137"/>
    </row>
    <row r="1012" spans="2:5" x14ac:dyDescent="0.2">
      <c r="B1012" s="42"/>
      <c r="C1012" s="137" t="s">
        <v>182</v>
      </c>
      <c r="D1012" s="137"/>
      <c r="E1012" s="137"/>
    </row>
    <row r="1013" spans="2:5" x14ac:dyDescent="0.2">
      <c r="B1013" s="41" t="s">
        <v>17</v>
      </c>
      <c r="C1013" s="90"/>
      <c r="D1013" s="90"/>
      <c r="E1013" s="91"/>
    </row>
    <row r="1014" spans="2:5" x14ac:dyDescent="0.2">
      <c r="B1014" s="42"/>
      <c r="C1014" s="136" t="s">
        <v>65</v>
      </c>
      <c r="D1014" s="136"/>
      <c r="E1014" s="136"/>
    </row>
    <row r="1015" spans="2:5" x14ac:dyDescent="0.2">
      <c r="B1015" s="41" t="s">
        <v>18</v>
      </c>
      <c r="C1015" s="92"/>
      <c r="D1015" s="92"/>
      <c r="E1015" s="93"/>
    </row>
    <row r="1016" spans="2:5" x14ac:dyDescent="0.2">
      <c r="B1016" s="42"/>
      <c r="C1016" s="138" t="s">
        <v>66</v>
      </c>
      <c r="D1016" s="138"/>
      <c r="E1016" s="138"/>
    </row>
    <row r="1017" spans="2:5" x14ac:dyDescent="0.2">
      <c r="B1017" s="41" t="s">
        <v>19</v>
      </c>
      <c r="C1017" s="90"/>
      <c r="D1017" s="90"/>
      <c r="E1017" s="91"/>
    </row>
    <row r="1018" spans="2:5" x14ac:dyDescent="0.2">
      <c r="B1018" s="41"/>
      <c r="C1018" s="139" t="s">
        <v>58</v>
      </c>
      <c r="D1018" s="139"/>
      <c r="E1018" s="139"/>
    </row>
    <row r="1019" spans="2:5" ht="13.5" thickBot="1" x14ac:dyDescent="0.25">
      <c r="B1019" s="43"/>
      <c r="C1019" s="94"/>
      <c r="D1019" s="94"/>
      <c r="E1019" s="95"/>
    </row>
    <row r="1020" spans="2:5" ht="13.5" thickBot="1" x14ac:dyDescent="0.25">
      <c r="C1020" s="96"/>
      <c r="D1020" s="96"/>
      <c r="E1020" s="96"/>
    </row>
    <row r="1021" spans="2:5" x14ac:dyDescent="0.2">
      <c r="B1021" s="35" t="s">
        <v>249</v>
      </c>
      <c r="C1021" s="97"/>
      <c r="D1021" s="97"/>
      <c r="E1021" s="98"/>
    </row>
    <row r="1022" spans="2:5" x14ac:dyDescent="0.2">
      <c r="B1022" s="38"/>
      <c r="C1022" s="88"/>
      <c r="D1022" s="88"/>
      <c r="E1022" s="89"/>
    </row>
    <row r="1023" spans="2:5" x14ac:dyDescent="0.2">
      <c r="B1023" s="41" t="s">
        <v>15</v>
      </c>
      <c r="C1023" s="88"/>
      <c r="D1023" s="88"/>
      <c r="E1023" s="89"/>
    </row>
    <row r="1024" spans="2:5" x14ac:dyDescent="0.2">
      <c r="B1024" s="41"/>
      <c r="C1024" s="135"/>
      <c r="D1024" s="135"/>
      <c r="E1024" s="136"/>
    </row>
    <row r="1025" spans="2:5" x14ac:dyDescent="0.2">
      <c r="B1025" s="41" t="s">
        <v>16</v>
      </c>
      <c r="C1025" s="88"/>
      <c r="D1025" s="88"/>
      <c r="E1025" s="89"/>
    </row>
    <row r="1026" spans="2:5" x14ac:dyDescent="0.2">
      <c r="B1026" s="42"/>
      <c r="C1026" s="137" t="s">
        <v>183</v>
      </c>
      <c r="D1026" s="137"/>
      <c r="E1026" s="137"/>
    </row>
    <row r="1027" spans="2:5" x14ac:dyDescent="0.2">
      <c r="B1027" s="42"/>
      <c r="C1027" s="137" t="s">
        <v>182</v>
      </c>
      <c r="D1027" s="137"/>
      <c r="E1027" s="137"/>
    </row>
    <row r="1028" spans="2:5" x14ac:dyDescent="0.2">
      <c r="B1028" s="41" t="s">
        <v>17</v>
      </c>
      <c r="C1028" s="90"/>
      <c r="D1028" s="90"/>
      <c r="E1028" s="91"/>
    </row>
    <row r="1029" spans="2:5" x14ac:dyDescent="0.2">
      <c r="B1029" s="42"/>
      <c r="C1029" s="136" t="s">
        <v>65</v>
      </c>
      <c r="D1029" s="136"/>
      <c r="E1029" s="136"/>
    </row>
    <row r="1030" spans="2:5" x14ac:dyDescent="0.2">
      <c r="B1030" s="41" t="s">
        <v>18</v>
      </c>
      <c r="C1030" s="92"/>
      <c r="D1030" s="92"/>
      <c r="E1030" s="93"/>
    </row>
    <row r="1031" spans="2:5" x14ac:dyDescent="0.2">
      <c r="B1031" s="42"/>
      <c r="C1031" s="138" t="s">
        <v>66</v>
      </c>
      <c r="D1031" s="138"/>
      <c r="E1031" s="138"/>
    </row>
    <row r="1032" spans="2:5" x14ac:dyDescent="0.2">
      <c r="B1032" s="41" t="s">
        <v>19</v>
      </c>
      <c r="C1032" s="90"/>
      <c r="D1032" s="90"/>
      <c r="E1032" s="91"/>
    </row>
    <row r="1033" spans="2:5" x14ac:dyDescent="0.2">
      <c r="B1033" s="41"/>
      <c r="C1033" s="139" t="s">
        <v>58</v>
      </c>
      <c r="D1033" s="139"/>
      <c r="E1033" s="139"/>
    </row>
    <row r="1034" spans="2:5" ht="13.5" thickBot="1" x14ac:dyDescent="0.25">
      <c r="B1034" s="43"/>
      <c r="C1034" s="94"/>
      <c r="D1034" s="94"/>
      <c r="E1034" s="95"/>
    </row>
    <row r="1035" spans="2:5" ht="13.5" thickBot="1" x14ac:dyDescent="0.25">
      <c r="C1035" s="96"/>
      <c r="D1035" s="96"/>
      <c r="E1035" s="96"/>
    </row>
    <row r="1036" spans="2:5" x14ac:dyDescent="0.2">
      <c r="B1036" s="35" t="s">
        <v>258</v>
      </c>
      <c r="C1036" s="97"/>
      <c r="D1036" s="97"/>
      <c r="E1036" s="98"/>
    </row>
    <row r="1037" spans="2:5" x14ac:dyDescent="0.2">
      <c r="B1037" s="38"/>
      <c r="C1037" s="88"/>
      <c r="D1037" s="88"/>
      <c r="E1037" s="89"/>
    </row>
    <row r="1038" spans="2:5" x14ac:dyDescent="0.2">
      <c r="B1038" s="41" t="s">
        <v>15</v>
      </c>
      <c r="C1038" s="88"/>
      <c r="D1038" s="88"/>
      <c r="E1038" s="89"/>
    </row>
    <row r="1039" spans="2:5" x14ac:dyDescent="0.2">
      <c r="B1039" s="41"/>
      <c r="C1039" s="135"/>
      <c r="D1039" s="135"/>
      <c r="E1039" s="136"/>
    </row>
    <row r="1040" spans="2:5" x14ac:dyDescent="0.2">
      <c r="B1040" s="41" t="s">
        <v>16</v>
      </c>
      <c r="C1040" s="88"/>
      <c r="D1040" s="88"/>
      <c r="E1040" s="89"/>
    </row>
    <row r="1041" spans="2:5" x14ac:dyDescent="0.2">
      <c r="B1041" s="42"/>
      <c r="C1041" s="137" t="s">
        <v>183</v>
      </c>
      <c r="D1041" s="137"/>
      <c r="E1041" s="137"/>
    </row>
    <row r="1042" spans="2:5" x14ac:dyDescent="0.2">
      <c r="B1042" s="42"/>
      <c r="C1042" s="137" t="s">
        <v>182</v>
      </c>
      <c r="D1042" s="137"/>
      <c r="E1042" s="137"/>
    </row>
    <row r="1043" spans="2:5" x14ac:dyDescent="0.2">
      <c r="B1043" s="41" t="s">
        <v>17</v>
      </c>
      <c r="C1043" s="90"/>
      <c r="D1043" s="90"/>
      <c r="E1043" s="91"/>
    </row>
    <row r="1044" spans="2:5" x14ac:dyDescent="0.2">
      <c r="B1044" s="42"/>
      <c r="C1044" s="136" t="s">
        <v>65</v>
      </c>
      <c r="D1044" s="136"/>
      <c r="E1044" s="136"/>
    </row>
    <row r="1045" spans="2:5" x14ac:dyDescent="0.2">
      <c r="B1045" s="41" t="s">
        <v>18</v>
      </c>
      <c r="C1045" s="92"/>
      <c r="D1045" s="92"/>
      <c r="E1045" s="93"/>
    </row>
    <row r="1046" spans="2:5" x14ac:dyDescent="0.2">
      <c r="B1046" s="42"/>
      <c r="C1046" s="138" t="s">
        <v>66</v>
      </c>
      <c r="D1046" s="138"/>
      <c r="E1046" s="138"/>
    </row>
    <row r="1047" spans="2:5" x14ac:dyDescent="0.2">
      <c r="B1047" s="41" t="s">
        <v>19</v>
      </c>
      <c r="C1047" s="90"/>
      <c r="D1047" s="90"/>
      <c r="E1047" s="91"/>
    </row>
    <row r="1048" spans="2:5" x14ac:dyDescent="0.2">
      <c r="B1048" s="41"/>
      <c r="C1048" s="139" t="s">
        <v>58</v>
      </c>
      <c r="D1048" s="139"/>
      <c r="E1048" s="139"/>
    </row>
    <row r="1049" spans="2:5" ht="13.5" thickBot="1" x14ac:dyDescent="0.25">
      <c r="B1049" s="43"/>
      <c r="C1049" s="94"/>
      <c r="D1049" s="94"/>
      <c r="E1049" s="95"/>
    </row>
    <row r="1050" spans="2:5" ht="13.5" thickBot="1" x14ac:dyDescent="0.25">
      <c r="C1050" s="96"/>
      <c r="D1050" s="96"/>
      <c r="E1050" s="96"/>
    </row>
    <row r="1051" spans="2:5" x14ac:dyDescent="0.2">
      <c r="B1051" s="35" t="s">
        <v>259</v>
      </c>
      <c r="C1051" s="97"/>
      <c r="D1051" s="97"/>
      <c r="E1051" s="98"/>
    </row>
    <row r="1052" spans="2:5" x14ac:dyDescent="0.2">
      <c r="B1052" s="38"/>
      <c r="C1052" s="88"/>
      <c r="D1052" s="88"/>
      <c r="E1052" s="89"/>
    </row>
    <row r="1053" spans="2:5" x14ac:dyDescent="0.2">
      <c r="B1053" s="41" t="s">
        <v>15</v>
      </c>
      <c r="C1053" s="88"/>
      <c r="D1053" s="88"/>
      <c r="E1053" s="89"/>
    </row>
    <row r="1054" spans="2:5" x14ac:dyDescent="0.2">
      <c r="B1054" s="41"/>
      <c r="C1054" s="135" t="s">
        <v>294</v>
      </c>
      <c r="D1054" s="135"/>
      <c r="E1054" s="136"/>
    </row>
    <row r="1055" spans="2:5" x14ac:dyDescent="0.2">
      <c r="B1055" s="41" t="s">
        <v>16</v>
      </c>
      <c r="C1055" s="88"/>
      <c r="D1055" s="88"/>
      <c r="E1055" s="89"/>
    </row>
    <row r="1056" spans="2:5" x14ac:dyDescent="0.2">
      <c r="B1056" s="42"/>
      <c r="C1056" s="137" t="s">
        <v>183</v>
      </c>
      <c r="D1056" s="137"/>
      <c r="E1056" s="137"/>
    </row>
    <row r="1057" spans="2:5" x14ac:dyDescent="0.2">
      <c r="B1057" s="42"/>
      <c r="C1057" s="137" t="s">
        <v>182</v>
      </c>
      <c r="D1057" s="137"/>
      <c r="E1057" s="137"/>
    </row>
    <row r="1058" spans="2:5" x14ac:dyDescent="0.2">
      <c r="B1058" s="41" t="s">
        <v>17</v>
      </c>
      <c r="C1058" s="90"/>
      <c r="D1058" s="90"/>
      <c r="E1058" s="91"/>
    </row>
    <row r="1059" spans="2:5" x14ac:dyDescent="0.2">
      <c r="B1059" s="42"/>
      <c r="C1059" s="136" t="s">
        <v>65</v>
      </c>
      <c r="D1059" s="136"/>
      <c r="E1059" s="136"/>
    </row>
    <row r="1060" spans="2:5" x14ac:dyDescent="0.2">
      <c r="B1060" s="41" t="s">
        <v>18</v>
      </c>
      <c r="C1060" s="92"/>
      <c r="D1060" s="92"/>
      <c r="E1060" s="93"/>
    </row>
    <row r="1061" spans="2:5" x14ac:dyDescent="0.2">
      <c r="B1061" s="42"/>
      <c r="C1061" s="138" t="s">
        <v>66</v>
      </c>
      <c r="D1061" s="138"/>
      <c r="E1061" s="138"/>
    </row>
    <row r="1062" spans="2:5" x14ac:dyDescent="0.2">
      <c r="B1062" s="41" t="s">
        <v>19</v>
      </c>
      <c r="C1062" s="90"/>
      <c r="D1062" s="90"/>
      <c r="E1062" s="91"/>
    </row>
    <row r="1063" spans="2:5" x14ac:dyDescent="0.2">
      <c r="B1063" s="41"/>
      <c r="C1063" s="139" t="s">
        <v>58</v>
      </c>
      <c r="D1063" s="139"/>
      <c r="E1063" s="139"/>
    </row>
    <row r="1064" spans="2:5" ht="13.5" thickBot="1" x14ac:dyDescent="0.25">
      <c r="B1064" s="43"/>
      <c r="C1064" s="94"/>
      <c r="D1064" s="94"/>
      <c r="E1064" s="95"/>
    </row>
    <row r="1065" spans="2:5" ht="13.5" thickBot="1" x14ac:dyDescent="0.25">
      <c r="C1065" s="96"/>
      <c r="D1065" s="96"/>
      <c r="E1065" s="96"/>
    </row>
    <row r="1066" spans="2:5" x14ac:dyDescent="0.2">
      <c r="B1066" s="35" t="s">
        <v>260</v>
      </c>
      <c r="C1066" s="97"/>
      <c r="D1066" s="97"/>
      <c r="E1066" s="98"/>
    </row>
    <row r="1067" spans="2:5" x14ac:dyDescent="0.2">
      <c r="B1067" s="38"/>
      <c r="C1067" s="88"/>
      <c r="D1067" s="88"/>
      <c r="E1067" s="89"/>
    </row>
    <row r="1068" spans="2:5" x14ac:dyDescent="0.2">
      <c r="B1068" s="41" t="s">
        <v>15</v>
      </c>
      <c r="C1068" s="88"/>
      <c r="D1068" s="88"/>
      <c r="E1068" s="89"/>
    </row>
    <row r="1069" spans="2:5" x14ac:dyDescent="0.2">
      <c r="B1069" s="41"/>
      <c r="C1069" s="135" t="s">
        <v>299</v>
      </c>
      <c r="D1069" s="135"/>
      <c r="E1069" s="136"/>
    </row>
    <row r="1070" spans="2:5" x14ac:dyDescent="0.2">
      <c r="B1070" s="41" t="s">
        <v>16</v>
      </c>
      <c r="C1070" s="88"/>
      <c r="D1070" s="88"/>
      <c r="E1070" s="89"/>
    </row>
    <row r="1071" spans="2:5" x14ac:dyDescent="0.2">
      <c r="B1071" s="42"/>
      <c r="C1071" s="137" t="s">
        <v>183</v>
      </c>
      <c r="D1071" s="137"/>
      <c r="E1071" s="137"/>
    </row>
    <row r="1072" spans="2:5" x14ac:dyDescent="0.2">
      <c r="B1072" s="42"/>
      <c r="C1072" s="137" t="s">
        <v>182</v>
      </c>
      <c r="D1072" s="137"/>
      <c r="E1072" s="137"/>
    </row>
    <row r="1073" spans="2:5" x14ac:dyDescent="0.2">
      <c r="B1073" s="41" t="s">
        <v>17</v>
      </c>
      <c r="C1073" s="90"/>
      <c r="D1073" s="90"/>
      <c r="E1073" s="91"/>
    </row>
    <row r="1074" spans="2:5" x14ac:dyDescent="0.2">
      <c r="B1074" s="42"/>
      <c r="C1074" s="136" t="s">
        <v>65</v>
      </c>
      <c r="D1074" s="136"/>
      <c r="E1074" s="136"/>
    </row>
    <row r="1075" spans="2:5" x14ac:dyDescent="0.2">
      <c r="B1075" s="41" t="s">
        <v>18</v>
      </c>
      <c r="C1075" s="92"/>
      <c r="D1075" s="92"/>
      <c r="E1075" s="93"/>
    </row>
    <row r="1076" spans="2:5" x14ac:dyDescent="0.2">
      <c r="B1076" s="42"/>
      <c r="C1076" s="138" t="s">
        <v>66</v>
      </c>
      <c r="D1076" s="138"/>
      <c r="E1076" s="138"/>
    </row>
    <row r="1077" spans="2:5" x14ac:dyDescent="0.2">
      <c r="B1077" s="41" t="s">
        <v>19</v>
      </c>
      <c r="C1077" s="90"/>
      <c r="D1077" s="90"/>
      <c r="E1077" s="91"/>
    </row>
    <row r="1078" spans="2:5" x14ac:dyDescent="0.2">
      <c r="B1078" s="41"/>
      <c r="C1078" s="139" t="s">
        <v>58</v>
      </c>
      <c r="D1078" s="139"/>
      <c r="E1078" s="139"/>
    </row>
    <row r="1079" spans="2:5" ht="13.5" thickBot="1" x14ac:dyDescent="0.25">
      <c r="B1079" s="43"/>
      <c r="C1079" s="94"/>
      <c r="D1079" s="94"/>
      <c r="E1079" s="95"/>
    </row>
    <row r="1080" spans="2:5" ht="13.5" thickBot="1" x14ac:dyDescent="0.25">
      <c r="C1080" s="96"/>
      <c r="D1080" s="96"/>
      <c r="E1080" s="96"/>
    </row>
    <row r="1081" spans="2:5" x14ac:dyDescent="0.2">
      <c r="B1081" s="35" t="s">
        <v>261</v>
      </c>
      <c r="C1081" s="97"/>
      <c r="D1081" s="97"/>
      <c r="E1081" s="98"/>
    </row>
    <row r="1082" spans="2:5" x14ac:dyDescent="0.2">
      <c r="B1082" s="38"/>
      <c r="C1082" s="88"/>
      <c r="D1082" s="88"/>
      <c r="E1082" s="89"/>
    </row>
    <row r="1083" spans="2:5" x14ac:dyDescent="0.2">
      <c r="B1083" s="41" t="s">
        <v>15</v>
      </c>
      <c r="C1083" s="88"/>
      <c r="D1083" s="88"/>
      <c r="E1083" s="89"/>
    </row>
    <row r="1084" spans="2:5" x14ac:dyDescent="0.2">
      <c r="B1084" s="41"/>
      <c r="C1084" s="135"/>
      <c r="D1084" s="135"/>
      <c r="E1084" s="136"/>
    </row>
    <row r="1085" spans="2:5" x14ac:dyDescent="0.2">
      <c r="B1085" s="41" t="s">
        <v>16</v>
      </c>
      <c r="C1085" s="88"/>
      <c r="D1085" s="88"/>
      <c r="E1085" s="89"/>
    </row>
    <row r="1086" spans="2:5" x14ac:dyDescent="0.2">
      <c r="B1086" s="42"/>
      <c r="C1086" s="137" t="s">
        <v>183</v>
      </c>
      <c r="D1086" s="137"/>
      <c r="E1086" s="137"/>
    </row>
    <row r="1087" spans="2:5" x14ac:dyDescent="0.2">
      <c r="B1087" s="42"/>
      <c r="C1087" s="137" t="s">
        <v>182</v>
      </c>
      <c r="D1087" s="137"/>
      <c r="E1087" s="137"/>
    </row>
    <row r="1088" spans="2:5" x14ac:dyDescent="0.2">
      <c r="B1088" s="41" t="s">
        <v>17</v>
      </c>
      <c r="C1088" s="90"/>
      <c r="D1088" s="90"/>
      <c r="E1088" s="91"/>
    </row>
    <row r="1089" spans="2:5" x14ac:dyDescent="0.2">
      <c r="B1089" s="42"/>
      <c r="C1089" s="136" t="s">
        <v>65</v>
      </c>
      <c r="D1089" s="136"/>
      <c r="E1089" s="136"/>
    </row>
    <row r="1090" spans="2:5" x14ac:dyDescent="0.2">
      <c r="B1090" s="41" t="s">
        <v>18</v>
      </c>
      <c r="C1090" s="92"/>
      <c r="D1090" s="92"/>
      <c r="E1090" s="93"/>
    </row>
    <row r="1091" spans="2:5" x14ac:dyDescent="0.2">
      <c r="B1091" s="42"/>
      <c r="C1091" s="138" t="s">
        <v>66</v>
      </c>
      <c r="D1091" s="138"/>
      <c r="E1091" s="138"/>
    </row>
    <row r="1092" spans="2:5" x14ac:dyDescent="0.2">
      <c r="B1092" s="41" t="s">
        <v>19</v>
      </c>
      <c r="C1092" s="90"/>
      <c r="D1092" s="90"/>
      <c r="E1092" s="91"/>
    </row>
    <row r="1093" spans="2:5" x14ac:dyDescent="0.2">
      <c r="B1093" s="41"/>
      <c r="C1093" s="139" t="s">
        <v>58</v>
      </c>
      <c r="D1093" s="139"/>
      <c r="E1093" s="139"/>
    </row>
    <row r="1094" spans="2:5" ht="13.5" thickBot="1" x14ac:dyDescent="0.25">
      <c r="B1094" s="43"/>
      <c r="C1094" s="94"/>
      <c r="D1094" s="94"/>
      <c r="E1094" s="95"/>
    </row>
    <row r="1095" spans="2:5" ht="13.5" thickBot="1" x14ac:dyDescent="0.25">
      <c r="C1095" s="96"/>
      <c r="D1095" s="96"/>
      <c r="E1095" s="96"/>
    </row>
    <row r="1096" spans="2:5" x14ac:dyDescent="0.2">
      <c r="B1096" s="35" t="s">
        <v>262</v>
      </c>
      <c r="C1096" s="97"/>
      <c r="D1096" s="97"/>
      <c r="E1096" s="98"/>
    </row>
    <row r="1097" spans="2:5" x14ac:dyDescent="0.2">
      <c r="B1097" s="38"/>
      <c r="C1097" s="88"/>
      <c r="D1097" s="88"/>
      <c r="E1097" s="89"/>
    </row>
    <row r="1098" spans="2:5" x14ac:dyDescent="0.2">
      <c r="B1098" s="41" t="s">
        <v>15</v>
      </c>
      <c r="C1098" s="88"/>
      <c r="D1098" s="88"/>
      <c r="E1098" s="89"/>
    </row>
    <row r="1099" spans="2:5" x14ac:dyDescent="0.2">
      <c r="B1099" s="41"/>
      <c r="C1099" s="135"/>
      <c r="D1099" s="135"/>
      <c r="E1099" s="136"/>
    </row>
    <row r="1100" spans="2:5" x14ac:dyDescent="0.2">
      <c r="B1100" s="41" t="s">
        <v>16</v>
      </c>
      <c r="C1100" s="88"/>
      <c r="D1100" s="88"/>
      <c r="E1100" s="89"/>
    </row>
    <row r="1101" spans="2:5" x14ac:dyDescent="0.2">
      <c r="B1101" s="42"/>
      <c r="C1101" s="137" t="s">
        <v>183</v>
      </c>
      <c r="D1101" s="137"/>
      <c r="E1101" s="137"/>
    </row>
    <row r="1102" spans="2:5" x14ac:dyDescent="0.2">
      <c r="B1102" s="42"/>
      <c r="C1102" s="137" t="s">
        <v>182</v>
      </c>
      <c r="D1102" s="137"/>
      <c r="E1102" s="137"/>
    </row>
    <row r="1103" spans="2:5" x14ac:dyDescent="0.2">
      <c r="B1103" s="41" t="s">
        <v>17</v>
      </c>
      <c r="C1103" s="90"/>
      <c r="D1103" s="90"/>
      <c r="E1103" s="91"/>
    </row>
    <row r="1104" spans="2:5" x14ac:dyDescent="0.2">
      <c r="B1104" s="42"/>
      <c r="C1104" s="136" t="s">
        <v>65</v>
      </c>
      <c r="D1104" s="136"/>
      <c r="E1104" s="136"/>
    </row>
    <row r="1105" spans="2:5" x14ac:dyDescent="0.2">
      <c r="B1105" s="41" t="s">
        <v>18</v>
      </c>
      <c r="C1105" s="92"/>
      <c r="D1105" s="92"/>
      <c r="E1105" s="93"/>
    </row>
    <row r="1106" spans="2:5" x14ac:dyDescent="0.2">
      <c r="B1106" s="42"/>
      <c r="C1106" s="138" t="s">
        <v>66</v>
      </c>
      <c r="D1106" s="138"/>
      <c r="E1106" s="138"/>
    </row>
    <row r="1107" spans="2:5" x14ac:dyDescent="0.2">
      <c r="B1107" s="41" t="s">
        <v>19</v>
      </c>
      <c r="C1107" s="90"/>
      <c r="D1107" s="90"/>
      <c r="E1107" s="91"/>
    </row>
    <row r="1108" spans="2:5" x14ac:dyDescent="0.2">
      <c r="B1108" s="41"/>
      <c r="C1108" s="139" t="s">
        <v>58</v>
      </c>
      <c r="D1108" s="139"/>
      <c r="E1108" s="139"/>
    </row>
    <row r="1109" spans="2:5" ht="13.5" thickBot="1" x14ac:dyDescent="0.25">
      <c r="B1109" s="43"/>
      <c r="C1109" s="94"/>
      <c r="D1109" s="94"/>
      <c r="E1109" s="95"/>
    </row>
    <row r="1110" spans="2:5" ht="13.5" thickBot="1" x14ac:dyDescent="0.25">
      <c r="C1110" s="96"/>
      <c r="D1110" s="96"/>
      <c r="E1110" s="96"/>
    </row>
    <row r="1111" spans="2:5" x14ac:dyDescent="0.2">
      <c r="B1111" s="35" t="s">
        <v>263</v>
      </c>
      <c r="C1111" s="97"/>
      <c r="D1111" s="97"/>
      <c r="E1111" s="98"/>
    </row>
    <row r="1112" spans="2:5" x14ac:dyDescent="0.2">
      <c r="B1112" s="38"/>
      <c r="C1112" s="88"/>
      <c r="D1112" s="88"/>
      <c r="E1112" s="89"/>
    </row>
    <row r="1113" spans="2:5" x14ac:dyDescent="0.2">
      <c r="B1113" s="41" t="s">
        <v>15</v>
      </c>
      <c r="C1113" s="88"/>
      <c r="D1113" s="88"/>
      <c r="E1113" s="89"/>
    </row>
    <row r="1114" spans="2:5" x14ac:dyDescent="0.2">
      <c r="B1114" s="41"/>
      <c r="C1114" s="135" t="s">
        <v>272</v>
      </c>
      <c r="D1114" s="135"/>
      <c r="E1114" s="136"/>
    </row>
    <row r="1115" spans="2:5" x14ac:dyDescent="0.2">
      <c r="B1115" s="41" t="s">
        <v>16</v>
      </c>
      <c r="C1115" s="88"/>
      <c r="D1115" s="88"/>
      <c r="E1115" s="89"/>
    </row>
    <row r="1116" spans="2:5" x14ac:dyDescent="0.2">
      <c r="B1116" s="42"/>
      <c r="C1116" s="137" t="s">
        <v>183</v>
      </c>
      <c r="D1116" s="137"/>
      <c r="E1116" s="137"/>
    </row>
    <row r="1117" spans="2:5" x14ac:dyDescent="0.2">
      <c r="B1117" s="42"/>
      <c r="C1117" s="137" t="s">
        <v>182</v>
      </c>
      <c r="D1117" s="137"/>
      <c r="E1117" s="137"/>
    </row>
    <row r="1118" spans="2:5" x14ac:dyDescent="0.2">
      <c r="B1118" s="41" t="s">
        <v>17</v>
      </c>
      <c r="C1118" s="90"/>
      <c r="D1118" s="90"/>
      <c r="E1118" s="91"/>
    </row>
    <row r="1119" spans="2:5" x14ac:dyDescent="0.2">
      <c r="B1119" s="42"/>
      <c r="C1119" s="136" t="s">
        <v>65</v>
      </c>
      <c r="D1119" s="136"/>
      <c r="E1119" s="136"/>
    </row>
    <row r="1120" spans="2:5" x14ac:dyDescent="0.2">
      <c r="B1120" s="41" t="s">
        <v>18</v>
      </c>
      <c r="C1120" s="92"/>
      <c r="D1120" s="92"/>
      <c r="E1120" s="93"/>
    </row>
    <row r="1121" spans="2:5" x14ac:dyDescent="0.2">
      <c r="B1121" s="42"/>
      <c r="C1121" s="138" t="s">
        <v>66</v>
      </c>
      <c r="D1121" s="138"/>
      <c r="E1121" s="138"/>
    </row>
    <row r="1122" spans="2:5" x14ac:dyDescent="0.2">
      <c r="B1122" s="41" t="s">
        <v>19</v>
      </c>
      <c r="C1122" s="90"/>
      <c r="D1122" s="90"/>
      <c r="E1122" s="91"/>
    </row>
    <row r="1123" spans="2:5" x14ac:dyDescent="0.2">
      <c r="B1123" s="41"/>
      <c r="C1123" s="139" t="s">
        <v>58</v>
      </c>
      <c r="D1123" s="139"/>
      <c r="E1123" s="139"/>
    </row>
    <row r="1124" spans="2:5" ht="13.5" thickBot="1" x14ac:dyDescent="0.25">
      <c r="B1124" s="43"/>
      <c r="C1124" s="94"/>
      <c r="D1124" s="94"/>
      <c r="E1124" s="95"/>
    </row>
    <row r="1125" spans="2:5" ht="13.5" thickBot="1" x14ac:dyDescent="0.25">
      <c r="C1125" s="96"/>
      <c r="D1125" s="96"/>
      <c r="E1125" s="96"/>
    </row>
    <row r="1126" spans="2:5" x14ac:dyDescent="0.2">
      <c r="B1126" s="35" t="s">
        <v>264</v>
      </c>
      <c r="C1126" s="97"/>
      <c r="D1126" s="97"/>
      <c r="E1126" s="98"/>
    </row>
    <row r="1127" spans="2:5" x14ac:dyDescent="0.2">
      <c r="B1127" s="38"/>
      <c r="C1127" s="88"/>
      <c r="D1127" s="88"/>
      <c r="E1127" s="89"/>
    </row>
    <row r="1128" spans="2:5" x14ac:dyDescent="0.2">
      <c r="B1128" s="41" t="s">
        <v>15</v>
      </c>
      <c r="C1128" s="88"/>
      <c r="D1128" s="88"/>
      <c r="E1128" s="89"/>
    </row>
    <row r="1129" spans="2:5" x14ac:dyDescent="0.2">
      <c r="B1129" s="41"/>
      <c r="C1129" s="135" t="s">
        <v>273</v>
      </c>
      <c r="D1129" s="135"/>
      <c r="E1129" s="136"/>
    </row>
    <row r="1130" spans="2:5" x14ac:dyDescent="0.2">
      <c r="B1130" s="41" t="s">
        <v>16</v>
      </c>
      <c r="C1130" s="88"/>
      <c r="D1130" s="88"/>
      <c r="E1130" s="89"/>
    </row>
    <row r="1131" spans="2:5" x14ac:dyDescent="0.2">
      <c r="B1131" s="42"/>
      <c r="C1131" s="137" t="s">
        <v>183</v>
      </c>
      <c r="D1131" s="137"/>
      <c r="E1131" s="137"/>
    </row>
    <row r="1132" spans="2:5" x14ac:dyDescent="0.2">
      <c r="B1132" s="42"/>
      <c r="C1132" s="137" t="s">
        <v>182</v>
      </c>
      <c r="D1132" s="137"/>
      <c r="E1132" s="137"/>
    </row>
    <row r="1133" spans="2:5" x14ac:dyDescent="0.2">
      <c r="B1133" s="41" t="s">
        <v>17</v>
      </c>
      <c r="C1133" s="90"/>
      <c r="D1133" s="90"/>
      <c r="E1133" s="91"/>
    </row>
    <row r="1134" spans="2:5" x14ac:dyDescent="0.2">
      <c r="B1134" s="42"/>
      <c r="C1134" s="136" t="s">
        <v>65</v>
      </c>
      <c r="D1134" s="136"/>
      <c r="E1134" s="136"/>
    </row>
    <row r="1135" spans="2:5" x14ac:dyDescent="0.2">
      <c r="B1135" s="41" t="s">
        <v>18</v>
      </c>
      <c r="C1135" s="92"/>
      <c r="D1135" s="92"/>
      <c r="E1135" s="93"/>
    </row>
    <row r="1136" spans="2:5" x14ac:dyDescent="0.2">
      <c r="B1136" s="42"/>
      <c r="C1136" s="138" t="s">
        <v>66</v>
      </c>
      <c r="D1136" s="138"/>
      <c r="E1136" s="138"/>
    </row>
    <row r="1137" spans="2:5" x14ac:dyDescent="0.2">
      <c r="B1137" s="41" t="s">
        <v>19</v>
      </c>
      <c r="C1137" s="90"/>
      <c r="D1137" s="90"/>
      <c r="E1137" s="91"/>
    </row>
    <row r="1138" spans="2:5" x14ac:dyDescent="0.2">
      <c r="B1138" s="41"/>
      <c r="C1138" s="139" t="s">
        <v>58</v>
      </c>
      <c r="D1138" s="139"/>
      <c r="E1138" s="139"/>
    </row>
    <row r="1139" spans="2:5" ht="13.5" thickBot="1" x14ac:dyDescent="0.25">
      <c r="B1139" s="43"/>
      <c r="C1139" s="94"/>
      <c r="D1139" s="94"/>
      <c r="E1139" s="95"/>
    </row>
    <row r="1140" spans="2:5" ht="13.5" thickBot="1" x14ac:dyDescent="0.25">
      <c r="C1140" s="96"/>
      <c r="D1140" s="96"/>
      <c r="E1140" s="96"/>
    </row>
    <row r="1141" spans="2:5" x14ac:dyDescent="0.2">
      <c r="B1141" s="35" t="s">
        <v>265</v>
      </c>
      <c r="C1141" s="97"/>
      <c r="D1141" s="97"/>
      <c r="E1141" s="98"/>
    </row>
    <row r="1142" spans="2:5" x14ac:dyDescent="0.2">
      <c r="B1142" s="38"/>
      <c r="C1142" s="88"/>
      <c r="D1142" s="88"/>
      <c r="E1142" s="89"/>
    </row>
    <row r="1143" spans="2:5" x14ac:dyDescent="0.2">
      <c r="B1143" s="41" t="s">
        <v>15</v>
      </c>
      <c r="C1143" s="88"/>
      <c r="D1143" s="88"/>
      <c r="E1143" s="89"/>
    </row>
    <row r="1144" spans="2:5" x14ac:dyDescent="0.2">
      <c r="B1144" s="41"/>
      <c r="C1144" s="135" t="s">
        <v>274</v>
      </c>
      <c r="D1144" s="135"/>
      <c r="E1144" s="136"/>
    </row>
    <row r="1145" spans="2:5" x14ac:dyDescent="0.2">
      <c r="B1145" s="41" t="s">
        <v>16</v>
      </c>
      <c r="C1145" s="88"/>
      <c r="D1145" s="88"/>
      <c r="E1145" s="89"/>
    </row>
    <row r="1146" spans="2:5" x14ac:dyDescent="0.2">
      <c r="B1146" s="42"/>
      <c r="C1146" s="137" t="s">
        <v>183</v>
      </c>
      <c r="D1146" s="137"/>
      <c r="E1146" s="137"/>
    </row>
    <row r="1147" spans="2:5" x14ac:dyDescent="0.2">
      <c r="B1147" s="42"/>
      <c r="C1147" s="137" t="s">
        <v>182</v>
      </c>
      <c r="D1147" s="137"/>
      <c r="E1147" s="137"/>
    </row>
    <row r="1148" spans="2:5" x14ac:dyDescent="0.2">
      <c r="B1148" s="41" t="s">
        <v>17</v>
      </c>
      <c r="C1148" s="90"/>
      <c r="D1148" s="90"/>
      <c r="E1148" s="91"/>
    </row>
    <row r="1149" spans="2:5" x14ac:dyDescent="0.2">
      <c r="B1149" s="42"/>
      <c r="C1149" s="136" t="s">
        <v>65</v>
      </c>
      <c r="D1149" s="136"/>
      <c r="E1149" s="136"/>
    </row>
    <row r="1150" spans="2:5" x14ac:dyDescent="0.2">
      <c r="B1150" s="41" t="s">
        <v>18</v>
      </c>
      <c r="C1150" s="92"/>
      <c r="D1150" s="92"/>
      <c r="E1150" s="93"/>
    </row>
    <row r="1151" spans="2:5" x14ac:dyDescent="0.2">
      <c r="B1151" s="42"/>
      <c r="C1151" s="138" t="s">
        <v>66</v>
      </c>
      <c r="D1151" s="138"/>
      <c r="E1151" s="138"/>
    </row>
    <row r="1152" spans="2:5" x14ac:dyDescent="0.2">
      <c r="B1152" s="41" t="s">
        <v>19</v>
      </c>
      <c r="C1152" s="90"/>
      <c r="D1152" s="90"/>
      <c r="E1152" s="91"/>
    </row>
    <row r="1153" spans="2:5" x14ac:dyDescent="0.2">
      <c r="B1153" s="41"/>
      <c r="C1153" s="139" t="s">
        <v>58</v>
      </c>
      <c r="D1153" s="139"/>
      <c r="E1153" s="139"/>
    </row>
    <row r="1154" spans="2:5" ht="13.5" thickBot="1" x14ac:dyDescent="0.25">
      <c r="B1154" s="43"/>
      <c r="C1154" s="94"/>
      <c r="D1154" s="94"/>
      <c r="E1154" s="95"/>
    </row>
    <row r="1155" spans="2:5" ht="13.5" thickBot="1" x14ac:dyDescent="0.25">
      <c r="C1155" s="96"/>
      <c r="D1155" s="96"/>
      <c r="E1155" s="96"/>
    </row>
    <row r="1156" spans="2:5" x14ac:dyDescent="0.2">
      <c r="B1156" s="35" t="s">
        <v>266</v>
      </c>
      <c r="C1156" s="97"/>
      <c r="D1156" s="97"/>
      <c r="E1156" s="98"/>
    </row>
    <row r="1157" spans="2:5" x14ac:dyDescent="0.2">
      <c r="B1157" s="38"/>
      <c r="C1157" s="88"/>
      <c r="D1157" s="88"/>
      <c r="E1157" s="89"/>
    </row>
    <row r="1158" spans="2:5" x14ac:dyDescent="0.2">
      <c r="B1158" s="41" t="s">
        <v>15</v>
      </c>
      <c r="C1158" s="88"/>
      <c r="D1158" s="88"/>
      <c r="E1158" s="89"/>
    </row>
    <row r="1159" spans="2:5" x14ac:dyDescent="0.2">
      <c r="B1159" s="41"/>
      <c r="C1159" s="135"/>
      <c r="D1159" s="135"/>
      <c r="E1159" s="136"/>
    </row>
    <row r="1160" spans="2:5" x14ac:dyDescent="0.2">
      <c r="B1160" s="41" t="s">
        <v>16</v>
      </c>
      <c r="C1160" s="88"/>
      <c r="D1160" s="88"/>
      <c r="E1160" s="89"/>
    </row>
    <row r="1161" spans="2:5" x14ac:dyDescent="0.2">
      <c r="B1161" s="42"/>
      <c r="C1161" s="137" t="s">
        <v>183</v>
      </c>
      <c r="D1161" s="137"/>
      <c r="E1161" s="137"/>
    </row>
    <row r="1162" spans="2:5" x14ac:dyDescent="0.2">
      <c r="B1162" s="42"/>
      <c r="C1162" s="137" t="s">
        <v>182</v>
      </c>
      <c r="D1162" s="137"/>
      <c r="E1162" s="137"/>
    </row>
    <row r="1163" spans="2:5" x14ac:dyDescent="0.2">
      <c r="B1163" s="41" t="s">
        <v>17</v>
      </c>
      <c r="C1163" s="90"/>
      <c r="D1163" s="90"/>
      <c r="E1163" s="91"/>
    </row>
    <row r="1164" spans="2:5" x14ac:dyDescent="0.2">
      <c r="B1164" s="42"/>
      <c r="C1164" s="136" t="s">
        <v>65</v>
      </c>
      <c r="D1164" s="136"/>
      <c r="E1164" s="136"/>
    </row>
    <row r="1165" spans="2:5" x14ac:dyDescent="0.2">
      <c r="B1165" s="41" t="s">
        <v>18</v>
      </c>
      <c r="C1165" s="92"/>
      <c r="D1165" s="92"/>
      <c r="E1165" s="93"/>
    </row>
    <row r="1166" spans="2:5" x14ac:dyDescent="0.2">
      <c r="B1166" s="42"/>
      <c r="C1166" s="138" t="s">
        <v>66</v>
      </c>
      <c r="D1166" s="138"/>
      <c r="E1166" s="138"/>
    </row>
    <row r="1167" spans="2:5" x14ac:dyDescent="0.2">
      <c r="B1167" s="41" t="s">
        <v>19</v>
      </c>
      <c r="C1167" s="90"/>
      <c r="D1167" s="90"/>
      <c r="E1167" s="91"/>
    </row>
    <row r="1168" spans="2:5" x14ac:dyDescent="0.2">
      <c r="B1168" s="41"/>
      <c r="C1168" s="139" t="s">
        <v>58</v>
      </c>
      <c r="D1168" s="139"/>
      <c r="E1168" s="139"/>
    </row>
    <row r="1169" spans="2:5" ht="13.5" thickBot="1" x14ac:dyDescent="0.25">
      <c r="B1169" s="43"/>
      <c r="C1169" s="94"/>
      <c r="D1169" s="94"/>
      <c r="E1169" s="95"/>
    </row>
    <row r="1170" spans="2:5" ht="13.5" thickBot="1" x14ac:dyDescent="0.25">
      <c r="C1170" s="96"/>
      <c r="D1170" s="96"/>
      <c r="E1170" s="96"/>
    </row>
    <row r="1171" spans="2:5" x14ac:dyDescent="0.2">
      <c r="B1171" s="35" t="s">
        <v>267</v>
      </c>
      <c r="C1171" s="97"/>
      <c r="D1171" s="97"/>
      <c r="E1171" s="98"/>
    </row>
    <row r="1172" spans="2:5" x14ac:dyDescent="0.2">
      <c r="B1172" s="38"/>
      <c r="C1172" s="88"/>
      <c r="D1172" s="88"/>
      <c r="E1172" s="89"/>
    </row>
    <row r="1173" spans="2:5" x14ac:dyDescent="0.2">
      <c r="B1173" s="41" t="s">
        <v>15</v>
      </c>
      <c r="C1173" s="88"/>
      <c r="D1173" s="88"/>
      <c r="E1173" s="89"/>
    </row>
    <row r="1174" spans="2:5" x14ac:dyDescent="0.2">
      <c r="B1174" s="41"/>
      <c r="C1174" s="135"/>
      <c r="D1174" s="135"/>
      <c r="E1174" s="136"/>
    </row>
    <row r="1175" spans="2:5" x14ac:dyDescent="0.2">
      <c r="B1175" s="41" t="s">
        <v>16</v>
      </c>
      <c r="C1175" s="88"/>
      <c r="D1175" s="88"/>
      <c r="E1175" s="89"/>
    </row>
    <row r="1176" spans="2:5" x14ac:dyDescent="0.2">
      <c r="B1176" s="42"/>
      <c r="C1176" s="137" t="s">
        <v>183</v>
      </c>
      <c r="D1176" s="137"/>
      <c r="E1176" s="137"/>
    </row>
    <row r="1177" spans="2:5" x14ac:dyDescent="0.2">
      <c r="B1177" s="42"/>
      <c r="C1177" s="137" t="s">
        <v>182</v>
      </c>
      <c r="D1177" s="137"/>
      <c r="E1177" s="137"/>
    </row>
    <row r="1178" spans="2:5" x14ac:dyDescent="0.2">
      <c r="B1178" s="41" t="s">
        <v>17</v>
      </c>
      <c r="C1178" s="90"/>
      <c r="D1178" s="90"/>
      <c r="E1178" s="91"/>
    </row>
    <row r="1179" spans="2:5" x14ac:dyDescent="0.2">
      <c r="B1179" s="42"/>
      <c r="C1179" s="136" t="s">
        <v>65</v>
      </c>
      <c r="D1179" s="136"/>
      <c r="E1179" s="136"/>
    </row>
    <row r="1180" spans="2:5" x14ac:dyDescent="0.2">
      <c r="B1180" s="41" t="s">
        <v>18</v>
      </c>
      <c r="C1180" s="92"/>
      <c r="D1180" s="92"/>
      <c r="E1180" s="93"/>
    </row>
    <row r="1181" spans="2:5" x14ac:dyDescent="0.2">
      <c r="B1181" s="42"/>
      <c r="C1181" s="138" t="s">
        <v>66</v>
      </c>
      <c r="D1181" s="138"/>
      <c r="E1181" s="138"/>
    </row>
    <row r="1182" spans="2:5" x14ac:dyDescent="0.2">
      <c r="B1182" s="41" t="s">
        <v>19</v>
      </c>
      <c r="C1182" s="90"/>
      <c r="D1182" s="90"/>
      <c r="E1182" s="91"/>
    </row>
    <row r="1183" spans="2:5" x14ac:dyDescent="0.2">
      <c r="B1183" s="41"/>
      <c r="C1183" s="139" t="s">
        <v>58</v>
      </c>
      <c r="D1183" s="139"/>
      <c r="E1183" s="139"/>
    </row>
    <row r="1184" spans="2:5" ht="13.5" thickBot="1" x14ac:dyDescent="0.25">
      <c r="B1184" s="43"/>
      <c r="C1184" s="94"/>
      <c r="D1184" s="94"/>
      <c r="E1184" s="95"/>
    </row>
    <row r="1185" spans="2:5" ht="13.5" thickBot="1" x14ac:dyDescent="0.25">
      <c r="C1185" s="96"/>
      <c r="D1185" s="96"/>
      <c r="E1185" s="96"/>
    </row>
    <row r="1186" spans="2:5" x14ac:dyDescent="0.2">
      <c r="B1186" s="35" t="s">
        <v>268</v>
      </c>
      <c r="C1186" s="97"/>
      <c r="D1186" s="97"/>
      <c r="E1186" s="98"/>
    </row>
    <row r="1187" spans="2:5" x14ac:dyDescent="0.2">
      <c r="B1187" s="38"/>
      <c r="C1187" s="88"/>
      <c r="D1187" s="88"/>
      <c r="E1187" s="89"/>
    </row>
    <row r="1188" spans="2:5" x14ac:dyDescent="0.2">
      <c r="B1188" s="41" t="s">
        <v>15</v>
      </c>
      <c r="C1188" s="88"/>
      <c r="D1188" s="88"/>
      <c r="E1188" s="89"/>
    </row>
    <row r="1189" spans="2:5" x14ac:dyDescent="0.2">
      <c r="B1189" s="41"/>
      <c r="C1189" s="135" t="s">
        <v>295</v>
      </c>
      <c r="D1189" s="135"/>
      <c r="E1189" s="136"/>
    </row>
    <row r="1190" spans="2:5" x14ac:dyDescent="0.2">
      <c r="B1190" s="41" t="s">
        <v>16</v>
      </c>
      <c r="C1190" s="88"/>
      <c r="D1190" s="88"/>
      <c r="E1190" s="89"/>
    </row>
    <row r="1191" spans="2:5" x14ac:dyDescent="0.2">
      <c r="B1191" s="42"/>
      <c r="C1191" s="137" t="s">
        <v>183</v>
      </c>
      <c r="D1191" s="137"/>
      <c r="E1191" s="137"/>
    </row>
    <row r="1192" spans="2:5" x14ac:dyDescent="0.2">
      <c r="B1192" s="42"/>
      <c r="C1192" s="137" t="s">
        <v>182</v>
      </c>
      <c r="D1192" s="137"/>
      <c r="E1192" s="137"/>
    </row>
    <row r="1193" spans="2:5" x14ac:dyDescent="0.2">
      <c r="B1193" s="41" t="s">
        <v>17</v>
      </c>
      <c r="C1193" s="90"/>
      <c r="D1193" s="90"/>
      <c r="E1193" s="91"/>
    </row>
    <row r="1194" spans="2:5" x14ac:dyDescent="0.2">
      <c r="B1194" s="42"/>
      <c r="C1194" s="136" t="s">
        <v>65</v>
      </c>
      <c r="D1194" s="136"/>
      <c r="E1194" s="136"/>
    </row>
    <row r="1195" spans="2:5" x14ac:dyDescent="0.2">
      <c r="B1195" s="41" t="s">
        <v>18</v>
      </c>
      <c r="C1195" s="92"/>
      <c r="D1195" s="92"/>
      <c r="E1195" s="93"/>
    </row>
    <row r="1196" spans="2:5" x14ac:dyDescent="0.2">
      <c r="B1196" s="42"/>
      <c r="C1196" s="138" t="s">
        <v>66</v>
      </c>
      <c r="D1196" s="138"/>
      <c r="E1196" s="138"/>
    </row>
    <row r="1197" spans="2:5" x14ac:dyDescent="0.2">
      <c r="B1197" s="41" t="s">
        <v>19</v>
      </c>
      <c r="C1197" s="90"/>
      <c r="D1197" s="90"/>
      <c r="E1197" s="91"/>
    </row>
    <row r="1198" spans="2:5" x14ac:dyDescent="0.2">
      <c r="B1198" s="41"/>
      <c r="C1198" s="139" t="s">
        <v>58</v>
      </c>
      <c r="D1198" s="139"/>
      <c r="E1198" s="139"/>
    </row>
    <row r="1199" spans="2:5" ht="13.5" thickBot="1" x14ac:dyDescent="0.25">
      <c r="B1199" s="43"/>
      <c r="C1199" s="94"/>
      <c r="D1199" s="94"/>
      <c r="E1199" s="95"/>
    </row>
    <row r="1200" spans="2:5" ht="13.5" thickBot="1" x14ac:dyDescent="0.25">
      <c r="C1200" s="96"/>
      <c r="D1200" s="96"/>
      <c r="E1200" s="96"/>
    </row>
    <row r="1201" spans="2:5" x14ac:dyDescent="0.2">
      <c r="B1201" s="35" t="s">
        <v>269</v>
      </c>
      <c r="C1201" s="97"/>
      <c r="D1201" s="97"/>
      <c r="E1201" s="98"/>
    </row>
    <row r="1202" spans="2:5" x14ac:dyDescent="0.2">
      <c r="B1202" s="38"/>
      <c r="C1202" s="88"/>
      <c r="D1202" s="88"/>
      <c r="E1202" s="89"/>
    </row>
    <row r="1203" spans="2:5" x14ac:dyDescent="0.2">
      <c r="B1203" s="41" t="s">
        <v>15</v>
      </c>
      <c r="C1203" s="88"/>
      <c r="D1203" s="88"/>
      <c r="E1203" s="89"/>
    </row>
    <row r="1204" spans="2:5" x14ac:dyDescent="0.2">
      <c r="B1204" s="41"/>
      <c r="C1204" s="135" t="s">
        <v>280</v>
      </c>
      <c r="D1204" s="135"/>
      <c r="E1204" s="136"/>
    </row>
    <row r="1205" spans="2:5" x14ac:dyDescent="0.2">
      <c r="B1205" s="41" t="s">
        <v>16</v>
      </c>
      <c r="C1205" s="88"/>
      <c r="D1205" s="88"/>
      <c r="E1205" s="89"/>
    </row>
    <row r="1206" spans="2:5" x14ac:dyDescent="0.2">
      <c r="B1206" s="42"/>
      <c r="C1206" s="137" t="s">
        <v>183</v>
      </c>
      <c r="D1206" s="137"/>
      <c r="E1206" s="137"/>
    </row>
    <row r="1207" spans="2:5" x14ac:dyDescent="0.2">
      <c r="B1207" s="42"/>
      <c r="C1207" s="137" t="s">
        <v>182</v>
      </c>
      <c r="D1207" s="137"/>
      <c r="E1207" s="137"/>
    </row>
    <row r="1208" spans="2:5" x14ac:dyDescent="0.2">
      <c r="B1208" s="41" t="s">
        <v>17</v>
      </c>
      <c r="C1208" s="90"/>
      <c r="D1208" s="90"/>
      <c r="E1208" s="91"/>
    </row>
    <row r="1209" spans="2:5" x14ac:dyDescent="0.2">
      <c r="B1209" s="42"/>
      <c r="C1209" s="136" t="s">
        <v>65</v>
      </c>
      <c r="D1209" s="136"/>
      <c r="E1209" s="136"/>
    </row>
    <row r="1210" spans="2:5" x14ac:dyDescent="0.2">
      <c r="B1210" s="41" t="s">
        <v>18</v>
      </c>
      <c r="C1210" s="92"/>
      <c r="D1210" s="92"/>
      <c r="E1210" s="93"/>
    </row>
    <row r="1211" spans="2:5" x14ac:dyDescent="0.2">
      <c r="B1211" s="42"/>
      <c r="C1211" s="138" t="s">
        <v>66</v>
      </c>
      <c r="D1211" s="138"/>
      <c r="E1211" s="138"/>
    </row>
    <row r="1212" spans="2:5" x14ac:dyDescent="0.2">
      <c r="B1212" s="41" t="s">
        <v>19</v>
      </c>
      <c r="C1212" s="90"/>
      <c r="D1212" s="90"/>
      <c r="E1212" s="91"/>
    </row>
    <row r="1213" spans="2:5" x14ac:dyDescent="0.2">
      <c r="B1213" s="41"/>
      <c r="C1213" s="139" t="s">
        <v>58</v>
      </c>
      <c r="D1213" s="139"/>
      <c r="E1213" s="139"/>
    </row>
    <row r="1214" spans="2:5" ht="13.5" thickBot="1" x14ac:dyDescent="0.25">
      <c r="B1214" s="43"/>
      <c r="C1214" s="94"/>
      <c r="D1214" s="94"/>
      <c r="E1214" s="95"/>
    </row>
    <row r="1215" spans="2:5" ht="13.5" thickBot="1" x14ac:dyDescent="0.25">
      <c r="C1215" s="96"/>
      <c r="D1215" s="96"/>
      <c r="E1215" s="96"/>
    </row>
    <row r="1216" spans="2:5" x14ac:dyDescent="0.2">
      <c r="B1216" s="35" t="s">
        <v>270</v>
      </c>
      <c r="C1216" s="97"/>
      <c r="D1216" s="97"/>
      <c r="E1216" s="98"/>
    </row>
    <row r="1217" spans="2:5" x14ac:dyDescent="0.2">
      <c r="B1217" s="38"/>
      <c r="C1217" s="88"/>
      <c r="D1217" s="88"/>
      <c r="E1217" s="89"/>
    </row>
    <row r="1218" spans="2:5" x14ac:dyDescent="0.2">
      <c r="B1218" s="41" t="s">
        <v>15</v>
      </c>
      <c r="C1218" s="88"/>
      <c r="D1218" s="88"/>
      <c r="E1218" s="89"/>
    </row>
    <row r="1219" spans="2:5" x14ac:dyDescent="0.2">
      <c r="B1219" s="41"/>
      <c r="C1219" s="135" t="s">
        <v>285</v>
      </c>
      <c r="D1219" s="135"/>
      <c r="E1219" s="136"/>
    </row>
    <row r="1220" spans="2:5" x14ac:dyDescent="0.2">
      <c r="B1220" s="41" t="s">
        <v>16</v>
      </c>
      <c r="C1220" s="88"/>
      <c r="D1220" s="88"/>
      <c r="E1220" s="89"/>
    </row>
    <row r="1221" spans="2:5" x14ac:dyDescent="0.2">
      <c r="B1221" s="42"/>
      <c r="C1221" s="137" t="s">
        <v>183</v>
      </c>
      <c r="D1221" s="137"/>
      <c r="E1221" s="137"/>
    </row>
    <row r="1222" spans="2:5" x14ac:dyDescent="0.2">
      <c r="B1222" s="42"/>
      <c r="C1222" s="137" t="s">
        <v>182</v>
      </c>
      <c r="D1222" s="137"/>
      <c r="E1222" s="137"/>
    </row>
    <row r="1223" spans="2:5" x14ac:dyDescent="0.2">
      <c r="B1223" s="41" t="s">
        <v>17</v>
      </c>
      <c r="C1223" s="90"/>
      <c r="D1223" s="90"/>
      <c r="E1223" s="91"/>
    </row>
    <row r="1224" spans="2:5" x14ac:dyDescent="0.2">
      <c r="B1224" s="42"/>
      <c r="C1224" s="136" t="s">
        <v>65</v>
      </c>
      <c r="D1224" s="136"/>
      <c r="E1224" s="136"/>
    </row>
    <row r="1225" spans="2:5" x14ac:dyDescent="0.2">
      <c r="B1225" s="41" t="s">
        <v>18</v>
      </c>
      <c r="C1225" s="92"/>
      <c r="D1225" s="92"/>
      <c r="E1225" s="93"/>
    </row>
    <row r="1226" spans="2:5" x14ac:dyDescent="0.2">
      <c r="B1226" s="42"/>
      <c r="C1226" s="138" t="s">
        <v>66</v>
      </c>
      <c r="D1226" s="138"/>
      <c r="E1226" s="138"/>
    </row>
    <row r="1227" spans="2:5" x14ac:dyDescent="0.2">
      <c r="B1227" s="41" t="s">
        <v>19</v>
      </c>
      <c r="C1227" s="90"/>
      <c r="D1227" s="90"/>
      <c r="E1227" s="91"/>
    </row>
    <row r="1228" spans="2:5" x14ac:dyDescent="0.2">
      <c r="B1228" s="41"/>
      <c r="C1228" s="139" t="s">
        <v>58</v>
      </c>
      <c r="D1228" s="139"/>
      <c r="E1228" s="139"/>
    </row>
    <row r="1229" spans="2:5" ht="13.5" thickBot="1" x14ac:dyDescent="0.25">
      <c r="B1229" s="43"/>
      <c r="C1229" s="94"/>
      <c r="D1229" s="94"/>
      <c r="E1229" s="95"/>
    </row>
    <row r="1230" spans="2:5" ht="13.5" thickBot="1" x14ac:dyDescent="0.25">
      <c r="C1230" s="96"/>
      <c r="D1230" s="96"/>
      <c r="E1230" s="96"/>
    </row>
    <row r="1231" spans="2:5" x14ac:dyDescent="0.2">
      <c r="B1231" s="35" t="s">
        <v>271</v>
      </c>
      <c r="C1231" s="97"/>
      <c r="D1231" s="97"/>
      <c r="E1231" s="98"/>
    </row>
    <row r="1232" spans="2:5" x14ac:dyDescent="0.2">
      <c r="B1232" s="38"/>
      <c r="C1232" s="88"/>
      <c r="D1232" s="88"/>
      <c r="E1232" s="89"/>
    </row>
    <row r="1233" spans="2:5" x14ac:dyDescent="0.2">
      <c r="B1233" s="41" t="s">
        <v>15</v>
      </c>
      <c r="C1233" s="88"/>
      <c r="D1233" s="88"/>
      <c r="E1233" s="89"/>
    </row>
    <row r="1234" spans="2:5" x14ac:dyDescent="0.2">
      <c r="B1234" s="41"/>
      <c r="C1234" s="135" t="s">
        <v>286</v>
      </c>
      <c r="D1234" s="135"/>
      <c r="E1234" s="136"/>
    </row>
    <row r="1235" spans="2:5" x14ac:dyDescent="0.2">
      <c r="B1235" s="41" t="s">
        <v>16</v>
      </c>
      <c r="C1235" s="88"/>
      <c r="D1235" s="88"/>
      <c r="E1235" s="89"/>
    </row>
    <row r="1236" spans="2:5" x14ac:dyDescent="0.2">
      <c r="B1236" s="42"/>
      <c r="C1236" s="137" t="s">
        <v>183</v>
      </c>
      <c r="D1236" s="137"/>
      <c r="E1236" s="137"/>
    </row>
    <row r="1237" spans="2:5" x14ac:dyDescent="0.2">
      <c r="B1237" s="42"/>
      <c r="C1237" s="137" t="s">
        <v>182</v>
      </c>
      <c r="D1237" s="137"/>
      <c r="E1237" s="137"/>
    </row>
    <row r="1238" spans="2:5" x14ac:dyDescent="0.2">
      <c r="B1238" s="41" t="s">
        <v>17</v>
      </c>
      <c r="C1238" s="90"/>
      <c r="D1238" s="90"/>
      <c r="E1238" s="91"/>
    </row>
    <row r="1239" spans="2:5" x14ac:dyDescent="0.2">
      <c r="B1239" s="42"/>
      <c r="C1239" s="136" t="s">
        <v>65</v>
      </c>
      <c r="D1239" s="136"/>
      <c r="E1239" s="136"/>
    </row>
    <row r="1240" spans="2:5" x14ac:dyDescent="0.2">
      <c r="B1240" s="41" t="s">
        <v>18</v>
      </c>
      <c r="C1240" s="92"/>
      <c r="D1240" s="92"/>
      <c r="E1240" s="93"/>
    </row>
    <row r="1241" spans="2:5" x14ac:dyDescent="0.2">
      <c r="B1241" s="42"/>
      <c r="C1241" s="138" t="s">
        <v>66</v>
      </c>
      <c r="D1241" s="138"/>
      <c r="E1241" s="138"/>
    </row>
    <row r="1242" spans="2:5" x14ac:dyDescent="0.2">
      <c r="B1242" s="41" t="s">
        <v>19</v>
      </c>
      <c r="C1242" s="90"/>
      <c r="D1242" s="90"/>
      <c r="E1242" s="91"/>
    </row>
    <row r="1243" spans="2:5" x14ac:dyDescent="0.2">
      <c r="B1243" s="41"/>
      <c r="C1243" s="139" t="s">
        <v>58</v>
      </c>
      <c r="D1243" s="139"/>
      <c r="E1243" s="139"/>
    </row>
    <row r="1244" spans="2:5" ht="13.5" thickBot="1" x14ac:dyDescent="0.25">
      <c r="B1244" s="43"/>
      <c r="C1244" s="94"/>
      <c r="D1244" s="94"/>
      <c r="E1244" s="95"/>
    </row>
    <row r="1245" spans="2:5" ht="13.5" thickBot="1" x14ac:dyDescent="0.25">
      <c r="C1245" s="96"/>
      <c r="D1245" s="96"/>
      <c r="E1245" s="96"/>
    </row>
    <row r="1246" spans="2:5" x14ac:dyDescent="0.2">
      <c r="B1246" s="35" t="s">
        <v>277</v>
      </c>
      <c r="C1246" s="97"/>
      <c r="D1246" s="97"/>
      <c r="E1246" s="98"/>
    </row>
    <row r="1247" spans="2:5" x14ac:dyDescent="0.2">
      <c r="B1247" s="38"/>
      <c r="C1247" s="88"/>
      <c r="D1247" s="88"/>
      <c r="E1247" s="89"/>
    </row>
    <row r="1248" spans="2:5" x14ac:dyDescent="0.2">
      <c r="B1248" s="41" t="s">
        <v>15</v>
      </c>
      <c r="C1248" s="88"/>
      <c r="D1248" s="88"/>
      <c r="E1248" s="89"/>
    </row>
    <row r="1249" spans="2:5" x14ac:dyDescent="0.2">
      <c r="B1249" s="41"/>
      <c r="C1249" s="135" t="s">
        <v>296</v>
      </c>
      <c r="D1249" s="135"/>
      <c r="E1249" s="136"/>
    </row>
    <row r="1250" spans="2:5" x14ac:dyDescent="0.2">
      <c r="B1250" s="41" t="s">
        <v>16</v>
      </c>
      <c r="C1250" s="88"/>
      <c r="D1250" s="88"/>
      <c r="E1250" s="89"/>
    </row>
    <row r="1251" spans="2:5" x14ac:dyDescent="0.2">
      <c r="B1251" s="42"/>
      <c r="C1251" s="137" t="s">
        <v>183</v>
      </c>
      <c r="D1251" s="137"/>
      <c r="E1251" s="137"/>
    </row>
    <row r="1252" spans="2:5" x14ac:dyDescent="0.2">
      <c r="B1252" s="42"/>
      <c r="C1252" s="137" t="s">
        <v>182</v>
      </c>
      <c r="D1252" s="137"/>
      <c r="E1252" s="137"/>
    </row>
    <row r="1253" spans="2:5" x14ac:dyDescent="0.2">
      <c r="B1253" s="41" t="s">
        <v>17</v>
      </c>
      <c r="C1253" s="90"/>
      <c r="D1253" s="90"/>
      <c r="E1253" s="91"/>
    </row>
    <row r="1254" spans="2:5" x14ac:dyDescent="0.2">
      <c r="B1254" s="42"/>
      <c r="C1254" s="136" t="s">
        <v>65</v>
      </c>
      <c r="D1254" s="136"/>
      <c r="E1254" s="136"/>
    </row>
    <row r="1255" spans="2:5" x14ac:dyDescent="0.2">
      <c r="B1255" s="41" t="s">
        <v>18</v>
      </c>
      <c r="C1255" s="92"/>
      <c r="D1255" s="92"/>
      <c r="E1255" s="93"/>
    </row>
    <row r="1256" spans="2:5" x14ac:dyDescent="0.2">
      <c r="B1256" s="42"/>
      <c r="C1256" s="138" t="s">
        <v>66</v>
      </c>
      <c r="D1256" s="138"/>
      <c r="E1256" s="138"/>
    </row>
    <row r="1257" spans="2:5" x14ac:dyDescent="0.2">
      <c r="B1257" s="41" t="s">
        <v>19</v>
      </c>
      <c r="C1257" s="90"/>
      <c r="D1257" s="90"/>
      <c r="E1257" s="91"/>
    </row>
    <row r="1258" spans="2:5" x14ac:dyDescent="0.2">
      <c r="B1258" s="41"/>
      <c r="C1258" s="139" t="s">
        <v>58</v>
      </c>
      <c r="D1258" s="139"/>
      <c r="E1258" s="139"/>
    </row>
    <row r="1259" spans="2:5" ht="13.5" thickBot="1" x14ac:dyDescent="0.25">
      <c r="B1259" s="43"/>
      <c r="C1259" s="94"/>
      <c r="D1259" s="94"/>
      <c r="E1259" s="95"/>
    </row>
    <row r="1260" spans="2:5" ht="13.5" thickBot="1" x14ac:dyDescent="0.25">
      <c r="C1260" s="96"/>
      <c r="D1260" s="96"/>
      <c r="E1260" s="96"/>
    </row>
    <row r="1261" spans="2:5" x14ac:dyDescent="0.2">
      <c r="B1261" s="35" t="s">
        <v>282</v>
      </c>
      <c r="C1261" s="97"/>
      <c r="D1261" s="97"/>
      <c r="E1261" s="98"/>
    </row>
    <row r="1262" spans="2:5" x14ac:dyDescent="0.2">
      <c r="B1262" s="38"/>
      <c r="C1262" s="88"/>
      <c r="D1262" s="88"/>
      <c r="E1262" s="89"/>
    </row>
    <row r="1263" spans="2:5" x14ac:dyDescent="0.2">
      <c r="B1263" s="41" t="s">
        <v>15</v>
      </c>
      <c r="C1263" s="88"/>
      <c r="D1263" s="88"/>
      <c r="E1263" s="89"/>
    </row>
    <row r="1264" spans="2:5" x14ac:dyDescent="0.2">
      <c r="B1264" s="41"/>
      <c r="C1264" s="135"/>
      <c r="D1264" s="135"/>
      <c r="E1264" s="136"/>
    </row>
    <row r="1265" spans="2:5" x14ac:dyDescent="0.2">
      <c r="B1265" s="41" t="s">
        <v>16</v>
      </c>
      <c r="C1265" s="88"/>
      <c r="D1265" s="88"/>
      <c r="E1265" s="89"/>
    </row>
    <row r="1266" spans="2:5" x14ac:dyDescent="0.2">
      <c r="B1266" s="42"/>
      <c r="C1266" s="137" t="s">
        <v>183</v>
      </c>
      <c r="D1266" s="137"/>
      <c r="E1266" s="137"/>
    </row>
    <row r="1267" spans="2:5" x14ac:dyDescent="0.2">
      <c r="B1267" s="42"/>
      <c r="C1267" s="137" t="s">
        <v>182</v>
      </c>
      <c r="D1267" s="137"/>
      <c r="E1267" s="137"/>
    </row>
    <row r="1268" spans="2:5" x14ac:dyDescent="0.2">
      <c r="B1268" s="41" t="s">
        <v>17</v>
      </c>
      <c r="C1268" s="90"/>
      <c r="D1268" s="90"/>
      <c r="E1268" s="91"/>
    </row>
    <row r="1269" spans="2:5" x14ac:dyDescent="0.2">
      <c r="B1269" s="42"/>
      <c r="C1269" s="136" t="s">
        <v>65</v>
      </c>
      <c r="D1269" s="136"/>
      <c r="E1269" s="136"/>
    </row>
    <row r="1270" spans="2:5" x14ac:dyDescent="0.2">
      <c r="B1270" s="41" t="s">
        <v>18</v>
      </c>
      <c r="C1270" s="92"/>
      <c r="D1270" s="92"/>
      <c r="E1270" s="93"/>
    </row>
    <row r="1271" spans="2:5" x14ac:dyDescent="0.2">
      <c r="B1271" s="42"/>
      <c r="C1271" s="138" t="s">
        <v>66</v>
      </c>
      <c r="D1271" s="138"/>
      <c r="E1271" s="138"/>
    </row>
    <row r="1272" spans="2:5" x14ac:dyDescent="0.2">
      <c r="B1272" s="41" t="s">
        <v>19</v>
      </c>
      <c r="C1272" s="90"/>
      <c r="D1272" s="90"/>
      <c r="E1272" s="91"/>
    </row>
    <row r="1273" spans="2:5" x14ac:dyDescent="0.2">
      <c r="B1273" s="41"/>
      <c r="C1273" s="139" t="s">
        <v>58</v>
      </c>
      <c r="D1273" s="139"/>
      <c r="E1273" s="139"/>
    </row>
    <row r="1274" spans="2:5" ht="13.5" thickBot="1" x14ac:dyDescent="0.25">
      <c r="B1274" s="43"/>
      <c r="C1274" s="94"/>
      <c r="D1274" s="94"/>
      <c r="E1274" s="95"/>
    </row>
    <row r="1275" spans="2:5" ht="13.5" thickBot="1" x14ac:dyDescent="0.25">
      <c r="C1275" s="96"/>
      <c r="D1275" s="96"/>
      <c r="E1275" s="96"/>
    </row>
    <row r="1276" spans="2:5" x14ac:dyDescent="0.2">
      <c r="B1276" s="35" t="s">
        <v>283</v>
      </c>
      <c r="C1276" s="97"/>
      <c r="D1276" s="97"/>
      <c r="E1276" s="98"/>
    </row>
    <row r="1277" spans="2:5" x14ac:dyDescent="0.2">
      <c r="B1277" s="38"/>
      <c r="C1277" s="88"/>
      <c r="D1277" s="88"/>
      <c r="E1277" s="89"/>
    </row>
    <row r="1278" spans="2:5" x14ac:dyDescent="0.2">
      <c r="B1278" s="41" t="s">
        <v>15</v>
      </c>
      <c r="C1278" s="88"/>
      <c r="D1278" s="88"/>
      <c r="E1278" s="89"/>
    </row>
    <row r="1279" spans="2:5" x14ac:dyDescent="0.2">
      <c r="B1279" s="41"/>
      <c r="C1279" s="135"/>
      <c r="D1279" s="135"/>
      <c r="E1279" s="136"/>
    </row>
    <row r="1280" spans="2:5" x14ac:dyDescent="0.2">
      <c r="B1280" s="41" t="s">
        <v>16</v>
      </c>
      <c r="C1280" s="88"/>
      <c r="D1280" s="88"/>
      <c r="E1280" s="89"/>
    </row>
    <row r="1281" spans="2:5" x14ac:dyDescent="0.2">
      <c r="B1281" s="42"/>
      <c r="C1281" s="137" t="s">
        <v>183</v>
      </c>
      <c r="D1281" s="137"/>
      <c r="E1281" s="137"/>
    </row>
    <row r="1282" spans="2:5" x14ac:dyDescent="0.2">
      <c r="B1282" s="42"/>
      <c r="C1282" s="137" t="s">
        <v>182</v>
      </c>
      <c r="D1282" s="137"/>
      <c r="E1282" s="137"/>
    </row>
    <row r="1283" spans="2:5" x14ac:dyDescent="0.2">
      <c r="B1283" s="41" t="s">
        <v>17</v>
      </c>
      <c r="C1283" s="90"/>
      <c r="D1283" s="90"/>
      <c r="E1283" s="91"/>
    </row>
    <row r="1284" spans="2:5" x14ac:dyDescent="0.2">
      <c r="B1284" s="42"/>
      <c r="C1284" s="136" t="s">
        <v>65</v>
      </c>
      <c r="D1284" s="136"/>
      <c r="E1284" s="136"/>
    </row>
    <row r="1285" spans="2:5" x14ac:dyDescent="0.2">
      <c r="B1285" s="41" t="s">
        <v>18</v>
      </c>
      <c r="C1285" s="92"/>
      <c r="D1285" s="92"/>
      <c r="E1285" s="93"/>
    </row>
    <row r="1286" spans="2:5" x14ac:dyDescent="0.2">
      <c r="B1286" s="42"/>
      <c r="C1286" s="138" t="s">
        <v>66</v>
      </c>
      <c r="D1286" s="138"/>
      <c r="E1286" s="138"/>
    </row>
    <row r="1287" spans="2:5" x14ac:dyDescent="0.2">
      <c r="B1287" s="41" t="s">
        <v>19</v>
      </c>
      <c r="C1287" s="90"/>
      <c r="D1287" s="90"/>
      <c r="E1287" s="91"/>
    </row>
    <row r="1288" spans="2:5" x14ac:dyDescent="0.2">
      <c r="B1288" s="41"/>
      <c r="C1288" s="139" t="s">
        <v>58</v>
      </c>
      <c r="D1288" s="139"/>
      <c r="E1288" s="139"/>
    </row>
    <row r="1289" spans="2:5" ht="13.5" thickBot="1" x14ac:dyDescent="0.25">
      <c r="B1289" s="43"/>
      <c r="C1289" s="94"/>
      <c r="D1289" s="94"/>
      <c r="E1289" s="95"/>
    </row>
    <row r="1290" spans="2:5" x14ac:dyDescent="0.2">
      <c r="C1290" s="96"/>
      <c r="D1290" s="96"/>
      <c r="E1290" s="96"/>
    </row>
  </sheetData>
  <mergeCells count="493">
    <mergeCell ref="C1284:E1284"/>
    <mergeCell ref="C1286:E1286"/>
    <mergeCell ref="C1288:E1288"/>
    <mergeCell ref="C1264:E1264"/>
    <mergeCell ref="C1266:E1266"/>
    <mergeCell ref="C1267:E1267"/>
    <mergeCell ref="C1269:E1269"/>
    <mergeCell ref="C1271:E1271"/>
    <mergeCell ref="C1273:E1273"/>
    <mergeCell ref="C1279:E1279"/>
    <mergeCell ref="C1281:E1281"/>
    <mergeCell ref="C1282:E1282"/>
    <mergeCell ref="C1239:E1239"/>
    <mergeCell ref="C1241:E1241"/>
    <mergeCell ref="C1243:E1243"/>
    <mergeCell ref="C1249:E1249"/>
    <mergeCell ref="C1251:E1251"/>
    <mergeCell ref="C1252:E1252"/>
    <mergeCell ref="C1254:E1254"/>
    <mergeCell ref="C1256:E1256"/>
    <mergeCell ref="C1258:E1258"/>
    <mergeCell ref="C1219:E1219"/>
    <mergeCell ref="C1221:E1221"/>
    <mergeCell ref="C1222:E1222"/>
    <mergeCell ref="C1224:E1224"/>
    <mergeCell ref="C1226:E1226"/>
    <mergeCell ref="C1228:E1228"/>
    <mergeCell ref="C1234:E1234"/>
    <mergeCell ref="C1236:E1236"/>
    <mergeCell ref="C1237:E1237"/>
    <mergeCell ref="C1039:E1039"/>
    <mergeCell ref="C1041:E1041"/>
    <mergeCell ref="C1042:E1042"/>
    <mergeCell ref="C1044:E1044"/>
    <mergeCell ref="C1046:E1046"/>
    <mergeCell ref="C1048:E1048"/>
    <mergeCell ref="C934:E934"/>
    <mergeCell ref="C936:E936"/>
    <mergeCell ref="C937:E937"/>
    <mergeCell ref="C939:E939"/>
    <mergeCell ref="C941:E941"/>
    <mergeCell ref="C943:E943"/>
    <mergeCell ref="C949:E949"/>
    <mergeCell ref="C951:E951"/>
    <mergeCell ref="C952:E952"/>
    <mergeCell ref="C954:E954"/>
    <mergeCell ref="C956:E956"/>
    <mergeCell ref="C958:E958"/>
    <mergeCell ref="C964:E964"/>
    <mergeCell ref="C966:E966"/>
    <mergeCell ref="C967:E967"/>
    <mergeCell ref="C994:E994"/>
    <mergeCell ref="C996:E996"/>
    <mergeCell ref="C997:E997"/>
    <mergeCell ref="C924:E924"/>
    <mergeCell ref="C926:E926"/>
    <mergeCell ref="C928:E928"/>
    <mergeCell ref="C904:E904"/>
    <mergeCell ref="C906:E906"/>
    <mergeCell ref="C907:E907"/>
    <mergeCell ref="C909:E909"/>
    <mergeCell ref="C911:E911"/>
    <mergeCell ref="C913:E913"/>
    <mergeCell ref="C919:E919"/>
    <mergeCell ref="C921:E921"/>
    <mergeCell ref="C922:E922"/>
    <mergeCell ref="C879:E879"/>
    <mergeCell ref="C881:E881"/>
    <mergeCell ref="C883:E883"/>
    <mergeCell ref="C889:E889"/>
    <mergeCell ref="C891:E891"/>
    <mergeCell ref="C892:E892"/>
    <mergeCell ref="C894:E894"/>
    <mergeCell ref="C896:E896"/>
    <mergeCell ref="C898:E898"/>
    <mergeCell ref="C859:E859"/>
    <mergeCell ref="C861:E861"/>
    <mergeCell ref="C862:E862"/>
    <mergeCell ref="C864:E864"/>
    <mergeCell ref="C866:E866"/>
    <mergeCell ref="C868:E868"/>
    <mergeCell ref="C874:E874"/>
    <mergeCell ref="C876:E876"/>
    <mergeCell ref="C877:E877"/>
    <mergeCell ref="C799:E799"/>
    <mergeCell ref="C801:E801"/>
    <mergeCell ref="C802:E802"/>
    <mergeCell ref="C804:E804"/>
    <mergeCell ref="C806:E806"/>
    <mergeCell ref="C808:E808"/>
    <mergeCell ref="C834:E834"/>
    <mergeCell ref="C836:E836"/>
    <mergeCell ref="C838:E838"/>
    <mergeCell ref="C814:E814"/>
    <mergeCell ref="C816:E816"/>
    <mergeCell ref="C817:E817"/>
    <mergeCell ref="C819:E819"/>
    <mergeCell ref="C821:E821"/>
    <mergeCell ref="C823:E823"/>
    <mergeCell ref="C829:E829"/>
    <mergeCell ref="C831:E831"/>
    <mergeCell ref="C832:E832"/>
    <mergeCell ref="C774:E774"/>
    <mergeCell ref="C776:E776"/>
    <mergeCell ref="C778:E778"/>
    <mergeCell ref="C784:E784"/>
    <mergeCell ref="C786:E786"/>
    <mergeCell ref="C787:E787"/>
    <mergeCell ref="C789:E789"/>
    <mergeCell ref="C791:E791"/>
    <mergeCell ref="C793:E793"/>
    <mergeCell ref="C754:E754"/>
    <mergeCell ref="C756:E756"/>
    <mergeCell ref="C757:E757"/>
    <mergeCell ref="C759:E759"/>
    <mergeCell ref="C761:E761"/>
    <mergeCell ref="C763:E763"/>
    <mergeCell ref="C769:E769"/>
    <mergeCell ref="C771:E771"/>
    <mergeCell ref="C772:E772"/>
    <mergeCell ref="C729:E729"/>
    <mergeCell ref="C731:E731"/>
    <mergeCell ref="C733:E733"/>
    <mergeCell ref="C739:E739"/>
    <mergeCell ref="C741:E741"/>
    <mergeCell ref="C742:E742"/>
    <mergeCell ref="C744:E744"/>
    <mergeCell ref="C746:E746"/>
    <mergeCell ref="C748:E748"/>
    <mergeCell ref="C709:E709"/>
    <mergeCell ref="C711:E711"/>
    <mergeCell ref="C712:E712"/>
    <mergeCell ref="C714:E714"/>
    <mergeCell ref="C716:E716"/>
    <mergeCell ref="C718:E718"/>
    <mergeCell ref="C724:E724"/>
    <mergeCell ref="C726:E726"/>
    <mergeCell ref="C727:E727"/>
    <mergeCell ref="C330:E330"/>
    <mergeCell ref="C317:E317"/>
    <mergeCell ref="C319:E319"/>
    <mergeCell ref="C321:E321"/>
    <mergeCell ref="C327:E327"/>
    <mergeCell ref="C329:E329"/>
    <mergeCell ref="C332:E332"/>
    <mergeCell ref="C334:E334"/>
    <mergeCell ref="C336:E336"/>
    <mergeCell ref="C315:E315"/>
    <mergeCell ref="C300:E300"/>
    <mergeCell ref="C291:E291"/>
    <mergeCell ref="C297:E297"/>
    <mergeCell ref="C299:E299"/>
    <mergeCell ref="C302:E302"/>
    <mergeCell ref="C304:E304"/>
    <mergeCell ref="C306:E306"/>
    <mergeCell ref="C312:E312"/>
    <mergeCell ref="C314:E314"/>
    <mergeCell ref="C255:E255"/>
    <mergeCell ref="C242:E242"/>
    <mergeCell ref="C244:E244"/>
    <mergeCell ref="C246:E246"/>
    <mergeCell ref="C252:E252"/>
    <mergeCell ref="C254:E254"/>
    <mergeCell ref="C257:E257"/>
    <mergeCell ref="C259:E259"/>
    <mergeCell ref="C261:E261"/>
    <mergeCell ref="C182:E182"/>
    <mergeCell ref="C184:E184"/>
    <mergeCell ref="C186:E186"/>
    <mergeCell ref="C210:E210"/>
    <mergeCell ref="C195:E195"/>
    <mergeCell ref="C240:E240"/>
    <mergeCell ref="C225:E225"/>
    <mergeCell ref="C216:E216"/>
    <mergeCell ref="C222:E222"/>
    <mergeCell ref="C224:E224"/>
    <mergeCell ref="C227:E227"/>
    <mergeCell ref="C229:E229"/>
    <mergeCell ref="C231:E231"/>
    <mergeCell ref="C237:E237"/>
    <mergeCell ref="C239:E239"/>
    <mergeCell ref="C192:E192"/>
    <mergeCell ref="C194:E194"/>
    <mergeCell ref="C197:E197"/>
    <mergeCell ref="C199:E199"/>
    <mergeCell ref="C201:E201"/>
    <mergeCell ref="C207:E207"/>
    <mergeCell ref="C209:E209"/>
    <mergeCell ref="C212:E212"/>
    <mergeCell ref="C214:E214"/>
    <mergeCell ref="C137:E137"/>
    <mergeCell ref="C165:E165"/>
    <mergeCell ref="C150:E150"/>
    <mergeCell ref="C180:E180"/>
    <mergeCell ref="C167:E167"/>
    <mergeCell ref="C169:E169"/>
    <mergeCell ref="C171:E171"/>
    <mergeCell ref="C177:E177"/>
    <mergeCell ref="C179:E179"/>
    <mergeCell ref="C139:E139"/>
    <mergeCell ref="C141:E141"/>
    <mergeCell ref="C147:E147"/>
    <mergeCell ref="C149:E149"/>
    <mergeCell ref="C152:E152"/>
    <mergeCell ref="C154:E154"/>
    <mergeCell ref="C156:E156"/>
    <mergeCell ref="C162:E162"/>
    <mergeCell ref="C164:E164"/>
    <mergeCell ref="C108:E108"/>
    <mergeCell ref="C89:E89"/>
    <mergeCell ref="C91:E91"/>
    <mergeCell ref="C93:E93"/>
    <mergeCell ref="C95:E95"/>
    <mergeCell ref="C135:E135"/>
    <mergeCell ref="C120:E120"/>
    <mergeCell ref="C126:E126"/>
    <mergeCell ref="C132:E132"/>
    <mergeCell ref="C134:E134"/>
    <mergeCell ref="B2:H2"/>
    <mergeCell ref="A4:B4"/>
    <mergeCell ref="C4:E4"/>
    <mergeCell ref="A5:B5"/>
    <mergeCell ref="C5:E5"/>
    <mergeCell ref="C117:E117"/>
    <mergeCell ref="C119:E119"/>
    <mergeCell ref="C122:E122"/>
    <mergeCell ref="C124:E124"/>
    <mergeCell ref="C76:E76"/>
    <mergeCell ref="C78:E78"/>
    <mergeCell ref="C80:E80"/>
    <mergeCell ref="C86:E86"/>
    <mergeCell ref="C88:E88"/>
    <mergeCell ref="A6:B6"/>
    <mergeCell ref="A7:B7"/>
    <mergeCell ref="C71:E71"/>
    <mergeCell ref="C73:E73"/>
    <mergeCell ref="C74:E74"/>
    <mergeCell ref="C110:E110"/>
    <mergeCell ref="C101:E101"/>
    <mergeCell ref="C103:E103"/>
    <mergeCell ref="C104:E104"/>
    <mergeCell ref="C106:E106"/>
    <mergeCell ref="C267:E267"/>
    <mergeCell ref="C269:E269"/>
    <mergeCell ref="C272:E272"/>
    <mergeCell ref="C274:E274"/>
    <mergeCell ref="C276:E276"/>
    <mergeCell ref="C282:E282"/>
    <mergeCell ref="C284:E284"/>
    <mergeCell ref="C287:E287"/>
    <mergeCell ref="C289:E289"/>
    <mergeCell ref="C285:E285"/>
    <mergeCell ref="C270:E270"/>
    <mergeCell ref="C342:E342"/>
    <mergeCell ref="C344:E344"/>
    <mergeCell ref="C345:E345"/>
    <mergeCell ref="C347:E347"/>
    <mergeCell ref="C349:E349"/>
    <mergeCell ref="C351:E351"/>
    <mergeCell ref="C357:E357"/>
    <mergeCell ref="C359:E359"/>
    <mergeCell ref="C360:E360"/>
    <mergeCell ref="C362:E362"/>
    <mergeCell ref="C364:E364"/>
    <mergeCell ref="C366:E366"/>
    <mergeCell ref="C372:E372"/>
    <mergeCell ref="C374:E374"/>
    <mergeCell ref="C375:E375"/>
    <mergeCell ref="C377:E377"/>
    <mergeCell ref="C379:E379"/>
    <mergeCell ref="C381:E381"/>
    <mergeCell ref="C387:E387"/>
    <mergeCell ref="C389:E389"/>
    <mergeCell ref="C390:E390"/>
    <mergeCell ref="C392:E392"/>
    <mergeCell ref="C394:E394"/>
    <mergeCell ref="C396:E396"/>
    <mergeCell ref="C402:E402"/>
    <mergeCell ref="C404:E404"/>
    <mergeCell ref="C405:E405"/>
    <mergeCell ref="C407:E407"/>
    <mergeCell ref="C409:E409"/>
    <mergeCell ref="C411:E411"/>
    <mergeCell ref="C417:E417"/>
    <mergeCell ref="C419:E419"/>
    <mergeCell ref="C420:E420"/>
    <mergeCell ref="C422:E422"/>
    <mergeCell ref="C424:E424"/>
    <mergeCell ref="C426:E426"/>
    <mergeCell ref="C432:E432"/>
    <mergeCell ref="C434:E434"/>
    <mergeCell ref="C435:E435"/>
    <mergeCell ref="C437:E437"/>
    <mergeCell ref="C439:E439"/>
    <mergeCell ref="C441:E441"/>
    <mergeCell ref="C449:E449"/>
    <mergeCell ref="C451:E451"/>
    <mergeCell ref="C452:E452"/>
    <mergeCell ref="C454:E454"/>
    <mergeCell ref="C456:E456"/>
    <mergeCell ref="C458:E458"/>
    <mergeCell ref="C466:E466"/>
    <mergeCell ref="C468:E468"/>
    <mergeCell ref="C469:E469"/>
    <mergeCell ref="C471:E471"/>
    <mergeCell ref="C473:E473"/>
    <mergeCell ref="C475:E475"/>
    <mergeCell ref="C481:E481"/>
    <mergeCell ref="C483:E483"/>
    <mergeCell ref="C484:E484"/>
    <mergeCell ref="C486:E486"/>
    <mergeCell ref="C488:E488"/>
    <mergeCell ref="C490:E490"/>
    <mergeCell ref="C497:E497"/>
    <mergeCell ref="C499:E499"/>
    <mergeCell ref="C500:E500"/>
    <mergeCell ref="C502:E502"/>
    <mergeCell ref="C504:E504"/>
    <mergeCell ref="C506:E506"/>
    <mergeCell ref="C512:E512"/>
    <mergeCell ref="C514:E514"/>
    <mergeCell ref="C515:E515"/>
    <mergeCell ref="C517:E517"/>
    <mergeCell ref="C519:E519"/>
    <mergeCell ref="C521:E521"/>
    <mergeCell ref="C527:E527"/>
    <mergeCell ref="C529:E529"/>
    <mergeCell ref="C530:E530"/>
    <mergeCell ref="C532:E532"/>
    <mergeCell ref="C534:E534"/>
    <mergeCell ref="C536:E536"/>
    <mergeCell ref="C542:E542"/>
    <mergeCell ref="C544:E544"/>
    <mergeCell ref="C545:E545"/>
    <mergeCell ref="C547:E547"/>
    <mergeCell ref="C549:E549"/>
    <mergeCell ref="C551:E551"/>
    <mergeCell ref="C557:E557"/>
    <mergeCell ref="C559:E559"/>
    <mergeCell ref="C560:E560"/>
    <mergeCell ref="C562:E562"/>
    <mergeCell ref="C564:E564"/>
    <mergeCell ref="C566:E566"/>
    <mergeCell ref="C572:E572"/>
    <mergeCell ref="C574:E574"/>
    <mergeCell ref="C575:E575"/>
    <mergeCell ref="C577:E577"/>
    <mergeCell ref="C579:E579"/>
    <mergeCell ref="C581:E581"/>
    <mergeCell ref="C587:E587"/>
    <mergeCell ref="C589:E589"/>
    <mergeCell ref="C590:E590"/>
    <mergeCell ref="C592:E592"/>
    <mergeCell ref="C594:E594"/>
    <mergeCell ref="C596:E596"/>
    <mergeCell ref="C602:E602"/>
    <mergeCell ref="C604:E604"/>
    <mergeCell ref="C605:E605"/>
    <mergeCell ref="C607:E607"/>
    <mergeCell ref="C609:E609"/>
    <mergeCell ref="C611:E611"/>
    <mergeCell ref="C617:E617"/>
    <mergeCell ref="C619:E619"/>
    <mergeCell ref="C620:E620"/>
    <mergeCell ref="C622:E622"/>
    <mergeCell ref="C624:E624"/>
    <mergeCell ref="C626:E626"/>
    <mergeCell ref="C633:E633"/>
    <mergeCell ref="C635:E635"/>
    <mergeCell ref="C636:E636"/>
    <mergeCell ref="C638:E638"/>
    <mergeCell ref="C640:E640"/>
    <mergeCell ref="C642:E642"/>
    <mergeCell ref="C649:E649"/>
    <mergeCell ref="C651:E651"/>
    <mergeCell ref="C652:E652"/>
    <mergeCell ref="C654:E654"/>
    <mergeCell ref="C656:E656"/>
    <mergeCell ref="C658:E658"/>
    <mergeCell ref="C844:E844"/>
    <mergeCell ref="C846:E846"/>
    <mergeCell ref="C847:E847"/>
    <mergeCell ref="C849:E849"/>
    <mergeCell ref="C851:E851"/>
    <mergeCell ref="C853:E853"/>
    <mergeCell ref="C664:E664"/>
    <mergeCell ref="C666:E666"/>
    <mergeCell ref="C667:E667"/>
    <mergeCell ref="C669:E669"/>
    <mergeCell ref="C671:E671"/>
    <mergeCell ref="C673:E673"/>
    <mergeCell ref="C679:E679"/>
    <mergeCell ref="C681:E681"/>
    <mergeCell ref="C682:E682"/>
    <mergeCell ref="C684:E684"/>
    <mergeCell ref="C686:E686"/>
    <mergeCell ref="C688:E688"/>
    <mergeCell ref="C694:E694"/>
    <mergeCell ref="C696:E696"/>
    <mergeCell ref="C697:E697"/>
    <mergeCell ref="C699:E699"/>
    <mergeCell ref="C701:E701"/>
    <mergeCell ref="C703:E703"/>
    <mergeCell ref="C999:E999"/>
    <mergeCell ref="C1001:E1001"/>
    <mergeCell ref="C1003:E1003"/>
    <mergeCell ref="C969:E969"/>
    <mergeCell ref="C971:E971"/>
    <mergeCell ref="C973:E973"/>
    <mergeCell ref="C979:E979"/>
    <mergeCell ref="C981:E981"/>
    <mergeCell ref="C982:E982"/>
    <mergeCell ref="C984:E984"/>
    <mergeCell ref="C986:E986"/>
    <mergeCell ref="C988:E988"/>
    <mergeCell ref="C1029:E1029"/>
    <mergeCell ref="C1031:E1031"/>
    <mergeCell ref="C1033:E1033"/>
    <mergeCell ref="C1009:E1009"/>
    <mergeCell ref="C1011:E1011"/>
    <mergeCell ref="C1012:E1012"/>
    <mergeCell ref="C1014:E1014"/>
    <mergeCell ref="C1016:E1016"/>
    <mergeCell ref="C1018:E1018"/>
    <mergeCell ref="C1024:E1024"/>
    <mergeCell ref="C1026:E1026"/>
    <mergeCell ref="C1027:E1027"/>
    <mergeCell ref="C1054:E1054"/>
    <mergeCell ref="C1056:E1056"/>
    <mergeCell ref="C1057:E1057"/>
    <mergeCell ref="C1059:E1059"/>
    <mergeCell ref="C1061:E1061"/>
    <mergeCell ref="C1063:E1063"/>
    <mergeCell ref="C1069:E1069"/>
    <mergeCell ref="C1071:E1071"/>
    <mergeCell ref="C1072:E1072"/>
    <mergeCell ref="C1074:E1074"/>
    <mergeCell ref="C1076:E1076"/>
    <mergeCell ref="C1078:E1078"/>
    <mergeCell ref="C1084:E1084"/>
    <mergeCell ref="C1086:E1086"/>
    <mergeCell ref="C1087:E1087"/>
    <mergeCell ref="C1089:E1089"/>
    <mergeCell ref="C1091:E1091"/>
    <mergeCell ref="C1093:E1093"/>
    <mergeCell ref="C1099:E1099"/>
    <mergeCell ref="C1101:E1101"/>
    <mergeCell ref="C1102:E1102"/>
    <mergeCell ref="C1104:E1104"/>
    <mergeCell ref="C1106:E1106"/>
    <mergeCell ref="C1108:E1108"/>
    <mergeCell ref="C1114:E1114"/>
    <mergeCell ref="C1116:E1116"/>
    <mergeCell ref="C1117:E1117"/>
    <mergeCell ref="C1119:E1119"/>
    <mergeCell ref="C1121:E1121"/>
    <mergeCell ref="C1123:E1123"/>
    <mergeCell ref="C1129:E1129"/>
    <mergeCell ref="C1131:E1131"/>
    <mergeCell ref="C1132:E1132"/>
    <mergeCell ref="C1134:E1134"/>
    <mergeCell ref="C1136:E1136"/>
    <mergeCell ref="C1138:E1138"/>
    <mergeCell ref="C1144:E1144"/>
    <mergeCell ref="C1146:E1146"/>
    <mergeCell ref="C1147:E1147"/>
    <mergeCell ref="C1149:E1149"/>
    <mergeCell ref="C1151:E1151"/>
    <mergeCell ref="C1153:E1153"/>
    <mergeCell ref="C1159:E1159"/>
    <mergeCell ref="C1161:E1161"/>
    <mergeCell ref="C1162:E1162"/>
    <mergeCell ref="C1164:E1164"/>
    <mergeCell ref="C1166:E1166"/>
    <mergeCell ref="C1168:E1168"/>
    <mergeCell ref="C1174:E1174"/>
    <mergeCell ref="C1176:E1176"/>
    <mergeCell ref="C1177:E1177"/>
    <mergeCell ref="C1179:E1179"/>
    <mergeCell ref="C1181:E1181"/>
    <mergeCell ref="C1183:E1183"/>
    <mergeCell ref="C1204:E1204"/>
    <mergeCell ref="C1206:E1206"/>
    <mergeCell ref="C1207:E1207"/>
    <mergeCell ref="C1209:E1209"/>
    <mergeCell ref="C1211:E1211"/>
    <mergeCell ref="C1213:E1213"/>
    <mergeCell ref="C1189:E1189"/>
    <mergeCell ref="C1191:E1191"/>
    <mergeCell ref="C1192:E1192"/>
    <mergeCell ref="C1194:E1194"/>
    <mergeCell ref="C1196:E1196"/>
    <mergeCell ref="C1198:E1198"/>
  </mergeCells>
  <phoneticPr fontId="27" type="noConversion"/>
  <pageMargins left="0" right="0" top="0" bottom="0" header="0.51181102362204722" footer="0.51181102362204722"/>
  <pageSetup paperSize="5" scale="5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8"/>
  <sheetViews>
    <sheetView topLeftCell="A58" zoomScaleNormal="100" workbookViewId="0">
      <selection activeCell="C51" sqref="C51:G5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21.5703125" style="2" customWidth="1"/>
    <col min="16" max="1024" width="9.140625" style="2"/>
  </cols>
  <sheetData>
    <row r="1" spans="1:15" ht="18" customHeight="1" x14ac:dyDescent="0.2">
      <c r="A1" s="145" t="s">
        <v>20</v>
      </c>
      <c r="B1" s="145"/>
      <c r="C1" s="145"/>
      <c r="D1" s="145"/>
      <c r="E1" s="145"/>
      <c r="F1" s="145"/>
      <c r="G1" s="145"/>
      <c r="H1" s="145"/>
      <c r="I1" s="145"/>
      <c r="J1" s="74" t="s">
        <v>21</v>
      </c>
      <c r="K1" s="75" t="s">
        <v>291</v>
      </c>
    </row>
    <row r="2" spans="1:15" ht="18.75" customHeight="1" thickBot="1" x14ac:dyDescent="0.25">
      <c r="A2" s="76"/>
      <c r="B2" s="76"/>
      <c r="C2" s="76"/>
      <c r="D2" s="77"/>
      <c r="E2" s="77"/>
      <c r="F2" s="77"/>
      <c r="G2" s="77"/>
      <c r="H2" s="77"/>
      <c r="I2" s="77"/>
      <c r="J2" s="77"/>
      <c r="K2" s="77"/>
    </row>
    <row r="3" spans="1:15" ht="18.75" customHeight="1" thickBot="1" x14ac:dyDescent="0.25">
      <c r="A3" s="146" t="s">
        <v>54</v>
      </c>
      <c r="B3" s="146"/>
      <c r="C3" s="146"/>
      <c r="D3" s="147" t="str">
        <f>'Necesidades Trimestrales'!C4</f>
        <v xml:space="preserve">45- Ministerio de Desarrollo Social </v>
      </c>
      <c r="E3" s="147"/>
      <c r="F3" s="147"/>
      <c r="G3" s="147"/>
      <c r="H3" s="147"/>
      <c r="I3" s="147"/>
      <c r="J3" s="147"/>
      <c r="K3" s="147"/>
    </row>
    <row r="4" spans="1:15" ht="18.75" customHeight="1" thickBot="1" x14ac:dyDescent="0.25">
      <c r="A4" s="148" t="s">
        <v>55</v>
      </c>
      <c r="B4" s="148"/>
      <c r="C4" s="148"/>
      <c r="D4" s="147" t="str">
        <f>'Necesidades Trimestrales'!C5</f>
        <v>25- Direccion Provincial de Gestion Administracion y RRHH</v>
      </c>
      <c r="E4" s="147"/>
      <c r="F4" s="147"/>
      <c r="G4" s="147"/>
      <c r="H4" s="147"/>
      <c r="I4" s="147"/>
      <c r="J4" s="147"/>
      <c r="K4" s="147"/>
    </row>
    <row r="5" spans="1:15" ht="18.75" customHeight="1" thickBot="1" x14ac:dyDescent="0.25">
      <c r="A5" s="148" t="s">
        <v>33</v>
      </c>
      <c r="B5" s="148"/>
      <c r="C5" s="148"/>
      <c r="D5" s="147" t="s">
        <v>292</v>
      </c>
      <c r="E5" s="147"/>
      <c r="F5" s="147"/>
      <c r="G5" s="147"/>
      <c r="H5" s="147"/>
      <c r="I5" s="147"/>
      <c r="J5" s="147"/>
      <c r="K5" s="147"/>
    </row>
    <row r="6" spans="1:15" ht="16.5" customHeight="1" thickBot="1" x14ac:dyDescent="0.25">
      <c r="A6" s="146" t="s">
        <v>56</v>
      </c>
      <c r="B6" s="146"/>
      <c r="C6" s="146"/>
      <c r="D6" s="147" t="s">
        <v>61</v>
      </c>
      <c r="E6" s="147"/>
      <c r="F6" s="147"/>
      <c r="G6" s="147"/>
      <c r="H6" s="147"/>
      <c r="I6" s="147"/>
      <c r="J6" s="147"/>
      <c r="K6" s="147"/>
    </row>
    <row r="7" spans="1:15" ht="16.5" customHeight="1" x14ac:dyDescent="0.2">
      <c r="A7" s="148" t="s">
        <v>22</v>
      </c>
      <c r="B7" s="148"/>
      <c r="C7" s="148"/>
      <c r="D7" s="147" t="str">
        <f>'Necesidades Trimestrales'!C7 &amp; "° Trimestre - Año " &amp; 'Necesidades Trimestrales'!C6</f>
        <v>2° Trimestre - Año 2022</v>
      </c>
      <c r="E7" s="147"/>
      <c r="F7" s="147"/>
      <c r="G7" s="147"/>
      <c r="H7" s="147"/>
      <c r="I7" s="147"/>
      <c r="J7" s="147"/>
      <c r="K7" s="147"/>
    </row>
    <row r="8" spans="1:15" ht="24" customHeight="1" x14ac:dyDescent="0.2">
      <c r="A8" s="149" t="s">
        <v>23</v>
      </c>
      <c r="B8" s="149"/>
      <c r="C8" s="149"/>
      <c r="D8" s="150" t="s">
        <v>303</v>
      </c>
      <c r="E8" s="150"/>
      <c r="F8" s="150"/>
      <c r="G8" s="150"/>
      <c r="H8" s="150"/>
      <c r="I8" s="150"/>
      <c r="J8" s="150"/>
      <c r="K8" s="150"/>
    </row>
    <row r="9" spans="1:15" ht="15.75" x14ac:dyDescent="0.2">
      <c r="A9" s="78"/>
      <c r="B9" s="78"/>
      <c r="C9" s="78"/>
      <c r="D9" s="79"/>
      <c r="E9" s="79"/>
      <c r="F9" s="79"/>
      <c r="G9" s="79"/>
      <c r="H9" s="79"/>
      <c r="I9" s="79"/>
      <c r="J9" s="79"/>
      <c r="K9" s="79"/>
    </row>
    <row r="10" spans="1:15" ht="18.75" customHeight="1" x14ac:dyDescent="0.2">
      <c r="A10" s="151" t="s">
        <v>24</v>
      </c>
      <c r="B10" s="152" t="s">
        <v>25</v>
      </c>
      <c r="C10" s="152" t="s">
        <v>26</v>
      </c>
      <c r="D10" s="152"/>
      <c r="E10" s="152"/>
      <c r="F10" s="152"/>
      <c r="G10" s="152"/>
      <c r="H10" s="152" t="s">
        <v>27</v>
      </c>
      <c r="I10" s="152" t="s">
        <v>28</v>
      </c>
      <c r="J10" s="152" t="s">
        <v>29</v>
      </c>
      <c r="K10" s="153" t="s">
        <v>30</v>
      </c>
    </row>
    <row r="11" spans="1:15" ht="24" customHeight="1" thickBot="1" x14ac:dyDescent="0.25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3"/>
    </row>
    <row r="12" spans="1:15" ht="32.25" customHeight="1" thickBot="1" x14ac:dyDescent="0.25">
      <c r="A12" s="80">
        <v>1</v>
      </c>
      <c r="B12" s="81" t="str">
        <f>'Necesidades Trimestrales'!B10</f>
        <v>2.9.2-1153.166</v>
      </c>
      <c r="C12" s="144" t="str">
        <f>'Necesidades Trimestrales'!E10</f>
        <v>CINTAS ADHESIVAS; TIPO: P/EMBALAR, ANCHO: 48 mm, LARGO: 40 M, MATERIAL: TRANSPARENTE, ACCESORIO: SIN</v>
      </c>
      <c r="D12" s="144"/>
      <c r="E12" s="144"/>
      <c r="F12" s="144"/>
      <c r="G12" s="144"/>
      <c r="H12" s="80" t="s">
        <v>59</v>
      </c>
      <c r="I12" s="82" t="str">
        <f>'Necesidades Trimestrales'!F10</f>
        <v>UNIDAD</v>
      </c>
      <c r="J12" s="134">
        <f>'Necesidades Trimestrales'!H10</f>
        <v>226.38</v>
      </c>
      <c r="K12" s="83">
        <f>'Necesidades Trimestrales'!G10</f>
        <v>300</v>
      </c>
      <c r="O12" s="54"/>
    </row>
    <row r="13" spans="1:15" ht="30.75" customHeight="1" thickBot="1" x14ac:dyDescent="0.25">
      <c r="A13" s="84">
        <v>2</v>
      </c>
      <c r="B13" s="81" t="str">
        <f>'Necesidades Trimestrales'!B11</f>
        <v>2.9.2-1450.2</v>
      </c>
      <c r="C13" s="144" t="str">
        <f>'Necesidades Trimestrales'!E11</f>
        <v>TINTAS P/SELLOS; ENVASE: 30 CM3, COLOR: NEGRO, TIPO DE SELLO: DE GOMA, PRESENTACION: ENVASE X 30 CM3</v>
      </c>
      <c r="D13" s="144"/>
      <c r="E13" s="144"/>
      <c r="F13" s="144"/>
      <c r="G13" s="144"/>
      <c r="H13" s="80" t="s">
        <v>59</v>
      </c>
      <c r="I13" s="82" t="str">
        <f>'Necesidades Trimestrales'!F11</f>
        <v>UNIDAD</v>
      </c>
      <c r="J13" s="134">
        <f>'Necesidades Trimestrales'!H11</f>
        <v>616</v>
      </c>
      <c r="K13" s="83">
        <f>'Necesidades Trimestrales'!G11</f>
        <v>60</v>
      </c>
      <c r="O13" s="54"/>
    </row>
    <row r="14" spans="1:15" ht="30" customHeight="1" thickBot="1" x14ac:dyDescent="0.25">
      <c r="A14" s="84">
        <v>3</v>
      </c>
      <c r="B14" s="81" t="str">
        <f>'Necesidades Trimestrales'!B12</f>
        <v>2.9.2-1611.19</v>
      </c>
      <c r="C14" s="144" t="str">
        <f>'Necesidades Trimestrales'!E12</f>
        <v>FOLIOS TRANSPARENTES; TAMAÑO: A4, PERFORACIONES: 5, MATERIAL: PLASTICO (POLIETILENO)</v>
      </c>
      <c r="D14" s="144"/>
      <c r="E14" s="144"/>
      <c r="F14" s="144"/>
      <c r="G14" s="144"/>
      <c r="H14" s="80" t="s">
        <v>59</v>
      </c>
      <c r="I14" s="82" t="str">
        <f>'Necesidades Trimestrales'!F12</f>
        <v>UNIDAD</v>
      </c>
      <c r="J14" s="134">
        <f>'Necesidades Trimestrales'!H12</f>
        <v>21</v>
      </c>
      <c r="K14" s="83">
        <f>'Necesidades Trimestrales'!G12</f>
        <v>300</v>
      </c>
      <c r="O14" s="54"/>
    </row>
    <row r="15" spans="1:15" ht="41.25" customHeight="1" thickBot="1" x14ac:dyDescent="0.25">
      <c r="A15" s="84">
        <v>4</v>
      </c>
      <c r="B15" s="81" t="str">
        <f>'Necesidades Trimestrales'!B13</f>
        <v>2.9.2-1611.18</v>
      </c>
      <c r="C15" s="144" t="str">
        <f>'Necesidades Trimestrales'!E13</f>
        <v>FOLIOS TRANSPARENTES; TAMAÑO: OFICIO, PERFORACIONES: 5, MATERIAL: PLASTICO (POLIETILENO)</v>
      </c>
      <c r="D15" s="144"/>
      <c r="E15" s="144"/>
      <c r="F15" s="144"/>
      <c r="G15" s="144"/>
      <c r="H15" s="80" t="s">
        <v>59</v>
      </c>
      <c r="I15" s="82" t="str">
        <f>'Necesidades Trimestrales'!F13</f>
        <v>UNIDAD</v>
      </c>
      <c r="J15" s="134">
        <f>'Necesidades Trimestrales'!H13</f>
        <v>20.3</v>
      </c>
      <c r="K15" s="83">
        <f>'Necesidades Trimestrales'!G13</f>
        <v>300</v>
      </c>
      <c r="O15" s="54"/>
    </row>
    <row r="16" spans="1:15" ht="40.5" customHeight="1" thickBot="1" x14ac:dyDescent="0.25">
      <c r="A16" s="84">
        <v>5</v>
      </c>
      <c r="B16" s="81" t="str">
        <f>'Necesidades Trimestrales'!B14</f>
        <v>2.9.2-323.4</v>
      </c>
      <c r="C16" s="144" t="str">
        <f>'Necesidades Trimestrales'!E14</f>
        <v>CORRECTORES DE ESCRITURA; CAPACIDAD: 7 mL, ENVASE: LAPIZ (PUNTA METAL), PRESENTACION: LAPIZ (PUNTA METAL) X 7 mL</v>
      </c>
      <c r="D16" s="144"/>
      <c r="E16" s="144"/>
      <c r="F16" s="144"/>
      <c r="G16" s="144"/>
      <c r="H16" s="80" t="s">
        <v>59</v>
      </c>
      <c r="I16" s="82" t="str">
        <f>'Necesidades Trimestrales'!F14</f>
        <v>UNIDAD</v>
      </c>
      <c r="J16" s="134">
        <f>'Necesidades Trimestrales'!H14</f>
        <v>204.4</v>
      </c>
      <c r="K16" s="83">
        <f>'Necesidades Trimestrales'!G14</f>
        <v>180</v>
      </c>
      <c r="O16" s="54"/>
    </row>
    <row r="17" spans="1:1024" ht="50.25" customHeight="1" thickBot="1" x14ac:dyDescent="0.25">
      <c r="A17" s="84">
        <v>6</v>
      </c>
      <c r="B17" s="81" t="str">
        <f>'Necesidades Trimestrales'!B15</f>
        <v>2.9.2-858.7</v>
      </c>
      <c r="C17" s="144" t="str">
        <f>'Necesidades Trimestrales'!E15</f>
        <v>PERFORADORAS; DIST. ENTRE AGUJ.: FIJO, N° PERFORACIONES: 2, MATERIAL ESTRUCTURA: FUNDICION HIERRO BASE MADERA, GUIA POSICION PAPEL: CON, TAMAÑO: GRANDE, MATERIAL: FUNDICION HIERRO BASE MADERA</v>
      </c>
      <c r="D17" s="144"/>
      <c r="E17" s="144"/>
      <c r="F17" s="144"/>
      <c r="G17" s="144"/>
      <c r="H17" s="80" t="s">
        <v>59</v>
      </c>
      <c r="I17" s="82" t="str">
        <f>'Necesidades Trimestrales'!F15</f>
        <v>UNIDAD</v>
      </c>
      <c r="J17" s="134">
        <f>'Necesidades Trimestrales'!H15</f>
        <v>5178.6000000000004</v>
      </c>
      <c r="K17" s="83">
        <f>'Necesidades Trimestrales'!G15</f>
        <v>20</v>
      </c>
      <c r="O17" s="54"/>
    </row>
    <row r="18" spans="1:1024" ht="45.75" customHeight="1" thickBot="1" x14ac:dyDescent="0.25">
      <c r="A18" s="84">
        <v>7</v>
      </c>
      <c r="B18" s="81" t="str">
        <f>'Necesidades Trimestrales'!B16</f>
        <v>2.3.1-6563.1077</v>
      </c>
      <c r="C18" s="144" t="str">
        <f>'Necesidades Trimestrales'!E16</f>
        <v>PAPELES EN HOJA; TIPO DE PAPEL: CARBONICO, DIMENSION: OFICIO, GRAMAJE: 30 GR/M2, PRESENTACION: ENVASE X 50 HOJAS, CERTIFICADO FORESTAL (GFS): SIN, PORC. FIBRAS RECICLADAS: 0 %, CERT. FIBRA ALTERNATIVA (FCA): SIN</v>
      </c>
      <c r="D18" s="144"/>
      <c r="E18" s="144"/>
      <c r="F18" s="144"/>
      <c r="G18" s="144"/>
      <c r="H18" s="85" t="s">
        <v>59</v>
      </c>
      <c r="I18" s="82" t="str">
        <f>'Necesidades Trimestrales'!F16</f>
        <v>UNIDAD</v>
      </c>
      <c r="J18" s="134">
        <f>'Necesidades Trimestrales'!H16</f>
        <v>5780.6</v>
      </c>
      <c r="K18" s="83">
        <f>'Necesidades Trimestrales'!G16</f>
        <v>10</v>
      </c>
      <c r="O18" s="54"/>
    </row>
    <row r="19" spans="1:1024" ht="27.75" customHeight="1" thickBot="1" x14ac:dyDescent="0.25">
      <c r="A19" s="84">
        <v>8</v>
      </c>
      <c r="B19" s="81" t="str">
        <f>'Necesidades Trimestrales'!B17</f>
        <v>2.9.2-261.4</v>
      </c>
      <c r="C19" s="144" t="str">
        <f>'Necesidades Trimestrales'!E17</f>
        <v>ABROCHADORAS DE PAPEL; TIPO: PINZA, MATERIAL: SIN VALOR, P/BROCHES: 21/6, MEDIDA: 21/6</v>
      </c>
      <c r="D19" s="144"/>
      <c r="E19" s="144"/>
      <c r="F19" s="144"/>
      <c r="G19" s="144"/>
      <c r="H19" s="85" t="s">
        <v>59</v>
      </c>
      <c r="I19" s="82" t="str">
        <f>'Necesidades Trimestrales'!F17</f>
        <v>UNIDAD</v>
      </c>
      <c r="J19" s="134">
        <f>'Necesidades Trimestrales'!H17</f>
        <v>3836</v>
      </c>
      <c r="K19" s="83">
        <f>'Necesidades Trimestrales'!G17</f>
        <v>40</v>
      </c>
      <c r="O19" s="54"/>
    </row>
    <row r="20" spans="1:1024" s="44" customFormat="1" ht="41.25" customHeight="1" thickBot="1" x14ac:dyDescent="0.25">
      <c r="A20" s="84">
        <v>9</v>
      </c>
      <c r="B20" s="81" t="str">
        <f>'Necesidades Trimestrales'!B18</f>
        <v>2.9.2-261.14</v>
      </c>
      <c r="C20" s="144" t="str">
        <f>'Necesidades Trimestrales'!E18</f>
        <v>ABROCHADORAS DE PAPEL; TIPO: PINZA, P/BROCHES: 10/50, MATERIAL: METALICA, MEDIDA: 10/50</v>
      </c>
      <c r="D20" s="144"/>
      <c r="E20" s="144"/>
      <c r="F20" s="144"/>
      <c r="G20" s="144"/>
      <c r="H20" s="85" t="s">
        <v>59</v>
      </c>
      <c r="I20" s="82" t="str">
        <f>'Necesidades Trimestrales'!F18</f>
        <v>UNIDAD</v>
      </c>
      <c r="J20" s="134">
        <f>'Necesidades Trimestrales'!H18</f>
        <v>2226</v>
      </c>
      <c r="K20" s="83">
        <f>'Necesidades Trimestrales'!G18</f>
        <v>40</v>
      </c>
      <c r="L20" s="2"/>
      <c r="M20" s="2"/>
      <c r="N20" s="2"/>
      <c r="O20" s="5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spans="1:1024" s="44" customFormat="1" ht="38.25" customHeight="1" thickBot="1" x14ac:dyDescent="0.25">
      <c r="A21" s="84">
        <v>10</v>
      </c>
      <c r="B21" s="81" t="str">
        <f>'Necesidades Trimestrales'!B19</f>
        <v>2.9.2-700.2</v>
      </c>
      <c r="C21" s="144" t="str">
        <f>'Necesidades Trimestrales'!E19</f>
        <v>BROCHES P/ABROCHADORA; NUMERO: 21/6, PRESENTACION: CAJA X 1000 UNIDADES</v>
      </c>
      <c r="D21" s="144"/>
      <c r="E21" s="144"/>
      <c r="F21" s="144"/>
      <c r="G21" s="144"/>
      <c r="H21" s="85" t="s">
        <v>59</v>
      </c>
      <c r="I21" s="82" t="str">
        <f>'Necesidades Trimestrales'!F19</f>
        <v>UNIDAD</v>
      </c>
      <c r="J21" s="134">
        <f>'Necesidades Trimestrales'!H19</f>
        <v>141.4</v>
      </c>
      <c r="K21" s="83">
        <f>'Necesidades Trimestrales'!G19</f>
        <v>400</v>
      </c>
      <c r="L21" s="2"/>
      <c r="M21" s="2"/>
      <c r="N21" s="2"/>
      <c r="O21" s="5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s="44" customFormat="1" ht="39" customHeight="1" thickBot="1" x14ac:dyDescent="0.25">
      <c r="A22" s="84">
        <v>11</v>
      </c>
      <c r="B22" s="81" t="str">
        <f>'Necesidades Trimestrales'!B20</f>
        <v>2.9.2-700.28</v>
      </c>
      <c r="C22" s="144" t="str">
        <f>'Necesidades Trimestrales'!E20</f>
        <v>BROCHES P/ABROCHADORA; NUMERO: 10/50, PRESENTACION: CAJA X 1000 UNIDADES</v>
      </c>
      <c r="D22" s="144"/>
      <c r="E22" s="144"/>
      <c r="F22" s="144"/>
      <c r="G22" s="144"/>
      <c r="H22" s="85" t="s">
        <v>59</v>
      </c>
      <c r="I22" s="82" t="str">
        <f>'Necesidades Trimestrales'!F20</f>
        <v>UNIDAD</v>
      </c>
      <c r="J22" s="134">
        <f>'Necesidades Trimestrales'!H20</f>
        <v>252</v>
      </c>
      <c r="K22" s="83">
        <f>'Necesidades Trimestrales'!G20</f>
        <v>600</v>
      </c>
      <c r="L22" s="2"/>
      <c r="M22" s="2"/>
      <c r="N22" s="2"/>
      <c r="O22" s="5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spans="1:1024" s="44" customFormat="1" ht="42" customHeight="1" thickBot="1" x14ac:dyDescent="0.25">
      <c r="A23" s="84">
        <v>12</v>
      </c>
      <c r="B23" s="81" t="str">
        <f>'Necesidades Trimestrales'!B21</f>
        <v>2.3.1-6563.1009</v>
      </c>
      <c r="C23" s="144" t="str">
        <f>'Necesidades Trimestrales'!E21</f>
        <v>PAPELES EN HOJA; TIPO DE PAPEL: BLANCO, DIMENSION: OFICIO, GRAMAJE: 80 GR, PRESENTACION: ENVASE X 500 HOJAS, CERTIFICADO FORESTAL (GFS): SIN, PORC. FIBRAS RECICLADAS: 0 %, CERT. FIBRA ALTERNATIVA (FCA): SIN</v>
      </c>
      <c r="D23" s="144"/>
      <c r="E23" s="144"/>
      <c r="F23" s="144"/>
      <c r="G23" s="144"/>
      <c r="H23" s="85" t="s">
        <v>59</v>
      </c>
      <c r="I23" s="82" t="str">
        <f>'Necesidades Trimestrales'!F21</f>
        <v>UNIDAD</v>
      </c>
      <c r="J23" s="134">
        <f>'Necesidades Trimestrales'!H21</f>
        <v>1428</v>
      </c>
      <c r="K23" s="83">
        <f>'Necesidades Trimestrales'!G21</f>
        <v>600</v>
      </c>
      <c r="L23" s="2"/>
      <c r="M23" s="2"/>
      <c r="N23" s="2"/>
      <c r="O23" s="5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spans="1:1024" s="44" customFormat="1" ht="48" customHeight="1" thickBot="1" x14ac:dyDescent="0.25">
      <c r="A24" s="84">
        <v>13</v>
      </c>
      <c r="B24" s="81" t="str">
        <f>'Necesidades Trimestrales'!B22</f>
        <v>2.3.1-6563.1105</v>
      </c>
      <c r="C24" s="144" t="str">
        <f>'Necesidades Trimestrales'!E22</f>
        <v>PAPELES EN HOJA; TIPO DE PAPEL: EXTRA BLANCO, DIMENSION: A4, GRAMAJE: 80 GR, PRESENTACION: RESMA X 500 HOJAS, CERTIFICADO FORESTAL (GFS): SIN, PORC. FIBRAS RECICLADAS: 0 %, CERT. FIBRA ALTERNATIVA (FCA): SIN</v>
      </c>
      <c r="D24" s="144"/>
      <c r="E24" s="144"/>
      <c r="F24" s="144"/>
      <c r="G24" s="144"/>
      <c r="H24" s="85" t="s">
        <v>59</v>
      </c>
      <c r="I24" s="82" t="str">
        <f>'Necesidades Trimestrales'!F22</f>
        <v>UNIDAD</v>
      </c>
      <c r="J24" s="134">
        <f>'Necesidades Trimestrales'!H22</f>
        <v>1234.8</v>
      </c>
      <c r="K24" s="83">
        <f>'Necesidades Trimestrales'!G22</f>
        <v>500</v>
      </c>
      <c r="L24" s="2"/>
      <c r="M24" s="2"/>
      <c r="N24" s="2"/>
      <c r="O24" s="5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spans="1:1024" s="44" customFormat="1" ht="27.75" customHeight="1" thickBot="1" x14ac:dyDescent="0.25">
      <c r="A25" s="84">
        <v>14</v>
      </c>
      <c r="B25" s="81" t="str">
        <f>'Necesidades Trimestrales'!B23</f>
        <v>2.9.2-317.5</v>
      </c>
      <c r="C25" s="144" t="str">
        <f>'Necesidades Trimestrales'!E23</f>
        <v>BOLIGRAFOS; TRAZO 1,0mm</v>
      </c>
      <c r="D25" s="144"/>
      <c r="E25" s="144"/>
      <c r="F25" s="144"/>
      <c r="G25" s="144"/>
      <c r="H25" s="85" t="s">
        <v>195</v>
      </c>
      <c r="I25" s="82" t="str">
        <f>'Necesidades Trimestrales'!F23</f>
        <v>UNIDAD</v>
      </c>
      <c r="J25" s="134">
        <f>'Necesidades Trimestrales'!H23</f>
        <v>78.400000000000006</v>
      </c>
      <c r="K25" s="83">
        <f>'Necesidades Trimestrales'!G23</f>
        <v>300</v>
      </c>
      <c r="L25" s="2"/>
      <c r="M25" s="2"/>
      <c r="N25" s="2"/>
      <c r="O25" s="5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spans="1:1024" s="44" customFormat="1" ht="27.75" customHeight="1" thickBot="1" x14ac:dyDescent="0.25">
      <c r="A26" s="84">
        <v>15</v>
      </c>
      <c r="B26" s="81" t="str">
        <f>'Necesidades Trimestrales'!B24</f>
        <v>2.9.2-317.17</v>
      </c>
      <c r="C26" s="144" t="str">
        <f>'Necesidades Trimestrales'!E24</f>
        <v>BOLIGRAFOS; TRAZO: GRUESO, COLOR TINTA: NEGRO</v>
      </c>
      <c r="D26" s="144"/>
      <c r="E26" s="144"/>
      <c r="F26" s="144"/>
      <c r="G26" s="144"/>
      <c r="H26" s="85" t="s">
        <v>59</v>
      </c>
      <c r="I26" s="82" t="str">
        <f>'Necesidades Trimestrales'!F24</f>
        <v>UNIDAD</v>
      </c>
      <c r="J26" s="134">
        <f>'Necesidades Trimestrales'!H24</f>
        <v>78.400000000000006</v>
      </c>
      <c r="K26" s="83">
        <f>'Necesidades Trimestrales'!G24</f>
        <v>300</v>
      </c>
      <c r="L26" s="2"/>
      <c r="M26" s="2"/>
      <c r="N26" s="2"/>
      <c r="O26" s="54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spans="1:1024" s="44" customFormat="1" ht="50.25" customHeight="1" thickBot="1" x14ac:dyDescent="0.25">
      <c r="A27" s="84">
        <v>16</v>
      </c>
      <c r="B27" s="81" t="str">
        <f>'Necesidades Trimestrales'!B25</f>
        <v>2.3.1-6563.833</v>
      </c>
      <c r="C27" s="144" t="str">
        <f>'Necesidades Trimestrales'!E25</f>
        <v>PAPELES EN HOJA; TIPO DE PAPEL: OBRA, DIMENSION: 21,6 X 35,6 Cm, GRAMAJE: 75 GR/M2, PRESENTACION: ENVASE X 500 HOJAS, CERTIFICADO FORESTAL (GFS): CON, PORC. FIBRAS RECICLADAS: 0 %</v>
      </c>
      <c r="D27" s="144"/>
      <c r="E27" s="144"/>
      <c r="F27" s="144"/>
      <c r="G27" s="144"/>
      <c r="H27" s="85" t="s">
        <v>195</v>
      </c>
      <c r="I27" s="82" t="str">
        <f>'Necesidades Trimestrales'!F25</f>
        <v>UNIDAD</v>
      </c>
      <c r="J27" s="134">
        <f>'Necesidades Trimestrales'!H25</f>
        <v>1820</v>
      </c>
      <c r="K27" s="83">
        <f>'Necesidades Trimestrales'!G25</f>
        <v>50</v>
      </c>
      <c r="L27" s="2"/>
      <c r="M27" s="2"/>
      <c r="N27" s="2"/>
      <c r="O27" s="5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spans="1:1024" s="44" customFormat="1" ht="39.75" customHeight="1" thickBot="1" x14ac:dyDescent="0.25">
      <c r="A28" s="84">
        <v>17</v>
      </c>
      <c r="B28" s="81" t="str">
        <f>'Necesidades Trimestrales'!B26</f>
        <v>2.3.1-6563.833</v>
      </c>
      <c r="C28" s="144" t="str">
        <f>'Necesidades Trimestrales'!E26</f>
        <v>PAPELES EN HOJA; TIPO DE PAPEL: OBRA, DIMENSION: 21,6 X 35,6 Cm, GRAMAJE: 75 GR/M2, PRESENTACION: ENVASE X 500 HOJAS, CERTIFICADO FORESTAL (GFS): CON, PORC. FIBRAS RECICLADAS: 0 %</v>
      </c>
      <c r="D28" s="144"/>
      <c r="E28" s="144"/>
      <c r="F28" s="144"/>
      <c r="G28" s="144"/>
      <c r="H28" s="85" t="s">
        <v>195</v>
      </c>
      <c r="I28" s="82" t="str">
        <f>'Necesidades Trimestrales'!F26</f>
        <v>UNIDAD</v>
      </c>
      <c r="J28" s="134">
        <f>'Necesidades Trimestrales'!H26</f>
        <v>1820</v>
      </c>
      <c r="K28" s="83">
        <f>'Necesidades Trimestrales'!G26</f>
        <v>50</v>
      </c>
      <c r="L28" s="2"/>
      <c r="M28" s="2"/>
      <c r="N28" s="2"/>
      <c r="O28" s="54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  <row r="29" spans="1:1024" s="44" customFormat="1" ht="51" customHeight="1" thickBot="1" x14ac:dyDescent="0.25">
      <c r="A29" s="84">
        <v>18</v>
      </c>
      <c r="B29" s="81" t="str">
        <f>'Necesidades Trimestrales'!B27</f>
        <v>2.3.1-6563.833</v>
      </c>
      <c r="C29" s="144" t="str">
        <f>'Necesidades Trimestrales'!E27</f>
        <v>PAPELES EN HOJA; TIPO DE PAPEL: OBRA, DIMENSION: 21,6 X 35,6 Cm, GRAMAJE: 75 GR/M2, PRESENTACION: ENVASE X 500 HOJAS, CERTIFICADO FORESTAL (GFS): CON, PORC. FIBRAS RECICLADAS: 0 %</v>
      </c>
      <c r="D29" s="144"/>
      <c r="E29" s="144"/>
      <c r="F29" s="144"/>
      <c r="G29" s="144"/>
      <c r="H29" s="85" t="s">
        <v>195</v>
      </c>
      <c r="I29" s="82" t="str">
        <f>'Necesidades Trimestrales'!F27</f>
        <v>UNIDAD</v>
      </c>
      <c r="J29" s="134">
        <f>'Necesidades Trimestrales'!H27</f>
        <v>1820</v>
      </c>
      <c r="K29" s="83">
        <f>'Necesidades Trimestrales'!G27</f>
        <v>50</v>
      </c>
      <c r="L29" s="2"/>
      <c r="M29" s="2"/>
      <c r="N29" s="2"/>
      <c r="O29" s="54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</row>
    <row r="30" spans="1:1024" s="44" customFormat="1" ht="48" customHeight="1" thickBot="1" x14ac:dyDescent="0.25">
      <c r="A30" s="84">
        <v>19</v>
      </c>
      <c r="B30" s="81" t="str">
        <f>'Necesidades Trimestrales'!B28</f>
        <v>2.3.1-6563.833</v>
      </c>
      <c r="C30" s="144" t="str">
        <f>'Necesidades Trimestrales'!E28</f>
        <v>PAPELES EN HOJA; TIPO DE PAPEL: OBRA, DIMENSION: 21,6 X 35,6 Cm, GRAMAJE: 75 GR/M2, PRESENTACION: ENVASE X 500 HOJAS, CERTIFICADO FORESTAL (GFS): CON, PORC. FIBRAS RECICLADAS: 0 %</v>
      </c>
      <c r="D30" s="144"/>
      <c r="E30" s="144"/>
      <c r="F30" s="144"/>
      <c r="G30" s="144"/>
      <c r="H30" s="85" t="s">
        <v>195</v>
      </c>
      <c r="I30" s="82" t="str">
        <f>'Necesidades Trimestrales'!F28</f>
        <v>UNIDAD</v>
      </c>
      <c r="J30" s="134">
        <f>'Necesidades Trimestrales'!H28</f>
        <v>1820</v>
      </c>
      <c r="K30" s="83">
        <f>'Necesidades Trimestrales'!G28</f>
        <v>50</v>
      </c>
      <c r="L30" s="2"/>
      <c r="M30" s="2"/>
      <c r="N30" s="2"/>
      <c r="O30" s="5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</row>
    <row r="31" spans="1:1024" s="44" customFormat="1" ht="27.75" customHeight="1" thickBot="1" x14ac:dyDescent="0.25">
      <c r="A31" s="84">
        <v>20</v>
      </c>
      <c r="B31" s="81" t="str">
        <f>'Necesidades Trimestrales'!B29</f>
        <v>2.9.2-262.40</v>
      </c>
      <c r="C31" s="144" t="str">
        <f>'Necesidades Trimestrales'!E29</f>
        <v>ADHESIVOS P/PAPEL; PRESENTACION: 50 mL, TIPO: SINTETICO TRANSPARENTE</v>
      </c>
      <c r="D31" s="144"/>
      <c r="E31" s="144"/>
      <c r="F31" s="144"/>
      <c r="G31" s="144"/>
      <c r="H31" s="85" t="s">
        <v>59</v>
      </c>
      <c r="I31" s="82" t="str">
        <f>'Necesidades Trimestrales'!F29</f>
        <v>UNIDAD</v>
      </c>
      <c r="J31" s="134">
        <f>'Necesidades Trimestrales'!H29</f>
        <v>250.6</v>
      </c>
      <c r="K31" s="83">
        <f>'Necesidades Trimestrales'!G29</f>
        <v>96</v>
      </c>
      <c r="L31" s="2"/>
      <c r="M31" s="2"/>
      <c r="N31" s="2"/>
      <c r="O31" s="54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</row>
    <row r="32" spans="1:1024" s="44" customFormat="1" ht="27.75" customHeight="1" thickBot="1" x14ac:dyDescent="0.25">
      <c r="A32" s="84">
        <v>21</v>
      </c>
      <c r="B32" s="81" t="str">
        <f>'Necesidades Trimestrales'!B30</f>
        <v>2.9.2-872.52</v>
      </c>
      <c r="C32" s="144" t="str">
        <f>'Necesidades Trimestrales'!E30</f>
        <v>ANILLADOS; MATERIAL: PLASTICO, PASO: AMERICANO, DIAMETRO: 18 mm, LONG.DE CUERPO: 35,5 mm</v>
      </c>
      <c r="D32" s="144"/>
      <c r="E32" s="144"/>
      <c r="F32" s="144"/>
      <c r="G32" s="144"/>
      <c r="H32" s="85" t="s">
        <v>59</v>
      </c>
      <c r="I32" s="82" t="str">
        <f>'Necesidades Trimestrales'!F30</f>
        <v>UNIDAD</v>
      </c>
      <c r="J32" s="134">
        <f>'Necesidades Trimestrales'!H30</f>
        <v>45.5</v>
      </c>
      <c r="K32" s="83">
        <f>'Necesidades Trimestrales'!G30</f>
        <v>100</v>
      </c>
      <c r="L32" s="2"/>
      <c r="M32" s="2"/>
      <c r="N32" s="2"/>
      <c r="O32" s="54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</row>
    <row r="33" spans="1:1024" s="44" customFormat="1" ht="27.75" customHeight="1" thickBot="1" x14ac:dyDescent="0.25">
      <c r="A33" s="84">
        <v>22</v>
      </c>
      <c r="B33" s="81" t="str">
        <f>'Necesidades Trimestrales'!B31</f>
        <v>2.9.2-848.20</v>
      </c>
      <c r="C33" s="144" t="str">
        <f>'Necesidades Trimestrales'!E31</f>
        <v>LAPIZ; TIPO: 2HB, COLOR: NEGRO</v>
      </c>
      <c r="D33" s="144"/>
      <c r="E33" s="144"/>
      <c r="F33" s="144"/>
      <c r="G33" s="144"/>
      <c r="H33" s="85" t="s">
        <v>59</v>
      </c>
      <c r="I33" s="82" t="str">
        <f>'Necesidades Trimestrales'!F31</f>
        <v>UNIDAD</v>
      </c>
      <c r="J33" s="134">
        <f>'Necesidades Trimestrales'!H31</f>
        <v>50.4</v>
      </c>
      <c r="K33" s="83">
        <f>'Necesidades Trimestrales'!G31</f>
        <v>120</v>
      </c>
      <c r="L33" s="2"/>
      <c r="M33" s="2"/>
      <c r="N33" s="2"/>
      <c r="O33" s="54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spans="1:1024" s="44" customFormat="1" ht="27.75" customHeight="1" thickBot="1" x14ac:dyDescent="0.25">
      <c r="A34" s="84">
        <v>23</v>
      </c>
      <c r="B34" s="81" t="str">
        <f>'Necesidades Trimestrales'!B32</f>
        <v>2.9.2-872.21</v>
      </c>
      <c r="C34" s="144" t="str">
        <f>'Necesidades Trimestrales'!E32</f>
        <v>ANILLADOS; MATERIAL: PLASTICO, PASO: AMERICANO, LONG.DE CUERPO: 35,5 Cm, DIAMETRO: 33 mm</v>
      </c>
      <c r="D34" s="144"/>
      <c r="E34" s="144"/>
      <c r="F34" s="144"/>
      <c r="G34" s="144"/>
      <c r="H34" s="85" t="s">
        <v>59</v>
      </c>
      <c r="I34" s="82" t="str">
        <f>'Necesidades Trimestrales'!F32</f>
        <v>UNIDAD</v>
      </c>
      <c r="J34" s="134">
        <f>'Necesidades Trimestrales'!H32</f>
        <v>56</v>
      </c>
      <c r="K34" s="83">
        <f>'Necesidades Trimestrales'!G32</f>
        <v>100</v>
      </c>
      <c r="L34" s="2"/>
      <c r="M34" s="2"/>
      <c r="N34" s="2"/>
      <c r="O34" s="5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spans="1:1024" s="44" customFormat="1" ht="27.75" customHeight="1" thickBot="1" x14ac:dyDescent="0.25">
      <c r="A35" s="84">
        <v>24</v>
      </c>
      <c r="B35" s="81" t="str">
        <f>'Necesidades Trimestrales'!B33</f>
        <v>2.9.6-401.2045</v>
      </c>
      <c r="C35" s="144" t="str">
        <f>'Necesidades Trimestrales'!E33</f>
        <v>CARTUCHOS DE TONER; CODIGO: TN 1060, USO: BROTHER</v>
      </c>
      <c r="D35" s="144"/>
      <c r="E35" s="144"/>
      <c r="F35" s="144"/>
      <c r="G35" s="144"/>
      <c r="H35" s="85" t="s">
        <v>195</v>
      </c>
      <c r="I35" s="82" t="str">
        <f>'Necesidades Trimestrales'!F33</f>
        <v>UNIDAD</v>
      </c>
      <c r="J35" s="134">
        <f>'Necesidades Trimestrales'!H33</f>
        <v>1666</v>
      </c>
      <c r="K35" s="83">
        <f>'Necesidades Trimestrales'!G33</f>
        <v>15</v>
      </c>
      <c r="L35" s="2"/>
      <c r="M35" s="2"/>
      <c r="N35" s="2"/>
      <c r="O35" s="54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spans="1:1024" s="44" customFormat="1" ht="27.75" customHeight="1" thickBot="1" x14ac:dyDescent="0.25">
      <c r="A36" s="84">
        <v>25</v>
      </c>
      <c r="B36" s="81" t="str">
        <f>'Necesidades Trimestrales'!B34</f>
        <v>2.9.6-401.1563</v>
      </c>
      <c r="C36" s="144" t="str">
        <f>'Necesidades Trimestrales'!E34</f>
        <v>CARTUCHOS DE TONER; CODIGO: HP 85A, USO: HP</v>
      </c>
      <c r="D36" s="144"/>
      <c r="E36" s="144"/>
      <c r="F36" s="144"/>
      <c r="G36" s="144"/>
      <c r="H36" s="85" t="s">
        <v>195</v>
      </c>
      <c r="I36" s="82" t="str">
        <f>'Necesidades Trimestrales'!F34</f>
        <v>UNIDAD</v>
      </c>
      <c r="J36" s="134">
        <f>'Necesidades Trimestrales'!H34</f>
        <v>1225</v>
      </c>
      <c r="K36" s="83">
        <f>'Necesidades Trimestrales'!G34</f>
        <v>15</v>
      </c>
      <c r="L36" s="2"/>
      <c r="M36" s="2"/>
      <c r="N36" s="2"/>
      <c r="O36" s="5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spans="1:1024" s="44" customFormat="1" ht="27.75" customHeight="1" thickBot="1" x14ac:dyDescent="0.25">
      <c r="A37" s="84">
        <v>26</v>
      </c>
      <c r="B37" s="81" t="str">
        <f>'Necesidades Trimestrales'!B35</f>
        <v>2.9.2-1634.59</v>
      </c>
      <c r="C37" s="144" t="str">
        <f>'Necesidades Trimestrales'!E35</f>
        <v>TAPAS PLASTICAS; TIPO: POLIPROPILENO, FORMATO: OFICIO, PRESENTACION: ENVASE X 50 UN, GRAMAJE: 80 GR/M2</v>
      </c>
      <c r="D37" s="144"/>
      <c r="E37" s="144"/>
      <c r="F37" s="144"/>
      <c r="G37" s="144"/>
      <c r="H37" s="85" t="s">
        <v>59</v>
      </c>
      <c r="I37" s="82" t="str">
        <f>'Necesidades Trimestrales'!F35</f>
        <v>UNIDAD</v>
      </c>
      <c r="J37" s="134">
        <f>'Necesidades Trimestrales'!H35</f>
        <v>1062.5999999999999</v>
      </c>
      <c r="K37" s="83">
        <f>'Necesidades Trimestrales'!G35</f>
        <v>2</v>
      </c>
      <c r="L37" s="2"/>
      <c r="M37" s="2"/>
      <c r="N37" s="2"/>
      <c r="O37" s="5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</row>
    <row r="38" spans="1:1024" s="44" customFormat="1" ht="27.75" customHeight="1" thickBot="1" x14ac:dyDescent="0.25">
      <c r="A38" s="84">
        <v>27</v>
      </c>
      <c r="B38" s="81" t="str">
        <f>'Necesidades Trimestrales'!B36</f>
        <v>2.9.2-1634.60</v>
      </c>
      <c r="C38" s="144" t="str">
        <f>'Necesidades Trimestrales'!E36</f>
        <v>TAPAS PLASTICAS; TIPO: POLIPROPILENO, FORMATO: A4, PRESENTACION: ENVASE X 100 UN, GRAMAJE: 80 GR/M2</v>
      </c>
      <c r="D38" s="144"/>
      <c r="E38" s="144"/>
      <c r="F38" s="144"/>
      <c r="G38" s="144"/>
      <c r="H38" s="85" t="s">
        <v>59</v>
      </c>
      <c r="I38" s="82" t="str">
        <f>'Necesidades Trimestrales'!F36</f>
        <v>UNIDAD</v>
      </c>
      <c r="J38" s="134">
        <f>'Necesidades Trimestrales'!H36</f>
        <v>2125.1999999999998</v>
      </c>
      <c r="K38" s="83">
        <f>'Necesidades Trimestrales'!G36</f>
        <v>1</v>
      </c>
      <c r="L38" s="2"/>
      <c r="M38" s="2"/>
      <c r="N38" s="2"/>
      <c r="O38" s="5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</row>
    <row r="39" spans="1:1024" s="44" customFormat="1" ht="27.75" customHeight="1" thickBot="1" x14ac:dyDescent="0.25">
      <c r="A39" s="84">
        <v>28</v>
      </c>
      <c r="B39" s="81" t="str">
        <f>'Necesidades Trimestrales'!B37</f>
        <v>2.9.2-1428.44</v>
      </c>
      <c r="C39" s="144" t="str">
        <f>'Necesidades Trimestrales'!E37</f>
        <v>BANDAS ELASTICAS; DIAMETRO: 40 mm, PRESENTACION: ENVASE X 500 GR, ESPESOR: 1 mm</v>
      </c>
      <c r="D39" s="144"/>
      <c r="E39" s="144"/>
      <c r="F39" s="144"/>
      <c r="G39" s="144"/>
      <c r="H39" s="85" t="s">
        <v>59</v>
      </c>
      <c r="I39" s="82" t="str">
        <f>'Necesidades Trimestrales'!F37</f>
        <v>UNIDAD</v>
      </c>
      <c r="J39" s="134">
        <f>'Necesidades Trimestrales'!H37</f>
        <v>1323</v>
      </c>
      <c r="K39" s="83">
        <f>'Necesidades Trimestrales'!G37</f>
        <v>5</v>
      </c>
      <c r="L39" s="2"/>
      <c r="M39" s="2"/>
      <c r="N39" s="2"/>
      <c r="O39" s="5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</row>
    <row r="40" spans="1:1024" s="44" customFormat="1" ht="27.75" customHeight="1" thickBot="1" x14ac:dyDescent="0.25">
      <c r="A40" s="84">
        <v>29</v>
      </c>
      <c r="B40" s="81" t="str">
        <f>'Necesidades Trimestrales'!B38</f>
        <v>2.9.2-1428.36</v>
      </c>
      <c r="C40" s="144" t="str">
        <f>'Necesidades Trimestrales'!E38</f>
        <v>BANDAS ELASTICAS; DIAMETRO: 1 Cm, PRESENTACION: ENVASE X 100 GR, ESPESOR: 1 Cm</v>
      </c>
      <c r="D40" s="144"/>
      <c r="E40" s="144"/>
      <c r="F40" s="144"/>
      <c r="G40" s="144"/>
      <c r="H40" s="85" t="s">
        <v>59</v>
      </c>
      <c r="I40" s="82" t="str">
        <f>'Necesidades Trimestrales'!F38</f>
        <v>UNIDAD</v>
      </c>
      <c r="J40" s="134">
        <f>'Necesidades Trimestrales'!H38</f>
        <v>1008</v>
      </c>
      <c r="K40" s="83">
        <f>'Necesidades Trimestrales'!G38</f>
        <v>5</v>
      </c>
      <c r="L40" s="2"/>
      <c r="M40" s="2"/>
      <c r="N40" s="2"/>
      <c r="O40" s="5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</row>
    <row r="41" spans="1:1024" s="44" customFormat="1" ht="27.75" customHeight="1" thickBot="1" x14ac:dyDescent="0.25">
      <c r="A41" s="84">
        <v>30</v>
      </c>
      <c r="B41" s="81" t="str">
        <f>'Necesidades Trimestrales'!B39</f>
        <v>2.9.2-674.22</v>
      </c>
      <c r="C41" s="144" t="str">
        <f>'Necesidades Trimestrales'!E39</f>
        <v>REGLAS GRADUADAS; TIPO: PLANA, LONG.DE CUERPO: 30 Cm, MATERIAL: ACRILICO</v>
      </c>
      <c r="D41" s="144"/>
      <c r="E41" s="144"/>
      <c r="F41" s="144"/>
      <c r="G41" s="144"/>
      <c r="H41" s="85" t="s">
        <v>59</v>
      </c>
      <c r="I41" s="82" t="str">
        <f>'Necesidades Trimestrales'!F38</f>
        <v>UNIDAD</v>
      </c>
      <c r="J41" s="134">
        <f>'Necesidades Trimestrales'!H39</f>
        <v>252</v>
      </c>
      <c r="K41" s="83">
        <f>'Necesidades Trimestrales'!G39</f>
        <v>30</v>
      </c>
      <c r="L41" s="2"/>
      <c r="M41" s="2"/>
      <c r="N41" s="2"/>
      <c r="O41" s="5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</row>
    <row r="42" spans="1:1024" s="44" customFormat="1" ht="27.75" customHeight="1" thickBot="1" x14ac:dyDescent="0.25">
      <c r="A42" s="84">
        <v>31</v>
      </c>
      <c r="B42" s="81" t="str">
        <f>'Necesidades Trimestrales'!B40</f>
        <v>2.9.2-1062.12</v>
      </c>
      <c r="C42" s="144" t="str">
        <f>'Necesidades Trimestrales'!E40</f>
        <v>PAPELES ANOTADOR AUTOADHESIVOS; PRESENTACION: 100 HOJAS, LARGO X ANCHO: 76 X 76 mm</v>
      </c>
      <c r="D42" s="144"/>
      <c r="E42" s="144"/>
      <c r="F42" s="144"/>
      <c r="G42" s="144"/>
      <c r="H42" s="85" t="s">
        <v>195</v>
      </c>
      <c r="I42" s="82" t="str">
        <f>'Necesidades Trimestrales'!F39</f>
        <v>UNIDAD</v>
      </c>
      <c r="J42" s="134">
        <f>'Necesidades Trimestrales'!H40</f>
        <v>179.2</v>
      </c>
      <c r="K42" s="83">
        <f>'Necesidades Trimestrales'!G40</f>
        <v>50</v>
      </c>
      <c r="L42" s="2"/>
      <c r="M42" s="2"/>
      <c r="N42" s="2"/>
      <c r="O42" s="5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</row>
    <row r="43" spans="1:1024" s="44" customFormat="1" ht="27.75" customHeight="1" thickBot="1" x14ac:dyDescent="0.25">
      <c r="A43" s="84">
        <v>32</v>
      </c>
      <c r="B43" s="81" t="str">
        <f>'Necesidades Trimestrales'!B41</f>
        <v>2.9.2-696.18</v>
      </c>
      <c r="C43" s="144" t="str">
        <f>'Necesidades Trimestrales'!E41</f>
        <v>SACAPUNTAS; MATERIAL: PLASTICO, FIJACION: SIN, NUMERO: UNIVERSAL, CANTIDAD DE BOCAS: 1, TIPO: ESCOLAR</v>
      </c>
      <c r="D43" s="144"/>
      <c r="E43" s="144"/>
      <c r="F43" s="144"/>
      <c r="G43" s="144"/>
      <c r="H43" s="85" t="s">
        <v>59</v>
      </c>
      <c r="I43" s="82" t="str">
        <f>'Necesidades Trimestrales'!F40</f>
        <v>UNIDAD</v>
      </c>
      <c r="J43" s="134">
        <f>'Necesidades Trimestrales'!H41</f>
        <v>173.6</v>
      </c>
      <c r="K43" s="83">
        <f>'Necesidades Trimestrales'!G41</f>
        <v>40</v>
      </c>
      <c r="L43" s="2"/>
      <c r="M43" s="2"/>
      <c r="N43" s="2"/>
      <c r="O43" s="5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</row>
    <row r="44" spans="1:1024" s="44" customFormat="1" ht="27.75" customHeight="1" thickBot="1" x14ac:dyDescent="0.25">
      <c r="A44" s="84">
        <v>33</v>
      </c>
      <c r="B44" s="81" t="str">
        <f>'Necesidades Trimestrales'!B42</f>
        <v>2.3.1-6587.276</v>
      </c>
      <c r="C44" s="144" t="str">
        <f>'Necesidades Trimestrales'!E42</f>
        <v>PAPELES ENCUADERNADOS; CANT. DE HOJAS: 80 HOJAS, TAMAÑO: A4, TIPO: BLOCK, CERTIFICADO FORESTAL (GFS): SIN, PORC. FIBRAS RECICLADAS: 0 %</v>
      </c>
      <c r="D44" s="144"/>
      <c r="E44" s="144"/>
      <c r="F44" s="144"/>
      <c r="G44" s="144"/>
      <c r="H44" s="85" t="s">
        <v>195</v>
      </c>
      <c r="I44" s="82" t="str">
        <f>'Necesidades Trimestrales'!F41</f>
        <v>UNIDAD</v>
      </c>
      <c r="J44" s="134">
        <f>'Necesidades Trimestrales'!H42</f>
        <v>1064</v>
      </c>
      <c r="K44" s="83">
        <f>'Necesidades Trimestrales'!G42</f>
        <v>50</v>
      </c>
      <c r="L44" s="2"/>
      <c r="M44" s="2"/>
      <c r="N44" s="2"/>
      <c r="O44" s="5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</row>
    <row r="45" spans="1:1024" s="44" customFormat="1" ht="27.75" customHeight="1" thickBot="1" x14ac:dyDescent="0.25">
      <c r="A45" s="84">
        <v>34</v>
      </c>
      <c r="B45" s="81" t="str">
        <f>'Necesidades Trimestrales'!B43</f>
        <v>2.9.2-5042.36</v>
      </c>
      <c r="C45" s="144" t="str">
        <f>'Necesidades Trimestrales'!E43</f>
        <v>TIJERA; USO: P/PAPEL, MATERIAL: ACERO INOXIDABLE, LONG.DE CUERPO: 17 Cm</v>
      </c>
      <c r="D45" s="144"/>
      <c r="E45" s="144"/>
      <c r="F45" s="144"/>
      <c r="G45" s="144"/>
      <c r="H45" s="85" t="s">
        <v>59</v>
      </c>
      <c r="I45" s="82" t="str">
        <f>'Necesidades Trimestrales'!F42</f>
        <v>UNIDAD</v>
      </c>
      <c r="J45" s="134">
        <f>'Necesidades Trimestrales'!H43</f>
        <v>336</v>
      </c>
      <c r="K45" s="83">
        <f>'Necesidades Trimestrales'!G43</f>
        <v>30</v>
      </c>
      <c r="L45" s="2"/>
      <c r="M45" s="2"/>
      <c r="N45" s="2"/>
      <c r="O45" s="5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</row>
    <row r="46" spans="1:1024" s="44" customFormat="1" ht="27.75" customHeight="1" thickBot="1" x14ac:dyDescent="0.25">
      <c r="A46" s="84">
        <v>35</v>
      </c>
      <c r="B46" s="81" t="str">
        <f>'Necesidades Trimestrales'!B44</f>
        <v>2.9.2-1358.353</v>
      </c>
      <c r="C46" s="144" t="str">
        <f>'Necesidades Trimestrales'!E44</f>
        <v>CARPETAS; MATERIAL PLASTICO - TAMAÑO A4.</v>
      </c>
      <c r="D46" s="144"/>
      <c r="E46" s="144"/>
      <c r="F46" s="144"/>
      <c r="G46" s="144"/>
      <c r="H46" s="85" t="s">
        <v>195</v>
      </c>
      <c r="I46" s="82" t="str">
        <f>'Necesidades Trimestrales'!F43</f>
        <v>UNIDAD</v>
      </c>
      <c r="J46" s="134">
        <f>'Necesidades Trimestrales'!H44</f>
        <v>92.4</v>
      </c>
      <c r="K46" s="83">
        <f>'Necesidades Trimestrales'!G44</f>
        <v>100</v>
      </c>
      <c r="L46" s="2"/>
      <c r="M46" s="2"/>
      <c r="N46" s="2"/>
      <c r="O46" s="5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</row>
    <row r="47" spans="1:1024" s="44" customFormat="1" ht="24" customHeight="1" thickBot="1" x14ac:dyDescent="0.25">
      <c r="A47" s="84">
        <v>36</v>
      </c>
      <c r="B47" s="81" t="str">
        <f>'Necesidades Trimestrales'!B45</f>
        <v>2.9.2-1358.354</v>
      </c>
      <c r="C47" s="144" t="str">
        <f>'Necesidades Trimestrales'!E45</f>
        <v>CARPETAS; MATERIAL PLASTICO - TAMAÑO OFICIO.</v>
      </c>
      <c r="D47" s="144"/>
      <c r="E47" s="144"/>
      <c r="F47" s="144"/>
      <c r="G47" s="144"/>
      <c r="H47" s="85" t="s">
        <v>195</v>
      </c>
      <c r="I47" s="82" t="str">
        <f>'Necesidades Trimestrales'!F44</f>
        <v>UNIDAD</v>
      </c>
      <c r="J47" s="134">
        <f>'Necesidades Trimestrales'!H45</f>
        <v>78.400000000000006</v>
      </c>
      <c r="K47" s="83">
        <f>'Necesidades Trimestrales'!G45</f>
        <v>100</v>
      </c>
      <c r="L47" s="2"/>
      <c r="M47" s="2"/>
      <c r="N47" s="2"/>
      <c r="O47" s="5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</row>
    <row r="48" spans="1:1024" s="44" customFormat="1" ht="36" customHeight="1" thickBot="1" x14ac:dyDescent="0.25">
      <c r="A48" s="84">
        <v>37</v>
      </c>
      <c r="B48" s="81" t="str">
        <f>'Necesidades Trimestrales'!B46</f>
        <v>2.3.1-6563.967</v>
      </c>
      <c r="C48" s="144" t="str">
        <f>'Necesidades Trimestrales'!E46</f>
        <v>PAPELES EN HOJA; TIPO DE PAPEL: CARTULINA, DIMENSION: 74 X 110 Cm, GRAMAJE: 120 GR, PRESENTACION: UNIDAD, CERTIFICADO FORESTAL (GFS): SIN, PORC. FIBRAS RECICLADAS: 0 %, CERT. FIBRA ALTERNATIVA (FCA): 0 %</v>
      </c>
      <c r="D48" s="144"/>
      <c r="E48" s="144"/>
      <c r="F48" s="144"/>
      <c r="G48" s="144"/>
      <c r="H48" s="85" t="s">
        <v>59</v>
      </c>
      <c r="I48" s="82" t="str">
        <f>'Necesidades Trimestrales'!F45</f>
        <v>UNIDAD</v>
      </c>
      <c r="J48" s="134">
        <f>'Necesidades Trimestrales'!H46</f>
        <v>20</v>
      </c>
      <c r="K48" s="83">
        <f>'Necesidades Trimestrales'!G46</f>
        <v>100</v>
      </c>
      <c r="L48" s="2"/>
      <c r="M48" s="2"/>
      <c r="N48" s="2"/>
      <c r="O48" s="5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</row>
    <row r="49" spans="1:1024" s="44" customFormat="1" ht="27.75" customHeight="1" thickBot="1" x14ac:dyDescent="0.25">
      <c r="A49" s="84">
        <v>38</v>
      </c>
      <c r="B49" s="81" t="str">
        <f>'Necesidades Trimestrales'!B47</f>
        <v>2.9.2-661.43</v>
      </c>
      <c r="C49" s="144" t="str">
        <f>'Necesidades Trimestrales'!E47</f>
        <v>GOMAS DE BORRAR; USO: LAPIZ Y TINTA, DIMENSION: 42 X 18 X 10 mm, MATERIAL: CAUCHO, PRESENTACION: ENVASE X 40 UN</v>
      </c>
      <c r="D49" s="144"/>
      <c r="E49" s="144"/>
      <c r="F49" s="144"/>
      <c r="G49" s="144"/>
      <c r="H49" s="85" t="s">
        <v>59</v>
      </c>
      <c r="I49" s="82" t="str">
        <f>'Necesidades Trimestrales'!F46</f>
        <v>UNIDAD</v>
      </c>
      <c r="J49" s="134">
        <f>'Necesidades Trimestrales'!H47</f>
        <v>1783.6</v>
      </c>
      <c r="K49" s="83">
        <f>'Necesidades Trimestrales'!G47</f>
        <v>4</v>
      </c>
      <c r="L49" s="2"/>
      <c r="M49" s="2"/>
      <c r="N49" s="2"/>
      <c r="O49" s="5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</row>
    <row r="50" spans="1:1024" s="44" customFormat="1" ht="27.75" customHeight="1" thickBot="1" x14ac:dyDescent="0.25">
      <c r="A50" s="84">
        <v>39</v>
      </c>
      <c r="B50" s="81" t="str">
        <f>'Necesidades Trimestrales'!B48</f>
        <v>2.9.2-848.21</v>
      </c>
      <c r="C50" s="144" t="str">
        <f>'Necesidades Trimestrales'!E48</f>
        <v>LAPIZ; TIPO: CAJA X 24, COLOR: VARIADOS</v>
      </c>
      <c r="D50" s="144"/>
      <c r="E50" s="144"/>
      <c r="F50" s="144"/>
      <c r="G50" s="144"/>
      <c r="H50" s="85" t="s">
        <v>59</v>
      </c>
      <c r="I50" s="82" t="str">
        <f>'Necesidades Trimestrales'!F47</f>
        <v>UNIDAD</v>
      </c>
      <c r="J50" s="134">
        <f>'Necesidades Trimestrales'!H48</f>
        <v>1960</v>
      </c>
      <c r="K50" s="83">
        <f>'Necesidades Trimestrales'!G48</f>
        <v>15</v>
      </c>
      <c r="L50" s="2"/>
      <c r="M50" s="2"/>
      <c r="N50" s="2"/>
      <c r="O50" s="5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</row>
    <row r="51" spans="1:1024" s="44" customFormat="1" ht="27.75" customHeight="1" thickBot="1" x14ac:dyDescent="0.25">
      <c r="A51" s="84">
        <v>40</v>
      </c>
      <c r="B51" s="81" t="str">
        <f>'Necesidades Trimestrales'!B49</f>
        <v>2.9.2-1954.1</v>
      </c>
      <c r="C51" s="144" t="str">
        <f>'Necesidades Trimestrales'!E49</f>
        <v>BORRADORES; MATERIAL: PLASTICO - FIBRA, TIPO: PARA MARCADOR</v>
      </c>
      <c r="D51" s="144"/>
      <c r="E51" s="144"/>
      <c r="F51" s="144"/>
      <c r="G51" s="144"/>
      <c r="H51" s="85" t="s">
        <v>59</v>
      </c>
      <c r="I51" s="82" t="str">
        <f>'Necesidades Trimestrales'!F48</f>
        <v>UNIDAD</v>
      </c>
      <c r="J51" s="134">
        <f>'Necesidades Trimestrales'!H49</f>
        <v>392</v>
      </c>
      <c r="K51" s="83">
        <f>'Necesidades Trimestrales'!G49</f>
        <v>12</v>
      </c>
      <c r="L51" s="2"/>
      <c r="M51" s="2"/>
      <c r="N51" s="2"/>
      <c r="O51" s="5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</row>
    <row r="52" spans="1:1024" s="44" customFormat="1" ht="27.75" customHeight="1" thickBot="1" x14ac:dyDescent="0.25">
      <c r="A52" s="84">
        <v>41</v>
      </c>
      <c r="B52" s="81" t="str">
        <f>'Necesidades Trimestrales'!B50</f>
        <v>2.9.2-1616.128</v>
      </c>
      <c r="C52" s="144" t="str">
        <f>'Necesidades Trimestrales'!E50</f>
        <v>MARCADORES; TIPO PARA PIZARRA - TRAZO GRUESO - PUNTA REDONDA - RECARGABLE NO</v>
      </c>
      <c r="D52" s="144"/>
      <c r="E52" s="144"/>
      <c r="F52" s="144"/>
      <c r="G52" s="144"/>
      <c r="H52" s="85" t="s">
        <v>195</v>
      </c>
      <c r="I52" s="82" t="str">
        <f>'Necesidades Trimestrales'!F42</f>
        <v>UNIDAD</v>
      </c>
      <c r="J52" s="134">
        <f>'Necesidades Trimestrales'!H50</f>
        <v>239.4</v>
      </c>
      <c r="K52" s="83">
        <f>'Necesidades Trimestrales'!G50</f>
        <v>48</v>
      </c>
      <c r="L52" s="2"/>
      <c r="M52" s="2"/>
      <c r="N52" s="2"/>
      <c r="O52" s="5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</row>
    <row r="53" spans="1:1024" s="44" customFormat="1" ht="27.75" customHeight="1" thickBot="1" x14ac:dyDescent="0.25">
      <c r="A53" s="84">
        <v>42</v>
      </c>
      <c r="B53" s="81" t="str">
        <f>'Necesidades Trimestrales'!B51</f>
        <v>2.9.2-5457.11</v>
      </c>
      <c r="C53" s="144" t="str">
        <f>'Necesidades Trimestrales'!E51</f>
        <v>ANOTADORES; TAMAÑO: 15 X 21 Cm, TIPO: RAYADO</v>
      </c>
      <c r="D53" s="144"/>
      <c r="E53" s="144"/>
      <c r="F53" s="144"/>
      <c r="G53" s="144"/>
      <c r="H53" s="85" t="s">
        <v>195</v>
      </c>
      <c r="I53" s="82" t="str">
        <f>'Necesidades Trimestrales'!F50</f>
        <v>UNIDAD</v>
      </c>
      <c r="J53" s="134">
        <f>'Necesidades Trimestrales'!H51</f>
        <v>488.25</v>
      </c>
      <c r="K53" s="83">
        <f>'Necesidades Trimestrales'!G51</f>
        <v>60</v>
      </c>
      <c r="L53" s="2"/>
      <c r="M53" s="2"/>
      <c r="N53" s="2"/>
      <c r="O53" s="5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</row>
    <row r="54" spans="1:1024" s="44" customFormat="1" ht="27.75" customHeight="1" thickBot="1" x14ac:dyDescent="0.25">
      <c r="A54" s="84">
        <v>43</v>
      </c>
      <c r="B54" s="81" t="str">
        <f>'Necesidades Trimestrales'!B52</f>
        <v>2.9.2-660.7</v>
      </c>
      <c r="C54" s="144" t="str">
        <f>'Necesidades Trimestrales'!E52</f>
        <v>CLIPS P/PAPEL; NUMERO: 5, MATERIAL: METAL, CANT. X CAJA: 50, PRESENTACION: CAJA X 50</v>
      </c>
      <c r="D54" s="144"/>
      <c r="E54" s="144"/>
      <c r="F54" s="144"/>
      <c r="G54" s="144"/>
      <c r="H54" s="85" t="s">
        <v>59</v>
      </c>
      <c r="I54" s="82" t="str">
        <f>'Necesidades Trimestrales'!F51</f>
        <v>UNIDAD</v>
      </c>
      <c r="J54" s="134">
        <f>'Necesidades Trimestrales'!H52</f>
        <v>119</v>
      </c>
      <c r="K54" s="83">
        <f>'Necesidades Trimestrales'!G52</f>
        <v>30</v>
      </c>
      <c r="L54" s="2"/>
      <c r="M54" s="2"/>
      <c r="N54" s="2"/>
      <c r="O54" s="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</row>
    <row r="55" spans="1:1024" s="44" customFormat="1" ht="30.75" customHeight="1" thickBot="1" x14ac:dyDescent="0.25">
      <c r="A55" s="84">
        <v>44</v>
      </c>
      <c r="B55" s="81" t="str">
        <f>'Necesidades Trimestrales'!B53</f>
        <v>2.9.2-1358.121</v>
      </c>
      <c r="C55" s="144" t="str">
        <f>'Necesidades Trimestrales'!E53</f>
        <v>CARPETAS; MATERIAL: POLIPROPILENO, COLOR: MARRON, TAMAÑO: OFICIO, TIPO: TRES SOLAPAS Y BANDA ELASTICA, PRESENTACION: SIN VALOR, MEMBRETE: SIN, LENGÜETA: SIN, SUJECION: SIN VALOR</v>
      </c>
      <c r="D55" s="144"/>
      <c r="E55" s="144"/>
      <c r="F55" s="144"/>
      <c r="G55" s="144"/>
      <c r="H55" s="85" t="s">
        <v>59</v>
      </c>
      <c r="I55" s="82" t="str">
        <f>'Necesidades Trimestrales'!F52</f>
        <v>UNIDAD</v>
      </c>
      <c r="J55" s="134">
        <f>'Necesidades Trimestrales'!H53</f>
        <v>180.6</v>
      </c>
      <c r="K55" s="83">
        <f>'Necesidades Trimestrales'!G53</f>
        <v>40</v>
      </c>
      <c r="L55" s="2"/>
      <c r="M55" s="2"/>
      <c r="N55" s="2"/>
      <c r="O55" s="5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</row>
    <row r="56" spans="1:1024" s="44" customFormat="1" ht="27.75" customHeight="1" thickBot="1" x14ac:dyDescent="0.25">
      <c r="A56" s="84">
        <v>45</v>
      </c>
      <c r="B56" s="81" t="str">
        <f>'Necesidades Trimestrales'!B54</f>
        <v>2.9.2-1354.22</v>
      </c>
      <c r="C56" s="144" t="str">
        <f>'Necesidades Trimestrales'!E54</f>
        <v>RESALTADORES; ACCESORIO SIN - TIPO PUNTA 5 (CHANFLEADA) mm</v>
      </c>
      <c r="D56" s="144"/>
      <c r="E56" s="144"/>
      <c r="F56" s="144"/>
      <c r="G56" s="144"/>
      <c r="H56" s="85" t="s">
        <v>195</v>
      </c>
      <c r="I56" s="82" t="str">
        <f>'Necesidades Trimestrales'!F53</f>
        <v>UNIDAD</v>
      </c>
      <c r="J56" s="134">
        <f>'Necesidades Trimestrales'!H54</f>
        <v>224</v>
      </c>
      <c r="K56" s="83">
        <f>'Necesidades Trimestrales'!G54</f>
        <v>10</v>
      </c>
      <c r="L56" s="2"/>
      <c r="M56" s="2"/>
      <c r="N56" s="2"/>
      <c r="O56" s="5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 s="44" customFormat="1" ht="27.75" customHeight="1" thickBot="1" x14ac:dyDescent="0.25">
      <c r="A57" s="84">
        <v>46</v>
      </c>
      <c r="B57" s="81" t="str">
        <f>'Necesidades Trimestrales'!B55</f>
        <v>2.9.2-1354.22</v>
      </c>
      <c r="C57" s="144" t="str">
        <f>'Necesidades Trimestrales'!E55</f>
        <v>RESALTADORES; ACCESORIO SIN - TIPO PUNTA 5 (CHANFLEADA) mm</v>
      </c>
      <c r="D57" s="144"/>
      <c r="E57" s="144"/>
      <c r="F57" s="144"/>
      <c r="G57" s="144"/>
      <c r="H57" s="85" t="s">
        <v>195</v>
      </c>
      <c r="I57" s="82" t="str">
        <f>'Necesidades Trimestrales'!F54</f>
        <v>UNIDAD</v>
      </c>
      <c r="J57" s="134">
        <f>'Necesidades Trimestrales'!H55</f>
        <v>224</v>
      </c>
      <c r="K57" s="83">
        <f>'Necesidades Trimestrales'!G55</f>
        <v>10</v>
      </c>
      <c r="L57" s="2"/>
      <c r="M57" s="2"/>
      <c r="N57" s="2"/>
      <c r="O57" s="5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 s="44" customFormat="1" ht="27.75" customHeight="1" thickBot="1" x14ac:dyDescent="0.25">
      <c r="A58" s="84">
        <v>47</v>
      </c>
      <c r="B58" s="81" t="str">
        <f>'Necesidades Trimestrales'!B56</f>
        <v>2.9.2-1354.22</v>
      </c>
      <c r="C58" s="144" t="str">
        <f>'Necesidades Trimestrales'!E56</f>
        <v>RESALTADORES; ACCESORIO SIN - TIPO PUNTA 5 (CHANFLEADA) mm</v>
      </c>
      <c r="D58" s="144"/>
      <c r="E58" s="144"/>
      <c r="F58" s="144"/>
      <c r="G58" s="144"/>
      <c r="H58" s="85" t="s">
        <v>195</v>
      </c>
      <c r="I58" s="82" t="str">
        <f>'Necesidades Trimestrales'!F55</f>
        <v>UNIDAD</v>
      </c>
      <c r="J58" s="134">
        <f>'Necesidades Trimestrales'!H56</f>
        <v>224</v>
      </c>
      <c r="K58" s="83">
        <f>'Necesidades Trimestrales'!G56</f>
        <v>10</v>
      </c>
      <c r="L58" s="2"/>
      <c r="M58" s="2"/>
      <c r="N58" s="2"/>
      <c r="O58" s="5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</row>
    <row r="59" spans="1:1024" s="44" customFormat="1" ht="27.75" customHeight="1" thickBot="1" x14ac:dyDescent="0.25">
      <c r="A59" s="84">
        <v>48</v>
      </c>
      <c r="B59" s="81" t="str">
        <f>'Necesidades Trimestrales'!B57</f>
        <v>2.9.2-661.45</v>
      </c>
      <c r="C59" s="144" t="str">
        <f>'Necesidades Trimestrales'!E57</f>
        <v>GOMAS DE BORRAR; USO: LAPIZ, DIMENSION: 20 X 30 X 8 mm, MATERIAL: CAUCHO, PRESENTACION: ENVASE X 40 UN</v>
      </c>
      <c r="D59" s="144"/>
      <c r="E59" s="144"/>
      <c r="F59" s="144"/>
      <c r="G59" s="144"/>
      <c r="H59" s="85" t="s">
        <v>59</v>
      </c>
      <c r="I59" s="82" t="str">
        <f>'Necesidades Trimestrales'!F56</f>
        <v>UNIDAD</v>
      </c>
      <c r="J59" s="134">
        <f>'Necesidades Trimestrales'!H57</f>
        <v>1820</v>
      </c>
      <c r="K59" s="83">
        <f>'Necesidades Trimestrales'!G57</f>
        <v>4</v>
      </c>
      <c r="L59" s="2"/>
      <c r="M59" s="2"/>
      <c r="N59" s="2"/>
      <c r="O59" s="5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</row>
    <row r="60" spans="1:1024" s="44" customFormat="1" ht="27.75" customHeight="1" thickBot="1" x14ac:dyDescent="0.25">
      <c r="A60" s="84">
        <v>49</v>
      </c>
      <c r="B60" s="81" t="str">
        <f>'Necesidades Trimestrales'!B58</f>
        <v>2.9.2-674.28</v>
      </c>
      <c r="C60" s="144" t="str">
        <f>'Necesidades Trimestrales'!E58</f>
        <v>REGLAS GRADUADAS; TIPO: PLANA, MATERIAL: PLASTICO, LONG.DE CUERPO: 15 Cm</v>
      </c>
      <c r="D60" s="144"/>
      <c r="E60" s="144"/>
      <c r="F60" s="144"/>
      <c r="G60" s="144"/>
      <c r="H60" s="85" t="s">
        <v>59</v>
      </c>
      <c r="I60" s="82" t="str">
        <f>'Necesidades Trimestrales'!F57</f>
        <v>UNIDAD</v>
      </c>
      <c r="J60" s="134">
        <f>'Necesidades Trimestrales'!H58</f>
        <v>49</v>
      </c>
      <c r="K60" s="83">
        <f>'Necesidades Trimestrales'!G58</f>
        <v>30</v>
      </c>
      <c r="L60" s="2"/>
      <c r="M60" s="2"/>
      <c r="N60" s="2"/>
      <c r="O60" s="5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</row>
    <row r="61" spans="1:1024" s="44" customFormat="1" ht="27.75" customHeight="1" thickBot="1" x14ac:dyDescent="0.25">
      <c r="A61" s="84">
        <v>50</v>
      </c>
      <c r="B61" s="81" t="str">
        <f>'Necesidades Trimestrales'!B59</f>
        <v>2.9.2-850.206</v>
      </c>
      <c r="C61" s="144" t="str">
        <f>'Necesidades Trimestrales'!E59</f>
        <v>CAJAS DE ARCHIVO; MATERIAL: PLASTICO CORRUGADO, DIMENSION: 39 X 28 X 12 Cm</v>
      </c>
      <c r="D61" s="144"/>
      <c r="E61" s="144"/>
      <c r="F61" s="144"/>
      <c r="G61" s="144"/>
      <c r="H61" s="85" t="s">
        <v>195</v>
      </c>
      <c r="I61" s="82" t="str">
        <f>'Necesidades Trimestrales'!F58</f>
        <v>UNIDAD</v>
      </c>
      <c r="J61" s="134">
        <f>'Necesidades Trimestrales'!H59</f>
        <v>602</v>
      </c>
      <c r="K61" s="83">
        <f>'Necesidades Trimestrales'!G59</f>
        <v>80</v>
      </c>
      <c r="L61" s="2"/>
      <c r="M61" s="2"/>
      <c r="N61" s="2"/>
      <c r="O61" s="5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spans="1:1024" s="44" customFormat="1" ht="27.75" customHeight="1" thickBot="1" x14ac:dyDescent="0.25">
      <c r="A62" s="84">
        <v>51</v>
      </c>
      <c r="B62" s="81" t="str">
        <f>'Necesidades Trimestrales'!B60</f>
        <v>2.9.2-317.32</v>
      </c>
      <c r="C62" s="144" t="str">
        <f>'Necesidades Trimestrales'!E60</f>
        <v>BOLIGRAFOS; TRAZO: 0,8 mm</v>
      </c>
      <c r="D62" s="144"/>
      <c r="E62" s="144"/>
      <c r="F62" s="144"/>
      <c r="G62" s="144"/>
      <c r="H62" s="85" t="s">
        <v>195</v>
      </c>
      <c r="I62" s="82" t="str">
        <f>'Necesidades Trimestrales'!F59</f>
        <v>UNIDAD</v>
      </c>
      <c r="J62" s="134">
        <f>'Necesidades Trimestrales'!H60</f>
        <v>78.400000000000006</v>
      </c>
      <c r="K62" s="83">
        <f>'Necesidades Trimestrales'!G60</f>
        <v>100</v>
      </c>
      <c r="L62" s="2"/>
      <c r="M62" s="2"/>
      <c r="N62" s="2"/>
      <c r="O62" s="5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 s="44" customFormat="1" ht="27.75" customHeight="1" thickBot="1" x14ac:dyDescent="0.25">
      <c r="A63" s="84">
        <v>52</v>
      </c>
      <c r="B63" s="81" t="str">
        <f>'Necesidades Trimestrales'!B61</f>
        <v>2.9.2-317.32</v>
      </c>
      <c r="C63" s="144" t="str">
        <f>'Necesidades Trimestrales'!E61</f>
        <v>BOLIGRAFOS; TRAZO: 0,8 mm</v>
      </c>
      <c r="D63" s="144"/>
      <c r="E63" s="144"/>
      <c r="F63" s="144"/>
      <c r="G63" s="144"/>
      <c r="H63" s="85" t="s">
        <v>195</v>
      </c>
      <c r="I63" s="82" t="str">
        <f>'Necesidades Trimestrales'!F60</f>
        <v>UNIDAD</v>
      </c>
      <c r="J63" s="134">
        <f>'Necesidades Trimestrales'!H61</f>
        <v>78.400000000000006</v>
      </c>
      <c r="K63" s="83">
        <f>'Necesidades Trimestrales'!G61</f>
        <v>300</v>
      </c>
      <c r="L63" s="2"/>
      <c r="M63" s="2"/>
      <c r="N63" s="2"/>
      <c r="O63" s="5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 s="44" customFormat="1" ht="27.75" customHeight="1" thickBot="1" x14ac:dyDescent="0.25">
      <c r="A64" s="84">
        <v>53</v>
      </c>
      <c r="B64" s="81" t="str">
        <f>'Necesidades Trimestrales'!B62</f>
        <v>2.9.2-317.32</v>
      </c>
      <c r="C64" s="144" t="str">
        <f>'Necesidades Trimestrales'!E62</f>
        <v>BOLIGRAFOS; TRAZO: 0,8 mm</v>
      </c>
      <c r="D64" s="144"/>
      <c r="E64" s="144"/>
      <c r="F64" s="144"/>
      <c r="G64" s="144"/>
      <c r="H64" s="85" t="s">
        <v>195</v>
      </c>
      <c r="I64" s="82" t="str">
        <f>'Necesidades Trimestrales'!F61</f>
        <v>UNIDAD</v>
      </c>
      <c r="J64" s="134">
        <f>'Necesidades Trimestrales'!H62</f>
        <v>78.400000000000006</v>
      </c>
      <c r="K64" s="83">
        <f>'Necesidades Trimestrales'!G62</f>
        <v>300</v>
      </c>
      <c r="L64" s="2"/>
      <c r="M64" s="2"/>
      <c r="N64" s="2"/>
      <c r="O64" s="5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 s="44" customFormat="1" ht="27.75" customHeight="1" thickBot="1" x14ac:dyDescent="0.25">
      <c r="A65" s="84">
        <v>54</v>
      </c>
      <c r="B65" s="81" t="str">
        <f>'Necesidades Trimestrales'!B63</f>
        <v>2.3.1-6586.182</v>
      </c>
      <c r="C65" s="144" t="str">
        <f>'Necesidades Trimestrales'!E63</f>
        <v>PAPELES EN ROLLO; TIPO DE PAPEL: TERMICO, LONGITUD: SIN VALOR, ANCHO: SIN VALOR, CERTIFICADO FORESTAL (GFS): SIN VALOR, PORC. FIBRAS RECICLADAS: SIN VALOR</v>
      </c>
      <c r="D65" s="144"/>
      <c r="E65" s="144"/>
      <c r="F65" s="144"/>
      <c r="G65" s="144"/>
      <c r="H65" s="85" t="s">
        <v>195</v>
      </c>
      <c r="I65" s="82" t="str">
        <f>'Necesidades Trimestrales'!F62</f>
        <v>UNIDAD</v>
      </c>
      <c r="J65" s="134">
        <f>'Necesidades Trimestrales'!H63</f>
        <v>160</v>
      </c>
      <c r="K65" s="83">
        <f>'Necesidades Trimestrales'!G63</f>
        <v>50</v>
      </c>
      <c r="L65" s="2"/>
      <c r="M65" s="2"/>
      <c r="N65" s="2"/>
      <c r="O65" s="5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 s="44" customFormat="1" ht="32.25" customHeight="1" thickBot="1" x14ac:dyDescent="0.25">
      <c r="A66" s="84">
        <v>55</v>
      </c>
      <c r="B66" s="81" t="str">
        <f>'Necesidades Trimestrales'!B64</f>
        <v>2.3.1-6587.353</v>
      </c>
      <c r="C66" s="144" t="str">
        <f>'Necesidades Trimestrales'!E64</f>
        <v>PAPELES ENCUADERNADOS; CANT. DE HOJAS: 80 HOJAS, TAMAÑO: A4, TIPO: ESPIRALADO CUADRICULADO, CERTIFICADO FORESTAL (GFS): SIN, PORC. FIBRAS RECICLADAS: 0 %, CERT. FIBRA ALTERNATIVA (FCA): SIN</v>
      </c>
      <c r="D66" s="144"/>
      <c r="E66" s="144"/>
      <c r="F66" s="144"/>
      <c r="G66" s="144"/>
      <c r="H66" s="85" t="s">
        <v>59</v>
      </c>
      <c r="I66" s="82" t="str">
        <f>'Necesidades Trimestrales'!F63</f>
        <v>UNIDAD</v>
      </c>
      <c r="J66" s="134">
        <f>'Necesidades Trimestrales'!H64</f>
        <v>430</v>
      </c>
      <c r="K66" s="83">
        <f>'Necesidades Trimestrales'!G64</f>
        <v>50</v>
      </c>
      <c r="L66" s="2"/>
      <c r="M66" s="2"/>
      <c r="N66" s="2"/>
      <c r="O66" s="5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 s="44" customFormat="1" ht="27.75" customHeight="1" thickBot="1" x14ac:dyDescent="0.25">
      <c r="A67" s="84">
        <v>56</v>
      </c>
      <c r="B67" s="81" t="str">
        <f>'Necesidades Trimestrales'!B65</f>
        <v>2.9.2-5042.40</v>
      </c>
      <c r="C67" s="144" t="str">
        <f>'Necesidades Trimestrales'!E65</f>
        <v>TIJERA; USO: CORTE, MATERIAL: ACERO INOXIDABLE, LONG.DE CUERPO: 21 Cm</v>
      </c>
      <c r="D67" s="144"/>
      <c r="E67" s="144"/>
      <c r="F67" s="144"/>
      <c r="G67" s="144"/>
      <c r="H67" s="85" t="s">
        <v>59</v>
      </c>
      <c r="I67" s="82" t="str">
        <f>'Necesidades Trimestrales'!F64</f>
        <v>UNIDAD</v>
      </c>
      <c r="J67" s="134">
        <f>'Necesidades Trimestrales'!H65</f>
        <v>532</v>
      </c>
      <c r="K67" s="83">
        <f>'Necesidades Trimestrales'!G65</f>
        <v>10</v>
      </c>
      <c r="L67" s="2"/>
      <c r="M67" s="2"/>
      <c r="N67" s="2"/>
      <c r="O67" s="5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 ht="26.25" customHeight="1" thickBot="1" x14ac:dyDescent="0.25">
      <c r="A68" s="154" t="s">
        <v>304</v>
      </c>
      <c r="B68" s="155"/>
      <c r="C68" s="155"/>
      <c r="D68" s="155"/>
      <c r="E68" s="155"/>
      <c r="F68" s="155"/>
      <c r="G68" s="155"/>
      <c r="H68" s="155"/>
      <c r="I68" s="156"/>
      <c r="J68" s="157">
        <v>3102412.6</v>
      </c>
      <c r="K68" s="158"/>
      <c r="O68" s="54"/>
    </row>
  </sheetData>
  <mergeCells count="78">
    <mergeCell ref="C44:G44"/>
    <mergeCell ref="C52:G52"/>
    <mergeCell ref="C53:G53"/>
    <mergeCell ref="C62:G62"/>
    <mergeCell ref="C66:G66"/>
    <mergeCell ref="C50:G50"/>
    <mergeCell ref="C51:G51"/>
    <mergeCell ref="C63:G63"/>
    <mergeCell ref="C60:G60"/>
    <mergeCell ref="C61:G61"/>
    <mergeCell ref="C45:G45"/>
    <mergeCell ref="C46:G46"/>
    <mergeCell ref="C47:G47"/>
    <mergeCell ref="C48:G48"/>
    <mergeCell ref="C43:G43"/>
    <mergeCell ref="C38:G38"/>
    <mergeCell ref="C39:G39"/>
    <mergeCell ref="C40:G40"/>
    <mergeCell ref="C41:G41"/>
    <mergeCell ref="C42:G42"/>
    <mergeCell ref="A68:I68"/>
    <mergeCell ref="J68:K6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54:G5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7:G37"/>
    <mergeCell ref="C30:G30"/>
    <mergeCell ref="C25:G25"/>
    <mergeCell ref="C26:G26"/>
    <mergeCell ref="C27:G27"/>
    <mergeCell ref="C28:G28"/>
    <mergeCell ref="C29:G29"/>
    <mergeCell ref="C36:G36"/>
    <mergeCell ref="C31:G31"/>
    <mergeCell ref="C32:G32"/>
    <mergeCell ref="C33:G33"/>
    <mergeCell ref="C34:G34"/>
    <mergeCell ref="C35:G35"/>
    <mergeCell ref="C49:G49"/>
    <mergeCell ref="C67:G67"/>
    <mergeCell ref="C55:G55"/>
    <mergeCell ref="C56:G56"/>
    <mergeCell ref="C57:G57"/>
    <mergeCell ref="C58:G58"/>
    <mergeCell ref="C59:G59"/>
    <mergeCell ref="C64:G64"/>
    <mergeCell ref="C65:G6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4" zoomScale="130" zoomScaleNormal="130" workbookViewId="0">
      <selection activeCell="T18" sqref="T18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28515625" bestFit="1" customWidth="1"/>
  </cols>
  <sheetData>
    <row r="1" spans="1:17" ht="15.75" customHeight="1" x14ac:dyDescent="0.25">
      <c r="A1" s="159" t="s">
        <v>3</v>
      </c>
      <c r="B1" s="159"/>
      <c r="C1" s="159"/>
      <c r="D1" s="160">
        <f>'Necesidades Trimestrales'!C6</f>
        <v>2022</v>
      </c>
      <c r="E1" s="160"/>
      <c r="F1" s="4"/>
      <c r="G1" s="4"/>
      <c r="H1" s="5"/>
      <c r="I1" s="5"/>
      <c r="J1" s="5"/>
      <c r="K1" s="5"/>
      <c r="L1" s="5"/>
      <c r="M1" s="5"/>
      <c r="N1" s="5"/>
      <c r="P1" s="161" t="s">
        <v>31</v>
      </c>
      <c r="Q1" s="161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61"/>
      <c r="Q2" s="161"/>
    </row>
    <row r="4" spans="1:17" s="6" customFormat="1" ht="18" customHeight="1" thickBot="1" x14ac:dyDescent="0.25">
      <c r="A4" s="162" t="s">
        <v>32</v>
      </c>
      <c r="B4" s="162"/>
      <c r="C4" s="162"/>
      <c r="D4" s="162"/>
      <c r="E4" s="162"/>
      <c r="F4" s="162"/>
      <c r="G4" s="163" t="str">
        <f>' NotaPedido'!D3</f>
        <v xml:space="preserve">45- Ministerio de Desarrollo Social 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s="6" customFormat="1" ht="18" customHeight="1" thickBot="1" x14ac:dyDescent="0.25">
      <c r="A5" s="164" t="s">
        <v>55</v>
      </c>
      <c r="B5" s="165"/>
      <c r="C5" s="165"/>
      <c r="D5" s="165"/>
      <c r="E5" s="165"/>
      <c r="F5" s="166"/>
      <c r="G5" s="163" t="str">
        <f>' NotaPedido'!D4</f>
        <v>25- Direccion Provincial de Gestion Administracion y RRHH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s="6" customFormat="1" ht="18" customHeight="1" thickBot="1" x14ac:dyDescent="0.25">
      <c r="A6" s="164" t="s">
        <v>33</v>
      </c>
      <c r="B6" s="165"/>
      <c r="C6" s="165"/>
      <c r="D6" s="165"/>
      <c r="E6" s="165"/>
      <c r="F6" s="166"/>
      <c r="G6" s="163" t="str">
        <f>' NotaPedido'!D5</f>
        <v xml:space="preserve">01 - Ministerio Desarrollo Social 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s="6" customFormat="1" ht="18" customHeight="1" thickBot="1" x14ac:dyDescent="0.25">
      <c r="A7" s="164" t="s">
        <v>56</v>
      </c>
      <c r="B7" s="165"/>
      <c r="C7" s="165"/>
      <c r="D7" s="165"/>
      <c r="E7" s="165"/>
      <c r="F7" s="166"/>
      <c r="G7" s="163" t="str">
        <f>' NotaPedido'!D6</f>
        <v>01- Actividad Central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8" customHeight="1" thickBot="1" x14ac:dyDescent="0.25">
      <c r="A8" s="167" t="s">
        <v>34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35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"/>
      <c r="P9" s="1"/>
      <c r="Q9" s="7"/>
    </row>
    <row r="10" spans="1:17" ht="54.75" customHeight="1" x14ac:dyDescent="0.2">
      <c r="A10" s="16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177/2022,  afectando la erogación resultante a los créditos presupuestarios aprobados a favor de esta Unidad Ejecutora, conforme al siguiente detalle: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70" t="s">
        <v>36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37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38</v>
      </c>
      <c r="P13" s="172"/>
      <c r="Q13" s="173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72"/>
      <c r="P14" s="172"/>
      <c r="Q14" s="173"/>
    </row>
    <row r="15" spans="1:17" ht="17.25" customHeight="1" x14ac:dyDescent="0.2">
      <c r="A15" s="47">
        <v>1</v>
      </c>
      <c r="B15" s="48"/>
      <c r="C15" s="48"/>
      <c r="D15" s="48">
        <v>1</v>
      </c>
      <c r="E15" s="48"/>
      <c r="F15" s="48">
        <v>4901</v>
      </c>
      <c r="G15" s="48">
        <v>1</v>
      </c>
      <c r="H15" s="48">
        <v>3</v>
      </c>
      <c r="I15" s="48" t="str">
        <f>LEFT('[1]Necesidades Trimestrales'!D10,1)</f>
        <v>2</v>
      </c>
      <c r="J15" s="48">
        <v>3</v>
      </c>
      <c r="K15" s="48">
        <v>1</v>
      </c>
      <c r="L15" s="48"/>
      <c r="M15" s="49">
        <v>1</v>
      </c>
      <c r="N15" s="50" t="s">
        <v>60</v>
      </c>
      <c r="O15" s="174" t="s">
        <v>230</v>
      </c>
      <c r="P15" s="175"/>
      <c r="Q15" s="52">
        <v>1980706</v>
      </c>
    </row>
    <row r="16" spans="1:17" ht="22.5" customHeight="1" x14ac:dyDescent="0.2">
      <c r="A16" s="17">
        <v>1</v>
      </c>
      <c r="B16" s="18"/>
      <c r="C16" s="18"/>
      <c r="D16" s="18">
        <v>1</v>
      </c>
      <c r="E16" s="18"/>
      <c r="F16" s="18">
        <v>4901</v>
      </c>
      <c r="G16" s="18">
        <v>1</v>
      </c>
      <c r="H16" s="18">
        <v>3</v>
      </c>
      <c r="I16" s="18">
        <v>2</v>
      </c>
      <c r="J16" s="18">
        <v>9</v>
      </c>
      <c r="K16" s="18">
        <v>2</v>
      </c>
      <c r="L16" s="18"/>
      <c r="M16" s="19">
        <v>1</v>
      </c>
      <c r="N16" s="18" t="s">
        <v>60</v>
      </c>
      <c r="O16" s="176" t="s">
        <v>231</v>
      </c>
      <c r="P16" s="177"/>
      <c r="Q16" s="53">
        <v>1121706.6000000001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51"/>
      <c r="O17" s="178"/>
      <c r="P17" s="179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79"/>
      <c r="P18" s="17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79"/>
      <c r="P19" s="179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79"/>
      <c r="P20" s="17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85"/>
      <c r="P21" s="18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86"/>
      <c r="P22" s="186"/>
      <c r="Q22" s="30"/>
    </row>
    <row r="23" spans="1:18" ht="32.25" customHeight="1" x14ac:dyDescent="0.2">
      <c r="A23" s="187" t="s">
        <v>305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31">
        <f>SUM(Q15:Q22)</f>
        <v>3102412.6</v>
      </c>
    </row>
    <row r="24" spans="1:18" ht="18" customHeight="1" thickBot="1" x14ac:dyDescent="0.25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</row>
    <row r="25" spans="1:18" ht="17.25" customHeight="1" thickBot="1" x14ac:dyDescent="0.25">
      <c r="A25" s="180" t="s">
        <v>53</v>
      </c>
      <c r="B25" s="181"/>
      <c r="C25" s="181"/>
      <c r="D25" s="181"/>
      <c r="E25" s="181"/>
      <c r="F25" s="182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</row>
    <row r="26" spans="1:18" ht="18" customHeight="1" thickBot="1" x14ac:dyDescent="0.25">
      <c r="A26" s="184" t="s">
        <v>303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</row>
    <row r="27" spans="1:18" ht="16.5" customHeight="1" x14ac:dyDescent="0.2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Facundo</cp:lastModifiedBy>
  <cp:revision>2</cp:revision>
  <cp:lastPrinted>2022-02-22T15:12:37Z</cp:lastPrinted>
  <dcterms:created xsi:type="dcterms:W3CDTF">2020-07-17T23:44:49Z</dcterms:created>
  <dcterms:modified xsi:type="dcterms:W3CDTF">2022-04-21T13:40:41Z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