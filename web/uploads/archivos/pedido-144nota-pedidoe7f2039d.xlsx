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esktop\SILVINA\SILVINA\DICIEMBRE 2021\"/>
    </mc:Choice>
  </mc:AlternateContent>
  <xr:revisionPtr revIDLastSave="0" documentId="13_ncr:1_{3DF059EF-F2FC-490D-8D11-CDDD03CE904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" l="1"/>
  <c r="I10" i="1" l="1"/>
  <c r="G6" i="3"/>
  <c r="G7" i="3"/>
  <c r="D3" i="2"/>
  <c r="G4" i="3" s="1"/>
  <c r="D4" i="2"/>
  <c r="G5" i="3" s="1"/>
  <c r="D1" i="3" l="1"/>
  <c r="K12" i="2"/>
  <c r="J12" i="2"/>
  <c r="I12" i="2"/>
  <c r="C12" i="2"/>
  <c r="B12" i="2"/>
  <c r="Q15" i="3" l="1"/>
  <c r="Q23" i="3" s="1"/>
  <c r="J13" i="2"/>
</calcChain>
</file>

<file path=xl/sharedStrings.xml><?xml version="1.0" encoding="utf-8"?>
<sst xmlns="http://schemas.openxmlformats.org/spreadsheetml/2006/main" count="86" uniqueCount="80">
  <si>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</si>
  <si>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</si>
  <si>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</si>
  <si>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</si>
  <si>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</si>
  <si>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</si>
  <si>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</si>
  <si>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</si>
  <si>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</si>
  <si>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</si>
  <si>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</si>
  <si>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</si>
  <si>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</si>
  <si>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</si>
  <si>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</si>
  <si>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</si>
  <si>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</si>
  <si>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</si>
  <si>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</si>
  <si>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</si>
  <si>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</si>
  <si>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</si>
  <si>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</si>
  <si>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</si>
  <si>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</si>
  <si>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</si>
  <si>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</si>
  <si>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</si>
  <si>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</si>
  <si>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</si>
  <si>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</si>
  <si>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</si>
  <si>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</si>
  <si>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</si>
  <si>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</si>
  <si>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</si>
  <si>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</si>
  <si>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</si>
  <si>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</si>
  <si>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</si>
  <si>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</si>
  <si>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</si>
  <si>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</si>
  <si>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</si>
  <si>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</si>
  <si>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</si>
  <si>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</si>
  <si>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</si>
  <si>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</si>
  <si>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</si>
  <si>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</si>
  <si>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</si>
  <si>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</si>
  <si>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</si>
  <si>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</si>
  <si>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</si>
  <si>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</si>
  <si>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</si>
  <si>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</si>
  <si>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SERVICIO DE PLATAFORMA TECNOLOGICA</t>
  </si>
  <si>
    <t>Secretaria de Compras y Abastecimientos</t>
  </si>
  <si>
    <t>SERV. PROFESIONAL Y COMERCIAL</t>
  </si>
  <si>
    <t>3.4.9-9580.1</t>
  </si>
  <si>
    <t>3.4.9</t>
  </si>
  <si>
    <t>SERV. DE VENTA; DESCRIPCION: SERV. DE VENTA</t>
  </si>
  <si>
    <t>Otros No Especificados Precedentemente (N.E.P.)</t>
  </si>
  <si>
    <t>OBSERVACIONES:</t>
  </si>
  <si>
    <t>2021-2022</t>
  </si>
  <si>
    <t>SERVICIO</t>
  </si>
  <si>
    <t>REF: SERVICIO DE PLATAFORMA TECNOLOGICA POR UN PLAZO DE SEIS (6) MESES, CON OPCION A PRORROGA.-</t>
  </si>
  <si>
    <t>9 - Direcion Provincial de Administracion de la Secretaria de Finanzas Públicas</t>
  </si>
  <si>
    <t>30 - Ministerio de Hacienda Publica</t>
  </si>
  <si>
    <t>2021 -2022</t>
  </si>
  <si>
    <t>148/2021</t>
  </si>
  <si>
    <t>TOTAL DE PESOS: Cuatro Millones Setecientos Cuarenta  Mil  con 00/100.-</t>
  </si>
  <si>
    <t>CREDITO A AFECTAR EN EL PRESENTE EJERCICIO 2021 $ 203.870,96</t>
  </si>
  <si>
    <t>CREDITO A AFECTAR EN EL PRESENTE EJERCICIO 2022 $ 4.536.129,04</t>
  </si>
  <si>
    <t>SERVICIO DE PLATAFORMA TECNOLOGICA BIONEXO SEGÚN INFORME TECNICO ADJUNTO IF-2021-01990443-CAT-SCA#MHP</t>
  </si>
  <si>
    <t>Costo total estimado: Cuatro Millones Setecientos Cuarenta Mil  con 00/100.-</t>
  </si>
  <si>
    <t>SERVICIO A PRESTAR A PARTIR DEL DIA INMEDIATO SIGUIENTE DEL VENCIMIENTO DE LA PRORROGA  DEL CONTRATO ORIGINARIO  EN LA SECRETARIA DE COMPRAS Y ABASTECIMIENTO CITO EN PABELLON N° 21 - CAPE - SAN FERNANDO DEL VALLE DE CATAMARCA.-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</si>
</sst>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5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2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7" xfId="0" applyFont="1" applyBorder="1"/>
    <xf numFmtId="0" fontId="22" fillId="0" borderId="6" xfId="0" applyFont="1" applyBorder="1" applyAlignment="1">
      <alignment horizontal="left" indent="3"/>
    </xf>
    <xf numFmtId="0" fontId="15" fillId="0" borderId="6" xfId="0" applyFont="1" applyBorder="1" applyAlignment="1">
      <alignment horizontal="left" indent="3"/>
    </xf>
    <xf numFmtId="0" fontId="15" fillId="0" borderId="8" xfId="0" applyFont="1" applyBorder="1" applyAlignment="1">
      <alignment horizontal="left" indent="3"/>
    </xf>
    <xf numFmtId="0" fontId="23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7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 wrapText="1"/>
    </xf>
    <xf numFmtId="0" fontId="15" fillId="0" borderId="9" xfId="0" applyFont="1" applyFill="1" applyBorder="1"/>
    <xf numFmtId="0" fontId="15" fillId="0" borderId="10" xfId="0" applyFont="1" applyFill="1" applyBorder="1"/>
    <xf numFmtId="0" fontId="15" fillId="0" borderId="0" xfId="0" applyFont="1" applyFill="1"/>
    <xf numFmtId="0" fontId="20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 wrapText="1"/>
    </xf>
    <xf numFmtId="0" fontId="0" fillId="0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166" fontId="4" fillId="0" borderId="15" xfId="1" applyNumberFormat="1" applyFont="1" applyFill="1" applyBorder="1" applyAlignment="1" applyProtection="1">
      <alignment horizontal="center" vertical="center" wrapText="1"/>
    </xf>
    <xf numFmtId="166" fontId="0" fillId="3" borderId="34" xfId="3" applyNumberFormat="1" applyFont="1" applyFill="1" applyBorder="1" applyAlignment="1" applyProtection="1">
      <alignment horizontal="center" vertical="center"/>
    </xf>
    <xf numFmtId="166" fontId="13" fillId="3" borderId="44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left" wrapText="1" indent="1"/>
    </xf>
    <xf numFmtId="0" fontId="21" fillId="3" borderId="15" xfId="0" applyFont="1" applyFill="1" applyBorder="1" applyAlignment="1">
      <alignment horizontal="center" vertical="center" wrapText="1"/>
    </xf>
    <xf numFmtId="166" fontId="20" fillId="3" borderId="21" xfId="1" applyNumberFormat="1" applyFont="1" applyFill="1" applyBorder="1" applyAlignment="1" applyProtection="1">
      <alignment horizontal="center" vertical="center" wrapText="1"/>
    </xf>
    <xf numFmtId="166" fontId="20" fillId="3" borderId="15" xfId="1" applyNumberFormat="1" applyFont="1" applyFill="1" applyBorder="1" applyAlignment="1" applyProtection="1">
      <alignment horizontal="center" vertical="center" wrapText="1"/>
    </xf>
    <xf numFmtId="166" fontId="0" fillId="0" borderId="0" xfId="0" applyNumberFormat="1"/>
    <xf numFmtId="0" fontId="15" fillId="0" borderId="7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left" wrapText="1"/>
    </xf>
    <xf numFmtId="0" fontId="15" fillId="0" borderId="7" xfId="0" applyFont="1" applyFill="1" applyBorder="1" applyAlignment="1">
      <alignment horizontal="left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7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0" borderId="0" xfId="0" applyFont="1" applyFill="1" applyBorder="1" applyAlignment="1">
      <alignment horizontal="left" wrapText="1" indent="1"/>
    </xf>
    <xf numFmtId="0" fontId="6" fillId="0" borderId="49" xfId="0" applyFont="1" applyBorder="1" applyAlignment="1">
      <alignment horizontal="left" vertical="center" wrapText="1"/>
    </xf>
    <xf numFmtId="167" fontId="7" fillId="0" borderId="49" xfId="0" applyNumberFormat="1" applyFont="1" applyBorder="1" applyAlignment="1">
      <alignment horizontal="center" vertical="center"/>
    </xf>
    <xf numFmtId="0" fontId="4" fillId="0" borderId="50" xfId="0" applyFont="1" applyFill="1" applyBorder="1" applyAlignment="1">
      <alignment horizontal="left" vertical="center" wrapText="1"/>
    </xf>
    <xf numFmtId="0" fontId="4" fillId="0" borderId="51" xfId="0" applyFont="1" applyFill="1" applyBorder="1" applyAlignment="1">
      <alignment horizontal="left" vertical="center" wrapText="1"/>
    </xf>
    <xf numFmtId="0" fontId="4" fillId="0" borderId="52" xfId="0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 inden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3" borderId="44" xfId="0" applyFont="1" applyFill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11" fillId="0" borderId="23" xfId="0" applyFont="1" applyBorder="1"/>
    <xf numFmtId="0" fontId="11" fillId="3" borderId="24" xfId="0" applyFont="1" applyFill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 wrapText="1" indent="1"/>
    </xf>
    <xf numFmtId="0" fontId="11" fillId="3" borderId="0" xfId="0" applyFont="1" applyFill="1" applyBorder="1" applyAlignment="1">
      <alignment horizontal="left" vertical="center" wrapText="1" indent="1"/>
    </xf>
    <xf numFmtId="0" fontId="11" fillId="3" borderId="7" xfId="0" applyFont="1" applyFill="1" applyBorder="1" applyAlignment="1">
      <alignment horizontal="left" vertical="center" wrapText="1" indent="1"/>
    </xf>
    <xf numFmtId="0" fontId="11" fillId="3" borderId="8" xfId="0" applyFont="1" applyFill="1" applyBorder="1" applyAlignment="1">
      <alignment horizontal="left" vertical="center" wrapText="1" indent="1"/>
    </xf>
    <xf numFmtId="0" fontId="11" fillId="3" borderId="9" xfId="0" applyFont="1" applyFill="1" applyBorder="1" applyAlignment="1">
      <alignment horizontal="left" vertical="center" wrapText="1" indent="1"/>
    </xf>
    <xf numFmtId="0" fontId="11" fillId="3" borderId="10" xfId="0" applyFont="1" applyFill="1" applyBorder="1" applyAlignment="1">
      <alignment horizontal="left" vertical="center" wrapText="1" indent="1"/>
    </xf>
    <xf numFmtId="0" fontId="9" fillId="0" borderId="3" xfId="0" applyFont="1" applyBorder="1" applyAlignment="1">
      <alignment vertical="center" wrapText="1"/>
    </xf>
    <xf numFmtId="0" fontId="9" fillId="0" borderId="53" xfId="0" applyFont="1" applyBorder="1" applyAlignment="1">
      <alignment vertical="center" wrapText="1"/>
    </xf>
    <xf numFmtId="0" fontId="9" fillId="0" borderId="54" xfId="0" applyFont="1" applyBorder="1" applyAlignment="1">
      <alignment vertical="center" wrapText="1"/>
    </xf>
    <xf numFmtId="0" fontId="11" fillId="3" borderId="3" xfId="0" applyFont="1" applyFill="1" applyBorder="1" applyAlignment="1">
      <alignment horizontal="left" vertical="center" wrapText="1" indent="1"/>
    </xf>
    <xf numFmtId="0" fontId="11" fillId="3" borderId="4" xfId="0" applyFont="1" applyFill="1" applyBorder="1" applyAlignment="1">
      <alignment horizontal="left" vertical="center" wrapText="1" indent="1"/>
    </xf>
    <xf numFmtId="0" fontId="11" fillId="3" borderId="5" xfId="0" applyFont="1" applyFill="1" applyBorder="1" applyAlignment="1">
      <alignment horizontal="left" vertical="center" wrapText="1" inden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workbookViewId="0">
      <selection activeCell="E23" sqref="E23"/>
    </sheetView>
  </sheetViews>
  <sheetFormatPr baseColWidth="10" defaultColWidth="11" defaultRowHeight="12.75" x14ac:dyDescent="0.2"/>
  <cols>
    <col min="1" max="1" width="4.5703125" style="36" customWidth="1"/>
    <col min="2" max="2" width="12.85546875" style="36" customWidth="1"/>
    <col min="3" max="3" width="32.42578125" style="36" customWidth="1"/>
    <col min="4" max="4" width="8.42578125" style="36" customWidth="1"/>
    <col min="5" max="5" width="78.42578125" style="36" bestFit="1" customWidth="1"/>
    <col min="6" max="6" width="11" style="36"/>
    <col min="7" max="7" width="12.7109375" style="36" customWidth="1"/>
    <col min="8" max="8" width="13.85546875" style="36" customWidth="1"/>
    <col min="9" max="9" width="18.5703125" style="36" customWidth="1"/>
    <col min="10" max="16384" width="11" style="36"/>
  </cols>
  <sheetData>
    <row r="2" spans="1:9" ht="27" x14ac:dyDescent="0.35">
      <c r="B2" s="87" t="s">
        <v>0</v>
      </c>
      <c r="C2" s="87"/>
      <c r="D2" s="87"/>
      <c r="E2" s="87"/>
      <c r="F2" s="87"/>
      <c r="G2" s="87"/>
      <c r="H2" s="87"/>
    </row>
    <row r="4" spans="1:9" ht="18" customHeight="1" x14ac:dyDescent="0.25">
      <c r="A4" s="83" t="s">
        <v>1</v>
      </c>
      <c r="B4" s="83"/>
      <c r="C4" s="88" t="s">
        <v>71</v>
      </c>
      <c r="D4" s="88"/>
      <c r="E4" s="88"/>
      <c r="F4" s="37"/>
      <c r="G4" s="38"/>
      <c r="H4" s="37"/>
    </row>
    <row r="5" spans="1:9" ht="18" customHeight="1" x14ac:dyDescent="0.25">
      <c r="A5" s="83" t="s">
        <v>2</v>
      </c>
      <c r="B5" s="83"/>
      <c r="C5" s="88" t="s">
        <v>70</v>
      </c>
      <c r="D5" s="88"/>
      <c r="E5" s="88"/>
      <c r="F5" s="37"/>
      <c r="G5" s="38"/>
      <c r="H5" s="37"/>
    </row>
    <row r="6" spans="1:9" ht="16.5" customHeight="1" x14ac:dyDescent="0.25">
      <c r="A6" s="83" t="s">
        <v>3</v>
      </c>
      <c r="B6" s="83"/>
      <c r="C6" s="75" t="s">
        <v>67</v>
      </c>
      <c r="D6" s="50"/>
      <c r="E6" s="50"/>
      <c r="F6" s="37"/>
      <c r="G6" s="38"/>
      <c r="H6" s="37"/>
    </row>
    <row r="7" spans="1:9" ht="16.5" customHeight="1" x14ac:dyDescent="0.25">
      <c r="A7" s="83" t="s">
        <v>4</v>
      </c>
      <c r="B7" s="83"/>
      <c r="C7" s="49"/>
      <c r="D7" s="50"/>
      <c r="E7" s="50"/>
      <c r="F7" s="37"/>
      <c r="G7" s="38"/>
      <c r="H7" s="37"/>
    </row>
    <row r="8" spans="1:9" x14ac:dyDescent="0.2">
      <c r="B8" s="37"/>
      <c r="C8" s="38"/>
      <c r="D8" s="37"/>
      <c r="E8" s="37"/>
      <c r="F8" s="37"/>
      <c r="G8" s="38"/>
      <c r="H8" s="37"/>
    </row>
    <row r="9" spans="1:9" ht="39.75" thickTop="1" thickBot="1" x14ac:dyDescent="0.25">
      <c r="A9" s="39" t="s">
        <v>5</v>
      </c>
      <c r="B9" s="39" t="s">
        <v>6</v>
      </c>
      <c r="C9" s="39" t="s">
        <v>7</v>
      </c>
      <c r="D9" s="39" t="s">
        <v>8</v>
      </c>
      <c r="E9" s="39" t="s">
        <v>9</v>
      </c>
      <c r="F9" s="39" t="s">
        <v>10</v>
      </c>
      <c r="G9" s="39" t="s">
        <v>11</v>
      </c>
      <c r="H9" s="39" t="s">
        <v>12</v>
      </c>
      <c r="I9" s="39" t="s">
        <v>13</v>
      </c>
    </row>
    <row r="10" spans="1:9" ht="13.5" thickBot="1" x14ac:dyDescent="0.25">
      <c r="A10" s="58">
        <v>1</v>
      </c>
      <c r="B10" s="58" t="s">
        <v>62</v>
      </c>
      <c r="C10" s="58" t="s">
        <v>61</v>
      </c>
      <c r="D10" s="58" t="s">
        <v>63</v>
      </c>
      <c r="E10" s="59" t="s">
        <v>64</v>
      </c>
      <c r="F10" s="76" t="s">
        <v>68</v>
      </c>
      <c r="G10" s="60">
        <v>6</v>
      </c>
      <c r="H10" s="78">
        <v>790000</v>
      </c>
      <c r="I10" s="77">
        <f>+G10*H10</f>
        <v>4740000</v>
      </c>
    </row>
    <row r="13" spans="1:9" x14ac:dyDescent="0.2">
      <c r="B13" s="40" t="s">
        <v>14</v>
      </c>
      <c r="C13" s="41"/>
      <c r="D13" s="41"/>
      <c r="E13" s="42"/>
    </row>
    <row r="14" spans="1:9" ht="5.25" customHeight="1" x14ac:dyDescent="0.2">
      <c r="B14" s="43"/>
      <c r="C14" s="44"/>
      <c r="D14" s="44"/>
      <c r="E14" s="45"/>
    </row>
    <row r="15" spans="1:9" x14ac:dyDescent="0.2">
      <c r="B15" s="46" t="s">
        <v>15</v>
      </c>
      <c r="C15" s="44"/>
      <c r="D15" s="44"/>
      <c r="E15" s="45"/>
    </row>
    <row r="16" spans="1:9" x14ac:dyDescent="0.2">
      <c r="B16" s="46"/>
      <c r="C16" s="84" t="s">
        <v>77</v>
      </c>
      <c r="D16" s="84"/>
      <c r="E16" s="85"/>
    </row>
    <row r="17" spans="2:5" x14ac:dyDescent="0.2">
      <c r="B17" s="46" t="s">
        <v>16</v>
      </c>
      <c r="C17" s="51"/>
      <c r="D17" s="51"/>
      <c r="E17" s="52"/>
    </row>
    <row r="18" spans="2:5" ht="29.25" customHeight="1" x14ac:dyDescent="0.2">
      <c r="B18" s="47"/>
      <c r="C18" s="86" t="s">
        <v>79</v>
      </c>
      <c r="D18" s="86"/>
      <c r="E18" s="86"/>
    </row>
    <row r="19" spans="2:5" x14ac:dyDescent="0.2">
      <c r="B19" s="46" t="s">
        <v>17</v>
      </c>
      <c r="C19" s="51"/>
      <c r="D19" s="51"/>
      <c r="E19" s="52"/>
    </row>
    <row r="20" spans="2:5" x14ac:dyDescent="0.2">
      <c r="B20" s="47"/>
      <c r="C20" s="80"/>
      <c r="D20" s="80"/>
      <c r="E20" s="80"/>
    </row>
    <row r="21" spans="2:5" x14ac:dyDescent="0.2">
      <c r="B21" s="46" t="s">
        <v>18</v>
      </c>
      <c r="C21" s="53"/>
      <c r="D21" s="53"/>
      <c r="E21" s="54"/>
    </row>
    <row r="22" spans="2:5" x14ac:dyDescent="0.2">
      <c r="B22" s="47"/>
      <c r="C22" s="81"/>
      <c r="D22" s="81"/>
      <c r="E22" s="81"/>
    </row>
    <row r="23" spans="2:5" x14ac:dyDescent="0.2">
      <c r="B23" s="46" t="s">
        <v>19</v>
      </c>
      <c r="C23" s="51"/>
      <c r="D23" s="51"/>
      <c r="E23" s="52"/>
    </row>
    <row r="24" spans="2:5" x14ac:dyDescent="0.2">
      <c r="B24" s="46"/>
      <c r="C24" s="82"/>
      <c r="D24" s="82"/>
      <c r="E24" s="82"/>
    </row>
    <row r="25" spans="2:5" x14ac:dyDescent="0.2">
      <c r="B25" s="48"/>
      <c r="C25" s="55"/>
      <c r="D25" s="55"/>
      <c r="E25" s="56"/>
    </row>
    <row r="26" spans="2:5" x14ac:dyDescent="0.2">
      <c r="C26" s="57"/>
      <c r="D26" s="57"/>
      <c r="E26" s="57"/>
    </row>
  </sheetData>
  <mergeCells count="12">
    <mergeCell ref="B2:H2"/>
    <mergeCell ref="A4:B4"/>
    <mergeCell ref="C4:E4"/>
    <mergeCell ref="A5:B5"/>
    <mergeCell ref="C5:E5"/>
    <mergeCell ref="C20:E20"/>
    <mergeCell ref="C22:E22"/>
    <mergeCell ref="C24:E24"/>
    <mergeCell ref="A6:B6"/>
    <mergeCell ref="A7:B7"/>
    <mergeCell ref="C16:E16"/>
    <mergeCell ref="C18:E1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workbookViewId="0">
      <selection activeCell="G20" sqref="G2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0" t="s">
        <v>20</v>
      </c>
      <c r="B1" s="100"/>
      <c r="C1" s="100"/>
      <c r="D1" s="100"/>
      <c r="E1" s="100"/>
      <c r="F1" s="100"/>
      <c r="G1" s="100"/>
      <c r="H1" s="100"/>
      <c r="I1" s="100"/>
      <c r="J1" s="3" t="s">
        <v>21</v>
      </c>
      <c r="K1" s="74" t="s">
        <v>73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1" t="s">
        <v>55</v>
      </c>
      <c r="B3" s="101"/>
      <c r="C3" s="101"/>
      <c r="D3" s="102" t="str">
        <f>'Necesidades Trimestrales'!C4</f>
        <v>30 - Ministerio de Hacienda Publica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25">
      <c r="A4" s="103" t="s">
        <v>56</v>
      </c>
      <c r="B4" s="103"/>
      <c r="C4" s="103"/>
      <c r="D4" s="102" t="str">
        <f>'Necesidades Trimestrales'!C5</f>
        <v>9 - Direcion Provincial de Administracion de la Secretaria de Finanzas Públicas</v>
      </c>
      <c r="E4" s="102"/>
      <c r="F4" s="102"/>
      <c r="G4" s="102"/>
      <c r="H4" s="102"/>
      <c r="I4" s="102"/>
      <c r="J4" s="102"/>
      <c r="K4" s="102"/>
    </row>
    <row r="5" spans="1:11" ht="18.75" customHeight="1" thickBot="1" x14ac:dyDescent="0.25">
      <c r="A5" s="103" t="s">
        <v>34</v>
      </c>
      <c r="B5" s="103"/>
      <c r="C5" s="103"/>
      <c r="D5" s="102" t="s">
        <v>60</v>
      </c>
      <c r="E5" s="102"/>
      <c r="F5" s="102"/>
      <c r="G5" s="102"/>
      <c r="H5" s="102"/>
      <c r="I5" s="102"/>
      <c r="J5" s="102"/>
      <c r="K5" s="102"/>
    </row>
    <row r="6" spans="1:11" ht="16.5" customHeight="1" thickBot="1" x14ac:dyDescent="0.25">
      <c r="A6" s="101" t="s">
        <v>57</v>
      </c>
      <c r="B6" s="101"/>
      <c r="C6" s="101"/>
      <c r="D6" s="102" t="s">
        <v>60</v>
      </c>
      <c r="E6" s="102"/>
      <c r="F6" s="102"/>
      <c r="G6" s="102"/>
      <c r="H6" s="102"/>
      <c r="I6" s="102"/>
      <c r="J6" s="102"/>
      <c r="K6" s="102"/>
    </row>
    <row r="7" spans="1:11" ht="16.5" customHeight="1" thickBot="1" x14ac:dyDescent="0.25">
      <c r="A7" s="103" t="s">
        <v>22</v>
      </c>
      <c r="B7" s="103"/>
      <c r="C7" s="103"/>
      <c r="D7" s="104" t="s">
        <v>72</v>
      </c>
      <c r="E7" s="104"/>
      <c r="F7" s="104"/>
      <c r="G7" s="104"/>
      <c r="H7" s="104"/>
      <c r="I7" s="104"/>
      <c r="J7" s="104"/>
      <c r="K7" s="104"/>
    </row>
    <row r="8" spans="1:11" ht="16.5" customHeight="1" x14ac:dyDescent="0.2">
      <c r="A8" s="94" t="s">
        <v>23</v>
      </c>
      <c r="B8" s="94"/>
      <c r="C8" s="94"/>
      <c r="D8" s="95" t="s">
        <v>59</v>
      </c>
      <c r="E8" s="95"/>
      <c r="F8" s="95"/>
      <c r="G8" s="95"/>
      <c r="H8" s="95"/>
      <c r="I8" s="95"/>
      <c r="J8" s="95"/>
      <c r="K8" s="95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25">
      <c r="A10" s="96" t="s">
        <v>24</v>
      </c>
      <c r="B10" s="97" t="s">
        <v>25</v>
      </c>
      <c r="C10" s="97" t="s">
        <v>26</v>
      </c>
      <c r="D10" s="97"/>
      <c r="E10" s="97"/>
      <c r="F10" s="97"/>
      <c r="G10" s="97"/>
      <c r="H10" s="97" t="s">
        <v>27</v>
      </c>
      <c r="I10" s="97" t="s">
        <v>28</v>
      </c>
      <c r="J10" s="97" t="s">
        <v>29</v>
      </c>
      <c r="K10" s="99" t="s">
        <v>30</v>
      </c>
    </row>
    <row r="11" spans="1:11" ht="24" customHeight="1" thickBot="1" x14ac:dyDescent="0.25">
      <c r="A11" s="96"/>
      <c r="B11" s="98"/>
      <c r="C11" s="98"/>
      <c r="D11" s="98"/>
      <c r="E11" s="98"/>
      <c r="F11" s="98"/>
      <c r="G11" s="98"/>
      <c r="H11" s="98"/>
      <c r="I11" s="97"/>
      <c r="J11" s="98"/>
      <c r="K11" s="99"/>
    </row>
    <row r="12" spans="1:11" ht="20.25" customHeight="1" thickBot="1" x14ac:dyDescent="0.25">
      <c r="A12" s="68">
        <v>1</v>
      </c>
      <c r="B12" s="69" t="str">
        <f>'Necesidades Trimestrales'!B10</f>
        <v>3.4.9-9580.1</v>
      </c>
      <c r="C12" s="91" t="str">
        <f>'Necesidades Trimestrales'!E10</f>
        <v>SERV. DE VENTA; DESCRIPCION: SERV. DE VENTA</v>
      </c>
      <c r="D12" s="92"/>
      <c r="E12" s="92"/>
      <c r="F12" s="92"/>
      <c r="G12" s="93"/>
      <c r="H12" s="69" t="s">
        <v>31</v>
      </c>
      <c r="I12" s="70" t="str">
        <f>'Necesidades Trimestrales'!F10</f>
        <v>SERVICIO</v>
      </c>
      <c r="J12" s="71">
        <f>'Necesidades Trimestrales'!H10</f>
        <v>790000</v>
      </c>
      <c r="K12" s="69">
        <f>'Necesidades Trimestrales'!G10</f>
        <v>6</v>
      </c>
    </row>
    <row r="13" spans="1:11" ht="20.25" customHeight="1" thickBot="1" x14ac:dyDescent="0.25">
      <c r="A13" s="89" t="s">
        <v>78</v>
      </c>
      <c r="B13" s="89"/>
      <c r="C13" s="89"/>
      <c r="D13" s="89"/>
      <c r="E13" s="89"/>
      <c r="F13" s="89"/>
      <c r="G13" s="89"/>
      <c r="H13" s="89"/>
      <c r="I13" s="89"/>
      <c r="J13" s="90">
        <f>SUMPRODUCT(J12:J12,K12:K12)</f>
        <v>4740000</v>
      </c>
      <c r="K13" s="90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2"/>
  <sheetViews>
    <sheetView topLeftCell="A13" zoomScale="130" zoomScaleNormal="130" workbookViewId="0">
      <selection activeCell="R35" sqref="R35"/>
    </sheetView>
  </sheetViews>
  <sheetFormatPr baseColWidth="10" defaultColWidth="11" defaultRowHeight="12.75" x14ac:dyDescent="0.2"/>
  <cols>
    <col min="1" max="4" width="4.42578125" customWidth="1"/>
    <col min="5" max="5" width="7.5703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4" t="s">
        <v>3</v>
      </c>
      <c r="B1" s="134"/>
      <c r="C1" s="134"/>
      <c r="D1" s="135" t="str">
        <f>'Necesidades Trimestrales'!C6</f>
        <v>2021-2022</v>
      </c>
      <c r="E1" s="135"/>
      <c r="F1" s="9"/>
      <c r="G1" s="9"/>
      <c r="H1" s="10"/>
      <c r="I1" s="10"/>
      <c r="J1" s="10"/>
      <c r="K1" s="10"/>
      <c r="L1" s="10"/>
      <c r="M1" s="10"/>
      <c r="N1" s="10"/>
      <c r="P1" s="136" t="s">
        <v>32</v>
      </c>
      <c r="Q1" s="136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6"/>
      <c r="Q2" s="136"/>
    </row>
    <row r="4" spans="1:17" s="11" customFormat="1" ht="18" customHeight="1" thickBot="1" x14ac:dyDescent="0.25">
      <c r="A4" s="137" t="s">
        <v>33</v>
      </c>
      <c r="B4" s="137"/>
      <c r="C4" s="137"/>
      <c r="D4" s="137"/>
      <c r="E4" s="137"/>
      <c r="F4" s="137"/>
      <c r="G4" s="138" t="str">
        <f>' NotaPedido'!D3</f>
        <v>30 - Ministerio de Hacienda Publica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7" s="11" customFormat="1" ht="18" customHeight="1" thickBot="1" x14ac:dyDescent="0.25">
      <c r="A5" s="139" t="s">
        <v>56</v>
      </c>
      <c r="B5" s="140"/>
      <c r="C5" s="140"/>
      <c r="D5" s="140"/>
      <c r="E5" s="140"/>
      <c r="F5" s="141"/>
      <c r="G5" s="138" t="str">
        <f>' NotaPedido'!D4</f>
        <v>9 - Direcion Provincial de Administracion de la Secretaria de Finanzas Públicas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</row>
    <row r="6" spans="1:17" s="11" customFormat="1" ht="18" customHeight="1" thickBot="1" x14ac:dyDescent="0.25">
      <c r="A6" s="139" t="s">
        <v>34</v>
      </c>
      <c r="B6" s="140"/>
      <c r="C6" s="140"/>
      <c r="D6" s="140"/>
      <c r="E6" s="140"/>
      <c r="F6" s="141"/>
      <c r="G6" s="138" t="str">
        <f>' NotaPedido'!D5</f>
        <v>Secretaria de Compras y Abastecimientos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7" s="11" customFormat="1" ht="18" customHeight="1" thickBot="1" x14ac:dyDescent="0.25">
      <c r="A7" s="139" t="s">
        <v>57</v>
      </c>
      <c r="B7" s="140"/>
      <c r="C7" s="140"/>
      <c r="D7" s="140"/>
      <c r="E7" s="140"/>
      <c r="F7" s="141"/>
      <c r="G7" s="138" t="str">
        <f>' NotaPedido'!D6</f>
        <v>Secretaria de Compras y Abastecimientos</v>
      </c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17" ht="18" customHeight="1" thickBot="1" x14ac:dyDescent="0.25">
      <c r="A8" s="142" t="s">
        <v>35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16" t="s">
        <v>36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"/>
      <c r="P9" s="1"/>
      <c r="Q9" s="12"/>
    </row>
    <row r="10" spans="1:17" ht="54.75" customHeight="1" x14ac:dyDescent="0.2">
      <c r="A10" s="11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148/2021,  afectando la erogación resultante a los créditos presupuestarios aprobados a favor de esta Unidad Ejecutora, conforme al siguiente detalle: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18" t="s">
        <v>37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</row>
    <row r="13" spans="1:17" ht="15.75" customHeight="1" x14ac:dyDescent="0.2">
      <c r="A13" s="119" t="s">
        <v>38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20" t="s">
        <v>39</v>
      </c>
      <c r="P13" s="120"/>
      <c r="Q13" s="121" t="s">
        <v>40</v>
      </c>
    </row>
    <row r="14" spans="1:17" ht="15.75" customHeight="1" thickBot="1" x14ac:dyDescent="0.25">
      <c r="A14" s="17" t="s">
        <v>41</v>
      </c>
      <c r="B14" s="18" t="s">
        <v>42</v>
      </c>
      <c r="C14" s="18" t="s">
        <v>43</v>
      </c>
      <c r="D14" s="18" t="s">
        <v>44</v>
      </c>
      <c r="E14" s="18" t="s">
        <v>45</v>
      </c>
      <c r="F14" s="18" t="s">
        <v>46</v>
      </c>
      <c r="G14" s="19" t="s">
        <v>47</v>
      </c>
      <c r="H14" s="18" t="s">
        <v>48</v>
      </c>
      <c r="I14" s="18" t="s">
        <v>49</v>
      </c>
      <c r="J14" s="18" t="s">
        <v>50</v>
      </c>
      <c r="K14" s="18" t="s">
        <v>50</v>
      </c>
      <c r="L14" s="18" t="s">
        <v>51</v>
      </c>
      <c r="M14" s="20" t="s">
        <v>52</v>
      </c>
      <c r="N14" s="21" t="s">
        <v>53</v>
      </c>
      <c r="O14" s="120"/>
      <c r="P14" s="120"/>
      <c r="Q14" s="121"/>
    </row>
    <row r="15" spans="1:17" ht="24.75" customHeight="1" x14ac:dyDescent="0.2">
      <c r="A15" s="61">
        <v>4</v>
      </c>
      <c r="B15" s="62">
        <v>0</v>
      </c>
      <c r="C15" s="62">
        <v>0</v>
      </c>
      <c r="D15" s="62">
        <v>1</v>
      </c>
      <c r="E15" s="62">
        <v>0</v>
      </c>
      <c r="F15" s="62">
        <v>4901</v>
      </c>
      <c r="G15" s="62">
        <v>1</v>
      </c>
      <c r="H15" s="62">
        <v>7</v>
      </c>
      <c r="I15" s="62">
        <v>3</v>
      </c>
      <c r="J15" s="62">
        <v>4</v>
      </c>
      <c r="K15" s="62">
        <v>9</v>
      </c>
      <c r="L15" s="62">
        <v>0</v>
      </c>
      <c r="M15" s="63">
        <v>1</v>
      </c>
      <c r="N15" s="62" t="s">
        <v>58</v>
      </c>
      <c r="O15" s="115" t="s">
        <v>65</v>
      </c>
      <c r="P15" s="115"/>
      <c r="Q15" s="72">
        <f>+'Necesidades Trimestrales'!I10</f>
        <v>4740000</v>
      </c>
    </row>
    <row r="16" spans="1:17" ht="17.25" customHeight="1" x14ac:dyDescent="0.2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6"/>
      <c r="N16" s="67"/>
      <c r="O16" s="110"/>
      <c r="P16" s="110"/>
      <c r="Q16" s="26"/>
    </row>
    <row r="17" spans="1:19" ht="17.25" customHeight="1" x14ac:dyDescent="0.2">
      <c r="A17" s="64"/>
      <c r="B17" s="65"/>
      <c r="C17" s="65"/>
      <c r="D17" s="65"/>
      <c r="E17" s="65"/>
      <c r="F17" s="67"/>
      <c r="G17" s="65"/>
      <c r="H17" s="65"/>
      <c r="I17" s="65"/>
      <c r="J17" s="65"/>
      <c r="K17" s="65"/>
      <c r="L17" s="65"/>
      <c r="M17" s="66"/>
      <c r="N17" s="67"/>
      <c r="O17" s="110"/>
      <c r="P17" s="110"/>
      <c r="Q17" s="26"/>
    </row>
    <row r="18" spans="1:19" ht="17.25" customHeight="1" x14ac:dyDescent="0.2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6"/>
      <c r="N18" s="67"/>
      <c r="O18" s="110"/>
      <c r="P18" s="110"/>
      <c r="Q18" s="26"/>
    </row>
    <row r="19" spans="1:19" ht="17.25" customHeight="1" x14ac:dyDescent="0.2">
      <c r="A19" s="64"/>
      <c r="B19" s="65"/>
      <c r="C19" s="65"/>
      <c r="D19" s="65"/>
      <c r="E19" s="65"/>
      <c r="F19" s="67"/>
      <c r="G19" s="65"/>
      <c r="H19" s="65"/>
      <c r="I19" s="65"/>
      <c r="J19" s="65"/>
      <c r="K19" s="65"/>
      <c r="L19" s="65"/>
      <c r="M19" s="66"/>
      <c r="N19" s="67"/>
      <c r="O19" s="110"/>
      <c r="P19" s="110"/>
      <c r="Q19" s="26"/>
    </row>
    <row r="20" spans="1:19" ht="17.25" customHeight="1" x14ac:dyDescent="0.2">
      <c r="A20" s="22"/>
      <c r="B20" s="23"/>
      <c r="C20" s="23"/>
      <c r="D20" s="23"/>
      <c r="E20" s="23"/>
      <c r="F20" s="25"/>
      <c r="G20" s="23"/>
      <c r="H20" s="23"/>
      <c r="I20" s="23"/>
      <c r="J20" s="23"/>
      <c r="K20" s="23"/>
      <c r="L20" s="23"/>
      <c r="M20" s="24"/>
      <c r="N20" s="25"/>
      <c r="O20" s="110"/>
      <c r="P20" s="110"/>
      <c r="Q20" s="26"/>
    </row>
    <row r="21" spans="1:19" ht="17.25" customHeight="1" x14ac:dyDescent="0.2">
      <c r="A21" s="27"/>
      <c r="B21" s="28"/>
      <c r="C21" s="28"/>
      <c r="D21" s="28"/>
      <c r="E21" s="28"/>
      <c r="F21" s="29"/>
      <c r="G21" s="28"/>
      <c r="H21" s="28"/>
      <c r="I21" s="28"/>
      <c r="J21" s="28"/>
      <c r="K21" s="28"/>
      <c r="L21" s="28"/>
      <c r="M21" s="30"/>
      <c r="N21" s="31"/>
      <c r="O21" s="111"/>
      <c r="P21" s="111"/>
      <c r="Q21" s="26"/>
      <c r="R21" s="1"/>
    </row>
    <row r="22" spans="1:19" ht="17.25" customHeight="1" x14ac:dyDescent="0.2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4"/>
      <c r="N22" s="33"/>
      <c r="O22" s="112"/>
      <c r="P22" s="112"/>
      <c r="Q22" s="35"/>
    </row>
    <row r="23" spans="1:19" ht="33.75" customHeight="1" x14ac:dyDescent="0.2">
      <c r="A23" s="113" t="s">
        <v>74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73">
        <f>SUM(Q15:Q22)</f>
        <v>4740000</v>
      </c>
    </row>
    <row r="24" spans="1:19" ht="18" customHeight="1" thickBot="1" x14ac:dyDescent="0.25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</row>
    <row r="25" spans="1:19" ht="17.25" customHeight="1" thickBot="1" x14ac:dyDescent="0.25">
      <c r="A25" s="105" t="s">
        <v>54</v>
      </c>
      <c r="B25" s="106"/>
      <c r="C25" s="106"/>
      <c r="D25" s="106"/>
      <c r="E25" s="106"/>
      <c r="F25" s="107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</row>
    <row r="26" spans="1:19" ht="18" customHeight="1" thickBot="1" x14ac:dyDescent="0.25">
      <c r="A26" s="109" t="s">
        <v>69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</row>
    <row r="27" spans="1:19" ht="15" customHeight="1" thickBot="1" x14ac:dyDescent="0.25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</row>
    <row r="28" spans="1:19" ht="15.75" thickBot="1" x14ac:dyDescent="0.25">
      <c r="A28" s="128" t="s">
        <v>66</v>
      </c>
      <c r="B28" s="129"/>
      <c r="C28" s="129"/>
      <c r="D28" s="129"/>
      <c r="E28" s="129"/>
      <c r="F28" s="130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S28" s="79"/>
    </row>
    <row r="29" spans="1:19" ht="13.5" customHeight="1" x14ac:dyDescent="0.2">
      <c r="A29" s="131" t="s">
        <v>75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3"/>
    </row>
    <row r="30" spans="1:19" ht="13.5" customHeight="1" x14ac:dyDescent="0.2">
      <c r="A30" s="122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4"/>
    </row>
    <row r="31" spans="1:19" ht="13.5" customHeight="1" x14ac:dyDescent="0.2">
      <c r="A31" s="122" t="s">
        <v>76</v>
      </c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4"/>
    </row>
    <row r="32" spans="1:19" ht="13.5" customHeight="1" thickBot="1" x14ac:dyDescent="0.25">
      <c r="A32" s="125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7"/>
    </row>
  </sheetData>
  <mergeCells count="35">
    <mergeCell ref="A31:Q32"/>
    <mergeCell ref="A28:F28"/>
    <mergeCell ref="G28:Q28"/>
    <mergeCell ref="A29:Q30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honeticPr fontId="25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SILVINA ATENCIO</cp:lastModifiedBy>
  <cp:revision>2</cp:revision>
  <cp:lastPrinted>2020-07-17T22:18:48Z</cp:lastPrinted>
  <dcterms:created xsi:type="dcterms:W3CDTF">2020-07-17T23:44:49Z</dcterms:created>
  <dcterms:modified xsi:type="dcterms:W3CDTF">2021-12-15T14:19:46Z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