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10090A70-E725-431A-A63A-E547E45E0A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NER" sheetId="1" r:id="rId1"/>
    <sheet name="Autor Gastar" sheetId="2" r:id="rId2"/>
    <sheet name="MODELOS DE IMPRESORAS Y TONER" sheetId="3" r:id="rId3"/>
    <sheet name="TONER PLANIFICACION" sheetId="4" r:id="rId4"/>
  </sheets>
  <externalReferences>
    <externalReference r:id="rId5"/>
  </externalReferences>
  <definedNames>
    <definedName name="_xlnm._FilterDatabase" localSheetId="0" hidden="1">TONER!$A$9:$I$32</definedName>
    <definedName name="_xlnm._FilterDatabase" localSheetId="3" hidden="1">'TONER PLANIFICACION'!$G$3:$I$33</definedName>
    <definedName name="ORGANIGRAMA" localSheetId="2">#REF!</definedName>
    <definedName name="ORGANIGRAMA" localSheetId="3">#REF!</definedName>
    <definedName name="ORGANIGRAMA">#REF!</definedName>
    <definedName name="SegmentaciónDeDatos_DETALLE">#REF!</definedName>
    <definedName name="toners" localSheetId="2">#REF!</definedName>
    <definedName name="toners" localSheetId="3">#REF!</definedName>
    <definedName name="toners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1" i="2" l="1"/>
  <c r="Q18" i="2"/>
  <c r="A18" i="2"/>
  <c r="G5" i="2"/>
  <c r="G4" i="2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5" i="1" l="1"/>
</calcChain>
</file>

<file path=xl/sharedStrings.xml><?xml version="1.0" encoding="utf-8"?>
<sst xmlns="http://schemas.openxmlformats.org/spreadsheetml/2006/main" count="442" uniqueCount="246">
  <si>
    <t>Pedido de Necesidades Trimestrales</t>
  </si>
  <si>
    <t>JURISDICCION:</t>
  </si>
  <si>
    <t>12 -Ministerio de Trabajo, Planificacion y Recursos Humanos</t>
  </si>
  <si>
    <t xml:space="preserve">SAF N°: </t>
  </si>
  <si>
    <t>22 - Subsecretaria de Administracion Financiera del Ministerio de Trabajo, Planificacion y Recursos Humanos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</si>
  <si>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</si>
  <si>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</si>
  <si>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</si>
  <si>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</si>
  <si>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</si>
  <si>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</si>
  <si>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</si>
  <si>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</si>
  <si>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</si>
  <si>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</si>
  <si>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</si>
  <si>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2.9.6-401.2045</t>
  </si>
  <si>
    <t>REPUESTOS</t>
  </si>
  <si>
    <t>2.9.2</t>
  </si>
  <si>
    <t>CARTUCHOS DE TONER; CODIGO: TN 1060, USO: BROTHER</t>
  </si>
  <si>
    <t>UNIDAD</t>
  </si>
  <si>
    <t>2.9.6-401.1557</t>
  </si>
  <si>
    <t>2.9.2.</t>
  </si>
  <si>
    <t>CARTUCHOS DE TONER; CODIGO: TN 360, USO: BROTHER</t>
  </si>
  <si>
    <t>2.9.6-401.2258</t>
  </si>
  <si>
    <t>CARTUCHOS DE TONER; CODIGO: TN-3499, USO: BROTHER</t>
  </si>
  <si>
    <t>2.9.6-401.2378</t>
  </si>
  <si>
    <t>CARTUCHOS DE TONER; CODIGO: W1105A, USO: HEWLETT PACKARD</t>
  </si>
  <si>
    <t>2.9.6-401.1584</t>
  </si>
  <si>
    <t>CARTUCHOS DE TONER; CODIGO: 85A, USO: HEWLETT PACKARD</t>
  </si>
  <si>
    <t>2.9.6-401.1789</t>
  </si>
  <si>
    <t>CARTUCHOS DE TONER; CODIGO: 49A, USO: HEWLETT PACKARD</t>
  </si>
  <si>
    <t>2.9.6-401.2202</t>
  </si>
  <si>
    <t>CARTUCHOS DE TONER; CODIGO: 87X, USO: LASERJET CF287A</t>
  </si>
  <si>
    <t xml:space="preserve">UNIDAD </t>
  </si>
  <si>
    <t>2.9.6-401.1695</t>
  </si>
  <si>
    <t>CARTUCHOS DE TONER; CODIGO: CE658A, USO: HEWLETT PACKARD</t>
  </si>
  <si>
    <t>2.9.6-401.952</t>
  </si>
  <si>
    <t>CARTUCHOS DE TONER; CODIGO: Q7553A, COLOR: SIN VALOR, DESCRIPCION: SIN VALOR, USO: HEWLETT PACKARD</t>
  </si>
  <si>
    <t>2.9.6-401.2138</t>
  </si>
  <si>
    <t>CARTUCHOS DE TONER; CODIGO: CF280X, USO: HEWLETT PACKARD</t>
  </si>
  <si>
    <t>2.9.6-1355.1938</t>
  </si>
  <si>
    <t>CARTUCHOS DE TINTA; CODIGO: T664120, USO: EPSON</t>
  </si>
  <si>
    <t>2.9.6-401.578</t>
  </si>
  <si>
    <t>CARTUCHOS DE TONER; CODIGO: 109R00725, COLOR: NEGRO, PRODUCTO: TONER, USO: XEROX, DESCRIPCION: TONER</t>
  </si>
  <si>
    <t>2.9.6-1355.2050</t>
  </si>
  <si>
    <t>CARTUCHOS DE TINTA; CODIGO: HP 711, USO: HP T520</t>
  </si>
  <si>
    <t>2.9.6-1355.1713</t>
  </si>
  <si>
    <t>CARTUCHOS DE TINTA; CODIGO: HPC8766WL, USO: HEWLETT PACKARD</t>
  </si>
  <si>
    <t>2.9.6-401.1042</t>
  </si>
  <si>
    <t>CARTUCHOS DE TONER; CODIGO: CB436A, COLOR: SIN VALOR, DESCRIPCION: SIN VALOR, USO: HEWLETT PACKARD</t>
  </si>
  <si>
    <t>2.9.6-401.2228</t>
  </si>
  <si>
    <t>CARTUCHOS DE TONER; CODIGO: CF217A, USO: HP LASERJET MFP</t>
  </si>
  <si>
    <t>2.9.6-401.2205</t>
  </si>
  <si>
    <t>CARTUCHOS DE TONER; CODIGO: TN-230, USO: BROTHER</t>
  </si>
  <si>
    <t>2.9.6-1355.1647</t>
  </si>
  <si>
    <t>CARTUCHOS DE TINTA; CODIGO: 8727A, USO: HEWLETT PACKARD</t>
  </si>
  <si>
    <t>UNIDSAD</t>
  </si>
  <si>
    <t>2.9.6-1355.1406</t>
  </si>
  <si>
    <t>CARTUCHOS DE TINTA; CODIGO: T082620-AL, USO: EPSON</t>
  </si>
  <si>
    <t>Especificidades Item N° 1:</t>
  </si>
  <si>
    <t>Descripción técnica</t>
  </si>
  <si>
    <t>Especificidades Item N° 2:</t>
  </si>
  <si>
    <t>Especificidades Item N° 3:</t>
  </si>
  <si>
    <t>Especificidades Item N° 4:</t>
  </si>
  <si>
    <t>Especificidades Item N° 5:</t>
  </si>
  <si>
    <t>Especificidades Item N°  6:</t>
  </si>
  <si>
    <t>Especificidades Item N° 7:</t>
  </si>
  <si>
    <t>Especificidades Item N°  8:</t>
  </si>
  <si>
    <t>Especificidades Item N°  9:</t>
  </si>
  <si>
    <t>Especificidades Item N°  10:</t>
  </si>
  <si>
    <t>Especificidades Item N°  11:</t>
  </si>
  <si>
    <t>Especificidades Item N° 12:</t>
  </si>
  <si>
    <t>Especificidades Item N° 13:</t>
  </si>
  <si>
    <t>Especificidades Item N° 14:</t>
  </si>
  <si>
    <t>Especificidades Item N° 15</t>
  </si>
  <si>
    <t>Especificidades Item N° 16</t>
  </si>
  <si>
    <t>Especificidades Item N° 17</t>
  </si>
  <si>
    <t>Especificidades Item N° 18</t>
  </si>
  <si>
    <t>Especificidades Item N° 19</t>
  </si>
  <si>
    <t>Especificidades Item N° 20</t>
  </si>
  <si>
    <t>Especificidades Item N° 21</t>
  </si>
  <si>
    <t>Especificidades Item N° 22</t>
  </si>
  <si>
    <t>Especificidades Item N° 23</t>
  </si>
  <si>
    <t>Especificidades Item N° 24</t>
  </si>
  <si>
    <t>Especificidades Item N° 25</t>
  </si>
  <si>
    <t>Plazos y lugares de entrega</t>
  </si>
  <si>
    <r>
      <rPr>
        <sz val="10"/>
        <rFont val="Times New Roman"/>
      </rPr>
      <t xml:space="preserve">a) </t>
    </r>
    <r>
      <rPr>
        <b/>
        <sz val="10"/>
        <rFont val="Times New Roman"/>
      </rPr>
      <t xml:space="preserve">LUGAR DE ENTREGA: </t>
    </r>
    <r>
      <rPr>
        <sz val="10"/>
        <rFont val="Times New Roman"/>
      </rPr>
      <t xml:space="preserve"> Oficina Central del Ministerio de Trabajo, Planificacion y Recursos Humanos, sito en Av. Colon Nº 960 - Capital - De 08 a 12 horas. 
b)</t>
    </r>
    <r>
      <rPr>
        <b/>
        <sz val="10"/>
        <rFont val="Times New Roman"/>
      </rPr>
      <t xml:space="preserve"> FORMA DE LA ENTREGA</t>
    </r>
    <r>
      <rPr>
        <sz val="10"/>
        <rFont val="Times New Roman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</rPr>
      <t>PLAZO DE ENTREGA</t>
    </r>
    <r>
      <rPr>
        <sz val="10"/>
        <rFont val="Times New Roman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</si>
  <si>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Calidad Minima esperada</t>
  </si>
  <si>
    <t>Que Cumpla con lo Solicitado de Forma Integra.</t>
  </si>
  <si>
    <t>Mantenimiento</t>
  </si>
  <si>
    <t>30 (treinta)  días</t>
  </si>
  <si>
    <t>Garantia</t>
  </si>
  <si>
    <t>AUTORIZACION PARA GASTAR</t>
  </si>
  <si>
    <t>JURISDICCIÓN:</t>
  </si>
  <si>
    <t>SAF:</t>
  </si>
  <si>
    <t>UNIDAD EJECUTORA:</t>
  </si>
  <si>
    <t>Ministerio de Trabajo, Planificacion y Recursos Humanos</t>
  </si>
  <si>
    <t xml:space="preserve">DEPENDENCIA SOLICITANTE: </t>
  </si>
  <si>
    <t xml:space="preserve">Subsecretaria de Administracion Financiera </t>
  </si>
  <si>
    <r>
      <rPr>
        <b/>
        <u/>
        <sz val="10"/>
        <rFont val="Century Gothic"/>
      </rPr>
      <t>AUTORIZACIÓN</t>
    </r>
    <r>
      <rPr>
        <b/>
        <u/>
        <sz val="10"/>
        <rFont val="Century Gothic"/>
      </rPr>
      <t>:</t>
    </r>
  </si>
  <si>
    <t>Señor Jefe de Servicio Administrativo Financiero:</t>
  </si>
  <si>
    <t>Autorizo la realización de los  trámites correspondientes, a fin de proveer a  este Organismo los bienes y/o servicios que se detallan en Necesidad Trimetral. Afectando la erogación resultante a los créditos presupuestarios aprobados a favor de esta Unidad Ejecutora, conforme al siguiente detalle:"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</si>
  <si>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</si>
  <si>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</si>
  <si>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</si>
  <si>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</si>
  <si>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</si>
  <si>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</si>
  <si>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</si>
  <si>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</si>
  <si>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</si>
  <si>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</si>
  <si>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</si>
  <si>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</si>
  <si>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</si>
  <si>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</si>
  <si>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</si>
  <si>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</si>
  <si>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</si>
  <si>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</si>
  <si>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Útiles de Escritorio, Oficina y Enseñanza</t>
  </si>
  <si>
    <t>JUSTIFICACIÓN:</t>
  </si>
  <si>
    <t>RESUMEN DE MODELOS DE TONER USADOS POR REPARTICION</t>
  </si>
  <si>
    <t>MINISTERIO DE TRABAJO Y RECURSOS HUMANOS</t>
  </si>
  <si>
    <t>DIRECCION PROVINCIAL CONTROL Y GESTION</t>
  </si>
  <si>
    <t>80X</t>
  </si>
  <si>
    <t>DIRECCION PROVINCIAL DE ASESORIA LEGAL Y TECNICA</t>
  </si>
  <si>
    <t>Q2612a</t>
  </si>
  <si>
    <t>DIRECCION PROVINCIAL DE SUMARIO DOCENTE</t>
  </si>
  <si>
    <t>85A</t>
  </si>
  <si>
    <t>MLT-D101S</t>
  </si>
  <si>
    <t>TN-1060</t>
  </si>
  <si>
    <t>SECRETARIA DE RECURSOS HUMANOS DOCENTE</t>
  </si>
  <si>
    <t>DIRECCION PROVINCIAL DE LIQUIDACION DE HABERES DOCENTE</t>
  </si>
  <si>
    <t>26A</t>
  </si>
  <si>
    <t>87A</t>
  </si>
  <si>
    <t>DIRECCION PROVINCIAL DE RECURSOS HUMANOS Y GESTION DOCENTE</t>
  </si>
  <si>
    <t>53A</t>
  </si>
  <si>
    <t>SECRETARIA DE RECURSOS HUMANOS DOCENTES</t>
  </si>
  <si>
    <t>HP 1105A 105a</t>
  </si>
  <si>
    <t>SECRETARIA DE RECURSOS HUMANOS Y GESTION PUBLICA</t>
  </si>
  <si>
    <t>DIRECCION PROVINCIAL CENTRO DE INNOVACION Y CAPACITACION</t>
  </si>
  <si>
    <t>79A </t>
  </si>
  <si>
    <t>DIRECCION PROVINCIAL DE LIQUIDACION DE HABERES</t>
  </si>
  <si>
    <t>58A</t>
  </si>
  <si>
    <t>TN-3499</t>
  </si>
  <si>
    <t>TN-360</t>
  </si>
  <si>
    <t>DIRECCION PROVINCIAL DE RECURSOS HUMANOS</t>
  </si>
  <si>
    <t>MLT-D111S</t>
  </si>
  <si>
    <t>SECRETARIA DE TRABAJO</t>
  </si>
  <si>
    <t>DIRECCION PROVINCIAL DE INSPECCION LABORAL</t>
  </si>
  <si>
    <t>CZ103A</t>
  </si>
  <si>
    <t>DIRECCION PROVINCIAL DE RELACIONES SINDICALES</t>
  </si>
  <si>
    <t>SUBSECRETARIA DE RECONOCIMIENTO MEDICO</t>
  </si>
  <si>
    <t>DIRECCION PROVINCIAL DE CONTROL Y RECONOCIMIENTO MEDICO DOCENTE</t>
  </si>
  <si>
    <t>DIRECCION PROVINCIAL DE MEDICINA LABORAL, SEGURIDAD E HIGIENE</t>
  </si>
  <si>
    <t>49A</t>
  </si>
  <si>
    <t>Total general</t>
  </si>
  <si>
    <t>Toners por Impresora</t>
  </si>
  <si>
    <t>Toners</t>
  </si>
  <si>
    <t>ORGANISMO</t>
  </si>
  <si>
    <t>IMPRESORA</t>
  </si>
  <si>
    <t>TONER</t>
  </si>
  <si>
    <t>BROTHER HL-1212w</t>
  </si>
  <si>
    <t xml:space="preserve">DIRECCION PROVINCIAL DE ESTADISTICA Y CENSOS </t>
  </si>
  <si>
    <t>EPSON Stylus PHOTO R270</t>
  </si>
  <si>
    <t>T826</t>
  </si>
  <si>
    <t>TN-890</t>
  </si>
  <si>
    <t>HP Designe Jet T520</t>
  </si>
  <si>
    <t>711BK 711C 711M 711Y</t>
  </si>
  <si>
    <t>BROTHER MFC-L6900DW</t>
  </si>
  <si>
    <t>EPSON 664</t>
  </si>
  <si>
    <t>XEROX Phaser 3116</t>
  </si>
  <si>
    <t>109r00725</t>
  </si>
  <si>
    <t>EPSON R1455</t>
  </si>
  <si>
    <t>DIRECCION PROVINCIAL DE GESTION DE FINANCIAMIENTO</t>
  </si>
  <si>
    <t>HP Laser MFP 137fnw</t>
  </si>
  <si>
    <t>105a</t>
  </si>
  <si>
    <t>DesignJet 727</t>
  </si>
  <si>
    <t>105a w1105A</t>
  </si>
  <si>
    <t>DIRECCION PROVINCIAL DE INDICADORES CON PERSPECTIVA DE GENERO</t>
  </si>
  <si>
    <t>HP Laser Jet P1006</t>
  </si>
  <si>
    <t>285A / 435A / 436A</t>
  </si>
  <si>
    <t>CB436A</t>
  </si>
  <si>
    <t>DIRECCION PROVINCIAL DE INFRAESTRUCTURA DE DATOS ESPACIALES</t>
  </si>
  <si>
    <t>HP Designe Jet T930</t>
  </si>
  <si>
    <t>CF217a</t>
  </si>
  <si>
    <t>CF279a</t>
  </si>
  <si>
    <t>DIRECCION PROVINCIAL DE PLANIFICACION</t>
  </si>
  <si>
    <t>HP Laser Jet 107a</t>
  </si>
  <si>
    <t>CF230A</t>
  </si>
  <si>
    <t>58X - CF258X</t>
  </si>
  <si>
    <t>HP Laser Jet 107w</t>
  </si>
  <si>
    <t>DIRECCION PROVINCIAL DE PREINVERSION</t>
  </si>
  <si>
    <t>HP Laser Jet Pro MFP M428fdw</t>
  </si>
  <si>
    <t>HP Laser Jet M1522nf</t>
  </si>
  <si>
    <t>C8766wl (Original)</t>
  </si>
  <si>
    <t>SECRETARIA DE ADMINISTRACION Y COORDINACION</t>
  </si>
  <si>
    <t>HP Laser Jet Pro M102w</t>
  </si>
  <si>
    <t>SECRETARIA DE ADMINISTRACION Y COORDINACION - EN STOCK</t>
  </si>
  <si>
    <t>HP Laser Jet Pro M12w</t>
  </si>
  <si>
    <t>SECRETARIA DE PLANIFICACION</t>
  </si>
  <si>
    <t>SECRETARIA ESTADISTICA, INVERSION PUBLICA Y FINANCIAMIENTO</t>
  </si>
  <si>
    <t>HP Laser Jet Pro M203dw</t>
  </si>
  <si>
    <t>HP PSC 1610 ALL IN ONE</t>
  </si>
  <si>
    <t>HP Laser Jet Pro M404dw</t>
  </si>
  <si>
    <t>SECRETARIA Y DESPACHO</t>
  </si>
  <si>
    <t>SUBSECRETARIA DE ADMINISTRACION FINACIERA - EN STOCK</t>
  </si>
  <si>
    <t>SUBSECRETARIA DE ADMINISTRACION FINACIERA</t>
  </si>
  <si>
    <t>(en blanco)</t>
  </si>
  <si>
    <t>2.9.6-1355.1409</t>
  </si>
  <si>
    <t>CARTUCHOS DE TINTA; CODIGO: HP 21, USO: HEWLETT PACKARD</t>
  </si>
  <si>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BROTHER DCP 7040 - DIRECCION PROVINCIAL DE LIQUIDACION DE HABERES</t>
    </r>
  </si>
  <si>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LASER JET 1102W- DIRECCION PROVINCIAL DE CONTROL Y RECONOCIMIENTO MEDICO - 
</t>
    </r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LASER P1005 - DIRECCION PROVINCIAL DE SUMARIO DOCENTE - DIRECCION PROVINCIAL DE INSPECCION LABORAL
</t>
    </r>
    <r>
      <rPr>
        <b/>
        <sz val="10"/>
        <rFont val="Times New Roman"/>
        <family val="1"/>
      </rPr>
      <t xml:space="preserve">TONER ALTERNATIVO </t>
    </r>
    <r>
      <rPr>
        <sz val="10"/>
        <rFont val="Times New Roman"/>
      </rPr>
      <t xml:space="preserve">NEGRO PARA LASER JET P 1006 - MINISTERIO DE TRABAJO Y RRHH - DIRECCION PROVINCIAL DE CONTROL Y RECONOCIMIENTO MEDICO DOCENTE - DIRECCION PROVINCIAL DE MEDICINA LABORAL, SEGURIDAD E HIGIENE
</t>
    </r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HP Laser Jet P1006 - DIRECCION PROVINCIAL DE INDICADORES CON PERSPECTIVA DE GENERO</t>
    </r>
  </si>
  <si>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LASER JET 1160- DIRECCION PROVINCIAL DE MEDICINA LABORAL, SEGURIDAD E HIGIENE
</t>
    </r>
  </si>
  <si>
    <r>
      <rPr>
        <b/>
        <sz val="10"/>
        <rFont val="Times New Roman"/>
        <family val="1"/>
      </rPr>
      <t xml:space="preserve">TONER ALTERNATIVO </t>
    </r>
    <r>
      <rPr>
        <sz val="10"/>
        <rFont val="Times New Roman"/>
      </rPr>
      <t>NEGRO PARA LASER JET ENTERPRISE M506- DIRECCION PROVINCIAL DE LIQUIDACION DE HABERES DOCENTE - DIRECCION PROVINCIAL DE RECURSOS HUMANOS Y GESTION DOCENTE -</t>
    </r>
  </si>
  <si>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LASER JET M404- DIRECCION PROVINCIAL DE LIQUIDACION  y 
DIRECCION PROVINCIAL DE RECURSOS HUMANOS - 
58X - CF258X - </t>
    </r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HP Laser Jet Pro MFP M428fdw - DIRECCION PROVINCIAL DE PREINVERSION Y </t>
    </r>
    <r>
      <rPr>
        <b/>
        <sz val="10"/>
        <rFont val="Times New Roman"/>
        <family val="1"/>
      </rPr>
      <t xml:space="preserve">TONER ALTERNATIVO </t>
    </r>
    <r>
      <rPr>
        <sz val="10"/>
        <rFont val="Times New Roman"/>
      </rPr>
      <t>NEGRO PARA HP Laser Jet Pro M404dw DE SUBSECRETARIA DE ADMINISTRACION FINACIERA</t>
    </r>
  </si>
  <si>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LASER JET P2014- DIRECCION PROVINCIAL DE RECURSOS HUMANOS Y GESTION DOCENTE</t>
    </r>
  </si>
  <si>
    <r>
      <rPr>
        <b/>
        <sz val="10"/>
        <rFont val="Times New Roman"/>
        <family val="1"/>
      </rPr>
      <t>TONER ALTERNATIV</t>
    </r>
    <r>
      <rPr>
        <sz val="10"/>
        <rFont val="Times New Roman"/>
      </rPr>
      <t>O NEGRO PARA LASER JET PRO400- DIRECCION PROVINCIAL CONTROL Y GESTION - DIRECCION PROVINCIAL DE LIQUIDACION DE HABERES DOCENTE - DIRECCION PROVINCIAL DE RECURSOS HUMANOS Y GESTION DOCENTE</t>
    </r>
  </si>
  <si>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USO LASER JET PRO M402DN - DIRECCION PROVINCIAL DE LIQUIDACION DE HABERES DOCENTE - SECRETARIA DE RECURSOS HUMANOS DOCENTES</t>
    </r>
  </si>
  <si>
    <r>
      <rPr>
        <b/>
        <sz val="10"/>
        <rFont val="Times New Roman"/>
        <family val="1"/>
      </rPr>
      <t>CARTUCHOS DE TONER ORIGINAL NEGRO;</t>
    </r>
    <r>
      <rPr>
        <sz val="10"/>
        <rFont val="Times New Roman"/>
      </rPr>
      <t xml:space="preserve"> CODIGO: 109R00725, COLOR: NEGRO, PRODUCTO: TONER, USO: XEROX, DESCRIPCION: TONER - PARA:  XEROX Phaser 3116 - DE DIRECCION PROVINCIAL DE ESTADISTICA Y CENSOS - DIRECCION PROVINCIAL DE PLANIFICACION</t>
    </r>
  </si>
  <si>
    <r>
      <rPr>
        <b/>
        <sz val="10"/>
        <rFont val="Times New Roman"/>
        <family val="1"/>
      </rPr>
      <t>CARTUCHOS DE TINTA TRICOLOR</t>
    </r>
    <r>
      <rPr>
        <sz val="10"/>
        <rFont val="Times New Roman"/>
      </rPr>
      <t>; CODIGO:</t>
    </r>
    <r>
      <rPr>
        <b/>
        <sz val="10"/>
        <rFont val="Times New Roman"/>
      </rPr>
      <t xml:space="preserve"> HPC8766WL</t>
    </r>
    <r>
      <rPr>
        <sz val="10"/>
        <rFont val="Times New Roman"/>
      </rPr>
      <t>,</t>
    </r>
    <r>
      <rPr>
        <b/>
        <sz val="12"/>
        <rFont val="Times New Roman"/>
      </rPr>
      <t xml:space="preserve"> ORIGINAL </t>
    </r>
    <r>
      <rPr>
        <sz val="10"/>
        <rFont val="Times New Roman"/>
      </rPr>
      <t>- USO: HEWLETT PACKARD - PARA HP PSC 1610 ALL IN ONE DE SECRETARIA ESTADISTICA, INVERSION PUBLICA Y FINANCIAMIENTO</t>
    </r>
  </si>
  <si>
    <r>
      <rPr>
        <b/>
        <sz val="10"/>
        <rFont val="Times New Roman"/>
        <family val="1"/>
      </rPr>
      <t>CARTUCHOS DE TONER NEGRO ORIGINAL</t>
    </r>
    <r>
      <rPr>
        <sz val="10"/>
        <rFont val="Times New Roman"/>
      </rPr>
      <t xml:space="preserve">; CODIGO: </t>
    </r>
    <r>
      <rPr>
        <b/>
        <sz val="10"/>
        <rFont val="Times New Roman"/>
      </rPr>
      <t>CB436</t>
    </r>
    <r>
      <rPr>
        <sz val="10"/>
        <rFont val="Times New Roman"/>
      </rPr>
      <t>A, COLOR: NEGRO, DESCRIPCION: SIN VALOR, USO: HEWLETT PACKARD - PARA HP Laser Jet M1522nf  DE</t>
    </r>
    <r>
      <rPr>
        <b/>
        <sz val="10"/>
        <rFont val="Times New Roman"/>
      </rPr>
      <t xml:space="preserve"> SECRETARIA ESTADISTICA, INVERSION PUBLICA Y FINANCIAMIENTO</t>
    </r>
  </si>
  <si>
    <r>
      <rPr>
        <b/>
        <sz val="10"/>
        <rFont val="Times New Roman"/>
        <family val="1"/>
      </rPr>
      <t>CARTUCHOS DE TONER ALTERNATIVO</t>
    </r>
    <r>
      <rPr>
        <sz val="10"/>
        <rFont val="Times New Roman"/>
      </rPr>
      <t xml:space="preserve"> NEGRO; CODIGO: </t>
    </r>
    <r>
      <rPr>
        <b/>
        <sz val="10"/>
        <rFont val="Times New Roman"/>
      </rPr>
      <t>CF217A</t>
    </r>
    <r>
      <rPr>
        <sz val="10"/>
        <rFont val="Times New Roman"/>
      </rPr>
      <t>, USO: HP LASERJET MFP PARA HP Laser Jet Pro M102w DE SECRETARIA DE ADMINISTRACION Y COORDINACION</t>
    </r>
  </si>
  <si>
    <r>
      <rPr>
        <b/>
        <sz val="10"/>
        <rFont val="Times New Roman"/>
        <family val="1"/>
      </rPr>
      <t>CARTUCHOS DE TONER ALTERNATIVO</t>
    </r>
    <r>
      <rPr>
        <sz val="10"/>
        <rFont val="Times New Roman"/>
      </rPr>
      <t xml:space="preserve"> NEGRO; CODIGO: </t>
    </r>
    <r>
      <rPr>
        <b/>
        <sz val="10"/>
        <rFont val="Times New Roman"/>
      </rPr>
      <t>TN-230</t>
    </r>
    <r>
      <rPr>
        <sz val="10"/>
        <rFont val="Times New Roman"/>
      </rPr>
      <t xml:space="preserve">, USO: </t>
    </r>
    <r>
      <rPr>
        <b/>
        <sz val="16"/>
        <rFont val="Times New Roman"/>
      </rPr>
      <t xml:space="preserve">CF230A - </t>
    </r>
    <r>
      <rPr>
        <sz val="11"/>
        <rFont val="Times New Roman"/>
      </rPr>
      <t>PARA</t>
    </r>
    <r>
      <rPr>
        <b/>
        <sz val="11"/>
        <rFont val="Times New Roman"/>
      </rPr>
      <t xml:space="preserve"> HP Laser Jet Pro M203dw DE SECRETARIA Y DESPACHO</t>
    </r>
  </si>
  <si>
    <r>
      <t>CARTUCHOS DE TINTA NEGRO; CODIGO: 8727A, USO: HEWLETT PACKARD - TONER</t>
    </r>
    <r>
      <rPr>
        <b/>
        <sz val="16"/>
        <rFont val="Times New Roman"/>
      </rPr>
      <t xml:space="preserve"> DesignJet 727, </t>
    </r>
    <r>
      <rPr>
        <sz val="10"/>
        <rFont val="Times New Roman"/>
      </rPr>
      <t>PARA HP Designe Jet T930 DE DIRECCION PROVINCIAL DE INFRAESTRUCTURA DE DATOS ESPACIALES</t>
    </r>
  </si>
  <si>
    <t>COSTO ESTIMADO TOTAL: TRESCIENTOS OCHENTA Y CINCO MIL QUINIENTOS CINCUENTA Y CINCO CON 00/100</t>
  </si>
  <si>
    <t>2.9.6-401.2128</t>
  </si>
  <si>
    <t>CARTUCHOS DE TONER; CODIGO: CF226A, USO: HEWLETT PACKARD</t>
  </si>
  <si>
    <t>2.9.6-1355.1063</t>
  </si>
  <si>
    <t>CARTUCHOS DE TINTA; CODIGO: 22, DESCRIPCION: SIN VALOR, COLOR: SIN VALOR, USO: HEWLETT PACKARD</t>
  </si>
  <si>
    <r>
      <t xml:space="preserve">CANTIDAD DE DOS (3) CARTUCHOS DE </t>
    </r>
    <r>
      <rPr>
        <b/>
        <sz val="10"/>
        <rFont val="Times New Roman"/>
        <family val="1"/>
      </rPr>
      <t>TINTA ORIGINAL</t>
    </r>
    <r>
      <rPr>
        <sz val="10"/>
        <rFont val="Times New Roman"/>
      </rPr>
      <t xml:space="preserve"> NEGRO; </t>
    </r>
    <r>
      <rPr>
        <b/>
        <sz val="10"/>
        <rFont val="Times New Roman"/>
      </rPr>
      <t>CODIGO: T664120-AL</t>
    </r>
    <r>
      <rPr>
        <sz val="10"/>
        <rFont val="Times New Roman"/>
      </rPr>
      <t xml:space="preserve">,
CANTIDAD DE DOS (1)  CARTUCHOS DE TINTA ORIGINAL CIAN; </t>
    </r>
    <r>
      <rPr>
        <b/>
        <sz val="10"/>
        <rFont val="Times New Roman"/>
      </rPr>
      <t>CODIGO:  T664220-AL</t>
    </r>
    <r>
      <rPr>
        <sz val="10"/>
        <rFont val="Times New Roman"/>
      </rPr>
      <t xml:space="preserve">, 
CANTIDAD DE UN (1) CARTUCHOS DE TINTA ORIGINAL MAGENTA; </t>
    </r>
    <r>
      <rPr>
        <b/>
        <sz val="10"/>
        <rFont val="Times New Roman"/>
      </rPr>
      <t>CODIGO: T664320-AL</t>
    </r>
    <r>
      <rPr>
        <sz val="10"/>
        <rFont val="Times New Roman"/>
      </rPr>
      <t>, 
CANTIDAD DE UN (1) CARTUCHOS DE TINTA ORIGINAL AMARILLA;</t>
    </r>
    <r>
      <rPr>
        <b/>
        <sz val="12"/>
        <rFont val="Times New Roman"/>
      </rPr>
      <t xml:space="preserve"> CODIGO: T664420-AL, 
TOTAL: 6 UNIDADES
</t>
    </r>
    <r>
      <rPr>
        <sz val="10"/>
        <rFont val="Times New Roman"/>
      </rPr>
      <t xml:space="preserve"> USO: EPSON - PARA</t>
    </r>
    <r>
      <rPr>
        <b/>
        <sz val="12"/>
        <rFont val="Times New Roman"/>
      </rPr>
      <t xml:space="preserve"> EPSON R1455</t>
    </r>
    <r>
      <rPr>
        <sz val="10"/>
        <rFont val="Times New Roman"/>
      </rPr>
      <t xml:space="preserve"> - DIRECCION PROVINCIAL DE PLANIFICACION </t>
    </r>
    <r>
      <rPr>
        <b/>
        <sz val="14"/>
        <rFont val="Times New Roman"/>
      </rPr>
      <t>(EPSON 664)</t>
    </r>
  </si>
  <si>
    <r>
      <t>CARTUCHOS DE TINTA; CODIGO: HP 22, DESCRIPCION</t>
    </r>
    <r>
      <rPr>
        <b/>
        <sz val="10"/>
        <rFont val="Times New Roman"/>
      </rPr>
      <t>: ORIGIN</t>
    </r>
    <r>
      <rPr>
        <b/>
        <sz val="10"/>
        <rFont val="Times New Roman"/>
        <family val="1"/>
      </rPr>
      <t>AL HP,</t>
    </r>
    <r>
      <rPr>
        <sz val="10"/>
        <rFont val="Times New Roman"/>
      </rPr>
      <t xml:space="preserve"> </t>
    </r>
    <r>
      <rPr>
        <b/>
        <sz val="10"/>
        <rFont val="Times New Roman"/>
      </rPr>
      <t>COLOR: TRI COLOR,</t>
    </r>
    <r>
      <rPr>
        <sz val="10"/>
        <rFont val="Times New Roman"/>
      </rPr>
      <t xml:space="preserve"> USO: HEWLETT PACKARD</t>
    </r>
    <r>
      <rPr>
        <sz val="10"/>
        <rFont val="Times New Roman"/>
        <family val="1"/>
      </rPr>
      <t xml:space="preserve"> - PARA HP F4180 - SECRETARIA DE TRABAJO </t>
    </r>
  </si>
  <si>
    <t>2.9.6-1355.1939</t>
  </si>
  <si>
    <t>CARTUCHOS DE TINTA; CODIGO: T664220, USO: EPSON</t>
  </si>
  <si>
    <r>
      <rPr>
        <b/>
        <sz val="10"/>
        <rFont val="Times New Roman"/>
        <family val="1"/>
      </rPr>
      <t>CARTUCHOS</t>
    </r>
    <r>
      <rPr>
        <sz val="10"/>
        <rFont val="Times New Roman"/>
        <family val="1"/>
      </rPr>
      <t xml:space="preserve"> DE TINTA; CODIGO: T664220, USO: EPSON - </t>
    </r>
    <r>
      <rPr>
        <b/>
        <sz val="10"/>
        <rFont val="Times New Roman"/>
        <family val="1"/>
      </rPr>
      <t xml:space="preserve">COLOR NEGRO ORIG INAL PARA </t>
    </r>
    <r>
      <rPr>
        <sz val="10"/>
        <rFont val="Times New Roman"/>
        <family val="1"/>
      </rPr>
      <t>DIRECCION PROVINCIAL DE PLANIFICACION - EPSON R1455 - CARTUCHO EPSON 664</t>
    </r>
  </si>
  <si>
    <r>
      <rPr>
        <b/>
        <sz val="10"/>
        <rFont val="Times New Roman"/>
        <family val="1"/>
      </rPr>
      <t>CARTUCHOS DE TINTA ORIGINAL</t>
    </r>
    <r>
      <rPr>
        <sz val="10"/>
        <rFont val="Times New Roman"/>
      </rPr>
      <t xml:space="preserve"> NEGRO; CODIGO: HP 711, CODIGO: HP 711, USO: HP T520 - PARA IMPRESORA:  HP Designe Jet T520 DE DIRECCION PROVINCIAL DE ESTADISTICA Y CENSOS </t>
    </r>
  </si>
  <si>
    <t>TN-890- TN-499</t>
  </si>
  <si>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BROTHER HL 1200 - DIRECCION PROVINCIAL DE RELACIONES SINDICALES 
</t>
    </r>
    <r>
      <rPr>
        <b/>
        <sz val="10"/>
        <rFont val="Times New Roman"/>
        <family val="1"/>
      </rPr>
      <t>TONER ALTERNATIVO NEGRO</t>
    </r>
    <r>
      <rPr>
        <sz val="10"/>
        <rFont val="Times New Roman"/>
      </rPr>
      <t xml:space="preserve"> PARA BROTHER  HL 1212W - DIRECCION PROVINCIAL DE SUMARIO DOCENTE -</t>
    </r>
    <r>
      <rPr>
        <b/>
        <sz val="10"/>
        <rFont val="Times New Roman"/>
      </rPr>
      <t xml:space="preserve"> SECRETARIA DE ADMINISTRACION Y COORDINACION</t>
    </r>
  </si>
  <si>
    <r>
      <rPr>
        <b/>
        <sz val="10"/>
        <rFont val="Times New Roman"/>
        <family val="1"/>
      </rPr>
      <t>PARA HP F4180</t>
    </r>
    <r>
      <rPr>
        <sz val="10"/>
        <rFont val="Times New Roman"/>
        <family val="1"/>
      </rPr>
      <t xml:space="preserve"> - SECRETARIA DE TRABAJO </t>
    </r>
    <r>
      <rPr>
        <b/>
        <sz val="10"/>
        <rFont val="Times New Roman"/>
        <family val="1"/>
      </rPr>
      <t>CARTUCHOS DE TINTA ; CODIGO: HP21,</t>
    </r>
    <r>
      <rPr>
        <sz val="10"/>
        <rFont val="Times New Roman"/>
        <family val="1"/>
      </rPr>
      <t xml:space="preserve"> DESCRIPCION: </t>
    </r>
    <r>
      <rPr>
        <b/>
        <u/>
        <sz val="10"/>
        <rFont val="Times New Roman"/>
      </rPr>
      <t xml:space="preserve">HP ORIGINAL, </t>
    </r>
    <r>
      <rPr>
        <b/>
        <sz val="10"/>
        <rFont val="Times New Roman"/>
      </rPr>
      <t>COLOR: NEGRO</t>
    </r>
    <r>
      <rPr>
        <sz val="10"/>
        <rFont val="Times New Roman"/>
      </rPr>
      <t xml:space="preserve">, USO: HEWLETT PACKARD
</t>
    </r>
  </si>
  <si>
    <r>
      <rPr>
        <b/>
        <sz val="10"/>
        <rFont val="Times New Roman"/>
        <family val="1"/>
      </rPr>
      <t>TONER ALTERNATIVO NEGRO</t>
    </r>
    <r>
      <rPr>
        <sz val="10"/>
        <rFont val="Times New Roman"/>
      </rPr>
      <t xml:space="preserve"> PARA LASER 107W - SECRETARIA DE RECURSOS HUMANOS DOCENTES - SECRETARIA ESTADISTICA, INVERSION PUBLICA Y FINANCIAMIENTO
</t>
    </r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NEGRO PARA HP Laser MFP 137fnw - DIRECCION PROVINCIAL DE GESTION DE FINANCIAMIENTO
</t>
    </r>
    <r>
      <rPr>
        <b/>
        <sz val="10"/>
        <rFont val="Times New Roman"/>
        <family val="1"/>
      </rPr>
      <t xml:space="preserve">TONER ALTERNATIVO NEGRO </t>
    </r>
    <r>
      <rPr>
        <sz val="10"/>
        <rFont val="Times New Roman"/>
      </rPr>
      <t>PARA HP Laser Jet 107a - SECRETARIA DE PLANIFICACION</t>
    </r>
  </si>
  <si>
    <r>
      <rPr>
        <b/>
        <sz val="10"/>
        <rFont val="Times New Roman"/>
        <family val="1"/>
      </rPr>
      <t>TONER ALTERNATIVO</t>
    </r>
    <r>
      <rPr>
        <sz val="10"/>
        <rFont val="Times New Roman"/>
      </rPr>
      <t xml:space="preserve">  NEGRO PARA BROTHER MFC-L6900DW  - DIRECCION PROVINCIAL DE LIQUIDACION DE HABERES - CARTUCHOS DE TONER; CODIGO: TN-3499, USO: BROTHER - </t>
    </r>
    <r>
      <rPr>
        <b/>
        <sz val="10"/>
        <rFont val="Times New Roman"/>
        <family val="1"/>
      </rPr>
      <t xml:space="preserve">TONER ALTERNATIVO NEGRO;  </t>
    </r>
    <r>
      <rPr>
        <sz val="10"/>
        <rFont val="Times New Roman"/>
      </rPr>
      <t>USO, PARA BROTHER MFC-L6900DW DIRECCION PROVINCIAL DE INDICADORES CON PERSPECTIVA DE GENERO</t>
    </r>
  </si>
  <si>
    <r>
      <t xml:space="preserve">CARTUCHOS DE TINTA; CODIGO: T082620-AL, USO: EPSON
</t>
    </r>
    <r>
      <rPr>
        <b/>
        <sz val="10"/>
        <rFont val="Times New Roman"/>
        <family val="1"/>
      </rPr>
      <t xml:space="preserve"> TINTA ORIGINAL NEGRO; </t>
    </r>
    <r>
      <rPr>
        <sz val="10"/>
        <rFont val="Times New Roman"/>
      </rPr>
      <t xml:space="preserve">uso: EPSON - </t>
    </r>
    <r>
      <rPr>
        <b/>
        <sz val="12"/>
        <rFont val="Times New Roman"/>
      </rPr>
      <t xml:space="preserve">T826 PARA EPSON Stylus PHOTO R270 DE DIRECCION PROVINCIAL DE ESTADISTICA Y CENSOS </t>
    </r>
  </si>
  <si>
    <r>
      <t xml:space="preserve">CANTIDAD DOS (2) - CARTUCHOS DE </t>
    </r>
    <r>
      <rPr>
        <b/>
        <sz val="11"/>
        <rFont val="Times New Roman"/>
        <family val="1"/>
      </rPr>
      <t>TINTA ORIGINAL</t>
    </r>
    <r>
      <rPr>
        <sz val="11"/>
        <rFont val="Times New Roman"/>
        <family val="1"/>
      </rPr>
      <t xml:space="preserve"> MAGENTA; 
CANTIDAD DE UNO (1) - CARTUCHOS DE TINTA ORIGINAL AMARILLO;
CANTIDAD DE UNO (1) - CARTUCHOS DE TINTA ORIGINAL CIAN CLARO;
CANTIDAD DE UNO (1) - CARTUCHOS DE TINTA ORIGINAL MAGENTA CLARO; 
</t>
    </r>
    <r>
      <rPr>
        <b/>
        <sz val="11"/>
        <rFont val="Times New Roman"/>
        <family val="1"/>
      </rPr>
      <t>TOTAL DE 5 CARTUCHOS DE COLOR</t>
    </r>
    <r>
      <rPr>
        <sz val="11"/>
        <rFont val="Times New Roman"/>
        <family val="1"/>
      </rPr>
      <t xml:space="preserve">
 USO: EPSON - T826 PARA EPSON Stylus PHOTO R270 DE DIRECCION PROVINCIAL DE ESTADISTICA Y CENSOS </t>
    </r>
  </si>
  <si>
    <r>
      <t xml:space="preserve">CARTUCHOS DE TINTA; CODIGO: T664120, USO: EPSON - TINTA COLORES - PARA DIRECCION PROVINCIAL DE PLANIFICACION - EPSON R1455 - CARTUCHO EPSON 664
</t>
    </r>
    <r>
      <rPr>
        <b/>
        <sz val="10"/>
        <rFont val="Times New Roman"/>
        <family val="1"/>
      </rPr>
      <t xml:space="preserve">CANTIDAD DE DOS (2) </t>
    </r>
    <r>
      <rPr>
        <sz val="10"/>
        <rFont val="Times New Roman"/>
        <family val="1"/>
      </rPr>
      <t xml:space="preserve"> CARTUCHOS DE TINTA ORIGINAL CIAN; 
</t>
    </r>
    <r>
      <rPr>
        <b/>
        <sz val="10"/>
        <rFont val="Times New Roman"/>
        <family val="1"/>
      </rPr>
      <t xml:space="preserve">CANTIDAD DE DOS (2) </t>
    </r>
    <r>
      <rPr>
        <sz val="10"/>
        <rFont val="Times New Roman"/>
        <family val="1"/>
      </rPr>
      <t xml:space="preserve">CARTUCHOS DE TINTA ORIGINAL MAGENTA; 
</t>
    </r>
    <r>
      <rPr>
        <b/>
        <sz val="10"/>
        <rFont val="Times New Roman"/>
        <family val="1"/>
      </rPr>
      <t>CANTIDAD DE UN (1)</t>
    </r>
    <r>
      <rPr>
        <sz val="10"/>
        <rFont val="Times New Roman"/>
        <family val="1"/>
      </rPr>
      <t xml:space="preserve"> CARTUCHOS DE TINTA ORIGINAL AMARILLA; 
TOTAL : 5 CARTUCHOS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</si>
</sst>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$-2C0A]\ * #,##0.00_-;\-[$$-2C0A]\ * #,##0.00_-;_-[$$-2C0A]\ * &quot;-&quot;??_-;_-@"/>
    <numFmt numFmtId="165" formatCode="_ [$$-2C0A]\ * #,##0.00_ ;_ [$$-2C0A]\ * \-#,##0.00_ ;_ [$$-2C0A]\ * &quot;-&quot;??_ ;_ @_ "/>
    <numFmt numFmtId="166" formatCode="dd\-mm\-yy"/>
  </numFmts>
  <fonts count="40">
    <font>
      <sz val="10"/>
      <color rgb="FF000000"/>
      <name val="Arial"/>
    </font>
    <font>
      <sz val="10"/>
      <name val="Times New Roman"/>
    </font>
    <font>
      <sz val="10"/>
      <name val="Arial"/>
    </font>
    <font>
      <b/>
      <sz val="22"/>
      <name val="Times New Roman"/>
    </font>
    <font>
      <b/>
      <sz val="11"/>
      <color rgb="FF000000"/>
      <name val="Times New Roman"/>
    </font>
    <font>
      <b/>
      <sz val="12"/>
      <color rgb="FF000000"/>
      <name val="Times New Roman"/>
    </font>
    <font>
      <sz val="10"/>
      <color rgb="FF000000"/>
      <name val="Times New Roman"/>
    </font>
    <font>
      <b/>
      <sz val="10"/>
      <color rgb="FF000000"/>
      <name val="Times New Roman"/>
    </font>
    <font>
      <b/>
      <sz val="10"/>
      <name val="Arial"/>
    </font>
    <font>
      <sz val="10"/>
      <name val="Arial"/>
    </font>
    <font>
      <b/>
      <sz val="16"/>
      <name val="Times New Roman"/>
    </font>
    <font>
      <b/>
      <u/>
      <sz val="10"/>
      <name val="Times New Roman"/>
    </font>
    <font>
      <u/>
      <sz val="10"/>
      <name val="Times New Roman"/>
    </font>
    <font>
      <u/>
      <sz val="10"/>
      <name val="Times New Roman"/>
    </font>
    <font>
      <u/>
      <sz val="10"/>
      <name val="Times New Roman"/>
    </font>
    <font>
      <u/>
      <sz val="10"/>
      <name val="Times New Roman"/>
    </font>
    <font>
      <u/>
      <sz val="10"/>
      <name val="Times New Roman"/>
    </font>
    <font>
      <sz val="10"/>
      <name val="Century Gothic"/>
    </font>
    <font>
      <b/>
      <sz val="11"/>
      <name val="Century Gothic"/>
    </font>
    <font>
      <b/>
      <sz val="12"/>
      <name val="Century Gothic"/>
    </font>
    <font>
      <sz val="11"/>
      <name val="Century Gothic"/>
    </font>
    <font>
      <b/>
      <u/>
      <sz val="10"/>
      <name val="Century Gothic"/>
    </font>
    <font>
      <b/>
      <sz val="10"/>
      <name val="Century Gothic"/>
    </font>
    <font>
      <sz val="11"/>
      <name val="Calibri"/>
    </font>
    <font>
      <b/>
      <sz val="15"/>
      <color rgb="FF1F497D"/>
      <name val="Calibri"/>
    </font>
    <font>
      <b/>
      <sz val="11"/>
      <name val="Calibri"/>
    </font>
    <font>
      <b/>
      <sz val="10"/>
      <name val="Times New Roman"/>
    </font>
    <font>
      <b/>
      <sz val="12"/>
      <name val="Times New Roman"/>
    </font>
    <font>
      <b/>
      <sz val="14"/>
      <name val="Times New Roman"/>
    </font>
    <font>
      <sz val="11"/>
      <name val="Times New Roman"/>
    </font>
    <font>
      <b/>
      <sz val="11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name val="Arial"/>
      <family val="2"/>
    </font>
    <font>
      <sz val="8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2" fillId="0" borderId="0" xfId="0" applyNumberFormat="1" applyFont="1"/>
    <xf numFmtId="164" fontId="1" fillId="0" borderId="0" xfId="0" applyNumberFormat="1" applyFont="1"/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4" fontId="8" fillId="0" borderId="2" xfId="0" applyNumberFormat="1" applyFont="1" applyBorder="1" applyAlignment="1">
      <alignment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164" fontId="2" fillId="0" borderId="7" xfId="0" applyNumberFormat="1" applyFont="1" applyBorder="1"/>
    <xf numFmtId="164" fontId="7" fillId="0" borderId="6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2" fillId="0" borderId="6" xfId="0" applyNumberFormat="1" applyFont="1" applyBorder="1"/>
    <xf numFmtId="164" fontId="10" fillId="0" borderId="11" xfId="0" applyNumberFormat="1" applyFont="1" applyBorder="1"/>
    <xf numFmtId="0" fontId="11" fillId="0" borderId="12" xfId="0" applyFont="1" applyBorder="1"/>
    <xf numFmtId="0" fontId="1" fillId="0" borderId="13" xfId="0" applyFont="1" applyBorder="1"/>
    <xf numFmtId="0" fontId="1" fillId="0" borderId="4" xfId="0" applyFont="1" applyBorder="1"/>
    <xf numFmtId="0" fontId="1" fillId="0" borderId="14" xfId="0" applyFont="1" applyBorder="1"/>
    <xf numFmtId="0" fontId="1" fillId="0" borderId="15" xfId="0" applyFont="1" applyBorder="1"/>
    <xf numFmtId="0" fontId="12" fillId="0" borderId="14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14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0" fontId="1" fillId="0" borderId="13" xfId="0" applyFont="1" applyBorder="1" applyAlignment="1">
      <alignment horizontal="center" wrapText="1"/>
    </xf>
    <xf numFmtId="0" fontId="15" fillId="0" borderId="14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center" wrapText="1"/>
    </xf>
    <xf numFmtId="0" fontId="1" fillId="0" borderId="17" xfId="0" applyFont="1" applyBorder="1"/>
    <xf numFmtId="0" fontId="1" fillId="0" borderId="18" xfId="0" applyFont="1" applyBorder="1"/>
    <xf numFmtId="0" fontId="16" fillId="0" borderId="12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left"/>
    </xf>
    <xf numFmtId="3" fontId="18" fillId="0" borderId="0" xfId="0" applyNumberFormat="1" applyFont="1"/>
    <xf numFmtId="166" fontId="17" fillId="0" borderId="0" xfId="0" applyNumberFormat="1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left"/>
    </xf>
    <xf numFmtId="164" fontId="17" fillId="0" borderId="0" xfId="0" applyNumberFormat="1" applyFont="1"/>
    <xf numFmtId="164" fontId="17" fillId="0" borderId="30" xfId="0" applyNumberFormat="1" applyFont="1" applyBorder="1"/>
    <xf numFmtId="0" fontId="17" fillId="0" borderId="24" xfId="0" applyFont="1" applyBorder="1"/>
    <xf numFmtId="0" fontId="17" fillId="0" borderId="31" xfId="0" applyFont="1" applyBorder="1"/>
    <xf numFmtId="0" fontId="17" fillId="0" borderId="31" xfId="0" applyFont="1" applyBorder="1" applyAlignment="1">
      <alignment horizontal="left"/>
    </xf>
    <xf numFmtId="164" fontId="17" fillId="0" borderId="25" xfId="0" applyNumberFormat="1" applyFont="1" applyBorder="1"/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4" xfId="0" applyFont="1" applyBorder="1" applyAlignment="1">
      <alignment horizontal="left" vertical="center"/>
    </xf>
    <xf numFmtId="0" fontId="22" fillId="0" borderId="35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64" fontId="17" fillId="0" borderId="6" xfId="0" applyNumberFormat="1" applyFont="1" applyBorder="1" applyAlignment="1">
      <alignment horizontal="center" vertical="center"/>
    </xf>
    <xf numFmtId="164" fontId="22" fillId="0" borderId="37" xfId="0" applyNumberFormat="1" applyFont="1" applyBorder="1" applyAlignment="1">
      <alignment horizontal="center" vertical="center"/>
    </xf>
    <xf numFmtId="0" fontId="23" fillId="0" borderId="0" xfId="0" applyFont="1"/>
    <xf numFmtId="0" fontId="23" fillId="0" borderId="0" xfId="0" applyFont="1" applyAlignment="1">
      <alignment horizontal="left"/>
    </xf>
    <xf numFmtId="0" fontId="24" fillId="2" borderId="38" xfId="0" applyFont="1" applyFill="1" applyBorder="1"/>
    <xf numFmtId="0" fontId="24" fillId="2" borderId="38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5" fillId="0" borderId="38" xfId="0" applyFont="1" applyBorder="1" applyAlignment="1">
      <alignment horizontal="center"/>
    </xf>
    <xf numFmtId="0" fontId="25" fillId="0" borderId="39" xfId="0" applyFont="1" applyBorder="1" applyAlignment="1">
      <alignment horizontal="center"/>
    </xf>
    <xf numFmtId="0" fontId="25" fillId="0" borderId="40" xfId="0" applyFont="1" applyBorder="1" applyAlignment="1">
      <alignment horizontal="center"/>
    </xf>
    <xf numFmtId="0" fontId="23" fillId="0" borderId="41" xfId="0" applyFont="1" applyBorder="1" applyAlignment="1">
      <alignment horizontal="left"/>
    </xf>
    <xf numFmtId="0" fontId="23" fillId="0" borderId="4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42" xfId="0" applyFont="1" applyBorder="1"/>
    <xf numFmtId="0" fontId="23" fillId="0" borderId="43" xfId="0" applyFont="1" applyBorder="1"/>
    <xf numFmtId="0" fontId="23" fillId="0" borderId="44" xfId="0" applyFont="1" applyBorder="1"/>
    <xf numFmtId="0" fontId="23" fillId="0" borderId="45" xfId="0" applyFont="1" applyBorder="1"/>
    <xf numFmtId="0" fontId="23" fillId="0" borderId="8" xfId="0" applyFont="1" applyBorder="1"/>
    <xf numFmtId="0" fontId="23" fillId="0" borderId="46" xfId="0" applyFont="1" applyBorder="1"/>
    <xf numFmtId="0" fontId="23" fillId="0" borderId="14" xfId="0" applyFont="1" applyBorder="1"/>
    <xf numFmtId="0" fontId="23" fillId="0" borderId="47" xfId="0" applyFont="1" applyBorder="1"/>
    <xf numFmtId="0" fontId="23" fillId="0" borderId="48" xfId="0" applyFont="1" applyBorder="1"/>
    <xf numFmtId="0" fontId="23" fillId="0" borderId="49" xfId="0" applyFont="1" applyBorder="1"/>
    <xf numFmtId="0" fontId="32" fillId="0" borderId="18" xfId="0" applyFont="1" applyBorder="1" applyAlignment="1">
      <alignment horizontal="left" wrapText="1"/>
    </xf>
    <xf numFmtId="0" fontId="33" fillId="0" borderId="6" xfId="0" applyFont="1" applyBorder="1" applyAlignment="1">
      <alignment vertical="center" wrapText="1"/>
    </xf>
    <xf numFmtId="164" fontId="2" fillId="0" borderId="6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36" fillId="0" borderId="0" xfId="0" applyFont="1" applyAlignment="1">
      <alignment horizontal="left"/>
    </xf>
    <xf numFmtId="0" fontId="37" fillId="3" borderId="0" xfId="0" applyFont="1" applyFill="1"/>
    <xf numFmtId="0" fontId="36" fillId="0" borderId="8" xfId="0" applyFont="1" applyBorder="1"/>
    <xf numFmtId="0" fontId="36" fillId="0" borderId="45" xfId="0" applyFont="1" applyBorder="1"/>
    <xf numFmtId="0" fontId="32" fillId="0" borderId="0" xfId="0" applyFont="1"/>
    <xf numFmtId="0" fontId="36" fillId="0" borderId="46" xfId="0" applyFont="1" applyBorder="1"/>
    <xf numFmtId="0" fontId="4" fillId="0" borderId="0" xfId="0" applyFont="1" applyAlignment="1">
      <alignment horizontal="left" vertical="center" wrapText="1"/>
    </xf>
    <xf numFmtId="0" fontId="0" fillId="0" borderId="0" xfId="0" applyFont="1" applyAlignment="1"/>
    <xf numFmtId="0" fontId="31" fillId="0" borderId="8" xfId="0" applyFont="1" applyBorder="1" applyAlignment="1">
      <alignment horizontal="left"/>
    </xf>
    <xf numFmtId="0" fontId="34" fillId="0" borderId="9" xfId="0" applyFont="1" applyBorder="1"/>
    <xf numFmtId="0" fontId="34" fillId="0" borderId="10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/>
    </xf>
    <xf numFmtId="0" fontId="32" fillId="0" borderId="0" xfId="0" applyFont="1" applyAlignment="1">
      <alignment horizontal="center" vertical="center" wrapText="1"/>
    </xf>
    <xf numFmtId="0" fontId="9" fillId="0" borderId="15" xfId="0" applyFont="1" applyBorder="1"/>
    <xf numFmtId="0" fontId="32" fillId="0" borderId="0" xfId="0" applyFont="1" applyAlignment="1">
      <alignment horizontal="left" vertical="center" wrapText="1"/>
    </xf>
    <xf numFmtId="0" fontId="32" fillId="0" borderId="41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8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22" fillId="0" borderId="22" xfId="0" applyFont="1" applyBorder="1" applyAlignment="1">
      <alignment horizontal="center" vertical="center"/>
    </xf>
    <xf numFmtId="0" fontId="9" fillId="0" borderId="32" xfId="0" applyFont="1" applyBorder="1"/>
    <xf numFmtId="0" fontId="9" fillId="0" borderId="23" xfId="0" applyFont="1" applyBorder="1"/>
    <xf numFmtId="0" fontId="22" fillId="0" borderId="26" xfId="0" applyFont="1" applyBorder="1" applyAlignment="1">
      <alignment horizontal="center" vertical="center"/>
    </xf>
    <xf numFmtId="0" fontId="9" fillId="0" borderId="27" xfId="0" applyFont="1" applyBorder="1"/>
    <xf numFmtId="0" fontId="9" fillId="0" borderId="28" xfId="0" applyFont="1" applyBorder="1"/>
    <xf numFmtId="0" fontId="17" fillId="0" borderId="26" xfId="0" applyFont="1" applyBorder="1" applyAlignment="1">
      <alignment horizontal="left" vertical="center" wrapText="1"/>
    </xf>
    <xf numFmtId="0" fontId="20" fillId="0" borderId="26" xfId="0" applyFont="1" applyBorder="1" applyAlignment="1">
      <alignment horizontal="left"/>
    </xf>
    <xf numFmtId="0" fontId="21" fillId="0" borderId="26" xfId="0" applyFont="1" applyBorder="1" applyAlignment="1">
      <alignment horizontal="left"/>
    </xf>
    <xf numFmtId="0" fontId="20" fillId="0" borderId="29" xfId="0" applyFont="1" applyBorder="1"/>
    <xf numFmtId="0" fontId="20" fillId="0" borderId="29" xfId="0" applyFont="1" applyBorder="1" applyAlignment="1">
      <alignment horizontal="left" vertical="center" wrapText="1"/>
    </xf>
    <xf numFmtId="0" fontId="9" fillId="0" borderId="30" xfId="0" applyFont="1" applyBorder="1"/>
    <xf numFmtId="0" fontId="17" fillId="0" borderId="19" xfId="0" applyFont="1" applyBorder="1" applyAlignment="1">
      <alignment horizontal="center"/>
    </xf>
    <xf numFmtId="0" fontId="9" fillId="0" borderId="20" xfId="0" applyFont="1" applyBorder="1"/>
    <xf numFmtId="3" fontId="18" fillId="0" borderId="20" xfId="0" applyNumberFormat="1" applyFont="1" applyBorder="1" applyAlignment="1">
      <alignment horizontal="center"/>
    </xf>
    <xf numFmtId="0" fontId="9" fillId="0" borderId="21" xfId="0" applyFont="1" applyBorder="1"/>
    <xf numFmtId="0" fontId="17" fillId="0" borderId="26" xfId="0" applyFont="1" applyBorder="1"/>
    <xf numFmtId="0" fontId="20" fillId="0" borderId="12" xfId="0" applyFont="1" applyBorder="1" applyAlignment="1">
      <alignment horizontal="left" vertical="center" wrapText="1"/>
    </xf>
    <xf numFmtId="0" fontId="9" fillId="0" borderId="13" xfId="0" applyFont="1" applyBorder="1"/>
    <xf numFmtId="0" fontId="9" fillId="0" borderId="4" xfId="0" applyFont="1" applyBorder="1"/>
    <xf numFmtId="0" fontId="9" fillId="0" borderId="16" xfId="0" applyFont="1" applyBorder="1"/>
    <xf numFmtId="0" fontId="9" fillId="0" borderId="17" xfId="0" applyFont="1" applyBorder="1"/>
    <xf numFmtId="0" fontId="9" fillId="0" borderId="18" xfId="0" applyFont="1" applyBorder="1"/>
    <xf numFmtId="0" fontId="17" fillId="0" borderId="8" xfId="0" applyFont="1" applyBorder="1" applyAlignment="1">
      <alignment horizontal="center" vertical="center" wrapText="1"/>
    </xf>
    <xf numFmtId="0" fontId="9" fillId="0" borderId="10" xfId="0" applyFont="1" applyBorder="1"/>
    <xf numFmtId="0" fontId="18" fillId="0" borderId="24" xfId="0" applyFont="1" applyBorder="1" applyAlignment="1">
      <alignment horizontal="left" vertical="center" wrapText="1"/>
    </xf>
    <xf numFmtId="0" fontId="9" fillId="0" borderId="31" xfId="0" applyFont="1" applyBorder="1"/>
    <xf numFmtId="0" fontId="9" fillId="0" borderId="25" xfId="0" applyFont="1" applyBorder="1"/>
    <xf numFmtId="0" fontId="17" fillId="0" borderId="22" xfId="0" applyFont="1" applyBorder="1"/>
    <xf numFmtId="0" fontId="20" fillId="0" borderId="32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22" fillId="0" borderId="22" xfId="0" applyFont="1" applyBorder="1" applyAlignment="1">
      <alignment horizontal="center" vertical="center" wrapText="1"/>
    </xf>
    <xf numFmtId="0" fontId="9" fillId="0" borderId="29" xfId="0" applyFont="1" applyBorder="1"/>
    <xf numFmtId="164" fontId="22" fillId="0" borderId="23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9" fillId="0" borderId="24" xfId="0" applyFont="1" applyBorder="1"/>
    <xf numFmtId="0" fontId="20" fillId="0" borderId="26" xfId="0" applyFont="1" applyBorder="1" applyAlignment="1">
      <alignment horizontal="left" wrapText="1"/>
    </xf>
  </cellXfs>
  <cellStyles count="1">
    <cellStyle name="Normal" xfId="0" builtinId="0"/>
  </cellStyles>
  <dxfs count="3">
    <dxf>
      <fill>
        <patternFill patternType="solid">
          <fgColor rgb="FFDBE5F1"/>
          <bgColor rgb="FFDBE5F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none"/>
      </fill>
    </dxf>
  </dxfs>
  <tableStyles count="1">
    <tableStyle name="TONER PLANIFICACIO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94362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022/2021/COMPRAS/2DO%20TRIMESTRE%20SECRET%20DE%20COMPRAS/TONER/4%20-%20NP%20-APG%20-%20SAF%20022-%20TONER%20RECTIFICATI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  <sheetName val="DETALLE IMPRESORAS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E3:E21">
  <tableColumns count="1">
    <tableColumn id="1" xr3:uid="{00000000-0010-0000-0000-000001000000}" name="Toners"/>
  </tableColumns>
  <tableStyleInfo name="TONER PLANIFICACION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"/>
  <sheetViews>
    <sheetView tabSelected="1" topLeftCell="A6" zoomScaleNormal="100" workbookViewId="0">
      <selection activeCell="K25" sqref="K25:M25"/>
    </sheetView>
  </sheetViews>
  <sheetFormatPr baseColWidth="10" defaultColWidth="14.42578125" defaultRowHeight="15" customHeight="1"/>
  <cols>
    <col min="1" max="1" width="4.5703125" customWidth="1"/>
    <col min="2" max="2" width="16.7109375" customWidth="1"/>
    <col min="3" max="3" width="16.28515625" customWidth="1"/>
    <col min="4" max="4" width="8.42578125" customWidth="1"/>
    <col min="5" max="5" width="92.140625" customWidth="1"/>
    <col min="6" max="6" width="11" customWidth="1"/>
    <col min="7" max="7" width="12.7109375" customWidth="1"/>
    <col min="8" max="8" width="13.85546875" customWidth="1"/>
    <col min="9" max="9" width="21.28515625" customWidth="1"/>
    <col min="10" max="11" width="11" customWidth="1"/>
    <col min="13" max="13" width="34" customWidth="1"/>
  </cols>
  <sheetData>
    <row r="1" spans="1:11" ht="12.75" customHeight="1">
      <c r="A1" s="1"/>
      <c r="B1" s="1"/>
      <c r="C1" s="1"/>
      <c r="D1" s="1"/>
      <c r="E1" s="1"/>
      <c r="F1" s="1"/>
      <c r="G1" s="2"/>
      <c r="H1" s="3"/>
      <c r="I1" s="4"/>
      <c r="J1" s="1"/>
      <c r="K1" s="1"/>
    </row>
    <row r="2" spans="1:11" ht="41.25" customHeight="1">
      <c r="A2" s="1"/>
      <c r="B2" s="106" t="s">
        <v>0</v>
      </c>
      <c r="C2" s="102"/>
      <c r="D2" s="102"/>
      <c r="E2" s="102"/>
      <c r="F2" s="102"/>
      <c r="G2" s="102"/>
      <c r="H2" s="102"/>
      <c r="I2" s="4"/>
      <c r="J2" s="1"/>
      <c r="K2" s="1"/>
    </row>
    <row r="3" spans="1:11" ht="12.75" customHeight="1">
      <c r="A3" s="1"/>
      <c r="B3" s="1"/>
      <c r="C3" s="1"/>
      <c r="D3" s="1"/>
      <c r="E3" s="1"/>
      <c r="F3" s="1"/>
      <c r="G3" s="2"/>
      <c r="H3" s="3"/>
      <c r="I3" s="4"/>
      <c r="J3" s="1"/>
      <c r="K3" s="1"/>
    </row>
    <row r="4" spans="1:11" ht="23.25" customHeight="1">
      <c r="A4" s="101" t="s">
        <v>1</v>
      </c>
      <c r="B4" s="102"/>
      <c r="C4" s="107" t="s">
        <v>2</v>
      </c>
      <c r="D4" s="102"/>
      <c r="E4" s="102"/>
      <c r="F4" s="6"/>
      <c r="G4" s="7"/>
      <c r="H4" s="3"/>
      <c r="I4" s="4"/>
      <c r="J4" s="1"/>
      <c r="K4" s="1"/>
    </row>
    <row r="5" spans="1:11" ht="42" customHeight="1">
      <c r="A5" s="101" t="s">
        <v>3</v>
      </c>
      <c r="B5" s="102"/>
      <c r="C5" s="107" t="s">
        <v>4</v>
      </c>
      <c r="D5" s="102"/>
      <c r="E5" s="102"/>
      <c r="F5" s="6"/>
      <c r="G5" s="7"/>
      <c r="H5" s="3"/>
      <c r="I5" s="4"/>
      <c r="J5" s="1"/>
      <c r="K5" s="1"/>
    </row>
    <row r="6" spans="1:11" ht="16.5" customHeight="1">
      <c r="A6" s="101" t="s">
        <v>5</v>
      </c>
      <c r="B6" s="102"/>
      <c r="C6" s="5">
        <v>2022</v>
      </c>
      <c r="D6" s="8"/>
      <c r="E6" s="8"/>
      <c r="F6" s="6"/>
      <c r="G6" s="7"/>
      <c r="H6" s="3"/>
      <c r="I6" s="4"/>
      <c r="J6" s="1"/>
      <c r="K6" s="1"/>
    </row>
    <row r="7" spans="1:11" ht="16.5" customHeight="1">
      <c r="A7" s="101" t="s">
        <v>6</v>
      </c>
      <c r="B7" s="102"/>
      <c r="C7" s="5">
        <v>1</v>
      </c>
      <c r="D7" s="8"/>
      <c r="E7" s="8"/>
      <c r="F7" s="6"/>
      <c r="G7" s="7"/>
      <c r="H7" s="3"/>
      <c r="I7" s="4"/>
      <c r="J7" s="1"/>
      <c r="K7" s="1"/>
    </row>
    <row r="8" spans="1:11" ht="12.75" customHeight="1">
      <c r="A8" s="1"/>
      <c r="B8" s="6"/>
      <c r="C8" s="9"/>
      <c r="D8" s="6"/>
      <c r="E8" s="6"/>
      <c r="F8" s="6"/>
      <c r="G8" s="7"/>
      <c r="H8" s="3"/>
      <c r="I8" s="4"/>
      <c r="J8" s="1"/>
      <c r="K8" s="1"/>
    </row>
    <row r="9" spans="1:11" ht="12.75" customHeight="1">
      <c r="A9" s="10" t="s">
        <v>7</v>
      </c>
      <c r="B9" s="11" t="s">
        <v>8</v>
      </c>
      <c r="C9" s="12" t="s">
        <v>9</v>
      </c>
      <c r="D9" s="10" t="s">
        <v>10</v>
      </c>
      <c r="E9" s="12" t="s">
        <v>11</v>
      </c>
      <c r="F9" s="13" t="s">
        <v>12</v>
      </c>
      <c r="G9" s="14" t="s">
        <v>13</v>
      </c>
      <c r="H9" s="15" t="s">
        <v>14</v>
      </c>
      <c r="I9" s="16" t="s">
        <v>15</v>
      </c>
      <c r="J9" s="1"/>
      <c r="K9" s="1"/>
    </row>
    <row r="10" spans="1:11" ht="15.75" customHeight="1">
      <c r="A10" s="17">
        <v>1</v>
      </c>
      <c r="B10" s="18" t="s">
        <v>16</v>
      </c>
      <c r="C10" s="18" t="s">
        <v>17</v>
      </c>
      <c r="D10" s="19" t="s">
        <v>18</v>
      </c>
      <c r="E10" s="18" t="s">
        <v>19</v>
      </c>
      <c r="F10" s="19" t="s">
        <v>20</v>
      </c>
      <c r="G10" s="20">
        <v>10</v>
      </c>
      <c r="H10" s="21">
        <v>3621</v>
      </c>
      <c r="I10" s="22">
        <f t="shared" ref="I10:I34" si="0">+H10*G10</f>
        <v>36210</v>
      </c>
      <c r="J10" s="1"/>
      <c r="K10" s="1"/>
    </row>
    <row r="11" spans="1:11" ht="12.75" customHeight="1">
      <c r="A11" s="17">
        <v>2</v>
      </c>
      <c r="B11" s="19" t="s">
        <v>21</v>
      </c>
      <c r="C11" s="19" t="s">
        <v>17</v>
      </c>
      <c r="D11" s="19" t="s">
        <v>22</v>
      </c>
      <c r="E11" s="19" t="s">
        <v>23</v>
      </c>
      <c r="F11" s="19" t="s">
        <v>20</v>
      </c>
      <c r="G11" s="23">
        <v>10</v>
      </c>
      <c r="H11" s="24">
        <v>2826</v>
      </c>
      <c r="I11" s="22">
        <f t="shared" si="0"/>
        <v>28260</v>
      </c>
      <c r="J11" s="1"/>
      <c r="K11" s="1"/>
    </row>
    <row r="12" spans="1:11" ht="12.75" customHeight="1">
      <c r="A12" s="17">
        <v>3</v>
      </c>
      <c r="B12" s="19" t="s">
        <v>24</v>
      </c>
      <c r="C12" s="19" t="s">
        <v>17</v>
      </c>
      <c r="D12" s="19" t="s">
        <v>18</v>
      </c>
      <c r="E12" s="19" t="s">
        <v>25</v>
      </c>
      <c r="F12" s="19" t="s">
        <v>20</v>
      </c>
      <c r="G12" s="23">
        <v>10</v>
      </c>
      <c r="H12" s="24">
        <v>1910</v>
      </c>
      <c r="I12" s="22">
        <f t="shared" si="0"/>
        <v>19100</v>
      </c>
      <c r="J12" s="1"/>
      <c r="K12" s="1"/>
    </row>
    <row r="13" spans="1:11" ht="12.75" customHeight="1">
      <c r="A13" s="17">
        <v>4</v>
      </c>
      <c r="B13" s="19" t="s">
        <v>211</v>
      </c>
      <c r="C13" s="19" t="s">
        <v>17</v>
      </c>
      <c r="D13" s="91" t="s">
        <v>18</v>
      </c>
      <c r="E13" s="19" t="s">
        <v>212</v>
      </c>
      <c r="F13" s="19" t="s">
        <v>20</v>
      </c>
      <c r="G13" s="23">
        <v>5</v>
      </c>
      <c r="H13" s="24">
        <v>2950</v>
      </c>
      <c r="I13" s="22">
        <f t="shared" si="0"/>
        <v>14750</v>
      </c>
      <c r="J13" s="1"/>
      <c r="K13" s="1"/>
    </row>
    <row r="14" spans="1:11" ht="12.75" customHeight="1">
      <c r="A14" s="17">
        <v>5</v>
      </c>
      <c r="B14" s="19" t="s">
        <v>26</v>
      </c>
      <c r="C14" s="19" t="s">
        <v>17</v>
      </c>
      <c r="D14" s="19" t="s">
        <v>18</v>
      </c>
      <c r="E14" s="19" t="s">
        <v>27</v>
      </c>
      <c r="F14" s="19" t="s">
        <v>20</v>
      </c>
      <c r="G14" s="23">
        <v>10</v>
      </c>
      <c r="H14" s="24">
        <v>1585</v>
      </c>
      <c r="I14" s="22">
        <f t="shared" si="0"/>
        <v>15850</v>
      </c>
      <c r="J14" s="1"/>
      <c r="K14" s="1"/>
    </row>
    <row r="15" spans="1:11" ht="12.75" customHeight="1">
      <c r="A15" s="17">
        <v>6</v>
      </c>
      <c r="B15" s="19" t="s">
        <v>28</v>
      </c>
      <c r="C15" s="19" t="s">
        <v>17</v>
      </c>
      <c r="D15" s="91" t="s">
        <v>18</v>
      </c>
      <c r="E15" s="19" t="s">
        <v>29</v>
      </c>
      <c r="F15" s="19" t="s">
        <v>20</v>
      </c>
      <c r="G15" s="23">
        <v>10</v>
      </c>
      <c r="H15" s="24">
        <v>875</v>
      </c>
      <c r="I15" s="22">
        <f t="shared" si="0"/>
        <v>8750</v>
      </c>
      <c r="J15" s="1"/>
      <c r="K15" s="1"/>
    </row>
    <row r="16" spans="1:11" ht="12.75" customHeight="1">
      <c r="A16" s="17">
        <v>7</v>
      </c>
      <c r="B16" s="19" t="s">
        <v>30</v>
      </c>
      <c r="C16" s="19" t="s">
        <v>17</v>
      </c>
      <c r="D16" s="91" t="s">
        <v>18</v>
      </c>
      <c r="E16" s="19" t="s">
        <v>31</v>
      </c>
      <c r="F16" s="19" t="s">
        <v>20</v>
      </c>
      <c r="G16" s="23">
        <v>10</v>
      </c>
      <c r="H16" s="24">
        <v>1230</v>
      </c>
      <c r="I16" s="22">
        <f t="shared" si="0"/>
        <v>12300</v>
      </c>
      <c r="J16" s="1"/>
      <c r="K16" s="1"/>
    </row>
    <row r="17" spans="1:13" ht="12.75" customHeight="1">
      <c r="A17" s="17">
        <v>8</v>
      </c>
      <c r="B17" s="19" t="s">
        <v>32</v>
      </c>
      <c r="C17" s="19" t="s">
        <v>17</v>
      </c>
      <c r="D17" s="19" t="s">
        <v>22</v>
      </c>
      <c r="E17" s="19" t="s">
        <v>33</v>
      </c>
      <c r="F17" s="19" t="s">
        <v>34</v>
      </c>
      <c r="G17" s="23">
        <v>10</v>
      </c>
      <c r="H17" s="24">
        <v>1795</v>
      </c>
      <c r="I17" s="22">
        <f t="shared" si="0"/>
        <v>17950</v>
      </c>
      <c r="J17" s="1"/>
      <c r="K17" s="1"/>
    </row>
    <row r="18" spans="1:13" ht="12.75" customHeight="1">
      <c r="A18" s="17">
        <v>9</v>
      </c>
      <c r="B18" s="19" t="s">
        <v>35</v>
      </c>
      <c r="C18" s="19" t="s">
        <v>17</v>
      </c>
      <c r="D18" s="19" t="s">
        <v>18</v>
      </c>
      <c r="E18" s="19" t="s">
        <v>36</v>
      </c>
      <c r="F18" s="19" t="s">
        <v>20</v>
      </c>
      <c r="G18" s="23">
        <v>10</v>
      </c>
      <c r="H18" s="24">
        <v>1890</v>
      </c>
      <c r="I18" s="22">
        <f t="shared" si="0"/>
        <v>18900</v>
      </c>
      <c r="J18" s="1"/>
      <c r="K18" s="1"/>
    </row>
    <row r="19" spans="1:13" ht="12.75" customHeight="1">
      <c r="A19" s="17">
        <v>10</v>
      </c>
      <c r="B19" s="19" t="s">
        <v>37</v>
      </c>
      <c r="C19" s="19" t="s">
        <v>17</v>
      </c>
      <c r="D19" s="91" t="s">
        <v>18</v>
      </c>
      <c r="E19" s="19" t="s">
        <v>38</v>
      </c>
      <c r="F19" s="19" t="s">
        <v>34</v>
      </c>
      <c r="G19" s="23">
        <v>10</v>
      </c>
      <c r="H19" s="24">
        <v>1230</v>
      </c>
      <c r="I19" s="22">
        <f t="shared" si="0"/>
        <v>12300</v>
      </c>
      <c r="J19" s="1"/>
      <c r="K19" s="1"/>
    </row>
    <row r="20" spans="1:13" ht="12.75" customHeight="1">
      <c r="A20" s="17">
        <v>11</v>
      </c>
      <c r="B20" s="19" t="s">
        <v>39</v>
      </c>
      <c r="C20" s="19" t="s">
        <v>17</v>
      </c>
      <c r="D20" s="19" t="s">
        <v>18</v>
      </c>
      <c r="E20" s="19" t="s">
        <v>40</v>
      </c>
      <c r="F20" s="19" t="s">
        <v>20</v>
      </c>
      <c r="G20" s="23">
        <v>10</v>
      </c>
      <c r="H20" s="24">
        <v>1095</v>
      </c>
      <c r="I20" s="22">
        <f t="shared" si="0"/>
        <v>10950</v>
      </c>
      <c r="J20" s="1"/>
      <c r="K20" s="1"/>
    </row>
    <row r="21" spans="1:13" ht="12.75" customHeight="1">
      <c r="A21" s="17">
        <v>12</v>
      </c>
      <c r="B21" s="19" t="s">
        <v>228</v>
      </c>
      <c r="C21" s="19" t="s">
        <v>17</v>
      </c>
      <c r="D21" s="91" t="s">
        <v>18</v>
      </c>
      <c r="E21" s="91" t="s">
        <v>229</v>
      </c>
      <c r="F21" s="19" t="s">
        <v>20</v>
      </c>
      <c r="G21" s="23">
        <v>10</v>
      </c>
      <c r="H21" s="24">
        <v>1420</v>
      </c>
      <c r="I21" s="22">
        <f t="shared" si="0"/>
        <v>14200</v>
      </c>
      <c r="J21" s="1"/>
      <c r="K21" s="1"/>
    </row>
    <row r="22" spans="1:13" ht="12.75" customHeight="1">
      <c r="A22" s="17">
        <v>13</v>
      </c>
      <c r="B22" s="19" t="s">
        <v>234</v>
      </c>
      <c r="C22" s="19" t="s">
        <v>17</v>
      </c>
      <c r="D22" s="91" t="s">
        <v>18</v>
      </c>
      <c r="E22" s="19" t="s">
        <v>235</v>
      </c>
      <c r="F22" s="19" t="s">
        <v>20</v>
      </c>
      <c r="G22" s="23">
        <v>5</v>
      </c>
      <c r="H22" s="24">
        <v>4100</v>
      </c>
      <c r="I22" s="22">
        <f t="shared" si="0"/>
        <v>20500</v>
      </c>
      <c r="J22" s="1"/>
      <c r="K22" s="1"/>
    </row>
    <row r="23" spans="1:13" ht="12.75" customHeight="1">
      <c r="A23" s="17">
        <v>14</v>
      </c>
      <c r="B23" s="19" t="s">
        <v>41</v>
      </c>
      <c r="C23" s="19" t="s">
        <v>17</v>
      </c>
      <c r="D23" s="91" t="s">
        <v>18</v>
      </c>
      <c r="E23" s="91" t="s">
        <v>42</v>
      </c>
      <c r="F23" s="19" t="s">
        <v>20</v>
      </c>
      <c r="G23" s="23">
        <v>5</v>
      </c>
      <c r="H23" s="24">
        <v>3749</v>
      </c>
      <c r="I23" s="22">
        <f t="shared" si="0"/>
        <v>18745</v>
      </c>
      <c r="J23" s="1"/>
      <c r="K23" s="1"/>
    </row>
    <row r="24" spans="1:13" s="94" customFormat="1" ht="25.5" customHeight="1">
      <c r="A24" s="17">
        <v>15</v>
      </c>
      <c r="B24" s="19" t="s">
        <v>230</v>
      </c>
      <c r="C24" s="19" t="s">
        <v>17</v>
      </c>
      <c r="D24" s="91" t="s">
        <v>18</v>
      </c>
      <c r="E24" s="19" t="s">
        <v>231</v>
      </c>
      <c r="F24" s="19" t="s">
        <v>20</v>
      </c>
      <c r="G24" s="23">
        <v>5</v>
      </c>
      <c r="H24" s="92">
        <v>2499</v>
      </c>
      <c r="I24" s="22">
        <f t="shared" si="0"/>
        <v>12495</v>
      </c>
      <c r="J24" s="93"/>
      <c r="K24" s="93"/>
    </row>
    <row r="25" spans="1:13" ht="205.5" customHeight="1">
      <c r="A25" s="17">
        <v>16</v>
      </c>
      <c r="B25" s="19" t="s">
        <v>41</v>
      </c>
      <c r="C25" s="19" t="s">
        <v>17</v>
      </c>
      <c r="D25" s="19" t="s">
        <v>18</v>
      </c>
      <c r="E25" s="19" t="s">
        <v>42</v>
      </c>
      <c r="F25" s="19" t="s">
        <v>20</v>
      </c>
      <c r="G25" s="23">
        <v>6</v>
      </c>
      <c r="H25" s="24">
        <v>1300</v>
      </c>
      <c r="I25" s="22">
        <f t="shared" si="0"/>
        <v>7800</v>
      </c>
      <c r="J25" s="1"/>
      <c r="K25" s="110" t="s">
        <v>232</v>
      </c>
      <c r="L25" s="102"/>
      <c r="M25" s="109"/>
    </row>
    <row r="26" spans="1:13" ht="12.75" customHeight="1">
      <c r="A26" s="17">
        <v>17</v>
      </c>
      <c r="B26" s="19" t="s">
        <v>43</v>
      </c>
      <c r="C26" s="19" t="s">
        <v>17</v>
      </c>
      <c r="D26" s="19" t="s">
        <v>18</v>
      </c>
      <c r="E26" s="19" t="s">
        <v>44</v>
      </c>
      <c r="F26" s="19" t="s">
        <v>20</v>
      </c>
      <c r="G26" s="23">
        <v>10</v>
      </c>
      <c r="H26" s="24">
        <v>1195</v>
      </c>
      <c r="I26" s="22">
        <f t="shared" si="0"/>
        <v>11950</v>
      </c>
      <c r="J26" s="1"/>
      <c r="K26" s="1"/>
    </row>
    <row r="27" spans="1:13" ht="12.75" customHeight="1">
      <c r="A27" s="17">
        <v>18</v>
      </c>
      <c r="B27" s="19" t="s">
        <v>45</v>
      </c>
      <c r="C27" s="19" t="s">
        <v>17</v>
      </c>
      <c r="D27" s="19" t="s">
        <v>18</v>
      </c>
      <c r="E27" s="19" t="s">
        <v>46</v>
      </c>
      <c r="F27" s="19" t="s">
        <v>20</v>
      </c>
      <c r="G27" s="23">
        <v>5</v>
      </c>
      <c r="H27" s="24">
        <v>1585</v>
      </c>
      <c r="I27" s="22">
        <f t="shared" si="0"/>
        <v>7925</v>
      </c>
      <c r="J27" s="1"/>
      <c r="K27" s="1"/>
    </row>
    <row r="28" spans="1:13" ht="12.6" customHeight="1">
      <c r="A28" s="17">
        <v>19</v>
      </c>
      <c r="B28" s="19" t="s">
        <v>47</v>
      </c>
      <c r="C28" s="19" t="s">
        <v>17</v>
      </c>
      <c r="D28" s="19" t="s">
        <v>18</v>
      </c>
      <c r="E28" s="19" t="s">
        <v>48</v>
      </c>
      <c r="F28" s="19" t="s">
        <v>20</v>
      </c>
      <c r="G28" s="23">
        <v>5</v>
      </c>
      <c r="H28" s="24">
        <v>6850</v>
      </c>
      <c r="I28" s="22">
        <f t="shared" si="0"/>
        <v>34250</v>
      </c>
      <c r="J28" s="1"/>
      <c r="K28" s="1"/>
    </row>
    <row r="29" spans="1:13" ht="12.6" customHeight="1">
      <c r="A29" s="17">
        <v>20</v>
      </c>
      <c r="B29" s="19" t="s">
        <v>49</v>
      </c>
      <c r="C29" s="19" t="s">
        <v>17</v>
      </c>
      <c r="D29" s="19" t="s">
        <v>18</v>
      </c>
      <c r="E29" s="19" t="s">
        <v>50</v>
      </c>
      <c r="F29" s="19" t="s">
        <v>20</v>
      </c>
      <c r="G29" s="23">
        <v>5</v>
      </c>
      <c r="H29" s="24">
        <v>1680</v>
      </c>
      <c r="I29" s="22">
        <f t="shared" si="0"/>
        <v>8400</v>
      </c>
      <c r="J29" s="1"/>
      <c r="K29" s="1"/>
    </row>
    <row r="30" spans="1:13" ht="12.75" customHeight="1">
      <c r="A30" s="17">
        <v>21</v>
      </c>
      <c r="B30" s="19" t="s">
        <v>51</v>
      </c>
      <c r="C30" s="19" t="s">
        <v>17</v>
      </c>
      <c r="D30" s="19" t="s">
        <v>18</v>
      </c>
      <c r="E30" s="19" t="s">
        <v>52</v>
      </c>
      <c r="F30" s="19" t="s">
        <v>20</v>
      </c>
      <c r="G30" s="23">
        <v>5</v>
      </c>
      <c r="H30" s="24">
        <v>990</v>
      </c>
      <c r="I30" s="22">
        <f t="shared" si="0"/>
        <v>4950</v>
      </c>
      <c r="J30" s="1"/>
      <c r="K30" s="1"/>
    </row>
    <row r="31" spans="1:13" ht="12.75" customHeight="1">
      <c r="A31" s="17">
        <v>22</v>
      </c>
      <c r="B31" s="19" t="s">
        <v>53</v>
      </c>
      <c r="C31" s="19" t="s">
        <v>17</v>
      </c>
      <c r="D31" s="19" t="s">
        <v>18</v>
      </c>
      <c r="E31" s="19" t="s">
        <v>54</v>
      </c>
      <c r="F31" s="19" t="s">
        <v>20</v>
      </c>
      <c r="G31" s="23">
        <v>5</v>
      </c>
      <c r="H31" s="24">
        <v>990</v>
      </c>
      <c r="I31" s="22">
        <f t="shared" si="0"/>
        <v>4950</v>
      </c>
      <c r="J31" s="1"/>
      <c r="K31" s="1"/>
    </row>
    <row r="32" spans="1:13" ht="12.75" customHeight="1">
      <c r="A32" s="17">
        <v>23</v>
      </c>
      <c r="B32" s="19" t="s">
        <v>55</v>
      </c>
      <c r="C32" s="19" t="s">
        <v>17</v>
      </c>
      <c r="D32" s="19" t="s">
        <v>18</v>
      </c>
      <c r="E32" s="19" t="s">
        <v>56</v>
      </c>
      <c r="F32" s="19" t="s">
        <v>57</v>
      </c>
      <c r="G32" s="23">
        <v>5</v>
      </c>
      <c r="H32" s="24">
        <v>4725</v>
      </c>
      <c r="I32" s="22">
        <f t="shared" si="0"/>
        <v>23625</v>
      </c>
      <c r="J32" s="1"/>
      <c r="K32" s="1"/>
    </row>
    <row r="33" spans="1:11" ht="12.75" customHeight="1">
      <c r="A33" s="17">
        <v>24</v>
      </c>
      <c r="B33" s="19" t="s">
        <v>58</v>
      </c>
      <c r="C33" s="19" t="s">
        <v>17</v>
      </c>
      <c r="D33" s="19" t="s">
        <v>18</v>
      </c>
      <c r="E33" s="91" t="s">
        <v>59</v>
      </c>
      <c r="F33" s="19" t="s">
        <v>20</v>
      </c>
      <c r="G33" s="23">
        <v>5</v>
      </c>
      <c r="H33" s="24">
        <v>2539</v>
      </c>
      <c r="I33" s="22">
        <f t="shared" si="0"/>
        <v>12695</v>
      </c>
      <c r="J33" s="1"/>
      <c r="K33" s="1"/>
    </row>
    <row r="34" spans="1:11" ht="12.75" customHeight="1">
      <c r="A34" s="17">
        <v>25</v>
      </c>
      <c r="B34" s="19" t="s">
        <v>58</v>
      </c>
      <c r="C34" s="19" t="s">
        <v>17</v>
      </c>
      <c r="D34" s="19" t="s">
        <v>18</v>
      </c>
      <c r="E34" s="91" t="s">
        <v>59</v>
      </c>
      <c r="F34" s="19" t="s">
        <v>20</v>
      </c>
      <c r="G34" s="23">
        <v>5</v>
      </c>
      <c r="H34" s="24">
        <v>1550</v>
      </c>
      <c r="I34" s="22">
        <f t="shared" si="0"/>
        <v>7750</v>
      </c>
      <c r="J34" s="1"/>
      <c r="K34" s="1"/>
    </row>
    <row r="35" spans="1:11" ht="21.75" customHeight="1">
      <c r="A35" s="103" t="s">
        <v>227</v>
      </c>
      <c r="B35" s="104"/>
      <c r="C35" s="104"/>
      <c r="D35" s="104"/>
      <c r="E35" s="104"/>
      <c r="F35" s="104"/>
      <c r="G35" s="104"/>
      <c r="H35" s="105"/>
      <c r="I35" s="25">
        <f>SUM(I10:I34)</f>
        <v>385555</v>
      </c>
      <c r="J35" s="1"/>
      <c r="K35" s="1"/>
    </row>
    <row r="36" spans="1:11" ht="12.75" customHeight="1">
      <c r="A36" s="1"/>
      <c r="B36" s="1"/>
      <c r="C36" s="1"/>
      <c r="D36" s="1"/>
      <c r="E36" s="1"/>
      <c r="F36" s="1"/>
      <c r="G36" s="2"/>
      <c r="H36" s="3"/>
      <c r="I36" s="4"/>
      <c r="J36" s="1"/>
      <c r="K36" s="1"/>
    </row>
    <row r="37" spans="1:11" ht="12.75" customHeight="1">
      <c r="A37" s="1"/>
      <c r="B37" s="26" t="s">
        <v>60</v>
      </c>
      <c r="C37" s="27"/>
      <c r="D37" s="27"/>
      <c r="E37" s="28"/>
      <c r="F37" s="1"/>
      <c r="G37" s="2"/>
      <c r="H37" s="3"/>
      <c r="I37" s="4"/>
      <c r="J37" s="1"/>
      <c r="K37" s="1"/>
    </row>
    <row r="38" spans="1:11" ht="5.25" customHeight="1">
      <c r="A38" s="1"/>
      <c r="B38" s="29"/>
      <c r="C38" s="1"/>
      <c r="D38" s="1"/>
      <c r="E38" s="30"/>
      <c r="F38" s="1"/>
      <c r="G38" s="2"/>
      <c r="H38" s="3"/>
      <c r="I38" s="4"/>
      <c r="J38" s="1"/>
      <c r="K38" s="1"/>
    </row>
    <row r="39" spans="1:11" ht="12.75" customHeight="1">
      <c r="A39" s="1"/>
      <c r="B39" s="31" t="s">
        <v>61</v>
      </c>
      <c r="C39" s="1"/>
      <c r="D39" s="1"/>
      <c r="E39" s="30"/>
      <c r="F39" s="1"/>
      <c r="G39" s="2"/>
      <c r="H39" s="3"/>
      <c r="I39" s="4"/>
      <c r="J39" s="1"/>
      <c r="K39" s="1"/>
    </row>
    <row r="40" spans="1:11" ht="35.25" customHeight="1">
      <c r="A40" s="1"/>
      <c r="B40" s="31"/>
      <c r="C40" s="108" t="s">
        <v>239</v>
      </c>
      <c r="D40" s="102"/>
      <c r="E40" s="109"/>
      <c r="F40" s="1"/>
      <c r="G40" s="2"/>
      <c r="H40" s="3"/>
      <c r="I40" s="4"/>
      <c r="J40" s="1"/>
      <c r="K40" s="1"/>
    </row>
    <row r="41" spans="1:11" ht="17.25" customHeight="1">
      <c r="A41" s="1"/>
      <c r="B41" s="32"/>
      <c r="C41" s="33"/>
      <c r="D41" s="33"/>
      <c r="E41" s="34"/>
      <c r="F41" s="1"/>
      <c r="G41" s="2"/>
      <c r="H41" s="3"/>
      <c r="I41" s="4"/>
      <c r="J41" s="1"/>
      <c r="K41" s="1"/>
    </row>
    <row r="42" spans="1:11" ht="12.75" customHeight="1">
      <c r="A42" s="1"/>
      <c r="B42" s="1"/>
      <c r="C42" s="1"/>
      <c r="D42" s="1"/>
      <c r="E42" s="1"/>
      <c r="F42" s="1"/>
      <c r="G42" s="2"/>
      <c r="H42" s="3"/>
      <c r="I42" s="4"/>
      <c r="J42" s="1"/>
      <c r="K42" s="1"/>
    </row>
    <row r="43" spans="1:11" ht="12.75" customHeight="1">
      <c r="A43" s="1"/>
      <c r="B43" s="26" t="s">
        <v>62</v>
      </c>
      <c r="C43" s="27"/>
      <c r="D43" s="27"/>
      <c r="E43" s="28"/>
      <c r="F43" s="1"/>
      <c r="G43" s="2"/>
      <c r="H43" s="3"/>
      <c r="I43" s="4"/>
      <c r="J43" s="1"/>
      <c r="K43" s="1"/>
    </row>
    <row r="44" spans="1:11" ht="7.5" customHeight="1">
      <c r="A44" s="1"/>
      <c r="B44" s="29"/>
      <c r="C44" s="1"/>
      <c r="D44" s="1"/>
      <c r="E44" s="30"/>
      <c r="F44" s="1"/>
      <c r="G44" s="2"/>
      <c r="H44" s="3"/>
      <c r="I44" s="4"/>
      <c r="J44" s="1"/>
      <c r="K44" s="1"/>
    </row>
    <row r="45" spans="1:11" ht="12.75" customHeight="1">
      <c r="A45" s="1"/>
      <c r="B45" s="31" t="s">
        <v>61</v>
      </c>
      <c r="C45" s="1"/>
      <c r="D45" s="1"/>
      <c r="E45" s="30"/>
      <c r="F45" s="1"/>
      <c r="G45" s="2"/>
      <c r="H45" s="3"/>
      <c r="I45" s="4"/>
      <c r="J45" s="1"/>
      <c r="K45" s="1"/>
    </row>
    <row r="46" spans="1:11" ht="34.5" customHeight="1">
      <c r="A46" s="1"/>
      <c r="B46" s="31"/>
      <c r="C46" s="108" t="s">
        <v>213</v>
      </c>
      <c r="D46" s="102"/>
      <c r="E46" s="109"/>
      <c r="F46" s="1"/>
      <c r="G46" s="2"/>
      <c r="H46" s="3"/>
      <c r="I46" s="4"/>
      <c r="J46" s="1"/>
      <c r="K46" s="1"/>
    </row>
    <row r="47" spans="1:11" ht="16.5" customHeight="1">
      <c r="A47" s="1"/>
      <c r="B47" s="32"/>
      <c r="C47" s="33"/>
      <c r="D47" s="33"/>
      <c r="E47" s="90"/>
      <c r="F47" s="1"/>
      <c r="G47" s="2"/>
      <c r="H47" s="3"/>
      <c r="I47" s="4"/>
      <c r="J47" s="1"/>
      <c r="K47" s="1"/>
    </row>
    <row r="48" spans="1:11" ht="12.75" customHeight="1">
      <c r="A48" s="1"/>
      <c r="B48" s="1"/>
      <c r="C48" s="1"/>
      <c r="D48" s="1"/>
      <c r="E48" s="1"/>
      <c r="F48" s="1"/>
      <c r="G48" s="2"/>
      <c r="H48" s="3"/>
      <c r="I48" s="4"/>
      <c r="J48" s="1"/>
      <c r="K48" s="1"/>
    </row>
    <row r="49" spans="1:11" ht="12.75" customHeight="1">
      <c r="A49" s="1"/>
      <c r="B49" s="26" t="s">
        <v>63</v>
      </c>
      <c r="C49" s="27"/>
      <c r="D49" s="27"/>
      <c r="E49" s="28"/>
      <c r="F49" s="1"/>
      <c r="G49" s="2"/>
      <c r="H49" s="3"/>
      <c r="I49" s="4"/>
      <c r="J49" s="1"/>
      <c r="K49" s="1"/>
    </row>
    <row r="50" spans="1:11" ht="7.5" customHeight="1">
      <c r="A50" s="1"/>
      <c r="B50" s="29"/>
      <c r="C50" s="1"/>
      <c r="D50" s="1"/>
      <c r="E50" s="30"/>
      <c r="F50" s="1"/>
      <c r="G50" s="2"/>
      <c r="H50" s="3"/>
      <c r="I50" s="4"/>
      <c r="J50" s="1"/>
      <c r="K50" s="1"/>
    </row>
    <row r="51" spans="1:11" ht="12.75" customHeight="1">
      <c r="A51" s="1"/>
      <c r="B51" s="31" t="s">
        <v>61</v>
      </c>
      <c r="C51" s="1"/>
      <c r="D51" s="1"/>
      <c r="E51" s="30"/>
      <c r="F51" s="1"/>
      <c r="G51" s="2"/>
      <c r="H51" s="3"/>
      <c r="I51" s="4"/>
      <c r="J51" s="1"/>
      <c r="K51" s="1"/>
    </row>
    <row r="52" spans="1:11" ht="44.1" customHeight="1">
      <c r="A52" s="1"/>
      <c r="B52" s="31"/>
      <c r="C52" s="108" t="s">
        <v>242</v>
      </c>
      <c r="D52" s="102"/>
      <c r="E52" s="109"/>
      <c r="F52" s="1"/>
      <c r="G52" s="2"/>
      <c r="H52" s="3"/>
      <c r="I52" s="4"/>
      <c r="J52" s="1"/>
      <c r="K52" s="1"/>
    </row>
    <row r="53" spans="1:11" ht="16.5" customHeight="1">
      <c r="A53" s="1"/>
      <c r="B53" s="32"/>
      <c r="C53" s="33"/>
      <c r="D53" s="33"/>
      <c r="E53" s="34"/>
      <c r="F53" s="1"/>
      <c r="G53" s="2"/>
      <c r="H53" s="3"/>
      <c r="I53" s="4"/>
      <c r="J53" s="1"/>
      <c r="K53" s="1"/>
    </row>
    <row r="54" spans="1:11" ht="12.75" customHeight="1">
      <c r="A54" s="1"/>
      <c r="B54" s="1"/>
      <c r="C54" s="1"/>
      <c r="D54" s="1"/>
      <c r="E54" s="1"/>
      <c r="F54" s="1"/>
      <c r="G54" s="2"/>
      <c r="H54" s="3"/>
      <c r="I54" s="4"/>
      <c r="J54" s="1"/>
      <c r="K54" s="1"/>
    </row>
    <row r="55" spans="1:11" ht="12.75" customHeight="1">
      <c r="A55" s="1"/>
      <c r="B55" s="26" t="s">
        <v>64</v>
      </c>
      <c r="C55" s="27"/>
      <c r="D55" s="27"/>
      <c r="E55" s="28"/>
      <c r="F55" s="1"/>
      <c r="G55" s="2"/>
      <c r="H55" s="3"/>
      <c r="I55" s="4"/>
      <c r="J55" s="1"/>
      <c r="K55" s="1"/>
    </row>
    <row r="56" spans="1:11" ht="7.5" customHeight="1">
      <c r="A56" s="1"/>
      <c r="B56" s="29"/>
      <c r="C56" s="1"/>
      <c r="D56" s="1"/>
      <c r="E56" s="30"/>
      <c r="F56" s="1"/>
      <c r="G56" s="2"/>
      <c r="H56" s="3"/>
      <c r="I56" s="4"/>
      <c r="J56" s="1"/>
      <c r="K56" s="1"/>
    </row>
    <row r="57" spans="1:11" ht="12.75" customHeight="1">
      <c r="A57" s="1"/>
      <c r="B57" s="31" t="s">
        <v>61</v>
      </c>
      <c r="C57" s="1"/>
      <c r="D57" s="1"/>
      <c r="E57" s="30"/>
      <c r="F57" s="1"/>
      <c r="G57" s="2"/>
      <c r="H57" s="3"/>
      <c r="I57" s="4"/>
      <c r="J57" s="1"/>
      <c r="K57" s="1"/>
    </row>
    <row r="58" spans="1:11" ht="48.75" customHeight="1">
      <c r="A58" s="1"/>
      <c r="B58" s="31"/>
      <c r="C58" s="108" t="s">
        <v>240</v>
      </c>
      <c r="D58" s="102"/>
      <c r="E58" s="109"/>
      <c r="F58" s="1"/>
      <c r="G58" s="2"/>
      <c r="H58" s="3"/>
      <c r="I58" s="4"/>
      <c r="J58" s="1"/>
      <c r="K58" s="1"/>
    </row>
    <row r="59" spans="1:11" ht="16.5" customHeight="1">
      <c r="A59" s="1"/>
      <c r="B59" s="32"/>
      <c r="C59" s="33"/>
      <c r="D59" s="33"/>
      <c r="E59" s="34"/>
      <c r="F59" s="1"/>
      <c r="G59" s="2"/>
      <c r="H59" s="3"/>
      <c r="I59" s="4"/>
      <c r="J59" s="1"/>
      <c r="K59" s="1"/>
    </row>
    <row r="60" spans="1:11" ht="12.75" customHeight="1">
      <c r="A60" s="1"/>
      <c r="B60" s="1"/>
      <c r="C60" s="1"/>
      <c r="D60" s="1"/>
      <c r="E60" s="1"/>
      <c r="F60" s="1"/>
      <c r="G60" s="2"/>
      <c r="H60" s="3"/>
      <c r="I60" s="4"/>
      <c r="J60" s="1"/>
      <c r="K60" s="1"/>
    </row>
    <row r="61" spans="1:11" ht="12.75" customHeight="1">
      <c r="A61" s="1"/>
      <c r="B61" s="26" t="s">
        <v>65</v>
      </c>
      <c r="C61" s="27"/>
      <c r="D61" s="27"/>
      <c r="E61" s="28"/>
      <c r="F61" s="1"/>
      <c r="G61" s="2"/>
      <c r="H61" s="3"/>
      <c r="I61" s="4"/>
      <c r="J61" s="1"/>
      <c r="K61" s="1"/>
    </row>
    <row r="62" spans="1:11" ht="7.5" customHeight="1">
      <c r="A62" s="1"/>
      <c r="B62" s="29"/>
      <c r="C62" s="1"/>
      <c r="D62" s="1"/>
      <c r="E62" s="30"/>
      <c r="F62" s="1"/>
      <c r="G62" s="2"/>
      <c r="H62" s="3"/>
      <c r="I62" s="4"/>
      <c r="J62" s="1"/>
      <c r="K62" s="1"/>
    </row>
    <row r="63" spans="1:11" ht="12.75" customHeight="1">
      <c r="A63" s="1"/>
      <c r="B63" s="31" t="s">
        <v>61</v>
      </c>
      <c r="C63" s="1"/>
      <c r="D63" s="1"/>
      <c r="E63" s="30"/>
      <c r="F63" s="1"/>
      <c r="G63" s="2"/>
      <c r="H63" s="3"/>
      <c r="I63" s="4"/>
      <c r="J63" s="1"/>
      <c r="K63" s="1"/>
    </row>
    <row r="64" spans="1:11" ht="60.75" customHeight="1">
      <c r="A64" s="1"/>
      <c r="B64" s="31"/>
      <c r="C64" s="108" t="s">
        <v>241</v>
      </c>
      <c r="D64" s="102"/>
      <c r="E64" s="109"/>
      <c r="F64" s="1"/>
      <c r="G64" s="2"/>
      <c r="H64" s="3"/>
      <c r="I64" s="4"/>
      <c r="J64" s="1"/>
      <c r="K64" s="1"/>
    </row>
    <row r="65" spans="1:11" ht="16.5" customHeight="1">
      <c r="A65" s="1"/>
      <c r="B65" s="32"/>
      <c r="C65" s="33"/>
      <c r="D65" s="33"/>
      <c r="E65" s="34"/>
      <c r="F65" s="1"/>
      <c r="G65" s="2"/>
      <c r="H65" s="3"/>
      <c r="I65" s="4"/>
      <c r="J65" s="1"/>
      <c r="K65" s="1"/>
    </row>
    <row r="66" spans="1:11" ht="12.75" customHeight="1">
      <c r="A66" s="1"/>
      <c r="B66" s="1"/>
      <c r="C66" s="1"/>
      <c r="D66" s="1"/>
      <c r="E66" s="1"/>
      <c r="F66" s="1"/>
      <c r="G66" s="2"/>
      <c r="H66" s="3"/>
      <c r="I66" s="4"/>
      <c r="J66" s="1"/>
      <c r="K66" s="1"/>
    </row>
    <row r="67" spans="1:11" ht="12.75" customHeight="1">
      <c r="A67" s="1"/>
      <c r="B67" s="26" t="s">
        <v>66</v>
      </c>
      <c r="C67" s="27"/>
      <c r="D67" s="27"/>
      <c r="E67" s="28"/>
      <c r="F67" s="1"/>
      <c r="G67" s="2"/>
      <c r="H67" s="3"/>
      <c r="I67" s="4"/>
      <c r="J67" s="1"/>
      <c r="K67" s="1"/>
    </row>
    <row r="68" spans="1:11" ht="7.5" customHeight="1">
      <c r="A68" s="1"/>
      <c r="B68" s="29"/>
      <c r="C68" s="1"/>
      <c r="D68" s="1"/>
      <c r="E68" s="30"/>
      <c r="F68" s="1"/>
      <c r="G68" s="2"/>
      <c r="H68" s="3"/>
      <c r="I68" s="4"/>
      <c r="J68" s="1"/>
      <c r="K68" s="1"/>
    </row>
    <row r="69" spans="1:11" ht="12.75" customHeight="1">
      <c r="A69" s="1"/>
      <c r="B69" s="31" t="s">
        <v>61</v>
      </c>
      <c r="C69" s="1"/>
      <c r="D69" s="1"/>
      <c r="E69" s="30"/>
      <c r="F69" s="1"/>
      <c r="G69" s="2"/>
      <c r="H69" s="3"/>
      <c r="I69" s="4"/>
      <c r="J69" s="1"/>
      <c r="K69" s="1"/>
    </row>
    <row r="70" spans="1:11" ht="121.5" customHeight="1">
      <c r="A70" s="1"/>
      <c r="B70" s="31"/>
      <c r="C70" s="108" t="s">
        <v>214</v>
      </c>
      <c r="D70" s="102"/>
      <c r="E70" s="109"/>
      <c r="F70" s="1"/>
      <c r="G70" s="2"/>
      <c r="H70" s="3"/>
      <c r="I70" s="4"/>
      <c r="J70" s="1"/>
      <c r="K70" s="1"/>
    </row>
    <row r="71" spans="1:11" ht="16.5" customHeight="1">
      <c r="A71" s="1"/>
      <c r="B71" s="32"/>
      <c r="C71" s="33"/>
      <c r="D71" s="33"/>
      <c r="E71" s="34"/>
      <c r="F71" s="1"/>
      <c r="G71" s="2"/>
      <c r="H71" s="3"/>
      <c r="I71" s="4"/>
      <c r="J71" s="1"/>
      <c r="K71" s="1"/>
    </row>
    <row r="72" spans="1:11" ht="12.75" customHeight="1">
      <c r="A72" s="1"/>
      <c r="B72" s="1"/>
      <c r="C72" s="1"/>
      <c r="D72" s="1"/>
      <c r="E72" s="1"/>
      <c r="F72" s="1"/>
      <c r="G72" s="2"/>
      <c r="H72" s="3"/>
      <c r="I72" s="4"/>
      <c r="J72" s="1"/>
      <c r="K72" s="1"/>
    </row>
    <row r="73" spans="1:11" ht="12.75" customHeight="1">
      <c r="A73" s="1"/>
      <c r="B73" s="26" t="s">
        <v>67</v>
      </c>
      <c r="C73" s="27"/>
      <c r="D73" s="27"/>
      <c r="E73" s="28"/>
      <c r="F73" s="1"/>
      <c r="G73" s="2"/>
      <c r="H73" s="3"/>
      <c r="I73" s="4"/>
      <c r="J73" s="1"/>
      <c r="K73" s="1"/>
    </row>
    <row r="74" spans="1:11" ht="7.5" customHeight="1">
      <c r="A74" s="1"/>
      <c r="B74" s="29"/>
      <c r="C74" s="1"/>
      <c r="D74" s="1"/>
      <c r="E74" s="30"/>
      <c r="F74" s="1"/>
      <c r="G74" s="2"/>
      <c r="H74" s="3"/>
      <c r="I74" s="4"/>
      <c r="J74" s="1"/>
      <c r="K74" s="1"/>
    </row>
    <row r="75" spans="1:11" ht="12.75" customHeight="1">
      <c r="A75" s="1"/>
      <c r="B75" s="31" t="s">
        <v>61</v>
      </c>
      <c r="C75" s="1"/>
      <c r="D75" s="1"/>
      <c r="E75" s="30"/>
      <c r="F75" s="1"/>
      <c r="G75" s="2"/>
      <c r="H75" s="3"/>
      <c r="I75" s="4"/>
      <c r="J75" s="1"/>
      <c r="K75" s="1"/>
    </row>
    <row r="76" spans="1:11" ht="42" customHeight="1">
      <c r="A76" s="1"/>
      <c r="B76" s="31"/>
      <c r="C76" s="108" t="s">
        <v>215</v>
      </c>
      <c r="D76" s="102"/>
      <c r="E76" s="109"/>
      <c r="F76" s="1"/>
      <c r="G76" s="2"/>
      <c r="H76" s="3"/>
      <c r="I76" s="4"/>
      <c r="J76" s="1"/>
      <c r="K76" s="1"/>
    </row>
    <row r="77" spans="1:11" ht="16.5" customHeight="1">
      <c r="A77" s="1"/>
      <c r="B77" s="32"/>
      <c r="C77" s="33"/>
      <c r="D77" s="33"/>
      <c r="E77" s="34"/>
      <c r="F77" s="1"/>
      <c r="G77" s="2"/>
      <c r="H77" s="3"/>
      <c r="I77" s="4"/>
      <c r="J77" s="1"/>
      <c r="K77" s="1"/>
    </row>
    <row r="78" spans="1:11" ht="12.75" customHeight="1">
      <c r="A78" s="1"/>
      <c r="B78" s="1"/>
      <c r="C78" s="1"/>
      <c r="D78" s="1"/>
      <c r="E78" s="1"/>
      <c r="F78" s="1"/>
      <c r="G78" s="2"/>
      <c r="H78" s="3"/>
      <c r="I78" s="4"/>
      <c r="J78" s="1"/>
      <c r="K78" s="1"/>
    </row>
    <row r="79" spans="1:11" ht="12.75" customHeight="1">
      <c r="A79" s="1"/>
      <c r="B79" s="26" t="s">
        <v>68</v>
      </c>
      <c r="C79" s="27"/>
      <c r="D79" s="27"/>
      <c r="E79" s="28"/>
      <c r="F79" s="1"/>
      <c r="G79" s="2"/>
      <c r="H79" s="3"/>
      <c r="I79" s="4"/>
      <c r="J79" s="1"/>
      <c r="K79" s="1"/>
    </row>
    <row r="80" spans="1:11" ht="7.5" customHeight="1">
      <c r="A80" s="1"/>
      <c r="B80" s="29"/>
      <c r="C80" s="1"/>
      <c r="D80" s="1"/>
      <c r="E80" s="30"/>
      <c r="F80" s="1"/>
      <c r="G80" s="2"/>
      <c r="H80" s="3"/>
      <c r="I80" s="4"/>
      <c r="J80" s="1"/>
      <c r="K80" s="1"/>
    </row>
    <row r="81" spans="1:11" ht="12.75" customHeight="1">
      <c r="A81" s="1"/>
      <c r="B81" s="31" t="s">
        <v>61</v>
      </c>
      <c r="C81" s="1"/>
      <c r="D81" s="1"/>
      <c r="E81" s="30"/>
      <c r="F81" s="1"/>
      <c r="G81" s="2"/>
      <c r="H81" s="3"/>
      <c r="I81" s="4"/>
      <c r="J81" s="1"/>
      <c r="K81" s="1"/>
    </row>
    <row r="82" spans="1:11" ht="48.75" customHeight="1">
      <c r="A82" s="1"/>
      <c r="B82" s="31"/>
      <c r="C82" s="108" t="s">
        <v>216</v>
      </c>
      <c r="D82" s="102"/>
      <c r="E82" s="109"/>
      <c r="F82" s="1"/>
      <c r="G82" s="2"/>
      <c r="H82" s="3"/>
      <c r="I82" s="4"/>
      <c r="J82" s="1"/>
      <c r="K82" s="1"/>
    </row>
    <row r="83" spans="1:11" ht="16.5" customHeight="1">
      <c r="A83" s="1"/>
      <c r="B83" s="32"/>
      <c r="C83" s="33"/>
      <c r="D83" s="33"/>
      <c r="E83" s="34"/>
      <c r="F83" s="1"/>
      <c r="G83" s="2"/>
      <c r="H83" s="3"/>
      <c r="I83" s="4"/>
      <c r="J83" s="1"/>
      <c r="K83" s="1"/>
    </row>
    <row r="84" spans="1:11" ht="12.75" customHeight="1">
      <c r="A84" s="1"/>
      <c r="B84" s="1"/>
      <c r="C84" s="1"/>
      <c r="D84" s="1"/>
      <c r="E84" s="1"/>
      <c r="F84" s="1"/>
      <c r="G84" s="2"/>
      <c r="H84" s="3"/>
      <c r="I84" s="4"/>
      <c r="J84" s="1"/>
      <c r="K84" s="1"/>
    </row>
    <row r="85" spans="1:11" ht="12.75" customHeight="1">
      <c r="A85" s="1"/>
      <c r="B85" s="26" t="s">
        <v>69</v>
      </c>
      <c r="C85" s="27"/>
      <c r="D85" s="27"/>
      <c r="E85" s="28"/>
      <c r="F85" s="1"/>
      <c r="G85" s="2"/>
      <c r="H85" s="3"/>
      <c r="I85" s="4"/>
      <c r="J85" s="1"/>
      <c r="K85" s="1"/>
    </row>
    <row r="86" spans="1:11" ht="7.5" customHeight="1">
      <c r="A86" s="1"/>
      <c r="B86" s="29"/>
      <c r="C86" s="1"/>
      <c r="D86" s="1"/>
      <c r="E86" s="30"/>
      <c r="F86" s="1"/>
      <c r="G86" s="2"/>
      <c r="H86" s="3"/>
      <c r="I86" s="4"/>
      <c r="J86" s="1"/>
      <c r="K86" s="1"/>
    </row>
    <row r="87" spans="1:11" ht="12.75" customHeight="1">
      <c r="A87" s="1"/>
      <c r="B87" s="31" t="s">
        <v>61</v>
      </c>
      <c r="C87" s="1"/>
      <c r="D87" s="1"/>
      <c r="E87" s="30"/>
      <c r="F87" s="1"/>
      <c r="G87" s="2"/>
      <c r="H87" s="3"/>
      <c r="I87" s="4"/>
      <c r="J87" s="1"/>
      <c r="K87" s="1"/>
    </row>
    <row r="88" spans="1:11" ht="78.75" customHeight="1">
      <c r="A88" s="1"/>
      <c r="B88" s="31"/>
      <c r="C88" s="108" t="s">
        <v>217</v>
      </c>
      <c r="D88" s="102"/>
      <c r="E88" s="109"/>
      <c r="F88" s="1"/>
      <c r="G88" s="2"/>
      <c r="H88" s="3"/>
      <c r="I88" s="4"/>
      <c r="J88" s="1"/>
      <c r="K88" s="1"/>
    </row>
    <row r="89" spans="1:11" ht="16.5" customHeight="1">
      <c r="A89" s="1"/>
      <c r="B89" s="32"/>
      <c r="C89" s="33"/>
      <c r="D89" s="33"/>
      <c r="E89" s="34"/>
      <c r="F89" s="1"/>
      <c r="G89" s="2"/>
      <c r="H89" s="3"/>
      <c r="I89" s="4"/>
      <c r="J89" s="1"/>
      <c r="K89" s="1"/>
    </row>
    <row r="90" spans="1:11" ht="12.75" customHeight="1">
      <c r="A90" s="1"/>
      <c r="B90" s="1"/>
      <c r="C90" s="1"/>
      <c r="D90" s="1"/>
      <c r="E90" s="1"/>
      <c r="F90" s="1"/>
      <c r="G90" s="2"/>
      <c r="H90" s="3"/>
      <c r="I90" s="4"/>
      <c r="J90" s="1"/>
      <c r="K90" s="1"/>
    </row>
    <row r="91" spans="1:11" ht="12.75" customHeight="1">
      <c r="A91" s="1"/>
      <c r="B91" s="26" t="s">
        <v>70</v>
      </c>
      <c r="C91" s="27"/>
      <c r="D91" s="27"/>
      <c r="E91" s="28"/>
      <c r="F91" s="1"/>
      <c r="G91" s="2"/>
      <c r="H91" s="3"/>
      <c r="I91" s="4"/>
      <c r="J91" s="1"/>
      <c r="K91" s="1"/>
    </row>
    <row r="92" spans="1:11" ht="7.5" customHeight="1">
      <c r="A92" s="1"/>
      <c r="B92" s="29"/>
      <c r="C92" s="1"/>
      <c r="D92" s="1"/>
      <c r="E92" s="30"/>
      <c r="F92" s="1"/>
      <c r="G92" s="2"/>
      <c r="H92" s="3"/>
      <c r="I92" s="4"/>
      <c r="J92" s="1"/>
      <c r="K92" s="1"/>
    </row>
    <row r="93" spans="1:11" ht="12.75" customHeight="1">
      <c r="A93" s="1"/>
      <c r="B93" s="31" t="s">
        <v>61</v>
      </c>
      <c r="C93" s="1"/>
      <c r="D93" s="1"/>
      <c r="E93" s="30"/>
      <c r="F93" s="1"/>
      <c r="G93" s="2"/>
      <c r="H93" s="3"/>
      <c r="I93" s="4"/>
      <c r="J93" s="1"/>
      <c r="K93" s="1"/>
    </row>
    <row r="94" spans="1:11" ht="32.25" customHeight="1">
      <c r="A94" s="1"/>
      <c r="B94" s="31"/>
      <c r="C94" s="108" t="s">
        <v>218</v>
      </c>
      <c r="D94" s="102"/>
      <c r="E94" s="109"/>
      <c r="F94" s="1"/>
      <c r="G94" s="2"/>
      <c r="H94" s="3"/>
      <c r="I94" s="4"/>
      <c r="J94" s="1"/>
      <c r="K94" s="1"/>
    </row>
    <row r="95" spans="1:11" ht="16.5" customHeight="1">
      <c r="A95" s="1"/>
      <c r="B95" s="32"/>
      <c r="C95" s="33"/>
      <c r="D95" s="33"/>
      <c r="E95" s="34"/>
      <c r="F95" s="1"/>
      <c r="G95" s="2"/>
      <c r="H95" s="3"/>
      <c r="I95" s="4"/>
      <c r="J95" s="1"/>
      <c r="K95" s="1"/>
    </row>
    <row r="96" spans="1:11" ht="12.75" customHeight="1">
      <c r="A96" s="1"/>
      <c r="B96" s="1"/>
      <c r="C96" s="1"/>
      <c r="D96" s="1"/>
      <c r="E96" s="1"/>
      <c r="F96" s="1"/>
      <c r="G96" s="2"/>
      <c r="H96" s="3"/>
      <c r="I96" s="4"/>
      <c r="J96" s="1"/>
      <c r="K96" s="1"/>
    </row>
    <row r="97" spans="1:11" ht="12.75" customHeight="1">
      <c r="A97" s="1"/>
      <c r="B97" s="26" t="s">
        <v>71</v>
      </c>
      <c r="C97" s="27"/>
      <c r="D97" s="27"/>
      <c r="E97" s="28"/>
      <c r="F97" s="1"/>
      <c r="G97" s="2"/>
      <c r="H97" s="3"/>
      <c r="I97" s="4"/>
      <c r="J97" s="1"/>
      <c r="K97" s="1"/>
    </row>
    <row r="98" spans="1:11" ht="7.5" customHeight="1">
      <c r="A98" s="1"/>
      <c r="B98" s="29"/>
      <c r="C98" s="1"/>
      <c r="D98" s="1"/>
      <c r="E98" s="30"/>
      <c r="F98" s="1"/>
      <c r="G98" s="2"/>
      <c r="H98" s="3"/>
      <c r="I98" s="4"/>
      <c r="J98" s="1"/>
      <c r="K98" s="1"/>
    </row>
    <row r="99" spans="1:11" ht="12.75" customHeight="1">
      <c r="A99" s="1"/>
      <c r="B99" s="31" t="s">
        <v>61</v>
      </c>
      <c r="C99" s="1"/>
      <c r="D99" s="1"/>
      <c r="E99" s="30"/>
      <c r="F99" s="1"/>
      <c r="G99" s="2"/>
      <c r="H99" s="3"/>
      <c r="I99" s="4"/>
      <c r="J99" s="1"/>
      <c r="K99" s="1"/>
    </row>
    <row r="100" spans="1:11" ht="48.75" customHeight="1">
      <c r="A100" s="1"/>
      <c r="B100" s="31"/>
      <c r="C100" s="108" t="s">
        <v>219</v>
      </c>
      <c r="D100" s="102"/>
      <c r="E100" s="109"/>
      <c r="F100" s="1"/>
      <c r="G100" s="2"/>
      <c r="H100" s="3"/>
      <c r="I100" s="4"/>
      <c r="J100" s="1"/>
      <c r="K100" s="1"/>
    </row>
    <row r="101" spans="1:11" ht="16.5" customHeight="1">
      <c r="A101" s="1"/>
      <c r="B101" s="32"/>
      <c r="C101" s="33"/>
      <c r="D101" s="33"/>
      <c r="E101" s="34"/>
      <c r="F101" s="1"/>
      <c r="G101" s="2"/>
      <c r="H101" s="3"/>
      <c r="I101" s="4"/>
      <c r="J101" s="1"/>
      <c r="K101" s="1"/>
    </row>
    <row r="102" spans="1:11" ht="12.75" customHeight="1">
      <c r="A102" s="1"/>
      <c r="B102" s="1"/>
      <c r="C102" s="1"/>
      <c r="D102" s="1"/>
      <c r="E102" s="1"/>
      <c r="F102" s="1"/>
      <c r="G102" s="2"/>
      <c r="H102" s="3"/>
      <c r="I102" s="4"/>
      <c r="J102" s="1"/>
      <c r="K102" s="1"/>
    </row>
    <row r="103" spans="1:11" ht="12.75" customHeight="1">
      <c r="A103" s="1"/>
      <c r="B103" s="26" t="s">
        <v>72</v>
      </c>
      <c r="C103" s="27"/>
      <c r="D103" s="27"/>
      <c r="E103" s="28"/>
      <c r="F103" s="1"/>
      <c r="G103" s="2"/>
      <c r="H103" s="3"/>
      <c r="I103" s="4"/>
      <c r="J103" s="1"/>
      <c r="K103" s="1"/>
    </row>
    <row r="104" spans="1:11" ht="7.5" customHeight="1">
      <c r="A104" s="1"/>
      <c r="B104" s="29"/>
      <c r="C104" s="1"/>
      <c r="D104" s="1"/>
      <c r="E104" s="30"/>
      <c r="F104" s="1"/>
      <c r="G104" s="2"/>
      <c r="H104" s="3"/>
      <c r="I104" s="4"/>
      <c r="J104" s="1"/>
      <c r="K104" s="1"/>
    </row>
    <row r="105" spans="1:11" ht="12.75" customHeight="1">
      <c r="A105" s="1"/>
      <c r="B105" s="31" t="s">
        <v>61</v>
      </c>
      <c r="C105" s="1"/>
      <c r="D105" s="1"/>
      <c r="E105" s="30"/>
      <c r="F105" s="1"/>
      <c r="G105" s="2"/>
      <c r="H105" s="3"/>
      <c r="I105" s="4"/>
      <c r="J105" s="1"/>
      <c r="K105" s="1"/>
    </row>
    <row r="106" spans="1:11" ht="48.75" customHeight="1">
      <c r="A106" s="1"/>
      <c r="B106" s="31"/>
      <c r="C106" s="108" t="s">
        <v>220</v>
      </c>
      <c r="D106" s="102"/>
      <c r="E106" s="109"/>
      <c r="F106" s="1"/>
      <c r="G106" s="2"/>
      <c r="H106" s="3"/>
      <c r="I106" s="4"/>
      <c r="J106" s="1"/>
      <c r="K106" s="1"/>
    </row>
    <row r="107" spans="1:11" ht="16.5" customHeight="1">
      <c r="A107" s="1"/>
      <c r="B107" s="32"/>
      <c r="C107" s="33"/>
      <c r="D107" s="33"/>
      <c r="E107" s="34"/>
      <c r="F107" s="1"/>
      <c r="G107" s="2"/>
      <c r="H107" s="3"/>
      <c r="I107" s="4"/>
      <c r="J107" s="1"/>
      <c r="K107" s="1"/>
    </row>
    <row r="108" spans="1:11" ht="16.5" customHeight="1">
      <c r="A108" s="1"/>
      <c r="B108" s="35"/>
      <c r="C108" s="36"/>
      <c r="D108" s="36"/>
      <c r="E108" s="36"/>
      <c r="F108" s="1"/>
      <c r="G108" s="2"/>
      <c r="H108" s="3"/>
      <c r="I108" s="4"/>
      <c r="J108" s="1"/>
      <c r="K108" s="1"/>
    </row>
    <row r="109" spans="1:11" ht="12.75" customHeight="1">
      <c r="A109" s="1"/>
      <c r="B109" s="26" t="s">
        <v>73</v>
      </c>
      <c r="C109" s="27"/>
      <c r="D109" s="27"/>
      <c r="E109" s="28"/>
      <c r="F109" s="1"/>
      <c r="G109" s="2"/>
      <c r="H109" s="3"/>
      <c r="I109" s="4"/>
      <c r="J109" s="1"/>
      <c r="K109" s="1"/>
    </row>
    <row r="110" spans="1:11" ht="7.5" customHeight="1">
      <c r="A110" s="1"/>
      <c r="B110" s="29"/>
      <c r="C110" s="1"/>
      <c r="D110" s="1"/>
      <c r="E110" s="30"/>
      <c r="F110" s="1"/>
      <c r="G110" s="2"/>
      <c r="H110" s="3"/>
      <c r="I110" s="4"/>
      <c r="J110" s="1"/>
      <c r="K110" s="1"/>
    </row>
    <row r="111" spans="1:11" ht="12.75" customHeight="1">
      <c r="A111" s="1"/>
      <c r="B111" s="31" t="s">
        <v>61</v>
      </c>
      <c r="C111" s="1"/>
      <c r="D111" s="1"/>
      <c r="E111" s="30"/>
      <c r="F111" s="1"/>
      <c r="G111" s="2"/>
      <c r="H111" s="3"/>
      <c r="I111" s="4"/>
      <c r="J111" s="1"/>
      <c r="K111" s="1"/>
    </row>
    <row r="112" spans="1:11" ht="23.25" customHeight="1">
      <c r="A112" s="1"/>
      <c r="B112" s="31"/>
      <c r="C112" s="111" t="s">
        <v>236</v>
      </c>
      <c r="D112" s="111"/>
      <c r="E112" s="112"/>
      <c r="F112" s="99"/>
      <c r="G112" s="2"/>
      <c r="H112" s="3"/>
      <c r="I112" s="4"/>
      <c r="J112" s="1"/>
      <c r="K112" s="1"/>
    </row>
    <row r="113" spans="1:11" ht="16.5" customHeight="1" thickBot="1">
      <c r="A113" s="1"/>
      <c r="B113" s="32"/>
      <c r="C113" s="33"/>
      <c r="D113" s="33"/>
      <c r="E113" s="34"/>
      <c r="F113" s="1"/>
      <c r="G113" s="2"/>
      <c r="H113" s="3"/>
      <c r="I113" s="4"/>
      <c r="J113" s="1"/>
      <c r="K113" s="1"/>
    </row>
    <row r="114" spans="1:11" ht="16.5" customHeight="1">
      <c r="A114" s="1"/>
      <c r="B114" s="35"/>
      <c r="C114" s="36"/>
      <c r="D114" s="36"/>
      <c r="E114" s="36"/>
      <c r="F114" s="1"/>
      <c r="G114" s="2"/>
      <c r="H114" s="3"/>
      <c r="I114" s="4"/>
      <c r="J114" s="1"/>
      <c r="K114" s="1"/>
    </row>
    <row r="115" spans="1:11" ht="12.75" customHeight="1">
      <c r="A115" s="1"/>
      <c r="B115" s="26" t="s">
        <v>74</v>
      </c>
      <c r="C115" s="27"/>
      <c r="D115" s="27"/>
      <c r="E115" s="28"/>
      <c r="F115" s="1"/>
      <c r="G115" s="2"/>
      <c r="H115" s="3"/>
      <c r="I115" s="4"/>
      <c r="J115" s="1"/>
      <c r="K115" s="1"/>
    </row>
    <row r="116" spans="1:11" ht="7.5" customHeight="1">
      <c r="A116" s="1"/>
      <c r="B116" s="29"/>
      <c r="C116" s="1"/>
      <c r="D116" s="1"/>
      <c r="E116" s="30"/>
      <c r="F116" s="1"/>
      <c r="G116" s="2"/>
      <c r="H116" s="3"/>
      <c r="I116" s="4"/>
      <c r="J116" s="1"/>
      <c r="K116" s="1"/>
    </row>
    <row r="117" spans="1:11" ht="12.75" customHeight="1">
      <c r="A117" s="1"/>
      <c r="B117" s="31" t="s">
        <v>61</v>
      </c>
      <c r="C117" s="1"/>
      <c r="D117" s="1"/>
      <c r="E117" s="30"/>
      <c r="F117" s="1"/>
      <c r="G117" s="2"/>
      <c r="H117" s="3"/>
      <c r="I117" s="4"/>
      <c r="J117" s="1"/>
      <c r="K117" s="1"/>
    </row>
    <row r="118" spans="1:11" ht="119.25" customHeight="1">
      <c r="A118" s="1"/>
      <c r="B118" s="31"/>
      <c r="C118" s="108" t="s">
        <v>245</v>
      </c>
      <c r="D118" s="102"/>
      <c r="E118" s="109"/>
      <c r="F118" s="1"/>
      <c r="G118" s="2"/>
      <c r="H118" s="3"/>
      <c r="I118" s="4"/>
      <c r="J118" s="1"/>
      <c r="K118" s="1"/>
    </row>
    <row r="119" spans="1:11" ht="16.5" customHeight="1">
      <c r="A119" s="1"/>
      <c r="B119" s="32"/>
      <c r="C119" s="33"/>
      <c r="D119" s="33"/>
      <c r="E119" s="34"/>
      <c r="F119" s="1"/>
      <c r="G119" s="2"/>
      <c r="H119" s="3"/>
      <c r="I119" s="4"/>
      <c r="J119" s="1"/>
      <c r="K119" s="1"/>
    </row>
    <row r="120" spans="1:11" ht="16.5" customHeight="1">
      <c r="A120" s="1"/>
      <c r="B120" s="35"/>
      <c r="C120" s="36"/>
      <c r="D120" s="36"/>
      <c r="E120" s="36"/>
      <c r="F120" s="1"/>
      <c r="G120" s="2"/>
      <c r="H120" s="3"/>
      <c r="I120" s="4"/>
      <c r="J120" s="1"/>
      <c r="K120" s="1"/>
    </row>
    <row r="121" spans="1:11" ht="12.75" customHeight="1">
      <c r="A121" s="1"/>
      <c r="B121" s="1"/>
      <c r="C121" s="37"/>
      <c r="D121" s="1"/>
      <c r="E121" s="1"/>
      <c r="F121" s="1"/>
      <c r="G121" s="38"/>
      <c r="H121" s="39"/>
      <c r="I121" s="40"/>
      <c r="J121" s="1"/>
      <c r="K121" s="1"/>
    </row>
    <row r="122" spans="1:11" ht="12.75" customHeight="1">
      <c r="A122" s="1"/>
      <c r="B122" s="26" t="s">
        <v>75</v>
      </c>
      <c r="C122" s="41"/>
      <c r="D122" s="27"/>
      <c r="E122" s="28"/>
      <c r="F122" s="1"/>
      <c r="G122" s="38"/>
      <c r="H122" s="39"/>
      <c r="I122" s="40"/>
      <c r="J122" s="1"/>
      <c r="K122" s="1"/>
    </row>
    <row r="123" spans="1:11" ht="12.75" customHeight="1">
      <c r="A123" s="1"/>
      <c r="B123" s="29"/>
      <c r="C123" s="37"/>
      <c r="D123" s="1"/>
      <c r="E123" s="30"/>
      <c r="F123" s="1"/>
      <c r="G123" s="38"/>
      <c r="H123" s="39"/>
      <c r="I123" s="40"/>
      <c r="J123" s="1"/>
      <c r="K123" s="1"/>
    </row>
    <row r="124" spans="1:11" ht="12.75" customHeight="1">
      <c r="A124" s="1"/>
      <c r="B124" s="42" t="s">
        <v>61</v>
      </c>
      <c r="C124" s="37"/>
      <c r="D124" s="1"/>
      <c r="E124" s="30"/>
      <c r="F124" s="1"/>
      <c r="G124" s="38"/>
      <c r="H124" s="39"/>
      <c r="I124" s="40"/>
      <c r="J124" s="1"/>
      <c r="K124" s="1"/>
    </row>
    <row r="125" spans="1:11" ht="44.25" customHeight="1">
      <c r="A125" s="1"/>
      <c r="B125" s="42"/>
      <c r="C125" s="110" t="s">
        <v>233</v>
      </c>
      <c r="D125" s="102"/>
      <c r="E125" s="109"/>
      <c r="F125" s="1"/>
      <c r="G125" s="38"/>
      <c r="H125" s="39"/>
      <c r="I125" s="40"/>
      <c r="J125" s="1"/>
      <c r="K125" s="1"/>
    </row>
    <row r="126" spans="1:11" ht="12.75" customHeight="1">
      <c r="A126" s="1"/>
      <c r="B126" s="43"/>
      <c r="C126" s="44"/>
      <c r="D126" s="45"/>
      <c r="E126" s="46"/>
      <c r="F126" s="1"/>
      <c r="G126" s="38"/>
      <c r="H126" s="39"/>
      <c r="I126" s="40"/>
      <c r="J126" s="1"/>
      <c r="K126" s="1"/>
    </row>
    <row r="127" spans="1:11" ht="12.75" customHeight="1">
      <c r="A127" s="1"/>
      <c r="B127" s="1"/>
      <c r="C127" s="37"/>
      <c r="D127" s="1"/>
      <c r="E127" s="1"/>
      <c r="F127" s="1"/>
      <c r="G127" s="38"/>
      <c r="H127" s="39"/>
      <c r="I127" s="40"/>
      <c r="J127" s="1"/>
      <c r="K127" s="1"/>
    </row>
    <row r="128" spans="1:11" ht="12.75" customHeight="1">
      <c r="A128" s="1"/>
      <c r="B128" s="26" t="s">
        <v>76</v>
      </c>
      <c r="C128" s="41"/>
      <c r="D128" s="27"/>
      <c r="E128" s="28"/>
      <c r="F128" s="1"/>
      <c r="G128" s="38"/>
      <c r="H128" s="39"/>
      <c r="I128" s="40"/>
      <c r="J128" s="1"/>
      <c r="K128" s="1"/>
    </row>
    <row r="129" spans="1:11" ht="16.5" customHeight="1">
      <c r="A129" s="1"/>
      <c r="B129" s="29"/>
      <c r="C129" s="37"/>
      <c r="D129" s="1"/>
      <c r="E129" s="30"/>
      <c r="F129" s="1"/>
      <c r="G129" s="2"/>
      <c r="H129" s="3"/>
      <c r="I129" s="4"/>
      <c r="J129" s="1"/>
      <c r="K129" s="1"/>
    </row>
    <row r="130" spans="1:11" ht="12.75" customHeight="1">
      <c r="A130" s="1"/>
      <c r="B130" s="42" t="s">
        <v>61</v>
      </c>
      <c r="C130" s="37"/>
      <c r="D130" s="1"/>
      <c r="E130" s="30"/>
      <c r="F130" s="1"/>
      <c r="G130" s="2"/>
      <c r="H130" s="3"/>
      <c r="I130" s="4"/>
      <c r="J130" s="1"/>
      <c r="K130" s="1"/>
    </row>
    <row r="131" spans="1:11" ht="93.6" customHeight="1">
      <c r="A131" s="1"/>
      <c r="B131" s="42"/>
      <c r="C131" s="110" t="s">
        <v>232</v>
      </c>
      <c r="D131" s="102"/>
      <c r="E131" s="109"/>
      <c r="F131" s="1"/>
      <c r="G131" s="2"/>
      <c r="H131" s="3"/>
      <c r="I131" s="1"/>
      <c r="J131" s="1"/>
      <c r="K131" s="1"/>
    </row>
    <row r="132" spans="1:11" ht="15.75" customHeight="1">
      <c r="A132" s="1"/>
      <c r="B132" s="43"/>
      <c r="C132" s="44"/>
      <c r="D132" s="45"/>
      <c r="E132" s="46"/>
      <c r="F132" s="1"/>
      <c r="G132" s="2"/>
      <c r="H132" s="3"/>
      <c r="I132" s="4"/>
      <c r="J132" s="1"/>
      <c r="K132" s="1"/>
    </row>
    <row r="133" spans="1:11" ht="12.75" customHeight="1">
      <c r="A133" s="1"/>
      <c r="B133" s="1"/>
      <c r="C133" s="37"/>
      <c r="D133" s="1"/>
      <c r="E133" s="1"/>
      <c r="F133" s="1"/>
      <c r="G133" s="2"/>
      <c r="H133" s="3"/>
      <c r="I133" s="4"/>
      <c r="J133" s="1"/>
      <c r="K133" s="1"/>
    </row>
    <row r="134" spans="1:11" ht="18.75" customHeight="1">
      <c r="A134" s="1"/>
      <c r="B134" s="26" t="s">
        <v>77</v>
      </c>
      <c r="C134" s="41"/>
      <c r="D134" s="27"/>
      <c r="E134" s="28"/>
      <c r="F134" s="1"/>
      <c r="G134" s="2"/>
      <c r="H134" s="3"/>
      <c r="I134" s="4"/>
      <c r="J134" s="1"/>
      <c r="K134" s="1"/>
    </row>
    <row r="135" spans="1:11" ht="19.5" customHeight="1">
      <c r="A135" s="1"/>
      <c r="B135" s="29"/>
      <c r="C135" s="37"/>
      <c r="D135" s="1"/>
      <c r="E135" s="30"/>
      <c r="F135" s="1"/>
      <c r="G135" s="2"/>
      <c r="H135" s="3"/>
      <c r="I135" s="4"/>
      <c r="J135" s="1"/>
      <c r="K135" s="1"/>
    </row>
    <row r="136" spans="1:11" ht="21.75" customHeight="1">
      <c r="A136" s="1"/>
      <c r="B136" s="42" t="s">
        <v>61</v>
      </c>
      <c r="C136" s="37"/>
      <c r="D136" s="1"/>
      <c r="E136" s="30"/>
      <c r="F136" s="1"/>
      <c r="G136" s="2"/>
      <c r="H136" s="3"/>
      <c r="I136" s="4"/>
      <c r="J136" s="1"/>
      <c r="K136" s="1"/>
    </row>
    <row r="137" spans="1:11" ht="66" customHeight="1">
      <c r="A137" s="1"/>
      <c r="B137" s="42"/>
      <c r="C137" s="110" t="s">
        <v>221</v>
      </c>
      <c r="D137" s="102"/>
      <c r="E137" s="109"/>
      <c r="F137" s="1"/>
      <c r="G137" s="2"/>
      <c r="H137" s="3"/>
      <c r="I137" s="4"/>
      <c r="J137" s="1"/>
      <c r="K137" s="1"/>
    </row>
    <row r="138" spans="1:11" ht="12.75" customHeight="1">
      <c r="A138" s="1"/>
      <c r="B138" s="43"/>
      <c r="C138" s="44"/>
      <c r="D138" s="45"/>
      <c r="E138" s="46"/>
      <c r="F138" s="1"/>
      <c r="G138" s="2"/>
      <c r="H138" s="3"/>
      <c r="I138" s="4"/>
      <c r="J138" s="1"/>
      <c r="K138" s="1"/>
    </row>
    <row r="139" spans="1:11" ht="12.75" customHeight="1">
      <c r="A139" s="1"/>
      <c r="B139" s="1"/>
      <c r="C139" s="37"/>
      <c r="D139" s="1"/>
      <c r="E139" s="1"/>
      <c r="F139" s="1"/>
      <c r="G139" s="2"/>
      <c r="H139" s="3"/>
      <c r="I139" s="4"/>
      <c r="J139" s="1"/>
      <c r="K139" s="1"/>
    </row>
    <row r="140" spans="1:11" ht="12.75" customHeight="1">
      <c r="A140" s="1"/>
      <c r="B140" s="26" t="s">
        <v>78</v>
      </c>
      <c r="C140" s="41"/>
      <c r="D140" s="27"/>
      <c r="E140" s="28"/>
      <c r="F140" s="1"/>
      <c r="G140" s="2"/>
      <c r="H140" s="3"/>
      <c r="I140" s="4"/>
      <c r="J140" s="1"/>
      <c r="K140" s="1"/>
    </row>
    <row r="141" spans="1:11" ht="12.75" customHeight="1">
      <c r="A141" s="1"/>
      <c r="B141" s="29"/>
      <c r="C141" s="37"/>
      <c r="D141" s="1"/>
      <c r="E141" s="30"/>
      <c r="F141" s="1"/>
      <c r="G141" s="2"/>
      <c r="H141" s="3"/>
      <c r="I141" s="4"/>
      <c r="J141" s="1"/>
      <c r="K141" s="1"/>
    </row>
    <row r="142" spans="1:11" ht="15" customHeight="1">
      <c r="A142" s="1"/>
      <c r="B142" s="42" t="s">
        <v>61</v>
      </c>
      <c r="C142" s="37"/>
      <c r="D142" s="1"/>
      <c r="E142" s="30"/>
      <c r="F142" s="1"/>
      <c r="G142" s="2"/>
      <c r="H142" s="3"/>
      <c r="I142" s="4"/>
      <c r="J142" s="1"/>
      <c r="K142" s="1"/>
    </row>
    <row r="143" spans="1:11" ht="50.25" customHeight="1">
      <c r="A143" s="1"/>
      <c r="B143" s="42"/>
      <c r="C143" s="108" t="s">
        <v>237</v>
      </c>
      <c r="D143" s="102"/>
      <c r="E143" s="109"/>
      <c r="F143" s="1"/>
      <c r="G143" s="2"/>
      <c r="H143" s="3"/>
      <c r="I143" s="4"/>
      <c r="J143" s="1"/>
      <c r="K143" s="1"/>
    </row>
    <row r="144" spans="1:11" ht="12.75" customHeight="1">
      <c r="A144" s="1"/>
      <c r="B144" s="43"/>
      <c r="C144" s="44"/>
      <c r="D144" s="45"/>
      <c r="E144" s="46"/>
      <c r="F144" s="1"/>
      <c r="G144" s="2"/>
      <c r="H144" s="3"/>
      <c r="I144" s="4"/>
      <c r="J144" s="1"/>
      <c r="K144" s="1"/>
    </row>
    <row r="145" spans="1:11" ht="12.75" customHeight="1">
      <c r="A145" s="1"/>
      <c r="B145" s="1"/>
      <c r="C145" s="37"/>
      <c r="D145" s="1"/>
      <c r="E145" s="1"/>
      <c r="F145" s="1"/>
      <c r="G145" s="2"/>
      <c r="H145" s="3"/>
      <c r="I145" s="4"/>
      <c r="J145" s="1"/>
      <c r="K145" s="1"/>
    </row>
    <row r="146" spans="1:11" ht="12.75" customHeight="1">
      <c r="A146" s="1"/>
      <c r="B146" s="26" t="s">
        <v>79</v>
      </c>
      <c r="C146" s="41"/>
      <c r="D146" s="27"/>
      <c r="E146" s="28"/>
      <c r="F146" s="1"/>
      <c r="G146" s="2"/>
      <c r="H146" s="3"/>
      <c r="I146" s="4"/>
      <c r="J146" s="1"/>
      <c r="K146" s="1"/>
    </row>
    <row r="147" spans="1:11" ht="12.75" customHeight="1">
      <c r="A147" s="1"/>
      <c r="B147" s="29"/>
      <c r="C147" s="37"/>
      <c r="D147" s="1"/>
      <c r="E147" s="30"/>
      <c r="F147" s="1"/>
      <c r="G147" s="2"/>
      <c r="H147" s="3"/>
      <c r="I147" s="4"/>
      <c r="J147" s="1"/>
      <c r="K147" s="1"/>
    </row>
    <row r="148" spans="1:11" ht="12.75" customHeight="1">
      <c r="A148" s="1"/>
      <c r="B148" s="42" t="s">
        <v>61</v>
      </c>
      <c r="C148" s="37"/>
      <c r="D148" s="1"/>
      <c r="E148" s="30"/>
      <c r="F148" s="1"/>
      <c r="G148" s="2"/>
      <c r="H148" s="3"/>
      <c r="I148" s="4"/>
      <c r="J148" s="1"/>
      <c r="K148" s="1"/>
    </row>
    <row r="149" spans="1:11" ht="35.25" customHeight="1">
      <c r="A149" s="1"/>
      <c r="B149" s="42"/>
      <c r="C149" s="108" t="s">
        <v>222</v>
      </c>
      <c r="D149" s="102"/>
      <c r="E149" s="109"/>
      <c r="F149" s="1"/>
      <c r="G149" s="2"/>
      <c r="H149" s="3"/>
      <c r="I149" s="4"/>
      <c r="J149" s="1"/>
      <c r="K149" s="1"/>
    </row>
    <row r="150" spans="1:11" ht="12.75" customHeight="1">
      <c r="A150" s="1"/>
      <c r="B150" s="43"/>
      <c r="C150" s="44"/>
      <c r="D150" s="45"/>
      <c r="E150" s="46"/>
      <c r="F150" s="1"/>
      <c r="G150" s="2"/>
      <c r="H150" s="3"/>
      <c r="I150" s="4"/>
      <c r="J150" s="1"/>
      <c r="K150" s="1"/>
    </row>
    <row r="151" spans="1:11" ht="12.75" customHeight="1">
      <c r="A151" s="1"/>
      <c r="B151" s="1"/>
      <c r="C151" s="37"/>
      <c r="D151" s="1"/>
      <c r="E151" s="1"/>
      <c r="F151" s="1"/>
      <c r="G151" s="2"/>
      <c r="H151" s="3"/>
      <c r="I151" s="4"/>
      <c r="J151" s="1"/>
      <c r="K151" s="1"/>
    </row>
    <row r="152" spans="1:11" ht="12.75" customHeight="1">
      <c r="A152" s="1"/>
      <c r="B152" s="26" t="s">
        <v>80</v>
      </c>
      <c r="C152" s="41"/>
      <c r="D152" s="27"/>
      <c r="E152" s="28"/>
      <c r="F152" s="1"/>
      <c r="G152" s="2"/>
      <c r="H152" s="3"/>
      <c r="I152" s="4"/>
      <c r="J152" s="1"/>
      <c r="K152" s="1"/>
    </row>
    <row r="153" spans="1:11" ht="12.75" customHeight="1">
      <c r="A153" s="1"/>
      <c r="B153" s="29"/>
      <c r="C153" s="37"/>
      <c r="D153" s="1"/>
      <c r="E153" s="30"/>
      <c r="F153" s="1"/>
      <c r="G153" s="2"/>
      <c r="H153" s="3"/>
      <c r="I153" s="4"/>
      <c r="J153" s="1"/>
      <c r="K153" s="1"/>
    </row>
    <row r="154" spans="1:11" ht="12.75" customHeight="1">
      <c r="A154" s="1"/>
      <c r="B154" s="42" t="s">
        <v>61</v>
      </c>
      <c r="C154" s="37"/>
      <c r="D154" s="1"/>
      <c r="E154" s="30"/>
      <c r="F154" s="1"/>
      <c r="G154" s="2"/>
      <c r="H154" s="3"/>
      <c r="I154" s="4"/>
      <c r="J154" s="1"/>
      <c r="K154" s="1"/>
    </row>
    <row r="155" spans="1:11" ht="34.5" customHeight="1">
      <c r="A155" s="1"/>
      <c r="B155" s="42"/>
      <c r="C155" s="108" t="s">
        <v>223</v>
      </c>
      <c r="D155" s="102"/>
      <c r="E155" s="109"/>
      <c r="F155" s="1"/>
      <c r="G155" s="2"/>
      <c r="H155" s="3"/>
      <c r="I155" s="4"/>
      <c r="J155" s="1"/>
      <c r="K155" s="1"/>
    </row>
    <row r="156" spans="1:11" ht="12.75" customHeight="1">
      <c r="A156" s="1"/>
      <c r="B156" s="43"/>
      <c r="C156" s="44"/>
      <c r="D156" s="45"/>
      <c r="E156" s="46"/>
      <c r="F156" s="1"/>
      <c r="G156" s="2"/>
      <c r="H156" s="3"/>
      <c r="I156" s="4"/>
      <c r="J156" s="1"/>
      <c r="K156" s="1"/>
    </row>
    <row r="157" spans="1:11" ht="12.75" customHeight="1">
      <c r="A157" s="1"/>
      <c r="B157" s="1"/>
      <c r="C157" s="37"/>
      <c r="D157" s="1"/>
      <c r="E157" s="1"/>
      <c r="F157" s="1"/>
      <c r="G157" s="2"/>
      <c r="H157" s="3"/>
      <c r="I157" s="4"/>
      <c r="J157" s="1"/>
      <c r="K157" s="1"/>
    </row>
    <row r="158" spans="1:11" ht="12.75" customHeight="1">
      <c r="A158" s="1"/>
      <c r="B158" s="26" t="s">
        <v>81</v>
      </c>
      <c r="C158" s="41"/>
      <c r="D158" s="27"/>
      <c r="E158" s="28"/>
      <c r="F158" s="1"/>
      <c r="G158" s="2"/>
      <c r="H158" s="3"/>
      <c r="I158" s="4"/>
      <c r="J158" s="1"/>
      <c r="K158" s="1"/>
    </row>
    <row r="159" spans="1:11" ht="12.75" customHeight="1">
      <c r="A159" s="1"/>
      <c r="B159" s="29"/>
      <c r="C159" s="37"/>
      <c r="D159" s="1"/>
      <c r="E159" s="30"/>
      <c r="F159" s="1"/>
      <c r="G159" s="2"/>
      <c r="H159" s="3"/>
      <c r="I159" s="4"/>
      <c r="J159" s="1"/>
      <c r="K159" s="1"/>
    </row>
    <row r="160" spans="1:11" ht="12.75" customHeight="1">
      <c r="A160" s="1"/>
      <c r="B160" s="42" t="s">
        <v>61</v>
      </c>
      <c r="C160" s="37"/>
      <c r="D160" s="1"/>
      <c r="E160" s="30"/>
      <c r="F160" s="1"/>
      <c r="G160" s="2"/>
      <c r="H160" s="3"/>
      <c r="I160" s="4"/>
      <c r="J160" s="1"/>
      <c r="K160" s="1"/>
    </row>
    <row r="161" spans="1:11" ht="31.5" customHeight="1">
      <c r="A161" s="1"/>
      <c r="B161" s="42"/>
      <c r="C161" s="108" t="s">
        <v>224</v>
      </c>
      <c r="D161" s="102"/>
      <c r="E161" s="109"/>
      <c r="F161" s="1"/>
      <c r="G161" s="2"/>
      <c r="H161" s="3"/>
      <c r="I161" s="4"/>
      <c r="J161" s="1"/>
      <c r="K161" s="1"/>
    </row>
    <row r="162" spans="1:11" ht="12.75" customHeight="1">
      <c r="A162" s="1"/>
      <c r="B162" s="43"/>
      <c r="C162" s="44"/>
      <c r="D162" s="45"/>
      <c r="E162" s="46"/>
      <c r="F162" s="1"/>
      <c r="G162" s="2"/>
      <c r="H162" s="3"/>
      <c r="I162" s="4"/>
      <c r="J162" s="1"/>
      <c r="K162" s="1"/>
    </row>
    <row r="163" spans="1:11" ht="12.75" customHeight="1">
      <c r="A163" s="1"/>
      <c r="B163" s="1"/>
      <c r="C163" s="37"/>
      <c r="D163" s="1"/>
      <c r="E163" s="1"/>
      <c r="F163" s="1"/>
      <c r="G163" s="2"/>
      <c r="H163" s="3"/>
      <c r="I163" s="4"/>
      <c r="J163" s="1"/>
      <c r="K163" s="1"/>
    </row>
    <row r="164" spans="1:11" ht="12.75" customHeight="1">
      <c r="A164" s="1"/>
      <c r="B164" s="26" t="s">
        <v>82</v>
      </c>
      <c r="C164" s="41"/>
      <c r="D164" s="27"/>
      <c r="E164" s="28"/>
      <c r="F164" s="1"/>
      <c r="G164" s="2"/>
      <c r="H164" s="3"/>
      <c r="I164" s="4"/>
      <c r="J164" s="1"/>
      <c r="K164" s="1"/>
    </row>
    <row r="165" spans="1:11" ht="12.75" customHeight="1">
      <c r="A165" s="1"/>
      <c r="B165" s="29"/>
      <c r="C165" s="37"/>
      <c r="D165" s="1"/>
      <c r="E165" s="30"/>
      <c r="F165" s="1"/>
      <c r="G165" s="2"/>
      <c r="H165" s="3"/>
      <c r="I165" s="4"/>
      <c r="J165" s="1"/>
      <c r="K165" s="1"/>
    </row>
    <row r="166" spans="1:11" ht="12.75" customHeight="1">
      <c r="A166" s="1"/>
      <c r="B166" s="42" t="s">
        <v>61</v>
      </c>
      <c r="C166" s="37"/>
      <c r="D166" s="1"/>
      <c r="E166" s="30"/>
      <c r="F166" s="1"/>
      <c r="G166" s="2"/>
      <c r="H166" s="3"/>
      <c r="I166" s="4"/>
      <c r="J166" s="1"/>
      <c r="K166" s="1"/>
    </row>
    <row r="167" spans="1:11" ht="36.75" customHeight="1">
      <c r="A167" s="1"/>
      <c r="B167" s="42"/>
      <c r="C167" s="108" t="s">
        <v>225</v>
      </c>
      <c r="D167" s="102"/>
      <c r="E167" s="109"/>
      <c r="F167" s="1"/>
      <c r="G167" s="2"/>
      <c r="H167" s="3"/>
      <c r="I167" s="4"/>
      <c r="J167" s="1"/>
      <c r="K167" s="1"/>
    </row>
    <row r="168" spans="1:11" ht="12.75" customHeight="1">
      <c r="A168" s="1"/>
      <c r="B168" s="43"/>
      <c r="C168" s="44"/>
      <c r="D168" s="45"/>
      <c r="E168" s="46"/>
      <c r="F168" s="1"/>
      <c r="G168" s="2"/>
      <c r="H168" s="3"/>
      <c r="I168" s="4"/>
      <c r="J168" s="1"/>
      <c r="K168" s="1"/>
    </row>
    <row r="169" spans="1:11" ht="12.75" customHeight="1">
      <c r="A169" s="1"/>
      <c r="B169" s="1"/>
      <c r="C169" s="37"/>
      <c r="D169" s="1"/>
      <c r="E169" s="1"/>
      <c r="F169" s="1"/>
      <c r="G169" s="2"/>
      <c r="H169" s="3"/>
      <c r="I169" s="4"/>
      <c r="J169" s="1"/>
      <c r="K169" s="1"/>
    </row>
    <row r="170" spans="1:11" ht="12.75" customHeight="1">
      <c r="A170" s="1"/>
      <c r="B170" s="26" t="s">
        <v>83</v>
      </c>
      <c r="C170" s="41"/>
      <c r="D170" s="27"/>
      <c r="E170" s="28"/>
      <c r="F170" s="1"/>
      <c r="G170" s="2"/>
      <c r="H170" s="3"/>
      <c r="I170" s="4"/>
      <c r="J170" s="1"/>
      <c r="K170" s="1"/>
    </row>
    <row r="171" spans="1:11" ht="12.75" customHeight="1">
      <c r="A171" s="1"/>
      <c r="B171" s="29"/>
      <c r="C171" s="37"/>
      <c r="D171" s="1"/>
      <c r="E171" s="30"/>
      <c r="F171" s="1"/>
      <c r="G171" s="2"/>
      <c r="H171" s="3"/>
      <c r="I171" s="4"/>
      <c r="J171" s="1"/>
      <c r="K171" s="1"/>
    </row>
    <row r="172" spans="1:11" ht="12.75" customHeight="1">
      <c r="A172" s="1"/>
      <c r="B172" s="42" t="s">
        <v>61</v>
      </c>
      <c r="C172" s="37"/>
      <c r="D172" s="1"/>
      <c r="E172" s="30"/>
      <c r="F172" s="1"/>
      <c r="G172" s="2"/>
      <c r="H172" s="3"/>
      <c r="I172" s="4"/>
      <c r="J172" s="1"/>
      <c r="K172" s="1"/>
    </row>
    <row r="173" spans="1:11" ht="41.25" customHeight="1">
      <c r="A173" s="1"/>
      <c r="B173" s="42"/>
      <c r="C173" s="108" t="s">
        <v>226</v>
      </c>
      <c r="D173" s="102"/>
      <c r="E173" s="109"/>
      <c r="F173" s="1"/>
      <c r="G173" s="2"/>
      <c r="H173" s="3"/>
      <c r="I173" s="4"/>
      <c r="J173" s="1"/>
      <c r="K173" s="1"/>
    </row>
    <row r="174" spans="1:11" ht="12.75" customHeight="1">
      <c r="A174" s="1"/>
      <c r="B174" s="43"/>
      <c r="C174" s="44"/>
      <c r="D174" s="45"/>
      <c r="E174" s="46"/>
      <c r="F174" s="1"/>
      <c r="G174" s="2"/>
      <c r="H174" s="3"/>
      <c r="I174" s="4"/>
      <c r="J174" s="1"/>
      <c r="K174" s="1"/>
    </row>
    <row r="175" spans="1:11" ht="12.75" customHeight="1">
      <c r="A175" s="1"/>
      <c r="B175" s="1"/>
      <c r="C175" s="37"/>
      <c r="D175" s="1"/>
      <c r="E175" s="1"/>
      <c r="F175" s="1"/>
      <c r="G175" s="2"/>
      <c r="H175" s="3"/>
      <c r="I175" s="4"/>
      <c r="J175" s="1"/>
      <c r="K175" s="1"/>
    </row>
    <row r="176" spans="1:11" ht="12.75" customHeight="1">
      <c r="A176" s="1"/>
      <c r="B176" s="1"/>
      <c r="C176" s="37"/>
      <c r="D176" s="1"/>
      <c r="E176" s="1"/>
      <c r="F176" s="1"/>
      <c r="G176" s="2"/>
      <c r="H176" s="3"/>
      <c r="I176" s="4"/>
      <c r="J176" s="1"/>
      <c r="K176" s="1"/>
    </row>
    <row r="177" spans="1:11" ht="12.75" customHeight="1">
      <c r="A177" s="1"/>
      <c r="B177" s="26" t="s">
        <v>84</v>
      </c>
      <c r="C177" s="41"/>
      <c r="D177" s="27"/>
      <c r="E177" s="28"/>
      <c r="F177" s="1"/>
      <c r="G177" s="2"/>
      <c r="H177" s="3"/>
      <c r="I177" s="4"/>
      <c r="J177" s="1"/>
      <c r="K177" s="1"/>
    </row>
    <row r="178" spans="1:11" ht="12.75" customHeight="1">
      <c r="A178" s="1"/>
      <c r="B178" s="29"/>
      <c r="C178" s="37"/>
      <c r="D178" s="1"/>
      <c r="E178" s="30"/>
      <c r="F178" s="1"/>
      <c r="G178" s="2"/>
      <c r="H178" s="3"/>
      <c r="I178" s="4"/>
      <c r="J178" s="1"/>
      <c r="K178" s="1"/>
    </row>
    <row r="179" spans="1:11" ht="12.75" customHeight="1">
      <c r="A179" s="1"/>
      <c r="B179" s="42" t="s">
        <v>61</v>
      </c>
      <c r="C179" s="37"/>
      <c r="D179" s="1"/>
      <c r="E179" s="30"/>
      <c r="F179" s="1"/>
      <c r="G179" s="2"/>
      <c r="H179" s="3"/>
      <c r="I179" s="4"/>
      <c r="J179" s="1"/>
      <c r="K179" s="1"/>
    </row>
    <row r="180" spans="1:11" ht="70.5" customHeight="1">
      <c r="A180" s="1"/>
      <c r="B180" s="42"/>
      <c r="C180" s="108" t="s">
        <v>243</v>
      </c>
      <c r="D180" s="102"/>
      <c r="E180" s="109"/>
      <c r="F180" s="1"/>
      <c r="G180" s="2"/>
      <c r="H180" s="3"/>
      <c r="I180" s="4"/>
      <c r="J180" s="1"/>
      <c r="K180" s="1"/>
    </row>
    <row r="181" spans="1:11" ht="12.75" customHeight="1">
      <c r="A181" s="1"/>
      <c r="B181" s="43"/>
      <c r="C181" s="44"/>
      <c r="D181" s="45"/>
      <c r="E181" s="46"/>
      <c r="F181" s="1"/>
      <c r="G181" s="2"/>
      <c r="H181" s="3"/>
      <c r="I181" s="4"/>
      <c r="J181" s="1"/>
      <c r="K181" s="1"/>
    </row>
    <row r="182" spans="1:11" ht="12.75" customHeight="1">
      <c r="A182" s="1"/>
      <c r="B182" s="1"/>
      <c r="C182" s="37"/>
      <c r="D182" s="1"/>
      <c r="E182" s="1"/>
      <c r="F182" s="1"/>
      <c r="G182" s="2"/>
      <c r="H182" s="3"/>
      <c r="I182" s="4"/>
      <c r="J182" s="1"/>
      <c r="K182" s="1"/>
    </row>
    <row r="183" spans="1:11" ht="12.75" customHeight="1">
      <c r="A183" s="1"/>
      <c r="B183" s="26" t="s">
        <v>85</v>
      </c>
      <c r="C183" s="41"/>
      <c r="D183" s="27"/>
      <c r="E183" s="28"/>
      <c r="F183" s="1"/>
      <c r="G183" s="2"/>
      <c r="H183" s="3"/>
      <c r="I183" s="4"/>
      <c r="J183" s="1"/>
      <c r="K183" s="1"/>
    </row>
    <row r="184" spans="1:11" ht="12.75" customHeight="1">
      <c r="A184" s="1"/>
      <c r="B184" s="29"/>
      <c r="C184" s="37"/>
      <c r="D184" s="1"/>
      <c r="E184" s="30"/>
      <c r="F184" s="1"/>
      <c r="G184" s="2"/>
      <c r="H184" s="3"/>
      <c r="I184" s="4"/>
      <c r="J184" s="1"/>
      <c r="K184" s="1"/>
    </row>
    <row r="185" spans="1:11" ht="12.75" customHeight="1">
      <c r="A185" s="1"/>
      <c r="B185" s="42" t="s">
        <v>61</v>
      </c>
      <c r="C185" s="37"/>
      <c r="D185" s="1"/>
      <c r="E185" s="30"/>
      <c r="F185" s="1"/>
      <c r="G185" s="2"/>
      <c r="H185" s="3"/>
      <c r="I185" s="4"/>
      <c r="J185" s="1"/>
      <c r="K185" s="1"/>
    </row>
    <row r="186" spans="1:11" ht="109.5" customHeight="1">
      <c r="A186" s="1"/>
      <c r="B186" s="42"/>
      <c r="C186" s="114" t="s">
        <v>244</v>
      </c>
      <c r="D186" s="102"/>
      <c r="E186" s="109"/>
      <c r="F186" s="1"/>
      <c r="G186" s="2"/>
      <c r="H186" s="3"/>
      <c r="I186" s="4"/>
      <c r="J186" s="1"/>
      <c r="K186" s="1"/>
    </row>
    <row r="187" spans="1:11" ht="12.75" customHeight="1">
      <c r="A187" s="1"/>
      <c r="B187" s="43"/>
      <c r="C187" s="44"/>
      <c r="D187" s="45"/>
      <c r="E187" s="46"/>
      <c r="F187" s="1"/>
      <c r="G187" s="2"/>
      <c r="H187" s="3"/>
      <c r="I187" s="4"/>
      <c r="J187" s="1"/>
      <c r="K187" s="1"/>
    </row>
    <row r="188" spans="1:11" ht="12.75" customHeight="1">
      <c r="A188" s="1"/>
      <c r="B188" s="35"/>
      <c r="C188" s="36"/>
      <c r="D188" s="36"/>
      <c r="E188" s="36"/>
      <c r="F188" s="1"/>
      <c r="G188" s="2"/>
      <c r="H188" s="3"/>
      <c r="I188" s="4"/>
      <c r="J188" s="1"/>
      <c r="K188" s="1"/>
    </row>
    <row r="189" spans="1:11" ht="12.75" customHeight="1">
      <c r="A189" s="1"/>
      <c r="B189" s="47" t="s">
        <v>86</v>
      </c>
      <c r="C189" s="27"/>
      <c r="D189" s="27"/>
      <c r="E189" s="28"/>
      <c r="F189" s="1"/>
      <c r="G189" s="2"/>
      <c r="H189" s="3"/>
      <c r="I189" s="4"/>
      <c r="J189" s="1"/>
      <c r="K189" s="1"/>
    </row>
    <row r="190" spans="1:11" ht="126" customHeight="1">
      <c r="A190" s="1"/>
      <c r="B190" s="48"/>
      <c r="C190" s="115" t="s">
        <v>87</v>
      </c>
      <c r="D190" s="102"/>
      <c r="E190" s="109"/>
      <c r="F190" s="1"/>
      <c r="G190" s="2"/>
      <c r="H190" s="3"/>
      <c r="I190" s="4"/>
      <c r="J190" s="1"/>
      <c r="K190" s="1"/>
    </row>
    <row r="191" spans="1:11" ht="12.75" customHeight="1">
      <c r="A191" s="1"/>
      <c r="B191" s="48"/>
      <c r="C191" s="113"/>
      <c r="D191" s="102"/>
      <c r="E191" s="109"/>
      <c r="F191" s="1"/>
      <c r="G191" s="2"/>
      <c r="H191" s="3"/>
      <c r="I191" s="4"/>
      <c r="J191" s="1"/>
      <c r="K191" s="1"/>
    </row>
    <row r="192" spans="1:11" ht="12.75" customHeight="1">
      <c r="A192" s="1"/>
      <c r="B192" s="31" t="s">
        <v>88</v>
      </c>
      <c r="C192" s="1"/>
      <c r="D192" s="1"/>
      <c r="E192" s="30"/>
      <c r="F192" s="1"/>
      <c r="G192" s="2"/>
      <c r="H192" s="3"/>
      <c r="I192" s="4"/>
      <c r="J192" s="1"/>
      <c r="K192" s="1"/>
    </row>
    <row r="193" spans="1:11" ht="12.75" customHeight="1">
      <c r="A193" s="1"/>
      <c r="B193" s="48"/>
      <c r="C193" s="115" t="s">
        <v>89</v>
      </c>
      <c r="D193" s="102"/>
      <c r="E193" s="109"/>
      <c r="F193" s="1"/>
      <c r="G193" s="2"/>
      <c r="H193" s="3"/>
      <c r="I193" s="4"/>
      <c r="J193" s="1"/>
      <c r="K193" s="1"/>
    </row>
    <row r="194" spans="1:11" ht="12.75" customHeight="1">
      <c r="A194" s="1"/>
      <c r="B194" s="31" t="s">
        <v>90</v>
      </c>
      <c r="C194" s="37"/>
      <c r="D194" s="37"/>
      <c r="E194" s="49"/>
      <c r="F194" s="1"/>
      <c r="G194" s="2"/>
      <c r="H194" s="3"/>
      <c r="I194" s="4"/>
      <c r="J194" s="1"/>
      <c r="K194" s="1"/>
    </row>
    <row r="195" spans="1:11" ht="12.75" customHeight="1">
      <c r="A195" s="1"/>
      <c r="B195" s="48"/>
      <c r="C195" s="116" t="s">
        <v>91</v>
      </c>
      <c r="D195" s="102"/>
      <c r="E195" s="109"/>
      <c r="F195" s="1"/>
      <c r="G195" s="2"/>
      <c r="H195" s="3"/>
      <c r="I195" s="4"/>
      <c r="J195" s="1"/>
      <c r="K195" s="1"/>
    </row>
    <row r="196" spans="1:11" ht="12.75" customHeight="1">
      <c r="A196" s="1"/>
      <c r="B196" s="31" t="s">
        <v>92</v>
      </c>
      <c r="C196" s="1"/>
      <c r="D196" s="1"/>
      <c r="E196" s="30"/>
      <c r="F196" s="1"/>
      <c r="G196" s="2"/>
      <c r="H196" s="3"/>
      <c r="I196" s="4"/>
      <c r="J196" s="1"/>
      <c r="K196" s="1"/>
    </row>
    <row r="197" spans="1:11" ht="12.75" customHeight="1">
      <c r="A197" s="1"/>
      <c r="B197" s="31"/>
      <c r="C197" s="113"/>
      <c r="D197" s="102"/>
      <c r="E197" s="109"/>
      <c r="F197" s="1"/>
      <c r="G197" s="2"/>
      <c r="H197" s="3"/>
      <c r="I197" s="4"/>
      <c r="J197" s="1"/>
      <c r="K197" s="1"/>
    </row>
    <row r="198" spans="1:11" ht="12.75" customHeight="1">
      <c r="A198" s="1"/>
      <c r="B198" s="50"/>
      <c r="C198" s="45"/>
      <c r="D198" s="45"/>
      <c r="E198" s="46"/>
      <c r="F198" s="1"/>
      <c r="G198" s="2"/>
      <c r="H198" s="3"/>
      <c r="I198" s="4"/>
      <c r="J198" s="1"/>
      <c r="K198" s="1"/>
    </row>
  </sheetData>
  <autoFilter ref="A9:I32" xr:uid="{00000000-0009-0000-0000-000000000000}"/>
  <mergeCells count="39">
    <mergeCell ref="K25:M25"/>
    <mergeCell ref="C112:E112"/>
    <mergeCell ref="C118:E118"/>
    <mergeCell ref="C197:E197"/>
    <mergeCell ref="C180:E180"/>
    <mergeCell ref="C186:E186"/>
    <mergeCell ref="C190:E190"/>
    <mergeCell ref="C191:E191"/>
    <mergeCell ref="C193:E193"/>
    <mergeCell ref="C195:E195"/>
    <mergeCell ref="C143:E143"/>
    <mergeCell ref="C149:E149"/>
    <mergeCell ref="C155:E155"/>
    <mergeCell ref="C161:E161"/>
    <mergeCell ref="C173:E173"/>
    <mergeCell ref="C125:E125"/>
    <mergeCell ref="C167:E167"/>
    <mergeCell ref="C5:E5"/>
    <mergeCell ref="C40:E40"/>
    <mergeCell ref="C46:E46"/>
    <mergeCell ref="C52:E52"/>
    <mergeCell ref="C58:E58"/>
    <mergeCell ref="C64:E64"/>
    <mergeCell ref="C70:E70"/>
    <mergeCell ref="C76:E76"/>
    <mergeCell ref="C100:E100"/>
    <mergeCell ref="C94:E94"/>
    <mergeCell ref="C131:E131"/>
    <mergeCell ref="C137:E137"/>
    <mergeCell ref="C82:E82"/>
    <mergeCell ref="C88:E88"/>
    <mergeCell ref="C106:E106"/>
    <mergeCell ref="A7:B7"/>
    <mergeCell ref="A35:H35"/>
    <mergeCell ref="A6:B6"/>
    <mergeCell ref="B2:H2"/>
    <mergeCell ref="A4:B4"/>
    <mergeCell ref="C4:E4"/>
    <mergeCell ref="A5:B5"/>
  </mergeCells>
  <phoneticPr fontId="35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"/>
  <sheetViews>
    <sheetView workbookViewId="0">
      <selection activeCell="J27" sqref="J27"/>
    </sheetView>
  </sheetViews>
  <sheetFormatPr baseColWidth="10" defaultColWidth="14.42578125" defaultRowHeight="15" customHeight="1"/>
  <cols>
    <col min="1" max="5" width="4.42578125" customWidth="1"/>
    <col min="6" max="6" width="5.85546875" customWidth="1"/>
    <col min="7" max="14" width="4.42578125" customWidth="1"/>
    <col min="15" max="16" width="14.85546875" customWidth="1"/>
    <col min="17" max="17" width="14.7109375" customWidth="1"/>
    <col min="18" max="18" width="11" customWidth="1"/>
    <col min="19" max="19" width="12.85546875" customWidth="1"/>
  </cols>
  <sheetData>
    <row r="1" spans="1:19" ht="15.75" customHeight="1">
      <c r="A1" s="129" t="s">
        <v>5</v>
      </c>
      <c r="B1" s="130"/>
      <c r="C1" s="130"/>
      <c r="D1" s="131">
        <v>2022</v>
      </c>
      <c r="E1" s="132"/>
      <c r="F1" s="51"/>
      <c r="G1" s="51"/>
      <c r="H1" s="52"/>
      <c r="I1" s="52"/>
      <c r="J1" s="52"/>
      <c r="K1" s="52"/>
      <c r="L1" s="52"/>
      <c r="M1" s="52"/>
      <c r="N1" s="52"/>
      <c r="O1" s="53"/>
      <c r="P1" s="151" t="s">
        <v>93</v>
      </c>
      <c r="Q1" s="119"/>
      <c r="R1" s="53"/>
      <c r="S1" s="53"/>
    </row>
    <row r="2" spans="1:19" ht="15.75" customHeight="1">
      <c r="A2" s="53"/>
      <c r="B2" s="53"/>
      <c r="C2" s="53"/>
      <c r="D2" s="53"/>
      <c r="E2" s="53"/>
      <c r="F2" s="53"/>
      <c r="G2" s="54"/>
      <c r="H2" s="52"/>
      <c r="I2" s="52"/>
      <c r="J2" s="52"/>
      <c r="K2" s="52"/>
      <c r="L2" s="52"/>
      <c r="M2" s="52"/>
      <c r="N2" s="52"/>
      <c r="O2" s="53"/>
      <c r="P2" s="152"/>
      <c r="Q2" s="144"/>
      <c r="R2" s="53"/>
      <c r="S2" s="53"/>
    </row>
    <row r="3" spans="1:19" ht="13.5" customHeight="1">
      <c r="A3" s="53"/>
      <c r="B3" s="53"/>
      <c r="C3" s="53"/>
      <c r="D3" s="53"/>
      <c r="E3" s="53"/>
      <c r="F3" s="53"/>
      <c r="G3" s="54"/>
      <c r="H3" s="53"/>
      <c r="I3" s="53"/>
      <c r="J3" s="53"/>
      <c r="K3" s="53"/>
      <c r="L3" s="53"/>
      <c r="M3" s="53"/>
      <c r="N3" s="53"/>
      <c r="O3" s="53"/>
      <c r="P3" s="53"/>
      <c r="Q3" s="55"/>
      <c r="R3" s="53"/>
      <c r="S3" s="53"/>
    </row>
    <row r="4" spans="1:19" ht="18" customHeight="1">
      <c r="A4" s="133" t="s">
        <v>94</v>
      </c>
      <c r="B4" s="121"/>
      <c r="C4" s="121"/>
      <c r="D4" s="121"/>
      <c r="E4" s="121"/>
      <c r="F4" s="122"/>
      <c r="G4" s="124" t="str">
        <f>+TONER!C4</f>
        <v>12 -Ministerio de Trabajo, Planificacion y Recursos Humanos</v>
      </c>
      <c r="H4" s="121"/>
      <c r="I4" s="121"/>
      <c r="J4" s="121"/>
      <c r="K4" s="121"/>
      <c r="L4" s="121"/>
      <c r="M4" s="121"/>
      <c r="N4" s="121"/>
      <c r="O4" s="121"/>
      <c r="P4" s="121"/>
      <c r="Q4" s="122"/>
      <c r="R4" s="53"/>
      <c r="S4" s="53"/>
    </row>
    <row r="5" spans="1:19" ht="35.25" customHeight="1">
      <c r="A5" s="123" t="s">
        <v>95</v>
      </c>
      <c r="B5" s="121"/>
      <c r="C5" s="121"/>
      <c r="D5" s="121"/>
      <c r="E5" s="121"/>
      <c r="F5" s="122"/>
      <c r="G5" s="153" t="str">
        <f>+TONER!C5</f>
        <v>22 - Subsecretaria de Administracion Financiera del Ministerio de Trabajo, Planificacion y Recursos Humanos</v>
      </c>
      <c r="H5" s="121"/>
      <c r="I5" s="121"/>
      <c r="J5" s="121"/>
      <c r="K5" s="121"/>
      <c r="L5" s="121"/>
      <c r="M5" s="121"/>
      <c r="N5" s="121"/>
      <c r="O5" s="121"/>
      <c r="P5" s="121"/>
      <c r="Q5" s="122"/>
      <c r="R5" s="53"/>
      <c r="S5" s="53"/>
    </row>
    <row r="6" spans="1:19" ht="18" customHeight="1">
      <c r="A6" s="123" t="s">
        <v>96</v>
      </c>
      <c r="B6" s="121"/>
      <c r="C6" s="121"/>
      <c r="D6" s="121"/>
      <c r="E6" s="121"/>
      <c r="F6" s="122"/>
      <c r="G6" s="124" t="s">
        <v>97</v>
      </c>
      <c r="H6" s="121"/>
      <c r="I6" s="121"/>
      <c r="J6" s="121"/>
      <c r="K6" s="121"/>
      <c r="L6" s="121"/>
      <c r="M6" s="121"/>
      <c r="N6" s="121"/>
      <c r="O6" s="121"/>
      <c r="P6" s="121"/>
      <c r="Q6" s="122"/>
      <c r="R6" s="53"/>
      <c r="S6" s="53"/>
    </row>
    <row r="7" spans="1:19" ht="18" customHeight="1">
      <c r="A7" s="123" t="s">
        <v>98</v>
      </c>
      <c r="B7" s="121"/>
      <c r="C7" s="121"/>
      <c r="D7" s="121"/>
      <c r="E7" s="121"/>
      <c r="F7" s="122"/>
      <c r="G7" s="124" t="s">
        <v>99</v>
      </c>
      <c r="H7" s="121"/>
      <c r="I7" s="121"/>
      <c r="J7" s="121"/>
      <c r="K7" s="121"/>
      <c r="L7" s="121"/>
      <c r="M7" s="121"/>
      <c r="N7" s="121"/>
      <c r="O7" s="121"/>
      <c r="P7" s="121"/>
      <c r="Q7" s="122"/>
      <c r="R7" s="53"/>
      <c r="S7" s="53"/>
    </row>
    <row r="8" spans="1:19" ht="18" customHeight="1">
      <c r="A8" s="125" t="s">
        <v>100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2"/>
      <c r="R8" s="53"/>
      <c r="S8" s="53"/>
    </row>
    <row r="9" spans="1:19" ht="18" customHeight="1">
      <c r="A9" s="126" t="s">
        <v>101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53"/>
      <c r="P9" s="53"/>
      <c r="Q9" s="56"/>
      <c r="R9" s="53"/>
      <c r="S9" s="53"/>
    </row>
    <row r="10" spans="1:19" ht="65.25" customHeight="1">
      <c r="A10" s="127" t="s">
        <v>102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28"/>
      <c r="R10" s="53"/>
      <c r="S10" s="53"/>
    </row>
    <row r="11" spans="1:19" ht="9" customHeight="1">
      <c r="A11" s="57"/>
      <c r="B11" s="58"/>
      <c r="C11" s="58"/>
      <c r="D11" s="58"/>
      <c r="E11" s="58"/>
      <c r="F11" s="58"/>
      <c r="G11" s="59"/>
      <c r="H11" s="58"/>
      <c r="I11" s="58"/>
      <c r="J11" s="58"/>
      <c r="K11" s="58"/>
      <c r="L11" s="58"/>
      <c r="M11" s="58"/>
      <c r="N11" s="58"/>
      <c r="O11" s="58"/>
      <c r="P11" s="58"/>
      <c r="Q11" s="60"/>
      <c r="R11" s="53"/>
      <c r="S11" s="53"/>
    </row>
    <row r="12" spans="1:19" ht="15.75" customHeight="1">
      <c r="A12" s="117" t="s">
        <v>103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9"/>
      <c r="R12" s="53"/>
      <c r="S12" s="53"/>
    </row>
    <row r="13" spans="1:19" ht="15.75" customHeight="1">
      <c r="A13" s="120" t="s">
        <v>104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2"/>
      <c r="O13" s="148" t="s">
        <v>105</v>
      </c>
      <c r="P13" s="119"/>
      <c r="Q13" s="150" t="s">
        <v>106</v>
      </c>
      <c r="R13" s="53"/>
      <c r="S13" s="53"/>
    </row>
    <row r="14" spans="1:19" ht="15.75" customHeight="1">
      <c r="A14" s="61" t="s">
        <v>107</v>
      </c>
      <c r="B14" s="62" t="s">
        <v>108</v>
      </c>
      <c r="C14" s="62" t="s">
        <v>109</v>
      </c>
      <c r="D14" s="62" t="s">
        <v>110</v>
      </c>
      <c r="E14" s="62" t="s">
        <v>111</v>
      </c>
      <c r="F14" s="62" t="s">
        <v>112</v>
      </c>
      <c r="G14" s="63" t="s">
        <v>113</v>
      </c>
      <c r="H14" s="62" t="s">
        <v>114</v>
      </c>
      <c r="I14" s="62" t="s">
        <v>115</v>
      </c>
      <c r="J14" s="62" t="s">
        <v>116</v>
      </c>
      <c r="K14" s="62" t="s">
        <v>116</v>
      </c>
      <c r="L14" s="62" t="s">
        <v>117</v>
      </c>
      <c r="M14" s="64" t="s">
        <v>118</v>
      </c>
      <c r="N14" s="65" t="s">
        <v>119</v>
      </c>
      <c r="O14" s="149"/>
      <c r="P14" s="128"/>
      <c r="Q14" s="128"/>
      <c r="R14" s="53"/>
      <c r="S14" s="53"/>
    </row>
    <row r="15" spans="1:19" ht="28.5" customHeight="1">
      <c r="A15" s="66">
        <v>1</v>
      </c>
      <c r="B15" s="66">
        <v>0</v>
      </c>
      <c r="C15" s="66">
        <v>0</v>
      </c>
      <c r="D15" s="66">
        <v>1</v>
      </c>
      <c r="E15" s="66">
        <v>0</v>
      </c>
      <c r="F15" s="66">
        <v>4901</v>
      </c>
      <c r="G15" s="66">
        <v>3</v>
      </c>
      <c r="H15" s="66">
        <v>6</v>
      </c>
      <c r="I15" s="66">
        <v>2</v>
      </c>
      <c r="J15" s="66">
        <v>9</v>
      </c>
      <c r="K15" s="66">
        <v>2</v>
      </c>
      <c r="L15" s="66">
        <v>0</v>
      </c>
      <c r="M15" s="66">
        <v>1</v>
      </c>
      <c r="N15" s="66" t="s">
        <v>120</v>
      </c>
      <c r="O15" s="140" t="s">
        <v>121</v>
      </c>
      <c r="P15" s="141"/>
      <c r="Q15" s="67">
        <v>150000</v>
      </c>
      <c r="R15" s="53"/>
      <c r="S15" s="55"/>
    </row>
    <row r="16" spans="1:19" ht="37.5" customHeight="1">
      <c r="A16" s="66">
        <v>3</v>
      </c>
      <c r="B16" s="66">
        <v>0</v>
      </c>
      <c r="C16" s="66">
        <v>0</v>
      </c>
      <c r="D16" s="66">
        <v>1</v>
      </c>
      <c r="E16" s="66">
        <v>0</v>
      </c>
      <c r="F16" s="66">
        <v>4901</v>
      </c>
      <c r="G16" s="66">
        <v>1</v>
      </c>
      <c r="H16" s="66">
        <v>3</v>
      </c>
      <c r="I16" s="66">
        <v>2</v>
      </c>
      <c r="J16" s="66">
        <v>9</v>
      </c>
      <c r="K16" s="66">
        <v>2</v>
      </c>
      <c r="L16" s="66">
        <v>0</v>
      </c>
      <c r="M16" s="66">
        <v>1</v>
      </c>
      <c r="N16" s="66" t="s">
        <v>120</v>
      </c>
      <c r="O16" s="140" t="s">
        <v>121</v>
      </c>
      <c r="P16" s="141"/>
      <c r="Q16" s="67">
        <v>100000</v>
      </c>
      <c r="R16" s="53"/>
      <c r="S16" s="53"/>
    </row>
    <row r="17" spans="1:19" ht="33" customHeight="1">
      <c r="A17" s="66">
        <v>6</v>
      </c>
      <c r="B17" s="66">
        <v>0</v>
      </c>
      <c r="C17" s="66">
        <v>0</v>
      </c>
      <c r="D17" s="66">
        <v>1</v>
      </c>
      <c r="E17" s="66">
        <v>0</v>
      </c>
      <c r="F17" s="66">
        <v>4901</v>
      </c>
      <c r="G17" s="66">
        <v>1</v>
      </c>
      <c r="H17" s="66">
        <v>3</v>
      </c>
      <c r="I17" s="66">
        <v>2</v>
      </c>
      <c r="J17" s="66">
        <v>9</v>
      </c>
      <c r="K17" s="66">
        <v>2</v>
      </c>
      <c r="L17" s="66">
        <v>0</v>
      </c>
      <c r="M17" s="66">
        <v>1</v>
      </c>
      <c r="N17" s="66" t="s">
        <v>120</v>
      </c>
      <c r="O17" s="140" t="s">
        <v>121</v>
      </c>
      <c r="P17" s="141"/>
      <c r="Q17" s="67">
        <v>135555</v>
      </c>
      <c r="R17" s="53"/>
      <c r="S17" s="55"/>
    </row>
    <row r="18" spans="1:19" ht="28.5" customHeight="1">
      <c r="A18" s="142" t="str">
        <f>+TONER!A35</f>
        <v>COSTO ESTIMADO TOTAL: TRESCIENTOS OCHENTA Y CINCO MIL QUINIENTOS CINCUENTA Y CINCO CON 00/100</v>
      </c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4"/>
      <c r="Q18" s="68">
        <f>SUM(Q15:Q17)</f>
        <v>385555</v>
      </c>
      <c r="R18" s="53"/>
      <c r="S18" s="55"/>
    </row>
    <row r="19" spans="1:19" ht="18" customHeight="1">
      <c r="A19" s="145"/>
      <c r="B19" s="118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9"/>
      <c r="R19" s="53"/>
      <c r="S19" s="53"/>
    </row>
    <row r="20" spans="1:19" ht="17.25" customHeight="1">
      <c r="A20" s="147" t="s">
        <v>122</v>
      </c>
      <c r="B20" s="135"/>
      <c r="C20" s="135"/>
      <c r="D20" s="135"/>
      <c r="E20" s="135"/>
      <c r="F20" s="136"/>
      <c r="G20" s="146"/>
      <c r="H20" s="118"/>
      <c r="I20" s="118"/>
      <c r="J20" s="118"/>
      <c r="K20" s="118"/>
      <c r="L20" s="118"/>
      <c r="M20" s="118"/>
      <c r="N20" s="118"/>
      <c r="O20" s="118"/>
      <c r="P20" s="118"/>
      <c r="Q20" s="119"/>
      <c r="R20" s="53"/>
      <c r="S20" s="53"/>
    </row>
    <row r="21" spans="1:19" ht="18" customHeight="1">
      <c r="A21" s="134">
        <f>'[1] NotaPedido'!D8</f>
        <v>0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  <c r="M21" s="135"/>
      <c r="N21" s="135"/>
      <c r="O21" s="135"/>
      <c r="P21" s="135"/>
      <c r="Q21" s="136"/>
      <c r="R21" s="53"/>
      <c r="S21" s="53"/>
    </row>
    <row r="22" spans="1:19" ht="15" customHeight="1">
      <c r="A22" s="137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9"/>
      <c r="R22" s="53"/>
      <c r="S22" s="53"/>
    </row>
    <row r="23" spans="1:19" ht="13.5" customHeight="1">
      <c r="A23" s="53"/>
      <c r="B23" s="53"/>
      <c r="C23" s="53"/>
      <c r="D23" s="53"/>
      <c r="E23" s="53"/>
      <c r="F23" s="53"/>
      <c r="G23" s="54"/>
      <c r="H23" s="53"/>
      <c r="I23" s="53"/>
      <c r="J23" s="53"/>
      <c r="K23" s="53"/>
      <c r="L23" s="53"/>
      <c r="M23" s="53"/>
      <c r="N23" s="53"/>
      <c r="O23" s="53"/>
      <c r="P23" s="53"/>
      <c r="Q23" s="55"/>
      <c r="R23" s="53"/>
      <c r="S23" s="53"/>
    </row>
    <row r="24" spans="1:19" ht="13.5" customHeight="1">
      <c r="A24" s="53"/>
      <c r="B24" s="53"/>
      <c r="C24" s="53"/>
      <c r="D24" s="53"/>
      <c r="E24" s="53"/>
      <c r="F24" s="53"/>
      <c r="G24" s="54"/>
      <c r="H24" s="53"/>
      <c r="I24" s="53"/>
      <c r="J24" s="53"/>
      <c r="K24" s="53"/>
      <c r="L24" s="53"/>
      <c r="M24" s="53"/>
      <c r="N24" s="53"/>
      <c r="O24" s="53"/>
      <c r="P24" s="53"/>
      <c r="Q24" s="55"/>
      <c r="R24" s="53"/>
      <c r="S24" s="53"/>
    </row>
    <row r="25" spans="1:19" ht="13.5" customHeight="1">
      <c r="A25" s="53"/>
      <c r="B25" s="53"/>
      <c r="C25" s="53"/>
      <c r="D25" s="53"/>
      <c r="E25" s="53"/>
      <c r="F25" s="53"/>
      <c r="G25" s="54"/>
      <c r="H25" s="53"/>
      <c r="I25" s="53"/>
      <c r="J25" s="53"/>
      <c r="K25" s="53"/>
      <c r="L25" s="53"/>
      <c r="M25" s="53"/>
      <c r="N25" s="53"/>
      <c r="O25" s="53"/>
      <c r="P25" s="53"/>
      <c r="Q25" s="55"/>
      <c r="R25" s="53"/>
      <c r="S25" s="53"/>
    </row>
    <row r="26" spans="1:19" ht="13.5" customHeight="1">
      <c r="A26" s="53"/>
      <c r="B26" s="53"/>
      <c r="C26" s="53"/>
      <c r="D26" s="53"/>
      <c r="E26" s="53"/>
      <c r="F26" s="53"/>
      <c r="G26" s="54"/>
      <c r="H26" s="53"/>
      <c r="I26" s="53"/>
      <c r="J26" s="53"/>
      <c r="K26" s="53"/>
      <c r="L26" s="53"/>
      <c r="M26" s="53"/>
      <c r="N26" s="53"/>
      <c r="O26" s="53"/>
      <c r="P26" s="53"/>
      <c r="Q26" s="55"/>
      <c r="R26" s="53"/>
      <c r="S26" s="53"/>
    </row>
    <row r="27" spans="1:19" ht="13.5" customHeight="1">
      <c r="A27" s="53"/>
      <c r="B27" s="53"/>
      <c r="C27" s="53"/>
      <c r="D27" s="53"/>
      <c r="E27" s="53"/>
      <c r="F27" s="53"/>
      <c r="G27" s="54"/>
      <c r="H27" s="53"/>
      <c r="I27" s="53"/>
      <c r="J27" s="53"/>
      <c r="K27" s="53"/>
      <c r="L27" s="53"/>
      <c r="M27" s="53"/>
      <c r="N27" s="53"/>
      <c r="O27" s="53"/>
      <c r="P27" s="53"/>
      <c r="Q27" s="55"/>
      <c r="R27" s="53"/>
      <c r="S27" s="53"/>
    </row>
    <row r="28" spans="1:19" ht="13.5" customHeight="1">
      <c r="A28" s="53"/>
      <c r="B28" s="53"/>
      <c r="C28" s="53"/>
      <c r="D28" s="53"/>
      <c r="E28" s="53"/>
      <c r="F28" s="53"/>
      <c r="G28" s="54"/>
      <c r="H28" s="53"/>
      <c r="I28" s="53"/>
      <c r="J28" s="53"/>
      <c r="K28" s="53"/>
      <c r="L28" s="53"/>
      <c r="M28" s="53"/>
      <c r="N28" s="53"/>
      <c r="O28" s="53"/>
      <c r="P28" s="53"/>
      <c r="Q28" s="55"/>
      <c r="R28" s="53"/>
      <c r="S28" s="53"/>
    </row>
    <row r="29" spans="1:19" ht="13.5" customHeight="1">
      <c r="A29" s="53"/>
      <c r="B29" s="53"/>
      <c r="C29" s="53"/>
      <c r="D29" s="53"/>
      <c r="E29" s="53"/>
      <c r="F29" s="53"/>
      <c r="G29" s="54"/>
      <c r="H29" s="53"/>
      <c r="I29" s="53"/>
      <c r="J29" s="53"/>
      <c r="K29" s="53"/>
      <c r="L29" s="53"/>
      <c r="M29" s="53"/>
      <c r="N29" s="53"/>
      <c r="O29" s="53"/>
      <c r="P29" s="53"/>
      <c r="Q29" s="55"/>
      <c r="R29" s="53"/>
      <c r="S29" s="53"/>
    </row>
    <row r="30" spans="1:19" ht="13.5" customHeight="1">
      <c r="A30" s="53"/>
      <c r="B30" s="53"/>
      <c r="C30" s="53"/>
      <c r="D30" s="53"/>
      <c r="E30" s="53"/>
      <c r="F30" s="53"/>
      <c r="G30" s="54"/>
      <c r="H30" s="53"/>
      <c r="I30" s="53"/>
      <c r="J30" s="53"/>
      <c r="K30" s="53"/>
      <c r="L30" s="53"/>
      <c r="M30" s="53"/>
      <c r="N30" s="53"/>
      <c r="O30" s="53"/>
      <c r="P30" s="53"/>
      <c r="Q30" s="55"/>
      <c r="R30" s="53"/>
      <c r="S30" s="53"/>
    </row>
    <row r="31" spans="1:19" ht="13.5" customHeight="1">
      <c r="A31" s="53"/>
      <c r="B31" s="53"/>
      <c r="C31" s="53"/>
      <c r="D31" s="53"/>
      <c r="E31" s="53"/>
      <c r="F31" s="53"/>
      <c r="G31" s="54"/>
      <c r="H31" s="53"/>
      <c r="I31" s="53"/>
      <c r="J31" s="53"/>
      <c r="K31" s="53"/>
      <c r="L31" s="53"/>
      <c r="M31" s="53"/>
      <c r="N31" s="53"/>
      <c r="O31" s="53"/>
      <c r="P31" s="53"/>
      <c r="Q31" s="55"/>
      <c r="R31" s="53"/>
      <c r="S31" s="53"/>
    </row>
    <row r="32" spans="1:19" ht="13.5" customHeight="1">
      <c r="A32" s="53"/>
      <c r="B32" s="53"/>
      <c r="C32" s="53"/>
      <c r="D32" s="53"/>
      <c r="E32" s="53"/>
      <c r="F32" s="53"/>
      <c r="G32" s="54"/>
      <c r="H32" s="53"/>
      <c r="I32" s="53"/>
      <c r="J32" s="53"/>
      <c r="K32" s="53"/>
      <c r="L32" s="53"/>
      <c r="M32" s="53"/>
      <c r="N32" s="53"/>
      <c r="O32" s="53"/>
      <c r="P32" s="53"/>
      <c r="Q32" s="55"/>
      <c r="R32" s="53"/>
      <c r="S32" s="53"/>
    </row>
    <row r="33" spans="1:19" ht="13.5" customHeight="1">
      <c r="A33" s="53"/>
      <c r="B33" s="53"/>
      <c r="C33" s="53"/>
      <c r="D33" s="53"/>
      <c r="E33" s="53"/>
      <c r="F33" s="53"/>
      <c r="G33" s="54"/>
      <c r="H33" s="53"/>
      <c r="I33" s="53"/>
      <c r="J33" s="53"/>
      <c r="K33" s="53"/>
      <c r="L33" s="53"/>
      <c r="M33" s="53"/>
      <c r="N33" s="53"/>
      <c r="O33" s="53"/>
      <c r="P33" s="53"/>
      <c r="Q33" s="55"/>
      <c r="R33" s="53"/>
      <c r="S33" s="53"/>
    </row>
    <row r="34" spans="1:19" ht="13.5" customHeight="1">
      <c r="A34" s="53"/>
      <c r="B34" s="53"/>
      <c r="C34" s="53"/>
      <c r="D34" s="53"/>
      <c r="E34" s="53"/>
      <c r="F34" s="53"/>
      <c r="G34" s="54"/>
      <c r="H34" s="53"/>
      <c r="I34" s="53"/>
      <c r="J34" s="53"/>
      <c r="K34" s="53"/>
      <c r="L34" s="53"/>
      <c r="M34" s="53"/>
      <c r="N34" s="53"/>
      <c r="O34" s="53"/>
      <c r="P34" s="53"/>
      <c r="Q34" s="55"/>
      <c r="R34" s="53"/>
      <c r="S34" s="53"/>
    </row>
    <row r="35" spans="1:19" ht="13.5" customHeight="1">
      <c r="A35" s="53"/>
      <c r="B35" s="53"/>
      <c r="C35" s="53"/>
      <c r="D35" s="53"/>
      <c r="E35" s="53"/>
      <c r="F35" s="53"/>
      <c r="G35" s="54"/>
      <c r="H35" s="53"/>
      <c r="I35" s="53"/>
      <c r="J35" s="53"/>
      <c r="K35" s="53"/>
      <c r="L35" s="53"/>
      <c r="M35" s="53"/>
      <c r="N35" s="53"/>
      <c r="O35" s="53"/>
      <c r="P35" s="53"/>
      <c r="Q35" s="55"/>
      <c r="R35" s="53"/>
      <c r="S35" s="53"/>
    </row>
    <row r="36" spans="1:19" ht="13.5" customHeight="1">
      <c r="A36" s="53"/>
      <c r="B36" s="53"/>
      <c r="C36" s="53"/>
      <c r="D36" s="53"/>
      <c r="E36" s="53"/>
      <c r="F36" s="53"/>
      <c r="G36" s="54"/>
      <c r="H36" s="53"/>
      <c r="I36" s="53"/>
      <c r="J36" s="53"/>
      <c r="K36" s="53"/>
      <c r="L36" s="53"/>
      <c r="M36" s="53"/>
      <c r="N36" s="53"/>
      <c r="O36" s="53"/>
      <c r="P36" s="53"/>
      <c r="Q36" s="55"/>
      <c r="R36" s="53"/>
      <c r="S36" s="53"/>
    </row>
    <row r="37" spans="1:19" ht="13.5" customHeight="1">
      <c r="A37" s="53"/>
      <c r="B37" s="53"/>
      <c r="C37" s="53"/>
      <c r="D37" s="53"/>
      <c r="E37" s="53"/>
      <c r="F37" s="53"/>
      <c r="G37" s="54"/>
      <c r="H37" s="53"/>
      <c r="I37" s="53"/>
      <c r="J37" s="53"/>
      <c r="K37" s="53"/>
      <c r="L37" s="53"/>
      <c r="M37" s="53"/>
      <c r="N37" s="53"/>
      <c r="O37" s="53"/>
      <c r="P37" s="53"/>
      <c r="Q37" s="55"/>
      <c r="R37" s="53"/>
      <c r="S37" s="53"/>
    </row>
    <row r="38" spans="1:19" ht="13.5" customHeight="1">
      <c r="A38" s="53"/>
      <c r="B38" s="53"/>
      <c r="C38" s="53"/>
      <c r="D38" s="53"/>
      <c r="E38" s="53"/>
      <c r="F38" s="53"/>
      <c r="G38" s="54"/>
      <c r="H38" s="53"/>
      <c r="I38" s="53"/>
      <c r="J38" s="53"/>
      <c r="K38" s="53"/>
      <c r="L38" s="53"/>
      <c r="M38" s="53"/>
      <c r="N38" s="53"/>
      <c r="O38" s="53"/>
      <c r="P38" s="53"/>
      <c r="Q38" s="55"/>
      <c r="R38" s="53"/>
      <c r="S38" s="53"/>
    </row>
    <row r="39" spans="1:19" ht="13.5" customHeight="1">
      <c r="A39" s="53"/>
      <c r="B39" s="53"/>
      <c r="C39" s="53"/>
      <c r="D39" s="53"/>
      <c r="E39" s="53"/>
      <c r="F39" s="53"/>
      <c r="G39" s="54"/>
      <c r="H39" s="53"/>
      <c r="I39" s="53"/>
      <c r="J39" s="53"/>
      <c r="K39" s="53"/>
      <c r="L39" s="53"/>
      <c r="M39" s="53"/>
      <c r="N39" s="53"/>
      <c r="O39" s="53"/>
      <c r="P39" s="53"/>
      <c r="Q39" s="55"/>
      <c r="R39" s="53"/>
      <c r="S39" s="53"/>
    </row>
    <row r="40" spans="1:19" ht="13.5" customHeight="1">
      <c r="A40" s="53"/>
      <c r="B40" s="53"/>
      <c r="C40" s="53"/>
      <c r="D40" s="53"/>
      <c r="E40" s="53"/>
      <c r="F40" s="53"/>
      <c r="G40" s="54"/>
      <c r="H40" s="53"/>
      <c r="I40" s="53"/>
      <c r="J40" s="53"/>
      <c r="K40" s="53"/>
      <c r="L40" s="53"/>
      <c r="M40" s="53"/>
      <c r="N40" s="53"/>
      <c r="O40" s="53"/>
      <c r="P40" s="53"/>
      <c r="Q40" s="55"/>
      <c r="R40" s="53"/>
      <c r="S40" s="53"/>
    </row>
    <row r="41" spans="1:19" ht="13.5" customHeight="1">
      <c r="A41" s="53"/>
      <c r="B41" s="53"/>
      <c r="C41" s="53"/>
      <c r="D41" s="53"/>
      <c r="E41" s="53"/>
      <c r="F41" s="53"/>
      <c r="G41" s="54"/>
      <c r="H41" s="53"/>
      <c r="I41" s="53"/>
      <c r="J41" s="53"/>
      <c r="K41" s="53"/>
      <c r="L41" s="53"/>
      <c r="M41" s="53"/>
      <c r="N41" s="53"/>
      <c r="O41" s="53"/>
      <c r="P41" s="53"/>
      <c r="Q41" s="55"/>
      <c r="R41" s="53"/>
      <c r="S41" s="53"/>
    </row>
    <row r="42" spans="1:19" ht="13.5" customHeight="1">
      <c r="A42" s="53"/>
      <c r="B42" s="53"/>
      <c r="C42" s="53"/>
      <c r="D42" s="53"/>
      <c r="E42" s="53"/>
      <c r="F42" s="53"/>
      <c r="G42" s="54"/>
      <c r="H42" s="53"/>
      <c r="I42" s="53"/>
      <c r="J42" s="53"/>
      <c r="K42" s="53"/>
      <c r="L42" s="53"/>
      <c r="M42" s="53"/>
      <c r="N42" s="53"/>
      <c r="O42" s="53"/>
      <c r="P42" s="53"/>
      <c r="Q42" s="55"/>
      <c r="R42" s="53"/>
      <c r="S42" s="53"/>
    </row>
    <row r="43" spans="1:19" ht="13.5" customHeight="1">
      <c r="A43" s="53"/>
      <c r="B43" s="53"/>
      <c r="C43" s="53"/>
      <c r="D43" s="53"/>
      <c r="E43" s="53"/>
      <c r="F43" s="53"/>
      <c r="G43" s="54"/>
      <c r="H43" s="53"/>
      <c r="I43" s="53"/>
      <c r="J43" s="53"/>
      <c r="K43" s="53"/>
      <c r="L43" s="53"/>
      <c r="M43" s="53"/>
      <c r="N43" s="53"/>
      <c r="O43" s="53"/>
      <c r="P43" s="53"/>
      <c r="Q43" s="55"/>
      <c r="R43" s="53"/>
      <c r="S43" s="53"/>
    </row>
    <row r="44" spans="1:19" ht="13.5" customHeight="1">
      <c r="A44" s="53"/>
      <c r="B44" s="53"/>
      <c r="C44" s="53"/>
      <c r="D44" s="53"/>
      <c r="E44" s="53"/>
      <c r="F44" s="53"/>
      <c r="G44" s="54"/>
      <c r="H44" s="53"/>
      <c r="I44" s="53"/>
      <c r="J44" s="53"/>
      <c r="K44" s="53"/>
      <c r="L44" s="53"/>
      <c r="M44" s="53"/>
      <c r="N44" s="53"/>
      <c r="O44" s="53"/>
      <c r="P44" s="53"/>
      <c r="Q44" s="55"/>
      <c r="R44" s="53"/>
      <c r="S44" s="53"/>
    </row>
    <row r="45" spans="1:19" ht="13.5" customHeight="1">
      <c r="A45" s="53"/>
      <c r="B45" s="53"/>
      <c r="C45" s="53"/>
      <c r="D45" s="53"/>
      <c r="E45" s="53"/>
      <c r="F45" s="53"/>
      <c r="G45" s="54"/>
      <c r="H45" s="53"/>
      <c r="I45" s="53"/>
      <c r="J45" s="53"/>
      <c r="K45" s="53"/>
      <c r="L45" s="53"/>
      <c r="M45" s="53"/>
      <c r="N45" s="53"/>
      <c r="O45" s="53"/>
      <c r="P45" s="53"/>
      <c r="Q45" s="55"/>
      <c r="R45" s="53"/>
      <c r="S45" s="53"/>
    </row>
    <row r="46" spans="1:19" ht="13.5" customHeight="1">
      <c r="A46" s="53"/>
      <c r="B46" s="53"/>
      <c r="C46" s="53"/>
      <c r="D46" s="53"/>
      <c r="E46" s="53"/>
      <c r="F46" s="53"/>
      <c r="G46" s="54"/>
      <c r="H46" s="53"/>
      <c r="I46" s="53"/>
      <c r="J46" s="53"/>
      <c r="K46" s="53"/>
      <c r="L46" s="53"/>
      <c r="M46" s="53"/>
      <c r="N46" s="53"/>
      <c r="O46" s="53"/>
      <c r="P46" s="53"/>
      <c r="Q46" s="55"/>
      <c r="R46" s="53"/>
      <c r="S46" s="53"/>
    </row>
    <row r="47" spans="1:19" ht="13.5" customHeight="1">
      <c r="A47" s="53"/>
      <c r="B47" s="53"/>
      <c r="C47" s="53"/>
      <c r="D47" s="53"/>
      <c r="E47" s="53"/>
      <c r="F47" s="53"/>
      <c r="G47" s="54"/>
      <c r="H47" s="53"/>
      <c r="I47" s="53"/>
      <c r="J47" s="53"/>
      <c r="K47" s="53"/>
      <c r="L47" s="53"/>
      <c r="M47" s="53"/>
      <c r="N47" s="53"/>
      <c r="O47" s="53"/>
      <c r="P47" s="53"/>
      <c r="Q47" s="55"/>
      <c r="R47" s="53"/>
      <c r="S47" s="53"/>
    </row>
    <row r="48" spans="1:19" ht="13.5" customHeight="1">
      <c r="A48" s="53"/>
      <c r="B48" s="53"/>
      <c r="C48" s="53"/>
      <c r="D48" s="53"/>
      <c r="E48" s="53"/>
      <c r="F48" s="53"/>
      <c r="G48" s="54"/>
      <c r="H48" s="53"/>
      <c r="I48" s="53"/>
      <c r="J48" s="53"/>
      <c r="K48" s="53"/>
      <c r="L48" s="53"/>
      <c r="M48" s="53"/>
      <c r="N48" s="53"/>
      <c r="O48" s="53"/>
      <c r="P48" s="53"/>
      <c r="Q48" s="55"/>
      <c r="R48" s="53"/>
      <c r="S48" s="53"/>
    </row>
    <row r="49" spans="1:19" ht="13.5" customHeight="1">
      <c r="A49" s="53"/>
      <c r="B49" s="53"/>
      <c r="C49" s="53"/>
      <c r="D49" s="53"/>
      <c r="E49" s="53"/>
      <c r="F49" s="53"/>
      <c r="G49" s="54"/>
      <c r="H49" s="53"/>
      <c r="I49" s="53"/>
      <c r="J49" s="53"/>
      <c r="K49" s="53"/>
      <c r="L49" s="53"/>
      <c r="M49" s="53"/>
      <c r="N49" s="53"/>
      <c r="O49" s="53"/>
      <c r="P49" s="53"/>
      <c r="Q49" s="55"/>
      <c r="R49" s="53"/>
      <c r="S49" s="53"/>
    </row>
    <row r="50" spans="1:19" ht="13.5" customHeight="1">
      <c r="A50" s="53"/>
      <c r="B50" s="53"/>
      <c r="C50" s="53"/>
      <c r="D50" s="53"/>
      <c r="E50" s="53"/>
      <c r="F50" s="53"/>
      <c r="G50" s="54"/>
      <c r="H50" s="53"/>
      <c r="I50" s="53"/>
      <c r="J50" s="53"/>
      <c r="K50" s="53"/>
      <c r="L50" s="53"/>
      <c r="M50" s="53"/>
      <c r="N50" s="53"/>
      <c r="O50" s="53"/>
      <c r="P50" s="53"/>
      <c r="Q50" s="55"/>
      <c r="R50" s="53"/>
      <c r="S50" s="53"/>
    </row>
    <row r="51" spans="1:19" ht="13.5" customHeight="1">
      <c r="A51" s="53"/>
      <c r="B51" s="53"/>
      <c r="C51" s="53"/>
      <c r="D51" s="53"/>
      <c r="E51" s="53"/>
      <c r="F51" s="53"/>
      <c r="G51" s="54"/>
      <c r="H51" s="53"/>
      <c r="I51" s="53"/>
      <c r="J51" s="53"/>
      <c r="K51" s="53"/>
      <c r="L51" s="53"/>
      <c r="M51" s="53"/>
      <c r="N51" s="53"/>
      <c r="O51" s="53"/>
      <c r="P51" s="53"/>
      <c r="Q51" s="55"/>
      <c r="R51" s="53"/>
      <c r="S51" s="53"/>
    </row>
    <row r="52" spans="1:19" ht="13.5" customHeight="1">
      <c r="A52" s="53"/>
      <c r="B52" s="53"/>
      <c r="C52" s="53"/>
      <c r="D52" s="53"/>
      <c r="E52" s="53"/>
      <c r="F52" s="53"/>
      <c r="G52" s="54"/>
      <c r="H52" s="53"/>
      <c r="I52" s="53"/>
      <c r="J52" s="53"/>
      <c r="K52" s="53"/>
      <c r="L52" s="53"/>
      <c r="M52" s="53"/>
      <c r="N52" s="53"/>
      <c r="O52" s="53"/>
      <c r="P52" s="53"/>
      <c r="Q52" s="55"/>
      <c r="R52" s="53"/>
      <c r="S52" s="53"/>
    </row>
    <row r="53" spans="1:19" ht="13.5" customHeight="1">
      <c r="A53" s="53"/>
      <c r="B53" s="53"/>
      <c r="C53" s="53"/>
      <c r="D53" s="53"/>
      <c r="E53" s="53"/>
      <c r="F53" s="53"/>
      <c r="G53" s="54"/>
      <c r="H53" s="53"/>
      <c r="I53" s="53"/>
      <c r="J53" s="53"/>
      <c r="K53" s="53"/>
      <c r="L53" s="53"/>
      <c r="M53" s="53"/>
      <c r="N53" s="53"/>
      <c r="O53" s="53"/>
      <c r="P53" s="53"/>
      <c r="Q53" s="55"/>
      <c r="R53" s="53"/>
      <c r="S53" s="53"/>
    </row>
    <row r="54" spans="1:19" ht="13.5" customHeight="1">
      <c r="A54" s="53"/>
      <c r="B54" s="53"/>
      <c r="C54" s="53"/>
      <c r="D54" s="53"/>
      <c r="E54" s="53"/>
      <c r="F54" s="53"/>
      <c r="G54" s="54"/>
      <c r="H54" s="53"/>
      <c r="I54" s="53"/>
      <c r="J54" s="53"/>
      <c r="K54" s="53"/>
      <c r="L54" s="53"/>
      <c r="M54" s="53"/>
      <c r="N54" s="53"/>
      <c r="O54" s="53"/>
      <c r="P54" s="53"/>
      <c r="Q54" s="55"/>
      <c r="R54" s="53"/>
      <c r="S54" s="53"/>
    </row>
    <row r="55" spans="1:19" ht="13.5" customHeight="1">
      <c r="A55" s="53"/>
      <c r="B55" s="53"/>
      <c r="C55" s="53"/>
      <c r="D55" s="53"/>
      <c r="E55" s="53"/>
      <c r="F55" s="53"/>
      <c r="G55" s="54"/>
      <c r="H55" s="53"/>
      <c r="I55" s="53"/>
      <c r="J55" s="53"/>
      <c r="K55" s="53"/>
      <c r="L55" s="53"/>
      <c r="M55" s="53"/>
      <c r="N55" s="53"/>
      <c r="O55" s="53"/>
      <c r="P55" s="53"/>
      <c r="Q55" s="55"/>
      <c r="R55" s="53"/>
      <c r="S55" s="53"/>
    </row>
    <row r="56" spans="1:19" ht="13.5" customHeight="1">
      <c r="A56" s="53"/>
      <c r="B56" s="53"/>
      <c r="C56" s="53"/>
      <c r="D56" s="53"/>
      <c r="E56" s="53"/>
      <c r="F56" s="53"/>
      <c r="G56" s="54"/>
      <c r="H56" s="53"/>
      <c r="I56" s="53"/>
      <c r="J56" s="53"/>
      <c r="K56" s="53"/>
      <c r="L56" s="53"/>
      <c r="M56" s="53"/>
      <c r="N56" s="53"/>
      <c r="O56" s="53"/>
      <c r="P56" s="53"/>
      <c r="Q56" s="55"/>
      <c r="R56" s="53"/>
      <c r="S56" s="53"/>
    </row>
    <row r="57" spans="1:19" ht="13.5" customHeight="1">
      <c r="A57" s="53"/>
      <c r="B57" s="53"/>
      <c r="C57" s="53"/>
      <c r="D57" s="53"/>
      <c r="E57" s="53"/>
      <c r="F57" s="53"/>
      <c r="G57" s="54"/>
      <c r="H57" s="53"/>
      <c r="I57" s="53"/>
      <c r="J57" s="53"/>
      <c r="K57" s="53"/>
      <c r="L57" s="53"/>
      <c r="M57" s="53"/>
      <c r="N57" s="53"/>
      <c r="O57" s="53"/>
      <c r="P57" s="53"/>
      <c r="Q57" s="55"/>
      <c r="R57" s="53"/>
      <c r="S57" s="53"/>
    </row>
    <row r="58" spans="1:19" ht="13.5" customHeight="1">
      <c r="A58" s="53"/>
      <c r="B58" s="53"/>
      <c r="C58" s="53"/>
      <c r="D58" s="53"/>
      <c r="E58" s="53"/>
      <c r="F58" s="53"/>
      <c r="G58" s="54"/>
      <c r="H58" s="53"/>
      <c r="I58" s="53"/>
      <c r="J58" s="53"/>
      <c r="K58" s="53"/>
      <c r="L58" s="53"/>
      <c r="M58" s="53"/>
      <c r="N58" s="53"/>
      <c r="O58" s="53"/>
      <c r="P58" s="53"/>
      <c r="Q58" s="55"/>
      <c r="R58" s="53"/>
      <c r="S58" s="53"/>
    </row>
    <row r="59" spans="1:19" ht="13.5" customHeight="1">
      <c r="A59" s="53"/>
      <c r="B59" s="53"/>
      <c r="C59" s="53"/>
      <c r="D59" s="53"/>
      <c r="E59" s="53"/>
      <c r="F59" s="53"/>
      <c r="G59" s="54"/>
      <c r="H59" s="53"/>
      <c r="I59" s="53"/>
      <c r="J59" s="53"/>
      <c r="K59" s="53"/>
      <c r="L59" s="53"/>
      <c r="M59" s="53"/>
      <c r="N59" s="53"/>
      <c r="O59" s="53"/>
      <c r="P59" s="53"/>
      <c r="Q59" s="55"/>
      <c r="R59" s="53"/>
      <c r="S59" s="53"/>
    </row>
    <row r="60" spans="1:19" ht="13.5" customHeight="1">
      <c r="A60" s="53"/>
      <c r="B60" s="53"/>
      <c r="C60" s="53"/>
      <c r="D60" s="53"/>
      <c r="E60" s="53"/>
      <c r="F60" s="53"/>
      <c r="G60" s="54"/>
      <c r="H60" s="53"/>
      <c r="I60" s="53"/>
      <c r="J60" s="53"/>
      <c r="K60" s="53"/>
      <c r="L60" s="53"/>
      <c r="M60" s="53"/>
      <c r="N60" s="53"/>
      <c r="O60" s="53"/>
      <c r="P60" s="53"/>
      <c r="Q60" s="55"/>
      <c r="R60" s="53"/>
      <c r="S60" s="53"/>
    </row>
    <row r="61" spans="1:19" ht="13.5" customHeight="1">
      <c r="A61" s="53"/>
      <c r="B61" s="53"/>
      <c r="C61" s="53"/>
      <c r="D61" s="53"/>
      <c r="E61" s="53"/>
      <c r="F61" s="53"/>
      <c r="G61" s="54"/>
      <c r="H61" s="53"/>
      <c r="I61" s="53"/>
      <c r="J61" s="53"/>
      <c r="K61" s="53"/>
      <c r="L61" s="53"/>
      <c r="M61" s="53"/>
      <c r="N61" s="53"/>
      <c r="O61" s="53"/>
      <c r="P61" s="53"/>
      <c r="Q61" s="55"/>
      <c r="R61" s="53"/>
      <c r="S61" s="53"/>
    </row>
    <row r="62" spans="1:19" ht="13.5" customHeight="1">
      <c r="A62" s="53"/>
      <c r="B62" s="53"/>
      <c r="C62" s="53"/>
      <c r="D62" s="53"/>
      <c r="E62" s="53"/>
      <c r="F62" s="53"/>
      <c r="G62" s="54"/>
      <c r="H62" s="53"/>
      <c r="I62" s="53"/>
      <c r="J62" s="53"/>
      <c r="K62" s="53"/>
      <c r="L62" s="53"/>
      <c r="M62" s="53"/>
      <c r="N62" s="53"/>
      <c r="O62" s="53"/>
      <c r="P62" s="53"/>
      <c r="Q62" s="55"/>
      <c r="R62" s="53"/>
      <c r="S62" s="53"/>
    </row>
    <row r="63" spans="1:19" ht="13.5" customHeight="1">
      <c r="A63" s="53"/>
      <c r="B63" s="53"/>
      <c r="C63" s="53"/>
      <c r="D63" s="53"/>
      <c r="E63" s="53"/>
      <c r="F63" s="53"/>
      <c r="G63" s="54"/>
      <c r="H63" s="53"/>
      <c r="I63" s="53"/>
      <c r="J63" s="53"/>
      <c r="K63" s="53"/>
      <c r="L63" s="53"/>
      <c r="M63" s="53"/>
      <c r="N63" s="53"/>
      <c r="O63" s="53"/>
      <c r="P63" s="53"/>
      <c r="Q63" s="55"/>
      <c r="R63" s="53"/>
      <c r="S63" s="53"/>
    </row>
    <row r="64" spans="1:19" ht="13.5" customHeight="1">
      <c r="A64" s="53"/>
      <c r="B64" s="53"/>
      <c r="C64" s="53"/>
      <c r="D64" s="53"/>
      <c r="E64" s="53"/>
      <c r="F64" s="53"/>
      <c r="G64" s="54"/>
      <c r="H64" s="53"/>
      <c r="I64" s="53"/>
      <c r="J64" s="53"/>
      <c r="K64" s="53"/>
      <c r="L64" s="53"/>
      <c r="M64" s="53"/>
      <c r="N64" s="53"/>
      <c r="O64" s="53"/>
      <c r="P64" s="53"/>
      <c r="Q64" s="55"/>
      <c r="R64" s="53"/>
      <c r="S64" s="53"/>
    </row>
    <row r="65" spans="1:19" ht="13.5" customHeight="1">
      <c r="A65" s="53"/>
      <c r="B65" s="53"/>
      <c r="C65" s="53"/>
      <c r="D65" s="53"/>
      <c r="E65" s="53"/>
      <c r="F65" s="53"/>
      <c r="G65" s="54"/>
      <c r="H65" s="53"/>
      <c r="I65" s="53"/>
      <c r="J65" s="53"/>
      <c r="K65" s="53"/>
      <c r="L65" s="53"/>
      <c r="M65" s="53"/>
      <c r="N65" s="53"/>
      <c r="O65" s="53"/>
      <c r="P65" s="53"/>
      <c r="Q65" s="55"/>
      <c r="R65" s="53"/>
      <c r="S65" s="53"/>
    </row>
    <row r="66" spans="1:19" ht="13.5" customHeight="1">
      <c r="A66" s="53"/>
      <c r="B66" s="53"/>
      <c r="C66" s="53"/>
      <c r="D66" s="53"/>
      <c r="E66" s="53"/>
      <c r="F66" s="53"/>
      <c r="G66" s="54"/>
      <c r="H66" s="53"/>
      <c r="I66" s="53"/>
      <c r="J66" s="53"/>
      <c r="K66" s="53"/>
      <c r="L66" s="53"/>
      <c r="M66" s="53"/>
      <c r="N66" s="53"/>
      <c r="O66" s="53"/>
      <c r="P66" s="53"/>
      <c r="Q66" s="55"/>
      <c r="R66" s="53"/>
      <c r="S66" s="53"/>
    </row>
    <row r="67" spans="1:19" ht="13.5" customHeight="1">
      <c r="A67" s="53"/>
      <c r="B67" s="53"/>
      <c r="C67" s="53"/>
      <c r="D67" s="53"/>
      <c r="E67" s="53"/>
      <c r="F67" s="53"/>
      <c r="G67" s="54"/>
      <c r="H67" s="53"/>
      <c r="I67" s="53"/>
      <c r="J67" s="53"/>
      <c r="K67" s="53"/>
      <c r="L67" s="53"/>
      <c r="M67" s="53"/>
      <c r="N67" s="53"/>
      <c r="O67" s="53"/>
      <c r="P67" s="53"/>
      <c r="Q67" s="55"/>
      <c r="R67" s="53"/>
      <c r="S67" s="53"/>
    </row>
    <row r="68" spans="1:19" ht="13.5" customHeight="1">
      <c r="A68" s="53"/>
      <c r="B68" s="53"/>
      <c r="C68" s="53"/>
      <c r="D68" s="53"/>
      <c r="E68" s="53"/>
      <c r="F68" s="53"/>
      <c r="G68" s="54"/>
      <c r="H68" s="53"/>
      <c r="I68" s="53"/>
      <c r="J68" s="53"/>
      <c r="K68" s="53"/>
      <c r="L68" s="53"/>
      <c r="M68" s="53"/>
      <c r="N68" s="53"/>
      <c r="O68" s="53"/>
      <c r="P68" s="53"/>
      <c r="Q68" s="55"/>
      <c r="R68" s="53"/>
      <c r="S68" s="53"/>
    </row>
    <row r="69" spans="1:19" ht="13.5" customHeight="1">
      <c r="A69" s="53"/>
      <c r="B69" s="53"/>
      <c r="C69" s="53"/>
      <c r="D69" s="53"/>
      <c r="E69" s="53"/>
      <c r="F69" s="53"/>
      <c r="G69" s="54"/>
      <c r="H69" s="53"/>
      <c r="I69" s="53"/>
      <c r="J69" s="53"/>
      <c r="K69" s="53"/>
      <c r="L69" s="53"/>
      <c r="M69" s="53"/>
      <c r="N69" s="53"/>
      <c r="O69" s="53"/>
      <c r="P69" s="53"/>
      <c r="Q69" s="55"/>
      <c r="R69" s="53"/>
      <c r="S69" s="53"/>
    </row>
    <row r="70" spans="1:19" ht="13.5" customHeight="1">
      <c r="A70" s="53"/>
      <c r="B70" s="53"/>
      <c r="C70" s="53"/>
      <c r="D70" s="53"/>
      <c r="E70" s="53"/>
      <c r="F70" s="53"/>
      <c r="G70" s="54"/>
      <c r="H70" s="53"/>
      <c r="I70" s="53"/>
      <c r="J70" s="53"/>
      <c r="K70" s="53"/>
      <c r="L70" s="53"/>
      <c r="M70" s="53"/>
      <c r="N70" s="53"/>
      <c r="O70" s="53"/>
      <c r="P70" s="53"/>
      <c r="Q70" s="55"/>
      <c r="R70" s="53"/>
      <c r="S70" s="53"/>
    </row>
    <row r="71" spans="1:19" ht="13.5" customHeight="1">
      <c r="A71" s="53"/>
      <c r="B71" s="53"/>
      <c r="C71" s="53"/>
      <c r="D71" s="53"/>
      <c r="E71" s="53"/>
      <c r="F71" s="53"/>
      <c r="G71" s="54"/>
      <c r="H71" s="53"/>
      <c r="I71" s="53"/>
      <c r="J71" s="53"/>
      <c r="K71" s="53"/>
      <c r="L71" s="53"/>
      <c r="M71" s="53"/>
      <c r="N71" s="53"/>
      <c r="O71" s="53"/>
      <c r="P71" s="53"/>
      <c r="Q71" s="55"/>
      <c r="R71" s="53"/>
      <c r="S71" s="53"/>
    </row>
    <row r="72" spans="1:19" ht="13.5" customHeight="1">
      <c r="A72" s="53"/>
      <c r="B72" s="53"/>
      <c r="C72" s="53"/>
      <c r="D72" s="53"/>
      <c r="E72" s="53"/>
      <c r="F72" s="53"/>
      <c r="G72" s="54"/>
      <c r="H72" s="53"/>
      <c r="I72" s="53"/>
      <c r="J72" s="53"/>
      <c r="K72" s="53"/>
      <c r="L72" s="53"/>
      <c r="M72" s="53"/>
      <c r="N72" s="53"/>
      <c r="O72" s="53"/>
      <c r="P72" s="53"/>
      <c r="Q72" s="55"/>
      <c r="R72" s="53"/>
      <c r="S72" s="53"/>
    </row>
    <row r="73" spans="1:19" ht="13.5" customHeight="1">
      <c r="A73" s="53"/>
      <c r="B73" s="53"/>
      <c r="C73" s="53"/>
      <c r="D73" s="53"/>
      <c r="E73" s="53"/>
      <c r="F73" s="53"/>
      <c r="G73" s="54"/>
      <c r="H73" s="53"/>
      <c r="I73" s="53"/>
      <c r="J73" s="53"/>
      <c r="K73" s="53"/>
      <c r="L73" s="53"/>
      <c r="M73" s="53"/>
      <c r="N73" s="53"/>
      <c r="O73" s="53"/>
      <c r="P73" s="53"/>
      <c r="Q73" s="55"/>
      <c r="R73" s="53"/>
      <c r="S73" s="53"/>
    </row>
    <row r="74" spans="1:19" ht="13.5" customHeight="1">
      <c r="A74" s="53"/>
      <c r="B74" s="53"/>
      <c r="C74" s="53"/>
      <c r="D74" s="53"/>
      <c r="E74" s="53"/>
      <c r="F74" s="53"/>
      <c r="G74" s="54"/>
      <c r="H74" s="53"/>
      <c r="I74" s="53"/>
      <c r="J74" s="53"/>
      <c r="K74" s="53"/>
      <c r="L74" s="53"/>
      <c r="M74" s="53"/>
      <c r="N74" s="53"/>
      <c r="O74" s="53"/>
      <c r="P74" s="53"/>
      <c r="Q74" s="55"/>
      <c r="R74" s="53"/>
      <c r="S74" s="53"/>
    </row>
    <row r="75" spans="1:19" ht="13.5" customHeight="1">
      <c r="A75" s="53"/>
      <c r="B75" s="53"/>
      <c r="C75" s="53"/>
      <c r="D75" s="53"/>
      <c r="E75" s="53"/>
      <c r="F75" s="53"/>
      <c r="G75" s="54"/>
      <c r="H75" s="53"/>
      <c r="I75" s="53"/>
      <c r="J75" s="53"/>
      <c r="K75" s="53"/>
      <c r="L75" s="53"/>
      <c r="M75" s="53"/>
      <c r="N75" s="53"/>
      <c r="O75" s="53"/>
      <c r="P75" s="53"/>
      <c r="Q75" s="55"/>
      <c r="R75" s="53"/>
      <c r="S75" s="53"/>
    </row>
    <row r="76" spans="1:19" ht="13.5" customHeight="1">
      <c r="A76" s="53"/>
      <c r="B76" s="53"/>
      <c r="C76" s="53"/>
      <c r="D76" s="53"/>
      <c r="E76" s="53"/>
      <c r="F76" s="53"/>
      <c r="G76" s="54"/>
      <c r="H76" s="53"/>
      <c r="I76" s="53"/>
      <c r="J76" s="53"/>
      <c r="K76" s="53"/>
      <c r="L76" s="53"/>
      <c r="M76" s="53"/>
      <c r="N76" s="53"/>
      <c r="O76" s="53"/>
      <c r="P76" s="53"/>
      <c r="Q76" s="55"/>
      <c r="R76" s="53"/>
      <c r="S76" s="53"/>
    </row>
    <row r="77" spans="1:19" ht="13.5" customHeight="1">
      <c r="A77" s="53"/>
      <c r="B77" s="53"/>
      <c r="C77" s="53"/>
      <c r="D77" s="53"/>
      <c r="E77" s="53"/>
      <c r="F77" s="53"/>
      <c r="G77" s="54"/>
      <c r="H77" s="53"/>
      <c r="I77" s="53"/>
      <c r="J77" s="53"/>
      <c r="K77" s="53"/>
      <c r="L77" s="53"/>
      <c r="M77" s="53"/>
      <c r="N77" s="53"/>
      <c r="O77" s="53"/>
      <c r="P77" s="53"/>
      <c r="Q77" s="55"/>
      <c r="R77" s="53"/>
      <c r="S77" s="53"/>
    </row>
    <row r="78" spans="1:19" ht="13.5" customHeight="1">
      <c r="A78" s="53"/>
      <c r="B78" s="53"/>
      <c r="C78" s="53"/>
      <c r="D78" s="53"/>
      <c r="E78" s="53"/>
      <c r="F78" s="53"/>
      <c r="G78" s="54"/>
      <c r="H78" s="53"/>
      <c r="I78" s="53"/>
      <c r="J78" s="53"/>
      <c r="K78" s="53"/>
      <c r="L78" s="53"/>
      <c r="M78" s="53"/>
      <c r="N78" s="53"/>
      <c r="O78" s="53"/>
      <c r="P78" s="53"/>
      <c r="Q78" s="55"/>
      <c r="R78" s="53"/>
      <c r="S78" s="53"/>
    </row>
    <row r="79" spans="1:19" ht="13.5" customHeight="1">
      <c r="A79" s="53"/>
      <c r="B79" s="53"/>
      <c r="C79" s="53"/>
      <c r="D79" s="53"/>
      <c r="E79" s="53"/>
      <c r="F79" s="53"/>
      <c r="G79" s="54"/>
      <c r="H79" s="53"/>
      <c r="I79" s="53"/>
      <c r="J79" s="53"/>
      <c r="K79" s="53"/>
      <c r="L79" s="53"/>
      <c r="M79" s="53"/>
      <c r="N79" s="53"/>
      <c r="O79" s="53"/>
      <c r="P79" s="53"/>
      <c r="Q79" s="55"/>
      <c r="R79" s="53"/>
      <c r="S79" s="53"/>
    </row>
    <row r="80" spans="1:19" ht="13.5" customHeight="1">
      <c r="A80" s="53"/>
      <c r="B80" s="53"/>
      <c r="C80" s="53"/>
      <c r="D80" s="53"/>
      <c r="E80" s="53"/>
      <c r="F80" s="53"/>
      <c r="G80" s="54"/>
      <c r="H80" s="53"/>
      <c r="I80" s="53"/>
      <c r="J80" s="53"/>
      <c r="K80" s="53"/>
      <c r="L80" s="53"/>
      <c r="M80" s="53"/>
      <c r="N80" s="53"/>
      <c r="O80" s="53"/>
      <c r="P80" s="53"/>
      <c r="Q80" s="55"/>
      <c r="R80" s="53"/>
      <c r="S80" s="53"/>
    </row>
    <row r="81" spans="1:19" ht="13.5" customHeight="1">
      <c r="A81" s="53"/>
      <c r="B81" s="53"/>
      <c r="C81" s="53"/>
      <c r="D81" s="53"/>
      <c r="E81" s="53"/>
      <c r="F81" s="53"/>
      <c r="G81" s="54"/>
      <c r="H81" s="53"/>
      <c r="I81" s="53"/>
      <c r="J81" s="53"/>
      <c r="K81" s="53"/>
      <c r="L81" s="53"/>
      <c r="M81" s="53"/>
      <c r="N81" s="53"/>
      <c r="O81" s="53"/>
      <c r="P81" s="53"/>
      <c r="Q81" s="55"/>
      <c r="R81" s="53"/>
      <c r="S81" s="53"/>
    </row>
    <row r="82" spans="1:19" ht="13.5" customHeight="1">
      <c r="A82" s="53"/>
      <c r="B82" s="53"/>
      <c r="C82" s="53"/>
      <c r="D82" s="53"/>
      <c r="E82" s="53"/>
      <c r="F82" s="53"/>
      <c r="G82" s="54"/>
      <c r="H82" s="53"/>
      <c r="I82" s="53"/>
      <c r="J82" s="53"/>
      <c r="K82" s="53"/>
      <c r="L82" s="53"/>
      <c r="M82" s="53"/>
      <c r="N82" s="53"/>
      <c r="O82" s="53"/>
      <c r="P82" s="53"/>
      <c r="Q82" s="55"/>
      <c r="R82" s="53"/>
      <c r="S82" s="53"/>
    </row>
    <row r="83" spans="1:19" ht="13.5" customHeight="1">
      <c r="A83" s="53"/>
      <c r="B83" s="53"/>
      <c r="C83" s="53"/>
      <c r="D83" s="53"/>
      <c r="E83" s="53"/>
      <c r="F83" s="53"/>
      <c r="G83" s="54"/>
      <c r="H83" s="53"/>
      <c r="I83" s="53"/>
      <c r="J83" s="53"/>
      <c r="K83" s="53"/>
      <c r="L83" s="53"/>
      <c r="M83" s="53"/>
      <c r="N83" s="53"/>
      <c r="O83" s="53"/>
      <c r="P83" s="53"/>
      <c r="Q83" s="55"/>
      <c r="R83" s="53"/>
      <c r="S83" s="53"/>
    </row>
    <row r="84" spans="1:19" ht="13.5" customHeight="1">
      <c r="A84" s="53"/>
      <c r="B84" s="53"/>
      <c r="C84" s="53"/>
      <c r="D84" s="53"/>
      <c r="E84" s="53"/>
      <c r="F84" s="53"/>
      <c r="G84" s="54"/>
      <c r="H84" s="53"/>
      <c r="I84" s="53"/>
      <c r="J84" s="53"/>
      <c r="K84" s="53"/>
      <c r="L84" s="53"/>
      <c r="M84" s="53"/>
      <c r="N84" s="53"/>
      <c r="O84" s="53"/>
      <c r="P84" s="53"/>
      <c r="Q84" s="55"/>
      <c r="R84" s="53"/>
      <c r="S84" s="53"/>
    </row>
    <row r="85" spans="1:19" ht="13.5" customHeight="1">
      <c r="A85" s="53"/>
      <c r="B85" s="53"/>
      <c r="C85" s="53"/>
      <c r="D85" s="53"/>
      <c r="E85" s="53"/>
      <c r="F85" s="53"/>
      <c r="G85" s="54"/>
      <c r="H85" s="53"/>
      <c r="I85" s="53"/>
      <c r="J85" s="53"/>
      <c r="K85" s="53"/>
      <c r="L85" s="53"/>
      <c r="M85" s="53"/>
      <c r="N85" s="53"/>
      <c r="O85" s="53"/>
      <c r="P85" s="53"/>
      <c r="Q85" s="55"/>
      <c r="R85" s="53"/>
      <c r="S85" s="53"/>
    </row>
    <row r="86" spans="1:19" ht="13.5" customHeight="1">
      <c r="A86" s="53"/>
      <c r="B86" s="53"/>
      <c r="C86" s="53"/>
      <c r="D86" s="53"/>
      <c r="E86" s="53"/>
      <c r="F86" s="53"/>
      <c r="G86" s="54"/>
      <c r="H86" s="53"/>
      <c r="I86" s="53"/>
      <c r="J86" s="53"/>
      <c r="K86" s="53"/>
      <c r="L86" s="53"/>
      <c r="M86" s="53"/>
      <c r="N86" s="53"/>
      <c r="O86" s="53"/>
      <c r="P86" s="53"/>
      <c r="Q86" s="55"/>
      <c r="R86" s="53"/>
      <c r="S86" s="53"/>
    </row>
    <row r="87" spans="1:19" ht="13.5" customHeight="1">
      <c r="A87" s="53"/>
      <c r="B87" s="53"/>
      <c r="C87" s="53"/>
      <c r="D87" s="53"/>
      <c r="E87" s="53"/>
      <c r="F87" s="53"/>
      <c r="G87" s="54"/>
      <c r="H87" s="53"/>
      <c r="I87" s="53"/>
      <c r="J87" s="53"/>
      <c r="K87" s="53"/>
      <c r="L87" s="53"/>
      <c r="M87" s="53"/>
      <c r="N87" s="53"/>
      <c r="O87" s="53"/>
      <c r="P87" s="53"/>
      <c r="Q87" s="55"/>
      <c r="R87" s="53"/>
      <c r="S87" s="53"/>
    </row>
    <row r="88" spans="1:19" ht="13.5" customHeight="1">
      <c r="A88" s="53"/>
      <c r="B88" s="53"/>
      <c r="C88" s="53"/>
      <c r="D88" s="53"/>
      <c r="E88" s="53"/>
      <c r="F88" s="53"/>
      <c r="G88" s="54"/>
      <c r="H88" s="53"/>
      <c r="I88" s="53"/>
      <c r="J88" s="53"/>
      <c r="K88" s="53"/>
      <c r="L88" s="53"/>
      <c r="M88" s="53"/>
      <c r="N88" s="53"/>
      <c r="O88" s="53"/>
      <c r="P88" s="53"/>
      <c r="Q88" s="55"/>
      <c r="R88" s="53"/>
      <c r="S88" s="53"/>
    </row>
    <row r="89" spans="1:19" ht="13.5" customHeight="1">
      <c r="A89" s="53"/>
      <c r="B89" s="53"/>
      <c r="C89" s="53"/>
      <c r="D89" s="53"/>
      <c r="E89" s="53"/>
      <c r="F89" s="53"/>
      <c r="G89" s="54"/>
      <c r="H89" s="53"/>
      <c r="I89" s="53"/>
      <c r="J89" s="53"/>
      <c r="K89" s="53"/>
      <c r="L89" s="53"/>
      <c r="M89" s="53"/>
      <c r="N89" s="53"/>
      <c r="O89" s="53"/>
      <c r="P89" s="53"/>
      <c r="Q89" s="55"/>
      <c r="R89" s="53"/>
      <c r="S89" s="53"/>
    </row>
    <row r="90" spans="1:19" ht="13.5" customHeight="1">
      <c r="A90" s="53"/>
      <c r="B90" s="53"/>
      <c r="C90" s="53"/>
      <c r="D90" s="53"/>
      <c r="E90" s="53"/>
      <c r="F90" s="53"/>
      <c r="G90" s="54"/>
      <c r="H90" s="53"/>
      <c r="I90" s="53"/>
      <c r="J90" s="53"/>
      <c r="K90" s="53"/>
      <c r="L90" s="53"/>
      <c r="M90" s="53"/>
      <c r="N90" s="53"/>
      <c r="O90" s="53"/>
      <c r="P90" s="53"/>
      <c r="Q90" s="55"/>
      <c r="R90" s="53"/>
      <c r="S90" s="53"/>
    </row>
    <row r="91" spans="1:19" ht="13.5" customHeight="1">
      <c r="A91" s="53"/>
      <c r="B91" s="53"/>
      <c r="C91" s="53"/>
      <c r="D91" s="53"/>
      <c r="E91" s="53"/>
      <c r="F91" s="53"/>
      <c r="G91" s="54"/>
      <c r="H91" s="53"/>
      <c r="I91" s="53"/>
      <c r="J91" s="53"/>
      <c r="K91" s="53"/>
      <c r="L91" s="53"/>
      <c r="M91" s="53"/>
      <c r="N91" s="53"/>
      <c r="O91" s="53"/>
      <c r="P91" s="53"/>
      <c r="Q91" s="55"/>
      <c r="R91" s="53"/>
      <c r="S91" s="53"/>
    </row>
    <row r="92" spans="1:19" ht="13.5" customHeight="1">
      <c r="A92" s="53"/>
      <c r="B92" s="53"/>
      <c r="C92" s="53"/>
      <c r="D92" s="53"/>
      <c r="E92" s="53"/>
      <c r="F92" s="53"/>
      <c r="G92" s="54"/>
      <c r="H92" s="53"/>
      <c r="I92" s="53"/>
      <c r="J92" s="53"/>
      <c r="K92" s="53"/>
      <c r="L92" s="53"/>
      <c r="M92" s="53"/>
      <c r="N92" s="53"/>
      <c r="O92" s="53"/>
      <c r="P92" s="53"/>
      <c r="Q92" s="55"/>
      <c r="R92" s="53"/>
      <c r="S92" s="53"/>
    </row>
    <row r="93" spans="1:19" ht="13.5" customHeight="1">
      <c r="A93" s="53"/>
      <c r="B93" s="53"/>
      <c r="C93" s="53"/>
      <c r="D93" s="53"/>
      <c r="E93" s="53"/>
      <c r="F93" s="53"/>
      <c r="G93" s="54"/>
      <c r="H93" s="53"/>
      <c r="I93" s="53"/>
      <c r="J93" s="53"/>
      <c r="K93" s="53"/>
      <c r="L93" s="53"/>
      <c r="M93" s="53"/>
      <c r="N93" s="53"/>
      <c r="O93" s="53"/>
      <c r="P93" s="53"/>
      <c r="Q93" s="55"/>
      <c r="R93" s="53"/>
      <c r="S93" s="53"/>
    </row>
    <row r="94" spans="1:19" ht="13.5" customHeight="1">
      <c r="A94" s="53"/>
      <c r="B94" s="53"/>
      <c r="C94" s="53"/>
      <c r="D94" s="53"/>
      <c r="E94" s="53"/>
      <c r="F94" s="53"/>
      <c r="G94" s="54"/>
      <c r="H94" s="53"/>
      <c r="I94" s="53"/>
      <c r="J94" s="53"/>
      <c r="K94" s="53"/>
      <c r="L94" s="53"/>
      <c r="M94" s="53"/>
      <c r="N94" s="53"/>
      <c r="O94" s="53"/>
      <c r="P94" s="53"/>
      <c r="Q94" s="55"/>
      <c r="R94" s="53"/>
      <c r="S94" s="53"/>
    </row>
    <row r="95" spans="1:19" ht="13.5" customHeight="1">
      <c r="A95" s="53"/>
      <c r="B95" s="53"/>
      <c r="C95" s="53"/>
      <c r="D95" s="53"/>
      <c r="E95" s="53"/>
      <c r="F95" s="53"/>
      <c r="G95" s="54"/>
      <c r="H95" s="53"/>
      <c r="I95" s="53"/>
      <c r="J95" s="53"/>
      <c r="K95" s="53"/>
      <c r="L95" s="53"/>
      <c r="M95" s="53"/>
      <c r="N95" s="53"/>
      <c r="O95" s="53"/>
      <c r="P95" s="53"/>
      <c r="Q95" s="55"/>
      <c r="R95" s="53"/>
      <c r="S95" s="53"/>
    </row>
    <row r="96" spans="1:19" ht="13.5" customHeight="1">
      <c r="A96" s="53"/>
      <c r="B96" s="53"/>
      <c r="C96" s="53"/>
      <c r="D96" s="53"/>
      <c r="E96" s="53"/>
      <c r="F96" s="53"/>
      <c r="G96" s="54"/>
      <c r="H96" s="53"/>
      <c r="I96" s="53"/>
      <c r="J96" s="53"/>
      <c r="K96" s="53"/>
      <c r="L96" s="53"/>
      <c r="M96" s="53"/>
      <c r="N96" s="53"/>
      <c r="O96" s="53"/>
      <c r="P96" s="53"/>
      <c r="Q96" s="55"/>
      <c r="R96" s="53"/>
      <c r="S96" s="53"/>
    </row>
    <row r="97" spans="1:19" ht="13.5" customHeight="1">
      <c r="A97" s="53"/>
      <c r="B97" s="53"/>
      <c r="C97" s="53"/>
      <c r="D97" s="53"/>
      <c r="E97" s="53"/>
      <c r="F97" s="53"/>
      <c r="G97" s="54"/>
      <c r="H97" s="53"/>
      <c r="I97" s="53"/>
      <c r="J97" s="53"/>
      <c r="K97" s="53"/>
      <c r="L97" s="53"/>
      <c r="M97" s="53"/>
      <c r="N97" s="53"/>
      <c r="O97" s="53"/>
      <c r="P97" s="53"/>
      <c r="Q97" s="55"/>
      <c r="R97" s="53"/>
      <c r="S97" s="53"/>
    </row>
    <row r="98" spans="1:19" ht="13.5" customHeight="1">
      <c r="A98" s="53"/>
      <c r="B98" s="53"/>
      <c r="C98" s="53"/>
      <c r="D98" s="53"/>
      <c r="E98" s="53"/>
      <c r="F98" s="53"/>
      <c r="G98" s="54"/>
      <c r="H98" s="53"/>
      <c r="I98" s="53"/>
      <c r="J98" s="53"/>
      <c r="K98" s="53"/>
      <c r="L98" s="53"/>
      <c r="M98" s="53"/>
      <c r="N98" s="53"/>
      <c r="O98" s="53"/>
      <c r="P98" s="53"/>
      <c r="Q98" s="55"/>
      <c r="R98" s="53"/>
      <c r="S98" s="53"/>
    </row>
    <row r="99" spans="1:19" ht="13.5" customHeight="1">
      <c r="A99" s="53"/>
      <c r="B99" s="53"/>
      <c r="C99" s="53"/>
      <c r="D99" s="53"/>
      <c r="E99" s="53"/>
      <c r="F99" s="53"/>
      <c r="G99" s="54"/>
      <c r="H99" s="53"/>
      <c r="I99" s="53"/>
      <c r="J99" s="53"/>
      <c r="K99" s="53"/>
      <c r="L99" s="53"/>
      <c r="M99" s="53"/>
      <c r="N99" s="53"/>
      <c r="O99" s="53"/>
      <c r="P99" s="53"/>
      <c r="Q99" s="55"/>
      <c r="R99" s="53"/>
      <c r="S99" s="53"/>
    </row>
    <row r="100" spans="1:19" ht="13.5" customHeight="1">
      <c r="A100" s="53"/>
      <c r="B100" s="53"/>
      <c r="C100" s="53"/>
      <c r="D100" s="53"/>
      <c r="E100" s="53"/>
      <c r="F100" s="53"/>
      <c r="G100" s="54"/>
      <c r="H100" s="53"/>
      <c r="I100" s="53"/>
      <c r="J100" s="53"/>
      <c r="K100" s="53"/>
      <c r="L100" s="53"/>
      <c r="M100" s="53"/>
      <c r="N100" s="53"/>
      <c r="O100" s="53"/>
      <c r="P100" s="53"/>
      <c r="Q100" s="55"/>
      <c r="R100" s="53"/>
      <c r="S100" s="53"/>
    </row>
  </sheetData>
  <mergeCells count="26">
    <mergeCell ref="A1:C1"/>
    <mergeCell ref="D1:E1"/>
    <mergeCell ref="A4:F4"/>
    <mergeCell ref="A21:Q22"/>
    <mergeCell ref="O16:P16"/>
    <mergeCell ref="O17:P17"/>
    <mergeCell ref="A18:P18"/>
    <mergeCell ref="A19:Q19"/>
    <mergeCell ref="G20:Q20"/>
    <mergeCell ref="A20:F20"/>
    <mergeCell ref="O15:P15"/>
    <mergeCell ref="O13:P14"/>
    <mergeCell ref="Q13:Q14"/>
    <mergeCell ref="P1:Q2"/>
    <mergeCell ref="G5:Q5"/>
    <mergeCell ref="G4:Q4"/>
    <mergeCell ref="A12:Q12"/>
    <mergeCell ref="A13:N13"/>
    <mergeCell ref="A6:F6"/>
    <mergeCell ref="A7:F7"/>
    <mergeCell ref="A5:F5"/>
    <mergeCell ref="G6:Q6"/>
    <mergeCell ref="G7:Q7"/>
    <mergeCell ref="A8:Q8"/>
    <mergeCell ref="A9:N9"/>
    <mergeCell ref="A10:Q10"/>
  </mergeCells>
  <printOptions horizontalCentered="1"/>
  <pageMargins left="0.39374999999999999" right="0.39374999999999999" top="0.98402777777777795" bottom="0.98402777777777795" header="0" footer="0"/>
  <pageSetup paperSize="9" scale="9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showGridLines="0" workbookViewId="0"/>
  </sheetViews>
  <sheetFormatPr baseColWidth="10" defaultColWidth="14.42578125" defaultRowHeight="15" customHeight="1"/>
  <cols>
    <col min="1" max="1" width="73.85546875" customWidth="1"/>
    <col min="2" max="6" width="11.42578125" customWidth="1"/>
    <col min="7" max="11" width="10.7109375" customWidth="1"/>
  </cols>
  <sheetData>
    <row r="1" spans="1:1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>
      <c r="A3" s="96" t="s">
        <v>123</v>
      </c>
      <c r="B3" s="69"/>
      <c r="C3" s="69"/>
      <c r="D3" s="69"/>
      <c r="E3" s="69"/>
      <c r="F3" s="69"/>
      <c r="G3" s="69"/>
      <c r="H3" s="69"/>
      <c r="I3" s="69"/>
      <c r="J3" s="69"/>
      <c r="K3" s="69"/>
    </row>
    <row r="4" spans="1:11">
      <c r="A4" s="70" t="s">
        <v>124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1">
      <c r="A5" s="70" t="s">
        <v>125</v>
      </c>
      <c r="B5" s="69"/>
      <c r="C5" s="69"/>
      <c r="D5" s="69"/>
      <c r="E5" s="69"/>
      <c r="F5" s="69"/>
      <c r="G5" s="69"/>
      <c r="H5" s="69"/>
      <c r="I5" s="69"/>
      <c r="J5" s="69"/>
      <c r="K5" s="69"/>
    </row>
    <row r="6" spans="1:11">
      <c r="A6" s="70" t="s">
        <v>126</v>
      </c>
      <c r="B6" s="69"/>
      <c r="C6" s="69"/>
      <c r="D6" s="69"/>
      <c r="E6" s="69"/>
      <c r="F6" s="69"/>
      <c r="G6" s="69"/>
      <c r="H6" s="69"/>
      <c r="I6" s="69"/>
      <c r="J6" s="69"/>
      <c r="K6" s="69"/>
    </row>
    <row r="7" spans="1:11">
      <c r="A7" s="70" t="s">
        <v>127</v>
      </c>
      <c r="B7" s="69"/>
      <c r="C7" s="69"/>
      <c r="D7" s="69"/>
      <c r="E7" s="69"/>
      <c r="F7" s="69"/>
      <c r="G7" s="69"/>
      <c r="H7" s="69"/>
      <c r="I7" s="69"/>
      <c r="J7" s="69"/>
      <c r="K7" s="69"/>
    </row>
    <row r="8" spans="1:11">
      <c r="A8" s="70" t="s">
        <v>128</v>
      </c>
      <c r="B8" s="69"/>
      <c r="C8" s="69"/>
      <c r="D8" s="69"/>
      <c r="E8" s="69"/>
      <c r="F8" s="69"/>
      <c r="G8" s="69"/>
      <c r="H8" s="69"/>
      <c r="I8" s="69"/>
      <c r="J8" s="69"/>
      <c r="K8" s="69"/>
    </row>
    <row r="9" spans="1:11">
      <c r="A9" s="70" t="s">
        <v>129</v>
      </c>
      <c r="B9" s="69"/>
      <c r="C9" s="69"/>
      <c r="D9" s="69"/>
      <c r="E9" s="69"/>
      <c r="F9" s="69"/>
      <c r="G9" s="69"/>
      <c r="H9" s="69"/>
      <c r="I9" s="69"/>
      <c r="J9" s="69"/>
      <c r="K9" s="69"/>
    </row>
    <row r="10" spans="1:11">
      <c r="A10" s="70" t="s">
        <v>130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</row>
    <row r="11" spans="1:11">
      <c r="A11" s="70" t="s">
        <v>131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</row>
    <row r="12" spans="1:11">
      <c r="A12" s="70" t="s">
        <v>132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</row>
    <row r="13" spans="1:11">
      <c r="A13" s="70" t="s">
        <v>124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</row>
    <row r="14" spans="1:11">
      <c r="A14" s="70" t="s">
        <v>130</v>
      </c>
      <c r="B14" s="69"/>
      <c r="C14" s="69"/>
      <c r="D14" s="69"/>
      <c r="E14" s="69"/>
      <c r="F14" s="69"/>
      <c r="G14" s="69"/>
      <c r="H14" s="69"/>
      <c r="I14" s="69"/>
      <c r="J14" s="69"/>
      <c r="K14" s="69"/>
    </row>
    <row r="15" spans="1:11">
      <c r="A15" s="70" t="s">
        <v>133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>
      <c r="A16" s="70" t="s">
        <v>134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</row>
    <row r="17" spans="1:11">
      <c r="A17" s="70" t="s">
        <v>135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</row>
    <row r="18" spans="1:11">
      <c r="A18" s="70" t="s">
        <v>126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</row>
    <row r="19" spans="1:11">
      <c r="A19" s="70" t="s">
        <v>130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</row>
    <row r="20" spans="1:11">
      <c r="A20" s="70" t="s">
        <v>136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</row>
    <row r="21" spans="1:11" ht="15.75" customHeight="1">
      <c r="A21" s="70" t="s">
        <v>137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</row>
    <row r="22" spans="1:11" ht="15.75" customHeight="1">
      <c r="A22" s="70" t="s">
        <v>138</v>
      </c>
      <c r="B22" s="69"/>
      <c r="C22" s="69"/>
      <c r="D22" s="69"/>
      <c r="E22" s="69"/>
      <c r="F22" s="69"/>
      <c r="G22" s="69"/>
      <c r="H22" s="69"/>
      <c r="I22" s="69"/>
      <c r="J22" s="69"/>
      <c r="K22" s="69"/>
    </row>
    <row r="23" spans="1:11" ht="15.75" customHeight="1">
      <c r="A23" s="70" t="s">
        <v>126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</row>
    <row r="24" spans="1:11" ht="15.75" customHeight="1">
      <c r="A24" s="70" t="s">
        <v>130</v>
      </c>
      <c r="B24" s="69"/>
      <c r="C24" s="69"/>
      <c r="D24" s="69"/>
      <c r="E24" s="69"/>
      <c r="F24" s="69"/>
      <c r="G24" s="69"/>
      <c r="H24" s="69"/>
      <c r="I24" s="69"/>
      <c r="J24" s="69"/>
      <c r="K24" s="69"/>
    </row>
    <row r="25" spans="1:11" ht="15.75" customHeight="1">
      <c r="A25" s="70" t="s">
        <v>136</v>
      </c>
      <c r="B25" s="69"/>
      <c r="C25" s="69"/>
      <c r="D25" s="69"/>
      <c r="E25" s="69"/>
      <c r="F25" s="69"/>
      <c r="G25" s="69"/>
      <c r="H25" s="69"/>
      <c r="I25" s="69"/>
      <c r="J25" s="69"/>
      <c r="K25" s="69"/>
    </row>
    <row r="26" spans="1:11" ht="15.75" customHeight="1">
      <c r="A26" s="70" t="s">
        <v>139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</row>
    <row r="27" spans="1:11" ht="15.75" customHeight="1">
      <c r="A27" s="70" t="s">
        <v>135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</row>
    <row r="28" spans="1:11" ht="15.75" customHeight="1">
      <c r="A28" s="70" t="s">
        <v>140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</row>
    <row r="29" spans="1:11" ht="15.75" customHeight="1">
      <c r="A29" s="70" t="s">
        <v>141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</row>
    <row r="30" spans="1:11" ht="15.75" customHeight="1">
      <c r="A30" s="70" t="s">
        <v>142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</row>
    <row r="31" spans="1:11" ht="15.75" customHeight="1">
      <c r="A31" s="70" t="s">
        <v>143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</row>
    <row r="32" spans="1:11" ht="15.75" customHeight="1">
      <c r="A32" s="70" t="s">
        <v>131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</row>
    <row r="33" spans="1:11" ht="15.75" customHeight="1">
      <c r="A33" s="70" t="s">
        <v>144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</row>
    <row r="34" spans="1:11" ht="15.75" customHeight="1">
      <c r="A34" s="70" t="s">
        <v>145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</row>
    <row r="35" spans="1:11" ht="15.75" customHeight="1">
      <c r="A35" s="70" t="s">
        <v>143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</row>
    <row r="36" spans="1:11" ht="15.75" customHeight="1">
      <c r="A36" s="70" t="s">
        <v>130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</row>
    <row r="37" spans="1:11" ht="15.75" customHeight="1">
      <c r="A37" s="70" t="s">
        <v>146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</row>
    <row r="38" spans="1:11" ht="15.75" customHeight="1">
      <c r="A38" s="70" t="s">
        <v>147</v>
      </c>
      <c r="B38" s="69"/>
      <c r="C38" s="69"/>
      <c r="D38" s="69"/>
      <c r="E38" s="69"/>
      <c r="F38" s="69"/>
      <c r="G38" s="69"/>
      <c r="H38" s="69"/>
      <c r="I38" s="69"/>
      <c r="J38" s="69"/>
      <c r="K38" s="69"/>
    </row>
    <row r="39" spans="1:11" ht="15.75" customHeight="1">
      <c r="A39" s="70" t="s">
        <v>148</v>
      </c>
      <c r="B39" s="69"/>
      <c r="C39" s="69"/>
      <c r="D39" s="69"/>
      <c r="E39" s="69"/>
      <c r="F39" s="69"/>
      <c r="G39" s="69"/>
      <c r="H39" s="69"/>
      <c r="I39" s="69"/>
      <c r="J39" s="69"/>
      <c r="K39" s="69"/>
    </row>
    <row r="40" spans="1:11" ht="15.75" customHeight="1">
      <c r="A40" s="70" t="s">
        <v>145</v>
      </c>
      <c r="B40" s="69"/>
      <c r="C40" s="69"/>
      <c r="D40" s="69"/>
      <c r="E40" s="69"/>
      <c r="F40" s="69"/>
      <c r="G40" s="69"/>
      <c r="H40" s="69"/>
      <c r="I40" s="69"/>
      <c r="J40" s="69"/>
      <c r="K40" s="69"/>
    </row>
    <row r="41" spans="1:11" ht="15.75" customHeight="1">
      <c r="A41" s="70" t="s">
        <v>149</v>
      </c>
      <c r="B41" s="69"/>
      <c r="C41" s="69"/>
      <c r="D41" s="69"/>
      <c r="E41" s="69"/>
      <c r="F41" s="69"/>
      <c r="G41" s="69"/>
      <c r="H41" s="69"/>
      <c r="I41" s="69"/>
      <c r="J41" s="69"/>
      <c r="K41" s="69"/>
    </row>
    <row r="42" spans="1:11" ht="15.75" customHeight="1">
      <c r="A42" s="70" t="s">
        <v>150</v>
      </c>
      <c r="B42" s="69"/>
      <c r="C42" s="69"/>
      <c r="D42" s="69"/>
      <c r="E42" s="69"/>
      <c r="F42" s="69"/>
      <c r="G42" s="69"/>
      <c r="H42" s="69"/>
      <c r="I42" s="69"/>
      <c r="J42" s="69"/>
      <c r="K42" s="69"/>
    </row>
    <row r="43" spans="1:11" ht="15.75" customHeight="1">
      <c r="A43" s="70" t="s">
        <v>151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</row>
    <row r="44" spans="1:11" ht="15.75" customHeight="1">
      <c r="A44" s="70" t="s">
        <v>130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</row>
    <row r="45" spans="1:11" ht="15.75" customHeight="1">
      <c r="A45" s="70" t="s">
        <v>152</v>
      </c>
      <c r="B45" s="69"/>
      <c r="C45" s="69"/>
      <c r="D45" s="69"/>
      <c r="E45" s="69"/>
      <c r="F45" s="69"/>
      <c r="G45" s="69"/>
      <c r="H45" s="69"/>
      <c r="I45" s="69"/>
      <c r="J45" s="69"/>
      <c r="K45" s="69"/>
    </row>
    <row r="46" spans="1:11" ht="15.75" customHeight="1">
      <c r="A46" s="70" t="s">
        <v>149</v>
      </c>
      <c r="B46" s="69"/>
      <c r="C46" s="69"/>
      <c r="D46" s="69"/>
      <c r="E46" s="69"/>
      <c r="F46" s="69"/>
      <c r="G46" s="69"/>
      <c r="H46" s="69"/>
      <c r="I46" s="69"/>
      <c r="J46" s="69"/>
      <c r="K46" s="69"/>
    </row>
    <row r="47" spans="1:11" ht="15.75" customHeight="1">
      <c r="A47" s="70" t="s">
        <v>128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</row>
    <row r="48" spans="1:11" ht="15.75" customHeight="1">
      <c r="A48" s="70" t="s">
        <v>153</v>
      </c>
      <c r="B48" s="69"/>
      <c r="C48" s="69"/>
      <c r="D48" s="69"/>
      <c r="E48" s="69"/>
      <c r="F48" s="69"/>
      <c r="G48" s="69"/>
      <c r="H48" s="69"/>
      <c r="I48" s="69"/>
      <c r="J48" s="69"/>
      <c r="K48" s="69"/>
    </row>
    <row r="49" spans="1:11" ht="15.75" customHeight="1">
      <c r="A49" s="70" t="s">
        <v>132</v>
      </c>
      <c r="B49" s="69"/>
      <c r="C49" s="69"/>
      <c r="D49" s="69"/>
      <c r="E49" s="69"/>
      <c r="F49" s="69"/>
      <c r="G49" s="69"/>
      <c r="H49" s="69"/>
      <c r="I49" s="69"/>
      <c r="J49" s="69"/>
      <c r="K49" s="69"/>
    </row>
    <row r="50" spans="1:11" ht="15.75" customHeight="1">
      <c r="A50" s="95" t="s">
        <v>150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1:11" ht="15.75" customHeight="1">
      <c r="A51" s="70">
        <v>21</v>
      </c>
      <c r="B51" s="69"/>
      <c r="C51" s="69"/>
      <c r="D51" s="69"/>
      <c r="E51" s="69"/>
      <c r="F51" s="69"/>
      <c r="G51" s="69"/>
      <c r="H51" s="69"/>
      <c r="I51" s="69"/>
      <c r="J51" s="69"/>
      <c r="K51" s="69"/>
    </row>
    <row r="52" spans="1:11" ht="15.75" customHeight="1">
      <c r="A52" s="70" t="s">
        <v>128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</row>
    <row r="53" spans="1:11" ht="15.75" customHeight="1">
      <c r="A53" s="70" t="s">
        <v>154</v>
      </c>
      <c r="B53" s="69"/>
      <c r="C53" s="69"/>
      <c r="D53" s="69"/>
      <c r="E53" s="69"/>
      <c r="F53" s="69"/>
      <c r="G53" s="69"/>
      <c r="H53" s="69"/>
      <c r="I53" s="69"/>
      <c r="J53" s="69"/>
      <c r="K53" s="69"/>
    </row>
    <row r="54" spans="1:11" ht="15.75" customHeight="1">
      <c r="A54" s="70" t="s">
        <v>155</v>
      </c>
      <c r="B54" s="69"/>
      <c r="C54" s="69"/>
      <c r="D54" s="69"/>
      <c r="E54" s="69"/>
      <c r="F54" s="69"/>
      <c r="G54" s="69"/>
      <c r="H54" s="69"/>
      <c r="I54" s="69"/>
      <c r="J54" s="69"/>
      <c r="K54" s="69"/>
    </row>
    <row r="55" spans="1:11" ht="15.75" customHeight="1">
      <c r="A55" s="70" t="s">
        <v>130</v>
      </c>
      <c r="B55" s="69"/>
      <c r="C55" s="69"/>
      <c r="D55" s="69"/>
      <c r="E55" s="69"/>
      <c r="F55" s="69"/>
      <c r="G55" s="69"/>
      <c r="H55" s="69"/>
      <c r="I55" s="69"/>
      <c r="J55" s="69"/>
      <c r="K55" s="69"/>
    </row>
    <row r="56" spans="1:11" ht="15.75" customHeight="1">
      <c r="A56" s="70" t="s">
        <v>156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</row>
    <row r="57" spans="1:11" ht="15.75" customHeight="1">
      <c r="A57" s="70" t="s">
        <v>157</v>
      </c>
      <c r="B57" s="69"/>
      <c r="C57" s="69"/>
      <c r="D57" s="69"/>
      <c r="E57" s="69"/>
      <c r="F57" s="69"/>
      <c r="G57" s="69"/>
      <c r="H57" s="69"/>
      <c r="I57" s="69"/>
      <c r="J57" s="69"/>
      <c r="K57" s="69"/>
    </row>
    <row r="58" spans="1:11" ht="15.75" customHeight="1">
      <c r="A58" s="70" t="s">
        <v>143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</row>
    <row r="59" spans="1:11" ht="15.75" customHeight="1">
      <c r="A59" s="70" t="s">
        <v>130</v>
      </c>
      <c r="B59" s="69"/>
      <c r="C59" s="69"/>
      <c r="D59" s="69"/>
      <c r="E59" s="69"/>
      <c r="F59" s="69"/>
      <c r="G59" s="69"/>
      <c r="H59" s="69"/>
      <c r="I59" s="69"/>
      <c r="J59" s="69"/>
      <c r="K59" s="69"/>
    </row>
    <row r="60" spans="1:11" ht="15.75" customHeight="1">
      <c r="A60" s="70" t="s">
        <v>128</v>
      </c>
      <c r="B60" s="69"/>
      <c r="C60" s="69"/>
      <c r="D60" s="69"/>
      <c r="E60" s="69"/>
      <c r="F60" s="69"/>
      <c r="G60" s="69"/>
      <c r="H60" s="69"/>
      <c r="I60" s="69"/>
      <c r="J60" s="69"/>
      <c r="K60" s="69"/>
    </row>
    <row r="61" spans="1:11" ht="15.75" customHeight="1">
      <c r="A61" s="70" t="s">
        <v>154</v>
      </c>
      <c r="B61" s="69"/>
      <c r="C61" s="69"/>
      <c r="D61" s="69"/>
      <c r="E61" s="69"/>
      <c r="F61" s="69"/>
      <c r="G61" s="69"/>
      <c r="H61" s="69"/>
      <c r="I61" s="69"/>
      <c r="J61" s="69"/>
      <c r="K61" s="69"/>
    </row>
    <row r="62" spans="1:11" ht="15.75" customHeight="1">
      <c r="A62" s="70" t="s">
        <v>130</v>
      </c>
      <c r="B62" s="69"/>
      <c r="C62" s="69"/>
      <c r="D62" s="69"/>
      <c r="E62" s="69"/>
      <c r="F62" s="69"/>
      <c r="G62" s="69"/>
      <c r="H62" s="69"/>
      <c r="I62" s="69"/>
      <c r="J62" s="69"/>
      <c r="K62" s="69"/>
    </row>
    <row r="63" spans="1:11" ht="15.75" customHeight="1">
      <c r="A63" s="70" t="s">
        <v>158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</row>
    <row r="64" spans="1:11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</row>
    <row r="65" spans="1:11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</row>
    <row r="66" spans="1:11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</row>
    <row r="67" spans="1:11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</row>
    <row r="68" spans="1:11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</row>
    <row r="69" spans="1:11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</row>
    <row r="70" spans="1:11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</row>
    <row r="71" spans="1:1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</row>
    <row r="72" spans="1:11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</row>
    <row r="73" spans="1:11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</row>
    <row r="74" spans="1:11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</row>
    <row r="75" spans="1:11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</row>
    <row r="76" spans="1:11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</row>
    <row r="77" spans="1:11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</row>
    <row r="78" spans="1:11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</row>
    <row r="79" spans="1:11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</row>
    <row r="80" spans="1:11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</row>
    <row r="81" spans="1:1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</row>
    <row r="82" spans="1:11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</row>
    <row r="83" spans="1:11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</row>
    <row r="84" spans="1:11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</row>
    <row r="85" spans="1:11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</row>
    <row r="86" spans="1:11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</row>
    <row r="87" spans="1:11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</row>
    <row r="88" spans="1:11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</row>
    <row r="89" spans="1:11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</row>
    <row r="90" spans="1:11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</row>
    <row r="91" spans="1:1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</row>
    <row r="92" spans="1:11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</row>
    <row r="93" spans="1:11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</row>
    <row r="94" spans="1:11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</row>
    <row r="95" spans="1:11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</row>
    <row r="96" spans="1:11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</row>
    <row r="97" spans="1:11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</row>
    <row r="98" spans="1:11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</row>
    <row r="99" spans="1:11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</row>
    <row r="100" spans="1:11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showGridLines="0" topLeftCell="F2" workbookViewId="0">
      <selection activeCell="H11" sqref="H11"/>
    </sheetView>
  </sheetViews>
  <sheetFormatPr baseColWidth="10" defaultColWidth="14.42578125" defaultRowHeight="15" customHeight="1"/>
  <cols>
    <col min="1" max="1" width="4" customWidth="1"/>
    <col min="2" max="2" width="6.7109375" customWidth="1"/>
    <col min="3" max="3" width="35" customWidth="1"/>
    <col min="4" max="4" width="12.5703125" customWidth="1"/>
    <col min="5" max="6" width="24.28515625" customWidth="1"/>
    <col min="7" max="7" width="65.28515625" customWidth="1"/>
    <col min="8" max="8" width="32.7109375" customWidth="1"/>
    <col min="9" max="9" width="34.140625" customWidth="1"/>
    <col min="10" max="11" width="10.7109375" customWidth="1"/>
  </cols>
  <sheetData>
    <row r="1" spans="1:1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</row>
    <row r="2" spans="1:1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11" ht="19.5">
      <c r="A3" s="69"/>
      <c r="B3" s="69"/>
      <c r="C3" s="71" t="s">
        <v>159</v>
      </c>
      <c r="D3" s="69"/>
      <c r="E3" s="72" t="s">
        <v>160</v>
      </c>
      <c r="F3" s="73"/>
      <c r="G3" s="74" t="s">
        <v>161</v>
      </c>
      <c r="H3" s="75" t="s">
        <v>162</v>
      </c>
      <c r="I3" s="76" t="s">
        <v>163</v>
      </c>
      <c r="J3" s="69"/>
      <c r="K3" s="69"/>
    </row>
    <row r="4" spans="1:11">
      <c r="A4" s="69"/>
      <c r="B4" s="69"/>
      <c r="C4" s="77" t="s">
        <v>164</v>
      </c>
      <c r="D4" s="69"/>
      <c r="E4" s="78" t="s">
        <v>132</v>
      </c>
      <c r="F4" s="79"/>
      <c r="G4" s="80" t="s">
        <v>165</v>
      </c>
      <c r="H4" s="81" t="s">
        <v>166</v>
      </c>
      <c r="I4" s="82" t="s">
        <v>167</v>
      </c>
      <c r="J4" s="69"/>
      <c r="K4" s="69"/>
    </row>
    <row r="5" spans="1:11">
      <c r="A5" s="69"/>
      <c r="B5" s="69"/>
      <c r="C5" s="77" t="s">
        <v>132</v>
      </c>
      <c r="D5" s="69"/>
      <c r="E5" s="78" t="s">
        <v>168</v>
      </c>
      <c r="F5" s="79"/>
      <c r="G5" s="83" t="s">
        <v>165</v>
      </c>
      <c r="H5" s="84" t="s">
        <v>169</v>
      </c>
      <c r="I5" s="85" t="s">
        <v>170</v>
      </c>
      <c r="J5" s="69"/>
      <c r="K5" s="69"/>
    </row>
    <row r="6" spans="1:11">
      <c r="A6" s="69"/>
      <c r="B6" s="69"/>
      <c r="C6" s="77" t="s">
        <v>171</v>
      </c>
      <c r="D6" s="69"/>
      <c r="E6" s="78" t="s">
        <v>172</v>
      </c>
      <c r="F6" s="79"/>
      <c r="G6" s="83" t="s">
        <v>165</v>
      </c>
      <c r="H6" s="84" t="s">
        <v>173</v>
      </c>
      <c r="I6" s="85" t="s">
        <v>174</v>
      </c>
      <c r="J6" s="69"/>
      <c r="K6" s="69"/>
    </row>
    <row r="7" spans="1:11">
      <c r="A7" s="69"/>
      <c r="B7" s="69"/>
      <c r="C7" s="77" t="s">
        <v>168</v>
      </c>
      <c r="D7" s="69"/>
      <c r="E7" s="78" t="s">
        <v>167</v>
      </c>
      <c r="F7" s="79"/>
      <c r="G7" s="86"/>
      <c r="H7" s="84"/>
      <c r="I7" s="85"/>
      <c r="J7" s="69"/>
      <c r="K7" s="69"/>
    </row>
    <row r="8" spans="1:11">
      <c r="A8" s="69"/>
      <c r="B8" s="69"/>
      <c r="C8" s="77" t="s">
        <v>175</v>
      </c>
      <c r="D8" s="69"/>
      <c r="E8" s="78" t="s">
        <v>170</v>
      </c>
      <c r="F8" s="79"/>
      <c r="G8" s="83" t="s">
        <v>176</v>
      </c>
      <c r="H8" s="84" t="s">
        <v>177</v>
      </c>
      <c r="I8" s="85" t="s">
        <v>178</v>
      </c>
      <c r="J8" s="69"/>
      <c r="K8" s="69"/>
    </row>
    <row r="9" spans="1:11">
      <c r="A9" s="69"/>
      <c r="B9" s="69"/>
      <c r="C9" s="77" t="s">
        <v>172</v>
      </c>
      <c r="D9" s="69"/>
      <c r="E9" s="78" t="s">
        <v>179</v>
      </c>
      <c r="F9" s="79"/>
      <c r="G9" s="86"/>
      <c r="H9" s="84"/>
      <c r="I9" s="85"/>
      <c r="J9" s="69"/>
      <c r="K9" s="69"/>
    </row>
    <row r="10" spans="1:11">
      <c r="A10" s="69"/>
      <c r="B10" s="69"/>
      <c r="C10" s="77" t="s">
        <v>166</v>
      </c>
      <c r="D10" s="69"/>
      <c r="E10" s="78" t="s">
        <v>180</v>
      </c>
      <c r="F10" s="79"/>
      <c r="G10" s="83" t="s">
        <v>181</v>
      </c>
      <c r="H10" s="97" t="s">
        <v>171</v>
      </c>
      <c r="I10" s="100" t="s">
        <v>238</v>
      </c>
      <c r="J10" s="69"/>
      <c r="K10" s="69"/>
    </row>
    <row r="11" spans="1:11">
      <c r="A11" s="69"/>
      <c r="B11" s="69"/>
      <c r="C11" s="77" t="s">
        <v>167</v>
      </c>
      <c r="D11" s="69"/>
      <c r="E11" s="78" t="s">
        <v>180</v>
      </c>
      <c r="F11" s="79"/>
      <c r="G11" s="83" t="s">
        <v>181</v>
      </c>
      <c r="H11" s="84" t="s">
        <v>182</v>
      </c>
      <c r="I11" s="85" t="s">
        <v>183</v>
      </c>
      <c r="J11" s="69"/>
      <c r="K11" s="69"/>
    </row>
    <row r="12" spans="1:11">
      <c r="A12" s="69"/>
      <c r="B12" s="69"/>
      <c r="C12" s="77" t="s">
        <v>169</v>
      </c>
      <c r="D12" s="69"/>
      <c r="E12" s="78" t="s">
        <v>184</v>
      </c>
      <c r="F12" s="79"/>
      <c r="G12" s="86"/>
      <c r="H12" s="84"/>
      <c r="I12" s="85"/>
      <c r="J12" s="69"/>
      <c r="K12" s="69"/>
    </row>
    <row r="13" spans="1:11">
      <c r="A13" s="69"/>
      <c r="B13" s="69"/>
      <c r="C13" s="77" t="s">
        <v>170</v>
      </c>
      <c r="D13" s="69"/>
      <c r="E13" s="78" t="s">
        <v>183</v>
      </c>
      <c r="F13" s="79"/>
      <c r="G13" s="83" t="s">
        <v>185</v>
      </c>
      <c r="H13" s="84" t="s">
        <v>186</v>
      </c>
      <c r="I13" s="85" t="s">
        <v>179</v>
      </c>
      <c r="J13" s="69"/>
      <c r="K13" s="69"/>
    </row>
    <row r="14" spans="1:11">
      <c r="A14" s="69"/>
      <c r="B14" s="69"/>
      <c r="C14" s="77" t="s">
        <v>186</v>
      </c>
      <c r="D14" s="69"/>
      <c r="E14" s="78" t="s">
        <v>187</v>
      </c>
      <c r="F14" s="79"/>
      <c r="G14" s="86"/>
      <c r="H14" s="84"/>
      <c r="I14" s="85"/>
      <c r="J14" s="69"/>
      <c r="K14" s="69"/>
    </row>
    <row r="15" spans="1:11">
      <c r="A15" s="69"/>
      <c r="B15" s="69"/>
      <c r="C15" s="77" t="s">
        <v>179</v>
      </c>
      <c r="D15" s="69"/>
      <c r="E15" s="78" t="s">
        <v>188</v>
      </c>
      <c r="F15" s="79"/>
      <c r="G15" s="98" t="s">
        <v>189</v>
      </c>
      <c r="H15" s="97" t="s">
        <v>175</v>
      </c>
      <c r="I15" s="85" t="s">
        <v>172</v>
      </c>
      <c r="J15" s="69"/>
      <c r="K15" s="69"/>
    </row>
    <row r="16" spans="1:11">
      <c r="A16" s="69"/>
      <c r="B16" s="69"/>
      <c r="C16" s="77" t="s">
        <v>190</v>
      </c>
      <c r="D16" s="69"/>
      <c r="E16" s="78" t="s">
        <v>191</v>
      </c>
      <c r="F16" s="79"/>
      <c r="G16" s="83" t="s">
        <v>189</v>
      </c>
      <c r="H16" s="84" t="s">
        <v>173</v>
      </c>
      <c r="I16" s="85" t="s">
        <v>174</v>
      </c>
      <c r="J16" s="69"/>
      <c r="K16" s="69"/>
    </row>
    <row r="17" spans="1:11">
      <c r="A17" s="69"/>
      <c r="B17" s="69"/>
      <c r="C17" s="77" t="s">
        <v>180</v>
      </c>
      <c r="D17" s="69"/>
      <c r="E17" s="78" t="s">
        <v>192</v>
      </c>
      <c r="F17" s="79"/>
      <c r="G17" s="86"/>
      <c r="H17" s="69"/>
      <c r="I17" s="85"/>
      <c r="J17" s="69"/>
      <c r="K17" s="69"/>
    </row>
    <row r="18" spans="1:11">
      <c r="A18" s="69"/>
      <c r="B18" s="69"/>
      <c r="C18" s="77" t="s">
        <v>193</v>
      </c>
      <c r="D18" s="69"/>
      <c r="E18" s="78" t="s">
        <v>192</v>
      </c>
      <c r="F18" s="79"/>
      <c r="G18" s="83" t="s">
        <v>194</v>
      </c>
      <c r="H18" s="84" t="s">
        <v>195</v>
      </c>
      <c r="I18" s="85" t="s">
        <v>192</v>
      </c>
      <c r="J18" s="69"/>
      <c r="K18" s="69"/>
    </row>
    <row r="19" spans="1:11">
      <c r="A19" s="69"/>
      <c r="B19" s="69"/>
      <c r="C19" s="77" t="s">
        <v>180</v>
      </c>
      <c r="D19" s="69"/>
      <c r="E19" s="78" t="s">
        <v>178</v>
      </c>
      <c r="F19" s="79"/>
      <c r="G19" s="86"/>
      <c r="H19" s="84"/>
      <c r="I19" s="85"/>
      <c r="J19" s="69"/>
      <c r="K19" s="69"/>
    </row>
    <row r="20" spans="1:11">
      <c r="A20" s="69"/>
      <c r="B20" s="69"/>
      <c r="C20" s="77" t="s">
        <v>196</v>
      </c>
      <c r="D20" s="69"/>
      <c r="E20" s="78" t="s">
        <v>197</v>
      </c>
      <c r="F20" s="79"/>
      <c r="G20" s="83" t="s">
        <v>198</v>
      </c>
      <c r="H20" s="84" t="s">
        <v>164</v>
      </c>
      <c r="I20" s="85" t="s">
        <v>132</v>
      </c>
      <c r="J20" s="69"/>
      <c r="K20" s="69"/>
    </row>
    <row r="21" spans="1:11" ht="15.75" customHeight="1">
      <c r="A21" s="69"/>
      <c r="B21" s="69"/>
      <c r="C21" s="77" t="s">
        <v>184</v>
      </c>
      <c r="D21" s="69"/>
      <c r="E21" s="78" t="s">
        <v>174</v>
      </c>
      <c r="F21" s="79"/>
      <c r="G21" s="83" t="s">
        <v>198</v>
      </c>
      <c r="H21" s="84" t="s">
        <v>199</v>
      </c>
      <c r="I21" s="85" t="s">
        <v>187</v>
      </c>
      <c r="J21" s="69"/>
      <c r="K21" s="69"/>
    </row>
    <row r="22" spans="1:11" ht="15.75" customHeight="1">
      <c r="A22" s="69"/>
      <c r="B22" s="69"/>
      <c r="C22" s="77" t="s">
        <v>182</v>
      </c>
      <c r="D22" s="69"/>
      <c r="E22" s="69"/>
      <c r="F22" s="69"/>
      <c r="G22" s="83" t="s">
        <v>200</v>
      </c>
      <c r="H22" s="84" t="s">
        <v>201</v>
      </c>
      <c r="I22" s="85" t="s">
        <v>188</v>
      </c>
      <c r="J22" s="69"/>
      <c r="K22" s="69"/>
    </row>
    <row r="23" spans="1:11" ht="15.75" customHeight="1">
      <c r="A23" s="69"/>
      <c r="B23" s="69"/>
      <c r="C23" s="77" t="s">
        <v>183</v>
      </c>
      <c r="D23" s="69"/>
      <c r="E23" s="69"/>
      <c r="F23" s="69"/>
      <c r="G23" s="86"/>
      <c r="H23" s="84"/>
      <c r="I23" s="85"/>
      <c r="J23" s="69"/>
      <c r="K23" s="69"/>
    </row>
    <row r="24" spans="1:11" ht="15.75" customHeight="1">
      <c r="A24" s="69"/>
      <c r="B24" s="69"/>
      <c r="C24" s="77" t="s">
        <v>199</v>
      </c>
      <c r="D24" s="69"/>
      <c r="E24" s="69"/>
      <c r="F24" s="69"/>
      <c r="G24" s="83" t="s">
        <v>202</v>
      </c>
      <c r="H24" s="84" t="s">
        <v>190</v>
      </c>
      <c r="I24" s="85" t="s">
        <v>180</v>
      </c>
      <c r="J24" s="69"/>
      <c r="K24" s="69"/>
    </row>
    <row r="25" spans="1:11" ht="15.75" customHeight="1">
      <c r="A25" s="69"/>
      <c r="B25" s="69"/>
      <c r="C25" s="77" t="s">
        <v>187</v>
      </c>
      <c r="D25" s="69"/>
      <c r="E25" s="69"/>
      <c r="F25" s="69"/>
      <c r="G25" s="86"/>
      <c r="H25" s="84"/>
      <c r="I25" s="85"/>
      <c r="J25" s="69"/>
      <c r="K25" s="69"/>
    </row>
    <row r="26" spans="1:11" ht="15.75" customHeight="1">
      <c r="A26" s="69"/>
      <c r="B26" s="69"/>
      <c r="C26" s="77" t="s">
        <v>201</v>
      </c>
      <c r="D26" s="69"/>
      <c r="E26" s="69"/>
      <c r="F26" s="69"/>
      <c r="G26" s="83" t="s">
        <v>203</v>
      </c>
      <c r="H26" s="84" t="s">
        <v>193</v>
      </c>
      <c r="I26" s="85" t="s">
        <v>180</v>
      </c>
      <c r="J26" s="69"/>
      <c r="K26" s="69"/>
    </row>
    <row r="27" spans="1:11" ht="15.75" customHeight="1">
      <c r="A27" s="69"/>
      <c r="B27" s="69"/>
      <c r="C27" s="77" t="s">
        <v>188</v>
      </c>
      <c r="D27" s="69"/>
      <c r="E27" s="69"/>
      <c r="F27" s="69"/>
      <c r="G27" s="83" t="s">
        <v>203</v>
      </c>
      <c r="H27" s="84" t="s">
        <v>196</v>
      </c>
      <c r="I27" s="85" t="s">
        <v>184</v>
      </c>
      <c r="J27" s="69"/>
      <c r="K27" s="69"/>
    </row>
    <row r="28" spans="1:11" ht="15.75" customHeight="1">
      <c r="A28" s="69"/>
      <c r="B28" s="69"/>
      <c r="C28" s="77" t="s">
        <v>204</v>
      </c>
      <c r="D28" s="69"/>
      <c r="E28" s="69"/>
      <c r="F28" s="69"/>
      <c r="G28" s="83" t="s">
        <v>203</v>
      </c>
      <c r="H28" s="84" t="s">
        <v>205</v>
      </c>
      <c r="I28" s="85" t="s">
        <v>197</v>
      </c>
      <c r="J28" s="69"/>
      <c r="K28" s="69"/>
    </row>
    <row r="29" spans="1:11" ht="15.75" customHeight="1">
      <c r="A29" s="69"/>
      <c r="B29" s="69"/>
      <c r="C29" s="77" t="s">
        <v>191</v>
      </c>
      <c r="D29" s="69"/>
      <c r="E29" s="69"/>
      <c r="F29" s="69"/>
      <c r="G29" s="86"/>
      <c r="H29" s="84"/>
      <c r="I29" s="85"/>
      <c r="J29" s="69"/>
      <c r="K29" s="69"/>
    </row>
    <row r="30" spans="1:11" ht="15.75" customHeight="1">
      <c r="A30" s="69"/>
      <c r="B30" s="69"/>
      <c r="C30" s="77" t="s">
        <v>206</v>
      </c>
      <c r="D30" s="69"/>
      <c r="E30" s="69"/>
      <c r="F30" s="69"/>
      <c r="G30" s="83" t="s">
        <v>207</v>
      </c>
      <c r="H30" s="84" t="s">
        <v>204</v>
      </c>
      <c r="I30" s="85" t="s">
        <v>191</v>
      </c>
      <c r="J30" s="69"/>
      <c r="K30" s="69"/>
    </row>
    <row r="31" spans="1:11" ht="15.75" customHeight="1">
      <c r="A31" s="69"/>
      <c r="B31" s="69"/>
      <c r="C31" s="77" t="s">
        <v>192</v>
      </c>
      <c r="D31" s="69"/>
      <c r="E31" s="69"/>
      <c r="F31" s="69"/>
      <c r="G31" s="86"/>
      <c r="H31" s="84"/>
      <c r="I31" s="85"/>
      <c r="J31" s="69"/>
      <c r="K31" s="69"/>
    </row>
    <row r="32" spans="1:11" ht="15.75" customHeight="1">
      <c r="A32" s="69"/>
      <c r="B32" s="69"/>
      <c r="C32" s="77" t="s">
        <v>195</v>
      </c>
      <c r="D32" s="69"/>
      <c r="E32" s="69"/>
      <c r="F32" s="69"/>
      <c r="G32" s="83" t="s">
        <v>208</v>
      </c>
      <c r="H32" s="84" t="s">
        <v>201</v>
      </c>
      <c r="I32" s="85" t="s">
        <v>188</v>
      </c>
      <c r="J32" s="69"/>
      <c r="K32" s="69"/>
    </row>
    <row r="33" spans="1:11" ht="15.75" customHeight="1">
      <c r="A33" s="69"/>
      <c r="B33" s="69"/>
      <c r="C33" s="77" t="s">
        <v>192</v>
      </c>
      <c r="D33" s="69"/>
      <c r="E33" s="69"/>
      <c r="F33" s="69"/>
      <c r="G33" s="87" t="s">
        <v>209</v>
      </c>
      <c r="H33" s="88" t="s">
        <v>206</v>
      </c>
      <c r="I33" s="89" t="s">
        <v>192</v>
      </c>
      <c r="J33" s="69"/>
      <c r="K33" s="69"/>
    </row>
    <row r="34" spans="1:11" ht="15.75" customHeight="1">
      <c r="A34" s="69"/>
      <c r="B34" s="69"/>
      <c r="C34" s="77" t="s">
        <v>177</v>
      </c>
      <c r="D34" s="69"/>
      <c r="E34" s="69"/>
      <c r="F34" s="69"/>
      <c r="G34" s="69"/>
      <c r="H34" s="69"/>
      <c r="I34" s="69"/>
      <c r="J34" s="69"/>
      <c r="K34" s="69"/>
    </row>
    <row r="35" spans="1:11" ht="15.75" customHeight="1">
      <c r="A35" s="69"/>
      <c r="B35" s="69"/>
      <c r="C35" s="77" t="s">
        <v>178</v>
      </c>
      <c r="D35" s="69"/>
      <c r="E35" s="69"/>
      <c r="F35" s="69"/>
      <c r="G35" s="69"/>
      <c r="H35" s="69"/>
      <c r="I35" s="69"/>
      <c r="J35" s="69"/>
      <c r="K35" s="69"/>
    </row>
    <row r="36" spans="1:11" ht="15.75" customHeight="1">
      <c r="A36" s="69"/>
      <c r="B36" s="69"/>
      <c r="C36" s="77" t="s">
        <v>205</v>
      </c>
      <c r="D36" s="69"/>
      <c r="E36" s="69"/>
      <c r="F36" s="69"/>
      <c r="G36" s="69"/>
      <c r="H36" s="69"/>
      <c r="I36" s="69"/>
      <c r="J36" s="69"/>
      <c r="K36" s="69"/>
    </row>
    <row r="37" spans="1:11" ht="15.75" customHeight="1">
      <c r="A37" s="69"/>
      <c r="B37" s="69"/>
      <c r="C37" s="77" t="s">
        <v>197</v>
      </c>
      <c r="D37" s="69"/>
      <c r="E37" s="69"/>
      <c r="F37" s="69"/>
      <c r="G37" s="69"/>
      <c r="H37" s="69"/>
      <c r="I37" s="69"/>
      <c r="J37" s="69"/>
      <c r="K37" s="69"/>
    </row>
    <row r="38" spans="1:11" ht="15.75" customHeight="1">
      <c r="A38" s="69"/>
      <c r="B38" s="69"/>
      <c r="C38" s="77" t="s">
        <v>173</v>
      </c>
      <c r="D38" s="69"/>
      <c r="E38" s="69"/>
      <c r="F38" s="69"/>
      <c r="G38" s="69"/>
      <c r="H38" s="69"/>
      <c r="I38" s="69"/>
      <c r="J38" s="69"/>
      <c r="K38" s="69"/>
    </row>
    <row r="39" spans="1:11" ht="15.75" customHeight="1">
      <c r="A39" s="69"/>
      <c r="B39" s="69"/>
      <c r="C39" s="77" t="s">
        <v>174</v>
      </c>
      <c r="D39" s="69"/>
      <c r="E39" s="69"/>
      <c r="F39" s="69"/>
      <c r="G39" s="69"/>
      <c r="H39" s="69"/>
      <c r="I39" s="69"/>
      <c r="J39" s="69"/>
      <c r="K39" s="69"/>
    </row>
    <row r="40" spans="1:11" ht="15.75" customHeight="1">
      <c r="A40" s="69"/>
      <c r="B40" s="69"/>
      <c r="C40" s="77" t="s">
        <v>210</v>
      </c>
      <c r="D40" s="69"/>
      <c r="E40" s="69"/>
      <c r="F40" s="69"/>
      <c r="G40" s="69"/>
      <c r="H40" s="69"/>
      <c r="I40" s="69"/>
      <c r="J40" s="69"/>
      <c r="K40" s="69"/>
    </row>
    <row r="41" spans="1:11" ht="15.75" customHeight="1">
      <c r="A41" s="69"/>
      <c r="B41" s="69"/>
      <c r="C41" s="77" t="s">
        <v>158</v>
      </c>
      <c r="D41" s="69"/>
      <c r="E41" s="69"/>
      <c r="F41" s="69"/>
      <c r="G41" s="69"/>
      <c r="H41" s="69"/>
      <c r="I41" s="69"/>
      <c r="J41" s="69"/>
      <c r="K41" s="69"/>
    </row>
    <row r="42" spans="1:11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</row>
    <row r="43" spans="1:11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</row>
    <row r="44" spans="1:11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</row>
    <row r="45" spans="1:11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</row>
    <row r="46" spans="1:11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</row>
    <row r="47" spans="1:11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</row>
    <row r="48" spans="1:11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</row>
    <row r="49" spans="1:11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</row>
    <row r="50" spans="1:11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</row>
    <row r="51" spans="1:1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</row>
    <row r="52" spans="1:11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</row>
    <row r="53" spans="1:11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</row>
    <row r="54" spans="1:11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</row>
    <row r="55" spans="1:11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</row>
    <row r="56" spans="1:11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</row>
    <row r="57" spans="1:11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</row>
    <row r="58" spans="1:11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</row>
    <row r="59" spans="1:11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</row>
    <row r="60" spans="1:11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</row>
    <row r="61" spans="1:1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</row>
    <row r="62" spans="1:11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</row>
    <row r="63" spans="1:11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</row>
    <row r="64" spans="1:11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</row>
    <row r="65" spans="1:11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</row>
    <row r="66" spans="1:11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</row>
    <row r="67" spans="1:11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</row>
    <row r="68" spans="1:11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</row>
    <row r="69" spans="1:11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</row>
    <row r="70" spans="1:11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</row>
    <row r="71" spans="1:1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</row>
    <row r="72" spans="1:11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</row>
    <row r="73" spans="1:11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</row>
    <row r="74" spans="1:11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</row>
    <row r="75" spans="1:11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</row>
    <row r="76" spans="1:11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</row>
    <row r="77" spans="1:11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</row>
    <row r="78" spans="1:11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</row>
    <row r="79" spans="1:11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</row>
    <row r="80" spans="1:11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</row>
    <row r="81" spans="1:1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</row>
    <row r="82" spans="1:11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</row>
    <row r="83" spans="1:11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</row>
    <row r="84" spans="1:11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</row>
    <row r="85" spans="1:11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</row>
    <row r="86" spans="1:11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</row>
    <row r="87" spans="1:11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</row>
    <row r="88" spans="1:11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</row>
    <row r="89" spans="1:11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</row>
    <row r="90" spans="1:11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</row>
    <row r="91" spans="1:1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</row>
    <row r="92" spans="1:11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</row>
    <row r="93" spans="1:11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</row>
    <row r="94" spans="1:11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</row>
    <row r="95" spans="1:11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</row>
    <row r="96" spans="1:11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</row>
    <row r="97" spans="1:11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</row>
    <row r="98" spans="1:11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</row>
    <row r="99" spans="1:11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</row>
    <row r="100" spans="1:11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</row>
  </sheetData>
  <autoFilter ref="G3:I33" xr:uid="{00000000-0009-0000-0000-000003000000}"/>
  <pageMargins left="0.7" right="0.7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TONER</vt:lpstr>
      <vt:lpstr>Autor Gastar</vt:lpstr>
      <vt:lpstr>MODELOS DE IMPRESORAS Y TONER</vt:lpstr>
      <vt:lpstr>TONER PLANIFICACION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compras_rrhh@autolock.com</dc:creator>
  <cp:lastModifiedBy>ELIAS QUINTAR</cp:lastModifiedBy>
  <dcterms:created xsi:type="dcterms:W3CDTF">2022-02-08T12:41:40Z</dcterms:created>
  <dcterms:modified xsi:type="dcterms:W3CDTF">2022-03-17T12:58:01Z</dcterms:modified>
</cp:coreProperties>
</file>