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6556BB4-8570-48D3-9785-F0C609D153E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_Gastar" sheetId="3" r:id="rId3"/>
  </sheets>
  <externalReferences>
    <externalReference r:id="rId4"/>
  </externalReferences>
  <definedNames>
    <definedName name="_xlnm.Print_Area" localSheetId="1">' NotaPedido'!$A$1:$K$13</definedName>
  </definedNames>
  <calcPr calcId="181029"/>
</workbook>
</file>

<file path=xl/calcChain.xml><?xml version="1.0" encoding="utf-8"?>
<calcChain xmlns="http://schemas.openxmlformats.org/spreadsheetml/2006/main">
  <c r="Q24" i="3" l="1"/>
  <c r="I10" i="1"/>
  <c r="I11" i="1" s="1"/>
  <c r="D10" i="1"/>
  <c r="G7" i="3" l="1"/>
  <c r="K23" i="3"/>
  <c r="J23" i="3"/>
  <c r="I23" i="3"/>
  <c r="A10" i="3"/>
  <c r="G6" i="3"/>
  <c r="D1" i="3"/>
  <c r="D7" i="2" l="1"/>
  <c r="D3" i="2"/>
  <c r="G4" i="3" s="1"/>
  <c r="D4" i="2"/>
  <c r="G5" i="3" s="1"/>
  <c r="K12" i="2" l="1"/>
  <c r="J13" i="2" s="1"/>
  <c r="J12" i="2"/>
  <c r="I12" i="2"/>
  <c r="C12" i="2"/>
  <c r="B12" i="2"/>
</calcChain>
</file>

<file path=xl/sharedStrings.xml><?xml version="1.0" encoding="utf-8"?>
<sst xmlns="http://schemas.openxmlformats.org/spreadsheetml/2006/main" count="99" uniqueCount="78">
  <si>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</si>
  <si>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</si>
  <si>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</si>
  <si>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</si>
  <si>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</si>
  <si>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</si>
  <si>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</si>
  <si>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</si>
  <si>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</si>
  <si>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</si>
  <si>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</si>
  <si>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</si>
  <si>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</si>
  <si>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</si>
  <si>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</si>
  <si>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</si>
  <si>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</si>
  <si>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</si>
  <si>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</si>
  <si>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</si>
  <si>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</si>
  <si>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</si>
  <si>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</si>
  <si>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</si>
  <si>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</si>
  <si>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</si>
  <si>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</si>
  <si>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</si>
  <si>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</si>
  <si>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</si>
  <si>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</si>
  <si>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</si>
  <si>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UNIDAD EJECUTORA:</t>
  </si>
  <si>
    <t xml:space="preserve">JURISDICCIÓN: </t>
  </si>
  <si>
    <t>SAF:</t>
  </si>
  <si>
    <t xml:space="preserve">DEPENDENCIA SOLICITANTE: </t>
  </si>
  <si>
    <t>INSUMO P/ ARMAMENTO</t>
  </si>
  <si>
    <t>Adquisición de municiones destinadas a dependencias policiales.</t>
  </si>
  <si>
    <t>90 - Ministerio de Seguridad</t>
  </si>
  <si>
    <t>7 - Direccion Provincial de Administracion de la Policia de Catamarca</t>
  </si>
  <si>
    <t>Especificidades Item N° 1:</t>
  </si>
  <si>
    <t>Que Cumpla con lo Solicitado de Forma Integra.</t>
  </si>
  <si>
    <t>30 (treinta)  días</t>
  </si>
  <si>
    <t xml:space="preserve">Policia de la Provincia de Catamarca </t>
  </si>
  <si>
    <t>AUTORIZACION PARA GASTAR</t>
  </si>
  <si>
    <t>JURISDICCIÓN: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</si>
  <si>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</si>
  <si>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</si>
  <si>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</si>
  <si>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</si>
  <si>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</si>
  <si>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</si>
  <si>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</si>
  <si>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</si>
  <si>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</si>
  <si>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</si>
  <si>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</si>
  <si>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</si>
  <si>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</si>
  <si>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</si>
  <si>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</si>
  <si>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</si>
  <si>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</si>
  <si>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</si>
  <si>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</si>
  <si>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MATERIAL DE GUERRA</t>
  </si>
  <si>
    <t>JUSTIFICACIÓN:</t>
  </si>
  <si>
    <t>2.7.3-2941.3</t>
  </si>
  <si>
    <t>CARTUCHOS DE ESCOPETA; CALIBRE: 12/70, PRESENTACION: CAJA X 25</t>
  </si>
  <si>
    <t>CARACTERÍSTICAS: Cartucho Anti tumulto,  Calibre 12/70mm. AT. Vaina semi metálica. Cápsula iniciadora con sustancia inoxidante. De 15 a 24 Postas esféricas de SBR. Diámetro de 7.8 mm a 8.5 mm. No Letal. Pólvora nitro celulósica tipo Z90.-</t>
  </si>
  <si>
    <t>*</t>
  </si>
  <si>
    <t>División Armamento y Municiones, Dpto. Logística (D-4)</t>
  </si>
  <si>
    <r>
      <t>AUTORIZACIÓN</t>
    </r>
    <r>
      <rPr>
        <b/>
        <sz val="10"/>
        <rFont val="Century Gothic"/>
        <family val="2"/>
      </rPr>
      <t>:</t>
    </r>
  </si>
  <si>
    <t>07/2021</t>
  </si>
  <si>
    <t>Costo total estimado: son Pesos QUINIENTOS OCHO MIL DOCIENTOS SESENTA CON 00/100.-</t>
  </si>
  <si>
    <t>TOTAL DE PESOS: QUINIENTOS OCHO MIL DOCIENTOS SESENTA CON 00/100.-</t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</si>
  <si>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Reglamento Parcial N° 2 de la ley 4938.</t>
    </r>
  </si>
  <si>
    <t>Para la adquisición de municiones destinadas a las dependencias policiales.-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</si>
</sst>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_ [$$-2C0A]\ * #,##0.00_ ;_ [$$-2C0A]\ * \-#,##0.00_ ;_ [$$-2C0A]\ * &quot;-&quot;??_ ;_ @_ "/>
    <numFmt numFmtId="169" formatCode="dd\-mm\-yy;@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i/>
      <sz val="12"/>
      <name val="Century Gothic"/>
      <family val="2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22">
    <xf numFmtId="0" fontId="0" fillId="0" borderId="0" xfId="0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left" wrapText="1" indent="1"/>
    </xf>
    <xf numFmtId="0" fontId="10" fillId="3" borderId="0" xfId="0" applyFont="1" applyFill="1" applyAlignment="1">
      <alignment horizontal="left" wrapText="1"/>
    </xf>
    <xf numFmtId="0" fontId="10" fillId="3" borderId="43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/>
    </xf>
    <xf numFmtId="0" fontId="5" fillId="3" borderId="47" xfId="0" applyFont="1" applyFill="1" applyBorder="1"/>
    <xf numFmtId="0" fontId="12" fillId="3" borderId="47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wrapText="1"/>
    </xf>
    <xf numFmtId="1" fontId="9" fillId="3" borderId="47" xfId="0" applyNumberFormat="1" applyFont="1" applyFill="1" applyBorder="1" applyAlignment="1">
      <alignment horizontal="center" wrapText="1"/>
    </xf>
    <xf numFmtId="168" fontId="9" fillId="3" borderId="47" xfId="0" applyNumberFormat="1" applyFont="1" applyFill="1" applyBorder="1" applyAlignment="1">
      <alignment horizontal="center" wrapText="1"/>
    </xf>
    <xf numFmtId="168" fontId="9" fillId="3" borderId="48" xfId="0" applyNumberFormat="1" applyFont="1" applyFill="1" applyBorder="1" applyAlignment="1">
      <alignment horizontal="right" wrapText="1"/>
    </xf>
    <xf numFmtId="168" fontId="13" fillId="3" borderId="21" xfId="0" applyNumberFormat="1" applyFont="1" applyFill="1" applyBorder="1" applyAlignment="1">
      <alignment vertical="center"/>
    </xf>
    <xf numFmtId="0" fontId="14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0" xfId="0" applyFont="1" applyFill="1" applyBorder="1"/>
    <xf numFmtId="0" fontId="5" fillId="3" borderId="7" xfId="0" applyFont="1" applyFill="1" applyBorder="1"/>
    <xf numFmtId="0" fontId="15" fillId="3" borderId="6" xfId="0" applyFont="1" applyFill="1" applyBorder="1" applyAlignment="1">
      <alignment horizontal="left" indent="3"/>
    </xf>
    <xf numFmtId="0" fontId="15" fillId="3" borderId="8" xfId="0" applyFont="1" applyFill="1" applyBorder="1" applyAlignment="1">
      <alignment horizontal="left" indent="3"/>
    </xf>
    <xf numFmtId="0" fontId="5" fillId="3" borderId="9" xfId="0" applyFont="1" applyFill="1" applyBorder="1" applyAlignment="1">
      <alignment horizontal="justify" wrapText="1"/>
    </xf>
    <xf numFmtId="0" fontId="5" fillId="3" borderId="10" xfId="0" applyFont="1" applyFill="1" applyBorder="1" applyAlignment="1">
      <alignment horizontal="justify" wrapText="1"/>
    </xf>
    <xf numFmtId="0" fontId="15" fillId="3" borderId="0" xfId="0" applyFont="1" applyFill="1" applyBorder="1" applyAlignment="1">
      <alignment horizontal="left" indent="3"/>
    </xf>
    <xf numFmtId="0" fontId="5" fillId="3" borderId="0" xfId="0" applyFont="1" applyFill="1" applyBorder="1" applyAlignment="1">
      <alignment horizontal="justify" wrapText="1"/>
    </xf>
    <xf numFmtId="0" fontId="15" fillId="3" borderId="3" xfId="0" applyFont="1" applyFill="1" applyBorder="1" applyAlignment="1">
      <alignment horizontal="left" indent="3"/>
    </xf>
    <xf numFmtId="0" fontId="5" fillId="3" borderId="6" xfId="0" applyFont="1" applyFill="1" applyBorder="1" applyAlignment="1">
      <alignment horizontal="left" indent="3"/>
    </xf>
    <xf numFmtId="0" fontId="5" fillId="3" borderId="0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left" indent="3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0" borderId="0" xfId="0" applyFont="1"/>
    <xf numFmtId="3" fontId="19" fillId="0" borderId="0" xfId="0" applyNumberFormat="1" applyFont="1" applyBorder="1" applyAlignment="1"/>
    <xf numFmtId="16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/>
    <xf numFmtId="0" fontId="5" fillId="0" borderId="11" xfId="0" applyFont="1" applyBorder="1"/>
    <xf numFmtId="0" fontId="5" fillId="0" borderId="30" xfId="0" applyFont="1" applyBorder="1"/>
    <xf numFmtId="0" fontId="5" fillId="0" borderId="13" xfId="0" applyFont="1" applyBorder="1"/>
    <xf numFmtId="0" fontId="5" fillId="0" borderId="13" xfId="0" applyFont="1" applyBorder="1" applyAlignment="1">
      <alignment horizontal="left"/>
    </xf>
    <xf numFmtId="0" fontId="5" fillId="0" borderId="31" xfId="0" applyFont="1" applyBorder="1"/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168" fontId="5" fillId="0" borderId="40" xfId="4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49" fontId="17" fillId="4" borderId="12" xfId="0" applyNumberFormat="1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16" fillId="3" borderId="13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 wrapText="1" indent="1"/>
    </xf>
    <xf numFmtId="0" fontId="5" fillId="3" borderId="2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center" vertical="center" wrapText="1"/>
    </xf>
    <xf numFmtId="166" fontId="5" fillId="3" borderId="20" xfId="1" applyNumberFormat="1" applyFont="1" applyFill="1" applyBorder="1" applyAlignment="1" applyProtection="1">
      <alignment horizontal="right" vertical="center" wrapText="1"/>
    </xf>
    <xf numFmtId="3" fontId="5" fillId="3" borderId="20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justify" vertical="center" wrapText="1"/>
    </xf>
    <xf numFmtId="0" fontId="5" fillId="3" borderId="7" xfId="0" applyFont="1" applyFill="1" applyBorder="1" applyAlignment="1">
      <alignment horizontal="justify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7" xfId="0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left" vertical="center" wrapText="1"/>
    </xf>
    <xf numFmtId="0" fontId="17" fillId="3" borderId="15" xfId="0" applyFont="1" applyFill="1" applyBorder="1" applyAlignment="1">
      <alignment horizontal="left" vertical="center" wrapText="1" indent="1"/>
    </xf>
    <xf numFmtId="0" fontId="18" fillId="3" borderId="16" xfId="0" applyFont="1" applyFill="1" applyBorder="1" applyAlignment="1">
      <alignment horizontal="left" vertical="center" wrapText="1"/>
    </xf>
    <xf numFmtId="49" fontId="17" fillId="3" borderId="15" xfId="0" applyNumberFormat="1" applyFont="1" applyFill="1" applyBorder="1" applyAlignment="1">
      <alignment horizontal="left" vertical="center" wrapText="1" indent="1"/>
    </xf>
    <xf numFmtId="167" fontId="20" fillId="3" borderId="15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18" fillId="3" borderId="17" xfId="0" applyFont="1" applyFill="1" applyBorder="1" applyAlignment="1">
      <alignment horizontal="left" vertical="center"/>
    </xf>
    <xf numFmtId="0" fontId="17" fillId="3" borderId="18" xfId="0" applyFont="1" applyFill="1" applyBorder="1" applyAlignment="1">
      <alignment horizontal="left" vertical="center" wrapText="1" indent="1"/>
    </xf>
    <xf numFmtId="0" fontId="19" fillId="3" borderId="17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1" fillId="0" borderId="41" xfId="0" applyFont="1" applyFill="1" applyBorder="1" applyAlignment="1">
      <alignment horizontal="left" vertical="center" wrapText="1" indent="1"/>
    </xf>
    <xf numFmtId="0" fontId="5" fillId="0" borderId="38" xfId="0" applyFont="1" applyFill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5" fillId="0" borderId="32" xfId="0" applyFont="1" applyBorder="1"/>
    <xf numFmtId="0" fontId="19" fillId="0" borderId="23" xfId="0" applyFont="1" applyBorder="1" applyAlignment="1">
      <alignment vertical="center" wrapText="1"/>
    </xf>
    <xf numFmtId="0" fontId="19" fillId="0" borderId="42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21" fillId="0" borderId="33" xfId="0" applyFont="1" applyBorder="1" applyAlignment="1">
      <alignment vertical="center" wrapText="1"/>
    </xf>
    <xf numFmtId="0" fontId="21" fillId="0" borderId="29" xfId="0" applyFont="1" applyBorder="1" applyAlignment="1">
      <alignment horizontal="left" vertical="center" wrapText="1" indent="1"/>
    </xf>
    <xf numFmtId="0" fontId="13" fillId="0" borderId="3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21" fillId="0" borderId="28" xfId="0" applyFont="1" applyBorder="1"/>
    <xf numFmtId="0" fontId="5" fillId="0" borderId="23" xfId="0" applyFont="1" applyBorder="1" applyAlignment="1">
      <alignment horizontal="center"/>
    </xf>
    <xf numFmtId="3" fontId="19" fillId="0" borderId="24" xfId="0" applyNumberFormat="1" applyFon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5" fillId="0" borderId="12" xfId="0" applyFont="1" applyBorder="1"/>
    <xf numFmtId="0" fontId="21" fillId="0" borderId="12" xfId="0" applyFont="1" applyBorder="1" applyAlignment="1">
      <alignment horizontal="left" indent="1"/>
    </xf>
    <xf numFmtId="0" fontId="5" fillId="0" borderId="1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21" fillId="0" borderId="27" xfId="0" applyFont="1" applyFill="1" applyBorder="1" applyAlignment="1">
      <alignment horizontal="left" vertical="center" wrapText="1"/>
    </xf>
    <xf numFmtId="0" fontId="21" fillId="0" borderId="25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4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NPyE%20-APG%20-%20SAF%2007%20-MUNICION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2.7.3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tabSelected="1" topLeftCell="B1" workbookViewId="0">
      <selection activeCell="C20" sqref="C20:E20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0" width="12.85546875" style="1" bestFit="1" customWidth="1"/>
    <col min="11" max="16384" width="11" style="1"/>
  </cols>
  <sheetData>
    <row r="2" spans="1:9" ht="28.5" x14ac:dyDescent="0.4">
      <c r="B2" s="73" t="s">
        <v>0</v>
      </c>
      <c r="C2" s="73"/>
      <c r="D2" s="73"/>
      <c r="E2" s="73"/>
      <c r="F2" s="73"/>
      <c r="G2" s="73"/>
      <c r="H2" s="73"/>
    </row>
    <row r="4" spans="1:9" ht="18" customHeight="1" x14ac:dyDescent="0.25">
      <c r="A4" s="72" t="s">
        <v>1</v>
      </c>
      <c r="B4" s="72"/>
      <c r="C4" s="74" t="s">
        <v>38</v>
      </c>
      <c r="D4" s="74"/>
      <c r="E4" s="74"/>
      <c r="F4" s="2"/>
      <c r="G4" s="3"/>
      <c r="H4" s="2"/>
    </row>
    <row r="5" spans="1:9" ht="18" customHeight="1" x14ac:dyDescent="0.25">
      <c r="A5" s="72" t="s">
        <v>2</v>
      </c>
      <c r="B5" s="72"/>
      <c r="C5" s="74" t="s">
        <v>39</v>
      </c>
      <c r="D5" s="74"/>
      <c r="E5" s="74"/>
      <c r="F5" s="2"/>
      <c r="G5" s="3"/>
      <c r="H5" s="2"/>
    </row>
    <row r="6" spans="1:9" ht="16.5" customHeight="1" x14ac:dyDescent="0.25">
      <c r="A6" s="72" t="s">
        <v>3</v>
      </c>
      <c r="B6" s="72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72" t="s">
        <v>4</v>
      </c>
      <c r="B7" s="72"/>
      <c r="C7" s="4">
        <v>1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6" t="s">
        <v>5</v>
      </c>
      <c r="B9" s="7" t="s">
        <v>6</v>
      </c>
      <c r="C9" s="8" t="s">
        <v>7</v>
      </c>
      <c r="D9" s="6" t="s">
        <v>8</v>
      </c>
      <c r="E9" s="8" t="s">
        <v>9</v>
      </c>
      <c r="F9" s="9" t="s">
        <v>10</v>
      </c>
      <c r="G9" s="10" t="s">
        <v>11</v>
      </c>
      <c r="H9" s="11" t="s">
        <v>12</v>
      </c>
      <c r="I9" s="11" t="s">
        <v>13</v>
      </c>
    </row>
    <row r="10" spans="1:9" ht="18.75" customHeight="1" thickBot="1" x14ac:dyDescent="0.3">
      <c r="A10" s="12">
        <v>1</v>
      </c>
      <c r="B10" s="13" t="s">
        <v>67</v>
      </c>
      <c r="C10" s="13" t="s">
        <v>36</v>
      </c>
      <c r="D10" s="14" t="str">
        <f>LEFT(B10,5)</f>
        <v>2.7.3</v>
      </c>
      <c r="E10" s="13" t="s">
        <v>68</v>
      </c>
      <c r="F10" s="15" t="s">
        <v>14</v>
      </c>
      <c r="G10" s="16">
        <v>258</v>
      </c>
      <c r="H10" s="17">
        <v>1970</v>
      </c>
      <c r="I10" s="18">
        <f>G10*H10</f>
        <v>508260</v>
      </c>
    </row>
    <row r="11" spans="1:9" ht="21" customHeight="1" x14ac:dyDescent="0.25">
      <c r="I11" s="19">
        <f>SUM(I10:I10)</f>
        <v>508260</v>
      </c>
    </row>
    <row r="12" spans="1:9" ht="14.25" thickBot="1" x14ac:dyDescent="0.3"/>
    <row r="13" spans="1:9" x14ac:dyDescent="0.25">
      <c r="B13" s="20" t="s">
        <v>40</v>
      </c>
      <c r="C13" s="21"/>
      <c r="D13" s="21"/>
      <c r="E13" s="22"/>
    </row>
    <row r="14" spans="1:9" ht="5.25" customHeight="1" x14ac:dyDescent="0.25">
      <c r="B14" s="23"/>
      <c r="C14" s="24"/>
      <c r="D14" s="24"/>
      <c r="E14" s="25"/>
    </row>
    <row r="15" spans="1:9" x14ac:dyDescent="0.25">
      <c r="B15" s="26" t="s">
        <v>15</v>
      </c>
      <c r="C15" s="24"/>
      <c r="D15" s="24"/>
      <c r="E15" s="25"/>
    </row>
    <row r="16" spans="1:9" ht="51" customHeight="1" x14ac:dyDescent="0.25">
      <c r="B16" s="26"/>
      <c r="C16" s="75" t="s">
        <v>69</v>
      </c>
      <c r="D16" s="75"/>
      <c r="E16" s="76"/>
    </row>
    <row r="17" spans="2:5" ht="26.25" customHeight="1" thickBot="1" x14ac:dyDescent="0.3">
      <c r="B17" s="27"/>
      <c r="C17" s="28"/>
      <c r="D17" s="28"/>
      <c r="E17" s="29"/>
    </row>
    <row r="18" spans="2:5" ht="5.25" customHeight="1" thickBot="1" x14ac:dyDescent="0.3">
      <c r="B18" s="30"/>
      <c r="C18" s="31"/>
      <c r="D18" s="31"/>
      <c r="E18" s="31"/>
    </row>
    <row r="19" spans="2:5" x14ac:dyDescent="0.25">
      <c r="B19" s="32" t="s">
        <v>16</v>
      </c>
      <c r="C19" s="21"/>
      <c r="D19" s="21"/>
      <c r="E19" s="22"/>
    </row>
    <row r="20" spans="2:5" ht="101.25" customHeight="1" x14ac:dyDescent="0.25">
      <c r="B20" s="33"/>
      <c r="C20" s="77" t="s">
        <v>76</v>
      </c>
      <c r="D20" s="77"/>
      <c r="E20" s="78"/>
    </row>
    <row r="21" spans="2:5" ht="19.5" customHeight="1" x14ac:dyDescent="0.25">
      <c r="B21" s="33"/>
      <c r="C21" s="79"/>
      <c r="D21" s="79"/>
      <c r="E21" s="79"/>
    </row>
    <row r="22" spans="2:5" ht="19.5" customHeight="1" x14ac:dyDescent="0.25">
      <c r="B22" s="26" t="s">
        <v>17</v>
      </c>
      <c r="C22" s="24"/>
      <c r="D22" s="24"/>
      <c r="E22" s="25"/>
    </row>
    <row r="23" spans="2:5" ht="36" customHeight="1" x14ac:dyDescent="0.25">
      <c r="B23" s="33"/>
      <c r="C23" s="80" t="s">
        <v>41</v>
      </c>
      <c r="D23" s="80"/>
      <c r="E23" s="81"/>
    </row>
    <row r="24" spans="2:5" ht="26.25" customHeight="1" x14ac:dyDescent="0.25">
      <c r="B24" s="26" t="s">
        <v>18</v>
      </c>
      <c r="C24" s="34"/>
      <c r="D24" s="34"/>
      <c r="E24" s="35"/>
    </row>
    <row r="25" spans="2:5" ht="15" customHeight="1" x14ac:dyDescent="0.25">
      <c r="B25" s="33"/>
      <c r="C25" s="80" t="s">
        <v>42</v>
      </c>
      <c r="D25" s="80"/>
      <c r="E25" s="81"/>
    </row>
    <row r="26" spans="2:5" x14ac:dyDescent="0.25">
      <c r="B26" s="26" t="s">
        <v>19</v>
      </c>
      <c r="C26" s="24"/>
      <c r="D26" s="24"/>
      <c r="E26" s="25"/>
    </row>
    <row r="27" spans="2:5" ht="14.25" customHeight="1" x14ac:dyDescent="0.25">
      <c r="B27" s="26"/>
      <c r="C27" s="71" t="s">
        <v>70</v>
      </c>
      <c r="D27" s="71"/>
      <c r="E27" s="71"/>
    </row>
    <row r="28" spans="2:5" ht="16.5" customHeight="1" thickBot="1" x14ac:dyDescent="0.3">
      <c r="B28" s="36"/>
      <c r="C28" s="37"/>
      <c r="D28" s="37"/>
      <c r="E28" s="38"/>
    </row>
    <row r="29" spans="2:5" ht="24" customHeight="1" x14ac:dyDescent="0.25"/>
    <row r="30" spans="2:5" ht="26.25" customHeight="1" x14ac:dyDescent="0.25"/>
    <row r="32" spans="2:5" ht="23.25" customHeight="1" x14ac:dyDescent="0.25"/>
    <row r="34" ht="19.5" customHeight="1" x14ac:dyDescent="0.25"/>
  </sheetData>
  <mergeCells count="13">
    <mergeCell ref="C27:E27"/>
    <mergeCell ref="A6:B6"/>
    <mergeCell ref="A7:B7"/>
    <mergeCell ref="B2:H2"/>
    <mergeCell ref="A4:B4"/>
    <mergeCell ref="C4:E4"/>
    <mergeCell ref="A5:B5"/>
    <mergeCell ref="C5:E5"/>
    <mergeCell ref="C16:E16"/>
    <mergeCell ref="C20:E20"/>
    <mergeCell ref="C21:E21"/>
    <mergeCell ref="C25:E25"/>
    <mergeCell ref="C23:E2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85" zoomScaleNormal="85" workbookViewId="0">
      <selection activeCell="A13" sqref="A13:I13"/>
    </sheetView>
  </sheetViews>
  <sheetFormatPr baseColWidth="10" defaultColWidth="9.140625" defaultRowHeight="13.5" x14ac:dyDescent="0.25"/>
  <cols>
    <col min="1" max="1" width="5.5703125" style="61" customWidth="1"/>
    <col min="2" max="2" width="15.140625" style="61" customWidth="1"/>
    <col min="3" max="3" width="14.140625" style="61" customWidth="1"/>
    <col min="4" max="4" width="26" style="61" customWidth="1"/>
    <col min="5" max="5" width="8" style="61" customWidth="1"/>
    <col min="6" max="6" width="7.85546875" style="61" customWidth="1"/>
    <col min="7" max="7" width="42" style="61" customWidth="1"/>
    <col min="8" max="8" width="9.28515625" style="61" customWidth="1"/>
    <col min="9" max="9" width="15.5703125" style="61" customWidth="1"/>
    <col min="10" max="10" width="14.7109375" style="61" customWidth="1"/>
    <col min="11" max="11" width="15.5703125" style="61" customWidth="1"/>
    <col min="12" max="14" width="5.85546875" style="61" customWidth="1"/>
    <col min="15" max="15" width="12.5703125" style="61" customWidth="1"/>
    <col min="16" max="1024" width="9.140625" style="61"/>
    <col min="1025" max="16384" width="9.140625" style="1"/>
  </cols>
  <sheetData>
    <row r="1" spans="1:11" ht="18" customHeight="1" x14ac:dyDescent="0.25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60" t="s">
        <v>21</v>
      </c>
      <c r="K1" s="59" t="s">
        <v>73</v>
      </c>
    </row>
    <row r="2" spans="1:11" ht="18.75" customHeight="1" thickBot="1" x14ac:dyDescent="0.3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</row>
    <row r="3" spans="1:11" ht="18.75" customHeight="1" thickBot="1" x14ac:dyDescent="0.3">
      <c r="A3" s="83" t="s">
        <v>33</v>
      </c>
      <c r="B3" s="83"/>
      <c r="C3" s="83"/>
      <c r="D3" s="84" t="str">
        <f>'Necesidades Trimestrales'!C4</f>
        <v>90 - Ministerio de Seguridad</v>
      </c>
      <c r="E3" s="84"/>
      <c r="F3" s="84"/>
      <c r="G3" s="84"/>
      <c r="H3" s="84"/>
      <c r="I3" s="84"/>
      <c r="J3" s="84"/>
      <c r="K3" s="84"/>
    </row>
    <row r="4" spans="1:11" ht="18.75" customHeight="1" thickBot="1" x14ac:dyDescent="0.3">
      <c r="A4" s="85" t="s">
        <v>34</v>
      </c>
      <c r="B4" s="85"/>
      <c r="C4" s="85"/>
      <c r="D4" s="84" t="str">
        <f>'Necesidades Trimestrales'!C5</f>
        <v>7 - Direccion Provincial de Administracion de la Policia de Catamarca</v>
      </c>
      <c r="E4" s="84"/>
      <c r="F4" s="84"/>
      <c r="G4" s="84"/>
      <c r="H4" s="84"/>
      <c r="I4" s="84"/>
      <c r="J4" s="84"/>
      <c r="K4" s="84"/>
    </row>
    <row r="5" spans="1:11" ht="18.75" customHeight="1" thickBot="1" x14ac:dyDescent="0.3">
      <c r="A5" s="85" t="s">
        <v>32</v>
      </c>
      <c r="B5" s="85"/>
      <c r="C5" s="85"/>
      <c r="D5" s="84" t="s">
        <v>43</v>
      </c>
      <c r="E5" s="84"/>
      <c r="F5" s="84"/>
      <c r="G5" s="84"/>
      <c r="H5" s="84"/>
      <c r="I5" s="84"/>
      <c r="J5" s="84"/>
      <c r="K5" s="84"/>
    </row>
    <row r="6" spans="1:11" ht="16.5" customHeight="1" thickBot="1" x14ac:dyDescent="0.3">
      <c r="A6" s="83" t="s">
        <v>35</v>
      </c>
      <c r="B6" s="83"/>
      <c r="C6" s="83"/>
      <c r="D6" s="84" t="s">
        <v>71</v>
      </c>
      <c r="E6" s="84"/>
      <c r="F6" s="84"/>
      <c r="G6" s="84"/>
      <c r="H6" s="84"/>
      <c r="I6" s="84"/>
      <c r="J6" s="84"/>
      <c r="K6" s="84"/>
    </row>
    <row r="7" spans="1:11" ht="16.5" customHeight="1" x14ac:dyDescent="0.25">
      <c r="A7" s="85" t="s">
        <v>22</v>
      </c>
      <c r="B7" s="85"/>
      <c r="C7" s="85"/>
      <c r="D7" s="86" t="str">
        <f>'Necesidades Trimestrales'!C7 &amp; "° Trimestre - Año " &amp; 'Necesidades Trimestrales'!C6</f>
        <v>1° Trimestre - Año 2021</v>
      </c>
      <c r="E7" s="86"/>
      <c r="F7" s="86"/>
      <c r="G7" s="86"/>
      <c r="H7" s="86"/>
      <c r="I7" s="86"/>
      <c r="J7" s="86"/>
      <c r="K7" s="86"/>
    </row>
    <row r="8" spans="1:11" ht="16.5" customHeight="1" x14ac:dyDescent="0.25">
      <c r="A8" s="89" t="s">
        <v>23</v>
      </c>
      <c r="B8" s="89"/>
      <c r="C8" s="89"/>
      <c r="D8" s="90" t="s">
        <v>37</v>
      </c>
      <c r="E8" s="90"/>
      <c r="F8" s="90"/>
      <c r="G8" s="90"/>
      <c r="H8" s="90"/>
      <c r="I8" s="90"/>
      <c r="J8" s="90"/>
      <c r="K8" s="90"/>
    </row>
    <row r="9" spans="1:11" ht="17.25" x14ac:dyDescent="0.25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</row>
    <row r="10" spans="1:11" ht="18.75" customHeight="1" x14ac:dyDescent="0.25">
      <c r="A10" s="91" t="s">
        <v>24</v>
      </c>
      <c r="B10" s="92" t="s">
        <v>25</v>
      </c>
      <c r="C10" s="92" t="s">
        <v>26</v>
      </c>
      <c r="D10" s="92"/>
      <c r="E10" s="92"/>
      <c r="F10" s="92"/>
      <c r="G10" s="92"/>
      <c r="H10" s="92" t="s">
        <v>27</v>
      </c>
      <c r="I10" s="92" t="s">
        <v>28</v>
      </c>
      <c r="J10" s="92" t="s">
        <v>29</v>
      </c>
      <c r="K10" s="93" t="s">
        <v>30</v>
      </c>
    </row>
    <row r="11" spans="1:11" ht="24" customHeight="1" x14ac:dyDescent="0.25">
      <c r="A11" s="91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1" ht="24.75" customHeight="1" thickBot="1" x14ac:dyDescent="0.3">
      <c r="A12" s="66">
        <v>1</v>
      </c>
      <c r="B12" s="67" t="str">
        <f>'Necesidades Trimestrales'!B10</f>
        <v>2.7.3-2941.3</v>
      </c>
      <c r="C12" s="88" t="str">
        <f>'Necesidades Trimestrales'!E10</f>
        <v>CARTUCHOS DE ESCOPETA; CALIBRE: 12/70, PRESENTACION: CAJA X 25</v>
      </c>
      <c r="D12" s="88"/>
      <c r="E12" s="88"/>
      <c r="F12" s="88"/>
      <c r="G12" s="88"/>
      <c r="H12" s="66" t="s">
        <v>31</v>
      </c>
      <c r="I12" s="68" t="str">
        <f>'Necesidades Trimestrales'!F10</f>
        <v>UNIDAD</v>
      </c>
      <c r="J12" s="69">
        <f>'Necesidades Trimestrales'!H10</f>
        <v>1970</v>
      </c>
      <c r="K12" s="70">
        <f>'Necesidades Trimestrales'!G10</f>
        <v>258</v>
      </c>
    </row>
    <row r="13" spans="1:11" ht="20.25" customHeight="1" thickBot="1" x14ac:dyDescent="0.3">
      <c r="A13" s="84" t="s">
        <v>74</v>
      </c>
      <c r="B13" s="84"/>
      <c r="C13" s="84"/>
      <c r="D13" s="84"/>
      <c r="E13" s="84"/>
      <c r="F13" s="84"/>
      <c r="G13" s="84"/>
      <c r="H13" s="84"/>
      <c r="I13" s="84"/>
      <c r="J13" s="87">
        <f>SUMPRODUCT(J12:J12,K12:K12)</f>
        <v>508260</v>
      </c>
      <c r="K13" s="87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workbookViewId="0">
      <selection activeCell="A29" sqref="A29"/>
    </sheetView>
  </sheetViews>
  <sheetFormatPr baseColWidth="10" defaultColWidth="11" defaultRowHeight="13.5" x14ac:dyDescent="0.25"/>
  <cols>
    <col min="1" max="5" width="4.42578125" style="39" customWidth="1"/>
    <col min="6" max="6" width="8.7109375" style="39" customWidth="1"/>
    <col min="7" max="7" width="4.42578125" style="42" customWidth="1"/>
    <col min="8" max="14" width="4.42578125" style="39" customWidth="1"/>
    <col min="15" max="16" width="14.85546875" style="39" customWidth="1"/>
    <col min="17" max="17" width="14.7109375" style="39" customWidth="1"/>
    <col min="18" max="16384" width="11" style="39"/>
  </cols>
  <sheetData>
    <row r="1" spans="1:17" ht="15.75" customHeight="1" thickBot="1" x14ac:dyDescent="0.3">
      <c r="A1" s="110" t="s">
        <v>3</v>
      </c>
      <c r="B1" s="110"/>
      <c r="C1" s="110"/>
      <c r="D1" s="111">
        <f>'Necesidades Trimestrales'!C6</f>
        <v>2021</v>
      </c>
      <c r="E1" s="111"/>
      <c r="F1" s="40"/>
      <c r="G1" s="40"/>
      <c r="H1" s="41"/>
      <c r="I1" s="41"/>
      <c r="J1" s="41"/>
      <c r="K1" s="41"/>
      <c r="L1" s="41"/>
      <c r="M1" s="41"/>
      <c r="N1" s="41"/>
      <c r="P1" s="112" t="s">
        <v>44</v>
      </c>
      <c r="Q1" s="112"/>
    </row>
    <row r="2" spans="1:17" ht="15.75" customHeight="1" thickBot="1" x14ac:dyDescent="0.3">
      <c r="H2" s="41"/>
      <c r="I2" s="41"/>
      <c r="J2" s="41"/>
      <c r="K2" s="41"/>
      <c r="L2" s="41"/>
      <c r="M2" s="41"/>
      <c r="N2" s="41"/>
      <c r="P2" s="112"/>
      <c r="Q2" s="112"/>
    </row>
    <row r="4" spans="1:17" ht="18" customHeight="1" thickBot="1" x14ac:dyDescent="0.35">
      <c r="A4" s="113" t="s">
        <v>45</v>
      </c>
      <c r="B4" s="113"/>
      <c r="C4" s="113"/>
      <c r="D4" s="113"/>
      <c r="E4" s="113"/>
      <c r="F4" s="113"/>
      <c r="G4" s="114" t="str">
        <f>' NotaPedido'!D3</f>
        <v>90 - Ministerio de Seguridad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ht="18" customHeight="1" thickBot="1" x14ac:dyDescent="0.35">
      <c r="A5" s="115" t="s">
        <v>34</v>
      </c>
      <c r="B5" s="116"/>
      <c r="C5" s="116"/>
      <c r="D5" s="116"/>
      <c r="E5" s="116"/>
      <c r="F5" s="117"/>
      <c r="G5" s="114" t="str">
        <f>' NotaPedido'!D4</f>
        <v>7 - Direccion Provincial de Administracion de la Policia de Catamarca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ht="18" customHeight="1" thickBot="1" x14ac:dyDescent="0.35">
      <c r="A6" s="115" t="s">
        <v>32</v>
      </c>
      <c r="B6" s="116"/>
      <c r="C6" s="116"/>
      <c r="D6" s="116"/>
      <c r="E6" s="116"/>
      <c r="F6" s="117"/>
      <c r="G6" s="114" t="str">
        <f>' NotaPedido'!D5</f>
        <v xml:space="preserve">Policia de la Provincia de Catamarca 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ht="20.25" customHeight="1" thickBot="1" x14ac:dyDescent="0.3">
      <c r="A7" s="115" t="s">
        <v>35</v>
      </c>
      <c r="B7" s="116"/>
      <c r="C7" s="116"/>
      <c r="D7" s="116"/>
      <c r="E7" s="116"/>
      <c r="F7" s="117"/>
      <c r="G7" s="118" t="str">
        <f>' NotaPedido'!D6</f>
        <v>División Armamento y Municiones, Dpto. Logística (D-4)</v>
      </c>
      <c r="H7" s="119"/>
      <c r="I7" s="119"/>
      <c r="J7" s="119"/>
      <c r="K7" s="119"/>
      <c r="L7" s="119"/>
      <c r="M7" s="119"/>
      <c r="N7" s="119"/>
      <c r="O7" s="119"/>
      <c r="P7" s="119"/>
      <c r="Q7" s="120"/>
    </row>
    <row r="8" spans="1:17" ht="18" customHeight="1" thickBot="1" x14ac:dyDescent="0.3">
      <c r="A8" s="121" t="s">
        <v>72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3">
      <c r="A9" s="109" t="s">
        <v>46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43"/>
      <c r="P9" s="43"/>
      <c r="Q9" s="44"/>
    </row>
    <row r="10" spans="1:17" ht="54.75" customHeight="1" x14ac:dyDescent="0.25">
      <c r="A10" s="10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07/2021,  afectando la erogación resultante a los créditos presupuestarios aprobados a favor de esta Unidad Ejecutora, conforme al siguiente detalle: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9" customHeight="1" thickBot="1" x14ac:dyDescent="0.3">
      <c r="A11" s="45"/>
      <c r="B11" s="46"/>
      <c r="C11" s="46"/>
      <c r="D11" s="46"/>
      <c r="E11" s="46"/>
      <c r="F11" s="46"/>
      <c r="G11" s="47"/>
      <c r="H11" s="46"/>
      <c r="I11" s="46"/>
      <c r="J11" s="46"/>
      <c r="K11" s="46"/>
      <c r="L11" s="46"/>
      <c r="M11" s="46"/>
      <c r="N11" s="46"/>
      <c r="O11" s="46"/>
      <c r="P11" s="46"/>
      <c r="Q11" s="48"/>
    </row>
    <row r="12" spans="1:17" ht="15.75" customHeight="1" thickBot="1" x14ac:dyDescent="0.3">
      <c r="A12" s="105" t="s">
        <v>47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17" ht="15.75" customHeight="1" thickBot="1" x14ac:dyDescent="0.3">
      <c r="A13" s="106" t="s">
        <v>48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7" t="s">
        <v>49</v>
      </c>
      <c r="P13" s="107"/>
      <c r="Q13" s="108" t="s">
        <v>50</v>
      </c>
    </row>
    <row r="14" spans="1:17" ht="15.75" customHeight="1" thickBot="1" x14ac:dyDescent="0.3">
      <c r="A14" s="49" t="s">
        <v>51</v>
      </c>
      <c r="B14" s="50" t="s">
        <v>52</v>
      </c>
      <c r="C14" s="50" t="s">
        <v>53</v>
      </c>
      <c r="D14" s="50" t="s">
        <v>54</v>
      </c>
      <c r="E14" s="50" t="s">
        <v>55</v>
      </c>
      <c r="F14" s="50" t="s">
        <v>56</v>
      </c>
      <c r="G14" s="51" t="s">
        <v>57</v>
      </c>
      <c r="H14" s="50" t="s">
        <v>58</v>
      </c>
      <c r="I14" s="50" t="s">
        <v>59</v>
      </c>
      <c r="J14" s="50" t="s">
        <v>60</v>
      </c>
      <c r="K14" s="50" t="s">
        <v>60</v>
      </c>
      <c r="L14" s="50" t="s">
        <v>61</v>
      </c>
      <c r="M14" s="52" t="s">
        <v>62</v>
      </c>
      <c r="N14" s="53" t="s">
        <v>63</v>
      </c>
      <c r="O14" s="107"/>
      <c r="P14" s="107"/>
      <c r="Q14" s="108"/>
    </row>
    <row r="15" spans="1:17" ht="17.25" customHeight="1" thickBot="1" x14ac:dyDescent="0.3">
      <c r="A15" s="54">
        <v>16</v>
      </c>
      <c r="B15" s="55">
        <v>0</v>
      </c>
      <c r="C15" s="55">
        <v>0</v>
      </c>
      <c r="D15" s="55">
        <v>1</v>
      </c>
      <c r="E15" s="55">
        <v>0</v>
      </c>
      <c r="F15" s="55">
        <v>10</v>
      </c>
      <c r="G15" s="55">
        <v>2</v>
      </c>
      <c r="H15" s="55">
        <v>1</v>
      </c>
      <c r="I15" s="55">
        <v>2</v>
      </c>
      <c r="J15" s="55">
        <v>7</v>
      </c>
      <c r="K15" s="55">
        <v>3</v>
      </c>
      <c r="L15" s="55">
        <v>0</v>
      </c>
      <c r="M15" s="56">
        <v>1</v>
      </c>
      <c r="N15" s="55" t="s">
        <v>64</v>
      </c>
      <c r="O15" s="95" t="s">
        <v>65</v>
      </c>
      <c r="P15" s="95"/>
      <c r="Q15" s="57">
        <v>296690</v>
      </c>
    </row>
    <row r="16" spans="1:17" ht="17.25" customHeight="1" thickBot="1" x14ac:dyDescent="0.3">
      <c r="A16" s="54">
        <v>16</v>
      </c>
      <c r="B16" s="55">
        <v>0</v>
      </c>
      <c r="C16" s="55">
        <v>0</v>
      </c>
      <c r="D16" s="55">
        <v>7</v>
      </c>
      <c r="E16" s="55">
        <v>0</v>
      </c>
      <c r="F16" s="55">
        <v>10</v>
      </c>
      <c r="G16" s="55">
        <v>2</v>
      </c>
      <c r="H16" s="55">
        <v>1</v>
      </c>
      <c r="I16" s="55">
        <v>2</v>
      </c>
      <c r="J16" s="55">
        <v>7</v>
      </c>
      <c r="K16" s="55">
        <v>3</v>
      </c>
      <c r="L16" s="55">
        <v>0</v>
      </c>
      <c r="M16" s="56">
        <v>1</v>
      </c>
      <c r="N16" s="55" t="s">
        <v>64</v>
      </c>
      <c r="O16" s="95" t="s">
        <v>65</v>
      </c>
      <c r="P16" s="95"/>
      <c r="Q16" s="57">
        <v>130303</v>
      </c>
    </row>
    <row r="17" spans="1:17" ht="17.25" customHeight="1" thickBot="1" x14ac:dyDescent="0.3">
      <c r="A17" s="54">
        <v>16</v>
      </c>
      <c r="B17" s="55">
        <v>0</v>
      </c>
      <c r="C17" s="55">
        <v>0</v>
      </c>
      <c r="D17" s="55">
        <v>9</v>
      </c>
      <c r="E17" s="55">
        <v>0</v>
      </c>
      <c r="F17" s="55">
        <v>7001</v>
      </c>
      <c r="G17" s="55">
        <v>2</v>
      </c>
      <c r="H17" s="55">
        <v>1</v>
      </c>
      <c r="I17" s="55">
        <v>2</v>
      </c>
      <c r="J17" s="55">
        <v>7</v>
      </c>
      <c r="K17" s="55">
        <v>3</v>
      </c>
      <c r="L17" s="55">
        <v>0</v>
      </c>
      <c r="M17" s="56">
        <v>1</v>
      </c>
      <c r="N17" s="55" t="s">
        <v>64</v>
      </c>
      <c r="O17" s="95" t="s">
        <v>65</v>
      </c>
      <c r="P17" s="95"/>
      <c r="Q17" s="57">
        <v>11867</v>
      </c>
    </row>
    <row r="18" spans="1:17" ht="17.25" customHeight="1" thickBot="1" x14ac:dyDescent="0.3">
      <c r="A18" s="54">
        <v>16</v>
      </c>
      <c r="B18" s="55">
        <v>0</v>
      </c>
      <c r="C18" s="55">
        <v>0</v>
      </c>
      <c r="D18" s="55">
        <v>10</v>
      </c>
      <c r="E18" s="55">
        <v>0</v>
      </c>
      <c r="F18" s="55">
        <v>3501</v>
      </c>
      <c r="G18" s="55">
        <v>2</v>
      </c>
      <c r="H18" s="55">
        <v>1</v>
      </c>
      <c r="I18" s="55">
        <v>2</v>
      </c>
      <c r="J18" s="55">
        <v>7</v>
      </c>
      <c r="K18" s="55">
        <v>3</v>
      </c>
      <c r="L18" s="55">
        <v>0</v>
      </c>
      <c r="M18" s="56">
        <v>1</v>
      </c>
      <c r="N18" s="55" t="s">
        <v>64</v>
      </c>
      <c r="O18" s="95" t="s">
        <v>65</v>
      </c>
      <c r="P18" s="95"/>
      <c r="Q18" s="57">
        <v>9234</v>
      </c>
    </row>
    <row r="19" spans="1:17" ht="17.25" customHeight="1" thickBot="1" x14ac:dyDescent="0.3">
      <c r="A19" s="54">
        <v>16</v>
      </c>
      <c r="B19" s="55">
        <v>0</v>
      </c>
      <c r="C19" s="55">
        <v>0</v>
      </c>
      <c r="D19" s="55">
        <v>11</v>
      </c>
      <c r="E19" s="55">
        <v>0</v>
      </c>
      <c r="F19" s="55">
        <v>2101</v>
      </c>
      <c r="G19" s="55">
        <v>2</v>
      </c>
      <c r="H19" s="55">
        <v>1</v>
      </c>
      <c r="I19" s="55">
        <v>2</v>
      </c>
      <c r="J19" s="55">
        <v>7</v>
      </c>
      <c r="K19" s="55">
        <v>3</v>
      </c>
      <c r="L19" s="55">
        <v>0</v>
      </c>
      <c r="M19" s="56">
        <v>1</v>
      </c>
      <c r="N19" s="55" t="s">
        <v>64</v>
      </c>
      <c r="O19" s="95" t="s">
        <v>65</v>
      </c>
      <c r="P19" s="95"/>
      <c r="Q19" s="57">
        <v>11867</v>
      </c>
    </row>
    <row r="20" spans="1:17" ht="17.25" customHeight="1" thickBot="1" x14ac:dyDescent="0.3">
      <c r="A20" s="54">
        <v>16</v>
      </c>
      <c r="B20" s="55">
        <v>0</v>
      </c>
      <c r="C20" s="55">
        <v>0</v>
      </c>
      <c r="D20" s="55">
        <v>12</v>
      </c>
      <c r="E20" s="55">
        <v>0</v>
      </c>
      <c r="F20" s="55">
        <v>10501</v>
      </c>
      <c r="G20" s="55">
        <v>2</v>
      </c>
      <c r="H20" s="55">
        <v>1</v>
      </c>
      <c r="I20" s="55">
        <v>2</v>
      </c>
      <c r="J20" s="55">
        <v>7</v>
      </c>
      <c r="K20" s="55">
        <v>3</v>
      </c>
      <c r="L20" s="55">
        <v>0</v>
      </c>
      <c r="M20" s="56">
        <v>1</v>
      </c>
      <c r="N20" s="55" t="s">
        <v>64</v>
      </c>
      <c r="O20" s="95" t="s">
        <v>65</v>
      </c>
      <c r="P20" s="95"/>
      <c r="Q20" s="57">
        <v>11867</v>
      </c>
    </row>
    <row r="21" spans="1:17" ht="17.25" customHeight="1" thickBot="1" x14ac:dyDescent="0.3">
      <c r="A21" s="54">
        <v>16</v>
      </c>
      <c r="B21" s="55">
        <v>0</v>
      </c>
      <c r="C21" s="55">
        <v>0</v>
      </c>
      <c r="D21" s="55">
        <v>13</v>
      </c>
      <c r="E21" s="55">
        <v>0</v>
      </c>
      <c r="F21" s="55">
        <v>5601</v>
      </c>
      <c r="G21" s="55">
        <v>2</v>
      </c>
      <c r="H21" s="55">
        <v>1</v>
      </c>
      <c r="I21" s="55">
        <v>2</v>
      </c>
      <c r="J21" s="55">
        <v>7</v>
      </c>
      <c r="K21" s="55">
        <v>3</v>
      </c>
      <c r="L21" s="55">
        <v>0</v>
      </c>
      <c r="M21" s="56">
        <v>1</v>
      </c>
      <c r="N21" s="55" t="s">
        <v>64</v>
      </c>
      <c r="O21" s="95" t="s">
        <v>65</v>
      </c>
      <c r="P21" s="95"/>
      <c r="Q21" s="57">
        <v>11867</v>
      </c>
    </row>
    <row r="22" spans="1:17" ht="17.25" customHeight="1" thickBot="1" x14ac:dyDescent="0.3">
      <c r="A22" s="54">
        <v>16</v>
      </c>
      <c r="B22" s="55">
        <v>0</v>
      </c>
      <c r="C22" s="55">
        <v>0</v>
      </c>
      <c r="D22" s="55">
        <v>14</v>
      </c>
      <c r="E22" s="55">
        <v>0</v>
      </c>
      <c r="F22" s="55">
        <v>9101</v>
      </c>
      <c r="G22" s="55">
        <v>2</v>
      </c>
      <c r="H22" s="55">
        <v>1</v>
      </c>
      <c r="I22" s="55">
        <v>2</v>
      </c>
      <c r="J22" s="55">
        <v>7</v>
      </c>
      <c r="K22" s="55">
        <v>3</v>
      </c>
      <c r="L22" s="55">
        <v>0</v>
      </c>
      <c r="M22" s="56">
        <v>1</v>
      </c>
      <c r="N22" s="55" t="s">
        <v>64</v>
      </c>
      <c r="O22" s="95" t="s">
        <v>65</v>
      </c>
      <c r="P22" s="95"/>
      <c r="Q22" s="57">
        <v>9234</v>
      </c>
    </row>
    <row r="23" spans="1:17" ht="17.25" customHeight="1" thickBot="1" x14ac:dyDescent="0.3">
      <c r="A23" s="54">
        <v>16</v>
      </c>
      <c r="B23" s="55">
        <v>0</v>
      </c>
      <c r="C23" s="55">
        <v>0</v>
      </c>
      <c r="D23" s="55">
        <v>15</v>
      </c>
      <c r="E23" s="55">
        <v>0</v>
      </c>
      <c r="F23" s="55">
        <v>8401</v>
      </c>
      <c r="G23" s="55">
        <v>2</v>
      </c>
      <c r="H23" s="55">
        <v>1</v>
      </c>
      <c r="I23" s="55" t="str">
        <f>LEFT('[1]Necesidades Trimestrales'!D10,1)</f>
        <v>2</v>
      </c>
      <c r="J23" s="55" t="str">
        <f>MID('[1]Necesidades Trimestrales'!D10,3,1)</f>
        <v>7</v>
      </c>
      <c r="K23" s="55" t="str">
        <f>RIGHT('[1]Necesidades Trimestrales'!D10,1)</f>
        <v>3</v>
      </c>
      <c r="L23" s="55">
        <v>0</v>
      </c>
      <c r="M23" s="56">
        <v>1</v>
      </c>
      <c r="N23" s="55" t="s">
        <v>64</v>
      </c>
      <c r="O23" s="95" t="s">
        <v>65</v>
      </c>
      <c r="P23" s="95"/>
      <c r="Q23" s="57">
        <v>15331</v>
      </c>
    </row>
    <row r="24" spans="1:17" ht="20.25" customHeight="1" thickBot="1" x14ac:dyDescent="0.3">
      <c r="A24" s="96" t="s">
        <v>75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8"/>
      <c r="Q24" s="58">
        <f>SUM(Q15:Q23)</f>
        <v>508260</v>
      </c>
    </row>
    <row r="25" spans="1:17" ht="18" customHeight="1" thickBot="1" x14ac:dyDescent="0.3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</row>
    <row r="26" spans="1:17" ht="17.25" customHeight="1" thickBot="1" x14ac:dyDescent="0.3">
      <c r="A26" s="100" t="s">
        <v>66</v>
      </c>
      <c r="B26" s="101"/>
      <c r="C26" s="101"/>
      <c r="D26" s="101"/>
      <c r="E26" s="101"/>
      <c r="F26" s="102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  <row r="27" spans="1:17" ht="18" customHeight="1" thickBot="1" x14ac:dyDescent="0.3">
      <c r="A27" s="94" t="s">
        <v>77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</row>
    <row r="28" spans="1:17" ht="15" customHeight="1" thickBot="1" x14ac:dyDescent="0.3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</row>
  </sheetData>
  <mergeCells count="32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7:Q28"/>
    <mergeCell ref="O22:P22"/>
    <mergeCell ref="O23:P23"/>
    <mergeCell ref="A24:P24"/>
    <mergeCell ref="A25:Q25"/>
    <mergeCell ref="A26:F26"/>
    <mergeCell ref="G26:Q2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Autor_Gastar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2021-08-12T14:23:01Z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