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8_{48AFA37F-F600-4AE5-8B02-C1C5B62CD64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EDICAMENTOS NT " sheetId="1" r:id="rId1"/>
    <sheet name="MEDICAMENTOS NPYE" sheetId="2" r:id="rId2"/>
    <sheet name="MEDICAMENTOS APG" sheetId="3" r:id="rId3"/>
  </sheets>
  <definedNames>
    <definedName name="_xlnm._FilterDatabase" localSheetId="0" hidden="1">'MEDICAMENTOS NT '!$A$9:$K$123</definedName>
    <definedName name="_xlnm.Print_Area" localSheetId="2">'MEDICAMENTOS APG'!$A$1:$Q$26</definedName>
    <definedName name="_xlnm.Print_Area" localSheetId="1">'MEDICAMENTOS NPYE'!$A$1:$K$127</definedName>
  </definedNames>
  <calcPr calcId="181029"/>
</workbook>
</file>

<file path=xl/calcChain.xml><?xml version="1.0" encoding="utf-8"?>
<calcChain xmlns="http://schemas.openxmlformats.org/spreadsheetml/2006/main">
  <c r="Q16" i="3" l="1"/>
  <c r="C124" i="2"/>
  <c r="C125" i="2"/>
  <c r="C126" i="2"/>
  <c r="K125" i="2"/>
  <c r="K126" i="2"/>
  <c r="J125" i="2"/>
  <c r="J126" i="2"/>
  <c r="I125" i="2"/>
  <c r="I126" i="2"/>
  <c r="B125" i="2"/>
  <c r="B126" i="2"/>
  <c r="I124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K12" i="2"/>
  <c r="J12" i="2"/>
  <c r="I12" i="2"/>
  <c r="C12" i="2"/>
  <c r="B12" i="2"/>
  <c r="D10" i="1"/>
  <c r="I10" i="1"/>
  <c r="D11" i="1"/>
  <c r="I11" i="1"/>
  <c r="D12" i="1"/>
  <c r="I12" i="1"/>
  <c r="D13" i="1"/>
  <c r="I13" i="1"/>
  <c r="D14" i="1"/>
  <c r="I14" i="1"/>
  <c r="D15" i="1"/>
  <c r="I15" i="1"/>
  <c r="D16" i="1"/>
  <c r="I16" i="1"/>
  <c r="D17" i="1"/>
  <c r="I17" i="1"/>
  <c r="D18" i="1"/>
  <c r="I18" i="1"/>
  <c r="D19" i="1"/>
  <c r="I19" i="1"/>
  <c r="D20" i="1"/>
  <c r="I20" i="1"/>
  <c r="D21" i="1"/>
  <c r="I21" i="1"/>
  <c r="D22" i="1"/>
  <c r="I22" i="1"/>
  <c r="D23" i="1"/>
  <c r="I23" i="1"/>
  <c r="D24" i="1"/>
  <c r="I24" i="1"/>
  <c r="D25" i="1"/>
  <c r="I25" i="1"/>
  <c r="D26" i="1"/>
  <c r="I26" i="1"/>
  <c r="D27" i="1"/>
  <c r="I27" i="1"/>
  <c r="D28" i="1"/>
  <c r="I28" i="1"/>
  <c r="D29" i="1"/>
  <c r="I29" i="1"/>
  <c r="D30" i="1"/>
  <c r="I30" i="1"/>
  <c r="D31" i="1"/>
  <c r="I31" i="1"/>
  <c r="D32" i="1"/>
  <c r="I32" i="1"/>
  <c r="D33" i="1"/>
  <c r="I33" i="1"/>
  <c r="D34" i="1"/>
  <c r="I34" i="1"/>
  <c r="D35" i="1"/>
  <c r="I35" i="1"/>
  <c r="D36" i="1"/>
  <c r="I36" i="1"/>
  <c r="D37" i="1"/>
  <c r="I37" i="1"/>
  <c r="D38" i="1"/>
  <c r="I38" i="1"/>
  <c r="D39" i="1"/>
  <c r="I39" i="1"/>
  <c r="D40" i="1"/>
  <c r="I40" i="1"/>
  <c r="D41" i="1"/>
  <c r="I41" i="1"/>
  <c r="D42" i="1"/>
  <c r="I42" i="1"/>
  <c r="D43" i="1"/>
  <c r="I43" i="1"/>
  <c r="D44" i="1"/>
  <c r="I44" i="1"/>
  <c r="D45" i="1"/>
  <c r="I45" i="1"/>
  <c r="D46" i="1"/>
  <c r="I46" i="1"/>
  <c r="D47" i="1"/>
  <c r="I47" i="1"/>
  <c r="D48" i="1"/>
  <c r="I48" i="1"/>
  <c r="D49" i="1"/>
  <c r="I49" i="1"/>
  <c r="D50" i="1"/>
  <c r="I50" i="1"/>
  <c r="D51" i="1"/>
  <c r="I51" i="1"/>
  <c r="D52" i="1"/>
  <c r="I52" i="1"/>
  <c r="D53" i="1"/>
  <c r="I53" i="1"/>
  <c r="D54" i="1"/>
  <c r="I54" i="1"/>
  <c r="D55" i="1"/>
  <c r="I55" i="1"/>
  <c r="D56" i="1"/>
  <c r="I56" i="1"/>
  <c r="D57" i="1"/>
  <c r="I57" i="1"/>
  <c r="D58" i="1"/>
  <c r="I58" i="1"/>
  <c r="D59" i="1"/>
  <c r="I59" i="1"/>
  <c r="D60" i="1"/>
  <c r="I60" i="1"/>
  <c r="D61" i="1"/>
  <c r="I61" i="1"/>
  <c r="D62" i="1"/>
  <c r="I62" i="1"/>
  <c r="D63" i="1"/>
  <c r="I63" i="1"/>
  <c r="D64" i="1"/>
  <c r="I64" i="1"/>
  <c r="D65" i="1"/>
  <c r="I65" i="1"/>
  <c r="D66" i="1"/>
  <c r="I66" i="1"/>
  <c r="D67" i="1"/>
  <c r="I67" i="1"/>
  <c r="D68" i="1"/>
  <c r="I68" i="1"/>
  <c r="D69" i="1"/>
  <c r="I69" i="1"/>
  <c r="D70" i="1"/>
  <c r="I70" i="1"/>
  <c r="D71" i="1"/>
  <c r="I71" i="1"/>
  <c r="D72" i="1"/>
  <c r="I72" i="1"/>
  <c r="D73" i="1"/>
  <c r="I73" i="1"/>
  <c r="D74" i="1"/>
  <c r="I74" i="1"/>
  <c r="D75" i="1"/>
  <c r="I75" i="1"/>
  <c r="D76" i="1"/>
  <c r="I76" i="1"/>
  <c r="D77" i="1"/>
  <c r="I77" i="1"/>
  <c r="D78" i="1"/>
  <c r="I78" i="1"/>
  <c r="D79" i="1"/>
  <c r="I79" i="1"/>
  <c r="D80" i="1"/>
  <c r="I80" i="1"/>
  <c r="D81" i="1"/>
  <c r="I81" i="1"/>
  <c r="D82" i="1"/>
  <c r="I82" i="1"/>
  <c r="D83" i="1"/>
  <c r="I83" i="1"/>
  <c r="D84" i="1"/>
  <c r="I84" i="1"/>
  <c r="D85" i="1"/>
  <c r="I85" i="1"/>
  <c r="D86" i="1"/>
  <c r="I86" i="1"/>
  <c r="D87" i="1"/>
  <c r="I87" i="1"/>
  <c r="D88" i="1"/>
  <c r="I88" i="1"/>
  <c r="D89" i="1"/>
  <c r="I89" i="1"/>
  <c r="D90" i="1"/>
  <c r="I90" i="1"/>
  <c r="D91" i="1"/>
  <c r="I91" i="1"/>
  <c r="D92" i="1"/>
  <c r="I92" i="1"/>
  <c r="D93" i="1"/>
  <c r="I93" i="1"/>
  <c r="D94" i="1"/>
  <c r="I94" i="1"/>
  <c r="D95" i="1"/>
  <c r="I95" i="1"/>
  <c r="D96" i="1"/>
  <c r="I96" i="1"/>
  <c r="D97" i="1"/>
  <c r="I97" i="1"/>
  <c r="D98" i="1"/>
  <c r="I98" i="1"/>
  <c r="D99" i="1"/>
  <c r="I99" i="1"/>
  <c r="D100" i="1"/>
  <c r="I100" i="1"/>
  <c r="D101" i="1"/>
  <c r="I101" i="1"/>
  <c r="D102" i="1"/>
  <c r="I102" i="1"/>
  <c r="D103" i="1"/>
  <c r="I103" i="1"/>
  <c r="D104" i="1"/>
  <c r="I104" i="1"/>
  <c r="D105" i="1"/>
  <c r="I105" i="1"/>
  <c r="D106" i="1"/>
  <c r="I106" i="1"/>
  <c r="D107" i="1"/>
  <c r="I107" i="1"/>
  <c r="D108" i="1"/>
  <c r="I108" i="1"/>
  <c r="D109" i="1"/>
  <c r="I109" i="1"/>
  <c r="D110" i="1"/>
  <c r="I110" i="1"/>
  <c r="D111" i="1"/>
  <c r="I111" i="1"/>
  <c r="D112" i="1"/>
  <c r="I112" i="1"/>
  <c r="D113" i="1"/>
  <c r="I113" i="1"/>
  <c r="D114" i="1"/>
  <c r="I114" i="1"/>
  <c r="D115" i="1"/>
  <c r="I115" i="1"/>
  <c r="D116" i="1"/>
  <c r="I116" i="1"/>
  <c r="D117" i="1"/>
  <c r="I117" i="1"/>
  <c r="D7" i="2" l="1"/>
  <c r="I118" i="1"/>
  <c r="I119" i="1"/>
  <c r="I120" i="1"/>
  <c r="I121" i="1"/>
  <c r="I122" i="1"/>
  <c r="I123" i="1"/>
  <c r="D118" i="1"/>
  <c r="D119" i="1"/>
  <c r="D120" i="1"/>
  <c r="D121" i="1"/>
  <c r="D122" i="1"/>
  <c r="D123" i="1"/>
  <c r="A25" i="3" l="1"/>
  <c r="A10" i="3"/>
  <c r="D1" i="3"/>
  <c r="G7" i="3"/>
  <c r="G6" i="3"/>
  <c r="G5" i="3"/>
  <c r="G4" i="3"/>
  <c r="D3" i="2"/>
  <c r="D4" i="2"/>
  <c r="Q22" i="3"/>
  <c r="J127" i="2" l="1"/>
</calcChain>
</file>

<file path=xl/sharedStrings.xml><?xml version="1.0" encoding="utf-8"?>
<sst xmlns="http://schemas.openxmlformats.org/spreadsheetml/2006/main" count="674" uniqueCount="330">
  <si>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</si>
  <si>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</si>
  <si>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</si>
  <si>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</si>
  <si>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</si>
  <si>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</si>
  <si>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</si>
  <si>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</si>
  <si>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</si>
  <si>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</si>
  <si>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</si>
  <si>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</si>
  <si>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</si>
  <si>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</si>
  <si>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</si>
  <si>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</si>
  <si>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PROD. MEDICO/FARMACEUTICOS/LAB</t>
  </si>
  <si>
    <t>Fco.Amp.</t>
  </si>
  <si>
    <t>2.5.2-1837.53</t>
  </si>
  <si>
    <t>HIPOTENSORES; TIPO: MONODROGA, DROGA GENERICA: ACETAZOLAMIDA 250 MG., FORMA FARMACEUTICA: COMPRIMIDO, PRESENTACION: UNIDAD</t>
  </si>
  <si>
    <t>Comp.</t>
  </si>
  <si>
    <t>2.5.2-1873.5</t>
  </si>
  <si>
    <t>ANTICOAGULANTES P/PERSONAS; TIPO: MONODROGA, DROGA GENERICA: ACENOCUMAROL, FORMA FARMACEUTICA: COMPRIMIDOS, PRESENTACION: 4 mGr</t>
  </si>
  <si>
    <t>2.5.2-1872.49</t>
  </si>
  <si>
    <t>ANTIANEMICOS; TIPO: MONODROGA, DROGA GENERICA: ACIDO FOLICO 5 MG, FORMA FARMACEUTICA: COMPRIMIDO, PRESENTACION: UNIDAD</t>
  </si>
  <si>
    <t>2.5.2-1873.18</t>
  </si>
  <si>
    <t>ANTICOAGULANTES P/PERSONAS; TIPO: MONODROGA, DROGA GENERICA: AMINOCAPROICO, FORMA FARMACEUTICA: AMPOLLA, PRESENTACION: 2 GR</t>
  </si>
  <si>
    <t>Amp.</t>
  </si>
  <si>
    <t>2.5.2-1834.10</t>
  </si>
  <si>
    <t>ANTIARRITMICOS; TIPO: MONODROGA, DROGA GENERICA: ADENOSINA 3 MG/ML, FORMA FARMACEUTICA: AMPOLLA, PRESENTACION: 6 mGr</t>
  </si>
  <si>
    <t>2.5.1-9037.24</t>
  </si>
  <si>
    <t xml:space="preserve">QUIMICOS </t>
  </si>
  <si>
    <t>PROTEINAS; COMPUESTO QUIMICO: ALBUMINA HUMANA, ESTADO: SOLUCION, CALIDAD: FARMACOPEA, CONCENTRACION/PUREZA: 20 %, PRESENTACION: ENVASE X 50 mL</t>
  </si>
  <si>
    <t>2.9.5-7813.18</t>
  </si>
  <si>
    <t>BOLSAS DE NUTRICION PARENTERAL; CAPACIDAD: 1000 A 3000 mL, USO: ADMINT SOLUC PARENTERAL</t>
  </si>
  <si>
    <t xml:space="preserve">Sachet </t>
  </si>
  <si>
    <t>2.5.2-1875.6</t>
  </si>
  <si>
    <t>ANTIASMATICO BRONCODILATADOR; TIPO: MONODROGA, FORMA FARMACEUTICA: AMPOLLA, PRESENTACION: 240 mGr, DROGA GENERICA: AMINOFILINA</t>
  </si>
  <si>
    <t>2.5.2-1834.2</t>
  </si>
  <si>
    <t>ANTIARRITMICOS; TIPO: MONODROGA, DROGA GENERICA: AMIODARONA, FORMA FARMACEUTICA: AMPOLLA, PRESENTACION: 150 mGr</t>
  </si>
  <si>
    <t>2.5.2-1837.82</t>
  </si>
  <si>
    <t>HIPOTENSORES; TIPO: MONODROGA, DROGA GENERICA: AMLODIPINA, FORMA FARMACEUTICA: COMPRIMIDO, PRESENTACION: 10 mGr</t>
  </si>
  <si>
    <t>2.5.2-1872.43</t>
  </si>
  <si>
    <t>ANTIANEMICOS; TIPO: ASOCIACION, DROGA GENERICA: HIERRO + AC. FOLICO + VIT. B12, FORMA FARMACEUTICA: AMPOLLA, PRESENTACION: ENVASE X 2 mL</t>
  </si>
  <si>
    <t>2.5.2-1843.63</t>
  </si>
  <si>
    <t>ANTIESPASMODICOS; TIPO: MONODROGA, DROGA GENERICA: ATROPINA 1%, FORMA FARMACEUTICA: AMPOLLA, PRESENTACION: ENVASE X 1 mL</t>
  </si>
  <si>
    <t>2.5.2-1863.9</t>
  </si>
  <si>
    <t>HIPOLIPEMIANTES; TIPO: MONODROGA, DROGA GENERICA: ATORVASTATIN, FORMA FARMACEUTICA: COMPRIMIDO, PRESENTACION: 10 mGr</t>
  </si>
  <si>
    <t>2.5.2-1821.72</t>
  </si>
  <si>
    <t>ANTIBIOTICOS P/PERSONAS; DROGA GENERICA: AMPICILINA + SULBACTAN, FORMA FARMACEUTICA: AMPOLLA, PRESENTACION: 1,5 GR, TIPO: ASOCIACION</t>
  </si>
  <si>
    <t>Fco/Amp</t>
  </si>
  <si>
    <t>2.5.2-1821.8</t>
  </si>
  <si>
    <t>ANTIBIOTICOS P/PERSONAS; TIPO: MONODROGA, DROGA GENERICA: AMPICILINA, FORMA FARMACEUTICA: AMPOLLA, PRESENTACION: 1 GR</t>
  </si>
  <si>
    <t>2.5.2-1871.89</t>
  </si>
  <si>
    <t>NEUROLEPTICOS; TIPO: MONODROGA, DROGA GENERICA: ARIPIPRAZOL, FORMA FARMACEUTICA: COMPRIMIDO, PRESENTACION: ENVASE X 10 mGr</t>
  </si>
  <si>
    <t>2.5.2-2199.3</t>
  </si>
  <si>
    <t>BLOQUEANTES NEUROMUSCULARES; DROGA GENERICA: ATRACURIO, FORMA FARMACEUTICA: AMPOLLA, PRESENTACION: 5 mGr, TIPO: MONODROGA</t>
  </si>
  <si>
    <t>2.5.2-1883.167</t>
  </si>
  <si>
    <t>ANESTESICOS LOCALES; TIPO: MONODROGA, DROGA GENERICA: BUPIVACAINA 0,5% HIPERBARICA, FORMA FARMACEUTICA: AMPOLLA, PRESENTACION: 4 mL</t>
  </si>
  <si>
    <t>2.5.2-1866.12</t>
  </si>
  <si>
    <t>ANTIPARKINSONIANOS; TIPO: MONODROGA, DROGA GENERICA: BIPERIDENO, FORMA FARMACEUTICA: COMPRIMIDO, PRESENTACION: 2 mGr</t>
  </si>
  <si>
    <t>Fco.</t>
  </si>
  <si>
    <t>2.5.2-2688.9</t>
  </si>
  <si>
    <t>ESTIMULANTES CENTRALES; TIPO: MONODROGA, FORMA FARMACEUTICA: AMPOLLA, DROGA GENERICA: CAFEINA, PRESENTACION: AL 25%</t>
  </si>
  <si>
    <t>2.5.2-1865.4</t>
  </si>
  <si>
    <t>ANTIEPILEPTICOS; TIPO: MONODROGA, FORMA FARMACEUTICA: COMPRIMIDO, DROGA GENERICA: CARBAMAZEPINA, PRESENTACION: 200 mGr</t>
  </si>
  <si>
    <t>2.5.2- 4704.56</t>
  </si>
  <si>
    <t>GOTAS OFTALMOLOGICAS; TIPO: ASOCIACION, DROGA GENERICA: CARBOXIPOLIMETILENO 1%, FORMA FARMACEUTICA: FRASCO X 10 mL</t>
  </si>
  <si>
    <t>2.5.2-1837.56</t>
  </si>
  <si>
    <t>HIPOTENSORES; TIPO: MONODROGA, DROGA GENERICA: CARVEDILOL, FORMA FARMACEUTICA: COMPRIMIDO, PRESENTACION: 12,5 mGr</t>
  </si>
  <si>
    <t>2.5.2-1821.321</t>
  </si>
  <si>
    <t>ANTIBIOTICOS P/PERSONAS; TIPO: MONODROGA, DROGA GENERICA: CEFALEXINA 500 mGr, FORMA FARMACEUTICA: COMPRIMIDO, PRESENTACION: 1 UN</t>
  </si>
  <si>
    <t>2.5.2-4817.30</t>
  </si>
  <si>
    <t>ANTIHIPERTENSIVOS; TIPO: MONODROGA, DROGA GENERICA: CLONIDINA, FORMA FARMACEUTICA: AMPOLLA, PRESENTACION: 0,15 mGr</t>
  </si>
  <si>
    <t>2.5.2-1868.51</t>
  </si>
  <si>
    <t>ANSIOLITICOS; TIPO: MONODROGA, DROGA GENERICA: CLORPROMAZINA, FORMA FARMACEUTICA: AMPOLLA, PRESENTACION: 50 mGr</t>
  </si>
  <si>
    <t>2.5.2-1868.44</t>
  </si>
  <si>
    <t>ANSIOLITICOS; TIPO: MONODROGA, DROGA GENERICA: CLORPROMAZINA, FORMA FARMACEUTICA: COMPRIMIDO, PRESENTACION: 25 mGr</t>
  </si>
  <si>
    <t>2.5.2-1872.58</t>
  </si>
  <si>
    <t>ANTIANEMICOS; TIPO: MONODROGA, DROGA GENERICA: COMPLEJO VITAMINICO B, FORMA FARMACEUTICA: AMPOLLA, PRESENTACION: 2 mL</t>
  </si>
  <si>
    <t>2.5.2-1816.10</t>
  </si>
  <si>
    <t>ANTIDIARREICOS; TIPO: ASOCIACION, DROGA GENERICA: GEL HIDROXIDO BISMUTO-PECTINA, FORMA FARMACEUTICA: SUSPENSION, PRESENTACION: 90 mL</t>
  </si>
  <si>
    <t>2.5.2-1821.43</t>
  </si>
  <si>
    <t>ANTIBIOTICOS P/PERSONAS; TIPO: MONODROGA, DROGA GENERICA: CLINDAMICINA, FORMA FARMACEUTICA: AMPOLLA, PRESENTACION: 600 mGr</t>
  </si>
  <si>
    <t>Fco.amp.</t>
  </si>
  <si>
    <t>2.5.2-1821.17</t>
  </si>
  <si>
    <t>ANTIBIOTICOS P/PERSONAS; DROGA GENERICA: CEFALOTINA SODICA, FORMA FARMACEUTICA: AMPOLLA, PRESENTACION: 1 GR, TIPO: MONODROGA</t>
  </si>
  <si>
    <t>2.5.2-1821.21</t>
  </si>
  <si>
    <t>ANTIBIOTICOS P/PERSONAS; TIPO: MONODROGA, FORMA FARMACEUTICA: AMPOLLA, PRESENTACION: 1 GR, DROGA GENERICA: CEFTAZIDIMA</t>
  </si>
  <si>
    <t>2.5.2-1821.521</t>
  </si>
  <si>
    <t>ANTIBIOTICOS; TIPO: ASOCIACION - DROGA GENERICA CIPROFLOXACINA 0,3% + DEXAMETASONA 0,1%; FORMA FARMACEUTICA: UNGÜENTO OFTALMOLOGICO</t>
  </si>
  <si>
    <t>2.5.2-1868.62</t>
  </si>
  <si>
    <t>ANSIOLITICOS; TIPO: MONODROGA, DROGA GENERICA: CLONAZEPAN 0,5 mGr, FORMA FARMACEUTICA: COMPRIMIDO, PRESENTACION: UNIDAD</t>
  </si>
  <si>
    <t>2.5.2-2200.2</t>
  </si>
  <si>
    <t>CORTICOIDES; DROGA GENERICA: DEXAMETASONA, FORMA FARMACEUTICA: AMPOLLA, PRESENTACION: 8 mGr, TIPO: MONODROGA</t>
  </si>
  <si>
    <t>2.5.2-2476.1</t>
  </si>
  <si>
    <t>ANTIALERGICOS-ANTIHISTAMINICOS; TIPO: MONODROGA, DROGA GENERICA: DIFENHIDRAMINA, FORMA FARMACEUTICA: AMPOLLA, PRESENTACION: 10 mL</t>
  </si>
  <si>
    <t>2.5.2-1868.68</t>
  </si>
  <si>
    <t>ANSIOLITICOS; TIPO: MONODROGA, DROGA GENERICA: DIAZEPAN 10 mGr, FORMA FARMACEUTICA: AMPOLLA, PRESENTACION: ENVASE X 2 mL</t>
  </si>
  <si>
    <t>2.5.2-1868.63</t>
  </si>
  <si>
    <t>ANSIOLITICOS; TIPO: MONODROGA, DROGA GENERICA: DIAZEPAN 5 mGr, FORMA FARMACEUTICA: COMPRIMIDO, PRESENTACION: UNIDAD</t>
  </si>
  <si>
    <t>2.5.2-4704.5</t>
  </si>
  <si>
    <t>GOTAS OFTALMOLOGICAS; TIPO: ASOCIACION, DROGA GENERICA: DORZOLAMIDA 20MG+TIMOL 5MG, FORMA FARMACEUTICA: FRASCO X 5 mL</t>
  </si>
  <si>
    <t>2.5.2-1724.6</t>
  </si>
  <si>
    <t>ANALGESICOS ; TIPO: MONODROGA, PRESENTACION: 1 GR, DROGA GENERICA: DIPIRONA, FORMA FARMACEUTICA: AMPOLLA</t>
  </si>
  <si>
    <t>2.5.2-1724.39</t>
  </si>
  <si>
    <t>ANALGESICOS ; TIPO: ASOCIACION, DROGA GENERICA: DIPIRONA, PRESENTACION: 2,5 GR, FORMA FARMACEUTICA: AMPOLLA</t>
  </si>
  <si>
    <t>2.5.2-1837.7</t>
  </si>
  <si>
    <t>HIPOTENSORES; DROGA GENERICA: ENALAPRIL, FORMA FARMACEUTICA: COMPRIMIDO, TIPO: MONODROGA, PRESENTACION: 10 mGr</t>
  </si>
  <si>
    <t>2.5.2-2693.4</t>
  </si>
  <si>
    <t>CARDIOTONICOS; TIPO: MONODROGA, DROGA GENERICA: DIGOXINA, FORMA FARMACEUTICA: COMPRIMIDO, PRESENTACION: 0,25 mGr</t>
  </si>
  <si>
    <t>2.5.2-1724.80</t>
  </si>
  <si>
    <t>ANALGESICOS ; TIPO: MONODROGA, DROGA GENERICA: ETILEFRINA CLORHIDRATO, FORMA FARMACEUTICA: AMPOLLA, PRESENTACION: 1 mL</t>
  </si>
  <si>
    <t>2.5.2-1873.30</t>
  </si>
  <si>
    <t>ANTICOAGULANTES P/PERSONAS; TIPO: MONODROGA, DROGA GENERICA: ENOXAPARINA X 40 mGr, FORMA FARMACEUTICA: JERINGA PRELLENADA, PRESENTACION: ENVASE X 10 UN</t>
  </si>
  <si>
    <t>Jer.prell.</t>
  </si>
  <si>
    <t>2.5.2-1834.3</t>
  </si>
  <si>
    <t>ANTIARRITMICOS; DROGA GENERICA: FENITOINA, FORMA FARMACEUTICA: COMPRIMIDO, PRESENTACION: 100 mGr, TIPO: MONODROGA</t>
  </si>
  <si>
    <t>Cáps.</t>
  </si>
  <si>
    <t>2.5.2-1865.37</t>
  </si>
  <si>
    <t>ANTIEPILEPTICOS; TIPO: MONODROGA, DROGA GENERICA: FENOBARBITAL, FORMA FARMACEUTICA: AMPOLLA, PRESENTACION: 100 mGr</t>
  </si>
  <si>
    <t>2.5.2-1883.159</t>
  </si>
  <si>
    <t>ANESTESICOS LOCALES; TIPO: MONODROGA, DROGA GENERICA: FENTANILO 250 mGr, FORMA FARMACEUTICA: AMPOLLA, PRESENTACION: UNIDAD</t>
  </si>
  <si>
    <t>2.5.2-4817.34</t>
  </si>
  <si>
    <t>ANTIHIPERTENSIVOS; TIPO: MONODROGA, DROGA GENERICA: FUROSEMIDA 40 MG, FORMA FARMACEUTICA: AMPOLLA, PRESENTACION: ENVASE HOSPITALARIO</t>
  </si>
  <si>
    <t>2.5.2-2481.37</t>
  </si>
  <si>
    <t>LAXANTES; TIPO: ASOCIACION - DROGA GENERICA FOSF.DISODICO+FOSF.MONOSODICO; FORMA FARMACEUTICA: JARABE; PRESENTACION FRASCO.</t>
  </si>
  <si>
    <t>2.5.2-1823.11</t>
  </si>
  <si>
    <t>ANTIMICOTICOS; TIPO: MONODROGA, DROGA GENERICA: FLUCONAZOL, FORMA FARMACEUTICA: AMPOLLA, PRESENTACION: 200 mGr</t>
  </si>
  <si>
    <t>Sachet</t>
  </si>
  <si>
    <t>2.5.2-1821.238</t>
  </si>
  <si>
    <t>ANTIBIOTICOS P/PERSONAS; TIPO: MONODROGA, DROGA GENERICA: FLUCONAZOL 100 MG, FORMA FARMACEUTICA: COMPRIMIDO, PRESENTACION: 100 mGr</t>
  </si>
  <si>
    <t>2.5.2-1871.17</t>
  </si>
  <si>
    <t>NEUROLEPTICOS; DROGA GENERICA: HALOPERIDOL DECANOATO, FORMA FARMACEUTICA: AMPOLLA, PRESENTACION: 1 mL, TIPO: MONODROGA</t>
  </si>
  <si>
    <t>2.5.2-1859.29</t>
  </si>
  <si>
    <t>INMUNOMODULADORES; TIPO: MONODROGA, DROGA GENERICA: INMUNOGLOBULINA G HUMANA, FORMA FARMACEUTICA: VIAL, PRESENTACION: 10 GR</t>
  </si>
  <si>
    <t>2.5.2-1821.4</t>
  </si>
  <si>
    <t>ANTIBIOTICOS P/PERSONAS; DROGA GENERICA: GENTAMICINA, FORMA FARMACEUTICA: AMPOLLA, PRESENTACION: 80 mGr, TIPO: MONODROGA</t>
  </si>
  <si>
    <t>2.5.2-1875.59</t>
  </si>
  <si>
    <t>ANTIASMATICO BRONCODILATADOR; TIPO: MONODROGA, DROGA GENERICA: BROMURO DE IPRATROPIO, FORMA FARMACEUTICA: AEROSOL, PRESENTACION: 15 mL</t>
  </si>
  <si>
    <t>FCO.</t>
  </si>
  <si>
    <t>2.5.2-1873.23</t>
  </si>
  <si>
    <t>ANTICOAGULANTES P/PERSONAS; TIPO: MONODROGA, DROGA GENERICA: HEPARINA CALCICA, FORMA FARMACEUTICA: AMPOLLA, PRESENTACION: 0,3 mL</t>
  </si>
  <si>
    <t>Amp</t>
  </si>
  <si>
    <t>2.5.2-1875.112</t>
  </si>
  <si>
    <t>ANTIASMATICO BRONCODILATADOR; TIPO: MONODROGA, DROGA GENERICA: HIDROCORTISONA 500 mGr/ML, FORMA FARMACEUTICA: AMPOLLA, PRESENTACION: ENVASE X 5 mGr</t>
  </si>
  <si>
    <t>2.5.2-1839.29</t>
  </si>
  <si>
    <t>VASODILATADORES CORONARIOS; TIPO: MONODROGA, DROGA GENERICA: ISOSORBIDE - DINITRATO 5 mGr, FORMA FARMACEUTICA: COMPRIMIDO, PRESENTACION: UNIDAD</t>
  </si>
  <si>
    <t>2.5.2-1861.34</t>
  </si>
  <si>
    <t>HIPOGLUCEMIANTES INYECTABLES; TIPO: MONODROGA, DROGA GENERICA: INSULINA HUMANA CORRIENTE 100 UI, FORMA FARMACEUTICA: AMPOLLA, PRESENTACION: ENVASE X 10 mL</t>
  </si>
  <si>
    <t>2.5.2-1724.23</t>
  </si>
  <si>
    <t>ANALGESICOS ; TIPO: MONODROGA, DROGA GENERICA: KETOROLAC, FORMA FARMACEUTICA: AMPOLLA, PRESENTACION: 30 mGr</t>
  </si>
  <si>
    <t>2.5.2-2804.1</t>
  </si>
  <si>
    <t>REGULADORES INTESTINALES; TIPO: MONODROGA, DROGA GENERICA: LACTULOSA, FORMA FARMACEUTICA: JARABE, PRESENTACION: 120 mL</t>
  </si>
  <si>
    <t>2.5.2-1871.8</t>
  </si>
  <si>
    <t>NEUROLEPTICOS; TIPO: MONODROGA, FORMA FARMACEUTICA: AMPOLLA, PRESENTACION: 25 mGr, DROGA GENERICA: LEVOMEPROMAZINA</t>
  </si>
  <si>
    <t>2.5.2-1871.7</t>
  </si>
  <si>
    <t>NEUROLEPTICOS; TIPO: MONODROGA, DROGA GENERICA: LEVOMEPROMAZINA, FORMA FARMACEUTICA: COMPRIMIDO, PRESENTACION: 25 mGr</t>
  </si>
  <si>
    <t>2.5.2-1903.20</t>
  </si>
  <si>
    <t>RECONSTITUYENTE GENERAL; TIPO: MONODROGA, DROGA GENERICA: HORMONA TIROIDEA LEVOTIROXINA, PRESENTACION: 100 mGr, FORMA FARMACEUTICA: COMPRIMIDO</t>
  </si>
  <si>
    <t>2.5.2-1883.182</t>
  </si>
  <si>
    <t>ANESTESICOS LOCALES; TIPO: MONODROGA, DROGA GENERICA: LIDOCAINA 2 %, FORMA FARMACEUTICA: JALEA, PRESENTACION: ENVASE X 50 mL</t>
  </si>
  <si>
    <t>pomo</t>
  </si>
  <si>
    <t>2.5.2-1883.15</t>
  </si>
  <si>
    <t>ANESTESICOS LOCALES; TIPO: MONODROGA, FORMA FARMACEUTICA: LIQUIDO, DROGA GENERICA: LIDOCAINA 2% S/EPINEFRINA, PRESENTACION: 20 mL</t>
  </si>
  <si>
    <t>2.5.2-1883.19</t>
  </si>
  <si>
    <t>ANESTESICOS LOCALES; TIPO: MONODROGA, DROGA GENERICA: LIDOCAINA VISCOSA, FORMA FARMACEUTICA: ENVASE, PRESENTACION: 50 mL</t>
  </si>
  <si>
    <t>2.5.2-1883.111</t>
  </si>
  <si>
    <t>ANESTESICOS LOCALES; TIPO: ASOCIACION, DROGA GENERICA: LIDOCAINA 2% C/EPINEFRINA, FORMA FARMACEUTICA: FRASCO AMPOLLA, PRESENTACION: 20 mL</t>
  </si>
  <si>
    <t>2.5.2-1842.2</t>
  </si>
  <si>
    <t>PROQUINETICO; TIPO: MONODROGA, DROGA GENERICA: METOCLOPRAMIDA, FORMA FARMACEUTICA: AMPOLLA, PRESENTACION: 10 mGr</t>
  </si>
  <si>
    <t>2.5.2-1821.463</t>
  </si>
  <si>
    <t>ANTIBIOTICOS P/PERSONAS; TIPO: MONODROGA, DROGA GENERICA: MEROPENEM 1000 mGr, FORMA FARMACEUTICA: AMPOLLA, PRESENTACION: UNIDAD</t>
  </si>
  <si>
    <t>2.5.2-2806.1</t>
  </si>
  <si>
    <t>ANTAGONISTAS DE NARCOTICOS; TIPO: MONODROGA, DROGA GENERICA: NALOXONA, FORMA FARMACEUTICA: AMPOLLA, PRESENTACION: 0,4 mGr</t>
  </si>
  <si>
    <t>2.5.2-1867.16</t>
  </si>
  <si>
    <t>VASODILATADORES CEREBRALES; TIPO: MONODROGA, DROGA GENERICA: NIMODIPINA, FORMA FARMACEUTICA: COMPRIMIDO, PRESENTACION: 60 mg</t>
  </si>
  <si>
    <t xml:space="preserve">Comp. </t>
  </si>
  <si>
    <t>2.5.2-1823.3</t>
  </si>
  <si>
    <t>ANTIMICOTICOS; DROGA GENERICA: NISTATINA 100.000 C/ML, PRESENTACION: SIN VALOR, FORMA FARMACEUTICA: SUSPENCION ORAL, TIPO: MONODROGA</t>
  </si>
  <si>
    <t>2.5.2-1724.152</t>
  </si>
  <si>
    <t>ANALGESICOS ; TIPO: MONODROGA, DROGA GENERICA: PARACETAMOL 500 mGr, FORMA FARMACEUTICA: COMPRIMIDO, PRESENTACION: ENVASE X 20 UN</t>
  </si>
  <si>
    <t xml:space="preserve">BLISTER </t>
  </si>
  <si>
    <t>2.5.2-1869.11</t>
  </si>
  <si>
    <t>ANTIDEPRESIVOS; TIPO: MONODROGA, DROGA GENERICA: PAROXETINA, FORMA FARMACEUTICA: COMPRIMIDO, PRESENTACION: 20 mGr</t>
  </si>
  <si>
    <t>2.5.2-2233.23</t>
  </si>
  <si>
    <t>ANTICONVULSIVANTES; TIPO: MONODROGA, DROGA GENERICA: PREGABALINA 75 mGr, FORMA FARMACEUTICA: COMPRIMIDO, PRESENTACION: UNIDAD</t>
  </si>
  <si>
    <t>2.5.2-1857.43</t>
  </si>
  <si>
    <t>ANTIPARASITARIOS; TIPO: ASOCIACION, DROGA GENERICA: PERMETRINA + BENCILO BENZ, FORMA FARMACEUTICA: LOCION, PRESENTACION: ENVASE X 100 mL</t>
  </si>
  <si>
    <t>2.5.2-1821.77</t>
  </si>
  <si>
    <t>ANTIBIOTICOS P/PERSONAS; TIPO: ASOCIACION, DROGA GENERICA: PIPERACILINA+TAZOBACTAN, FORMA FARMACEUTICA: AMPOLLA, PRESENTACION: 4,5 GR</t>
  </si>
  <si>
    <t>2.5.2-1837.67</t>
  </si>
  <si>
    <t>HIPOTENSORES; TIPO: MONODROGA, DROGA GENERICA: PROPANOLOL 40 mGr, FORMA FARMACEUTICA: COMPRIMIDO, PRESENTACION: UNIDAD</t>
  </si>
  <si>
    <t>2.5.2-7316.5</t>
  </si>
  <si>
    <t>ANTIPSICOTICOS; PRESENTACION: COMPRIMIDOS, TIPO: MONODROGA, DROGA GENERICA: QUETIAPINA 100 mGr</t>
  </si>
  <si>
    <t>2.5.2-1822.6</t>
  </si>
  <si>
    <t>ANTIMICOBACTERIAS; TIPO: MONODROGA, DROGA GENERICA: RIFAMPICINA, PRESENTACION: 300 mGr, FORMA FARMACEUTICA: CAPSULA</t>
  </si>
  <si>
    <t>Caps.</t>
  </si>
  <si>
    <t>2.5.2-1871.86</t>
  </si>
  <si>
    <t>NEUROLEPTICOS; TIPO: MONODROGA, DROGA GENERICA: RISPERIDONA, FORMA FARMACEUTICA: COMPRIMIDO, PRESENTACION: 0,50 mGr</t>
  </si>
  <si>
    <t>2.5.2-7316.17</t>
  </si>
  <si>
    <t>ANTIPSICOTICOS; PRESENTACION: COMPRIMIDO, TIPO: MONODROGA, DROGA GENERICA: RISPERIDONA 2 MG</t>
  </si>
  <si>
    <t>2.5.2-1871.24</t>
  </si>
  <si>
    <t>NEUROLEPTICOS; TIPO: MONODROGA, DROGA GENERICA: RISPERIDONA, FORMA FARMACEUTICA: COMPRIMIDO, PRESENTACION: 3 mGr</t>
  </si>
  <si>
    <t>2.5.2-1875.13</t>
  </si>
  <si>
    <t>ANTIASMATICO BRONCODILATADOR; TIPO: MONODROGA, DROGA GENERICA: SALBUTAMOL, FORMA FARMACEUTICA: AEROSOL, PRESENTACION: 200 DOSIS</t>
  </si>
  <si>
    <t>2.5.2-1883.13</t>
  </si>
  <si>
    <t>ANESTESICOS LOCALES; TIPO: MONODROGA, FORMA FARMACEUTICA: AMPOLLA, PRESENTACION: 250 mL, DROGA GENERICA: SEVOFLUORANO</t>
  </si>
  <si>
    <t>2.5.2-1726.371</t>
  </si>
  <si>
    <t>SOLUCIONES P/MEDICINA; TIPO: SULFATO DE MAGNESIO AL 25%, PRESENTACION: ENVASE X 5 mL</t>
  </si>
  <si>
    <t>2.5.2-1821.402</t>
  </si>
  <si>
    <t>ANTIBIOTICOS P/PERSONAS; TIPO: MONODROGA, DROGA GENERICA: ESTREPTOQUINASA 1,500,000 UI, FORMA FARMACEUTICA: AMPOLLA, PRESENTACION: UNIDAD</t>
  </si>
  <si>
    <t>2.5.2-1821.344</t>
  </si>
  <si>
    <t>ANTIBIOTICOS P/PERSONAS; TIPO: MONODROGA, DROGA GENERICA: VANCOMICINA 500, FORMA FARMACEUTICA: FRASCO AMPOLLA, PRESENTACION: UNIDAD</t>
  </si>
  <si>
    <t>2.5.2-1726.517</t>
  </si>
  <si>
    <t>SOLUCIONES P/MEDICINA; TIPO: GELATINA SUCCINILADA 4% + CLORURO DE SODIO + HIDROXIDO DE SODIO, PRESENTACION: SACHET x 500mL</t>
  </si>
  <si>
    <t>2.5.2-1726.9</t>
  </si>
  <si>
    <t>SOLUCIONES P/MEDICINA; TIPO: BICARBONATO 1 MOLAR, PRESENTACION: SACHET DE 100 mL</t>
  </si>
  <si>
    <t>2.5.2-1726.4</t>
  </si>
  <si>
    <t>SOLUCIONES P/MEDICINA; TIPO: DEXTROSA 5% EN SOL. SALINA, PRESENTACION: 500 CM3</t>
  </si>
  <si>
    <t>2.5.2-1726.14</t>
  </si>
  <si>
    <t>SOLUCIONES P/MEDICINA; PRESENTACION: SACHET X 500 mL, TIPO: DEXTROSA AL 10 %</t>
  </si>
  <si>
    <t>2.5.2-1726.377</t>
  </si>
  <si>
    <t>SOLUCIONES P/MEDICINA; TIPO: DEXTROSA AL 25 %, PRESENTACION: ENVASE X 500 mL</t>
  </si>
  <si>
    <t>2.5.2-1726.378</t>
  </si>
  <si>
    <t>SOLUCIONES P/MEDICINA; TIPO: DEXTROSA AL 50 %, PRESENTACION: ENVASE X 500 mL</t>
  </si>
  <si>
    <t>2.5.2-1726.182</t>
  </si>
  <si>
    <t>SOLUCIONES P/MEDICINA; TIPO: RINGER LACTATO, PRESENTACION: ENVASE X 500 mL</t>
  </si>
  <si>
    <t>2.5.2-1903.89</t>
  </si>
  <si>
    <t>RECONSTITUYENTE GENERAL; TIPO: MONODROGA, DROGA GENERICA: CALCIO CARBONATO, FORMA FARMACEUTICA: COMPRIMIDO, PRESENTACION: 500 mGr</t>
  </si>
  <si>
    <t>2.5.2-1872.51</t>
  </si>
  <si>
    <t>ANTIANEMICOS; TIPO: MONODROGA, DROGA GENERICA:  ERITROPOYETINA HUMANA, FORMA FARMACEUTICA: FRASCO AMPOLLA 3000UI, PRESENTACION: UNIDAD</t>
  </si>
  <si>
    <t>2.5.2-2481.32</t>
  </si>
  <si>
    <t>LAXANTES; TIPO: MONODROGA, DROGA GENERICA: PICOSULFATO DE SODIO, FORMA FARMACEUTICA: GOTAS, PRESENTACION: ENVASE X 30 mL</t>
  </si>
  <si>
    <t>2.5.2-1726.405</t>
  </si>
  <si>
    <t>SOLUCIONES P/MEDICINA; TIPO: HIDROXIETIL ALMIDON, PRESENTACION: ENVASE X 500 mL</t>
  </si>
  <si>
    <t>2.5.2-3112.9</t>
  </si>
  <si>
    <t>BACTERICIDAS; TIPO: ASOCIACION, DROGA GENERICA: SULFAMETOXAZOL + TRIMETOPRIMA, PRESENTACION: AMPOLLA</t>
  </si>
  <si>
    <t>2.5.2-1726.429</t>
  </si>
  <si>
    <t>SOLUCIONES P/MEDICINA; TIPO: SULFATO DE BARIO 94,7 %, PRESENTACION: ENVASE X 340 GR</t>
  </si>
  <si>
    <t>2.5.2-1726.387</t>
  </si>
  <si>
    <t>SOLUCIONES P/MEDICINA; TIPO: SULFATO DE BARIO 66.7%, PRESENTACION: ENVASE X 500 mL</t>
  </si>
  <si>
    <t>2.5.2-1901.39</t>
  </si>
  <si>
    <t>VITAMINAS; TIPO: MONODROGA, DROGA GENERICA: VITAMINA K, FORMA FARMACEUTICA: AMPOLLA, PRESENTACION: 10 mGr</t>
  </si>
  <si>
    <t>2.5.2-1821.296</t>
  </si>
  <si>
    <t>ANTIBIOTICOS P/PERSONAS; TIPO: SIN VALOR, DROGA GENERICA: TOBRAMICINA + DEXA +NAFAZOLINA, FORMA FARMACEUTICA: COLIRIO, PRESENTACION: 5 mL</t>
  </si>
  <si>
    <t>2.5.2-8784.12</t>
  </si>
  <si>
    <t>ANTIHEMOFILICOS; DROGA GENERICA: FACTOR COAG.II, VII, IX, X, FORMA FARMACEUTICA: FRASCO AMPOLLA, PRESENTACION: 500 UI, TIPO: ASOCIACION</t>
  </si>
  <si>
    <t>2.5.2-1726.514</t>
  </si>
  <si>
    <t>SOLUCIONES P/MEDICINA; TIPO: Gadoterato de meglumina (solución inyectable intravenosa) – Presentación: frasco ampolla x 15 ml. Contraste para Resonancia Magnética</t>
  </si>
  <si>
    <t>2.5.2-1726.512</t>
  </si>
  <si>
    <t>SOLUCIONES P/MEDICINA; TIPO: DIATRIZOATO DE MEGLUMINA + DIATRIZOATO DE SODIO; PRESENTACION: FRASCO x 120 ml.</t>
  </si>
  <si>
    <t>2.5.2-1726.513</t>
  </si>
  <si>
    <t>SOLUCIONES P/MEDICINA; TIPO: AMIDOTRIZOATO DE MEGLUMINA 50 MG X 50 ML; PRESENTACION: FRASCO/AMPOLLA</t>
  </si>
  <si>
    <t>2.5.2-1726.518</t>
  </si>
  <si>
    <t>SOLUCIONES P/MEDICINA; TIPO: AMIDOTRIZOATO DE MEGLUMINA 60 MG X 50 ML; PRESENTACION: FRASCO/AMPOLLA</t>
  </si>
  <si>
    <t>SOLUCIONES P/MEDICINA; TIPO: CONTRASTE P/RESONANCIA - GADOBUTROL 7,5 ML; PRESENTACION: FRASCO/AMPOLLA</t>
  </si>
  <si>
    <t>Frasco</t>
  </si>
  <si>
    <t>2.5.2-711.32</t>
  </si>
  <si>
    <t>ALCOHOL USO MEDICINAL; PUREZA: 96 %, PRESENTACION: ENVASE X 1000 CM3</t>
  </si>
  <si>
    <t>LITRO</t>
  </si>
  <si>
    <t>2.5.2-711.13</t>
  </si>
  <si>
    <t>ALCOHOL USO MEDICINAL; PUREZA: 99,8 %, CAPACIDAD: 1 L, PRESENTACION: ENVASE X 1 L</t>
  </si>
  <si>
    <t>Especificidades Item N° 08:</t>
  </si>
  <si>
    <t>Descripción técnica</t>
  </si>
  <si>
    <t>Plazos y lugares de entrega</t>
  </si>
  <si>
    <t>Calidad Minima esperada</t>
  </si>
  <si>
    <t>Mantenimiento</t>
  </si>
  <si>
    <t>Garantia</t>
  </si>
  <si>
    <t>SULFATO DE BARIO DIF ORAL 340 GR POLVO</t>
  </si>
  <si>
    <t>SULFATO DE BARIO DIF RECTAL 500 ML</t>
  </si>
  <si>
    <t>NOTA DE PEDIDO</t>
  </si>
  <si>
    <t>N°</t>
  </si>
  <si>
    <t>381 - 2020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</si>
  <si>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</si>
  <si>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</si>
  <si>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</si>
  <si>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</si>
  <si>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</si>
  <si>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de Farmacia</t>
  </si>
  <si>
    <t>PERIODO UTILIZACIÓN:</t>
  </si>
  <si>
    <t>OBJETO:</t>
  </si>
  <si>
    <t xml:space="preserve">Adquisición de Medicamentos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</si>
  <si>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</si>
  <si>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</si>
  <si>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</si>
  <si>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</si>
  <si>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</si>
  <si>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</si>
  <si>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</si>
  <si>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</si>
  <si>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</si>
  <si>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</si>
  <si>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</si>
  <si>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</si>
  <si>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</si>
  <si>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</si>
  <si>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</si>
  <si>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</si>
  <si>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</si>
  <si>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</si>
  <si>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</si>
  <si>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</si>
  <si>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</si>
  <si>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</si>
  <si>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</si>
  <si>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</si>
  <si>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</si>
  <si>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</si>
  <si>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</si>
  <si>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</si>
  <si>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</si>
  <si>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</si>
  <si>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</si>
  <si>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Productos Farmaceuticos y Medicinales</t>
  </si>
  <si>
    <t>Ut. Menores Med. Quirurg. Y de Laborat.</t>
  </si>
  <si>
    <t>JUSTIFICACIÓN:</t>
  </si>
  <si>
    <t xml:space="preserve">Bolsa de Nutricion Enteral - Aminoacidos glucosa lipidos electrolitos 2200kcal  x 1970ml T/clinomel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</si>
  <si>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</t>
  </si>
  <si>
    <t>Indicar Marca y Numero de Certificado de ANMAT por ítem.</t>
  </si>
  <si>
    <t>VENCIMIENTO DE MEDICAMENTOS: UN PLAZO NO MENOR A 24 MESES DE LA FECHA DE RECEPCION</t>
  </si>
  <si>
    <t>Plazo de Entrega: 10 dias habiles - Lugar de Entrega: Servicio de Farmacia - Mantenimiento de Oferta: 45 dias habiles</t>
  </si>
  <si>
    <t>Compuestos Quimicos</t>
  </si>
  <si>
    <t xml:space="preserve">Especificidades Item N° 103 : </t>
  </si>
  <si>
    <t xml:space="preserve">Especificidades Item N° 104 : </t>
  </si>
  <si>
    <t>2.5.2-1726.23</t>
  </si>
  <si>
    <t>2.5.2.</t>
  </si>
  <si>
    <t>SOLUCIONES P/MEDICINA; PRESENTACION: ENVASE X 500 mL, TIPO: FISIOLOGICA</t>
  </si>
  <si>
    <t>Costo total estimado: Pesos Treinta y cuatro millones treinta y seis mil doscientos sesenta con 91/100.----</t>
  </si>
  <si>
    <t>TOTAL DE PESOS: TREINTA Y CUATRO MILLONES TREINTA Y SEIS MIL DOSCIENTOS SESENTA CON 91/100.--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</si>
</sst>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_-[$$-2C0A]\ * #,##0.00_-;\-[$$-2C0A]\ * #,##0.00_-;_-[$$-2C0A]\ * &quot;-&quot;??_-;_-@_-"/>
    <numFmt numFmtId="166" formatCode="[$$-2C0A]\ #,##0.00"/>
    <numFmt numFmtId="167" formatCode="_-* #,##0.00&quot; €&quot;_-;\-* #,##0.00&quot; €&quot;_-;_-* \-??&quot; €&quot;_-;_-@_-"/>
    <numFmt numFmtId="168" formatCode="[$$-2C0A]\ #,##0.00;[$$-2C0A]&quot; -&quot;#,##0.00"/>
    <numFmt numFmtId="169" formatCode="_(\$* #,##0.00_);_(\$* \(#,##0.00\);_(\$* \-??_);_(@_)"/>
    <numFmt numFmtId="170" formatCode="dd\-mm\-yy;@"/>
  </numFmts>
  <fonts count="32" x14ac:knownFonts="1">
    <font>
      <sz val="10"/>
      <name val="Arial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9"/>
      <color rgb="FF000000"/>
      <name val="Times New Roman"/>
      <family val="1"/>
    </font>
    <font>
      <sz val="9"/>
      <name val="Palatino Linotype"/>
      <family val="1"/>
    </font>
    <font>
      <sz val="9"/>
      <name val="Century Gothic"/>
      <family val="2"/>
    </font>
    <font>
      <b/>
      <sz val="9"/>
      <name val="Century Gothic"/>
      <family val="2"/>
    </font>
    <font>
      <sz val="10"/>
      <name val="Palatino Linotype"/>
      <family val="1"/>
    </font>
    <font>
      <sz val="9"/>
      <name val="Arial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sz val="8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167" fontId="1" fillId="0" borderId="0" applyBorder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14" applyProtection="0"/>
    <xf numFmtId="169" fontId="18" fillId="0" borderId="0" applyBorder="0" applyProtection="0"/>
    <xf numFmtId="0" fontId="19" fillId="5" borderId="0" applyBorder="0" applyProtection="0"/>
    <xf numFmtId="0" fontId="1" fillId="0" borderId="0"/>
    <xf numFmtId="0" fontId="1" fillId="0" borderId="0"/>
  </cellStyleXfs>
  <cellXfs count="158">
    <xf numFmtId="0" fontId="0" fillId="0" borderId="0" xfId="0"/>
    <xf numFmtId="0" fontId="2" fillId="0" borderId="0" xfId="2" applyFont="1"/>
    <xf numFmtId="0" fontId="6" fillId="0" borderId="0" xfId="2" applyFont="1" applyAlignment="1">
      <alignment horizontal="center" wrapText="1"/>
    </xf>
    <xf numFmtId="0" fontId="5" fillId="2" borderId="0" xfId="2" applyFont="1" applyFill="1" applyAlignment="1">
      <alignment horizontal="left" wrapText="1" indent="1"/>
    </xf>
    <xf numFmtId="0" fontId="7" fillId="3" borderId="0" xfId="2" applyFont="1" applyFill="1" applyAlignment="1">
      <alignment horizontal="left" wrapText="1"/>
    </xf>
    <xf numFmtId="0" fontId="6" fillId="0" borderId="0" xfId="2" applyFont="1" applyAlignment="1">
      <alignment horizontal="left" wrapText="1"/>
    </xf>
    <xf numFmtId="0" fontId="7" fillId="0" borderId="1" xfId="2" applyFont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5" fontId="11" fillId="3" borderId="1" xfId="3" applyNumberFormat="1" applyFont="1" applyFill="1" applyBorder="1" applyAlignment="1">
      <alignment vertical="center" wrapText="1"/>
    </xf>
    <xf numFmtId="0" fontId="13" fillId="3" borderId="4" xfId="2" applyFont="1" applyFill="1" applyBorder="1" applyAlignment="1">
      <alignment horizontal="center" vertical="center"/>
    </xf>
    <xf numFmtId="0" fontId="2" fillId="3" borderId="0" xfId="2" applyFont="1" applyFill="1"/>
    <xf numFmtId="0" fontId="14" fillId="3" borderId="1" xfId="2" applyFont="1" applyFill="1" applyBorder="1" applyAlignment="1">
      <alignment horizontal="center" vertical="center"/>
    </xf>
    <xf numFmtId="165" fontId="12" fillId="3" borderId="2" xfId="3" applyNumberFormat="1" applyFont="1" applyFill="1" applyBorder="1" applyAlignment="1">
      <alignment vertical="center" wrapText="1"/>
    </xf>
    <xf numFmtId="165" fontId="12" fillId="3" borderId="3" xfId="3" applyNumberFormat="1" applyFont="1" applyFill="1" applyBorder="1" applyAlignment="1">
      <alignment vertical="center" wrapText="1"/>
    </xf>
    <xf numFmtId="0" fontId="11" fillId="3" borderId="2" xfId="2" applyFont="1" applyFill="1" applyBorder="1" applyAlignment="1">
      <alignment vertical="center"/>
    </xf>
    <xf numFmtId="0" fontId="11" fillId="3" borderId="3" xfId="2" applyFont="1" applyFill="1" applyBorder="1" applyAlignment="1">
      <alignment vertical="center"/>
    </xf>
    <xf numFmtId="0" fontId="12" fillId="3" borderId="4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justify" vertical="center"/>
    </xf>
    <xf numFmtId="166" fontId="14" fillId="3" borderId="2" xfId="2" applyNumberFormat="1" applyFont="1" applyFill="1" applyBorder="1" applyAlignment="1">
      <alignment vertical="center"/>
    </xf>
    <xf numFmtId="166" fontId="14" fillId="3" borderId="3" xfId="2" applyNumberFormat="1" applyFont="1" applyFill="1" applyBorder="1" applyAlignment="1">
      <alignment vertical="center"/>
    </xf>
    <xf numFmtId="164" fontId="14" fillId="3" borderId="2" xfId="2" applyNumberFormat="1" applyFont="1" applyFill="1" applyBorder="1" applyAlignment="1">
      <alignment vertical="center"/>
    </xf>
    <xf numFmtId="164" fontId="14" fillId="3" borderId="3" xfId="2" applyNumberFormat="1" applyFont="1" applyFill="1" applyBorder="1" applyAlignment="1">
      <alignment vertical="center"/>
    </xf>
    <xf numFmtId="0" fontId="15" fillId="3" borderId="2" xfId="2" applyFont="1" applyFill="1" applyBorder="1" applyAlignment="1">
      <alignment vertical="center"/>
    </xf>
    <xf numFmtId="0" fontId="15" fillId="3" borderId="3" xfId="2" applyFont="1" applyFill="1" applyBorder="1" applyAlignment="1">
      <alignment vertical="center"/>
    </xf>
    <xf numFmtId="0" fontId="15" fillId="3" borderId="3" xfId="2" applyFont="1" applyFill="1" applyBorder="1" applyAlignment="1">
      <alignment horizontal="justify" vertical="center"/>
    </xf>
    <xf numFmtId="0" fontId="14" fillId="3" borderId="5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 wrapText="1"/>
    </xf>
    <xf numFmtId="166" fontId="14" fillId="3" borderId="0" xfId="2" applyNumberFormat="1" applyFont="1" applyFill="1" applyBorder="1" applyAlignment="1">
      <alignment vertical="center"/>
    </xf>
    <xf numFmtId="0" fontId="15" fillId="3" borderId="0" xfId="2" applyFont="1" applyFill="1" applyBorder="1" applyAlignment="1">
      <alignment vertical="center"/>
    </xf>
    <xf numFmtId="0" fontId="2" fillId="3" borderId="0" xfId="2" applyFont="1" applyFill="1" applyAlignment="1">
      <alignment horizontal="center"/>
    </xf>
    <xf numFmtId="0" fontId="2" fillId="0" borderId="0" xfId="2" applyFont="1" applyAlignment="1">
      <alignment horizontal="center"/>
    </xf>
    <xf numFmtId="0" fontId="16" fillId="0" borderId="6" xfId="2" applyFont="1" applyBorder="1"/>
    <xf numFmtId="0" fontId="2" fillId="0" borderId="7" xfId="2" applyFont="1" applyBorder="1"/>
    <xf numFmtId="0" fontId="2" fillId="0" borderId="8" xfId="2" applyFont="1" applyBorder="1"/>
    <xf numFmtId="0" fontId="2" fillId="0" borderId="9" xfId="2" applyFont="1" applyBorder="1"/>
    <xf numFmtId="0" fontId="2" fillId="0" borderId="0" xfId="2" applyFont="1" applyBorder="1"/>
    <xf numFmtId="0" fontId="2" fillId="0" borderId="10" xfId="2" applyFont="1" applyBorder="1"/>
    <xf numFmtId="0" fontId="16" fillId="0" borderId="9" xfId="2" applyFont="1" applyBorder="1" applyAlignment="1">
      <alignment horizontal="left" indent="3"/>
    </xf>
    <xf numFmtId="0" fontId="2" fillId="0" borderId="9" xfId="2" applyFont="1" applyBorder="1" applyAlignment="1">
      <alignment horizontal="left" indent="3"/>
    </xf>
    <xf numFmtId="0" fontId="2" fillId="0" borderId="0" xfId="2" applyFont="1" applyBorder="1" applyAlignment="1">
      <alignment horizontal="center" wrapText="1"/>
    </xf>
    <xf numFmtId="0" fontId="2" fillId="0" borderId="10" xfId="2" applyFont="1" applyBorder="1" applyAlignment="1">
      <alignment horizontal="center" wrapText="1"/>
    </xf>
    <xf numFmtId="0" fontId="2" fillId="0" borderId="11" xfId="2" applyFont="1" applyBorder="1" applyAlignment="1">
      <alignment horizontal="left" indent="3"/>
    </xf>
    <xf numFmtId="0" fontId="2" fillId="0" borderId="12" xfId="2" applyFont="1" applyBorder="1"/>
    <xf numFmtId="0" fontId="2" fillId="0" borderId="13" xfId="2" applyFont="1" applyBorder="1"/>
    <xf numFmtId="0" fontId="20" fillId="0" borderId="15" xfId="2" applyFont="1" applyBorder="1" applyAlignment="1">
      <alignment horizontal="right" vertical="center"/>
    </xf>
    <xf numFmtId="0" fontId="21" fillId="2" borderId="16" xfId="2" applyFont="1" applyFill="1" applyBorder="1" applyAlignment="1">
      <alignment horizontal="center" vertical="center"/>
    </xf>
    <xf numFmtId="0" fontId="18" fillId="0" borderId="0" xfId="2" applyFont="1" applyBorder="1" applyAlignment="1">
      <alignment vertical="center"/>
    </xf>
    <xf numFmtId="0" fontId="20" fillId="0" borderId="17" xfId="2" applyFont="1" applyBorder="1" applyAlignment="1">
      <alignment vertical="center"/>
    </xf>
    <xf numFmtId="0" fontId="20" fillId="0" borderId="0" xfId="2" applyFont="1" applyBorder="1" applyAlignment="1">
      <alignment vertical="center"/>
    </xf>
    <xf numFmtId="0" fontId="22" fillId="0" borderId="0" xfId="2" applyFont="1" applyBorder="1" applyAlignment="1">
      <alignment horizontal="left" vertical="center"/>
    </xf>
    <xf numFmtId="0" fontId="21" fillId="0" borderId="0" xfId="2" applyFont="1" applyBorder="1" applyAlignment="1">
      <alignment horizontal="left" vertical="center" wrapText="1" indent="1"/>
    </xf>
    <xf numFmtId="0" fontId="24" fillId="0" borderId="23" xfId="2" applyFont="1" applyBorder="1" applyAlignment="1">
      <alignment horizontal="center" vertical="center"/>
    </xf>
    <xf numFmtId="0" fontId="24" fillId="3" borderId="23" xfId="2" applyFont="1" applyFill="1" applyBorder="1" applyAlignment="1">
      <alignment horizontal="left" vertical="center"/>
    </xf>
    <xf numFmtId="0" fontId="24" fillId="2" borderId="23" xfId="2" applyFont="1" applyFill="1" applyBorder="1" applyAlignment="1">
      <alignment horizontal="center" vertical="center"/>
    </xf>
    <xf numFmtId="0" fontId="24" fillId="3" borderId="23" xfId="2" applyFont="1" applyFill="1" applyBorder="1" applyAlignment="1">
      <alignment horizontal="center" vertical="center" wrapText="1"/>
    </xf>
    <xf numFmtId="168" fontId="24" fillId="3" borderId="23" xfId="1" applyNumberFormat="1" applyFont="1" applyFill="1" applyBorder="1" applyAlignment="1" applyProtection="1">
      <alignment horizontal="right" vertical="center" wrapText="1"/>
    </xf>
    <xf numFmtId="3" fontId="24" fillId="3" borderId="23" xfId="2" applyNumberFormat="1" applyFont="1" applyFill="1" applyBorder="1" applyAlignment="1">
      <alignment horizontal="center" vertical="center"/>
    </xf>
    <xf numFmtId="0" fontId="1" fillId="0" borderId="0" xfId="2"/>
    <xf numFmtId="3" fontId="25" fillId="0" borderId="0" xfId="2" applyNumberFormat="1" applyFont="1" applyBorder="1" applyAlignment="1"/>
    <xf numFmtId="170" fontId="1" fillId="0" borderId="0" xfId="2" applyNumberFormat="1" applyAlignment="1">
      <alignment horizontal="left"/>
    </xf>
    <xf numFmtId="0" fontId="1" fillId="0" borderId="0" xfId="2" applyAlignment="1">
      <alignment horizontal="left"/>
    </xf>
    <xf numFmtId="0" fontId="18" fillId="0" borderId="0" xfId="2" applyFont="1"/>
    <xf numFmtId="0" fontId="1" fillId="0" borderId="0" xfId="2" applyBorder="1"/>
    <xf numFmtId="0" fontId="1" fillId="0" borderId="15" xfId="2" applyBorder="1"/>
    <xf numFmtId="0" fontId="1" fillId="0" borderId="30" xfId="2" applyBorder="1"/>
    <xf numFmtId="0" fontId="1" fillId="0" borderId="17" xfId="2" applyBorder="1"/>
    <xf numFmtId="0" fontId="1" fillId="0" borderId="17" xfId="2" applyBorder="1" applyAlignment="1">
      <alignment horizontal="left"/>
    </xf>
    <xf numFmtId="0" fontId="1" fillId="0" borderId="31" xfId="2" applyBorder="1"/>
    <xf numFmtId="0" fontId="29" fillId="0" borderId="34" xfId="2" applyFont="1" applyBorder="1" applyAlignment="1">
      <alignment horizontal="center" vertical="center"/>
    </xf>
    <xf numFmtId="0" fontId="29" fillId="0" borderId="35" xfId="2" applyFont="1" applyBorder="1" applyAlignment="1">
      <alignment horizontal="center" vertical="center"/>
    </xf>
    <xf numFmtId="0" fontId="29" fillId="0" borderId="35" xfId="2" applyFont="1" applyBorder="1" applyAlignment="1">
      <alignment horizontal="left" vertical="center"/>
    </xf>
    <xf numFmtId="0" fontId="29" fillId="0" borderId="36" xfId="2" applyFont="1" applyBorder="1" applyAlignment="1">
      <alignment horizontal="center" vertical="center"/>
    </xf>
    <xf numFmtId="0" fontId="29" fillId="0" borderId="29" xfId="2" applyFont="1" applyBorder="1" applyAlignment="1">
      <alignment horizontal="center" vertical="center"/>
    </xf>
    <xf numFmtId="0" fontId="1" fillId="0" borderId="37" xfId="2" applyFont="1" applyBorder="1" applyAlignment="1">
      <alignment horizontal="center" vertical="center"/>
    </xf>
    <xf numFmtId="0" fontId="1" fillId="0" borderId="38" xfId="2" applyFont="1" applyBorder="1" applyAlignment="1">
      <alignment horizontal="center" vertical="center"/>
    </xf>
    <xf numFmtId="168" fontId="0" fillId="0" borderId="39" xfId="5" applyNumberFormat="1" applyFont="1" applyBorder="1" applyAlignment="1" applyProtection="1">
      <alignment horizontal="center" vertical="center"/>
    </xf>
    <xf numFmtId="0" fontId="1" fillId="0" borderId="40" xfId="2" applyFont="1" applyBorder="1" applyAlignment="1">
      <alignment horizontal="center" vertical="center"/>
    </xf>
    <xf numFmtId="0" fontId="1" fillId="0" borderId="41" xfId="2" applyFont="1" applyBorder="1" applyAlignment="1">
      <alignment horizontal="center" vertical="center"/>
    </xf>
    <xf numFmtId="0" fontId="1" fillId="0" borderId="42" xfId="2" applyFont="1" applyBorder="1" applyAlignment="1">
      <alignment horizontal="center" vertical="center"/>
    </xf>
    <xf numFmtId="168" fontId="1" fillId="0" borderId="0" xfId="2" applyNumberFormat="1"/>
    <xf numFmtId="0" fontId="27" fillId="0" borderId="40" xfId="2" applyFont="1" applyBorder="1" applyAlignment="1">
      <alignment horizontal="center" vertical="center"/>
    </xf>
    <xf numFmtId="0" fontId="27" fillId="0" borderId="41" xfId="2" applyFont="1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27" fillId="0" borderId="42" xfId="2" applyFont="1" applyBorder="1" applyAlignment="1">
      <alignment horizontal="center" vertical="center"/>
    </xf>
    <xf numFmtId="0" fontId="27" fillId="0" borderId="38" xfId="2" applyFont="1" applyBorder="1" applyAlignment="1">
      <alignment horizontal="center" vertical="center"/>
    </xf>
    <xf numFmtId="0" fontId="1" fillId="0" borderId="43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45" xfId="2" applyBorder="1" applyAlignment="1">
      <alignment horizontal="center" vertical="center"/>
    </xf>
    <xf numFmtId="168" fontId="0" fillId="0" borderId="46" xfId="5" applyNumberFormat="1" applyFont="1" applyBorder="1" applyAlignment="1" applyProtection="1">
      <alignment horizontal="center" vertical="center"/>
    </xf>
    <xf numFmtId="168" fontId="29" fillId="0" borderId="47" xfId="2" applyNumberFormat="1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9" fillId="0" borderId="38" xfId="2" applyFont="1" applyBorder="1" applyAlignment="1">
      <alignment horizontal="left" vertical="center"/>
    </xf>
    <xf numFmtId="0" fontId="12" fillId="3" borderId="1" xfId="2" applyFont="1" applyFill="1" applyBorder="1" applyAlignment="1">
      <alignment horizontal="center" vertical="center" wrapText="1"/>
    </xf>
    <xf numFmtId="165" fontId="11" fillId="3" borderId="1" xfId="3" applyNumberFormat="1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4" fillId="3" borderId="1" xfId="2" applyFont="1" applyFill="1" applyBorder="1" applyAlignment="1">
      <alignment horizontal="center" vertical="center" wrapText="1"/>
    </xf>
    <xf numFmtId="0" fontId="1" fillId="3" borderId="1" xfId="2" applyFill="1" applyBorder="1" applyAlignment="1">
      <alignment horizontal="left" vertical="center" wrapText="1"/>
    </xf>
    <xf numFmtId="0" fontId="1" fillId="3" borderId="1" xfId="2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1" fillId="3" borderId="1" xfId="2" applyFill="1" applyBorder="1"/>
    <xf numFmtId="0" fontId="31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wrapText="1"/>
    </xf>
    <xf numFmtId="166" fontId="14" fillId="3" borderId="1" xfId="2" applyNumberFormat="1" applyFont="1" applyFill="1" applyBorder="1" applyAlignment="1">
      <alignment horizontal="center" vertical="center"/>
    </xf>
    <xf numFmtId="0" fontId="3" fillId="0" borderId="0" xfId="2" applyFont="1" applyBorder="1" applyAlignment="1">
      <alignment horizontal="center"/>
    </xf>
    <xf numFmtId="0" fontId="4" fillId="0" borderId="0" xfId="2" applyFont="1" applyBorder="1" applyAlignment="1">
      <alignment horizontal="left" vertical="center" wrapText="1"/>
    </xf>
    <xf numFmtId="0" fontId="5" fillId="2" borderId="0" xfId="2" applyFont="1" applyFill="1" applyBorder="1" applyAlignment="1">
      <alignment horizontal="left" wrapText="1" indent="1"/>
    </xf>
    <xf numFmtId="0" fontId="2" fillId="4" borderId="0" xfId="2" applyFont="1" applyFill="1" applyBorder="1" applyAlignment="1">
      <alignment horizontal="center" wrapText="1"/>
    </xf>
    <xf numFmtId="0" fontId="2" fillId="4" borderId="10" xfId="2" applyFont="1" applyFill="1" applyBorder="1" applyAlignment="1">
      <alignment horizontal="center" wrapText="1"/>
    </xf>
    <xf numFmtId="0" fontId="2" fillId="4" borderId="10" xfId="2" applyFont="1" applyFill="1" applyBorder="1" applyAlignment="1">
      <alignment horizontal="center"/>
    </xf>
    <xf numFmtId="0" fontId="2" fillId="0" borderId="24" xfId="2" applyFont="1" applyBorder="1" applyAlignment="1">
      <alignment horizontal="left" vertical="center" wrapText="1"/>
    </xf>
    <xf numFmtId="0" fontId="2" fillId="0" borderId="49" xfId="2" applyFont="1" applyBorder="1" applyAlignment="1">
      <alignment horizontal="left" vertical="center" wrapText="1"/>
    </xf>
    <xf numFmtId="0" fontId="2" fillId="0" borderId="25" xfId="2" applyFont="1" applyBorder="1" applyAlignment="1">
      <alignment horizontal="left" vertical="center" wrapText="1"/>
    </xf>
    <xf numFmtId="0" fontId="2" fillId="0" borderId="24" xfId="2" applyFont="1" applyBorder="1" applyAlignment="1">
      <alignment horizontal="left" vertical="center"/>
    </xf>
    <xf numFmtId="0" fontId="2" fillId="0" borderId="49" xfId="2" applyFont="1" applyBorder="1" applyAlignment="1">
      <alignment horizontal="left" vertical="center"/>
    </xf>
    <xf numFmtId="0" fontId="2" fillId="0" borderId="25" xfId="2" applyFont="1" applyBorder="1" applyAlignment="1">
      <alignment horizontal="left" vertical="center"/>
    </xf>
    <xf numFmtId="0" fontId="2" fillId="4" borderId="0" xfId="2" applyFont="1" applyFill="1" applyBorder="1" applyAlignment="1">
      <alignment horizontal="left" wrapText="1"/>
    </xf>
    <xf numFmtId="0" fontId="2" fillId="4" borderId="10" xfId="2" applyFont="1" applyFill="1" applyBorder="1" applyAlignment="1">
      <alignment horizontal="left" wrapText="1"/>
    </xf>
    <xf numFmtId="0" fontId="2" fillId="4" borderId="0" xfId="2" applyFont="1" applyFill="1" applyBorder="1" applyAlignment="1">
      <alignment horizontal="center"/>
    </xf>
    <xf numFmtId="0" fontId="23" fillId="0" borderId="21" xfId="2" applyFont="1" applyBorder="1" applyAlignment="1">
      <alignment horizontal="center" vertical="center" wrapText="1"/>
    </xf>
    <xf numFmtId="0" fontId="24" fillId="3" borderId="23" xfId="2" applyFont="1" applyFill="1" applyBorder="1" applyAlignment="1">
      <alignment horizontal="left" vertical="center" wrapText="1"/>
    </xf>
    <xf numFmtId="0" fontId="20" fillId="0" borderId="0" xfId="2" applyFont="1" applyBorder="1" applyAlignment="1">
      <alignment horizontal="center" vertical="center"/>
    </xf>
    <xf numFmtId="0" fontId="22" fillId="0" borderId="18" xfId="2" applyFont="1" applyBorder="1" applyAlignment="1">
      <alignment horizontal="left" vertical="center" wrapText="1"/>
    </xf>
    <xf numFmtId="0" fontId="21" fillId="3" borderId="1" xfId="2" applyFont="1" applyFill="1" applyBorder="1" applyAlignment="1">
      <alignment horizontal="left" vertical="center" wrapText="1" indent="1"/>
    </xf>
    <xf numFmtId="0" fontId="22" fillId="0" borderId="19" xfId="2" applyFont="1" applyBorder="1" applyAlignment="1">
      <alignment horizontal="left" vertical="center" wrapText="1"/>
    </xf>
    <xf numFmtId="0" fontId="23" fillId="0" borderId="20" xfId="2" applyFont="1" applyBorder="1" applyAlignment="1">
      <alignment horizontal="center" vertical="center"/>
    </xf>
    <xf numFmtId="0" fontId="23" fillId="0" borderId="22" xfId="2" applyFont="1" applyBorder="1" applyAlignment="1">
      <alignment horizontal="center" vertical="center" wrapText="1"/>
    </xf>
    <xf numFmtId="0" fontId="22" fillId="0" borderId="20" xfId="2" applyFont="1" applyBorder="1" applyAlignment="1">
      <alignment horizontal="left" vertical="center"/>
    </xf>
    <xf numFmtId="0" fontId="21" fillId="2" borderId="21" xfId="2" applyFont="1" applyFill="1" applyBorder="1" applyAlignment="1">
      <alignment horizontal="left" vertical="center" wrapText="1" indent="1"/>
    </xf>
    <xf numFmtId="0" fontId="21" fillId="0" borderId="1" xfId="2" applyFont="1" applyBorder="1" applyAlignment="1">
      <alignment horizontal="left" vertical="center" wrapText="1" indent="1"/>
    </xf>
    <xf numFmtId="166" fontId="22" fillId="0" borderId="1" xfId="2" applyNumberFormat="1" applyFont="1" applyBorder="1" applyAlignment="1">
      <alignment horizontal="center" vertical="center"/>
    </xf>
    <xf numFmtId="0" fontId="27" fillId="0" borderId="28" xfId="2" applyFont="1" applyBorder="1"/>
    <xf numFmtId="0" fontId="1" fillId="0" borderId="24" xfId="2" applyFont="1" applyBorder="1" applyAlignment="1">
      <alignment horizontal="center"/>
    </xf>
    <xf numFmtId="3" fontId="25" fillId="0" borderId="25" xfId="2" applyNumberFormat="1" applyFont="1" applyBorder="1" applyAlignment="1">
      <alignment horizontal="center"/>
    </xf>
    <xf numFmtId="0" fontId="26" fillId="0" borderId="16" xfId="2" applyFont="1" applyBorder="1" applyAlignment="1">
      <alignment horizontal="center" vertical="center" wrapText="1"/>
    </xf>
    <xf numFmtId="0" fontId="18" fillId="0" borderId="16" xfId="2" applyFont="1" applyBorder="1"/>
    <xf numFmtId="0" fontId="27" fillId="0" borderId="16" xfId="2" applyFont="1" applyBorder="1" applyAlignment="1">
      <alignment horizontal="left" indent="1"/>
    </xf>
    <xf numFmtId="0" fontId="24" fillId="0" borderId="18" xfId="2" applyFont="1" applyBorder="1" applyAlignment="1">
      <alignment horizontal="left" vertical="center" wrapText="1"/>
    </xf>
    <xf numFmtId="0" fontId="24" fillId="0" borderId="26" xfId="2" applyFont="1" applyBorder="1" applyAlignment="1">
      <alignment horizontal="left" vertical="center" wrapText="1"/>
    </xf>
    <xf numFmtId="0" fontId="24" fillId="0" borderId="27" xfId="2" applyFont="1" applyBorder="1" applyAlignment="1">
      <alignment horizontal="left" vertical="center" wrapText="1"/>
    </xf>
    <xf numFmtId="0" fontId="28" fillId="0" borderId="16" xfId="2" applyFont="1" applyBorder="1" applyAlignment="1">
      <alignment horizontal="left"/>
    </xf>
    <xf numFmtId="0" fontId="1" fillId="0" borderId="44" xfId="2" applyBorder="1" applyAlignment="1">
      <alignment horizontal="left" vertical="center"/>
    </xf>
    <xf numFmtId="0" fontId="27" fillId="0" borderId="29" xfId="2" applyFont="1" applyBorder="1" applyAlignment="1">
      <alignment horizontal="left" vertical="center" wrapText="1" indent="1"/>
    </xf>
    <xf numFmtId="0" fontId="29" fillId="0" borderId="32" xfId="2" applyFont="1" applyBorder="1" applyAlignment="1">
      <alignment horizontal="center" vertical="center"/>
    </xf>
    <xf numFmtId="0" fontId="29" fillId="0" borderId="16" xfId="2" applyFont="1" applyBorder="1" applyAlignment="1">
      <alignment horizontal="center" vertical="center"/>
    </xf>
    <xf numFmtId="0" fontId="29" fillId="0" borderId="32" xfId="2" applyFont="1" applyBorder="1" applyAlignment="1">
      <alignment horizontal="center" vertical="center" wrapText="1"/>
    </xf>
    <xf numFmtId="0" fontId="29" fillId="0" borderId="33" xfId="2" applyFont="1" applyBorder="1" applyAlignment="1">
      <alignment horizontal="center" vertical="center"/>
    </xf>
    <xf numFmtId="0" fontId="9" fillId="0" borderId="38" xfId="2" applyFont="1" applyBorder="1" applyAlignment="1">
      <alignment horizontal="left" vertical="center"/>
    </xf>
    <xf numFmtId="0" fontId="1" fillId="0" borderId="38" xfId="2" applyFont="1" applyBorder="1" applyAlignment="1">
      <alignment horizontal="left" vertical="center"/>
    </xf>
    <xf numFmtId="0" fontId="1" fillId="0" borderId="38" xfId="2" applyBorder="1" applyAlignment="1">
      <alignment horizontal="left" vertical="center"/>
    </xf>
    <xf numFmtId="0" fontId="30" fillId="0" borderId="47" xfId="2" applyFont="1" applyBorder="1" applyAlignment="1">
      <alignment horizontal="left" vertical="center" wrapText="1"/>
    </xf>
    <xf numFmtId="0" fontId="1" fillId="0" borderId="32" xfId="2" applyBorder="1"/>
    <xf numFmtId="0" fontId="25" fillId="0" borderId="24" xfId="2" applyFont="1" applyBorder="1" applyAlignment="1">
      <alignment vertical="center" wrapText="1"/>
    </xf>
    <xf numFmtId="0" fontId="25" fillId="0" borderId="48" xfId="2" applyFont="1" applyBorder="1" applyAlignment="1">
      <alignment vertical="center" wrapText="1"/>
    </xf>
    <xf numFmtId="0" fontId="25" fillId="0" borderId="21" xfId="2" applyFont="1" applyBorder="1" applyAlignment="1">
      <alignment vertical="center" wrapText="1"/>
    </xf>
    <xf numFmtId="0" fontId="27" fillId="0" borderId="33" xfId="2" applyFont="1" applyBorder="1" applyAlignment="1">
      <alignment vertical="center" wrapText="1"/>
    </xf>
    <xf numFmtId="0" fontId="27" fillId="2" borderId="47" xfId="2" applyFont="1" applyFill="1" applyBorder="1" applyAlignment="1">
      <alignment horizontal="left" vertical="center" wrapText="1" indent="1"/>
    </xf>
  </cellXfs>
  <cellStyles count="9">
    <cellStyle name="Encabezado 1" xfId="4" xr:uid="{00000000-0005-0000-0000-000000000000}"/>
    <cellStyle name="Moneda" xfId="1" builtinId="4"/>
    <cellStyle name="Moneda_AUTORIZACION Y NOTA DE PEDIDO" xfId="5" xr:uid="{00000000-0005-0000-0000-000002000000}"/>
    <cellStyle name="Neutral 1" xfId="6" xr:uid="{00000000-0005-0000-0000-000003000000}"/>
    <cellStyle name="Normal" xfId="0" builtinId="0"/>
    <cellStyle name="Normal 2" xfId="2" xr:uid="{00000000-0005-0000-0000-000005000000}"/>
    <cellStyle name="Normal 3" xfId="7" xr:uid="{00000000-0005-0000-0000-000006000000}"/>
    <cellStyle name="Normal 4" xfId="8" xr:uid="{00000000-0005-0000-0000-000007000000}"/>
    <cellStyle name="Porcentaje 2" xfId="3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77"/>
  <sheetViews>
    <sheetView zoomScale="85" zoomScaleNormal="85" workbookViewId="0">
      <selection activeCell="I127" sqref="I127"/>
    </sheetView>
  </sheetViews>
  <sheetFormatPr baseColWidth="10" defaultColWidth="11" defaultRowHeight="12.75" x14ac:dyDescent="0.2"/>
  <cols>
    <col min="1" max="1" width="4.5703125" style="1" customWidth="1"/>
    <col min="2" max="2" width="14.7109375" style="1" customWidth="1"/>
    <col min="3" max="3" width="32.5703125" style="1" customWidth="1"/>
    <col min="4" max="4" width="8.42578125" style="1" customWidth="1"/>
    <col min="5" max="5" width="79.28515625" style="1" customWidth="1"/>
    <col min="6" max="6" width="11" style="31"/>
    <col min="7" max="7" width="12.7109375" style="31" customWidth="1"/>
    <col min="8" max="8" width="13.85546875" style="31" customWidth="1"/>
    <col min="9" max="9" width="18.5703125" style="1" customWidth="1"/>
    <col min="10" max="16384" width="11" style="1"/>
  </cols>
  <sheetData>
    <row r="2" spans="1:20" ht="27" x14ac:dyDescent="0.35">
      <c r="B2" s="105" t="s">
        <v>0</v>
      </c>
      <c r="C2" s="105"/>
      <c r="D2" s="105"/>
      <c r="E2" s="105"/>
      <c r="F2" s="105"/>
      <c r="G2" s="105"/>
      <c r="H2" s="105"/>
    </row>
    <row r="4" spans="1:20" ht="18" customHeight="1" x14ac:dyDescent="0.25">
      <c r="A4" s="106" t="s">
        <v>1</v>
      </c>
      <c r="B4" s="106"/>
      <c r="C4" s="107" t="s">
        <v>2</v>
      </c>
      <c r="D4" s="107"/>
      <c r="E4" s="107"/>
      <c r="F4" s="2"/>
      <c r="G4" s="2"/>
      <c r="H4" s="2"/>
    </row>
    <row r="5" spans="1:20" ht="18" customHeight="1" x14ac:dyDescent="0.25">
      <c r="A5" s="106" t="s">
        <v>3</v>
      </c>
      <c r="B5" s="106"/>
      <c r="C5" s="107" t="s">
        <v>4</v>
      </c>
      <c r="D5" s="107"/>
      <c r="E5" s="107"/>
      <c r="F5" s="2"/>
      <c r="G5" s="2"/>
      <c r="H5" s="2"/>
    </row>
    <row r="6" spans="1:20" ht="16.5" customHeight="1" x14ac:dyDescent="0.25">
      <c r="A6" s="106" t="s">
        <v>5</v>
      </c>
      <c r="B6" s="106"/>
      <c r="C6" s="3">
        <v>2021</v>
      </c>
      <c r="D6" s="4"/>
      <c r="E6" s="4"/>
      <c r="F6" s="2"/>
      <c r="G6" s="2"/>
      <c r="H6" s="2"/>
    </row>
    <row r="7" spans="1:20" ht="16.5" customHeight="1" x14ac:dyDescent="0.25">
      <c r="A7" s="106" t="s">
        <v>6</v>
      </c>
      <c r="B7" s="106"/>
      <c r="C7" s="3">
        <v>1</v>
      </c>
      <c r="D7" s="4"/>
      <c r="E7" s="4"/>
      <c r="F7" s="2"/>
      <c r="G7" s="2"/>
      <c r="H7" s="2"/>
    </row>
    <row r="8" spans="1:20" ht="13.5" thickBot="1" x14ac:dyDescent="0.25">
      <c r="B8" s="5"/>
      <c r="C8" s="2"/>
      <c r="D8" s="5"/>
      <c r="E8" s="5"/>
      <c r="F8" s="2"/>
      <c r="G8" s="2"/>
      <c r="H8" s="2"/>
    </row>
    <row r="9" spans="1:20" ht="39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20" s="11" customFormat="1" ht="31.9" customHeight="1" thickBot="1" x14ac:dyDescent="0.25">
      <c r="A10" s="7">
        <v>1</v>
      </c>
      <c r="B10" s="99" t="s">
        <v>18</v>
      </c>
      <c r="C10" s="100" t="s">
        <v>16</v>
      </c>
      <c r="D10" s="8" t="str">
        <f t="shared" ref="D10:D63" si="0">LEFT(B10,5)</f>
        <v>2.5.2</v>
      </c>
      <c r="E10" s="98" t="s">
        <v>19</v>
      </c>
      <c r="F10" s="12" t="s">
        <v>20</v>
      </c>
      <c r="G10" s="12">
        <v>60</v>
      </c>
      <c r="H10" s="95">
        <v>20.28</v>
      </c>
      <c r="I10" s="9">
        <f t="shared" ref="I10:I63" si="1">+G10*H10</f>
        <v>1216.8000000000002</v>
      </c>
      <c r="J10" s="13"/>
      <c r="K10" s="14"/>
      <c r="L10" s="15"/>
      <c r="M10" s="15"/>
      <c r="N10" s="15"/>
      <c r="O10" s="15"/>
      <c r="P10" s="15"/>
      <c r="Q10" s="15"/>
      <c r="R10" s="15"/>
      <c r="S10" s="15"/>
      <c r="T10" s="16"/>
    </row>
    <row r="11" spans="1:20" s="11" customFormat="1" ht="31.9" customHeight="1" thickBot="1" x14ac:dyDescent="0.25">
      <c r="A11" s="7">
        <v>2</v>
      </c>
      <c r="B11" s="99" t="s">
        <v>21</v>
      </c>
      <c r="C11" s="100" t="s">
        <v>16</v>
      </c>
      <c r="D11" s="8" t="str">
        <f t="shared" si="0"/>
        <v>2.5.2</v>
      </c>
      <c r="E11" s="98" t="s">
        <v>22</v>
      </c>
      <c r="F11" s="96" t="s">
        <v>20</v>
      </c>
      <c r="G11" s="94">
        <v>200</v>
      </c>
      <c r="H11" s="95">
        <v>8.08</v>
      </c>
      <c r="I11" s="9">
        <f t="shared" si="1"/>
        <v>1616</v>
      </c>
      <c r="J11" s="13"/>
      <c r="K11" s="14"/>
      <c r="L11" s="15"/>
      <c r="M11" s="15"/>
      <c r="N11" s="15"/>
      <c r="O11" s="15"/>
      <c r="P11" s="15"/>
      <c r="Q11" s="15"/>
      <c r="R11" s="15"/>
      <c r="S11" s="15"/>
      <c r="T11" s="17"/>
    </row>
    <row r="12" spans="1:20" s="11" customFormat="1" ht="31.9" customHeight="1" thickBot="1" x14ac:dyDescent="0.25">
      <c r="A12" s="7">
        <v>3</v>
      </c>
      <c r="B12" s="99" t="s">
        <v>23</v>
      </c>
      <c r="C12" s="100" t="s">
        <v>16</v>
      </c>
      <c r="D12" s="8" t="str">
        <f t="shared" si="0"/>
        <v>2.5.2</v>
      </c>
      <c r="E12" s="98" t="s">
        <v>24</v>
      </c>
      <c r="F12" s="96" t="s">
        <v>20</v>
      </c>
      <c r="G12" s="94">
        <v>2000</v>
      </c>
      <c r="H12" s="95">
        <v>2.57</v>
      </c>
      <c r="I12" s="9">
        <f t="shared" si="1"/>
        <v>5140</v>
      </c>
      <c r="J12" s="13"/>
      <c r="K12" s="14"/>
      <c r="L12" s="15"/>
      <c r="M12" s="15"/>
      <c r="N12" s="15"/>
      <c r="O12" s="15"/>
      <c r="P12" s="15"/>
      <c r="Q12" s="15"/>
      <c r="R12" s="15"/>
      <c r="S12" s="15"/>
      <c r="T12" s="10"/>
    </row>
    <row r="13" spans="1:20" s="11" customFormat="1" ht="44.25" customHeight="1" thickBot="1" x14ac:dyDescent="0.25">
      <c r="A13" s="7">
        <v>4</v>
      </c>
      <c r="B13" s="99" t="s">
        <v>25</v>
      </c>
      <c r="C13" s="100" t="s">
        <v>16</v>
      </c>
      <c r="D13" s="8" t="str">
        <f t="shared" si="0"/>
        <v>2.5.2</v>
      </c>
      <c r="E13" s="98" t="s">
        <v>26</v>
      </c>
      <c r="F13" s="96" t="s">
        <v>27</v>
      </c>
      <c r="G13" s="94">
        <v>200</v>
      </c>
      <c r="H13" s="95">
        <v>190.64</v>
      </c>
      <c r="I13" s="9">
        <f t="shared" si="1"/>
        <v>38128</v>
      </c>
      <c r="J13" s="13"/>
      <c r="K13" s="14"/>
      <c r="L13" s="15"/>
      <c r="M13" s="15"/>
      <c r="N13" s="15"/>
      <c r="O13" s="15"/>
      <c r="P13" s="15"/>
      <c r="Q13" s="15"/>
      <c r="R13" s="15"/>
      <c r="S13" s="15"/>
      <c r="T13" s="10"/>
    </row>
    <row r="14" spans="1:20" s="11" customFormat="1" ht="44.25" customHeight="1" thickBot="1" x14ac:dyDescent="0.25">
      <c r="A14" s="7">
        <v>5</v>
      </c>
      <c r="B14" s="99" t="s">
        <v>28</v>
      </c>
      <c r="C14" s="100" t="s">
        <v>16</v>
      </c>
      <c r="D14" s="8" t="str">
        <f t="shared" si="0"/>
        <v>2.5.2</v>
      </c>
      <c r="E14" s="98" t="s">
        <v>29</v>
      </c>
      <c r="F14" s="96" t="s">
        <v>27</v>
      </c>
      <c r="G14" s="94">
        <v>100</v>
      </c>
      <c r="H14" s="95">
        <v>123.08</v>
      </c>
      <c r="I14" s="9">
        <f t="shared" si="1"/>
        <v>12308</v>
      </c>
      <c r="J14" s="13"/>
      <c r="K14" s="14"/>
      <c r="L14" s="15"/>
      <c r="M14" s="15"/>
      <c r="N14" s="15"/>
      <c r="O14" s="15"/>
      <c r="P14" s="15"/>
      <c r="Q14" s="15"/>
      <c r="R14" s="15"/>
      <c r="S14" s="15"/>
      <c r="T14" s="10"/>
    </row>
    <row r="15" spans="1:20" s="11" customFormat="1" ht="47.25" customHeight="1" thickBot="1" x14ac:dyDescent="0.25">
      <c r="A15" s="7">
        <v>6</v>
      </c>
      <c r="B15" s="99" t="s">
        <v>30</v>
      </c>
      <c r="C15" s="100" t="s">
        <v>31</v>
      </c>
      <c r="D15" s="8" t="str">
        <f t="shared" si="0"/>
        <v>2.5.1</v>
      </c>
      <c r="E15" s="98" t="s">
        <v>32</v>
      </c>
      <c r="F15" s="12" t="s">
        <v>17</v>
      </c>
      <c r="G15" s="12">
        <v>200</v>
      </c>
      <c r="H15" s="95">
        <v>2136</v>
      </c>
      <c r="I15" s="9">
        <f t="shared" si="1"/>
        <v>427200</v>
      </c>
      <c r="J15" s="13"/>
      <c r="K15" s="14"/>
      <c r="L15" s="15"/>
      <c r="M15" s="15"/>
      <c r="N15" s="15"/>
      <c r="O15" s="15"/>
      <c r="P15" s="15"/>
      <c r="Q15" s="15"/>
      <c r="R15" s="15"/>
      <c r="S15" s="15"/>
      <c r="T15" s="18"/>
    </row>
    <row r="16" spans="1:20" s="11" customFormat="1" ht="48.75" customHeight="1" thickBot="1" x14ac:dyDescent="0.25">
      <c r="A16" s="7">
        <v>7</v>
      </c>
      <c r="B16" s="99" t="s">
        <v>33</v>
      </c>
      <c r="C16" s="100" t="s">
        <v>16</v>
      </c>
      <c r="D16" s="8" t="str">
        <f t="shared" si="0"/>
        <v>2.9.5</v>
      </c>
      <c r="E16" s="98" t="s">
        <v>34</v>
      </c>
      <c r="F16" s="12" t="s">
        <v>35</v>
      </c>
      <c r="G16" s="12">
        <v>20</v>
      </c>
      <c r="H16" s="95">
        <v>442.8</v>
      </c>
      <c r="I16" s="9">
        <f t="shared" si="1"/>
        <v>8856</v>
      </c>
      <c r="J16" s="19"/>
      <c r="K16" s="20"/>
      <c r="L16" s="15"/>
      <c r="M16" s="15"/>
      <c r="N16" s="15"/>
      <c r="O16" s="15"/>
      <c r="P16" s="15"/>
      <c r="Q16" s="15"/>
      <c r="R16" s="15"/>
      <c r="S16" s="15"/>
      <c r="T16" s="18"/>
    </row>
    <row r="17" spans="1:20" s="11" customFormat="1" ht="31.9" customHeight="1" thickBot="1" x14ac:dyDescent="0.25">
      <c r="A17" s="7">
        <v>8</v>
      </c>
      <c r="B17" s="99" t="s">
        <v>36</v>
      </c>
      <c r="C17" s="100" t="s">
        <v>16</v>
      </c>
      <c r="D17" s="8" t="str">
        <f t="shared" si="0"/>
        <v>2.5.2</v>
      </c>
      <c r="E17" s="98" t="s">
        <v>37</v>
      </c>
      <c r="F17" s="12" t="s">
        <v>27</v>
      </c>
      <c r="G17" s="12">
        <v>100</v>
      </c>
      <c r="H17" s="95">
        <v>960.81</v>
      </c>
      <c r="I17" s="9">
        <f t="shared" si="1"/>
        <v>96081</v>
      </c>
      <c r="J17" s="21"/>
      <c r="K17" s="22"/>
      <c r="L17" s="15"/>
      <c r="M17" s="15"/>
      <c r="N17" s="15"/>
      <c r="O17" s="15"/>
      <c r="P17" s="15"/>
      <c r="Q17" s="15"/>
      <c r="R17" s="15"/>
      <c r="S17" s="15"/>
      <c r="T17" s="18"/>
    </row>
    <row r="18" spans="1:20" s="11" customFormat="1" ht="31.9" customHeight="1" thickBot="1" x14ac:dyDescent="0.25">
      <c r="A18" s="7">
        <v>9</v>
      </c>
      <c r="B18" s="99" t="s">
        <v>38</v>
      </c>
      <c r="C18" s="100" t="s">
        <v>16</v>
      </c>
      <c r="D18" s="8" t="str">
        <f t="shared" si="0"/>
        <v>2.5.2</v>
      </c>
      <c r="E18" s="98" t="s">
        <v>39</v>
      </c>
      <c r="F18" s="12" t="s">
        <v>27</v>
      </c>
      <c r="G18" s="12">
        <v>300</v>
      </c>
      <c r="H18" s="95">
        <v>70.14</v>
      </c>
      <c r="I18" s="9">
        <f t="shared" si="1"/>
        <v>21042</v>
      </c>
      <c r="J18" s="19"/>
      <c r="K18" s="20"/>
      <c r="L18" s="15"/>
      <c r="M18" s="15"/>
      <c r="N18" s="15"/>
      <c r="O18" s="15"/>
      <c r="P18" s="15"/>
      <c r="Q18" s="15"/>
      <c r="R18" s="15"/>
      <c r="S18" s="15"/>
      <c r="T18" s="18"/>
    </row>
    <row r="19" spans="1:20" s="11" customFormat="1" ht="31.9" customHeight="1" thickBot="1" x14ac:dyDescent="0.25">
      <c r="A19" s="7">
        <v>10</v>
      </c>
      <c r="B19" s="99" t="s">
        <v>40</v>
      </c>
      <c r="C19" s="100" t="s">
        <v>16</v>
      </c>
      <c r="D19" s="8" t="str">
        <f t="shared" si="0"/>
        <v>2.5.2</v>
      </c>
      <c r="E19" s="98" t="s">
        <v>41</v>
      </c>
      <c r="F19" s="12" t="s">
        <v>20</v>
      </c>
      <c r="G19" s="12">
        <v>3000</v>
      </c>
      <c r="H19" s="95">
        <v>3.11</v>
      </c>
      <c r="I19" s="9">
        <f t="shared" si="1"/>
        <v>9330</v>
      </c>
      <c r="J19" s="19"/>
      <c r="K19" s="20"/>
      <c r="L19" s="15"/>
      <c r="M19" s="15"/>
      <c r="N19" s="15"/>
      <c r="O19" s="15"/>
      <c r="P19" s="15"/>
      <c r="Q19" s="15"/>
      <c r="R19" s="15"/>
      <c r="S19" s="15"/>
      <c r="T19" s="18"/>
    </row>
    <row r="20" spans="1:20" s="11" customFormat="1" ht="48" customHeight="1" thickBot="1" x14ac:dyDescent="0.25">
      <c r="A20" s="7">
        <v>11</v>
      </c>
      <c r="B20" s="99" t="s">
        <v>42</v>
      </c>
      <c r="C20" s="100" t="s">
        <v>16</v>
      </c>
      <c r="D20" s="8" t="str">
        <f t="shared" si="0"/>
        <v>2.5.2</v>
      </c>
      <c r="E20" s="98" t="s">
        <v>43</v>
      </c>
      <c r="F20" s="12" t="s">
        <v>27</v>
      </c>
      <c r="G20" s="12">
        <v>60</v>
      </c>
      <c r="H20" s="95">
        <v>5.96</v>
      </c>
      <c r="I20" s="9">
        <f t="shared" si="1"/>
        <v>357.6</v>
      </c>
      <c r="J20" s="19"/>
      <c r="K20" s="20"/>
      <c r="L20" s="15"/>
      <c r="M20" s="15"/>
      <c r="N20" s="15"/>
      <c r="O20" s="15"/>
      <c r="P20" s="15"/>
      <c r="Q20" s="15"/>
      <c r="R20" s="15"/>
      <c r="S20" s="15"/>
      <c r="T20" s="18"/>
    </row>
    <row r="21" spans="1:20" s="11" customFormat="1" ht="43.5" customHeight="1" thickBot="1" x14ac:dyDescent="0.25">
      <c r="A21" s="7">
        <v>12</v>
      </c>
      <c r="B21" s="99" t="s">
        <v>44</v>
      </c>
      <c r="C21" s="100" t="s">
        <v>16</v>
      </c>
      <c r="D21" s="8" t="str">
        <f t="shared" si="0"/>
        <v>2.5.2</v>
      </c>
      <c r="E21" s="98" t="s">
        <v>45</v>
      </c>
      <c r="F21" s="97" t="s">
        <v>27</v>
      </c>
      <c r="G21" s="12">
        <v>1000</v>
      </c>
      <c r="H21" s="95">
        <v>40.81</v>
      </c>
      <c r="I21" s="9">
        <f t="shared" si="1"/>
        <v>40810</v>
      </c>
      <c r="J21" s="19"/>
      <c r="K21" s="20"/>
      <c r="L21" s="15"/>
      <c r="M21" s="15"/>
      <c r="N21" s="15"/>
      <c r="O21" s="15"/>
      <c r="P21" s="15"/>
      <c r="Q21" s="15"/>
      <c r="R21" s="15"/>
      <c r="S21" s="15"/>
      <c r="T21" s="18"/>
    </row>
    <row r="22" spans="1:20" s="11" customFormat="1" ht="31.9" customHeight="1" thickBot="1" x14ac:dyDescent="0.25">
      <c r="A22" s="7">
        <v>13</v>
      </c>
      <c r="B22" s="99" t="s">
        <v>46</v>
      </c>
      <c r="C22" s="100" t="s">
        <v>16</v>
      </c>
      <c r="D22" s="8" t="str">
        <f t="shared" si="0"/>
        <v>2.5.2</v>
      </c>
      <c r="E22" s="98" t="s">
        <v>47</v>
      </c>
      <c r="F22" s="12" t="s">
        <v>20</v>
      </c>
      <c r="G22" s="12">
        <v>3000</v>
      </c>
      <c r="H22" s="95">
        <v>4.18</v>
      </c>
      <c r="I22" s="9">
        <f t="shared" si="1"/>
        <v>12540</v>
      </c>
      <c r="J22" s="19"/>
      <c r="K22" s="20"/>
      <c r="L22" s="15"/>
      <c r="M22" s="15"/>
      <c r="N22" s="15"/>
      <c r="O22" s="15"/>
      <c r="P22" s="15"/>
      <c r="Q22" s="15"/>
      <c r="R22" s="15"/>
      <c r="S22" s="15"/>
      <c r="T22" s="18"/>
    </row>
    <row r="23" spans="1:20" s="11" customFormat="1" ht="31.9" customHeight="1" thickBot="1" x14ac:dyDescent="0.25">
      <c r="A23" s="7">
        <v>14</v>
      </c>
      <c r="B23" s="99" t="s">
        <v>48</v>
      </c>
      <c r="C23" s="100" t="s">
        <v>16</v>
      </c>
      <c r="D23" s="8" t="str">
        <f t="shared" si="0"/>
        <v>2.5.2</v>
      </c>
      <c r="E23" s="98" t="s">
        <v>49</v>
      </c>
      <c r="F23" s="12" t="s">
        <v>50</v>
      </c>
      <c r="G23" s="12">
        <v>3000</v>
      </c>
      <c r="H23" s="95">
        <v>286.74</v>
      </c>
      <c r="I23" s="9">
        <f t="shared" si="1"/>
        <v>860220</v>
      </c>
      <c r="J23" s="19"/>
      <c r="K23" s="20"/>
      <c r="L23" s="23"/>
      <c r="M23" s="23"/>
      <c r="N23" s="23"/>
      <c r="O23" s="23"/>
      <c r="P23" s="23"/>
      <c r="Q23" s="23"/>
      <c r="R23" s="23"/>
      <c r="S23" s="23"/>
      <c r="T23" s="24"/>
    </row>
    <row r="24" spans="1:20" s="11" customFormat="1" ht="31.9" customHeight="1" thickBot="1" x14ac:dyDescent="0.25">
      <c r="A24" s="7">
        <v>15</v>
      </c>
      <c r="B24" s="99" t="s">
        <v>51</v>
      </c>
      <c r="C24" s="100" t="s">
        <v>16</v>
      </c>
      <c r="D24" s="8" t="str">
        <f t="shared" si="0"/>
        <v>2.5.2</v>
      </c>
      <c r="E24" s="98" t="s">
        <v>52</v>
      </c>
      <c r="F24" s="12" t="s">
        <v>50</v>
      </c>
      <c r="G24" s="12">
        <v>200</v>
      </c>
      <c r="H24" s="95">
        <v>229.4</v>
      </c>
      <c r="I24" s="9">
        <f t="shared" si="1"/>
        <v>45880</v>
      </c>
      <c r="J24" s="19"/>
      <c r="K24" s="20"/>
      <c r="L24" s="23"/>
      <c r="M24" s="23"/>
      <c r="N24" s="23"/>
      <c r="O24" s="23"/>
      <c r="P24" s="23"/>
      <c r="Q24" s="23"/>
      <c r="R24" s="23"/>
      <c r="S24" s="23"/>
      <c r="T24" s="24"/>
    </row>
    <row r="25" spans="1:20" s="11" customFormat="1" ht="31.9" customHeight="1" thickBot="1" x14ac:dyDescent="0.25">
      <c r="A25" s="7">
        <v>16</v>
      </c>
      <c r="B25" s="99" t="s">
        <v>53</v>
      </c>
      <c r="C25" s="100" t="s">
        <v>16</v>
      </c>
      <c r="D25" s="8" t="str">
        <f t="shared" si="0"/>
        <v>2.5.2</v>
      </c>
      <c r="E25" s="98" t="s">
        <v>54</v>
      </c>
      <c r="F25" s="12" t="s">
        <v>20</v>
      </c>
      <c r="G25" s="12">
        <v>200</v>
      </c>
      <c r="H25" s="95">
        <v>22.37</v>
      </c>
      <c r="I25" s="9">
        <f t="shared" si="1"/>
        <v>4474</v>
      </c>
      <c r="J25" s="19"/>
      <c r="K25" s="20"/>
      <c r="L25" s="15"/>
      <c r="M25" s="15"/>
      <c r="N25" s="15"/>
      <c r="O25" s="15"/>
      <c r="P25" s="15"/>
      <c r="Q25" s="15"/>
      <c r="R25" s="15"/>
      <c r="S25" s="15"/>
      <c r="T25" s="25"/>
    </row>
    <row r="26" spans="1:20" s="11" customFormat="1" ht="39" customHeight="1" thickBot="1" x14ac:dyDescent="0.25">
      <c r="A26" s="7">
        <v>17</v>
      </c>
      <c r="B26" s="99" t="s">
        <v>55</v>
      </c>
      <c r="C26" s="100" t="s">
        <v>16</v>
      </c>
      <c r="D26" s="8" t="str">
        <f t="shared" si="0"/>
        <v>2.5.2</v>
      </c>
      <c r="E26" s="98" t="s">
        <v>56</v>
      </c>
      <c r="F26" s="12" t="s">
        <v>27</v>
      </c>
      <c r="G26" s="12">
        <v>1000</v>
      </c>
      <c r="H26" s="95">
        <v>46.8</v>
      </c>
      <c r="I26" s="9">
        <f t="shared" si="1"/>
        <v>46800</v>
      </c>
      <c r="J26" s="19"/>
      <c r="K26" s="20"/>
      <c r="L26" s="15"/>
      <c r="M26" s="15"/>
      <c r="N26" s="15"/>
      <c r="O26" s="15"/>
      <c r="P26" s="15"/>
      <c r="Q26" s="15"/>
      <c r="R26" s="15"/>
      <c r="S26" s="15"/>
      <c r="T26" s="25"/>
    </row>
    <row r="27" spans="1:20" s="11" customFormat="1" ht="49.5" customHeight="1" thickBot="1" x14ac:dyDescent="0.25">
      <c r="A27" s="7">
        <v>18</v>
      </c>
      <c r="B27" s="99" t="s">
        <v>57</v>
      </c>
      <c r="C27" s="100" t="s">
        <v>16</v>
      </c>
      <c r="D27" s="8" t="str">
        <f t="shared" si="0"/>
        <v>2.5.2</v>
      </c>
      <c r="E27" s="98" t="s">
        <v>58</v>
      </c>
      <c r="F27" s="12" t="s">
        <v>27</v>
      </c>
      <c r="G27" s="12">
        <v>500</v>
      </c>
      <c r="H27" s="95">
        <v>117.6</v>
      </c>
      <c r="I27" s="9">
        <f t="shared" si="1"/>
        <v>58800</v>
      </c>
      <c r="J27" s="19"/>
      <c r="K27" s="20"/>
      <c r="L27" s="15"/>
      <c r="M27" s="15"/>
      <c r="N27" s="15"/>
      <c r="O27" s="15"/>
      <c r="P27" s="15"/>
      <c r="Q27" s="15"/>
      <c r="R27" s="15"/>
      <c r="S27" s="15"/>
      <c r="T27" s="25"/>
    </row>
    <row r="28" spans="1:20" s="11" customFormat="1" ht="31.9" customHeight="1" thickBot="1" x14ac:dyDescent="0.25">
      <c r="A28" s="7">
        <v>19</v>
      </c>
      <c r="B28" s="99" t="s">
        <v>59</v>
      </c>
      <c r="C28" s="100" t="s">
        <v>16</v>
      </c>
      <c r="D28" s="8" t="str">
        <f t="shared" si="0"/>
        <v>2.5.2</v>
      </c>
      <c r="E28" s="98" t="s">
        <v>60</v>
      </c>
      <c r="F28" s="12" t="s">
        <v>20</v>
      </c>
      <c r="G28" s="12">
        <v>300</v>
      </c>
      <c r="H28" s="95">
        <v>5.0599999999999996</v>
      </c>
      <c r="I28" s="9">
        <f t="shared" si="1"/>
        <v>1517.9999999999998</v>
      </c>
      <c r="J28" s="19"/>
      <c r="K28" s="20"/>
      <c r="L28" s="23"/>
      <c r="M28" s="23"/>
      <c r="N28" s="23"/>
      <c r="O28" s="23"/>
      <c r="P28" s="23"/>
      <c r="Q28" s="23"/>
      <c r="R28" s="23"/>
      <c r="S28" s="23"/>
      <c r="T28" s="24"/>
    </row>
    <row r="29" spans="1:20" s="11" customFormat="1" ht="39" customHeight="1" thickBot="1" x14ac:dyDescent="0.25">
      <c r="A29" s="7">
        <v>20</v>
      </c>
      <c r="B29" s="99" t="s">
        <v>62</v>
      </c>
      <c r="C29" s="100" t="s">
        <v>16</v>
      </c>
      <c r="D29" s="8" t="str">
        <f t="shared" si="0"/>
        <v>2.5.2</v>
      </c>
      <c r="E29" s="98" t="s">
        <v>63</v>
      </c>
      <c r="F29" s="12" t="s">
        <v>27</v>
      </c>
      <c r="G29" s="12">
        <v>30</v>
      </c>
      <c r="H29" s="95">
        <v>40.69</v>
      </c>
      <c r="I29" s="9">
        <f t="shared" si="1"/>
        <v>1220.6999999999998</v>
      </c>
      <c r="J29" s="19"/>
      <c r="K29" s="20"/>
      <c r="L29" s="23"/>
      <c r="M29" s="23"/>
      <c r="N29" s="23"/>
      <c r="O29" s="23"/>
      <c r="P29" s="23"/>
      <c r="Q29" s="23"/>
      <c r="R29" s="23"/>
      <c r="S29" s="23"/>
      <c r="T29" s="24"/>
    </row>
    <row r="30" spans="1:20" s="11" customFormat="1" ht="31.9" customHeight="1" thickBot="1" x14ac:dyDescent="0.25">
      <c r="A30" s="7">
        <v>21</v>
      </c>
      <c r="B30" s="99" t="s">
        <v>64</v>
      </c>
      <c r="C30" s="100" t="s">
        <v>16</v>
      </c>
      <c r="D30" s="8" t="str">
        <f t="shared" si="0"/>
        <v>2.5.2</v>
      </c>
      <c r="E30" s="98" t="s">
        <v>65</v>
      </c>
      <c r="F30" s="12" t="s">
        <v>20</v>
      </c>
      <c r="G30" s="12">
        <v>500</v>
      </c>
      <c r="H30" s="95">
        <v>14.03</v>
      </c>
      <c r="I30" s="9">
        <f t="shared" si="1"/>
        <v>7015</v>
      </c>
      <c r="J30" s="19"/>
      <c r="K30" s="20"/>
      <c r="L30" s="23"/>
      <c r="M30" s="23"/>
      <c r="N30" s="23"/>
      <c r="O30" s="23"/>
      <c r="P30" s="23"/>
      <c r="Q30" s="23"/>
      <c r="R30" s="23"/>
      <c r="S30" s="23"/>
      <c r="T30" s="24"/>
    </row>
    <row r="31" spans="1:20" s="11" customFormat="1" ht="31.9" customHeight="1" thickBot="1" x14ac:dyDescent="0.25">
      <c r="A31" s="7">
        <v>22</v>
      </c>
      <c r="B31" s="99" t="s">
        <v>66</v>
      </c>
      <c r="C31" s="100" t="s">
        <v>16</v>
      </c>
      <c r="D31" s="8" t="str">
        <f t="shared" si="0"/>
        <v>2.5.2</v>
      </c>
      <c r="E31" s="98" t="s">
        <v>67</v>
      </c>
      <c r="F31" s="26" t="s">
        <v>61</v>
      </c>
      <c r="G31" s="26">
        <v>8</v>
      </c>
      <c r="H31" s="95">
        <v>882.15</v>
      </c>
      <c r="I31" s="9">
        <f t="shared" si="1"/>
        <v>7057.2</v>
      </c>
      <c r="J31" s="19"/>
      <c r="K31" s="20"/>
      <c r="L31" s="23"/>
      <c r="M31" s="23"/>
      <c r="N31" s="23"/>
      <c r="O31" s="23"/>
      <c r="P31" s="23"/>
      <c r="Q31" s="23"/>
      <c r="R31" s="23"/>
      <c r="S31" s="23"/>
      <c r="T31" s="24"/>
    </row>
    <row r="32" spans="1:20" s="11" customFormat="1" ht="31.9" customHeight="1" thickBot="1" x14ac:dyDescent="0.25">
      <c r="A32" s="7">
        <v>23</v>
      </c>
      <c r="B32" s="99" t="s">
        <v>68</v>
      </c>
      <c r="C32" s="100" t="s">
        <v>16</v>
      </c>
      <c r="D32" s="8" t="str">
        <f t="shared" si="0"/>
        <v>2.5.2</v>
      </c>
      <c r="E32" s="98" t="s">
        <v>69</v>
      </c>
      <c r="F32" s="12" t="s">
        <v>20</v>
      </c>
      <c r="G32" s="12">
        <v>3500</v>
      </c>
      <c r="H32" s="95">
        <v>13.8</v>
      </c>
      <c r="I32" s="9">
        <f t="shared" si="1"/>
        <v>48300</v>
      </c>
      <c r="J32" s="19"/>
      <c r="K32" s="20"/>
      <c r="L32" s="23"/>
      <c r="M32" s="23"/>
      <c r="N32" s="23"/>
      <c r="O32" s="23"/>
      <c r="P32" s="23"/>
      <c r="Q32" s="23"/>
      <c r="R32" s="23"/>
      <c r="S32" s="23"/>
      <c r="T32" s="24"/>
    </row>
    <row r="33" spans="1:20" s="11" customFormat="1" ht="31.9" customHeight="1" thickBot="1" x14ac:dyDescent="0.25">
      <c r="A33" s="7">
        <v>24</v>
      </c>
      <c r="B33" s="99" t="s">
        <v>70</v>
      </c>
      <c r="C33" s="100" t="s">
        <v>16</v>
      </c>
      <c r="D33" s="8" t="str">
        <f t="shared" si="0"/>
        <v>2.5.2</v>
      </c>
      <c r="E33" s="98" t="s">
        <v>71</v>
      </c>
      <c r="F33" s="12" t="s">
        <v>20</v>
      </c>
      <c r="G33" s="12">
        <v>1000</v>
      </c>
      <c r="H33" s="95">
        <v>28.4</v>
      </c>
      <c r="I33" s="9">
        <f t="shared" si="1"/>
        <v>28400</v>
      </c>
      <c r="J33" s="19"/>
      <c r="K33" s="20"/>
      <c r="L33" s="15"/>
      <c r="M33" s="15"/>
      <c r="N33" s="15"/>
      <c r="O33" s="15"/>
      <c r="P33" s="15"/>
      <c r="Q33" s="15"/>
      <c r="R33" s="15"/>
      <c r="S33" s="15"/>
      <c r="T33" s="16"/>
    </row>
    <row r="34" spans="1:20" s="11" customFormat="1" ht="31.9" customHeight="1" thickBot="1" x14ac:dyDescent="0.25">
      <c r="A34" s="7">
        <v>25</v>
      </c>
      <c r="B34" s="99" t="s">
        <v>72</v>
      </c>
      <c r="C34" s="100" t="s">
        <v>16</v>
      </c>
      <c r="D34" s="8" t="str">
        <f t="shared" si="0"/>
        <v>2.5.2</v>
      </c>
      <c r="E34" s="98" t="s">
        <v>73</v>
      </c>
      <c r="F34" s="12" t="s">
        <v>27</v>
      </c>
      <c r="G34" s="12">
        <v>600</v>
      </c>
      <c r="H34" s="95">
        <v>50.5</v>
      </c>
      <c r="I34" s="9">
        <f t="shared" si="1"/>
        <v>30300</v>
      </c>
      <c r="J34" s="19"/>
      <c r="K34" s="20"/>
      <c r="L34" s="15"/>
      <c r="M34" s="15"/>
      <c r="N34" s="15"/>
      <c r="O34" s="15"/>
      <c r="P34" s="15"/>
      <c r="Q34" s="15"/>
      <c r="R34" s="15"/>
      <c r="S34" s="15"/>
      <c r="T34" s="16"/>
    </row>
    <row r="35" spans="1:20" s="11" customFormat="1" ht="31.9" customHeight="1" thickBot="1" x14ac:dyDescent="0.25">
      <c r="A35" s="7">
        <v>26</v>
      </c>
      <c r="B35" s="99" t="s">
        <v>74</v>
      </c>
      <c r="C35" s="100" t="s">
        <v>16</v>
      </c>
      <c r="D35" s="8" t="str">
        <f t="shared" si="0"/>
        <v>2.5.2</v>
      </c>
      <c r="E35" s="98" t="s">
        <v>75</v>
      </c>
      <c r="F35" s="12" t="s">
        <v>27</v>
      </c>
      <c r="G35" s="12">
        <v>500</v>
      </c>
      <c r="H35" s="95">
        <v>65.28</v>
      </c>
      <c r="I35" s="9">
        <f t="shared" si="1"/>
        <v>32640</v>
      </c>
      <c r="J35" s="19"/>
      <c r="K35" s="20"/>
      <c r="L35" s="23"/>
      <c r="M35" s="23"/>
      <c r="N35" s="23"/>
      <c r="O35" s="23"/>
      <c r="P35" s="23"/>
      <c r="Q35" s="23"/>
      <c r="R35" s="23"/>
      <c r="S35" s="23"/>
      <c r="T35" s="24"/>
    </row>
    <row r="36" spans="1:20" s="11" customFormat="1" ht="31.9" customHeight="1" thickBot="1" x14ac:dyDescent="0.25">
      <c r="A36" s="7">
        <v>27</v>
      </c>
      <c r="B36" s="99" t="s">
        <v>76</v>
      </c>
      <c r="C36" s="100" t="s">
        <v>16</v>
      </c>
      <c r="D36" s="8" t="str">
        <f t="shared" si="0"/>
        <v>2.5.2</v>
      </c>
      <c r="E36" s="98" t="s">
        <v>77</v>
      </c>
      <c r="F36" s="12" t="s">
        <v>20</v>
      </c>
      <c r="G36" s="12">
        <v>50</v>
      </c>
      <c r="H36" s="95">
        <v>4.72</v>
      </c>
      <c r="I36" s="9">
        <f t="shared" si="1"/>
        <v>236</v>
      </c>
      <c r="J36" s="19"/>
      <c r="K36" s="20"/>
      <c r="L36" s="23"/>
      <c r="M36" s="23"/>
      <c r="N36" s="23"/>
      <c r="O36" s="23"/>
      <c r="P36" s="23"/>
      <c r="Q36" s="23"/>
      <c r="R36" s="23"/>
      <c r="S36" s="23"/>
      <c r="T36" s="24"/>
    </row>
    <row r="37" spans="1:20" s="11" customFormat="1" ht="31.9" customHeight="1" thickBot="1" x14ac:dyDescent="0.25">
      <c r="A37" s="7">
        <v>28</v>
      </c>
      <c r="B37" s="99" t="s">
        <v>78</v>
      </c>
      <c r="C37" s="100" t="s">
        <v>16</v>
      </c>
      <c r="D37" s="8" t="str">
        <f t="shared" si="0"/>
        <v>2.5.2</v>
      </c>
      <c r="E37" s="98" t="s">
        <v>79</v>
      </c>
      <c r="F37" s="12" t="s">
        <v>27</v>
      </c>
      <c r="G37" s="12">
        <v>5000</v>
      </c>
      <c r="H37" s="95">
        <v>74.17</v>
      </c>
      <c r="I37" s="9">
        <f t="shared" si="1"/>
        <v>370850</v>
      </c>
      <c r="J37" s="19"/>
      <c r="K37" s="20"/>
      <c r="L37" s="15"/>
      <c r="M37" s="15"/>
      <c r="N37" s="15"/>
      <c r="O37" s="15"/>
      <c r="P37" s="15"/>
      <c r="Q37" s="15"/>
      <c r="R37" s="15"/>
      <c r="S37" s="15"/>
      <c r="T37" s="16"/>
    </row>
    <row r="38" spans="1:20" s="11" customFormat="1" ht="31.9" customHeight="1" thickBot="1" x14ac:dyDescent="0.25">
      <c r="A38" s="7">
        <v>29</v>
      </c>
      <c r="B38" s="99" t="s">
        <v>80</v>
      </c>
      <c r="C38" s="100" t="s">
        <v>16</v>
      </c>
      <c r="D38" s="8" t="str">
        <f t="shared" si="0"/>
        <v>2.5.2</v>
      </c>
      <c r="E38" s="98" t="s">
        <v>81</v>
      </c>
      <c r="F38" s="12" t="s">
        <v>61</v>
      </c>
      <c r="G38" s="12">
        <v>100</v>
      </c>
      <c r="H38" s="95">
        <v>250.27</v>
      </c>
      <c r="I38" s="9">
        <f t="shared" si="1"/>
        <v>25027</v>
      </c>
      <c r="J38" s="19"/>
      <c r="K38" s="20"/>
      <c r="L38" s="23"/>
      <c r="M38" s="23"/>
      <c r="N38" s="23"/>
      <c r="O38" s="23"/>
      <c r="P38" s="23"/>
      <c r="Q38" s="23"/>
      <c r="R38" s="23"/>
      <c r="S38" s="23"/>
      <c r="T38" s="24"/>
    </row>
    <row r="39" spans="1:20" s="11" customFormat="1" ht="45" customHeight="1" thickBot="1" x14ac:dyDescent="0.25">
      <c r="A39" s="7">
        <v>30</v>
      </c>
      <c r="B39" s="99" t="s">
        <v>82</v>
      </c>
      <c r="C39" s="100" t="s">
        <v>16</v>
      </c>
      <c r="D39" s="8" t="str">
        <f t="shared" si="0"/>
        <v>2.5.2</v>
      </c>
      <c r="E39" s="98" t="s">
        <v>83</v>
      </c>
      <c r="F39" s="12" t="s">
        <v>27</v>
      </c>
      <c r="G39" s="12">
        <v>1000</v>
      </c>
      <c r="H39" s="95">
        <v>116.78</v>
      </c>
      <c r="I39" s="9">
        <f t="shared" si="1"/>
        <v>116780</v>
      </c>
      <c r="J39" s="19"/>
      <c r="K39" s="20"/>
      <c r="L39" s="23"/>
      <c r="M39" s="23"/>
      <c r="N39" s="23"/>
      <c r="O39" s="23"/>
      <c r="P39" s="23"/>
      <c r="Q39" s="23"/>
      <c r="R39" s="23"/>
      <c r="S39" s="23"/>
      <c r="T39" s="24"/>
    </row>
    <row r="40" spans="1:20" s="11" customFormat="1" ht="31.9" customHeight="1" thickBot="1" x14ac:dyDescent="0.25">
      <c r="A40" s="7">
        <v>31</v>
      </c>
      <c r="B40" s="99" t="s">
        <v>85</v>
      </c>
      <c r="C40" s="100" t="s">
        <v>16</v>
      </c>
      <c r="D40" s="8" t="str">
        <f t="shared" si="0"/>
        <v>2.5.2</v>
      </c>
      <c r="E40" s="98" t="s">
        <v>86</v>
      </c>
      <c r="F40" s="12" t="s">
        <v>84</v>
      </c>
      <c r="G40" s="12">
        <v>3000</v>
      </c>
      <c r="H40" s="95">
        <v>244.19</v>
      </c>
      <c r="I40" s="9">
        <f t="shared" si="1"/>
        <v>732570</v>
      </c>
      <c r="J40" s="19"/>
      <c r="K40" s="20"/>
      <c r="L40" s="23"/>
      <c r="M40" s="23"/>
      <c r="N40" s="23"/>
      <c r="O40" s="23"/>
      <c r="P40" s="23"/>
      <c r="Q40" s="23"/>
      <c r="R40" s="23"/>
      <c r="S40" s="23"/>
      <c r="T40" s="24"/>
    </row>
    <row r="41" spans="1:20" s="11" customFormat="1" ht="31.9" customHeight="1" thickBot="1" x14ac:dyDescent="0.25">
      <c r="A41" s="7">
        <v>32</v>
      </c>
      <c r="B41" s="99" t="s">
        <v>87</v>
      </c>
      <c r="C41" s="100" t="s">
        <v>16</v>
      </c>
      <c r="D41" s="8" t="str">
        <f t="shared" si="0"/>
        <v>2.5.2</v>
      </c>
      <c r="E41" s="98" t="s">
        <v>88</v>
      </c>
      <c r="F41" s="12" t="s">
        <v>84</v>
      </c>
      <c r="G41" s="12">
        <v>2000</v>
      </c>
      <c r="H41" s="95">
        <v>254.17</v>
      </c>
      <c r="I41" s="9">
        <f t="shared" si="1"/>
        <v>508340</v>
      </c>
      <c r="J41" s="19"/>
      <c r="K41" s="20"/>
      <c r="L41" s="23"/>
      <c r="M41" s="23"/>
      <c r="N41" s="23"/>
      <c r="O41" s="23"/>
      <c r="P41" s="23"/>
      <c r="Q41" s="23"/>
      <c r="R41" s="23"/>
      <c r="S41" s="23"/>
      <c r="T41" s="24"/>
    </row>
    <row r="42" spans="1:20" s="11" customFormat="1" ht="45.75" customHeight="1" thickBot="1" x14ac:dyDescent="0.25">
      <c r="A42" s="7">
        <v>33</v>
      </c>
      <c r="B42" s="99" t="s">
        <v>89</v>
      </c>
      <c r="C42" s="100" t="s">
        <v>16</v>
      </c>
      <c r="D42" s="8" t="str">
        <f t="shared" si="0"/>
        <v>2.5.2</v>
      </c>
      <c r="E42" s="98" t="s">
        <v>90</v>
      </c>
      <c r="F42" s="12" t="s">
        <v>61</v>
      </c>
      <c r="G42" s="12">
        <v>20</v>
      </c>
      <c r="H42" s="95">
        <v>378</v>
      </c>
      <c r="I42" s="9">
        <f t="shared" si="1"/>
        <v>7560</v>
      </c>
      <c r="J42" s="19"/>
      <c r="K42" s="20"/>
      <c r="L42" s="23"/>
      <c r="M42" s="23"/>
      <c r="N42" s="23"/>
      <c r="O42" s="23"/>
      <c r="P42" s="23"/>
      <c r="Q42" s="23"/>
      <c r="R42" s="23"/>
      <c r="S42" s="23"/>
      <c r="T42" s="24"/>
    </row>
    <row r="43" spans="1:20" s="11" customFormat="1" ht="31.9" customHeight="1" thickBot="1" x14ac:dyDescent="0.25">
      <c r="A43" s="7">
        <v>34</v>
      </c>
      <c r="B43" s="99" t="s">
        <v>91</v>
      </c>
      <c r="C43" s="100" t="s">
        <v>16</v>
      </c>
      <c r="D43" s="8" t="str">
        <f t="shared" si="0"/>
        <v>2.5.2</v>
      </c>
      <c r="E43" s="98" t="s">
        <v>92</v>
      </c>
      <c r="F43" s="12" t="s">
        <v>20</v>
      </c>
      <c r="G43" s="12">
        <v>2000</v>
      </c>
      <c r="H43" s="95">
        <v>2.65</v>
      </c>
      <c r="I43" s="9">
        <f t="shared" si="1"/>
        <v>5300</v>
      </c>
      <c r="J43" s="19"/>
      <c r="K43" s="20"/>
      <c r="L43" s="23"/>
      <c r="M43" s="23"/>
      <c r="N43" s="23"/>
      <c r="O43" s="23"/>
      <c r="P43" s="23"/>
      <c r="Q43" s="23"/>
      <c r="R43" s="23"/>
      <c r="S43" s="23"/>
      <c r="T43" s="24"/>
    </row>
    <row r="44" spans="1:20" s="11" customFormat="1" ht="31.9" customHeight="1" thickBot="1" x14ac:dyDescent="0.25">
      <c r="A44" s="7">
        <v>35</v>
      </c>
      <c r="B44" s="99" t="s">
        <v>93</v>
      </c>
      <c r="C44" s="100" t="s">
        <v>16</v>
      </c>
      <c r="D44" s="8" t="str">
        <f t="shared" si="0"/>
        <v>2.5.2</v>
      </c>
      <c r="E44" s="98" t="s">
        <v>94</v>
      </c>
      <c r="F44" s="12" t="s">
        <v>27</v>
      </c>
      <c r="G44" s="12">
        <v>3000</v>
      </c>
      <c r="H44" s="95">
        <v>38.200000000000003</v>
      </c>
      <c r="I44" s="9">
        <f t="shared" si="1"/>
        <v>114600.00000000001</v>
      </c>
      <c r="J44" s="19"/>
      <c r="K44" s="20"/>
      <c r="L44" s="23"/>
      <c r="M44" s="23"/>
      <c r="N44" s="23"/>
      <c r="O44" s="23"/>
      <c r="P44" s="23"/>
      <c r="Q44" s="23"/>
      <c r="R44" s="23"/>
      <c r="S44" s="23"/>
      <c r="T44" s="24"/>
    </row>
    <row r="45" spans="1:20" s="11" customFormat="1" ht="31.9" customHeight="1" thickBot="1" x14ac:dyDescent="0.25">
      <c r="A45" s="7">
        <v>36</v>
      </c>
      <c r="B45" s="99" t="s">
        <v>95</v>
      </c>
      <c r="C45" s="100" t="s">
        <v>16</v>
      </c>
      <c r="D45" s="8" t="str">
        <f t="shared" si="0"/>
        <v>2.5.2</v>
      </c>
      <c r="E45" s="98" t="s">
        <v>96</v>
      </c>
      <c r="F45" s="12" t="s">
        <v>27</v>
      </c>
      <c r="G45" s="12">
        <v>1000</v>
      </c>
      <c r="H45" s="95">
        <v>50.4</v>
      </c>
      <c r="I45" s="9">
        <f t="shared" si="1"/>
        <v>50400</v>
      </c>
      <c r="J45" s="19"/>
      <c r="K45" s="20"/>
      <c r="L45" s="23"/>
      <c r="M45" s="23"/>
      <c r="N45" s="23"/>
      <c r="O45" s="23"/>
      <c r="P45" s="23"/>
      <c r="Q45" s="23"/>
      <c r="R45" s="23"/>
      <c r="S45" s="23"/>
      <c r="T45" s="24"/>
    </row>
    <row r="46" spans="1:20" s="11" customFormat="1" ht="31.9" customHeight="1" thickBot="1" x14ac:dyDescent="0.25">
      <c r="A46" s="7">
        <v>37</v>
      </c>
      <c r="B46" s="99" t="s">
        <v>97</v>
      </c>
      <c r="C46" s="100" t="s">
        <v>16</v>
      </c>
      <c r="D46" s="8" t="str">
        <f t="shared" si="0"/>
        <v>2.5.2</v>
      </c>
      <c r="E46" s="98" t="s">
        <v>98</v>
      </c>
      <c r="F46" s="12" t="s">
        <v>27</v>
      </c>
      <c r="G46" s="12">
        <v>1000</v>
      </c>
      <c r="H46" s="95">
        <v>58.8</v>
      </c>
      <c r="I46" s="9">
        <f t="shared" si="1"/>
        <v>58800</v>
      </c>
      <c r="J46" s="19"/>
      <c r="K46" s="20"/>
      <c r="L46" s="23"/>
      <c r="M46" s="23"/>
      <c r="N46" s="23"/>
      <c r="O46" s="23"/>
      <c r="P46" s="23"/>
      <c r="Q46" s="23"/>
      <c r="R46" s="23"/>
      <c r="S46" s="23"/>
      <c r="T46" s="24"/>
    </row>
    <row r="47" spans="1:20" s="11" customFormat="1" ht="31.9" customHeight="1" thickBot="1" x14ac:dyDescent="0.25">
      <c r="A47" s="7">
        <v>38</v>
      </c>
      <c r="B47" s="99" t="s">
        <v>99</v>
      </c>
      <c r="C47" s="100" t="s">
        <v>16</v>
      </c>
      <c r="D47" s="8" t="str">
        <f t="shared" si="0"/>
        <v>2.5.2</v>
      </c>
      <c r="E47" s="98" t="s">
        <v>100</v>
      </c>
      <c r="F47" s="12" t="s">
        <v>20</v>
      </c>
      <c r="G47" s="12">
        <v>300</v>
      </c>
      <c r="H47" s="95">
        <v>8.6</v>
      </c>
      <c r="I47" s="9">
        <f t="shared" si="1"/>
        <v>2580</v>
      </c>
      <c r="J47" s="19"/>
      <c r="K47" s="20"/>
      <c r="L47" s="23"/>
      <c r="M47" s="23"/>
      <c r="N47" s="23"/>
      <c r="O47" s="23"/>
      <c r="P47" s="23"/>
      <c r="Q47" s="23"/>
      <c r="R47" s="23"/>
      <c r="S47" s="23"/>
      <c r="T47" s="24"/>
    </row>
    <row r="48" spans="1:20" s="11" customFormat="1" ht="31.9" customHeight="1" thickBot="1" x14ac:dyDescent="0.25">
      <c r="A48" s="7">
        <v>39</v>
      </c>
      <c r="B48" s="99" t="s">
        <v>101</v>
      </c>
      <c r="C48" s="100" t="s">
        <v>16</v>
      </c>
      <c r="D48" s="8" t="str">
        <f t="shared" si="0"/>
        <v>2.5.2</v>
      </c>
      <c r="E48" s="98" t="s">
        <v>102</v>
      </c>
      <c r="F48" s="12" t="s">
        <v>61</v>
      </c>
      <c r="G48" s="12">
        <v>60</v>
      </c>
      <c r="H48" s="95">
        <v>1611.37</v>
      </c>
      <c r="I48" s="9">
        <f t="shared" si="1"/>
        <v>96682.2</v>
      </c>
      <c r="J48" s="19"/>
      <c r="K48" s="20"/>
      <c r="L48" s="15"/>
      <c r="M48" s="15"/>
      <c r="N48" s="15"/>
      <c r="O48" s="15"/>
      <c r="P48" s="15"/>
      <c r="Q48" s="15"/>
      <c r="R48" s="15"/>
      <c r="S48" s="15"/>
      <c r="T48" s="16"/>
    </row>
    <row r="49" spans="1:20" s="11" customFormat="1" ht="31.9" customHeight="1" thickBot="1" x14ac:dyDescent="0.25">
      <c r="A49" s="7">
        <v>40</v>
      </c>
      <c r="B49" s="99" t="s">
        <v>103</v>
      </c>
      <c r="C49" s="100" t="s">
        <v>16</v>
      </c>
      <c r="D49" s="8" t="str">
        <f t="shared" si="0"/>
        <v>2.5.2</v>
      </c>
      <c r="E49" s="98" t="s">
        <v>104</v>
      </c>
      <c r="F49" s="12" t="s">
        <v>27</v>
      </c>
      <c r="G49" s="12">
        <v>3000</v>
      </c>
      <c r="H49" s="95">
        <v>39.29</v>
      </c>
      <c r="I49" s="9">
        <f t="shared" si="1"/>
        <v>117870</v>
      </c>
      <c r="J49" s="19"/>
      <c r="K49" s="20"/>
      <c r="L49" s="23"/>
      <c r="M49" s="23"/>
      <c r="N49" s="23"/>
      <c r="O49" s="23"/>
      <c r="P49" s="23"/>
      <c r="Q49" s="23"/>
      <c r="R49" s="23"/>
      <c r="S49" s="23"/>
      <c r="T49" s="24"/>
    </row>
    <row r="50" spans="1:20" s="11" customFormat="1" ht="31.9" customHeight="1" thickBot="1" x14ac:dyDescent="0.25">
      <c r="A50" s="7">
        <v>41</v>
      </c>
      <c r="B50" s="99" t="s">
        <v>105</v>
      </c>
      <c r="C50" s="100" t="s">
        <v>16</v>
      </c>
      <c r="D50" s="8" t="str">
        <f t="shared" si="0"/>
        <v>2.5.2</v>
      </c>
      <c r="E50" s="98" t="s">
        <v>106</v>
      </c>
      <c r="F50" s="12" t="s">
        <v>27</v>
      </c>
      <c r="G50" s="12">
        <v>3000</v>
      </c>
      <c r="H50" s="95">
        <v>57.84</v>
      </c>
      <c r="I50" s="9">
        <f t="shared" si="1"/>
        <v>173520</v>
      </c>
      <c r="J50" s="19"/>
      <c r="K50" s="20"/>
      <c r="L50" s="23"/>
      <c r="M50" s="23"/>
      <c r="N50" s="23"/>
      <c r="O50" s="23"/>
      <c r="P50" s="23"/>
      <c r="Q50" s="23"/>
      <c r="R50" s="23"/>
      <c r="S50" s="23"/>
      <c r="T50" s="24"/>
    </row>
    <row r="51" spans="1:20" s="11" customFormat="1" ht="31.9" customHeight="1" thickBot="1" x14ac:dyDescent="0.25">
      <c r="A51" s="7">
        <v>42</v>
      </c>
      <c r="B51" s="99" t="s">
        <v>107</v>
      </c>
      <c r="C51" s="100" t="s">
        <v>16</v>
      </c>
      <c r="D51" s="8" t="str">
        <f t="shared" si="0"/>
        <v>2.5.2</v>
      </c>
      <c r="E51" s="98" t="s">
        <v>108</v>
      </c>
      <c r="F51" s="12" t="s">
        <v>20</v>
      </c>
      <c r="G51" s="12">
        <v>6000</v>
      </c>
      <c r="H51" s="95">
        <v>3.06</v>
      </c>
      <c r="I51" s="9">
        <f t="shared" si="1"/>
        <v>18360</v>
      </c>
      <c r="J51" s="19"/>
      <c r="K51" s="20"/>
      <c r="L51" s="23"/>
      <c r="M51" s="23"/>
      <c r="N51" s="23"/>
      <c r="O51" s="23"/>
      <c r="P51" s="23"/>
      <c r="Q51" s="23"/>
      <c r="R51" s="23"/>
      <c r="S51" s="23"/>
      <c r="T51" s="24"/>
    </row>
    <row r="52" spans="1:20" s="11" customFormat="1" ht="54.75" customHeight="1" thickBot="1" x14ac:dyDescent="0.25">
      <c r="A52" s="7">
        <v>43</v>
      </c>
      <c r="B52" s="99" t="s">
        <v>109</v>
      </c>
      <c r="C52" s="100" t="s">
        <v>16</v>
      </c>
      <c r="D52" s="8" t="str">
        <f t="shared" si="0"/>
        <v>2.5.2</v>
      </c>
      <c r="E52" s="98" t="s">
        <v>110</v>
      </c>
      <c r="F52" s="12" t="s">
        <v>20</v>
      </c>
      <c r="G52" s="12">
        <v>50</v>
      </c>
      <c r="H52" s="95">
        <v>31.24</v>
      </c>
      <c r="I52" s="9">
        <f t="shared" si="1"/>
        <v>1562</v>
      </c>
      <c r="J52" s="19"/>
      <c r="K52" s="20"/>
      <c r="L52" s="23"/>
      <c r="M52" s="23"/>
      <c r="N52" s="23"/>
      <c r="O52" s="23"/>
      <c r="P52" s="23"/>
      <c r="Q52" s="23"/>
      <c r="R52" s="23"/>
      <c r="S52" s="23"/>
      <c r="T52" s="24"/>
    </row>
    <row r="53" spans="1:20" s="11" customFormat="1" ht="45" customHeight="1" thickBot="1" x14ac:dyDescent="0.25">
      <c r="A53" s="7">
        <v>44</v>
      </c>
      <c r="B53" s="99" t="s">
        <v>111</v>
      </c>
      <c r="C53" s="100" t="s">
        <v>16</v>
      </c>
      <c r="D53" s="8" t="str">
        <f t="shared" si="0"/>
        <v>2.5.2</v>
      </c>
      <c r="E53" s="98" t="s">
        <v>112</v>
      </c>
      <c r="F53" s="12" t="s">
        <v>27</v>
      </c>
      <c r="G53" s="12">
        <v>500</v>
      </c>
      <c r="H53" s="95">
        <v>72.83</v>
      </c>
      <c r="I53" s="9">
        <f t="shared" si="1"/>
        <v>36415</v>
      </c>
      <c r="J53" s="19"/>
      <c r="K53" s="20"/>
      <c r="L53" s="23"/>
      <c r="M53" s="23"/>
      <c r="N53" s="23"/>
      <c r="O53" s="23"/>
      <c r="P53" s="23"/>
      <c r="Q53" s="23"/>
      <c r="R53" s="23"/>
      <c r="S53" s="23"/>
      <c r="T53" s="24"/>
    </row>
    <row r="54" spans="1:20" s="11" customFormat="1" ht="48" customHeight="1" thickBot="1" x14ac:dyDescent="0.25">
      <c r="A54" s="7">
        <v>45</v>
      </c>
      <c r="B54" s="99" t="s">
        <v>113</v>
      </c>
      <c r="C54" s="100" t="s">
        <v>16</v>
      </c>
      <c r="D54" s="8" t="str">
        <f t="shared" si="0"/>
        <v>2.5.2</v>
      </c>
      <c r="E54" s="98" t="s">
        <v>114</v>
      </c>
      <c r="F54" s="26" t="s">
        <v>115</v>
      </c>
      <c r="G54" s="12">
        <v>4000</v>
      </c>
      <c r="H54" s="95">
        <v>1254.1199999999999</v>
      </c>
      <c r="I54" s="9">
        <f t="shared" si="1"/>
        <v>5016480</v>
      </c>
      <c r="J54" s="19"/>
      <c r="K54" s="20"/>
      <c r="L54" s="23"/>
      <c r="M54" s="23"/>
      <c r="N54" s="23"/>
      <c r="O54" s="23"/>
      <c r="P54" s="23"/>
      <c r="Q54" s="23"/>
      <c r="R54" s="23"/>
      <c r="S54" s="23"/>
      <c r="T54" s="24"/>
    </row>
    <row r="55" spans="1:20" s="11" customFormat="1" ht="41.25" customHeight="1" thickBot="1" x14ac:dyDescent="0.25">
      <c r="A55" s="7">
        <v>46</v>
      </c>
      <c r="B55" s="99" t="s">
        <v>116</v>
      </c>
      <c r="C55" s="100" t="s">
        <v>16</v>
      </c>
      <c r="D55" s="8" t="str">
        <f t="shared" si="0"/>
        <v>2.5.2</v>
      </c>
      <c r="E55" s="98" t="s">
        <v>117</v>
      </c>
      <c r="F55" s="12" t="s">
        <v>118</v>
      </c>
      <c r="G55" s="12">
        <v>1000</v>
      </c>
      <c r="H55" s="95">
        <v>7.5</v>
      </c>
      <c r="I55" s="9">
        <f t="shared" si="1"/>
        <v>7500</v>
      </c>
      <c r="J55" s="19"/>
      <c r="K55" s="20"/>
      <c r="L55" s="23"/>
      <c r="M55" s="23"/>
      <c r="N55" s="23"/>
      <c r="O55" s="23"/>
      <c r="P55" s="23"/>
      <c r="Q55" s="23"/>
      <c r="R55" s="23"/>
      <c r="S55" s="23"/>
      <c r="T55" s="24"/>
    </row>
    <row r="56" spans="1:20" s="11" customFormat="1" ht="31.9" customHeight="1" thickBot="1" x14ac:dyDescent="0.25">
      <c r="A56" s="7">
        <v>47</v>
      </c>
      <c r="B56" s="99" t="s">
        <v>119</v>
      </c>
      <c r="C56" s="100" t="s">
        <v>16</v>
      </c>
      <c r="D56" s="8" t="str">
        <f t="shared" si="0"/>
        <v>2.5.2</v>
      </c>
      <c r="E56" s="98" t="s">
        <v>120</v>
      </c>
      <c r="F56" s="12" t="s">
        <v>27</v>
      </c>
      <c r="G56" s="12">
        <v>500</v>
      </c>
      <c r="H56" s="95">
        <v>353.42</v>
      </c>
      <c r="I56" s="9">
        <f t="shared" si="1"/>
        <v>176710</v>
      </c>
      <c r="J56" s="19"/>
      <c r="K56" s="20"/>
      <c r="L56" s="15"/>
      <c r="M56" s="15"/>
      <c r="N56" s="15"/>
      <c r="O56" s="15"/>
      <c r="P56" s="15"/>
      <c r="Q56" s="15"/>
      <c r="R56" s="15"/>
      <c r="S56" s="15"/>
      <c r="T56" s="16"/>
    </row>
    <row r="57" spans="1:20" s="11" customFormat="1" ht="31.9" customHeight="1" thickBot="1" x14ac:dyDescent="0.25">
      <c r="A57" s="7">
        <v>48</v>
      </c>
      <c r="B57" s="99" t="s">
        <v>121</v>
      </c>
      <c r="C57" s="100" t="s">
        <v>16</v>
      </c>
      <c r="D57" s="8" t="str">
        <f t="shared" si="0"/>
        <v>2.5.2</v>
      </c>
      <c r="E57" s="98" t="s">
        <v>122</v>
      </c>
      <c r="F57" s="12" t="s">
        <v>27</v>
      </c>
      <c r="G57" s="12">
        <v>3000</v>
      </c>
      <c r="H57" s="95">
        <v>185.72</v>
      </c>
      <c r="I57" s="9">
        <f t="shared" si="1"/>
        <v>557160</v>
      </c>
      <c r="J57" s="19"/>
      <c r="K57" s="20"/>
      <c r="L57" s="15"/>
      <c r="M57" s="15"/>
      <c r="N57" s="15"/>
      <c r="O57" s="15"/>
      <c r="P57" s="15"/>
      <c r="Q57" s="15"/>
      <c r="R57" s="15"/>
      <c r="S57" s="15"/>
      <c r="T57" s="16"/>
    </row>
    <row r="58" spans="1:20" s="11" customFormat="1" ht="36.75" customHeight="1" thickBot="1" x14ac:dyDescent="0.25">
      <c r="A58" s="7">
        <v>49</v>
      </c>
      <c r="B58" s="99" t="s">
        <v>123</v>
      </c>
      <c r="C58" s="100" t="s">
        <v>16</v>
      </c>
      <c r="D58" s="8" t="str">
        <f t="shared" si="0"/>
        <v>2.5.2</v>
      </c>
      <c r="E58" s="98" t="s">
        <v>124</v>
      </c>
      <c r="F58" s="12" t="s">
        <v>27</v>
      </c>
      <c r="G58" s="12">
        <v>3000</v>
      </c>
      <c r="H58" s="95">
        <v>4.6900000000000004</v>
      </c>
      <c r="I58" s="9">
        <f t="shared" si="1"/>
        <v>14070.000000000002</v>
      </c>
      <c r="J58" s="19"/>
      <c r="K58" s="20"/>
      <c r="L58" s="23"/>
      <c r="M58" s="23"/>
      <c r="N58" s="23"/>
      <c r="O58" s="23"/>
      <c r="P58" s="23"/>
      <c r="Q58" s="23"/>
      <c r="R58" s="23"/>
      <c r="S58" s="23"/>
      <c r="T58" s="24"/>
    </row>
    <row r="59" spans="1:20" s="11" customFormat="1" ht="42" customHeight="1" thickBot="1" x14ac:dyDescent="0.25">
      <c r="A59" s="7">
        <v>50</v>
      </c>
      <c r="B59" s="99" t="s">
        <v>125</v>
      </c>
      <c r="C59" s="100" t="s">
        <v>16</v>
      </c>
      <c r="D59" s="8" t="str">
        <f t="shared" si="0"/>
        <v>2.5.2</v>
      </c>
      <c r="E59" s="98" t="s">
        <v>126</v>
      </c>
      <c r="F59" s="12" t="s">
        <v>61</v>
      </c>
      <c r="G59" s="12">
        <v>50</v>
      </c>
      <c r="H59" s="95">
        <v>183.59</v>
      </c>
      <c r="I59" s="9">
        <f t="shared" si="1"/>
        <v>9179.5</v>
      </c>
      <c r="J59" s="19"/>
      <c r="K59" s="20"/>
      <c r="L59" s="15"/>
      <c r="M59" s="15"/>
      <c r="N59" s="15"/>
      <c r="O59" s="15"/>
      <c r="P59" s="15"/>
      <c r="Q59" s="15"/>
      <c r="R59" s="15"/>
      <c r="S59" s="15"/>
      <c r="T59" s="16"/>
    </row>
    <row r="60" spans="1:20" s="11" customFormat="1" ht="31.9" customHeight="1" thickBot="1" x14ac:dyDescent="0.25">
      <c r="A60" s="7">
        <v>51</v>
      </c>
      <c r="B60" s="99" t="s">
        <v>127</v>
      </c>
      <c r="C60" s="100" t="s">
        <v>16</v>
      </c>
      <c r="D60" s="8" t="str">
        <f t="shared" si="0"/>
        <v>2.5.2</v>
      </c>
      <c r="E60" s="98" t="s">
        <v>128</v>
      </c>
      <c r="F60" s="12" t="s">
        <v>129</v>
      </c>
      <c r="G60" s="12">
        <v>100</v>
      </c>
      <c r="H60" s="95">
        <v>453.9</v>
      </c>
      <c r="I60" s="9">
        <f t="shared" si="1"/>
        <v>45390</v>
      </c>
      <c r="J60" s="19"/>
      <c r="K60" s="20"/>
      <c r="L60" s="15"/>
      <c r="M60" s="15"/>
      <c r="N60" s="15"/>
      <c r="O60" s="15"/>
      <c r="P60" s="15"/>
      <c r="Q60" s="15"/>
      <c r="R60" s="15"/>
      <c r="S60" s="15"/>
      <c r="T60" s="16"/>
    </row>
    <row r="61" spans="1:20" s="11" customFormat="1" ht="31.9" customHeight="1" thickBot="1" x14ac:dyDescent="0.25">
      <c r="A61" s="7">
        <v>52</v>
      </c>
      <c r="B61" s="99" t="s">
        <v>130</v>
      </c>
      <c r="C61" s="100" t="s">
        <v>16</v>
      </c>
      <c r="D61" s="8" t="str">
        <f t="shared" si="0"/>
        <v>2.5.2</v>
      </c>
      <c r="E61" s="98" t="s">
        <v>131</v>
      </c>
      <c r="F61" s="12" t="s">
        <v>20</v>
      </c>
      <c r="G61" s="12">
        <v>300</v>
      </c>
      <c r="H61" s="95">
        <v>19.059999999999999</v>
      </c>
      <c r="I61" s="9">
        <f t="shared" si="1"/>
        <v>5718</v>
      </c>
      <c r="J61" s="19"/>
      <c r="K61" s="20"/>
      <c r="L61" s="15"/>
      <c r="M61" s="15"/>
      <c r="N61" s="15"/>
      <c r="O61" s="15"/>
      <c r="P61" s="15"/>
      <c r="Q61" s="15"/>
      <c r="R61" s="15"/>
      <c r="S61" s="15"/>
      <c r="T61" s="16"/>
    </row>
    <row r="62" spans="1:20" s="11" customFormat="1" ht="39.75" customHeight="1" thickBot="1" x14ac:dyDescent="0.25">
      <c r="A62" s="7">
        <v>53</v>
      </c>
      <c r="B62" s="99" t="s">
        <v>132</v>
      </c>
      <c r="C62" s="100" t="s">
        <v>16</v>
      </c>
      <c r="D62" s="8" t="str">
        <f t="shared" si="0"/>
        <v>2.5.2</v>
      </c>
      <c r="E62" s="98" t="s">
        <v>133</v>
      </c>
      <c r="F62" s="12" t="s">
        <v>27</v>
      </c>
      <c r="G62" s="12">
        <v>6</v>
      </c>
      <c r="H62" s="95">
        <v>982.81</v>
      </c>
      <c r="I62" s="9">
        <f t="shared" si="1"/>
        <v>5896.86</v>
      </c>
      <c r="J62" s="19"/>
      <c r="K62" s="20"/>
      <c r="L62" s="15"/>
      <c r="M62" s="15"/>
      <c r="N62" s="15"/>
      <c r="O62" s="15"/>
      <c r="P62" s="15"/>
      <c r="Q62" s="15"/>
      <c r="R62" s="15"/>
      <c r="S62" s="15"/>
      <c r="T62" s="16"/>
    </row>
    <row r="63" spans="1:20" s="11" customFormat="1" ht="48" customHeight="1" thickBot="1" x14ac:dyDescent="0.25">
      <c r="A63" s="7">
        <v>54</v>
      </c>
      <c r="B63" s="99" t="s">
        <v>134</v>
      </c>
      <c r="C63" s="100" t="s">
        <v>16</v>
      </c>
      <c r="D63" s="8" t="str">
        <f t="shared" si="0"/>
        <v>2.5.2</v>
      </c>
      <c r="E63" s="98" t="s">
        <v>135</v>
      </c>
      <c r="F63" s="12" t="s">
        <v>61</v>
      </c>
      <c r="G63" s="12">
        <v>30</v>
      </c>
      <c r="H63" s="95">
        <v>82800</v>
      </c>
      <c r="I63" s="9">
        <f t="shared" si="1"/>
        <v>2484000</v>
      </c>
      <c r="J63" s="19"/>
      <c r="K63" s="20"/>
      <c r="L63" s="23"/>
      <c r="M63" s="23"/>
      <c r="N63" s="23"/>
      <c r="O63" s="23"/>
      <c r="P63" s="23"/>
      <c r="Q63" s="23"/>
      <c r="R63" s="23"/>
      <c r="S63" s="23"/>
      <c r="T63" s="24"/>
    </row>
    <row r="64" spans="1:20" s="11" customFormat="1" ht="31.9" customHeight="1" thickBot="1" x14ac:dyDescent="0.25">
      <c r="A64" s="7">
        <v>55</v>
      </c>
      <c r="B64" s="99" t="s">
        <v>136</v>
      </c>
      <c r="C64" s="100" t="s">
        <v>16</v>
      </c>
      <c r="D64" s="8" t="str">
        <f t="shared" ref="D64:D114" si="2">LEFT(B64,5)</f>
        <v>2.5.2</v>
      </c>
      <c r="E64" s="98" t="s">
        <v>137</v>
      </c>
      <c r="F64" s="12" t="s">
        <v>27</v>
      </c>
      <c r="G64" s="12">
        <v>500</v>
      </c>
      <c r="H64" s="95">
        <v>43.66</v>
      </c>
      <c r="I64" s="9">
        <f t="shared" ref="I64:I114" si="3">+G64*H64</f>
        <v>21830</v>
      </c>
      <c r="J64" s="19"/>
      <c r="K64" s="20"/>
      <c r="L64" s="23"/>
      <c r="M64" s="23"/>
      <c r="N64" s="23"/>
      <c r="O64" s="23"/>
      <c r="P64" s="23"/>
      <c r="Q64" s="23"/>
      <c r="R64" s="23"/>
      <c r="S64" s="23"/>
      <c r="T64" s="24"/>
    </row>
    <row r="65" spans="1:20" s="11" customFormat="1" ht="46.5" customHeight="1" thickBot="1" x14ac:dyDescent="0.25">
      <c r="A65" s="7">
        <v>56</v>
      </c>
      <c r="B65" s="99" t="s">
        <v>138</v>
      </c>
      <c r="C65" s="100" t="s">
        <v>16</v>
      </c>
      <c r="D65" s="8" t="str">
        <f t="shared" si="2"/>
        <v>2.5.2</v>
      </c>
      <c r="E65" s="98" t="s">
        <v>139</v>
      </c>
      <c r="F65" s="12" t="s">
        <v>140</v>
      </c>
      <c r="G65" s="12">
        <v>30</v>
      </c>
      <c r="H65" s="95">
        <v>235.2</v>
      </c>
      <c r="I65" s="9">
        <f t="shared" si="3"/>
        <v>7056</v>
      </c>
      <c r="J65" s="19"/>
      <c r="K65" s="20"/>
      <c r="L65" s="23"/>
      <c r="M65" s="23"/>
      <c r="N65" s="23"/>
      <c r="O65" s="23"/>
      <c r="P65" s="23"/>
      <c r="Q65" s="23"/>
      <c r="R65" s="23"/>
      <c r="S65" s="23"/>
      <c r="T65" s="24"/>
    </row>
    <row r="66" spans="1:20" s="11" customFormat="1" ht="38.25" customHeight="1" thickBot="1" x14ac:dyDescent="0.25">
      <c r="A66" s="7">
        <v>57</v>
      </c>
      <c r="B66" s="99" t="s">
        <v>141</v>
      </c>
      <c r="C66" s="100" t="s">
        <v>16</v>
      </c>
      <c r="D66" s="8" t="str">
        <f t="shared" si="2"/>
        <v>2.5.2</v>
      </c>
      <c r="E66" s="98" t="s">
        <v>142</v>
      </c>
      <c r="F66" s="12" t="s">
        <v>143</v>
      </c>
      <c r="G66" s="12">
        <v>500</v>
      </c>
      <c r="H66" s="95">
        <v>586.79999999999995</v>
      </c>
      <c r="I66" s="9">
        <f t="shared" si="3"/>
        <v>293400</v>
      </c>
      <c r="J66" s="19"/>
      <c r="K66" s="20"/>
      <c r="L66" s="23"/>
      <c r="M66" s="23"/>
      <c r="N66" s="23"/>
      <c r="O66" s="23"/>
      <c r="P66" s="23"/>
      <c r="Q66" s="23"/>
      <c r="R66" s="23"/>
      <c r="S66" s="23"/>
      <c r="T66" s="24"/>
    </row>
    <row r="67" spans="1:20" s="11" customFormat="1" ht="57.75" customHeight="1" thickBot="1" x14ac:dyDescent="0.25">
      <c r="A67" s="7">
        <v>58</v>
      </c>
      <c r="B67" s="99" t="s">
        <v>144</v>
      </c>
      <c r="C67" s="100" t="s">
        <v>16</v>
      </c>
      <c r="D67" s="8" t="str">
        <f t="shared" si="2"/>
        <v>2.5.2</v>
      </c>
      <c r="E67" s="98" t="s">
        <v>145</v>
      </c>
      <c r="F67" s="12" t="s">
        <v>17</v>
      </c>
      <c r="G67" s="12">
        <v>1000</v>
      </c>
      <c r="H67" s="95">
        <v>253.2</v>
      </c>
      <c r="I67" s="9">
        <f t="shared" si="3"/>
        <v>253200</v>
      </c>
      <c r="J67" s="19"/>
      <c r="K67" s="20"/>
      <c r="L67" s="23"/>
      <c r="M67" s="23"/>
      <c r="N67" s="23"/>
      <c r="O67" s="23"/>
      <c r="P67" s="23"/>
      <c r="Q67" s="23"/>
      <c r="R67" s="23"/>
      <c r="S67" s="23"/>
      <c r="T67" s="24"/>
    </row>
    <row r="68" spans="1:20" s="11" customFormat="1" ht="44.25" customHeight="1" thickBot="1" x14ac:dyDescent="0.25">
      <c r="A68" s="7">
        <v>59</v>
      </c>
      <c r="B68" s="99" t="s">
        <v>146</v>
      </c>
      <c r="C68" s="100" t="s">
        <v>16</v>
      </c>
      <c r="D68" s="8" t="str">
        <f t="shared" si="2"/>
        <v>2.5.2</v>
      </c>
      <c r="E68" s="98" t="s">
        <v>147</v>
      </c>
      <c r="F68" s="12" t="s">
        <v>20</v>
      </c>
      <c r="G68" s="12">
        <v>30</v>
      </c>
      <c r="H68" s="95">
        <v>10.24</v>
      </c>
      <c r="I68" s="9">
        <f t="shared" si="3"/>
        <v>307.2</v>
      </c>
      <c r="J68" s="19"/>
      <c r="K68" s="20"/>
      <c r="L68" s="23"/>
      <c r="M68" s="23"/>
      <c r="N68" s="23"/>
      <c r="O68" s="23"/>
      <c r="P68" s="23"/>
      <c r="Q68" s="23"/>
      <c r="R68" s="23"/>
      <c r="S68" s="23"/>
      <c r="T68" s="24"/>
    </row>
    <row r="69" spans="1:20" s="11" customFormat="1" ht="48.75" customHeight="1" thickBot="1" x14ac:dyDescent="0.25">
      <c r="A69" s="7">
        <v>60</v>
      </c>
      <c r="B69" s="99" t="s">
        <v>148</v>
      </c>
      <c r="C69" s="100" t="s">
        <v>16</v>
      </c>
      <c r="D69" s="8" t="str">
        <f t="shared" si="2"/>
        <v>2.5.2</v>
      </c>
      <c r="E69" s="98" t="s">
        <v>149</v>
      </c>
      <c r="F69" s="12" t="s">
        <v>17</v>
      </c>
      <c r="G69" s="12">
        <v>100</v>
      </c>
      <c r="H69" s="95">
        <v>789.6</v>
      </c>
      <c r="I69" s="9">
        <f t="shared" si="3"/>
        <v>78960</v>
      </c>
      <c r="J69" s="19"/>
      <c r="K69" s="20"/>
      <c r="L69" s="23"/>
      <c r="M69" s="23"/>
      <c r="N69" s="23"/>
      <c r="O69" s="23"/>
      <c r="P69" s="23"/>
      <c r="Q69" s="23"/>
      <c r="R69" s="23"/>
      <c r="S69" s="23"/>
      <c r="T69" s="24"/>
    </row>
    <row r="70" spans="1:20" s="11" customFormat="1" ht="31.9" customHeight="1" thickBot="1" x14ac:dyDescent="0.25">
      <c r="A70" s="7">
        <v>61</v>
      </c>
      <c r="B70" s="99" t="s">
        <v>150</v>
      </c>
      <c r="C70" s="100" t="s">
        <v>16</v>
      </c>
      <c r="D70" s="8" t="str">
        <f t="shared" si="2"/>
        <v>2.5.2</v>
      </c>
      <c r="E70" s="98" t="s">
        <v>151</v>
      </c>
      <c r="F70" s="12" t="s">
        <v>27</v>
      </c>
      <c r="G70" s="12">
        <v>5000</v>
      </c>
      <c r="H70" s="95">
        <v>43.66</v>
      </c>
      <c r="I70" s="9">
        <f t="shared" si="3"/>
        <v>218299.99999999997</v>
      </c>
      <c r="J70" s="19"/>
      <c r="K70" s="20"/>
      <c r="L70" s="23"/>
      <c r="M70" s="23"/>
      <c r="N70" s="23"/>
      <c r="O70" s="23"/>
      <c r="P70" s="23"/>
      <c r="Q70" s="23"/>
      <c r="R70" s="23"/>
      <c r="S70" s="23"/>
      <c r="T70" s="24"/>
    </row>
    <row r="71" spans="1:20" s="11" customFormat="1" ht="31.9" customHeight="1" thickBot="1" x14ac:dyDescent="0.25">
      <c r="A71" s="7">
        <v>62</v>
      </c>
      <c r="B71" s="99" t="s">
        <v>152</v>
      </c>
      <c r="C71" s="100" t="s">
        <v>16</v>
      </c>
      <c r="D71" s="8" t="str">
        <f t="shared" si="2"/>
        <v>2.5.2</v>
      </c>
      <c r="E71" s="98" t="s">
        <v>153</v>
      </c>
      <c r="F71" s="12" t="s">
        <v>61</v>
      </c>
      <c r="G71" s="12">
        <v>300</v>
      </c>
      <c r="H71" s="95">
        <v>383.27</v>
      </c>
      <c r="I71" s="9">
        <f t="shared" si="3"/>
        <v>114981</v>
      </c>
      <c r="J71" s="19"/>
      <c r="K71" s="20"/>
      <c r="L71" s="23"/>
      <c r="M71" s="23"/>
      <c r="N71" s="23"/>
      <c r="O71" s="23"/>
      <c r="P71" s="23"/>
      <c r="Q71" s="23"/>
      <c r="R71" s="23"/>
      <c r="S71" s="23"/>
      <c r="T71" s="24"/>
    </row>
    <row r="72" spans="1:20" s="11" customFormat="1" ht="31.9" customHeight="1" thickBot="1" x14ac:dyDescent="0.25">
      <c r="A72" s="7">
        <v>63</v>
      </c>
      <c r="B72" s="99" t="s">
        <v>154</v>
      </c>
      <c r="C72" s="100" t="s">
        <v>16</v>
      </c>
      <c r="D72" s="8" t="str">
        <f t="shared" si="2"/>
        <v>2.5.2</v>
      </c>
      <c r="E72" s="98" t="s">
        <v>155</v>
      </c>
      <c r="F72" s="12" t="s">
        <v>27</v>
      </c>
      <c r="G72" s="12">
        <v>500</v>
      </c>
      <c r="H72" s="95">
        <v>346.8</v>
      </c>
      <c r="I72" s="9">
        <f t="shared" si="3"/>
        <v>173400</v>
      </c>
      <c r="J72" s="19"/>
      <c r="K72" s="20"/>
      <c r="L72" s="23"/>
      <c r="M72" s="23"/>
      <c r="N72" s="23"/>
      <c r="O72" s="23"/>
      <c r="P72" s="23"/>
      <c r="Q72" s="23"/>
      <c r="R72" s="23"/>
      <c r="S72" s="23"/>
      <c r="T72" s="24"/>
    </row>
    <row r="73" spans="1:20" s="11" customFormat="1" ht="31.9" customHeight="1" thickBot="1" x14ac:dyDescent="0.25">
      <c r="A73" s="7">
        <v>64</v>
      </c>
      <c r="B73" s="99" t="s">
        <v>156</v>
      </c>
      <c r="C73" s="100" t="s">
        <v>16</v>
      </c>
      <c r="D73" s="8" t="str">
        <f t="shared" si="2"/>
        <v>2.5.2</v>
      </c>
      <c r="E73" s="98" t="s">
        <v>157</v>
      </c>
      <c r="F73" s="12" t="s">
        <v>20</v>
      </c>
      <c r="G73" s="12">
        <v>500</v>
      </c>
      <c r="H73" s="95">
        <v>6.37</v>
      </c>
      <c r="I73" s="9">
        <f t="shared" si="3"/>
        <v>3185</v>
      </c>
      <c r="J73" s="19"/>
      <c r="K73" s="20"/>
      <c r="L73" s="23"/>
      <c r="M73" s="23"/>
      <c r="N73" s="23"/>
      <c r="O73" s="23"/>
      <c r="P73" s="23"/>
      <c r="Q73" s="23"/>
      <c r="R73" s="23"/>
      <c r="S73" s="23"/>
      <c r="T73" s="24"/>
    </row>
    <row r="74" spans="1:20" s="11" customFormat="1" ht="52.5" customHeight="1" thickBot="1" x14ac:dyDescent="0.25">
      <c r="A74" s="7">
        <v>65</v>
      </c>
      <c r="B74" s="99" t="s">
        <v>158</v>
      </c>
      <c r="C74" s="100" t="s">
        <v>16</v>
      </c>
      <c r="D74" s="8" t="str">
        <f t="shared" si="2"/>
        <v>2.5.2</v>
      </c>
      <c r="E74" s="98" t="s">
        <v>159</v>
      </c>
      <c r="F74" s="12" t="s">
        <v>20</v>
      </c>
      <c r="G74" s="12">
        <v>1000</v>
      </c>
      <c r="H74" s="95">
        <v>15.61</v>
      </c>
      <c r="I74" s="9">
        <f t="shared" si="3"/>
        <v>15610</v>
      </c>
      <c r="J74" s="19"/>
      <c r="K74" s="20"/>
      <c r="L74" s="23"/>
      <c r="M74" s="23"/>
      <c r="N74" s="23"/>
      <c r="O74" s="23"/>
      <c r="P74" s="23"/>
      <c r="Q74" s="23"/>
      <c r="R74" s="23"/>
      <c r="S74" s="23"/>
      <c r="T74" s="24"/>
    </row>
    <row r="75" spans="1:20" s="11" customFormat="1" ht="31.9" customHeight="1" thickBot="1" x14ac:dyDescent="0.25">
      <c r="A75" s="7">
        <v>66</v>
      </c>
      <c r="B75" s="99" t="s">
        <v>160</v>
      </c>
      <c r="C75" s="100" t="s">
        <v>16</v>
      </c>
      <c r="D75" s="8" t="str">
        <f t="shared" si="2"/>
        <v>2.5.2</v>
      </c>
      <c r="E75" s="98" t="s">
        <v>161</v>
      </c>
      <c r="F75" s="12" t="s">
        <v>162</v>
      </c>
      <c r="G75" s="12">
        <v>300</v>
      </c>
      <c r="H75" s="95">
        <v>259</v>
      </c>
      <c r="I75" s="9">
        <f t="shared" si="3"/>
        <v>77700</v>
      </c>
      <c r="J75" s="19"/>
      <c r="K75" s="20"/>
      <c r="L75" s="23"/>
      <c r="M75" s="23"/>
      <c r="N75" s="23"/>
      <c r="O75" s="23"/>
      <c r="P75" s="23"/>
      <c r="Q75" s="23"/>
      <c r="R75" s="23"/>
      <c r="S75" s="23"/>
      <c r="T75" s="24"/>
    </row>
    <row r="76" spans="1:20" s="11" customFormat="1" ht="31.9" customHeight="1" thickBot="1" x14ac:dyDescent="0.25">
      <c r="A76" s="7">
        <v>67</v>
      </c>
      <c r="B76" s="99" t="s">
        <v>163</v>
      </c>
      <c r="C76" s="100" t="s">
        <v>16</v>
      </c>
      <c r="D76" s="8" t="str">
        <f t="shared" si="2"/>
        <v>2.5.2</v>
      </c>
      <c r="E76" s="98" t="s">
        <v>164</v>
      </c>
      <c r="F76" s="12" t="s">
        <v>27</v>
      </c>
      <c r="G76" s="12">
        <v>50</v>
      </c>
      <c r="H76" s="95">
        <v>574</v>
      </c>
      <c r="I76" s="9">
        <f t="shared" si="3"/>
        <v>28700</v>
      </c>
      <c r="J76" s="19"/>
      <c r="K76" s="20"/>
      <c r="L76" s="23"/>
      <c r="M76" s="23"/>
      <c r="N76" s="23"/>
      <c r="O76" s="23"/>
      <c r="P76" s="23"/>
      <c r="Q76" s="23"/>
      <c r="R76" s="23"/>
      <c r="S76" s="23"/>
      <c r="T76" s="24"/>
    </row>
    <row r="77" spans="1:20" s="11" customFormat="1" ht="31.9" customHeight="1" thickBot="1" x14ac:dyDescent="0.25">
      <c r="A77" s="7">
        <v>68</v>
      </c>
      <c r="B77" s="99" t="s">
        <v>165</v>
      </c>
      <c r="C77" s="100" t="s">
        <v>16</v>
      </c>
      <c r="D77" s="8" t="str">
        <f t="shared" si="2"/>
        <v>2.5.2</v>
      </c>
      <c r="E77" s="98" t="s">
        <v>166</v>
      </c>
      <c r="F77" s="12" t="s">
        <v>61</v>
      </c>
      <c r="G77" s="12">
        <v>30</v>
      </c>
      <c r="H77" s="95">
        <v>260.10000000000002</v>
      </c>
      <c r="I77" s="9">
        <f t="shared" si="3"/>
        <v>7803.0000000000009</v>
      </c>
      <c r="J77" s="19"/>
      <c r="K77" s="20"/>
      <c r="L77" s="23"/>
      <c r="M77" s="23"/>
      <c r="N77" s="23"/>
      <c r="O77" s="23"/>
      <c r="P77" s="23"/>
      <c r="Q77" s="23"/>
      <c r="R77" s="23"/>
      <c r="S77" s="23"/>
      <c r="T77" s="24"/>
    </row>
    <row r="78" spans="1:20" s="11" customFormat="1" ht="31.9" customHeight="1" thickBot="1" x14ac:dyDescent="0.25">
      <c r="A78" s="7">
        <v>69</v>
      </c>
      <c r="B78" s="99" t="s">
        <v>167</v>
      </c>
      <c r="C78" s="100" t="s">
        <v>16</v>
      </c>
      <c r="D78" s="8" t="str">
        <f t="shared" si="2"/>
        <v>2.5.2</v>
      </c>
      <c r="E78" s="98" t="s">
        <v>168</v>
      </c>
      <c r="F78" s="12" t="s">
        <v>84</v>
      </c>
      <c r="G78" s="12">
        <v>100</v>
      </c>
      <c r="H78" s="95">
        <v>610</v>
      </c>
      <c r="I78" s="9">
        <f t="shared" si="3"/>
        <v>61000</v>
      </c>
      <c r="J78" s="19"/>
      <c r="K78" s="20"/>
      <c r="L78" s="23"/>
      <c r="M78" s="23"/>
      <c r="N78" s="23"/>
      <c r="O78" s="23"/>
      <c r="P78" s="23"/>
      <c r="Q78" s="23"/>
      <c r="R78" s="23"/>
      <c r="S78" s="23"/>
      <c r="T78" s="24"/>
    </row>
    <row r="79" spans="1:20" s="11" customFormat="1" ht="31.9" customHeight="1" thickBot="1" x14ac:dyDescent="0.25">
      <c r="A79" s="7">
        <v>70</v>
      </c>
      <c r="B79" s="99" t="s">
        <v>169</v>
      </c>
      <c r="C79" s="100" t="s">
        <v>16</v>
      </c>
      <c r="D79" s="8" t="str">
        <f t="shared" si="2"/>
        <v>2.5.2</v>
      </c>
      <c r="E79" s="98" t="s">
        <v>170</v>
      </c>
      <c r="F79" s="12" t="s">
        <v>27</v>
      </c>
      <c r="G79" s="12">
        <v>5000</v>
      </c>
      <c r="H79" s="95">
        <v>37.1</v>
      </c>
      <c r="I79" s="9">
        <f t="shared" si="3"/>
        <v>185500</v>
      </c>
      <c r="J79" s="19"/>
      <c r="K79" s="20"/>
      <c r="L79" s="23"/>
      <c r="M79" s="23"/>
      <c r="N79" s="23"/>
      <c r="O79" s="23"/>
      <c r="P79" s="23"/>
      <c r="Q79" s="23"/>
      <c r="R79" s="23"/>
      <c r="S79" s="23"/>
      <c r="T79" s="24"/>
    </row>
    <row r="80" spans="1:20" s="11" customFormat="1" ht="31.9" customHeight="1" thickBot="1" x14ac:dyDescent="0.25">
      <c r="A80" s="7">
        <v>71</v>
      </c>
      <c r="B80" s="99" t="s">
        <v>171</v>
      </c>
      <c r="C80" s="100" t="s">
        <v>16</v>
      </c>
      <c r="D80" s="8" t="str">
        <f t="shared" si="2"/>
        <v>2.5.2</v>
      </c>
      <c r="E80" s="98" t="s">
        <v>172</v>
      </c>
      <c r="F80" s="12" t="s">
        <v>84</v>
      </c>
      <c r="G80" s="12">
        <v>300</v>
      </c>
      <c r="H80" s="95">
        <v>763.98</v>
      </c>
      <c r="I80" s="9">
        <f t="shared" si="3"/>
        <v>229194</v>
      </c>
      <c r="J80" s="19"/>
      <c r="K80" s="20"/>
      <c r="L80" s="23"/>
      <c r="M80" s="23"/>
      <c r="N80" s="23"/>
      <c r="O80" s="23"/>
      <c r="P80" s="23"/>
      <c r="Q80" s="23"/>
      <c r="R80" s="23"/>
      <c r="S80" s="23"/>
      <c r="T80" s="24"/>
    </row>
    <row r="81" spans="1:20" s="11" customFormat="1" ht="31.9" customHeight="1" thickBot="1" x14ac:dyDescent="0.25">
      <c r="A81" s="7">
        <v>72</v>
      </c>
      <c r="B81" s="99" t="s">
        <v>173</v>
      </c>
      <c r="C81" s="100" t="s">
        <v>16</v>
      </c>
      <c r="D81" s="8" t="str">
        <f t="shared" si="2"/>
        <v>2.5.2</v>
      </c>
      <c r="E81" s="98" t="s">
        <v>174</v>
      </c>
      <c r="F81" s="12" t="s">
        <v>27</v>
      </c>
      <c r="G81" s="12">
        <v>100</v>
      </c>
      <c r="H81" s="95">
        <v>124.85</v>
      </c>
      <c r="I81" s="9">
        <f t="shared" si="3"/>
        <v>12485</v>
      </c>
      <c r="J81" s="19"/>
      <c r="K81" s="20"/>
      <c r="L81" s="23"/>
      <c r="M81" s="23"/>
      <c r="N81" s="23"/>
      <c r="O81" s="23"/>
      <c r="P81" s="23"/>
      <c r="Q81" s="23"/>
      <c r="R81" s="23"/>
      <c r="S81" s="23"/>
      <c r="T81" s="24"/>
    </row>
    <row r="82" spans="1:20" s="11" customFormat="1" ht="31.9" customHeight="1" thickBot="1" x14ac:dyDescent="0.25">
      <c r="A82" s="7">
        <v>73</v>
      </c>
      <c r="B82" s="99" t="s">
        <v>175</v>
      </c>
      <c r="C82" s="100" t="s">
        <v>16</v>
      </c>
      <c r="D82" s="8" t="str">
        <f t="shared" si="2"/>
        <v>2.5.2</v>
      </c>
      <c r="E82" s="98" t="s">
        <v>176</v>
      </c>
      <c r="F82" s="12" t="s">
        <v>177</v>
      </c>
      <c r="G82" s="12">
        <v>300</v>
      </c>
      <c r="H82" s="95">
        <v>41.38</v>
      </c>
      <c r="I82" s="9">
        <f t="shared" si="3"/>
        <v>12414</v>
      </c>
      <c r="J82" s="19"/>
      <c r="K82" s="20"/>
      <c r="L82" s="23"/>
      <c r="M82" s="23"/>
      <c r="N82" s="23"/>
      <c r="O82" s="23"/>
      <c r="P82" s="23"/>
      <c r="Q82" s="23"/>
      <c r="R82" s="23"/>
      <c r="S82" s="23"/>
      <c r="T82" s="24"/>
    </row>
    <row r="83" spans="1:20" s="11" customFormat="1" ht="31.9" customHeight="1" thickBot="1" x14ac:dyDescent="0.25">
      <c r="A83" s="7">
        <v>74</v>
      </c>
      <c r="B83" s="99" t="s">
        <v>178</v>
      </c>
      <c r="C83" s="100" t="s">
        <v>16</v>
      </c>
      <c r="D83" s="8" t="str">
        <f t="shared" si="2"/>
        <v>2.5.2</v>
      </c>
      <c r="E83" s="98" t="s">
        <v>179</v>
      </c>
      <c r="F83" s="12" t="s">
        <v>61</v>
      </c>
      <c r="G83" s="12">
        <v>150</v>
      </c>
      <c r="H83" s="95">
        <v>348</v>
      </c>
      <c r="I83" s="9">
        <f t="shared" si="3"/>
        <v>52200</v>
      </c>
      <c r="J83" s="19"/>
      <c r="K83" s="20"/>
      <c r="L83" s="23"/>
      <c r="M83" s="23"/>
      <c r="N83" s="23"/>
      <c r="O83" s="23"/>
      <c r="P83" s="23"/>
      <c r="Q83" s="23"/>
      <c r="R83" s="23"/>
      <c r="S83" s="23"/>
      <c r="T83" s="24"/>
    </row>
    <row r="84" spans="1:20" s="11" customFormat="1" ht="31.9" customHeight="1" thickBot="1" x14ac:dyDescent="0.25">
      <c r="A84" s="7">
        <v>75</v>
      </c>
      <c r="B84" s="99" t="s">
        <v>180</v>
      </c>
      <c r="C84" s="100" t="s">
        <v>16</v>
      </c>
      <c r="D84" s="8" t="str">
        <f t="shared" si="2"/>
        <v>2.5.2</v>
      </c>
      <c r="E84" s="98" t="s">
        <v>181</v>
      </c>
      <c r="F84" s="12" t="s">
        <v>182</v>
      </c>
      <c r="G84" s="12">
        <v>250</v>
      </c>
      <c r="H84" s="95">
        <v>175.08</v>
      </c>
      <c r="I84" s="9">
        <f t="shared" si="3"/>
        <v>43770</v>
      </c>
      <c r="J84" s="19"/>
      <c r="K84" s="20"/>
      <c r="L84" s="23"/>
      <c r="M84" s="23"/>
      <c r="N84" s="23"/>
      <c r="O84" s="23"/>
      <c r="P84" s="23"/>
      <c r="Q84" s="23"/>
      <c r="R84" s="23"/>
      <c r="S84" s="23"/>
      <c r="T84" s="24"/>
    </row>
    <row r="85" spans="1:20" s="11" customFormat="1" ht="31.9" customHeight="1" thickBot="1" x14ac:dyDescent="0.25">
      <c r="A85" s="7">
        <v>76</v>
      </c>
      <c r="B85" s="99" t="s">
        <v>183</v>
      </c>
      <c r="C85" s="100" t="s">
        <v>16</v>
      </c>
      <c r="D85" s="8" t="str">
        <f t="shared" si="2"/>
        <v>2.5.2</v>
      </c>
      <c r="E85" s="98" t="s">
        <v>184</v>
      </c>
      <c r="F85" s="12" t="s">
        <v>20</v>
      </c>
      <c r="G85" s="12">
        <v>500</v>
      </c>
      <c r="H85" s="95">
        <v>8.4499999999999993</v>
      </c>
      <c r="I85" s="9">
        <f t="shared" si="3"/>
        <v>4225</v>
      </c>
      <c r="J85" s="19"/>
      <c r="K85" s="20"/>
      <c r="L85" s="23"/>
      <c r="M85" s="23"/>
      <c r="N85" s="23"/>
      <c r="O85" s="23"/>
      <c r="P85" s="23"/>
      <c r="Q85" s="23"/>
      <c r="R85" s="23"/>
      <c r="S85" s="23"/>
      <c r="T85" s="24"/>
    </row>
    <row r="86" spans="1:20" s="11" customFormat="1" ht="31.9" customHeight="1" thickBot="1" x14ac:dyDescent="0.25">
      <c r="A86" s="7">
        <v>77</v>
      </c>
      <c r="B86" s="99" t="s">
        <v>185</v>
      </c>
      <c r="C86" s="100" t="s">
        <v>16</v>
      </c>
      <c r="D86" s="8" t="str">
        <f t="shared" si="2"/>
        <v>2.5.2</v>
      </c>
      <c r="E86" s="98" t="s">
        <v>186</v>
      </c>
      <c r="F86" s="12" t="s">
        <v>20</v>
      </c>
      <c r="G86" s="12">
        <v>2000</v>
      </c>
      <c r="H86" s="95">
        <v>17.34</v>
      </c>
      <c r="I86" s="9">
        <f t="shared" si="3"/>
        <v>34680</v>
      </c>
      <c r="J86" s="19"/>
      <c r="K86" s="20"/>
      <c r="L86" s="23"/>
      <c r="M86" s="23"/>
      <c r="N86" s="23"/>
      <c r="O86" s="23"/>
      <c r="P86" s="23"/>
      <c r="Q86" s="23"/>
      <c r="R86" s="23"/>
      <c r="S86" s="23"/>
      <c r="T86" s="24"/>
    </row>
    <row r="87" spans="1:20" s="11" customFormat="1" ht="31.9" customHeight="1" thickBot="1" x14ac:dyDescent="0.25">
      <c r="A87" s="7">
        <v>78</v>
      </c>
      <c r="B87" s="99" t="s">
        <v>187</v>
      </c>
      <c r="C87" s="100" t="s">
        <v>16</v>
      </c>
      <c r="D87" s="8" t="str">
        <f t="shared" si="2"/>
        <v>2.5.2</v>
      </c>
      <c r="E87" s="98" t="s">
        <v>188</v>
      </c>
      <c r="F87" s="12" t="s">
        <v>61</v>
      </c>
      <c r="G87" s="12">
        <v>10</v>
      </c>
      <c r="H87" s="95">
        <v>470.23</v>
      </c>
      <c r="I87" s="9">
        <f t="shared" si="3"/>
        <v>4702.3</v>
      </c>
      <c r="J87" s="19"/>
      <c r="K87" s="20"/>
      <c r="L87" s="23"/>
      <c r="M87" s="23"/>
      <c r="N87" s="23"/>
      <c r="O87" s="23"/>
      <c r="P87" s="23"/>
      <c r="Q87" s="23"/>
      <c r="R87" s="23"/>
      <c r="S87" s="23"/>
      <c r="T87" s="24"/>
    </row>
    <row r="88" spans="1:20" s="11" customFormat="1" ht="47.25" customHeight="1" thickBot="1" x14ac:dyDescent="0.25">
      <c r="A88" s="7">
        <v>79</v>
      </c>
      <c r="B88" s="99" t="s">
        <v>189</v>
      </c>
      <c r="C88" s="100" t="s">
        <v>16</v>
      </c>
      <c r="D88" s="8" t="str">
        <f t="shared" si="2"/>
        <v>2.5.2</v>
      </c>
      <c r="E88" s="98" t="s">
        <v>190</v>
      </c>
      <c r="F88" s="12" t="s">
        <v>84</v>
      </c>
      <c r="G88" s="12">
        <v>2000</v>
      </c>
      <c r="H88" s="95">
        <v>521.69000000000005</v>
      </c>
      <c r="I88" s="9">
        <f t="shared" si="3"/>
        <v>1043380.0000000001</v>
      </c>
      <c r="J88" s="19"/>
      <c r="K88" s="20"/>
      <c r="L88" s="23"/>
      <c r="M88" s="23"/>
      <c r="N88" s="23"/>
      <c r="O88" s="23"/>
      <c r="P88" s="23"/>
      <c r="Q88" s="23"/>
      <c r="R88" s="23"/>
      <c r="S88" s="23"/>
      <c r="T88" s="24"/>
    </row>
    <row r="89" spans="1:20" s="11" customFormat="1" ht="31.9" customHeight="1" thickBot="1" x14ac:dyDescent="0.25">
      <c r="A89" s="7">
        <v>80</v>
      </c>
      <c r="B89" s="99" t="s">
        <v>191</v>
      </c>
      <c r="C89" s="100" t="s">
        <v>16</v>
      </c>
      <c r="D89" s="8" t="str">
        <f t="shared" si="2"/>
        <v>2.5.2</v>
      </c>
      <c r="E89" s="98" t="s">
        <v>192</v>
      </c>
      <c r="F89" s="12" t="s">
        <v>20</v>
      </c>
      <c r="G89" s="12">
        <v>500</v>
      </c>
      <c r="H89" s="95">
        <v>13.96</v>
      </c>
      <c r="I89" s="9">
        <f t="shared" si="3"/>
        <v>6980</v>
      </c>
      <c r="J89" s="19"/>
      <c r="K89" s="20"/>
      <c r="L89" s="23"/>
      <c r="M89" s="23"/>
      <c r="N89" s="23"/>
      <c r="O89" s="23"/>
      <c r="P89" s="23"/>
      <c r="Q89" s="23"/>
      <c r="R89" s="23"/>
      <c r="S89" s="23"/>
      <c r="T89" s="24"/>
    </row>
    <row r="90" spans="1:20" s="11" customFormat="1" ht="31.9" customHeight="1" thickBot="1" x14ac:dyDescent="0.25">
      <c r="A90" s="7">
        <v>81</v>
      </c>
      <c r="B90" s="99" t="s">
        <v>193</v>
      </c>
      <c r="C90" s="100" t="s">
        <v>16</v>
      </c>
      <c r="D90" s="8" t="str">
        <f t="shared" si="2"/>
        <v>2.5.2</v>
      </c>
      <c r="E90" s="98" t="s">
        <v>194</v>
      </c>
      <c r="F90" s="12" t="s">
        <v>20</v>
      </c>
      <c r="G90" s="12">
        <v>300</v>
      </c>
      <c r="H90" s="95">
        <v>6.68</v>
      </c>
      <c r="I90" s="9">
        <f t="shared" si="3"/>
        <v>2004</v>
      </c>
      <c r="J90" s="19"/>
      <c r="K90" s="20"/>
      <c r="L90" s="23"/>
      <c r="M90" s="23"/>
      <c r="N90" s="23"/>
      <c r="O90" s="23"/>
      <c r="P90" s="23"/>
      <c r="Q90" s="23"/>
      <c r="R90" s="23"/>
      <c r="S90" s="23"/>
      <c r="T90" s="24"/>
    </row>
    <row r="91" spans="1:20" s="11" customFormat="1" ht="31.9" customHeight="1" thickBot="1" x14ac:dyDescent="0.25">
      <c r="A91" s="7">
        <v>82</v>
      </c>
      <c r="B91" s="99" t="s">
        <v>195</v>
      </c>
      <c r="C91" s="100" t="s">
        <v>16</v>
      </c>
      <c r="D91" s="8" t="str">
        <f t="shared" si="2"/>
        <v>2.5.2</v>
      </c>
      <c r="E91" s="98" t="s">
        <v>196</v>
      </c>
      <c r="F91" s="12" t="s">
        <v>197</v>
      </c>
      <c r="G91" s="12">
        <v>100</v>
      </c>
      <c r="H91" s="95">
        <v>49.06</v>
      </c>
      <c r="I91" s="9">
        <f t="shared" si="3"/>
        <v>4906</v>
      </c>
      <c r="J91" s="19"/>
      <c r="K91" s="20"/>
      <c r="L91" s="23"/>
      <c r="M91" s="23"/>
      <c r="N91" s="23"/>
      <c r="O91" s="23"/>
      <c r="P91" s="23"/>
      <c r="Q91" s="23"/>
      <c r="R91" s="23"/>
      <c r="S91" s="23"/>
      <c r="T91" s="24"/>
    </row>
    <row r="92" spans="1:20" s="11" customFormat="1" ht="31.9" customHeight="1" thickBot="1" x14ac:dyDescent="0.25">
      <c r="A92" s="7">
        <v>83</v>
      </c>
      <c r="B92" s="99" t="s">
        <v>198</v>
      </c>
      <c r="C92" s="100" t="s">
        <v>16</v>
      </c>
      <c r="D92" s="8" t="str">
        <f t="shared" si="2"/>
        <v>2.5.2</v>
      </c>
      <c r="E92" s="98" t="s">
        <v>199</v>
      </c>
      <c r="F92" s="12" t="s">
        <v>20</v>
      </c>
      <c r="G92" s="12">
        <v>500</v>
      </c>
      <c r="H92" s="95">
        <v>10.54</v>
      </c>
      <c r="I92" s="9">
        <f t="shared" si="3"/>
        <v>5270</v>
      </c>
      <c r="J92" s="19"/>
      <c r="K92" s="20"/>
      <c r="L92" s="23"/>
      <c r="M92" s="23"/>
      <c r="N92" s="23"/>
      <c r="O92" s="23"/>
      <c r="P92" s="23"/>
      <c r="Q92" s="23"/>
      <c r="R92" s="23"/>
      <c r="S92" s="23"/>
      <c r="T92" s="24"/>
    </row>
    <row r="93" spans="1:20" s="11" customFormat="1" ht="31.9" customHeight="1" thickBot="1" x14ac:dyDescent="0.25">
      <c r="A93" s="7">
        <v>84</v>
      </c>
      <c r="B93" s="99" t="s">
        <v>200</v>
      </c>
      <c r="C93" s="100" t="s">
        <v>16</v>
      </c>
      <c r="D93" s="8" t="str">
        <f t="shared" si="2"/>
        <v>2.5.2</v>
      </c>
      <c r="E93" s="98" t="s">
        <v>201</v>
      </c>
      <c r="F93" s="12" t="s">
        <v>20</v>
      </c>
      <c r="G93" s="12">
        <v>500</v>
      </c>
      <c r="H93" s="95">
        <v>3.73</v>
      </c>
      <c r="I93" s="9">
        <f t="shared" si="3"/>
        <v>1865</v>
      </c>
      <c r="J93" s="19"/>
      <c r="K93" s="20"/>
      <c r="L93" s="23"/>
      <c r="M93" s="23"/>
      <c r="N93" s="23"/>
      <c r="O93" s="23"/>
      <c r="P93" s="23"/>
      <c r="Q93" s="23"/>
      <c r="R93" s="23"/>
      <c r="S93" s="23"/>
      <c r="T93" s="24"/>
    </row>
    <row r="94" spans="1:20" s="11" customFormat="1" ht="31.9" customHeight="1" thickBot="1" x14ac:dyDescent="0.25">
      <c r="A94" s="7">
        <v>85</v>
      </c>
      <c r="B94" s="99" t="s">
        <v>202</v>
      </c>
      <c r="C94" s="100" t="s">
        <v>16</v>
      </c>
      <c r="D94" s="8" t="str">
        <f t="shared" si="2"/>
        <v>2.5.2</v>
      </c>
      <c r="E94" s="98" t="s">
        <v>203</v>
      </c>
      <c r="F94" s="12" t="s">
        <v>20</v>
      </c>
      <c r="G94" s="12">
        <v>1000</v>
      </c>
      <c r="H94" s="95">
        <v>4.18</v>
      </c>
      <c r="I94" s="9">
        <f t="shared" si="3"/>
        <v>4180</v>
      </c>
      <c r="J94" s="19"/>
      <c r="K94" s="20"/>
      <c r="L94" s="23"/>
      <c r="M94" s="23"/>
      <c r="N94" s="23"/>
      <c r="O94" s="23"/>
      <c r="P94" s="23"/>
      <c r="Q94" s="23"/>
      <c r="R94" s="23"/>
      <c r="S94" s="23"/>
      <c r="T94" s="24"/>
    </row>
    <row r="95" spans="1:20" s="11" customFormat="1" ht="31.9" customHeight="1" thickBot="1" x14ac:dyDescent="0.25">
      <c r="A95" s="7">
        <v>86</v>
      </c>
      <c r="B95" s="99" t="s">
        <v>204</v>
      </c>
      <c r="C95" s="100" t="s">
        <v>16</v>
      </c>
      <c r="D95" s="8" t="str">
        <f t="shared" si="2"/>
        <v>2.5.2</v>
      </c>
      <c r="E95" s="98" t="s">
        <v>205</v>
      </c>
      <c r="F95" s="12" t="s">
        <v>61</v>
      </c>
      <c r="G95" s="12">
        <v>30</v>
      </c>
      <c r="H95" s="95">
        <v>397.8</v>
      </c>
      <c r="I95" s="9">
        <f t="shared" si="3"/>
        <v>11934</v>
      </c>
      <c r="J95" s="19"/>
      <c r="K95" s="20"/>
      <c r="L95" s="23"/>
      <c r="M95" s="23"/>
      <c r="N95" s="23"/>
      <c r="O95" s="23"/>
      <c r="P95" s="23"/>
      <c r="Q95" s="23"/>
      <c r="R95" s="23"/>
      <c r="S95" s="23"/>
      <c r="T95" s="24"/>
    </row>
    <row r="96" spans="1:20" s="11" customFormat="1" ht="31.9" customHeight="1" thickBot="1" x14ac:dyDescent="0.25">
      <c r="A96" s="7">
        <v>87</v>
      </c>
      <c r="B96" s="99" t="s">
        <v>206</v>
      </c>
      <c r="C96" s="100" t="s">
        <v>16</v>
      </c>
      <c r="D96" s="8" t="str">
        <f t="shared" si="2"/>
        <v>2.5.2</v>
      </c>
      <c r="E96" s="98" t="s">
        <v>207</v>
      </c>
      <c r="F96" s="12" t="s">
        <v>84</v>
      </c>
      <c r="G96" s="12">
        <v>150</v>
      </c>
      <c r="H96" s="95">
        <v>13300.39</v>
      </c>
      <c r="I96" s="9">
        <f t="shared" si="3"/>
        <v>1995058.5</v>
      </c>
      <c r="J96" s="19"/>
      <c r="K96" s="20"/>
      <c r="L96" s="23"/>
      <c r="M96" s="23"/>
      <c r="N96" s="23"/>
      <c r="O96" s="23"/>
      <c r="P96" s="23"/>
      <c r="Q96" s="23"/>
      <c r="R96" s="23"/>
      <c r="S96" s="23"/>
      <c r="T96" s="24"/>
    </row>
    <row r="97" spans="1:20" s="11" customFormat="1" ht="31.9" customHeight="1" thickBot="1" x14ac:dyDescent="0.25">
      <c r="A97" s="7">
        <v>88</v>
      </c>
      <c r="B97" s="99" t="s">
        <v>208</v>
      </c>
      <c r="C97" s="100" t="s">
        <v>16</v>
      </c>
      <c r="D97" s="8" t="str">
        <f t="shared" si="2"/>
        <v>2.5.2</v>
      </c>
      <c r="E97" s="98" t="s">
        <v>209</v>
      </c>
      <c r="F97" s="12" t="s">
        <v>27</v>
      </c>
      <c r="G97" s="12">
        <v>1000</v>
      </c>
      <c r="H97" s="95">
        <v>40.39</v>
      </c>
      <c r="I97" s="9">
        <f t="shared" si="3"/>
        <v>40390</v>
      </c>
      <c r="J97" s="19"/>
      <c r="K97" s="20"/>
      <c r="L97" s="23"/>
      <c r="M97" s="23"/>
      <c r="N97" s="23"/>
      <c r="O97" s="23"/>
      <c r="P97" s="23"/>
      <c r="Q97" s="23"/>
      <c r="R97" s="23"/>
      <c r="S97" s="23"/>
      <c r="T97" s="24"/>
    </row>
    <row r="98" spans="1:20" s="11" customFormat="1" ht="53.25" customHeight="1" thickBot="1" x14ac:dyDescent="0.25">
      <c r="A98" s="7">
        <v>89</v>
      </c>
      <c r="B98" s="99" t="s">
        <v>210</v>
      </c>
      <c r="C98" s="100" t="s">
        <v>16</v>
      </c>
      <c r="D98" s="8" t="str">
        <f t="shared" si="2"/>
        <v>2.5.2</v>
      </c>
      <c r="E98" s="98" t="s">
        <v>211</v>
      </c>
      <c r="F98" s="12" t="s">
        <v>84</v>
      </c>
      <c r="G98" s="12">
        <v>3</v>
      </c>
      <c r="H98" s="95">
        <v>70481.91</v>
      </c>
      <c r="I98" s="9">
        <f t="shared" si="3"/>
        <v>211445.73</v>
      </c>
      <c r="J98" s="19"/>
      <c r="K98" s="20"/>
      <c r="L98" s="23"/>
      <c r="M98" s="23"/>
      <c r="N98" s="23"/>
      <c r="O98" s="23"/>
      <c r="P98" s="23"/>
      <c r="Q98" s="23"/>
      <c r="R98" s="23"/>
      <c r="S98" s="23"/>
      <c r="T98" s="24"/>
    </row>
    <row r="99" spans="1:20" s="11" customFormat="1" ht="31.9" customHeight="1" thickBot="1" x14ac:dyDescent="0.25">
      <c r="A99" s="7">
        <v>90</v>
      </c>
      <c r="B99" s="99" t="s">
        <v>212</v>
      </c>
      <c r="C99" s="100" t="s">
        <v>16</v>
      </c>
      <c r="D99" s="8" t="str">
        <f t="shared" si="2"/>
        <v>2.5.2</v>
      </c>
      <c r="E99" s="98" t="s">
        <v>213</v>
      </c>
      <c r="F99" s="12" t="s">
        <v>17</v>
      </c>
      <c r="G99" s="12">
        <v>2000</v>
      </c>
      <c r="H99" s="95">
        <v>419.83</v>
      </c>
      <c r="I99" s="9">
        <f t="shared" si="3"/>
        <v>839660</v>
      </c>
      <c r="J99" s="19"/>
      <c r="K99" s="20"/>
      <c r="L99" s="23"/>
      <c r="M99" s="23"/>
      <c r="N99" s="23"/>
      <c r="O99" s="23"/>
      <c r="P99" s="23"/>
      <c r="Q99" s="23"/>
      <c r="R99" s="23"/>
      <c r="S99" s="23"/>
      <c r="T99" s="24"/>
    </row>
    <row r="100" spans="1:20" s="11" customFormat="1" ht="31.9" customHeight="1" thickBot="1" x14ac:dyDescent="0.25">
      <c r="A100" s="7">
        <v>91</v>
      </c>
      <c r="B100" s="99" t="s">
        <v>214</v>
      </c>
      <c r="C100" s="100" t="s">
        <v>16</v>
      </c>
      <c r="D100" s="8" t="str">
        <f t="shared" si="2"/>
        <v>2.5.2</v>
      </c>
      <c r="E100" s="98" t="s">
        <v>215</v>
      </c>
      <c r="F100" s="12" t="s">
        <v>129</v>
      </c>
      <c r="G100" s="12">
        <v>100</v>
      </c>
      <c r="H100" s="95">
        <v>1013.06</v>
      </c>
      <c r="I100" s="9">
        <f t="shared" si="3"/>
        <v>101306</v>
      </c>
      <c r="J100" s="19"/>
      <c r="K100" s="20"/>
      <c r="L100" s="23"/>
      <c r="M100" s="23"/>
      <c r="N100" s="23"/>
      <c r="O100" s="23"/>
      <c r="P100" s="23"/>
      <c r="Q100" s="23"/>
      <c r="R100" s="23"/>
      <c r="S100" s="23"/>
      <c r="T100" s="24"/>
    </row>
    <row r="101" spans="1:20" s="11" customFormat="1" ht="31.9" customHeight="1" thickBot="1" x14ac:dyDescent="0.25">
      <c r="A101" s="7">
        <v>92</v>
      </c>
      <c r="B101" s="99" t="s">
        <v>216</v>
      </c>
      <c r="C101" s="100" t="s">
        <v>16</v>
      </c>
      <c r="D101" s="8" t="str">
        <f t="shared" si="2"/>
        <v>2.5.2</v>
      </c>
      <c r="E101" s="98" t="s">
        <v>217</v>
      </c>
      <c r="F101" s="12" t="s">
        <v>129</v>
      </c>
      <c r="G101" s="12">
        <v>80</v>
      </c>
      <c r="H101" s="95">
        <v>356.38</v>
      </c>
      <c r="I101" s="9">
        <f t="shared" si="3"/>
        <v>28510.400000000001</v>
      </c>
      <c r="J101" s="19"/>
      <c r="K101" s="20"/>
      <c r="L101" s="23"/>
      <c r="M101" s="23"/>
      <c r="N101" s="23"/>
      <c r="O101" s="23"/>
      <c r="P101" s="23"/>
      <c r="Q101" s="23"/>
      <c r="R101" s="23"/>
      <c r="S101" s="23"/>
      <c r="T101" s="24"/>
    </row>
    <row r="102" spans="1:20" s="11" customFormat="1" ht="31.9" customHeight="1" thickBot="1" x14ac:dyDescent="0.25">
      <c r="A102" s="7">
        <v>93</v>
      </c>
      <c r="B102" s="99" t="s">
        <v>218</v>
      </c>
      <c r="C102" s="100" t="s">
        <v>16</v>
      </c>
      <c r="D102" s="8" t="str">
        <f t="shared" si="2"/>
        <v>2.5.2</v>
      </c>
      <c r="E102" s="98" t="s">
        <v>219</v>
      </c>
      <c r="F102" s="12" t="s">
        <v>129</v>
      </c>
      <c r="G102" s="12">
        <v>10000</v>
      </c>
      <c r="H102" s="95">
        <v>138</v>
      </c>
      <c r="I102" s="9">
        <f t="shared" si="3"/>
        <v>1380000</v>
      </c>
      <c r="J102" s="19"/>
      <c r="K102" s="20"/>
      <c r="L102" s="23"/>
      <c r="M102" s="23"/>
      <c r="N102" s="23"/>
      <c r="O102" s="23"/>
      <c r="P102" s="23"/>
      <c r="Q102" s="23"/>
      <c r="R102" s="23"/>
      <c r="S102" s="23"/>
      <c r="T102" s="24"/>
    </row>
    <row r="103" spans="1:20" s="11" customFormat="1" ht="31.9" customHeight="1" thickBot="1" x14ac:dyDescent="0.25">
      <c r="A103" s="7">
        <v>94</v>
      </c>
      <c r="B103" s="99" t="s">
        <v>220</v>
      </c>
      <c r="C103" s="100" t="s">
        <v>16</v>
      </c>
      <c r="D103" s="8" t="str">
        <f t="shared" si="2"/>
        <v>2.5.2</v>
      </c>
      <c r="E103" s="98" t="s">
        <v>221</v>
      </c>
      <c r="F103" s="12" t="s">
        <v>129</v>
      </c>
      <c r="G103" s="12">
        <v>100</v>
      </c>
      <c r="H103" s="95">
        <v>141.6</v>
      </c>
      <c r="I103" s="9">
        <f t="shared" si="3"/>
        <v>14160</v>
      </c>
      <c r="J103" s="19"/>
      <c r="K103" s="20"/>
      <c r="L103" s="23"/>
      <c r="M103" s="23"/>
      <c r="N103" s="23"/>
      <c r="O103" s="23"/>
      <c r="P103" s="23"/>
      <c r="Q103" s="23"/>
      <c r="R103" s="23"/>
      <c r="S103" s="23"/>
      <c r="T103" s="24"/>
    </row>
    <row r="104" spans="1:20" s="11" customFormat="1" ht="31.9" customHeight="1" thickBot="1" x14ac:dyDescent="0.25">
      <c r="A104" s="7">
        <v>95</v>
      </c>
      <c r="B104" s="99" t="s">
        <v>222</v>
      </c>
      <c r="C104" s="100" t="s">
        <v>16</v>
      </c>
      <c r="D104" s="8" t="str">
        <f t="shared" si="2"/>
        <v>2.5.2</v>
      </c>
      <c r="E104" s="98" t="s">
        <v>223</v>
      </c>
      <c r="F104" s="12" t="s">
        <v>129</v>
      </c>
      <c r="G104" s="12">
        <v>30</v>
      </c>
      <c r="H104" s="95">
        <v>187.2</v>
      </c>
      <c r="I104" s="9">
        <f t="shared" si="3"/>
        <v>5616</v>
      </c>
      <c r="J104" s="19"/>
      <c r="K104" s="20"/>
      <c r="L104" s="23"/>
      <c r="M104" s="23"/>
      <c r="N104" s="23"/>
      <c r="O104" s="23"/>
      <c r="P104" s="23"/>
      <c r="Q104" s="23"/>
      <c r="R104" s="23"/>
      <c r="S104" s="23"/>
      <c r="T104" s="24"/>
    </row>
    <row r="105" spans="1:20" s="11" customFormat="1" ht="31.9" customHeight="1" thickBot="1" x14ac:dyDescent="0.25">
      <c r="A105" s="7">
        <v>96</v>
      </c>
      <c r="B105" s="99" t="s">
        <v>224</v>
      </c>
      <c r="C105" s="100" t="s">
        <v>16</v>
      </c>
      <c r="D105" s="8" t="str">
        <f t="shared" si="2"/>
        <v>2.5.2</v>
      </c>
      <c r="E105" s="98" t="s">
        <v>225</v>
      </c>
      <c r="F105" s="12" t="s">
        <v>129</v>
      </c>
      <c r="G105" s="12">
        <v>20</v>
      </c>
      <c r="H105" s="95">
        <v>237.6</v>
      </c>
      <c r="I105" s="9">
        <f t="shared" si="3"/>
        <v>4752</v>
      </c>
      <c r="J105" s="19"/>
      <c r="K105" s="20"/>
      <c r="L105" s="23"/>
      <c r="M105" s="23"/>
      <c r="N105" s="23"/>
      <c r="O105" s="23"/>
      <c r="P105" s="23"/>
      <c r="Q105" s="23"/>
      <c r="R105" s="23"/>
      <c r="S105" s="23"/>
      <c r="T105" s="24"/>
    </row>
    <row r="106" spans="1:20" s="11" customFormat="1" ht="31.9" customHeight="1" thickBot="1" x14ac:dyDescent="0.25">
      <c r="A106" s="7">
        <v>97</v>
      </c>
      <c r="B106" s="99" t="s">
        <v>226</v>
      </c>
      <c r="C106" s="100" t="s">
        <v>16</v>
      </c>
      <c r="D106" s="8" t="str">
        <f t="shared" si="2"/>
        <v>2.5.2</v>
      </c>
      <c r="E106" s="98" t="s">
        <v>227</v>
      </c>
      <c r="F106" s="26" t="s">
        <v>129</v>
      </c>
      <c r="G106" s="12">
        <v>500</v>
      </c>
      <c r="H106" s="95">
        <v>187.2</v>
      </c>
      <c r="I106" s="9">
        <f t="shared" si="3"/>
        <v>93600</v>
      </c>
      <c r="J106" s="19"/>
      <c r="K106" s="20"/>
      <c r="L106" s="23"/>
      <c r="M106" s="23"/>
      <c r="N106" s="23"/>
      <c r="O106" s="23"/>
      <c r="P106" s="23"/>
      <c r="Q106" s="23"/>
      <c r="R106" s="23"/>
      <c r="S106" s="23"/>
      <c r="T106" s="24"/>
    </row>
    <row r="107" spans="1:20" s="11" customFormat="1" ht="31.9" customHeight="1" thickBot="1" x14ac:dyDescent="0.25">
      <c r="A107" s="7">
        <v>98</v>
      </c>
      <c r="B107" s="99" t="s">
        <v>228</v>
      </c>
      <c r="C107" s="100" t="s">
        <v>16</v>
      </c>
      <c r="D107" s="8" t="str">
        <f t="shared" si="2"/>
        <v>2.5.2</v>
      </c>
      <c r="E107" s="98" t="s">
        <v>229</v>
      </c>
      <c r="F107" s="12" t="s">
        <v>20</v>
      </c>
      <c r="G107" s="12">
        <v>3000</v>
      </c>
      <c r="H107" s="95">
        <v>11.7</v>
      </c>
      <c r="I107" s="9">
        <f t="shared" si="3"/>
        <v>35100</v>
      </c>
      <c r="J107" s="19"/>
      <c r="K107" s="20"/>
      <c r="L107" s="23"/>
      <c r="M107" s="23"/>
      <c r="N107" s="23"/>
      <c r="O107" s="23"/>
      <c r="P107" s="23"/>
      <c r="Q107" s="23"/>
      <c r="R107" s="23"/>
      <c r="S107" s="23"/>
      <c r="T107" s="24"/>
    </row>
    <row r="108" spans="1:20" s="11" customFormat="1" ht="31.9" customHeight="1" thickBot="1" x14ac:dyDescent="0.25">
      <c r="A108" s="7">
        <v>99</v>
      </c>
      <c r="B108" s="99" t="s">
        <v>230</v>
      </c>
      <c r="C108" s="100" t="s">
        <v>16</v>
      </c>
      <c r="D108" s="8" t="str">
        <f t="shared" si="2"/>
        <v>2.5.2</v>
      </c>
      <c r="E108" s="98" t="s">
        <v>231</v>
      </c>
      <c r="F108" s="97" t="s">
        <v>27</v>
      </c>
      <c r="G108" s="97">
        <v>2000</v>
      </c>
      <c r="H108" s="95">
        <v>586.79999999999995</v>
      </c>
      <c r="I108" s="9">
        <f t="shared" si="3"/>
        <v>1173600</v>
      </c>
      <c r="J108" s="19"/>
      <c r="K108" s="20"/>
      <c r="L108" s="23"/>
      <c r="M108" s="23"/>
      <c r="N108" s="23"/>
      <c r="O108" s="23"/>
      <c r="P108" s="23"/>
      <c r="Q108" s="23"/>
      <c r="R108" s="23"/>
      <c r="S108" s="23"/>
      <c r="T108" s="24"/>
    </row>
    <row r="109" spans="1:20" s="11" customFormat="1" ht="31.9" customHeight="1" thickBot="1" x14ac:dyDescent="0.25">
      <c r="A109" s="7">
        <v>100</v>
      </c>
      <c r="B109" s="99" t="s">
        <v>232</v>
      </c>
      <c r="C109" s="100" t="s">
        <v>16</v>
      </c>
      <c r="D109" s="8" t="str">
        <f t="shared" si="2"/>
        <v>2.5.2</v>
      </c>
      <c r="E109" s="98" t="s">
        <v>233</v>
      </c>
      <c r="F109" s="12" t="s">
        <v>61</v>
      </c>
      <c r="G109" s="12">
        <v>10</v>
      </c>
      <c r="H109" s="95">
        <v>597.64</v>
      </c>
      <c r="I109" s="9">
        <f t="shared" si="3"/>
        <v>5976.4</v>
      </c>
      <c r="J109" s="19"/>
      <c r="K109" s="20"/>
      <c r="L109" s="23"/>
      <c r="M109" s="23"/>
      <c r="N109" s="23"/>
      <c r="O109" s="23"/>
      <c r="P109" s="23"/>
      <c r="Q109" s="23"/>
      <c r="R109" s="23"/>
      <c r="S109" s="23"/>
      <c r="T109" s="24"/>
    </row>
    <row r="110" spans="1:20" s="11" customFormat="1" ht="31.9" customHeight="1" thickBot="1" x14ac:dyDescent="0.25">
      <c r="A110" s="7">
        <v>101</v>
      </c>
      <c r="B110" s="99" t="s">
        <v>234</v>
      </c>
      <c r="C110" s="100" t="s">
        <v>16</v>
      </c>
      <c r="D110" s="8" t="str">
        <f t="shared" si="2"/>
        <v>2.5.2</v>
      </c>
      <c r="E110" s="98" t="s">
        <v>235</v>
      </c>
      <c r="F110" s="12" t="s">
        <v>129</v>
      </c>
      <c r="G110" s="12">
        <v>20</v>
      </c>
      <c r="H110" s="95">
        <v>3932.28</v>
      </c>
      <c r="I110" s="9">
        <f t="shared" si="3"/>
        <v>78645.600000000006</v>
      </c>
      <c r="J110" s="19"/>
      <c r="K110" s="20"/>
      <c r="L110" s="23"/>
      <c r="M110" s="23"/>
      <c r="N110" s="23"/>
      <c r="O110" s="23"/>
      <c r="P110" s="23"/>
      <c r="Q110" s="23"/>
      <c r="R110" s="23"/>
      <c r="S110" s="23"/>
      <c r="T110" s="24"/>
    </row>
    <row r="111" spans="1:20" s="11" customFormat="1" ht="44.25" customHeight="1" thickBot="1" x14ac:dyDescent="0.25">
      <c r="A111" s="7">
        <v>102</v>
      </c>
      <c r="B111" s="99" t="s">
        <v>236</v>
      </c>
      <c r="C111" s="100" t="s">
        <v>16</v>
      </c>
      <c r="D111" s="8" t="str">
        <f t="shared" si="2"/>
        <v>2.5.2</v>
      </c>
      <c r="E111" s="98" t="s">
        <v>237</v>
      </c>
      <c r="F111" s="12" t="s">
        <v>27</v>
      </c>
      <c r="G111" s="12">
        <v>2000</v>
      </c>
      <c r="H111" s="95">
        <v>500.15</v>
      </c>
      <c r="I111" s="9">
        <f t="shared" si="3"/>
        <v>1000300</v>
      </c>
      <c r="J111" s="19"/>
      <c r="K111" s="20"/>
      <c r="L111" s="23"/>
      <c r="M111" s="23"/>
      <c r="N111" s="23"/>
      <c r="O111" s="23"/>
      <c r="P111" s="23"/>
      <c r="Q111" s="23"/>
      <c r="R111" s="23"/>
      <c r="S111" s="23"/>
      <c r="T111" s="24"/>
    </row>
    <row r="112" spans="1:20" s="11" customFormat="1" ht="53.25" customHeight="1" thickBot="1" x14ac:dyDescent="0.25">
      <c r="A112" s="7">
        <v>103</v>
      </c>
      <c r="B112" s="99" t="s">
        <v>238</v>
      </c>
      <c r="C112" s="100" t="s">
        <v>16</v>
      </c>
      <c r="D112" s="8" t="str">
        <f t="shared" si="2"/>
        <v>2.5.2</v>
      </c>
      <c r="E112" s="98" t="s">
        <v>239</v>
      </c>
      <c r="F112" s="12" t="s">
        <v>61</v>
      </c>
      <c r="G112" s="12">
        <v>8</v>
      </c>
      <c r="H112" s="95">
        <v>5550.49</v>
      </c>
      <c r="I112" s="9">
        <f t="shared" si="3"/>
        <v>44403.92</v>
      </c>
      <c r="J112" s="19"/>
      <c r="K112" s="20"/>
      <c r="L112" s="23"/>
      <c r="M112" s="23"/>
      <c r="N112" s="23"/>
      <c r="O112" s="23"/>
      <c r="P112" s="23"/>
      <c r="Q112" s="23"/>
      <c r="R112" s="23"/>
      <c r="S112" s="23"/>
      <c r="T112" s="24"/>
    </row>
    <row r="113" spans="1:20" s="11" customFormat="1" ht="31.9" customHeight="1" thickBot="1" x14ac:dyDescent="0.25">
      <c r="A113" s="7">
        <v>104</v>
      </c>
      <c r="B113" s="99" t="s">
        <v>240</v>
      </c>
      <c r="C113" s="100" t="s">
        <v>16</v>
      </c>
      <c r="D113" s="8" t="str">
        <f t="shared" si="2"/>
        <v>2.5.2</v>
      </c>
      <c r="E113" s="98" t="s">
        <v>241</v>
      </c>
      <c r="F113" s="12" t="s">
        <v>61</v>
      </c>
      <c r="G113" s="12">
        <v>8</v>
      </c>
      <c r="H113" s="95">
        <v>6384</v>
      </c>
      <c r="I113" s="9">
        <f t="shared" si="3"/>
        <v>51072</v>
      </c>
      <c r="J113" s="19"/>
      <c r="K113" s="20"/>
      <c r="L113" s="23"/>
      <c r="M113" s="23"/>
      <c r="N113" s="23"/>
      <c r="O113" s="23"/>
      <c r="P113" s="23"/>
      <c r="Q113" s="23"/>
      <c r="R113" s="23"/>
      <c r="S113" s="23"/>
      <c r="T113" s="24"/>
    </row>
    <row r="114" spans="1:20" s="11" customFormat="1" ht="31.9" customHeight="1" thickBot="1" x14ac:dyDescent="0.25">
      <c r="A114" s="7">
        <v>105</v>
      </c>
      <c r="B114" s="99" t="s">
        <v>242</v>
      </c>
      <c r="C114" s="100" t="s">
        <v>16</v>
      </c>
      <c r="D114" s="8" t="str">
        <f t="shared" si="2"/>
        <v>2.5.2</v>
      </c>
      <c r="E114" s="98" t="s">
        <v>243</v>
      </c>
      <c r="F114" s="12" t="s">
        <v>27</v>
      </c>
      <c r="G114" s="12">
        <v>300</v>
      </c>
      <c r="H114" s="95">
        <v>43.2</v>
      </c>
      <c r="I114" s="9">
        <f t="shared" si="3"/>
        <v>12960</v>
      </c>
      <c r="J114" s="28"/>
      <c r="K114" s="28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 s="11" customFormat="1" ht="31.9" customHeight="1" thickBot="1" x14ac:dyDescent="0.25">
      <c r="A115" s="7">
        <v>106</v>
      </c>
      <c r="B115" s="99" t="s">
        <v>244</v>
      </c>
      <c r="C115" s="100" t="s">
        <v>16</v>
      </c>
      <c r="D115" s="8" t="str">
        <f t="shared" ref="D115:D123" si="4">LEFT(B115,5)</f>
        <v>2.5.2</v>
      </c>
      <c r="E115" s="98" t="s">
        <v>245</v>
      </c>
      <c r="F115" s="12" t="s">
        <v>140</v>
      </c>
      <c r="G115" s="12">
        <v>20</v>
      </c>
      <c r="H115" s="95">
        <v>58.8</v>
      </c>
      <c r="I115" s="9">
        <f t="shared" ref="I115:I124" si="5">+G115*H115</f>
        <v>1176</v>
      </c>
      <c r="J115" s="28"/>
      <c r="K115" s="28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 s="11" customFormat="1" ht="41.25" customHeight="1" thickBot="1" x14ac:dyDescent="0.25">
      <c r="A116" s="7">
        <v>107</v>
      </c>
      <c r="B116" s="99" t="s">
        <v>246</v>
      </c>
      <c r="C116" s="100" t="s">
        <v>16</v>
      </c>
      <c r="D116" s="8" t="str">
        <f t="shared" si="4"/>
        <v>2.5.2</v>
      </c>
      <c r="E116" s="98" t="s">
        <v>247</v>
      </c>
      <c r="F116" s="12" t="s">
        <v>84</v>
      </c>
      <c r="G116" s="12">
        <v>10</v>
      </c>
      <c r="H116" s="95">
        <v>42450.96</v>
      </c>
      <c r="I116" s="9">
        <f t="shared" si="5"/>
        <v>424509.6</v>
      </c>
      <c r="J116" s="28"/>
      <c r="K116" s="28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 s="11" customFormat="1" ht="49.5" customHeight="1" thickBot="1" x14ac:dyDescent="0.25">
      <c r="A117" s="7">
        <v>108</v>
      </c>
      <c r="B117" s="99" t="s">
        <v>248</v>
      </c>
      <c r="C117" s="100" t="s">
        <v>16</v>
      </c>
      <c r="D117" s="8" t="str">
        <f t="shared" si="4"/>
        <v>2.5.2</v>
      </c>
      <c r="E117" s="98" t="s">
        <v>249</v>
      </c>
      <c r="F117" s="12" t="s">
        <v>61</v>
      </c>
      <c r="G117" s="12">
        <v>300</v>
      </c>
      <c r="H117" s="95">
        <v>12608.54</v>
      </c>
      <c r="I117" s="9">
        <f t="shared" si="5"/>
        <v>3782562.0000000005</v>
      </c>
      <c r="J117" s="28"/>
      <c r="K117" s="28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 s="11" customFormat="1" ht="31.9" customHeight="1" thickBot="1" x14ac:dyDescent="0.25">
      <c r="A118" s="7">
        <v>109</v>
      </c>
      <c r="B118" s="99" t="s">
        <v>250</v>
      </c>
      <c r="C118" s="100" t="s">
        <v>16</v>
      </c>
      <c r="D118" s="8" t="str">
        <f t="shared" si="4"/>
        <v>2.5.2</v>
      </c>
      <c r="E118" s="98" t="s">
        <v>251</v>
      </c>
      <c r="F118" s="12" t="s">
        <v>61</v>
      </c>
      <c r="G118" s="12">
        <v>200</v>
      </c>
      <c r="H118" s="95">
        <v>547.20000000000005</v>
      </c>
      <c r="I118" s="9">
        <f t="shared" si="5"/>
        <v>109440.00000000001</v>
      </c>
      <c r="J118" s="28"/>
      <c r="K118" s="28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 s="11" customFormat="1" ht="31.9" customHeight="1" thickBot="1" x14ac:dyDescent="0.25">
      <c r="A119" s="7">
        <v>110</v>
      </c>
      <c r="B119" s="99" t="s">
        <v>252</v>
      </c>
      <c r="C119" s="100" t="s">
        <v>16</v>
      </c>
      <c r="D119" s="8" t="str">
        <f t="shared" si="4"/>
        <v>2.5.2</v>
      </c>
      <c r="E119" s="98" t="s">
        <v>253</v>
      </c>
      <c r="F119" s="12" t="s">
        <v>61</v>
      </c>
      <c r="G119" s="12">
        <v>200</v>
      </c>
      <c r="H119" s="95">
        <v>504</v>
      </c>
      <c r="I119" s="9">
        <f t="shared" si="5"/>
        <v>100800</v>
      </c>
      <c r="J119" s="28"/>
      <c r="K119" s="28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 s="11" customFormat="1" ht="31.9" customHeight="1" thickBot="1" x14ac:dyDescent="0.25">
      <c r="A120" s="7">
        <v>111</v>
      </c>
      <c r="B120" s="99" t="s">
        <v>254</v>
      </c>
      <c r="C120" s="100" t="s">
        <v>16</v>
      </c>
      <c r="D120" s="8" t="str">
        <f t="shared" si="4"/>
        <v>2.5.2</v>
      </c>
      <c r="E120" s="98" t="s">
        <v>255</v>
      </c>
      <c r="F120" s="12" t="s">
        <v>61</v>
      </c>
      <c r="G120" s="12">
        <v>100</v>
      </c>
      <c r="H120" s="95">
        <v>2147.7800000000002</v>
      </c>
      <c r="I120" s="9">
        <f t="shared" si="5"/>
        <v>214778.00000000003</v>
      </c>
      <c r="J120" s="28"/>
      <c r="K120" s="28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 s="11" customFormat="1" ht="31.9" customHeight="1" thickBot="1" x14ac:dyDescent="0.25">
      <c r="A121" s="7">
        <v>112</v>
      </c>
      <c r="B121" s="99" t="s">
        <v>248</v>
      </c>
      <c r="C121" s="100" t="s">
        <v>16</v>
      </c>
      <c r="D121" s="8" t="str">
        <f t="shared" si="4"/>
        <v>2.5.2</v>
      </c>
      <c r="E121" s="98" t="s">
        <v>256</v>
      </c>
      <c r="F121" s="27" t="s">
        <v>257</v>
      </c>
      <c r="G121" s="27">
        <v>60</v>
      </c>
      <c r="H121" s="95">
        <v>13056.84</v>
      </c>
      <c r="I121" s="9">
        <f t="shared" si="5"/>
        <v>783410.4</v>
      </c>
      <c r="J121" s="28"/>
      <c r="K121" s="28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 s="11" customFormat="1" ht="31.9" customHeight="1" thickBot="1" x14ac:dyDescent="0.25">
      <c r="A122" s="7">
        <v>113</v>
      </c>
      <c r="B122" s="99" t="s">
        <v>258</v>
      </c>
      <c r="C122" s="100" t="s">
        <v>16</v>
      </c>
      <c r="D122" s="8" t="str">
        <f t="shared" si="4"/>
        <v>2.5.2</v>
      </c>
      <c r="E122" s="98" t="s">
        <v>259</v>
      </c>
      <c r="F122" s="27" t="s">
        <v>260</v>
      </c>
      <c r="G122" s="27">
        <v>2081</v>
      </c>
      <c r="H122" s="95">
        <v>210</v>
      </c>
      <c r="I122" s="9">
        <f t="shared" si="5"/>
        <v>437010</v>
      </c>
      <c r="J122" s="28"/>
      <c r="K122" s="28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 s="11" customFormat="1" ht="38.25" customHeight="1" thickBot="1" x14ac:dyDescent="0.25">
      <c r="A123" s="7">
        <v>114</v>
      </c>
      <c r="B123" s="99" t="s">
        <v>261</v>
      </c>
      <c r="C123" s="100" t="s">
        <v>16</v>
      </c>
      <c r="D123" s="8" t="str">
        <f t="shared" si="4"/>
        <v>2.5.2</v>
      </c>
      <c r="E123" s="98" t="s">
        <v>262</v>
      </c>
      <c r="F123" s="27" t="s">
        <v>260</v>
      </c>
      <c r="G123" s="27">
        <v>41</v>
      </c>
      <c r="H123" s="95">
        <v>490</v>
      </c>
      <c r="I123" s="9">
        <f t="shared" si="5"/>
        <v>20090</v>
      </c>
      <c r="J123" s="28"/>
      <c r="K123" s="28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 s="11" customFormat="1" ht="15.75" thickBot="1" x14ac:dyDescent="0.25">
      <c r="A124" s="7">
        <v>115</v>
      </c>
      <c r="B124" s="101" t="s">
        <v>325</v>
      </c>
      <c r="C124" s="102" t="s">
        <v>16</v>
      </c>
      <c r="D124" s="8" t="s">
        <v>326</v>
      </c>
      <c r="E124" s="103" t="s">
        <v>327</v>
      </c>
      <c r="F124" s="12" t="s">
        <v>129</v>
      </c>
      <c r="G124" s="12">
        <v>40000</v>
      </c>
      <c r="H124" s="104">
        <v>135.6</v>
      </c>
      <c r="I124" s="9">
        <f t="shared" si="5"/>
        <v>5424000</v>
      </c>
    </row>
    <row r="125" spans="1:20" x14ac:dyDescent="0.2">
      <c r="A125" s="11"/>
      <c r="B125" s="11"/>
      <c r="C125" s="11"/>
      <c r="D125" s="11"/>
      <c r="E125" s="11"/>
      <c r="F125" s="30"/>
      <c r="G125" s="30"/>
      <c r="H125" s="30"/>
      <c r="I125" s="11"/>
    </row>
    <row r="126" spans="1:20" s="91" customFormat="1" ht="24.6" customHeight="1" thickBot="1" x14ac:dyDescent="0.25">
      <c r="A126" s="1"/>
      <c r="B126" s="1"/>
      <c r="C126" s="1"/>
      <c r="D126" s="1"/>
      <c r="E126" s="1"/>
      <c r="F126" s="31"/>
      <c r="G126" s="31"/>
      <c r="H126" s="31"/>
      <c r="I126" s="1"/>
    </row>
    <row r="127" spans="1:20" ht="54.6" customHeight="1" thickBot="1" x14ac:dyDescent="0.25">
      <c r="A127" s="91"/>
      <c r="B127" s="114" t="s">
        <v>320</v>
      </c>
      <c r="C127" s="115"/>
      <c r="D127" s="115"/>
      <c r="E127" s="116"/>
      <c r="F127" s="92"/>
      <c r="G127" s="92"/>
      <c r="H127" s="92"/>
      <c r="I127" s="91"/>
    </row>
    <row r="128" spans="1:20" ht="25.9" customHeight="1" thickBot="1" x14ac:dyDescent="0.25">
      <c r="B128" s="111" t="s">
        <v>318</v>
      </c>
      <c r="C128" s="112"/>
      <c r="D128" s="112"/>
      <c r="E128" s="113"/>
    </row>
    <row r="129" spans="2:5" ht="25.9" customHeight="1" thickBot="1" x14ac:dyDescent="0.25">
      <c r="B129" s="111" t="s">
        <v>319</v>
      </c>
      <c r="C129" s="112"/>
      <c r="D129" s="112"/>
      <c r="E129" s="113"/>
    </row>
    <row r="130" spans="2:5" ht="13.5" thickBot="1" x14ac:dyDescent="0.25">
      <c r="B130" s="111" t="s">
        <v>321</v>
      </c>
      <c r="C130" s="112"/>
      <c r="D130" s="112"/>
      <c r="E130" s="113"/>
    </row>
    <row r="131" spans="2:5" ht="13.5" thickBot="1" x14ac:dyDescent="0.25"/>
    <row r="132" spans="2:5" x14ac:dyDescent="0.2">
      <c r="B132" s="32" t="s">
        <v>263</v>
      </c>
      <c r="C132" s="33"/>
      <c r="D132" s="33"/>
      <c r="E132" s="34"/>
    </row>
    <row r="133" spans="2:5" x14ac:dyDescent="0.2">
      <c r="B133" s="35"/>
      <c r="C133" s="36"/>
      <c r="D133" s="36"/>
      <c r="E133" s="37"/>
    </row>
    <row r="134" spans="2:5" x14ac:dyDescent="0.2">
      <c r="B134" s="38" t="s">
        <v>264</v>
      </c>
      <c r="C134" s="36"/>
      <c r="D134" s="36"/>
      <c r="E134" s="37"/>
    </row>
    <row r="135" spans="2:5" x14ac:dyDescent="0.2">
      <c r="B135" s="38"/>
      <c r="C135" s="117" t="s">
        <v>317</v>
      </c>
      <c r="D135" s="117"/>
      <c r="E135" s="118"/>
    </row>
    <row r="136" spans="2:5" x14ac:dyDescent="0.2">
      <c r="B136" s="38" t="s">
        <v>265</v>
      </c>
      <c r="C136" s="36"/>
      <c r="D136" s="36"/>
      <c r="E136" s="37"/>
    </row>
    <row r="137" spans="2:5" x14ac:dyDescent="0.2">
      <c r="B137" s="39"/>
      <c r="C137" s="119"/>
      <c r="D137" s="119"/>
      <c r="E137" s="110"/>
    </row>
    <row r="138" spans="2:5" x14ac:dyDescent="0.2">
      <c r="B138" s="39"/>
      <c r="C138" s="119"/>
      <c r="D138" s="119"/>
      <c r="E138" s="110"/>
    </row>
    <row r="139" spans="2:5" x14ac:dyDescent="0.2">
      <c r="B139" s="38" t="s">
        <v>266</v>
      </c>
      <c r="C139" s="36"/>
      <c r="D139" s="36"/>
      <c r="E139" s="37"/>
    </row>
    <row r="140" spans="2:5" x14ac:dyDescent="0.2">
      <c r="B140" s="39"/>
      <c r="C140" s="108"/>
      <c r="D140" s="108"/>
      <c r="E140" s="109"/>
    </row>
    <row r="141" spans="2:5" x14ac:dyDescent="0.2">
      <c r="B141" s="38" t="s">
        <v>267</v>
      </c>
      <c r="C141" s="40"/>
      <c r="D141" s="40"/>
      <c r="E141" s="41"/>
    </row>
    <row r="142" spans="2:5" x14ac:dyDescent="0.2">
      <c r="B142" s="39"/>
      <c r="C142" s="108"/>
      <c r="D142" s="108"/>
      <c r="E142" s="109"/>
    </row>
    <row r="143" spans="2:5" x14ac:dyDescent="0.2">
      <c r="B143" s="38" t="s">
        <v>268</v>
      </c>
      <c r="C143" s="36"/>
      <c r="D143" s="36"/>
      <c r="E143" s="37"/>
    </row>
    <row r="144" spans="2:5" x14ac:dyDescent="0.2">
      <c r="B144" s="38"/>
      <c r="C144" s="110"/>
      <c r="D144" s="110"/>
      <c r="E144" s="110"/>
    </row>
    <row r="145" spans="2:5" ht="13.5" thickBot="1" x14ac:dyDescent="0.25">
      <c r="B145" s="42"/>
      <c r="C145" s="43"/>
      <c r="D145" s="43"/>
      <c r="E145" s="44"/>
    </row>
    <row r="147" spans="2:5" ht="13.5" thickBot="1" x14ac:dyDescent="0.25"/>
    <row r="148" spans="2:5" x14ac:dyDescent="0.2">
      <c r="B148" s="32" t="s">
        <v>323</v>
      </c>
      <c r="C148" s="33"/>
      <c r="D148" s="33"/>
      <c r="E148" s="34"/>
    </row>
    <row r="149" spans="2:5" x14ac:dyDescent="0.2">
      <c r="B149" s="35"/>
      <c r="C149" s="36"/>
      <c r="D149" s="36"/>
      <c r="E149" s="37"/>
    </row>
    <row r="150" spans="2:5" x14ac:dyDescent="0.2">
      <c r="B150" s="38" t="s">
        <v>264</v>
      </c>
      <c r="C150" s="36"/>
      <c r="D150" s="36"/>
      <c r="E150" s="37"/>
    </row>
    <row r="151" spans="2:5" x14ac:dyDescent="0.2">
      <c r="B151" s="38"/>
      <c r="C151" s="118" t="s">
        <v>269</v>
      </c>
      <c r="D151" s="118"/>
      <c r="E151" s="118"/>
    </row>
    <row r="152" spans="2:5" x14ac:dyDescent="0.2">
      <c r="B152" s="38" t="s">
        <v>265</v>
      </c>
      <c r="C152" s="36"/>
      <c r="D152" s="36"/>
      <c r="E152" s="37"/>
    </row>
    <row r="153" spans="2:5" x14ac:dyDescent="0.2">
      <c r="B153" s="39"/>
      <c r="C153" s="110"/>
      <c r="D153" s="110"/>
      <c r="E153" s="110"/>
    </row>
    <row r="154" spans="2:5" x14ac:dyDescent="0.2">
      <c r="B154" s="39"/>
      <c r="C154" s="110"/>
      <c r="D154" s="110"/>
      <c r="E154" s="110"/>
    </row>
    <row r="155" spans="2:5" x14ac:dyDescent="0.2">
      <c r="B155" s="38" t="s">
        <v>266</v>
      </c>
      <c r="C155" s="36"/>
      <c r="D155" s="36"/>
      <c r="E155" s="37"/>
    </row>
    <row r="156" spans="2:5" x14ac:dyDescent="0.2">
      <c r="B156" s="39"/>
      <c r="C156" s="109"/>
      <c r="D156" s="109"/>
      <c r="E156" s="109"/>
    </row>
    <row r="157" spans="2:5" x14ac:dyDescent="0.2">
      <c r="B157" s="38" t="s">
        <v>267</v>
      </c>
      <c r="C157" s="40"/>
      <c r="D157" s="40"/>
      <c r="E157" s="41"/>
    </row>
    <row r="158" spans="2:5" x14ac:dyDescent="0.2">
      <c r="B158" s="39"/>
      <c r="C158" s="109"/>
      <c r="D158" s="109"/>
      <c r="E158" s="109"/>
    </row>
    <row r="159" spans="2:5" x14ac:dyDescent="0.2">
      <c r="B159" s="38" t="s">
        <v>268</v>
      </c>
      <c r="C159" s="36"/>
      <c r="D159" s="36"/>
      <c r="E159" s="37"/>
    </row>
    <row r="160" spans="2:5" x14ac:dyDescent="0.2">
      <c r="B160" s="38"/>
      <c r="C160" s="110"/>
      <c r="D160" s="110"/>
      <c r="E160" s="110"/>
    </row>
    <row r="161" spans="2:5" ht="13.5" thickBot="1" x14ac:dyDescent="0.25">
      <c r="B161" s="42"/>
      <c r="C161" s="43"/>
      <c r="D161" s="43"/>
      <c r="E161" s="44"/>
    </row>
    <row r="163" spans="2:5" ht="13.5" thickBot="1" x14ac:dyDescent="0.25"/>
    <row r="164" spans="2:5" x14ac:dyDescent="0.2">
      <c r="B164" s="32" t="s">
        <v>324</v>
      </c>
      <c r="C164" s="33"/>
      <c r="D164" s="33"/>
      <c r="E164" s="34"/>
    </row>
    <row r="165" spans="2:5" x14ac:dyDescent="0.2">
      <c r="B165" s="35"/>
      <c r="C165" s="36"/>
      <c r="D165" s="36"/>
      <c r="E165" s="37"/>
    </row>
    <row r="166" spans="2:5" x14ac:dyDescent="0.2">
      <c r="B166" s="38" t="s">
        <v>264</v>
      </c>
      <c r="C166" s="36"/>
      <c r="D166" s="36"/>
      <c r="E166" s="37"/>
    </row>
    <row r="167" spans="2:5" x14ac:dyDescent="0.2">
      <c r="B167" s="38"/>
      <c r="C167" s="118" t="s">
        <v>270</v>
      </c>
      <c r="D167" s="118"/>
      <c r="E167" s="118"/>
    </row>
    <row r="168" spans="2:5" x14ac:dyDescent="0.2">
      <c r="B168" s="38" t="s">
        <v>265</v>
      </c>
      <c r="C168" s="36"/>
      <c r="D168" s="36"/>
      <c r="E168" s="37"/>
    </row>
    <row r="169" spans="2:5" x14ac:dyDescent="0.2">
      <c r="B169" s="39"/>
      <c r="C169" s="110"/>
      <c r="D169" s="110"/>
      <c r="E169" s="110"/>
    </row>
    <row r="170" spans="2:5" x14ac:dyDescent="0.2">
      <c r="B170" s="39"/>
      <c r="C170" s="110"/>
      <c r="D170" s="110"/>
      <c r="E170" s="110"/>
    </row>
    <row r="171" spans="2:5" x14ac:dyDescent="0.2">
      <c r="B171" s="38" t="s">
        <v>266</v>
      </c>
      <c r="C171" s="36"/>
      <c r="D171" s="36"/>
      <c r="E171" s="37"/>
    </row>
    <row r="172" spans="2:5" x14ac:dyDescent="0.2">
      <c r="B172" s="39"/>
      <c r="C172" s="109"/>
      <c r="D172" s="109"/>
      <c r="E172" s="109"/>
    </row>
    <row r="173" spans="2:5" x14ac:dyDescent="0.2">
      <c r="B173" s="38" t="s">
        <v>267</v>
      </c>
      <c r="C173" s="40"/>
      <c r="D173" s="40"/>
      <c r="E173" s="41"/>
    </row>
    <row r="174" spans="2:5" x14ac:dyDescent="0.2">
      <c r="B174" s="39"/>
      <c r="C174" s="109"/>
      <c r="D174" s="109"/>
      <c r="E174" s="109"/>
    </row>
    <row r="175" spans="2:5" x14ac:dyDescent="0.2">
      <c r="B175" s="38" t="s">
        <v>268</v>
      </c>
      <c r="C175" s="36"/>
      <c r="D175" s="36"/>
      <c r="E175" s="37"/>
    </row>
    <row r="176" spans="2:5" x14ac:dyDescent="0.2">
      <c r="B176" s="38"/>
      <c r="C176" s="110"/>
      <c r="D176" s="110"/>
      <c r="E176" s="110"/>
    </row>
    <row r="177" spans="2:5" ht="13.5" thickBot="1" x14ac:dyDescent="0.25">
      <c r="B177" s="42"/>
      <c r="C177" s="43"/>
      <c r="D177" s="43"/>
      <c r="E177" s="44"/>
    </row>
  </sheetData>
  <mergeCells count="29">
    <mergeCell ref="C176:E176"/>
    <mergeCell ref="C160:E160"/>
    <mergeCell ref="C167:E167"/>
    <mergeCell ref="C169:E169"/>
    <mergeCell ref="C170:E170"/>
    <mergeCell ref="C172:E172"/>
    <mergeCell ref="C174:E174"/>
    <mergeCell ref="C158:E158"/>
    <mergeCell ref="C151:E151"/>
    <mergeCell ref="C153:E153"/>
    <mergeCell ref="C154:E154"/>
    <mergeCell ref="C156:E156"/>
    <mergeCell ref="C142:E142"/>
    <mergeCell ref="C144:E144"/>
    <mergeCell ref="B129:E129"/>
    <mergeCell ref="A6:B6"/>
    <mergeCell ref="B127:E127"/>
    <mergeCell ref="B130:E130"/>
    <mergeCell ref="B128:E128"/>
    <mergeCell ref="A7:B7"/>
    <mergeCell ref="C135:E135"/>
    <mergeCell ref="C137:E137"/>
    <mergeCell ref="C138:E138"/>
    <mergeCell ref="C140:E14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27"/>
  <sheetViews>
    <sheetView topLeftCell="A115" zoomScale="70" zoomScaleNormal="70" workbookViewId="0">
      <selection activeCell="B130" sqref="B130"/>
    </sheetView>
  </sheetViews>
  <sheetFormatPr baseColWidth="10" defaultColWidth="9.140625" defaultRowHeight="12.75" x14ac:dyDescent="0.2"/>
  <cols>
    <col min="1" max="1" width="5.5703125" style="47" customWidth="1"/>
    <col min="2" max="2" width="15.140625" style="47" customWidth="1"/>
    <col min="3" max="3" width="14.140625" style="47" customWidth="1"/>
    <col min="4" max="4" width="26" style="47" customWidth="1"/>
    <col min="5" max="5" width="8" style="47" customWidth="1"/>
    <col min="6" max="6" width="7.85546875" style="47" customWidth="1"/>
    <col min="7" max="7" width="42" style="47" customWidth="1"/>
    <col min="8" max="8" width="9.28515625" style="47" customWidth="1"/>
    <col min="9" max="9" width="15.5703125" style="47" customWidth="1"/>
    <col min="10" max="10" width="14.7109375" style="47" customWidth="1"/>
    <col min="11" max="11" width="15.5703125" style="47" customWidth="1"/>
    <col min="12" max="14" width="5.85546875" style="47" customWidth="1"/>
    <col min="15" max="15" width="12.5703125" style="47" customWidth="1"/>
    <col min="16" max="1024" width="9.140625" style="47"/>
    <col min="1025" max="16384" width="9.140625" style="58"/>
  </cols>
  <sheetData>
    <row r="1" spans="1:11" ht="18" customHeight="1" thickBot="1" x14ac:dyDescent="0.25">
      <c r="A1" s="122" t="s">
        <v>271</v>
      </c>
      <c r="B1" s="122"/>
      <c r="C1" s="122"/>
      <c r="D1" s="122"/>
      <c r="E1" s="122"/>
      <c r="F1" s="122"/>
      <c r="G1" s="122"/>
      <c r="H1" s="122"/>
      <c r="I1" s="122"/>
      <c r="J1" s="45" t="s">
        <v>272</v>
      </c>
      <c r="K1" s="46" t="s">
        <v>273</v>
      </c>
    </row>
    <row r="2" spans="1:11" ht="18.75" customHeight="1" thickBot="1" x14ac:dyDescent="0.25">
      <c r="A2" s="48"/>
      <c r="B2" s="48"/>
      <c r="C2" s="48"/>
      <c r="D2" s="49"/>
      <c r="E2" s="49"/>
      <c r="F2" s="49"/>
      <c r="G2" s="49"/>
      <c r="H2" s="49"/>
      <c r="I2" s="49"/>
      <c r="J2" s="49"/>
      <c r="K2" s="49"/>
    </row>
    <row r="3" spans="1:11" ht="18.75" customHeight="1" thickBot="1" x14ac:dyDescent="0.25">
      <c r="A3" s="123" t="s">
        <v>274</v>
      </c>
      <c r="B3" s="123"/>
      <c r="C3" s="123"/>
      <c r="D3" s="124" t="str">
        <f>'MEDICAMENTOS NT '!C4</f>
        <v>40 - Ministerio de Salud</v>
      </c>
      <c r="E3" s="124"/>
      <c r="F3" s="124"/>
      <c r="G3" s="124"/>
      <c r="H3" s="124"/>
      <c r="I3" s="124"/>
      <c r="J3" s="124"/>
      <c r="K3" s="124"/>
    </row>
    <row r="4" spans="1:11" ht="18.75" customHeight="1" thickBot="1" x14ac:dyDescent="0.25">
      <c r="A4" s="125" t="s">
        <v>275</v>
      </c>
      <c r="B4" s="125"/>
      <c r="C4" s="125"/>
      <c r="D4" s="124" t="str">
        <f>'MEDICAMENTOS NT '!C5</f>
        <v>23 - Hospital Interzonal San Juan Bautista</v>
      </c>
      <c r="E4" s="124"/>
      <c r="F4" s="124"/>
      <c r="G4" s="124"/>
      <c r="H4" s="124"/>
      <c r="I4" s="124"/>
      <c r="J4" s="124"/>
      <c r="K4" s="124"/>
    </row>
    <row r="5" spans="1:11" ht="18.75" customHeight="1" thickBot="1" x14ac:dyDescent="0.25">
      <c r="A5" s="125" t="s">
        <v>276</v>
      </c>
      <c r="B5" s="125"/>
      <c r="C5" s="125"/>
      <c r="D5" s="124" t="s">
        <v>277</v>
      </c>
      <c r="E5" s="124"/>
      <c r="F5" s="124"/>
      <c r="G5" s="124"/>
      <c r="H5" s="124"/>
      <c r="I5" s="124"/>
      <c r="J5" s="124"/>
      <c r="K5" s="124"/>
    </row>
    <row r="6" spans="1:11" ht="16.5" customHeight="1" thickBot="1" x14ac:dyDescent="0.25">
      <c r="A6" s="123" t="s">
        <v>278</v>
      </c>
      <c r="B6" s="123"/>
      <c r="C6" s="123"/>
      <c r="D6" s="124" t="s">
        <v>279</v>
      </c>
      <c r="E6" s="124"/>
      <c r="F6" s="124"/>
      <c r="G6" s="124"/>
      <c r="H6" s="124"/>
      <c r="I6" s="124"/>
      <c r="J6" s="124"/>
      <c r="K6" s="124"/>
    </row>
    <row r="7" spans="1:11" ht="16.5" customHeight="1" thickBot="1" x14ac:dyDescent="0.25">
      <c r="A7" s="125" t="s">
        <v>280</v>
      </c>
      <c r="B7" s="125"/>
      <c r="C7" s="125"/>
      <c r="D7" s="124" t="str">
        <f>'MEDICAMENTOS NT '!C7 &amp; "° Trimestre - Año " &amp; 'MEDICAMENTOS NT '!C6</f>
        <v>1° Trimestre - Año 2021</v>
      </c>
      <c r="E7" s="124"/>
      <c r="F7" s="124"/>
      <c r="G7" s="124"/>
      <c r="H7" s="124"/>
      <c r="I7" s="124"/>
      <c r="J7" s="124"/>
      <c r="K7" s="124"/>
    </row>
    <row r="8" spans="1:11" ht="16.5" customHeight="1" thickBot="1" x14ac:dyDescent="0.25">
      <c r="A8" s="128" t="s">
        <v>281</v>
      </c>
      <c r="B8" s="128"/>
      <c r="C8" s="128"/>
      <c r="D8" s="129" t="s">
        <v>282</v>
      </c>
      <c r="E8" s="129"/>
      <c r="F8" s="129"/>
      <c r="G8" s="129"/>
      <c r="H8" s="129"/>
      <c r="I8" s="129"/>
      <c r="J8" s="129"/>
      <c r="K8" s="129"/>
    </row>
    <row r="9" spans="1:11" ht="16.5" thickBot="1" x14ac:dyDescent="0.25">
      <c r="A9" s="50"/>
      <c r="B9" s="50"/>
      <c r="C9" s="50"/>
      <c r="D9" s="51"/>
      <c r="E9" s="51"/>
      <c r="F9" s="51"/>
      <c r="G9" s="51"/>
      <c r="H9" s="51"/>
      <c r="I9" s="51"/>
      <c r="J9" s="51"/>
      <c r="K9" s="51"/>
    </row>
    <row r="10" spans="1:11" ht="18.75" customHeight="1" thickBot="1" x14ac:dyDescent="0.25">
      <c r="A10" s="126" t="s">
        <v>283</v>
      </c>
      <c r="B10" s="127" t="s">
        <v>284</v>
      </c>
      <c r="C10" s="127" t="s">
        <v>285</v>
      </c>
      <c r="D10" s="127"/>
      <c r="E10" s="127"/>
      <c r="F10" s="127"/>
      <c r="G10" s="127"/>
      <c r="H10" s="127" t="s">
        <v>286</v>
      </c>
      <c r="I10" s="127" t="s">
        <v>287</v>
      </c>
      <c r="J10" s="127" t="s">
        <v>288</v>
      </c>
      <c r="K10" s="120" t="s">
        <v>289</v>
      </c>
    </row>
    <row r="11" spans="1:11" ht="24" customHeight="1" thickBot="1" x14ac:dyDescent="0.2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0"/>
    </row>
    <row r="12" spans="1:11" ht="32.25" customHeight="1" thickBot="1" x14ac:dyDescent="0.25">
      <c r="A12" s="52">
        <v>1</v>
      </c>
      <c r="B12" s="53" t="str">
        <f>'MEDICAMENTOS NT '!B10</f>
        <v>2.5.2-1837.53</v>
      </c>
      <c r="C12" s="121" t="str">
        <f>'MEDICAMENTOS NT '!E10</f>
        <v>HIPOTENSORES; TIPO: MONODROGA, DROGA GENERICA: ACETAZOLAMIDA 250 MG., FORMA FARMACEUTICA: COMPRIMIDO, PRESENTACION: UNIDAD</v>
      </c>
      <c r="D12" s="121"/>
      <c r="E12" s="121"/>
      <c r="F12" s="121"/>
      <c r="G12" s="121"/>
      <c r="H12" s="54" t="s">
        <v>290</v>
      </c>
      <c r="I12" s="55" t="str">
        <f>'MEDICAMENTOS NT '!F10</f>
        <v>Comp.</v>
      </c>
      <c r="J12" s="56">
        <f>'MEDICAMENTOS NT '!H10</f>
        <v>20.28</v>
      </c>
      <c r="K12" s="57">
        <f>'MEDICAMENTOS NT '!G10</f>
        <v>60</v>
      </c>
    </row>
    <row r="13" spans="1:11" ht="33" customHeight="1" thickBot="1" x14ac:dyDescent="0.25">
      <c r="A13" s="52">
        <v>2</v>
      </c>
      <c r="B13" s="53" t="str">
        <f>'MEDICAMENTOS NT '!B11</f>
        <v>2.5.2-1873.5</v>
      </c>
      <c r="C13" s="121" t="str">
        <f>'MEDICAMENTOS NT '!E11</f>
        <v>ANTICOAGULANTES P/PERSONAS; TIPO: MONODROGA, DROGA GENERICA: ACENOCUMAROL, FORMA FARMACEUTICA: COMPRIMIDOS, PRESENTACION: 4 mGr</v>
      </c>
      <c r="D13" s="121"/>
      <c r="E13" s="121"/>
      <c r="F13" s="121"/>
      <c r="G13" s="121"/>
      <c r="H13" s="54" t="s">
        <v>290</v>
      </c>
      <c r="I13" s="55" t="str">
        <f>'MEDICAMENTOS NT '!F11</f>
        <v>Comp.</v>
      </c>
      <c r="J13" s="56">
        <f>'MEDICAMENTOS NT '!H11</f>
        <v>8.08</v>
      </c>
      <c r="K13" s="57">
        <f>'MEDICAMENTOS NT '!G11</f>
        <v>200</v>
      </c>
    </row>
    <row r="14" spans="1:11" ht="33" customHeight="1" thickBot="1" x14ac:dyDescent="0.25">
      <c r="A14" s="52">
        <v>3</v>
      </c>
      <c r="B14" s="53" t="str">
        <f>'MEDICAMENTOS NT '!B12</f>
        <v>2.5.2-1872.49</v>
      </c>
      <c r="C14" s="121" t="str">
        <f>'MEDICAMENTOS NT '!E12</f>
        <v>ANTIANEMICOS; TIPO: MONODROGA, DROGA GENERICA: ACIDO FOLICO 5 MG, FORMA FARMACEUTICA: COMPRIMIDO, PRESENTACION: UNIDAD</v>
      </c>
      <c r="D14" s="121"/>
      <c r="E14" s="121"/>
      <c r="F14" s="121"/>
      <c r="G14" s="121"/>
      <c r="H14" s="54" t="s">
        <v>290</v>
      </c>
      <c r="I14" s="55" t="str">
        <f>'MEDICAMENTOS NT '!F12</f>
        <v>Comp.</v>
      </c>
      <c r="J14" s="56">
        <f>'MEDICAMENTOS NT '!H12</f>
        <v>2.57</v>
      </c>
      <c r="K14" s="57">
        <f>'MEDICAMENTOS NT '!G12</f>
        <v>2000</v>
      </c>
    </row>
    <row r="15" spans="1:11" ht="32.25" customHeight="1" thickBot="1" x14ac:dyDescent="0.25">
      <c r="A15" s="52">
        <v>4</v>
      </c>
      <c r="B15" s="53" t="str">
        <f>'MEDICAMENTOS NT '!B13</f>
        <v>2.5.2-1873.18</v>
      </c>
      <c r="C15" s="121" t="str">
        <f>'MEDICAMENTOS NT '!E13</f>
        <v>ANTICOAGULANTES P/PERSONAS; TIPO: MONODROGA, DROGA GENERICA: AMINOCAPROICO, FORMA FARMACEUTICA: AMPOLLA, PRESENTACION: 2 GR</v>
      </c>
      <c r="D15" s="121"/>
      <c r="E15" s="121"/>
      <c r="F15" s="121"/>
      <c r="G15" s="121"/>
      <c r="H15" s="54" t="s">
        <v>290</v>
      </c>
      <c r="I15" s="55" t="str">
        <f>'MEDICAMENTOS NT '!F13</f>
        <v>Amp.</v>
      </c>
      <c r="J15" s="56">
        <f>'MEDICAMENTOS NT '!H13</f>
        <v>190.64</v>
      </c>
      <c r="K15" s="57">
        <f>'MEDICAMENTOS NT '!G13</f>
        <v>200</v>
      </c>
    </row>
    <row r="16" spans="1:11" ht="43.5" customHeight="1" thickBot="1" x14ac:dyDescent="0.25">
      <c r="A16" s="52">
        <v>5</v>
      </c>
      <c r="B16" s="53" t="str">
        <f>'MEDICAMENTOS NT '!B14</f>
        <v>2.5.2-1834.10</v>
      </c>
      <c r="C16" s="121" t="str">
        <f>'MEDICAMENTOS NT '!E14</f>
        <v>ANTIARRITMICOS; TIPO: MONODROGA, DROGA GENERICA: ADENOSINA 3 MG/ML, FORMA FARMACEUTICA: AMPOLLA, PRESENTACION: 6 mGr</v>
      </c>
      <c r="D16" s="121"/>
      <c r="E16" s="121"/>
      <c r="F16" s="121"/>
      <c r="G16" s="121"/>
      <c r="H16" s="54" t="s">
        <v>290</v>
      </c>
      <c r="I16" s="55" t="str">
        <f>'MEDICAMENTOS NT '!F14</f>
        <v>Amp.</v>
      </c>
      <c r="J16" s="56">
        <f>'MEDICAMENTOS NT '!H14</f>
        <v>123.08</v>
      </c>
      <c r="K16" s="57">
        <f>'MEDICAMENTOS NT '!G14</f>
        <v>100</v>
      </c>
    </row>
    <row r="17" spans="1:11" ht="38.25" customHeight="1" thickBot="1" x14ac:dyDescent="0.25">
      <c r="A17" s="52">
        <v>6</v>
      </c>
      <c r="B17" s="53" t="str">
        <f>'MEDICAMENTOS NT '!B15</f>
        <v>2.5.1-9037.24</v>
      </c>
      <c r="C17" s="121" t="str">
        <f>'MEDICAMENTOS NT '!E15</f>
        <v>PROTEINAS; COMPUESTO QUIMICO: ALBUMINA HUMANA, ESTADO: SOLUCION, CALIDAD: FARMACOPEA, CONCENTRACION/PUREZA: 20 %, PRESENTACION: ENVASE X 50 mL</v>
      </c>
      <c r="D17" s="121"/>
      <c r="E17" s="121"/>
      <c r="F17" s="121"/>
      <c r="G17" s="121"/>
      <c r="H17" s="54" t="s">
        <v>290</v>
      </c>
      <c r="I17" s="55" t="str">
        <f>'MEDICAMENTOS NT '!F15</f>
        <v>Fco.Amp.</v>
      </c>
      <c r="J17" s="56">
        <f>'MEDICAMENTOS NT '!H15</f>
        <v>2136</v>
      </c>
      <c r="K17" s="57">
        <f>'MEDICAMENTOS NT '!G15</f>
        <v>200</v>
      </c>
    </row>
    <row r="18" spans="1:11" ht="35.25" customHeight="1" thickBot="1" x14ac:dyDescent="0.25">
      <c r="A18" s="52">
        <v>7</v>
      </c>
      <c r="B18" s="53" t="str">
        <f>'MEDICAMENTOS NT '!B16</f>
        <v>2.9.5-7813.18</v>
      </c>
      <c r="C18" s="121" t="str">
        <f>'MEDICAMENTOS NT '!E16</f>
        <v>BOLSAS DE NUTRICION PARENTERAL; CAPACIDAD: 1000 A 3000 mL, USO: ADMINT SOLUC PARENTERAL</v>
      </c>
      <c r="D18" s="121"/>
      <c r="E18" s="121"/>
      <c r="F18" s="121"/>
      <c r="G18" s="121"/>
      <c r="H18" s="54" t="s">
        <v>290</v>
      </c>
      <c r="I18" s="55" t="str">
        <f>'MEDICAMENTOS NT '!F16</f>
        <v xml:space="preserve">Sachet </v>
      </c>
      <c r="J18" s="56">
        <f>'MEDICAMENTOS NT '!H16</f>
        <v>442.8</v>
      </c>
      <c r="K18" s="57">
        <f>'MEDICAMENTOS NT '!G16</f>
        <v>20</v>
      </c>
    </row>
    <row r="19" spans="1:11" ht="27.75" customHeight="1" thickBot="1" x14ac:dyDescent="0.25">
      <c r="A19" s="52">
        <v>8</v>
      </c>
      <c r="B19" s="53" t="str">
        <f>'MEDICAMENTOS NT '!B17</f>
        <v>2.5.2-1875.6</v>
      </c>
      <c r="C19" s="121" t="str">
        <f>'MEDICAMENTOS NT '!E17</f>
        <v>ANTIASMATICO BRONCODILATADOR; TIPO: MONODROGA, FORMA FARMACEUTICA: AMPOLLA, PRESENTACION: 240 mGr, DROGA GENERICA: AMINOFILINA</v>
      </c>
      <c r="D19" s="121"/>
      <c r="E19" s="121"/>
      <c r="F19" s="121"/>
      <c r="G19" s="121"/>
      <c r="H19" s="54" t="s">
        <v>290</v>
      </c>
      <c r="I19" s="55" t="str">
        <f>'MEDICAMENTOS NT '!F17</f>
        <v>Amp.</v>
      </c>
      <c r="J19" s="56">
        <f>'MEDICAMENTOS NT '!H17</f>
        <v>960.81</v>
      </c>
      <c r="K19" s="57">
        <f>'MEDICAMENTOS NT '!G17</f>
        <v>100</v>
      </c>
    </row>
    <row r="20" spans="1:11" ht="35.25" customHeight="1" thickBot="1" x14ac:dyDescent="0.25">
      <c r="A20" s="52">
        <v>9</v>
      </c>
      <c r="B20" s="53" t="str">
        <f>'MEDICAMENTOS NT '!B18</f>
        <v>2.5.2-1834.2</v>
      </c>
      <c r="C20" s="121" t="str">
        <f>'MEDICAMENTOS NT '!E18</f>
        <v>ANTIARRITMICOS; TIPO: MONODROGA, DROGA GENERICA: AMIODARONA, FORMA FARMACEUTICA: AMPOLLA, PRESENTACION: 150 mGr</v>
      </c>
      <c r="D20" s="121"/>
      <c r="E20" s="121"/>
      <c r="F20" s="121"/>
      <c r="G20" s="121"/>
      <c r="H20" s="54" t="s">
        <v>290</v>
      </c>
      <c r="I20" s="55" t="str">
        <f>'MEDICAMENTOS NT '!F18</f>
        <v>Amp.</v>
      </c>
      <c r="J20" s="56">
        <f>'MEDICAMENTOS NT '!H18</f>
        <v>70.14</v>
      </c>
      <c r="K20" s="57">
        <f>'MEDICAMENTOS NT '!G18</f>
        <v>300</v>
      </c>
    </row>
    <row r="21" spans="1:11" ht="33" customHeight="1" thickBot="1" x14ac:dyDescent="0.25">
      <c r="A21" s="52">
        <v>10</v>
      </c>
      <c r="B21" s="53" t="str">
        <f>'MEDICAMENTOS NT '!B19</f>
        <v>2.5.2-1837.82</v>
      </c>
      <c r="C21" s="121" t="str">
        <f>'MEDICAMENTOS NT '!E19</f>
        <v>HIPOTENSORES; TIPO: MONODROGA, DROGA GENERICA: AMLODIPINA, FORMA FARMACEUTICA: COMPRIMIDO, PRESENTACION: 10 mGr</v>
      </c>
      <c r="D21" s="121"/>
      <c r="E21" s="121"/>
      <c r="F21" s="121"/>
      <c r="G21" s="121"/>
      <c r="H21" s="54" t="s">
        <v>290</v>
      </c>
      <c r="I21" s="55" t="str">
        <f>'MEDICAMENTOS NT '!F19</f>
        <v>Comp.</v>
      </c>
      <c r="J21" s="56">
        <f>'MEDICAMENTOS NT '!H19</f>
        <v>3.11</v>
      </c>
      <c r="K21" s="57">
        <f>'MEDICAMENTOS NT '!G19</f>
        <v>3000</v>
      </c>
    </row>
    <row r="22" spans="1:11" ht="34.5" customHeight="1" thickBot="1" x14ac:dyDescent="0.25">
      <c r="A22" s="52">
        <v>11</v>
      </c>
      <c r="B22" s="53" t="str">
        <f>'MEDICAMENTOS NT '!B20</f>
        <v>2.5.2-1872.43</v>
      </c>
      <c r="C22" s="121" t="str">
        <f>'MEDICAMENTOS NT '!E20</f>
        <v>ANTIANEMICOS; TIPO: ASOCIACION, DROGA GENERICA: HIERRO + AC. FOLICO + VIT. B12, FORMA FARMACEUTICA: AMPOLLA, PRESENTACION: ENVASE X 2 mL</v>
      </c>
      <c r="D22" s="121"/>
      <c r="E22" s="121"/>
      <c r="F22" s="121"/>
      <c r="G22" s="121"/>
      <c r="H22" s="54" t="s">
        <v>290</v>
      </c>
      <c r="I22" s="55" t="str">
        <f>'MEDICAMENTOS NT '!F20</f>
        <v>Amp.</v>
      </c>
      <c r="J22" s="56">
        <f>'MEDICAMENTOS NT '!H20</f>
        <v>5.96</v>
      </c>
      <c r="K22" s="57">
        <f>'MEDICAMENTOS NT '!G20</f>
        <v>60</v>
      </c>
    </row>
    <row r="23" spans="1:11" ht="35.25" customHeight="1" thickBot="1" x14ac:dyDescent="0.25">
      <c r="A23" s="52">
        <v>12</v>
      </c>
      <c r="B23" s="53" t="str">
        <f>'MEDICAMENTOS NT '!B21</f>
        <v>2.5.2-1843.63</v>
      </c>
      <c r="C23" s="121" t="str">
        <f>'MEDICAMENTOS NT '!E21</f>
        <v>ANTIESPASMODICOS; TIPO: MONODROGA, DROGA GENERICA: ATROPINA 1%, FORMA FARMACEUTICA: AMPOLLA, PRESENTACION: ENVASE X 1 mL</v>
      </c>
      <c r="D23" s="121"/>
      <c r="E23" s="121"/>
      <c r="F23" s="121"/>
      <c r="G23" s="121"/>
      <c r="H23" s="54" t="s">
        <v>290</v>
      </c>
      <c r="I23" s="55" t="str">
        <f>'MEDICAMENTOS NT '!F21</f>
        <v>Amp.</v>
      </c>
      <c r="J23" s="56">
        <f>'MEDICAMENTOS NT '!H21</f>
        <v>40.81</v>
      </c>
      <c r="K23" s="57">
        <f>'MEDICAMENTOS NT '!G21</f>
        <v>1000</v>
      </c>
    </row>
    <row r="24" spans="1:11" ht="34.5" customHeight="1" thickBot="1" x14ac:dyDescent="0.25">
      <c r="A24" s="52">
        <v>13</v>
      </c>
      <c r="B24" s="53" t="str">
        <f>'MEDICAMENTOS NT '!B22</f>
        <v>2.5.2-1863.9</v>
      </c>
      <c r="C24" s="121" t="str">
        <f>'MEDICAMENTOS NT '!E22</f>
        <v>HIPOLIPEMIANTES; TIPO: MONODROGA, DROGA GENERICA: ATORVASTATIN, FORMA FARMACEUTICA: COMPRIMIDO, PRESENTACION: 10 mGr</v>
      </c>
      <c r="D24" s="121"/>
      <c r="E24" s="121"/>
      <c r="F24" s="121"/>
      <c r="G24" s="121"/>
      <c r="H24" s="54" t="s">
        <v>290</v>
      </c>
      <c r="I24" s="55" t="str">
        <f>'MEDICAMENTOS NT '!F22</f>
        <v>Comp.</v>
      </c>
      <c r="J24" s="56">
        <f>'MEDICAMENTOS NT '!H22</f>
        <v>4.18</v>
      </c>
      <c r="K24" s="57">
        <f>'MEDICAMENTOS NT '!G22</f>
        <v>3000</v>
      </c>
    </row>
    <row r="25" spans="1:11" ht="36" customHeight="1" thickBot="1" x14ac:dyDescent="0.25">
      <c r="A25" s="52">
        <v>14</v>
      </c>
      <c r="B25" s="53" t="str">
        <f>'MEDICAMENTOS NT '!B23</f>
        <v>2.5.2-1821.72</v>
      </c>
      <c r="C25" s="121" t="str">
        <f>'MEDICAMENTOS NT '!E23</f>
        <v>ANTIBIOTICOS P/PERSONAS; DROGA GENERICA: AMPICILINA + SULBACTAN, FORMA FARMACEUTICA: AMPOLLA, PRESENTACION: 1,5 GR, TIPO: ASOCIACION</v>
      </c>
      <c r="D25" s="121"/>
      <c r="E25" s="121"/>
      <c r="F25" s="121"/>
      <c r="G25" s="121"/>
      <c r="H25" s="54" t="s">
        <v>290</v>
      </c>
      <c r="I25" s="55" t="str">
        <f>'MEDICAMENTOS NT '!F23</f>
        <v>Fco/Amp</v>
      </c>
      <c r="J25" s="56">
        <f>'MEDICAMENTOS NT '!H23</f>
        <v>286.74</v>
      </c>
      <c r="K25" s="57">
        <f>'MEDICAMENTOS NT '!G23</f>
        <v>3000</v>
      </c>
    </row>
    <row r="26" spans="1:11" ht="40.5" customHeight="1" thickBot="1" x14ac:dyDescent="0.25">
      <c r="A26" s="52">
        <v>15</v>
      </c>
      <c r="B26" s="53" t="str">
        <f>'MEDICAMENTOS NT '!B24</f>
        <v>2.5.2-1821.8</v>
      </c>
      <c r="C26" s="121" t="str">
        <f>'MEDICAMENTOS NT '!E24</f>
        <v>ANTIBIOTICOS P/PERSONAS; TIPO: MONODROGA, DROGA GENERICA: AMPICILINA, FORMA FARMACEUTICA: AMPOLLA, PRESENTACION: 1 GR</v>
      </c>
      <c r="D26" s="121"/>
      <c r="E26" s="121"/>
      <c r="F26" s="121"/>
      <c r="G26" s="121"/>
      <c r="H26" s="54" t="s">
        <v>290</v>
      </c>
      <c r="I26" s="55" t="str">
        <f>'MEDICAMENTOS NT '!F24</f>
        <v>Fco/Amp</v>
      </c>
      <c r="J26" s="56">
        <f>'MEDICAMENTOS NT '!H24</f>
        <v>229.4</v>
      </c>
      <c r="K26" s="57">
        <f>'MEDICAMENTOS NT '!G24</f>
        <v>200</v>
      </c>
    </row>
    <row r="27" spans="1:11" ht="33" customHeight="1" thickBot="1" x14ac:dyDescent="0.25">
      <c r="A27" s="52">
        <v>16</v>
      </c>
      <c r="B27" s="53" t="str">
        <f>'MEDICAMENTOS NT '!B25</f>
        <v>2.5.2-1871.89</v>
      </c>
      <c r="C27" s="121" t="str">
        <f>'MEDICAMENTOS NT '!E25</f>
        <v>NEUROLEPTICOS; TIPO: MONODROGA, DROGA GENERICA: ARIPIPRAZOL, FORMA FARMACEUTICA: COMPRIMIDO, PRESENTACION: ENVASE X 10 mGr</v>
      </c>
      <c r="D27" s="121"/>
      <c r="E27" s="121"/>
      <c r="F27" s="121"/>
      <c r="G27" s="121"/>
      <c r="H27" s="54" t="s">
        <v>290</v>
      </c>
      <c r="I27" s="55" t="str">
        <f>'MEDICAMENTOS NT '!F25</f>
        <v>Comp.</v>
      </c>
      <c r="J27" s="56">
        <f>'MEDICAMENTOS NT '!H25</f>
        <v>22.37</v>
      </c>
      <c r="K27" s="57">
        <f>'MEDICAMENTOS NT '!G25</f>
        <v>200</v>
      </c>
    </row>
    <row r="28" spans="1:11" ht="38.25" customHeight="1" thickBot="1" x14ac:dyDescent="0.25">
      <c r="A28" s="52">
        <v>17</v>
      </c>
      <c r="B28" s="53" t="str">
        <f>'MEDICAMENTOS NT '!B26</f>
        <v>2.5.2-2199.3</v>
      </c>
      <c r="C28" s="121" t="str">
        <f>'MEDICAMENTOS NT '!E26</f>
        <v>BLOQUEANTES NEUROMUSCULARES; DROGA GENERICA: ATRACURIO, FORMA FARMACEUTICA: AMPOLLA, PRESENTACION: 5 mGr, TIPO: MONODROGA</v>
      </c>
      <c r="D28" s="121"/>
      <c r="E28" s="121"/>
      <c r="F28" s="121"/>
      <c r="G28" s="121"/>
      <c r="H28" s="54" t="s">
        <v>290</v>
      </c>
      <c r="I28" s="55" t="str">
        <f>'MEDICAMENTOS NT '!F26</f>
        <v>Amp.</v>
      </c>
      <c r="J28" s="56">
        <f>'MEDICAMENTOS NT '!H26</f>
        <v>46.8</v>
      </c>
      <c r="K28" s="57">
        <f>'MEDICAMENTOS NT '!G26</f>
        <v>1000</v>
      </c>
    </row>
    <row r="29" spans="1:11" ht="42" customHeight="1" thickBot="1" x14ac:dyDescent="0.25">
      <c r="A29" s="52">
        <v>18</v>
      </c>
      <c r="B29" s="53" t="str">
        <f>'MEDICAMENTOS NT '!B27</f>
        <v>2.5.2-1883.167</v>
      </c>
      <c r="C29" s="121" t="str">
        <f>'MEDICAMENTOS NT '!E27</f>
        <v>ANESTESICOS LOCALES; TIPO: MONODROGA, DROGA GENERICA: BUPIVACAINA 0,5% HIPERBARICA, FORMA FARMACEUTICA: AMPOLLA, PRESENTACION: 4 mL</v>
      </c>
      <c r="D29" s="121"/>
      <c r="E29" s="121"/>
      <c r="F29" s="121"/>
      <c r="G29" s="121"/>
      <c r="H29" s="54" t="s">
        <v>290</v>
      </c>
      <c r="I29" s="55" t="str">
        <f>'MEDICAMENTOS NT '!F27</f>
        <v>Amp.</v>
      </c>
      <c r="J29" s="56">
        <f>'MEDICAMENTOS NT '!H27</f>
        <v>117.6</v>
      </c>
      <c r="K29" s="57">
        <f>'MEDICAMENTOS NT '!G27</f>
        <v>500</v>
      </c>
    </row>
    <row r="30" spans="1:11" ht="36" customHeight="1" thickBot="1" x14ac:dyDescent="0.25">
      <c r="A30" s="52">
        <v>19</v>
      </c>
      <c r="B30" s="53" t="str">
        <f>'MEDICAMENTOS NT '!B28</f>
        <v>2.5.2-1866.12</v>
      </c>
      <c r="C30" s="121" t="str">
        <f>'MEDICAMENTOS NT '!E28</f>
        <v>ANTIPARKINSONIANOS; TIPO: MONODROGA, DROGA GENERICA: BIPERIDENO, FORMA FARMACEUTICA: COMPRIMIDO, PRESENTACION: 2 mGr</v>
      </c>
      <c r="D30" s="121"/>
      <c r="E30" s="121"/>
      <c r="F30" s="121"/>
      <c r="G30" s="121"/>
      <c r="H30" s="54" t="s">
        <v>290</v>
      </c>
      <c r="I30" s="55" t="str">
        <f>'MEDICAMENTOS NT '!F28</f>
        <v>Comp.</v>
      </c>
      <c r="J30" s="56">
        <f>'MEDICAMENTOS NT '!H28</f>
        <v>5.0599999999999996</v>
      </c>
      <c r="K30" s="57">
        <f>'MEDICAMENTOS NT '!G28</f>
        <v>300</v>
      </c>
    </row>
    <row r="31" spans="1:11" ht="38.25" customHeight="1" thickBot="1" x14ac:dyDescent="0.25">
      <c r="A31" s="52">
        <v>20</v>
      </c>
      <c r="B31" s="53" t="str">
        <f>'MEDICAMENTOS NT '!B29</f>
        <v>2.5.2-2688.9</v>
      </c>
      <c r="C31" s="121" t="str">
        <f>'MEDICAMENTOS NT '!E29</f>
        <v>ESTIMULANTES CENTRALES; TIPO: MONODROGA, FORMA FARMACEUTICA: AMPOLLA, DROGA GENERICA: CAFEINA, PRESENTACION: AL 25%</v>
      </c>
      <c r="D31" s="121"/>
      <c r="E31" s="121"/>
      <c r="F31" s="121"/>
      <c r="G31" s="121"/>
      <c r="H31" s="54" t="s">
        <v>290</v>
      </c>
      <c r="I31" s="55" t="str">
        <f>'MEDICAMENTOS NT '!F29</f>
        <v>Amp.</v>
      </c>
      <c r="J31" s="56">
        <f>'MEDICAMENTOS NT '!H29</f>
        <v>40.69</v>
      </c>
      <c r="K31" s="57">
        <f>'MEDICAMENTOS NT '!G29</f>
        <v>30</v>
      </c>
    </row>
    <row r="32" spans="1:11" ht="43.5" customHeight="1" thickBot="1" x14ac:dyDescent="0.25">
      <c r="A32" s="52">
        <v>21</v>
      </c>
      <c r="B32" s="53" t="str">
        <f>'MEDICAMENTOS NT '!B30</f>
        <v>2.5.2-1865.4</v>
      </c>
      <c r="C32" s="121" t="str">
        <f>'MEDICAMENTOS NT '!E30</f>
        <v>ANTIEPILEPTICOS; TIPO: MONODROGA, FORMA FARMACEUTICA: COMPRIMIDO, DROGA GENERICA: CARBAMAZEPINA, PRESENTACION: 200 mGr</v>
      </c>
      <c r="D32" s="121"/>
      <c r="E32" s="121"/>
      <c r="F32" s="121"/>
      <c r="G32" s="121"/>
      <c r="H32" s="54" t="s">
        <v>290</v>
      </c>
      <c r="I32" s="55" t="str">
        <f>'MEDICAMENTOS NT '!F30</f>
        <v>Comp.</v>
      </c>
      <c r="J32" s="56">
        <f>'MEDICAMENTOS NT '!H30</f>
        <v>14.03</v>
      </c>
      <c r="K32" s="57">
        <f>'MEDICAMENTOS NT '!G30</f>
        <v>500</v>
      </c>
    </row>
    <row r="33" spans="1:11" ht="37.5" customHeight="1" thickBot="1" x14ac:dyDescent="0.25">
      <c r="A33" s="52">
        <v>22</v>
      </c>
      <c r="B33" s="53" t="str">
        <f>'MEDICAMENTOS NT '!B31</f>
        <v>2.5.2- 4704.56</v>
      </c>
      <c r="C33" s="121" t="str">
        <f>'MEDICAMENTOS NT '!E31</f>
        <v>GOTAS OFTALMOLOGICAS; TIPO: ASOCIACION, DROGA GENERICA: CARBOXIPOLIMETILENO 1%, FORMA FARMACEUTICA: FRASCO X 10 mL</v>
      </c>
      <c r="D33" s="121"/>
      <c r="E33" s="121"/>
      <c r="F33" s="121"/>
      <c r="G33" s="121"/>
      <c r="H33" s="54" t="s">
        <v>290</v>
      </c>
      <c r="I33" s="55" t="str">
        <f>'MEDICAMENTOS NT '!F31</f>
        <v>Fco.</v>
      </c>
      <c r="J33" s="56">
        <f>'MEDICAMENTOS NT '!H31</f>
        <v>882.15</v>
      </c>
      <c r="K33" s="57">
        <f>'MEDICAMENTOS NT '!G31</f>
        <v>8</v>
      </c>
    </row>
    <row r="34" spans="1:11" ht="42" customHeight="1" thickBot="1" x14ac:dyDescent="0.25">
      <c r="A34" s="52">
        <v>23</v>
      </c>
      <c r="B34" s="53" t="str">
        <f>'MEDICAMENTOS NT '!B32</f>
        <v>2.5.2-1837.56</v>
      </c>
      <c r="C34" s="121" t="str">
        <f>'MEDICAMENTOS NT '!E32</f>
        <v>HIPOTENSORES; TIPO: MONODROGA, DROGA GENERICA: CARVEDILOL, FORMA FARMACEUTICA: COMPRIMIDO, PRESENTACION: 12,5 mGr</v>
      </c>
      <c r="D34" s="121"/>
      <c r="E34" s="121"/>
      <c r="F34" s="121"/>
      <c r="G34" s="121"/>
      <c r="H34" s="54" t="s">
        <v>290</v>
      </c>
      <c r="I34" s="55" t="str">
        <f>'MEDICAMENTOS NT '!F32</f>
        <v>Comp.</v>
      </c>
      <c r="J34" s="56">
        <f>'MEDICAMENTOS NT '!H32</f>
        <v>13.8</v>
      </c>
      <c r="K34" s="57">
        <f>'MEDICAMENTOS NT '!G32</f>
        <v>3500</v>
      </c>
    </row>
    <row r="35" spans="1:11" ht="42.75" customHeight="1" thickBot="1" x14ac:dyDescent="0.25">
      <c r="A35" s="52">
        <v>24</v>
      </c>
      <c r="B35" s="53" t="str">
        <f>'MEDICAMENTOS NT '!B33</f>
        <v>2.5.2-1821.321</v>
      </c>
      <c r="C35" s="121" t="str">
        <f>'MEDICAMENTOS NT '!E33</f>
        <v>ANTIBIOTICOS P/PERSONAS; TIPO: MONODROGA, DROGA GENERICA: CEFALEXINA 500 mGr, FORMA FARMACEUTICA: COMPRIMIDO, PRESENTACION: 1 UN</v>
      </c>
      <c r="D35" s="121"/>
      <c r="E35" s="121"/>
      <c r="F35" s="121"/>
      <c r="G35" s="121"/>
      <c r="H35" s="54" t="s">
        <v>290</v>
      </c>
      <c r="I35" s="55" t="str">
        <f>'MEDICAMENTOS NT '!F33</f>
        <v>Comp.</v>
      </c>
      <c r="J35" s="56">
        <f>'MEDICAMENTOS NT '!H33</f>
        <v>28.4</v>
      </c>
      <c r="K35" s="57">
        <f>'MEDICAMENTOS NT '!G33</f>
        <v>1000</v>
      </c>
    </row>
    <row r="36" spans="1:11" ht="36" customHeight="1" thickBot="1" x14ac:dyDescent="0.25">
      <c r="A36" s="52">
        <v>25</v>
      </c>
      <c r="B36" s="53" t="str">
        <f>'MEDICAMENTOS NT '!B34</f>
        <v>2.5.2-4817.30</v>
      </c>
      <c r="C36" s="121" t="str">
        <f>'MEDICAMENTOS NT '!E34</f>
        <v>ANTIHIPERTENSIVOS; TIPO: MONODROGA, DROGA GENERICA: CLONIDINA, FORMA FARMACEUTICA: AMPOLLA, PRESENTACION: 0,15 mGr</v>
      </c>
      <c r="D36" s="121"/>
      <c r="E36" s="121"/>
      <c r="F36" s="121"/>
      <c r="G36" s="121"/>
      <c r="H36" s="54" t="s">
        <v>290</v>
      </c>
      <c r="I36" s="55" t="str">
        <f>'MEDICAMENTOS NT '!F34</f>
        <v>Amp.</v>
      </c>
      <c r="J36" s="56">
        <f>'MEDICAMENTOS NT '!H34</f>
        <v>50.5</v>
      </c>
      <c r="K36" s="57">
        <f>'MEDICAMENTOS NT '!G34</f>
        <v>600</v>
      </c>
    </row>
    <row r="37" spans="1:11" ht="40.5" customHeight="1" thickBot="1" x14ac:dyDescent="0.25">
      <c r="A37" s="52">
        <v>26</v>
      </c>
      <c r="B37" s="53" t="str">
        <f>'MEDICAMENTOS NT '!B35</f>
        <v>2.5.2-1868.51</v>
      </c>
      <c r="C37" s="121" t="str">
        <f>'MEDICAMENTOS NT '!E35</f>
        <v>ANSIOLITICOS; TIPO: MONODROGA, DROGA GENERICA: CLORPROMAZINA, FORMA FARMACEUTICA: AMPOLLA, PRESENTACION: 50 mGr</v>
      </c>
      <c r="D37" s="121"/>
      <c r="E37" s="121"/>
      <c r="F37" s="121"/>
      <c r="G37" s="121"/>
      <c r="H37" s="54" t="s">
        <v>290</v>
      </c>
      <c r="I37" s="55" t="str">
        <f>'MEDICAMENTOS NT '!F35</f>
        <v>Amp.</v>
      </c>
      <c r="J37" s="56">
        <f>'MEDICAMENTOS NT '!H35</f>
        <v>65.28</v>
      </c>
      <c r="K37" s="57">
        <f>'MEDICAMENTOS NT '!G35</f>
        <v>500</v>
      </c>
    </row>
    <row r="38" spans="1:11" ht="34.5" customHeight="1" thickBot="1" x14ac:dyDescent="0.25">
      <c r="A38" s="52">
        <v>27</v>
      </c>
      <c r="B38" s="53" t="str">
        <f>'MEDICAMENTOS NT '!B36</f>
        <v>2.5.2-1868.44</v>
      </c>
      <c r="C38" s="121" t="str">
        <f>'MEDICAMENTOS NT '!E36</f>
        <v>ANSIOLITICOS; TIPO: MONODROGA, DROGA GENERICA: CLORPROMAZINA, FORMA FARMACEUTICA: COMPRIMIDO, PRESENTACION: 25 mGr</v>
      </c>
      <c r="D38" s="121"/>
      <c r="E38" s="121"/>
      <c r="F38" s="121"/>
      <c r="G38" s="121"/>
      <c r="H38" s="54" t="s">
        <v>290</v>
      </c>
      <c r="I38" s="55" t="str">
        <f>'MEDICAMENTOS NT '!F36</f>
        <v>Comp.</v>
      </c>
      <c r="J38" s="56">
        <f>'MEDICAMENTOS NT '!H36</f>
        <v>4.72</v>
      </c>
      <c r="K38" s="57">
        <f>'MEDICAMENTOS NT '!G36</f>
        <v>50</v>
      </c>
    </row>
    <row r="39" spans="1:11" ht="35.25" customHeight="1" thickBot="1" x14ac:dyDescent="0.25">
      <c r="A39" s="52">
        <v>28</v>
      </c>
      <c r="B39" s="53" t="str">
        <f>'MEDICAMENTOS NT '!B37</f>
        <v>2.5.2-1872.58</v>
      </c>
      <c r="C39" s="121" t="str">
        <f>'MEDICAMENTOS NT '!E37</f>
        <v>ANTIANEMICOS; TIPO: MONODROGA, DROGA GENERICA: COMPLEJO VITAMINICO B, FORMA FARMACEUTICA: AMPOLLA, PRESENTACION: 2 mL</v>
      </c>
      <c r="D39" s="121"/>
      <c r="E39" s="121"/>
      <c r="F39" s="121"/>
      <c r="G39" s="121"/>
      <c r="H39" s="54" t="s">
        <v>290</v>
      </c>
      <c r="I39" s="55" t="str">
        <f>'MEDICAMENTOS NT '!F37</f>
        <v>Amp.</v>
      </c>
      <c r="J39" s="56">
        <f>'MEDICAMENTOS NT '!H37</f>
        <v>74.17</v>
      </c>
      <c r="K39" s="57">
        <f>'MEDICAMENTOS NT '!G37</f>
        <v>5000</v>
      </c>
    </row>
    <row r="40" spans="1:11" ht="42" customHeight="1" thickBot="1" x14ac:dyDescent="0.25">
      <c r="A40" s="52">
        <v>29</v>
      </c>
      <c r="B40" s="53" t="str">
        <f>'MEDICAMENTOS NT '!B38</f>
        <v>2.5.2-1816.10</v>
      </c>
      <c r="C40" s="121" t="str">
        <f>'MEDICAMENTOS NT '!E38</f>
        <v>ANTIDIARREICOS; TIPO: ASOCIACION, DROGA GENERICA: GEL HIDROXIDO BISMUTO-PECTINA, FORMA FARMACEUTICA: SUSPENSION, PRESENTACION: 90 mL</v>
      </c>
      <c r="D40" s="121"/>
      <c r="E40" s="121"/>
      <c r="F40" s="121"/>
      <c r="G40" s="121"/>
      <c r="H40" s="54" t="s">
        <v>290</v>
      </c>
      <c r="I40" s="55" t="str">
        <f>'MEDICAMENTOS NT '!F38</f>
        <v>Fco.</v>
      </c>
      <c r="J40" s="56">
        <f>'MEDICAMENTOS NT '!H38</f>
        <v>250.27</v>
      </c>
      <c r="K40" s="57">
        <f>'MEDICAMENTOS NT '!G38</f>
        <v>100</v>
      </c>
    </row>
    <row r="41" spans="1:11" ht="33" customHeight="1" thickBot="1" x14ac:dyDescent="0.25">
      <c r="A41" s="52">
        <v>30</v>
      </c>
      <c r="B41" s="53" t="str">
        <f>'MEDICAMENTOS NT '!B39</f>
        <v>2.5.2-1821.43</v>
      </c>
      <c r="C41" s="121" t="str">
        <f>'MEDICAMENTOS NT '!E39</f>
        <v>ANTIBIOTICOS P/PERSONAS; TIPO: MONODROGA, DROGA GENERICA: CLINDAMICINA, FORMA FARMACEUTICA: AMPOLLA, PRESENTACION: 600 mGr</v>
      </c>
      <c r="D41" s="121"/>
      <c r="E41" s="121"/>
      <c r="F41" s="121"/>
      <c r="G41" s="121"/>
      <c r="H41" s="54" t="s">
        <v>290</v>
      </c>
      <c r="I41" s="55" t="str">
        <f>'MEDICAMENTOS NT '!F39</f>
        <v>Amp.</v>
      </c>
      <c r="J41" s="56">
        <f>'MEDICAMENTOS NT '!H39</f>
        <v>116.78</v>
      </c>
      <c r="K41" s="57">
        <f>'MEDICAMENTOS NT '!G39</f>
        <v>1000</v>
      </c>
    </row>
    <row r="42" spans="1:11" ht="36" customHeight="1" thickBot="1" x14ac:dyDescent="0.25">
      <c r="A42" s="52">
        <v>31</v>
      </c>
      <c r="B42" s="53" t="str">
        <f>'MEDICAMENTOS NT '!B40</f>
        <v>2.5.2-1821.17</v>
      </c>
      <c r="C42" s="121" t="str">
        <f>'MEDICAMENTOS NT '!E40</f>
        <v>ANTIBIOTICOS P/PERSONAS; DROGA GENERICA: CEFALOTINA SODICA, FORMA FARMACEUTICA: AMPOLLA, PRESENTACION: 1 GR, TIPO: MONODROGA</v>
      </c>
      <c r="D42" s="121"/>
      <c r="E42" s="121"/>
      <c r="F42" s="121"/>
      <c r="G42" s="121"/>
      <c r="H42" s="54" t="s">
        <v>290</v>
      </c>
      <c r="I42" s="55" t="str">
        <f>'MEDICAMENTOS NT '!F40</f>
        <v>Fco.amp.</v>
      </c>
      <c r="J42" s="56">
        <f>'MEDICAMENTOS NT '!H40</f>
        <v>244.19</v>
      </c>
      <c r="K42" s="57">
        <f>'MEDICAMENTOS NT '!G40</f>
        <v>3000</v>
      </c>
    </row>
    <row r="43" spans="1:11" ht="32.25" customHeight="1" thickBot="1" x14ac:dyDescent="0.25">
      <c r="A43" s="52">
        <v>32</v>
      </c>
      <c r="B43" s="53" t="str">
        <f>'MEDICAMENTOS NT '!B41</f>
        <v>2.5.2-1821.21</v>
      </c>
      <c r="C43" s="121" t="str">
        <f>'MEDICAMENTOS NT '!E41</f>
        <v>ANTIBIOTICOS P/PERSONAS; TIPO: MONODROGA, FORMA FARMACEUTICA: AMPOLLA, PRESENTACION: 1 GR, DROGA GENERICA: CEFTAZIDIMA</v>
      </c>
      <c r="D43" s="121"/>
      <c r="E43" s="121"/>
      <c r="F43" s="121"/>
      <c r="G43" s="121"/>
      <c r="H43" s="54" t="s">
        <v>290</v>
      </c>
      <c r="I43" s="55" t="str">
        <f>'MEDICAMENTOS NT '!F41</f>
        <v>Fco.amp.</v>
      </c>
      <c r="J43" s="56">
        <f>'MEDICAMENTOS NT '!H41</f>
        <v>254.17</v>
      </c>
      <c r="K43" s="57">
        <f>'MEDICAMENTOS NT '!G41</f>
        <v>2000</v>
      </c>
    </row>
    <row r="44" spans="1:11" ht="35.25" customHeight="1" thickBot="1" x14ac:dyDescent="0.25">
      <c r="A44" s="52">
        <v>33</v>
      </c>
      <c r="B44" s="53" t="str">
        <f>'MEDICAMENTOS NT '!B42</f>
        <v>2.5.2-1821.521</v>
      </c>
      <c r="C44" s="121" t="str">
        <f>'MEDICAMENTOS NT '!E42</f>
        <v>ANTIBIOTICOS; TIPO: ASOCIACION - DROGA GENERICA CIPROFLOXACINA 0,3% + DEXAMETASONA 0,1%; FORMA FARMACEUTICA: UNGÜENTO OFTALMOLOGICO</v>
      </c>
      <c r="D44" s="121"/>
      <c r="E44" s="121"/>
      <c r="F44" s="121"/>
      <c r="G44" s="121"/>
      <c r="H44" s="54" t="s">
        <v>290</v>
      </c>
      <c r="I44" s="55" t="str">
        <f>'MEDICAMENTOS NT '!F42</f>
        <v>Fco.</v>
      </c>
      <c r="J44" s="56">
        <f>'MEDICAMENTOS NT '!H42</f>
        <v>378</v>
      </c>
      <c r="K44" s="57">
        <f>'MEDICAMENTOS NT '!G42</f>
        <v>20</v>
      </c>
    </row>
    <row r="45" spans="1:11" ht="35.25" customHeight="1" thickBot="1" x14ac:dyDescent="0.25">
      <c r="A45" s="52">
        <v>34</v>
      </c>
      <c r="B45" s="53" t="str">
        <f>'MEDICAMENTOS NT '!B43</f>
        <v>2.5.2-1868.62</v>
      </c>
      <c r="C45" s="121" t="str">
        <f>'MEDICAMENTOS NT '!E43</f>
        <v>ANSIOLITICOS; TIPO: MONODROGA, DROGA GENERICA: CLONAZEPAN 0,5 mGr, FORMA FARMACEUTICA: COMPRIMIDO, PRESENTACION: UNIDAD</v>
      </c>
      <c r="D45" s="121"/>
      <c r="E45" s="121"/>
      <c r="F45" s="121"/>
      <c r="G45" s="121"/>
      <c r="H45" s="54" t="s">
        <v>290</v>
      </c>
      <c r="I45" s="55" t="str">
        <f>'MEDICAMENTOS NT '!F43</f>
        <v>Comp.</v>
      </c>
      <c r="J45" s="56">
        <f>'MEDICAMENTOS NT '!H43</f>
        <v>2.65</v>
      </c>
      <c r="K45" s="57">
        <f>'MEDICAMENTOS NT '!G43</f>
        <v>2000</v>
      </c>
    </row>
    <row r="46" spans="1:11" ht="36" customHeight="1" thickBot="1" x14ac:dyDescent="0.25">
      <c r="A46" s="52">
        <v>35</v>
      </c>
      <c r="B46" s="53" t="str">
        <f>'MEDICAMENTOS NT '!B44</f>
        <v>2.5.2-2200.2</v>
      </c>
      <c r="C46" s="121" t="str">
        <f>'MEDICAMENTOS NT '!E44</f>
        <v>CORTICOIDES; DROGA GENERICA: DEXAMETASONA, FORMA FARMACEUTICA: AMPOLLA, PRESENTACION: 8 mGr, TIPO: MONODROGA</v>
      </c>
      <c r="D46" s="121"/>
      <c r="E46" s="121"/>
      <c r="F46" s="121"/>
      <c r="G46" s="121"/>
      <c r="H46" s="54" t="s">
        <v>290</v>
      </c>
      <c r="I46" s="55" t="str">
        <f>'MEDICAMENTOS NT '!F44</f>
        <v>Amp.</v>
      </c>
      <c r="J46" s="56">
        <f>'MEDICAMENTOS NT '!H44</f>
        <v>38.200000000000003</v>
      </c>
      <c r="K46" s="57">
        <f>'MEDICAMENTOS NT '!G44</f>
        <v>3000</v>
      </c>
    </row>
    <row r="47" spans="1:11" ht="33" customHeight="1" thickBot="1" x14ac:dyDescent="0.25">
      <c r="A47" s="52">
        <v>36</v>
      </c>
      <c r="B47" s="53" t="str">
        <f>'MEDICAMENTOS NT '!B45</f>
        <v>2.5.2-2476.1</v>
      </c>
      <c r="C47" s="121" t="str">
        <f>'MEDICAMENTOS NT '!E45</f>
        <v>ANTIALERGICOS-ANTIHISTAMINICOS; TIPO: MONODROGA, DROGA GENERICA: DIFENHIDRAMINA, FORMA FARMACEUTICA: AMPOLLA, PRESENTACION: 10 mL</v>
      </c>
      <c r="D47" s="121"/>
      <c r="E47" s="121"/>
      <c r="F47" s="121"/>
      <c r="G47" s="121"/>
      <c r="H47" s="54" t="s">
        <v>290</v>
      </c>
      <c r="I47" s="55" t="str">
        <f>'MEDICAMENTOS NT '!F45</f>
        <v>Amp.</v>
      </c>
      <c r="J47" s="56">
        <f>'MEDICAMENTOS NT '!H45</f>
        <v>50.4</v>
      </c>
      <c r="K47" s="57">
        <f>'MEDICAMENTOS NT '!G45</f>
        <v>1000</v>
      </c>
    </row>
    <row r="48" spans="1:11" ht="36" customHeight="1" thickBot="1" x14ac:dyDescent="0.25">
      <c r="A48" s="52">
        <v>37</v>
      </c>
      <c r="B48" s="53" t="str">
        <f>'MEDICAMENTOS NT '!B46</f>
        <v>2.5.2-1868.68</v>
      </c>
      <c r="C48" s="121" t="str">
        <f>'MEDICAMENTOS NT '!E46</f>
        <v>ANSIOLITICOS; TIPO: MONODROGA, DROGA GENERICA: DIAZEPAN 10 mGr, FORMA FARMACEUTICA: AMPOLLA, PRESENTACION: ENVASE X 2 mL</v>
      </c>
      <c r="D48" s="121"/>
      <c r="E48" s="121"/>
      <c r="F48" s="121"/>
      <c r="G48" s="121"/>
      <c r="H48" s="54" t="s">
        <v>290</v>
      </c>
      <c r="I48" s="55" t="str">
        <f>'MEDICAMENTOS NT '!F46</f>
        <v>Amp.</v>
      </c>
      <c r="J48" s="56">
        <f>'MEDICAMENTOS NT '!H46</f>
        <v>58.8</v>
      </c>
      <c r="K48" s="57">
        <f>'MEDICAMENTOS NT '!G46</f>
        <v>1000</v>
      </c>
    </row>
    <row r="49" spans="1:11" ht="40.5" customHeight="1" thickBot="1" x14ac:dyDescent="0.25">
      <c r="A49" s="52">
        <v>38</v>
      </c>
      <c r="B49" s="53" t="str">
        <f>'MEDICAMENTOS NT '!B47</f>
        <v>2.5.2-1868.63</v>
      </c>
      <c r="C49" s="121" t="str">
        <f>'MEDICAMENTOS NT '!E47</f>
        <v>ANSIOLITICOS; TIPO: MONODROGA, DROGA GENERICA: DIAZEPAN 5 mGr, FORMA FARMACEUTICA: COMPRIMIDO, PRESENTACION: UNIDAD</v>
      </c>
      <c r="D49" s="121"/>
      <c r="E49" s="121"/>
      <c r="F49" s="121"/>
      <c r="G49" s="121"/>
      <c r="H49" s="54" t="s">
        <v>290</v>
      </c>
      <c r="I49" s="55" t="str">
        <f>'MEDICAMENTOS NT '!F47</f>
        <v>Comp.</v>
      </c>
      <c r="J49" s="56">
        <f>'MEDICAMENTOS NT '!H47</f>
        <v>8.6</v>
      </c>
      <c r="K49" s="57">
        <f>'MEDICAMENTOS NT '!G47</f>
        <v>300</v>
      </c>
    </row>
    <row r="50" spans="1:11" ht="40.5" customHeight="1" thickBot="1" x14ac:dyDescent="0.25">
      <c r="A50" s="52">
        <v>39</v>
      </c>
      <c r="B50" s="53" t="str">
        <f>'MEDICAMENTOS NT '!B48</f>
        <v>2.5.2-4704.5</v>
      </c>
      <c r="C50" s="121" t="str">
        <f>'MEDICAMENTOS NT '!E48</f>
        <v>GOTAS OFTALMOLOGICAS; TIPO: ASOCIACION, DROGA GENERICA: DORZOLAMIDA 20MG+TIMOL 5MG, FORMA FARMACEUTICA: FRASCO X 5 mL</v>
      </c>
      <c r="D50" s="121"/>
      <c r="E50" s="121"/>
      <c r="F50" s="121"/>
      <c r="G50" s="121"/>
      <c r="H50" s="54" t="s">
        <v>290</v>
      </c>
      <c r="I50" s="55" t="str">
        <f>'MEDICAMENTOS NT '!F48</f>
        <v>Fco.</v>
      </c>
      <c r="J50" s="56">
        <f>'MEDICAMENTOS NT '!H48</f>
        <v>1611.37</v>
      </c>
      <c r="K50" s="57">
        <f>'MEDICAMENTOS NT '!G48</f>
        <v>60</v>
      </c>
    </row>
    <row r="51" spans="1:11" ht="32.25" customHeight="1" thickBot="1" x14ac:dyDescent="0.25">
      <c r="A51" s="52">
        <v>40</v>
      </c>
      <c r="B51" s="53" t="str">
        <f>'MEDICAMENTOS NT '!B49</f>
        <v>2.5.2-1724.6</v>
      </c>
      <c r="C51" s="121" t="str">
        <f>'MEDICAMENTOS NT '!E49</f>
        <v>ANALGESICOS ; TIPO: MONODROGA, PRESENTACION: 1 GR, DROGA GENERICA: DIPIRONA, FORMA FARMACEUTICA: AMPOLLA</v>
      </c>
      <c r="D51" s="121"/>
      <c r="E51" s="121"/>
      <c r="F51" s="121"/>
      <c r="G51" s="121"/>
      <c r="H51" s="54" t="s">
        <v>290</v>
      </c>
      <c r="I51" s="55" t="str">
        <f>'MEDICAMENTOS NT '!F49</f>
        <v>Amp.</v>
      </c>
      <c r="J51" s="56">
        <f>'MEDICAMENTOS NT '!H49</f>
        <v>39.29</v>
      </c>
      <c r="K51" s="57">
        <f>'MEDICAMENTOS NT '!G49</f>
        <v>3000</v>
      </c>
    </row>
    <row r="52" spans="1:11" ht="37.5" customHeight="1" thickBot="1" x14ac:dyDescent="0.25">
      <c r="A52" s="52">
        <v>41</v>
      </c>
      <c r="B52" s="53" t="str">
        <f>'MEDICAMENTOS NT '!B50</f>
        <v>2.5.2-1724.39</v>
      </c>
      <c r="C52" s="121" t="str">
        <f>'MEDICAMENTOS NT '!E50</f>
        <v>ANALGESICOS ; TIPO: ASOCIACION, DROGA GENERICA: DIPIRONA, PRESENTACION: 2,5 GR, FORMA FARMACEUTICA: AMPOLLA</v>
      </c>
      <c r="D52" s="121"/>
      <c r="E52" s="121"/>
      <c r="F52" s="121"/>
      <c r="G52" s="121"/>
      <c r="H52" s="54" t="s">
        <v>290</v>
      </c>
      <c r="I52" s="55" t="str">
        <f>'MEDICAMENTOS NT '!F50</f>
        <v>Amp.</v>
      </c>
      <c r="J52" s="56">
        <f>'MEDICAMENTOS NT '!H50</f>
        <v>57.84</v>
      </c>
      <c r="K52" s="57">
        <f>'MEDICAMENTOS NT '!G50</f>
        <v>3000</v>
      </c>
    </row>
    <row r="53" spans="1:11" ht="43.5" customHeight="1" thickBot="1" x14ac:dyDescent="0.25">
      <c r="A53" s="52">
        <v>42</v>
      </c>
      <c r="B53" s="53" t="str">
        <f>'MEDICAMENTOS NT '!B51</f>
        <v>2.5.2-1837.7</v>
      </c>
      <c r="C53" s="121" t="str">
        <f>'MEDICAMENTOS NT '!E51</f>
        <v>HIPOTENSORES; DROGA GENERICA: ENALAPRIL, FORMA FARMACEUTICA: COMPRIMIDO, TIPO: MONODROGA, PRESENTACION: 10 mGr</v>
      </c>
      <c r="D53" s="121"/>
      <c r="E53" s="121"/>
      <c r="F53" s="121"/>
      <c r="G53" s="121"/>
      <c r="H53" s="54" t="s">
        <v>290</v>
      </c>
      <c r="I53" s="55" t="str">
        <f>'MEDICAMENTOS NT '!F51</f>
        <v>Comp.</v>
      </c>
      <c r="J53" s="56">
        <f>'MEDICAMENTOS NT '!H51</f>
        <v>3.06</v>
      </c>
      <c r="K53" s="57">
        <f>'MEDICAMENTOS NT '!G51</f>
        <v>6000</v>
      </c>
    </row>
    <row r="54" spans="1:11" ht="42" customHeight="1" thickBot="1" x14ac:dyDescent="0.25">
      <c r="A54" s="52">
        <v>43</v>
      </c>
      <c r="B54" s="53" t="str">
        <f>'MEDICAMENTOS NT '!B52</f>
        <v>2.5.2-2693.4</v>
      </c>
      <c r="C54" s="121" t="str">
        <f>'MEDICAMENTOS NT '!E52</f>
        <v>CARDIOTONICOS; TIPO: MONODROGA, DROGA GENERICA: DIGOXINA, FORMA FARMACEUTICA: COMPRIMIDO, PRESENTACION: 0,25 mGr</v>
      </c>
      <c r="D54" s="121"/>
      <c r="E54" s="121"/>
      <c r="F54" s="121"/>
      <c r="G54" s="121"/>
      <c r="H54" s="54" t="s">
        <v>290</v>
      </c>
      <c r="I54" s="55" t="str">
        <f>'MEDICAMENTOS NT '!F52</f>
        <v>Comp.</v>
      </c>
      <c r="J54" s="56">
        <f>'MEDICAMENTOS NT '!H52</f>
        <v>31.24</v>
      </c>
      <c r="K54" s="57">
        <f>'MEDICAMENTOS NT '!G52</f>
        <v>50</v>
      </c>
    </row>
    <row r="55" spans="1:11" ht="39.75" customHeight="1" thickBot="1" x14ac:dyDescent="0.25">
      <c r="A55" s="52">
        <v>44</v>
      </c>
      <c r="B55" s="53" t="str">
        <f>'MEDICAMENTOS NT '!B53</f>
        <v>2.5.2-1724.80</v>
      </c>
      <c r="C55" s="121" t="str">
        <f>'MEDICAMENTOS NT '!E53</f>
        <v>ANALGESICOS ; TIPO: MONODROGA, DROGA GENERICA: ETILEFRINA CLORHIDRATO, FORMA FARMACEUTICA: AMPOLLA, PRESENTACION: 1 mL</v>
      </c>
      <c r="D55" s="121"/>
      <c r="E55" s="121"/>
      <c r="F55" s="121"/>
      <c r="G55" s="121"/>
      <c r="H55" s="54" t="s">
        <v>290</v>
      </c>
      <c r="I55" s="55" t="str">
        <f>'MEDICAMENTOS NT '!F53</f>
        <v>Amp.</v>
      </c>
      <c r="J55" s="56">
        <f>'MEDICAMENTOS NT '!H53</f>
        <v>72.83</v>
      </c>
      <c r="K55" s="57">
        <f>'MEDICAMENTOS NT '!G53</f>
        <v>500</v>
      </c>
    </row>
    <row r="56" spans="1:11" ht="32.25" customHeight="1" thickBot="1" x14ac:dyDescent="0.25">
      <c r="A56" s="52">
        <v>45</v>
      </c>
      <c r="B56" s="53" t="str">
        <f>'MEDICAMENTOS NT '!B54</f>
        <v>2.5.2-1873.30</v>
      </c>
      <c r="C56" s="121" t="str">
        <f>'MEDICAMENTOS NT '!E54</f>
        <v>ANTICOAGULANTES P/PERSONAS; TIPO: MONODROGA, DROGA GENERICA: ENOXAPARINA X 40 mGr, FORMA FARMACEUTICA: JERINGA PRELLENADA, PRESENTACION: ENVASE X 10 UN</v>
      </c>
      <c r="D56" s="121"/>
      <c r="E56" s="121"/>
      <c r="F56" s="121"/>
      <c r="G56" s="121"/>
      <c r="H56" s="54" t="s">
        <v>290</v>
      </c>
      <c r="I56" s="55" t="str">
        <f>'MEDICAMENTOS NT '!F54</f>
        <v>Jer.prell.</v>
      </c>
      <c r="J56" s="56">
        <f>'MEDICAMENTOS NT '!H54</f>
        <v>1254.1199999999999</v>
      </c>
      <c r="K56" s="57">
        <f>'MEDICAMENTOS NT '!G54</f>
        <v>4000</v>
      </c>
    </row>
    <row r="57" spans="1:11" ht="33" customHeight="1" thickBot="1" x14ac:dyDescent="0.25">
      <c r="A57" s="52">
        <v>46</v>
      </c>
      <c r="B57" s="53" t="str">
        <f>'MEDICAMENTOS NT '!B55</f>
        <v>2.5.2-1834.3</v>
      </c>
      <c r="C57" s="121" t="str">
        <f>'MEDICAMENTOS NT '!E55</f>
        <v>ANTIARRITMICOS; DROGA GENERICA: FENITOINA, FORMA FARMACEUTICA: COMPRIMIDO, PRESENTACION: 100 mGr, TIPO: MONODROGA</v>
      </c>
      <c r="D57" s="121"/>
      <c r="E57" s="121"/>
      <c r="F57" s="121"/>
      <c r="G57" s="121"/>
      <c r="H57" s="54" t="s">
        <v>290</v>
      </c>
      <c r="I57" s="55" t="str">
        <f>'MEDICAMENTOS NT '!F55</f>
        <v>Cáps.</v>
      </c>
      <c r="J57" s="56">
        <f>'MEDICAMENTOS NT '!H55</f>
        <v>7.5</v>
      </c>
      <c r="K57" s="57">
        <f>'MEDICAMENTOS NT '!G55</f>
        <v>1000</v>
      </c>
    </row>
    <row r="58" spans="1:11" ht="35.25" customHeight="1" thickBot="1" x14ac:dyDescent="0.25">
      <c r="A58" s="52">
        <v>47</v>
      </c>
      <c r="B58" s="53" t="str">
        <f>'MEDICAMENTOS NT '!B56</f>
        <v>2.5.2-1865.37</v>
      </c>
      <c r="C58" s="121" t="str">
        <f>'MEDICAMENTOS NT '!E56</f>
        <v>ANTIEPILEPTICOS; TIPO: MONODROGA, DROGA GENERICA: FENOBARBITAL, FORMA FARMACEUTICA: AMPOLLA, PRESENTACION: 100 mGr</v>
      </c>
      <c r="D58" s="121"/>
      <c r="E58" s="121"/>
      <c r="F58" s="121"/>
      <c r="G58" s="121"/>
      <c r="H58" s="54" t="s">
        <v>290</v>
      </c>
      <c r="I58" s="55" t="str">
        <f>'MEDICAMENTOS NT '!F56</f>
        <v>Amp.</v>
      </c>
      <c r="J58" s="56">
        <f>'MEDICAMENTOS NT '!H56</f>
        <v>353.42</v>
      </c>
      <c r="K58" s="57">
        <f>'MEDICAMENTOS NT '!G56</f>
        <v>500</v>
      </c>
    </row>
    <row r="59" spans="1:11" ht="37.5" customHeight="1" thickBot="1" x14ac:dyDescent="0.25">
      <c r="A59" s="52">
        <v>48</v>
      </c>
      <c r="B59" s="53" t="str">
        <f>'MEDICAMENTOS NT '!B57</f>
        <v>2.5.2-1883.159</v>
      </c>
      <c r="C59" s="121" t="str">
        <f>'MEDICAMENTOS NT '!E57</f>
        <v>ANESTESICOS LOCALES; TIPO: MONODROGA, DROGA GENERICA: FENTANILO 250 mGr, FORMA FARMACEUTICA: AMPOLLA, PRESENTACION: UNIDAD</v>
      </c>
      <c r="D59" s="121"/>
      <c r="E59" s="121"/>
      <c r="F59" s="121"/>
      <c r="G59" s="121"/>
      <c r="H59" s="54" t="s">
        <v>290</v>
      </c>
      <c r="I59" s="55" t="str">
        <f>'MEDICAMENTOS NT '!F57</f>
        <v>Amp.</v>
      </c>
      <c r="J59" s="56">
        <f>'MEDICAMENTOS NT '!H57</f>
        <v>185.72</v>
      </c>
      <c r="K59" s="57">
        <f>'MEDICAMENTOS NT '!G57</f>
        <v>3000</v>
      </c>
    </row>
    <row r="60" spans="1:11" ht="47.25" customHeight="1" thickBot="1" x14ac:dyDescent="0.25">
      <c r="A60" s="52">
        <v>49</v>
      </c>
      <c r="B60" s="53" t="str">
        <f>'MEDICAMENTOS NT '!B58</f>
        <v>2.5.2-4817.34</v>
      </c>
      <c r="C60" s="121" t="str">
        <f>'MEDICAMENTOS NT '!E58</f>
        <v>ANTIHIPERTENSIVOS; TIPO: MONODROGA, DROGA GENERICA: FUROSEMIDA 40 MG, FORMA FARMACEUTICA: AMPOLLA, PRESENTACION: ENVASE HOSPITALARIO</v>
      </c>
      <c r="D60" s="121"/>
      <c r="E60" s="121"/>
      <c r="F60" s="121"/>
      <c r="G60" s="121"/>
      <c r="H60" s="54" t="s">
        <v>290</v>
      </c>
      <c r="I60" s="55" t="str">
        <f>'MEDICAMENTOS NT '!F58</f>
        <v>Amp.</v>
      </c>
      <c r="J60" s="56">
        <f>'MEDICAMENTOS NT '!H58</f>
        <v>4.6900000000000004</v>
      </c>
      <c r="K60" s="57">
        <f>'MEDICAMENTOS NT '!G58</f>
        <v>3000</v>
      </c>
    </row>
    <row r="61" spans="1:11" ht="39.75" customHeight="1" thickBot="1" x14ac:dyDescent="0.25">
      <c r="A61" s="52">
        <v>50</v>
      </c>
      <c r="B61" s="53" t="str">
        <f>'MEDICAMENTOS NT '!B59</f>
        <v>2.5.2-2481.37</v>
      </c>
      <c r="C61" s="121" t="str">
        <f>'MEDICAMENTOS NT '!E59</f>
        <v>LAXANTES; TIPO: ASOCIACION - DROGA GENERICA FOSF.DISODICO+FOSF.MONOSODICO; FORMA FARMACEUTICA: JARABE; PRESENTACION FRASCO.</v>
      </c>
      <c r="D61" s="121"/>
      <c r="E61" s="121"/>
      <c r="F61" s="121"/>
      <c r="G61" s="121"/>
      <c r="H61" s="54" t="s">
        <v>290</v>
      </c>
      <c r="I61" s="55" t="str">
        <f>'MEDICAMENTOS NT '!F59</f>
        <v>Fco.</v>
      </c>
      <c r="J61" s="56">
        <f>'MEDICAMENTOS NT '!H59</f>
        <v>183.59</v>
      </c>
      <c r="K61" s="57">
        <f>'MEDICAMENTOS NT '!G59</f>
        <v>50</v>
      </c>
    </row>
    <row r="62" spans="1:11" ht="42" customHeight="1" thickBot="1" x14ac:dyDescent="0.25">
      <c r="A62" s="52">
        <v>51</v>
      </c>
      <c r="B62" s="53" t="str">
        <f>'MEDICAMENTOS NT '!B60</f>
        <v>2.5.2-1823.11</v>
      </c>
      <c r="C62" s="121" t="str">
        <f>'MEDICAMENTOS NT '!E60</f>
        <v>ANTIMICOTICOS; TIPO: MONODROGA, DROGA GENERICA: FLUCONAZOL, FORMA FARMACEUTICA: AMPOLLA, PRESENTACION: 200 mGr</v>
      </c>
      <c r="D62" s="121"/>
      <c r="E62" s="121"/>
      <c r="F62" s="121"/>
      <c r="G62" s="121"/>
      <c r="H62" s="54" t="s">
        <v>290</v>
      </c>
      <c r="I62" s="55" t="str">
        <f>'MEDICAMENTOS NT '!F60</f>
        <v>Sachet</v>
      </c>
      <c r="J62" s="56">
        <f>'MEDICAMENTOS NT '!H60</f>
        <v>453.9</v>
      </c>
      <c r="K62" s="57">
        <f>'MEDICAMENTOS NT '!G60</f>
        <v>100</v>
      </c>
    </row>
    <row r="63" spans="1:11" ht="36" customHeight="1" thickBot="1" x14ac:dyDescent="0.25">
      <c r="A63" s="52">
        <v>52</v>
      </c>
      <c r="B63" s="53" t="str">
        <f>'MEDICAMENTOS NT '!B61</f>
        <v>2.5.2-1821.238</v>
      </c>
      <c r="C63" s="121" t="str">
        <f>'MEDICAMENTOS NT '!E61</f>
        <v>ANTIBIOTICOS P/PERSONAS; TIPO: MONODROGA, DROGA GENERICA: FLUCONAZOL 100 MG, FORMA FARMACEUTICA: COMPRIMIDO, PRESENTACION: 100 mGr</v>
      </c>
      <c r="D63" s="121"/>
      <c r="E63" s="121"/>
      <c r="F63" s="121"/>
      <c r="G63" s="121"/>
      <c r="H63" s="54" t="s">
        <v>290</v>
      </c>
      <c r="I63" s="55" t="str">
        <f>'MEDICAMENTOS NT '!F61</f>
        <v>Comp.</v>
      </c>
      <c r="J63" s="56">
        <f>'MEDICAMENTOS NT '!H61</f>
        <v>19.059999999999999</v>
      </c>
      <c r="K63" s="57">
        <f>'MEDICAMENTOS NT '!G61</f>
        <v>300</v>
      </c>
    </row>
    <row r="64" spans="1:11" ht="30.75" customHeight="1" thickBot="1" x14ac:dyDescent="0.25">
      <c r="A64" s="52">
        <v>53</v>
      </c>
      <c r="B64" s="53" t="str">
        <f>'MEDICAMENTOS NT '!B62</f>
        <v>2.5.2-1871.17</v>
      </c>
      <c r="C64" s="121" t="str">
        <f>'MEDICAMENTOS NT '!E62</f>
        <v>NEUROLEPTICOS; DROGA GENERICA: HALOPERIDOL DECANOATO, FORMA FARMACEUTICA: AMPOLLA, PRESENTACION: 1 mL, TIPO: MONODROGA</v>
      </c>
      <c r="D64" s="121"/>
      <c r="E64" s="121"/>
      <c r="F64" s="121"/>
      <c r="G64" s="121"/>
      <c r="H64" s="54" t="s">
        <v>290</v>
      </c>
      <c r="I64" s="55" t="str">
        <f>'MEDICAMENTOS NT '!F62</f>
        <v>Amp.</v>
      </c>
      <c r="J64" s="56">
        <f>'MEDICAMENTOS NT '!H62</f>
        <v>982.81</v>
      </c>
      <c r="K64" s="57">
        <f>'MEDICAMENTOS NT '!G62</f>
        <v>6</v>
      </c>
    </row>
    <row r="65" spans="1:11" ht="38.25" customHeight="1" thickBot="1" x14ac:dyDescent="0.25">
      <c r="A65" s="52">
        <v>54</v>
      </c>
      <c r="B65" s="53" t="str">
        <f>'MEDICAMENTOS NT '!B63</f>
        <v>2.5.2-1859.29</v>
      </c>
      <c r="C65" s="121" t="str">
        <f>'MEDICAMENTOS NT '!E63</f>
        <v>INMUNOMODULADORES; TIPO: MONODROGA, DROGA GENERICA: INMUNOGLOBULINA G HUMANA, FORMA FARMACEUTICA: VIAL, PRESENTACION: 10 GR</v>
      </c>
      <c r="D65" s="121"/>
      <c r="E65" s="121"/>
      <c r="F65" s="121"/>
      <c r="G65" s="121"/>
      <c r="H65" s="54" t="s">
        <v>290</v>
      </c>
      <c r="I65" s="55" t="str">
        <f>'MEDICAMENTOS NT '!F63</f>
        <v>Fco.</v>
      </c>
      <c r="J65" s="56">
        <f>'MEDICAMENTOS NT '!H63</f>
        <v>82800</v>
      </c>
      <c r="K65" s="57">
        <f>'MEDICAMENTOS NT '!G63</f>
        <v>30</v>
      </c>
    </row>
    <row r="66" spans="1:11" ht="47.25" customHeight="1" thickBot="1" x14ac:dyDescent="0.25">
      <c r="A66" s="52">
        <v>55</v>
      </c>
      <c r="B66" s="53" t="str">
        <f>'MEDICAMENTOS NT '!B64</f>
        <v>2.5.2-1821.4</v>
      </c>
      <c r="C66" s="121" t="str">
        <f>'MEDICAMENTOS NT '!E64</f>
        <v>ANTIBIOTICOS P/PERSONAS; DROGA GENERICA: GENTAMICINA, FORMA FARMACEUTICA: AMPOLLA, PRESENTACION: 80 mGr, TIPO: MONODROGA</v>
      </c>
      <c r="D66" s="121"/>
      <c r="E66" s="121"/>
      <c r="F66" s="121"/>
      <c r="G66" s="121"/>
      <c r="H66" s="54" t="s">
        <v>290</v>
      </c>
      <c r="I66" s="55" t="str">
        <f>'MEDICAMENTOS NT '!F64</f>
        <v>Amp.</v>
      </c>
      <c r="J66" s="56">
        <f>'MEDICAMENTOS NT '!H64</f>
        <v>43.66</v>
      </c>
      <c r="K66" s="57">
        <f>'MEDICAMENTOS NT '!G64</f>
        <v>500</v>
      </c>
    </row>
    <row r="67" spans="1:11" ht="37.5" customHeight="1" thickBot="1" x14ac:dyDescent="0.25">
      <c r="A67" s="52">
        <v>56</v>
      </c>
      <c r="B67" s="53" t="str">
        <f>'MEDICAMENTOS NT '!B65</f>
        <v>2.5.2-1875.59</v>
      </c>
      <c r="C67" s="121" t="str">
        <f>'MEDICAMENTOS NT '!E65</f>
        <v>ANTIASMATICO BRONCODILATADOR; TIPO: MONODROGA, DROGA GENERICA: BROMURO DE IPRATROPIO, FORMA FARMACEUTICA: AEROSOL, PRESENTACION: 15 mL</v>
      </c>
      <c r="D67" s="121"/>
      <c r="E67" s="121"/>
      <c r="F67" s="121"/>
      <c r="G67" s="121"/>
      <c r="H67" s="54" t="s">
        <v>290</v>
      </c>
      <c r="I67" s="55" t="str">
        <f>'MEDICAMENTOS NT '!F65</f>
        <v>FCO.</v>
      </c>
      <c r="J67" s="56">
        <f>'MEDICAMENTOS NT '!H65</f>
        <v>235.2</v>
      </c>
      <c r="K67" s="57">
        <f>'MEDICAMENTOS NT '!G65</f>
        <v>30</v>
      </c>
    </row>
    <row r="68" spans="1:11" ht="35.25" customHeight="1" thickBot="1" x14ac:dyDescent="0.25">
      <c r="A68" s="52">
        <v>57</v>
      </c>
      <c r="B68" s="53" t="str">
        <f>'MEDICAMENTOS NT '!B66</f>
        <v>2.5.2-1873.23</v>
      </c>
      <c r="C68" s="121" t="str">
        <f>'MEDICAMENTOS NT '!E66</f>
        <v>ANTICOAGULANTES P/PERSONAS; TIPO: MONODROGA, DROGA GENERICA: HEPARINA CALCICA, FORMA FARMACEUTICA: AMPOLLA, PRESENTACION: 0,3 mL</v>
      </c>
      <c r="D68" s="121"/>
      <c r="E68" s="121"/>
      <c r="F68" s="121"/>
      <c r="G68" s="121"/>
      <c r="H68" s="54" t="s">
        <v>290</v>
      </c>
      <c r="I68" s="55" t="str">
        <f>'MEDICAMENTOS NT '!F66</f>
        <v>Amp</v>
      </c>
      <c r="J68" s="56">
        <f>'MEDICAMENTOS NT '!H66</f>
        <v>586.79999999999995</v>
      </c>
      <c r="K68" s="57">
        <f>'MEDICAMENTOS NT '!G66</f>
        <v>500</v>
      </c>
    </row>
    <row r="69" spans="1:11" ht="34.5" customHeight="1" thickBot="1" x14ac:dyDescent="0.25">
      <c r="A69" s="52">
        <v>58</v>
      </c>
      <c r="B69" s="53" t="str">
        <f>'MEDICAMENTOS NT '!B67</f>
        <v>2.5.2-1875.112</v>
      </c>
      <c r="C69" s="121" t="str">
        <f>'MEDICAMENTOS NT '!E67</f>
        <v>ANTIASMATICO BRONCODILATADOR; TIPO: MONODROGA, DROGA GENERICA: HIDROCORTISONA 500 mGr/ML, FORMA FARMACEUTICA: AMPOLLA, PRESENTACION: ENVASE X 5 mGr</v>
      </c>
      <c r="D69" s="121"/>
      <c r="E69" s="121"/>
      <c r="F69" s="121"/>
      <c r="G69" s="121"/>
      <c r="H69" s="54" t="s">
        <v>290</v>
      </c>
      <c r="I69" s="55" t="str">
        <f>'MEDICAMENTOS NT '!F67</f>
        <v>Fco.Amp.</v>
      </c>
      <c r="J69" s="56">
        <f>'MEDICAMENTOS NT '!H67</f>
        <v>253.2</v>
      </c>
      <c r="K69" s="57">
        <f>'MEDICAMENTOS NT '!G67</f>
        <v>1000</v>
      </c>
    </row>
    <row r="70" spans="1:11" ht="40.5" customHeight="1" thickBot="1" x14ac:dyDescent="0.25">
      <c r="A70" s="52">
        <v>59</v>
      </c>
      <c r="B70" s="53" t="str">
        <f>'MEDICAMENTOS NT '!B68</f>
        <v>2.5.2-1839.29</v>
      </c>
      <c r="C70" s="121" t="str">
        <f>'MEDICAMENTOS NT '!E68</f>
        <v>VASODILATADORES CORONARIOS; TIPO: MONODROGA, DROGA GENERICA: ISOSORBIDE - DINITRATO 5 mGr, FORMA FARMACEUTICA: COMPRIMIDO, PRESENTACION: UNIDAD</v>
      </c>
      <c r="D70" s="121"/>
      <c r="E70" s="121"/>
      <c r="F70" s="121"/>
      <c r="G70" s="121"/>
      <c r="H70" s="54" t="s">
        <v>290</v>
      </c>
      <c r="I70" s="55" t="str">
        <f>'MEDICAMENTOS NT '!F68</f>
        <v>Comp.</v>
      </c>
      <c r="J70" s="56">
        <f>'MEDICAMENTOS NT '!H68</f>
        <v>10.24</v>
      </c>
      <c r="K70" s="57">
        <f>'MEDICAMENTOS NT '!G68</f>
        <v>30</v>
      </c>
    </row>
    <row r="71" spans="1:11" ht="36" customHeight="1" thickBot="1" x14ac:dyDescent="0.25">
      <c r="A71" s="52">
        <v>60</v>
      </c>
      <c r="B71" s="53" t="str">
        <f>'MEDICAMENTOS NT '!B69</f>
        <v>2.5.2-1861.34</v>
      </c>
      <c r="C71" s="121" t="str">
        <f>'MEDICAMENTOS NT '!E69</f>
        <v>HIPOGLUCEMIANTES INYECTABLES; TIPO: MONODROGA, DROGA GENERICA: INSULINA HUMANA CORRIENTE 100 UI, FORMA FARMACEUTICA: AMPOLLA, PRESENTACION: ENVASE X 10 mL</v>
      </c>
      <c r="D71" s="121"/>
      <c r="E71" s="121"/>
      <c r="F71" s="121"/>
      <c r="G71" s="121"/>
      <c r="H71" s="54" t="s">
        <v>290</v>
      </c>
      <c r="I71" s="55" t="str">
        <f>'MEDICAMENTOS NT '!F69</f>
        <v>Fco.Amp.</v>
      </c>
      <c r="J71" s="56">
        <f>'MEDICAMENTOS NT '!H69</f>
        <v>789.6</v>
      </c>
      <c r="K71" s="57">
        <f>'MEDICAMENTOS NT '!G69</f>
        <v>100</v>
      </c>
    </row>
    <row r="72" spans="1:11" ht="43.5" customHeight="1" thickBot="1" x14ac:dyDescent="0.25">
      <c r="A72" s="52">
        <v>61</v>
      </c>
      <c r="B72" s="53" t="str">
        <f>'MEDICAMENTOS NT '!B70</f>
        <v>2.5.2-1724.23</v>
      </c>
      <c r="C72" s="121" t="str">
        <f>'MEDICAMENTOS NT '!E70</f>
        <v>ANALGESICOS ; TIPO: MONODROGA, DROGA GENERICA: KETOROLAC, FORMA FARMACEUTICA: AMPOLLA, PRESENTACION: 30 mGr</v>
      </c>
      <c r="D72" s="121"/>
      <c r="E72" s="121"/>
      <c r="F72" s="121"/>
      <c r="G72" s="121"/>
      <c r="H72" s="54" t="s">
        <v>290</v>
      </c>
      <c r="I72" s="55" t="str">
        <f>'MEDICAMENTOS NT '!F70</f>
        <v>Amp.</v>
      </c>
      <c r="J72" s="56">
        <f>'MEDICAMENTOS NT '!H70</f>
        <v>43.66</v>
      </c>
      <c r="K72" s="57">
        <f>'MEDICAMENTOS NT '!G70</f>
        <v>5000</v>
      </c>
    </row>
    <row r="73" spans="1:11" ht="30" customHeight="1" thickBot="1" x14ac:dyDescent="0.25">
      <c r="A73" s="52">
        <v>62</v>
      </c>
      <c r="B73" s="53" t="str">
        <f>'MEDICAMENTOS NT '!B71</f>
        <v>2.5.2-2804.1</v>
      </c>
      <c r="C73" s="121" t="str">
        <f>'MEDICAMENTOS NT '!E71</f>
        <v>REGULADORES INTESTINALES; TIPO: MONODROGA, DROGA GENERICA: LACTULOSA, FORMA FARMACEUTICA: JARABE, PRESENTACION: 120 mL</v>
      </c>
      <c r="D73" s="121"/>
      <c r="E73" s="121"/>
      <c r="F73" s="121"/>
      <c r="G73" s="121"/>
      <c r="H73" s="54" t="s">
        <v>290</v>
      </c>
      <c r="I73" s="55" t="str">
        <f>'MEDICAMENTOS NT '!F71</f>
        <v>Fco.</v>
      </c>
      <c r="J73" s="56">
        <f>'MEDICAMENTOS NT '!H71</f>
        <v>383.27</v>
      </c>
      <c r="K73" s="57">
        <f>'MEDICAMENTOS NT '!G71</f>
        <v>300</v>
      </c>
    </row>
    <row r="74" spans="1:11" ht="47.25" customHeight="1" thickBot="1" x14ac:dyDescent="0.25">
      <c r="A74" s="52">
        <v>63</v>
      </c>
      <c r="B74" s="53" t="str">
        <f>'MEDICAMENTOS NT '!B72</f>
        <v>2.5.2-1871.8</v>
      </c>
      <c r="C74" s="121" t="str">
        <f>'MEDICAMENTOS NT '!E72</f>
        <v>NEUROLEPTICOS; TIPO: MONODROGA, FORMA FARMACEUTICA: AMPOLLA, PRESENTACION: 25 mGr, DROGA GENERICA: LEVOMEPROMAZINA</v>
      </c>
      <c r="D74" s="121"/>
      <c r="E74" s="121"/>
      <c r="F74" s="121"/>
      <c r="G74" s="121"/>
      <c r="H74" s="54" t="s">
        <v>290</v>
      </c>
      <c r="I74" s="55" t="str">
        <f>'MEDICAMENTOS NT '!F72</f>
        <v>Amp.</v>
      </c>
      <c r="J74" s="56">
        <f>'MEDICAMENTOS NT '!H72</f>
        <v>346.8</v>
      </c>
      <c r="K74" s="57">
        <f>'MEDICAMENTOS NT '!G72</f>
        <v>500</v>
      </c>
    </row>
    <row r="75" spans="1:11" ht="37.5" customHeight="1" thickBot="1" x14ac:dyDescent="0.25">
      <c r="A75" s="52">
        <v>64</v>
      </c>
      <c r="B75" s="53" t="str">
        <f>'MEDICAMENTOS NT '!B73</f>
        <v>2.5.2-1871.7</v>
      </c>
      <c r="C75" s="121" t="str">
        <f>'MEDICAMENTOS NT '!E73</f>
        <v>NEUROLEPTICOS; TIPO: MONODROGA, DROGA GENERICA: LEVOMEPROMAZINA, FORMA FARMACEUTICA: COMPRIMIDO, PRESENTACION: 25 mGr</v>
      </c>
      <c r="D75" s="121"/>
      <c r="E75" s="121"/>
      <c r="F75" s="121"/>
      <c r="G75" s="121"/>
      <c r="H75" s="54" t="s">
        <v>290</v>
      </c>
      <c r="I75" s="55" t="str">
        <f>'MEDICAMENTOS NT '!F73</f>
        <v>Comp.</v>
      </c>
      <c r="J75" s="56">
        <f>'MEDICAMENTOS NT '!H73</f>
        <v>6.37</v>
      </c>
      <c r="K75" s="57">
        <f>'MEDICAMENTOS NT '!G73</f>
        <v>500</v>
      </c>
    </row>
    <row r="76" spans="1:11" ht="38.25" customHeight="1" thickBot="1" x14ac:dyDescent="0.25">
      <c r="A76" s="52">
        <v>65</v>
      </c>
      <c r="B76" s="53" t="str">
        <f>'MEDICAMENTOS NT '!B74</f>
        <v>2.5.2-1903.20</v>
      </c>
      <c r="C76" s="121" t="str">
        <f>'MEDICAMENTOS NT '!E74</f>
        <v>RECONSTITUYENTE GENERAL; TIPO: MONODROGA, DROGA GENERICA: HORMONA TIROIDEA LEVOTIROXINA, PRESENTACION: 100 mGr, FORMA FARMACEUTICA: COMPRIMIDO</v>
      </c>
      <c r="D76" s="121"/>
      <c r="E76" s="121"/>
      <c r="F76" s="121"/>
      <c r="G76" s="121"/>
      <c r="H76" s="54" t="s">
        <v>290</v>
      </c>
      <c r="I76" s="55" t="str">
        <f>'MEDICAMENTOS NT '!F74</f>
        <v>Comp.</v>
      </c>
      <c r="J76" s="56">
        <f>'MEDICAMENTOS NT '!H74</f>
        <v>15.61</v>
      </c>
      <c r="K76" s="57">
        <f>'MEDICAMENTOS NT '!G74</f>
        <v>1000</v>
      </c>
    </row>
    <row r="77" spans="1:11" ht="40.5" customHeight="1" thickBot="1" x14ac:dyDescent="0.25">
      <c r="A77" s="52">
        <v>66</v>
      </c>
      <c r="B77" s="53" t="str">
        <f>'MEDICAMENTOS NT '!B75</f>
        <v>2.5.2-1883.182</v>
      </c>
      <c r="C77" s="121" t="str">
        <f>'MEDICAMENTOS NT '!E75</f>
        <v>ANESTESICOS LOCALES; TIPO: MONODROGA, DROGA GENERICA: LIDOCAINA 2 %, FORMA FARMACEUTICA: JALEA, PRESENTACION: ENVASE X 50 mL</v>
      </c>
      <c r="D77" s="121"/>
      <c r="E77" s="121"/>
      <c r="F77" s="121"/>
      <c r="G77" s="121"/>
      <c r="H77" s="54" t="s">
        <v>290</v>
      </c>
      <c r="I77" s="55" t="str">
        <f>'MEDICAMENTOS NT '!F75</f>
        <v>pomo</v>
      </c>
      <c r="J77" s="56">
        <f>'MEDICAMENTOS NT '!H75</f>
        <v>259</v>
      </c>
      <c r="K77" s="57">
        <f>'MEDICAMENTOS NT '!G75</f>
        <v>300</v>
      </c>
    </row>
    <row r="78" spans="1:11" ht="36" customHeight="1" thickBot="1" x14ac:dyDescent="0.25">
      <c r="A78" s="52">
        <v>67</v>
      </c>
      <c r="B78" s="53" t="str">
        <f>'MEDICAMENTOS NT '!B76</f>
        <v>2.5.2-1883.15</v>
      </c>
      <c r="C78" s="121" t="str">
        <f>'MEDICAMENTOS NT '!E76</f>
        <v>ANESTESICOS LOCALES; TIPO: MONODROGA, FORMA FARMACEUTICA: LIQUIDO, DROGA GENERICA: LIDOCAINA 2% S/EPINEFRINA, PRESENTACION: 20 mL</v>
      </c>
      <c r="D78" s="121"/>
      <c r="E78" s="121"/>
      <c r="F78" s="121"/>
      <c r="G78" s="121"/>
      <c r="H78" s="54" t="s">
        <v>290</v>
      </c>
      <c r="I78" s="55" t="str">
        <f>'MEDICAMENTOS NT '!F76</f>
        <v>Amp.</v>
      </c>
      <c r="J78" s="56">
        <f>'MEDICAMENTOS NT '!H76</f>
        <v>574</v>
      </c>
      <c r="K78" s="57">
        <f>'MEDICAMENTOS NT '!G76</f>
        <v>50</v>
      </c>
    </row>
    <row r="79" spans="1:11" ht="42.75" customHeight="1" thickBot="1" x14ac:dyDescent="0.25">
      <c r="A79" s="52">
        <v>68</v>
      </c>
      <c r="B79" s="53" t="str">
        <f>'MEDICAMENTOS NT '!B77</f>
        <v>2.5.2-1883.19</v>
      </c>
      <c r="C79" s="121" t="str">
        <f>'MEDICAMENTOS NT '!E77</f>
        <v>ANESTESICOS LOCALES; TIPO: MONODROGA, DROGA GENERICA: LIDOCAINA VISCOSA, FORMA FARMACEUTICA: ENVASE, PRESENTACION: 50 mL</v>
      </c>
      <c r="D79" s="121"/>
      <c r="E79" s="121"/>
      <c r="F79" s="121"/>
      <c r="G79" s="121"/>
      <c r="H79" s="54" t="s">
        <v>290</v>
      </c>
      <c r="I79" s="55" t="str">
        <f>'MEDICAMENTOS NT '!F77</f>
        <v>Fco.</v>
      </c>
      <c r="J79" s="56">
        <f>'MEDICAMENTOS NT '!H77</f>
        <v>260.10000000000002</v>
      </c>
      <c r="K79" s="57">
        <f>'MEDICAMENTOS NT '!G77</f>
        <v>30</v>
      </c>
    </row>
    <row r="80" spans="1:11" ht="36" customHeight="1" thickBot="1" x14ac:dyDescent="0.25">
      <c r="A80" s="52">
        <v>69</v>
      </c>
      <c r="B80" s="53" t="str">
        <f>'MEDICAMENTOS NT '!B78</f>
        <v>2.5.2-1883.111</v>
      </c>
      <c r="C80" s="121" t="str">
        <f>'MEDICAMENTOS NT '!E78</f>
        <v>ANESTESICOS LOCALES; TIPO: ASOCIACION, DROGA GENERICA: LIDOCAINA 2% C/EPINEFRINA, FORMA FARMACEUTICA: FRASCO AMPOLLA, PRESENTACION: 20 mL</v>
      </c>
      <c r="D80" s="121"/>
      <c r="E80" s="121"/>
      <c r="F80" s="121"/>
      <c r="G80" s="121"/>
      <c r="H80" s="54" t="s">
        <v>290</v>
      </c>
      <c r="I80" s="55" t="str">
        <f>'MEDICAMENTOS NT '!F78</f>
        <v>Fco.amp.</v>
      </c>
      <c r="J80" s="56">
        <f>'MEDICAMENTOS NT '!H78</f>
        <v>610</v>
      </c>
      <c r="K80" s="57">
        <f>'MEDICAMENTOS NT '!G78</f>
        <v>100</v>
      </c>
    </row>
    <row r="81" spans="1:11" ht="34.5" customHeight="1" thickBot="1" x14ac:dyDescent="0.25">
      <c r="A81" s="52">
        <v>70</v>
      </c>
      <c r="B81" s="53" t="str">
        <f>'MEDICAMENTOS NT '!B79</f>
        <v>2.5.2-1842.2</v>
      </c>
      <c r="C81" s="121" t="str">
        <f>'MEDICAMENTOS NT '!E79</f>
        <v>PROQUINETICO; TIPO: MONODROGA, DROGA GENERICA: METOCLOPRAMIDA, FORMA FARMACEUTICA: AMPOLLA, PRESENTACION: 10 mGr</v>
      </c>
      <c r="D81" s="121"/>
      <c r="E81" s="121"/>
      <c r="F81" s="121"/>
      <c r="G81" s="121"/>
      <c r="H81" s="54" t="s">
        <v>290</v>
      </c>
      <c r="I81" s="55" t="str">
        <f>'MEDICAMENTOS NT '!F79</f>
        <v>Amp.</v>
      </c>
      <c r="J81" s="56">
        <f>'MEDICAMENTOS NT '!H79</f>
        <v>37.1</v>
      </c>
      <c r="K81" s="57">
        <f>'MEDICAMENTOS NT '!G79</f>
        <v>5000</v>
      </c>
    </row>
    <row r="82" spans="1:11" ht="34.5" customHeight="1" thickBot="1" x14ac:dyDescent="0.25">
      <c r="A82" s="52">
        <v>71</v>
      </c>
      <c r="B82" s="53" t="str">
        <f>'MEDICAMENTOS NT '!B80</f>
        <v>2.5.2-1821.463</v>
      </c>
      <c r="C82" s="121" t="str">
        <f>'MEDICAMENTOS NT '!E80</f>
        <v>ANTIBIOTICOS P/PERSONAS; TIPO: MONODROGA, DROGA GENERICA: MEROPENEM 1000 mGr, FORMA FARMACEUTICA: AMPOLLA, PRESENTACION: UNIDAD</v>
      </c>
      <c r="D82" s="121"/>
      <c r="E82" s="121"/>
      <c r="F82" s="121"/>
      <c r="G82" s="121"/>
      <c r="H82" s="54" t="s">
        <v>290</v>
      </c>
      <c r="I82" s="55" t="str">
        <f>'MEDICAMENTOS NT '!F80</f>
        <v>Fco.amp.</v>
      </c>
      <c r="J82" s="56">
        <f>'MEDICAMENTOS NT '!H80</f>
        <v>763.98</v>
      </c>
      <c r="K82" s="57">
        <f>'MEDICAMENTOS NT '!G80</f>
        <v>300</v>
      </c>
    </row>
    <row r="83" spans="1:11" ht="36" customHeight="1" thickBot="1" x14ac:dyDescent="0.25">
      <c r="A83" s="52">
        <v>72</v>
      </c>
      <c r="B83" s="53" t="str">
        <f>'MEDICAMENTOS NT '!B81</f>
        <v>2.5.2-2806.1</v>
      </c>
      <c r="C83" s="121" t="str">
        <f>'MEDICAMENTOS NT '!E81</f>
        <v>ANTAGONISTAS DE NARCOTICOS; TIPO: MONODROGA, DROGA GENERICA: NALOXONA, FORMA FARMACEUTICA: AMPOLLA, PRESENTACION: 0,4 mGr</v>
      </c>
      <c r="D83" s="121"/>
      <c r="E83" s="121"/>
      <c r="F83" s="121"/>
      <c r="G83" s="121"/>
      <c r="H83" s="54" t="s">
        <v>290</v>
      </c>
      <c r="I83" s="55" t="str">
        <f>'MEDICAMENTOS NT '!F81</f>
        <v>Amp.</v>
      </c>
      <c r="J83" s="56">
        <f>'MEDICAMENTOS NT '!H81</f>
        <v>124.85</v>
      </c>
      <c r="K83" s="57">
        <f>'MEDICAMENTOS NT '!G81</f>
        <v>100</v>
      </c>
    </row>
    <row r="84" spans="1:11" ht="42" customHeight="1" thickBot="1" x14ac:dyDescent="0.25">
      <c r="A84" s="52">
        <v>73</v>
      </c>
      <c r="B84" s="53" t="str">
        <f>'MEDICAMENTOS NT '!B82</f>
        <v>2.5.2-1867.16</v>
      </c>
      <c r="C84" s="121" t="str">
        <f>'MEDICAMENTOS NT '!E82</f>
        <v>VASODILATADORES CEREBRALES; TIPO: MONODROGA, DROGA GENERICA: NIMODIPINA, FORMA FARMACEUTICA: COMPRIMIDO, PRESENTACION: 60 mg</v>
      </c>
      <c r="D84" s="121"/>
      <c r="E84" s="121"/>
      <c r="F84" s="121"/>
      <c r="G84" s="121"/>
      <c r="H84" s="54" t="s">
        <v>290</v>
      </c>
      <c r="I84" s="55" t="str">
        <f>'MEDICAMENTOS NT '!F82</f>
        <v xml:space="preserve">Comp. </v>
      </c>
      <c r="J84" s="56">
        <f>'MEDICAMENTOS NT '!H82</f>
        <v>41.38</v>
      </c>
      <c r="K84" s="57">
        <f>'MEDICAMENTOS NT '!G82</f>
        <v>300</v>
      </c>
    </row>
    <row r="85" spans="1:11" ht="45.75" customHeight="1" thickBot="1" x14ac:dyDescent="0.25">
      <c r="A85" s="52">
        <v>74</v>
      </c>
      <c r="B85" s="53" t="str">
        <f>'MEDICAMENTOS NT '!B83</f>
        <v>2.5.2-1823.3</v>
      </c>
      <c r="C85" s="121" t="str">
        <f>'MEDICAMENTOS NT '!E83</f>
        <v>ANTIMICOTICOS; DROGA GENERICA: NISTATINA 100.000 C/ML, PRESENTACION: SIN VALOR, FORMA FARMACEUTICA: SUSPENCION ORAL, TIPO: MONODROGA</v>
      </c>
      <c r="D85" s="121"/>
      <c r="E85" s="121"/>
      <c r="F85" s="121"/>
      <c r="G85" s="121"/>
      <c r="H85" s="54" t="s">
        <v>290</v>
      </c>
      <c r="I85" s="55" t="str">
        <f>'MEDICAMENTOS NT '!F83</f>
        <v>Fco.</v>
      </c>
      <c r="J85" s="56">
        <f>'MEDICAMENTOS NT '!H83</f>
        <v>348</v>
      </c>
      <c r="K85" s="57">
        <f>'MEDICAMENTOS NT '!G83</f>
        <v>150</v>
      </c>
    </row>
    <row r="86" spans="1:11" ht="42" customHeight="1" thickBot="1" x14ac:dyDescent="0.25">
      <c r="A86" s="52">
        <v>75</v>
      </c>
      <c r="B86" s="53" t="str">
        <f>'MEDICAMENTOS NT '!B84</f>
        <v>2.5.2-1724.152</v>
      </c>
      <c r="C86" s="121" t="str">
        <f>'MEDICAMENTOS NT '!E84</f>
        <v>ANALGESICOS ; TIPO: MONODROGA, DROGA GENERICA: PARACETAMOL 500 mGr, FORMA FARMACEUTICA: COMPRIMIDO, PRESENTACION: ENVASE X 20 UN</v>
      </c>
      <c r="D86" s="121"/>
      <c r="E86" s="121"/>
      <c r="F86" s="121"/>
      <c r="G86" s="121"/>
      <c r="H86" s="54" t="s">
        <v>290</v>
      </c>
      <c r="I86" s="55" t="str">
        <f>'MEDICAMENTOS NT '!F84</f>
        <v xml:space="preserve">BLISTER </v>
      </c>
      <c r="J86" s="56">
        <f>'MEDICAMENTOS NT '!H84</f>
        <v>175.08</v>
      </c>
      <c r="K86" s="57">
        <f>'MEDICAMENTOS NT '!G84</f>
        <v>250</v>
      </c>
    </row>
    <row r="87" spans="1:11" ht="37.5" customHeight="1" thickBot="1" x14ac:dyDescent="0.25">
      <c r="A87" s="52">
        <v>76</v>
      </c>
      <c r="B87" s="53" t="str">
        <f>'MEDICAMENTOS NT '!B85</f>
        <v>2.5.2-1869.11</v>
      </c>
      <c r="C87" s="121" t="str">
        <f>'MEDICAMENTOS NT '!E85</f>
        <v>ANTIDEPRESIVOS; TIPO: MONODROGA, DROGA GENERICA: PAROXETINA, FORMA FARMACEUTICA: COMPRIMIDO, PRESENTACION: 20 mGr</v>
      </c>
      <c r="D87" s="121"/>
      <c r="E87" s="121"/>
      <c r="F87" s="121"/>
      <c r="G87" s="121"/>
      <c r="H87" s="54" t="s">
        <v>290</v>
      </c>
      <c r="I87" s="55" t="str">
        <f>'MEDICAMENTOS NT '!F85</f>
        <v>Comp.</v>
      </c>
      <c r="J87" s="56">
        <f>'MEDICAMENTOS NT '!H85</f>
        <v>8.4499999999999993</v>
      </c>
      <c r="K87" s="57">
        <f>'MEDICAMENTOS NT '!G85</f>
        <v>500</v>
      </c>
    </row>
    <row r="88" spans="1:11" ht="43.5" customHeight="1" thickBot="1" x14ac:dyDescent="0.25">
      <c r="A88" s="52">
        <v>77</v>
      </c>
      <c r="B88" s="53" t="str">
        <f>'MEDICAMENTOS NT '!B86</f>
        <v>2.5.2-2233.23</v>
      </c>
      <c r="C88" s="121" t="str">
        <f>'MEDICAMENTOS NT '!E86</f>
        <v>ANTICONVULSIVANTES; TIPO: MONODROGA, DROGA GENERICA: PREGABALINA 75 mGr, FORMA FARMACEUTICA: COMPRIMIDO, PRESENTACION: UNIDAD</v>
      </c>
      <c r="D88" s="121"/>
      <c r="E88" s="121"/>
      <c r="F88" s="121"/>
      <c r="G88" s="121"/>
      <c r="H88" s="54" t="s">
        <v>290</v>
      </c>
      <c r="I88" s="55" t="str">
        <f>'MEDICAMENTOS NT '!F86</f>
        <v>Comp.</v>
      </c>
      <c r="J88" s="56">
        <f>'MEDICAMENTOS NT '!H86</f>
        <v>17.34</v>
      </c>
      <c r="K88" s="57">
        <f>'MEDICAMENTOS NT '!G86</f>
        <v>2000</v>
      </c>
    </row>
    <row r="89" spans="1:11" ht="43.5" customHeight="1" thickBot="1" x14ac:dyDescent="0.25">
      <c r="A89" s="52">
        <v>78</v>
      </c>
      <c r="B89" s="53" t="str">
        <f>'MEDICAMENTOS NT '!B87</f>
        <v>2.5.2-1857.43</v>
      </c>
      <c r="C89" s="121" t="str">
        <f>'MEDICAMENTOS NT '!E87</f>
        <v>ANTIPARASITARIOS; TIPO: ASOCIACION, DROGA GENERICA: PERMETRINA + BENCILO BENZ, FORMA FARMACEUTICA: LOCION, PRESENTACION: ENVASE X 100 mL</v>
      </c>
      <c r="D89" s="121"/>
      <c r="E89" s="121"/>
      <c r="F89" s="121"/>
      <c r="G89" s="121"/>
      <c r="H89" s="54" t="s">
        <v>290</v>
      </c>
      <c r="I89" s="55" t="str">
        <f>'MEDICAMENTOS NT '!F87</f>
        <v>Fco.</v>
      </c>
      <c r="J89" s="56">
        <f>'MEDICAMENTOS NT '!H87</f>
        <v>470.23</v>
      </c>
      <c r="K89" s="57">
        <f>'MEDICAMENTOS NT '!G87</f>
        <v>10</v>
      </c>
    </row>
    <row r="90" spans="1:11" ht="39.75" customHeight="1" thickBot="1" x14ac:dyDescent="0.25">
      <c r="A90" s="52">
        <v>79</v>
      </c>
      <c r="B90" s="53" t="str">
        <f>'MEDICAMENTOS NT '!B88</f>
        <v>2.5.2-1821.77</v>
      </c>
      <c r="C90" s="121" t="str">
        <f>'MEDICAMENTOS NT '!E88</f>
        <v>ANTIBIOTICOS P/PERSONAS; TIPO: ASOCIACION, DROGA GENERICA: PIPERACILINA+TAZOBACTAN, FORMA FARMACEUTICA: AMPOLLA, PRESENTACION: 4,5 GR</v>
      </c>
      <c r="D90" s="121"/>
      <c r="E90" s="121"/>
      <c r="F90" s="121"/>
      <c r="G90" s="121"/>
      <c r="H90" s="54" t="s">
        <v>290</v>
      </c>
      <c r="I90" s="55" t="str">
        <f>'MEDICAMENTOS NT '!F88</f>
        <v>Fco.amp.</v>
      </c>
      <c r="J90" s="56">
        <f>'MEDICAMENTOS NT '!H88</f>
        <v>521.69000000000005</v>
      </c>
      <c r="K90" s="57">
        <f>'MEDICAMENTOS NT '!G88</f>
        <v>2000</v>
      </c>
    </row>
    <row r="91" spans="1:11" ht="40.5" customHeight="1" thickBot="1" x14ac:dyDescent="0.25">
      <c r="A91" s="52">
        <v>80</v>
      </c>
      <c r="B91" s="53" t="str">
        <f>'MEDICAMENTOS NT '!B89</f>
        <v>2.5.2-1837.67</v>
      </c>
      <c r="C91" s="121" t="str">
        <f>'MEDICAMENTOS NT '!E89</f>
        <v>HIPOTENSORES; TIPO: MONODROGA, DROGA GENERICA: PROPANOLOL 40 mGr, FORMA FARMACEUTICA: COMPRIMIDO, PRESENTACION: UNIDAD</v>
      </c>
      <c r="D91" s="121"/>
      <c r="E91" s="121"/>
      <c r="F91" s="121"/>
      <c r="G91" s="121"/>
      <c r="H91" s="54" t="s">
        <v>290</v>
      </c>
      <c r="I91" s="55" t="str">
        <f>'MEDICAMENTOS NT '!F89</f>
        <v>Comp.</v>
      </c>
      <c r="J91" s="56">
        <f>'MEDICAMENTOS NT '!H89</f>
        <v>13.96</v>
      </c>
      <c r="K91" s="57">
        <f>'MEDICAMENTOS NT '!G89</f>
        <v>500</v>
      </c>
    </row>
    <row r="92" spans="1:11" ht="37.5" customHeight="1" thickBot="1" x14ac:dyDescent="0.25">
      <c r="A92" s="52">
        <v>81</v>
      </c>
      <c r="B92" s="53" t="str">
        <f>'MEDICAMENTOS NT '!B90</f>
        <v>2.5.2-7316.5</v>
      </c>
      <c r="C92" s="121" t="str">
        <f>'MEDICAMENTOS NT '!E90</f>
        <v>ANTIPSICOTICOS; PRESENTACION: COMPRIMIDOS, TIPO: MONODROGA, DROGA GENERICA: QUETIAPINA 100 mGr</v>
      </c>
      <c r="D92" s="121"/>
      <c r="E92" s="121"/>
      <c r="F92" s="121"/>
      <c r="G92" s="121"/>
      <c r="H92" s="54" t="s">
        <v>290</v>
      </c>
      <c r="I92" s="55" t="str">
        <f>'MEDICAMENTOS NT '!F90</f>
        <v>Comp.</v>
      </c>
      <c r="J92" s="56">
        <f>'MEDICAMENTOS NT '!H90</f>
        <v>6.68</v>
      </c>
      <c r="K92" s="57">
        <f>'MEDICAMENTOS NT '!G90</f>
        <v>300</v>
      </c>
    </row>
    <row r="93" spans="1:11" ht="38.25" customHeight="1" thickBot="1" x14ac:dyDescent="0.25">
      <c r="A93" s="52">
        <v>82</v>
      </c>
      <c r="B93" s="53" t="str">
        <f>'MEDICAMENTOS NT '!B91</f>
        <v>2.5.2-1822.6</v>
      </c>
      <c r="C93" s="121" t="str">
        <f>'MEDICAMENTOS NT '!E91</f>
        <v>ANTIMICOBACTERIAS; TIPO: MONODROGA, DROGA GENERICA: RIFAMPICINA, PRESENTACION: 300 mGr, FORMA FARMACEUTICA: CAPSULA</v>
      </c>
      <c r="D93" s="121"/>
      <c r="E93" s="121"/>
      <c r="F93" s="121"/>
      <c r="G93" s="121"/>
      <c r="H93" s="54" t="s">
        <v>290</v>
      </c>
      <c r="I93" s="55" t="str">
        <f>'MEDICAMENTOS NT '!F91</f>
        <v>Caps.</v>
      </c>
      <c r="J93" s="56">
        <f>'MEDICAMENTOS NT '!H91</f>
        <v>49.06</v>
      </c>
      <c r="K93" s="57">
        <f>'MEDICAMENTOS NT '!G91</f>
        <v>100</v>
      </c>
    </row>
    <row r="94" spans="1:11" ht="39.75" customHeight="1" thickBot="1" x14ac:dyDescent="0.25">
      <c r="A94" s="52">
        <v>83</v>
      </c>
      <c r="B94" s="53" t="str">
        <f>'MEDICAMENTOS NT '!B92</f>
        <v>2.5.2-1871.86</v>
      </c>
      <c r="C94" s="121" t="str">
        <f>'MEDICAMENTOS NT '!E92</f>
        <v>NEUROLEPTICOS; TIPO: MONODROGA, DROGA GENERICA: RISPERIDONA, FORMA FARMACEUTICA: COMPRIMIDO, PRESENTACION: 0,50 mGr</v>
      </c>
      <c r="D94" s="121"/>
      <c r="E94" s="121"/>
      <c r="F94" s="121"/>
      <c r="G94" s="121"/>
      <c r="H94" s="54" t="s">
        <v>290</v>
      </c>
      <c r="I94" s="55" t="str">
        <f>'MEDICAMENTOS NT '!F92</f>
        <v>Comp.</v>
      </c>
      <c r="J94" s="56">
        <f>'MEDICAMENTOS NT '!H92</f>
        <v>10.54</v>
      </c>
      <c r="K94" s="57">
        <f>'MEDICAMENTOS NT '!G92</f>
        <v>500</v>
      </c>
    </row>
    <row r="95" spans="1:11" ht="36" customHeight="1" thickBot="1" x14ac:dyDescent="0.25">
      <c r="A95" s="52">
        <v>84</v>
      </c>
      <c r="B95" s="53" t="str">
        <f>'MEDICAMENTOS NT '!B93</f>
        <v>2.5.2-7316.17</v>
      </c>
      <c r="C95" s="121" t="str">
        <f>'MEDICAMENTOS NT '!E93</f>
        <v>ANTIPSICOTICOS; PRESENTACION: COMPRIMIDO, TIPO: MONODROGA, DROGA GENERICA: RISPERIDONA 2 MG</v>
      </c>
      <c r="D95" s="121"/>
      <c r="E95" s="121"/>
      <c r="F95" s="121"/>
      <c r="G95" s="121"/>
      <c r="H95" s="54" t="s">
        <v>290</v>
      </c>
      <c r="I95" s="55" t="str">
        <f>'MEDICAMENTOS NT '!F93</f>
        <v>Comp.</v>
      </c>
      <c r="J95" s="56">
        <f>'MEDICAMENTOS NT '!H93</f>
        <v>3.73</v>
      </c>
      <c r="K95" s="57">
        <f>'MEDICAMENTOS NT '!G93</f>
        <v>500</v>
      </c>
    </row>
    <row r="96" spans="1:11" ht="36" customHeight="1" thickBot="1" x14ac:dyDescent="0.25">
      <c r="A96" s="52">
        <v>85</v>
      </c>
      <c r="B96" s="53" t="str">
        <f>'MEDICAMENTOS NT '!B94</f>
        <v>2.5.2-1871.24</v>
      </c>
      <c r="C96" s="121" t="str">
        <f>'MEDICAMENTOS NT '!E94</f>
        <v>NEUROLEPTICOS; TIPO: MONODROGA, DROGA GENERICA: RISPERIDONA, FORMA FARMACEUTICA: COMPRIMIDO, PRESENTACION: 3 mGr</v>
      </c>
      <c r="D96" s="121"/>
      <c r="E96" s="121"/>
      <c r="F96" s="121"/>
      <c r="G96" s="121"/>
      <c r="H96" s="54" t="s">
        <v>290</v>
      </c>
      <c r="I96" s="55" t="str">
        <f>'MEDICAMENTOS NT '!F94</f>
        <v>Comp.</v>
      </c>
      <c r="J96" s="56">
        <f>'MEDICAMENTOS NT '!H94</f>
        <v>4.18</v>
      </c>
      <c r="K96" s="57">
        <f>'MEDICAMENTOS NT '!G94</f>
        <v>1000</v>
      </c>
    </row>
    <row r="97" spans="1:11" ht="32.25" customHeight="1" thickBot="1" x14ac:dyDescent="0.25">
      <c r="A97" s="52">
        <v>86</v>
      </c>
      <c r="B97" s="53" t="str">
        <f>'MEDICAMENTOS NT '!B95</f>
        <v>2.5.2-1875.13</v>
      </c>
      <c r="C97" s="121" t="str">
        <f>'MEDICAMENTOS NT '!E95</f>
        <v>ANTIASMATICO BRONCODILATADOR; TIPO: MONODROGA, DROGA GENERICA: SALBUTAMOL, FORMA FARMACEUTICA: AEROSOL, PRESENTACION: 200 DOSIS</v>
      </c>
      <c r="D97" s="121"/>
      <c r="E97" s="121"/>
      <c r="F97" s="121"/>
      <c r="G97" s="121"/>
      <c r="H97" s="54" t="s">
        <v>290</v>
      </c>
      <c r="I97" s="55" t="str">
        <f>'MEDICAMENTOS NT '!F95</f>
        <v>Fco.</v>
      </c>
      <c r="J97" s="56">
        <f>'MEDICAMENTOS NT '!H95</f>
        <v>397.8</v>
      </c>
      <c r="K97" s="57">
        <f>'MEDICAMENTOS NT '!G95</f>
        <v>30</v>
      </c>
    </row>
    <row r="98" spans="1:11" ht="43.5" customHeight="1" thickBot="1" x14ac:dyDescent="0.25">
      <c r="A98" s="52">
        <v>87</v>
      </c>
      <c r="B98" s="53" t="str">
        <f>'MEDICAMENTOS NT '!B96</f>
        <v>2.5.2-1883.13</v>
      </c>
      <c r="C98" s="121" t="str">
        <f>'MEDICAMENTOS NT '!E96</f>
        <v>ANESTESICOS LOCALES; TIPO: MONODROGA, FORMA FARMACEUTICA: AMPOLLA, PRESENTACION: 250 mL, DROGA GENERICA: SEVOFLUORANO</v>
      </c>
      <c r="D98" s="121"/>
      <c r="E98" s="121"/>
      <c r="F98" s="121"/>
      <c r="G98" s="121"/>
      <c r="H98" s="54" t="s">
        <v>290</v>
      </c>
      <c r="I98" s="55" t="str">
        <f>'MEDICAMENTOS NT '!F96</f>
        <v>Fco.amp.</v>
      </c>
      <c r="J98" s="56">
        <f>'MEDICAMENTOS NT '!H96</f>
        <v>13300.39</v>
      </c>
      <c r="K98" s="57">
        <f>'MEDICAMENTOS NT '!G96</f>
        <v>150</v>
      </c>
    </row>
    <row r="99" spans="1:11" ht="42" customHeight="1" thickBot="1" x14ac:dyDescent="0.25">
      <c r="A99" s="52">
        <v>88</v>
      </c>
      <c r="B99" s="53" t="str">
        <f>'MEDICAMENTOS NT '!B97</f>
        <v>2.5.2-1726.371</v>
      </c>
      <c r="C99" s="121" t="str">
        <f>'MEDICAMENTOS NT '!E97</f>
        <v>SOLUCIONES P/MEDICINA; TIPO: SULFATO DE MAGNESIO AL 25%, PRESENTACION: ENVASE X 5 mL</v>
      </c>
      <c r="D99" s="121"/>
      <c r="E99" s="121"/>
      <c r="F99" s="121"/>
      <c r="G99" s="121"/>
      <c r="H99" s="54" t="s">
        <v>290</v>
      </c>
      <c r="I99" s="55" t="str">
        <f>'MEDICAMENTOS NT '!F97</f>
        <v>Amp.</v>
      </c>
      <c r="J99" s="56">
        <f>'MEDICAMENTOS NT '!H97</f>
        <v>40.39</v>
      </c>
      <c r="K99" s="57">
        <f>'MEDICAMENTOS NT '!G97</f>
        <v>1000</v>
      </c>
    </row>
    <row r="100" spans="1:11" ht="34.5" customHeight="1" thickBot="1" x14ac:dyDescent="0.25">
      <c r="A100" s="52">
        <v>89</v>
      </c>
      <c r="B100" s="53" t="str">
        <f>'MEDICAMENTOS NT '!B98</f>
        <v>2.5.2-1821.402</v>
      </c>
      <c r="C100" s="121" t="str">
        <f>'MEDICAMENTOS NT '!E98</f>
        <v>ANTIBIOTICOS P/PERSONAS; TIPO: MONODROGA, DROGA GENERICA: ESTREPTOQUINASA 1,500,000 UI, FORMA FARMACEUTICA: AMPOLLA, PRESENTACION: UNIDAD</v>
      </c>
      <c r="D100" s="121"/>
      <c r="E100" s="121"/>
      <c r="F100" s="121"/>
      <c r="G100" s="121"/>
      <c r="H100" s="54" t="s">
        <v>290</v>
      </c>
      <c r="I100" s="55" t="str">
        <f>'MEDICAMENTOS NT '!F98</f>
        <v>Fco.amp.</v>
      </c>
      <c r="J100" s="56">
        <f>'MEDICAMENTOS NT '!H98</f>
        <v>70481.91</v>
      </c>
      <c r="K100" s="57">
        <f>'MEDICAMENTOS NT '!G98</f>
        <v>3</v>
      </c>
    </row>
    <row r="101" spans="1:11" ht="42.75" customHeight="1" thickBot="1" x14ac:dyDescent="0.25">
      <c r="A101" s="52">
        <v>90</v>
      </c>
      <c r="B101" s="53" t="str">
        <f>'MEDICAMENTOS NT '!B99</f>
        <v>2.5.2-1821.344</v>
      </c>
      <c r="C101" s="121" t="str">
        <f>'MEDICAMENTOS NT '!E99</f>
        <v>ANTIBIOTICOS P/PERSONAS; TIPO: MONODROGA, DROGA GENERICA: VANCOMICINA 500, FORMA FARMACEUTICA: FRASCO AMPOLLA, PRESENTACION: UNIDAD</v>
      </c>
      <c r="D101" s="121"/>
      <c r="E101" s="121"/>
      <c r="F101" s="121"/>
      <c r="G101" s="121"/>
      <c r="H101" s="54" t="s">
        <v>290</v>
      </c>
      <c r="I101" s="55" t="str">
        <f>'MEDICAMENTOS NT '!F99</f>
        <v>Fco.Amp.</v>
      </c>
      <c r="J101" s="56">
        <f>'MEDICAMENTOS NT '!H99</f>
        <v>419.83</v>
      </c>
      <c r="K101" s="57">
        <f>'MEDICAMENTOS NT '!G99</f>
        <v>2000</v>
      </c>
    </row>
    <row r="102" spans="1:11" ht="35.25" customHeight="1" thickBot="1" x14ac:dyDescent="0.25">
      <c r="A102" s="52">
        <v>91</v>
      </c>
      <c r="B102" s="53" t="str">
        <f>'MEDICAMENTOS NT '!B100</f>
        <v>2.5.2-1726.517</v>
      </c>
      <c r="C102" s="121" t="str">
        <f>'MEDICAMENTOS NT '!E100</f>
        <v>SOLUCIONES P/MEDICINA; TIPO: GELATINA SUCCINILADA 4% + CLORURO DE SODIO + HIDROXIDO DE SODIO, PRESENTACION: SACHET x 500mL</v>
      </c>
      <c r="D102" s="121"/>
      <c r="E102" s="121"/>
      <c r="F102" s="121"/>
      <c r="G102" s="121"/>
      <c r="H102" s="54" t="s">
        <v>290</v>
      </c>
      <c r="I102" s="55" t="str">
        <f>'MEDICAMENTOS NT '!F100</f>
        <v>Sachet</v>
      </c>
      <c r="J102" s="56">
        <f>'MEDICAMENTOS NT '!H100</f>
        <v>1013.06</v>
      </c>
      <c r="K102" s="57">
        <f>'MEDICAMENTOS NT '!G100</f>
        <v>100</v>
      </c>
    </row>
    <row r="103" spans="1:11" ht="42" customHeight="1" thickBot="1" x14ac:dyDescent="0.25">
      <c r="A103" s="52">
        <v>92</v>
      </c>
      <c r="B103" s="53" t="str">
        <f>'MEDICAMENTOS NT '!B101</f>
        <v>2.5.2-1726.9</v>
      </c>
      <c r="C103" s="121" t="str">
        <f>'MEDICAMENTOS NT '!E101</f>
        <v>SOLUCIONES P/MEDICINA; TIPO: BICARBONATO 1 MOLAR, PRESENTACION: SACHET DE 100 mL</v>
      </c>
      <c r="D103" s="121"/>
      <c r="E103" s="121"/>
      <c r="F103" s="121"/>
      <c r="G103" s="121"/>
      <c r="H103" s="54" t="s">
        <v>290</v>
      </c>
      <c r="I103" s="55" t="str">
        <f>'MEDICAMENTOS NT '!F101</f>
        <v>Sachet</v>
      </c>
      <c r="J103" s="56">
        <f>'MEDICAMENTOS NT '!H101</f>
        <v>356.38</v>
      </c>
      <c r="K103" s="57">
        <f>'MEDICAMENTOS NT '!G101</f>
        <v>80</v>
      </c>
    </row>
    <row r="104" spans="1:11" ht="42.75" customHeight="1" thickBot="1" x14ac:dyDescent="0.25">
      <c r="A104" s="52">
        <v>93</v>
      </c>
      <c r="B104" s="53" t="str">
        <f>'MEDICAMENTOS NT '!B102</f>
        <v>2.5.2-1726.4</v>
      </c>
      <c r="C104" s="121" t="str">
        <f>'MEDICAMENTOS NT '!E102</f>
        <v>SOLUCIONES P/MEDICINA; TIPO: DEXTROSA 5% EN SOL. SALINA, PRESENTACION: 500 CM3</v>
      </c>
      <c r="D104" s="121"/>
      <c r="E104" s="121"/>
      <c r="F104" s="121"/>
      <c r="G104" s="121"/>
      <c r="H104" s="54" t="s">
        <v>290</v>
      </c>
      <c r="I104" s="55" t="str">
        <f>'MEDICAMENTOS NT '!F102</f>
        <v>Sachet</v>
      </c>
      <c r="J104" s="56">
        <f>'MEDICAMENTOS NT '!H102</f>
        <v>138</v>
      </c>
      <c r="K104" s="57">
        <f>'MEDICAMENTOS NT '!G102</f>
        <v>10000</v>
      </c>
    </row>
    <row r="105" spans="1:11" ht="38.25" customHeight="1" thickBot="1" x14ac:dyDescent="0.25">
      <c r="A105" s="52">
        <v>94</v>
      </c>
      <c r="B105" s="53" t="str">
        <f>'MEDICAMENTOS NT '!B103</f>
        <v>2.5.2-1726.14</v>
      </c>
      <c r="C105" s="121" t="str">
        <f>'MEDICAMENTOS NT '!E103</f>
        <v>SOLUCIONES P/MEDICINA; PRESENTACION: SACHET X 500 mL, TIPO: DEXTROSA AL 10 %</v>
      </c>
      <c r="D105" s="121"/>
      <c r="E105" s="121"/>
      <c r="F105" s="121"/>
      <c r="G105" s="121"/>
      <c r="H105" s="54" t="s">
        <v>290</v>
      </c>
      <c r="I105" s="55" t="str">
        <f>'MEDICAMENTOS NT '!F103</f>
        <v>Sachet</v>
      </c>
      <c r="J105" s="56">
        <f>'MEDICAMENTOS NT '!H103</f>
        <v>141.6</v>
      </c>
      <c r="K105" s="57">
        <f>'MEDICAMENTOS NT '!G103</f>
        <v>100</v>
      </c>
    </row>
    <row r="106" spans="1:11" ht="45.75" customHeight="1" thickBot="1" x14ac:dyDescent="0.25">
      <c r="A106" s="52">
        <v>95</v>
      </c>
      <c r="B106" s="53" t="str">
        <f>'MEDICAMENTOS NT '!B104</f>
        <v>2.5.2-1726.377</v>
      </c>
      <c r="C106" s="121" t="str">
        <f>'MEDICAMENTOS NT '!E104</f>
        <v>SOLUCIONES P/MEDICINA; TIPO: DEXTROSA AL 25 %, PRESENTACION: ENVASE X 500 mL</v>
      </c>
      <c r="D106" s="121"/>
      <c r="E106" s="121"/>
      <c r="F106" s="121"/>
      <c r="G106" s="121"/>
      <c r="H106" s="54" t="s">
        <v>290</v>
      </c>
      <c r="I106" s="55" t="str">
        <f>'MEDICAMENTOS NT '!F104</f>
        <v>Sachet</v>
      </c>
      <c r="J106" s="56">
        <f>'MEDICAMENTOS NT '!H104</f>
        <v>187.2</v>
      </c>
      <c r="K106" s="57">
        <f>'MEDICAMENTOS NT '!G104</f>
        <v>30</v>
      </c>
    </row>
    <row r="107" spans="1:11" ht="36" customHeight="1" thickBot="1" x14ac:dyDescent="0.25">
      <c r="A107" s="52">
        <v>96</v>
      </c>
      <c r="B107" s="53" t="str">
        <f>'MEDICAMENTOS NT '!B105</f>
        <v>2.5.2-1726.378</v>
      </c>
      <c r="C107" s="121" t="str">
        <f>'MEDICAMENTOS NT '!E105</f>
        <v>SOLUCIONES P/MEDICINA; TIPO: DEXTROSA AL 50 %, PRESENTACION: ENVASE X 500 mL</v>
      </c>
      <c r="D107" s="121"/>
      <c r="E107" s="121"/>
      <c r="F107" s="121"/>
      <c r="G107" s="121"/>
      <c r="H107" s="54" t="s">
        <v>290</v>
      </c>
      <c r="I107" s="55" t="str">
        <f>'MEDICAMENTOS NT '!F105</f>
        <v>Sachet</v>
      </c>
      <c r="J107" s="56">
        <f>'MEDICAMENTOS NT '!H105</f>
        <v>237.6</v>
      </c>
      <c r="K107" s="57">
        <f>'MEDICAMENTOS NT '!G105</f>
        <v>20</v>
      </c>
    </row>
    <row r="108" spans="1:11" ht="42.75" customHeight="1" thickBot="1" x14ac:dyDescent="0.25">
      <c r="A108" s="52">
        <v>97</v>
      </c>
      <c r="B108" s="53" t="str">
        <f>'MEDICAMENTOS NT '!B106</f>
        <v>2.5.2-1726.182</v>
      </c>
      <c r="C108" s="121" t="str">
        <f>'MEDICAMENTOS NT '!E106</f>
        <v>SOLUCIONES P/MEDICINA; TIPO: RINGER LACTATO, PRESENTACION: ENVASE X 500 mL</v>
      </c>
      <c r="D108" s="121"/>
      <c r="E108" s="121"/>
      <c r="F108" s="121"/>
      <c r="G108" s="121"/>
      <c r="H108" s="54" t="s">
        <v>290</v>
      </c>
      <c r="I108" s="55" t="str">
        <f>'MEDICAMENTOS NT '!F106</f>
        <v>Sachet</v>
      </c>
      <c r="J108" s="56">
        <f>'MEDICAMENTOS NT '!H106</f>
        <v>187.2</v>
      </c>
      <c r="K108" s="57">
        <f>'MEDICAMENTOS NT '!G106</f>
        <v>500</v>
      </c>
    </row>
    <row r="109" spans="1:11" ht="40.5" customHeight="1" thickBot="1" x14ac:dyDescent="0.25">
      <c r="A109" s="52">
        <v>98</v>
      </c>
      <c r="B109" s="53" t="str">
        <f>'MEDICAMENTOS NT '!B107</f>
        <v>2.5.2-1903.89</v>
      </c>
      <c r="C109" s="121" t="str">
        <f>'MEDICAMENTOS NT '!E107</f>
        <v>RECONSTITUYENTE GENERAL; TIPO: MONODROGA, DROGA GENERICA: CALCIO CARBONATO, FORMA FARMACEUTICA: COMPRIMIDO, PRESENTACION: 500 mGr</v>
      </c>
      <c r="D109" s="121"/>
      <c r="E109" s="121"/>
      <c r="F109" s="121"/>
      <c r="G109" s="121"/>
      <c r="H109" s="54" t="s">
        <v>290</v>
      </c>
      <c r="I109" s="55" t="str">
        <f>'MEDICAMENTOS NT '!F107</f>
        <v>Comp.</v>
      </c>
      <c r="J109" s="56">
        <f>'MEDICAMENTOS NT '!H107</f>
        <v>11.7</v>
      </c>
      <c r="K109" s="57">
        <f>'MEDICAMENTOS NT '!G107</f>
        <v>3000</v>
      </c>
    </row>
    <row r="110" spans="1:11" ht="40.5" customHeight="1" thickBot="1" x14ac:dyDescent="0.25">
      <c r="A110" s="52">
        <v>99</v>
      </c>
      <c r="B110" s="53" t="str">
        <f>'MEDICAMENTOS NT '!B108</f>
        <v>2.5.2-1872.51</v>
      </c>
      <c r="C110" s="121" t="str">
        <f>'MEDICAMENTOS NT '!E108</f>
        <v>ANTIANEMICOS; TIPO: MONODROGA, DROGA GENERICA:  ERITROPOYETINA HUMANA, FORMA FARMACEUTICA: FRASCO AMPOLLA 3000UI, PRESENTACION: UNIDAD</v>
      </c>
      <c r="D110" s="121"/>
      <c r="E110" s="121"/>
      <c r="F110" s="121"/>
      <c r="G110" s="121"/>
      <c r="H110" s="54" t="s">
        <v>290</v>
      </c>
      <c r="I110" s="55" t="str">
        <f>'MEDICAMENTOS NT '!F108</f>
        <v>Amp.</v>
      </c>
      <c r="J110" s="56">
        <f>'MEDICAMENTOS NT '!H108</f>
        <v>586.79999999999995</v>
      </c>
      <c r="K110" s="57">
        <f>'MEDICAMENTOS NT '!G108</f>
        <v>2000</v>
      </c>
    </row>
    <row r="111" spans="1:11" ht="43.5" customHeight="1" thickBot="1" x14ac:dyDescent="0.25">
      <c r="A111" s="52">
        <v>100</v>
      </c>
      <c r="B111" s="53" t="str">
        <f>'MEDICAMENTOS NT '!B109</f>
        <v>2.5.2-2481.32</v>
      </c>
      <c r="C111" s="121" t="str">
        <f>'MEDICAMENTOS NT '!E109</f>
        <v>LAXANTES; TIPO: MONODROGA, DROGA GENERICA: PICOSULFATO DE SODIO, FORMA FARMACEUTICA: GOTAS, PRESENTACION: ENVASE X 30 mL</v>
      </c>
      <c r="D111" s="121"/>
      <c r="E111" s="121"/>
      <c r="F111" s="121"/>
      <c r="G111" s="121"/>
      <c r="H111" s="54" t="s">
        <v>290</v>
      </c>
      <c r="I111" s="55" t="str">
        <f>'MEDICAMENTOS NT '!F109</f>
        <v>Fco.</v>
      </c>
      <c r="J111" s="56">
        <f>'MEDICAMENTOS NT '!H109</f>
        <v>597.64</v>
      </c>
      <c r="K111" s="57">
        <f>'MEDICAMENTOS NT '!G109</f>
        <v>10</v>
      </c>
    </row>
    <row r="112" spans="1:11" ht="42" customHeight="1" thickBot="1" x14ac:dyDescent="0.25">
      <c r="A112" s="52">
        <v>101</v>
      </c>
      <c r="B112" s="53" t="str">
        <f>'MEDICAMENTOS NT '!B110</f>
        <v>2.5.2-1726.405</v>
      </c>
      <c r="C112" s="121" t="str">
        <f>'MEDICAMENTOS NT '!E110</f>
        <v>SOLUCIONES P/MEDICINA; TIPO: HIDROXIETIL ALMIDON, PRESENTACION: ENVASE X 500 mL</v>
      </c>
      <c r="D112" s="121"/>
      <c r="E112" s="121"/>
      <c r="F112" s="121"/>
      <c r="G112" s="121"/>
      <c r="H112" s="54" t="s">
        <v>290</v>
      </c>
      <c r="I112" s="55" t="str">
        <f>'MEDICAMENTOS NT '!F110</f>
        <v>Sachet</v>
      </c>
      <c r="J112" s="56">
        <f>'MEDICAMENTOS NT '!H110</f>
        <v>3932.28</v>
      </c>
      <c r="K112" s="57">
        <f>'MEDICAMENTOS NT '!G110</f>
        <v>20</v>
      </c>
    </row>
    <row r="113" spans="1:1024" ht="43.5" customHeight="1" thickBot="1" x14ac:dyDescent="0.25">
      <c r="A113" s="52">
        <v>102</v>
      </c>
      <c r="B113" s="53" t="str">
        <f>'MEDICAMENTOS NT '!B111</f>
        <v>2.5.2-3112.9</v>
      </c>
      <c r="C113" s="121" t="str">
        <f>'MEDICAMENTOS NT '!E111</f>
        <v>BACTERICIDAS; TIPO: ASOCIACION, DROGA GENERICA: SULFAMETOXAZOL + TRIMETOPRIMA, PRESENTACION: AMPOLLA</v>
      </c>
      <c r="D113" s="121"/>
      <c r="E113" s="121"/>
      <c r="F113" s="121"/>
      <c r="G113" s="121"/>
      <c r="H113" s="54" t="s">
        <v>290</v>
      </c>
      <c r="I113" s="55" t="str">
        <f>'MEDICAMENTOS NT '!F111</f>
        <v>Amp.</v>
      </c>
      <c r="J113" s="56">
        <f>'MEDICAMENTOS NT '!H111</f>
        <v>500.15</v>
      </c>
      <c r="K113" s="57">
        <f>'MEDICAMENTOS NT '!G111</f>
        <v>2000</v>
      </c>
    </row>
    <row r="114" spans="1:1024" ht="45.75" customHeight="1" thickBot="1" x14ac:dyDescent="0.25">
      <c r="A114" s="52">
        <v>103</v>
      </c>
      <c r="B114" s="53" t="str">
        <f>'MEDICAMENTOS NT '!B112</f>
        <v>2.5.2-1726.429</v>
      </c>
      <c r="C114" s="121" t="str">
        <f>'MEDICAMENTOS NT '!E112</f>
        <v>SOLUCIONES P/MEDICINA; TIPO: SULFATO DE BARIO 94,7 %, PRESENTACION: ENVASE X 340 GR</v>
      </c>
      <c r="D114" s="121"/>
      <c r="E114" s="121"/>
      <c r="F114" s="121"/>
      <c r="G114" s="121"/>
      <c r="H114" s="54" t="s">
        <v>290</v>
      </c>
      <c r="I114" s="55" t="str">
        <f>'MEDICAMENTOS NT '!F112</f>
        <v>Fco.</v>
      </c>
      <c r="J114" s="56">
        <f>'MEDICAMENTOS NT '!H112</f>
        <v>5550.49</v>
      </c>
      <c r="K114" s="57">
        <f>'MEDICAMENTOS NT '!G112</f>
        <v>8</v>
      </c>
    </row>
    <row r="115" spans="1:1024" ht="42" customHeight="1" thickBot="1" x14ac:dyDescent="0.25">
      <c r="A115" s="52">
        <v>104</v>
      </c>
      <c r="B115" s="53" t="str">
        <f>'MEDICAMENTOS NT '!B113</f>
        <v>2.5.2-1726.387</v>
      </c>
      <c r="C115" s="121" t="str">
        <f>'MEDICAMENTOS NT '!E113</f>
        <v>SOLUCIONES P/MEDICINA; TIPO: SULFATO DE BARIO 66.7%, PRESENTACION: ENVASE X 500 mL</v>
      </c>
      <c r="D115" s="121"/>
      <c r="E115" s="121"/>
      <c r="F115" s="121"/>
      <c r="G115" s="121"/>
      <c r="H115" s="54" t="s">
        <v>290</v>
      </c>
      <c r="I115" s="55" t="str">
        <f>'MEDICAMENTOS NT '!F113</f>
        <v>Fco.</v>
      </c>
      <c r="J115" s="56">
        <f>'MEDICAMENTOS NT '!H113</f>
        <v>6384</v>
      </c>
      <c r="K115" s="57">
        <f>'MEDICAMENTOS NT '!G113</f>
        <v>8</v>
      </c>
    </row>
    <row r="116" spans="1:1024" ht="39.75" customHeight="1" thickBot="1" x14ac:dyDescent="0.25">
      <c r="A116" s="52">
        <v>105</v>
      </c>
      <c r="B116" s="53" t="str">
        <f>'MEDICAMENTOS NT '!B114</f>
        <v>2.5.2-1901.39</v>
      </c>
      <c r="C116" s="121" t="str">
        <f>'MEDICAMENTOS NT '!E114</f>
        <v>VITAMINAS; TIPO: MONODROGA, DROGA GENERICA: VITAMINA K, FORMA FARMACEUTICA: AMPOLLA, PRESENTACION: 10 mGr</v>
      </c>
      <c r="D116" s="121"/>
      <c r="E116" s="121"/>
      <c r="F116" s="121"/>
      <c r="G116" s="121"/>
      <c r="H116" s="54" t="s">
        <v>290</v>
      </c>
      <c r="I116" s="55" t="str">
        <f>'MEDICAMENTOS NT '!F114</f>
        <v>Amp.</v>
      </c>
      <c r="J116" s="56">
        <f>'MEDICAMENTOS NT '!H114</f>
        <v>43.2</v>
      </c>
      <c r="K116" s="57">
        <f>'MEDICAMENTOS NT '!G114</f>
        <v>300</v>
      </c>
    </row>
    <row r="117" spans="1:1024" ht="48" customHeight="1" thickBot="1" x14ac:dyDescent="0.25">
      <c r="A117" s="52">
        <v>106</v>
      </c>
      <c r="B117" s="53" t="str">
        <f>'MEDICAMENTOS NT '!B115</f>
        <v>2.5.2-1821.296</v>
      </c>
      <c r="C117" s="121" t="str">
        <f>'MEDICAMENTOS NT '!E115</f>
        <v>ANTIBIOTICOS P/PERSONAS; TIPO: SIN VALOR, DROGA GENERICA: TOBRAMICINA + DEXA +NAFAZOLINA, FORMA FARMACEUTICA: COLIRIO, PRESENTACION: 5 mL</v>
      </c>
      <c r="D117" s="121"/>
      <c r="E117" s="121"/>
      <c r="F117" s="121"/>
      <c r="G117" s="121"/>
      <c r="H117" s="54" t="s">
        <v>290</v>
      </c>
      <c r="I117" s="55" t="str">
        <f>'MEDICAMENTOS NT '!F115</f>
        <v>FCO.</v>
      </c>
      <c r="J117" s="56">
        <f>'MEDICAMENTOS NT '!H115</f>
        <v>58.8</v>
      </c>
      <c r="K117" s="57">
        <f>'MEDICAMENTOS NT '!G115</f>
        <v>20</v>
      </c>
    </row>
    <row r="118" spans="1:1024" ht="42" customHeight="1" thickBot="1" x14ac:dyDescent="0.25">
      <c r="A118" s="52">
        <v>107</v>
      </c>
      <c r="B118" s="53" t="str">
        <f>'MEDICAMENTOS NT '!B116</f>
        <v>2.5.2-8784.12</v>
      </c>
      <c r="C118" s="121" t="str">
        <f>'MEDICAMENTOS NT '!E116</f>
        <v>ANTIHEMOFILICOS; DROGA GENERICA: FACTOR COAG.II, VII, IX, X, FORMA FARMACEUTICA: FRASCO AMPOLLA, PRESENTACION: 500 UI, TIPO: ASOCIACION</v>
      </c>
      <c r="D118" s="121"/>
      <c r="E118" s="121"/>
      <c r="F118" s="121"/>
      <c r="G118" s="121"/>
      <c r="H118" s="54" t="s">
        <v>290</v>
      </c>
      <c r="I118" s="55" t="str">
        <f>'MEDICAMENTOS NT '!F116</f>
        <v>Fco.amp.</v>
      </c>
      <c r="J118" s="56">
        <f>'MEDICAMENTOS NT '!H116</f>
        <v>42450.96</v>
      </c>
      <c r="K118" s="57">
        <f>'MEDICAMENTOS NT '!G116</f>
        <v>10</v>
      </c>
    </row>
    <row r="119" spans="1:1024" ht="45" customHeight="1" thickBot="1" x14ac:dyDescent="0.25">
      <c r="A119" s="52">
        <v>108</v>
      </c>
      <c r="B119" s="53" t="str">
        <f>'MEDICAMENTOS NT '!B117</f>
        <v>2.5.2-1726.514</v>
      </c>
      <c r="C119" s="121" t="str">
        <f>'MEDICAMENTOS NT '!E117</f>
        <v>SOLUCIONES P/MEDICINA; TIPO: Gadoterato de meglumina (solución inyectable intravenosa) – Presentación: frasco ampolla x 15 ml. Contraste para Resonancia Magnética</v>
      </c>
      <c r="D119" s="121"/>
      <c r="E119" s="121"/>
      <c r="F119" s="121"/>
      <c r="G119" s="121"/>
      <c r="H119" s="54" t="s">
        <v>290</v>
      </c>
      <c r="I119" s="55" t="str">
        <f>'MEDICAMENTOS NT '!F117</f>
        <v>Fco.</v>
      </c>
      <c r="J119" s="56">
        <f>'MEDICAMENTOS NT '!H117</f>
        <v>12608.54</v>
      </c>
      <c r="K119" s="57">
        <f>'MEDICAMENTOS NT '!G117</f>
        <v>300</v>
      </c>
    </row>
    <row r="120" spans="1:1024" ht="33" customHeight="1" thickBot="1" x14ac:dyDescent="0.25">
      <c r="A120" s="52">
        <v>109</v>
      </c>
      <c r="B120" s="53" t="str">
        <f>'MEDICAMENTOS NT '!B118</f>
        <v>2.5.2-1726.512</v>
      </c>
      <c r="C120" s="121" t="str">
        <f>'MEDICAMENTOS NT '!E118</f>
        <v>SOLUCIONES P/MEDICINA; TIPO: DIATRIZOATO DE MEGLUMINA + DIATRIZOATO DE SODIO; PRESENTACION: FRASCO x 120 ml.</v>
      </c>
      <c r="D120" s="121"/>
      <c r="E120" s="121"/>
      <c r="F120" s="121"/>
      <c r="G120" s="121"/>
      <c r="H120" s="54" t="s">
        <v>290</v>
      </c>
      <c r="I120" s="55" t="str">
        <f>'MEDICAMENTOS NT '!F118</f>
        <v>Fco.</v>
      </c>
      <c r="J120" s="56">
        <f>'MEDICAMENTOS NT '!H118</f>
        <v>547.20000000000005</v>
      </c>
      <c r="K120" s="57">
        <f>'MEDICAMENTOS NT '!G118</f>
        <v>200</v>
      </c>
    </row>
    <row r="121" spans="1:1024" ht="48" customHeight="1" thickBot="1" x14ac:dyDescent="0.25">
      <c r="A121" s="52">
        <v>110</v>
      </c>
      <c r="B121" s="53" t="str">
        <f>'MEDICAMENTOS NT '!B119</f>
        <v>2.5.2-1726.513</v>
      </c>
      <c r="C121" s="121" t="str">
        <f>'MEDICAMENTOS NT '!E119</f>
        <v>SOLUCIONES P/MEDICINA; TIPO: AMIDOTRIZOATO DE MEGLUMINA 50 MG X 50 ML; PRESENTACION: FRASCO/AMPOLLA</v>
      </c>
      <c r="D121" s="121"/>
      <c r="E121" s="121"/>
      <c r="F121" s="121"/>
      <c r="G121" s="121"/>
      <c r="H121" s="54" t="s">
        <v>290</v>
      </c>
      <c r="I121" s="55" t="str">
        <f>'MEDICAMENTOS NT '!F119</f>
        <v>Fco.</v>
      </c>
      <c r="J121" s="56">
        <f>'MEDICAMENTOS NT '!H119</f>
        <v>504</v>
      </c>
      <c r="K121" s="57">
        <f>'MEDICAMENTOS NT '!G119</f>
        <v>200</v>
      </c>
    </row>
    <row r="122" spans="1:1024" ht="35.25" customHeight="1" thickBot="1" x14ac:dyDescent="0.25">
      <c r="A122" s="52">
        <v>111</v>
      </c>
      <c r="B122" s="53" t="str">
        <f>'MEDICAMENTOS NT '!B120</f>
        <v>2.5.2-1726.518</v>
      </c>
      <c r="C122" s="121" t="str">
        <f>'MEDICAMENTOS NT '!E120</f>
        <v>SOLUCIONES P/MEDICINA; TIPO: AMIDOTRIZOATO DE MEGLUMINA 60 MG X 50 ML; PRESENTACION: FRASCO/AMPOLLA</v>
      </c>
      <c r="D122" s="121"/>
      <c r="E122" s="121"/>
      <c r="F122" s="121"/>
      <c r="G122" s="121"/>
      <c r="H122" s="54" t="s">
        <v>290</v>
      </c>
      <c r="I122" s="55" t="str">
        <f>'MEDICAMENTOS NT '!F120</f>
        <v>Fco.</v>
      </c>
      <c r="J122" s="56">
        <f>'MEDICAMENTOS NT '!H120</f>
        <v>2147.7800000000002</v>
      </c>
      <c r="K122" s="57">
        <f>'MEDICAMENTOS NT '!G120</f>
        <v>100</v>
      </c>
    </row>
    <row r="123" spans="1:1024" ht="36" customHeight="1" thickBot="1" x14ac:dyDescent="0.25">
      <c r="A123" s="52">
        <v>112</v>
      </c>
      <c r="B123" s="53" t="str">
        <f>'MEDICAMENTOS NT '!B121</f>
        <v>2.5.2-1726.514</v>
      </c>
      <c r="C123" s="121" t="str">
        <f>'MEDICAMENTOS NT '!E121</f>
        <v>SOLUCIONES P/MEDICINA; TIPO: CONTRASTE P/RESONANCIA - GADOBUTROL 7,5 ML; PRESENTACION: FRASCO/AMPOLLA</v>
      </c>
      <c r="D123" s="121"/>
      <c r="E123" s="121"/>
      <c r="F123" s="121"/>
      <c r="G123" s="121"/>
      <c r="H123" s="54" t="s">
        <v>290</v>
      </c>
      <c r="I123" s="55" t="str">
        <f>'MEDICAMENTOS NT '!F121</f>
        <v>Frasco</v>
      </c>
      <c r="J123" s="56">
        <f>'MEDICAMENTOS NT '!H121</f>
        <v>13056.84</v>
      </c>
      <c r="K123" s="57">
        <f>'MEDICAMENTOS NT '!G121</f>
        <v>60</v>
      </c>
    </row>
    <row r="124" spans="1:1024" ht="20.25" customHeight="1" thickBot="1" x14ac:dyDescent="0.25">
      <c r="A124" s="52">
        <v>113</v>
      </c>
      <c r="B124" s="53" t="str">
        <f>'MEDICAMENTOS NT '!B122</f>
        <v>2.5.2-711.32</v>
      </c>
      <c r="C124" s="121" t="str">
        <f>'MEDICAMENTOS NT '!E122</f>
        <v>ALCOHOL USO MEDICINAL; PUREZA: 96 %, PRESENTACION: ENVASE X 1000 CM3</v>
      </c>
      <c r="D124" s="121"/>
      <c r="E124" s="121"/>
      <c r="F124" s="121"/>
      <c r="G124" s="121"/>
      <c r="H124" s="54" t="s">
        <v>290</v>
      </c>
      <c r="I124" s="55" t="str">
        <f>'MEDICAMENTOS NT '!F122</f>
        <v>LITRO</v>
      </c>
      <c r="J124" s="56">
        <f>'MEDICAMENTOS NT '!H122</f>
        <v>210</v>
      </c>
      <c r="K124" s="57">
        <f>'MEDICAMENTOS NT '!G122</f>
        <v>2081</v>
      </c>
    </row>
    <row r="125" spans="1:1024" ht="20.25" customHeight="1" thickBot="1" x14ac:dyDescent="0.25">
      <c r="A125" s="52">
        <v>114</v>
      </c>
      <c r="B125" s="53" t="str">
        <f>'MEDICAMENTOS NT '!B123</f>
        <v>2.5.2-711.13</v>
      </c>
      <c r="C125" s="121" t="str">
        <f>'MEDICAMENTOS NT '!E123</f>
        <v>ALCOHOL USO MEDICINAL; PUREZA: 99,8 %, CAPACIDAD: 1 L, PRESENTACION: ENVASE X 1 L</v>
      </c>
      <c r="D125" s="121"/>
      <c r="E125" s="121"/>
      <c r="F125" s="121"/>
      <c r="G125" s="121"/>
      <c r="H125" s="54" t="s">
        <v>290</v>
      </c>
      <c r="I125" s="55" t="str">
        <f>'MEDICAMENTOS NT '!F123</f>
        <v>LITRO</v>
      </c>
      <c r="J125" s="56">
        <f>'MEDICAMENTOS NT '!H123</f>
        <v>490</v>
      </c>
      <c r="K125" s="57">
        <f>'MEDICAMENTOS NT '!G123</f>
        <v>41</v>
      </c>
    </row>
    <row r="126" spans="1:1024" ht="33" customHeight="1" thickBot="1" x14ac:dyDescent="0.25">
      <c r="A126" s="52">
        <v>115</v>
      </c>
      <c r="B126" s="53" t="str">
        <f>'MEDICAMENTOS NT '!B124</f>
        <v>2.5.2-1726.23</v>
      </c>
      <c r="C126" s="121" t="str">
        <f>'MEDICAMENTOS NT '!E124</f>
        <v>SOLUCIONES P/MEDICINA; PRESENTACION: ENVASE X 500 mL, TIPO: FISIOLOGICA</v>
      </c>
      <c r="D126" s="121"/>
      <c r="E126" s="121"/>
      <c r="F126" s="121"/>
      <c r="G126" s="121"/>
      <c r="H126" s="54" t="s">
        <v>290</v>
      </c>
      <c r="I126" s="55" t="str">
        <f>'MEDICAMENTOS NT '!F124</f>
        <v>Sachet</v>
      </c>
      <c r="J126" s="56">
        <f>'MEDICAMENTOS NT '!H124</f>
        <v>135.6</v>
      </c>
      <c r="K126" s="57">
        <f>'MEDICAMENTOS NT '!G124</f>
        <v>40000</v>
      </c>
    </row>
    <row r="127" spans="1:1024" ht="20.25" customHeight="1" thickBot="1" x14ac:dyDescent="0.25">
      <c r="A127" s="130" t="s">
        <v>328</v>
      </c>
      <c r="B127" s="130"/>
      <c r="C127" s="130"/>
      <c r="D127" s="130"/>
      <c r="E127" s="130"/>
      <c r="F127" s="130"/>
      <c r="G127" s="130"/>
      <c r="H127" s="130"/>
      <c r="I127" s="130"/>
      <c r="J127" s="131">
        <f>SUMPRODUCT(J12:J126,K12:K126)</f>
        <v>34036260.909999996</v>
      </c>
      <c r="K127" s="131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  <c r="FI127" s="58"/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8"/>
      <c r="FU127" s="58"/>
      <c r="FV127" s="58"/>
      <c r="FW127" s="58"/>
      <c r="FX127" s="58"/>
      <c r="FY127" s="58"/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8"/>
      <c r="GK127" s="58"/>
      <c r="GL127" s="58"/>
      <c r="GM127" s="58"/>
      <c r="GN127" s="58"/>
      <c r="GO127" s="58"/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8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58"/>
      <c r="HO127" s="58"/>
      <c r="HP127" s="58"/>
      <c r="HQ127" s="58"/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8"/>
      <c r="IC127" s="58"/>
      <c r="ID127" s="58"/>
      <c r="IE127" s="58"/>
      <c r="IF127" s="58"/>
      <c r="IG127" s="58"/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8"/>
      <c r="IS127" s="58"/>
      <c r="IT127" s="58"/>
      <c r="IU127" s="58"/>
      <c r="IV127" s="58"/>
      <c r="IW127" s="58"/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8"/>
      <c r="JI127" s="58"/>
      <c r="JJ127" s="58"/>
      <c r="JK127" s="58"/>
      <c r="JL127" s="58"/>
      <c r="JM127" s="58"/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8"/>
      <c r="JY127" s="58"/>
      <c r="JZ127" s="58"/>
      <c r="KA127" s="58"/>
      <c r="KB127" s="58"/>
      <c r="KC127" s="58"/>
      <c r="KD127" s="58"/>
      <c r="KE127" s="58"/>
      <c r="KF127" s="58"/>
      <c r="KG127" s="58"/>
      <c r="KH127" s="58"/>
      <c r="KI127" s="58"/>
      <c r="KJ127" s="58"/>
      <c r="KK127" s="58"/>
      <c r="KL127" s="58"/>
      <c r="KM127" s="58"/>
      <c r="KN127" s="58"/>
      <c r="KO127" s="58"/>
      <c r="KP127" s="58"/>
      <c r="KQ127" s="58"/>
      <c r="KR127" s="58"/>
      <c r="KS127" s="58"/>
      <c r="KT127" s="58"/>
      <c r="KU127" s="58"/>
      <c r="KV127" s="58"/>
      <c r="KW127" s="58"/>
      <c r="KX127" s="58"/>
      <c r="KY127" s="58"/>
      <c r="KZ127" s="58"/>
      <c r="LA127" s="58"/>
      <c r="LB127" s="58"/>
      <c r="LC127" s="58"/>
      <c r="LD127" s="58"/>
      <c r="LE127" s="58"/>
      <c r="LF127" s="58"/>
      <c r="LG127" s="58"/>
      <c r="LH127" s="58"/>
      <c r="LI127" s="58"/>
      <c r="LJ127" s="58"/>
      <c r="LK127" s="58"/>
      <c r="LL127" s="58"/>
      <c r="LM127" s="58"/>
      <c r="LN127" s="58"/>
      <c r="LO127" s="58"/>
      <c r="LP127" s="58"/>
      <c r="LQ127" s="58"/>
      <c r="LR127" s="58"/>
      <c r="LS127" s="58"/>
      <c r="LT127" s="58"/>
      <c r="LU127" s="58"/>
      <c r="LV127" s="58"/>
      <c r="LW127" s="58"/>
      <c r="LX127" s="58"/>
      <c r="LY127" s="58"/>
      <c r="LZ127" s="58"/>
      <c r="MA127" s="58"/>
      <c r="MB127" s="58"/>
      <c r="MC127" s="58"/>
      <c r="MD127" s="58"/>
      <c r="ME127" s="58"/>
      <c r="MF127" s="58"/>
      <c r="MG127" s="58"/>
      <c r="MH127" s="58"/>
      <c r="MI127" s="58"/>
      <c r="MJ127" s="58"/>
      <c r="MK127" s="58"/>
      <c r="ML127" s="58"/>
      <c r="MM127" s="58"/>
      <c r="MN127" s="58"/>
      <c r="MO127" s="58"/>
      <c r="MP127" s="58"/>
      <c r="MQ127" s="58"/>
      <c r="MR127" s="58"/>
      <c r="MS127" s="58"/>
      <c r="MT127" s="58"/>
      <c r="MU127" s="58"/>
      <c r="MV127" s="58"/>
      <c r="MW127" s="58"/>
      <c r="MX127" s="58"/>
      <c r="MY127" s="58"/>
      <c r="MZ127" s="58"/>
      <c r="NA127" s="58"/>
      <c r="NB127" s="58"/>
      <c r="NC127" s="58"/>
      <c r="ND127" s="58"/>
      <c r="NE127" s="58"/>
      <c r="NF127" s="58"/>
      <c r="NG127" s="58"/>
      <c r="NH127" s="58"/>
      <c r="NI127" s="58"/>
      <c r="NJ127" s="58"/>
      <c r="NK127" s="58"/>
      <c r="NL127" s="58"/>
      <c r="NM127" s="58"/>
      <c r="NN127" s="58"/>
      <c r="NO127" s="58"/>
      <c r="NP127" s="58"/>
      <c r="NQ127" s="58"/>
      <c r="NR127" s="58"/>
      <c r="NS127" s="58"/>
      <c r="NT127" s="58"/>
      <c r="NU127" s="58"/>
      <c r="NV127" s="58"/>
      <c r="NW127" s="58"/>
      <c r="NX127" s="58"/>
      <c r="NY127" s="58"/>
      <c r="NZ127" s="58"/>
      <c r="OA127" s="58"/>
      <c r="OB127" s="58"/>
      <c r="OC127" s="58"/>
      <c r="OD127" s="58"/>
      <c r="OE127" s="58"/>
      <c r="OF127" s="58"/>
      <c r="OG127" s="58"/>
      <c r="OH127" s="58"/>
      <c r="OI127" s="58"/>
      <c r="OJ127" s="58"/>
      <c r="OK127" s="58"/>
      <c r="OL127" s="58"/>
      <c r="OM127" s="58"/>
      <c r="ON127" s="58"/>
      <c r="OO127" s="58"/>
      <c r="OP127" s="58"/>
      <c r="OQ127" s="58"/>
      <c r="OR127" s="58"/>
      <c r="OS127" s="58"/>
      <c r="OT127" s="58"/>
      <c r="OU127" s="58"/>
      <c r="OV127" s="58"/>
      <c r="OW127" s="58"/>
      <c r="OX127" s="58"/>
      <c r="OY127" s="58"/>
      <c r="OZ127" s="58"/>
      <c r="PA127" s="58"/>
      <c r="PB127" s="58"/>
      <c r="PC127" s="58"/>
      <c r="PD127" s="58"/>
      <c r="PE127" s="58"/>
      <c r="PF127" s="58"/>
      <c r="PG127" s="58"/>
      <c r="PH127" s="58"/>
      <c r="PI127" s="58"/>
      <c r="PJ127" s="58"/>
      <c r="PK127" s="58"/>
      <c r="PL127" s="58"/>
      <c r="PM127" s="58"/>
      <c r="PN127" s="58"/>
      <c r="PO127" s="58"/>
      <c r="PP127" s="58"/>
      <c r="PQ127" s="58"/>
      <c r="PR127" s="58"/>
      <c r="PS127" s="58"/>
      <c r="PT127" s="58"/>
      <c r="PU127" s="58"/>
      <c r="PV127" s="58"/>
      <c r="PW127" s="58"/>
      <c r="PX127" s="58"/>
      <c r="PY127" s="58"/>
      <c r="PZ127" s="58"/>
      <c r="QA127" s="58"/>
      <c r="QB127" s="58"/>
      <c r="QC127" s="58"/>
      <c r="QD127" s="58"/>
      <c r="QE127" s="58"/>
      <c r="QF127" s="58"/>
      <c r="QG127" s="58"/>
      <c r="QH127" s="58"/>
      <c r="QI127" s="58"/>
      <c r="QJ127" s="58"/>
      <c r="QK127" s="58"/>
      <c r="QL127" s="58"/>
      <c r="QM127" s="58"/>
      <c r="QN127" s="58"/>
      <c r="QO127" s="58"/>
      <c r="QP127" s="58"/>
      <c r="QQ127" s="58"/>
      <c r="QR127" s="58"/>
      <c r="QS127" s="58"/>
      <c r="QT127" s="58"/>
      <c r="QU127" s="58"/>
      <c r="QV127" s="58"/>
      <c r="QW127" s="58"/>
      <c r="QX127" s="58"/>
      <c r="QY127" s="58"/>
      <c r="QZ127" s="58"/>
      <c r="RA127" s="58"/>
      <c r="RB127" s="58"/>
      <c r="RC127" s="58"/>
      <c r="RD127" s="58"/>
      <c r="RE127" s="58"/>
      <c r="RF127" s="58"/>
      <c r="RG127" s="58"/>
      <c r="RH127" s="58"/>
      <c r="RI127" s="58"/>
      <c r="RJ127" s="58"/>
      <c r="RK127" s="58"/>
      <c r="RL127" s="58"/>
      <c r="RM127" s="58"/>
      <c r="RN127" s="58"/>
      <c r="RO127" s="58"/>
      <c r="RP127" s="58"/>
      <c r="RQ127" s="58"/>
      <c r="RR127" s="58"/>
      <c r="RS127" s="58"/>
      <c r="RT127" s="58"/>
      <c r="RU127" s="58"/>
      <c r="RV127" s="58"/>
      <c r="RW127" s="58"/>
      <c r="RX127" s="58"/>
      <c r="RY127" s="58"/>
      <c r="RZ127" s="58"/>
      <c r="SA127" s="58"/>
      <c r="SB127" s="58"/>
      <c r="SC127" s="58"/>
      <c r="SD127" s="58"/>
      <c r="SE127" s="58"/>
      <c r="SF127" s="58"/>
      <c r="SG127" s="58"/>
      <c r="SH127" s="58"/>
      <c r="SI127" s="58"/>
      <c r="SJ127" s="58"/>
      <c r="SK127" s="58"/>
      <c r="SL127" s="58"/>
      <c r="SM127" s="58"/>
      <c r="SN127" s="58"/>
      <c r="SO127" s="58"/>
      <c r="SP127" s="58"/>
      <c r="SQ127" s="58"/>
      <c r="SR127" s="58"/>
      <c r="SS127" s="58"/>
      <c r="ST127" s="58"/>
      <c r="SU127" s="58"/>
      <c r="SV127" s="58"/>
      <c r="SW127" s="58"/>
      <c r="SX127" s="58"/>
      <c r="SY127" s="58"/>
      <c r="SZ127" s="58"/>
      <c r="TA127" s="58"/>
      <c r="TB127" s="58"/>
      <c r="TC127" s="58"/>
      <c r="TD127" s="58"/>
      <c r="TE127" s="58"/>
      <c r="TF127" s="58"/>
      <c r="TG127" s="58"/>
      <c r="TH127" s="58"/>
      <c r="TI127" s="58"/>
      <c r="TJ127" s="58"/>
      <c r="TK127" s="58"/>
      <c r="TL127" s="58"/>
      <c r="TM127" s="58"/>
      <c r="TN127" s="58"/>
      <c r="TO127" s="58"/>
      <c r="TP127" s="58"/>
      <c r="TQ127" s="58"/>
      <c r="TR127" s="58"/>
      <c r="TS127" s="58"/>
      <c r="TT127" s="58"/>
      <c r="TU127" s="58"/>
      <c r="TV127" s="58"/>
      <c r="TW127" s="58"/>
      <c r="TX127" s="58"/>
      <c r="TY127" s="58"/>
      <c r="TZ127" s="58"/>
      <c r="UA127" s="58"/>
      <c r="UB127" s="58"/>
      <c r="UC127" s="58"/>
      <c r="UD127" s="58"/>
      <c r="UE127" s="58"/>
      <c r="UF127" s="58"/>
      <c r="UG127" s="58"/>
      <c r="UH127" s="58"/>
      <c r="UI127" s="58"/>
      <c r="UJ127" s="58"/>
      <c r="UK127" s="58"/>
      <c r="UL127" s="58"/>
      <c r="UM127" s="58"/>
      <c r="UN127" s="58"/>
      <c r="UO127" s="58"/>
      <c r="UP127" s="58"/>
      <c r="UQ127" s="58"/>
      <c r="UR127" s="58"/>
      <c r="US127" s="58"/>
      <c r="UT127" s="58"/>
      <c r="UU127" s="58"/>
      <c r="UV127" s="58"/>
      <c r="UW127" s="58"/>
      <c r="UX127" s="58"/>
      <c r="UY127" s="58"/>
      <c r="UZ127" s="58"/>
      <c r="VA127" s="58"/>
      <c r="VB127" s="58"/>
      <c r="VC127" s="58"/>
      <c r="VD127" s="58"/>
      <c r="VE127" s="58"/>
      <c r="VF127" s="58"/>
      <c r="VG127" s="58"/>
      <c r="VH127" s="58"/>
      <c r="VI127" s="58"/>
      <c r="VJ127" s="58"/>
      <c r="VK127" s="58"/>
      <c r="VL127" s="58"/>
      <c r="VM127" s="58"/>
      <c r="VN127" s="58"/>
      <c r="VO127" s="58"/>
      <c r="VP127" s="58"/>
      <c r="VQ127" s="58"/>
      <c r="VR127" s="58"/>
      <c r="VS127" s="58"/>
      <c r="VT127" s="58"/>
      <c r="VU127" s="58"/>
      <c r="VV127" s="58"/>
      <c r="VW127" s="58"/>
      <c r="VX127" s="58"/>
      <c r="VY127" s="58"/>
      <c r="VZ127" s="58"/>
      <c r="WA127" s="58"/>
      <c r="WB127" s="58"/>
      <c r="WC127" s="58"/>
      <c r="WD127" s="58"/>
      <c r="WE127" s="58"/>
      <c r="WF127" s="58"/>
      <c r="WG127" s="58"/>
      <c r="WH127" s="58"/>
      <c r="WI127" s="58"/>
      <c r="WJ127" s="58"/>
      <c r="WK127" s="58"/>
      <c r="WL127" s="58"/>
      <c r="WM127" s="58"/>
      <c r="WN127" s="58"/>
      <c r="WO127" s="58"/>
      <c r="WP127" s="58"/>
      <c r="WQ127" s="58"/>
      <c r="WR127" s="58"/>
      <c r="WS127" s="58"/>
      <c r="WT127" s="58"/>
      <c r="WU127" s="58"/>
      <c r="WV127" s="58"/>
      <c r="WW127" s="58"/>
      <c r="WX127" s="58"/>
      <c r="WY127" s="58"/>
      <c r="WZ127" s="58"/>
      <c r="XA127" s="58"/>
      <c r="XB127" s="58"/>
      <c r="XC127" s="58"/>
      <c r="XD127" s="58"/>
      <c r="XE127" s="58"/>
      <c r="XF127" s="58"/>
      <c r="XG127" s="58"/>
      <c r="XH127" s="58"/>
      <c r="XI127" s="58"/>
      <c r="XJ127" s="58"/>
      <c r="XK127" s="58"/>
      <c r="XL127" s="58"/>
      <c r="XM127" s="58"/>
      <c r="XN127" s="58"/>
      <c r="XO127" s="58"/>
      <c r="XP127" s="58"/>
      <c r="XQ127" s="58"/>
      <c r="XR127" s="58"/>
      <c r="XS127" s="58"/>
      <c r="XT127" s="58"/>
      <c r="XU127" s="58"/>
      <c r="XV127" s="58"/>
      <c r="XW127" s="58"/>
      <c r="XX127" s="58"/>
      <c r="XY127" s="58"/>
      <c r="XZ127" s="58"/>
      <c r="YA127" s="58"/>
      <c r="YB127" s="58"/>
      <c r="YC127" s="58"/>
      <c r="YD127" s="58"/>
      <c r="YE127" s="58"/>
      <c r="YF127" s="58"/>
      <c r="YG127" s="58"/>
      <c r="YH127" s="58"/>
      <c r="YI127" s="58"/>
      <c r="YJ127" s="58"/>
      <c r="YK127" s="58"/>
      <c r="YL127" s="58"/>
      <c r="YM127" s="58"/>
      <c r="YN127" s="58"/>
      <c r="YO127" s="58"/>
      <c r="YP127" s="58"/>
      <c r="YQ127" s="58"/>
      <c r="YR127" s="58"/>
      <c r="YS127" s="58"/>
      <c r="YT127" s="58"/>
      <c r="YU127" s="58"/>
      <c r="YV127" s="58"/>
      <c r="YW127" s="58"/>
      <c r="YX127" s="58"/>
      <c r="YY127" s="58"/>
      <c r="YZ127" s="58"/>
      <c r="ZA127" s="58"/>
      <c r="ZB127" s="58"/>
      <c r="ZC127" s="58"/>
      <c r="ZD127" s="58"/>
      <c r="ZE127" s="58"/>
      <c r="ZF127" s="58"/>
      <c r="ZG127" s="58"/>
      <c r="ZH127" s="58"/>
      <c r="ZI127" s="58"/>
      <c r="ZJ127" s="58"/>
      <c r="ZK127" s="58"/>
      <c r="ZL127" s="58"/>
      <c r="ZM127" s="58"/>
      <c r="ZN127" s="58"/>
      <c r="ZO127" s="58"/>
      <c r="ZP127" s="58"/>
      <c r="ZQ127" s="58"/>
      <c r="ZR127" s="58"/>
      <c r="ZS127" s="58"/>
      <c r="ZT127" s="58"/>
      <c r="ZU127" s="58"/>
      <c r="ZV127" s="58"/>
      <c r="ZW127" s="58"/>
      <c r="ZX127" s="58"/>
      <c r="ZY127" s="58"/>
      <c r="ZZ127" s="58"/>
      <c r="AAA127" s="58"/>
      <c r="AAB127" s="58"/>
      <c r="AAC127" s="58"/>
      <c r="AAD127" s="58"/>
      <c r="AAE127" s="58"/>
      <c r="AAF127" s="58"/>
      <c r="AAG127" s="58"/>
      <c r="AAH127" s="58"/>
      <c r="AAI127" s="58"/>
      <c r="AAJ127" s="58"/>
      <c r="AAK127" s="58"/>
      <c r="AAL127" s="58"/>
      <c r="AAM127" s="58"/>
      <c r="AAN127" s="58"/>
      <c r="AAO127" s="58"/>
      <c r="AAP127" s="58"/>
      <c r="AAQ127" s="58"/>
      <c r="AAR127" s="58"/>
      <c r="AAS127" s="58"/>
      <c r="AAT127" s="58"/>
      <c r="AAU127" s="58"/>
      <c r="AAV127" s="58"/>
      <c r="AAW127" s="58"/>
      <c r="AAX127" s="58"/>
      <c r="AAY127" s="58"/>
      <c r="AAZ127" s="58"/>
      <c r="ABA127" s="58"/>
      <c r="ABB127" s="58"/>
      <c r="ABC127" s="58"/>
      <c r="ABD127" s="58"/>
      <c r="ABE127" s="58"/>
      <c r="ABF127" s="58"/>
      <c r="ABG127" s="58"/>
      <c r="ABH127" s="58"/>
      <c r="ABI127" s="58"/>
      <c r="ABJ127" s="58"/>
      <c r="ABK127" s="58"/>
      <c r="ABL127" s="58"/>
      <c r="ABM127" s="58"/>
      <c r="ABN127" s="58"/>
      <c r="ABO127" s="58"/>
      <c r="ABP127" s="58"/>
      <c r="ABQ127" s="58"/>
      <c r="ABR127" s="58"/>
      <c r="ABS127" s="58"/>
      <c r="ABT127" s="58"/>
      <c r="ABU127" s="58"/>
      <c r="ABV127" s="58"/>
      <c r="ABW127" s="58"/>
      <c r="ABX127" s="58"/>
      <c r="ABY127" s="58"/>
      <c r="ABZ127" s="58"/>
      <c r="ACA127" s="58"/>
      <c r="ACB127" s="58"/>
      <c r="ACC127" s="58"/>
      <c r="ACD127" s="58"/>
      <c r="ACE127" s="58"/>
      <c r="ACF127" s="58"/>
      <c r="ACG127" s="58"/>
      <c r="ACH127" s="58"/>
      <c r="ACI127" s="58"/>
      <c r="ACJ127" s="58"/>
      <c r="ACK127" s="58"/>
      <c r="ACL127" s="58"/>
      <c r="ACM127" s="58"/>
      <c r="ACN127" s="58"/>
      <c r="ACO127" s="58"/>
      <c r="ACP127" s="58"/>
      <c r="ACQ127" s="58"/>
      <c r="ACR127" s="58"/>
      <c r="ACS127" s="58"/>
      <c r="ACT127" s="58"/>
      <c r="ACU127" s="58"/>
      <c r="ACV127" s="58"/>
      <c r="ACW127" s="58"/>
      <c r="ACX127" s="58"/>
      <c r="ACY127" s="58"/>
      <c r="ACZ127" s="58"/>
      <c r="ADA127" s="58"/>
      <c r="ADB127" s="58"/>
      <c r="ADC127" s="58"/>
      <c r="ADD127" s="58"/>
      <c r="ADE127" s="58"/>
      <c r="ADF127" s="58"/>
      <c r="ADG127" s="58"/>
      <c r="ADH127" s="58"/>
      <c r="ADI127" s="58"/>
      <c r="ADJ127" s="58"/>
      <c r="ADK127" s="58"/>
      <c r="ADL127" s="58"/>
      <c r="ADM127" s="58"/>
      <c r="ADN127" s="58"/>
      <c r="ADO127" s="58"/>
      <c r="ADP127" s="58"/>
      <c r="ADQ127" s="58"/>
      <c r="ADR127" s="58"/>
      <c r="ADS127" s="58"/>
      <c r="ADT127" s="58"/>
      <c r="ADU127" s="58"/>
      <c r="ADV127" s="58"/>
      <c r="ADW127" s="58"/>
      <c r="ADX127" s="58"/>
      <c r="ADY127" s="58"/>
      <c r="ADZ127" s="58"/>
      <c r="AEA127" s="58"/>
      <c r="AEB127" s="58"/>
      <c r="AEC127" s="58"/>
      <c r="AED127" s="58"/>
      <c r="AEE127" s="58"/>
      <c r="AEF127" s="58"/>
      <c r="AEG127" s="58"/>
      <c r="AEH127" s="58"/>
      <c r="AEI127" s="58"/>
      <c r="AEJ127" s="58"/>
      <c r="AEK127" s="58"/>
      <c r="AEL127" s="58"/>
      <c r="AEM127" s="58"/>
      <c r="AEN127" s="58"/>
      <c r="AEO127" s="58"/>
      <c r="AEP127" s="58"/>
      <c r="AEQ127" s="58"/>
      <c r="AER127" s="58"/>
      <c r="AES127" s="58"/>
      <c r="AET127" s="58"/>
      <c r="AEU127" s="58"/>
      <c r="AEV127" s="58"/>
      <c r="AEW127" s="58"/>
      <c r="AEX127" s="58"/>
      <c r="AEY127" s="58"/>
      <c r="AEZ127" s="58"/>
      <c r="AFA127" s="58"/>
      <c r="AFB127" s="58"/>
      <c r="AFC127" s="58"/>
      <c r="AFD127" s="58"/>
      <c r="AFE127" s="58"/>
      <c r="AFF127" s="58"/>
      <c r="AFG127" s="58"/>
      <c r="AFH127" s="58"/>
      <c r="AFI127" s="58"/>
      <c r="AFJ127" s="58"/>
      <c r="AFK127" s="58"/>
      <c r="AFL127" s="58"/>
      <c r="AFM127" s="58"/>
      <c r="AFN127" s="58"/>
      <c r="AFO127" s="58"/>
      <c r="AFP127" s="58"/>
      <c r="AFQ127" s="58"/>
      <c r="AFR127" s="58"/>
      <c r="AFS127" s="58"/>
      <c r="AFT127" s="58"/>
      <c r="AFU127" s="58"/>
      <c r="AFV127" s="58"/>
      <c r="AFW127" s="58"/>
      <c r="AFX127" s="58"/>
      <c r="AFY127" s="58"/>
      <c r="AFZ127" s="58"/>
      <c r="AGA127" s="58"/>
      <c r="AGB127" s="58"/>
      <c r="AGC127" s="58"/>
      <c r="AGD127" s="58"/>
      <c r="AGE127" s="58"/>
      <c r="AGF127" s="58"/>
      <c r="AGG127" s="58"/>
      <c r="AGH127" s="58"/>
      <c r="AGI127" s="58"/>
      <c r="AGJ127" s="58"/>
      <c r="AGK127" s="58"/>
      <c r="AGL127" s="58"/>
      <c r="AGM127" s="58"/>
      <c r="AGN127" s="58"/>
      <c r="AGO127" s="58"/>
      <c r="AGP127" s="58"/>
      <c r="AGQ127" s="58"/>
      <c r="AGR127" s="58"/>
      <c r="AGS127" s="58"/>
      <c r="AGT127" s="58"/>
      <c r="AGU127" s="58"/>
      <c r="AGV127" s="58"/>
      <c r="AGW127" s="58"/>
      <c r="AGX127" s="58"/>
      <c r="AGY127" s="58"/>
      <c r="AGZ127" s="58"/>
      <c r="AHA127" s="58"/>
      <c r="AHB127" s="58"/>
      <c r="AHC127" s="58"/>
      <c r="AHD127" s="58"/>
      <c r="AHE127" s="58"/>
      <c r="AHF127" s="58"/>
      <c r="AHG127" s="58"/>
      <c r="AHH127" s="58"/>
      <c r="AHI127" s="58"/>
      <c r="AHJ127" s="58"/>
      <c r="AHK127" s="58"/>
      <c r="AHL127" s="58"/>
      <c r="AHM127" s="58"/>
      <c r="AHN127" s="58"/>
      <c r="AHO127" s="58"/>
      <c r="AHP127" s="58"/>
      <c r="AHQ127" s="58"/>
      <c r="AHR127" s="58"/>
      <c r="AHS127" s="58"/>
      <c r="AHT127" s="58"/>
      <c r="AHU127" s="58"/>
      <c r="AHV127" s="58"/>
      <c r="AHW127" s="58"/>
      <c r="AHX127" s="58"/>
      <c r="AHY127" s="58"/>
      <c r="AHZ127" s="58"/>
      <c r="AIA127" s="58"/>
      <c r="AIB127" s="58"/>
      <c r="AIC127" s="58"/>
      <c r="AID127" s="58"/>
      <c r="AIE127" s="58"/>
      <c r="AIF127" s="58"/>
      <c r="AIG127" s="58"/>
      <c r="AIH127" s="58"/>
      <c r="AII127" s="58"/>
      <c r="AIJ127" s="58"/>
      <c r="AIK127" s="58"/>
      <c r="AIL127" s="58"/>
      <c r="AIM127" s="58"/>
      <c r="AIN127" s="58"/>
      <c r="AIO127" s="58"/>
      <c r="AIP127" s="58"/>
      <c r="AIQ127" s="58"/>
      <c r="AIR127" s="58"/>
      <c r="AIS127" s="58"/>
      <c r="AIT127" s="58"/>
      <c r="AIU127" s="58"/>
      <c r="AIV127" s="58"/>
      <c r="AIW127" s="58"/>
      <c r="AIX127" s="58"/>
      <c r="AIY127" s="58"/>
      <c r="AIZ127" s="58"/>
      <c r="AJA127" s="58"/>
      <c r="AJB127" s="58"/>
      <c r="AJC127" s="58"/>
      <c r="AJD127" s="58"/>
      <c r="AJE127" s="58"/>
      <c r="AJF127" s="58"/>
      <c r="AJG127" s="58"/>
      <c r="AJH127" s="58"/>
      <c r="AJI127" s="58"/>
      <c r="AJJ127" s="58"/>
      <c r="AJK127" s="58"/>
      <c r="AJL127" s="58"/>
      <c r="AJM127" s="58"/>
      <c r="AJN127" s="58"/>
      <c r="AJO127" s="58"/>
      <c r="AJP127" s="58"/>
      <c r="AJQ127" s="58"/>
      <c r="AJR127" s="58"/>
      <c r="AJS127" s="58"/>
      <c r="AJT127" s="58"/>
      <c r="AJU127" s="58"/>
      <c r="AJV127" s="58"/>
      <c r="AJW127" s="58"/>
      <c r="AJX127" s="58"/>
      <c r="AJY127" s="58"/>
      <c r="AJZ127" s="58"/>
      <c r="AKA127" s="58"/>
      <c r="AKB127" s="58"/>
      <c r="AKC127" s="58"/>
      <c r="AKD127" s="58"/>
      <c r="AKE127" s="58"/>
      <c r="AKF127" s="58"/>
      <c r="AKG127" s="58"/>
      <c r="AKH127" s="58"/>
      <c r="AKI127" s="58"/>
      <c r="AKJ127" s="58"/>
      <c r="AKK127" s="58"/>
      <c r="AKL127" s="58"/>
      <c r="AKM127" s="58"/>
      <c r="AKN127" s="58"/>
      <c r="AKO127" s="58"/>
      <c r="AKP127" s="58"/>
      <c r="AKQ127" s="58"/>
      <c r="AKR127" s="58"/>
      <c r="AKS127" s="58"/>
      <c r="AKT127" s="58"/>
      <c r="AKU127" s="58"/>
      <c r="AKV127" s="58"/>
      <c r="AKW127" s="58"/>
      <c r="AKX127" s="58"/>
      <c r="AKY127" s="58"/>
      <c r="AKZ127" s="58"/>
      <c r="ALA127" s="58"/>
      <c r="ALB127" s="58"/>
      <c r="ALC127" s="58"/>
      <c r="ALD127" s="58"/>
      <c r="ALE127" s="58"/>
      <c r="ALF127" s="58"/>
      <c r="ALG127" s="58"/>
      <c r="ALH127" s="58"/>
      <c r="ALI127" s="58"/>
      <c r="ALJ127" s="58"/>
      <c r="ALK127" s="58"/>
      <c r="ALL127" s="58"/>
      <c r="ALM127" s="58"/>
      <c r="ALN127" s="58"/>
      <c r="ALO127" s="58"/>
      <c r="ALP127" s="58"/>
      <c r="ALQ127" s="58"/>
      <c r="ALR127" s="58"/>
      <c r="ALS127" s="58"/>
      <c r="ALT127" s="58"/>
      <c r="ALU127" s="58"/>
      <c r="ALV127" s="58"/>
      <c r="ALW127" s="58"/>
      <c r="ALX127" s="58"/>
      <c r="ALY127" s="58"/>
      <c r="ALZ127" s="58"/>
      <c r="AMA127" s="58"/>
      <c r="AMB127" s="58"/>
      <c r="AMC127" s="58"/>
      <c r="AMD127" s="58"/>
      <c r="AME127" s="58"/>
      <c r="AMF127" s="58"/>
      <c r="AMG127" s="58"/>
      <c r="AMH127" s="58"/>
      <c r="AMI127" s="58"/>
      <c r="AMJ127" s="58"/>
    </row>
  </sheetData>
  <mergeCells count="137">
    <mergeCell ref="C123:G123"/>
    <mergeCell ref="C124:G124"/>
    <mergeCell ref="C126:G126"/>
    <mergeCell ref="A127:I127"/>
    <mergeCell ref="J127:K127"/>
    <mergeCell ref="C118:G118"/>
    <mergeCell ref="C119:G119"/>
    <mergeCell ref="C120:G120"/>
    <mergeCell ref="C121:G121"/>
    <mergeCell ref="C122:G122"/>
    <mergeCell ref="C125:G125"/>
    <mergeCell ref="C113:G113"/>
    <mergeCell ref="C114:G114"/>
    <mergeCell ref="C115:G115"/>
    <mergeCell ref="C116:G116"/>
    <mergeCell ref="C117:G117"/>
    <mergeCell ref="C108:G108"/>
    <mergeCell ref="C109:G109"/>
    <mergeCell ref="C110:G110"/>
    <mergeCell ref="C111:G111"/>
    <mergeCell ref="C112:G112"/>
    <mergeCell ref="C103:G103"/>
    <mergeCell ref="C104:G104"/>
    <mergeCell ref="C105:G105"/>
    <mergeCell ref="C106:G106"/>
    <mergeCell ref="C107:G107"/>
    <mergeCell ref="C98:G98"/>
    <mergeCell ref="C99:G99"/>
    <mergeCell ref="C100:G100"/>
    <mergeCell ref="C101:G101"/>
    <mergeCell ref="C102:G102"/>
    <mergeCell ref="C92:G92"/>
    <mergeCell ref="C93:G93"/>
    <mergeCell ref="C94:G94"/>
    <mergeCell ref="C95:G95"/>
    <mergeCell ref="C96:G96"/>
    <mergeCell ref="C97:G97"/>
    <mergeCell ref="C87:G87"/>
    <mergeCell ref="C88:G88"/>
    <mergeCell ref="C89:G89"/>
    <mergeCell ref="C90:G90"/>
    <mergeCell ref="C91:G91"/>
    <mergeCell ref="C86:G86"/>
    <mergeCell ref="C81:G81"/>
    <mergeCell ref="C82:G82"/>
    <mergeCell ref="C83:G83"/>
    <mergeCell ref="C84:G84"/>
    <mergeCell ref="C85:G85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76:G76"/>
    <mergeCell ref="C66:G66"/>
    <mergeCell ref="C67:G67"/>
    <mergeCell ref="C68:G68"/>
    <mergeCell ref="C69:G69"/>
    <mergeCell ref="C70:G70"/>
    <mergeCell ref="C62:G62"/>
    <mergeCell ref="C63:G63"/>
    <mergeCell ref="C64:G64"/>
    <mergeCell ref="C65:G65"/>
    <mergeCell ref="C57:G57"/>
    <mergeCell ref="C58:G58"/>
    <mergeCell ref="C59:G59"/>
    <mergeCell ref="C60:G60"/>
    <mergeCell ref="C61:G61"/>
    <mergeCell ref="C51:G51"/>
    <mergeCell ref="C52:G52"/>
    <mergeCell ref="C53:G53"/>
    <mergeCell ref="C54:G54"/>
    <mergeCell ref="C55:G55"/>
    <mergeCell ref="C56:G56"/>
    <mergeCell ref="C46:G46"/>
    <mergeCell ref="C47:G47"/>
    <mergeCell ref="C48:G48"/>
    <mergeCell ref="C49:G49"/>
    <mergeCell ref="C50:G50"/>
    <mergeCell ref="C42:G42"/>
    <mergeCell ref="C43:G43"/>
    <mergeCell ref="C44:G44"/>
    <mergeCell ref="C45:G45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28:G28"/>
    <mergeCell ref="C29:G29"/>
    <mergeCell ref="C30:G30"/>
    <mergeCell ref="C31:G31"/>
    <mergeCell ref="C22:G22"/>
    <mergeCell ref="C23:G23"/>
    <mergeCell ref="C24:G24"/>
    <mergeCell ref="C25:G25"/>
    <mergeCell ref="C26:G26"/>
    <mergeCell ref="C27:G27"/>
    <mergeCell ref="C16:G16"/>
    <mergeCell ref="C17:G17"/>
    <mergeCell ref="C18:G18"/>
    <mergeCell ref="C19:G19"/>
    <mergeCell ref="C20:G20"/>
    <mergeCell ref="C21:G21"/>
    <mergeCell ref="K10:K11"/>
    <mergeCell ref="C12:G12"/>
    <mergeCell ref="C13:G13"/>
    <mergeCell ref="C14:G14"/>
    <mergeCell ref="C15:G15"/>
    <mergeCell ref="A1:I1"/>
    <mergeCell ref="A3:C3"/>
    <mergeCell ref="D3:K3"/>
    <mergeCell ref="A4:C4"/>
    <mergeCell ref="D4:K4"/>
    <mergeCell ref="A5:C5"/>
    <mergeCell ref="D5:K5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</mergeCells>
  <printOptions horizontalCentered="1"/>
  <pageMargins left="0.19685039370078741" right="0.19685039370078741" top="0.63" bottom="0.34" header="0.51181102362204722" footer="0.28999999999999998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abSelected="1" topLeftCell="A8" zoomScale="130" zoomScaleNormal="130" workbookViewId="0">
      <selection activeCell="R27" sqref="R27"/>
    </sheetView>
  </sheetViews>
  <sheetFormatPr baseColWidth="10" defaultColWidth="11" defaultRowHeight="12.75" x14ac:dyDescent="0.2"/>
  <cols>
    <col min="1" max="4" width="4.42578125" style="58" customWidth="1"/>
    <col min="5" max="5" width="4.140625" style="58" customWidth="1"/>
    <col min="6" max="6" width="5.140625" style="58" customWidth="1"/>
    <col min="7" max="7" width="4.42578125" style="61" customWidth="1"/>
    <col min="8" max="14" width="4.42578125" style="58" customWidth="1"/>
    <col min="15" max="16" width="14.85546875" style="58" customWidth="1"/>
    <col min="17" max="17" width="14.7109375" style="58" customWidth="1"/>
    <col min="18" max="18" width="11" style="58"/>
    <col min="19" max="19" width="13.28515625" style="58" bestFit="1" customWidth="1"/>
    <col min="20" max="16384" width="11" style="58"/>
  </cols>
  <sheetData>
    <row r="1" spans="1:19" ht="15.75" customHeight="1" thickBot="1" x14ac:dyDescent="0.3">
      <c r="A1" s="133" t="s">
        <v>5</v>
      </c>
      <c r="B1" s="133"/>
      <c r="C1" s="133"/>
      <c r="D1" s="134">
        <f>'MEDICAMENTOS NT '!C6</f>
        <v>2021</v>
      </c>
      <c r="E1" s="134"/>
      <c r="F1" s="59"/>
      <c r="G1" s="59"/>
      <c r="H1" s="60"/>
      <c r="I1" s="60"/>
      <c r="J1" s="60"/>
      <c r="K1" s="60"/>
      <c r="L1" s="60"/>
      <c r="M1" s="60"/>
      <c r="N1" s="60"/>
      <c r="P1" s="135" t="s">
        <v>291</v>
      </c>
      <c r="Q1" s="135"/>
    </row>
    <row r="2" spans="1:19" ht="15.75" customHeight="1" thickBot="1" x14ac:dyDescent="0.25">
      <c r="H2" s="60"/>
      <c r="I2" s="60"/>
      <c r="J2" s="60"/>
      <c r="K2" s="60"/>
      <c r="L2" s="60"/>
      <c r="M2" s="60"/>
      <c r="N2" s="60"/>
      <c r="P2" s="135"/>
      <c r="Q2" s="135"/>
    </row>
    <row r="4" spans="1:19" s="62" customFormat="1" ht="18" customHeight="1" thickBot="1" x14ac:dyDescent="0.25">
      <c r="A4" s="136" t="s">
        <v>292</v>
      </c>
      <c r="B4" s="136"/>
      <c r="C4" s="136"/>
      <c r="D4" s="136"/>
      <c r="E4" s="136"/>
      <c r="F4" s="136"/>
      <c r="G4" s="137" t="str">
        <f>'MEDICAMENTOS NT '!C4</f>
        <v>40 - Ministerio de Salud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</row>
    <row r="5" spans="1:19" s="62" customFormat="1" ht="18" customHeight="1" thickBot="1" x14ac:dyDescent="0.25">
      <c r="A5" s="138" t="s">
        <v>275</v>
      </c>
      <c r="B5" s="139"/>
      <c r="C5" s="139"/>
      <c r="D5" s="139"/>
      <c r="E5" s="139"/>
      <c r="F5" s="140"/>
      <c r="G5" s="137" t="str">
        <f>'MEDICAMENTOS NT '!C5</f>
        <v>23 - Hospital Interzonal San Juan Bautista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</row>
    <row r="6" spans="1:19" s="62" customFormat="1" ht="18" customHeight="1" thickBot="1" x14ac:dyDescent="0.25">
      <c r="A6" s="138" t="s">
        <v>276</v>
      </c>
      <c r="B6" s="139"/>
      <c r="C6" s="139"/>
      <c r="D6" s="139"/>
      <c r="E6" s="139"/>
      <c r="F6" s="140"/>
      <c r="G6" s="137" t="str">
        <f>'MEDICAMENTOS NPYE'!D5</f>
        <v>168 - Direccion Asistencial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</row>
    <row r="7" spans="1:19" s="62" customFormat="1" ht="18" customHeight="1" thickBot="1" x14ac:dyDescent="0.25">
      <c r="A7" s="138" t="s">
        <v>278</v>
      </c>
      <c r="B7" s="139"/>
      <c r="C7" s="139"/>
      <c r="D7" s="139"/>
      <c r="E7" s="139"/>
      <c r="F7" s="140"/>
      <c r="G7" s="137" t="str">
        <f>'MEDICAMENTOS NPYE'!D6</f>
        <v>Servicio de Farmacia</v>
      </c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8" spans="1:19" ht="18" customHeight="1" thickBot="1" x14ac:dyDescent="0.25">
      <c r="A8" s="141" t="s">
        <v>293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9" ht="18" customHeight="1" x14ac:dyDescent="0.2">
      <c r="A9" s="132" t="s">
        <v>294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63"/>
      <c r="P9" s="63"/>
      <c r="Q9" s="64"/>
    </row>
    <row r="10" spans="1:19" ht="54.75" customHeight="1" x14ac:dyDescent="0.2">
      <c r="A10" s="143" t="str">
        <f>"Autorizo la realización de los  trámites correspondientes, a fin de proveer a  este Organismo los bienes y/o servicios que se detallan en Nota de Pedido N° " &amp; 'MEDICAMENTOS NPYE'!K1&amp;",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381 - 2020,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9" ht="9" customHeight="1" thickBot="1" x14ac:dyDescent="0.25">
      <c r="A11" s="65"/>
      <c r="B11" s="66"/>
      <c r="C11" s="66"/>
      <c r="D11" s="66"/>
      <c r="E11" s="66"/>
      <c r="F11" s="66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8"/>
    </row>
    <row r="12" spans="1:19" ht="15.75" customHeight="1" thickBot="1" x14ac:dyDescent="0.25">
      <c r="A12" s="144" t="s">
        <v>295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9" ht="15.75" customHeight="1" thickBot="1" x14ac:dyDescent="0.25">
      <c r="A13" s="145" t="s">
        <v>296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297</v>
      </c>
      <c r="P13" s="146"/>
      <c r="Q13" s="147" t="s">
        <v>298</v>
      </c>
    </row>
    <row r="14" spans="1:19" ht="15.75" customHeight="1" x14ac:dyDescent="0.2">
      <c r="A14" s="69" t="s">
        <v>299</v>
      </c>
      <c r="B14" s="70" t="s">
        <v>300</v>
      </c>
      <c r="C14" s="70" t="s">
        <v>301</v>
      </c>
      <c r="D14" s="70" t="s">
        <v>302</v>
      </c>
      <c r="E14" s="70" t="s">
        <v>303</v>
      </c>
      <c r="F14" s="70" t="s">
        <v>304</v>
      </c>
      <c r="G14" s="71" t="s">
        <v>305</v>
      </c>
      <c r="H14" s="70" t="s">
        <v>306</v>
      </c>
      <c r="I14" s="70" t="s">
        <v>307</v>
      </c>
      <c r="J14" s="70" t="s">
        <v>308</v>
      </c>
      <c r="K14" s="70" t="s">
        <v>308</v>
      </c>
      <c r="L14" s="70" t="s">
        <v>309</v>
      </c>
      <c r="M14" s="72" t="s">
        <v>310</v>
      </c>
      <c r="N14" s="73" t="s">
        <v>311</v>
      </c>
      <c r="O14" s="146"/>
      <c r="P14" s="146"/>
      <c r="Q14" s="147"/>
    </row>
    <row r="15" spans="1:19" ht="17.25" customHeight="1" x14ac:dyDescent="0.2">
      <c r="A15" s="74">
        <v>33</v>
      </c>
      <c r="B15" s="75"/>
      <c r="C15" s="75"/>
      <c r="D15" s="75">
        <v>2</v>
      </c>
      <c r="E15" s="75"/>
      <c r="F15" s="75">
        <v>4901</v>
      </c>
      <c r="G15" s="75">
        <v>3</v>
      </c>
      <c r="H15" s="75" t="s">
        <v>312</v>
      </c>
      <c r="I15" s="75">
        <v>2</v>
      </c>
      <c r="J15" s="75">
        <v>5</v>
      </c>
      <c r="K15" s="75">
        <v>1</v>
      </c>
      <c r="L15" s="75"/>
      <c r="M15" s="75">
        <v>1</v>
      </c>
      <c r="N15" s="75" t="s">
        <v>313</v>
      </c>
      <c r="O15" s="148" t="s">
        <v>322</v>
      </c>
      <c r="P15" s="148"/>
      <c r="Q15" s="76">
        <v>427200</v>
      </c>
    </row>
    <row r="16" spans="1:19" ht="17.25" customHeight="1" x14ac:dyDescent="0.2">
      <c r="A16" s="74">
        <v>33</v>
      </c>
      <c r="B16" s="75"/>
      <c r="C16" s="75"/>
      <c r="D16" s="75">
        <v>2</v>
      </c>
      <c r="E16" s="75"/>
      <c r="F16" s="75">
        <v>4901</v>
      </c>
      <c r="G16" s="75">
        <v>3</v>
      </c>
      <c r="H16" s="75" t="s">
        <v>312</v>
      </c>
      <c r="I16" s="75">
        <v>2</v>
      </c>
      <c r="J16" s="75">
        <v>5</v>
      </c>
      <c r="K16" s="75">
        <v>2</v>
      </c>
      <c r="L16" s="75"/>
      <c r="M16" s="75">
        <v>1</v>
      </c>
      <c r="N16" s="75" t="s">
        <v>313</v>
      </c>
      <c r="O16" s="148" t="s">
        <v>314</v>
      </c>
      <c r="P16" s="148"/>
      <c r="Q16" s="76">
        <f>28176204.91+5424000</f>
        <v>33600204.909999996</v>
      </c>
      <c r="S16" s="80"/>
    </row>
    <row r="17" spans="1:18" ht="17.25" customHeight="1" x14ac:dyDescent="0.2">
      <c r="A17" s="77">
        <v>33</v>
      </c>
      <c r="B17" s="78"/>
      <c r="C17" s="78"/>
      <c r="D17" s="78">
        <v>2</v>
      </c>
      <c r="E17" s="78"/>
      <c r="F17" s="75">
        <v>4901</v>
      </c>
      <c r="G17" s="78">
        <v>3</v>
      </c>
      <c r="H17" s="78" t="s">
        <v>312</v>
      </c>
      <c r="I17" s="78">
        <v>2</v>
      </c>
      <c r="J17" s="78">
        <v>9</v>
      </c>
      <c r="K17" s="78">
        <v>5</v>
      </c>
      <c r="L17" s="78"/>
      <c r="M17" s="79">
        <v>1</v>
      </c>
      <c r="N17" s="75" t="s">
        <v>313</v>
      </c>
      <c r="O17" s="93" t="s">
        <v>315</v>
      </c>
      <c r="P17" s="93"/>
      <c r="Q17" s="76">
        <v>8856</v>
      </c>
    </row>
    <row r="18" spans="1:18" ht="17.25" customHeight="1" x14ac:dyDescent="0.2">
      <c r="A18" s="77"/>
      <c r="B18" s="78"/>
      <c r="C18" s="78"/>
      <c r="D18" s="78"/>
      <c r="E18" s="78"/>
      <c r="F18" s="75"/>
      <c r="G18" s="78"/>
      <c r="H18" s="78"/>
      <c r="I18" s="78"/>
      <c r="J18" s="78"/>
      <c r="K18" s="78"/>
      <c r="L18" s="78"/>
      <c r="M18" s="79"/>
      <c r="N18" s="75"/>
      <c r="O18" s="149"/>
      <c r="P18" s="149"/>
      <c r="Q18" s="76"/>
    </row>
    <row r="19" spans="1:18" ht="17.25" customHeight="1" x14ac:dyDescent="0.2">
      <c r="A19" s="77"/>
      <c r="B19" s="78"/>
      <c r="C19" s="78"/>
      <c r="D19" s="78"/>
      <c r="E19" s="78"/>
      <c r="F19" s="75"/>
      <c r="G19" s="78"/>
      <c r="H19" s="78"/>
      <c r="I19" s="78"/>
      <c r="J19" s="78"/>
      <c r="K19" s="78"/>
      <c r="L19" s="78"/>
      <c r="M19" s="79"/>
      <c r="N19" s="75"/>
      <c r="O19" s="149"/>
      <c r="P19" s="149"/>
      <c r="Q19" s="76"/>
    </row>
    <row r="20" spans="1:18" ht="17.25" customHeight="1" x14ac:dyDescent="0.2">
      <c r="A20" s="81"/>
      <c r="B20" s="82"/>
      <c r="C20" s="82"/>
      <c r="D20" s="82"/>
      <c r="E20" s="82"/>
      <c r="F20" s="83"/>
      <c r="G20" s="82"/>
      <c r="H20" s="82"/>
      <c r="I20" s="82"/>
      <c r="J20" s="82"/>
      <c r="K20" s="82"/>
      <c r="L20" s="82"/>
      <c r="M20" s="84"/>
      <c r="N20" s="85"/>
      <c r="O20" s="150"/>
      <c r="P20" s="150"/>
      <c r="Q20" s="76"/>
      <c r="R20" s="63"/>
    </row>
    <row r="21" spans="1:18" ht="17.25" customHeight="1" thickBot="1" x14ac:dyDescent="0.25">
      <c r="A21" s="86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8"/>
      <c r="N21" s="87"/>
      <c r="O21" s="142"/>
      <c r="P21" s="142"/>
      <c r="Q21" s="89"/>
    </row>
    <row r="22" spans="1:18" ht="24.75" customHeight="1" thickBot="1" x14ac:dyDescent="0.25">
      <c r="A22" s="151" t="s">
        <v>329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90">
        <f>SUM(Q15:Q21)</f>
        <v>34036260.909999996</v>
      </c>
    </row>
    <row r="23" spans="1:18" ht="18" customHeight="1" thickBot="1" x14ac:dyDescent="0.25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</row>
    <row r="24" spans="1:18" ht="17.25" customHeight="1" thickBot="1" x14ac:dyDescent="0.25">
      <c r="A24" s="153" t="s">
        <v>316</v>
      </c>
      <c r="B24" s="154"/>
      <c r="C24" s="154"/>
      <c r="D24" s="154"/>
      <c r="E24" s="154"/>
      <c r="F24" s="155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</row>
    <row r="25" spans="1:18" ht="18" customHeight="1" thickBot="1" x14ac:dyDescent="0.25">
      <c r="A25" s="157" t="str">
        <f>"Para la "&amp; 'MEDICAMENTOS NPYE'!D8 &amp;" para ser destinados al " &amp; 'MEDICAMENTOS NPYE'!D6 &amp;"  del HISJB del Ministerio de Salud."</f>
        <v>Para la Adquisición de Medicamentos  para ser destinados al Servicio de Farmacia  del HISJB del Ministerio de Salud.</v>
      </c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</row>
    <row r="26" spans="1:18" ht="15" customHeight="1" thickBot="1" x14ac:dyDescent="0.25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</row>
  </sheetData>
  <mergeCells count="29">
    <mergeCell ref="A22:P22"/>
    <mergeCell ref="A23:Q23"/>
    <mergeCell ref="A24:F24"/>
    <mergeCell ref="G24:Q24"/>
    <mergeCell ref="A25:Q26"/>
    <mergeCell ref="O21:P21"/>
    <mergeCell ref="A10:Q10"/>
    <mergeCell ref="A12:Q12"/>
    <mergeCell ref="A13:N13"/>
    <mergeCell ref="O13:P14"/>
    <mergeCell ref="Q13:Q14"/>
    <mergeCell ref="O15:P15"/>
    <mergeCell ref="O16:P16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28999999999999998" right="0.21" top="0.77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MEDICAMENTOS NT </vt:lpstr>
      <vt:lpstr>MEDICAMENTOS NPYE</vt:lpstr>
      <vt:lpstr>MEDICAMENTOS APG</vt:lpstr>
      <vt:lpstr>'MEDICAMENTOS APG'!Área_de_impresión</vt:lpstr>
      <vt:lpstr>'MEDICAMENTOS NPYE'!Área_de_impresión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JOHANA AYBAR</cp:lastModifiedBy>
  <cp:lastPrinted>2021-02-24T13:46:16Z</cp:lastPrinted>
  <dcterms:created xsi:type="dcterms:W3CDTF">2021-02-08T13:46:49Z</dcterms:created>
  <dcterms:modified xsi:type="dcterms:W3CDTF">2021-08-13T14:15:51Z</dcterms:modified>
</cp:coreProperties>
</file>