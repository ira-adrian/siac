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68C92DBB-42B2-4D49-AB63-B38E9AC36CAB}" xr6:coauthVersionLast="46" xr6:coauthVersionMax="46" xr10:uidLastSave="{00000000-0000-0000-0000-000000000000}"/>
  <bookViews>
    <workbookView xWindow="-120" yWindow="-120" windowWidth="29040" windowHeight="15840" xr2:uid="{0704D7ED-F78D-45FE-8FE2-C8160F802D71}"/>
  </bookViews>
  <sheets>
    <sheet name="MATERNIDAD PROVINCIA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</calcChain>
</file>

<file path=xl/sharedStrings.xml><?xml version="1.0" encoding="utf-8"?>
<sst xmlns="http://schemas.openxmlformats.org/spreadsheetml/2006/main" count="351" uniqueCount="128">
  <si>
    <t>EX-2021-00535391- -CATDA#MP</t>
  </si>
  <si>
    <t>Garantia</t>
  </si>
  <si>
    <t>30 dias</t>
  </si>
  <si>
    <t>Mantenimiento</t>
  </si>
  <si>
    <t>Calidad Minima esperada</t>
  </si>
  <si>
    <t>8 a 12 Hs</t>
  </si>
  <si>
    <t>Hora de Entrega:</t>
  </si>
  <si>
    <t>Gestion Integral de Enfermeria - Maternidad Provincial 25 de Mayo- Hernando de Pedraza 1650</t>
  </si>
  <si>
    <t>Lugar de Entrega :</t>
  </si>
  <si>
    <t>20 Dias Corridos desde la firma del instrumento contractual</t>
  </si>
  <si>
    <t>Plazos de entrega</t>
  </si>
  <si>
    <t>CHATAS DE MATERIAL PVC</t>
  </si>
  <si>
    <t>Descripción técnica</t>
  </si>
  <si>
    <t>Especificidades Item N° 17:</t>
  </si>
  <si>
    <t xml:space="preserve">Dimensiones aproximadas: 10 cm de lago x 4 cm de ancho x 3,5 de alto </t>
  </si>
  <si>
    <t>Especificidades Item N° 15:</t>
  </si>
  <si>
    <t xml:space="preserve">30 dias </t>
  </si>
  <si>
    <t xml:space="preserve">08 a 12 hs </t>
  </si>
  <si>
    <t>Hora de entrega:</t>
  </si>
  <si>
    <t>Servio de Farmacia - MATERNIDAD PROVINCIAL 25 DE MAYO- HERNANDO. DE PEDRAZA 1650</t>
  </si>
  <si>
    <t>Lugar de entrega:</t>
  </si>
  <si>
    <t>20 dias corridos desde la firma del instrumento contractual</t>
  </si>
  <si>
    <t>Plazos de entrega:</t>
  </si>
  <si>
    <t xml:space="preserve">AGUJAS TIPO: TERUMO </t>
  </si>
  <si>
    <t>Especificidades Item N° : 2</t>
  </si>
  <si>
    <t>Especificidades Item N° : 1</t>
  </si>
  <si>
    <t>UNIDAD</t>
  </si>
  <si>
    <t>VENDAS COBAN 5CM</t>
  </si>
  <si>
    <t>2.9.5</t>
  </si>
  <si>
    <t xml:space="preserve">INSUMO COMUN </t>
  </si>
  <si>
    <t>VENDA ENYESADA X 10 CM X 20 METROS DE FRAGUADO RAPIDO</t>
  </si>
  <si>
    <t>VENDA CAMBRIC 10 CM</t>
  </si>
  <si>
    <t>VENDA CAMBRIC  5 CM</t>
  </si>
  <si>
    <t>TIRAS REACTIVAS PARA DETERMINACION GLUCOSA X 50 UNIDADES</t>
  </si>
  <si>
    <t>2.5.1</t>
  </si>
  <si>
    <t xml:space="preserve">TELA ADHESIVA HIPOALERGENICA TRANSPORE 2.5 CM </t>
  </si>
  <si>
    <t xml:space="preserve">TELA ADHESIVA HIPOALERGENICA MICROPORE 2.5 CM </t>
  </si>
  <si>
    <t xml:space="preserve">TELA ADHESIVA 5 MM X 9.00 MTS </t>
  </si>
  <si>
    <t xml:space="preserve">TELA ADHESIVA 2.5 MM X 9.00 MTS </t>
  </si>
  <si>
    <t>SUTURAS  TIPO: SEDA Nº 3/0 C/AGUJA CODIGO HR20 PUNTA REDONDA DE 20 MM MEDIO CURCULOUSO: QUIRURGICO, PRESENTACION: UNIDAD</t>
  </si>
  <si>
    <t xml:space="preserve">PRODUCTOS MEDICOS/FARMACEUTICOS </t>
  </si>
  <si>
    <t>SUTURA TIPO: SEDA TRENZADA 5 C/AGUJA CODIGO LR 3/8 DE 76 MM  TRIANGULAR USO: QUIRURGICO, PRESENTACION: CAJA X 24 UN</t>
  </si>
  <si>
    <t>SUTURA TIPO: SEDA Nº 4/0 C/AGUJA CODIGO HR20 PUNTA REDONDA DE 20 MM MEDIO CURCULO , USO: QUIRURGICO, PRESENTACION: UNIDAD</t>
  </si>
  <si>
    <t>PULSERAS PARA IDENTIFICACION MADRE/HIJO</t>
  </si>
  <si>
    <t xml:space="preserve">PROLONGADOR 1,5 MT </t>
  </si>
  <si>
    <t>PLACAS RADIOGRAFICAS 20 X 25 LASER IMAGING TIPO DRYVIEW CAJA X 125 UNIDADES</t>
  </si>
  <si>
    <t>PAPEL PARA ELECTROCARDIOGRAMA 62 X 30</t>
  </si>
  <si>
    <t>2.3.4</t>
  </si>
  <si>
    <t>PAPEL PARA ECOGRAFIA TIPO UPP 110 S SONY</t>
  </si>
  <si>
    <t>PAÑAL DESCARTABLE NINOS TAMANO PEQUENO</t>
  </si>
  <si>
    <t>2.9.9</t>
  </si>
  <si>
    <t>PAÑAL DESCARTABLE NINO PREMATURO</t>
  </si>
  <si>
    <t>PAÑAL DESCARTABLE ADULTO XG</t>
  </si>
  <si>
    <t>OVATA DE ALGODÓN X 15 CM</t>
  </si>
  <si>
    <t>OVATA DE ALGODÓN X 10 CM</t>
  </si>
  <si>
    <t>MASCARAS; TIPO: MASCARA P/BOLSA DE REANIMACION, MATERIAL: PLASTICO, USO: ADULTO</t>
  </si>
  <si>
    <t>PROD. MEDICO/FARMACEUTICOS/LAB</t>
  </si>
  <si>
    <t>MASCARAS; TIPO: CPAP, MATERIAL: PVC ACOLCHADO, USO: ADULTO</t>
  </si>
  <si>
    <t>MANOPLAS DE POLIETILENO X 100</t>
  </si>
  <si>
    <t>MANGO P/HOJA DE BISTURI Nª4 H20-24</t>
  </si>
  <si>
    <t>INSUMO COMPLEJO</t>
  </si>
  <si>
    <t>MAMADERAS; MATERIAL: VIDRIO/BOROSILICATO, TIPO: SIN VALOR, TAPA: SI, VOLUMEN: 75 CM3</t>
  </si>
  <si>
    <t>PROD.MEDICO/FARMACEUTICO/LAB</t>
  </si>
  <si>
    <t>MAMADERAS; MATERIAL: VIDRIO BOROSILICATO, TIPO: PYREX, TAPA: CON, VOLUMEN: 250 mL</t>
  </si>
  <si>
    <t>JERINGA DESCARTABLE PARA TUBERCULINA 1 CC S/ AGUJA</t>
  </si>
  <si>
    <t xml:space="preserve">JERINGA DESCARTABLE PARA INSULINA 100 UI CON AGUJA </t>
  </si>
  <si>
    <t>JERINGA DESCARTABLE DE 5 CC S/AGUJA</t>
  </si>
  <si>
    <t>JERINGA DESCARTABLE DE 20CC  S/AGUJA</t>
  </si>
  <si>
    <t>JERINGA DESCARTABLE DE 10 CC S/AGUJA</t>
  </si>
  <si>
    <t>HOJA DE BISTURI Nº 24</t>
  </si>
  <si>
    <t>HOJA DE BISTURI Nº 15</t>
  </si>
  <si>
    <t>HOJA DE BISTURI Nº 11</t>
  </si>
  <si>
    <t>HILO DE LINO N° 20</t>
  </si>
  <si>
    <t>GUIA PARA BOMBA TIPO SET PRIMARIO PLUM HOSPIRA</t>
  </si>
  <si>
    <t>GUIA PARA BOMBA SILICONADA TIPO MP 1000</t>
  </si>
  <si>
    <t>GUANTES DE NITRILO TAMAÑO M X 100</t>
  </si>
  <si>
    <t>GEL BASE PARA ECOGRAFIA X 5 KG</t>
  </si>
  <si>
    <t>2.5.2</t>
  </si>
  <si>
    <t>GEL BASE PARA ECOGRAFIA X 1 KG</t>
  </si>
  <si>
    <t>FRASCOS ASPIRADORES; USO: CIRUGIA GENERAL, PRESENTACION: FRASCO DE 2 L</t>
  </si>
  <si>
    <t>FRASCOS ASPIRADORES; USO: CIRUGIA GENERAL, PRESENTACION: FRASCO DE 1 L</t>
  </si>
  <si>
    <t>ESPECULO VAGINAL MEDIANO</t>
  </si>
  <si>
    <t>ESPECULO VAGINAL GRANDE</t>
  </si>
  <si>
    <t>ESPECULO VAGINAL CHICOS</t>
  </si>
  <si>
    <t>ENVASE COLECTOR DE ORINA X 125 ML</t>
  </si>
  <si>
    <t xml:space="preserve">ELECTRODO DESCARTABLE ADULTO </t>
  </si>
  <si>
    <t>DESCARTADOR DE AGUJAS X 2 LITRO</t>
  </si>
  <si>
    <t xml:space="preserve">CUBRE CAMILLA CON ELASTICO 30 GR </t>
  </si>
  <si>
    <t>CONECTORES P/MEDICINA; USO: NEBULIZADOR, CONECTOR: T</t>
  </si>
  <si>
    <t>CLAMP UMBILICAL</t>
  </si>
  <si>
    <t>CHATA PLASTICA X 1</t>
  </si>
  <si>
    <t>CEPILLOS P/LABORATORIO; TIPO: P/LIMPIEZA BIBERONES, MATERIAL: CERDA , TAMAÑO: DIAM. 4</t>
  </si>
  <si>
    <t>unidad</t>
  </si>
  <si>
    <t>CEPILLOS P/LABORATORIO; TIPO: P/LAVADO QUIRURGICO, TAMAÑO: SIN VALOR, MATERIAL: DESCARTABLE</t>
  </si>
  <si>
    <t>CEPILLOS P/LABORATORIO; TIPO: LIMPIEZA DE TUBOS, MATERIAL: PLASTICO, TAMAÑO: 20 Cm</t>
  </si>
  <si>
    <t>CEPILLOS P/LABORATORIO; TIPO: LIMPIEZA DE TUBOS, MATERIAL: CERDA, TAMAÑO: 2,5 Cm</t>
  </si>
  <si>
    <t>CATETER DOBLE J 4.7 FR x 26 CM TIPO COOK</t>
  </si>
  <si>
    <t>DESCARTABLE COMPLEJO</t>
  </si>
  <si>
    <t>CAL SODADA X KG</t>
  </si>
  <si>
    <t>BOLSA P/ANESTESIA NORMAL X 3LTS.</t>
  </si>
  <si>
    <t>BOLSA P/ANESTESIA NORMAL X 1LTS.</t>
  </si>
  <si>
    <t>ALGODON X 500 GR</t>
  </si>
  <si>
    <t>AGUJA HIPODERMICA DESCARTABLE 50/8</t>
  </si>
  <si>
    <t>AGUJA HIPODERMICA DESCARTABLE 40/8</t>
  </si>
  <si>
    <t>AGUJA HIPODERMICA DESCARTABLE 40/12</t>
  </si>
  <si>
    <t>AGUJA HIPODERMICA DESCARTABLE 25/8</t>
  </si>
  <si>
    <t>AGUJA HIPODERMICA DESCARTABLE 16/5</t>
  </si>
  <si>
    <t xml:space="preserve">AGUJA DESC.25G X 5/8. 0,5 X16MM </t>
  </si>
  <si>
    <t>INSUMOS COMUNES</t>
  </si>
  <si>
    <t>AGUJA DESC.21G X 1/0,8 X 25MM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</si>
  <si>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</si>
  <si>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</si>
  <si>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</si>
  <si>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</si>
  <si>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</si>
  <si>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</si>
  <si>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</si>
  <si>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</si>
  <si>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</si>
  <si>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3° trimestre</t>
  </si>
  <si>
    <t>TRIMESTRE:</t>
  </si>
  <si>
    <t>EJERCICIO:</t>
  </si>
  <si>
    <t>28- Maternidad Provincial 25 de Mayo</t>
  </si>
  <si>
    <t xml:space="preserve">SAF N°: </t>
  </si>
  <si>
    <t>40-Ministerio de Salud</t>
  </si>
  <si>
    <t>JURISDICCION:</t>
  </si>
  <si>
    <t>Pedido de Necesidades Trimestrales</t>
  </si>
  <si>
    <t>NO-2021-00676819-CAT-DA#MP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</si>
</sst>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164" formatCode="[$$-2C0A]\ #,##0.00;[Red][$$-2C0A]\ #,##0.00"/>
    <numFmt numFmtId="165" formatCode="[$$-2C0A]\ #,##0;[Red][$$-2C0A]\ #,##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NewRomanPSMT"/>
    </font>
    <font>
      <sz val="10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sz val="9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8"/>
      <color rgb="FF000000"/>
      <name val="Times New Roman"/>
      <family val="1"/>
    </font>
    <font>
      <sz val="10"/>
      <color theme="1"/>
      <name val="Arial"/>
    </font>
    <font>
      <sz val="10"/>
      <color theme="1"/>
      <name val="Calibri"/>
      <family val="2"/>
      <scheme val="minor"/>
    </font>
    <font>
      <sz val="8"/>
      <name val="Calibri Light"/>
      <family val="1"/>
      <scheme val="major"/>
    </font>
    <font>
      <sz val="9"/>
      <color theme="1"/>
      <name val="Arial"/>
      <family val="2"/>
    </font>
    <font>
      <b/>
      <sz val="10"/>
      <color theme="1"/>
      <name val="Times New Roman"/>
      <family val="1"/>
    </font>
    <font>
      <b/>
      <sz val="10"/>
      <name val="Arial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22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05">
    <xf numFmtId="0" fontId="0" fillId="0" borderId="0" xfId="0"/>
    <xf numFmtId="0" fontId="5" fillId="0" borderId="0" xfId="0" applyFont="1"/>
    <xf numFmtId="0" fontId="0" fillId="6" borderId="0" xfId="0" applyFill="1"/>
    <xf numFmtId="0" fontId="5" fillId="6" borderId="0" xfId="0" applyFont="1" applyFill="1"/>
    <xf numFmtId="164" fontId="6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7" fillId="7" borderId="0" xfId="0" applyFont="1" applyFill="1" applyAlignment="1">
      <alignment vertical="center"/>
    </xf>
    <xf numFmtId="0" fontId="7" fillId="7" borderId="0" xfId="0" applyFont="1" applyFill="1"/>
    <xf numFmtId="0" fontId="7" fillId="0" borderId="0" xfId="0" applyFont="1" applyAlignment="1">
      <alignment horizontal="center" wrapText="1"/>
    </xf>
    <xf numFmtId="0" fontId="7" fillId="7" borderId="0" xfId="0" applyFont="1" applyFill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horizontal="left" wrapText="1"/>
    </xf>
    <xf numFmtId="0" fontId="6" fillId="0" borderId="4" xfId="0" applyFont="1" applyBorder="1" applyAlignment="1">
      <alignment horizontal="center" wrapText="1"/>
    </xf>
    <xf numFmtId="0" fontId="8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wrapText="1"/>
    </xf>
    <xf numFmtId="0" fontId="8" fillId="0" borderId="5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/>
    <xf numFmtId="0" fontId="4" fillId="7" borderId="0" xfId="4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4" fontId="1" fillId="7" borderId="10" xfId="3" applyNumberFormat="1" applyFill="1" applyBorder="1" applyAlignment="1">
      <alignment horizontal="center" vertical="center" wrapText="1"/>
    </xf>
    <xf numFmtId="8" fontId="11" fillId="0" borderId="11" xfId="0" applyNumberFormat="1" applyFont="1" applyBorder="1" applyAlignment="1">
      <alignment horizontal="center" vertical="center"/>
    </xf>
    <xf numFmtId="1" fontId="12" fillId="7" borderId="11" xfId="1" applyNumberFormat="1" applyFont="1" applyFill="1" applyBorder="1" applyAlignment="1">
      <alignment horizontal="center" vertical="center" wrapText="1"/>
    </xf>
    <xf numFmtId="0" fontId="1" fillId="7" borderId="11" xfId="3" applyFill="1" applyBorder="1" applyAlignment="1">
      <alignment horizontal="center" vertical="center" wrapText="1"/>
    </xf>
    <xf numFmtId="0" fontId="1" fillId="0" borderId="11" xfId="3" applyFill="1" applyBorder="1" applyAlignment="1">
      <alignment horizontal="center" vertical="center" wrapText="1"/>
    </xf>
    <xf numFmtId="0" fontId="1" fillId="7" borderId="11" xfId="2" applyFont="1" applyFill="1" applyBorder="1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/>
    </xf>
    <xf numFmtId="8" fontId="14" fillId="7" borderId="11" xfId="2" applyNumberFormat="1" applyFont="1" applyFill="1" applyBorder="1" applyAlignment="1">
      <alignment horizontal="center" vertical="center"/>
    </xf>
    <xf numFmtId="1" fontId="12" fillId="7" borderId="13" xfId="1" applyNumberFormat="1" applyFont="1" applyFill="1" applyBorder="1" applyAlignment="1">
      <alignment horizontal="center" vertical="center" wrapText="1"/>
    </xf>
    <xf numFmtId="0" fontId="1" fillId="7" borderId="14" xfId="2" applyFont="1" applyFill="1" applyBorder="1" applyAlignment="1">
      <alignment horizontal="center" vertical="center" wrapText="1"/>
    </xf>
    <xf numFmtId="8" fontId="15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0" fontId="18" fillId="7" borderId="11" xfId="2" applyFont="1" applyFill="1" applyBorder="1" applyAlignment="1">
      <alignment wrapText="1"/>
    </xf>
    <xf numFmtId="0" fontId="19" fillId="0" borderId="11" xfId="0" applyFont="1" applyBorder="1"/>
    <xf numFmtId="1" fontId="12" fillId="7" borderId="15" xfId="1" applyNumberFormat="1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7" borderId="15" xfId="2" applyFont="1" applyFill="1" applyBorder="1" applyAlignment="1">
      <alignment wrapText="1"/>
    </xf>
    <xf numFmtId="0" fontId="17" fillId="0" borderId="16" xfId="0" applyFont="1" applyBorder="1" applyAlignment="1">
      <alignment horizontal="center" vertical="center"/>
    </xf>
    <xf numFmtId="0" fontId="1" fillId="0" borderId="16" xfId="3" applyFill="1" applyBorder="1" applyAlignment="1">
      <alignment horizontal="center" vertical="center" wrapText="1"/>
    </xf>
    <xf numFmtId="0" fontId="1" fillId="7" borderId="11" xfId="3" applyFill="1" applyBorder="1" applyAlignment="1">
      <alignment horizontal="center" vertical="center"/>
    </xf>
    <xf numFmtId="164" fontId="1" fillId="0" borderId="10" xfId="3" applyNumberForma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/>
    </xf>
    <xf numFmtId="0" fontId="1" fillId="0" borderId="14" xfId="2" applyFont="1" applyFill="1" applyBorder="1" applyAlignment="1">
      <alignment horizontal="center" vertical="center" wrapText="1"/>
    </xf>
    <xf numFmtId="0" fontId="9" fillId="0" borderId="11" xfId="0" applyFont="1" applyBorder="1"/>
    <xf numFmtId="0" fontId="16" fillId="0" borderId="13" xfId="0" applyFont="1" applyBorder="1" applyAlignment="1">
      <alignment horizontal="center" vertical="center" wrapText="1"/>
    </xf>
    <xf numFmtId="1" fontId="12" fillId="0" borderId="13" xfId="1" applyNumberFormat="1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8" fontId="20" fillId="7" borderId="11" xfId="0" applyNumberFormat="1" applyFont="1" applyFill="1" applyBorder="1" applyAlignment="1">
      <alignment horizontal="center" vertical="center"/>
    </xf>
    <xf numFmtId="0" fontId="1" fillId="0" borderId="17" xfId="3" applyFill="1" applyBorder="1" applyAlignment="1">
      <alignment horizontal="center" vertical="center" wrapText="1"/>
    </xf>
    <xf numFmtId="0" fontId="1" fillId="0" borderId="18" xfId="3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/>
    </xf>
    <xf numFmtId="164" fontId="21" fillId="7" borderId="19" xfId="0" applyNumberFormat="1" applyFont="1" applyFill="1" applyBorder="1" applyAlignment="1">
      <alignment horizontal="center" vertical="center" wrapText="1"/>
    </xf>
    <xf numFmtId="165" fontId="22" fillId="0" borderId="20" xfId="0" applyNumberFormat="1" applyFont="1" applyBorder="1" applyAlignment="1">
      <alignment horizontal="center" vertical="center" wrapText="1"/>
    </xf>
    <xf numFmtId="0" fontId="21" fillId="7" borderId="21" xfId="0" applyFont="1" applyFill="1" applyBorder="1" applyAlignment="1">
      <alignment horizontal="center" vertical="center" wrapText="1"/>
    </xf>
    <xf numFmtId="0" fontId="21" fillId="7" borderId="22" xfId="0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7" borderId="23" xfId="0" applyFont="1" applyFill="1" applyBorder="1" applyAlignment="1">
      <alignment horizontal="center" vertical="center" wrapText="1"/>
    </xf>
    <xf numFmtId="164" fontId="7" fillId="7" borderId="0" xfId="0" applyNumberFormat="1" applyFont="1" applyFill="1" applyAlignment="1">
      <alignment horizontal="center"/>
    </xf>
    <xf numFmtId="0" fontId="7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left" wrapText="1"/>
    </xf>
    <xf numFmtId="0" fontId="21" fillId="7" borderId="0" xfId="0" applyFont="1" applyFill="1" applyAlignment="1">
      <alignment horizontal="center" vertical="center" wrapText="1"/>
    </xf>
    <xf numFmtId="0" fontId="21" fillId="7" borderId="0" xfId="0" applyFont="1" applyFill="1" applyAlignment="1">
      <alignment horizontal="left" wrapText="1"/>
    </xf>
    <xf numFmtId="0" fontId="23" fillId="0" borderId="0" xfId="0" applyFont="1" applyAlignment="1">
      <alignment horizontal="center" wrapText="1"/>
    </xf>
    <xf numFmtId="0" fontId="24" fillId="7" borderId="0" xfId="0" applyFont="1" applyFill="1" applyAlignment="1">
      <alignment horizontal="left" vertical="center" wrapText="1"/>
    </xf>
    <xf numFmtId="0" fontId="23" fillId="7" borderId="0" xfId="0" applyFont="1" applyFill="1" applyAlignment="1">
      <alignment horizontal="left" wrapText="1" indent="1"/>
    </xf>
    <xf numFmtId="0" fontId="7" fillId="0" borderId="0" xfId="0" applyFont="1" applyAlignment="1">
      <alignment horizontal="center"/>
    </xf>
    <xf numFmtId="164" fontId="25" fillId="7" borderId="0" xfId="0" applyNumberFormat="1" applyFont="1" applyFill="1" applyAlignment="1">
      <alignment horizontal="center"/>
    </xf>
    <xf numFmtId="0" fontId="25" fillId="7" borderId="0" xfId="0" applyFont="1" applyFill="1" applyAlignment="1">
      <alignment vertical="center"/>
    </xf>
    <xf numFmtId="0" fontId="25" fillId="7" borderId="0" xfId="0" applyFont="1" applyFill="1"/>
    <xf numFmtId="0" fontId="25" fillId="0" borderId="0" xfId="0" applyFont="1" applyAlignment="1">
      <alignment horizontal="center"/>
    </xf>
    <xf numFmtId="0" fontId="26" fillId="0" borderId="0" xfId="0" applyFont="1"/>
  </cellXfs>
  <cellStyles count="5">
    <cellStyle name="20% - Énfasis2" xfId="3" builtinId="34"/>
    <cellStyle name="20% - Énfasis5" xfId="4" builtinId="46"/>
    <cellStyle name="Bueno" xfId="1" builtinId="26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F4D7-84E4-4F12-B2F2-0C32BAB42621}">
  <dimension ref="A1:I160"/>
  <sheetViews>
    <sheetView tabSelected="1" workbookViewId="0">
      <selection activeCell="B159" sqref="B159"/>
    </sheetView>
  </sheetViews>
  <sheetFormatPr baseColWidth="10" defaultRowHeight="15"/>
  <cols>
    <col min="1" max="1" width="7" customWidth="1"/>
    <col min="2" max="2" width="11.140625" customWidth="1"/>
    <col min="3" max="3" width="20.7109375" customWidth="1"/>
    <col min="4" max="4" width="12.140625" customWidth="1"/>
    <col min="5" max="5" width="100" customWidth="1"/>
    <col min="7" max="7" width="12.7109375" customWidth="1"/>
    <col min="8" max="8" width="13.85546875" customWidth="1"/>
    <col min="9" max="9" width="27" customWidth="1"/>
  </cols>
  <sheetData>
    <row r="1" spans="1:9" ht="21">
      <c r="A1" s="104" t="s">
        <v>127</v>
      </c>
    </row>
    <row r="2" spans="1:9" ht="27">
      <c r="A2" s="6"/>
      <c r="B2" s="7"/>
      <c r="C2" s="9"/>
      <c r="D2" s="7"/>
      <c r="E2" s="103" t="s">
        <v>126</v>
      </c>
      <c r="F2" s="102"/>
      <c r="G2" s="101"/>
      <c r="H2" s="5"/>
      <c r="I2" s="100"/>
    </row>
    <row r="3" spans="1:9">
      <c r="A3" s="6"/>
      <c r="B3" s="7"/>
      <c r="C3" s="9"/>
      <c r="D3" s="7"/>
      <c r="E3" s="99"/>
      <c r="F3" s="7"/>
      <c r="G3" s="6"/>
      <c r="H3" s="5"/>
      <c r="I3" s="91"/>
    </row>
    <row r="4" spans="1:9" ht="15.75">
      <c r="A4" s="97" t="s">
        <v>125</v>
      </c>
      <c r="B4" s="97"/>
      <c r="C4" s="97"/>
      <c r="D4" s="97"/>
      <c r="E4" s="98" t="s">
        <v>124</v>
      </c>
      <c r="F4" s="98"/>
      <c r="G4" s="98"/>
      <c r="H4" s="5"/>
      <c r="I4" s="91"/>
    </row>
    <row r="5" spans="1:9" ht="15.75">
      <c r="A5" s="97" t="s">
        <v>123</v>
      </c>
      <c r="B5" s="97"/>
      <c r="C5" s="97"/>
      <c r="D5" s="97"/>
      <c r="E5" s="98" t="s">
        <v>122</v>
      </c>
      <c r="F5" s="98"/>
      <c r="G5" s="98"/>
      <c r="H5" s="5"/>
      <c r="I5" s="91"/>
    </row>
    <row r="6" spans="1:9" ht="15.75">
      <c r="A6" s="97" t="s">
        <v>121</v>
      </c>
      <c r="B6" s="97"/>
      <c r="C6" s="97"/>
      <c r="D6" s="97"/>
      <c r="E6" s="96">
        <v>2021</v>
      </c>
      <c r="F6" s="95"/>
      <c r="G6" s="94"/>
      <c r="H6" s="5"/>
      <c r="I6" s="91"/>
    </row>
    <row r="7" spans="1:9" ht="15.75">
      <c r="A7" s="97" t="s">
        <v>120</v>
      </c>
      <c r="B7" s="97"/>
      <c r="C7" s="97"/>
      <c r="D7" s="97"/>
      <c r="E7" s="96" t="s">
        <v>119</v>
      </c>
      <c r="F7" s="95"/>
      <c r="G7" s="94"/>
      <c r="H7" s="5"/>
      <c r="I7" s="91"/>
    </row>
    <row r="8" spans="1:9" ht="15.75" thickBot="1">
      <c r="A8" s="6"/>
      <c r="B8" s="7"/>
      <c r="C8" s="9"/>
      <c r="D8" s="7"/>
      <c r="E8" s="8"/>
      <c r="F8" s="93"/>
      <c r="G8" s="92"/>
      <c r="H8" s="5"/>
      <c r="I8" s="91"/>
    </row>
    <row r="9" spans="1:9" ht="39" thickBot="1">
      <c r="A9" s="90" t="s">
        <v>118</v>
      </c>
      <c r="B9" s="88" t="s">
        <v>117</v>
      </c>
      <c r="C9" s="88" t="s">
        <v>116</v>
      </c>
      <c r="D9" s="88" t="s">
        <v>115</v>
      </c>
      <c r="E9" s="89" t="s">
        <v>114</v>
      </c>
      <c r="F9" s="88" t="s">
        <v>113</v>
      </c>
      <c r="G9" s="87" t="s">
        <v>112</v>
      </c>
      <c r="H9" s="86" t="s">
        <v>111</v>
      </c>
      <c r="I9" s="85" t="s">
        <v>110</v>
      </c>
    </row>
    <row r="10" spans="1:9" ht="15.75" thickBot="1">
      <c r="A10" s="57">
        <v>1</v>
      </c>
      <c r="B10" s="65"/>
      <c r="C10" s="64" t="s">
        <v>108</v>
      </c>
      <c r="D10" s="60" t="s">
        <v>28</v>
      </c>
      <c r="E10" s="63" t="s">
        <v>109</v>
      </c>
      <c r="F10" s="62" t="s">
        <v>26</v>
      </c>
      <c r="G10" s="59">
        <v>4000</v>
      </c>
      <c r="H10" s="61">
        <v>17.649999999999999</v>
      </c>
      <c r="I10" s="51">
        <f>G10*H10</f>
        <v>70600</v>
      </c>
    </row>
    <row r="11" spans="1:9" ht="15.75" thickBot="1">
      <c r="A11" s="57">
        <v>2</v>
      </c>
      <c r="B11" s="65"/>
      <c r="C11" s="64" t="s">
        <v>108</v>
      </c>
      <c r="D11" s="60" t="s">
        <v>28</v>
      </c>
      <c r="E11" s="63" t="s">
        <v>107</v>
      </c>
      <c r="F11" s="62" t="s">
        <v>26</v>
      </c>
      <c r="G11" s="59">
        <v>3000</v>
      </c>
      <c r="H11" s="61">
        <v>17.649999999999999</v>
      </c>
      <c r="I11" s="51">
        <f>G11*H11</f>
        <v>52949.999999999993</v>
      </c>
    </row>
    <row r="12" spans="1:9" ht="15.75" thickBot="1">
      <c r="A12" s="57">
        <v>3</v>
      </c>
      <c r="B12" s="54"/>
      <c r="C12" s="54" t="s">
        <v>29</v>
      </c>
      <c r="D12" s="60" t="s">
        <v>28</v>
      </c>
      <c r="E12" s="55" t="s">
        <v>106</v>
      </c>
      <c r="F12" s="54" t="s">
        <v>26</v>
      </c>
      <c r="G12" s="59">
        <v>25000</v>
      </c>
      <c r="H12" s="52">
        <v>1.82</v>
      </c>
      <c r="I12" s="51">
        <f>G12*H12</f>
        <v>45500</v>
      </c>
    </row>
    <row r="13" spans="1:9" ht="15.75" thickBot="1">
      <c r="A13" s="57">
        <v>4</v>
      </c>
      <c r="B13" s="54"/>
      <c r="C13" s="54" t="s">
        <v>29</v>
      </c>
      <c r="D13" s="60" t="s">
        <v>28</v>
      </c>
      <c r="E13" s="55" t="s">
        <v>105</v>
      </c>
      <c r="F13" s="54" t="s">
        <v>26</v>
      </c>
      <c r="G13" s="59">
        <v>64000</v>
      </c>
      <c r="H13" s="52">
        <v>1.82</v>
      </c>
      <c r="I13" s="51">
        <f>G13*H13</f>
        <v>116480</v>
      </c>
    </row>
    <row r="14" spans="1:9" ht="15.75" thickBot="1">
      <c r="A14" s="57">
        <v>5</v>
      </c>
      <c r="B14" s="54"/>
      <c r="C14" s="54" t="s">
        <v>29</v>
      </c>
      <c r="D14" s="60" t="s">
        <v>28</v>
      </c>
      <c r="E14" s="55" t="s">
        <v>104</v>
      </c>
      <c r="F14" s="54" t="s">
        <v>26</v>
      </c>
      <c r="G14" s="59">
        <v>12000</v>
      </c>
      <c r="H14" s="52">
        <v>1.82</v>
      </c>
      <c r="I14" s="51">
        <f>G14*H14</f>
        <v>21840</v>
      </c>
    </row>
    <row r="15" spans="1:9" ht="15.75" thickBot="1">
      <c r="A15" s="57">
        <v>6</v>
      </c>
      <c r="B15" s="54"/>
      <c r="C15" s="54" t="s">
        <v>29</v>
      </c>
      <c r="D15" s="60" t="s">
        <v>28</v>
      </c>
      <c r="E15" s="55" t="s">
        <v>103</v>
      </c>
      <c r="F15" s="54" t="s">
        <v>26</v>
      </c>
      <c r="G15" s="59">
        <v>28000</v>
      </c>
      <c r="H15" s="52">
        <v>1.82</v>
      </c>
      <c r="I15" s="51">
        <f>G15*H15</f>
        <v>50960</v>
      </c>
    </row>
    <row r="16" spans="1:9" ht="15.75" thickBot="1">
      <c r="A16" s="57">
        <v>7</v>
      </c>
      <c r="B16" s="54"/>
      <c r="C16" s="54" t="s">
        <v>29</v>
      </c>
      <c r="D16" s="60" t="s">
        <v>28</v>
      </c>
      <c r="E16" s="55" t="s">
        <v>102</v>
      </c>
      <c r="F16" s="54" t="s">
        <v>26</v>
      </c>
      <c r="G16" s="59">
        <v>4000</v>
      </c>
      <c r="H16" s="52">
        <v>2.64</v>
      </c>
      <c r="I16" s="51">
        <f>G16*H16</f>
        <v>10560</v>
      </c>
    </row>
    <row r="17" spans="1:9" ht="15.75" thickBot="1">
      <c r="A17" s="57">
        <v>8</v>
      </c>
      <c r="B17" s="54"/>
      <c r="C17" s="54" t="s">
        <v>29</v>
      </c>
      <c r="D17" s="60" t="s">
        <v>28</v>
      </c>
      <c r="E17" s="55" t="s">
        <v>101</v>
      </c>
      <c r="F17" s="54" t="s">
        <v>26</v>
      </c>
      <c r="G17" s="59">
        <v>5000</v>
      </c>
      <c r="H17" s="52">
        <v>280</v>
      </c>
      <c r="I17" s="51">
        <f>G17*H17</f>
        <v>1400000</v>
      </c>
    </row>
    <row r="18" spans="1:9" ht="15.75" thickBot="1">
      <c r="A18" s="57">
        <v>9</v>
      </c>
      <c r="B18" s="65"/>
      <c r="C18" s="64" t="s">
        <v>97</v>
      </c>
      <c r="D18" s="60" t="s">
        <v>28</v>
      </c>
      <c r="E18" s="63" t="s">
        <v>100</v>
      </c>
      <c r="F18" s="62" t="s">
        <v>26</v>
      </c>
      <c r="G18" s="59">
        <v>3</v>
      </c>
      <c r="H18" s="61">
        <v>490</v>
      </c>
      <c r="I18" s="51">
        <f>G18*H18</f>
        <v>1470</v>
      </c>
    </row>
    <row r="19" spans="1:9" ht="15.75" thickBot="1">
      <c r="A19" s="57">
        <v>10</v>
      </c>
      <c r="B19" s="65"/>
      <c r="C19" s="64" t="s">
        <v>97</v>
      </c>
      <c r="D19" s="60" t="s">
        <v>28</v>
      </c>
      <c r="E19" s="63" t="s">
        <v>99</v>
      </c>
      <c r="F19" s="62" t="s">
        <v>26</v>
      </c>
      <c r="G19" s="59">
        <v>10</v>
      </c>
      <c r="H19" s="61">
        <v>530</v>
      </c>
      <c r="I19" s="51">
        <f>G19*H19</f>
        <v>5300</v>
      </c>
    </row>
    <row r="20" spans="1:9" ht="15.75" thickBot="1">
      <c r="A20" s="57">
        <v>11</v>
      </c>
      <c r="B20" s="54"/>
      <c r="C20" s="54" t="s">
        <v>29</v>
      </c>
      <c r="D20" s="60" t="s">
        <v>34</v>
      </c>
      <c r="E20" s="55" t="s">
        <v>98</v>
      </c>
      <c r="F20" s="54" t="s">
        <v>26</v>
      </c>
      <c r="G20" s="59">
        <v>10</v>
      </c>
      <c r="H20" s="52">
        <v>230</v>
      </c>
      <c r="I20" s="51">
        <f>G20*H20</f>
        <v>2300</v>
      </c>
    </row>
    <row r="21" spans="1:9" ht="15.75" thickBot="1">
      <c r="A21" s="57">
        <v>12</v>
      </c>
      <c r="B21" s="65"/>
      <c r="C21" s="64" t="s">
        <v>97</v>
      </c>
      <c r="D21" s="60" t="s">
        <v>28</v>
      </c>
      <c r="E21" s="63" t="s">
        <v>96</v>
      </c>
      <c r="F21" s="62" t="s">
        <v>26</v>
      </c>
      <c r="G21" s="59">
        <v>34</v>
      </c>
      <c r="H21" s="61">
        <v>13800</v>
      </c>
      <c r="I21" s="51">
        <f>G21*H21</f>
        <v>469200</v>
      </c>
    </row>
    <row r="22" spans="1:9" ht="15.75" thickBot="1">
      <c r="A22" s="57">
        <v>13</v>
      </c>
      <c r="B22" s="65"/>
      <c r="C22" s="76" t="s">
        <v>62</v>
      </c>
      <c r="D22" s="80" t="s">
        <v>28</v>
      </c>
      <c r="E22" s="79" t="s">
        <v>95</v>
      </c>
      <c r="F22" s="62" t="s">
        <v>26</v>
      </c>
      <c r="G22" s="78">
        <v>48</v>
      </c>
      <c r="H22" s="61">
        <v>240</v>
      </c>
      <c r="I22" s="73">
        <f>G22*H22</f>
        <v>11520</v>
      </c>
    </row>
    <row r="23" spans="1:9" ht="15.75" thickBot="1">
      <c r="A23" s="57">
        <v>14</v>
      </c>
      <c r="B23" s="65"/>
      <c r="C23" s="76" t="s">
        <v>56</v>
      </c>
      <c r="D23" s="80" t="s">
        <v>28</v>
      </c>
      <c r="E23" s="79" t="s">
        <v>94</v>
      </c>
      <c r="F23" s="62" t="s">
        <v>92</v>
      </c>
      <c r="G23" s="77">
        <v>10</v>
      </c>
      <c r="H23" s="61">
        <v>350</v>
      </c>
      <c r="I23" s="73">
        <f>G23*H23</f>
        <v>3500</v>
      </c>
    </row>
    <row r="24" spans="1:9" ht="15.75" thickBot="1">
      <c r="A24" s="57">
        <v>15</v>
      </c>
      <c r="B24" s="65"/>
      <c r="C24" s="76" t="s">
        <v>56</v>
      </c>
      <c r="D24" s="80" t="s">
        <v>28</v>
      </c>
      <c r="E24" s="79" t="s">
        <v>93</v>
      </c>
      <c r="F24" s="62" t="s">
        <v>92</v>
      </c>
      <c r="G24" s="77">
        <v>10</v>
      </c>
      <c r="H24" s="61">
        <v>350</v>
      </c>
      <c r="I24" s="73">
        <f>G24*H24</f>
        <v>3500</v>
      </c>
    </row>
    <row r="25" spans="1:9" ht="15.75" thickBot="1">
      <c r="A25" s="57">
        <v>16</v>
      </c>
      <c r="B25" s="65"/>
      <c r="C25" s="76" t="s">
        <v>62</v>
      </c>
      <c r="D25" s="80" t="s">
        <v>28</v>
      </c>
      <c r="E25" s="79" t="s">
        <v>91</v>
      </c>
      <c r="F25" s="62" t="s">
        <v>26</v>
      </c>
      <c r="G25" s="78">
        <v>48</v>
      </c>
      <c r="H25" s="61">
        <v>290</v>
      </c>
      <c r="I25" s="73">
        <f>G25*H25</f>
        <v>13920</v>
      </c>
    </row>
    <row r="26" spans="1:9" ht="15.75" thickBot="1">
      <c r="A26" s="57">
        <v>17</v>
      </c>
      <c r="B26" s="54"/>
      <c r="C26" s="54" t="s">
        <v>29</v>
      </c>
      <c r="D26" s="60" t="s">
        <v>28</v>
      </c>
      <c r="E26" s="55" t="s">
        <v>90</v>
      </c>
      <c r="F26" s="54" t="s">
        <v>26</v>
      </c>
      <c r="G26" s="59">
        <v>30</v>
      </c>
      <c r="H26" s="52">
        <v>560</v>
      </c>
      <c r="I26" s="51">
        <f>G26*H26</f>
        <v>16800</v>
      </c>
    </row>
    <row r="27" spans="1:9" ht="15.75" thickBot="1">
      <c r="A27" s="57">
        <v>18</v>
      </c>
      <c r="B27" s="54"/>
      <c r="C27" s="54" t="s">
        <v>29</v>
      </c>
      <c r="D27" s="60" t="s">
        <v>28</v>
      </c>
      <c r="E27" s="55" t="s">
        <v>89</v>
      </c>
      <c r="F27" s="54" t="s">
        <v>26</v>
      </c>
      <c r="G27" s="59">
        <v>2000</v>
      </c>
      <c r="H27" s="52">
        <v>60</v>
      </c>
      <c r="I27" s="51">
        <f>G27*H27</f>
        <v>120000</v>
      </c>
    </row>
    <row r="28" spans="1:9" ht="15.75" thickBot="1">
      <c r="A28" s="57">
        <v>19</v>
      </c>
      <c r="B28" s="65"/>
      <c r="C28" s="65" t="s">
        <v>56</v>
      </c>
      <c r="D28" s="75" t="s">
        <v>28</v>
      </c>
      <c r="E28" s="84" t="s">
        <v>88</v>
      </c>
      <c r="F28" s="62" t="s">
        <v>26</v>
      </c>
      <c r="G28" s="77">
        <v>12</v>
      </c>
      <c r="H28" s="61">
        <v>55</v>
      </c>
      <c r="I28" s="73">
        <f>G28*H28</f>
        <v>660</v>
      </c>
    </row>
    <row r="29" spans="1:9" ht="15.75" thickBot="1">
      <c r="A29" s="57">
        <v>20</v>
      </c>
      <c r="B29" s="54"/>
      <c r="C29" s="54" t="s">
        <v>29</v>
      </c>
      <c r="D29" s="60" t="s">
        <v>28</v>
      </c>
      <c r="E29" s="55" t="s">
        <v>87</v>
      </c>
      <c r="F29" s="54" t="s">
        <v>26</v>
      </c>
      <c r="G29" s="59">
        <v>100</v>
      </c>
      <c r="H29" s="52">
        <v>130</v>
      </c>
      <c r="I29" s="51">
        <f>G29*H29</f>
        <v>13000</v>
      </c>
    </row>
    <row r="30" spans="1:9" ht="15.75" thickBot="1">
      <c r="A30" s="57">
        <v>21</v>
      </c>
      <c r="B30" s="54"/>
      <c r="C30" s="54" t="s">
        <v>29</v>
      </c>
      <c r="D30" s="60" t="s">
        <v>28</v>
      </c>
      <c r="E30" s="55" t="s">
        <v>86</v>
      </c>
      <c r="F30" s="54" t="s">
        <v>26</v>
      </c>
      <c r="G30" s="59">
        <v>200</v>
      </c>
      <c r="H30" s="52">
        <v>190</v>
      </c>
      <c r="I30" s="51">
        <f>G30*H30</f>
        <v>38000</v>
      </c>
    </row>
    <row r="31" spans="1:9" ht="15.75" thickBot="1">
      <c r="A31" s="57">
        <v>22</v>
      </c>
      <c r="B31" s="54"/>
      <c r="C31" s="54" t="s">
        <v>29</v>
      </c>
      <c r="D31" s="60" t="s">
        <v>28</v>
      </c>
      <c r="E31" s="55" t="s">
        <v>85</v>
      </c>
      <c r="F31" s="54" t="s">
        <v>26</v>
      </c>
      <c r="G31" s="59">
        <v>1500</v>
      </c>
      <c r="H31" s="52">
        <v>9.4</v>
      </c>
      <c r="I31" s="51">
        <f>G31*H31</f>
        <v>14100</v>
      </c>
    </row>
    <row r="32" spans="1:9" ht="15.75" thickBot="1">
      <c r="A32" s="57">
        <v>23</v>
      </c>
      <c r="B32" s="54"/>
      <c r="C32" s="54" t="s">
        <v>29</v>
      </c>
      <c r="D32" s="60" t="s">
        <v>28</v>
      </c>
      <c r="E32" s="55" t="s">
        <v>84</v>
      </c>
      <c r="F32" s="54" t="s">
        <v>26</v>
      </c>
      <c r="G32" s="59">
        <v>1000</v>
      </c>
      <c r="H32" s="52">
        <v>40</v>
      </c>
      <c r="I32" s="51">
        <f>G32*H32</f>
        <v>40000</v>
      </c>
    </row>
    <row r="33" spans="1:9" ht="15.75" thickBot="1">
      <c r="A33" s="57">
        <v>24</v>
      </c>
      <c r="B33" s="54"/>
      <c r="C33" s="54" t="s">
        <v>29</v>
      </c>
      <c r="D33" s="60" t="s">
        <v>28</v>
      </c>
      <c r="E33" s="55" t="s">
        <v>83</v>
      </c>
      <c r="F33" s="54" t="s">
        <v>26</v>
      </c>
      <c r="G33" s="59">
        <v>250</v>
      </c>
      <c r="H33" s="52">
        <v>43</v>
      </c>
      <c r="I33" s="51">
        <f>G33*H33</f>
        <v>10750</v>
      </c>
    </row>
    <row r="34" spans="1:9" ht="15.75" thickBot="1">
      <c r="A34" s="57">
        <v>25</v>
      </c>
      <c r="B34" s="54"/>
      <c r="C34" s="54" t="s">
        <v>29</v>
      </c>
      <c r="D34" s="60" t="s">
        <v>28</v>
      </c>
      <c r="E34" s="55" t="s">
        <v>82</v>
      </c>
      <c r="F34" s="54" t="s">
        <v>26</v>
      </c>
      <c r="G34" s="59">
        <v>250</v>
      </c>
      <c r="H34" s="52">
        <v>47</v>
      </c>
      <c r="I34" s="51">
        <f>G34*H34</f>
        <v>11750</v>
      </c>
    </row>
    <row r="35" spans="1:9" ht="15.75" thickBot="1">
      <c r="A35" s="57">
        <v>26</v>
      </c>
      <c r="B35" s="54"/>
      <c r="C35" s="54" t="s">
        <v>29</v>
      </c>
      <c r="D35" s="60" t="s">
        <v>28</v>
      </c>
      <c r="E35" s="55" t="s">
        <v>81</v>
      </c>
      <c r="F35" s="54" t="s">
        <v>26</v>
      </c>
      <c r="G35" s="59">
        <v>500</v>
      </c>
      <c r="H35" s="52">
        <v>45</v>
      </c>
      <c r="I35" s="51">
        <f>G35*H35</f>
        <v>22500</v>
      </c>
    </row>
    <row r="36" spans="1:9" ht="15.75" thickBot="1">
      <c r="A36" s="57">
        <v>27</v>
      </c>
      <c r="B36" s="65"/>
      <c r="C36" s="76" t="s">
        <v>56</v>
      </c>
      <c r="D36" s="80" t="s">
        <v>28</v>
      </c>
      <c r="E36" s="79" t="s">
        <v>80</v>
      </c>
      <c r="F36" s="62" t="s">
        <v>26</v>
      </c>
      <c r="G36" s="77">
        <v>4</v>
      </c>
      <c r="H36" s="61">
        <v>255</v>
      </c>
      <c r="I36" s="73">
        <f>G36*H36</f>
        <v>1020</v>
      </c>
    </row>
    <row r="37" spans="1:9" ht="15.75" thickBot="1">
      <c r="A37" s="57">
        <v>28</v>
      </c>
      <c r="B37" s="65"/>
      <c r="C37" s="76" t="s">
        <v>56</v>
      </c>
      <c r="D37" s="80" t="s">
        <v>28</v>
      </c>
      <c r="E37" s="79" t="s">
        <v>79</v>
      </c>
      <c r="F37" s="62" t="s">
        <v>26</v>
      </c>
      <c r="G37" s="77">
        <v>4</v>
      </c>
      <c r="H37" s="61">
        <v>320</v>
      </c>
      <c r="I37" s="73">
        <f>G37*H37</f>
        <v>1280</v>
      </c>
    </row>
    <row r="38" spans="1:9" ht="15.75" thickBot="1">
      <c r="A38" s="57">
        <v>29</v>
      </c>
      <c r="B38" s="54"/>
      <c r="C38" s="54" t="s">
        <v>29</v>
      </c>
      <c r="D38" s="60" t="s">
        <v>77</v>
      </c>
      <c r="E38" s="55" t="s">
        <v>78</v>
      </c>
      <c r="F38" s="54" t="s">
        <v>26</v>
      </c>
      <c r="G38" s="59">
        <v>40</v>
      </c>
      <c r="H38" s="52">
        <v>295</v>
      </c>
      <c r="I38" s="51">
        <f>G38*H38</f>
        <v>11800</v>
      </c>
    </row>
    <row r="39" spans="1:9" ht="15.75" thickBot="1">
      <c r="A39" s="57">
        <v>30</v>
      </c>
      <c r="B39" s="54"/>
      <c r="C39" s="54" t="s">
        <v>29</v>
      </c>
      <c r="D39" s="60" t="s">
        <v>77</v>
      </c>
      <c r="E39" s="55" t="s">
        <v>76</v>
      </c>
      <c r="F39" s="54" t="s">
        <v>26</v>
      </c>
      <c r="G39" s="59">
        <v>10</v>
      </c>
      <c r="H39" s="52">
        <v>580</v>
      </c>
      <c r="I39" s="51">
        <f>G39*H39</f>
        <v>5800</v>
      </c>
    </row>
    <row r="40" spans="1:9" ht="15.75" thickBot="1">
      <c r="A40" s="57">
        <v>31</v>
      </c>
      <c r="B40" s="54"/>
      <c r="C40" s="54" t="s">
        <v>29</v>
      </c>
      <c r="D40" s="60" t="s">
        <v>28</v>
      </c>
      <c r="E40" s="55" t="s">
        <v>75</v>
      </c>
      <c r="F40" s="54" t="s">
        <v>26</v>
      </c>
      <c r="G40" s="59">
        <v>10</v>
      </c>
      <c r="H40" s="52">
        <v>2455</v>
      </c>
      <c r="I40" s="51">
        <f>G40*H40</f>
        <v>24550</v>
      </c>
    </row>
    <row r="41" spans="1:9" ht="15.75" thickBot="1">
      <c r="A41" s="57">
        <v>32</v>
      </c>
      <c r="B41" s="54"/>
      <c r="C41" s="54" t="s">
        <v>29</v>
      </c>
      <c r="D41" s="60" t="s">
        <v>28</v>
      </c>
      <c r="E41" s="55" t="s">
        <v>74</v>
      </c>
      <c r="F41" s="54" t="s">
        <v>26</v>
      </c>
      <c r="G41" s="59">
        <v>3000</v>
      </c>
      <c r="H41" s="52">
        <v>168</v>
      </c>
      <c r="I41" s="51">
        <f>G41*H41</f>
        <v>504000</v>
      </c>
    </row>
    <row r="42" spans="1:9" ht="15.75" thickBot="1">
      <c r="A42" s="57">
        <v>33</v>
      </c>
      <c r="B42" s="54"/>
      <c r="C42" s="54" t="s">
        <v>29</v>
      </c>
      <c r="D42" s="60" t="s">
        <v>28</v>
      </c>
      <c r="E42" s="55" t="s">
        <v>73</v>
      </c>
      <c r="F42" s="54" t="s">
        <v>26</v>
      </c>
      <c r="G42" s="59">
        <v>3000</v>
      </c>
      <c r="H42" s="52">
        <v>650</v>
      </c>
      <c r="I42" s="51">
        <f>G42*H42</f>
        <v>1950000</v>
      </c>
    </row>
    <row r="43" spans="1:9" ht="15.75" thickBot="1">
      <c r="A43" s="57">
        <v>34</v>
      </c>
      <c r="B43" s="54"/>
      <c r="C43" s="54" t="s">
        <v>29</v>
      </c>
      <c r="D43" s="60" t="s">
        <v>28</v>
      </c>
      <c r="E43" s="83" t="s">
        <v>72</v>
      </c>
      <c r="F43" s="54" t="s">
        <v>26</v>
      </c>
      <c r="G43" s="59">
        <v>2</v>
      </c>
      <c r="H43" s="52">
        <v>1500</v>
      </c>
      <c r="I43" s="51">
        <f>G43*H43</f>
        <v>3000</v>
      </c>
    </row>
    <row r="44" spans="1:9" ht="15.75" thickBot="1">
      <c r="A44" s="57">
        <v>35</v>
      </c>
      <c r="B44" s="54"/>
      <c r="C44" s="54" t="s">
        <v>29</v>
      </c>
      <c r="D44" s="60" t="s">
        <v>28</v>
      </c>
      <c r="E44" s="82" t="s">
        <v>71</v>
      </c>
      <c r="F44" s="54" t="s">
        <v>26</v>
      </c>
      <c r="G44" s="59">
        <v>600</v>
      </c>
      <c r="H44" s="52">
        <v>5.8</v>
      </c>
      <c r="I44" s="51">
        <f>G44*H44</f>
        <v>3480</v>
      </c>
    </row>
    <row r="45" spans="1:9" ht="15.75" thickBot="1">
      <c r="A45" s="57">
        <v>36</v>
      </c>
      <c r="B45" s="54"/>
      <c r="C45" s="54" t="s">
        <v>29</v>
      </c>
      <c r="D45" s="60" t="s">
        <v>28</v>
      </c>
      <c r="E45" s="55" t="s">
        <v>70</v>
      </c>
      <c r="F45" s="54" t="s">
        <v>26</v>
      </c>
      <c r="G45" s="59">
        <v>1000</v>
      </c>
      <c r="H45" s="52">
        <v>5.8</v>
      </c>
      <c r="I45" s="51">
        <f>G45*H45</f>
        <v>5800</v>
      </c>
    </row>
    <row r="46" spans="1:9" ht="15.75" thickBot="1">
      <c r="A46" s="57">
        <v>37</v>
      </c>
      <c r="B46" s="54"/>
      <c r="C46" s="54" t="s">
        <v>29</v>
      </c>
      <c r="D46" s="60" t="s">
        <v>28</v>
      </c>
      <c r="E46" s="55" t="s">
        <v>69</v>
      </c>
      <c r="F46" s="54" t="s">
        <v>26</v>
      </c>
      <c r="G46" s="59">
        <v>3000</v>
      </c>
      <c r="H46" s="52">
        <v>5.8</v>
      </c>
      <c r="I46" s="51">
        <f>G46*H46</f>
        <v>17400</v>
      </c>
    </row>
    <row r="47" spans="1:9" ht="15.75" thickBot="1">
      <c r="A47" s="57">
        <v>38</v>
      </c>
      <c r="B47" s="54"/>
      <c r="C47" s="54" t="s">
        <v>29</v>
      </c>
      <c r="D47" s="60" t="s">
        <v>28</v>
      </c>
      <c r="E47" s="55" t="s">
        <v>68</v>
      </c>
      <c r="F47" s="54" t="s">
        <v>26</v>
      </c>
      <c r="G47" s="59">
        <v>25000</v>
      </c>
      <c r="H47" s="52">
        <v>5.3</v>
      </c>
      <c r="I47" s="51">
        <f>G47*H47</f>
        <v>132500</v>
      </c>
    </row>
    <row r="48" spans="1:9" ht="15.75" thickBot="1">
      <c r="A48" s="57">
        <v>39</v>
      </c>
      <c r="B48" s="54"/>
      <c r="C48" s="54" t="s">
        <v>29</v>
      </c>
      <c r="D48" s="60" t="s">
        <v>28</v>
      </c>
      <c r="E48" s="55" t="s">
        <v>67</v>
      </c>
      <c r="F48" s="54" t="s">
        <v>26</v>
      </c>
      <c r="G48" s="59">
        <v>5200</v>
      </c>
      <c r="H48" s="52">
        <v>9.1999999999999993</v>
      </c>
      <c r="I48" s="51">
        <f>G48*H48</f>
        <v>47839.999999999993</v>
      </c>
    </row>
    <row r="49" spans="1:9" ht="15.75" thickBot="1">
      <c r="A49" s="57">
        <v>40</v>
      </c>
      <c r="B49" s="54"/>
      <c r="C49" s="54" t="s">
        <v>29</v>
      </c>
      <c r="D49" s="60" t="s">
        <v>28</v>
      </c>
      <c r="E49" s="55" t="s">
        <v>66</v>
      </c>
      <c r="F49" s="54" t="s">
        <v>26</v>
      </c>
      <c r="G49" s="59">
        <v>16000</v>
      </c>
      <c r="H49" s="52">
        <v>3.8</v>
      </c>
      <c r="I49" s="51">
        <f>G49*H49</f>
        <v>60800</v>
      </c>
    </row>
    <row r="50" spans="1:9" ht="15.75" thickBot="1">
      <c r="A50" s="57">
        <v>41</v>
      </c>
      <c r="B50" s="54"/>
      <c r="C50" s="54" t="s">
        <v>29</v>
      </c>
      <c r="D50" s="60" t="s">
        <v>28</v>
      </c>
      <c r="E50" s="55" t="s">
        <v>65</v>
      </c>
      <c r="F50" s="54" t="s">
        <v>26</v>
      </c>
      <c r="G50" s="59">
        <v>2000</v>
      </c>
      <c r="H50" s="58">
        <v>3.9</v>
      </c>
      <c r="I50" s="51">
        <f>G50*H50</f>
        <v>7800</v>
      </c>
    </row>
    <row r="51" spans="1:9" ht="15.75" thickBot="1">
      <c r="A51" s="57">
        <v>42</v>
      </c>
      <c r="B51" s="54"/>
      <c r="C51" s="54" t="s">
        <v>29</v>
      </c>
      <c r="D51" s="60" t="s">
        <v>28</v>
      </c>
      <c r="E51" s="55" t="s">
        <v>64</v>
      </c>
      <c r="F51" s="54" t="s">
        <v>26</v>
      </c>
      <c r="G51" s="59">
        <v>5000</v>
      </c>
      <c r="H51" s="81">
        <v>3.5</v>
      </c>
      <c r="I51" s="51">
        <f>G51*H51</f>
        <v>17500</v>
      </c>
    </row>
    <row r="52" spans="1:9" ht="15.75" thickBot="1">
      <c r="A52" s="57">
        <v>43</v>
      </c>
      <c r="B52" s="65"/>
      <c r="C52" s="76" t="s">
        <v>62</v>
      </c>
      <c r="D52" s="80" t="s">
        <v>28</v>
      </c>
      <c r="E52" s="79" t="s">
        <v>63</v>
      </c>
      <c r="F52" s="62" t="s">
        <v>26</v>
      </c>
      <c r="G52" s="78">
        <v>288</v>
      </c>
      <c r="H52" s="61">
        <v>260</v>
      </c>
      <c r="I52" s="73">
        <f>G52*H52</f>
        <v>74880</v>
      </c>
    </row>
    <row r="53" spans="1:9" ht="15.75" thickBot="1">
      <c r="A53" s="57">
        <v>44</v>
      </c>
      <c r="B53" s="65"/>
      <c r="C53" s="76" t="s">
        <v>62</v>
      </c>
      <c r="D53" s="80" t="s">
        <v>28</v>
      </c>
      <c r="E53" s="79" t="s">
        <v>61</v>
      </c>
      <c r="F53" s="62" t="s">
        <v>26</v>
      </c>
      <c r="G53" s="78">
        <v>288</v>
      </c>
      <c r="H53" s="61">
        <v>230</v>
      </c>
      <c r="I53" s="73">
        <f>G53*H53</f>
        <v>66240</v>
      </c>
    </row>
    <row r="54" spans="1:9" ht="15.75" thickBot="1">
      <c r="A54" s="57">
        <v>45</v>
      </c>
      <c r="B54" s="65"/>
      <c r="C54" s="64" t="s">
        <v>60</v>
      </c>
      <c r="D54" s="60" t="s">
        <v>28</v>
      </c>
      <c r="E54" s="63" t="s">
        <v>59</v>
      </c>
      <c r="F54" s="62" t="s">
        <v>26</v>
      </c>
      <c r="G54" s="59">
        <v>15</v>
      </c>
      <c r="H54" s="61">
        <v>3000</v>
      </c>
      <c r="I54" s="51">
        <f>G54*H54</f>
        <v>45000</v>
      </c>
    </row>
    <row r="55" spans="1:9" ht="15.75" thickBot="1">
      <c r="A55" s="57">
        <v>46</v>
      </c>
      <c r="B55" s="54"/>
      <c r="C55" s="54" t="s">
        <v>29</v>
      </c>
      <c r="D55" s="60" t="s">
        <v>28</v>
      </c>
      <c r="E55" s="55" t="s">
        <v>58</v>
      </c>
      <c r="F55" s="54" t="s">
        <v>26</v>
      </c>
      <c r="G55" s="59">
        <v>50</v>
      </c>
      <c r="H55" s="58">
        <v>79.900000000000006</v>
      </c>
      <c r="I55" s="51">
        <f>G55*H55</f>
        <v>3995.0000000000005</v>
      </c>
    </row>
    <row r="56" spans="1:9" ht="15.75" thickBot="1">
      <c r="A56" s="57">
        <v>47</v>
      </c>
      <c r="B56" s="65"/>
      <c r="C56" s="76" t="s">
        <v>56</v>
      </c>
      <c r="D56" s="75" t="s">
        <v>28</v>
      </c>
      <c r="E56" s="74" t="s">
        <v>57</v>
      </c>
      <c r="F56" s="62" t="s">
        <v>26</v>
      </c>
      <c r="G56" s="77">
        <v>10</v>
      </c>
      <c r="H56" s="61">
        <v>5200</v>
      </c>
      <c r="I56" s="73">
        <f>G56*H56</f>
        <v>52000</v>
      </c>
    </row>
    <row r="57" spans="1:9" ht="15.75" thickBot="1">
      <c r="A57" s="57">
        <v>48</v>
      </c>
      <c r="B57" s="65"/>
      <c r="C57" s="76" t="s">
        <v>56</v>
      </c>
      <c r="D57" s="75" t="s">
        <v>28</v>
      </c>
      <c r="E57" s="74" t="s">
        <v>55</v>
      </c>
      <c r="F57" s="62" t="s">
        <v>26</v>
      </c>
      <c r="G57" s="62">
        <v>6</v>
      </c>
      <c r="H57" s="61">
        <v>2500</v>
      </c>
      <c r="I57" s="73">
        <f>G57*H57</f>
        <v>15000</v>
      </c>
    </row>
    <row r="58" spans="1:9" ht="15.75" thickBot="1">
      <c r="A58" s="57">
        <v>49</v>
      </c>
      <c r="B58" s="72"/>
      <c r="C58" s="54" t="s">
        <v>29</v>
      </c>
      <c r="D58" s="60" t="s">
        <v>28</v>
      </c>
      <c r="E58" s="71" t="s">
        <v>54</v>
      </c>
      <c r="F58" s="54" t="s">
        <v>26</v>
      </c>
      <c r="G58" s="59">
        <v>10</v>
      </c>
      <c r="H58" s="52">
        <v>48</v>
      </c>
      <c r="I58" s="51">
        <f>G58*H58</f>
        <v>480</v>
      </c>
    </row>
    <row r="59" spans="1:9" ht="15.75" thickBot="1">
      <c r="A59" s="57">
        <v>50</v>
      </c>
      <c r="B59" s="54"/>
      <c r="C59" s="54" t="s">
        <v>29</v>
      </c>
      <c r="D59" s="60" t="s">
        <v>28</v>
      </c>
      <c r="E59" s="71" t="s">
        <v>53</v>
      </c>
      <c r="F59" s="54" t="s">
        <v>26</v>
      </c>
      <c r="G59" s="59">
        <v>10</v>
      </c>
      <c r="H59" s="52">
        <v>55</v>
      </c>
      <c r="I59" s="51">
        <f>G59*H59</f>
        <v>550</v>
      </c>
    </row>
    <row r="60" spans="1:9" ht="15.75" thickBot="1">
      <c r="A60" s="57">
        <v>51</v>
      </c>
      <c r="B60" s="54"/>
      <c r="C60" s="54" t="s">
        <v>29</v>
      </c>
      <c r="D60" s="60" t="s">
        <v>50</v>
      </c>
      <c r="E60" s="71" t="s">
        <v>52</v>
      </c>
      <c r="F60" s="54" t="s">
        <v>26</v>
      </c>
      <c r="G60" s="59">
        <v>16000</v>
      </c>
      <c r="H60" s="52">
        <v>22.7</v>
      </c>
      <c r="I60" s="51">
        <f>G60*H60</f>
        <v>363200</v>
      </c>
    </row>
    <row r="61" spans="1:9" ht="15.75" thickBot="1">
      <c r="A61" s="57">
        <v>52</v>
      </c>
      <c r="B61" s="54"/>
      <c r="C61" s="54" t="s">
        <v>29</v>
      </c>
      <c r="D61" s="60" t="s">
        <v>50</v>
      </c>
      <c r="E61" s="70" t="s">
        <v>51</v>
      </c>
      <c r="F61" s="54" t="s">
        <v>26</v>
      </c>
      <c r="G61" s="59">
        <v>3000</v>
      </c>
      <c r="H61" s="52">
        <v>13.5</v>
      </c>
      <c r="I61" s="51">
        <f>G61*H61</f>
        <v>40500</v>
      </c>
    </row>
    <row r="62" spans="1:9" ht="15.75" thickBot="1">
      <c r="A62" s="57">
        <v>53</v>
      </c>
      <c r="B62" s="54"/>
      <c r="C62" s="54" t="s">
        <v>29</v>
      </c>
      <c r="D62" s="60" t="s">
        <v>50</v>
      </c>
      <c r="E62" s="70" t="s">
        <v>49</v>
      </c>
      <c r="F62" s="54" t="s">
        <v>26</v>
      </c>
      <c r="G62" s="59">
        <v>3000</v>
      </c>
      <c r="H62" s="52">
        <v>15</v>
      </c>
      <c r="I62" s="51">
        <f>G62*H62</f>
        <v>45000</v>
      </c>
    </row>
    <row r="63" spans="1:9" ht="15.75" thickBot="1">
      <c r="A63" s="57">
        <v>54</v>
      </c>
      <c r="B63" s="54"/>
      <c r="C63" s="54" t="s">
        <v>29</v>
      </c>
      <c r="D63" s="60" t="s">
        <v>47</v>
      </c>
      <c r="E63" s="71" t="s">
        <v>48</v>
      </c>
      <c r="F63" s="54" t="s">
        <v>26</v>
      </c>
      <c r="G63" s="59">
        <v>100</v>
      </c>
      <c r="H63" s="52">
        <v>1860</v>
      </c>
      <c r="I63" s="51">
        <f>G63*H63</f>
        <v>186000</v>
      </c>
    </row>
    <row r="64" spans="1:9" ht="15.75" thickBot="1">
      <c r="A64" s="57">
        <v>55</v>
      </c>
      <c r="B64" s="54"/>
      <c r="C64" s="54" t="s">
        <v>29</v>
      </c>
      <c r="D64" s="60" t="s">
        <v>47</v>
      </c>
      <c r="E64" s="71" t="s">
        <v>46</v>
      </c>
      <c r="F64" s="54" t="s">
        <v>26</v>
      </c>
      <c r="G64" s="59">
        <v>50</v>
      </c>
      <c r="H64" s="52">
        <v>235</v>
      </c>
      <c r="I64" s="51">
        <f>G64*H64</f>
        <v>11750</v>
      </c>
    </row>
    <row r="65" spans="1:9" ht="39.75" thickBot="1">
      <c r="A65" s="57">
        <v>56</v>
      </c>
      <c r="B65" s="65"/>
      <c r="C65" s="64" t="s">
        <v>40</v>
      </c>
      <c r="D65" s="60" t="s">
        <v>28</v>
      </c>
      <c r="E65" s="70" t="s">
        <v>45</v>
      </c>
      <c r="F65" s="62" t="s">
        <v>26</v>
      </c>
      <c r="G65" s="59">
        <v>6</v>
      </c>
      <c r="H65" s="61">
        <v>12500</v>
      </c>
      <c r="I65" s="51">
        <f>G65*H65</f>
        <v>75000</v>
      </c>
    </row>
    <row r="66" spans="1:9" ht="15.75" thickBot="1">
      <c r="A66" s="57">
        <v>57</v>
      </c>
      <c r="B66" s="54"/>
      <c r="C66" s="54" t="s">
        <v>29</v>
      </c>
      <c r="D66" s="60" t="s">
        <v>28</v>
      </c>
      <c r="E66" s="71" t="s">
        <v>44</v>
      </c>
      <c r="F66" s="54" t="s">
        <v>26</v>
      </c>
      <c r="G66" s="59">
        <v>2500</v>
      </c>
      <c r="H66" s="52">
        <v>35</v>
      </c>
      <c r="I66" s="51">
        <f>G66*H66</f>
        <v>87500</v>
      </c>
    </row>
    <row r="67" spans="1:9" ht="15.75" thickBot="1">
      <c r="A67" s="57">
        <v>58</v>
      </c>
      <c r="B67" s="54"/>
      <c r="C67" s="54" t="s">
        <v>29</v>
      </c>
      <c r="D67" s="60" t="s">
        <v>28</v>
      </c>
      <c r="E67" s="71" t="s">
        <v>43</v>
      </c>
      <c r="F67" s="54" t="s">
        <v>26</v>
      </c>
      <c r="G67" s="59">
        <v>3000</v>
      </c>
      <c r="H67" s="52">
        <v>35</v>
      </c>
      <c r="I67" s="51">
        <f>G67*H67</f>
        <v>105000</v>
      </c>
    </row>
    <row r="68" spans="1:9" ht="39.75" thickBot="1">
      <c r="A68" s="57">
        <v>59</v>
      </c>
      <c r="B68" s="65"/>
      <c r="C68" s="64" t="s">
        <v>40</v>
      </c>
      <c r="D68" s="60" t="s">
        <v>28</v>
      </c>
      <c r="E68" s="70" t="s">
        <v>42</v>
      </c>
      <c r="F68" s="62" t="s">
        <v>26</v>
      </c>
      <c r="G68" s="59">
        <v>20</v>
      </c>
      <c r="H68" s="61">
        <v>250</v>
      </c>
      <c r="I68" s="51">
        <f>G68*H68</f>
        <v>5000</v>
      </c>
    </row>
    <row r="69" spans="1:9" ht="39.75" thickBot="1">
      <c r="A69" s="57">
        <v>60</v>
      </c>
      <c r="B69" s="65"/>
      <c r="C69" s="69" t="s">
        <v>40</v>
      </c>
      <c r="D69" s="60" t="s">
        <v>28</v>
      </c>
      <c r="E69" s="68" t="s">
        <v>41</v>
      </c>
      <c r="F69" s="67" t="s">
        <v>26</v>
      </c>
      <c r="G69" s="66">
        <v>2</v>
      </c>
      <c r="H69" s="61">
        <v>6000</v>
      </c>
      <c r="I69" s="51">
        <f>G69*H69</f>
        <v>12000</v>
      </c>
    </row>
    <row r="70" spans="1:9" ht="39.75" thickBot="1">
      <c r="A70" s="57">
        <v>61</v>
      </c>
      <c r="B70" s="65"/>
      <c r="C70" s="64" t="s">
        <v>40</v>
      </c>
      <c r="D70" s="60" t="s">
        <v>28</v>
      </c>
      <c r="E70" s="63" t="s">
        <v>39</v>
      </c>
      <c r="F70" s="62" t="s">
        <v>26</v>
      </c>
      <c r="G70" s="53">
        <v>20</v>
      </c>
      <c r="H70" s="61">
        <v>250</v>
      </c>
      <c r="I70" s="51">
        <f>G70*H70</f>
        <v>5000</v>
      </c>
    </row>
    <row r="71" spans="1:9" ht="15.75" thickBot="1">
      <c r="A71" s="57">
        <v>62</v>
      </c>
      <c r="B71" s="54"/>
      <c r="C71" s="54" t="s">
        <v>29</v>
      </c>
      <c r="D71" s="60" t="s">
        <v>28</v>
      </c>
      <c r="E71" s="55" t="s">
        <v>38</v>
      </c>
      <c r="F71" s="54" t="s">
        <v>26</v>
      </c>
      <c r="G71" s="53">
        <v>2400</v>
      </c>
      <c r="H71" s="52">
        <v>160</v>
      </c>
      <c r="I71" s="51">
        <f>G71*H71</f>
        <v>384000</v>
      </c>
    </row>
    <row r="72" spans="1:9" ht="15.75" thickBot="1">
      <c r="A72" s="57">
        <v>63</v>
      </c>
      <c r="B72" s="54"/>
      <c r="C72" s="54" t="s">
        <v>29</v>
      </c>
      <c r="D72" s="56" t="s">
        <v>28</v>
      </c>
      <c r="E72" s="55" t="s">
        <v>37</v>
      </c>
      <c r="F72" s="54" t="s">
        <v>26</v>
      </c>
      <c r="G72" s="59">
        <v>1000</v>
      </c>
      <c r="H72" s="52">
        <v>320</v>
      </c>
      <c r="I72" s="51">
        <f>G72*H72</f>
        <v>320000</v>
      </c>
    </row>
    <row r="73" spans="1:9" ht="15.75" thickBot="1">
      <c r="A73" s="57">
        <v>64</v>
      </c>
      <c r="B73" s="54"/>
      <c r="C73" s="54" t="s">
        <v>29</v>
      </c>
      <c r="D73" s="56" t="s">
        <v>28</v>
      </c>
      <c r="E73" s="55" t="s">
        <v>36</v>
      </c>
      <c r="F73" s="54" t="s">
        <v>26</v>
      </c>
      <c r="G73" s="59">
        <v>2000</v>
      </c>
      <c r="H73" s="52">
        <v>107.5</v>
      </c>
      <c r="I73" s="51">
        <f>G73*H73</f>
        <v>215000</v>
      </c>
    </row>
    <row r="74" spans="1:9" ht="15.75" thickBot="1">
      <c r="A74" s="57">
        <v>65</v>
      </c>
      <c r="B74" s="54"/>
      <c r="C74" s="54" t="s">
        <v>29</v>
      </c>
      <c r="D74" s="56" t="s">
        <v>28</v>
      </c>
      <c r="E74" s="55" t="s">
        <v>35</v>
      </c>
      <c r="F74" s="54" t="s">
        <v>26</v>
      </c>
      <c r="G74" s="59">
        <v>1000</v>
      </c>
      <c r="H74" s="52">
        <v>210</v>
      </c>
      <c r="I74" s="51">
        <f>G74*H74</f>
        <v>210000</v>
      </c>
    </row>
    <row r="75" spans="1:9" ht="15.75" thickBot="1">
      <c r="A75" s="57">
        <v>66</v>
      </c>
      <c r="B75" s="54"/>
      <c r="C75" s="54" t="s">
        <v>29</v>
      </c>
      <c r="D75" s="56" t="s">
        <v>34</v>
      </c>
      <c r="E75" s="55" t="s">
        <v>33</v>
      </c>
      <c r="F75" s="54" t="s">
        <v>26</v>
      </c>
      <c r="G75" s="59">
        <v>50</v>
      </c>
      <c r="H75" s="58">
        <v>2259</v>
      </c>
      <c r="I75" s="51">
        <f>G75*H75</f>
        <v>112950</v>
      </c>
    </row>
    <row r="76" spans="1:9" ht="15.75" thickBot="1">
      <c r="A76" s="57">
        <v>67</v>
      </c>
      <c r="B76" s="54"/>
      <c r="C76" s="54" t="s">
        <v>29</v>
      </c>
      <c r="D76" s="56" t="s">
        <v>28</v>
      </c>
      <c r="E76" s="55" t="s">
        <v>32</v>
      </c>
      <c r="F76" s="54" t="s">
        <v>26</v>
      </c>
      <c r="G76" s="53">
        <v>10</v>
      </c>
      <c r="H76" s="52">
        <v>18</v>
      </c>
      <c r="I76" s="51">
        <f>G76*H76</f>
        <v>180</v>
      </c>
    </row>
    <row r="77" spans="1:9" ht="15.75" thickBot="1">
      <c r="A77" s="57">
        <v>68</v>
      </c>
      <c r="B77" s="54"/>
      <c r="C77" s="54" t="s">
        <v>29</v>
      </c>
      <c r="D77" s="56" t="s">
        <v>28</v>
      </c>
      <c r="E77" s="55" t="s">
        <v>31</v>
      </c>
      <c r="F77" s="54" t="s">
        <v>26</v>
      </c>
      <c r="G77" s="53">
        <v>10</v>
      </c>
      <c r="H77" s="52">
        <v>29</v>
      </c>
      <c r="I77" s="51">
        <f>G77*H77</f>
        <v>290</v>
      </c>
    </row>
    <row r="78" spans="1:9" ht="15.75" thickBot="1">
      <c r="A78" s="57">
        <v>69</v>
      </c>
      <c r="B78" s="54"/>
      <c r="C78" s="54" t="s">
        <v>29</v>
      </c>
      <c r="D78" s="56" t="s">
        <v>28</v>
      </c>
      <c r="E78" s="55" t="s">
        <v>30</v>
      </c>
      <c r="F78" s="54" t="s">
        <v>26</v>
      </c>
      <c r="G78" s="53">
        <v>10</v>
      </c>
      <c r="H78" s="52">
        <v>155</v>
      </c>
      <c r="I78" s="51">
        <f>G78*H78</f>
        <v>1550</v>
      </c>
    </row>
    <row r="79" spans="1:9">
      <c r="A79" s="57">
        <v>70</v>
      </c>
      <c r="B79" s="54"/>
      <c r="C79" s="54" t="s">
        <v>29</v>
      </c>
      <c r="D79" s="56" t="s">
        <v>28</v>
      </c>
      <c r="E79" s="55" t="s">
        <v>27</v>
      </c>
      <c r="F79" s="54" t="s">
        <v>26</v>
      </c>
      <c r="G79" s="53">
        <v>50</v>
      </c>
      <c r="H79" s="52">
        <v>250</v>
      </c>
      <c r="I79" s="51">
        <f>G79*H79</f>
        <v>12500</v>
      </c>
    </row>
    <row r="80" spans="1:9">
      <c r="A80" s="45"/>
      <c r="B80" s="43"/>
      <c r="C80" s="9"/>
      <c r="D80" s="43"/>
      <c r="E80" s="50"/>
      <c r="F80" s="43"/>
      <c r="G80" s="6"/>
      <c r="H80" s="5"/>
      <c r="I80" s="4"/>
    </row>
    <row r="81" spans="1:9" ht="15.75" thickBot="1">
      <c r="A81" s="45"/>
      <c r="B81" s="46"/>
      <c r="C81" s="49"/>
      <c r="D81" s="48"/>
      <c r="E81" s="47"/>
      <c r="F81" s="43"/>
      <c r="G81" s="44"/>
      <c r="H81" s="43"/>
      <c r="I81" s="43"/>
    </row>
    <row r="82" spans="1:9" ht="15.75" thickBot="1">
      <c r="A82" s="45"/>
      <c r="B82" s="46"/>
      <c r="C82" s="29"/>
      <c r="D82" s="43"/>
      <c r="E82" s="46"/>
      <c r="F82" s="43"/>
      <c r="G82" s="44"/>
      <c r="H82" s="43"/>
      <c r="I82" s="43"/>
    </row>
    <row r="83" spans="1:9" ht="15.75">
      <c r="A83" s="45"/>
      <c r="B83" s="41" t="s">
        <v>25</v>
      </c>
      <c r="C83" s="40"/>
      <c r="D83" s="40"/>
      <c r="E83" s="39"/>
      <c r="F83" s="43"/>
      <c r="G83" s="44"/>
      <c r="H83" s="43"/>
      <c r="I83" s="43"/>
    </row>
    <row r="84" spans="1:9">
      <c r="A84" s="45"/>
      <c r="B84" s="34"/>
      <c r="C84" s="29"/>
      <c r="D84" s="16"/>
      <c r="E84" s="21"/>
      <c r="F84" s="43"/>
      <c r="G84" s="44"/>
      <c r="H84" s="43"/>
      <c r="I84" s="43"/>
    </row>
    <row r="85" spans="1:9" ht="25.5">
      <c r="A85" s="6"/>
      <c r="B85" s="33" t="s">
        <v>12</v>
      </c>
      <c r="C85" s="35" t="s">
        <v>23</v>
      </c>
      <c r="D85" s="35"/>
      <c r="E85" s="24"/>
      <c r="F85" s="7"/>
      <c r="G85" s="6"/>
      <c r="H85" s="5"/>
      <c r="I85" s="4"/>
    </row>
    <row r="86" spans="1:9">
      <c r="A86" s="6"/>
      <c r="B86" s="33"/>
      <c r="C86" s="38"/>
      <c r="D86" s="38"/>
      <c r="E86" s="37"/>
      <c r="F86" s="7"/>
      <c r="G86" s="6"/>
      <c r="H86" s="5"/>
      <c r="I86" s="4"/>
    </row>
    <row r="87" spans="1:9" ht="25.5">
      <c r="A87" s="6"/>
      <c r="B87" s="36" t="s">
        <v>22</v>
      </c>
      <c r="C87" s="35" t="s">
        <v>21</v>
      </c>
      <c r="D87" s="35"/>
      <c r="E87" s="35"/>
      <c r="F87" s="7"/>
      <c r="G87" s="6"/>
      <c r="H87" s="5"/>
      <c r="I87" s="4"/>
    </row>
    <row r="88" spans="1:9">
      <c r="A88" s="6"/>
      <c r="B88" s="20"/>
      <c r="C88" s="20"/>
      <c r="D88" s="20"/>
      <c r="E88" s="20"/>
      <c r="F88" s="7"/>
      <c r="G88" s="6"/>
      <c r="H88" s="5"/>
      <c r="I88" s="4"/>
    </row>
    <row r="89" spans="1:9" ht="25.5">
      <c r="A89" s="6"/>
      <c r="B89" s="34" t="s">
        <v>20</v>
      </c>
      <c r="C89" s="35" t="s">
        <v>19</v>
      </c>
      <c r="D89" s="35"/>
      <c r="E89" s="24"/>
      <c r="F89" s="7"/>
      <c r="G89" s="6"/>
      <c r="H89" s="5"/>
      <c r="I89" s="4"/>
    </row>
    <row r="90" spans="1:9">
      <c r="A90" s="6"/>
      <c r="B90" s="34"/>
      <c r="C90" s="22"/>
      <c r="D90" s="22"/>
      <c r="E90" s="21"/>
      <c r="F90" s="7"/>
      <c r="G90" s="6"/>
      <c r="H90" s="5"/>
      <c r="I90" s="4"/>
    </row>
    <row r="91" spans="1:9" ht="25.5">
      <c r="A91" s="6"/>
      <c r="B91" s="34" t="s">
        <v>18</v>
      </c>
      <c r="C91" s="22"/>
      <c r="D91" s="22"/>
      <c r="E91" s="21"/>
      <c r="F91" s="7"/>
      <c r="G91" s="6"/>
      <c r="H91" s="5"/>
      <c r="I91" s="4"/>
    </row>
    <row r="92" spans="1:9">
      <c r="A92" s="6"/>
      <c r="B92" s="34"/>
      <c r="C92" s="16"/>
      <c r="D92" s="16" t="s">
        <v>17</v>
      </c>
      <c r="E92" s="15"/>
      <c r="F92" s="7"/>
      <c r="G92" s="6"/>
      <c r="H92" s="5"/>
      <c r="I92" s="4"/>
    </row>
    <row r="93" spans="1:9" ht="38.25">
      <c r="A93" s="6"/>
      <c r="B93" s="33" t="s">
        <v>4</v>
      </c>
      <c r="C93" s="35"/>
      <c r="D93" s="35"/>
      <c r="E93" s="24"/>
      <c r="F93" s="7"/>
      <c r="G93" s="6"/>
      <c r="H93" s="5"/>
      <c r="I93" s="4"/>
    </row>
    <row r="94" spans="1:9">
      <c r="A94" s="6"/>
      <c r="B94" s="34"/>
      <c r="C94" s="16"/>
      <c r="D94" s="16"/>
      <c r="E94" s="15"/>
      <c r="F94" s="7"/>
      <c r="G94" s="6"/>
      <c r="H94" s="5"/>
      <c r="I94" s="4"/>
    </row>
    <row r="95" spans="1:9" ht="25.5">
      <c r="A95" s="6"/>
      <c r="B95" s="33" t="s">
        <v>3</v>
      </c>
      <c r="C95" s="22"/>
      <c r="D95" s="19"/>
      <c r="E95" s="21"/>
      <c r="F95" s="7"/>
      <c r="G95" s="6"/>
      <c r="H95" s="5"/>
      <c r="I95" s="4"/>
    </row>
    <row r="96" spans="1:9">
      <c r="A96" s="6"/>
      <c r="B96" s="34"/>
      <c r="C96" s="16"/>
      <c r="D96" s="16"/>
      <c r="E96" s="15" t="s">
        <v>16</v>
      </c>
      <c r="F96" s="7"/>
      <c r="G96" s="6"/>
      <c r="H96" s="5"/>
      <c r="I96" s="4"/>
    </row>
    <row r="97" spans="1:9">
      <c r="A97" s="6"/>
      <c r="B97" s="33" t="s">
        <v>1</v>
      </c>
      <c r="C97" s="29"/>
      <c r="D97" s="16"/>
      <c r="E97" s="21"/>
      <c r="F97" s="7"/>
      <c r="G97" s="6"/>
      <c r="H97" s="5"/>
      <c r="I97" s="4"/>
    </row>
    <row r="98" spans="1:9">
      <c r="A98" s="6"/>
      <c r="B98" s="33"/>
      <c r="C98" s="16"/>
      <c r="D98" s="16"/>
      <c r="E98" s="15"/>
      <c r="F98" s="7"/>
      <c r="G98" s="6"/>
      <c r="H98" s="5"/>
      <c r="I98" s="4"/>
    </row>
    <row r="99" spans="1:9" ht="15.75" thickBot="1">
      <c r="A99" s="6"/>
      <c r="B99" s="32"/>
      <c r="C99" s="31"/>
      <c r="D99" s="11"/>
      <c r="E99" s="30"/>
      <c r="F99" s="7"/>
      <c r="G99" s="6"/>
      <c r="H99" s="5"/>
      <c r="I99" s="4"/>
    </row>
    <row r="100" spans="1:9" ht="15.75" thickBot="1">
      <c r="A100" s="6"/>
      <c r="B100" s="42"/>
      <c r="C100" s="42"/>
      <c r="D100" s="42"/>
      <c r="E100" s="8"/>
      <c r="F100" s="7"/>
      <c r="G100" s="6"/>
      <c r="H100" s="5"/>
      <c r="I100" s="4"/>
    </row>
    <row r="101" spans="1:9" ht="15.75">
      <c r="A101" s="6"/>
      <c r="B101" s="41" t="s">
        <v>24</v>
      </c>
      <c r="C101" s="40"/>
      <c r="D101" s="40"/>
      <c r="E101" s="39"/>
      <c r="F101" s="7"/>
      <c r="G101" s="6"/>
      <c r="H101" s="5"/>
      <c r="I101" s="4"/>
    </row>
    <row r="102" spans="1:9">
      <c r="A102" s="6"/>
      <c r="B102" s="34"/>
      <c r="C102" s="29"/>
      <c r="D102" s="16"/>
      <c r="E102" s="21"/>
      <c r="F102" s="7"/>
      <c r="G102" s="6"/>
      <c r="H102" s="5"/>
      <c r="I102" s="4"/>
    </row>
    <row r="103" spans="1:9" ht="25.5">
      <c r="A103" s="6"/>
      <c r="B103" s="33" t="s">
        <v>12</v>
      </c>
      <c r="C103" s="35" t="s">
        <v>23</v>
      </c>
      <c r="D103" s="35"/>
      <c r="E103" s="24"/>
      <c r="F103" s="7"/>
      <c r="G103" s="6"/>
      <c r="H103" s="5"/>
      <c r="I103" s="4"/>
    </row>
    <row r="104" spans="1:9">
      <c r="A104" s="6"/>
      <c r="B104" s="33"/>
      <c r="C104" s="38"/>
      <c r="D104" s="38"/>
      <c r="E104" s="37"/>
      <c r="F104" s="7"/>
      <c r="G104" s="6"/>
      <c r="H104" s="5"/>
      <c r="I104" s="4"/>
    </row>
    <row r="105" spans="1:9" ht="25.5">
      <c r="A105" s="6"/>
      <c r="B105" s="36" t="s">
        <v>22</v>
      </c>
      <c r="C105" s="35" t="s">
        <v>21</v>
      </c>
      <c r="D105" s="35"/>
      <c r="E105" s="35"/>
      <c r="F105" s="7"/>
      <c r="G105" s="6"/>
      <c r="H105" s="5"/>
      <c r="I105" s="4"/>
    </row>
    <row r="106" spans="1:9">
      <c r="A106" s="6"/>
      <c r="B106" s="20"/>
      <c r="C106" s="20"/>
      <c r="D106" s="20"/>
      <c r="E106" s="20"/>
      <c r="F106" s="7"/>
      <c r="G106" s="6"/>
      <c r="H106" s="5"/>
      <c r="I106" s="4"/>
    </row>
    <row r="107" spans="1:9" ht="25.5">
      <c r="A107" s="6"/>
      <c r="B107" s="34" t="s">
        <v>20</v>
      </c>
      <c r="C107" s="35" t="s">
        <v>19</v>
      </c>
      <c r="D107" s="35"/>
      <c r="E107" s="24"/>
      <c r="F107" s="7"/>
      <c r="G107" s="6"/>
      <c r="H107" s="5"/>
      <c r="I107" s="4"/>
    </row>
    <row r="108" spans="1:9">
      <c r="A108" s="6"/>
      <c r="B108" s="34"/>
      <c r="C108" s="22"/>
      <c r="D108" s="22"/>
      <c r="E108" s="21"/>
      <c r="F108" s="7"/>
      <c r="G108" s="6"/>
      <c r="H108" s="5"/>
      <c r="I108" s="4"/>
    </row>
    <row r="109" spans="1:9" ht="25.5">
      <c r="A109" s="6"/>
      <c r="B109" s="34" t="s">
        <v>18</v>
      </c>
      <c r="C109" s="22"/>
      <c r="D109" s="22"/>
      <c r="E109" s="21"/>
      <c r="F109" s="7"/>
      <c r="G109" s="6"/>
      <c r="H109" s="5"/>
      <c r="I109" s="4"/>
    </row>
    <row r="110" spans="1:9">
      <c r="A110" s="6"/>
      <c r="B110" s="34"/>
      <c r="C110" s="16"/>
      <c r="D110" s="16" t="s">
        <v>17</v>
      </c>
      <c r="E110" s="15"/>
      <c r="F110" s="7"/>
      <c r="G110" s="6"/>
      <c r="H110" s="5"/>
      <c r="I110" s="4"/>
    </row>
    <row r="111" spans="1:9" ht="38.25">
      <c r="A111" s="6"/>
      <c r="B111" s="33" t="s">
        <v>4</v>
      </c>
      <c r="C111" s="35"/>
      <c r="D111" s="35"/>
      <c r="E111" s="24"/>
      <c r="F111" s="7"/>
      <c r="G111" s="6"/>
      <c r="H111" s="5"/>
      <c r="I111" s="4"/>
    </row>
    <row r="112" spans="1:9">
      <c r="A112" s="6"/>
      <c r="B112" s="34"/>
      <c r="C112" s="16"/>
      <c r="D112" s="16"/>
      <c r="E112" s="15"/>
      <c r="F112" s="7"/>
      <c r="G112" s="6"/>
      <c r="H112" s="5"/>
      <c r="I112" s="4"/>
    </row>
    <row r="113" spans="1:9" ht="25.5">
      <c r="A113" s="6"/>
      <c r="B113" s="33" t="s">
        <v>3</v>
      </c>
      <c r="C113" s="22"/>
      <c r="D113" s="19"/>
      <c r="E113" s="21"/>
      <c r="F113" s="7"/>
      <c r="G113" s="6"/>
      <c r="H113" s="5"/>
      <c r="I113" s="4"/>
    </row>
    <row r="114" spans="1:9">
      <c r="A114" s="6"/>
      <c r="B114" s="34"/>
      <c r="C114" s="16"/>
      <c r="D114" s="16"/>
      <c r="E114" s="15" t="s">
        <v>16</v>
      </c>
      <c r="F114" s="7"/>
      <c r="G114" s="6"/>
      <c r="H114" s="5"/>
      <c r="I114" s="4"/>
    </row>
    <row r="115" spans="1:9">
      <c r="A115" s="6"/>
      <c r="B115" s="33" t="s">
        <v>1</v>
      </c>
      <c r="C115" s="29"/>
      <c r="D115" s="16"/>
      <c r="E115" s="21"/>
      <c r="F115" s="7"/>
      <c r="G115" s="6"/>
      <c r="H115" s="5"/>
      <c r="I115" s="4"/>
    </row>
    <row r="116" spans="1:9">
      <c r="A116" s="6"/>
      <c r="B116" s="33"/>
      <c r="C116" s="16"/>
      <c r="D116" s="16"/>
      <c r="E116" s="15"/>
      <c r="F116" s="7"/>
      <c r="G116" s="6"/>
      <c r="H116" s="5"/>
      <c r="I116" s="4"/>
    </row>
    <row r="117" spans="1:9" ht="15.75" thickBot="1">
      <c r="A117" s="6"/>
      <c r="B117" s="32"/>
      <c r="C117" s="31"/>
      <c r="D117" s="11"/>
      <c r="E117" s="30"/>
      <c r="F117" s="7"/>
      <c r="G117" s="6"/>
      <c r="H117" s="5"/>
      <c r="I117" s="4"/>
    </row>
    <row r="118" spans="1:9" ht="15.75" thickBot="1">
      <c r="A118" s="6"/>
      <c r="B118" s="22"/>
      <c r="C118" s="29"/>
      <c r="D118" s="16"/>
      <c r="E118" s="22"/>
      <c r="F118" s="7"/>
      <c r="G118" s="6"/>
      <c r="H118" s="5"/>
      <c r="I118" s="4"/>
    </row>
    <row r="119" spans="1:9" ht="39">
      <c r="A119" s="6"/>
      <c r="B119" s="28" t="s">
        <v>15</v>
      </c>
      <c r="C119" s="27"/>
      <c r="D119" s="27"/>
      <c r="E119" s="26"/>
      <c r="F119" s="7"/>
      <c r="G119" s="6"/>
      <c r="H119" s="5"/>
      <c r="I119" s="4"/>
    </row>
    <row r="120" spans="1:9">
      <c r="A120" s="6"/>
      <c r="B120" s="18"/>
      <c r="C120" s="16"/>
      <c r="D120" s="16"/>
      <c r="E120" s="15"/>
      <c r="F120" s="7"/>
      <c r="G120" s="6"/>
      <c r="H120" s="5"/>
      <c r="I120" s="4"/>
    </row>
    <row r="121" spans="1:9" ht="26.25">
      <c r="A121" s="6"/>
      <c r="B121" s="17" t="s">
        <v>12</v>
      </c>
      <c r="C121" s="16"/>
      <c r="D121" s="16"/>
      <c r="E121" s="15"/>
      <c r="F121" s="7"/>
      <c r="G121" s="6"/>
      <c r="H121" s="5"/>
      <c r="I121" s="4"/>
    </row>
    <row r="122" spans="1:9">
      <c r="A122" s="6"/>
      <c r="B122" s="17"/>
      <c r="C122" s="25" t="s">
        <v>14</v>
      </c>
      <c r="D122" s="24"/>
      <c r="E122" s="24"/>
      <c r="F122" s="7"/>
      <c r="G122" s="6"/>
      <c r="H122" s="5"/>
      <c r="I122" s="4"/>
    </row>
    <row r="123" spans="1:9">
      <c r="A123" s="6"/>
      <c r="B123" s="17"/>
      <c r="C123" s="23"/>
      <c r="D123" s="22"/>
      <c r="E123" s="21"/>
      <c r="F123" s="7"/>
      <c r="G123" s="6"/>
      <c r="H123" s="5"/>
      <c r="I123" s="4"/>
    </row>
    <row r="124" spans="1:9" ht="26.25">
      <c r="A124" s="6"/>
      <c r="B124" s="17" t="s">
        <v>10</v>
      </c>
      <c r="C124" s="20" t="s">
        <v>9</v>
      </c>
      <c r="D124" s="20"/>
      <c r="E124" s="13"/>
      <c r="F124" s="7"/>
      <c r="G124" s="6"/>
      <c r="H124" s="5"/>
      <c r="I124" s="4"/>
    </row>
    <row r="125" spans="1:9">
      <c r="A125" s="6"/>
      <c r="B125" s="18"/>
      <c r="C125" s="13"/>
      <c r="D125" s="13"/>
      <c r="E125" s="13"/>
      <c r="F125" s="7"/>
      <c r="G125" s="6"/>
      <c r="H125" s="5"/>
      <c r="I125" s="4"/>
    </row>
    <row r="126" spans="1:9" ht="26.25">
      <c r="A126" s="6"/>
      <c r="B126" s="17" t="s">
        <v>8</v>
      </c>
      <c r="C126" s="20" t="s">
        <v>7</v>
      </c>
      <c r="D126" s="20"/>
      <c r="E126" s="13"/>
      <c r="F126" s="7"/>
      <c r="G126" s="6"/>
      <c r="H126" s="5"/>
      <c r="I126" s="4"/>
    </row>
    <row r="127" spans="1:9">
      <c r="A127" s="6"/>
      <c r="B127" s="17"/>
      <c r="C127" s="13"/>
      <c r="D127" s="13"/>
      <c r="E127" s="13"/>
      <c r="F127" s="7"/>
      <c r="G127" s="6"/>
      <c r="H127" s="5"/>
      <c r="I127" s="4"/>
    </row>
    <row r="128" spans="1:9" ht="26.25">
      <c r="A128" s="6"/>
      <c r="B128" s="17" t="s">
        <v>6</v>
      </c>
      <c r="C128" s="20" t="s">
        <v>5</v>
      </c>
      <c r="D128" s="20"/>
      <c r="E128" s="13"/>
      <c r="F128" s="7"/>
      <c r="G128" s="6"/>
      <c r="H128" s="5"/>
      <c r="I128" s="4"/>
    </row>
    <row r="129" spans="1:9">
      <c r="A129" s="6"/>
      <c r="B129" s="17"/>
      <c r="C129" s="19"/>
      <c r="D129" s="19"/>
      <c r="E129" s="15"/>
      <c r="F129" s="7"/>
      <c r="G129" s="6"/>
      <c r="H129" s="5"/>
      <c r="I129" s="4"/>
    </row>
    <row r="130" spans="1:9" ht="39">
      <c r="A130" s="6"/>
      <c r="B130" s="17" t="s">
        <v>4</v>
      </c>
      <c r="C130" s="16"/>
      <c r="D130" s="16"/>
      <c r="E130" s="15"/>
      <c r="F130" s="7"/>
      <c r="G130" s="6"/>
      <c r="H130" s="5"/>
      <c r="I130" s="4"/>
    </row>
    <row r="131" spans="1:9">
      <c r="A131" s="6"/>
      <c r="B131" s="18"/>
      <c r="C131" s="13"/>
      <c r="D131" s="13"/>
      <c r="E131" s="13"/>
      <c r="F131" s="7"/>
      <c r="G131" s="6"/>
      <c r="H131" s="5"/>
      <c r="I131" s="4"/>
    </row>
    <row r="132" spans="1:9" ht="26.25">
      <c r="A132" s="6"/>
      <c r="B132" s="17" t="s">
        <v>3</v>
      </c>
      <c r="C132" s="19"/>
      <c r="D132" s="19"/>
      <c r="E132" s="15"/>
      <c r="F132" s="7"/>
      <c r="G132" s="6"/>
      <c r="H132" s="5"/>
      <c r="I132" s="4"/>
    </row>
    <row r="133" spans="1:9">
      <c r="A133" s="6"/>
      <c r="B133" s="18"/>
      <c r="C133" s="13" t="s">
        <v>2</v>
      </c>
      <c r="D133" s="13"/>
      <c r="E133" s="13"/>
      <c r="F133" s="7"/>
      <c r="G133" s="6"/>
      <c r="H133" s="5"/>
      <c r="I133" s="4"/>
    </row>
    <row r="134" spans="1:9">
      <c r="A134" s="6"/>
      <c r="B134" s="17" t="s">
        <v>1</v>
      </c>
      <c r="C134" s="16"/>
      <c r="D134" s="16"/>
      <c r="E134" s="15"/>
      <c r="F134" s="7"/>
      <c r="G134" s="6"/>
      <c r="H134" s="5"/>
      <c r="I134" s="4"/>
    </row>
    <row r="135" spans="1:9">
      <c r="A135" s="6"/>
      <c r="B135" s="14"/>
      <c r="C135" s="13"/>
      <c r="D135" s="13"/>
      <c r="E135" s="13"/>
      <c r="F135" s="7"/>
      <c r="G135" s="6"/>
      <c r="H135" s="5"/>
      <c r="I135" s="4"/>
    </row>
    <row r="136" spans="1:9" ht="15.75" thickBot="1">
      <c r="A136" s="6"/>
      <c r="B136" s="12"/>
      <c r="C136" s="11"/>
      <c r="D136" s="11"/>
      <c r="E136" s="10"/>
      <c r="F136" s="7"/>
      <c r="G136" s="6"/>
      <c r="H136" s="5"/>
      <c r="I136" s="4"/>
    </row>
    <row r="137" spans="1:9">
      <c r="A137" s="6"/>
      <c r="B137" s="22"/>
      <c r="C137" s="29"/>
      <c r="D137" s="16"/>
      <c r="E137" s="22"/>
      <c r="F137" s="7"/>
      <c r="G137" s="6"/>
      <c r="H137" s="5"/>
      <c r="I137" s="4"/>
    </row>
    <row r="138" spans="1:9" ht="15.75" thickBot="1">
      <c r="A138" s="6"/>
      <c r="B138" s="22"/>
      <c r="C138" s="29"/>
      <c r="D138" s="16"/>
      <c r="E138" s="22"/>
      <c r="F138" s="7"/>
      <c r="G138" s="6"/>
      <c r="H138" s="5"/>
      <c r="I138" s="4"/>
    </row>
    <row r="139" spans="1:9" ht="39">
      <c r="A139" s="6"/>
      <c r="B139" s="28" t="s">
        <v>13</v>
      </c>
      <c r="C139" s="27"/>
      <c r="D139" s="27"/>
      <c r="E139" s="26"/>
      <c r="F139" s="7"/>
      <c r="G139" s="6"/>
      <c r="H139" s="5"/>
      <c r="I139" s="4"/>
    </row>
    <row r="140" spans="1:9">
      <c r="A140" s="6"/>
      <c r="B140" s="18"/>
      <c r="C140" s="16"/>
      <c r="D140" s="16"/>
      <c r="E140" s="15"/>
      <c r="F140" s="7"/>
      <c r="G140" s="6"/>
      <c r="H140" s="5"/>
      <c r="I140" s="4"/>
    </row>
    <row r="141" spans="1:9" ht="26.25">
      <c r="A141" s="6"/>
      <c r="B141" s="17" t="s">
        <v>12</v>
      </c>
      <c r="C141" s="16"/>
      <c r="D141" s="16"/>
      <c r="E141" s="15"/>
      <c r="F141" s="7"/>
      <c r="G141" s="6"/>
      <c r="H141" s="5"/>
      <c r="I141" s="4"/>
    </row>
    <row r="142" spans="1:9">
      <c r="A142" s="6"/>
      <c r="B142" s="17"/>
      <c r="C142" s="25" t="s">
        <v>11</v>
      </c>
      <c r="D142" s="24"/>
      <c r="E142" s="24"/>
      <c r="F142" s="7"/>
      <c r="G142" s="6"/>
      <c r="H142" s="5"/>
      <c r="I142" s="4"/>
    </row>
    <row r="143" spans="1:9">
      <c r="A143" s="6"/>
      <c r="B143" s="17"/>
      <c r="C143" s="23"/>
      <c r="D143" s="22"/>
      <c r="E143" s="21"/>
      <c r="F143" s="7"/>
      <c r="G143" s="6"/>
      <c r="H143" s="5"/>
      <c r="I143" s="4"/>
    </row>
    <row r="144" spans="1:9" ht="26.25">
      <c r="A144" s="6"/>
      <c r="B144" s="17" t="s">
        <v>10</v>
      </c>
      <c r="C144" s="20" t="s">
        <v>9</v>
      </c>
      <c r="D144" s="20"/>
      <c r="E144" s="13"/>
      <c r="F144" s="7"/>
      <c r="G144" s="6"/>
      <c r="H144" s="5"/>
      <c r="I144" s="4"/>
    </row>
    <row r="145" spans="1:9">
      <c r="A145" s="6"/>
      <c r="B145" s="18"/>
      <c r="C145" s="13"/>
      <c r="D145" s="13"/>
      <c r="E145" s="13"/>
      <c r="F145" s="7"/>
      <c r="G145" s="6"/>
      <c r="H145" s="5"/>
      <c r="I145" s="4"/>
    </row>
    <row r="146" spans="1:9" ht="26.25">
      <c r="A146" s="6"/>
      <c r="B146" s="17" t="s">
        <v>8</v>
      </c>
      <c r="C146" s="20" t="s">
        <v>7</v>
      </c>
      <c r="D146" s="20"/>
      <c r="E146" s="13"/>
      <c r="F146" s="7"/>
      <c r="G146" s="6"/>
      <c r="H146" s="5"/>
      <c r="I146" s="4"/>
    </row>
    <row r="147" spans="1:9">
      <c r="A147" s="6"/>
      <c r="B147" s="17"/>
      <c r="C147" s="13"/>
      <c r="D147" s="13"/>
      <c r="E147" s="13"/>
      <c r="F147" s="7"/>
      <c r="G147" s="6"/>
      <c r="H147" s="5"/>
      <c r="I147" s="4"/>
    </row>
    <row r="148" spans="1:9" ht="26.25">
      <c r="A148" s="6"/>
      <c r="B148" s="17" t="s">
        <v>6</v>
      </c>
      <c r="C148" s="20" t="s">
        <v>5</v>
      </c>
      <c r="D148" s="20"/>
      <c r="E148" s="13"/>
      <c r="F148" s="7"/>
      <c r="G148" s="6"/>
      <c r="H148" s="5"/>
      <c r="I148" s="4"/>
    </row>
    <row r="149" spans="1:9">
      <c r="A149" s="6"/>
      <c r="B149" s="17"/>
      <c r="C149" s="19"/>
      <c r="D149" s="19"/>
      <c r="E149" s="15"/>
      <c r="F149" s="7"/>
      <c r="G149" s="6"/>
      <c r="H149" s="5"/>
      <c r="I149" s="4"/>
    </row>
    <row r="150" spans="1:9" ht="39">
      <c r="A150" s="6"/>
      <c r="B150" s="17" t="s">
        <v>4</v>
      </c>
      <c r="C150" s="16"/>
      <c r="D150" s="16"/>
      <c r="E150" s="15"/>
      <c r="F150" s="7"/>
      <c r="G150" s="6"/>
      <c r="H150" s="5"/>
      <c r="I150" s="4"/>
    </row>
    <row r="151" spans="1:9">
      <c r="A151" s="6"/>
      <c r="B151" s="18"/>
      <c r="C151" s="13"/>
      <c r="D151" s="13"/>
      <c r="E151" s="13"/>
      <c r="F151" s="7"/>
      <c r="G151" s="6"/>
      <c r="H151" s="5"/>
      <c r="I151" s="4"/>
    </row>
    <row r="152" spans="1:9" ht="26.25">
      <c r="A152" s="6"/>
      <c r="B152" s="17" t="s">
        <v>3</v>
      </c>
      <c r="C152" s="19"/>
      <c r="D152" s="19"/>
      <c r="E152" s="15"/>
      <c r="F152" s="7"/>
      <c r="G152" s="6"/>
      <c r="H152" s="5"/>
      <c r="I152" s="4"/>
    </row>
    <row r="153" spans="1:9">
      <c r="A153" s="6"/>
      <c r="B153" s="18"/>
      <c r="C153" s="13" t="s">
        <v>2</v>
      </c>
      <c r="D153" s="13"/>
      <c r="E153" s="13"/>
      <c r="F153" s="7"/>
      <c r="G153" s="6"/>
      <c r="H153" s="5"/>
      <c r="I153" s="4"/>
    </row>
    <row r="154" spans="1:9">
      <c r="A154" s="6"/>
      <c r="B154" s="17" t="s">
        <v>1</v>
      </c>
      <c r="C154" s="16"/>
      <c r="D154" s="16"/>
      <c r="E154" s="15"/>
      <c r="F154" s="7"/>
      <c r="G154" s="6"/>
      <c r="H154" s="5"/>
      <c r="I154" s="4"/>
    </row>
    <row r="155" spans="1:9">
      <c r="A155" s="6"/>
      <c r="B155" s="14"/>
      <c r="C155" s="13"/>
      <c r="D155" s="13"/>
      <c r="E155" s="13"/>
      <c r="F155" s="7"/>
      <c r="G155" s="6"/>
      <c r="H155" s="5"/>
      <c r="I155" s="4"/>
    </row>
    <row r="156" spans="1:9" ht="15.75" thickBot="1">
      <c r="A156" s="6"/>
      <c r="B156" s="12"/>
      <c r="C156" s="11"/>
      <c r="D156" s="11"/>
      <c r="E156" s="10"/>
      <c r="F156" s="7"/>
      <c r="G156" s="6"/>
      <c r="H156" s="5"/>
      <c r="I156" s="4"/>
    </row>
    <row r="157" spans="1:9">
      <c r="A157" s="6"/>
      <c r="B157" s="9"/>
      <c r="C157" s="9"/>
      <c r="D157" s="9"/>
      <c r="E157" s="8"/>
      <c r="F157" s="7"/>
      <c r="G157" s="6"/>
      <c r="H157" s="5"/>
      <c r="I157" s="4"/>
    </row>
    <row r="158" spans="1:9">
      <c r="A158" s="6"/>
      <c r="B158" s="9"/>
      <c r="C158" s="9"/>
      <c r="D158" s="9"/>
      <c r="E158" s="8"/>
      <c r="F158" s="7"/>
      <c r="G158" s="6"/>
      <c r="H158" s="5"/>
      <c r="I158" s="4"/>
    </row>
    <row r="159" spans="1:9" ht="15.75">
      <c r="B159" s="3" t="s">
        <v>0</v>
      </c>
      <c r="C159" s="2"/>
    </row>
    <row r="160" spans="1:9" ht="15.75">
      <c r="B160" s="1"/>
    </row>
  </sheetData>
  <mergeCells count="39">
    <mergeCell ref="C87:E87"/>
    <mergeCell ref="C89:E89"/>
    <mergeCell ref="C85:E85"/>
    <mergeCell ref="C86:E86"/>
    <mergeCell ref="A4:D4"/>
    <mergeCell ref="E4:G4"/>
    <mergeCell ref="G81:G84"/>
    <mergeCell ref="B83:E83"/>
    <mergeCell ref="A5:D5"/>
    <mergeCell ref="E5:G5"/>
    <mergeCell ref="A6:D6"/>
    <mergeCell ref="A7:D7"/>
    <mergeCell ref="C122:E122"/>
    <mergeCell ref="C125:E125"/>
    <mergeCell ref="B88:E88"/>
    <mergeCell ref="C93:E93"/>
    <mergeCell ref="B101:E101"/>
    <mergeCell ref="C103:E103"/>
    <mergeCell ref="C104:E104"/>
    <mergeCell ref="C107:E107"/>
    <mergeCell ref="C128:E128"/>
    <mergeCell ref="C133:E133"/>
    <mergeCell ref="C135:E135"/>
    <mergeCell ref="C153:E153"/>
    <mergeCell ref="B106:E106"/>
    <mergeCell ref="C105:E105"/>
    <mergeCell ref="C124:E124"/>
    <mergeCell ref="C126:E126"/>
    <mergeCell ref="C127:E127"/>
    <mergeCell ref="C111:E111"/>
    <mergeCell ref="C155:E155"/>
    <mergeCell ref="C144:E144"/>
    <mergeCell ref="C146:E146"/>
    <mergeCell ref="C147:E147"/>
    <mergeCell ref="C148:E148"/>
    <mergeCell ref="C131:E131"/>
    <mergeCell ref="C142:E142"/>
    <mergeCell ref="C145:E145"/>
    <mergeCell ref="C151:E151"/>
  </mergeCells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MATERNIDAD PROVINCIAL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2021-08-12T11:45:22Z</dcterms:created>
  <dcterms:modified xsi:type="dcterms:W3CDTF">2021-08-12T11:47:07Z</dcterms:modified>
</cp:coreProperties>
</file>