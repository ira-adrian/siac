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7520" windowHeight="1176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Gastar'!$A$1:$Q$25</definedName>
  </definedNames>
  <calcPr calcId="145621"/>
</workbook>
</file>

<file path=xl/calcChain.xml><?xml version="1.0" encoding="utf-8"?>
<calcChain xmlns="http://schemas.openxmlformats.org/spreadsheetml/2006/main">
  <c r="Q21" i="3" l="1"/>
  <c r="D7" i="2" l="1"/>
  <c r="B12" i="2" l="1"/>
  <c r="G6" i="3" l="1"/>
  <c r="J17" i="2" l="1"/>
  <c r="I10" i="1" l="1"/>
  <c r="G7" i="3" l="1"/>
  <c r="D3" i="2"/>
  <c r="G4" i="3" s="1"/>
  <c r="D4" i="2"/>
  <c r="G5" i="3" s="1"/>
  <c r="D1" i="3" l="1"/>
  <c r="I12" i="2"/>
</calcChain>
</file>

<file path=xl/sharedStrings.xml><?xml version="1.0" encoding="utf-8"?>
<sst xmlns="http://schemas.openxmlformats.org/spreadsheetml/2006/main" count="83" uniqueCount="77">
  <si>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</si>
  <si>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</si>
  <si>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</si>
  <si>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</si>
  <si>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</si>
  <si>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</si>
  <si>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</si>
  <si>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</si>
  <si>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</si>
  <si>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</si>
  <si>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</si>
  <si>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</si>
  <si>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</si>
  <si>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</si>
  <si>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</si>
  <si>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</si>
  <si>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</si>
  <si>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</si>
  <si>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</si>
  <si>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</si>
  <si>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</si>
  <si>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</si>
  <si>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</si>
  <si>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</si>
  <si>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</si>
  <si>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</si>
  <si>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</si>
  <si>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</si>
  <si>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</si>
  <si>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</si>
  <si>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</si>
  <si>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</si>
  <si>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</si>
  <si>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</si>
  <si>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</si>
  <si>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</si>
  <si>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</si>
  <si>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</si>
  <si>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</si>
  <si>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</si>
  <si>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</si>
  <si>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</si>
  <si>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</si>
  <si>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</si>
  <si>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</si>
  <si>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</si>
  <si>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</si>
  <si>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</si>
  <si>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</si>
  <si>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</si>
  <si>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</si>
  <si>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</si>
  <si>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</si>
  <si>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</si>
  <si>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</si>
  <si>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70 - MINISTERIO DE CIENCIA E INNOVACION TECNOLOGICA</t>
  </si>
  <si>
    <t>20 - MINISTERIO DE CIENCIA E INNOVACION TECNOLOGICA</t>
  </si>
  <si>
    <t>Garantía</t>
  </si>
  <si>
    <t>1.1</t>
  </si>
  <si>
    <t>Servicio</t>
  </si>
  <si>
    <t>si</t>
  </si>
  <si>
    <t>DIRECCION PROVINCIAL DE GESTION ADMINISTRATIVA Y RECURSOS HUMANOS</t>
  </si>
  <si>
    <t>3.3.5-1688.1</t>
  </si>
  <si>
    <t>MANT. REPARACION Y LIMPIEZA</t>
  </si>
  <si>
    <t>LIMPIEZA DE EDIFICIOS; FRECUENCIA: GENERAL, MATERIAL: SIN VALOR, TIPO: EDIFICIO, DESCRIPCION: LIMPIEZA DE EDIFICIO</t>
  </si>
  <si>
    <t>3.3.5</t>
  </si>
  <si>
    <t>Limpieza, Aseo y Fumigación</t>
  </si>
  <si>
    <t>La prestación del servicio será a partir del primer día hábil siguiente a la fecha de recepción de la respectiva Orden de Compra, conforme a la descripción técnica.</t>
  </si>
  <si>
    <r>
      <rPr>
        <b/>
        <u/>
        <sz val="8"/>
        <color rgb="FF000000"/>
        <rFont val="Calibri"/>
        <family val="2"/>
      </rPr>
      <t>Mantenimiento:</t>
    </r>
    <r>
      <rPr>
        <b/>
        <sz val="8"/>
        <color rgb="FF000000"/>
        <rFont val="Calibri"/>
        <family val="2"/>
      </rPr>
      <t xml:space="preserve"> 30 DIAS habiles</t>
    </r>
  </si>
  <si>
    <r>
      <t>Servicio de limpieza integral completa, profunda y mantenimiento del pabellón Nº 26  y taller del Ministerio de Ciencia e Innovación Tecnológica;</t>
    </r>
    <r>
      <rPr>
        <sz val="8"/>
        <color theme="1"/>
        <rFont val="Arial"/>
        <family val="2"/>
      </rPr>
      <t xml:space="preserve"> por el período de 60 dias corridos, con opción a prórroga</t>
    </r>
    <r>
      <rPr>
        <sz val="8"/>
        <rFont val="Arial"/>
        <family val="2"/>
      </rPr>
      <t xml:space="preserve">:   
• Se realizará una limpieza completa y profunda en el pabellón, taller, como así tambien en los baños, mamposteria, cielorrasos, ventanas, puertas, vidrios, zonas de ingresos, muebles, computadoras y toda superficie a limpiar que se encuentren en el interior del edificio.
• Se colocarán dispenser con sus respectivos productos para:
- Papel higiénico.
- Jabón líquido.
- Alcohol para manos en todos los atomizadores del pabellón y taller .
- Desodorante de ambiente.
- Recipiente para basura con sus respectivas bolsas de residuos y se reemplazarán todos los días o cuando sea necesario durante el día.                                                                                                                                                                                                                                                                                     - Toallas de papel para manos
• El servicio se realizará con una limpieza profunda y general el día hábil siguiente de recepcionada la orden de compra, en el pabellón Nº 26; luego la limpieza se realizará tres (3) veces a la semana, lunes, miércoles y viernes por la mañana de 06:00 a 10:00 hs con dos (2) personas.
• Los productos y elementos de limpieza correrán por parte de la empresa y será de primera calidad.
 </t>
    </r>
    <r>
      <rPr>
        <b/>
        <u/>
        <sz val="8"/>
        <rFont val="Arial"/>
        <family val="2"/>
      </rPr>
      <t>Forma de pago:</t>
    </r>
    <r>
      <rPr>
        <sz val="8"/>
        <rFont val="Arial"/>
        <family val="2"/>
      </rPr>
      <t xml:space="preserve"> El pago se efectuará por Tesorería General de la Provincia en pagos mensuales vencidos dentro de los Treinta (30) días corridos.</t>
    </r>
  </si>
  <si>
    <t xml:space="preserve">Contratación del servicio de limpieza integral completa, profunda y mantenimiento del pabellón Nº 26 y taller del Ministerio de Ciencia e Innovación Tecnológica; por el período de 60 dias corridos, con opción a prórroga.-   </t>
  </si>
  <si>
    <t xml:space="preserve">Contratación del servicio de limpieza integral completa, profunda y mantenimiento del pabellón Nº 26 y taller del Ministerio de Ciencia e Innovación Tecnológica; por el período de 60 dias corridos, con opción a prórroga.-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</si>
  <si>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001/2022</t>
  </si>
  <si>
    <t>Costo total estimado: PESOS CIENTO VEINTE MIL CON 00/100</t>
  </si>
  <si>
    <t>SECRETARIA DE CIENCIA Y TECNOLOGIA</t>
  </si>
  <si>
    <r>
      <t xml:space="preserve">Autorizo la realización de los  trámites correspondientes, a fin de proveer a  este Organismo los bienes y/o servicios que se detallan en Nota  de Pedido N° </t>
    </r>
    <r>
      <rPr>
        <sz val="11"/>
        <color theme="1"/>
        <rFont val="Arial"/>
        <family val="2"/>
      </rPr>
      <t>001/</t>
    </r>
    <r>
      <rPr>
        <sz val="11"/>
        <rFont val="Arial"/>
        <family val="2"/>
        <charset val="1"/>
      </rPr>
      <t>2022,  afectando la erogación resultante a los créditos presupuestarios aprobados a favor de esta Unidad Ejecutora, conforme al siguiente detalle:</t>
    </r>
  </si>
  <si>
    <t>TOTAL DE PESOS: CIENTO VEINTE MIL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</si>
</sst>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</numFmts>
  <fonts count="4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sz val="9"/>
      <color rgb="FF000000"/>
      <name val="Times New Roman"/>
      <family val="1"/>
    </font>
    <font>
      <u/>
      <sz val="9"/>
      <name val="Times New Roman"/>
      <family val="1"/>
    </font>
    <font>
      <b/>
      <u/>
      <sz val="8"/>
      <color rgb="FF000000"/>
      <name val="Calibri"/>
      <family val="2"/>
    </font>
    <font>
      <sz val="8"/>
      <name val="Arial"/>
      <family val="2"/>
      <charset val="1"/>
    </font>
    <font>
      <b/>
      <sz val="8"/>
      <color rgb="FF000000"/>
      <name val="Calibri"/>
      <family val="2"/>
    </font>
    <font>
      <b/>
      <u/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9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9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1"/>
      <color theme="1"/>
      <name val="Times New Roman"/>
      <family val="1"/>
    </font>
    <font>
      <sz val="8"/>
      <color theme="1"/>
      <name val="Arial"/>
      <family val="2"/>
    </font>
    <font>
      <b/>
      <u/>
      <sz val="8"/>
      <name val="Arial"/>
      <family val="2"/>
    </font>
    <font>
      <sz val="11"/>
      <color theme="1"/>
      <name val="Arial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7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8" xfId="0" applyBorder="1"/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5" fillId="0" borderId="0" xfId="0" applyFont="1" applyFill="1"/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 wrapText="1"/>
    </xf>
    <xf numFmtId="0" fontId="20" fillId="0" borderId="0" xfId="0" applyFont="1" applyFill="1"/>
    <xf numFmtId="0" fontId="20" fillId="0" borderId="0" xfId="0" applyFont="1" applyFill="1" applyBorder="1"/>
    <xf numFmtId="0" fontId="20" fillId="0" borderId="0" xfId="0" applyFont="1" applyFill="1" applyBorder="1" applyAlignment="1">
      <alignment horizontal="center" wrapText="1"/>
    </xf>
    <xf numFmtId="0" fontId="27" fillId="0" borderId="0" xfId="0" applyFont="1"/>
    <xf numFmtId="0" fontId="28" fillId="0" borderId="0" xfId="0" applyFont="1" applyBorder="1" applyAlignment="1">
      <alignment vertical="center"/>
    </xf>
    <xf numFmtId="0" fontId="24" fillId="0" borderId="0" xfId="0" applyFont="1"/>
    <xf numFmtId="0" fontId="29" fillId="0" borderId="0" xfId="0" applyFont="1"/>
    <xf numFmtId="0" fontId="24" fillId="0" borderId="0" xfId="0" applyFont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right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20" fillId="0" borderId="0" xfId="0" applyFont="1" applyFill="1" applyBorder="1" applyAlignment="1">
      <alignment horizontal="left" indent="3"/>
    </xf>
    <xf numFmtId="0" fontId="26" fillId="0" borderId="0" xfId="0" applyFont="1" applyFill="1" applyBorder="1" applyAlignment="1">
      <alignment horizontal="left" indent="3"/>
    </xf>
    <xf numFmtId="0" fontId="26" fillId="0" borderId="0" xfId="0" applyFont="1" applyFill="1" applyBorder="1"/>
    <xf numFmtId="167" fontId="20" fillId="0" borderId="0" xfId="0" applyNumberFormat="1" applyFont="1" applyFill="1"/>
    <xf numFmtId="167" fontId="15" fillId="0" borderId="0" xfId="0" applyNumberFormat="1" applyFont="1" applyFill="1"/>
    <xf numFmtId="0" fontId="15" fillId="0" borderId="0" xfId="0" applyNumberFormat="1" applyFont="1" applyFill="1"/>
    <xf numFmtId="0" fontId="20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 wrapText="1"/>
    </xf>
    <xf numFmtId="166" fontId="20" fillId="0" borderId="7" xfId="1" applyNumberFormat="1" applyFont="1" applyFill="1" applyBorder="1" applyAlignment="1" applyProtection="1">
      <alignment horizontal="center" vertical="center" wrapText="1"/>
    </xf>
    <xf numFmtId="0" fontId="23" fillId="0" borderId="7" xfId="0" applyFont="1" applyFill="1" applyBorder="1" applyAlignment="1">
      <alignment horizontal="left" vertical="center" wrapText="1"/>
    </xf>
    <xf numFmtId="167" fontId="21" fillId="0" borderId="7" xfId="0" applyNumberFormat="1" applyFont="1" applyFill="1" applyBorder="1" applyAlignment="1">
      <alignment horizontal="center" vertical="center" wrapText="1"/>
    </xf>
    <xf numFmtId="0" fontId="35" fillId="0" borderId="7" xfId="0" applyFont="1" applyFill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/>
    </xf>
    <xf numFmtId="0" fontId="35" fillId="0" borderId="7" xfId="0" applyFont="1" applyFill="1" applyBorder="1" applyAlignment="1">
      <alignment horizontal="center" vertical="center" wrapText="1"/>
    </xf>
    <xf numFmtId="166" fontId="36" fillId="0" borderId="7" xfId="1" applyNumberFormat="1" applyFont="1" applyFill="1" applyBorder="1" applyAlignment="1" applyProtection="1">
      <alignment horizontal="center" vertical="center" wrapText="1"/>
    </xf>
    <xf numFmtId="0" fontId="36" fillId="3" borderId="7" xfId="1" applyNumberFormat="1" applyFont="1" applyFill="1" applyBorder="1" applyAlignment="1" applyProtection="1">
      <alignment horizontal="center" vertical="center" wrapText="1"/>
    </xf>
    <xf numFmtId="0" fontId="37" fillId="0" borderId="7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left" vertical="center"/>
    </xf>
    <xf numFmtId="3" fontId="35" fillId="0" borderId="7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169" fontId="21" fillId="0" borderId="7" xfId="0" applyNumberFormat="1" applyFont="1" applyFill="1" applyBorder="1" applyAlignment="1">
      <alignment horizontal="center" vertical="center" wrapText="1"/>
    </xf>
    <xf numFmtId="169" fontId="35" fillId="0" borderId="7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vertical="center"/>
    </xf>
    <xf numFmtId="0" fontId="27" fillId="0" borderId="46" xfId="0" applyFont="1" applyBorder="1"/>
    <xf numFmtId="0" fontId="28" fillId="0" borderId="47" xfId="0" applyFont="1" applyBorder="1" applyAlignment="1">
      <alignment vertical="center"/>
    </xf>
    <xf numFmtId="0" fontId="28" fillId="0" borderId="48" xfId="0" applyFont="1" applyBorder="1" applyAlignment="1">
      <alignment vertical="center"/>
    </xf>
    <xf numFmtId="0" fontId="27" fillId="0" borderId="49" xfId="0" applyFont="1" applyBorder="1"/>
    <xf numFmtId="0" fontId="28" fillId="0" borderId="50" xfId="0" applyFont="1" applyBorder="1" applyAlignment="1">
      <alignment vertical="center"/>
    </xf>
    <xf numFmtId="0" fontId="24" fillId="0" borderId="0" xfId="0" applyFont="1" applyBorder="1"/>
    <xf numFmtId="0" fontId="24" fillId="0" borderId="50" xfId="0" applyFont="1" applyBorder="1"/>
    <xf numFmtId="0" fontId="29" fillId="0" borderId="49" xfId="0" applyFont="1" applyBorder="1"/>
    <xf numFmtId="0" fontId="29" fillId="0" borderId="51" xfId="0" applyFont="1" applyBorder="1"/>
    <xf numFmtId="0" fontId="27" fillId="0" borderId="52" xfId="0" applyFont="1" applyBorder="1"/>
    <xf numFmtId="0" fontId="24" fillId="0" borderId="52" xfId="0" applyFont="1" applyBorder="1"/>
    <xf numFmtId="0" fontId="24" fillId="0" borderId="53" xfId="0" applyFont="1" applyBorder="1"/>
    <xf numFmtId="0" fontId="21" fillId="0" borderId="7" xfId="0" applyFont="1" applyFill="1" applyBorder="1" applyAlignment="1">
      <alignment horizontal="left" vertical="center" wrapText="1"/>
    </xf>
    <xf numFmtId="49" fontId="6" fillId="0" borderId="4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20" fillId="0" borderId="0" xfId="0" applyFont="1" applyFill="1" applyBorder="1" applyAlignment="1">
      <alignment horizontal="center"/>
    </xf>
    <xf numFmtId="0" fontId="24" fillId="0" borderId="49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50" xfId="0" applyFont="1" applyFill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 wrapText="1"/>
    </xf>
    <xf numFmtId="0" fontId="20" fillId="0" borderId="0" xfId="0" applyFont="1" applyFill="1" applyBorder="1" applyAlignment="1">
      <alignment horizontal="center" wrapText="1"/>
    </xf>
    <xf numFmtId="0" fontId="42" fillId="0" borderId="9" xfId="0" applyFont="1" applyFill="1" applyBorder="1" applyAlignment="1">
      <alignment horizontal="left" vertical="center"/>
    </xf>
    <xf numFmtId="0" fontId="38" fillId="0" borderId="10" xfId="0" applyFont="1" applyFill="1" applyBorder="1" applyAlignment="1">
      <alignment horizontal="left" vertical="center" wrapText="1" indent="1"/>
    </xf>
    <xf numFmtId="0" fontId="33" fillId="0" borderId="10" xfId="0" applyFont="1" applyFill="1" applyBorder="1" applyAlignment="1">
      <alignment horizontal="left" vertical="center" wrapText="1" indent="1"/>
    </xf>
    <xf numFmtId="0" fontId="34" fillId="0" borderId="9" xfId="0" applyFont="1" applyFill="1" applyBorder="1" applyAlignment="1">
      <alignment horizontal="center" vertical="center"/>
    </xf>
    <xf numFmtId="0" fontId="34" fillId="0" borderId="4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2" fillId="0" borderId="6" xfId="0" applyFont="1" applyFill="1" applyBorder="1" applyAlignment="1">
      <alignment horizontal="left" vertical="center" wrapText="1"/>
    </xf>
    <xf numFmtId="0" fontId="31" fillId="0" borderId="7" xfId="0" applyFont="1" applyFill="1" applyBorder="1" applyAlignment="1">
      <alignment horizontal="left" vertical="center" wrapText="1" indent="1"/>
    </xf>
    <xf numFmtId="0" fontId="42" fillId="0" borderId="8" xfId="0" applyFont="1" applyFill="1" applyBorder="1" applyAlignment="1">
      <alignment horizontal="left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34" fillId="0" borderId="44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4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 indent="1"/>
    </xf>
    <xf numFmtId="167" fontId="7" fillId="0" borderId="7" xfId="0" applyNumberFormat="1" applyFont="1" applyBorder="1" applyAlignment="1">
      <alignment horizontal="center" vertical="center"/>
    </xf>
    <xf numFmtId="0" fontId="35" fillId="0" borderId="7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0" fontId="11" fillId="0" borderId="4" xfId="0" applyFont="1" applyBorder="1" applyAlignment="1">
      <alignment horizontal="left" indent="1"/>
    </xf>
    <xf numFmtId="0" fontId="4" fillId="0" borderId="6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/>
    </xf>
    <xf numFmtId="0" fontId="11" fillId="0" borderId="4" xfId="0" applyFont="1" applyFill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top" wrapText="1"/>
    </xf>
    <xf numFmtId="0" fontId="23" fillId="0" borderId="42" xfId="0" applyFont="1" applyBorder="1" applyAlignment="1">
      <alignment horizontal="left" vertical="top" wrapText="1"/>
    </xf>
    <xf numFmtId="0" fontId="23" fillId="0" borderId="25" xfId="0" applyFont="1" applyBorder="1" applyAlignment="1">
      <alignment horizontal="left" vertical="center" wrapText="1"/>
    </xf>
    <xf numFmtId="0" fontId="23" fillId="0" borderId="40" xfId="0" applyFont="1" applyBorder="1" applyAlignment="1">
      <alignment horizontal="left" vertical="center" wrapText="1"/>
    </xf>
    <xf numFmtId="0" fontId="0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2" fillId="3" borderId="36" xfId="0" applyFont="1" applyFill="1" applyBorder="1" applyAlignment="1">
      <alignment horizontal="left" vertical="center" wrapText="1" indent="1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9" fillId="0" borderId="36" xfId="0" applyFont="1" applyBorder="1" applyAlignment="1">
      <alignment horizontal="left" vertical="center" wrapText="1"/>
    </xf>
    <xf numFmtId="0" fontId="0" fillId="0" borderId="14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73"/>
  <sheetViews>
    <sheetView topLeftCell="A7" zoomScaleNormal="100" workbookViewId="0">
      <selection activeCell="H10" sqref="H10"/>
    </sheetView>
  </sheetViews>
  <sheetFormatPr baseColWidth="10" defaultColWidth="11" defaultRowHeight="12.75" x14ac:dyDescent="0.2"/>
  <cols>
    <col min="1" max="1" width="3.28515625" style="28" customWidth="1"/>
    <col min="2" max="2" width="12.85546875" style="28" customWidth="1"/>
    <col min="3" max="3" width="27.5703125" style="28" customWidth="1"/>
    <col min="4" max="4" width="5.28515625" style="28" customWidth="1"/>
    <col min="5" max="5" width="76" style="28" customWidth="1"/>
    <col min="6" max="6" width="8.7109375" style="28" customWidth="1"/>
    <col min="7" max="7" width="11" style="28" customWidth="1"/>
    <col min="8" max="8" width="14.140625" style="28" customWidth="1"/>
    <col min="9" max="9" width="12.42578125" style="28" customWidth="1"/>
    <col min="10" max="10" width="11" style="28"/>
    <col min="11" max="11" width="11.28515625" style="28" bestFit="1" customWidth="1"/>
    <col min="12" max="16384" width="11" style="28"/>
  </cols>
  <sheetData>
    <row r="2" spans="1:11" ht="27" x14ac:dyDescent="0.35">
      <c r="B2" s="101" t="s">
        <v>0</v>
      </c>
      <c r="C2" s="101"/>
      <c r="D2" s="101"/>
      <c r="E2" s="101"/>
      <c r="F2" s="101"/>
      <c r="G2" s="101"/>
      <c r="H2" s="101"/>
    </row>
    <row r="4" spans="1:11" ht="15.75" x14ac:dyDescent="0.25">
      <c r="A4" s="102" t="s">
        <v>1</v>
      </c>
      <c r="B4" s="102"/>
      <c r="C4" s="103" t="s">
        <v>55</v>
      </c>
      <c r="D4" s="103"/>
      <c r="E4" s="103"/>
      <c r="F4" s="29"/>
      <c r="G4" s="30"/>
      <c r="H4" s="29"/>
    </row>
    <row r="5" spans="1:11" ht="18" customHeight="1" x14ac:dyDescent="0.25">
      <c r="A5" s="100" t="s">
        <v>2</v>
      </c>
      <c r="B5" s="100"/>
      <c r="C5" s="103" t="s">
        <v>56</v>
      </c>
      <c r="D5" s="103"/>
      <c r="E5" s="103"/>
      <c r="F5" s="29"/>
      <c r="G5" s="30"/>
      <c r="H5" s="29"/>
    </row>
    <row r="6" spans="1:11" ht="16.5" customHeight="1" x14ac:dyDescent="0.25">
      <c r="A6" s="100" t="s">
        <v>3</v>
      </c>
      <c r="B6" s="100"/>
      <c r="C6" s="31">
        <v>2022</v>
      </c>
      <c r="D6" s="32"/>
      <c r="E6" s="32"/>
      <c r="F6" s="29"/>
      <c r="G6" s="30"/>
      <c r="H6" s="29"/>
    </row>
    <row r="7" spans="1:11" ht="16.5" customHeight="1" x14ac:dyDescent="0.25">
      <c r="A7" s="100" t="s">
        <v>4</v>
      </c>
      <c r="B7" s="100"/>
      <c r="C7" s="31">
        <v>1</v>
      </c>
      <c r="D7" s="32"/>
      <c r="E7" s="32"/>
      <c r="F7" s="29"/>
      <c r="G7" s="30"/>
      <c r="H7" s="29"/>
    </row>
    <row r="8" spans="1:11" x14ac:dyDescent="0.2">
      <c r="B8" s="29"/>
      <c r="C8" s="30"/>
      <c r="D8" s="29"/>
      <c r="E8" s="29"/>
      <c r="F8" s="29"/>
      <c r="G8" s="30"/>
      <c r="H8" s="29"/>
    </row>
    <row r="9" spans="1:11" ht="37.5" thickTop="1" thickBot="1" x14ac:dyDescent="0.25">
      <c r="A9" s="41" t="s">
        <v>5</v>
      </c>
      <c r="B9" s="41" t="s">
        <v>6</v>
      </c>
      <c r="C9" s="41" t="s">
        <v>7</v>
      </c>
      <c r="D9" s="41" t="s">
        <v>8</v>
      </c>
      <c r="E9" s="41" t="s">
        <v>9</v>
      </c>
      <c r="F9" s="41" t="s">
        <v>10</v>
      </c>
      <c r="G9" s="41" t="s">
        <v>11</v>
      </c>
      <c r="H9" s="41" t="s">
        <v>12</v>
      </c>
      <c r="I9" s="41" t="s">
        <v>13</v>
      </c>
      <c r="J9" s="42"/>
    </row>
    <row r="10" spans="1:11" ht="45" customHeight="1" thickBot="1" x14ac:dyDescent="0.25">
      <c r="A10" s="64">
        <v>1</v>
      </c>
      <c r="B10" s="65" t="s">
        <v>62</v>
      </c>
      <c r="C10" s="97" t="s">
        <v>63</v>
      </c>
      <c r="D10" s="65" t="s">
        <v>65</v>
      </c>
      <c r="E10" s="65" t="s">
        <v>64</v>
      </c>
      <c r="F10" s="65" t="s">
        <v>59</v>
      </c>
      <c r="G10" s="65">
        <v>1</v>
      </c>
      <c r="H10" s="66">
        <v>120000</v>
      </c>
      <c r="I10" s="66">
        <f>+G10*H10</f>
        <v>120000</v>
      </c>
      <c r="J10" s="61"/>
      <c r="K10" s="62"/>
    </row>
    <row r="11" spans="1:11" ht="13.5" thickBot="1" x14ac:dyDescent="0.25">
      <c r="A11" s="64"/>
      <c r="B11" s="65"/>
      <c r="C11" s="65"/>
      <c r="D11" s="65"/>
      <c r="E11" s="67"/>
      <c r="F11" s="65"/>
      <c r="G11" s="65"/>
      <c r="H11" s="82"/>
      <c r="I11" s="68"/>
      <c r="J11" s="42"/>
      <c r="K11" s="63"/>
    </row>
    <row r="12" spans="1:11" ht="13.5" thickBot="1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</row>
    <row r="13" spans="1:11" x14ac:dyDescent="0.2">
      <c r="A13" s="42"/>
      <c r="B13" s="85" t="s">
        <v>14</v>
      </c>
      <c r="C13" s="86"/>
      <c r="D13" s="86"/>
      <c r="E13" s="87"/>
      <c r="F13" s="46"/>
      <c r="G13" s="46"/>
      <c r="H13" s="46"/>
      <c r="I13" s="42"/>
      <c r="J13" s="42"/>
    </row>
    <row r="14" spans="1:11" x14ac:dyDescent="0.2">
      <c r="A14" s="42"/>
      <c r="B14" s="88" t="s">
        <v>15</v>
      </c>
      <c r="C14" s="46"/>
      <c r="D14" s="46"/>
      <c r="E14" s="89"/>
      <c r="F14" s="46"/>
      <c r="G14" s="46"/>
      <c r="H14" s="46"/>
      <c r="I14" s="42"/>
      <c r="J14" s="42"/>
    </row>
    <row r="15" spans="1:11" ht="201.75" customHeight="1" x14ac:dyDescent="0.2">
      <c r="A15" s="42"/>
      <c r="B15" s="105" t="s">
        <v>69</v>
      </c>
      <c r="C15" s="106"/>
      <c r="D15" s="106"/>
      <c r="E15" s="107"/>
      <c r="F15" s="84"/>
      <c r="G15" s="84"/>
      <c r="H15" s="84"/>
      <c r="I15" s="42"/>
      <c r="J15" s="42"/>
    </row>
    <row r="16" spans="1:11" ht="17.25" customHeight="1" x14ac:dyDescent="0.2">
      <c r="A16" s="42"/>
      <c r="B16" s="88" t="s">
        <v>16</v>
      </c>
      <c r="C16" s="90"/>
      <c r="D16" s="90"/>
      <c r="E16" s="91"/>
      <c r="F16" s="47"/>
      <c r="G16" s="47"/>
      <c r="H16" s="47"/>
      <c r="I16" s="42"/>
      <c r="J16" s="42"/>
    </row>
    <row r="17" spans="1:10" ht="36" customHeight="1" x14ac:dyDescent="0.2">
      <c r="A17" s="42"/>
      <c r="B17" s="108" t="s">
        <v>67</v>
      </c>
      <c r="C17" s="109"/>
      <c r="D17" s="109"/>
      <c r="E17" s="110"/>
      <c r="F17" s="47"/>
      <c r="G17" s="47"/>
      <c r="H17" s="47"/>
      <c r="I17" s="42"/>
      <c r="J17" s="42"/>
    </row>
    <row r="18" spans="1:10" x14ac:dyDescent="0.2">
      <c r="A18" s="42"/>
      <c r="B18" s="92" t="s">
        <v>17</v>
      </c>
      <c r="C18" s="90"/>
      <c r="D18" s="90"/>
      <c r="E18" s="91"/>
      <c r="F18" s="47"/>
      <c r="G18" s="47"/>
      <c r="H18" s="47"/>
      <c r="I18" s="42"/>
      <c r="J18" s="42"/>
    </row>
    <row r="19" spans="1:10" x14ac:dyDescent="0.2">
      <c r="A19" s="42"/>
      <c r="B19" s="92" t="s">
        <v>68</v>
      </c>
      <c r="C19" s="90"/>
      <c r="D19" s="90"/>
      <c r="E19" s="91"/>
      <c r="F19" s="47"/>
      <c r="G19" s="47"/>
      <c r="H19" s="47"/>
      <c r="I19" s="42"/>
      <c r="J19" s="42"/>
    </row>
    <row r="20" spans="1:10" ht="13.5" customHeight="1" thickBot="1" x14ac:dyDescent="0.25">
      <c r="A20" s="42"/>
      <c r="B20" s="93" t="s">
        <v>57</v>
      </c>
      <c r="C20" s="94"/>
      <c r="D20" s="95"/>
      <c r="E20" s="96"/>
      <c r="F20" s="47"/>
      <c r="G20" s="47"/>
      <c r="H20" s="47"/>
      <c r="I20" s="42"/>
      <c r="J20" s="42"/>
    </row>
    <row r="21" spans="1:10" ht="26.25" customHeight="1" x14ac:dyDescent="0.2">
      <c r="A21" s="43"/>
      <c r="B21" s="58"/>
      <c r="C21" s="111"/>
      <c r="D21" s="111"/>
      <c r="E21" s="111"/>
      <c r="F21" s="42"/>
      <c r="G21" s="42"/>
      <c r="H21" s="42"/>
      <c r="I21" s="42"/>
      <c r="J21" s="42"/>
    </row>
    <row r="22" spans="1:10" x14ac:dyDescent="0.2">
      <c r="A22" s="43"/>
      <c r="B22" s="59"/>
      <c r="C22" s="44"/>
      <c r="D22" s="44"/>
      <c r="E22" s="44"/>
      <c r="F22" s="42"/>
      <c r="G22" s="42"/>
      <c r="H22" s="42"/>
      <c r="I22" s="42"/>
      <c r="J22" s="42"/>
    </row>
    <row r="23" spans="1:10" ht="26.25" customHeight="1" x14ac:dyDescent="0.2">
      <c r="A23" s="43"/>
      <c r="B23" s="58"/>
      <c r="C23" s="111"/>
      <c r="D23" s="111"/>
      <c r="E23" s="111"/>
      <c r="F23" s="42"/>
      <c r="G23" s="42"/>
      <c r="H23" s="42"/>
      <c r="I23" s="42"/>
      <c r="J23" s="42"/>
    </row>
    <row r="24" spans="1:10" x14ac:dyDescent="0.2">
      <c r="A24" s="43"/>
      <c r="B24" s="59"/>
      <c r="C24" s="43"/>
      <c r="D24" s="43"/>
      <c r="E24" s="43"/>
      <c r="F24" s="42"/>
      <c r="G24" s="42"/>
      <c r="H24" s="42"/>
      <c r="I24" s="42"/>
      <c r="J24" s="42"/>
    </row>
    <row r="25" spans="1:10" ht="23.25" customHeight="1" x14ac:dyDescent="0.2">
      <c r="A25" s="43"/>
      <c r="B25" s="59"/>
      <c r="C25" s="104"/>
      <c r="D25" s="104"/>
      <c r="E25" s="104"/>
      <c r="F25" s="42"/>
      <c r="G25" s="42"/>
      <c r="H25" s="42"/>
      <c r="I25" s="42"/>
      <c r="J25" s="42"/>
    </row>
    <row r="26" spans="1:10" x14ac:dyDescent="0.2">
      <c r="A26" s="43"/>
      <c r="B26" s="58"/>
      <c r="C26" s="43"/>
      <c r="D26" s="43"/>
      <c r="E26" s="43"/>
      <c r="F26" s="42"/>
      <c r="G26" s="42"/>
      <c r="H26" s="42"/>
      <c r="I26" s="42"/>
      <c r="J26" s="42"/>
    </row>
    <row r="27" spans="1:10" x14ac:dyDescent="0.2">
      <c r="A27" s="43"/>
      <c r="B27" s="43"/>
      <c r="C27" s="43"/>
      <c r="D27" s="43"/>
      <c r="E27" s="43"/>
      <c r="F27" s="42"/>
      <c r="G27" s="42"/>
      <c r="H27" s="42"/>
      <c r="I27" s="42"/>
      <c r="J27" s="42"/>
    </row>
    <row r="28" spans="1:10" x14ac:dyDescent="0.2">
      <c r="A28" s="43"/>
      <c r="B28" s="60"/>
      <c r="C28" s="43"/>
      <c r="D28" s="43"/>
      <c r="E28" s="43"/>
      <c r="F28" s="42"/>
      <c r="G28" s="42"/>
      <c r="H28" s="42"/>
      <c r="I28" s="42"/>
      <c r="J28" s="42"/>
    </row>
    <row r="29" spans="1:10" ht="7.5" customHeight="1" x14ac:dyDescent="0.2">
      <c r="A29" s="43"/>
      <c r="B29" s="43"/>
      <c r="C29" s="43"/>
      <c r="D29" s="43"/>
      <c r="E29" s="43"/>
      <c r="F29" s="42"/>
      <c r="G29" s="42"/>
      <c r="H29" s="42"/>
      <c r="I29" s="42"/>
      <c r="J29" s="42"/>
    </row>
    <row r="30" spans="1:10" x14ac:dyDescent="0.2">
      <c r="A30" s="43"/>
      <c r="B30" s="59"/>
      <c r="C30" s="43"/>
      <c r="D30" s="43"/>
      <c r="E30" s="43"/>
      <c r="F30" s="42"/>
      <c r="G30" s="42"/>
      <c r="H30" s="42"/>
      <c r="I30" s="42"/>
      <c r="J30" s="42"/>
    </row>
    <row r="31" spans="1:10" ht="50.25" customHeight="1" x14ac:dyDescent="0.2">
      <c r="A31" s="43"/>
      <c r="B31" s="59"/>
      <c r="C31" s="99"/>
      <c r="D31" s="99"/>
      <c r="E31" s="99"/>
      <c r="F31" s="42"/>
      <c r="G31" s="42"/>
      <c r="H31" s="42"/>
      <c r="I31" s="42"/>
      <c r="J31" s="42"/>
    </row>
    <row r="32" spans="1:10" x14ac:dyDescent="0.2">
      <c r="A32" s="43"/>
      <c r="B32" s="59"/>
      <c r="C32" s="43"/>
      <c r="D32" s="43"/>
      <c r="E32" s="43"/>
      <c r="F32" s="42"/>
      <c r="G32" s="42"/>
      <c r="H32" s="42"/>
      <c r="I32" s="42"/>
      <c r="J32" s="42"/>
    </row>
    <row r="33" spans="1:10" x14ac:dyDescent="0.2">
      <c r="A33" s="43"/>
      <c r="B33" s="58"/>
      <c r="C33" s="104"/>
      <c r="D33" s="104"/>
      <c r="E33" s="104"/>
      <c r="F33" s="42"/>
      <c r="G33" s="42"/>
      <c r="H33" s="42"/>
      <c r="I33" s="42"/>
      <c r="J33" s="42"/>
    </row>
    <row r="34" spans="1:10" x14ac:dyDescent="0.2">
      <c r="A34" s="43"/>
      <c r="B34" s="58"/>
      <c r="C34" s="104"/>
      <c r="D34" s="104"/>
      <c r="E34" s="104"/>
      <c r="F34" s="42"/>
      <c r="G34" s="42"/>
      <c r="H34" s="42"/>
      <c r="I34" s="42"/>
      <c r="J34" s="42"/>
    </row>
    <row r="35" spans="1:10" x14ac:dyDescent="0.2">
      <c r="A35" s="43"/>
      <c r="B35" s="59"/>
      <c r="C35" s="43"/>
      <c r="D35" s="43"/>
      <c r="E35" s="43"/>
      <c r="F35" s="42"/>
      <c r="G35" s="42"/>
      <c r="H35" s="42"/>
      <c r="I35" s="42"/>
      <c r="J35" s="42"/>
    </row>
    <row r="36" spans="1:10" x14ac:dyDescent="0.2">
      <c r="A36" s="43"/>
      <c r="B36" s="58"/>
      <c r="C36" s="111"/>
      <c r="D36" s="111"/>
      <c r="E36" s="111"/>
      <c r="F36" s="42"/>
      <c r="G36" s="42"/>
      <c r="H36" s="42"/>
      <c r="I36" s="42"/>
      <c r="J36" s="42"/>
    </row>
    <row r="37" spans="1:10" x14ac:dyDescent="0.2">
      <c r="A37" s="43"/>
      <c r="B37" s="59"/>
      <c r="C37" s="44"/>
      <c r="D37" s="44"/>
      <c r="E37" s="44"/>
      <c r="F37" s="42"/>
      <c r="G37" s="42"/>
      <c r="H37" s="42"/>
      <c r="I37" s="42"/>
      <c r="J37" s="42"/>
    </row>
    <row r="38" spans="1:10" x14ac:dyDescent="0.2">
      <c r="A38" s="43"/>
      <c r="B38" s="58"/>
      <c r="C38" s="111"/>
      <c r="D38" s="111"/>
      <c r="E38" s="111"/>
      <c r="F38" s="42"/>
      <c r="G38" s="42"/>
      <c r="H38" s="42"/>
      <c r="I38" s="42"/>
      <c r="J38" s="42"/>
    </row>
    <row r="39" spans="1:10" x14ac:dyDescent="0.2">
      <c r="A39" s="43"/>
      <c r="B39" s="59"/>
      <c r="C39" s="43"/>
      <c r="D39" s="43"/>
      <c r="E39" s="43"/>
      <c r="F39" s="42"/>
      <c r="G39" s="42"/>
      <c r="H39" s="42"/>
      <c r="I39" s="42"/>
      <c r="J39" s="42"/>
    </row>
    <row r="40" spans="1:10" x14ac:dyDescent="0.2">
      <c r="A40" s="43"/>
      <c r="B40" s="59"/>
      <c r="C40" s="104"/>
      <c r="D40" s="104"/>
      <c r="E40" s="104"/>
      <c r="F40" s="42"/>
      <c r="G40" s="42"/>
      <c r="H40" s="42"/>
      <c r="I40" s="42"/>
      <c r="J40" s="42"/>
    </row>
    <row r="41" spans="1:10" x14ac:dyDescent="0.2">
      <c r="A41" s="43"/>
      <c r="B41" s="58"/>
      <c r="C41" s="43"/>
      <c r="D41" s="43"/>
      <c r="E41" s="43"/>
      <c r="F41" s="42"/>
      <c r="G41" s="42"/>
      <c r="H41" s="42"/>
      <c r="I41" s="42"/>
      <c r="J41" s="42"/>
    </row>
    <row r="42" spans="1:10" x14ac:dyDescent="0.2">
      <c r="A42" s="43"/>
      <c r="B42" s="43"/>
      <c r="C42" s="43"/>
      <c r="D42" s="43"/>
      <c r="E42" s="43"/>
      <c r="F42" s="42"/>
      <c r="G42" s="42"/>
      <c r="H42" s="42"/>
      <c r="I42" s="42"/>
      <c r="J42" s="42"/>
    </row>
    <row r="43" spans="1:10" x14ac:dyDescent="0.2">
      <c r="A43" s="43"/>
      <c r="B43" s="43"/>
      <c r="C43" s="43"/>
      <c r="D43" s="43"/>
      <c r="E43" s="43"/>
      <c r="F43" s="42"/>
      <c r="G43" s="42"/>
      <c r="H43" s="42"/>
      <c r="I43" s="42"/>
      <c r="J43" s="42"/>
    </row>
    <row r="44" spans="1:10" x14ac:dyDescent="0.2">
      <c r="A44" s="43"/>
      <c r="B44" s="43"/>
      <c r="C44" s="43"/>
      <c r="D44" s="43"/>
      <c r="E44" s="43"/>
      <c r="F44" s="42"/>
      <c r="G44" s="42"/>
      <c r="H44" s="42"/>
      <c r="I44" s="42"/>
      <c r="J44" s="42"/>
    </row>
    <row r="45" spans="1:10" x14ac:dyDescent="0.2">
      <c r="A45" s="43"/>
      <c r="B45" s="43"/>
      <c r="C45" s="43"/>
      <c r="D45" s="43"/>
      <c r="E45" s="43"/>
      <c r="F45" s="42"/>
      <c r="G45" s="42"/>
      <c r="H45" s="42"/>
      <c r="I45" s="42"/>
      <c r="J45" s="42"/>
    </row>
    <row r="46" spans="1:10" x14ac:dyDescent="0.2">
      <c r="A46" s="43"/>
      <c r="B46" s="60"/>
      <c r="C46" s="43"/>
      <c r="D46" s="43"/>
      <c r="E46" s="43"/>
      <c r="F46" s="42"/>
      <c r="G46" s="42"/>
      <c r="H46" s="42"/>
      <c r="I46" s="42"/>
      <c r="J46" s="42"/>
    </row>
    <row r="47" spans="1:10" x14ac:dyDescent="0.2">
      <c r="A47" s="43"/>
      <c r="B47" s="43"/>
      <c r="C47" s="43"/>
      <c r="D47" s="43"/>
      <c r="E47" s="43"/>
      <c r="F47" s="42"/>
      <c r="G47" s="42"/>
      <c r="H47" s="42"/>
      <c r="I47" s="42"/>
      <c r="J47" s="42"/>
    </row>
    <row r="48" spans="1:10" x14ac:dyDescent="0.2">
      <c r="A48" s="43"/>
      <c r="B48" s="59"/>
      <c r="C48" s="43"/>
      <c r="D48" s="43"/>
      <c r="E48" s="43"/>
      <c r="F48" s="42"/>
      <c r="G48" s="42"/>
      <c r="H48" s="42"/>
      <c r="I48" s="42"/>
      <c r="J48" s="42"/>
    </row>
    <row r="49" spans="1:10" ht="57.75" customHeight="1" x14ac:dyDescent="0.2">
      <c r="A49" s="43"/>
      <c r="B49" s="59"/>
      <c r="C49" s="99"/>
      <c r="D49" s="99"/>
      <c r="E49" s="99"/>
      <c r="F49" s="42"/>
      <c r="G49" s="42"/>
      <c r="H49" s="42"/>
      <c r="I49" s="42"/>
      <c r="J49" s="42"/>
    </row>
    <row r="50" spans="1:10" ht="32.25" customHeight="1" x14ac:dyDescent="0.2">
      <c r="A50" s="43"/>
      <c r="B50" s="59"/>
      <c r="C50" s="43"/>
      <c r="D50" s="43"/>
      <c r="E50" s="43"/>
      <c r="F50" s="42"/>
      <c r="G50" s="42"/>
      <c r="H50" s="42"/>
      <c r="I50" s="42"/>
      <c r="J50" s="42"/>
    </row>
    <row r="51" spans="1:10" x14ac:dyDescent="0.2">
      <c r="A51" s="43"/>
      <c r="B51" s="58"/>
      <c r="C51" s="104"/>
      <c r="D51" s="104"/>
      <c r="E51" s="104"/>
      <c r="F51" s="42"/>
      <c r="G51" s="42"/>
      <c r="H51" s="42"/>
      <c r="I51" s="42"/>
      <c r="J51" s="42"/>
    </row>
    <row r="52" spans="1:10" x14ac:dyDescent="0.2">
      <c r="A52" s="43"/>
      <c r="B52" s="58"/>
      <c r="C52" s="104"/>
      <c r="D52" s="104"/>
      <c r="E52" s="104"/>
      <c r="F52" s="42"/>
      <c r="G52" s="42"/>
      <c r="H52" s="42"/>
      <c r="I52" s="42"/>
      <c r="J52" s="42"/>
    </row>
    <row r="53" spans="1:10" x14ac:dyDescent="0.2">
      <c r="A53" s="43"/>
      <c r="B53" s="59"/>
      <c r="C53" s="43"/>
      <c r="D53" s="43"/>
      <c r="E53" s="43"/>
      <c r="F53" s="42"/>
      <c r="G53" s="42"/>
      <c r="H53" s="42"/>
      <c r="I53" s="42"/>
      <c r="J53" s="42"/>
    </row>
    <row r="54" spans="1:10" x14ac:dyDescent="0.2">
      <c r="A54" s="43"/>
      <c r="B54" s="58"/>
      <c r="C54" s="111"/>
      <c r="D54" s="111"/>
      <c r="E54" s="111"/>
      <c r="F54" s="42"/>
      <c r="G54" s="42"/>
      <c r="H54" s="42"/>
      <c r="I54" s="42"/>
      <c r="J54" s="42"/>
    </row>
    <row r="55" spans="1:10" x14ac:dyDescent="0.2">
      <c r="A55" s="43"/>
      <c r="B55" s="59"/>
      <c r="C55" s="44"/>
      <c r="D55" s="44"/>
      <c r="E55" s="44"/>
      <c r="F55" s="42"/>
      <c r="G55" s="42"/>
      <c r="H55" s="42"/>
      <c r="I55" s="42"/>
      <c r="J55" s="42"/>
    </row>
    <row r="56" spans="1:10" x14ac:dyDescent="0.2">
      <c r="A56" s="43"/>
      <c r="B56" s="58"/>
      <c r="C56" s="111"/>
      <c r="D56" s="111"/>
      <c r="E56" s="111"/>
      <c r="F56" s="42"/>
      <c r="G56" s="42"/>
      <c r="H56" s="42"/>
      <c r="I56" s="42"/>
      <c r="J56" s="42"/>
    </row>
    <row r="57" spans="1:10" x14ac:dyDescent="0.2">
      <c r="A57" s="43"/>
      <c r="B57" s="59"/>
      <c r="C57" s="43"/>
      <c r="D57" s="43"/>
      <c r="E57" s="43"/>
      <c r="F57" s="42"/>
      <c r="G57" s="42"/>
      <c r="H57" s="42"/>
      <c r="I57" s="42"/>
      <c r="J57" s="42"/>
    </row>
    <row r="58" spans="1:10" x14ac:dyDescent="0.2">
      <c r="A58" s="43"/>
      <c r="B58" s="59"/>
      <c r="C58" s="104"/>
      <c r="D58" s="104"/>
      <c r="E58" s="104"/>
      <c r="F58" s="42"/>
      <c r="G58" s="42"/>
      <c r="H58" s="42"/>
      <c r="I58" s="42"/>
      <c r="J58" s="42"/>
    </row>
    <row r="59" spans="1:10" x14ac:dyDescent="0.2">
      <c r="A59" s="43"/>
      <c r="B59" s="58"/>
      <c r="C59" s="43"/>
      <c r="D59" s="43"/>
      <c r="E59" s="43"/>
      <c r="F59" s="42"/>
      <c r="G59" s="42"/>
      <c r="H59" s="42"/>
      <c r="I59" s="42"/>
      <c r="J59" s="42"/>
    </row>
    <row r="60" spans="1:10" x14ac:dyDescent="0.2">
      <c r="A60" s="43"/>
      <c r="B60" s="43"/>
      <c r="C60" s="43"/>
      <c r="D60" s="43"/>
      <c r="E60" s="43"/>
      <c r="F60" s="42"/>
      <c r="G60" s="42"/>
      <c r="H60" s="42"/>
      <c r="I60" s="42"/>
      <c r="J60" s="42"/>
    </row>
    <row r="61" spans="1:10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</row>
    <row r="62" spans="1:10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</row>
    <row r="63" spans="1:10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</row>
    <row r="64" spans="1:10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</row>
    <row r="65" spans="1:10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</row>
    <row r="66" spans="1:10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</row>
    <row r="67" spans="1:10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</row>
    <row r="68" spans="1:10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</row>
    <row r="69" spans="1:10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</row>
    <row r="70" spans="1:10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</row>
    <row r="71" spans="1:10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</row>
    <row r="72" spans="1:10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</row>
    <row r="73" spans="1:10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</row>
  </sheetData>
  <mergeCells count="24">
    <mergeCell ref="C33:E33"/>
    <mergeCell ref="B15:E15"/>
    <mergeCell ref="B17:E17"/>
    <mergeCell ref="C58:E58"/>
    <mergeCell ref="C49:E49"/>
    <mergeCell ref="C51:E51"/>
    <mergeCell ref="C52:E52"/>
    <mergeCell ref="C54:E54"/>
    <mergeCell ref="C56:E56"/>
    <mergeCell ref="C34:E34"/>
    <mergeCell ref="C36:E36"/>
    <mergeCell ref="C38:E38"/>
    <mergeCell ref="C40:E40"/>
    <mergeCell ref="C21:E21"/>
    <mergeCell ref="C23:E23"/>
    <mergeCell ref="C25:E25"/>
    <mergeCell ref="C31:E31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5" scale="95" firstPageNumber="0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93"/>
  <sheetViews>
    <sheetView tabSelected="1" zoomScale="90" zoomScaleNormal="90" workbookViewId="0">
      <selection activeCell="A17" sqref="A17:I17"/>
    </sheetView>
  </sheetViews>
  <sheetFormatPr baseColWidth="10" defaultColWidth="9.140625" defaultRowHeight="12.75" x14ac:dyDescent="0.2"/>
  <cols>
    <col min="1" max="1" width="19" style="2" customWidth="1"/>
    <col min="2" max="2" width="12.85546875" style="2" customWidth="1"/>
    <col min="3" max="3" width="8.7109375" style="2" customWidth="1"/>
    <col min="4" max="4" width="85.5703125" style="2" customWidth="1"/>
    <col min="5" max="5" width="10.42578125" style="2" bestFit="1" customWidth="1"/>
    <col min="6" max="6" width="7.85546875" style="2" customWidth="1"/>
    <col min="7" max="7" width="20.5703125" style="2" customWidth="1"/>
    <col min="8" max="8" width="7.85546875" style="2" customWidth="1"/>
    <col min="9" max="9" width="9.140625" style="2" customWidth="1"/>
    <col min="10" max="10" width="13.7109375" style="2" customWidth="1"/>
    <col min="11" max="11" width="11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3" t="s">
        <v>19</v>
      </c>
      <c r="K1" s="98" t="s">
        <v>72</v>
      </c>
      <c r="L1" s="55"/>
    </row>
    <row r="2" spans="1:12" ht="18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1"/>
      <c r="K2" s="52"/>
      <c r="L2" s="55"/>
    </row>
    <row r="3" spans="1:12" ht="18.75" customHeight="1" thickBot="1" x14ac:dyDescent="0.25">
      <c r="A3" s="118" t="s">
        <v>52</v>
      </c>
      <c r="B3" s="118"/>
      <c r="C3" s="118"/>
      <c r="D3" s="119" t="str">
        <f>'Necesidades Trimestrales'!C4</f>
        <v>70 - MINISTERIO DE CIENCIA E INNOVACION TECNOLOGICA</v>
      </c>
      <c r="E3" s="119"/>
      <c r="F3" s="119"/>
      <c r="G3" s="119"/>
      <c r="H3" s="119"/>
      <c r="I3" s="119"/>
      <c r="J3" s="119"/>
      <c r="K3" s="119"/>
    </row>
    <row r="4" spans="1:12" ht="18.75" customHeight="1" thickBot="1" x14ac:dyDescent="0.25">
      <c r="A4" s="120" t="s">
        <v>53</v>
      </c>
      <c r="B4" s="120"/>
      <c r="C4" s="120"/>
      <c r="D4" s="119" t="str">
        <f>'Necesidades Trimestrales'!C5</f>
        <v>20 - MINISTERIO DE CIENCIA E INNOVACION TECNOLOGICA</v>
      </c>
      <c r="E4" s="119"/>
      <c r="F4" s="119"/>
      <c r="G4" s="119"/>
      <c r="H4" s="119"/>
      <c r="I4" s="119"/>
      <c r="J4" s="119"/>
      <c r="K4" s="119"/>
    </row>
    <row r="5" spans="1:12" ht="18.75" customHeight="1" thickBot="1" x14ac:dyDescent="0.25">
      <c r="A5" s="120" t="s">
        <v>31</v>
      </c>
      <c r="B5" s="120"/>
      <c r="C5" s="120"/>
      <c r="D5" s="119" t="s">
        <v>74</v>
      </c>
      <c r="E5" s="119"/>
      <c r="F5" s="119"/>
      <c r="G5" s="119"/>
      <c r="H5" s="119"/>
      <c r="I5" s="119"/>
      <c r="J5" s="119"/>
      <c r="K5" s="119"/>
    </row>
    <row r="6" spans="1:12" ht="16.5" customHeight="1" thickBot="1" x14ac:dyDescent="0.25">
      <c r="A6" s="118" t="s">
        <v>54</v>
      </c>
      <c r="B6" s="118"/>
      <c r="C6" s="118"/>
      <c r="D6" s="119" t="s">
        <v>61</v>
      </c>
      <c r="E6" s="119"/>
      <c r="F6" s="119"/>
      <c r="G6" s="119"/>
      <c r="H6" s="119"/>
      <c r="I6" s="119"/>
      <c r="J6" s="119"/>
      <c r="K6" s="119"/>
    </row>
    <row r="7" spans="1:12" ht="16.5" customHeight="1" x14ac:dyDescent="0.2">
      <c r="A7" s="120" t="s">
        <v>20</v>
      </c>
      <c r="B7" s="120"/>
      <c r="C7" s="120"/>
      <c r="D7" s="119" t="str">
        <f>'Necesidades Trimestrales'!C7 &amp; "° Trimestre - Año " &amp; 'Necesidades Trimestrales'!C6</f>
        <v>1° Trimestre - Año 2022</v>
      </c>
      <c r="E7" s="119"/>
      <c r="F7" s="119"/>
      <c r="G7" s="119"/>
      <c r="H7" s="119"/>
      <c r="I7" s="119"/>
      <c r="J7" s="119"/>
      <c r="K7" s="119"/>
    </row>
    <row r="8" spans="1:12" ht="39" customHeight="1" x14ac:dyDescent="0.2">
      <c r="A8" s="112" t="s">
        <v>21</v>
      </c>
      <c r="B8" s="112"/>
      <c r="C8" s="112"/>
      <c r="D8" s="113" t="s">
        <v>70</v>
      </c>
      <c r="E8" s="114"/>
      <c r="F8" s="114"/>
      <c r="G8" s="114"/>
      <c r="H8" s="114"/>
      <c r="I8" s="114"/>
      <c r="J8" s="114"/>
      <c r="K8" s="114"/>
    </row>
    <row r="9" spans="1:12" ht="15.75" x14ac:dyDescent="0.2">
      <c r="A9" s="53"/>
      <c r="B9" s="53"/>
      <c r="C9" s="53"/>
      <c r="D9" s="54"/>
      <c r="E9" s="54"/>
      <c r="F9" s="54"/>
      <c r="G9" s="54"/>
      <c r="H9" s="54"/>
      <c r="I9" s="54"/>
      <c r="J9" s="54"/>
      <c r="K9" s="54"/>
    </row>
    <row r="10" spans="1:12" ht="18.75" customHeight="1" thickBot="1" x14ac:dyDescent="0.25">
      <c r="A10" s="115" t="s">
        <v>22</v>
      </c>
      <c r="B10" s="121" t="s">
        <v>23</v>
      </c>
      <c r="C10" s="121" t="s">
        <v>24</v>
      </c>
      <c r="D10" s="121"/>
      <c r="E10" s="121"/>
      <c r="F10" s="121"/>
      <c r="G10" s="121"/>
      <c r="H10" s="121" t="s">
        <v>25</v>
      </c>
      <c r="I10" s="121" t="s">
        <v>26</v>
      </c>
      <c r="J10" s="121" t="s">
        <v>27</v>
      </c>
      <c r="K10" s="123" t="s">
        <v>28</v>
      </c>
    </row>
    <row r="11" spans="1:12" ht="24" customHeight="1" thickBot="1" x14ac:dyDescent="0.25">
      <c r="A11" s="116"/>
      <c r="B11" s="122"/>
      <c r="C11" s="122"/>
      <c r="D11" s="122"/>
      <c r="E11" s="122"/>
      <c r="F11" s="122"/>
      <c r="G11" s="122"/>
      <c r="H11" s="122"/>
      <c r="I11" s="122"/>
      <c r="J11" s="122"/>
      <c r="K11" s="124"/>
    </row>
    <row r="12" spans="1:12" ht="32.25" customHeight="1" thickBot="1" x14ac:dyDescent="0.25">
      <c r="A12" s="69">
        <v>1</v>
      </c>
      <c r="B12" s="70" t="str">
        <f>'Necesidades Trimestrales'!B10</f>
        <v>3.3.5-1688.1</v>
      </c>
      <c r="C12" s="128" t="s">
        <v>64</v>
      </c>
      <c r="D12" s="128"/>
      <c r="E12" s="128"/>
      <c r="F12" s="128"/>
      <c r="G12" s="128"/>
      <c r="H12" s="69" t="s">
        <v>60</v>
      </c>
      <c r="I12" s="71" t="str">
        <f>'Necesidades Trimestrales'!F10</f>
        <v>Servicio</v>
      </c>
      <c r="J12" s="72">
        <v>120000</v>
      </c>
      <c r="K12" s="73">
        <v>1</v>
      </c>
    </row>
    <row r="13" spans="1:12" ht="42.75" customHeight="1" thickBot="1" x14ac:dyDescent="0.25">
      <c r="A13" s="74"/>
      <c r="B13" s="75"/>
      <c r="C13" s="128"/>
      <c r="D13" s="128"/>
      <c r="E13" s="128"/>
      <c r="F13" s="128"/>
      <c r="G13" s="128"/>
      <c r="H13" s="69"/>
      <c r="I13" s="71"/>
      <c r="J13" s="83"/>
      <c r="K13" s="76"/>
    </row>
    <row r="14" spans="1:12" ht="20.25" customHeight="1" thickBot="1" x14ac:dyDescent="0.25">
      <c r="A14" s="77"/>
      <c r="B14" s="78"/>
      <c r="C14" s="125"/>
      <c r="D14" s="125"/>
      <c r="E14" s="125"/>
      <c r="F14" s="125"/>
      <c r="G14" s="125"/>
      <c r="H14" s="79"/>
      <c r="I14" s="80"/>
      <c r="J14" s="80"/>
      <c r="K14" s="81"/>
    </row>
    <row r="15" spans="1:12" ht="20.25" customHeight="1" thickBot="1" x14ac:dyDescent="0.25">
      <c r="A15" s="77"/>
      <c r="B15" s="78"/>
      <c r="C15" s="125"/>
      <c r="D15" s="125"/>
      <c r="E15" s="125"/>
      <c r="F15" s="125"/>
      <c r="G15" s="125"/>
      <c r="H15" s="79"/>
      <c r="I15" s="80"/>
      <c r="J15" s="80"/>
      <c r="K15" s="81"/>
    </row>
    <row r="16" spans="1:12" ht="20.25" customHeight="1" thickBot="1" x14ac:dyDescent="0.25">
      <c r="A16" s="77"/>
      <c r="B16" s="78"/>
      <c r="C16" s="125"/>
      <c r="D16" s="125"/>
      <c r="E16" s="125"/>
      <c r="F16" s="125"/>
      <c r="G16" s="125"/>
      <c r="H16" s="79"/>
      <c r="I16" s="80"/>
      <c r="J16" s="80"/>
      <c r="K16" s="81"/>
    </row>
    <row r="17" spans="1:26" ht="20.25" customHeight="1" thickBot="1" x14ac:dyDescent="0.25">
      <c r="A17" s="126" t="s">
        <v>73</v>
      </c>
      <c r="B17" s="126"/>
      <c r="C17" s="126"/>
      <c r="D17" s="126"/>
      <c r="E17" s="126"/>
      <c r="F17" s="126"/>
      <c r="G17" s="126"/>
      <c r="H17" s="126"/>
      <c r="I17" s="126"/>
      <c r="J17" s="127">
        <f>+J12*K12</f>
        <v>120000</v>
      </c>
      <c r="K17" s="127"/>
    </row>
    <row r="19" spans="1:26" x14ac:dyDescent="0.2">
      <c r="A19"/>
    </row>
    <row r="20" spans="1:26" x14ac:dyDescent="0.2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x14ac:dyDescent="0.2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x14ac:dyDescent="0.2">
      <c r="A22" s="47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x14ac:dyDescent="0.2">
      <c r="A23" s="47"/>
      <c r="B23" s="47"/>
      <c r="C23" s="47"/>
      <c r="D23" s="47"/>
      <c r="E23" s="47"/>
      <c r="F23" s="47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x14ac:dyDescent="0.2">
      <c r="A24" s="45"/>
      <c r="B24" s="47"/>
      <c r="C24" s="47"/>
      <c r="D24" s="47"/>
      <c r="E24" s="47"/>
      <c r="F24" s="47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x14ac:dyDescent="0.2">
      <c r="A25" s="47"/>
      <c r="B25" s="47"/>
      <c r="C25" s="47"/>
      <c r="D25" s="47"/>
      <c r="F25" s="47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x14ac:dyDescent="0.2">
      <c r="A26" s="48"/>
      <c r="B26" s="47"/>
      <c r="C26" s="47"/>
      <c r="D26" s="47"/>
      <c r="E26" s="47"/>
      <c r="F26" s="47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x14ac:dyDescent="0.2">
      <c r="A27" s="48"/>
      <c r="B27" s="47"/>
      <c r="C27" s="47"/>
      <c r="D27" s="47"/>
      <c r="E27" s="47"/>
      <c r="F27" s="47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x14ac:dyDescent="0.2">
      <c r="A28" s="48"/>
      <c r="B28" s="45"/>
      <c r="C28" s="47"/>
      <c r="D28" s="47"/>
      <c r="E28" s="47"/>
      <c r="F28" s="47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x14ac:dyDescent="0.2">
      <c r="A29" s="45"/>
      <c r="B29" s="49"/>
      <c r="C29" s="47"/>
      <c r="D29" s="47"/>
      <c r="E29" s="47"/>
      <c r="F29" s="47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x14ac:dyDescent="0.2">
      <c r="A30" s="45"/>
      <c r="B30" s="47"/>
      <c r="C30" s="47"/>
      <c r="D30" s="47"/>
      <c r="E30" s="47"/>
      <c r="F30" s="47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x14ac:dyDescent="0.2">
      <c r="A31" s="47"/>
      <c r="B31" s="47"/>
      <c r="C31" s="47"/>
      <c r="D31" s="47"/>
      <c r="E31" s="47"/>
      <c r="F31" s="47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x14ac:dyDescent="0.2">
      <c r="A32" s="47"/>
      <c r="B32" s="47"/>
      <c r="C32" s="49"/>
      <c r="D32" s="49"/>
      <c r="E32" s="47"/>
      <c r="F32" s="47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x14ac:dyDescent="0.2">
      <c r="A33" s="47"/>
      <c r="B33" s="45"/>
      <c r="C33" s="47"/>
      <c r="D33" s="47"/>
      <c r="E33" s="47"/>
      <c r="F33" s="47"/>
      <c r="G33" s="47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x14ac:dyDescent="0.2">
      <c r="A34" s="47"/>
      <c r="B34" s="45"/>
      <c r="C34" s="47"/>
      <c r="D34" s="47"/>
      <c r="E34" s="47"/>
      <c r="F34" s="47"/>
      <c r="G34" s="47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x14ac:dyDescent="0.2">
      <c r="A35" s="45"/>
      <c r="B35" s="47"/>
      <c r="C35" s="47"/>
      <c r="D35" s="47"/>
      <c r="E35" s="47"/>
      <c r="F35" s="47"/>
      <c r="G35" s="47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x14ac:dyDescent="0.2">
      <c r="A36" s="47"/>
      <c r="B36" s="47"/>
      <c r="C36" s="47"/>
      <c r="D36" s="47"/>
      <c r="E36" s="47"/>
      <c r="F36" s="47"/>
      <c r="G36" s="4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x14ac:dyDescent="0.2">
      <c r="A37" s="48"/>
      <c r="B37" s="47"/>
      <c r="C37" s="47"/>
      <c r="D37" s="47"/>
      <c r="E37" s="47"/>
      <c r="F37" s="47"/>
      <c r="G37" s="47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x14ac:dyDescent="0.2">
      <c r="A38" s="45"/>
      <c r="B38" s="47"/>
      <c r="C38" s="47"/>
      <c r="D38" s="47"/>
      <c r="E38" s="47"/>
      <c r="F38" s="47"/>
      <c r="G38" s="47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x14ac:dyDescent="0.2">
      <c r="A39" s="45"/>
      <c r="B39" s="47"/>
      <c r="C39" s="47"/>
      <c r="D39" s="47"/>
      <c r="E39" s="47"/>
      <c r="F39" s="47"/>
      <c r="G39" s="47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x14ac:dyDescent="0.2">
      <c r="A40" s="46"/>
      <c r="B40" s="49"/>
      <c r="C40" s="47"/>
      <c r="D40" s="47"/>
      <c r="E40" s="47"/>
      <c r="F40" s="47"/>
      <c r="G40" s="47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x14ac:dyDescent="0.2">
      <c r="A41" s="46"/>
      <c r="B41" s="47"/>
      <c r="C41" s="47"/>
      <c r="D41" s="47"/>
      <c r="E41" s="47"/>
      <c r="F41" s="47"/>
      <c r="G41" s="47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x14ac:dyDescent="0.2">
      <c r="A42" s="46"/>
      <c r="B42" s="47"/>
      <c r="C42" s="47"/>
      <c r="D42" s="47"/>
      <c r="E42" s="47"/>
      <c r="F42" s="47"/>
      <c r="G42" s="47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x14ac:dyDescent="0.2">
      <c r="A43" s="46"/>
      <c r="B43" s="47"/>
      <c r="C43" s="49"/>
      <c r="D43" s="49"/>
      <c r="E43" s="47"/>
      <c r="F43" s="47"/>
      <c r="G43" s="47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x14ac:dyDescent="0.2">
      <c r="A44" s="46"/>
      <c r="B44" s="46"/>
      <c r="C44" s="47"/>
      <c r="D44" s="47"/>
      <c r="E44" s="47"/>
      <c r="F44" s="47"/>
      <c r="G44" s="47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x14ac:dyDescent="0.2">
      <c r="A45" s="46"/>
      <c r="B45" s="46"/>
      <c r="C45" s="47"/>
      <c r="D45" s="47"/>
      <c r="E45" s="47"/>
      <c r="F45" s="47"/>
      <c r="G45" s="47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x14ac:dyDescent="0.2">
      <c r="A46" s="46"/>
      <c r="B46" s="46"/>
      <c r="C46" s="47"/>
      <c r="D46" s="47"/>
      <c r="E46" s="47"/>
      <c r="F46" s="47"/>
      <c r="G46" s="47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x14ac:dyDescent="0.2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x14ac:dyDescent="0.2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x14ac:dyDescent="0.2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x14ac:dyDescent="0.2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x14ac:dyDescent="0.2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x14ac:dyDescent="0.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x14ac:dyDescent="0.2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x14ac:dyDescent="0.2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x14ac:dyDescent="0.2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x14ac:dyDescent="0.2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</sheetData>
  <mergeCells count="27">
    <mergeCell ref="A17:I17"/>
    <mergeCell ref="J17:K17"/>
    <mergeCell ref="C12:G12"/>
    <mergeCell ref="C13:G13"/>
    <mergeCell ref="C16:G16"/>
    <mergeCell ref="C14:G14"/>
    <mergeCell ref="H10:H11"/>
    <mergeCell ref="I10:I11"/>
    <mergeCell ref="J10:J11"/>
    <mergeCell ref="K10:K11"/>
    <mergeCell ref="C15:G15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B10:B11"/>
    <mergeCell ref="C10:G11"/>
  </mergeCells>
  <printOptions horizontalCentered="1"/>
  <pageMargins left="0.196527777777778" right="0.196527777777778" top="0.98402777777777795" bottom="0.98402777777777795" header="0.51180555555555496" footer="0.51180555555555496"/>
  <pageSetup paperSize="5" scale="85" firstPageNumber="0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opLeftCell="A19" zoomScale="130" zoomScaleNormal="130" workbookViewId="0">
      <selection activeCell="O13" sqref="O13:P14"/>
    </sheetView>
  </sheetViews>
  <sheetFormatPr baseColWidth="10" defaultColWidth="11" defaultRowHeight="12.75" x14ac:dyDescent="0.2"/>
  <cols>
    <col min="1" max="3" width="4.42578125" customWidth="1"/>
    <col min="4" max="4" width="3.7109375" customWidth="1"/>
    <col min="5" max="5" width="3.5703125" customWidth="1"/>
    <col min="6" max="6" width="5.5703125" customWidth="1"/>
    <col min="7" max="7" width="4.42578125" style="4" customWidth="1"/>
    <col min="8" max="8" width="4.42578125" customWidth="1"/>
    <col min="9" max="10" width="3.28515625" customWidth="1"/>
    <col min="11" max="11" width="3.5703125" customWidth="1"/>
    <col min="12" max="12" width="4.85546875" customWidth="1"/>
    <col min="13" max="14" width="4.42578125" customWidth="1"/>
    <col min="15" max="15" width="14.85546875" customWidth="1"/>
    <col min="16" max="16" width="15.7109375" customWidth="1"/>
    <col min="17" max="17" width="14.7109375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2022</v>
      </c>
      <c r="E1" s="130"/>
      <c r="F1" s="5"/>
      <c r="G1" s="5"/>
      <c r="H1" s="6"/>
      <c r="I1" s="6"/>
      <c r="J1" s="6"/>
      <c r="K1" s="6"/>
      <c r="L1" s="6"/>
      <c r="M1" s="6"/>
      <c r="N1" s="6"/>
      <c r="P1" s="131" t="s">
        <v>29</v>
      </c>
      <c r="Q1" s="131"/>
    </row>
    <row r="2" spans="1:17" ht="15.75" customHeight="1" x14ac:dyDescent="0.2">
      <c r="H2" s="6"/>
      <c r="I2" s="6"/>
      <c r="J2" s="6"/>
      <c r="K2" s="6"/>
      <c r="L2" s="6"/>
      <c r="M2" s="6"/>
      <c r="N2" s="6"/>
      <c r="P2" s="131"/>
      <c r="Q2" s="131"/>
    </row>
    <row r="4" spans="1:17" s="7" customFormat="1" ht="18" customHeight="1" thickBot="1" x14ac:dyDescent="0.25">
      <c r="A4" s="132" t="s">
        <v>30</v>
      </c>
      <c r="B4" s="132"/>
      <c r="C4" s="132"/>
      <c r="D4" s="132"/>
      <c r="E4" s="132"/>
      <c r="F4" s="132"/>
      <c r="G4" s="133" t="str">
        <f>' NotaPedido'!D3</f>
        <v>70 - MINISTERIO DE CIENCIA E INNOVACION TECNOLOGICA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7" customFormat="1" ht="18" customHeight="1" thickBot="1" x14ac:dyDescent="0.25">
      <c r="A5" s="134" t="s">
        <v>53</v>
      </c>
      <c r="B5" s="135"/>
      <c r="C5" s="135"/>
      <c r="D5" s="135"/>
      <c r="E5" s="135"/>
      <c r="F5" s="136"/>
      <c r="G5" s="133" t="str">
        <f>' NotaPedido'!D4</f>
        <v>20 - MINISTERIO DE CIENCIA E INNOVACION TECNOLOGICA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7" customFormat="1" ht="18" customHeight="1" thickBot="1" x14ac:dyDescent="0.25">
      <c r="A6" s="134" t="s">
        <v>31</v>
      </c>
      <c r="B6" s="135"/>
      <c r="C6" s="135"/>
      <c r="D6" s="135"/>
      <c r="E6" s="135"/>
      <c r="F6" s="136"/>
      <c r="G6" s="138" t="str">
        <f>' NotaPedido'!D5</f>
        <v>SECRETARIA DE CIENCIA Y TECNOLOGIA</v>
      </c>
      <c r="H6" s="138"/>
      <c r="I6" s="138"/>
      <c r="J6" s="138"/>
      <c r="K6" s="138"/>
      <c r="L6" s="138"/>
      <c r="M6" s="138"/>
      <c r="N6" s="138"/>
      <c r="O6" s="138"/>
      <c r="P6" s="138"/>
      <c r="Q6" s="138"/>
    </row>
    <row r="7" spans="1:17" s="7" customFormat="1" ht="18" customHeight="1" thickBot="1" x14ac:dyDescent="0.25">
      <c r="A7" s="134" t="s">
        <v>54</v>
      </c>
      <c r="B7" s="135"/>
      <c r="C7" s="135"/>
      <c r="D7" s="135"/>
      <c r="E7" s="135"/>
      <c r="F7" s="136"/>
      <c r="G7" s="139" t="str">
        <f>' NotaPedido'!D6</f>
        <v>DIRECCION PROVINCIAL DE GESTION ADMINISTRATIVA Y RECURSOS HUMANOS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8" customHeight="1" thickBot="1" x14ac:dyDescent="0.25">
      <c r="A8" s="137" t="s">
        <v>32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47" t="s">
        <v>33</v>
      </c>
      <c r="B9" s="147"/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"/>
      <c r="P9" s="1"/>
      <c r="Q9" s="8"/>
    </row>
    <row r="10" spans="1:17" ht="54.75" customHeight="1" x14ac:dyDescent="0.2">
      <c r="A10" s="148" t="s">
        <v>75</v>
      </c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</row>
    <row r="11" spans="1:17" ht="9" customHeight="1" x14ac:dyDescent="0.2">
      <c r="A11" s="9"/>
      <c r="B11" s="10"/>
      <c r="C11" s="10"/>
      <c r="D11" s="10"/>
      <c r="E11" s="10"/>
      <c r="F11" s="10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2"/>
    </row>
    <row r="12" spans="1:17" ht="15.75" customHeight="1" x14ac:dyDescent="0.2">
      <c r="A12" s="149" t="s">
        <v>34</v>
      </c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</row>
    <row r="13" spans="1:17" ht="15.75" customHeight="1" x14ac:dyDescent="0.2">
      <c r="A13" s="150" t="s">
        <v>35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1" t="s">
        <v>36</v>
      </c>
      <c r="P13" s="151"/>
      <c r="Q13" s="152" t="s">
        <v>37</v>
      </c>
    </row>
    <row r="14" spans="1:17" ht="15.75" customHeight="1" thickBot="1" x14ac:dyDescent="0.25">
      <c r="A14" s="33" t="s">
        <v>38</v>
      </c>
      <c r="B14" s="34" t="s">
        <v>39</v>
      </c>
      <c r="C14" s="34" t="s">
        <v>40</v>
      </c>
      <c r="D14" s="34" t="s">
        <v>41</v>
      </c>
      <c r="E14" s="34" t="s">
        <v>42</v>
      </c>
      <c r="F14" s="34" t="s">
        <v>43</v>
      </c>
      <c r="G14" s="35" t="s">
        <v>44</v>
      </c>
      <c r="H14" s="34" t="s">
        <v>45</v>
      </c>
      <c r="I14" s="34" t="s">
        <v>46</v>
      </c>
      <c r="J14" s="34" t="s">
        <v>47</v>
      </c>
      <c r="K14" s="34" t="s">
        <v>47</v>
      </c>
      <c r="L14" s="34" t="s">
        <v>48</v>
      </c>
      <c r="M14" s="36" t="s">
        <v>49</v>
      </c>
      <c r="N14" s="37" t="s">
        <v>50</v>
      </c>
      <c r="O14" s="151"/>
      <c r="P14" s="151"/>
      <c r="Q14" s="152"/>
    </row>
    <row r="15" spans="1:17" ht="30.75" customHeight="1" thickBot="1" x14ac:dyDescent="0.25">
      <c r="A15" s="38">
        <v>2</v>
      </c>
      <c r="B15" s="39">
        <v>0</v>
      </c>
      <c r="C15" s="39">
        <v>0</v>
      </c>
      <c r="D15" s="39">
        <v>1</v>
      </c>
      <c r="E15" s="39">
        <v>0</v>
      </c>
      <c r="F15" s="39">
        <v>4901</v>
      </c>
      <c r="G15" s="39">
        <v>3</v>
      </c>
      <c r="H15" s="39">
        <v>350</v>
      </c>
      <c r="I15" s="39">
        <v>3</v>
      </c>
      <c r="J15" s="39">
        <v>3</v>
      </c>
      <c r="K15" s="39">
        <v>5</v>
      </c>
      <c r="L15" s="39">
        <v>0</v>
      </c>
      <c r="M15" s="40">
        <v>1</v>
      </c>
      <c r="N15" s="39" t="s">
        <v>58</v>
      </c>
      <c r="O15" s="140" t="s">
        <v>66</v>
      </c>
      <c r="P15" s="141"/>
      <c r="Q15" s="13">
        <v>120000</v>
      </c>
    </row>
    <row r="16" spans="1:17" ht="21" customHeight="1" thickBot="1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/>
      <c r="N16" s="39"/>
      <c r="O16" s="142"/>
      <c r="P16" s="143"/>
      <c r="Q16" s="13"/>
    </row>
    <row r="17" spans="1:18" ht="25.5" customHeight="1" x14ac:dyDescent="0.2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0"/>
      <c r="N17" s="39"/>
      <c r="O17" s="144"/>
      <c r="P17" s="145"/>
      <c r="Q17" s="13"/>
    </row>
    <row r="18" spans="1:18" ht="17.25" customHeight="1" x14ac:dyDescent="0.2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  <c r="O18" s="146"/>
      <c r="P18" s="146"/>
      <c r="Q18" s="18"/>
    </row>
    <row r="19" spans="1:18" ht="17.25" customHeight="1" x14ac:dyDescent="0.2">
      <c r="A19" s="19"/>
      <c r="B19" s="20"/>
      <c r="C19" s="20"/>
      <c r="D19" s="20"/>
      <c r="E19" s="20"/>
      <c r="F19" s="21"/>
      <c r="G19" s="20"/>
      <c r="H19" s="20"/>
      <c r="I19" s="20"/>
      <c r="J19" s="20"/>
      <c r="K19" s="20"/>
      <c r="L19" s="20"/>
      <c r="M19" s="22"/>
      <c r="N19" s="23"/>
      <c r="O19" s="158"/>
      <c r="P19" s="158"/>
      <c r="Q19" s="18"/>
      <c r="R19" s="1"/>
    </row>
    <row r="20" spans="1:18" ht="12.75" customHeight="1" thickBot="1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5"/>
      <c r="O20" s="159"/>
      <c r="P20" s="159"/>
      <c r="Q20" s="27"/>
    </row>
    <row r="21" spans="1:18" ht="33" customHeight="1" thickBot="1" x14ac:dyDescent="0.25">
      <c r="A21" s="160" t="s">
        <v>76</v>
      </c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3">
        <f>SUM(Q15:Q20)</f>
        <v>120000</v>
      </c>
    </row>
    <row r="22" spans="1:18" ht="18" customHeight="1" thickBot="1" x14ac:dyDescent="0.25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</row>
    <row r="23" spans="1:18" ht="17.25" customHeight="1" thickBot="1" x14ac:dyDescent="0.25">
      <c r="A23" s="153" t="s">
        <v>51</v>
      </c>
      <c r="B23" s="154"/>
      <c r="C23" s="154"/>
      <c r="D23" s="154"/>
      <c r="E23" s="154"/>
      <c r="F23" s="155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</row>
    <row r="24" spans="1:18" ht="18" customHeight="1" thickBot="1" x14ac:dyDescent="0.25">
      <c r="A24" s="157" t="s">
        <v>71</v>
      </c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41.25" customHeight="1" thickBot="1" x14ac:dyDescent="0.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</row>
    <row r="26" spans="1:18" x14ac:dyDescent="0.2">
      <c r="A26" s="56"/>
      <c r="B26" s="56"/>
      <c r="C26" s="56"/>
      <c r="D26" s="56"/>
      <c r="E26" s="56"/>
      <c r="F26" s="56"/>
      <c r="G26" s="57"/>
      <c r="H26" s="56"/>
      <c r="I26" s="56"/>
      <c r="J26" s="56"/>
      <c r="K26" s="56"/>
      <c r="L26" s="56"/>
      <c r="M26" s="56"/>
      <c r="N26" s="56"/>
      <c r="O26" s="56"/>
      <c r="P26" s="56"/>
      <c r="Q26" s="56"/>
    </row>
    <row r="27" spans="1:18" x14ac:dyDescent="0.2">
      <c r="A27" s="56"/>
      <c r="B27" s="56"/>
      <c r="C27" s="56"/>
      <c r="D27" s="56"/>
      <c r="E27" s="56"/>
      <c r="F27" s="56"/>
      <c r="G27" s="57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8" spans="1:18" x14ac:dyDescent="0.2">
      <c r="A28" s="56"/>
      <c r="B28" s="56"/>
      <c r="C28" s="56"/>
      <c r="D28" s="56"/>
      <c r="E28" s="56"/>
      <c r="F28" s="56"/>
      <c r="G28" s="57"/>
      <c r="H28" s="56"/>
      <c r="I28" s="56"/>
      <c r="J28" s="56"/>
      <c r="K28" s="56"/>
      <c r="L28" s="56"/>
      <c r="M28" s="56"/>
      <c r="N28" s="56"/>
      <c r="O28" s="56"/>
      <c r="P28" s="56"/>
      <c r="Q28" s="56"/>
    </row>
    <row r="29" spans="1:18" x14ac:dyDescent="0.2">
      <c r="A29" s="56"/>
      <c r="B29" s="56"/>
      <c r="C29" s="56"/>
      <c r="D29" s="56"/>
      <c r="E29" s="56"/>
      <c r="F29" s="56"/>
      <c r="G29" s="57"/>
      <c r="H29" s="56"/>
      <c r="I29" s="56"/>
      <c r="J29" s="56"/>
      <c r="K29" s="56"/>
      <c r="L29" s="56"/>
      <c r="M29" s="56"/>
      <c r="N29" s="56"/>
      <c r="O29" s="56"/>
      <c r="P29" s="56"/>
      <c r="Q29" s="56"/>
    </row>
  </sheetData>
  <mergeCells count="29">
    <mergeCell ref="A23:F23"/>
    <mergeCell ref="G23:Q23"/>
    <mergeCell ref="A24:Q25"/>
    <mergeCell ref="O19:P19"/>
    <mergeCell ref="O20:P20"/>
    <mergeCell ref="A21:P21"/>
    <mergeCell ref="A22:Q22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MARIO</cp:lastModifiedBy>
  <cp:revision>2</cp:revision>
  <cp:lastPrinted>2021-04-20T13:36:15Z</cp:lastPrinted>
  <dcterms:created xsi:type="dcterms:W3CDTF">2020-07-17T23:44:49Z</dcterms:created>
  <dcterms:modified xsi:type="dcterms:W3CDTF">2022-02-03T14:10:49Z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