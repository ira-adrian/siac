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20" yWindow="-120" windowWidth="20640" windowHeight="11160" tabRatio="500"/>
  </bookViews>
  <sheets>
    <sheet name="Necesidades Trimestrales" sheetId="1" r:id="rId1"/>
    <sheet name=" NotaPedido" sheetId="2" r:id="rId2"/>
    <sheet name="Autor Gastar" sheetId="3" r:id="rId3"/>
  </sheets>
  <definedNames>
    <definedName name="_xlnm.Print_Area" localSheetId="1">' NotaPedido'!$A$1:$K$16</definedName>
    <definedName name="_xlnm.Print_Area" localSheetId="2">'Autor Gastar'!$A$1:$Q$27</definedName>
  </definedNames>
  <calcPr calcId="144525"/>
</workbook>
</file>

<file path=xl/calcChain.xml><?xml version="1.0" encoding="utf-8"?>
<calcChain xmlns="http://schemas.openxmlformats.org/spreadsheetml/2006/main">
  <c r="J15" i="2" l="1"/>
  <c r="J14" i="2"/>
  <c r="J13" i="2"/>
  <c r="K15" i="2"/>
  <c r="I15" i="2"/>
  <c r="I14" i="2"/>
  <c r="I13" i="2"/>
  <c r="C15" i="2"/>
  <c r="C14" i="2"/>
  <c r="C13" i="2"/>
  <c r="B15" i="2"/>
  <c r="B14" i="2"/>
  <c r="B13" i="2"/>
  <c r="I24" i="1" l="1"/>
  <c r="I23" i="1"/>
  <c r="N25" i="1"/>
  <c r="P25" i="1" s="1"/>
  <c r="I26" i="1"/>
  <c r="I25" i="1"/>
  <c r="I31" i="1"/>
  <c r="I30" i="1"/>
  <c r="I28" i="1"/>
  <c r="I29" i="1"/>
  <c r="K28" i="1" l="1"/>
  <c r="K23" i="1"/>
  <c r="I11" i="1"/>
  <c r="K14" i="2"/>
  <c r="I10" i="1"/>
  <c r="K13" i="2"/>
  <c r="K25" i="1"/>
  <c r="P26" i="1"/>
  <c r="Q26" i="1" s="1"/>
  <c r="Q25" i="1"/>
  <c r="K30" i="1"/>
  <c r="R25" i="1" l="1"/>
  <c r="I12" i="1" l="1"/>
  <c r="D12" i="1"/>
  <c r="K11" i="1"/>
  <c r="D11" i="1"/>
  <c r="D10" i="1"/>
  <c r="AG18" i="3"/>
  <c r="AG19" i="3"/>
  <c r="AG20" i="3" l="1"/>
  <c r="I13" i="1"/>
  <c r="A10" i="3"/>
  <c r="G6" i="3"/>
  <c r="G7" i="3"/>
  <c r="D7" i="2"/>
  <c r="G4" i="3"/>
  <c r="G5" i="3"/>
  <c r="J16" i="2" l="1"/>
  <c r="Q15" i="3"/>
  <c r="Q23" i="3" s="1"/>
  <c r="D1" i="3"/>
</calcChain>
</file>

<file path=xl/sharedStrings.xml><?xml version="1.0" encoding="utf-8"?>
<sst xmlns="http://schemas.openxmlformats.org/spreadsheetml/2006/main" count="127" uniqueCount="99">
  <si>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</si>
  <si>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</si>
  <si>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</si>
  <si>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</si>
  <si>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</si>
  <si>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</si>
  <si>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</si>
  <si>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</si>
  <si>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</si>
  <si>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</si>
  <si>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</si>
  <si>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</si>
  <si>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</si>
  <si>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</si>
  <si>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Especificidades Item N° 1:</t>
  </si>
  <si>
    <t>Descripción técnica</t>
  </si>
  <si>
    <t>Calidad Minima esperada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</si>
  <si>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</si>
  <si>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</si>
  <si>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</si>
  <si>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</si>
  <si>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</si>
  <si>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</si>
  <si>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</si>
  <si>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</si>
  <si>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</si>
  <si>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</si>
  <si>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</si>
  <si>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SI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</si>
  <si>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</si>
  <si>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</si>
  <si>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</si>
  <si>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</si>
  <si>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</si>
  <si>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</si>
  <si>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</si>
  <si>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</si>
  <si>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</si>
  <si>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</si>
  <si>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</si>
  <si>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</si>
  <si>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</si>
  <si>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</si>
  <si>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</si>
  <si>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</si>
  <si>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</si>
  <si>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</si>
  <si>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</si>
  <si>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</si>
  <si>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</si>
  <si>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</si>
  <si>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</si>
  <si>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</si>
  <si>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</si>
  <si>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</si>
  <si>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Costo total estimado:</t>
  </si>
  <si>
    <t>Ministerio de Seguridad</t>
  </si>
  <si>
    <t>LITROS</t>
  </si>
  <si>
    <t>COMBUSTIBLES Y LUBRICANTES</t>
  </si>
  <si>
    <t>2.5.6-793.29</t>
  </si>
  <si>
    <t>GAS OIL; PRESENTACION: POR LITRO, USO: MOTORES DIESEL, COMERCIALIZACION: GRADO 3</t>
  </si>
  <si>
    <t>2.5.6-797.15</t>
  </si>
  <si>
    <t>NAFTA SUPER; TIPO: SUPER, OCTANO: 95, PRESENTACION: X LITRO, DESTINO: SIN VALOR</t>
  </si>
  <si>
    <t>90 - Ministerio de Seguridad</t>
  </si>
  <si>
    <t>UNIDAD</t>
  </si>
  <si>
    <t>interior</t>
  </si>
  <si>
    <t>capital</t>
  </si>
  <si>
    <t>and</t>
  </si>
  <si>
    <t>d</t>
  </si>
  <si>
    <t>19- DIRECCION PROVINCIAL DE ADMINISTRACION Y RRHH-MINISTERIO DE SEGURIDAD</t>
  </si>
  <si>
    <t>4.3.7-46.125</t>
  </si>
  <si>
    <t>EQUIPO DE OFICINA Y MUEBLES</t>
  </si>
  <si>
    <t>4.3.7-46.126</t>
  </si>
  <si>
    <t>SILLONES EJECUTIVOS; TAPIZADO: CUERO ECOLOGICO, ALTURA: REGULABLE, GIRATORIO: SI, MATERIAL: POLIAMIDA</t>
  </si>
  <si>
    <t>SILLONES EJECUTIVOS; TAPIZADO: TELA ECOLOGICA, ALTURA: REGULABLE, GIRATORIO: SI, MATERIAL: POLIAMIDA</t>
  </si>
  <si>
    <t>4.3.7-9082.14</t>
  </si>
  <si>
    <t>MUEBLES A MEDIDA; MATERIAL ESTRUCTURA: METAL, TERMINACION: PINTURA EPOXI</t>
  </si>
  <si>
    <t>Especificidades Item N° 2:</t>
  </si>
  <si>
    <t>Especificidades Item N° 3:</t>
  </si>
  <si>
    <t xml:space="preserve">Costo total estimado: NOVECIENTOS OCHENTA Y UN MIL, OCHOCIENTOS OCHENTA Y SEIS CON 50/100.- </t>
  </si>
  <si>
    <t>MEDIDA DEL MUEBLE: H 1800 X FRENTE 380 X PROF. 450 MM - CON O SIN PATAS - CANT.PUERTAS= 4 (CUATRO) C/CERRADURA INDIVIDUAL EN CADA UNA DE ELLAS - TERMINACIÓN EN PINTURA EPOXI.-</t>
  </si>
  <si>
    <t>QUE CUMPLA CON TODO LO SOLICITADO EN FORMA INTEGRA - PRODUCTOS NUEVOS.-</t>
  </si>
  <si>
    <t>30 (treinta) DÍAS.-</t>
  </si>
  <si>
    <t>Mantenimiento:</t>
  </si>
  <si>
    <t>Garantia:</t>
  </si>
  <si>
    <t>12 MESES COMO MÍNIMO.-</t>
  </si>
  <si>
    <t>04/2020</t>
  </si>
  <si>
    <t>4</t>
  </si>
  <si>
    <t>3</t>
  </si>
  <si>
    <t>1.1</t>
  </si>
  <si>
    <t>Equipos de Oficina y Muebles</t>
  </si>
  <si>
    <t>TOTAL DE PESOS: NOVECIENTOS OCHENTA Y UN MIL, OCHOCIENTOS OCHENTA Y SEIS CON 50/100.-</t>
  </si>
  <si>
    <t>ADQUISICION DE MOBILIARIO CON DESTINO A EQUIPAR EL SISTEMA DE ATENCIÓN TELEFÓNICA DE EMERGENCIA 911 Y DEL CENTRO OPERATIVO  DESPACHOS DE MÓVILES.-</t>
  </si>
  <si>
    <t>PARA LA ADQUISICION DE MOBILIARIO CON DESTINO A EQUIPAR EL SISTEMA DE ATENCIÓN TELEFÓNICA DE EMERGENCIA 911 Y DEL CENTRO OPERATIVO  DESPACHOS DE MÓVILES.-</t>
  </si>
  <si>
    <t xml:space="preserve"> </t>
  </si>
  <si>
    <t xml:space="preserve">              MINISTERIO DE SEGURIDAD - Ubicado en Calle Sarmiento 613 -Casa de Gobierno  - SFVC</t>
  </si>
  <si>
    <t>SILLÓN EJECUTIVO CON CABEZAL O RESPALDO ALTO- APOYO LUMBAR GRADUABLE - REGULACION NEUMATICA DE ALTURA DEL ASIENTO - MECANISMO OSCILANTE DE RESPALDO CON POSICIONES DE AJUSTE Y CONTROL DE TENSION -  CON APOYA BRAZOS - RUEDAS REVESTIDAS EN MATERIAL ELASTÓMERO - BASE COMPUESTA POR NAYLON Y FIBRA DE VIDRIO DE ALTA RESISTENCIA (POLIAMIDA) O DE SIMILAR CALIDAD Y RESISTENCIA.-</t>
  </si>
  <si>
    <t>SILLA CON APOYA BRAZOS - RESPALDO MEDIO EN TELA -  ASIENTO DE ESPUMA INYECTADA EN POLIURETANO - REGULACIÓN NEUMÁTICA DE ALTURA DEL ASIENTO - BASE COMPUESTA POR NAYLON Y FIBRA DE VIDRIO DE ALTA RESISTENCIA (POLIAMIDA)O DE SIMILAR CALIDAD Y RESISTENCIA.-</t>
  </si>
  <si>
    <r>
      <t xml:space="preserve">Plazo y Lugar de entrega:  </t>
    </r>
    <r>
      <rPr>
        <u/>
        <sz val="10"/>
        <rFont val="Times New Roman"/>
        <family val="1"/>
      </rPr>
      <t>Diez (10) Días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</si>
</sst>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3" formatCode="_ * #,##0.00_ ;_ * \-#,##0.00_ ;_ * &quot;-&quot;??_ ;_ @_ "/>
    <numFmt numFmtId="164" formatCode="_-* #,##0.00&quot; €&quot;_-;\-* #,##0.00&quot; €&quot;_-;_-* \-??&quot; €&quot;_-;_-@_-"/>
    <numFmt numFmtId="165" formatCode="[$$-2C0A]\ #,##0.00;[$$-2C0A]&quot; -&quot;#,##0.00"/>
    <numFmt numFmtId="166" formatCode="[$$-2C0A]\ #,##0.00"/>
    <numFmt numFmtId="167" formatCode="dd\-mm\-yy;@"/>
    <numFmt numFmtId="168" formatCode="_ [$$-2C0A]\ * #,##0.00_ ;_ [$$-2C0A]\ * \-#,##0.00_ ;_ [$$-2C0A]\ * &quot;-&quot;??_ ;_ @_ "/>
    <numFmt numFmtId="169" formatCode="&quot;$&quot;\ #,##0.00"/>
  </numFmts>
  <fonts count="34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sz val="10"/>
      <name val="Arial"/>
      <family val="2"/>
    </font>
    <font>
      <b/>
      <u/>
      <sz val="10"/>
      <name val="Times New Roman"/>
      <family val="1"/>
    </font>
    <font>
      <sz val="10"/>
      <color theme="0"/>
      <name val="Times New Roman"/>
      <family val="1"/>
    </font>
    <font>
      <sz val="11"/>
      <color rgb="FF000000"/>
      <name val="Times New Roman"/>
      <family val="1"/>
    </font>
    <font>
      <sz val="1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sz val="12"/>
      <color rgb="FF000000"/>
      <name val="Times New Roman"/>
      <family val="1"/>
    </font>
    <font>
      <b/>
      <sz val="9"/>
      <name val="Arial"/>
      <family val="2"/>
    </font>
    <font>
      <b/>
      <sz val="10"/>
      <name val="Arial"/>
      <family val="2"/>
    </font>
    <font>
      <b/>
      <u/>
      <sz val="11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89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 style="medium">
        <color rgb="FF3D3D3D"/>
      </right>
      <top style="medium">
        <color indexed="64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indexed="64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indexed="64"/>
      </top>
      <bottom/>
      <diagonal/>
    </border>
    <border>
      <left style="medium">
        <color indexed="64"/>
      </left>
      <right style="thin">
        <color rgb="FF3D3D3D"/>
      </right>
      <top/>
      <bottom style="medium">
        <color indexed="64"/>
      </bottom>
      <diagonal/>
    </border>
    <border>
      <left style="thin">
        <color rgb="FF3D3D3D"/>
      </left>
      <right style="thin">
        <color rgb="FF3D3D3D"/>
      </right>
      <top/>
      <bottom style="medium">
        <color indexed="64"/>
      </bottom>
      <diagonal/>
    </border>
    <border>
      <left style="thin">
        <color rgb="FF3D3D3D"/>
      </left>
      <right/>
      <top/>
      <bottom style="medium">
        <color indexed="64"/>
      </bottom>
      <diagonal/>
    </border>
    <border>
      <left style="medium">
        <color rgb="FF3D3D3D"/>
      </left>
      <right style="medium">
        <color rgb="FF3D3D3D"/>
      </right>
      <top/>
      <bottom style="medium">
        <color indexed="64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indexed="64"/>
      </bottom>
      <diagonal/>
    </border>
    <border>
      <left/>
      <right style="medium">
        <color indexed="64"/>
      </right>
      <top style="medium">
        <color rgb="FF3D3D3D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/>
      <top style="medium">
        <color rgb="FF3D3D3D"/>
      </top>
      <bottom/>
      <diagonal/>
    </border>
    <border>
      <left style="medium">
        <color rgb="FF3D3D3D"/>
      </left>
      <right style="medium">
        <color indexed="64"/>
      </right>
      <top style="medium">
        <color indexed="64"/>
      </top>
      <bottom style="medium">
        <color rgb="FF3D3D3D"/>
      </bottom>
      <diagonal/>
    </border>
    <border>
      <left style="medium">
        <color indexed="64"/>
      </left>
      <right style="medium">
        <color rgb="FF3D3D3D"/>
      </right>
      <top/>
      <bottom/>
      <diagonal/>
    </border>
    <border>
      <left style="medium">
        <color rgb="FF3D3D3D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rgb="FF3D3D3D"/>
      </bottom>
      <diagonal/>
    </border>
    <border>
      <left/>
      <right style="medium">
        <color indexed="64"/>
      </right>
      <top/>
      <bottom style="medium">
        <color rgb="FF3D3D3D"/>
      </bottom>
      <diagonal/>
    </border>
    <border>
      <left style="medium">
        <color indexed="64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medium">
        <color indexed="64"/>
      </right>
      <top style="medium">
        <color rgb="FF3D3D3D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medium">
        <color indexed="64"/>
      </right>
      <top/>
      <bottom style="thin">
        <color rgb="FF3D3D3D"/>
      </bottom>
      <diagonal/>
    </border>
    <border>
      <left style="thin">
        <color rgb="FF3D3D3D"/>
      </left>
      <right style="medium">
        <color indexed="64"/>
      </right>
      <top style="thin">
        <color rgb="FF3D3D3D"/>
      </top>
      <bottom style="thin">
        <color rgb="FF3D3D3D"/>
      </bottom>
      <diagonal/>
    </border>
    <border>
      <left style="medium">
        <color indexed="64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indexed="64"/>
      </right>
      <top style="thin">
        <color rgb="FF3D3D3D"/>
      </top>
      <bottom/>
      <diagonal/>
    </border>
    <border>
      <left style="medium">
        <color indexed="64"/>
      </left>
      <right style="medium">
        <color rgb="FF3D3D3D"/>
      </right>
      <top/>
      <bottom style="medium">
        <color indexed="64"/>
      </bottom>
      <diagonal/>
    </border>
    <border>
      <left style="medium">
        <color rgb="FF3D3D3D"/>
      </left>
      <right/>
      <top/>
      <bottom style="medium">
        <color indexed="64"/>
      </bottom>
      <diagonal/>
    </border>
  </borders>
  <cellStyleXfs count="5">
    <xf numFmtId="0" fontId="0" fillId="0" borderId="0"/>
    <xf numFmtId="164" fontId="14" fillId="0" borderId="0" applyBorder="0" applyProtection="0"/>
    <xf numFmtId="0" fontId="1" fillId="0" borderId="1" applyProtection="0"/>
    <xf numFmtId="0" fontId="3" fillId="2" borderId="0" applyBorder="0" applyProtection="0"/>
    <xf numFmtId="43" fontId="14" fillId="0" borderId="0" applyFont="0" applyFill="0" applyBorder="0" applyAlignment="0" applyProtection="0"/>
  </cellStyleXfs>
  <cellXfs count="236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vertical="center"/>
    </xf>
    <xf numFmtId="0" fontId="5" fillId="0" borderId="12" xfId="0" applyFont="1" applyBorder="1" applyAlignment="1">
      <alignment horizontal="right" vertical="center"/>
    </xf>
    <xf numFmtId="0" fontId="5" fillId="0" borderId="14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7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 wrapText="1" indent="1"/>
    </xf>
    <xf numFmtId="0" fontId="0" fillId="0" borderId="0" xfId="0" applyAlignment="1">
      <alignment horizontal="left"/>
    </xf>
    <xf numFmtId="3" fontId="9" fillId="0" borderId="0" xfId="0" applyNumberFormat="1" applyFont="1" applyBorder="1" applyAlignment="1"/>
    <xf numFmtId="167" fontId="0" fillId="0" borderId="0" xfId="0" applyNumberFormat="1" applyAlignment="1">
      <alignment horizontal="left"/>
    </xf>
    <xf numFmtId="0" fontId="2" fillId="0" borderId="0" xfId="0" applyFont="1"/>
    <xf numFmtId="0" fontId="0" fillId="0" borderId="14" xfId="0" applyBorder="1"/>
    <xf numFmtId="0" fontId="0" fillId="0" borderId="14" xfId="0" applyBorder="1" applyAlignment="1">
      <alignment horizontal="left"/>
    </xf>
    <xf numFmtId="0" fontId="0" fillId="0" borderId="27" xfId="0" applyFont="1" applyBorder="1" applyAlignment="1">
      <alignment horizontal="center" vertical="center"/>
    </xf>
    <xf numFmtId="0" fontId="11" fillId="0" borderId="26" xfId="0" applyFont="1" applyBorder="1" applyAlignment="1">
      <alignment horizontal="center" vertical="center"/>
    </xf>
    <xf numFmtId="0" fontId="11" fillId="0" borderId="27" xfId="0" applyFont="1" applyBorder="1" applyAlignment="1">
      <alignment horizontal="center" vertical="center"/>
    </xf>
    <xf numFmtId="0" fontId="11" fillId="0" borderId="28" xfId="0" applyFont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15" fillId="0" borderId="0" xfId="0" applyFont="1"/>
    <xf numFmtId="0" fontId="17" fillId="0" borderId="0" xfId="0" applyFont="1" applyAlignment="1">
      <alignment horizontal="left" wrapText="1"/>
    </xf>
    <xf numFmtId="0" fontId="17" fillId="0" borderId="0" xfId="0" applyFont="1" applyAlignment="1">
      <alignment horizontal="center" wrapText="1"/>
    </xf>
    <xf numFmtId="0" fontId="18" fillId="0" borderId="2" xfId="0" applyFont="1" applyBorder="1" applyAlignment="1">
      <alignment horizontal="center" vertical="center" wrapText="1"/>
    </xf>
    <xf numFmtId="0" fontId="17" fillId="0" borderId="3" xfId="0" applyFont="1" applyBorder="1" applyAlignment="1">
      <alignment horizontal="center" wrapText="1"/>
    </xf>
    <xf numFmtId="0" fontId="21" fillId="0" borderId="4" xfId="0" applyFont="1" applyBorder="1"/>
    <xf numFmtId="0" fontId="15" fillId="0" borderId="5" xfId="0" applyFont="1" applyBorder="1"/>
    <xf numFmtId="0" fontId="15" fillId="0" borderId="6" xfId="0" applyFont="1" applyBorder="1"/>
    <xf numFmtId="0" fontId="15" fillId="0" borderId="7" xfId="0" applyFont="1" applyBorder="1"/>
    <xf numFmtId="0" fontId="15" fillId="0" borderId="0" xfId="0" applyFont="1" applyBorder="1"/>
    <xf numFmtId="0" fontId="15" fillId="0" borderId="8" xfId="0" applyFont="1" applyBorder="1"/>
    <xf numFmtId="0" fontId="21" fillId="0" borderId="7" xfId="0" applyFont="1" applyBorder="1" applyAlignment="1">
      <alignment horizontal="left" indent="3"/>
    </xf>
    <xf numFmtId="0" fontId="15" fillId="0" borderId="7" xfId="0" applyFont="1" applyBorder="1" applyAlignment="1">
      <alignment horizontal="left" indent="3"/>
    </xf>
    <xf numFmtId="0" fontId="15" fillId="0" borderId="0" xfId="0" applyFont="1" applyBorder="1" applyAlignment="1">
      <alignment horizontal="center" wrapText="1"/>
    </xf>
    <xf numFmtId="0" fontId="15" fillId="0" borderId="8" xfId="0" applyFont="1" applyBorder="1" applyAlignment="1">
      <alignment horizontal="center" wrapText="1"/>
    </xf>
    <xf numFmtId="0" fontId="15" fillId="0" borderId="9" xfId="0" applyFont="1" applyBorder="1" applyAlignment="1">
      <alignment horizontal="left" indent="3"/>
    </xf>
    <xf numFmtId="0" fontId="15" fillId="0" borderId="10" xfId="0" applyFont="1" applyBorder="1"/>
    <xf numFmtId="0" fontId="15" fillId="0" borderId="11" xfId="0" applyFont="1" applyBorder="1"/>
    <xf numFmtId="0" fontId="22" fillId="0" borderId="0" xfId="0" applyFont="1" applyFill="1" applyAlignment="1">
      <alignment horizontal="left" wrapText="1" indent="1"/>
    </xf>
    <xf numFmtId="0" fontId="18" fillId="0" borderId="0" xfId="0" applyFont="1" applyFill="1" applyAlignment="1">
      <alignment horizontal="left" wrapText="1"/>
    </xf>
    <xf numFmtId="0" fontId="20" fillId="3" borderId="3" xfId="0" applyFont="1" applyFill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/>
    </xf>
    <xf numFmtId="0" fontId="0" fillId="0" borderId="3" xfId="0" applyBorder="1"/>
    <xf numFmtId="0" fontId="20" fillId="0" borderId="3" xfId="0" applyFont="1" applyFill="1" applyBorder="1" applyAlignment="1">
      <alignment horizontal="center" vertical="center" wrapText="1"/>
    </xf>
    <xf numFmtId="165" fontId="19" fillId="0" borderId="3" xfId="1" applyNumberFormat="1" applyFont="1" applyFill="1" applyBorder="1" applyAlignment="1" applyProtection="1">
      <alignment horizontal="right" vertical="center" wrapText="1"/>
    </xf>
    <xf numFmtId="166" fontId="17" fillId="0" borderId="3" xfId="0" applyNumberFormat="1" applyFont="1" applyBorder="1" applyAlignment="1">
      <alignment horizontal="right" wrapText="1"/>
    </xf>
    <xf numFmtId="0" fontId="6" fillId="0" borderId="35" xfId="0" applyFont="1" applyBorder="1" applyAlignment="1">
      <alignment vertical="center" wrapText="1"/>
    </xf>
    <xf numFmtId="165" fontId="6" fillId="0" borderId="21" xfId="0" applyNumberFormat="1" applyFont="1" applyBorder="1" applyAlignment="1">
      <alignment vertical="center" wrapText="1"/>
    </xf>
    <xf numFmtId="2" fontId="15" fillId="0" borderId="0" xfId="0" applyNumberFormat="1" applyFont="1"/>
    <xf numFmtId="0" fontId="24" fillId="0" borderId="4" xfId="0" applyFont="1" applyBorder="1"/>
    <xf numFmtId="0" fontId="25" fillId="0" borderId="0" xfId="0" applyFont="1"/>
    <xf numFmtId="168" fontId="25" fillId="0" borderId="0" xfId="0" applyNumberFormat="1" applyFont="1"/>
    <xf numFmtId="43" fontId="25" fillId="0" borderId="0" xfId="4" applyFont="1"/>
    <xf numFmtId="43" fontId="25" fillId="0" borderId="0" xfId="0" applyNumberFormat="1" applyFont="1"/>
    <xf numFmtId="169" fontId="25" fillId="0" borderId="0" xfId="0" applyNumberFormat="1" applyFont="1"/>
    <xf numFmtId="2" fontId="25" fillId="0" borderId="0" xfId="0" applyNumberFormat="1" applyFont="1"/>
    <xf numFmtId="168" fontId="15" fillId="0" borderId="0" xfId="0" applyNumberFormat="1" applyFont="1"/>
    <xf numFmtId="169" fontId="15" fillId="0" borderId="0" xfId="0" applyNumberFormat="1" applyFont="1"/>
    <xf numFmtId="0" fontId="0" fillId="0" borderId="3" xfId="0" applyFont="1" applyFill="1" applyBorder="1" applyAlignment="1">
      <alignment horizontal="center" vertical="center"/>
    </xf>
    <xf numFmtId="0" fontId="14" fillId="0" borderId="3" xfId="0" applyFont="1" applyFill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0" fillId="0" borderId="39" xfId="0" applyFont="1" applyFill="1" applyBorder="1" applyAlignment="1">
      <alignment horizontal="center" vertical="center"/>
    </xf>
    <xf numFmtId="0" fontId="14" fillId="0" borderId="39" xfId="0" applyFont="1" applyFill="1" applyBorder="1" applyAlignment="1">
      <alignment horizontal="center" vertical="center"/>
    </xf>
    <xf numFmtId="0" fontId="13" fillId="0" borderId="44" xfId="0" applyFont="1" applyBorder="1" applyAlignment="1">
      <alignment horizontal="center" vertical="center"/>
    </xf>
    <xf numFmtId="0" fontId="13" fillId="0" borderId="45" xfId="0" applyFont="1" applyBorder="1" applyAlignment="1">
      <alignment horizontal="center" vertical="center"/>
    </xf>
    <xf numFmtId="0" fontId="13" fillId="0" borderId="45" xfId="0" applyFont="1" applyBorder="1" applyAlignment="1">
      <alignment horizontal="left" vertical="center"/>
    </xf>
    <xf numFmtId="0" fontId="13" fillId="0" borderId="46" xfId="0" applyFont="1" applyBorder="1" applyAlignment="1">
      <alignment horizontal="center" vertical="center"/>
    </xf>
    <xf numFmtId="0" fontId="13" fillId="0" borderId="47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26" xfId="0" applyFont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0" xfId="0" applyAlignment="1">
      <alignment horizontal="right"/>
    </xf>
    <xf numFmtId="0" fontId="25" fillId="0" borderId="0" xfId="0" applyFont="1" applyBorder="1"/>
    <xf numFmtId="168" fontId="25" fillId="0" borderId="0" xfId="0" applyNumberFormat="1" applyFont="1" applyBorder="1"/>
    <xf numFmtId="0" fontId="18" fillId="0" borderId="36" xfId="0" applyFont="1" applyBorder="1" applyAlignment="1">
      <alignment horizontal="center" vertical="center" wrapText="1"/>
    </xf>
    <xf numFmtId="0" fontId="18" fillId="0" borderId="5" xfId="0" applyFont="1" applyBorder="1" applyAlignment="1">
      <alignment horizontal="center" vertical="center" wrapText="1"/>
    </xf>
    <xf numFmtId="0" fontId="15" fillId="0" borderId="55" xfId="0" applyFont="1" applyBorder="1" applyAlignment="1">
      <alignment horizontal="left" vertical="center" wrapText="1"/>
    </xf>
    <xf numFmtId="0" fontId="15" fillId="0" borderId="56" xfId="0" applyFont="1" applyBorder="1" applyAlignment="1">
      <alignment horizontal="left" vertical="center" wrapText="1"/>
    </xf>
    <xf numFmtId="0" fontId="15" fillId="0" borderId="57" xfId="0" applyFont="1" applyFill="1" applyBorder="1" applyAlignment="1">
      <alignment horizontal="left" vertical="center" wrapText="1"/>
    </xf>
    <xf numFmtId="0" fontId="15" fillId="0" borderId="55" xfId="0" applyFont="1" applyBorder="1" applyAlignment="1">
      <alignment horizontal="center" vertical="center"/>
    </xf>
    <xf numFmtId="0" fontId="15" fillId="0" borderId="56" xfId="0" applyFont="1" applyBorder="1" applyAlignment="1">
      <alignment horizontal="center" vertical="center"/>
    </xf>
    <xf numFmtId="0" fontId="15" fillId="0" borderId="57" xfId="0" applyFont="1" applyBorder="1" applyAlignment="1">
      <alignment horizontal="center" vertical="center"/>
    </xf>
    <xf numFmtId="0" fontId="26" fillId="0" borderId="58" xfId="0" applyFont="1" applyBorder="1" applyAlignment="1">
      <alignment horizontal="center" vertical="center" wrapText="1"/>
    </xf>
    <xf numFmtId="1" fontId="27" fillId="0" borderId="55" xfId="0" applyNumberFormat="1" applyFont="1" applyFill="1" applyBorder="1" applyAlignment="1">
      <alignment horizontal="center" vertical="center" wrapText="1"/>
    </xf>
    <xf numFmtId="169" fontId="27" fillId="0" borderId="58" xfId="1" applyNumberFormat="1" applyFont="1" applyFill="1" applyBorder="1" applyAlignment="1" applyProtection="1">
      <alignment horizontal="center" vertical="center" wrapText="1"/>
    </xf>
    <xf numFmtId="169" fontId="27" fillId="0" borderId="55" xfId="1" applyNumberFormat="1" applyFont="1" applyFill="1" applyBorder="1" applyAlignment="1" applyProtection="1">
      <alignment horizontal="center" vertical="center" wrapText="1"/>
    </xf>
    <xf numFmtId="0" fontId="26" fillId="0" borderId="59" xfId="0" applyFont="1" applyBorder="1" applyAlignment="1">
      <alignment horizontal="center" vertical="center" wrapText="1"/>
    </xf>
    <xf numFmtId="1" fontId="26" fillId="0" borderId="56" xfId="0" applyNumberFormat="1" applyFont="1" applyBorder="1" applyAlignment="1">
      <alignment horizontal="center" vertical="center" wrapText="1"/>
    </xf>
    <xf numFmtId="169" fontId="26" fillId="0" borderId="59" xfId="0" applyNumberFormat="1" applyFont="1" applyBorder="1" applyAlignment="1">
      <alignment horizontal="center" vertical="center" wrapText="1"/>
    </xf>
    <xf numFmtId="169" fontId="26" fillId="0" borderId="56" xfId="0" applyNumberFormat="1" applyFont="1" applyBorder="1" applyAlignment="1">
      <alignment horizontal="center" wrapText="1"/>
    </xf>
    <xf numFmtId="0" fontId="26" fillId="0" borderId="60" xfId="0" applyFont="1" applyBorder="1" applyAlignment="1">
      <alignment horizontal="center" vertical="center" wrapText="1"/>
    </xf>
    <xf numFmtId="1" fontId="26" fillId="0" borderId="57" xfId="0" applyNumberFormat="1" applyFont="1" applyBorder="1" applyAlignment="1">
      <alignment horizontal="center" vertical="center" wrapText="1"/>
    </xf>
    <xf numFmtId="169" fontId="26" fillId="0" borderId="60" xfId="0" applyNumberFormat="1" applyFont="1" applyBorder="1" applyAlignment="1">
      <alignment horizontal="center" vertical="center" wrapText="1"/>
    </xf>
    <xf numFmtId="169" fontId="26" fillId="0" borderId="57" xfId="0" applyNumberFormat="1" applyFont="1" applyBorder="1" applyAlignment="1">
      <alignment horizontal="center" wrapText="1"/>
    </xf>
    <xf numFmtId="0" fontId="27" fillId="0" borderId="0" xfId="0" applyFont="1"/>
    <xf numFmtId="169" fontId="27" fillId="0" borderId="16" xfId="0" applyNumberFormat="1" applyFont="1" applyBorder="1" applyAlignment="1">
      <alignment horizontal="center"/>
    </xf>
    <xf numFmtId="0" fontId="27" fillId="0" borderId="55" xfId="0" applyFont="1" applyBorder="1" applyAlignment="1">
      <alignment horizontal="center" vertical="center"/>
    </xf>
    <xf numFmtId="0" fontId="27" fillId="0" borderId="56" xfId="0" applyFont="1" applyBorder="1" applyAlignment="1">
      <alignment horizontal="center" vertical="center"/>
    </xf>
    <xf numFmtId="0" fontId="27" fillId="0" borderId="57" xfId="0" applyFont="1" applyBorder="1" applyAlignment="1">
      <alignment horizontal="center" vertical="center"/>
    </xf>
    <xf numFmtId="0" fontId="15" fillId="0" borderId="0" xfId="0" applyFont="1" applyFill="1" applyBorder="1" applyAlignment="1">
      <alignment wrapText="1"/>
    </xf>
    <xf numFmtId="0" fontId="15" fillId="0" borderId="0" xfId="0" applyFont="1" applyFill="1" applyBorder="1" applyAlignment="1"/>
    <xf numFmtId="0" fontId="15" fillId="0" borderId="8" xfId="0" applyFont="1" applyFill="1" applyBorder="1" applyAlignment="1"/>
    <xf numFmtId="0" fontId="15" fillId="0" borderId="10" xfId="0" applyFont="1" applyFill="1" applyBorder="1" applyAlignment="1">
      <alignment wrapText="1"/>
    </xf>
    <xf numFmtId="0" fontId="15" fillId="0" borderId="10" xfId="0" applyFont="1" applyFill="1" applyBorder="1" applyAlignment="1"/>
    <xf numFmtId="0" fontId="15" fillId="0" borderId="11" xfId="0" applyFont="1" applyFill="1" applyBorder="1" applyAlignment="1"/>
    <xf numFmtId="0" fontId="24" fillId="0" borderId="7" xfId="0" applyFont="1" applyBorder="1" applyAlignment="1">
      <alignment horizontal="left" indent="3"/>
    </xf>
    <xf numFmtId="0" fontId="28" fillId="0" borderId="61" xfId="0" applyFont="1" applyBorder="1" applyAlignment="1">
      <alignment horizontal="center" vertical="center"/>
    </xf>
    <xf numFmtId="0" fontId="28" fillId="0" borderId="55" xfId="0" applyFont="1" applyBorder="1" applyAlignment="1">
      <alignment horizontal="center" vertical="center"/>
    </xf>
    <xf numFmtId="0" fontId="29" fillId="0" borderId="55" xfId="0" applyFont="1" applyBorder="1" applyAlignment="1">
      <alignment horizontal="center" vertical="center" wrapText="1"/>
    </xf>
    <xf numFmtId="0" fontId="30" fillId="0" borderId="58" xfId="0" applyFont="1" applyFill="1" applyBorder="1" applyAlignment="1">
      <alignment horizontal="center" vertical="center" wrapText="1"/>
    </xf>
    <xf numFmtId="1" fontId="28" fillId="0" borderId="69" xfId="0" applyNumberFormat="1" applyFont="1" applyFill="1" applyBorder="1" applyAlignment="1">
      <alignment horizontal="center" vertical="center" wrapText="1"/>
    </xf>
    <xf numFmtId="0" fontId="28" fillId="0" borderId="62" xfId="0" applyFont="1" applyBorder="1" applyAlignment="1">
      <alignment horizontal="center" vertical="center"/>
    </xf>
    <xf numFmtId="0" fontId="28" fillId="0" borderId="67" xfId="0" applyFont="1" applyBorder="1" applyAlignment="1">
      <alignment horizontal="center" vertical="center"/>
    </xf>
    <xf numFmtId="0" fontId="29" fillId="0" borderId="56" xfId="0" applyFont="1" applyBorder="1" applyAlignment="1">
      <alignment horizontal="center" vertical="center" wrapText="1"/>
    </xf>
    <xf numFmtId="0" fontId="30" fillId="0" borderId="68" xfId="0" applyFont="1" applyBorder="1" applyAlignment="1">
      <alignment horizontal="center" vertical="center" wrapText="1"/>
    </xf>
    <xf numFmtId="1" fontId="28" fillId="0" borderId="70" xfId="0" applyNumberFormat="1" applyFont="1" applyFill="1" applyBorder="1" applyAlignment="1">
      <alignment horizontal="center" vertical="center" wrapText="1"/>
    </xf>
    <xf numFmtId="0" fontId="28" fillId="0" borderId="63" xfId="0" applyFont="1" applyBorder="1" applyAlignment="1">
      <alignment horizontal="center" vertical="center"/>
    </xf>
    <xf numFmtId="0" fontId="28" fillId="0" borderId="57" xfId="0" applyFont="1" applyBorder="1" applyAlignment="1">
      <alignment horizontal="center" vertical="center"/>
    </xf>
    <xf numFmtId="0" fontId="29" fillId="0" borderId="57" xfId="0" applyFont="1" applyBorder="1" applyAlignment="1">
      <alignment horizontal="center" vertical="center" wrapText="1"/>
    </xf>
    <xf numFmtId="0" fontId="30" fillId="0" borderId="60" xfId="0" applyFont="1" applyBorder="1" applyAlignment="1">
      <alignment horizontal="center" vertical="center" wrapText="1"/>
    </xf>
    <xf numFmtId="1" fontId="28" fillId="0" borderId="71" xfId="0" applyNumberFormat="1" applyFont="1" applyFill="1" applyBorder="1" applyAlignment="1">
      <alignment horizontal="center" vertical="center" wrapText="1"/>
    </xf>
    <xf numFmtId="0" fontId="0" fillId="0" borderId="8" xfId="0" applyBorder="1" applyAlignment="1">
      <alignment horizontal="right"/>
    </xf>
    <xf numFmtId="0" fontId="0" fillId="0" borderId="76" xfId="0" applyBorder="1"/>
    <xf numFmtId="0" fontId="0" fillId="0" borderId="77" xfId="0" applyBorder="1" applyAlignment="1">
      <alignment horizontal="right"/>
    </xf>
    <xf numFmtId="0" fontId="0" fillId="0" borderId="80" xfId="0" applyFont="1" applyFill="1" applyBorder="1" applyAlignment="1">
      <alignment horizontal="center" vertical="center"/>
    </xf>
    <xf numFmtId="0" fontId="0" fillId="0" borderId="50" xfId="0" applyFont="1" applyFill="1" applyBorder="1" applyAlignment="1">
      <alignment horizontal="center" vertical="center"/>
    </xf>
    <xf numFmtId="0" fontId="0" fillId="0" borderId="82" xfId="0" applyFont="1" applyBorder="1" applyAlignment="1">
      <alignment horizontal="center" vertical="center"/>
    </xf>
    <xf numFmtId="0" fontId="11" fillId="0" borderId="82" xfId="0" applyFont="1" applyBorder="1" applyAlignment="1">
      <alignment horizontal="center" vertical="center"/>
    </xf>
    <xf numFmtId="0" fontId="0" fillId="0" borderId="85" xfId="0" applyBorder="1" applyAlignment="1">
      <alignment horizontal="center" vertical="center"/>
    </xf>
    <xf numFmtId="169" fontId="28" fillId="0" borderId="55" xfId="1" applyNumberFormat="1" applyFont="1" applyFill="1" applyBorder="1" applyAlignment="1" applyProtection="1">
      <alignment horizontal="center" vertical="center" wrapText="1"/>
    </xf>
    <xf numFmtId="169" fontId="30" fillId="0" borderId="67" xfId="0" applyNumberFormat="1" applyFont="1" applyBorder="1" applyAlignment="1">
      <alignment horizontal="center" vertical="center" wrapText="1"/>
    </xf>
    <xf numFmtId="169" fontId="30" fillId="0" borderId="57" xfId="0" applyNumberFormat="1" applyFont="1" applyBorder="1" applyAlignment="1">
      <alignment horizontal="center" vertical="center" wrapText="1"/>
    </xf>
    <xf numFmtId="169" fontId="14" fillId="0" borderId="81" xfId="1" applyNumberFormat="1" applyBorder="1" applyAlignment="1">
      <alignment vertical="center"/>
    </xf>
    <xf numFmtId="169" fontId="14" fillId="0" borderId="51" xfId="1" applyNumberFormat="1" applyBorder="1" applyProtection="1"/>
    <xf numFmtId="169" fontId="14" fillId="0" borderId="83" xfId="1" applyNumberFormat="1" applyBorder="1" applyProtection="1"/>
    <xf numFmtId="169" fontId="14" fillId="0" borderId="84" xfId="1" applyNumberFormat="1" applyBorder="1" applyProtection="1"/>
    <xf numFmtId="169" fontId="14" fillId="0" borderId="86" xfId="1" applyNumberFormat="1" applyBorder="1" applyProtection="1"/>
    <xf numFmtId="169" fontId="32" fillId="0" borderId="16" xfId="1" applyNumberFormat="1" applyFont="1" applyBorder="1" applyAlignment="1">
      <alignment vertical="center"/>
    </xf>
    <xf numFmtId="0" fontId="24" fillId="0" borderId="7" xfId="0" applyFont="1" applyBorder="1"/>
    <xf numFmtId="49" fontId="6" fillId="0" borderId="13" xfId="0" applyNumberFormat="1" applyFont="1" applyFill="1" applyBorder="1" applyAlignment="1">
      <alignment horizontal="center" vertical="center"/>
    </xf>
    <xf numFmtId="0" fontId="25" fillId="0" borderId="0" xfId="0" applyFont="1" applyBorder="1" applyAlignment="1">
      <alignment horizontal="center"/>
    </xf>
    <xf numFmtId="0" fontId="15" fillId="0" borderId="0" xfId="0" applyFont="1" applyFill="1" applyBorder="1" applyAlignment="1">
      <alignment horizontal="left" wrapText="1"/>
    </xf>
    <xf numFmtId="0" fontId="15" fillId="0" borderId="8" xfId="0" applyFont="1" applyFill="1" applyBorder="1" applyAlignment="1">
      <alignment horizontal="left" wrapText="1"/>
    </xf>
    <xf numFmtId="0" fontId="15" fillId="0" borderId="0" xfId="0" applyFont="1" applyFill="1" applyBorder="1" applyAlignment="1">
      <alignment horizontal="left" vertical="center" wrapText="1"/>
    </xf>
    <xf numFmtId="0" fontId="15" fillId="0" borderId="8" xfId="0" applyFont="1" applyFill="1" applyBorder="1" applyAlignment="1">
      <alignment horizontal="left" vertical="center" wrapText="1"/>
    </xf>
    <xf numFmtId="0" fontId="15" fillId="0" borderId="8" xfId="0" applyFont="1" applyFill="1" applyBorder="1" applyAlignment="1">
      <alignment horizontal="left"/>
    </xf>
    <xf numFmtId="0" fontId="33" fillId="0" borderId="0" xfId="0" applyFont="1" applyBorder="1" applyAlignment="1">
      <alignment horizontal="left" vertical="center" wrapText="1"/>
    </xf>
    <xf numFmtId="0" fontId="16" fillId="0" borderId="0" xfId="0" applyFont="1" applyBorder="1" applyAlignment="1">
      <alignment horizontal="center"/>
    </xf>
    <xf numFmtId="0" fontId="22" fillId="0" borderId="0" xfId="0" applyFont="1" applyFill="1" applyBorder="1" applyAlignment="1">
      <alignment horizontal="left" wrapText="1" indent="1"/>
    </xf>
    <xf numFmtId="0" fontId="28" fillId="0" borderId="4" xfId="0" applyFont="1" applyFill="1" applyBorder="1" applyAlignment="1">
      <alignment horizontal="left" vertical="center" wrapText="1"/>
    </xf>
    <xf numFmtId="0" fontId="28" fillId="0" borderId="5" xfId="0" applyFont="1" applyFill="1" applyBorder="1" applyAlignment="1">
      <alignment horizontal="left" vertical="center" wrapText="1"/>
    </xf>
    <xf numFmtId="0" fontId="28" fillId="0" borderId="6" xfId="0" applyFont="1" applyFill="1" applyBorder="1" applyAlignment="1">
      <alignment horizontal="left" vertical="center" wrapText="1"/>
    </xf>
    <xf numFmtId="0" fontId="28" fillId="0" borderId="9" xfId="0" applyFont="1" applyFill="1" applyBorder="1" applyAlignment="1">
      <alignment horizontal="left" vertical="center" wrapText="1"/>
    </xf>
    <xf numFmtId="0" fontId="28" fillId="0" borderId="10" xfId="0" applyFont="1" applyFill="1" applyBorder="1" applyAlignment="1">
      <alignment horizontal="left" vertical="center" wrapText="1"/>
    </xf>
    <xf numFmtId="0" fontId="28" fillId="0" borderId="11" xfId="0" applyFont="1" applyFill="1" applyBorder="1" applyAlignment="1">
      <alignment horizontal="left" vertical="center" wrapText="1"/>
    </xf>
    <xf numFmtId="0" fontId="5" fillId="0" borderId="0" xfId="0" applyFont="1" applyBorder="1" applyAlignment="1">
      <alignment horizontal="center" vertical="center"/>
    </xf>
    <xf numFmtId="0" fontId="29" fillId="0" borderId="15" xfId="0" applyFont="1" applyBorder="1" applyAlignment="1">
      <alignment horizontal="left" vertical="center" wrapText="1"/>
    </xf>
    <xf numFmtId="0" fontId="28" fillId="4" borderId="16" xfId="0" applyFont="1" applyFill="1" applyBorder="1" applyAlignment="1">
      <alignment horizontal="left" vertical="center" wrapText="1" indent="1"/>
    </xf>
    <xf numFmtId="0" fontId="29" fillId="0" borderId="17" xfId="0" applyFont="1" applyBorder="1" applyAlignment="1">
      <alignment horizontal="left" vertical="center" wrapText="1"/>
    </xf>
    <xf numFmtId="0" fontId="28" fillId="0" borderId="36" xfId="0" applyFont="1" applyFill="1" applyBorder="1" applyAlignment="1">
      <alignment horizontal="left" vertical="center" wrapText="1" indent="1"/>
    </xf>
    <xf numFmtId="0" fontId="28" fillId="0" borderId="16" xfId="0" applyFont="1" applyFill="1" applyBorder="1" applyAlignment="1">
      <alignment horizontal="left" vertical="center" wrapText="1" indent="1"/>
    </xf>
    <xf numFmtId="0" fontId="29" fillId="0" borderId="4" xfId="0" applyFont="1" applyBorder="1" applyAlignment="1">
      <alignment horizontal="left" vertical="center"/>
    </xf>
    <xf numFmtId="0" fontId="29" fillId="0" borderId="5" xfId="0" applyFont="1" applyBorder="1" applyAlignment="1">
      <alignment horizontal="left" vertical="center"/>
    </xf>
    <xf numFmtId="0" fontId="29" fillId="0" borderId="6" xfId="0" applyFont="1" applyBorder="1" applyAlignment="1">
      <alignment horizontal="left" vertical="center"/>
    </xf>
    <xf numFmtId="0" fontId="29" fillId="0" borderId="9" xfId="0" applyFont="1" applyBorder="1" applyAlignment="1">
      <alignment horizontal="left" vertical="center"/>
    </xf>
    <xf numFmtId="0" fontId="29" fillId="0" borderId="10" xfId="0" applyFont="1" applyBorder="1" applyAlignment="1">
      <alignment horizontal="left" vertical="center"/>
    </xf>
    <xf numFmtId="0" fontId="29" fillId="0" borderId="11" xfId="0" applyFont="1" applyBorder="1" applyAlignment="1">
      <alignment horizontal="left" vertical="center"/>
    </xf>
    <xf numFmtId="0" fontId="6" fillId="0" borderId="16" xfId="0" applyFont="1" applyBorder="1" applyAlignment="1">
      <alignment horizontal="left" vertical="center" wrapText="1" indent="1"/>
    </xf>
    <xf numFmtId="166" fontId="29" fillId="0" borderId="21" xfId="0" applyNumberFormat="1" applyFont="1" applyBorder="1" applyAlignment="1">
      <alignment horizontal="center" vertical="center"/>
    </xf>
    <xf numFmtId="166" fontId="29" fillId="0" borderId="16" xfId="0" applyNumberFormat="1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 wrapText="1"/>
    </xf>
    <xf numFmtId="0" fontId="8" fillId="0" borderId="38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0" fontId="8" fillId="0" borderId="32" xfId="0" applyFont="1" applyBorder="1" applyAlignment="1">
      <alignment horizontal="center" vertical="center" wrapText="1"/>
    </xf>
    <xf numFmtId="0" fontId="8" fillId="0" borderId="35" xfId="0" applyFont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  <xf numFmtId="0" fontId="28" fillId="0" borderId="66" xfId="0" applyFont="1" applyFill="1" applyBorder="1" applyAlignment="1">
      <alignment horizontal="left" vertical="center" wrapText="1"/>
    </xf>
    <xf numFmtId="0" fontId="28" fillId="0" borderId="40" xfId="0" applyFont="1" applyFill="1" applyBorder="1" applyAlignment="1">
      <alignment horizontal="left" vertical="center" wrapText="1"/>
    </xf>
    <xf numFmtId="0" fontId="28" fillId="0" borderId="54" xfId="0" applyFont="1" applyFill="1" applyBorder="1" applyAlignment="1">
      <alignment horizontal="left" vertical="center" wrapText="1"/>
    </xf>
    <xf numFmtId="0" fontId="28" fillId="0" borderId="65" xfId="0" applyFont="1" applyBorder="1" applyAlignment="1">
      <alignment horizontal="left" vertical="center" wrapText="1"/>
    </xf>
    <xf numFmtId="0" fontId="28" fillId="0" borderId="3" xfId="0" applyFont="1" applyBorder="1" applyAlignment="1">
      <alignment horizontal="left" vertical="center" wrapText="1"/>
    </xf>
    <xf numFmtId="0" fontId="28" fillId="0" borderId="53" xfId="0" applyFont="1" applyBorder="1" applyAlignment="1">
      <alignment horizontal="left" vertical="center" wrapText="1"/>
    </xf>
    <xf numFmtId="0" fontId="28" fillId="0" borderId="64" xfId="0" applyFont="1" applyBorder="1" applyAlignment="1">
      <alignment horizontal="left" vertical="center" wrapText="1"/>
    </xf>
    <xf numFmtId="0" fontId="28" fillId="0" borderId="37" xfId="0" applyFont="1" applyBorder="1" applyAlignment="1">
      <alignment horizontal="left" vertical="center" wrapText="1"/>
    </xf>
    <xf numFmtId="0" fontId="28" fillId="0" borderId="52" xfId="0" applyFont="1" applyBorder="1" applyAlignment="1">
      <alignment horizontal="left" vertical="center" wrapText="1"/>
    </xf>
    <xf numFmtId="0" fontId="6" fillId="0" borderId="20" xfId="0" applyFont="1" applyBorder="1" applyAlignment="1">
      <alignment horizontal="center" vertical="center" wrapText="1"/>
    </xf>
    <xf numFmtId="0" fontId="6" fillId="0" borderId="35" xfId="0" applyFont="1" applyBorder="1" applyAlignment="1">
      <alignment horizontal="center" vertical="center" wrapText="1"/>
    </xf>
    <xf numFmtId="0" fontId="0" fillId="0" borderId="20" xfId="0" applyFont="1" applyBorder="1" applyAlignment="1">
      <alignment horizontal="center"/>
    </xf>
    <xf numFmtId="3" fontId="9" fillId="0" borderId="21" xfId="0" applyNumberFormat="1" applyFont="1" applyBorder="1" applyAlignment="1">
      <alignment horizontal="center"/>
    </xf>
    <xf numFmtId="0" fontId="10" fillId="0" borderId="13" xfId="0" applyFont="1" applyBorder="1" applyAlignment="1">
      <alignment horizontal="center" vertical="center" wrapText="1"/>
    </xf>
    <xf numFmtId="0" fontId="2" fillId="0" borderId="13" xfId="0" applyFont="1" applyBorder="1"/>
    <xf numFmtId="0" fontId="11" fillId="0" borderId="13" xfId="0" applyFont="1" applyBorder="1" applyAlignment="1">
      <alignment horizontal="left" indent="1"/>
    </xf>
    <xf numFmtId="0" fontId="4" fillId="0" borderId="15" xfId="0" applyFont="1" applyBorder="1" applyAlignment="1">
      <alignment horizontal="left" vertical="center" wrapText="1"/>
    </xf>
    <xf numFmtId="0" fontId="4" fillId="0" borderId="33" xfId="0" applyFont="1" applyBorder="1" applyAlignment="1">
      <alignment horizontal="left" vertical="center" wrapText="1"/>
    </xf>
    <xf numFmtId="0" fontId="4" fillId="0" borderId="34" xfId="0" applyFont="1" applyBorder="1" applyAlignment="1">
      <alignment horizontal="left" vertical="center" wrapText="1"/>
    </xf>
    <xf numFmtId="0" fontId="31" fillId="0" borderId="13" xfId="0" applyFont="1" applyBorder="1" applyAlignment="1">
      <alignment horizontal="left" indent="1"/>
    </xf>
    <xf numFmtId="0" fontId="12" fillId="0" borderId="41" xfId="0" applyFont="1" applyBorder="1" applyAlignment="1">
      <alignment horizontal="left"/>
    </xf>
    <xf numFmtId="0" fontId="12" fillId="0" borderId="42" xfId="0" applyFont="1" applyBorder="1" applyAlignment="1">
      <alignment horizontal="left"/>
    </xf>
    <xf numFmtId="0" fontId="12" fillId="0" borderId="73" xfId="0" applyFont="1" applyBorder="1" applyAlignment="1">
      <alignment horizontal="left"/>
    </xf>
    <xf numFmtId="0" fontId="4" fillId="0" borderId="17" xfId="0" applyFont="1" applyBorder="1" applyAlignment="1">
      <alignment horizontal="left" vertical="center" wrapText="1"/>
    </xf>
    <xf numFmtId="0" fontId="4" fillId="0" borderId="72" xfId="0" applyFont="1" applyBorder="1" applyAlignment="1">
      <alignment horizontal="left" vertical="center" wrapText="1"/>
    </xf>
    <xf numFmtId="0" fontId="4" fillId="0" borderId="25" xfId="0" applyFont="1" applyBorder="1" applyAlignment="1">
      <alignment horizontal="left" vertical="center" wrapText="1"/>
    </xf>
    <xf numFmtId="0" fontId="11" fillId="4" borderId="22" xfId="0" applyFont="1" applyFill="1" applyBorder="1" applyAlignment="1">
      <alignment horizontal="left" indent="1"/>
    </xf>
    <xf numFmtId="0" fontId="11" fillId="0" borderId="7" xfId="0" applyFont="1" applyBorder="1"/>
    <xf numFmtId="0" fontId="11" fillId="0" borderId="23" xfId="0" applyFont="1" applyBorder="1"/>
    <xf numFmtId="0" fontId="11" fillId="0" borderId="74" xfId="0" applyFont="1" applyBorder="1" applyAlignment="1">
      <alignment horizontal="left" vertical="center" wrapText="1" indent="1"/>
    </xf>
    <xf numFmtId="0" fontId="11" fillId="0" borderId="24" xfId="0" applyFont="1" applyBorder="1" applyAlignment="1">
      <alignment horizontal="left" vertical="center" wrapText="1" indent="1"/>
    </xf>
    <xf numFmtId="0" fontId="11" fillId="0" borderId="75" xfId="0" applyFont="1" applyBorder="1" applyAlignment="1">
      <alignment horizontal="left" vertical="center" wrapText="1" indent="1"/>
    </xf>
    <xf numFmtId="0" fontId="13" fillId="0" borderId="78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/>
    </xf>
    <xf numFmtId="0" fontId="13" fillId="0" borderId="79" xfId="0" applyFont="1" applyBorder="1" applyAlignment="1">
      <alignment horizontal="center" vertical="center"/>
    </xf>
    <xf numFmtId="0" fontId="13" fillId="0" borderId="41" xfId="0" applyFont="1" applyBorder="1" applyAlignment="1">
      <alignment horizontal="center" vertical="center"/>
    </xf>
    <xf numFmtId="0" fontId="13" fillId="0" borderId="42" xfId="0" applyFont="1" applyBorder="1" applyAlignment="1">
      <alignment horizontal="center" vertical="center"/>
    </xf>
    <xf numFmtId="0" fontId="13" fillId="0" borderId="43" xfId="0" applyFont="1" applyBorder="1" applyAlignment="1">
      <alignment horizontal="center" vertical="center" wrapText="1"/>
    </xf>
    <xf numFmtId="0" fontId="13" fillId="0" borderId="48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right" vertical="center"/>
    </xf>
    <xf numFmtId="0" fontId="13" fillId="0" borderId="49" xfId="0" applyFont="1" applyBorder="1" applyAlignment="1">
      <alignment horizontal="right" vertical="center"/>
    </xf>
    <xf numFmtId="0" fontId="23" fillId="0" borderId="39" xfId="0" applyFont="1" applyBorder="1" applyAlignment="1">
      <alignment horizontal="center" vertical="center" wrapText="1"/>
    </xf>
    <xf numFmtId="0" fontId="0" fillId="0" borderId="39" xfId="0" applyFont="1" applyBorder="1" applyAlignment="1">
      <alignment horizontal="center" vertical="center" wrapText="1"/>
    </xf>
    <xf numFmtId="0" fontId="23" fillId="0" borderId="3" xfId="0" applyFont="1" applyBorder="1" applyAlignment="1">
      <alignment horizontal="center" vertical="center" wrapText="1"/>
    </xf>
    <xf numFmtId="0" fontId="0" fillId="0" borderId="3" xfId="0" applyFont="1" applyBorder="1" applyAlignment="1">
      <alignment horizontal="center" vertical="center" wrapText="1"/>
    </xf>
    <xf numFmtId="0" fontId="9" fillId="0" borderId="20" xfId="0" applyFont="1" applyBorder="1" applyAlignment="1">
      <alignment vertical="center" wrapText="1"/>
    </xf>
    <xf numFmtId="0" fontId="9" fillId="0" borderId="32" xfId="0" applyFont="1" applyBorder="1" applyAlignment="1">
      <alignment vertical="center" wrapText="1"/>
    </xf>
    <xf numFmtId="0" fontId="9" fillId="0" borderId="18" xfId="0" applyFont="1" applyBorder="1" applyAlignment="1">
      <alignment vertical="center" wrapText="1"/>
    </xf>
    <xf numFmtId="0" fontId="11" fillId="0" borderId="25" xfId="0" applyFont="1" applyBorder="1" applyAlignment="1">
      <alignment vertical="center" wrapText="1"/>
    </xf>
    <xf numFmtId="0" fontId="11" fillId="0" borderId="31" xfId="0" applyFont="1" applyFill="1" applyBorder="1" applyAlignment="1">
      <alignment horizontal="left" vertical="center" wrapText="1" indent="1"/>
    </xf>
    <xf numFmtId="0" fontId="0" fillId="0" borderId="26" xfId="0" applyFont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9" fillId="0" borderId="87" xfId="0" applyFont="1" applyBorder="1" applyAlignment="1">
      <alignment horizontal="left" vertical="center" wrapText="1"/>
    </xf>
    <xf numFmtId="0" fontId="9" fillId="0" borderId="47" xfId="0" applyFont="1" applyBorder="1" applyAlignment="1">
      <alignment horizontal="left" vertical="center" wrapText="1"/>
    </xf>
    <xf numFmtId="0" fontId="9" fillId="0" borderId="88" xfId="0" applyFont="1" applyBorder="1" applyAlignment="1">
      <alignment horizontal="left" vertical="center" wrapText="1"/>
    </xf>
    <xf numFmtId="0" fontId="0" fillId="0" borderId="24" xfId="0" applyBorder="1"/>
  </cellXfs>
  <cellStyles count="5">
    <cellStyle name="Encabezado 1" xfId="2"/>
    <cellStyle name="Millares" xfId="4" builtinId="3"/>
    <cellStyle name="Moneda" xfId="1" builtinId="4"/>
    <cellStyle name="Neutral 1" xfId="3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xmlns="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xmlns="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xmlns="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U41"/>
  <sheetViews>
    <sheetView tabSelected="1" zoomScaleNormal="100" workbookViewId="0">
      <selection activeCell="B3" sqref="B3"/>
    </sheetView>
  </sheetViews>
  <sheetFormatPr baseColWidth="10" defaultColWidth="11" defaultRowHeight="12.75" x14ac:dyDescent="0.2"/>
  <cols>
    <col min="1" max="1" width="4.5703125" style="19" customWidth="1"/>
    <col min="2" max="2" width="14.5703125" style="19" customWidth="1"/>
    <col min="3" max="3" width="32.42578125" style="19" customWidth="1"/>
    <col min="4" max="4" width="8.42578125" style="19" customWidth="1"/>
    <col min="5" max="5" width="82.28515625" style="19" customWidth="1"/>
    <col min="6" max="6" width="11" style="19"/>
    <col min="7" max="7" width="11" style="19" customWidth="1"/>
    <col min="8" max="8" width="13.85546875" style="19" customWidth="1"/>
    <col min="9" max="9" width="18.5703125" style="19" customWidth="1"/>
    <col min="10" max="10" width="11" style="19"/>
    <col min="11" max="11" width="20.140625" style="19" customWidth="1"/>
    <col min="12" max="13" width="11" style="19"/>
    <col min="14" max="14" width="12.7109375" style="19" bestFit="1" customWidth="1"/>
    <col min="15" max="16" width="11" style="19"/>
    <col min="17" max="17" width="13.28515625" style="19" bestFit="1" customWidth="1"/>
    <col min="18" max="16384" width="11" style="19"/>
  </cols>
  <sheetData>
    <row r="2" spans="1:11" ht="27" x14ac:dyDescent="0.35">
      <c r="B2" s="149" t="s">
        <v>0</v>
      </c>
      <c r="C2" s="149"/>
      <c r="D2" s="149"/>
      <c r="E2" s="149"/>
      <c r="F2" s="149"/>
      <c r="G2" s="149"/>
      <c r="H2" s="149"/>
    </row>
    <row r="4" spans="1:11" ht="18" customHeight="1" x14ac:dyDescent="0.25">
      <c r="A4" s="148" t="s">
        <v>1</v>
      </c>
      <c r="B4" s="148"/>
      <c r="C4" s="150" t="s">
        <v>63</v>
      </c>
      <c r="D4" s="150"/>
      <c r="E4" s="150"/>
      <c r="F4" s="20"/>
      <c r="G4" s="21"/>
      <c r="H4" s="20"/>
    </row>
    <row r="5" spans="1:11" ht="18" customHeight="1" x14ac:dyDescent="0.25">
      <c r="A5" s="148" t="s">
        <v>2</v>
      </c>
      <c r="B5" s="148"/>
      <c r="C5" s="150" t="s">
        <v>69</v>
      </c>
      <c r="D5" s="150"/>
      <c r="E5" s="150"/>
      <c r="F5" s="20"/>
      <c r="G5" s="21"/>
      <c r="H5" s="20"/>
      <c r="K5" s="47"/>
    </row>
    <row r="6" spans="1:11" ht="16.5" customHeight="1" x14ac:dyDescent="0.25">
      <c r="A6" s="148" t="s">
        <v>3</v>
      </c>
      <c r="B6" s="148"/>
      <c r="C6" s="37">
        <v>2020</v>
      </c>
      <c r="D6" s="38"/>
      <c r="E6" s="38"/>
      <c r="F6" s="20"/>
      <c r="G6" s="21"/>
      <c r="H6" s="20"/>
      <c r="K6" s="47"/>
    </row>
    <row r="7" spans="1:11" ht="16.5" customHeight="1" x14ac:dyDescent="0.25">
      <c r="A7" s="148" t="s">
        <v>4</v>
      </c>
      <c r="B7" s="148"/>
      <c r="C7" s="37">
        <v>4</v>
      </c>
      <c r="D7" s="38"/>
      <c r="E7" s="38"/>
      <c r="F7" s="20"/>
      <c r="G7" s="21"/>
      <c r="H7" s="20"/>
      <c r="K7" s="47"/>
    </row>
    <row r="8" spans="1:11" ht="13.5" thickBot="1" x14ac:dyDescent="0.25">
      <c r="B8" s="20"/>
      <c r="C8" s="21"/>
      <c r="D8" s="20"/>
      <c r="E8" s="20"/>
      <c r="F8" s="20"/>
      <c r="G8" s="21"/>
      <c r="H8" s="20"/>
      <c r="K8" s="47"/>
    </row>
    <row r="9" spans="1:11" ht="39" thickBot="1" x14ac:dyDescent="0.25">
      <c r="A9" s="76" t="s">
        <v>5</v>
      </c>
      <c r="B9" s="77" t="s">
        <v>6</v>
      </c>
      <c r="C9" s="76" t="s">
        <v>7</v>
      </c>
      <c r="D9" s="77" t="s">
        <v>8</v>
      </c>
      <c r="E9" s="76" t="s">
        <v>9</v>
      </c>
      <c r="F9" s="77" t="s">
        <v>10</v>
      </c>
      <c r="G9" s="76" t="s">
        <v>11</v>
      </c>
      <c r="H9" s="77" t="s">
        <v>12</v>
      </c>
      <c r="I9" s="76" t="s">
        <v>13</v>
      </c>
      <c r="K9" s="47"/>
    </row>
    <row r="10" spans="1:11" ht="30" customHeight="1" x14ac:dyDescent="0.2">
      <c r="A10" s="98">
        <v>1</v>
      </c>
      <c r="B10" s="98" t="s">
        <v>70</v>
      </c>
      <c r="C10" s="81" t="s">
        <v>71</v>
      </c>
      <c r="D10" s="84" t="str">
        <f>LEFT(B10,5)</f>
        <v>4.3.7</v>
      </c>
      <c r="E10" s="78" t="s">
        <v>73</v>
      </c>
      <c r="F10" s="84" t="s">
        <v>64</v>
      </c>
      <c r="G10" s="85">
        <v>1</v>
      </c>
      <c r="H10" s="86">
        <v>34421.5</v>
      </c>
      <c r="I10" s="87">
        <f>G10*H10</f>
        <v>34421.5</v>
      </c>
      <c r="K10" s="54"/>
    </row>
    <row r="11" spans="1:11" ht="25.5" x14ac:dyDescent="0.25">
      <c r="A11" s="99">
        <v>2</v>
      </c>
      <c r="B11" s="99" t="s">
        <v>72</v>
      </c>
      <c r="C11" s="82" t="s">
        <v>71</v>
      </c>
      <c r="D11" s="88" t="str">
        <f>LEFT(B11,5)</f>
        <v>4.3.7</v>
      </c>
      <c r="E11" s="79" t="s">
        <v>74</v>
      </c>
      <c r="F11" s="88" t="s">
        <v>64</v>
      </c>
      <c r="G11" s="89">
        <v>35</v>
      </c>
      <c r="H11" s="90">
        <v>16699</v>
      </c>
      <c r="I11" s="91">
        <f>G11*H11</f>
        <v>584465</v>
      </c>
      <c r="K11" s="50">
        <f>I10+I11</f>
        <v>618886.5</v>
      </c>
    </row>
    <row r="12" spans="1:11" ht="27.75" customHeight="1" thickBot="1" x14ac:dyDescent="0.3">
      <c r="A12" s="100">
        <v>3</v>
      </c>
      <c r="B12" s="100" t="s">
        <v>75</v>
      </c>
      <c r="C12" s="83" t="s">
        <v>71</v>
      </c>
      <c r="D12" s="92" t="str">
        <f>LEFT(B12,5)</f>
        <v>4.3.7</v>
      </c>
      <c r="E12" s="80" t="s">
        <v>76</v>
      </c>
      <c r="F12" s="92" t="s">
        <v>64</v>
      </c>
      <c r="G12" s="93">
        <v>20</v>
      </c>
      <c r="H12" s="94">
        <v>18150</v>
      </c>
      <c r="I12" s="95">
        <f>G12*H12</f>
        <v>363000</v>
      </c>
      <c r="K12" s="49"/>
    </row>
    <row r="13" spans="1:11" ht="23.25" customHeight="1" thickBot="1" x14ac:dyDescent="0.3">
      <c r="F13" s="96"/>
      <c r="G13" s="96"/>
      <c r="H13" s="96"/>
      <c r="I13" s="97">
        <f>SUM(I10:I12)</f>
        <v>981886.5</v>
      </c>
      <c r="K13" s="49"/>
    </row>
    <row r="14" spans="1:11" ht="15" customHeight="1" thickBot="1" x14ac:dyDescent="0.25"/>
    <row r="15" spans="1:11" ht="26.25" customHeight="1" x14ac:dyDescent="0.2">
      <c r="B15" s="48" t="s">
        <v>14</v>
      </c>
      <c r="C15" s="25"/>
      <c r="D15" s="25"/>
      <c r="E15" s="26"/>
    </row>
    <row r="16" spans="1:11" x14ac:dyDescent="0.2">
      <c r="B16" s="27"/>
      <c r="C16" s="28"/>
      <c r="D16" s="28"/>
      <c r="E16" s="29"/>
    </row>
    <row r="17" spans="2:21" x14ac:dyDescent="0.2">
      <c r="B17" s="30" t="s">
        <v>15</v>
      </c>
      <c r="C17" s="28"/>
      <c r="D17" s="28"/>
      <c r="E17" s="29"/>
    </row>
    <row r="18" spans="2:21" ht="66" customHeight="1" x14ac:dyDescent="0.2">
      <c r="B18" s="30"/>
      <c r="C18" s="145" t="s">
        <v>96</v>
      </c>
      <c r="D18" s="145"/>
      <c r="E18" s="146"/>
    </row>
    <row r="19" spans="2:21" ht="13.5" thickBot="1" x14ac:dyDescent="0.25">
      <c r="B19" s="30"/>
      <c r="C19" s="28"/>
      <c r="D19" s="28"/>
      <c r="E19" s="29"/>
    </row>
    <row r="20" spans="2:21" ht="28.5" customHeight="1" x14ac:dyDescent="0.2">
      <c r="B20" s="48" t="s">
        <v>77</v>
      </c>
      <c r="C20" s="25"/>
      <c r="D20" s="25"/>
      <c r="E20" s="26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</row>
    <row r="21" spans="2:21" ht="9.75" customHeight="1" x14ac:dyDescent="0.2">
      <c r="B21" s="27"/>
      <c r="C21" s="28"/>
      <c r="D21" s="28"/>
      <c r="E21" s="29"/>
      <c r="L21" s="49"/>
      <c r="M21" s="49"/>
      <c r="N21" s="49"/>
      <c r="O21" s="49"/>
      <c r="P21" s="49"/>
      <c r="Q21" s="49"/>
      <c r="R21" s="49"/>
      <c r="S21" s="49"/>
      <c r="T21" s="49"/>
      <c r="U21" s="49"/>
    </row>
    <row r="22" spans="2:21" ht="16.5" customHeight="1" x14ac:dyDescent="0.2">
      <c r="B22" s="30" t="s">
        <v>15</v>
      </c>
      <c r="C22" s="28"/>
      <c r="D22" s="28"/>
      <c r="E22" s="29"/>
      <c r="G22" s="74"/>
      <c r="H22" s="74"/>
      <c r="I22" s="74"/>
      <c r="J22" s="74"/>
      <c r="K22" s="74"/>
      <c r="L22" s="49"/>
      <c r="M22" s="49"/>
      <c r="N22" s="49"/>
      <c r="O22" s="49"/>
      <c r="P22" s="49"/>
      <c r="Q22" s="49"/>
      <c r="R22" s="49"/>
      <c r="S22" s="49"/>
      <c r="T22" s="49"/>
      <c r="U22" s="49"/>
    </row>
    <row r="23" spans="2:21" ht="40.5" customHeight="1" x14ac:dyDescent="0.2">
      <c r="B23" s="30"/>
      <c r="C23" s="145" t="s">
        <v>97</v>
      </c>
      <c r="D23" s="145"/>
      <c r="E23" s="146"/>
      <c r="G23" s="142" t="s">
        <v>65</v>
      </c>
      <c r="H23" s="74">
        <v>14230</v>
      </c>
      <c r="I23" s="75">
        <f>H23*H10</f>
        <v>489817945</v>
      </c>
      <c r="J23" s="74"/>
      <c r="K23" s="75">
        <f>SUM(I23:I24)</f>
        <v>1067603345</v>
      </c>
      <c r="L23" s="49"/>
      <c r="M23" s="49"/>
      <c r="N23" s="49"/>
      <c r="O23" s="49"/>
      <c r="P23" s="49"/>
      <c r="Q23" s="49"/>
      <c r="R23" s="49"/>
      <c r="S23" s="49"/>
      <c r="T23" s="49"/>
      <c r="U23" s="49"/>
    </row>
    <row r="24" spans="2:21" ht="12.75" customHeight="1" thickBot="1" x14ac:dyDescent="0.25">
      <c r="B24" s="31"/>
      <c r="C24" s="101"/>
      <c r="D24" s="102"/>
      <c r="E24" s="103"/>
      <c r="G24" s="142"/>
      <c r="H24" s="74">
        <v>34600</v>
      </c>
      <c r="I24" s="75">
        <f>H24*H11</f>
        <v>577785400</v>
      </c>
      <c r="J24" s="74"/>
      <c r="K24" s="74"/>
      <c r="L24" s="49"/>
      <c r="M24" s="49"/>
      <c r="N24" s="49"/>
      <c r="O24" s="49"/>
      <c r="P24" s="49"/>
      <c r="Q24" s="49"/>
      <c r="R24" s="49"/>
      <c r="S24" s="49"/>
      <c r="T24" s="49"/>
      <c r="U24" s="49"/>
    </row>
    <row r="25" spans="2:21" ht="26.25" customHeight="1" x14ac:dyDescent="0.2">
      <c r="B25" s="48" t="s">
        <v>78</v>
      </c>
      <c r="C25" s="25"/>
      <c r="D25" s="25"/>
      <c r="E25" s="26"/>
      <c r="G25" s="142" t="s">
        <v>66</v>
      </c>
      <c r="H25" s="74">
        <v>50343</v>
      </c>
      <c r="I25" s="75">
        <f>H25*H10</f>
        <v>1732881574.5</v>
      </c>
      <c r="J25" s="74"/>
      <c r="K25" s="75">
        <f>SUM(I25:I26)</f>
        <v>3278541014.5</v>
      </c>
      <c r="L25" s="49"/>
      <c r="M25" s="49"/>
      <c r="N25" s="51">
        <f>8800000/H10</f>
        <v>255.65416963235188</v>
      </c>
      <c r="O25" s="49"/>
      <c r="P25" s="52">
        <f>N25*70/100</f>
        <v>178.95791874264631</v>
      </c>
      <c r="Q25" s="49">
        <f>P25*H11</f>
        <v>2988418.2850834508</v>
      </c>
      <c r="R25" s="49">
        <f>SUM(Q25:Q26)</f>
        <v>4269168.9786906438</v>
      </c>
      <c r="S25" s="49"/>
      <c r="T25" s="49"/>
      <c r="U25" s="49"/>
    </row>
    <row r="26" spans="2:21" ht="9.75" customHeight="1" x14ac:dyDescent="0.2">
      <c r="B26" s="27"/>
      <c r="C26" s="28"/>
      <c r="D26" s="28"/>
      <c r="E26" s="29"/>
      <c r="G26" s="142"/>
      <c r="H26" s="74">
        <v>92560</v>
      </c>
      <c r="I26" s="75">
        <f>H26*H11</f>
        <v>1545659440</v>
      </c>
      <c r="J26" s="74"/>
      <c r="K26" s="74"/>
      <c r="L26" s="49"/>
      <c r="M26" s="49"/>
      <c r="N26" s="49"/>
      <c r="O26" s="49"/>
      <c r="P26" s="52">
        <f>N25-P25</f>
        <v>76.696250889705567</v>
      </c>
      <c r="Q26" s="53">
        <f>P26*H11</f>
        <v>1280750.6936071932</v>
      </c>
      <c r="R26" s="49"/>
      <c r="S26" s="49"/>
      <c r="T26" s="49"/>
      <c r="U26" s="49"/>
    </row>
    <row r="27" spans="2:21" ht="15.75" customHeight="1" x14ac:dyDescent="0.2">
      <c r="B27" s="30" t="s">
        <v>15</v>
      </c>
      <c r="C27" s="28"/>
      <c r="D27" s="28"/>
      <c r="E27" s="29"/>
      <c r="G27" s="74"/>
      <c r="H27" s="74"/>
      <c r="I27" s="74"/>
      <c r="J27" s="74"/>
      <c r="K27" s="74"/>
      <c r="L27" s="49"/>
      <c r="M27" s="49"/>
      <c r="N27" s="49"/>
      <c r="O27" s="49"/>
      <c r="P27" s="49"/>
      <c r="Q27" s="49"/>
      <c r="R27" s="49"/>
      <c r="S27" s="49"/>
      <c r="T27" s="49"/>
      <c r="U27" s="49"/>
    </row>
    <row r="28" spans="2:21" ht="33.75" customHeight="1" x14ac:dyDescent="0.2">
      <c r="B28" s="30"/>
      <c r="C28" s="145" t="s">
        <v>80</v>
      </c>
      <c r="D28" s="145"/>
      <c r="E28" s="146"/>
      <c r="G28" s="142" t="s">
        <v>67</v>
      </c>
      <c r="H28" s="74">
        <v>1998</v>
      </c>
      <c r="I28" s="75">
        <f>H28*H10</f>
        <v>68774157</v>
      </c>
      <c r="J28" s="74"/>
      <c r="K28" s="75">
        <f>SUM(I28:I29)</f>
        <v>144253637</v>
      </c>
      <c r="L28" s="49"/>
      <c r="M28" s="49"/>
      <c r="N28" s="49"/>
      <c r="O28" s="49"/>
      <c r="P28" s="49"/>
      <c r="Q28" s="49"/>
      <c r="R28" s="49"/>
      <c r="S28" s="49"/>
      <c r="T28" s="49"/>
      <c r="U28" s="49"/>
    </row>
    <row r="29" spans="2:21" ht="26.25" customHeight="1" thickBot="1" x14ac:dyDescent="0.25">
      <c r="B29" s="34"/>
      <c r="C29" s="104"/>
      <c r="D29" s="105"/>
      <c r="E29" s="106"/>
      <c r="G29" s="142"/>
      <c r="H29" s="74">
        <v>4520</v>
      </c>
      <c r="I29" s="75">
        <f>H29*H11</f>
        <v>75479480</v>
      </c>
      <c r="J29" s="74"/>
      <c r="K29" s="74"/>
      <c r="L29" s="49"/>
      <c r="M29" s="49"/>
      <c r="N29" s="49"/>
      <c r="O29" s="49"/>
      <c r="P29" s="49"/>
      <c r="Q29" s="49"/>
      <c r="R29" s="49"/>
      <c r="S29" s="49"/>
      <c r="T29" s="49"/>
      <c r="U29" s="49"/>
    </row>
    <row r="30" spans="2:21" ht="26.25" customHeight="1" x14ac:dyDescent="0.2">
      <c r="B30" s="140" t="s">
        <v>98</v>
      </c>
      <c r="C30" s="101"/>
      <c r="D30" s="102"/>
      <c r="E30" s="103"/>
      <c r="G30" s="142" t="s">
        <v>68</v>
      </c>
      <c r="H30" s="74">
        <v>2730</v>
      </c>
      <c r="I30" s="75">
        <f>H30*H10</f>
        <v>93970695</v>
      </c>
      <c r="J30" s="74"/>
      <c r="K30" s="75">
        <f>SUM(I30:I31)</f>
        <v>212032625</v>
      </c>
      <c r="L30" s="49"/>
      <c r="M30" s="49"/>
      <c r="N30" s="49"/>
      <c r="O30" s="49"/>
      <c r="P30" s="49"/>
      <c r="Q30" s="49"/>
      <c r="R30" s="49"/>
      <c r="S30" s="49"/>
      <c r="T30" s="49"/>
      <c r="U30" s="49"/>
    </row>
    <row r="31" spans="2:21" ht="13.5" customHeight="1" x14ac:dyDescent="0.2">
      <c r="B31" s="31" t="s">
        <v>94</v>
      </c>
      <c r="C31" s="143" t="s">
        <v>95</v>
      </c>
      <c r="D31" s="143"/>
      <c r="E31" s="144"/>
      <c r="G31" s="142"/>
      <c r="H31" s="74">
        <v>7070</v>
      </c>
      <c r="I31" s="75">
        <f>H31*H11</f>
        <v>118061930</v>
      </c>
      <c r="J31" s="74"/>
      <c r="K31" s="74"/>
      <c r="L31" s="49"/>
      <c r="M31" s="49"/>
      <c r="N31" s="49"/>
      <c r="O31" s="49"/>
      <c r="P31" s="49"/>
      <c r="Q31" s="49"/>
      <c r="R31" s="49"/>
      <c r="S31" s="49"/>
      <c r="T31" s="49"/>
      <c r="U31" s="49"/>
    </row>
    <row r="32" spans="2:21" ht="21.75" customHeight="1" x14ac:dyDescent="0.2">
      <c r="B32" s="107" t="s">
        <v>16</v>
      </c>
      <c r="C32" s="28"/>
      <c r="D32" s="28"/>
      <c r="E32" s="29"/>
      <c r="G32" s="74"/>
      <c r="H32" s="74"/>
      <c r="I32" s="74"/>
      <c r="J32" s="74"/>
      <c r="K32" s="74"/>
      <c r="L32" s="49"/>
      <c r="M32" s="49"/>
      <c r="N32" s="49"/>
      <c r="O32" s="49"/>
      <c r="P32" s="49"/>
      <c r="Q32" s="49"/>
      <c r="R32" s="49"/>
      <c r="S32" s="49"/>
      <c r="T32" s="49"/>
      <c r="U32" s="49"/>
    </row>
    <row r="33" spans="2:21" ht="21" customHeight="1" x14ac:dyDescent="0.2">
      <c r="B33" s="31"/>
      <c r="C33" s="145" t="s">
        <v>81</v>
      </c>
      <c r="D33" s="145"/>
      <c r="E33" s="146"/>
      <c r="I33" s="55"/>
      <c r="K33" s="56"/>
      <c r="L33" s="49"/>
      <c r="M33" s="49"/>
      <c r="N33" s="49"/>
      <c r="O33" s="49"/>
      <c r="P33" s="49"/>
      <c r="Q33" s="49"/>
      <c r="R33" s="49"/>
      <c r="S33" s="49"/>
      <c r="T33" s="49"/>
      <c r="U33" s="49"/>
    </row>
    <row r="34" spans="2:21" ht="18.75" customHeight="1" x14ac:dyDescent="0.2">
      <c r="B34" s="107" t="s">
        <v>83</v>
      </c>
      <c r="C34" s="32"/>
      <c r="D34" s="32"/>
      <c r="E34" s="33"/>
      <c r="L34" s="49"/>
      <c r="M34" s="49"/>
      <c r="N34" s="49"/>
      <c r="O34" s="49"/>
      <c r="P34" s="49"/>
      <c r="Q34" s="49"/>
      <c r="R34" s="49"/>
      <c r="S34" s="49"/>
      <c r="T34" s="49"/>
      <c r="U34" s="49"/>
    </row>
    <row r="35" spans="2:21" x14ac:dyDescent="0.2">
      <c r="B35" s="31"/>
      <c r="C35" s="143" t="s">
        <v>82</v>
      </c>
      <c r="D35" s="143"/>
      <c r="E35" s="144"/>
      <c r="L35" s="49"/>
      <c r="M35" s="49"/>
      <c r="N35" s="49"/>
      <c r="O35" s="49"/>
      <c r="P35" s="49"/>
      <c r="Q35" s="49"/>
      <c r="R35" s="49"/>
      <c r="S35" s="49"/>
      <c r="T35" s="49"/>
      <c r="U35" s="49"/>
    </row>
    <row r="36" spans="2:21" x14ac:dyDescent="0.2">
      <c r="B36" s="107" t="s">
        <v>84</v>
      </c>
      <c r="C36" s="28"/>
      <c r="D36" s="28"/>
      <c r="E36" s="29"/>
      <c r="L36" s="49"/>
      <c r="M36" s="49"/>
      <c r="N36" s="49"/>
      <c r="O36" s="49"/>
      <c r="P36" s="49"/>
      <c r="Q36" s="49"/>
      <c r="R36" s="49"/>
      <c r="S36" s="49"/>
      <c r="T36" s="49"/>
      <c r="U36" s="49"/>
    </row>
    <row r="37" spans="2:21" x14ac:dyDescent="0.2">
      <c r="B37" s="30"/>
      <c r="C37" s="147" t="s">
        <v>85</v>
      </c>
      <c r="D37" s="147"/>
      <c r="E37" s="147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</row>
    <row r="38" spans="2:21" ht="7.5" customHeight="1" thickBot="1" x14ac:dyDescent="0.25">
      <c r="B38" s="34"/>
      <c r="C38" s="35"/>
      <c r="D38" s="35"/>
      <c r="E38" s="36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/>
    </row>
    <row r="39" spans="2:21" x14ac:dyDescent="0.2"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</row>
    <row r="40" spans="2:21" ht="39" customHeight="1" x14ac:dyDescent="0.2">
      <c r="H40" s="49"/>
      <c r="I40" s="49"/>
      <c r="J40" s="49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</row>
    <row r="41" spans="2:21" x14ac:dyDescent="0.2"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</row>
  </sheetData>
  <mergeCells count="18">
    <mergeCell ref="A6:B6"/>
    <mergeCell ref="A7:B7"/>
    <mergeCell ref="B2:H2"/>
    <mergeCell ref="A4:B4"/>
    <mergeCell ref="C4:E4"/>
    <mergeCell ref="A5:B5"/>
    <mergeCell ref="C5:E5"/>
    <mergeCell ref="C18:E18"/>
    <mergeCell ref="C33:E33"/>
    <mergeCell ref="C35:E35"/>
    <mergeCell ref="C37:E37"/>
    <mergeCell ref="C23:E23"/>
    <mergeCell ref="C28:E28"/>
    <mergeCell ref="G23:G24"/>
    <mergeCell ref="G25:G26"/>
    <mergeCell ref="G28:G29"/>
    <mergeCell ref="G30:G31"/>
    <mergeCell ref="C31:E31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16"/>
  <sheetViews>
    <sheetView zoomScale="90" zoomScaleNormal="90" workbookViewId="0">
      <selection activeCell="O5" sqref="O5"/>
    </sheetView>
  </sheetViews>
  <sheetFormatPr baseColWidth="10" defaultColWidth="9.140625" defaultRowHeight="12.75" x14ac:dyDescent="0.2"/>
  <cols>
    <col min="1" max="1" width="5.5703125" style="2" customWidth="1"/>
    <col min="2" max="2" width="15.140625" style="2" customWidth="1"/>
    <col min="3" max="3" width="14.140625" style="2" customWidth="1"/>
    <col min="4" max="4" width="26" style="2" customWidth="1"/>
    <col min="5" max="5" width="8" style="2" customWidth="1"/>
    <col min="6" max="6" width="21.85546875" style="2" customWidth="1"/>
    <col min="7" max="7" width="18.140625" style="2" customWidth="1"/>
    <col min="8" max="8" width="9.28515625" style="2" customWidth="1"/>
    <col min="9" max="9" width="15.5703125" style="2" customWidth="1"/>
    <col min="10" max="10" width="14.7109375" style="2" customWidth="1"/>
    <col min="11" max="11" width="13" style="2" customWidth="1"/>
    <col min="12" max="14" width="5.85546875" style="2" customWidth="1"/>
    <col min="15" max="15" width="12.5703125" style="2" customWidth="1"/>
    <col min="16" max="1024" width="9.140625" style="2"/>
  </cols>
  <sheetData>
    <row r="1" spans="1:11" ht="18" customHeight="1" x14ac:dyDescent="0.2">
      <c r="A1" s="157" t="s">
        <v>17</v>
      </c>
      <c r="B1" s="157"/>
      <c r="C1" s="157"/>
      <c r="D1" s="157"/>
      <c r="E1" s="157"/>
      <c r="F1" s="157"/>
      <c r="G1" s="157"/>
      <c r="H1" s="157"/>
      <c r="I1" s="157"/>
      <c r="J1" s="3" t="s">
        <v>18</v>
      </c>
      <c r="K1" s="141" t="s">
        <v>86</v>
      </c>
    </row>
    <row r="2" spans="1:11" ht="18.75" customHeight="1" thickBot="1" x14ac:dyDescent="0.25">
      <c r="A2" s="4"/>
      <c r="B2" s="4"/>
      <c r="C2" s="4"/>
      <c r="D2" s="5"/>
      <c r="E2" s="5"/>
      <c r="F2" s="5"/>
      <c r="G2" s="5"/>
      <c r="H2" s="5"/>
      <c r="I2" s="5"/>
      <c r="J2" s="5"/>
      <c r="K2" s="5"/>
    </row>
    <row r="3" spans="1:11" ht="18.75" customHeight="1" thickBot="1" x14ac:dyDescent="0.25">
      <c r="A3" s="158" t="s">
        <v>52</v>
      </c>
      <c r="B3" s="158"/>
      <c r="C3" s="158"/>
      <c r="D3" s="162" t="s">
        <v>56</v>
      </c>
      <c r="E3" s="162"/>
      <c r="F3" s="162"/>
      <c r="G3" s="162"/>
      <c r="H3" s="162"/>
      <c r="I3" s="162"/>
      <c r="J3" s="162"/>
      <c r="K3" s="162"/>
    </row>
    <row r="4" spans="1:11" ht="18.75" customHeight="1" thickBot="1" x14ac:dyDescent="0.25">
      <c r="A4" s="160" t="s">
        <v>53</v>
      </c>
      <c r="B4" s="160"/>
      <c r="C4" s="160"/>
      <c r="D4" s="162" t="s">
        <v>69</v>
      </c>
      <c r="E4" s="162"/>
      <c r="F4" s="162"/>
      <c r="G4" s="162"/>
      <c r="H4" s="162"/>
      <c r="I4" s="162"/>
      <c r="J4" s="162"/>
      <c r="K4" s="162"/>
    </row>
    <row r="5" spans="1:11" ht="18.75" customHeight="1" thickBot="1" x14ac:dyDescent="0.25">
      <c r="A5" s="160" t="s">
        <v>31</v>
      </c>
      <c r="B5" s="160"/>
      <c r="C5" s="160"/>
      <c r="D5" s="162" t="s">
        <v>56</v>
      </c>
      <c r="E5" s="162"/>
      <c r="F5" s="162"/>
      <c r="G5" s="162"/>
      <c r="H5" s="162"/>
      <c r="I5" s="162"/>
      <c r="J5" s="162"/>
      <c r="K5" s="162"/>
    </row>
    <row r="6" spans="1:11" ht="16.5" customHeight="1" thickBot="1" x14ac:dyDescent="0.25">
      <c r="A6" s="158" t="s">
        <v>54</v>
      </c>
      <c r="B6" s="158"/>
      <c r="C6" s="158"/>
      <c r="D6" s="159" t="s">
        <v>56</v>
      </c>
      <c r="E6" s="159"/>
      <c r="F6" s="159"/>
      <c r="G6" s="159"/>
      <c r="H6" s="159"/>
      <c r="I6" s="159"/>
      <c r="J6" s="159"/>
      <c r="K6" s="159"/>
    </row>
    <row r="7" spans="1:11" ht="16.5" customHeight="1" thickBot="1" x14ac:dyDescent="0.25">
      <c r="A7" s="160" t="s">
        <v>19</v>
      </c>
      <c r="B7" s="160"/>
      <c r="C7" s="160"/>
      <c r="D7" s="161" t="str">
        <f>'Necesidades Trimestrales'!C7 &amp; "° Trimestre - Año " &amp; 'Necesidades Trimestrales'!C6</f>
        <v>4° Trimestre - Año 2020</v>
      </c>
      <c r="E7" s="161"/>
      <c r="F7" s="161"/>
      <c r="G7" s="161"/>
      <c r="H7" s="161"/>
      <c r="I7" s="161"/>
      <c r="J7" s="161"/>
      <c r="K7" s="161"/>
    </row>
    <row r="8" spans="1:11" ht="16.5" customHeight="1" x14ac:dyDescent="0.2">
      <c r="A8" s="163" t="s">
        <v>20</v>
      </c>
      <c r="B8" s="164"/>
      <c r="C8" s="165"/>
      <c r="D8" s="151" t="s">
        <v>92</v>
      </c>
      <c r="E8" s="152"/>
      <c r="F8" s="152"/>
      <c r="G8" s="152"/>
      <c r="H8" s="152"/>
      <c r="I8" s="152"/>
      <c r="J8" s="152"/>
      <c r="K8" s="153"/>
    </row>
    <row r="9" spans="1:11" ht="16.5" customHeight="1" thickBot="1" x14ac:dyDescent="0.25">
      <c r="A9" s="166"/>
      <c r="B9" s="167"/>
      <c r="C9" s="168"/>
      <c r="D9" s="154"/>
      <c r="E9" s="155"/>
      <c r="F9" s="155"/>
      <c r="G9" s="155"/>
      <c r="H9" s="155"/>
      <c r="I9" s="155"/>
      <c r="J9" s="155"/>
      <c r="K9" s="156"/>
    </row>
    <row r="10" spans="1:11" ht="16.5" thickBot="1" x14ac:dyDescent="0.25">
      <c r="A10" s="6"/>
      <c r="B10" s="6"/>
      <c r="C10" s="6"/>
      <c r="D10" s="7"/>
      <c r="E10" s="7"/>
      <c r="F10" s="7"/>
      <c r="G10" s="7"/>
      <c r="H10" s="7"/>
      <c r="I10" s="7"/>
      <c r="J10" s="7"/>
      <c r="K10" s="7"/>
    </row>
    <row r="11" spans="1:11" ht="18.75" customHeight="1" thickBot="1" x14ac:dyDescent="0.25">
      <c r="A11" s="172" t="s">
        <v>21</v>
      </c>
      <c r="B11" s="173" t="s">
        <v>22</v>
      </c>
      <c r="C11" s="174" t="s">
        <v>23</v>
      </c>
      <c r="D11" s="175"/>
      <c r="E11" s="175"/>
      <c r="F11" s="175"/>
      <c r="G11" s="176"/>
      <c r="H11" s="173" t="s">
        <v>24</v>
      </c>
      <c r="I11" s="177" t="s">
        <v>25</v>
      </c>
      <c r="J11" s="173" t="s">
        <v>26</v>
      </c>
      <c r="K11" s="178" t="s">
        <v>27</v>
      </c>
    </row>
    <row r="12" spans="1:11" ht="24" customHeight="1" thickBot="1" x14ac:dyDescent="0.25">
      <c r="A12" s="172"/>
      <c r="B12" s="173"/>
      <c r="C12" s="174"/>
      <c r="D12" s="175"/>
      <c r="E12" s="175"/>
      <c r="F12" s="175"/>
      <c r="G12" s="176"/>
      <c r="H12" s="173"/>
      <c r="I12" s="177"/>
      <c r="J12" s="173"/>
      <c r="K12" s="178"/>
    </row>
    <row r="13" spans="1:11" ht="32.25" customHeight="1" x14ac:dyDescent="0.2">
      <c r="A13" s="108">
        <v>1</v>
      </c>
      <c r="B13" s="109" t="str">
        <f>+'Necesidades Trimestrales'!B10</f>
        <v>4.3.7-46.125</v>
      </c>
      <c r="C13" s="185" t="str">
        <f>+'Necesidades Trimestrales'!E10</f>
        <v>SILLONES EJECUTIVOS; TAPIZADO: CUERO ECOLOGICO, ALTURA: REGULABLE, GIRATORIO: SI, MATERIAL: POLIAMIDA</v>
      </c>
      <c r="D13" s="186"/>
      <c r="E13" s="186"/>
      <c r="F13" s="186"/>
      <c r="G13" s="187"/>
      <c r="H13" s="110" t="s">
        <v>28</v>
      </c>
      <c r="I13" s="111" t="str">
        <f>+'Necesidades Trimestrales'!F10</f>
        <v>UNIDAD</v>
      </c>
      <c r="J13" s="131">
        <f>+'Necesidades Trimestrales'!H10</f>
        <v>34421.5</v>
      </c>
      <c r="K13" s="112">
        <f>+'Necesidades Trimestrales'!G10</f>
        <v>1</v>
      </c>
    </row>
    <row r="14" spans="1:11" ht="32.25" customHeight="1" x14ac:dyDescent="0.2">
      <c r="A14" s="113">
        <v>2</v>
      </c>
      <c r="B14" s="114" t="str">
        <f>+'Necesidades Trimestrales'!B11</f>
        <v>4.3.7-46.126</v>
      </c>
      <c r="C14" s="182" t="str">
        <f>+'Necesidades Trimestrales'!E11</f>
        <v>SILLONES EJECUTIVOS; TAPIZADO: TELA ECOLOGICA, ALTURA: REGULABLE, GIRATORIO: SI, MATERIAL: POLIAMIDA</v>
      </c>
      <c r="D14" s="183"/>
      <c r="E14" s="183"/>
      <c r="F14" s="183"/>
      <c r="G14" s="184"/>
      <c r="H14" s="115" t="s">
        <v>28</v>
      </c>
      <c r="I14" s="116" t="str">
        <f>+'Necesidades Trimestrales'!F11</f>
        <v>UNIDAD</v>
      </c>
      <c r="J14" s="132">
        <f>+'Necesidades Trimestrales'!H11</f>
        <v>16699</v>
      </c>
      <c r="K14" s="117">
        <f>+'Necesidades Trimestrales'!G11</f>
        <v>35</v>
      </c>
    </row>
    <row r="15" spans="1:11" ht="32.25" customHeight="1" thickBot="1" x14ac:dyDescent="0.25">
      <c r="A15" s="118">
        <v>3</v>
      </c>
      <c r="B15" s="119" t="str">
        <f>+'Necesidades Trimestrales'!B12</f>
        <v>4.3.7-9082.14</v>
      </c>
      <c r="C15" s="179" t="str">
        <f>+'Necesidades Trimestrales'!E12</f>
        <v>MUEBLES A MEDIDA; MATERIAL ESTRUCTURA: METAL, TERMINACION: PINTURA EPOXI</v>
      </c>
      <c r="D15" s="180"/>
      <c r="E15" s="180"/>
      <c r="F15" s="180"/>
      <c r="G15" s="181"/>
      <c r="H15" s="120" t="s">
        <v>28</v>
      </c>
      <c r="I15" s="121" t="str">
        <f>+'Necesidades Trimestrales'!F12</f>
        <v>UNIDAD</v>
      </c>
      <c r="J15" s="133">
        <f>+'Necesidades Trimestrales'!H12</f>
        <v>18150</v>
      </c>
      <c r="K15" s="122">
        <f>+'Necesidades Trimestrales'!G12</f>
        <v>20</v>
      </c>
    </row>
    <row r="16" spans="1:11" ht="20.25" customHeight="1" thickBot="1" x14ac:dyDescent="0.25">
      <c r="A16" s="169" t="s">
        <v>79</v>
      </c>
      <c r="B16" s="169"/>
      <c r="C16" s="169"/>
      <c r="D16" s="169"/>
      <c r="E16" s="169"/>
      <c r="F16" s="169"/>
      <c r="G16" s="169"/>
      <c r="H16" s="169"/>
      <c r="I16" s="169"/>
      <c r="J16" s="170">
        <f>'Necesidades Trimestrales'!I13</f>
        <v>981886.5</v>
      </c>
      <c r="K16" s="171"/>
    </row>
  </sheetData>
  <mergeCells count="25">
    <mergeCell ref="A16:I16"/>
    <mergeCell ref="J16:K16"/>
    <mergeCell ref="A11:A12"/>
    <mergeCell ref="B11:B12"/>
    <mergeCell ref="C11:G12"/>
    <mergeCell ref="H11:H12"/>
    <mergeCell ref="I11:I12"/>
    <mergeCell ref="J11:J12"/>
    <mergeCell ref="K11:K12"/>
    <mergeCell ref="C15:G15"/>
    <mergeCell ref="C14:G14"/>
    <mergeCell ref="C13:G13"/>
    <mergeCell ref="D8:K9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A8:C9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27"/>
  <sheetViews>
    <sheetView zoomScale="130" zoomScaleNormal="130" workbookViewId="0">
      <selection activeCell="O9" sqref="O9"/>
    </sheetView>
  </sheetViews>
  <sheetFormatPr baseColWidth="10" defaultColWidth="11" defaultRowHeight="12.75" x14ac:dyDescent="0.2"/>
  <cols>
    <col min="1" max="5" width="4.42578125" customWidth="1"/>
    <col min="6" max="6" width="6.140625" customWidth="1"/>
    <col min="7" max="7" width="4.42578125" style="8" customWidth="1"/>
    <col min="8" max="14" width="4.42578125" customWidth="1"/>
    <col min="15" max="15" width="13.140625" style="67" customWidth="1"/>
    <col min="16" max="16" width="13" style="67" customWidth="1"/>
    <col min="17" max="17" width="16.28515625" style="73" customWidth="1"/>
  </cols>
  <sheetData>
    <row r="1" spans="1:17" ht="15.75" customHeight="1" x14ac:dyDescent="0.25">
      <c r="A1" s="190" t="s">
        <v>3</v>
      </c>
      <c r="B1" s="190"/>
      <c r="C1" s="190"/>
      <c r="D1" s="191">
        <f>'Necesidades Trimestrales'!C6</f>
        <v>2020</v>
      </c>
      <c r="E1" s="191"/>
      <c r="F1" s="9"/>
      <c r="G1" s="9"/>
      <c r="H1" s="10"/>
      <c r="I1" s="10"/>
      <c r="J1" s="10"/>
      <c r="K1" s="10"/>
      <c r="L1" s="10"/>
      <c r="M1" s="10"/>
      <c r="N1" s="10"/>
      <c r="P1" s="192" t="s">
        <v>29</v>
      </c>
      <c r="Q1" s="192"/>
    </row>
    <row r="2" spans="1:17" ht="15.75" customHeight="1" x14ac:dyDescent="0.2">
      <c r="H2" s="10"/>
      <c r="I2" s="10"/>
      <c r="J2" s="10"/>
      <c r="K2" s="10"/>
      <c r="L2" s="10"/>
      <c r="M2" s="10"/>
      <c r="N2" s="10"/>
      <c r="P2" s="192"/>
      <c r="Q2" s="192"/>
    </row>
    <row r="4" spans="1:17" s="11" customFormat="1" ht="18" customHeight="1" thickBot="1" x14ac:dyDescent="0.25">
      <c r="A4" s="193" t="s">
        <v>30</v>
      </c>
      <c r="B4" s="193"/>
      <c r="C4" s="193"/>
      <c r="D4" s="193"/>
      <c r="E4" s="193"/>
      <c r="F4" s="193"/>
      <c r="G4" s="194" t="str">
        <f>' NotaPedido'!D3</f>
        <v>Ministerio de Seguridad</v>
      </c>
      <c r="H4" s="194"/>
      <c r="I4" s="194"/>
      <c r="J4" s="194"/>
      <c r="K4" s="194"/>
      <c r="L4" s="194"/>
      <c r="M4" s="194"/>
      <c r="N4" s="194"/>
      <c r="O4" s="194"/>
      <c r="P4" s="194"/>
      <c r="Q4" s="194"/>
    </row>
    <row r="5" spans="1:17" s="11" customFormat="1" ht="18" customHeight="1" thickBot="1" x14ac:dyDescent="0.25">
      <c r="A5" s="195" t="s">
        <v>53</v>
      </c>
      <c r="B5" s="196"/>
      <c r="C5" s="196"/>
      <c r="D5" s="196"/>
      <c r="E5" s="196"/>
      <c r="F5" s="197"/>
      <c r="G5" s="198" t="str">
        <f>' NotaPedido'!D4</f>
        <v>19- DIRECCION PROVINCIAL DE ADMINISTRACION Y RRHH-MINISTERIO DE SEGURIDAD</v>
      </c>
      <c r="H5" s="198"/>
      <c r="I5" s="198"/>
      <c r="J5" s="198"/>
      <c r="K5" s="198"/>
      <c r="L5" s="198"/>
      <c r="M5" s="198"/>
      <c r="N5" s="198"/>
      <c r="O5" s="198"/>
      <c r="P5" s="198"/>
      <c r="Q5" s="198"/>
    </row>
    <row r="6" spans="1:17" s="11" customFormat="1" ht="18" customHeight="1" thickBot="1" x14ac:dyDescent="0.25">
      <c r="A6" s="195" t="s">
        <v>31</v>
      </c>
      <c r="B6" s="196"/>
      <c r="C6" s="196"/>
      <c r="D6" s="196"/>
      <c r="E6" s="196"/>
      <c r="F6" s="197"/>
      <c r="G6" s="194" t="str">
        <f>' NotaPedido'!D5</f>
        <v>Ministerio de Seguridad</v>
      </c>
      <c r="H6" s="194"/>
      <c r="I6" s="194"/>
      <c r="J6" s="194"/>
      <c r="K6" s="194"/>
      <c r="L6" s="194"/>
      <c r="M6" s="194"/>
      <c r="N6" s="194"/>
      <c r="O6" s="194"/>
      <c r="P6" s="194"/>
      <c r="Q6" s="194"/>
    </row>
    <row r="7" spans="1:17" s="11" customFormat="1" ht="18" customHeight="1" thickBot="1" x14ac:dyDescent="0.25">
      <c r="A7" s="202" t="s">
        <v>54</v>
      </c>
      <c r="B7" s="203"/>
      <c r="C7" s="203"/>
      <c r="D7" s="203"/>
      <c r="E7" s="203"/>
      <c r="F7" s="204"/>
      <c r="G7" s="205" t="str">
        <f>' NotaPedido'!D6</f>
        <v>Ministerio de Seguridad</v>
      </c>
      <c r="H7" s="205"/>
      <c r="I7" s="205"/>
      <c r="J7" s="205"/>
      <c r="K7" s="205"/>
      <c r="L7" s="205"/>
      <c r="M7" s="205"/>
      <c r="N7" s="205"/>
      <c r="O7" s="205"/>
      <c r="P7" s="205"/>
      <c r="Q7" s="205"/>
    </row>
    <row r="8" spans="1:17" ht="18" customHeight="1" thickBot="1" x14ac:dyDescent="0.25">
      <c r="A8" s="199" t="s">
        <v>32</v>
      </c>
      <c r="B8" s="200"/>
      <c r="C8" s="200"/>
      <c r="D8" s="200"/>
      <c r="E8" s="200"/>
      <c r="F8" s="200"/>
      <c r="G8" s="200"/>
      <c r="H8" s="200"/>
      <c r="I8" s="200"/>
      <c r="J8" s="200"/>
      <c r="K8" s="200"/>
      <c r="L8" s="200"/>
      <c r="M8" s="200"/>
      <c r="N8" s="200"/>
      <c r="O8" s="200"/>
      <c r="P8" s="200"/>
      <c r="Q8" s="201"/>
    </row>
    <row r="9" spans="1:17" ht="18" customHeight="1" x14ac:dyDescent="0.2">
      <c r="A9" s="206" t="s">
        <v>33</v>
      </c>
      <c r="B9" s="207"/>
      <c r="C9" s="207"/>
      <c r="D9" s="207"/>
      <c r="E9" s="207"/>
      <c r="F9" s="207"/>
      <c r="G9" s="207"/>
      <c r="H9" s="207"/>
      <c r="I9" s="207"/>
      <c r="J9" s="207"/>
      <c r="K9" s="207"/>
      <c r="L9" s="207"/>
      <c r="M9" s="207"/>
      <c r="N9" s="207"/>
      <c r="O9" s="68"/>
      <c r="P9" s="68"/>
      <c r="Q9" s="123"/>
    </row>
    <row r="10" spans="1:17" ht="54.75" customHeight="1" x14ac:dyDescent="0.2">
      <c r="A10" s="208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04/2020,  afectando la erogación resultante a los créditos presupuestarios aprobados a favor de esta Unidad Ejecutora, conforme al siguiente detalle:</v>
      </c>
      <c r="B10" s="209"/>
      <c r="C10" s="209"/>
      <c r="D10" s="209"/>
      <c r="E10" s="209"/>
      <c r="F10" s="209"/>
      <c r="G10" s="209"/>
      <c r="H10" s="209"/>
      <c r="I10" s="209"/>
      <c r="J10" s="209"/>
      <c r="K10" s="209"/>
      <c r="L10" s="209"/>
      <c r="M10" s="209"/>
      <c r="N10" s="209"/>
      <c r="O10" s="209"/>
      <c r="P10" s="209"/>
      <c r="Q10" s="210"/>
    </row>
    <row r="11" spans="1:17" ht="9" customHeight="1" thickBot="1" x14ac:dyDescent="0.25">
      <c r="A11" s="124"/>
      <c r="B11" s="12"/>
      <c r="C11" s="12"/>
      <c r="D11" s="12"/>
      <c r="E11" s="12"/>
      <c r="F11" s="12"/>
      <c r="G11" s="13"/>
      <c r="H11" s="12"/>
      <c r="I11" s="12"/>
      <c r="J11" s="12"/>
      <c r="K11" s="12"/>
      <c r="L11" s="12"/>
      <c r="M11" s="12"/>
      <c r="N11" s="12"/>
      <c r="O11" s="69"/>
      <c r="P11" s="69"/>
      <c r="Q11" s="125"/>
    </row>
    <row r="12" spans="1:17" ht="15.75" customHeight="1" thickBot="1" x14ac:dyDescent="0.25">
      <c r="A12" s="211" t="s">
        <v>34</v>
      </c>
      <c r="B12" s="212"/>
      <c r="C12" s="212"/>
      <c r="D12" s="212"/>
      <c r="E12" s="212"/>
      <c r="F12" s="212"/>
      <c r="G12" s="212"/>
      <c r="H12" s="212"/>
      <c r="I12" s="212"/>
      <c r="J12" s="212"/>
      <c r="K12" s="212"/>
      <c r="L12" s="212"/>
      <c r="M12" s="212"/>
      <c r="N12" s="212"/>
      <c r="O12" s="212"/>
      <c r="P12" s="212"/>
      <c r="Q12" s="213"/>
    </row>
    <row r="13" spans="1:17" ht="15.75" customHeight="1" thickBot="1" x14ac:dyDescent="0.25">
      <c r="A13" s="214" t="s">
        <v>35</v>
      </c>
      <c r="B13" s="215"/>
      <c r="C13" s="215"/>
      <c r="D13" s="215"/>
      <c r="E13" s="215"/>
      <c r="F13" s="215"/>
      <c r="G13" s="215"/>
      <c r="H13" s="215"/>
      <c r="I13" s="215"/>
      <c r="J13" s="215"/>
      <c r="K13" s="215"/>
      <c r="L13" s="215"/>
      <c r="M13" s="215"/>
      <c r="N13" s="215"/>
      <c r="O13" s="216" t="s">
        <v>36</v>
      </c>
      <c r="P13" s="216"/>
      <c r="Q13" s="218" t="s">
        <v>37</v>
      </c>
    </row>
    <row r="14" spans="1:17" ht="15.75" customHeight="1" thickBot="1" x14ac:dyDescent="0.25">
      <c r="A14" s="62" t="s">
        <v>38</v>
      </c>
      <c r="B14" s="63" t="s">
        <v>39</v>
      </c>
      <c r="C14" s="63" t="s">
        <v>40</v>
      </c>
      <c r="D14" s="63" t="s">
        <v>41</v>
      </c>
      <c r="E14" s="63" t="s">
        <v>42</v>
      </c>
      <c r="F14" s="63" t="s">
        <v>43</v>
      </c>
      <c r="G14" s="64" t="s">
        <v>44</v>
      </c>
      <c r="H14" s="63" t="s">
        <v>45</v>
      </c>
      <c r="I14" s="63" t="s">
        <v>46</v>
      </c>
      <c r="J14" s="63" t="s">
        <v>47</v>
      </c>
      <c r="K14" s="63" t="s">
        <v>47</v>
      </c>
      <c r="L14" s="63" t="s">
        <v>48</v>
      </c>
      <c r="M14" s="65" t="s">
        <v>49</v>
      </c>
      <c r="N14" s="66" t="s">
        <v>50</v>
      </c>
      <c r="O14" s="217"/>
      <c r="P14" s="217"/>
      <c r="Q14" s="219"/>
    </row>
    <row r="15" spans="1:17" ht="17.25" customHeight="1" x14ac:dyDescent="0.2">
      <c r="A15" s="126">
        <v>1</v>
      </c>
      <c r="B15" s="60">
        <v>0</v>
      </c>
      <c r="C15" s="60">
        <v>0</v>
      </c>
      <c r="D15" s="60">
        <v>1</v>
      </c>
      <c r="E15" s="60">
        <v>0</v>
      </c>
      <c r="F15" s="60">
        <v>4901</v>
      </c>
      <c r="G15" s="60">
        <v>2</v>
      </c>
      <c r="H15" s="60">
        <v>1</v>
      </c>
      <c r="I15" s="60" t="s">
        <v>87</v>
      </c>
      <c r="J15" s="60" t="s">
        <v>88</v>
      </c>
      <c r="K15" s="60">
        <v>7</v>
      </c>
      <c r="L15" s="60">
        <v>0</v>
      </c>
      <c r="M15" s="60">
        <v>1</v>
      </c>
      <c r="N15" s="61" t="s">
        <v>89</v>
      </c>
      <c r="O15" s="220" t="s">
        <v>90</v>
      </c>
      <c r="P15" s="221"/>
      <c r="Q15" s="134">
        <f>'Necesidades Trimestrales'!I13</f>
        <v>981886.5</v>
      </c>
    </row>
    <row r="16" spans="1:17" ht="17.25" customHeight="1" thickBot="1" x14ac:dyDescent="0.25">
      <c r="A16" s="127"/>
      <c r="B16" s="57"/>
      <c r="C16" s="57"/>
      <c r="D16" s="59"/>
      <c r="E16" s="57"/>
      <c r="F16" s="59"/>
      <c r="G16" s="59"/>
      <c r="H16" s="59"/>
      <c r="I16" s="59"/>
      <c r="J16" s="59"/>
      <c r="K16" s="59"/>
      <c r="L16" s="59"/>
      <c r="M16" s="59"/>
      <c r="N16" s="58"/>
      <c r="O16" s="222"/>
      <c r="P16" s="223"/>
      <c r="Q16" s="135"/>
    </row>
    <row r="17" spans="1:34" ht="17.25" customHeight="1" thickTop="1" x14ac:dyDescent="0.2">
      <c r="A17" s="127"/>
      <c r="B17" s="57"/>
      <c r="C17" s="57"/>
      <c r="D17" s="59"/>
      <c r="E17" s="57"/>
      <c r="F17" s="59"/>
      <c r="G17" s="59"/>
      <c r="H17" s="59"/>
      <c r="I17" s="59"/>
      <c r="J17" s="59"/>
      <c r="K17" s="59"/>
      <c r="L17" s="59"/>
      <c r="M17" s="59"/>
      <c r="N17" s="58"/>
      <c r="O17" s="222"/>
      <c r="P17" s="223"/>
      <c r="Q17" s="135"/>
      <c r="Y17" s="22" t="s">
        <v>5</v>
      </c>
      <c r="Z17" s="22" t="s">
        <v>6</v>
      </c>
      <c r="AA17" s="22" t="s">
        <v>7</v>
      </c>
      <c r="AB17" s="22" t="s">
        <v>8</v>
      </c>
      <c r="AC17" s="22" t="s">
        <v>9</v>
      </c>
      <c r="AD17" s="22" t="s">
        <v>10</v>
      </c>
      <c r="AE17" s="22" t="s">
        <v>11</v>
      </c>
      <c r="AF17" s="22" t="s">
        <v>12</v>
      </c>
      <c r="AG17" s="22" t="s">
        <v>13</v>
      </c>
      <c r="AH17" s="19"/>
    </row>
    <row r="18" spans="1:34" ht="17.25" customHeight="1" x14ac:dyDescent="0.2">
      <c r="A18" s="127"/>
      <c r="B18" s="57"/>
      <c r="C18" s="57"/>
      <c r="D18" s="59"/>
      <c r="E18" s="57"/>
      <c r="F18" s="59"/>
      <c r="G18" s="59"/>
      <c r="H18" s="59"/>
      <c r="I18" s="59"/>
      <c r="J18" s="59"/>
      <c r="K18" s="59"/>
      <c r="L18" s="59"/>
      <c r="M18" s="59"/>
      <c r="N18" s="58"/>
      <c r="O18" s="222"/>
      <c r="P18" s="223"/>
      <c r="Q18" s="135"/>
      <c r="Y18" s="40">
        <v>1</v>
      </c>
      <c r="Z18" s="41" t="s">
        <v>61</v>
      </c>
      <c r="AA18" s="41" t="s">
        <v>58</v>
      </c>
      <c r="AB18" s="39"/>
      <c r="AC18" s="41" t="s">
        <v>62</v>
      </c>
      <c r="AD18" s="42" t="s">
        <v>57</v>
      </c>
      <c r="AE18" s="42">
        <v>18426</v>
      </c>
      <c r="AF18" s="43">
        <v>65.12</v>
      </c>
      <c r="AG18" s="43">
        <f>AF18*AE18</f>
        <v>1199901.1200000001</v>
      </c>
      <c r="AH18" s="19"/>
    </row>
    <row r="19" spans="1:34" ht="17.25" customHeight="1" thickBot="1" x14ac:dyDescent="0.25">
      <c r="A19" s="127"/>
      <c r="B19" s="57"/>
      <c r="C19" s="57"/>
      <c r="D19" s="59"/>
      <c r="E19" s="57"/>
      <c r="F19" s="59"/>
      <c r="G19" s="59"/>
      <c r="H19" s="59"/>
      <c r="I19" s="59"/>
      <c r="J19" s="59"/>
      <c r="K19" s="59"/>
      <c r="L19" s="59"/>
      <c r="M19" s="59"/>
      <c r="N19" s="58"/>
      <c r="O19" s="222"/>
      <c r="P19" s="223"/>
      <c r="Q19" s="135"/>
      <c r="Y19" s="40">
        <v>2</v>
      </c>
      <c r="Z19" s="41" t="s">
        <v>59</v>
      </c>
      <c r="AA19" s="41" t="s">
        <v>58</v>
      </c>
      <c r="AB19" s="39"/>
      <c r="AC19" s="41" t="s">
        <v>60</v>
      </c>
      <c r="AD19" s="23" t="s">
        <v>57</v>
      </c>
      <c r="AE19" s="23">
        <v>29825</v>
      </c>
      <c r="AF19" s="43">
        <v>60.35</v>
      </c>
      <c r="AG19" s="44">
        <f>AE19*AF19</f>
        <v>1799938.75</v>
      </c>
      <c r="AH19" s="19"/>
    </row>
    <row r="20" spans="1:34" ht="17.25" customHeight="1" thickBot="1" x14ac:dyDescent="0.25">
      <c r="A20" s="128"/>
      <c r="B20" s="70"/>
      <c r="C20" s="70"/>
      <c r="D20" s="70"/>
      <c r="E20" s="70"/>
      <c r="F20" s="70"/>
      <c r="G20" s="70"/>
      <c r="H20" s="70"/>
      <c r="I20" s="70"/>
      <c r="J20" s="70"/>
      <c r="K20" s="70"/>
      <c r="L20" s="70"/>
      <c r="M20" s="14"/>
      <c r="N20" s="70"/>
      <c r="O20" s="229"/>
      <c r="P20" s="229"/>
      <c r="Q20" s="136"/>
      <c r="Y20" s="188" t="s">
        <v>55</v>
      </c>
      <c r="Z20" s="189"/>
      <c r="AA20" s="189"/>
      <c r="AB20" s="189"/>
      <c r="AC20" s="189"/>
      <c r="AD20" s="189"/>
      <c r="AE20" s="189"/>
      <c r="AF20" s="45"/>
      <c r="AG20" s="46">
        <f>SUM(AG18:AG19)</f>
        <v>2999839.87</v>
      </c>
      <c r="AH20" s="19"/>
    </row>
    <row r="21" spans="1:34" ht="17.25" customHeight="1" thickBot="1" x14ac:dyDescent="0.25">
      <c r="A21" s="129"/>
      <c r="B21" s="15"/>
      <c r="C21" s="15"/>
      <c r="D21" s="15"/>
      <c r="E21" s="15"/>
      <c r="F21" s="71"/>
      <c r="G21" s="15"/>
      <c r="H21" s="15"/>
      <c r="I21" s="15"/>
      <c r="J21" s="15"/>
      <c r="K21" s="15"/>
      <c r="L21" s="15"/>
      <c r="M21" s="16"/>
      <c r="N21" s="17"/>
      <c r="O21" s="230"/>
      <c r="P21" s="230"/>
      <c r="Q21" s="137"/>
      <c r="R21" s="1"/>
      <c r="Y21" s="19"/>
      <c r="Z21" s="19"/>
      <c r="AA21" s="19"/>
      <c r="AB21" s="19"/>
      <c r="AC21" s="19"/>
      <c r="AD21" s="19"/>
      <c r="AE21" s="19"/>
      <c r="AF21" s="19"/>
      <c r="AG21" s="19"/>
      <c r="AH21" s="19"/>
    </row>
    <row r="22" spans="1:34" ht="17.25" customHeight="1" thickBot="1" x14ac:dyDescent="0.25">
      <c r="A22" s="130"/>
      <c r="B22" s="72"/>
      <c r="C22" s="72"/>
      <c r="D22" s="72"/>
      <c r="E22" s="72"/>
      <c r="F22" s="72"/>
      <c r="G22" s="72"/>
      <c r="H22" s="72"/>
      <c r="I22" s="72"/>
      <c r="J22" s="72"/>
      <c r="K22" s="72"/>
      <c r="L22" s="72"/>
      <c r="M22" s="18"/>
      <c r="N22" s="72"/>
      <c r="O22" s="231"/>
      <c r="P22" s="231"/>
      <c r="Q22" s="138"/>
      <c r="Y22" s="19"/>
      <c r="Z22" s="24" t="s">
        <v>14</v>
      </c>
      <c r="AA22" s="25"/>
      <c r="AB22" s="25"/>
      <c r="AC22" s="26"/>
      <c r="AD22" s="19"/>
      <c r="AE22" s="19"/>
      <c r="AF22" s="19"/>
      <c r="AG22" s="19"/>
      <c r="AH22" s="19"/>
    </row>
    <row r="23" spans="1:34" ht="33.75" customHeight="1" thickBot="1" x14ac:dyDescent="0.25">
      <c r="A23" s="232" t="s">
        <v>91</v>
      </c>
      <c r="B23" s="233"/>
      <c r="C23" s="233"/>
      <c r="D23" s="233"/>
      <c r="E23" s="233"/>
      <c r="F23" s="233"/>
      <c r="G23" s="233"/>
      <c r="H23" s="233"/>
      <c r="I23" s="233"/>
      <c r="J23" s="233"/>
      <c r="K23" s="233"/>
      <c r="L23" s="233"/>
      <c r="M23" s="233"/>
      <c r="N23" s="233"/>
      <c r="O23" s="233"/>
      <c r="P23" s="234"/>
      <c r="Q23" s="139">
        <f>SUM(Q15:Q19)</f>
        <v>981886.5</v>
      </c>
    </row>
    <row r="24" spans="1:34" ht="18" customHeight="1" thickBot="1" x14ac:dyDescent="0.25">
      <c r="A24" s="235"/>
      <c r="B24" s="235"/>
      <c r="C24" s="235"/>
      <c r="D24" s="235"/>
      <c r="E24" s="235"/>
      <c r="F24" s="235"/>
      <c r="G24" s="235"/>
      <c r="H24" s="235"/>
      <c r="I24" s="235"/>
      <c r="J24" s="235"/>
      <c r="K24" s="235"/>
      <c r="L24" s="235"/>
      <c r="M24" s="235"/>
      <c r="N24" s="235"/>
      <c r="O24" s="235"/>
      <c r="P24" s="235"/>
      <c r="Q24" s="235"/>
    </row>
    <row r="25" spans="1:34" ht="17.25" customHeight="1" thickBot="1" x14ac:dyDescent="0.25">
      <c r="A25" s="224" t="s">
        <v>51</v>
      </c>
      <c r="B25" s="225"/>
      <c r="C25" s="225"/>
      <c r="D25" s="225"/>
      <c r="E25" s="225"/>
      <c r="F25" s="226"/>
      <c r="G25" s="227"/>
      <c r="H25" s="227"/>
      <c r="I25" s="227"/>
      <c r="J25" s="227"/>
      <c r="K25" s="227"/>
      <c r="L25" s="227"/>
      <c r="M25" s="227"/>
      <c r="N25" s="227"/>
      <c r="O25" s="227"/>
      <c r="P25" s="227"/>
      <c r="Q25" s="227"/>
    </row>
    <row r="26" spans="1:34" ht="18" customHeight="1" thickBot="1" x14ac:dyDescent="0.25">
      <c r="A26" s="228" t="s">
        <v>93</v>
      </c>
      <c r="B26" s="228"/>
      <c r="C26" s="228"/>
      <c r="D26" s="228"/>
      <c r="E26" s="228"/>
      <c r="F26" s="228"/>
      <c r="G26" s="228"/>
      <c r="H26" s="228"/>
      <c r="I26" s="228"/>
      <c r="J26" s="228"/>
      <c r="K26" s="228"/>
      <c r="L26" s="228"/>
      <c r="M26" s="228"/>
      <c r="N26" s="228"/>
      <c r="O26" s="228"/>
      <c r="P26" s="228"/>
      <c r="Q26" s="228"/>
    </row>
    <row r="27" spans="1:34" ht="15" customHeight="1" x14ac:dyDescent="0.2">
      <c r="A27" s="228"/>
      <c r="B27" s="228"/>
      <c r="C27" s="228"/>
      <c r="D27" s="228"/>
      <c r="E27" s="228"/>
      <c r="F27" s="228"/>
      <c r="G27" s="228"/>
      <c r="H27" s="228"/>
      <c r="I27" s="228"/>
      <c r="J27" s="228"/>
      <c r="K27" s="228"/>
      <c r="L27" s="228"/>
      <c r="M27" s="228"/>
      <c r="N27" s="228"/>
      <c r="O27" s="228"/>
      <c r="P27" s="228"/>
      <c r="Q27" s="228"/>
    </row>
  </sheetData>
  <mergeCells count="32">
    <mergeCell ref="A26:Q27"/>
    <mergeCell ref="O20:P20"/>
    <mergeCell ref="O21:P21"/>
    <mergeCell ref="O22:P22"/>
    <mergeCell ref="A23:P23"/>
    <mergeCell ref="A24:Q24"/>
    <mergeCell ref="O17:P17"/>
    <mergeCell ref="O18:P18"/>
    <mergeCell ref="O19:P19"/>
    <mergeCell ref="A25:F25"/>
    <mergeCell ref="G25:Q25"/>
    <mergeCell ref="A13:N13"/>
    <mergeCell ref="O13:P14"/>
    <mergeCell ref="Q13:Q14"/>
    <mergeCell ref="O15:P15"/>
    <mergeCell ref="O16:P16"/>
    <mergeCell ref="Y20:AE20"/>
    <mergeCell ref="A1:C1"/>
    <mergeCell ref="D1:E1"/>
    <mergeCell ref="P1:Q2"/>
    <mergeCell ref="A4:F4"/>
    <mergeCell ref="G4:Q4"/>
    <mergeCell ref="A5:F5"/>
    <mergeCell ref="G5:Q5"/>
    <mergeCell ref="A8:Q8"/>
    <mergeCell ref="A6:F6"/>
    <mergeCell ref="G6:Q6"/>
    <mergeCell ref="A7:F7"/>
    <mergeCell ref="G7:Q7"/>
    <mergeCell ref="A9:N9"/>
    <mergeCell ref="A10:Q10"/>
    <mergeCell ref="A12:Q12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 NotaPedido</vt:lpstr>
      <vt:lpstr>Autor Gastar</vt:lpstr>
      <vt:lpstr>' NotaPedido'!Área_de_impresión</vt:lpstr>
      <vt:lpstr>'Autor Gastar'!Área_de_impresión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AlyVero</dc:creator>
  <cp:lastModifiedBy>sergio</cp:lastModifiedBy>
  <cp:revision>2</cp:revision>
  <cp:lastPrinted>2020-07-17T22:18:48Z</cp:lastPrinted>
  <dcterms:created xsi:type="dcterms:W3CDTF">2020-07-17T23:44:49Z</dcterms:created>
  <dcterms:modified xsi:type="dcterms:W3CDTF">2020-10-23T13:45:30Z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