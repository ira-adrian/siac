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60" windowWidth="15600" windowHeight="11250"/>
  </bookViews>
  <sheets>
    <sheet name="Necesidades Trimestrales" sheetId="1" r:id="rId1"/>
    <sheet name="Nota Pedido" sheetId="2" r:id="rId2"/>
    <sheet name="APG" sheetId="3" r:id="rId3"/>
  </sheets>
  <definedNames>
    <definedName name="_xlnm.Print_Area" localSheetId="2">APG!$A$1:$Q$23</definedName>
    <definedName name="_xlnm.Print_Area" localSheetId="0">'Necesidades Trimestrales'!$A$2:$I$29</definedName>
    <definedName name="_xlnm.Print_Area" localSheetId="1">'Nota Pedido'!$A$1:$K$14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2" l="1"/>
  <c r="A22" i="3" l="1"/>
  <c r="I11" i="1" l="1"/>
  <c r="I15" i="1" s="1"/>
  <c r="D3" i="2"/>
  <c r="G4" i="3" s="1"/>
  <c r="D4" i="2"/>
  <c r="G5" i="3" s="1"/>
  <c r="A19" i="3"/>
  <c r="A10" i="3"/>
  <c r="G7" i="3"/>
  <c r="G6" i="3"/>
  <c r="D1" i="3"/>
  <c r="D7" i="2"/>
  <c r="J12" i="2"/>
  <c r="J14" i="2" s="1"/>
  <c r="I12" i="2"/>
  <c r="C12" i="2"/>
  <c r="B12" i="2"/>
  <c r="A12" i="2"/>
  <c r="D11" i="1"/>
  <c r="Q15" i="3" l="1"/>
  <c r="Q19" i="3" s="1"/>
</calcChain>
</file>

<file path=xl/sharedStrings.xml><?xml version="1.0" encoding="utf-8"?>
<sst xmlns="http://schemas.openxmlformats.org/spreadsheetml/2006/main" count="86" uniqueCount="79">
  <si>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</si>
  <si>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</si>
  <si>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</si>
  <si>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</si>
  <si>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</si>
  <si>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</si>
  <si>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</si>
  <si>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</si>
  <si>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</si>
  <si>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</si>
  <si>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</si>
  <si>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</si>
  <si>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</si>
  <si>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</si>
  <si>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 y Lugar de entrega:</t>
  </si>
  <si>
    <t xml:space="preserve"> </t>
  </si>
  <si>
    <t>Mantenimiento:</t>
  </si>
  <si>
    <t>Garantia:</t>
  </si>
  <si>
    <t>Especificidades Item N° 1:</t>
  </si>
  <si>
    <t>Descripción técnica:</t>
  </si>
  <si>
    <t>Calidad Minima esperada: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</si>
  <si>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</si>
  <si>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</si>
  <si>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</si>
  <si>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</si>
  <si>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</si>
  <si>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</si>
  <si>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</si>
  <si>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</si>
  <si>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</si>
  <si>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</si>
  <si>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</si>
  <si>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</si>
  <si>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</si>
  <si>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Cantidad Solicitada</t>
  </si>
  <si>
    <t>Precio Unitario Estimado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</si>
  <si>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</si>
  <si>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</si>
  <si>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</si>
  <si>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</si>
  <si>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</si>
  <si>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</si>
  <si>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</si>
  <si>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</si>
  <si>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</si>
  <si>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</si>
  <si>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</si>
  <si>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</si>
  <si>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</si>
  <si>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</si>
  <si>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</si>
  <si>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</si>
  <si>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</si>
  <si>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</si>
  <si>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</si>
  <si>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</si>
  <si>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</si>
  <si>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</si>
  <si>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</si>
  <si>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Costo total estimado: </t>
  </si>
  <si>
    <t>95 - Ministerio de Cultura, Turismo y Deporte.-</t>
  </si>
  <si>
    <t>18 - Secretaria de Administracion y Recursos Humanos.-</t>
  </si>
  <si>
    <t>Ministerio de Cultura, Turismo y Deporte</t>
  </si>
  <si>
    <t>4.3.2-147.19</t>
  </si>
  <si>
    <t>ACOPLADOS TANQUE; CAPACIDAD: 3500 L, DIAM. BOCA DESCARGA: 2 PULG, CHASIS: DESDE 4,76 MM DE ESPESOR, CANT. Y TIPO DE EJE: 1 EJE FIJO Y 1 EJE MOVIL, DIAM. RODADO: 16 PULG.</t>
  </si>
  <si>
    <t>UNIDAD</t>
  </si>
  <si>
    <t>EQUIPOS.-</t>
  </si>
  <si>
    <t>2° Trimestre</t>
  </si>
  <si>
    <t xml:space="preserve">Adquisición de acoplado tanque para el Ministerio de Cultura, Turismo y Deporte.- </t>
  </si>
  <si>
    <t xml:space="preserve">Ministerio de Cultura, Turismo y Deporte </t>
  </si>
  <si>
    <t xml:space="preserve"> UN MILLON SETENTA Y CUATRO MIL CIENTO NOVENTA Y NUEVE CON 50/100 CENTAVOS.- </t>
  </si>
  <si>
    <t>Equipo de Transporte, Tracción y Elevación.-</t>
  </si>
  <si>
    <t xml:space="preserve">El plazo de entrega no podrá ser superior a los Siete (07) días hábiles a partir de la fecha de recepción de la respectiva Orden de Compra. La entrega de dichos bienes se realizará en la Secretaría de Administracion y Recursos Humanos del Ministerio de Cultura, Turismo y Deporte, sito en Avda. Mexico S/N° - Predio Ferial Catamarca, en la ciudad de San Fernando del Valle de Catamarca de 8:00hs. a 13:00hs. debiendo correr los gastos de fletes, acarreo, carga, descarga y seguro a cargo del adjudicatario. Se presentará Remito que deberá cumplimentar lo dispuesto por la R.G. AFIP  1415/03, sin excepción. </t>
  </si>
  <si>
    <t xml:space="preserve">NUEVO SIN USO </t>
  </si>
  <si>
    <t>CUARENTA Y CINCO (45) DIAS HABILES.-</t>
  </si>
  <si>
    <t>COMO MINIMO 1 AÑO</t>
  </si>
  <si>
    <t>014/2022</t>
  </si>
  <si>
    <t>SI</t>
  </si>
  <si>
    <t>Chasis contruido en chapa SAE1010 desde 4,76mm de espesor; Pasarela delantera y trasera para desplazamiento de operarios como minimo; Tanto eje delantero como el trasero son del tipo tubular desde 2 1/2" de diametro soportados por paquetes de elasticos simples como minimo, con puntas de eje acero SAE 1045 montadas sobre ejes conicos; Tren delantero de vuelta completa como minimo, con aro giratorio a bolitas prelubricado.  Deberan presentar folletos ilustrativos, manuales, imágenes, detalle de características Técnicas y toda documentación  que estime conveniente para análisis de las ofertas.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</si>
</sst>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&quot;$&quot;\ * #,##0.00_-;\-&quot;$&quot;\ * #,##0.00_-;_-&quot;$&quot;\ * &quot;-&quot;??_-;_-@_-"/>
    <numFmt numFmtId="165" formatCode="&quot;$&quot;\ #,##0.00"/>
    <numFmt numFmtId="166" formatCode="[$$-2C0A]\ #,##0.00"/>
    <numFmt numFmtId="167" formatCode="dd\-mm\-yy;@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u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0"/>
      <name val="Arial"/>
      <family val="2"/>
    </font>
    <font>
      <b/>
      <sz val="11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1"/>
      <name val="Times New Roman"/>
      <family val="1"/>
    </font>
    <font>
      <b/>
      <u/>
      <sz val="11"/>
      <color theme="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2"/>
      <color rgb="FF000000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Times New Roman"/>
      <family val="1"/>
      <charset val="1"/>
    </font>
    <font>
      <sz val="12"/>
      <name val="Arial"/>
      <family val="2"/>
      <charset val="1"/>
    </font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u/>
      <sz val="22"/>
      <name val="Times New Roman"/>
      <family val="1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indexed="64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indexed="64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3D3D3D"/>
      </bottom>
      <diagonal/>
    </border>
    <border>
      <left/>
      <right style="medium">
        <color indexed="64"/>
      </right>
      <top/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/>
      <diagonal/>
    </border>
    <border>
      <left style="medium">
        <color rgb="FF3D3D3D"/>
      </left>
      <right/>
      <top style="medium">
        <color indexed="64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rgb="FF3D3D3D"/>
      </top>
      <bottom/>
      <diagonal/>
    </border>
    <border>
      <left style="medium">
        <color indexed="64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/>
      <top style="thin">
        <color rgb="FF3D3D3D"/>
      </top>
      <bottom/>
      <diagonal/>
    </border>
    <border>
      <left style="thin">
        <color rgb="FF3D3D3D"/>
      </left>
      <right style="medium">
        <color indexed="64"/>
      </right>
      <top style="thin">
        <color rgb="FF3D3D3D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/>
      <top style="medium">
        <color rgb="FF3D3D3D"/>
      </top>
      <bottom/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4">
    <xf numFmtId="0" fontId="0" fillId="0" borderId="0" xfId="0"/>
    <xf numFmtId="0" fontId="3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8" fillId="0" borderId="0" xfId="0" applyFont="1"/>
    <xf numFmtId="0" fontId="3" fillId="0" borderId="0" xfId="0" applyFont="1" applyFill="1" applyBorder="1"/>
    <xf numFmtId="0" fontId="6" fillId="0" borderId="0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center" wrapText="1"/>
    </xf>
    <xf numFmtId="0" fontId="8" fillId="0" borderId="14" xfId="0" applyFont="1" applyFill="1" applyBorder="1" applyAlignment="1">
      <alignment horizontal="center" vertical="center"/>
    </xf>
    <xf numFmtId="165" fontId="8" fillId="0" borderId="10" xfId="1" applyNumberFormat="1" applyFont="1" applyBorder="1" applyAlignment="1" applyProtection="1">
      <alignment horizontal="center" vertical="center" wrapText="1"/>
    </xf>
    <xf numFmtId="165" fontId="8" fillId="0" borderId="14" xfId="1" applyNumberFormat="1" applyFont="1" applyBorder="1" applyAlignment="1" applyProtection="1">
      <alignment horizontal="center" vertical="center" wrapText="1"/>
    </xf>
    <xf numFmtId="165" fontId="8" fillId="0" borderId="16" xfId="1" applyNumberFormat="1" applyFont="1" applyBorder="1" applyAlignment="1" applyProtection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29" xfId="0" applyBorder="1"/>
    <xf numFmtId="0" fontId="0" fillId="0" borderId="7" xfId="0" applyBorder="1"/>
    <xf numFmtId="0" fontId="2" fillId="0" borderId="28" xfId="0" applyFont="1" applyBorder="1"/>
    <xf numFmtId="0" fontId="2" fillId="0" borderId="7" xfId="0" applyFont="1" applyBorder="1"/>
    <xf numFmtId="0" fontId="14" fillId="0" borderId="4" xfId="0" applyFont="1" applyBorder="1"/>
    <xf numFmtId="0" fontId="14" fillId="0" borderId="28" xfId="0" applyFont="1" applyBorder="1"/>
    <xf numFmtId="0" fontId="15" fillId="0" borderId="30" xfId="0" applyFont="1" applyBorder="1" applyAlignment="1">
      <alignment horizontal="right" vertical="center"/>
    </xf>
    <xf numFmtId="0" fontId="15" fillId="0" borderId="32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9" fillId="0" borderId="7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 wrapText="1" indent="1"/>
    </xf>
    <xf numFmtId="0" fontId="16" fillId="0" borderId="9" xfId="0" applyFont="1" applyBorder="1" applyAlignment="1">
      <alignment horizontal="left" vertical="center" wrapText="1" indent="1"/>
    </xf>
    <xf numFmtId="165" fontId="13" fillId="0" borderId="25" xfId="0" applyNumberFormat="1" applyFont="1" applyFill="1" applyBorder="1" applyAlignment="1">
      <alignment horizontal="center" vertical="center"/>
    </xf>
    <xf numFmtId="0" fontId="0" fillId="0" borderId="29" xfId="0" applyBorder="1" applyAlignment="1">
      <alignment horizontal="right"/>
    </xf>
    <xf numFmtId="0" fontId="0" fillId="0" borderId="54" xfId="0" applyBorder="1"/>
    <xf numFmtId="0" fontId="0" fillId="0" borderId="32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horizontal="center"/>
    </xf>
    <xf numFmtId="0" fontId="0" fillId="0" borderId="55" xfId="0" applyBorder="1" applyAlignment="1">
      <alignment horizontal="right"/>
    </xf>
    <xf numFmtId="0" fontId="26" fillId="0" borderId="61" xfId="0" applyFont="1" applyBorder="1" applyAlignment="1">
      <alignment horizontal="center" vertical="center"/>
    </xf>
    <xf numFmtId="0" fontId="26" fillId="0" borderId="62" xfId="0" applyFont="1" applyBorder="1" applyAlignment="1">
      <alignment horizontal="center" vertical="center"/>
    </xf>
    <xf numFmtId="0" fontId="26" fillId="0" borderId="62" xfId="0" applyFont="1" applyBorder="1" applyAlignment="1">
      <alignment horizontal="left" vertical="center"/>
    </xf>
    <xf numFmtId="0" fontId="26" fillId="0" borderId="63" xfId="0" applyFont="1" applyBorder="1" applyAlignment="1">
      <alignment horizontal="center" vertical="center"/>
    </xf>
    <xf numFmtId="0" fontId="26" fillId="0" borderId="64" xfId="0" applyFont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center" vertical="center" wrapText="1"/>
    </xf>
    <xf numFmtId="1" fontId="8" fillId="0" borderId="12" xfId="0" applyNumberFormat="1" applyFont="1" applyFill="1" applyBorder="1" applyAlignment="1">
      <alignment horizontal="center" vertical="center" wrapText="1"/>
    </xf>
    <xf numFmtId="165" fontId="8" fillId="0" borderId="13" xfId="1" applyNumberFormat="1" applyFont="1" applyFill="1" applyBorder="1" applyAlignment="1" applyProtection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left" vertical="center" wrapText="1"/>
    </xf>
    <xf numFmtId="0" fontId="9" fillId="0" borderId="15" xfId="0" applyFont="1" applyFill="1" applyBorder="1" applyAlignment="1">
      <alignment horizontal="center" vertical="center" wrapText="1"/>
    </xf>
    <xf numFmtId="1" fontId="9" fillId="0" borderId="14" xfId="0" applyNumberFormat="1" applyFont="1" applyFill="1" applyBorder="1" applyAlignment="1">
      <alignment horizontal="center" vertical="center" wrapText="1"/>
    </xf>
    <xf numFmtId="165" fontId="9" fillId="0" borderId="15" xfId="0" applyNumberFormat="1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left" vertical="center" wrapText="1"/>
    </xf>
    <xf numFmtId="0" fontId="11" fillId="0" borderId="17" xfId="0" applyFont="1" applyFill="1" applyBorder="1" applyAlignment="1">
      <alignment horizontal="center" vertical="center" wrapText="1"/>
    </xf>
    <xf numFmtId="1" fontId="9" fillId="0" borderId="16" xfId="0" applyNumberFormat="1" applyFont="1" applyFill="1" applyBorder="1" applyAlignment="1">
      <alignment horizontal="center" vertical="center" wrapText="1"/>
    </xf>
    <xf numFmtId="165" fontId="9" fillId="0" borderId="17" xfId="0" applyNumberFormat="1" applyFont="1" applyFill="1" applyBorder="1" applyAlignment="1">
      <alignment horizontal="center" vertical="center" wrapText="1"/>
    </xf>
    <xf numFmtId="49" fontId="16" fillId="0" borderId="31" xfId="0" applyNumberFormat="1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10" fillId="0" borderId="38" xfId="0" applyFont="1" applyFill="1" applyBorder="1" applyAlignment="1">
      <alignment horizontal="center" vertical="center"/>
    </xf>
    <xf numFmtId="0" fontId="0" fillId="0" borderId="73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29" fillId="0" borderId="68" xfId="0" applyFont="1" applyFill="1" applyBorder="1" applyAlignment="1">
      <alignment horizontal="center" vertical="center"/>
    </xf>
    <xf numFmtId="0" fontId="29" fillId="0" borderId="69" xfId="0" applyFont="1" applyFill="1" applyBorder="1" applyAlignment="1">
      <alignment horizontal="center" vertical="center"/>
    </xf>
    <xf numFmtId="0" fontId="30" fillId="0" borderId="70" xfId="0" applyFont="1" applyFill="1" applyBorder="1" applyAlignment="1">
      <alignment horizontal="center" vertical="center"/>
    </xf>
    <xf numFmtId="0" fontId="29" fillId="0" borderId="40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0" fontId="30" fillId="0" borderId="38" xfId="0" applyFont="1" applyFill="1" applyBorder="1" applyAlignment="1">
      <alignment horizontal="center" vertical="center"/>
    </xf>
    <xf numFmtId="165" fontId="29" fillId="0" borderId="72" xfId="1" applyNumberFormat="1" applyFont="1" applyBorder="1" applyAlignment="1">
      <alignment horizontal="right" vertical="center"/>
    </xf>
    <xf numFmtId="165" fontId="29" fillId="0" borderId="23" xfId="1" applyNumberFormat="1" applyFont="1" applyBorder="1" applyAlignment="1" applyProtection="1">
      <alignment horizontal="right" vertical="center"/>
    </xf>
    <xf numFmtId="165" fontId="29" fillId="0" borderId="23" xfId="1" applyNumberFormat="1" applyFont="1" applyBorder="1" applyAlignment="1" applyProtection="1">
      <alignment horizontal="right"/>
    </xf>
    <xf numFmtId="165" fontId="29" fillId="0" borderId="74" xfId="1" applyNumberFormat="1" applyFont="1" applyBorder="1" applyAlignment="1" applyProtection="1">
      <alignment horizontal="right"/>
    </xf>
    <xf numFmtId="0" fontId="17" fillId="0" borderId="83" xfId="0" applyFont="1" applyFill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 wrapText="1"/>
    </xf>
    <xf numFmtId="1" fontId="18" fillId="0" borderId="85" xfId="0" applyNumberFormat="1" applyFont="1" applyBorder="1" applyAlignment="1">
      <alignment horizontal="center" vertical="center" wrapText="1"/>
    </xf>
    <xf numFmtId="165" fontId="18" fillId="0" borderId="84" xfId="1" applyNumberFormat="1" applyFont="1" applyFill="1" applyBorder="1" applyAlignment="1" applyProtection="1">
      <alignment horizontal="center" vertical="center" wrapText="1"/>
    </xf>
    <xf numFmtId="1" fontId="18" fillId="0" borderId="19" xfId="0" applyNumberFormat="1" applyFont="1" applyBorder="1" applyAlignment="1">
      <alignment horizontal="center" vertical="center" wrapText="1"/>
    </xf>
    <xf numFmtId="165" fontId="18" fillId="0" borderId="18" xfId="1" applyNumberFormat="1" applyFont="1" applyFill="1" applyBorder="1" applyAlignment="1" applyProtection="1">
      <alignment horizontal="center" vertical="center" wrapText="1"/>
    </xf>
    <xf numFmtId="0" fontId="17" fillId="0" borderId="86" xfId="0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8" fillId="0" borderId="86" xfId="0" applyFont="1" applyFill="1" applyBorder="1" applyAlignment="1">
      <alignment horizontal="center" vertical="center"/>
    </xf>
    <xf numFmtId="0" fontId="3" fillId="0" borderId="87" xfId="0" applyFont="1" applyFill="1" applyBorder="1" applyAlignment="1">
      <alignment horizontal="left" vertical="center" wrapText="1"/>
    </xf>
    <xf numFmtId="0" fontId="9" fillId="0" borderId="19" xfId="0" applyFont="1" applyFill="1" applyBorder="1" applyAlignment="1">
      <alignment horizontal="center" vertical="center" wrapText="1"/>
    </xf>
    <xf numFmtId="1" fontId="9" fillId="0" borderId="18" xfId="0" applyNumberFormat="1" applyFont="1" applyFill="1" applyBorder="1" applyAlignment="1">
      <alignment horizontal="center" vertical="center" wrapText="1"/>
    </xf>
    <xf numFmtId="165" fontId="9" fillId="0" borderId="19" xfId="0" applyNumberFormat="1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18" fillId="0" borderId="83" xfId="0" applyFont="1" applyBorder="1" applyAlignment="1">
      <alignment horizontal="center" vertical="center"/>
    </xf>
    <xf numFmtId="0" fontId="18" fillId="0" borderId="84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7" xfId="0" applyFont="1" applyBorder="1" applyAlignment="1">
      <alignment vertical="center"/>
    </xf>
    <xf numFmtId="0" fontId="0" fillId="2" borderId="0" xfId="0" applyFill="1" applyBorder="1"/>
    <xf numFmtId="0" fontId="8" fillId="0" borderId="16" xfId="0" applyFont="1" applyFill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 wrapText="1"/>
    </xf>
    <xf numFmtId="3" fontId="22" fillId="0" borderId="5" xfId="0" applyNumberFormat="1" applyFont="1" applyBorder="1"/>
    <xf numFmtId="167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28" xfId="0" applyBorder="1"/>
    <xf numFmtId="0" fontId="0" fillId="0" borderId="0" xfId="0" applyBorder="1" applyAlignment="1">
      <alignment horizontal="left"/>
    </xf>
    <xf numFmtId="167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center"/>
    </xf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0" borderId="0" xfId="0" applyBorder="1" applyAlignment="1">
      <alignment horizontal="center" wrapText="1"/>
    </xf>
    <xf numFmtId="0" fontId="5" fillId="0" borderId="0" xfId="0" applyFont="1" applyFill="1" applyAlignment="1">
      <alignment horizontal="left" wrapText="1"/>
    </xf>
    <xf numFmtId="0" fontId="33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wrapText="1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34" fillId="2" borderId="94" xfId="0" applyFont="1" applyFill="1" applyBorder="1" applyAlignment="1">
      <alignment vertical="center" wrapText="1"/>
    </xf>
    <xf numFmtId="0" fontId="34" fillId="2" borderId="17" xfId="0" applyFont="1" applyFill="1" applyBorder="1" applyAlignment="1">
      <alignment vertical="center" wrapText="1"/>
    </xf>
    <xf numFmtId="0" fontId="34" fillId="2" borderId="24" xfId="0" applyFont="1" applyFill="1" applyBorder="1" applyAlignment="1">
      <alignment vertical="center" wrapText="1"/>
    </xf>
    <xf numFmtId="0" fontId="16" fillId="0" borderId="7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2" xfId="0" applyFont="1" applyFill="1" applyBorder="1" applyAlignment="1">
      <alignment horizontal="left" vertical="center" wrapText="1"/>
    </xf>
    <xf numFmtId="0" fontId="16" fillId="0" borderId="3" xfId="0" applyFont="1" applyFill="1" applyBorder="1" applyAlignment="1">
      <alignment horizontal="left" vertical="center" wrapText="1"/>
    </xf>
    <xf numFmtId="0" fontId="20" fillId="0" borderId="11" xfId="0" applyFont="1" applyBorder="1" applyAlignment="1">
      <alignment horizontal="center" vertical="center" wrapText="1"/>
    </xf>
    <xf numFmtId="0" fontId="18" fillId="0" borderId="82" xfId="0" applyFont="1" applyBorder="1" applyAlignment="1">
      <alignment horizontal="left" vertical="center" wrapText="1"/>
    </xf>
    <xf numFmtId="0" fontId="18" fillId="0" borderId="69" xfId="0" applyFont="1" applyBorder="1" applyAlignment="1">
      <alignment horizontal="left" vertical="center" wrapText="1"/>
    </xf>
    <xf numFmtId="0" fontId="18" fillId="0" borderId="70" xfId="0" applyFont="1" applyBorder="1" applyAlignment="1">
      <alignment horizontal="left" vertical="center" wrapText="1"/>
    </xf>
    <xf numFmtId="166" fontId="17" fillId="0" borderId="11" xfId="0" applyNumberFormat="1" applyFont="1" applyBorder="1" applyAlignment="1">
      <alignment horizontal="center" vertical="center"/>
    </xf>
    <xf numFmtId="0" fontId="18" fillId="0" borderId="88" xfId="0" applyFont="1" applyBorder="1" applyAlignment="1">
      <alignment horizontal="left" vertical="center" wrapText="1"/>
    </xf>
    <xf numFmtId="0" fontId="18" fillId="0" borderId="39" xfId="0" applyFont="1" applyBorder="1" applyAlignment="1">
      <alignment horizontal="left" vertical="center" wrapText="1"/>
    </xf>
    <xf numFmtId="0" fontId="18" fillId="0" borderId="89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left" vertical="center" wrapText="1"/>
    </xf>
    <xf numFmtId="0" fontId="18" fillId="0" borderId="11" xfId="0" applyFont="1" applyFill="1" applyBorder="1" applyAlignment="1">
      <alignment horizontal="left" vertical="center" wrapText="1" indent="1"/>
    </xf>
    <xf numFmtId="0" fontId="17" fillId="0" borderId="34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 indent="1"/>
    </xf>
    <xf numFmtId="0" fontId="17" fillId="0" borderId="1" xfId="0" applyFont="1" applyBorder="1" applyAlignment="1">
      <alignment horizontal="right" vertical="center"/>
    </xf>
    <xf numFmtId="0" fontId="17" fillId="0" borderId="2" xfId="0" applyFont="1" applyBorder="1" applyAlignment="1">
      <alignment horizontal="right" vertical="center"/>
    </xf>
    <xf numFmtId="0" fontId="17" fillId="0" borderId="3" xfId="0" applyFont="1" applyBorder="1" applyAlignment="1">
      <alignment horizontal="right" vertical="center"/>
    </xf>
    <xf numFmtId="0" fontId="18" fillId="0" borderId="2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 indent="1"/>
    </xf>
    <xf numFmtId="0" fontId="24" fillId="0" borderId="47" xfId="0" applyFont="1" applyFill="1" applyBorder="1" applyAlignment="1">
      <alignment horizontal="left" vertical="center" wrapText="1" indent="1"/>
    </xf>
    <xf numFmtId="0" fontId="24" fillId="0" borderId="48" xfId="0" applyFont="1" applyFill="1" applyBorder="1" applyAlignment="1">
      <alignment horizontal="left" vertical="center" wrapText="1" indent="1"/>
    </xf>
    <xf numFmtId="0" fontId="24" fillId="0" borderId="49" xfId="0" applyFont="1" applyFill="1" applyBorder="1" applyAlignment="1">
      <alignment horizontal="left" vertical="center" wrapText="1" indent="1"/>
    </xf>
    <xf numFmtId="0" fontId="24" fillId="0" borderId="75" xfId="0" applyFont="1" applyFill="1" applyBorder="1" applyAlignment="1">
      <alignment horizontal="left" vertical="center" wrapText="1" indent="1"/>
    </xf>
    <xf numFmtId="0" fontId="24" fillId="0" borderId="76" xfId="0" applyFont="1" applyFill="1" applyBorder="1" applyAlignment="1">
      <alignment horizontal="left" vertical="center" wrapText="1" indent="1"/>
    </xf>
    <xf numFmtId="0" fontId="24" fillId="0" borderId="77" xfId="0" applyFont="1" applyFill="1" applyBorder="1" applyAlignment="1">
      <alignment horizontal="left" vertical="center" wrapText="1" indent="1"/>
    </xf>
    <xf numFmtId="0" fontId="22" fillId="0" borderId="4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22" fillId="0" borderId="7" xfId="0" applyFont="1" applyBorder="1" applyAlignment="1">
      <alignment horizontal="left" vertical="center" wrapText="1"/>
    </xf>
    <xf numFmtId="0" fontId="22" fillId="0" borderId="8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165" fontId="31" fillId="0" borderId="10" xfId="1" applyNumberFormat="1" applyFont="1" applyFill="1" applyBorder="1" applyAlignment="1">
      <alignment horizontal="right" vertical="center"/>
    </xf>
    <xf numFmtId="165" fontId="31" fillId="0" borderId="25" xfId="1" applyNumberFormat="1" applyFont="1" applyFill="1" applyBorder="1" applyAlignment="1">
      <alignment horizontal="right" vertical="center"/>
    </xf>
    <xf numFmtId="0" fontId="0" fillId="0" borderId="78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22" fillId="0" borderId="28" xfId="0" applyFont="1" applyBorder="1" applyAlignment="1">
      <alignment vertical="center" wrapText="1"/>
    </xf>
    <xf numFmtId="0" fontId="22" fillId="0" borderId="50" xfId="0" applyFont="1" applyBorder="1" applyAlignment="1">
      <alignment vertical="center" wrapText="1"/>
    </xf>
    <xf numFmtId="0" fontId="22" fillId="0" borderId="53" xfId="0" applyFont="1" applyBorder="1" applyAlignment="1">
      <alignment vertical="center" wrapText="1"/>
    </xf>
    <xf numFmtId="0" fontId="24" fillId="0" borderId="30" xfId="0" applyFont="1" applyBorder="1" applyAlignment="1">
      <alignment vertical="center" wrapText="1"/>
    </xf>
    <xf numFmtId="0" fontId="24" fillId="0" borderId="29" xfId="0" applyFont="1" applyBorder="1" applyAlignment="1">
      <alignment vertical="center" wrapText="1"/>
    </xf>
    <xf numFmtId="0" fontId="30" fillId="0" borderId="40" xfId="0" applyFont="1" applyFill="1" applyBorder="1" applyAlignment="1">
      <alignment horizontal="left" vertical="center" wrapText="1"/>
    </xf>
    <xf numFmtId="0" fontId="29" fillId="0" borderId="41" xfId="0" applyFont="1" applyFill="1" applyBorder="1" applyAlignment="1">
      <alignment horizontal="left" vertical="center" wrapText="1"/>
    </xf>
    <xf numFmtId="0" fontId="10" fillId="0" borderId="40" xfId="0" applyFont="1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28" fillId="0" borderId="51" xfId="0" applyFont="1" applyBorder="1" applyAlignment="1">
      <alignment horizontal="left" vertical="center" wrapText="1" indent="1"/>
    </xf>
    <xf numFmtId="0" fontId="28" fillId="0" borderId="52" xfId="0" applyFont="1" applyBorder="1" applyAlignment="1">
      <alignment horizontal="left" vertical="center" wrapText="1" indent="1"/>
    </xf>
    <xf numFmtId="0" fontId="28" fillId="0" borderId="53" xfId="0" applyFont="1" applyBorder="1" applyAlignment="1">
      <alignment horizontal="left" vertical="center" wrapText="1" indent="1"/>
    </xf>
    <xf numFmtId="0" fontId="26" fillId="0" borderId="56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 wrapText="1"/>
    </xf>
    <xf numFmtId="0" fontId="26" fillId="0" borderId="60" xfId="0" applyFont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 wrapText="1"/>
    </xf>
    <xf numFmtId="0" fontId="26" fillId="0" borderId="66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/>
    </xf>
    <xf numFmtId="0" fontId="26" fillId="0" borderId="67" xfId="0" applyFont="1" applyBorder="1" applyAlignment="1">
      <alignment horizontal="center" vertical="center"/>
    </xf>
    <xf numFmtId="0" fontId="30" fillId="0" borderId="68" xfId="0" applyFont="1" applyFill="1" applyBorder="1" applyAlignment="1">
      <alignment horizontal="center" vertical="center" wrapText="1"/>
    </xf>
    <xf numFmtId="0" fontId="29" fillId="0" borderId="71" xfId="0" applyFont="1" applyFill="1" applyBorder="1" applyAlignment="1">
      <alignment horizontal="center" vertical="center" wrapText="1"/>
    </xf>
    <xf numFmtId="0" fontId="28" fillId="0" borderId="28" xfId="0" applyFont="1" applyBorder="1"/>
    <xf numFmtId="0" fontId="28" fillId="0" borderId="50" xfId="0" applyFont="1" applyBorder="1"/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" fontId="22" fillId="0" borderId="2" xfId="0" applyNumberFormat="1" applyFont="1" applyBorder="1" applyAlignment="1">
      <alignment horizontal="center" vertical="center"/>
    </xf>
    <xf numFmtId="1" fontId="22" fillId="0" borderId="3" xfId="0" applyNumberFormat="1" applyFont="1" applyBorder="1" applyAlignment="1">
      <alignment horizontal="center" vertical="center"/>
    </xf>
    <xf numFmtId="0" fontId="23" fillId="0" borderId="48" xfId="0" applyFont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90" xfId="0" applyFont="1" applyBorder="1" applyAlignment="1">
      <alignment horizontal="center" vertical="center" wrapText="1"/>
    </xf>
    <xf numFmtId="0" fontId="26" fillId="0" borderId="91" xfId="0" applyFont="1" applyBorder="1" applyAlignment="1">
      <alignment vertical="center"/>
    </xf>
    <xf numFmtId="0" fontId="26" fillId="0" borderId="31" xfId="0" applyFont="1" applyBorder="1" applyAlignment="1">
      <alignment vertical="center"/>
    </xf>
    <xf numFmtId="0" fontId="24" fillId="0" borderId="31" xfId="0" applyFont="1" applyBorder="1" applyAlignment="1">
      <alignment horizontal="left" vertical="center"/>
    </xf>
    <xf numFmtId="0" fontId="24" fillId="0" borderId="90" xfId="0" applyFont="1" applyBorder="1" applyAlignment="1">
      <alignment horizontal="left" vertical="center"/>
    </xf>
    <xf numFmtId="0" fontId="27" fillId="0" borderId="92" xfId="0" applyFont="1" applyBorder="1" applyAlignment="1">
      <alignment horizontal="left" vertical="center" wrapText="1"/>
    </xf>
    <xf numFmtId="0" fontId="27" fillId="0" borderId="42" xfId="0" applyFont="1" applyBorder="1" applyAlignment="1">
      <alignment horizontal="left" vertical="center" wrapText="1"/>
    </xf>
    <xf numFmtId="0" fontId="27" fillId="0" borderId="43" xfId="0" applyFont="1" applyBorder="1" applyAlignment="1">
      <alignment horizontal="left" vertical="center" wrapText="1"/>
    </xf>
    <xf numFmtId="0" fontId="32" fillId="0" borderId="31" xfId="0" applyFont="1" applyBorder="1" applyAlignment="1">
      <alignment horizontal="left" vertical="center"/>
    </xf>
    <xf numFmtId="0" fontId="32" fillId="0" borderId="90" xfId="0" applyFont="1" applyBorder="1" applyAlignment="1">
      <alignment horizontal="left" vertical="center"/>
    </xf>
    <xf numFmtId="0" fontId="27" fillId="0" borderId="93" xfId="0" applyFont="1" applyBorder="1" applyAlignment="1">
      <alignment horizontal="left" vertical="center" wrapText="1"/>
    </xf>
    <xf numFmtId="0" fontId="27" fillId="0" borderId="44" xfId="0" applyFont="1" applyBorder="1" applyAlignment="1">
      <alignment horizontal="left" vertical="center" wrapText="1"/>
    </xf>
    <xf numFmtId="0" fontId="27" fillId="0" borderId="45" xfId="0" applyFont="1" applyBorder="1" applyAlignment="1">
      <alignment horizontal="left" vertical="center" wrapText="1"/>
    </xf>
    <xf numFmtId="0" fontId="24" fillId="2" borderId="46" xfId="0" applyFont="1" applyFill="1" applyBorder="1" applyAlignment="1">
      <alignment horizontal="left" vertical="center"/>
    </xf>
    <xf numFmtId="0" fontId="24" fillId="2" borderId="5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left"/>
    </xf>
    <xf numFmtId="0" fontId="25" fillId="0" borderId="48" xfId="0" applyFont="1" applyBorder="1" applyAlignment="1">
      <alignment horizontal="left"/>
    </xf>
    <xf numFmtId="0" fontId="25" fillId="0" borderId="49" xfId="0" applyFont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topLeftCell="A10" zoomScale="84" zoomScaleNormal="84" workbookViewId="0">
      <selection activeCell="C20" sqref="C20:E20"/>
    </sheetView>
  </sheetViews>
  <sheetFormatPr baseColWidth="10" defaultRowHeight="15" x14ac:dyDescent="0.25"/>
  <cols>
    <col min="1" max="1" width="4.5703125" customWidth="1"/>
    <col min="2" max="2" width="14.5703125" customWidth="1"/>
    <col min="3" max="3" width="26.28515625" customWidth="1"/>
    <col min="4" max="4" width="8.42578125" customWidth="1"/>
    <col min="5" max="5" width="77.42578125" customWidth="1"/>
    <col min="7" max="7" width="11" customWidth="1"/>
    <col min="8" max="8" width="13.85546875" customWidth="1"/>
    <col min="9" max="9" width="22.5703125" customWidth="1"/>
  </cols>
  <sheetData>
    <row r="1" spans="1:9" ht="32.25" customHeight="1" x14ac:dyDescent="0.25">
      <c r="B1" s="105"/>
      <c r="C1" s="120"/>
      <c r="D1" s="120"/>
    </row>
    <row r="2" spans="1:9" ht="27" x14ac:dyDescent="0.35">
      <c r="A2" s="1"/>
      <c r="B2" s="122" t="s">
        <v>0</v>
      </c>
      <c r="C2" s="122"/>
      <c r="D2" s="122"/>
      <c r="E2" s="122"/>
      <c r="F2" s="122"/>
      <c r="G2" s="122"/>
      <c r="H2" s="122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5.75" customHeight="1" x14ac:dyDescent="0.25">
      <c r="A4" s="123" t="s">
        <v>1</v>
      </c>
      <c r="B4" s="123"/>
      <c r="C4" s="124" t="s">
        <v>60</v>
      </c>
      <c r="D4" s="124"/>
      <c r="E4" s="124"/>
      <c r="F4" s="2"/>
      <c r="G4" s="3"/>
      <c r="H4" s="2"/>
      <c r="I4" s="1"/>
    </row>
    <row r="5" spans="1:9" ht="15.75" customHeight="1" x14ac:dyDescent="0.25">
      <c r="A5" s="123" t="s">
        <v>2</v>
      </c>
      <c r="B5" s="123"/>
      <c r="C5" s="124" t="s">
        <v>61</v>
      </c>
      <c r="D5" s="124"/>
      <c r="E5" s="124"/>
      <c r="F5" s="125"/>
      <c r="G5" s="125"/>
      <c r="H5" s="125"/>
      <c r="I5" s="125"/>
    </row>
    <row r="6" spans="1:9" ht="15.75" x14ac:dyDescent="0.25">
      <c r="A6" s="123" t="s">
        <v>3</v>
      </c>
      <c r="B6" s="123"/>
      <c r="C6" s="121">
        <v>2022</v>
      </c>
      <c r="D6" s="121"/>
      <c r="E6" s="121"/>
      <c r="F6" s="12"/>
      <c r="G6" s="13"/>
      <c r="H6" s="12"/>
      <c r="I6" s="11"/>
    </row>
    <row r="7" spans="1:9" ht="15.75" x14ac:dyDescent="0.25">
      <c r="A7" s="123" t="s">
        <v>4</v>
      </c>
      <c r="B7" s="123"/>
      <c r="C7" s="121" t="s">
        <v>67</v>
      </c>
      <c r="D7" s="121"/>
      <c r="E7" s="121"/>
      <c r="F7" s="12"/>
      <c r="G7" s="13"/>
      <c r="H7" s="126"/>
      <c r="I7" s="126"/>
    </row>
    <row r="8" spans="1:9" x14ac:dyDescent="0.25">
      <c r="A8" s="1"/>
      <c r="B8" s="2"/>
      <c r="C8" s="3"/>
      <c r="D8" s="2"/>
      <c r="E8" s="2"/>
      <c r="F8" s="12"/>
      <c r="G8" s="13"/>
      <c r="H8" s="126"/>
      <c r="I8" s="126"/>
    </row>
    <row r="9" spans="1:9" ht="15.75" thickBot="1" x14ac:dyDescent="0.3">
      <c r="A9" s="1"/>
      <c r="B9" s="2"/>
      <c r="C9" s="3"/>
      <c r="D9" s="2"/>
      <c r="E9" s="2"/>
      <c r="F9" s="2"/>
      <c r="G9" s="3"/>
      <c r="H9" s="4"/>
      <c r="I9" s="4"/>
    </row>
    <row r="10" spans="1:9" ht="39" thickBot="1" x14ac:dyDescent="0.3">
      <c r="A10" s="5" t="s">
        <v>5</v>
      </c>
      <c r="B10" s="6" t="s">
        <v>6</v>
      </c>
      <c r="C10" s="5" t="s">
        <v>7</v>
      </c>
      <c r="D10" s="6" t="s">
        <v>8</v>
      </c>
      <c r="E10" s="5" t="s">
        <v>9</v>
      </c>
      <c r="F10" s="6" t="s">
        <v>10</v>
      </c>
      <c r="G10" s="7" t="s">
        <v>11</v>
      </c>
      <c r="H10" s="8" t="s">
        <v>12</v>
      </c>
      <c r="I10" s="7" t="s">
        <v>13</v>
      </c>
    </row>
    <row r="11" spans="1:9" ht="38.25" x14ac:dyDescent="0.25">
      <c r="A11" s="49">
        <v>1</v>
      </c>
      <c r="B11" s="50" t="s">
        <v>63</v>
      </c>
      <c r="C11" s="108" t="s">
        <v>66</v>
      </c>
      <c r="D11" s="51" t="str">
        <f>LEFT(B11,5)</f>
        <v>4.3.2</v>
      </c>
      <c r="E11" s="52" t="s">
        <v>64</v>
      </c>
      <c r="F11" s="53" t="s">
        <v>65</v>
      </c>
      <c r="G11" s="54">
        <v>1</v>
      </c>
      <c r="H11" s="55">
        <v>1074199.5</v>
      </c>
      <c r="I11" s="15">
        <f>G11*H11</f>
        <v>1074199.5</v>
      </c>
    </row>
    <row r="12" spans="1:9" x14ac:dyDescent="0.25">
      <c r="A12" s="14"/>
      <c r="B12" s="56"/>
      <c r="C12" s="97"/>
      <c r="D12" s="57"/>
      <c r="E12" s="58"/>
      <c r="F12" s="59"/>
      <c r="G12" s="60"/>
      <c r="H12" s="61"/>
      <c r="I12" s="16"/>
    </row>
    <row r="13" spans="1:9" x14ac:dyDescent="0.25">
      <c r="A13" s="14"/>
      <c r="B13" s="92"/>
      <c r="C13" s="98"/>
      <c r="D13" s="57"/>
      <c r="E13" s="93"/>
      <c r="F13" s="94"/>
      <c r="G13" s="95"/>
      <c r="H13" s="96"/>
      <c r="I13" s="16"/>
    </row>
    <row r="14" spans="1:9" ht="15.75" thickBot="1" x14ac:dyDescent="0.3">
      <c r="A14" s="106"/>
      <c r="B14" s="62"/>
      <c r="C14" s="63"/>
      <c r="D14" s="64"/>
      <c r="E14" s="65"/>
      <c r="F14" s="66"/>
      <c r="G14" s="67"/>
      <c r="H14" s="68"/>
      <c r="I14" s="17"/>
    </row>
    <row r="15" spans="1:9" ht="25.5" customHeight="1" thickBot="1" x14ac:dyDescent="0.3">
      <c r="A15" s="1"/>
      <c r="B15" s="1"/>
      <c r="C15" s="1"/>
      <c r="D15" s="1"/>
      <c r="E15" s="9"/>
      <c r="F15" s="10"/>
      <c r="G15" s="10"/>
      <c r="H15" s="10"/>
      <c r="I15" s="35">
        <f>SUM(I11:I14)</f>
        <v>1074199.5</v>
      </c>
    </row>
    <row r="16" spans="1:9" ht="15.75" thickBot="1" x14ac:dyDescent="0.3"/>
    <row r="17" spans="2:5" x14ac:dyDescent="0.25">
      <c r="B17" s="25" t="s">
        <v>18</v>
      </c>
      <c r="C17" s="18"/>
      <c r="D17" s="18"/>
      <c r="E17" s="19"/>
    </row>
    <row r="18" spans="2:5" x14ac:dyDescent="0.25">
      <c r="B18" s="23"/>
      <c r="C18" s="20"/>
      <c r="D18" s="20"/>
      <c r="E18" s="21"/>
    </row>
    <row r="19" spans="2:5" x14ac:dyDescent="0.25">
      <c r="B19" s="26" t="s">
        <v>19</v>
      </c>
      <c r="C19" s="20"/>
      <c r="D19" s="20"/>
      <c r="E19" s="21"/>
    </row>
    <row r="20" spans="2:5" s="103" customFormat="1" ht="146.25" customHeight="1" thickBot="1" x14ac:dyDescent="0.3">
      <c r="B20" s="104"/>
      <c r="C20" s="129" t="s">
        <v>78</v>
      </c>
      <c r="D20" s="130"/>
      <c r="E20" s="131"/>
    </row>
    <row r="21" spans="2:5" x14ac:dyDescent="0.25">
      <c r="B21" s="26" t="s">
        <v>14</v>
      </c>
      <c r="C21" s="20"/>
      <c r="D21" s="20"/>
      <c r="E21" s="21"/>
    </row>
    <row r="22" spans="2:5" ht="104.25" customHeight="1" thickBot="1" x14ac:dyDescent="0.3">
      <c r="B22" s="24" t="s">
        <v>15</v>
      </c>
      <c r="C22" s="127" t="s">
        <v>72</v>
      </c>
      <c r="D22" s="127"/>
      <c r="E22" s="128"/>
    </row>
    <row r="23" spans="2:5" x14ac:dyDescent="0.25">
      <c r="B23" s="26" t="s">
        <v>20</v>
      </c>
      <c r="C23" s="20"/>
      <c r="D23" s="20"/>
      <c r="E23" s="21"/>
    </row>
    <row r="24" spans="2:5" ht="15.75" thickBot="1" x14ac:dyDescent="0.3">
      <c r="B24" s="24"/>
      <c r="C24" s="116" t="s">
        <v>73</v>
      </c>
      <c r="D24" s="116"/>
      <c r="E24" s="117"/>
    </row>
    <row r="25" spans="2:5" x14ac:dyDescent="0.25">
      <c r="B25" s="26" t="s">
        <v>16</v>
      </c>
      <c r="C25" s="20"/>
      <c r="D25" s="20"/>
      <c r="E25" s="21"/>
    </row>
    <row r="26" spans="2:5" ht="15.75" thickBot="1" x14ac:dyDescent="0.3">
      <c r="B26" s="24"/>
      <c r="C26" s="116" t="s">
        <v>74</v>
      </c>
      <c r="D26" s="116"/>
      <c r="E26" s="117"/>
    </row>
    <row r="27" spans="2:5" x14ac:dyDescent="0.25">
      <c r="B27" s="25" t="s">
        <v>17</v>
      </c>
      <c r="C27" s="18"/>
      <c r="D27" s="18"/>
      <c r="E27" s="19"/>
    </row>
    <row r="28" spans="2:5" ht="15.75" thickBot="1" x14ac:dyDescent="0.3">
      <c r="B28" s="22"/>
      <c r="C28" s="118" t="s">
        <v>75</v>
      </c>
      <c r="D28" s="118"/>
      <c r="E28" s="119"/>
    </row>
    <row r="37" spans="5:5" x14ac:dyDescent="0.25">
      <c r="E37" t="s">
        <v>15</v>
      </c>
    </row>
  </sheetData>
  <mergeCells count="15">
    <mergeCell ref="C28:E28"/>
    <mergeCell ref="C1:D1"/>
    <mergeCell ref="C7:E7"/>
    <mergeCell ref="C6:E6"/>
    <mergeCell ref="B2:H2"/>
    <mergeCell ref="A4:B4"/>
    <mergeCell ref="C4:E4"/>
    <mergeCell ref="A5:B5"/>
    <mergeCell ref="C5:E5"/>
    <mergeCell ref="F5:I5"/>
    <mergeCell ref="A6:B6"/>
    <mergeCell ref="A7:B7"/>
    <mergeCell ref="H7:I8"/>
    <mergeCell ref="C22:E22"/>
    <mergeCell ref="C20:E20"/>
  </mergeCells>
  <pageMargins left="0.70866141732283472" right="0.70866141732283472" top="0.74803149606299213" bottom="0.74803149606299213" header="0.31496062992125984" footer="0.31496062992125984"/>
  <pageSetup paperSize="5" scale="8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opLeftCell="A4" workbookViewId="0">
      <selection activeCell="H12" sqref="H12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15" customWidth="1"/>
    <col min="7" max="7" width="7.5703125" customWidth="1"/>
    <col min="8" max="8" width="9.28515625" customWidth="1"/>
    <col min="9" max="9" width="11.85546875" customWidth="1"/>
    <col min="10" max="10" width="11.28515625" customWidth="1"/>
    <col min="11" max="11" width="15.5703125" customWidth="1"/>
  </cols>
  <sheetData>
    <row r="1" spans="1:11" ht="16.5" thickBot="1" x14ac:dyDescent="0.3">
      <c r="A1" s="160" t="s">
        <v>21</v>
      </c>
      <c r="B1" s="160"/>
      <c r="C1" s="160"/>
      <c r="D1" s="160"/>
      <c r="E1" s="160"/>
      <c r="F1" s="160"/>
      <c r="G1" s="160"/>
      <c r="H1" s="160"/>
      <c r="I1" s="160"/>
      <c r="J1" s="27" t="s">
        <v>22</v>
      </c>
      <c r="K1" s="69" t="s">
        <v>76</v>
      </c>
    </row>
    <row r="2" spans="1:11" ht="16.5" thickBot="1" x14ac:dyDescent="0.3">
      <c r="A2" s="28"/>
      <c r="B2" s="28"/>
      <c r="C2" s="28"/>
      <c r="D2" s="29"/>
      <c r="E2" s="29"/>
      <c r="F2" s="29"/>
      <c r="G2" s="29"/>
      <c r="H2" s="29"/>
      <c r="I2" s="29"/>
      <c r="J2" s="29"/>
      <c r="K2" s="29"/>
    </row>
    <row r="3" spans="1:11" ht="16.5" thickBot="1" x14ac:dyDescent="0.3">
      <c r="A3" s="151" t="s">
        <v>23</v>
      </c>
      <c r="B3" s="151"/>
      <c r="C3" s="151"/>
      <c r="D3" s="161" t="str">
        <f>'Necesidades Trimestrales'!C4</f>
        <v>95 - Ministerio de Cultura, Turismo y Deporte.-</v>
      </c>
      <c r="E3" s="162"/>
      <c r="F3" s="162"/>
      <c r="G3" s="162"/>
      <c r="H3" s="162"/>
      <c r="I3" s="162"/>
      <c r="J3" s="162"/>
      <c r="K3" s="163"/>
    </row>
    <row r="4" spans="1:11" ht="16.5" thickBot="1" x14ac:dyDescent="0.3">
      <c r="A4" s="153" t="s">
        <v>24</v>
      </c>
      <c r="B4" s="153"/>
      <c r="C4" s="153"/>
      <c r="D4" s="164" t="str">
        <f>'Necesidades Trimestrales'!C5</f>
        <v>18 - Secretaria de Administracion y Recursos Humanos.-</v>
      </c>
      <c r="E4" s="164"/>
      <c r="F4" s="164"/>
      <c r="G4" s="164"/>
      <c r="H4" s="164"/>
      <c r="I4" s="164"/>
      <c r="J4" s="164"/>
      <c r="K4" s="164"/>
    </row>
    <row r="5" spans="1:11" ht="16.5" thickBot="1" x14ac:dyDescent="0.3">
      <c r="A5" s="153" t="s">
        <v>25</v>
      </c>
      <c r="B5" s="153"/>
      <c r="C5" s="153"/>
      <c r="D5" s="152" t="s">
        <v>62</v>
      </c>
      <c r="E5" s="152"/>
      <c r="F5" s="152"/>
      <c r="G5" s="152"/>
      <c r="H5" s="152"/>
      <c r="I5" s="152"/>
      <c r="J5" s="152"/>
      <c r="K5" s="152"/>
    </row>
    <row r="6" spans="1:11" ht="16.5" thickBot="1" x14ac:dyDescent="0.3">
      <c r="A6" s="151" t="s">
        <v>26</v>
      </c>
      <c r="B6" s="151"/>
      <c r="C6" s="151"/>
      <c r="D6" s="152" t="s">
        <v>69</v>
      </c>
      <c r="E6" s="152"/>
      <c r="F6" s="152"/>
      <c r="G6" s="152"/>
      <c r="H6" s="152"/>
      <c r="I6" s="152"/>
      <c r="J6" s="152"/>
      <c r="K6" s="152"/>
    </row>
    <row r="7" spans="1:11" ht="16.5" thickBot="1" x14ac:dyDescent="0.3">
      <c r="A7" s="153" t="s">
        <v>27</v>
      </c>
      <c r="B7" s="153"/>
      <c r="C7" s="153"/>
      <c r="D7" s="154" t="str">
        <f xml:space="preserve"> 'Necesidades Trimestrales'!C7 &amp; "  - Año " &amp; 'Necesidades Trimestrales'!C6</f>
        <v>2° Trimestre  - Año 2022</v>
      </c>
      <c r="E7" s="154"/>
      <c r="F7" s="154"/>
      <c r="G7" s="154"/>
      <c r="H7" s="154"/>
      <c r="I7" s="154"/>
      <c r="J7" s="154"/>
      <c r="K7" s="154"/>
    </row>
    <row r="8" spans="1:11" ht="24" customHeight="1" thickBot="1" x14ac:dyDescent="0.3">
      <c r="A8" s="155" t="s">
        <v>28</v>
      </c>
      <c r="B8" s="156"/>
      <c r="C8" s="157"/>
      <c r="D8" s="158" t="s">
        <v>68</v>
      </c>
      <c r="E8" s="158"/>
      <c r="F8" s="158"/>
      <c r="G8" s="158"/>
      <c r="H8" s="158"/>
      <c r="I8" s="158"/>
      <c r="J8" s="158"/>
      <c r="K8" s="159"/>
    </row>
    <row r="9" spans="1:11" ht="16.5" thickBot="1" x14ac:dyDescent="0.3">
      <c r="A9" s="30"/>
      <c r="B9" s="31"/>
      <c r="C9" s="32"/>
      <c r="D9" s="33"/>
      <c r="E9" s="33"/>
      <c r="F9" s="33"/>
      <c r="G9" s="33"/>
      <c r="H9" s="33"/>
      <c r="I9" s="33"/>
      <c r="J9" s="33"/>
      <c r="K9" s="34"/>
    </row>
    <row r="10" spans="1:11" ht="24.75" customHeight="1" thickBot="1" x14ac:dyDescent="0.3">
      <c r="A10" s="145" t="s">
        <v>29</v>
      </c>
      <c r="B10" s="137" t="s">
        <v>30</v>
      </c>
      <c r="C10" s="146" t="s">
        <v>31</v>
      </c>
      <c r="D10" s="147"/>
      <c r="E10" s="147"/>
      <c r="F10" s="147"/>
      <c r="G10" s="148"/>
      <c r="H10" s="149" t="s">
        <v>32</v>
      </c>
      <c r="I10" s="137" t="s">
        <v>33</v>
      </c>
      <c r="J10" s="150" t="s">
        <v>34</v>
      </c>
      <c r="K10" s="137" t="s">
        <v>35</v>
      </c>
    </row>
    <row r="11" spans="1:11" ht="21.75" customHeight="1" thickBot="1" x14ac:dyDescent="0.3">
      <c r="A11" s="145"/>
      <c r="B11" s="137"/>
      <c r="C11" s="146"/>
      <c r="D11" s="147"/>
      <c r="E11" s="147"/>
      <c r="F11" s="147"/>
      <c r="G11" s="148"/>
      <c r="H11" s="149"/>
      <c r="I11" s="137"/>
      <c r="J11" s="150"/>
      <c r="K11" s="137"/>
    </row>
    <row r="12" spans="1:11" ht="70.5" customHeight="1" x14ac:dyDescent="0.25">
      <c r="A12" s="99">
        <f>'Necesidades Trimestrales'!A11</f>
        <v>1</v>
      </c>
      <c r="B12" s="100" t="str">
        <f>'Necesidades Trimestrales'!B11</f>
        <v>4.3.2-147.19</v>
      </c>
      <c r="C12" s="138" t="str">
        <f>'Necesidades Trimestrales'!E11</f>
        <v>ACOPLADOS TANQUE; CAPACIDAD: 3500 L, DIAM. BOCA DESCARGA: 2 PULG, CHASIS: DESDE 4,76 MM DE ESPESOR, CANT. Y TIPO DE EJE: 1 EJE FIJO Y 1 EJE MOVIL, DIAM. RODADO: 16 PULG.</v>
      </c>
      <c r="D12" s="139"/>
      <c r="E12" s="139"/>
      <c r="F12" s="139"/>
      <c r="G12" s="140"/>
      <c r="H12" s="84" t="s">
        <v>77</v>
      </c>
      <c r="I12" s="85" t="str">
        <f>'Necesidades Trimestrales'!F11</f>
        <v>UNIDAD</v>
      </c>
      <c r="J12" s="86">
        <f>'Necesidades Trimestrales'!G11</f>
        <v>1</v>
      </c>
      <c r="K12" s="87">
        <f>+'Necesidades Trimestrales'!H11</f>
        <v>1074199.5</v>
      </c>
    </row>
    <row r="13" spans="1:11" ht="21.75" customHeight="1" thickBot="1" x14ac:dyDescent="0.3">
      <c r="A13" s="102"/>
      <c r="B13" s="101"/>
      <c r="C13" s="142"/>
      <c r="D13" s="143"/>
      <c r="E13" s="143"/>
      <c r="F13" s="143"/>
      <c r="G13" s="144"/>
      <c r="H13" s="90"/>
      <c r="I13" s="91"/>
      <c r="J13" s="88"/>
      <c r="K13" s="89"/>
    </row>
    <row r="14" spans="1:11" ht="32.25" customHeight="1" thickBot="1" x14ac:dyDescent="0.3">
      <c r="A14" s="132" t="s">
        <v>59</v>
      </c>
      <c r="B14" s="133"/>
      <c r="C14" s="134" t="s">
        <v>70</v>
      </c>
      <c r="D14" s="135"/>
      <c r="E14" s="135"/>
      <c r="F14" s="135"/>
      <c r="G14" s="135"/>
      <c r="H14" s="135"/>
      <c r="I14" s="136"/>
      <c r="J14" s="141">
        <f>+J12*K12</f>
        <v>1074199.5</v>
      </c>
      <c r="K14" s="141"/>
    </row>
  </sheetData>
  <mergeCells count="25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4:B14"/>
    <mergeCell ref="C14:I14"/>
    <mergeCell ref="K10:K11"/>
    <mergeCell ref="C12:G12"/>
    <mergeCell ref="J14:K14"/>
    <mergeCell ref="C13:G13"/>
    <mergeCell ref="A10:A11"/>
    <mergeCell ref="B10:B11"/>
    <mergeCell ref="C10:G11"/>
    <mergeCell ref="H10:H11"/>
    <mergeCell ref="I10:I11"/>
    <mergeCell ref="J10:J11"/>
  </mergeCells>
  <pageMargins left="0.7" right="0.7" top="0.75" bottom="0.75" header="0.3" footer="0.3"/>
  <pageSetup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opLeftCell="A4" zoomScale="80" zoomScaleNormal="80" workbookViewId="0">
      <selection activeCell="T18" sqref="T18"/>
    </sheetView>
  </sheetViews>
  <sheetFormatPr baseColWidth="10" defaultRowHeight="15" x14ac:dyDescent="0.25"/>
  <cols>
    <col min="1" max="5" width="4.42578125" customWidth="1"/>
    <col min="6" max="6" width="6.140625" customWidth="1"/>
    <col min="7" max="7" width="4.42578125" customWidth="1"/>
    <col min="8" max="8" width="5.28515625" customWidth="1"/>
    <col min="9" max="11" width="4.42578125" customWidth="1"/>
    <col min="12" max="12" width="5.42578125" customWidth="1"/>
    <col min="13" max="14" width="4.42578125" customWidth="1"/>
    <col min="15" max="15" width="11" customWidth="1"/>
    <col min="16" max="16" width="11.28515625" customWidth="1"/>
    <col min="17" max="17" width="16.28515625" customWidth="1"/>
  </cols>
  <sheetData>
    <row r="1" spans="1:17" ht="20.25" customHeight="1" thickBot="1" x14ac:dyDescent="0.3">
      <c r="A1" s="209" t="s">
        <v>3</v>
      </c>
      <c r="B1" s="210"/>
      <c r="C1" s="210"/>
      <c r="D1" s="211">
        <f>'Necesidades Trimestrales'!C6</f>
        <v>2022</v>
      </c>
      <c r="E1" s="212"/>
      <c r="F1" s="109"/>
      <c r="G1" s="109"/>
      <c r="H1" s="110"/>
      <c r="I1" s="110"/>
      <c r="J1" s="110"/>
      <c r="K1" s="110"/>
      <c r="L1" s="110"/>
      <c r="M1" s="110"/>
      <c r="N1" s="110"/>
      <c r="O1" s="111"/>
      <c r="P1" s="213" t="s">
        <v>36</v>
      </c>
      <c r="Q1" s="214"/>
    </row>
    <row r="2" spans="1:17" ht="15.75" thickBot="1" x14ac:dyDescent="0.3">
      <c r="A2" s="112"/>
      <c r="B2" s="20"/>
      <c r="C2" s="20"/>
      <c r="D2" s="20"/>
      <c r="E2" s="20"/>
      <c r="F2" s="20"/>
      <c r="G2" s="113"/>
      <c r="H2" s="114"/>
      <c r="I2" s="114"/>
      <c r="J2" s="114"/>
      <c r="K2" s="114"/>
      <c r="L2" s="114"/>
      <c r="M2" s="114"/>
      <c r="N2" s="114"/>
      <c r="O2" s="115"/>
      <c r="P2" s="215"/>
      <c r="Q2" s="216"/>
    </row>
    <row r="3" spans="1:17" ht="15.75" thickBot="1" x14ac:dyDescent="0.3">
      <c r="A3" s="112"/>
      <c r="B3" s="20"/>
      <c r="C3" s="20"/>
      <c r="D3" s="20"/>
      <c r="E3" s="20"/>
      <c r="F3" s="20"/>
      <c r="G3" s="113"/>
      <c r="H3" s="20"/>
      <c r="I3" s="20"/>
      <c r="J3" s="20"/>
      <c r="K3" s="20"/>
      <c r="L3" s="20"/>
      <c r="M3" s="20"/>
      <c r="N3" s="20"/>
      <c r="O3" s="115"/>
      <c r="P3" s="115"/>
      <c r="Q3" s="36"/>
    </row>
    <row r="4" spans="1:17" ht="22.5" customHeight="1" thickBot="1" x14ac:dyDescent="0.3">
      <c r="A4" s="217" t="s">
        <v>37</v>
      </c>
      <c r="B4" s="218"/>
      <c r="C4" s="218"/>
      <c r="D4" s="218"/>
      <c r="E4" s="218"/>
      <c r="F4" s="218"/>
      <c r="G4" s="219" t="str">
        <f>'Nota Pedido'!D3</f>
        <v>95 - Ministerio de Cultura, Turismo y Deporte.-</v>
      </c>
      <c r="H4" s="219"/>
      <c r="I4" s="219"/>
      <c r="J4" s="219"/>
      <c r="K4" s="219"/>
      <c r="L4" s="219"/>
      <c r="M4" s="219"/>
      <c r="N4" s="219"/>
      <c r="O4" s="219"/>
      <c r="P4" s="219"/>
      <c r="Q4" s="220"/>
    </row>
    <row r="5" spans="1:17" ht="22.5" customHeight="1" thickBot="1" x14ac:dyDescent="0.3">
      <c r="A5" s="221" t="s">
        <v>24</v>
      </c>
      <c r="B5" s="222"/>
      <c r="C5" s="222"/>
      <c r="D5" s="222"/>
      <c r="E5" s="222"/>
      <c r="F5" s="223"/>
      <c r="G5" s="224" t="str">
        <f>'Nota Pedido'!D4</f>
        <v>18 - Secretaria de Administracion y Recursos Humanos.-</v>
      </c>
      <c r="H5" s="224"/>
      <c r="I5" s="224"/>
      <c r="J5" s="224"/>
      <c r="K5" s="224"/>
      <c r="L5" s="224"/>
      <c r="M5" s="224"/>
      <c r="N5" s="224"/>
      <c r="O5" s="224"/>
      <c r="P5" s="224"/>
      <c r="Q5" s="225"/>
    </row>
    <row r="6" spans="1:17" ht="22.5" customHeight="1" thickBot="1" x14ac:dyDescent="0.3">
      <c r="A6" s="221" t="s">
        <v>25</v>
      </c>
      <c r="B6" s="222"/>
      <c r="C6" s="222"/>
      <c r="D6" s="222"/>
      <c r="E6" s="222"/>
      <c r="F6" s="223"/>
      <c r="G6" s="219" t="str">
        <f>'Nota Pedido'!D5</f>
        <v>Ministerio de Cultura, Turismo y Deporte</v>
      </c>
      <c r="H6" s="219"/>
      <c r="I6" s="219"/>
      <c r="J6" s="219"/>
      <c r="K6" s="219"/>
      <c r="L6" s="219"/>
      <c r="M6" s="219"/>
      <c r="N6" s="219"/>
      <c r="O6" s="219"/>
      <c r="P6" s="219"/>
      <c r="Q6" s="220"/>
    </row>
    <row r="7" spans="1:17" ht="33" customHeight="1" thickBot="1" x14ac:dyDescent="0.3">
      <c r="A7" s="226" t="s">
        <v>26</v>
      </c>
      <c r="B7" s="227"/>
      <c r="C7" s="227"/>
      <c r="D7" s="227"/>
      <c r="E7" s="227"/>
      <c r="F7" s="228"/>
      <c r="G7" s="229" t="str">
        <f>'Nota Pedido'!D6</f>
        <v xml:space="preserve">Ministerio de Cultura, Turismo y Deporte </v>
      </c>
      <c r="H7" s="229"/>
      <c r="I7" s="229"/>
      <c r="J7" s="229"/>
      <c r="K7" s="229"/>
      <c r="L7" s="229"/>
      <c r="M7" s="229"/>
      <c r="N7" s="229"/>
      <c r="O7" s="229"/>
      <c r="P7" s="229"/>
      <c r="Q7" s="230"/>
    </row>
    <row r="8" spans="1:17" ht="15.75" thickBot="1" x14ac:dyDescent="0.3">
      <c r="A8" s="231" t="s">
        <v>38</v>
      </c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3"/>
    </row>
    <row r="9" spans="1:17" ht="20.25" customHeight="1" x14ac:dyDescent="0.25">
      <c r="A9" s="207" t="s">
        <v>39</v>
      </c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115"/>
      <c r="P9" s="115"/>
      <c r="Q9" s="36"/>
    </row>
    <row r="10" spans="1:17" ht="62.25" customHeight="1" x14ac:dyDescent="0.25">
      <c r="A10" s="190" t="str">
        <f>"Autorizo la realización de los  trámites correspondientes, a fin de proveer a  este Organismo los bienes y/o servicios que se detallan en Nota  de Pedido N° "&amp;'Nota 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014/2022,  afectando la erogación resultante a los créditos presupuestarios aprobados a favor de esta Unidad Ejecutora, conforme al siguiente detalle:</v>
      </c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2"/>
    </row>
    <row r="11" spans="1:17" ht="15.75" thickBot="1" x14ac:dyDescent="0.3">
      <c r="A11" s="37"/>
      <c r="B11" s="38"/>
      <c r="C11" s="38"/>
      <c r="D11" s="38"/>
      <c r="E11" s="38"/>
      <c r="F11" s="38"/>
      <c r="G11" s="39"/>
      <c r="H11" s="38"/>
      <c r="I11" s="38"/>
      <c r="J11" s="38"/>
      <c r="K11" s="38"/>
      <c r="L11" s="38"/>
      <c r="M11" s="38"/>
      <c r="N11" s="38"/>
      <c r="O11" s="40"/>
      <c r="P11" s="40"/>
      <c r="Q11" s="41"/>
    </row>
    <row r="12" spans="1:17" ht="15.75" thickBot="1" x14ac:dyDescent="0.3">
      <c r="A12" s="193" t="s">
        <v>40</v>
      </c>
      <c r="B12" s="194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5"/>
    </row>
    <row r="13" spans="1:17" ht="33.75" customHeight="1" thickBot="1" x14ac:dyDescent="0.3">
      <c r="A13" s="196" t="s">
        <v>41</v>
      </c>
      <c r="B13" s="197"/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8"/>
      <c r="O13" s="199" t="s">
        <v>42</v>
      </c>
      <c r="P13" s="200"/>
      <c r="Q13" s="203" t="s">
        <v>43</v>
      </c>
    </row>
    <row r="14" spans="1:17" ht="25.5" customHeight="1" thickBot="1" x14ac:dyDescent="0.3">
      <c r="A14" s="42" t="s">
        <v>44</v>
      </c>
      <c r="B14" s="43" t="s">
        <v>45</v>
      </c>
      <c r="C14" s="43" t="s">
        <v>46</v>
      </c>
      <c r="D14" s="43" t="s">
        <v>47</v>
      </c>
      <c r="E14" s="43" t="s">
        <v>48</v>
      </c>
      <c r="F14" s="43" t="s">
        <v>49</v>
      </c>
      <c r="G14" s="44" t="s">
        <v>50</v>
      </c>
      <c r="H14" s="43" t="s">
        <v>51</v>
      </c>
      <c r="I14" s="43" t="s">
        <v>52</v>
      </c>
      <c r="J14" s="43" t="s">
        <v>53</v>
      </c>
      <c r="K14" s="43" t="s">
        <v>53</v>
      </c>
      <c r="L14" s="43" t="s">
        <v>54</v>
      </c>
      <c r="M14" s="45" t="s">
        <v>55</v>
      </c>
      <c r="N14" s="46" t="s">
        <v>56</v>
      </c>
      <c r="O14" s="201"/>
      <c r="P14" s="202"/>
      <c r="Q14" s="204"/>
    </row>
    <row r="15" spans="1:17" ht="48.75" customHeight="1" x14ac:dyDescent="0.25">
      <c r="A15" s="74">
        <v>36</v>
      </c>
      <c r="B15" s="75">
        <v>0</v>
      </c>
      <c r="C15" s="75">
        <v>0</v>
      </c>
      <c r="D15" s="75">
        <v>1</v>
      </c>
      <c r="E15" s="75">
        <v>0</v>
      </c>
      <c r="F15" s="75">
        <v>4901</v>
      </c>
      <c r="G15" s="75">
        <v>3</v>
      </c>
      <c r="H15" s="75">
        <v>4</v>
      </c>
      <c r="I15" s="75">
        <v>4</v>
      </c>
      <c r="J15" s="75">
        <v>3</v>
      </c>
      <c r="K15" s="75">
        <v>2</v>
      </c>
      <c r="L15" s="75">
        <v>0</v>
      </c>
      <c r="M15" s="75">
        <v>1</v>
      </c>
      <c r="N15" s="76" t="s">
        <v>57</v>
      </c>
      <c r="O15" s="205" t="s">
        <v>71</v>
      </c>
      <c r="P15" s="206"/>
      <c r="Q15" s="80">
        <f>'Nota Pedido'!J14</f>
        <v>1074199.5</v>
      </c>
    </row>
    <row r="16" spans="1:17" ht="30" customHeight="1" x14ac:dyDescent="0.25">
      <c r="A16" s="77"/>
      <c r="B16" s="78"/>
      <c r="C16" s="78"/>
      <c r="D16" s="78"/>
      <c r="E16" s="78"/>
      <c r="F16" s="78"/>
      <c r="G16" s="78"/>
      <c r="H16" s="78" t="s">
        <v>15</v>
      </c>
      <c r="I16" s="78"/>
      <c r="J16" s="78"/>
      <c r="K16" s="78"/>
      <c r="L16" s="78"/>
      <c r="M16" s="78"/>
      <c r="N16" s="79"/>
      <c r="O16" s="186"/>
      <c r="P16" s="187"/>
      <c r="Q16" s="81"/>
    </row>
    <row r="17" spans="1:17" ht="22.5" customHeight="1" x14ac:dyDescent="0.25">
      <c r="A17" s="72"/>
      <c r="B17" s="73"/>
      <c r="C17" s="73"/>
      <c r="D17" s="73"/>
      <c r="E17" s="73"/>
      <c r="F17" s="73"/>
      <c r="G17" s="70"/>
      <c r="H17" s="70"/>
      <c r="I17" s="70"/>
      <c r="J17" s="70"/>
      <c r="K17" s="70"/>
      <c r="L17" s="70"/>
      <c r="M17" s="70"/>
      <c r="N17" s="71"/>
      <c r="O17" s="188"/>
      <c r="P17" s="189"/>
      <c r="Q17" s="82"/>
    </row>
    <row r="18" spans="1:17" ht="22.5" customHeight="1" thickBot="1" x14ac:dyDescent="0.3">
      <c r="A18" s="10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  <c r="N18" s="48"/>
      <c r="O18" s="179"/>
      <c r="P18" s="180"/>
      <c r="Q18" s="83"/>
    </row>
    <row r="19" spans="1:17" ht="15.75" customHeight="1" x14ac:dyDescent="0.25">
      <c r="A19" s="171" t="str">
        <f xml:space="preserve"> "TOTAL DE PESOS: " &amp; 'Nota Pedido'!C14</f>
        <v xml:space="preserve">TOTAL DE PESOS:  UN MILLON SETENTA Y CUATRO MIL CIENTO NOVENTA Y NUEVE CON 50/100 CENTAVOS.- </v>
      </c>
      <c r="B19" s="172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3"/>
      <c r="Q19" s="177">
        <f>SUM(Q15:Q18)</f>
        <v>1074199.5</v>
      </c>
    </row>
    <row r="20" spans="1:17" ht="15.75" thickBot="1" x14ac:dyDescent="0.3">
      <c r="A20" s="174"/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6"/>
      <c r="Q20" s="178"/>
    </row>
    <row r="21" spans="1:17" ht="15.75" thickBot="1" x14ac:dyDescent="0.3">
      <c r="A21" s="181" t="s">
        <v>58</v>
      </c>
      <c r="B21" s="182"/>
      <c r="C21" s="182"/>
      <c r="D21" s="182"/>
      <c r="E21" s="182"/>
      <c r="F21" s="183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5"/>
    </row>
    <row r="22" spans="1:17" ht="19.5" customHeight="1" thickBot="1" x14ac:dyDescent="0.3">
      <c r="A22" s="165" t="str">
        <f xml:space="preserve"> 'Nota Pedido'!D8</f>
        <v xml:space="preserve">Adquisición de acoplado tanque para el Ministerio de Cultura, Turismo y Deporte.- </v>
      </c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7"/>
    </row>
    <row r="23" spans="1:17" ht="24.75" customHeight="1" thickBot="1" x14ac:dyDescent="0.3">
      <c r="A23" s="168"/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70"/>
    </row>
  </sheetData>
  <mergeCells count="27"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16:P16"/>
    <mergeCell ref="O17:P17"/>
    <mergeCell ref="A10:Q10"/>
    <mergeCell ref="A12:Q12"/>
    <mergeCell ref="A13:N13"/>
    <mergeCell ref="O13:P14"/>
    <mergeCell ref="Q13:Q14"/>
    <mergeCell ref="O15:P15"/>
    <mergeCell ref="A22:Q23"/>
    <mergeCell ref="A19:P20"/>
    <mergeCell ref="Q19:Q20"/>
    <mergeCell ref="O18:P18"/>
    <mergeCell ref="A21:F21"/>
    <mergeCell ref="G21:Q21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Nota Pedido</vt:lpstr>
      <vt:lpstr>APG</vt:lpstr>
      <vt:lpstr>APG!Área_de_impresión</vt:lpstr>
      <vt:lpstr>'Necesidades Trimestrales'!Área_de_impresión</vt:lpstr>
      <vt:lpstr>'Nota Pedido'!Área_de_impresión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Luffi</cp:lastModifiedBy>
  <cp:lastPrinted>2022-02-18T13:08:59Z</cp:lastPrinted>
  <dcterms:created xsi:type="dcterms:W3CDTF">2021-02-24T16:51:27Z</dcterms:created>
  <dcterms:modified xsi:type="dcterms:W3CDTF">2022-05-10T13:30:42Z</dcterms:modified>
</cp:coreProperties>
</file>