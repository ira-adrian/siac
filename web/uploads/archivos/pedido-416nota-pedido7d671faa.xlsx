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HSJB\tracto\"/>
    </mc:Choice>
  </mc:AlternateContent>
  <xr:revisionPtr revIDLastSave="0" documentId="13_ncr:1_{3EF68D78-A7BB-4AE1-A4C1-586041B58FE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1">NotaPedido!$A$1:$K$31</definedName>
  </definedNames>
  <calcPr calcId="181029"/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A24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J31" i="2" l="1"/>
  <c r="G6" i="3" l="1"/>
  <c r="G7" i="3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<sst xmlns="http://schemas.openxmlformats.org/spreadsheetml/2006/main" count="168" uniqueCount="117">
  <si>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</si>
  <si>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</si>
  <si>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</si>
  <si>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</si>
  <si>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</si>
  <si>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</si>
  <si>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</si>
  <si>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</si>
  <si>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</si>
  <si>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</si>
  <si>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</si>
  <si>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</si>
  <si>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</si>
  <si>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</si>
  <si>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</si>
  <si>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</si>
  <si>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</si>
  <si>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</si>
  <si>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</si>
  <si>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</si>
  <si>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</si>
  <si>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</si>
  <si>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</si>
  <si>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</si>
  <si>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</si>
  <si>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</si>
  <si>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</si>
  <si>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</si>
  <si>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</si>
  <si>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</si>
  <si>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</si>
  <si>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</si>
  <si>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</si>
  <si>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</si>
  <si>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</si>
  <si>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</si>
  <si>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</si>
  <si>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</si>
  <si>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</si>
  <si>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</si>
  <si>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</si>
  <si>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</si>
  <si>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</si>
  <si>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</si>
  <si>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</si>
  <si>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</si>
  <si>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</si>
  <si>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</si>
  <si>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</si>
  <si>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</si>
  <si>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</si>
  <si>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</si>
  <si>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</si>
  <si>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</si>
  <si>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</si>
  <si>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</si>
  <si>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>3.1</t>
  </si>
  <si>
    <t>1.1</t>
  </si>
  <si>
    <t>2.5.2-1843.63</t>
  </si>
  <si>
    <t>PROD. MEDICO/FARMACEUTICOS/LAB</t>
  </si>
  <si>
    <t>ANTIESPASMODICOS; TIPO: MONODROGA, DROGA GENERICA: ATROPINA 1%, FORMA FARMACEUTICA: AMPOLLA, PRESENTACION: ENVASE X 1 mL</t>
  </si>
  <si>
    <t>AMPOLLA</t>
  </si>
  <si>
    <t>2.5.2-1843.51</t>
  </si>
  <si>
    <t>ANTIESPASMODICOS; TIPO: MONODROGA, DROGA GENERICA: HIOSCINA N-BUTILBROMURO 20 MG, FORMA FARMACEUTICA: AMPOLLA, PRESENTACION: 1 ML</t>
  </si>
  <si>
    <t>2.5.2-1724.57</t>
  </si>
  <si>
    <t>ANALGESICOS ; TIPO: ASOCIACION, DROGA GENERICA: DIPIRONA+ HIOSCINA, FORMA FARMACEUTICA: AMPOLLA, PRESENTACION: AMPOLLA X 5 mL</t>
  </si>
  <si>
    <t>2.5.2-8078.68</t>
  </si>
  <si>
    <t>QUIMICOS</t>
  </si>
  <si>
    <t>EXCIPIENTES; TIPO: MONODROGA, PRESENTACION: ENVASE X 1 Kg, COMPUESTO: CARBON ACTIVADO, CONCENTRACION/PUREZA: 100 %</t>
  </si>
  <si>
    <t>UNIDAD</t>
  </si>
  <si>
    <t>2.5.2-1903.89</t>
  </si>
  <si>
    <t>RECONSTITUYENTE GENERAL; TIPO: MONODROGA, DROGA GENERICA: CALCIO CARBONATO, FORMA FARMACEUTICA: COMPRIMIDO, PRESENTACION: 500 mGr</t>
  </si>
  <si>
    <t>COMPRIMIDO</t>
  </si>
  <si>
    <t>2.5.2-1901.7</t>
  </si>
  <si>
    <t>VITAMINAS; FORMA FARMACEUTICA: AMPOLLA, PRESENTACION: 2 mL, TIPO: MONODROGA, DROGA GENERICA: VITAMINA B</t>
  </si>
  <si>
    <t>2.5.2-1872.65</t>
  </si>
  <si>
    <t>ANTIANEMICOS; TIPO: MONODROGA, DROGA GENERICA: COMPLEJO VITAMINICO B, FORMA FARMACEUTICA: COMPRIMIDO, PRESENTACION: UNIDAD</t>
  </si>
  <si>
    <t>2.5.2-1861.33</t>
  </si>
  <si>
    <t>HIPOGLUCEMIANTES INYECTABLES; TIPO: MONODROGA, DROGA GENERICA: INSULINA CTE, FORMA FARMACEUTICA: AMPOLLA, PRESENTACION: ENVASE X 10 mL</t>
  </si>
  <si>
    <t>FRASCO AMPOLLA</t>
  </si>
  <si>
    <t>2.5.2-1861.10</t>
  </si>
  <si>
    <t>HIPOGLUCEMIANTES INYECTABLES; TIPO: MONODROGA, DROGA GENERICA: INSULINA HUMANA NHP 100 UI, FORMA FARMACEUTICA: AMPOLLA, PRESENTACION: 10 mL</t>
  </si>
  <si>
    <t>2.5.2-2804.1</t>
  </si>
  <si>
    <t>REGULADORES INTESTINALES; TIPO: MONODROGA, DROGA GENERICA: LACTULOSA, FORMA FARMACEUTICA: JARABE, PRESENTACION: 120 mL</t>
  </si>
  <si>
    <t>FRASCO</t>
  </si>
  <si>
    <t>2.5.2-2481.38</t>
  </si>
  <si>
    <t>LAXANTES; TIPO: MONODROGA, DROGA GENERICA: LIMONADA, FORMA FARMACEUTICA: POLVO, PRESENTACION: 60 GR</t>
  </si>
  <si>
    <t>2.5.2-1816.34</t>
  </si>
  <si>
    <t>ANTIDIARREICOS; TIPO: MONODROGA, DROGA GENERICA: LOPERAMIDA, FORMA FARMACEUTICA: CAPSULA, PRESENTACION: 2 mGr</t>
  </si>
  <si>
    <t>2.5.2-1862.16</t>
  </si>
  <si>
    <t>HIPOGLUCEMIANTES ORALES; TIPO: MONODROGA, DROGA GENERICA: METFORMINA, FORMA FARMACEUTICA: COMPRIMIDO, PRESENTACION: 850 mGr</t>
  </si>
  <si>
    <t>2.5.2-6910.6</t>
  </si>
  <si>
    <t>ANTIEMETICOS; TIPO: MONODROGA, DROGA GENERICA: METOCLOPRAMIDA, FORMA FARMACEUTICA: AMPOLLA, PRESENTACION: 2 mL</t>
  </si>
  <si>
    <t>2.5.2-1849.3</t>
  </si>
  <si>
    <t>ANTIULCEROSOS; TIPO: MONODROGA, DROGA GENERICA: OMEPRAZOL, FORMA FARMACEUTICA: CAPSULA, PRESENTACION: 20 mGr</t>
  </si>
  <si>
    <t>CAPSULA</t>
  </si>
  <si>
    <t>2.5.2-2481.13</t>
  </si>
  <si>
    <t>LAXANTES; TIPO: MONODROGA, DROGA GENERICA: PICOSULFATO SODICO, FORMA FARMACEUTICA: GOTAS, PRESENTACION: 15 mL</t>
  </si>
  <si>
    <t>GOTERO</t>
  </si>
  <si>
    <t>2.5.2-1841.17</t>
  </si>
  <si>
    <t>ANTIACIDOS; TIPO: MONODROGA, DROGA GENERICA: RANITIDINA, FORMA FARMACEUTICA: AMPOLLA, PRESENTACION: UNIDAD</t>
  </si>
  <si>
    <t>2.5.2-1841.13</t>
  </si>
  <si>
    <t>ANTIACIDOS; TIPO: MONODROGA, DROGA GENERICA: SUCRALFATO, FORMA FARMACEUTICA: SOLUCION, PRESENTACION: ENVASE X 200 mL</t>
  </si>
  <si>
    <t>2.5.2-5520.5</t>
  </si>
  <si>
    <t>VASELINA; TIPO: LIQUIDA, PRESENTACION: ENVASE X 1000 mL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</si>
  <si>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</si>
  <si>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</si>
  <si>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>PLAZO DE ENTREGA: 15 DIAS HABILES - SERVICIO DE FARMACIA - AVDA. ILLIA Y MARIANO MORENO - DE LUNES A VIERNES DE 08:00 A 11:00 HORAS DEBIENDO CORRER LOS GASTOS DE FLETES, ACARREO, CARGA, DESCARGA Y SEGURO A CARGO DEL ADJUDICATARIO.</t>
  </si>
  <si>
    <t>SEMESTRAL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</si>
  <si>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 ITEMS N 06 </t>
    </r>
    <r>
      <rPr>
        <sz val="10"/>
        <rFont val="Times New Roman"/>
        <family val="1"/>
      </rPr>
      <t>: VITAMINAS; FORMA FARMACEUTICA: AMPOLLA, PRESENTACION: 2 mL, TIPO: BECOZYM NF AMPOLLAS</t>
    </r>
  </si>
  <si>
    <t>Costo total estimado: CUATRO MILLONES TRESCIENTOS SESENTA Y UN MIL DOSCIENTOS CUARENTA CON 40/100.--</t>
  </si>
  <si>
    <t>TOTAL DE PESOS: CUATRO MILLONES TRESCIENTOS SESENTA Y UN MIL DOSCIENTOS CUARENTA CON 40/100.---</t>
  </si>
  <si>
    <t>SI</t>
  </si>
  <si>
    <t xml:space="preserve">Adquisición de MEDICAMENTOS P/TRACTO ALIMENTARIO Y METABOLISMO / VITAMINAS Y OTROS /ANTIDIABETICOS E INSULINAS </t>
  </si>
  <si>
    <t>NOTA DE PEDIDO 105</t>
  </si>
  <si>
    <t>DOCFI-2022-01383077-CAT-DASIS#HSJB</t>
  </si>
  <si>
    <t>lleva especif tecnica. Error nuestro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</si>
</sst>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  <numFmt numFmtId="170" formatCode="_-&quot;$&quot;* #,##0.00_-;\-&quot;$&quot;* #,##0.00_-;_-&quot;$&quot;* &quot;-&quot;??_-;_-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1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166" fontId="4" fillId="4" borderId="11" xfId="1" applyNumberFormat="1" applyFont="1" applyFill="1" applyBorder="1" applyAlignment="1" applyProtection="1">
      <alignment horizontal="right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0" fontId="14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left" vertical="center" wrapText="1"/>
    </xf>
    <xf numFmtId="3" fontId="14" fillId="0" borderId="40" xfId="0" applyNumberFormat="1" applyFont="1" applyBorder="1" applyAlignment="1">
      <alignment horizontal="center" vertical="center"/>
    </xf>
    <xf numFmtId="169" fontId="14" fillId="0" borderId="40" xfId="0" applyNumberFormat="1" applyFont="1" applyBorder="1" applyAlignment="1">
      <alignment horizontal="center" vertical="center"/>
    </xf>
    <xf numFmtId="170" fontId="14" fillId="0" borderId="40" xfId="0" applyNumberFormat="1" applyFont="1" applyBorder="1" applyAlignment="1">
      <alignment horizontal="right" vertical="center" wrapText="1"/>
    </xf>
    <xf numFmtId="0" fontId="14" fillId="0" borderId="41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 wrapText="1"/>
    </xf>
    <xf numFmtId="169" fontId="14" fillId="0" borderId="40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3" fontId="14" fillId="0" borderId="0" xfId="0" applyNumberFormat="1" applyFont="1" applyBorder="1" applyAlignment="1">
      <alignment horizontal="center" vertical="center"/>
    </xf>
    <xf numFmtId="169" fontId="14" fillId="0" borderId="0" xfId="0" applyNumberFormat="1" applyFont="1" applyBorder="1" applyAlignment="1">
      <alignment horizontal="right" vertical="center"/>
    </xf>
    <xf numFmtId="170" fontId="14" fillId="0" borderId="0" xfId="0" applyNumberFormat="1" applyFont="1" applyBorder="1" applyAlignment="1">
      <alignment horizontal="right" vertical="center" wrapText="1"/>
    </xf>
    <xf numFmtId="0" fontId="14" fillId="4" borderId="40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 wrapText="1"/>
    </xf>
    <xf numFmtId="0" fontId="0" fillId="4" borderId="40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left" vertical="center" wrapText="1"/>
    </xf>
    <xf numFmtId="3" fontId="14" fillId="4" borderId="40" xfId="0" applyNumberFormat="1" applyFont="1" applyFill="1" applyBorder="1" applyAlignment="1">
      <alignment horizontal="center" vertical="center"/>
    </xf>
    <xf numFmtId="169" fontId="14" fillId="4" borderId="40" xfId="0" applyNumberFormat="1" applyFont="1" applyFill="1" applyBorder="1" applyAlignment="1">
      <alignment horizontal="center" vertical="center"/>
    </xf>
    <xf numFmtId="170" fontId="14" fillId="4" borderId="40" xfId="0" applyNumberFormat="1" applyFont="1" applyFill="1" applyBorder="1" applyAlignment="1">
      <alignment horizontal="right" vertical="center" wrapText="1"/>
    </xf>
    <xf numFmtId="0" fontId="15" fillId="4" borderId="0" xfId="0" applyFont="1" applyFill="1"/>
    <xf numFmtId="0" fontId="15" fillId="4" borderId="42" xfId="0" applyFont="1" applyFill="1" applyBorder="1" applyAlignment="1">
      <alignment vertical="center"/>
    </xf>
    <xf numFmtId="0" fontId="15" fillId="4" borderId="43" xfId="0" applyFont="1" applyFill="1" applyBorder="1" applyAlignment="1">
      <alignment vertical="center"/>
    </xf>
    <xf numFmtId="0" fontId="15" fillId="4" borderId="44" xfId="0" applyFont="1" applyFill="1" applyBorder="1" applyAlignment="1">
      <alignment vertical="center" wrapText="1"/>
    </xf>
    <xf numFmtId="0" fontId="14" fillId="4" borderId="41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wrapText="1" indent="1"/>
    </xf>
    <xf numFmtId="0" fontId="20" fillId="5" borderId="12" xfId="0" applyFont="1" applyFill="1" applyBorder="1" applyAlignment="1">
      <alignment horizontal="center" vertical="center" wrapText="1"/>
    </xf>
    <xf numFmtId="0" fontId="20" fillId="5" borderId="45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 wrapText="1"/>
    </xf>
    <xf numFmtId="0" fontId="15" fillId="5" borderId="45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1" fillId="0" borderId="3" xfId="0" applyFont="1" applyBorder="1" applyAlignment="1">
      <alignment horizontal="left" indent="1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/>
    </xf>
    <xf numFmtId="0" fontId="25" fillId="0" borderId="24" xfId="0" applyFont="1" applyBorder="1" applyAlignment="1">
      <alignment horizontal="left" vertical="center" wrapText="1"/>
    </xf>
    <xf numFmtId="0" fontId="22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2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6" fillId="0" borderId="36" xfId="0" applyFont="1" applyBorder="1" applyAlignment="1">
      <alignment horizontal="left" vertical="center" wrapText="1"/>
    </xf>
    <xf numFmtId="0" fontId="0" fillId="0" borderId="14" xfId="0" applyBorder="1"/>
    <xf numFmtId="0" fontId="14" fillId="5" borderId="40" xfId="0" applyFont="1" applyFill="1" applyBorder="1" applyAlignment="1">
      <alignment horizontal="center" vertical="center" wrapText="1"/>
    </xf>
    <xf numFmtId="0" fontId="0" fillId="5" borderId="40" xfId="0" applyFont="1" applyFill="1" applyBorder="1" applyAlignment="1">
      <alignment horizontal="center" vertical="center" wrapText="1"/>
    </xf>
    <xf numFmtId="0" fontId="14" fillId="5" borderId="40" xfId="0" applyFont="1" applyFill="1" applyBorder="1" applyAlignment="1">
      <alignment horizontal="left" vertical="center" wrapText="1"/>
    </xf>
    <xf numFmtId="3" fontId="14" fillId="5" borderId="40" xfId="0" applyNumberFormat="1" applyFont="1" applyFill="1" applyBorder="1" applyAlignment="1">
      <alignment horizontal="center" vertical="center"/>
    </xf>
    <xf numFmtId="169" fontId="14" fillId="5" borderId="40" xfId="0" applyNumberFormat="1" applyFont="1" applyFill="1" applyBorder="1" applyAlignment="1">
      <alignment horizontal="center" vertical="center"/>
    </xf>
    <xf numFmtId="170" fontId="14" fillId="5" borderId="40" xfId="0" applyNumberFormat="1" applyFont="1" applyFill="1" applyBorder="1" applyAlignment="1">
      <alignment horizontal="right" vertical="center" wrapText="1"/>
    </xf>
    <xf numFmtId="0" fontId="14" fillId="5" borderId="41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left" vertical="center" wrapText="1"/>
    </xf>
    <xf numFmtId="3" fontId="14" fillId="0" borderId="40" xfId="0" applyNumberFormat="1" applyFont="1" applyFill="1" applyBorder="1" applyAlignment="1">
      <alignment horizontal="center" vertical="center"/>
    </xf>
    <xf numFmtId="169" fontId="14" fillId="0" borderId="40" xfId="0" applyNumberFormat="1" applyFont="1" applyFill="1" applyBorder="1" applyAlignment="1">
      <alignment horizontal="center" vertical="center"/>
    </xf>
    <xf numFmtId="170" fontId="14" fillId="0" borderId="40" xfId="0" applyNumberFormat="1" applyFont="1" applyFill="1" applyBorder="1" applyAlignment="1">
      <alignment horizontal="right" vertical="center" wrapText="1"/>
    </xf>
    <xf numFmtId="0" fontId="14" fillId="0" borderId="4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0"/>
  <sheetViews>
    <sheetView tabSelected="1" zoomScale="80" zoomScaleNormal="80" workbookViewId="0">
      <selection activeCell="L33" sqref="L33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2.5703125" style="39" customWidth="1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8" t="s">
        <v>0</v>
      </c>
      <c r="C2" s="88"/>
      <c r="D2" s="88"/>
      <c r="E2" s="88"/>
      <c r="F2" s="88"/>
      <c r="G2" s="88"/>
      <c r="H2" s="88"/>
    </row>
    <row r="4" spans="1:9" ht="18" customHeight="1" x14ac:dyDescent="0.25">
      <c r="A4" s="89" t="s">
        <v>1</v>
      </c>
      <c r="B4" s="89"/>
      <c r="C4" s="90" t="s">
        <v>51</v>
      </c>
      <c r="D4" s="90"/>
      <c r="E4" s="90"/>
      <c r="F4" s="40"/>
      <c r="G4" s="41"/>
      <c r="H4" s="40"/>
    </row>
    <row r="5" spans="1:9" ht="18" customHeight="1" x14ac:dyDescent="0.25">
      <c r="A5" s="89" t="s">
        <v>2</v>
      </c>
      <c r="B5" s="89"/>
      <c r="C5" s="90" t="s">
        <v>52</v>
      </c>
      <c r="D5" s="90"/>
      <c r="E5" s="90"/>
      <c r="F5" s="40"/>
      <c r="G5" s="41"/>
      <c r="H5" s="40"/>
    </row>
    <row r="6" spans="1:9" ht="16.5" customHeight="1" x14ac:dyDescent="0.25">
      <c r="A6" s="89" t="s">
        <v>3</v>
      </c>
      <c r="B6" s="89"/>
      <c r="C6" s="43">
        <v>2022</v>
      </c>
      <c r="D6" s="44"/>
      <c r="E6" s="44"/>
      <c r="F6" s="40"/>
      <c r="G6" s="41"/>
      <c r="H6" s="40"/>
    </row>
    <row r="7" spans="1:9" ht="16.5" customHeight="1" x14ac:dyDescent="0.25">
      <c r="A7" s="89" t="s">
        <v>4</v>
      </c>
      <c r="B7" s="89"/>
      <c r="C7" s="43">
        <v>3</v>
      </c>
      <c r="D7" s="44"/>
      <c r="E7" s="4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s="82" customFormat="1" ht="31.9" customHeight="1" x14ac:dyDescent="0.2">
      <c r="A10" s="146">
        <v>1</v>
      </c>
      <c r="B10" s="147" t="s">
        <v>58</v>
      </c>
      <c r="C10" s="147" t="s">
        <v>59</v>
      </c>
      <c r="D10" s="148">
        <v>252</v>
      </c>
      <c r="E10" s="149" t="s">
        <v>60</v>
      </c>
      <c r="F10" s="147" t="s">
        <v>61</v>
      </c>
      <c r="G10" s="150">
        <v>3600</v>
      </c>
      <c r="H10" s="151">
        <v>50.4</v>
      </c>
      <c r="I10" s="152">
        <v>181440</v>
      </c>
    </row>
    <row r="11" spans="1:9" s="82" customFormat="1" ht="31.9" customHeight="1" x14ac:dyDescent="0.2">
      <c r="A11" s="153">
        <v>2</v>
      </c>
      <c r="B11" s="147" t="s">
        <v>62</v>
      </c>
      <c r="C11" s="147" t="s">
        <v>59</v>
      </c>
      <c r="D11" s="148">
        <v>252</v>
      </c>
      <c r="E11" s="154" t="s">
        <v>63</v>
      </c>
      <c r="F11" s="147" t="s">
        <v>61</v>
      </c>
      <c r="G11" s="150">
        <v>15000</v>
      </c>
      <c r="H11" s="151">
        <v>65</v>
      </c>
      <c r="I11" s="152">
        <v>975000</v>
      </c>
    </row>
    <row r="12" spans="1:9" s="82" customFormat="1" ht="31.9" customHeight="1" x14ac:dyDescent="0.2">
      <c r="A12" s="146">
        <v>3</v>
      </c>
      <c r="B12" s="147" t="s">
        <v>64</v>
      </c>
      <c r="C12" s="147" t="s">
        <v>59</v>
      </c>
      <c r="D12" s="148">
        <v>252</v>
      </c>
      <c r="E12" s="149" t="s">
        <v>65</v>
      </c>
      <c r="F12" s="147" t="s">
        <v>61</v>
      </c>
      <c r="G12" s="150">
        <v>1800</v>
      </c>
      <c r="H12" s="151">
        <v>92</v>
      </c>
      <c r="I12" s="152">
        <v>165600</v>
      </c>
    </row>
    <row r="13" spans="1:9" s="82" customFormat="1" ht="31.9" customHeight="1" x14ac:dyDescent="0.2">
      <c r="A13" s="153">
        <v>4</v>
      </c>
      <c r="B13" s="147" t="s">
        <v>66</v>
      </c>
      <c r="C13" s="146" t="s">
        <v>67</v>
      </c>
      <c r="D13" s="148">
        <v>252</v>
      </c>
      <c r="E13" s="154" t="s">
        <v>68</v>
      </c>
      <c r="F13" s="147" t="s">
        <v>69</v>
      </c>
      <c r="G13" s="150">
        <v>2</v>
      </c>
      <c r="H13" s="151">
        <v>1800</v>
      </c>
      <c r="I13" s="152">
        <v>3600</v>
      </c>
    </row>
    <row r="14" spans="1:9" s="82" customFormat="1" ht="31.9" customHeight="1" x14ac:dyDescent="0.2">
      <c r="A14" s="146">
        <v>5</v>
      </c>
      <c r="B14" s="147" t="s">
        <v>70</v>
      </c>
      <c r="C14" s="147" t="s">
        <v>59</v>
      </c>
      <c r="D14" s="155">
        <v>252</v>
      </c>
      <c r="E14" s="149" t="s">
        <v>71</v>
      </c>
      <c r="F14" s="147" t="s">
        <v>72</v>
      </c>
      <c r="G14" s="150">
        <v>9000</v>
      </c>
      <c r="H14" s="151">
        <v>5.98</v>
      </c>
      <c r="I14" s="152">
        <v>53820.000000000007</v>
      </c>
    </row>
    <row r="15" spans="1:9" s="82" customFormat="1" ht="31.9" customHeight="1" x14ac:dyDescent="0.2">
      <c r="A15" s="146">
        <v>6</v>
      </c>
      <c r="B15" s="147" t="s">
        <v>73</v>
      </c>
      <c r="C15" s="147" t="s">
        <v>59</v>
      </c>
      <c r="D15" s="148">
        <v>252</v>
      </c>
      <c r="E15" s="149" t="s">
        <v>74</v>
      </c>
      <c r="F15" s="147" t="s">
        <v>61</v>
      </c>
      <c r="G15" s="150">
        <v>4500</v>
      </c>
      <c r="H15" s="151">
        <v>110</v>
      </c>
      <c r="I15" s="152">
        <v>495000</v>
      </c>
    </row>
    <row r="16" spans="1:9" s="82" customFormat="1" ht="31.9" customHeight="1" x14ac:dyDescent="0.2">
      <c r="A16" s="153">
        <v>7</v>
      </c>
      <c r="B16" s="147" t="s">
        <v>75</v>
      </c>
      <c r="C16" s="147" t="s">
        <v>59</v>
      </c>
      <c r="D16" s="148">
        <v>252</v>
      </c>
      <c r="E16" s="149" t="s">
        <v>76</v>
      </c>
      <c r="F16" s="147" t="s">
        <v>72</v>
      </c>
      <c r="G16" s="150">
        <v>400</v>
      </c>
      <c r="H16" s="151">
        <v>17.8</v>
      </c>
      <c r="I16" s="152">
        <v>7120</v>
      </c>
    </row>
    <row r="17" spans="1:10" s="82" customFormat="1" ht="31.9" customHeight="1" x14ac:dyDescent="0.2">
      <c r="A17" s="145">
        <v>8</v>
      </c>
      <c r="B17" s="139" t="s">
        <v>77</v>
      </c>
      <c r="C17" s="139" t="s">
        <v>59</v>
      </c>
      <c r="D17" s="140">
        <v>252</v>
      </c>
      <c r="E17" s="141" t="s">
        <v>78</v>
      </c>
      <c r="F17" s="139" t="s">
        <v>79</v>
      </c>
      <c r="G17" s="142">
        <v>60</v>
      </c>
      <c r="H17" s="143">
        <v>1675</v>
      </c>
      <c r="I17" s="144">
        <v>100500</v>
      </c>
      <c r="J17" s="82" t="s">
        <v>116</v>
      </c>
    </row>
    <row r="18" spans="1:10" s="82" customFormat="1" ht="31.9" customHeight="1" x14ac:dyDescent="0.2">
      <c r="A18" s="75">
        <v>9</v>
      </c>
      <c r="B18" s="76" t="s">
        <v>80</v>
      </c>
      <c r="C18" s="76" t="s">
        <v>59</v>
      </c>
      <c r="D18" s="77">
        <v>252</v>
      </c>
      <c r="E18" s="78" t="s">
        <v>81</v>
      </c>
      <c r="F18" s="76" t="s">
        <v>79</v>
      </c>
      <c r="G18" s="79">
        <v>20</v>
      </c>
      <c r="H18" s="80">
        <v>1675</v>
      </c>
      <c r="I18" s="81">
        <v>33500</v>
      </c>
    </row>
    <row r="19" spans="1:10" s="82" customFormat="1" ht="31.9" customHeight="1" x14ac:dyDescent="0.2">
      <c r="A19" s="75">
        <v>10</v>
      </c>
      <c r="B19" s="76" t="s">
        <v>82</v>
      </c>
      <c r="C19" s="76" t="s">
        <v>59</v>
      </c>
      <c r="D19" s="77">
        <v>252</v>
      </c>
      <c r="E19" s="78" t="s">
        <v>83</v>
      </c>
      <c r="F19" s="76" t="s">
        <v>84</v>
      </c>
      <c r="G19" s="79">
        <v>250</v>
      </c>
      <c r="H19" s="80">
        <v>365</v>
      </c>
      <c r="I19" s="81">
        <v>91250</v>
      </c>
    </row>
    <row r="20" spans="1:10" s="82" customFormat="1" ht="31.9" customHeight="1" x14ac:dyDescent="0.2">
      <c r="A20" s="86">
        <v>11</v>
      </c>
      <c r="B20" s="76" t="s">
        <v>85</v>
      </c>
      <c r="C20" s="76" t="s">
        <v>59</v>
      </c>
      <c r="D20" s="77">
        <v>252</v>
      </c>
      <c r="E20" s="87" t="s">
        <v>86</v>
      </c>
      <c r="F20" s="76" t="s">
        <v>84</v>
      </c>
      <c r="G20" s="79">
        <v>100</v>
      </c>
      <c r="H20" s="80">
        <v>280</v>
      </c>
      <c r="I20" s="81">
        <v>28000</v>
      </c>
    </row>
    <row r="21" spans="1:10" s="82" customFormat="1" ht="31.9" customHeight="1" x14ac:dyDescent="0.2">
      <c r="A21" s="75">
        <v>12</v>
      </c>
      <c r="B21" s="76" t="s">
        <v>87</v>
      </c>
      <c r="C21" s="76" t="s">
        <v>59</v>
      </c>
      <c r="D21" s="77">
        <v>252</v>
      </c>
      <c r="E21" s="78" t="s">
        <v>88</v>
      </c>
      <c r="F21" s="76" t="s">
        <v>72</v>
      </c>
      <c r="G21" s="79">
        <v>600</v>
      </c>
      <c r="H21" s="80">
        <v>2.7</v>
      </c>
      <c r="I21" s="81">
        <v>1620</v>
      </c>
    </row>
    <row r="22" spans="1:10" s="82" customFormat="1" ht="31.9" customHeight="1" x14ac:dyDescent="0.2">
      <c r="A22" s="75">
        <v>13</v>
      </c>
      <c r="B22" s="76" t="s">
        <v>89</v>
      </c>
      <c r="C22" s="76" t="s">
        <v>59</v>
      </c>
      <c r="D22" s="77">
        <v>252</v>
      </c>
      <c r="E22" s="78" t="s">
        <v>90</v>
      </c>
      <c r="F22" s="76" t="s">
        <v>72</v>
      </c>
      <c r="G22" s="79">
        <v>100</v>
      </c>
      <c r="H22" s="80">
        <v>7.2</v>
      </c>
      <c r="I22" s="81">
        <v>720</v>
      </c>
    </row>
    <row r="23" spans="1:10" ht="31.9" customHeight="1" x14ac:dyDescent="0.2">
      <c r="A23" s="59">
        <v>14</v>
      </c>
      <c r="B23" s="60" t="s">
        <v>91</v>
      </c>
      <c r="C23" s="60" t="s">
        <v>59</v>
      </c>
      <c r="D23" s="61">
        <v>252</v>
      </c>
      <c r="E23" s="62" t="s">
        <v>92</v>
      </c>
      <c r="F23" s="60" t="s">
        <v>61</v>
      </c>
      <c r="G23" s="63">
        <v>15000</v>
      </c>
      <c r="H23" s="64">
        <v>35.799999999999997</v>
      </c>
      <c r="I23" s="65">
        <v>537000</v>
      </c>
    </row>
    <row r="24" spans="1:10" ht="31.9" customHeight="1" x14ac:dyDescent="0.2">
      <c r="A24" s="66">
        <v>15</v>
      </c>
      <c r="B24" s="60" t="s">
        <v>93</v>
      </c>
      <c r="C24" s="60" t="s">
        <v>59</v>
      </c>
      <c r="D24" s="61">
        <v>252</v>
      </c>
      <c r="E24" s="62" t="s">
        <v>94</v>
      </c>
      <c r="F24" s="60" t="s">
        <v>95</v>
      </c>
      <c r="G24" s="63">
        <v>3000</v>
      </c>
      <c r="H24" s="64">
        <v>2.2999999999999998</v>
      </c>
      <c r="I24" s="65">
        <v>6899.9999999999991</v>
      </c>
    </row>
    <row r="25" spans="1:10" ht="31.9" customHeight="1" x14ac:dyDescent="0.2">
      <c r="A25" s="59">
        <v>16</v>
      </c>
      <c r="B25" s="60" t="s">
        <v>96</v>
      </c>
      <c r="C25" s="60" t="s">
        <v>59</v>
      </c>
      <c r="D25" s="61">
        <v>252</v>
      </c>
      <c r="E25" s="62" t="s">
        <v>97</v>
      </c>
      <c r="F25" s="60" t="s">
        <v>98</v>
      </c>
      <c r="G25" s="63">
        <v>30</v>
      </c>
      <c r="H25" s="64">
        <v>885.68</v>
      </c>
      <c r="I25" s="65">
        <v>26570.399999999998</v>
      </c>
    </row>
    <row r="26" spans="1:10" ht="31.9" customHeight="1" x14ac:dyDescent="0.2">
      <c r="A26" s="59">
        <v>17</v>
      </c>
      <c r="B26" s="60" t="s">
        <v>99</v>
      </c>
      <c r="C26" s="60" t="s">
        <v>59</v>
      </c>
      <c r="D26" s="61">
        <v>252</v>
      </c>
      <c r="E26" s="62" t="s">
        <v>100</v>
      </c>
      <c r="F26" s="60" t="s">
        <v>61</v>
      </c>
      <c r="G26" s="63">
        <v>30000</v>
      </c>
      <c r="H26" s="68">
        <v>47.5</v>
      </c>
      <c r="I26" s="65">
        <v>1425000</v>
      </c>
    </row>
    <row r="27" spans="1:10" ht="31.9" customHeight="1" x14ac:dyDescent="0.2">
      <c r="A27" s="59">
        <v>18</v>
      </c>
      <c r="B27" s="60" t="s">
        <v>101</v>
      </c>
      <c r="C27" s="60" t="s">
        <v>59</v>
      </c>
      <c r="D27" s="61">
        <v>252</v>
      </c>
      <c r="E27" s="62" t="s">
        <v>102</v>
      </c>
      <c r="F27" s="60" t="s">
        <v>84</v>
      </c>
      <c r="G27" s="63">
        <v>240</v>
      </c>
      <c r="H27" s="68">
        <v>830</v>
      </c>
      <c r="I27" s="65">
        <v>199200</v>
      </c>
    </row>
    <row r="28" spans="1:10" ht="31.9" customHeight="1" x14ac:dyDescent="0.2">
      <c r="A28" s="66">
        <v>19</v>
      </c>
      <c r="B28" s="60" t="s">
        <v>103</v>
      </c>
      <c r="C28" s="60" t="s">
        <v>59</v>
      </c>
      <c r="D28" s="61">
        <v>252</v>
      </c>
      <c r="E28" s="62" t="s">
        <v>104</v>
      </c>
      <c r="F28" s="60" t="s">
        <v>84</v>
      </c>
      <c r="G28" s="63">
        <v>30</v>
      </c>
      <c r="H28" s="68">
        <v>980</v>
      </c>
      <c r="I28" s="65">
        <v>29400</v>
      </c>
    </row>
    <row r="29" spans="1:10" ht="31.9" customHeight="1" thickBot="1" x14ac:dyDescent="0.25">
      <c r="A29" s="69"/>
      <c r="B29" s="70"/>
      <c r="C29" s="70"/>
      <c r="D29" s="71"/>
      <c r="E29" s="67"/>
      <c r="F29" s="70"/>
      <c r="G29" s="72"/>
      <c r="H29" s="73"/>
      <c r="I29" s="74"/>
    </row>
    <row r="30" spans="1:10" ht="62.25" customHeight="1" thickBot="1" x14ac:dyDescent="0.25">
      <c r="A30" s="69"/>
      <c r="B30" s="91" t="s">
        <v>105</v>
      </c>
      <c r="C30" s="92"/>
      <c r="D30" s="92"/>
      <c r="E30" s="93"/>
      <c r="F30" s="70"/>
      <c r="G30" s="72"/>
      <c r="H30" s="73"/>
      <c r="I30" s="74"/>
    </row>
    <row r="31" spans="1:10" ht="31.9" customHeight="1" thickBot="1" x14ac:dyDescent="0.25">
      <c r="A31" s="69"/>
      <c r="B31" s="94" t="s">
        <v>106</v>
      </c>
      <c r="C31" s="95"/>
      <c r="D31" s="95"/>
      <c r="E31" s="96"/>
      <c r="F31" s="70"/>
      <c r="G31" s="72"/>
      <c r="H31" s="73"/>
      <c r="I31" s="74"/>
    </row>
    <row r="32" spans="1:10" ht="42" customHeight="1" thickBot="1" x14ac:dyDescent="0.25">
      <c r="A32" s="69"/>
      <c r="B32" s="97" t="s">
        <v>107</v>
      </c>
      <c r="C32" s="98"/>
      <c r="D32" s="98"/>
      <c r="E32" s="99"/>
      <c r="F32" s="70"/>
      <c r="G32" s="72"/>
      <c r="H32" s="73"/>
      <c r="I32" s="74"/>
    </row>
    <row r="33" spans="1:9" ht="8.25" customHeight="1" x14ac:dyDescent="0.2">
      <c r="A33" s="69"/>
      <c r="B33" s="70"/>
      <c r="C33" s="70"/>
      <c r="D33" s="71"/>
      <c r="E33" s="67"/>
      <c r="F33" s="70"/>
      <c r="G33" s="72"/>
      <c r="H33" s="73"/>
      <c r="I33" s="74"/>
    </row>
    <row r="35" spans="1:9" ht="13.5" thickBot="1" x14ac:dyDescent="0.25"/>
    <row r="36" spans="1:9" ht="34.5" customHeight="1" thickBot="1" x14ac:dyDescent="0.25">
      <c r="B36" s="83" t="s">
        <v>109</v>
      </c>
      <c r="C36" s="84"/>
      <c r="D36" s="84"/>
      <c r="E36" s="85"/>
    </row>
    <row r="38" spans="1:9" ht="13.5" customHeight="1" x14ac:dyDescent="0.2"/>
    <row r="40" spans="1:9" ht="13.5" customHeight="1" x14ac:dyDescent="0.2"/>
  </sheetData>
  <mergeCells count="10">
    <mergeCell ref="B30:E30"/>
    <mergeCell ref="B31:E31"/>
    <mergeCell ref="B32:E32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1"/>
  <sheetViews>
    <sheetView topLeftCell="A12" zoomScale="70" zoomScaleNormal="70" workbookViewId="0">
      <selection activeCell="Z23" sqref="Z2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6.85546875" style="2" customWidth="1"/>
    <col min="12" max="13" width="5.85546875" style="2" customWidth="1"/>
    <col min="14" max="14" width="8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0" t="s">
        <v>114</v>
      </c>
      <c r="B1" s="100"/>
      <c r="C1" s="100"/>
      <c r="D1" s="100"/>
      <c r="E1" s="100"/>
      <c r="F1" s="100"/>
      <c r="G1" s="100"/>
      <c r="H1" s="100"/>
      <c r="I1" s="100"/>
      <c r="J1" s="3" t="s">
        <v>14</v>
      </c>
      <c r="K1" s="45" t="s">
        <v>115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1" t="s">
        <v>47</v>
      </c>
      <c r="B3" s="101"/>
      <c r="C3" s="101"/>
      <c r="D3" s="102" t="str">
        <f>'Necesidades Trimestrales'!C4</f>
        <v>40 - Ministerio de Salud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03" t="s">
        <v>48</v>
      </c>
      <c r="B4" s="103"/>
      <c r="C4" s="103"/>
      <c r="D4" s="102" t="str">
        <f>'Necesidades Trimestrales'!C5</f>
        <v>23 - Hospital Interzonal San Juan Bautista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03" t="s">
        <v>26</v>
      </c>
      <c r="B5" s="103"/>
      <c r="C5" s="103"/>
      <c r="D5" s="102" t="s">
        <v>53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01" t="s">
        <v>49</v>
      </c>
      <c r="B6" s="101"/>
      <c r="C6" s="101"/>
      <c r="D6" s="102" t="s">
        <v>54</v>
      </c>
      <c r="E6" s="102"/>
      <c r="F6" s="102"/>
      <c r="G6" s="102"/>
      <c r="H6" s="102"/>
      <c r="I6" s="102"/>
      <c r="J6" s="102"/>
      <c r="K6" s="102"/>
    </row>
    <row r="7" spans="1:11" ht="16.5" customHeight="1" x14ac:dyDescent="0.2">
      <c r="A7" s="103" t="s">
        <v>15</v>
      </c>
      <c r="B7" s="103"/>
      <c r="C7" s="103"/>
      <c r="D7" s="102" t="s">
        <v>108</v>
      </c>
      <c r="E7" s="102"/>
      <c r="F7" s="102"/>
      <c r="G7" s="102"/>
      <c r="H7" s="102"/>
      <c r="I7" s="102"/>
      <c r="J7" s="102"/>
      <c r="K7" s="102"/>
    </row>
    <row r="8" spans="1:11" ht="16.5" customHeight="1" x14ac:dyDescent="0.2">
      <c r="A8" s="105" t="s">
        <v>16</v>
      </c>
      <c r="B8" s="105"/>
      <c r="C8" s="105"/>
      <c r="D8" s="106" t="s">
        <v>113</v>
      </c>
      <c r="E8" s="106"/>
      <c r="F8" s="106"/>
      <c r="G8" s="106"/>
      <c r="H8" s="106"/>
      <c r="I8" s="106"/>
      <c r="J8" s="106"/>
      <c r="K8" s="10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7" t="s">
        <v>17</v>
      </c>
      <c r="B10" s="108" t="s">
        <v>18</v>
      </c>
      <c r="C10" s="108" t="s">
        <v>19</v>
      </c>
      <c r="D10" s="108"/>
      <c r="E10" s="108"/>
      <c r="F10" s="108"/>
      <c r="G10" s="108"/>
      <c r="H10" s="108" t="s">
        <v>20</v>
      </c>
      <c r="I10" s="108" t="s">
        <v>21</v>
      </c>
      <c r="J10" s="108" t="s">
        <v>22</v>
      </c>
      <c r="K10" s="109" t="s">
        <v>23</v>
      </c>
    </row>
    <row r="11" spans="1:11" ht="24" customHeight="1" thickBot="1" x14ac:dyDescent="0.25">
      <c r="A11" s="107"/>
      <c r="B11" s="108"/>
      <c r="C11" s="108"/>
      <c r="D11" s="108"/>
      <c r="E11" s="108"/>
      <c r="F11" s="108"/>
      <c r="G11" s="108"/>
      <c r="H11" s="108"/>
      <c r="I11" s="108"/>
      <c r="J11" s="108"/>
      <c r="K11" s="109"/>
    </row>
    <row r="12" spans="1:11" ht="47.25" customHeight="1" thickBot="1" x14ac:dyDescent="0.25">
      <c r="A12" s="8">
        <v>1</v>
      </c>
      <c r="B12" s="46" t="str">
        <f>'Necesidades Trimestrales'!B10</f>
        <v>2.5.2-1843.63</v>
      </c>
      <c r="C12" s="110" t="str">
        <f>'Necesidades Trimestrales'!E10</f>
        <v>ANTIESPASMODICOS; TIPO: MONODROGA, DROGA GENERICA: ATROPINA 1%, FORMA FARMACEUTICA: AMPOLLA, PRESENTACION: ENVASE X 1 mL</v>
      </c>
      <c r="D12" s="110"/>
      <c r="E12" s="110"/>
      <c r="F12" s="110"/>
      <c r="G12" s="110"/>
      <c r="H12" s="47" t="s">
        <v>50</v>
      </c>
      <c r="I12" s="48" t="str">
        <f>'Necesidades Trimestrales'!F10</f>
        <v>AMPOLLA</v>
      </c>
      <c r="J12" s="49">
        <f>'Necesidades Trimestrales'!H10</f>
        <v>50.4</v>
      </c>
      <c r="K12" s="50">
        <f>'Necesidades Trimestrales'!G10</f>
        <v>3600</v>
      </c>
    </row>
    <row r="13" spans="1:11" ht="35.25" customHeight="1" thickBot="1" x14ac:dyDescent="0.25">
      <c r="A13" s="8">
        <v>2</v>
      </c>
      <c r="B13" s="46" t="str">
        <f>'Necesidades Trimestrales'!B11</f>
        <v>2.5.2-1843.51</v>
      </c>
      <c r="C13" s="110" t="str">
        <f>'Necesidades Trimestrales'!E11</f>
        <v>ANTIESPASMODICOS; TIPO: MONODROGA, DROGA GENERICA: HIOSCINA N-BUTILBROMURO 20 MG, FORMA FARMACEUTICA: AMPOLLA, PRESENTACION: 1 ML</v>
      </c>
      <c r="D13" s="110"/>
      <c r="E13" s="110"/>
      <c r="F13" s="110"/>
      <c r="G13" s="110"/>
      <c r="H13" s="47" t="s">
        <v>50</v>
      </c>
      <c r="I13" s="48" t="str">
        <f>'Necesidades Trimestrales'!F11</f>
        <v>AMPOLLA</v>
      </c>
      <c r="J13" s="49">
        <f>'Necesidades Trimestrales'!H11</f>
        <v>65</v>
      </c>
      <c r="K13" s="50">
        <f>'Necesidades Trimestrales'!G11</f>
        <v>15000</v>
      </c>
    </row>
    <row r="14" spans="1:11" ht="42.75" customHeight="1" thickBot="1" x14ac:dyDescent="0.25">
      <c r="A14" s="8">
        <v>3</v>
      </c>
      <c r="B14" s="46" t="str">
        <f>'Necesidades Trimestrales'!B12</f>
        <v>2.5.2-1724.57</v>
      </c>
      <c r="C14" s="110" t="str">
        <f>'Necesidades Trimestrales'!E12</f>
        <v>ANALGESICOS ; TIPO: ASOCIACION, DROGA GENERICA: DIPIRONA+ HIOSCINA, FORMA FARMACEUTICA: AMPOLLA, PRESENTACION: AMPOLLA X 5 mL</v>
      </c>
      <c r="D14" s="110"/>
      <c r="E14" s="110"/>
      <c r="F14" s="110"/>
      <c r="G14" s="110"/>
      <c r="H14" s="47" t="s">
        <v>50</v>
      </c>
      <c r="I14" s="48" t="str">
        <f>'Necesidades Trimestrales'!F12</f>
        <v>AMPOLLA</v>
      </c>
      <c r="J14" s="49">
        <f>'Necesidades Trimestrales'!H12</f>
        <v>92</v>
      </c>
      <c r="K14" s="50">
        <f>'Necesidades Trimestrales'!G12</f>
        <v>1800</v>
      </c>
    </row>
    <row r="15" spans="1:11" ht="45" customHeight="1" thickBot="1" x14ac:dyDescent="0.25">
      <c r="A15" s="8">
        <v>4</v>
      </c>
      <c r="B15" s="46" t="str">
        <f>'Necesidades Trimestrales'!B13</f>
        <v>2.5.2-8078.68</v>
      </c>
      <c r="C15" s="110" t="str">
        <f>'Necesidades Trimestrales'!E13</f>
        <v>EXCIPIENTES; TIPO: MONODROGA, PRESENTACION: ENVASE X 1 Kg, COMPUESTO: CARBON ACTIVADO, CONCENTRACION/PUREZA: 100 %</v>
      </c>
      <c r="D15" s="110"/>
      <c r="E15" s="110"/>
      <c r="F15" s="110"/>
      <c r="G15" s="110"/>
      <c r="H15" s="47" t="s">
        <v>50</v>
      </c>
      <c r="I15" s="48" t="str">
        <f>'Necesidades Trimestrales'!F13</f>
        <v>UNIDAD</v>
      </c>
      <c r="J15" s="49">
        <f>'Necesidades Trimestrales'!H13</f>
        <v>1800</v>
      </c>
      <c r="K15" s="50">
        <f>'Necesidades Trimestrales'!G13</f>
        <v>2</v>
      </c>
    </row>
    <row r="16" spans="1:11" ht="39.75" customHeight="1" thickBot="1" x14ac:dyDescent="0.25">
      <c r="A16" s="8">
        <v>5</v>
      </c>
      <c r="B16" s="46" t="str">
        <f>'Necesidades Trimestrales'!B14</f>
        <v>2.5.2-1903.89</v>
      </c>
      <c r="C16" s="110" t="str">
        <f>'Necesidades Trimestrales'!E14</f>
        <v>RECONSTITUYENTE GENERAL; TIPO: MONODROGA, DROGA GENERICA: CALCIO CARBONATO, FORMA FARMACEUTICA: COMPRIMIDO, PRESENTACION: 500 mGr</v>
      </c>
      <c r="D16" s="110"/>
      <c r="E16" s="110"/>
      <c r="F16" s="110"/>
      <c r="G16" s="110"/>
      <c r="H16" s="47" t="s">
        <v>50</v>
      </c>
      <c r="I16" s="48" t="str">
        <f>'Necesidades Trimestrales'!F14</f>
        <v>COMPRIMIDO</v>
      </c>
      <c r="J16" s="49">
        <f>'Necesidades Trimestrales'!H14</f>
        <v>5.98</v>
      </c>
      <c r="K16" s="50">
        <f>'Necesidades Trimestrales'!G14</f>
        <v>9000</v>
      </c>
    </row>
    <row r="17" spans="1:1024" ht="36" customHeight="1" thickBot="1" x14ac:dyDescent="0.25">
      <c r="A17" s="8">
        <v>6</v>
      </c>
      <c r="B17" s="46" t="str">
        <f>'Necesidades Trimestrales'!B15</f>
        <v>2.5.2-1901.7</v>
      </c>
      <c r="C17" s="110" t="str">
        <f>'Necesidades Trimestrales'!E15</f>
        <v>VITAMINAS; FORMA FARMACEUTICA: AMPOLLA, PRESENTACION: 2 mL, TIPO: MONODROGA, DROGA GENERICA: VITAMINA B</v>
      </c>
      <c r="D17" s="110"/>
      <c r="E17" s="110"/>
      <c r="F17" s="110"/>
      <c r="G17" s="110"/>
      <c r="H17" s="47" t="s">
        <v>112</v>
      </c>
      <c r="I17" s="48" t="str">
        <f>'Necesidades Trimestrales'!F15</f>
        <v>AMPOLLA</v>
      </c>
      <c r="J17" s="49">
        <f>'Necesidades Trimestrales'!H15</f>
        <v>110</v>
      </c>
      <c r="K17" s="50">
        <f>'Necesidades Trimestrales'!G15</f>
        <v>4500</v>
      </c>
    </row>
    <row r="18" spans="1:1024" ht="38.25" customHeight="1" thickBot="1" x14ac:dyDescent="0.25">
      <c r="A18" s="8">
        <v>7</v>
      </c>
      <c r="B18" s="46" t="str">
        <f>'Necesidades Trimestrales'!B16</f>
        <v>2.5.2-1872.65</v>
      </c>
      <c r="C18" s="110" t="str">
        <f>'Necesidades Trimestrales'!E16</f>
        <v>ANTIANEMICOS; TIPO: MONODROGA, DROGA GENERICA: COMPLEJO VITAMINICO B, FORMA FARMACEUTICA: COMPRIMIDO, PRESENTACION: UNIDAD</v>
      </c>
      <c r="D18" s="110"/>
      <c r="E18" s="110"/>
      <c r="F18" s="110"/>
      <c r="G18" s="110"/>
      <c r="H18" s="47" t="s">
        <v>50</v>
      </c>
      <c r="I18" s="48" t="str">
        <f>'Necesidades Trimestrales'!F16</f>
        <v>COMPRIMIDO</v>
      </c>
      <c r="J18" s="49">
        <f>'Necesidades Trimestrales'!H16</f>
        <v>17.8</v>
      </c>
      <c r="K18" s="50">
        <f>'Necesidades Trimestrales'!G16</f>
        <v>400</v>
      </c>
    </row>
    <row r="19" spans="1:1024" ht="36" customHeight="1" thickBot="1" x14ac:dyDescent="0.25">
      <c r="A19" s="8">
        <v>8</v>
      </c>
      <c r="B19" s="46" t="str">
        <f>'Necesidades Trimestrales'!B17</f>
        <v>2.5.2-1861.33</v>
      </c>
      <c r="C19" s="110" t="str">
        <f>'Necesidades Trimestrales'!E17</f>
        <v>HIPOGLUCEMIANTES INYECTABLES; TIPO: MONODROGA, DROGA GENERICA: INSULINA CTE, FORMA FARMACEUTICA: AMPOLLA, PRESENTACION: ENVASE X 10 mL</v>
      </c>
      <c r="D19" s="110"/>
      <c r="E19" s="110"/>
      <c r="F19" s="110"/>
      <c r="G19" s="110"/>
      <c r="H19" s="47" t="s">
        <v>50</v>
      </c>
      <c r="I19" s="48" t="str">
        <f>'Necesidades Trimestrales'!F17</f>
        <v>FRASCO AMPOLLA</v>
      </c>
      <c r="J19" s="49">
        <f>'Necesidades Trimestrales'!H17</f>
        <v>1675</v>
      </c>
      <c r="K19" s="50">
        <f>'Necesidades Trimestrales'!G17</f>
        <v>60</v>
      </c>
    </row>
    <row r="20" spans="1:1024" ht="37.5" customHeight="1" thickBot="1" x14ac:dyDescent="0.25">
      <c r="A20" s="8">
        <v>9</v>
      </c>
      <c r="B20" s="46" t="str">
        <f>'Necesidades Trimestrales'!B18</f>
        <v>2.5.2-1861.10</v>
      </c>
      <c r="C20" s="110" t="str">
        <f>'Necesidades Trimestrales'!E18</f>
        <v>HIPOGLUCEMIANTES INYECTABLES; TIPO: MONODROGA, DROGA GENERICA: INSULINA HUMANA NHP 100 UI, FORMA FARMACEUTICA: AMPOLLA, PRESENTACION: 10 mL</v>
      </c>
      <c r="D20" s="110"/>
      <c r="E20" s="110"/>
      <c r="F20" s="110"/>
      <c r="G20" s="110"/>
      <c r="H20" s="47" t="s">
        <v>50</v>
      </c>
      <c r="I20" s="48" t="str">
        <f>'Necesidades Trimestrales'!F18</f>
        <v>FRASCO AMPOLLA</v>
      </c>
      <c r="J20" s="49">
        <f>'Necesidades Trimestrales'!H18</f>
        <v>1675</v>
      </c>
      <c r="K20" s="50">
        <f>'Necesidades Trimestrales'!G18</f>
        <v>20</v>
      </c>
    </row>
    <row r="21" spans="1:1024" ht="45.75" customHeight="1" thickBot="1" x14ac:dyDescent="0.25">
      <c r="A21" s="8">
        <v>10</v>
      </c>
      <c r="B21" s="46" t="str">
        <f>'Necesidades Trimestrales'!B19</f>
        <v>2.5.2-2804.1</v>
      </c>
      <c r="C21" s="110" t="str">
        <f>'Necesidades Trimestrales'!E19</f>
        <v>REGULADORES INTESTINALES; TIPO: MONODROGA, DROGA GENERICA: LACTULOSA, FORMA FARMACEUTICA: JARABE, PRESENTACION: 120 mL</v>
      </c>
      <c r="D21" s="110"/>
      <c r="E21" s="110"/>
      <c r="F21" s="110"/>
      <c r="G21" s="110"/>
      <c r="H21" s="47" t="s">
        <v>50</v>
      </c>
      <c r="I21" s="48" t="str">
        <f>'Necesidades Trimestrales'!F19</f>
        <v>FRASCO</v>
      </c>
      <c r="J21" s="49">
        <f>'Necesidades Trimestrales'!H19</f>
        <v>365</v>
      </c>
      <c r="K21" s="50">
        <f>'Necesidades Trimestrales'!G19</f>
        <v>250</v>
      </c>
    </row>
    <row r="22" spans="1:1024" ht="39.75" customHeight="1" thickBot="1" x14ac:dyDescent="0.25">
      <c r="A22" s="8">
        <v>11</v>
      </c>
      <c r="B22" s="46" t="str">
        <f>'Necesidades Trimestrales'!B20</f>
        <v>2.5.2-2481.38</v>
      </c>
      <c r="C22" s="110" t="str">
        <f>'Necesidades Trimestrales'!E20</f>
        <v>LAXANTES; TIPO: MONODROGA, DROGA GENERICA: LIMONADA, FORMA FARMACEUTICA: POLVO, PRESENTACION: 60 GR</v>
      </c>
      <c r="D22" s="110"/>
      <c r="E22" s="110"/>
      <c r="F22" s="110"/>
      <c r="G22" s="110"/>
      <c r="H22" s="47" t="s">
        <v>50</v>
      </c>
      <c r="I22" s="48" t="str">
        <f>'Necesidades Trimestrales'!F20</f>
        <v>FRASCO</v>
      </c>
      <c r="J22" s="49">
        <f>'Necesidades Trimestrales'!H20</f>
        <v>280</v>
      </c>
      <c r="K22" s="50">
        <f>'Necesidades Trimestrales'!G20</f>
        <v>100</v>
      </c>
    </row>
    <row r="23" spans="1:1024" ht="33" customHeight="1" thickBot="1" x14ac:dyDescent="0.25">
      <c r="A23" s="8">
        <v>12</v>
      </c>
      <c r="B23" s="46" t="str">
        <f>'Necesidades Trimestrales'!B21</f>
        <v>2.5.2-1816.34</v>
      </c>
      <c r="C23" s="110" t="str">
        <f>'Necesidades Trimestrales'!E21</f>
        <v>ANTIDIARREICOS; TIPO: MONODROGA, DROGA GENERICA: LOPERAMIDA, FORMA FARMACEUTICA: CAPSULA, PRESENTACION: 2 mGr</v>
      </c>
      <c r="D23" s="110"/>
      <c r="E23" s="110"/>
      <c r="F23" s="110"/>
      <c r="G23" s="110"/>
      <c r="H23" s="47" t="s">
        <v>50</v>
      </c>
      <c r="I23" s="48" t="str">
        <f>'Necesidades Trimestrales'!F21</f>
        <v>COMPRIMIDO</v>
      </c>
      <c r="J23" s="49">
        <f>'Necesidades Trimestrales'!H21</f>
        <v>2.7</v>
      </c>
      <c r="K23" s="50">
        <f>'Necesidades Trimestrales'!G21</f>
        <v>600</v>
      </c>
    </row>
    <row r="24" spans="1:1024" ht="40.5" customHeight="1" thickBot="1" x14ac:dyDescent="0.25">
      <c r="A24" s="8">
        <v>13</v>
      </c>
      <c r="B24" s="46" t="str">
        <f>'Necesidades Trimestrales'!B22</f>
        <v>2.5.2-1862.16</v>
      </c>
      <c r="C24" s="110" t="str">
        <f>'Necesidades Trimestrales'!E22</f>
        <v>HIPOGLUCEMIANTES ORALES; TIPO: MONODROGA, DROGA GENERICA: METFORMINA, FORMA FARMACEUTICA: COMPRIMIDO, PRESENTACION: 850 mGr</v>
      </c>
      <c r="D24" s="110"/>
      <c r="E24" s="110"/>
      <c r="F24" s="110"/>
      <c r="G24" s="110"/>
      <c r="H24" s="47" t="s">
        <v>50</v>
      </c>
      <c r="I24" s="48" t="str">
        <f>'Necesidades Trimestrales'!F22</f>
        <v>COMPRIMIDO</v>
      </c>
      <c r="J24" s="49">
        <f>'Necesidades Trimestrales'!H22</f>
        <v>7.2</v>
      </c>
      <c r="K24" s="50">
        <f>'Necesidades Trimestrales'!G22</f>
        <v>100</v>
      </c>
    </row>
    <row r="25" spans="1:1024" ht="39.75" customHeight="1" thickBot="1" x14ac:dyDescent="0.25">
      <c r="A25" s="8">
        <v>14</v>
      </c>
      <c r="B25" s="46" t="str">
        <f>'Necesidades Trimestrales'!B23</f>
        <v>2.5.2-6910.6</v>
      </c>
      <c r="C25" s="110" t="str">
        <f>'Necesidades Trimestrales'!E23</f>
        <v>ANTIEMETICOS; TIPO: MONODROGA, DROGA GENERICA: METOCLOPRAMIDA, FORMA FARMACEUTICA: AMPOLLA, PRESENTACION: 2 mL</v>
      </c>
      <c r="D25" s="110"/>
      <c r="E25" s="110"/>
      <c r="F25" s="110"/>
      <c r="G25" s="110"/>
      <c r="H25" s="47" t="s">
        <v>50</v>
      </c>
      <c r="I25" s="48" t="str">
        <f>'Necesidades Trimestrales'!F23</f>
        <v>AMPOLLA</v>
      </c>
      <c r="J25" s="49">
        <f>'Necesidades Trimestrales'!H23</f>
        <v>35.799999999999997</v>
      </c>
      <c r="K25" s="50">
        <f>'Necesidades Trimestrales'!G23</f>
        <v>15000</v>
      </c>
    </row>
    <row r="26" spans="1:1024" ht="35.25" customHeight="1" thickBot="1" x14ac:dyDescent="0.25">
      <c r="A26" s="8">
        <v>15</v>
      </c>
      <c r="B26" s="46" t="str">
        <f>'Necesidades Trimestrales'!B24</f>
        <v>2.5.2-1849.3</v>
      </c>
      <c r="C26" s="110" t="str">
        <f>'Necesidades Trimestrales'!E24</f>
        <v>ANTIULCEROSOS; TIPO: MONODROGA, DROGA GENERICA: OMEPRAZOL, FORMA FARMACEUTICA: CAPSULA, PRESENTACION: 20 mGr</v>
      </c>
      <c r="D26" s="110"/>
      <c r="E26" s="110"/>
      <c r="F26" s="110"/>
      <c r="G26" s="110"/>
      <c r="H26" s="47" t="s">
        <v>50</v>
      </c>
      <c r="I26" s="48" t="str">
        <f>'Necesidades Trimestrales'!F24</f>
        <v>CAPSULA</v>
      </c>
      <c r="J26" s="49">
        <f>'Necesidades Trimestrales'!H24</f>
        <v>2.2999999999999998</v>
      </c>
      <c r="K26" s="50">
        <f>'Necesidades Trimestrales'!G24</f>
        <v>3000</v>
      </c>
    </row>
    <row r="27" spans="1:1024" ht="36" customHeight="1" thickBot="1" x14ac:dyDescent="0.25">
      <c r="A27" s="8">
        <v>16</v>
      </c>
      <c r="B27" s="46" t="str">
        <f>'Necesidades Trimestrales'!B25</f>
        <v>2.5.2-2481.13</v>
      </c>
      <c r="C27" s="110" t="str">
        <f>'Necesidades Trimestrales'!E25</f>
        <v>LAXANTES; TIPO: MONODROGA, DROGA GENERICA: PICOSULFATO SODICO, FORMA FARMACEUTICA: GOTAS, PRESENTACION: 15 mL</v>
      </c>
      <c r="D27" s="110"/>
      <c r="E27" s="110"/>
      <c r="F27" s="110"/>
      <c r="G27" s="110"/>
      <c r="H27" s="47" t="s">
        <v>50</v>
      </c>
      <c r="I27" s="48" t="str">
        <f>'Necesidades Trimestrales'!F25</f>
        <v>GOTERO</v>
      </c>
      <c r="J27" s="49">
        <f>'Necesidades Trimestrales'!H25</f>
        <v>885.68</v>
      </c>
      <c r="K27" s="50">
        <f>'Necesidades Trimestrales'!G25</f>
        <v>30</v>
      </c>
    </row>
    <row r="28" spans="1:1024" ht="37.5" customHeight="1" thickBot="1" x14ac:dyDescent="0.25">
      <c r="A28" s="8">
        <v>17</v>
      </c>
      <c r="B28" s="46" t="str">
        <f>'Necesidades Trimestrales'!B26</f>
        <v>2.5.2-1841.17</v>
      </c>
      <c r="C28" s="110" t="str">
        <f>'Necesidades Trimestrales'!E26</f>
        <v>ANTIACIDOS; TIPO: MONODROGA, DROGA GENERICA: RANITIDINA, FORMA FARMACEUTICA: AMPOLLA, PRESENTACION: UNIDAD</v>
      </c>
      <c r="D28" s="110"/>
      <c r="E28" s="110"/>
      <c r="F28" s="110"/>
      <c r="G28" s="110"/>
      <c r="H28" s="47" t="s">
        <v>50</v>
      </c>
      <c r="I28" s="48" t="str">
        <f>'Necesidades Trimestrales'!F26</f>
        <v>AMPOLLA</v>
      </c>
      <c r="J28" s="49">
        <f>'Necesidades Trimestrales'!H26</f>
        <v>47.5</v>
      </c>
      <c r="K28" s="50">
        <f>'Necesidades Trimestrales'!G26</f>
        <v>30000</v>
      </c>
    </row>
    <row r="29" spans="1:1024" ht="30.75" customHeight="1" thickBot="1" x14ac:dyDescent="0.25">
      <c r="A29" s="8">
        <v>18</v>
      </c>
      <c r="B29" s="46" t="str">
        <f>'Necesidades Trimestrales'!B27</f>
        <v>2.5.2-1841.13</v>
      </c>
      <c r="C29" s="110" t="str">
        <f>'Necesidades Trimestrales'!E27</f>
        <v>ANTIACIDOS; TIPO: MONODROGA, DROGA GENERICA: SUCRALFATO, FORMA FARMACEUTICA: SOLUCION, PRESENTACION: ENVASE X 200 mL</v>
      </c>
      <c r="D29" s="110"/>
      <c r="E29" s="110"/>
      <c r="F29" s="110"/>
      <c r="G29" s="110"/>
      <c r="H29" s="47" t="s">
        <v>50</v>
      </c>
      <c r="I29" s="48" t="str">
        <f>'Necesidades Trimestrales'!F27</f>
        <v>FRASCO</v>
      </c>
      <c r="J29" s="49">
        <f>'Necesidades Trimestrales'!H27</f>
        <v>830</v>
      </c>
      <c r="K29" s="50">
        <f>'Necesidades Trimestrales'!G27</f>
        <v>240</v>
      </c>
    </row>
    <row r="30" spans="1:1024" ht="20.25" customHeight="1" thickBot="1" x14ac:dyDescent="0.25">
      <c r="A30" s="8">
        <v>19</v>
      </c>
      <c r="B30" s="46" t="str">
        <f>'Necesidades Trimestrales'!B28</f>
        <v>2.5.2-5520.5</v>
      </c>
      <c r="C30" s="110" t="str">
        <f>'Necesidades Trimestrales'!E28</f>
        <v>VASELINA; TIPO: LIQUIDA, PRESENTACION: ENVASE X 1000 mL</v>
      </c>
      <c r="D30" s="110"/>
      <c r="E30" s="110"/>
      <c r="F30" s="110"/>
      <c r="G30" s="110"/>
      <c r="H30" s="47" t="s">
        <v>50</v>
      </c>
      <c r="I30" s="48" t="str">
        <f>'Necesidades Trimestrales'!F28</f>
        <v>FRASCO</v>
      </c>
      <c r="J30" s="49">
        <f>'Necesidades Trimestrales'!H28</f>
        <v>980</v>
      </c>
      <c r="K30" s="50">
        <f>'Necesidades Trimestrales'!G28</f>
        <v>30</v>
      </c>
    </row>
    <row r="31" spans="1:1024" ht="20.25" customHeight="1" thickBot="1" x14ac:dyDescent="0.25">
      <c r="A31" s="111" t="s">
        <v>110</v>
      </c>
      <c r="B31" s="111"/>
      <c r="C31" s="111"/>
      <c r="D31" s="111"/>
      <c r="E31" s="111"/>
      <c r="F31" s="111"/>
      <c r="G31" s="111"/>
      <c r="H31" s="111"/>
      <c r="I31" s="111"/>
      <c r="J31" s="104">
        <f>SUMPRODUCT(J12:J30,K12:K30)</f>
        <v>4361240.4000000004</v>
      </c>
      <c r="K31" s="104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</sheetData>
  <mergeCells count="41">
    <mergeCell ref="C13:G13"/>
    <mergeCell ref="C14:G14"/>
    <mergeCell ref="C15:G15"/>
    <mergeCell ref="C16:G16"/>
    <mergeCell ref="C30:G3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J31:K31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31:I31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zoomScale="120" zoomScaleNormal="120" workbookViewId="0">
      <selection activeCell="S19" sqref="S19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2022</v>
      </c>
      <c r="E1" s="113"/>
      <c r="F1" s="10"/>
      <c r="G1" s="10"/>
      <c r="H1" s="11"/>
      <c r="I1" s="11"/>
      <c r="J1" s="11"/>
      <c r="K1" s="11"/>
      <c r="L1" s="11"/>
      <c r="M1" s="11"/>
      <c r="N1" s="11"/>
      <c r="P1" s="114" t="s">
        <v>24</v>
      </c>
      <c r="Q1" s="11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4"/>
      <c r="Q2" s="114"/>
    </row>
    <row r="4" spans="1:17" s="12" customFormat="1" ht="18" customHeight="1" thickBot="1" x14ac:dyDescent="0.25">
      <c r="A4" s="115" t="s">
        <v>25</v>
      </c>
      <c r="B4" s="115"/>
      <c r="C4" s="115"/>
      <c r="D4" s="115"/>
      <c r="E4" s="115"/>
      <c r="F4" s="115"/>
      <c r="G4" s="116" t="str">
        <f>NotaPedido!D3</f>
        <v>40 - Ministerio de Salud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12" customFormat="1" ht="18" customHeight="1" thickBot="1" x14ac:dyDescent="0.25">
      <c r="A5" s="117" t="s">
        <v>48</v>
      </c>
      <c r="B5" s="118"/>
      <c r="C5" s="118"/>
      <c r="D5" s="118"/>
      <c r="E5" s="118"/>
      <c r="F5" s="119"/>
      <c r="G5" s="116" t="str">
        <f>NotaPedido!D4</f>
        <v>23 - Hospital Interzonal San Juan Bautista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12" customFormat="1" ht="18" customHeight="1" thickBot="1" x14ac:dyDescent="0.25">
      <c r="A6" s="117" t="s">
        <v>26</v>
      </c>
      <c r="B6" s="118"/>
      <c r="C6" s="118"/>
      <c r="D6" s="118"/>
      <c r="E6" s="118"/>
      <c r="F6" s="119"/>
      <c r="G6" s="116" t="str">
        <f>NotaPedido!D5</f>
        <v>168 - Direccion Asistencial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12" customFormat="1" ht="18" customHeight="1" thickBot="1" x14ac:dyDescent="0.25">
      <c r="A7" s="117" t="s">
        <v>49</v>
      </c>
      <c r="B7" s="118"/>
      <c r="C7" s="118"/>
      <c r="D7" s="118"/>
      <c r="E7" s="118"/>
      <c r="F7" s="119"/>
      <c r="G7" s="116" t="str">
        <f>NotaPedido!D6</f>
        <v>Servicio de Farmacia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20" t="s">
        <v>27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3" t="s">
        <v>28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"/>
      <c r="P9" s="1"/>
      <c r="Q9" s="13"/>
    </row>
    <row r="10" spans="1:17" ht="54.75" customHeight="1" x14ac:dyDescent="0.2">
      <c r="A10" s="12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DOCFI-2022-01383077-CAT-DASIS#HSJB,  afectando la erogación resultante a los créditos presupuestarios aprobados a favor de esta Unidad Ejecutora, conforme al siguiente detalle: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5" t="s">
        <v>29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7" ht="15.75" customHeight="1" x14ac:dyDescent="0.2">
      <c r="A13" s="126" t="s">
        <v>30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31</v>
      </c>
      <c r="P13" s="127"/>
      <c r="Q13" s="128" t="s">
        <v>32</v>
      </c>
    </row>
    <row r="14" spans="1:17" ht="15.75" customHeight="1" x14ac:dyDescent="0.2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27"/>
      <c r="P14" s="127"/>
      <c r="Q14" s="128"/>
    </row>
    <row r="15" spans="1:17" ht="17.25" customHeight="1" x14ac:dyDescent="0.2">
      <c r="A15" s="53">
        <v>33</v>
      </c>
      <c r="B15" s="54"/>
      <c r="C15" s="54"/>
      <c r="D15" s="54">
        <v>2</v>
      </c>
      <c r="E15" s="54"/>
      <c r="F15" s="54">
        <v>4901</v>
      </c>
      <c r="G15" s="54">
        <v>3</v>
      </c>
      <c r="H15" s="55" t="s">
        <v>56</v>
      </c>
      <c r="I15" s="56">
        <v>2</v>
      </c>
      <c r="J15" s="56">
        <v>5</v>
      </c>
      <c r="K15" s="56">
        <v>2</v>
      </c>
      <c r="L15" s="54"/>
      <c r="M15" s="57">
        <v>1</v>
      </c>
      <c r="N15" s="55" t="s">
        <v>57</v>
      </c>
      <c r="O15" s="121" t="s">
        <v>55</v>
      </c>
      <c r="P15" s="121"/>
      <c r="Q15" s="23">
        <v>4361240.4000000004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51"/>
      <c r="I16" s="25"/>
      <c r="J16" s="25"/>
      <c r="K16" s="25"/>
      <c r="L16" s="25"/>
      <c r="M16" s="26"/>
      <c r="N16" s="52"/>
      <c r="O16" s="122"/>
      <c r="P16" s="122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51"/>
      <c r="I17" s="25"/>
      <c r="J17" s="25"/>
      <c r="K17" s="25"/>
      <c r="L17" s="25"/>
      <c r="M17" s="26"/>
      <c r="N17" s="52"/>
      <c r="O17" s="122"/>
      <c r="P17" s="122"/>
      <c r="Q17" s="28"/>
      <c r="S17" s="58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34"/>
      <c r="P18" s="134"/>
      <c r="Q18" s="28"/>
    </row>
    <row r="19" spans="1:19" ht="17.25" customHeight="1" x14ac:dyDescent="0.2">
      <c r="A19" s="29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2"/>
      <c r="N19" s="33"/>
      <c r="O19" s="135"/>
      <c r="P19" s="135"/>
      <c r="Q19" s="28"/>
      <c r="R19" s="1"/>
    </row>
    <row r="20" spans="1:19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5"/>
      <c r="O20" s="136"/>
      <c r="P20" s="136"/>
      <c r="Q20" s="37"/>
    </row>
    <row r="21" spans="1:19" ht="20.25" customHeight="1" x14ac:dyDescent="0.2">
      <c r="A21" s="137" t="s">
        <v>111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38">
        <f>SUM(Q15:Q20)</f>
        <v>4361240.4000000004</v>
      </c>
    </row>
    <row r="22" spans="1:19" ht="18" customHeight="1" thickBot="1" x14ac:dyDescent="0.25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</row>
    <row r="23" spans="1:19" ht="17.25" customHeight="1" thickBot="1" x14ac:dyDescent="0.25">
      <c r="A23" s="129" t="s">
        <v>46</v>
      </c>
      <c r="B23" s="130"/>
      <c r="C23" s="130"/>
      <c r="D23" s="130"/>
      <c r="E23" s="130"/>
      <c r="F23" s="131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</row>
    <row r="24" spans="1:19" ht="18" customHeight="1" thickBot="1" x14ac:dyDescent="0.25">
      <c r="A24" s="133" t="str">
        <f>"Para la "&amp; NotaPedido!D8 &amp;" para ser destinados al " &amp; NotaPedido!D6 &amp;"  del HISJB del Ministerio de Salud."</f>
        <v>Para la Adquisición de MEDICAMENTOS P/TRACTO ALIMENTARIO Y METABOLISMO / VITAMINAS Y OTROS /ANTIDIABETICOS E INSULINAS  para ser destinados al Servicio de Farmacia  del HISJB del Ministerio de Salud.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</row>
    <row r="25" spans="1:19" ht="15" customHeight="1" x14ac:dyDescent="0.2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</sheetData>
  <mergeCells count="29">
    <mergeCell ref="A23:F23"/>
    <mergeCell ref="G23:Q23"/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2022-08-04T12:22:04Z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