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15FC36AE-3009-40D4-9918-5AE31579B876}"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NDP" sheetId="2" r:id="rId2"/>
    <sheet name="APG" sheetId="3" r:id="rId3"/>
  </sheets>
  <definedNames>
    <definedName name="_xlnm.Print_Area" localSheetId="0">'Necesidades Trimestrales'!$A$1:$I$28</definedName>
  </definedNames>
  <calcPr calcId="181029"/>
</workbook>
</file>

<file path=xl/calcChain.xml><?xml version="1.0" encoding="utf-8"?>
<calcChain xmlns="http://schemas.openxmlformats.org/spreadsheetml/2006/main">
  <c r="Q21" i="3" l="1"/>
  <c r="I11" i="1" l="1"/>
  <c r="D11" i="1" l="1"/>
  <c r="D9" i="1"/>
  <c r="D10" i="1" l="1"/>
  <c r="I10" i="1"/>
  <c r="I9" i="1" l="1"/>
</calcChain>
</file>

<file path=xl/sharedStrings.xml><?xml version="1.0" encoding="utf-8"?>
<sst xmlns="http://schemas.openxmlformats.org/spreadsheetml/2006/main" count="126" uniqueCount="87">
  <si>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</si>
  <si>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</si>
  <si>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</si>
  <si>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</si>
  <si>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</si>
  <si>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</si>
  <si>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</si>
  <si>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</si>
  <si>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</si>
  <si>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</si>
  <si>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</si>
  <si>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</si>
  <si>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</si>
  <si>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</si>
  <si>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</si>
  <si>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</si>
  <si>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</si>
  <si>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Garantia</t>
  </si>
  <si>
    <t>50 - MINISTERIO DE EDUCACIÓN</t>
  </si>
  <si>
    <t>26 - DIRECCIÓN PROVINCIAL DE ADMINISTRACIÓN</t>
  </si>
  <si>
    <t>UNIDAD</t>
  </si>
  <si>
    <t>REPUESTOS</t>
  </si>
  <si>
    <t>2.4.4-6818.709</t>
  </si>
  <si>
    <t>NEUMATICOS; VEHICULO: CAMIONETA, CONSTRUCCION: RADIAL, ARMADO: S/CAMARA, MEDIDA: 175/70R13</t>
  </si>
  <si>
    <t>2.4.4-6818.714</t>
  </si>
  <si>
    <t>NEUMATICOS; VEHICULO: CAMIONETA, CONSTRUCCION: RADIAL, ARMADO: S/CAMARA, MEDIDA: 175/70R14</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</si>
  <si>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Parque Automotor, sito en calle 9 de julio N° 940 San Fernando del Valle de Catamarca.  Se presentará Remito que deberá cumplimentar lo dispuesto por la R.G. AFIP  1415/03, sin excepción.</t>
  </si>
  <si>
    <t>Deberan ser de primera calidad</t>
  </si>
  <si>
    <r>
      <t xml:space="preserve">Mantenimiento: </t>
    </r>
    <r>
      <rPr>
        <sz val="10"/>
        <rFont val="Times New Roman"/>
        <family val="1"/>
      </rPr>
      <t>45 días hábiles</t>
    </r>
  </si>
  <si>
    <t>Garantía de las cubiertas: mínimo de seis (6) meses a computarse a partir de la fecha de fabrización de los bienes</t>
  </si>
  <si>
    <t>Especificidades Items N°  1:</t>
  </si>
  <si>
    <t>Especificidades Items N°  2:</t>
  </si>
  <si>
    <t>Especificidades Items N°  3:</t>
  </si>
  <si>
    <t>CUBIERTA 175/70 R13. Fecha de fabricación: los bienes deberán poseer fecha de fabrización posterior al mes de noviembre 2020</t>
  </si>
  <si>
    <t>CUBIERTA 175/70 R14. Fecha de fabricación: los bienes deberán poseer fecha de fabrización posterior al mes de noviembre 2020</t>
  </si>
  <si>
    <t>CUBIERTA 245/70 R16. Fecha de fabricación: los bienes deberán poseer fecha de fabrización posterior al mes de noviembre 2020</t>
  </si>
  <si>
    <t>NEUMATICOS; VEHICULO: CAMIONETA, CONSTRUCCION: RADIAL, ARMADO: S/CAMARA, MEDIDA: 245/70 R16 pulg</t>
  </si>
  <si>
    <t>2.4.4-6818.943</t>
  </si>
  <si>
    <t>NOTA DE PEDIDO</t>
  </si>
  <si>
    <t>N°</t>
  </si>
  <si>
    <t xml:space="preserve">JURISDICCIÓN: </t>
  </si>
  <si>
    <t>MINISTERIO DE EDUCACIÓN</t>
  </si>
  <si>
    <t>SAF:</t>
  </si>
  <si>
    <t>UNIDAD EJECUTORA:</t>
  </si>
  <si>
    <t>DIRECCIÓN PROVINCIAL DE PARQUE AUTOMOTOR</t>
  </si>
  <si>
    <t xml:space="preserve">DEPENDENCIA SOLICITANTE: </t>
  </si>
  <si>
    <t>PERIODO UTILIZACIÓN:</t>
  </si>
  <si>
    <t>1 TRIMESTRE 2021</t>
  </si>
  <si>
    <t>OBJETO:</t>
  </si>
  <si>
    <t>ADQUISICIÓN DE CUBIERTAS PARA VEHÍCULOS OFICIALES</t>
  </si>
  <si>
    <t>Ítem</t>
  </si>
  <si>
    <t>Codigo Item</t>
  </si>
  <si>
    <t>DESCRIPCIÓN</t>
  </si>
  <si>
    <t>Adjunta Detalle Técnico</t>
  </si>
  <si>
    <t>Unidad Medida</t>
  </si>
  <si>
    <t>Precio Unitario Estimado</t>
  </si>
  <si>
    <t>Cantidad Solicitada</t>
  </si>
  <si>
    <t>NO</t>
  </si>
  <si>
    <t xml:space="preserve">UNIDAD  </t>
  </si>
  <si>
    <t xml:space="preserve">Costo total estimado:  PESOS SETECIENTOS CATORCE MIL CUATROCIENTOS OCHENTA CON 00/100 </t>
  </si>
  <si>
    <t>AUTORIZACIÓN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</si>
  <si>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</si>
  <si>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</si>
  <si>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</si>
  <si>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r>
      <t>Autorizo la realización de los  trámites correspondientes, a fin de proveer a  este Organismo los bienes que se detallan en Nota  de Pedido N°</t>
    </r>
    <r>
      <rPr>
        <sz val="11"/>
        <rFont val="Arial"/>
        <family val="2"/>
      </rPr>
      <t>06/21</t>
    </r>
    <r>
      <rPr>
        <sz val="11"/>
        <rFont val="Arial"/>
        <family val="2"/>
        <charset val="1"/>
      </rPr>
      <t>, afectando la erogación resultante a los créditos presupuestarios aprobados a favor de esta Unidad Ejecutora, conforme al siguiente detalle:</t>
    </r>
  </si>
  <si>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</si>
  <si>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</si>
  <si>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</si>
  <si>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</si>
  <si>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</si>
  <si>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</si>
  <si>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</si>
  <si>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</si>
  <si>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</si>
  <si>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</si>
  <si>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</si>
  <si>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</si>
  <si>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</si>
  <si>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</si>
  <si>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</si>
  <si>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</si>
  <si>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</si>
  <si>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</si>
  <si>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NEUMÁTICOS</t>
  </si>
  <si>
    <t>TOTAL DE PESOS: SETECIENTOS CATORCE MIL CUATROCIENTOS OCHENTA CON 00/100</t>
  </si>
  <si>
    <t>JUSTIFICACIÓN:</t>
  </si>
  <si>
    <t xml:space="preserve">   ADQUISICIÓN DE NEUMÁTICOS PARA VEHÍCULOS OFICIALES DEPENDIENTES DE LA DIRECCIÓN PROVINCIAL DE PARQUE AUTOMOTOR DEL MINISTERIO DE EDUCACIÓN.-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</si>
</sst>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_-;_-@_-"/>
    <numFmt numFmtId="165" formatCode="_-* #,##0.00&quot; €&quot;_-;\-* #,##0.00&quot; €&quot;_-;_-* \-??&quot; €&quot;_-;_-@_-"/>
    <numFmt numFmtId="166" formatCode="[$$-2C0A]\ #,##0.00;[$$-2C0A]&quot; -&quot;#,##0.00"/>
    <numFmt numFmtId="167" formatCode="[$$-2C0A]\ #,##0.00"/>
    <numFmt numFmtId="168" formatCode="&quot;$&quot;\ #,##0.00"/>
    <numFmt numFmtId="169" formatCode="dd\-mm\-yy;@"/>
    <numFmt numFmtId="170" formatCode="_(\$* #,##0.00_);_(\$* \(#,##0.00\);_(\$* \-??_);_(@_)"/>
  </numFmts>
  <fonts count="27"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sz val="11"/>
      <name val="Arial"/>
      <family val="2"/>
    </font>
    <font>
      <sz val="11"/>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8">
    <border>
      <left/>
      <right/>
      <top/>
      <bottom/>
      <diagonal/>
    </border>
    <border>
      <left/>
      <right/>
      <top/>
      <bottom style="thick">
        <color rgb="FF33CCCC"/>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thin">
        <color auto="1"/>
      </right>
      <top style="medium">
        <color indexed="64"/>
      </top>
      <bottom style="medium">
        <color indexed="64"/>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s>
  <cellStyleXfs count="6">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xf numFmtId="170" fontId="22" fillId="0" borderId="0" applyBorder="0" applyProtection="0"/>
  </cellStyleXfs>
  <cellXfs count="130">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4" fillId="0" borderId="9" xfId="0" applyFont="1" applyBorder="1"/>
    <xf numFmtId="0" fontId="4" fillId="0" borderId="10" xfId="0" applyFont="1" applyBorder="1"/>
    <xf numFmtId="0" fontId="4" fillId="0" borderId="11" xfId="0" applyFont="1" applyBorder="1"/>
    <xf numFmtId="0" fontId="4" fillId="0" borderId="0" xfId="0" applyFont="1" applyBorder="1"/>
    <xf numFmtId="0" fontId="4" fillId="0" borderId="12" xfId="0" applyFont="1" applyBorder="1"/>
    <xf numFmtId="0" fontId="11" fillId="0" borderId="11" xfId="0" applyFont="1" applyBorder="1" applyAlignment="1">
      <alignment horizontal="left" indent="3"/>
    </xf>
    <xf numFmtId="0" fontId="4" fillId="0" borderId="11" xfId="0" applyFont="1" applyBorder="1" applyAlignment="1">
      <alignment horizontal="left" indent="3"/>
    </xf>
    <xf numFmtId="0" fontId="4" fillId="0" borderId="0"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left" indent="3"/>
    </xf>
    <xf numFmtId="0" fontId="4" fillId="0" borderId="14" xfId="0" applyFont="1" applyBorder="1"/>
    <xf numFmtId="0" fontId="4" fillId="0" borderId="15" xfId="0" applyFont="1" applyBorder="1"/>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8"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13" fillId="0" borderId="5" xfId="0" applyFont="1" applyBorder="1" applyAlignment="1">
      <alignment horizontal="center" vertical="center"/>
    </xf>
    <xf numFmtId="0" fontId="14" fillId="0" borderId="7" xfId="0" applyFont="1" applyBorder="1"/>
    <xf numFmtId="0" fontId="13" fillId="0" borderId="19" xfId="0" applyFont="1" applyBorder="1" applyAlignment="1">
      <alignment horizontal="center" vertical="center"/>
    </xf>
    <xf numFmtId="0" fontId="15" fillId="0" borderId="3" xfId="0" applyFont="1" applyBorder="1" applyAlignment="1">
      <alignment horizontal="center" vertical="center" wrapText="1"/>
    </xf>
    <xf numFmtId="0" fontId="14" fillId="0" borderId="6" xfId="0" applyFont="1" applyBorder="1" applyAlignment="1">
      <alignment wrapText="1"/>
    </xf>
    <xf numFmtId="0" fontId="15" fillId="4" borderId="3" xfId="0" applyFont="1" applyFill="1" applyBorder="1" applyAlignment="1">
      <alignment horizontal="center" vertical="center" wrapText="1"/>
    </xf>
    <xf numFmtId="0" fontId="15" fillId="0" borderId="6" xfId="0" applyFont="1" applyBorder="1" applyAlignment="1">
      <alignment horizontal="center" vertical="center" wrapText="1"/>
    </xf>
    <xf numFmtId="166" fontId="13" fillId="4" borderId="3" xfId="1" applyNumberFormat="1" applyFont="1" applyFill="1" applyBorder="1" applyAlignment="1" applyProtection="1">
      <alignment horizontal="right" vertical="center" wrapText="1"/>
    </xf>
    <xf numFmtId="167" fontId="15" fillId="0" borderId="7" xfId="0" applyNumberFormat="1" applyFont="1" applyBorder="1" applyAlignment="1">
      <alignment horizontal="right" vertical="center" wrapText="1"/>
    </xf>
    <xf numFmtId="166" fontId="13" fillId="4" borderId="4" xfId="1" applyNumberFormat="1" applyFont="1" applyFill="1" applyBorder="1" applyAlignment="1" applyProtection="1">
      <alignment horizontal="right" vertical="center" wrapText="1"/>
    </xf>
    <xf numFmtId="0" fontId="17" fillId="0" borderId="20" xfId="0" applyFont="1" applyBorder="1" applyAlignment="1">
      <alignment horizontal="right" vertical="center"/>
    </xf>
    <xf numFmtId="0" fontId="18" fillId="0" borderId="21" xfId="0" applyFont="1" applyBorder="1" applyAlignment="1">
      <alignment horizontal="center" vertical="center"/>
    </xf>
    <xf numFmtId="0" fontId="17" fillId="0" borderId="22" xfId="0" applyFont="1" applyBorder="1" applyAlignment="1">
      <alignment vertical="center"/>
    </xf>
    <xf numFmtId="0" fontId="17" fillId="0" borderId="23" xfId="0" applyFont="1" applyBorder="1" applyAlignment="1">
      <alignment vertical="center"/>
    </xf>
    <xf numFmtId="0" fontId="17" fillId="0" borderId="0" xfId="0" applyFont="1" applyBorder="1" applyAlignment="1">
      <alignment vertical="center"/>
    </xf>
    <xf numFmtId="0" fontId="17" fillId="0" borderId="12" xfId="0" applyFont="1" applyBorder="1" applyAlignment="1">
      <alignment vertical="center"/>
    </xf>
    <xf numFmtId="0" fontId="19" fillId="0" borderId="11" xfId="0" applyFont="1" applyBorder="1" applyAlignment="1">
      <alignment horizontal="left" vertical="center"/>
    </xf>
    <xf numFmtId="0" fontId="19" fillId="0" borderId="0" xfId="0" applyFont="1" applyBorder="1" applyAlignment="1">
      <alignment horizontal="left" vertical="center"/>
    </xf>
    <xf numFmtId="0" fontId="18" fillId="0" borderId="0" xfId="0" applyFont="1" applyBorder="1" applyAlignment="1">
      <alignment horizontal="left" vertical="center" wrapText="1" indent="1"/>
    </xf>
    <xf numFmtId="0" fontId="18" fillId="0" borderId="12" xfId="0" applyFont="1" applyBorder="1" applyAlignment="1">
      <alignment horizontal="left" vertical="center" wrapText="1" indent="1"/>
    </xf>
    <xf numFmtId="0" fontId="19" fillId="0" borderId="16" xfId="0" applyFont="1" applyBorder="1" applyAlignment="1">
      <alignment horizontal="center" vertical="center"/>
    </xf>
    <xf numFmtId="0" fontId="0" fillId="0" borderId="16" xfId="0" applyFont="1" applyBorder="1"/>
    <xf numFmtId="0" fontId="19" fillId="0" borderId="16" xfId="0" applyFont="1" applyBorder="1" applyAlignment="1">
      <alignment horizontal="center" vertical="center" wrapText="1"/>
    </xf>
    <xf numFmtId="168" fontId="19" fillId="0" borderId="16" xfId="0" applyNumberFormat="1" applyFont="1" applyBorder="1" applyAlignment="1">
      <alignment horizontal="center" vertical="center" wrapText="1"/>
    </xf>
    <xf numFmtId="3" fontId="19" fillId="0" borderId="16" xfId="0" applyNumberFormat="1" applyFont="1" applyBorder="1" applyAlignment="1">
      <alignment horizontal="center" vertical="center"/>
    </xf>
    <xf numFmtId="168" fontId="0" fillId="0" borderId="0" xfId="0" applyNumberFormat="1"/>
    <xf numFmtId="3" fontId="20" fillId="0" borderId="9" xfId="0" applyNumberFormat="1" applyFont="1" applyBorder="1" applyAlignment="1"/>
    <xf numFmtId="169" fontId="0" fillId="0" borderId="9" xfId="0" applyNumberFormat="1" applyBorder="1" applyAlignment="1">
      <alignment horizontal="left"/>
    </xf>
    <xf numFmtId="0" fontId="0" fillId="0" borderId="9" xfId="0" applyBorder="1"/>
    <xf numFmtId="0" fontId="0" fillId="0" borderId="11"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12" xfId="0" applyBorder="1"/>
    <xf numFmtId="0" fontId="22" fillId="0" borderId="0" xfId="0" applyFont="1"/>
    <xf numFmtId="0" fontId="0" fillId="0" borderId="22" xfId="0" applyBorder="1"/>
    <xf numFmtId="0" fontId="0" fillId="0" borderId="23" xfId="0" applyBorder="1"/>
    <xf numFmtId="0" fontId="0" fillId="0" borderId="23" xfId="0" applyBorder="1" applyAlignment="1">
      <alignment horizontal="left"/>
    </xf>
    <xf numFmtId="0" fontId="0" fillId="0" borderId="35" xfId="0" applyBorder="1"/>
    <xf numFmtId="0" fontId="26" fillId="0" borderId="38" xfId="0" applyFont="1" applyBorder="1" applyAlignment="1">
      <alignment horizontal="center" vertical="center"/>
    </xf>
    <xf numFmtId="0" fontId="26" fillId="0" borderId="39" xfId="0" applyFont="1" applyBorder="1" applyAlignment="1">
      <alignment horizontal="center" vertical="center"/>
    </xf>
    <xf numFmtId="0" fontId="26" fillId="0" borderId="39" xfId="0" applyFont="1" applyBorder="1" applyAlignment="1">
      <alignment horizontal="left"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0" fontId="0" fillId="0" borderId="44" xfId="0" applyFont="1" applyBorder="1" applyAlignment="1">
      <alignment horizontal="center" vertical="center"/>
    </xf>
    <xf numFmtId="166" fontId="0" fillId="0" borderId="45" xfId="5" applyNumberFormat="1" applyFont="1" applyBorder="1" applyAlignment="1" applyProtection="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166" fontId="0" fillId="0" borderId="50" xfId="5" applyNumberFormat="1" applyFont="1" applyBorder="1" applyAlignment="1" applyProtection="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166" fontId="0" fillId="0" borderId="54" xfId="5" applyNumberFormat="1" applyFont="1" applyBorder="1" applyAlignment="1" applyProtection="1">
      <alignment horizontal="center" vertical="center"/>
    </xf>
    <xf numFmtId="166" fontId="26" fillId="0" borderId="56" xfId="0" applyNumberFormat="1" applyFont="1" applyBorder="1" applyAlignment="1">
      <alignment horizontal="center" vertical="center"/>
    </xf>
    <xf numFmtId="0" fontId="0" fillId="0" borderId="0" xfId="0" applyAlignment="1">
      <alignment horizontal="left"/>
    </xf>
    <xf numFmtId="0" fontId="4" fillId="4" borderId="0" xfId="0" applyFont="1" applyFill="1" applyBorder="1" applyAlignment="1">
      <alignment horizontal="left" wrapText="1"/>
    </xf>
    <xf numFmtId="0" fontId="4" fillId="4" borderId="12" xfId="0" applyFont="1" applyFill="1" applyBorder="1" applyAlignment="1">
      <alignment horizontal="left" wrapText="1"/>
    </xf>
    <xf numFmtId="0" fontId="4" fillId="4" borderId="0" xfId="0" applyFont="1" applyFill="1" applyBorder="1" applyAlignment="1">
      <alignment horizontal="left"/>
    </xf>
    <xf numFmtId="0" fontId="4" fillId="4" borderId="12" xfId="0" applyFont="1" applyFill="1" applyBorder="1" applyAlignment="1">
      <alignment horizontal="left"/>
    </xf>
    <xf numFmtId="0" fontId="6" fillId="0" borderId="0" xfId="0" applyFont="1" applyBorder="1" applyAlignment="1">
      <alignment horizontal="left" vertical="center"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18" fillId="0" borderId="16"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6" xfId="0" applyFont="1" applyBorder="1" applyAlignment="1">
      <alignment horizontal="left" vertical="center" wrapText="1" indent="1"/>
    </xf>
    <xf numFmtId="167" fontId="19" fillId="0" borderId="16" xfId="0" applyNumberFormat="1" applyFont="1" applyBorder="1" applyAlignment="1">
      <alignment horizontal="center" vertical="center"/>
    </xf>
    <xf numFmtId="0" fontId="18" fillId="0" borderId="16" xfId="0" applyFont="1" applyBorder="1" applyAlignment="1">
      <alignment horizontal="center" vertical="center"/>
    </xf>
    <xf numFmtId="0" fontId="19" fillId="0" borderId="24" xfId="0" applyFont="1" applyBorder="1" applyAlignment="1">
      <alignment horizontal="left" vertical="center" wrapText="1"/>
    </xf>
    <xf numFmtId="0" fontId="19" fillId="0" borderId="25" xfId="0" applyFont="1" applyBorder="1" applyAlignment="1">
      <alignment horizontal="left" vertical="center" wrapText="1"/>
    </xf>
    <xf numFmtId="0" fontId="19" fillId="0" borderId="26" xfId="0" applyFont="1" applyBorder="1" applyAlignment="1">
      <alignment horizontal="left" vertical="center"/>
    </xf>
    <xf numFmtId="0" fontId="18" fillId="0" borderId="27" xfId="0" applyFont="1" applyBorder="1" applyAlignment="1">
      <alignment horizontal="left" vertical="center" wrapText="1" indent="1"/>
    </xf>
    <xf numFmtId="0" fontId="16" fillId="0" borderId="8" xfId="0" applyFont="1" applyBorder="1" applyAlignment="1">
      <alignment horizontal="center" vertical="center"/>
    </xf>
    <xf numFmtId="0" fontId="0" fillId="0" borderId="33" xfId="0" applyBorder="1"/>
    <xf numFmtId="0" fontId="20" fillId="0" borderId="16" xfId="0" applyFont="1" applyBorder="1" applyAlignment="1">
      <alignment vertical="center" wrapText="1"/>
    </xf>
    <xf numFmtId="0" fontId="23" fillId="0" borderId="37" xfId="0" applyFont="1" applyBorder="1" applyAlignment="1">
      <alignment vertical="center" wrapText="1"/>
    </xf>
    <xf numFmtId="0" fontId="23" fillId="0" borderId="57" xfId="0" applyFont="1" applyBorder="1" applyAlignment="1">
      <alignment horizontal="left" vertical="center" wrapText="1" indent="1"/>
    </xf>
    <xf numFmtId="0" fontId="0" fillId="0" borderId="49" xfId="0" applyFont="1" applyBorder="1" applyAlignment="1">
      <alignment horizontal="left" vertical="center"/>
    </xf>
    <xf numFmtId="0" fontId="0" fillId="0" borderId="49" xfId="0" applyBorder="1" applyAlignment="1">
      <alignment horizontal="center"/>
    </xf>
    <xf numFmtId="0" fontId="0" fillId="0" borderId="49" xfId="0" applyFont="1" applyBorder="1" applyAlignment="1">
      <alignment horizontal="center" vertical="center"/>
    </xf>
    <xf numFmtId="0" fontId="0" fillId="0" borderId="52" xfId="0" applyBorder="1" applyAlignment="1">
      <alignment horizontal="left" vertical="center"/>
    </xf>
    <xf numFmtId="0" fontId="20" fillId="0" borderId="55" xfId="0" applyFont="1" applyBorder="1" applyAlignment="1">
      <alignment horizontal="left" vertical="center" wrapText="1"/>
    </xf>
    <xf numFmtId="49" fontId="23" fillId="0" borderId="34" xfId="0" applyNumberFormat="1" applyFont="1" applyBorder="1" applyAlignment="1">
      <alignment horizontal="justify" vertical="center" wrapText="1"/>
    </xf>
    <xf numFmtId="0" fontId="26" fillId="0" borderId="33" xfId="0" applyFont="1" applyBorder="1" applyAlignment="1">
      <alignment horizontal="center" vertical="center"/>
    </xf>
    <xf numFmtId="0" fontId="26" fillId="0" borderId="30" xfId="0" applyFont="1" applyBorder="1" applyAlignment="1">
      <alignment horizontal="center" vertical="center"/>
    </xf>
    <xf numFmtId="0" fontId="26" fillId="0" borderId="36" xfId="0" applyFont="1" applyBorder="1" applyAlignment="1">
      <alignment horizontal="center" vertical="center" wrapText="1"/>
    </xf>
    <xf numFmtId="0" fontId="26" fillId="0" borderId="37" xfId="0" applyFont="1" applyBorder="1" applyAlignment="1">
      <alignment horizontal="center" vertical="center"/>
    </xf>
    <xf numFmtId="0" fontId="3" fillId="0" borderId="43" xfId="0" applyFont="1" applyBorder="1" applyAlignment="1">
      <alignment horizontal="left" vertical="center" wrapText="1"/>
    </xf>
    <xf numFmtId="0" fontId="0" fillId="0" borderId="43" xfId="0" applyFont="1" applyBorder="1" applyAlignment="1">
      <alignment horizontal="left" vertical="center" wrapText="1"/>
    </xf>
    <xf numFmtId="0" fontId="24" fillId="0" borderId="30" xfId="0" applyFont="1" applyBorder="1" applyAlignment="1">
      <alignment horizontal="left" vertical="center" wrapText="1"/>
    </xf>
    <xf numFmtId="0" fontId="23" fillId="0" borderId="31" xfId="0" applyFont="1" applyBorder="1" applyAlignment="1">
      <alignment horizontal="left" indent="1"/>
    </xf>
    <xf numFmtId="0" fontId="25" fillId="0" borderId="32" xfId="0" applyFont="1" applyBorder="1" applyAlignment="1">
      <alignment horizontal="left"/>
    </xf>
    <xf numFmtId="0" fontId="23" fillId="0" borderId="33" xfId="0" applyFont="1" applyBorder="1" applyAlignment="1">
      <alignment horizontal="left"/>
    </xf>
    <xf numFmtId="0" fontId="0" fillId="0" borderId="28" xfId="0" applyFont="1" applyBorder="1" applyAlignment="1">
      <alignment horizontal="center"/>
    </xf>
    <xf numFmtId="0" fontId="20" fillId="0" borderId="29" xfId="0" applyNumberFormat="1" applyFont="1" applyBorder="1" applyAlignment="1">
      <alignment horizontal="center"/>
    </xf>
    <xf numFmtId="0" fontId="21" fillId="0" borderId="21" xfId="0" applyFont="1" applyBorder="1" applyAlignment="1">
      <alignment horizontal="center" vertical="center" wrapText="1"/>
    </xf>
    <xf numFmtId="0" fontId="22" fillId="0" borderId="30" xfId="0" applyFont="1" applyBorder="1"/>
  </cellXfs>
  <cellStyles count="6">
    <cellStyle name="Encabezado 1" xfId="2" xr:uid="{00000000-0005-0000-0000-000000000000}"/>
    <cellStyle name="Moneda" xfId="1" builtinId="4"/>
    <cellStyle name="Moneda 2" xfId="4" xr:uid="{00000000-0005-0000-0000-000002000000}"/>
    <cellStyle name="Moneda_AUTORIZACION Y NOTA DE PEDIDO" xfId="5" xr:uid="{00000000-0005-0000-0000-000003000000}"/>
    <cellStyle name="Neutral 1" xfId="3" xr:uid="{00000000-0005-0000-0000-000004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34" name="CustomShape 1" hidden="1">
          <a:extLst>
            <a:ext uri="{FF2B5EF4-FFF2-40B4-BE49-F238E27FC236}">
              <a16:creationId xmlns:a16="http://schemas.microsoft.com/office/drawing/2014/main" id="{00000000-0008-0000-0200-00002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5" name="CustomShape 1" hidden="1">
          <a:extLst>
            <a:ext uri="{FF2B5EF4-FFF2-40B4-BE49-F238E27FC236}">
              <a16:creationId xmlns:a16="http://schemas.microsoft.com/office/drawing/2014/main" id="{00000000-0008-0000-0200-00002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6" name="CustomShape 1" hidden="1">
          <a:extLst>
            <a:ext uri="{FF2B5EF4-FFF2-40B4-BE49-F238E27FC236}">
              <a16:creationId xmlns:a16="http://schemas.microsoft.com/office/drawing/2014/main" id="{00000000-0008-0000-0200-00002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7" name="CustomShape 1" hidden="1">
          <a:extLst>
            <a:ext uri="{FF2B5EF4-FFF2-40B4-BE49-F238E27FC236}">
              <a16:creationId xmlns:a16="http://schemas.microsoft.com/office/drawing/2014/main" id="{00000000-0008-0000-0200-00002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zoomScale="130" zoomScaleNormal="130" workbookViewId="0">
      <selection activeCell="E10" sqref="E10"/>
    </sheetView>
  </sheetViews>
  <sheetFormatPr baseColWidth="10" defaultRowHeight="12.75" x14ac:dyDescent="0.2"/>
  <cols>
    <col min="1" max="1" width="4.5703125" style="1" customWidth="1"/>
    <col min="2" max="2" width="18.42578125" style="1" customWidth="1"/>
    <col min="3" max="3" width="23"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42578125" style="1"/>
  </cols>
  <sheetData>
    <row r="1" spans="1:9" ht="27" x14ac:dyDescent="0.35">
      <c r="B1" s="94" t="s">
        <v>0</v>
      </c>
      <c r="C1" s="94"/>
      <c r="D1" s="94"/>
      <c r="E1" s="94"/>
      <c r="F1" s="94"/>
      <c r="G1" s="94"/>
      <c r="H1" s="94"/>
    </row>
    <row r="3" spans="1:9" ht="18" customHeight="1" x14ac:dyDescent="0.25">
      <c r="A3" s="93" t="s">
        <v>1</v>
      </c>
      <c r="B3" s="93"/>
      <c r="C3" s="95" t="s">
        <v>18</v>
      </c>
      <c r="D3" s="95"/>
      <c r="E3" s="95"/>
      <c r="F3" s="2"/>
      <c r="G3" s="3"/>
      <c r="H3" s="2"/>
    </row>
    <row r="4" spans="1:9" ht="18" customHeight="1" x14ac:dyDescent="0.25">
      <c r="A4" s="93" t="s">
        <v>2</v>
      </c>
      <c r="B4" s="93"/>
      <c r="C4" s="95" t="s">
        <v>19</v>
      </c>
      <c r="D4" s="95"/>
      <c r="E4" s="95"/>
      <c r="F4" s="2"/>
      <c r="G4" s="3"/>
      <c r="H4" s="2"/>
    </row>
    <row r="5" spans="1:9" ht="16.5" customHeight="1" x14ac:dyDescent="0.25">
      <c r="A5" s="93" t="s">
        <v>3</v>
      </c>
      <c r="B5" s="93"/>
      <c r="C5" s="16">
        <v>2021</v>
      </c>
      <c r="D5" s="17"/>
      <c r="E5" s="17"/>
      <c r="F5" s="2"/>
      <c r="G5" s="3"/>
      <c r="H5" s="2"/>
    </row>
    <row r="6" spans="1:9" ht="16.5" customHeight="1" x14ac:dyDescent="0.25">
      <c r="A6" s="93" t="s">
        <v>4</v>
      </c>
      <c r="B6" s="93"/>
      <c r="C6" s="16">
        <v>1</v>
      </c>
      <c r="D6" s="17"/>
      <c r="E6" s="17"/>
      <c r="F6" s="2"/>
      <c r="G6" s="3"/>
      <c r="H6" s="2"/>
    </row>
    <row r="7" spans="1:9" ht="13.5" thickBot="1" x14ac:dyDescent="0.25">
      <c r="B7" s="2"/>
      <c r="C7" s="3"/>
      <c r="D7" s="2"/>
      <c r="E7" s="2"/>
      <c r="F7" s="2"/>
      <c r="G7" s="3"/>
      <c r="H7" s="2"/>
    </row>
    <row r="8" spans="1:9" ht="44.25" thickTop="1" thickBot="1" x14ac:dyDescent="0.25">
      <c r="A8" s="26" t="s">
        <v>5</v>
      </c>
      <c r="B8" s="27" t="s">
        <v>6</v>
      </c>
      <c r="C8" s="28" t="s">
        <v>7</v>
      </c>
      <c r="D8" s="29" t="s">
        <v>8</v>
      </c>
      <c r="E8" s="26" t="s">
        <v>9</v>
      </c>
      <c r="F8" s="26" t="s">
        <v>10</v>
      </c>
      <c r="G8" s="26" t="s">
        <v>11</v>
      </c>
      <c r="H8" s="26" t="s">
        <v>12</v>
      </c>
      <c r="I8" s="26" t="s">
        <v>13</v>
      </c>
    </row>
    <row r="9" spans="1:9" ht="27.75" customHeight="1" thickBot="1" x14ac:dyDescent="0.25">
      <c r="A9" s="30">
        <v>1</v>
      </c>
      <c r="B9" s="31" t="s">
        <v>22</v>
      </c>
      <c r="C9" s="32" t="s">
        <v>21</v>
      </c>
      <c r="D9" s="33" t="str">
        <f t="shared" ref="D9:D11" si="0">LEFT(B9,5)</f>
        <v>2.4.4</v>
      </c>
      <c r="E9" s="34" t="s">
        <v>23</v>
      </c>
      <c r="F9" s="35" t="s">
        <v>20</v>
      </c>
      <c r="G9" s="36">
        <v>6</v>
      </c>
      <c r="H9" s="37">
        <v>9030</v>
      </c>
      <c r="I9" s="38">
        <f>H9*G9</f>
        <v>54180</v>
      </c>
    </row>
    <row r="10" spans="1:9" ht="30.75" customHeight="1" thickBot="1" x14ac:dyDescent="0.25">
      <c r="A10" s="30">
        <v>2</v>
      </c>
      <c r="B10" s="31" t="s">
        <v>24</v>
      </c>
      <c r="C10" s="32" t="s">
        <v>21</v>
      </c>
      <c r="D10" s="33" t="str">
        <f t="shared" si="0"/>
        <v>2.4.4</v>
      </c>
      <c r="E10" s="34" t="s">
        <v>25</v>
      </c>
      <c r="F10" s="35" t="s">
        <v>20</v>
      </c>
      <c r="G10" s="35">
        <v>20</v>
      </c>
      <c r="H10" s="37">
        <v>9115</v>
      </c>
      <c r="I10" s="39">
        <f t="shared" ref="I10:I11" si="1">G10*H10</f>
        <v>182300</v>
      </c>
    </row>
    <row r="11" spans="1:9" ht="33.75" customHeight="1" thickBot="1" x14ac:dyDescent="0.25">
      <c r="A11" s="30">
        <v>3</v>
      </c>
      <c r="B11" s="31" t="s">
        <v>37</v>
      </c>
      <c r="C11" s="32" t="s">
        <v>21</v>
      </c>
      <c r="D11" s="33" t="str">
        <f t="shared" si="0"/>
        <v>2.4.4</v>
      </c>
      <c r="E11" s="34" t="s">
        <v>36</v>
      </c>
      <c r="F11" s="35" t="s">
        <v>20</v>
      </c>
      <c r="G11" s="35">
        <v>20</v>
      </c>
      <c r="H11" s="37">
        <v>23900</v>
      </c>
      <c r="I11" s="39">
        <f t="shared" si="1"/>
        <v>478000</v>
      </c>
    </row>
    <row r="12" spans="1:9" ht="22.5" customHeight="1" x14ac:dyDescent="0.2">
      <c r="A12" s="18"/>
      <c r="B12" s="25"/>
      <c r="C12" s="20"/>
      <c r="D12" s="24"/>
      <c r="E12" s="21"/>
      <c r="F12" s="19"/>
      <c r="G12" s="19"/>
      <c r="H12" s="22"/>
      <c r="I12" s="22"/>
    </row>
    <row r="13" spans="1:9" ht="13.5" thickBot="1" x14ac:dyDescent="0.25">
      <c r="A13" s="18"/>
      <c r="B13" s="25"/>
      <c r="C13" s="20"/>
      <c r="D13" s="24"/>
      <c r="E13" s="21"/>
      <c r="F13" s="19"/>
      <c r="G13" s="19"/>
      <c r="H13" s="22"/>
      <c r="I13" s="22"/>
    </row>
    <row r="14" spans="1:9" x14ac:dyDescent="0.2">
      <c r="B14" s="23" t="s">
        <v>30</v>
      </c>
      <c r="C14" s="4"/>
      <c r="D14" s="4"/>
      <c r="E14" s="5"/>
    </row>
    <row r="15" spans="1:9" ht="5.25" customHeight="1" x14ac:dyDescent="0.2">
      <c r="B15" s="6"/>
      <c r="C15" s="7"/>
      <c r="D15" s="7"/>
      <c r="E15" s="8"/>
    </row>
    <row r="16" spans="1:9" x14ac:dyDescent="0.2">
      <c r="B16" s="9" t="s">
        <v>14</v>
      </c>
      <c r="C16" s="7"/>
      <c r="D16" s="7"/>
      <c r="E16" s="8"/>
    </row>
    <row r="17" spans="2:5" ht="22.5" customHeight="1" x14ac:dyDescent="0.2">
      <c r="B17" s="9"/>
      <c r="C17" s="89" t="s">
        <v>33</v>
      </c>
      <c r="D17" s="89"/>
      <c r="E17" s="90"/>
    </row>
    <row r="18" spans="2:5" x14ac:dyDescent="0.2">
      <c r="B18" s="9" t="s">
        <v>15</v>
      </c>
      <c r="C18" s="7"/>
      <c r="D18" s="7"/>
      <c r="E18" s="8"/>
    </row>
    <row r="19" spans="2:5" ht="25.5" customHeight="1" x14ac:dyDescent="0.2">
      <c r="B19" s="10"/>
      <c r="C19" s="89" t="s">
        <v>26</v>
      </c>
      <c r="D19" s="89"/>
      <c r="E19" s="90"/>
    </row>
    <row r="20" spans="2:5" ht="37.5" customHeight="1" x14ac:dyDescent="0.2">
      <c r="B20" s="10"/>
      <c r="C20" s="89"/>
      <c r="D20" s="89"/>
      <c r="E20" s="90"/>
    </row>
    <row r="21" spans="2:5" x14ac:dyDescent="0.2">
      <c r="B21" s="9" t="s">
        <v>16</v>
      </c>
      <c r="C21" s="7"/>
      <c r="D21" s="7"/>
      <c r="E21" s="8"/>
    </row>
    <row r="22" spans="2:5" ht="9.75" customHeight="1" x14ac:dyDescent="0.2">
      <c r="B22" s="10"/>
      <c r="C22" s="89" t="s">
        <v>27</v>
      </c>
      <c r="D22" s="89"/>
      <c r="E22" s="90"/>
    </row>
    <row r="23" spans="2:5" x14ac:dyDescent="0.2">
      <c r="B23" s="9" t="s">
        <v>28</v>
      </c>
      <c r="C23" s="11"/>
      <c r="D23" s="11"/>
      <c r="E23" s="12"/>
    </row>
    <row r="24" spans="2:5" ht="7.5" customHeight="1" x14ac:dyDescent="0.2">
      <c r="B24" s="10"/>
      <c r="C24" s="89"/>
      <c r="D24" s="89"/>
      <c r="E24" s="90"/>
    </row>
    <row r="25" spans="2:5" x14ac:dyDescent="0.2">
      <c r="B25" s="9" t="s">
        <v>17</v>
      </c>
      <c r="C25" s="7"/>
      <c r="D25" s="7"/>
      <c r="E25" s="8"/>
    </row>
    <row r="26" spans="2:5" ht="13.5" customHeight="1" x14ac:dyDescent="0.2">
      <c r="B26" s="9"/>
      <c r="C26" s="89" t="s">
        <v>29</v>
      </c>
      <c r="D26" s="91"/>
      <c r="E26" s="92"/>
    </row>
    <row r="27" spans="2:5" ht="7.5" customHeight="1" thickBot="1" x14ac:dyDescent="0.25">
      <c r="B27" s="13"/>
      <c r="C27" s="14"/>
      <c r="D27" s="14"/>
      <c r="E27" s="15"/>
    </row>
    <row r="28" spans="2:5" ht="13.5" thickBot="1" x14ac:dyDescent="0.25"/>
    <row r="29" spans="2:5" x14ac:dyDescent="0.2">
      <c r="B29" s="23" t="s">
        <v>31</v>
      </c>
      <c r="C29" s="4"/>
      <c r="D29" s="4"/>
      <c r="E29" s="5"/>
    </row>
    <row r="30" spans="2:5" ht="5.25" customHeight="1" x14ac:dyDescent="0.2">
      <c r="B30" s="6"/>
      <c r="C30" s="7"/>
      <c r="D30" s="7"/>
      <c r="E30" s="8"/>
    </row>
    <row r="31" spans="2:5" x14ac:dyDescent="0.2">
      <c r="B31" s="9" t="s">
        <v>14</v>
      </c>
      <c r="C31" s="7"/>
      <c r="D31" s="7"/>
      <c r="E31" s="8"/>
    </row>
    <row r="32" spans="2:5" ht="22.5" customHeight="1" x14ac:dyDescent="0.2">
      <c r="B32" s="9"/>
      <c r="C32" s="89" t="s">
        <v>34</v>
      </c>
      <c r="D32" s="89"/>
      <c r="E32" s="90"/>
    </row>
    <row r="33" spans="2:5" x14ac:dyDescent="0.2">
      <c r="B33" s="9" t="s">
        <v>15</v>
      </c>
      <c r="C33" s="7"/>
      <c r="D33" s="7"/>
      <c r="E33" s="8"/>
    </row>
    <row r="34" spans="2:5" ht="25.5" customHeight="1" x14ac:dyDescent="0.2">
      <c r="B34" s="10"/>
      <c r="C34" s="89" t="s">
        <v>26</v>
      </c>
      <c r="D34" s="89"/>
      <c r="E34" s="90"/>
    </row>
    <row r="35" spans="2:5" ht="37.5" customHeight="1" x14ac:dyDescent="0.2">
      <c r="B35" s="10"/>
      <c r="C35" s="89"/>
      <c r="D35" s="89"/>
      <c r="E35" s="90"/>
    </row>
    <row r="36" spans="2:5" x14ac:dyDescent="0.2">
      <c r="B36" s="9" t="s">
        <v>16</v>
      </c>
      <c r="C36" s="7"/>
      <c r="D36" s="7"/>
      <c r="E36" s="8"/>
    </row>
    <row r="37" spans="2:5" ht="9.75" customHeight="1" x14ac:dyDescent="0.2">
      <c r="B37" s="10"/>
      <c r="C37" s="89" t="s">
        <v>27</v>
      </c>
      <c r="D37" s="89"/>
      <c r="E37" s="90"/>
    </row>
    <row r="38" spans="2:5" x14ac:dyDescent="0.2">
      <c r="B38" s="9" t="s">
        <v>28</v>
      </c>
      <c r="C38" s="11"/>
      <c r="D38" s="11"/>
      <c r="E38" s="12"/>
    </row>
    <row r="39" spans="2:5" ht="7.5" customHeight="1" x14ac:dyDescent="0.2">
      <c r="B39" s="10"/>
      <c r="C39" s="89"/>
      <c r="D39" s="89"/>
      <c r="E39" s="90"/>
    </row>
    <row r="40" spans="2:5" x14ac:dyDescent="0.2">
      <c r="B40" s="9" t="s">
        <v>17</v>
      </c>
      <c r="C40" s="7"/>
      <c r="D40" s="7"/>
      <c r="E40" s="8"/>
    </row>
    <row r="41" spans="2:5" ht="13.5" customHeight="1" x14ac:dyDescent="0.2">
      <c r="B41" s="9"/>
      <c r="C41" s="89" t="s">
        <v>29</v>
      </c>
      <c r="D41" s="91"/>
      <c r="E41" s="92"/>
    </row>
    <row r="42" spans="2:5" ht="7.5" customHeight="1" thickBot="1" x14ac:dyDescent="0.25">
      <c r="B42" s="13"/>
      <c r="C42" s="14"/>
      <c r="D42" s="14"/>
      <c r="E42" s="15"/>
    </row>
    <row r="43" spans="2:5" ht="13.5" thickBot="1" x14ac:dyDescent="0.25"/>
    <row r="44" spans="2:5" x14ac:dyDescent="0.2">
      <c r="B44" s="23" t="s">
        <v>32</v>
      </c>
      <c r="C44" s="4"/>
      <c r="D44" s="4"/>
      <c r="E44" s="5"/>
    </row>
    <row r="45" spans="2:5" ht="5.25" customHeight="1" x14ac:dyDescent="0.2">
      <c r="B45" s="6"/>
      <c r="C45" s="7"/>
      <c r="D45" s="7"/>
      <c r="E45" s="8"/>
    </row>
    <row r="46" spans="2:5" x14ac:dyDescent="0.2">
      <c r="B46" s="9" t="s">
        <v>14</v>
      </c>
      <c r="C46" s="7"/>
      <c r="D46" s="7"/>
      <c r="E46" s="8"/>
    </row>
    <row r="47" spans="2:5" ht="22.5" customHeight="1" x14ac:dyDescent="0.2">
      <c r="B47" s="9"/>
      <c r="C47" s="89" t="s">
        <v>35</v>
      </c>
      <c r="D47" s="89"/>
      <c r="E47" s="90"/>
    </row>
    <row r="48" spans="2:5" x14ac:dyDescent="0.2">
      <c r="B48" s="9" t="s">
        <v>15</v>
      </c>
      <c r="C48" s="7"/>
      <c r="D48" s="7"/>
      <c r="E48" s="8"/>
    </row>
    <row r="49" spans="2:5" ht="25.5" customHeight="1" x14ac:dyDescent="0.2">
      <c r="B49" s="10"/>
      <c r="C49" s="89" t="s">
        <v>26</v>
      </c>
      <c r="D49" s="89"/>
      <c r="E49" s="90"/>
    </row>
    <row r="50" spans="2:5" ht="37.5" customHeight="1" x14ac:dyDescent="0.2">
      <c r="B50" s="10"/>
      <c r="C50" s="89"/>
      <c r="D50" s="89"/>
      <c r="E50" s="90"/>
    </row>
    <row r="51" spans="2:5" x14ac:dyDescent="0.2">
      <c r="B51" s="9" t="s">
        <v>16</v>
      </c>
      <c r="C51" s="7"/>
      <c r="D51" s="7"/>
      <c r="E51" s="8"/>
    </row>
    <row r="52" spans="2:5" ht="9.75" customHeight="1" x14ac:dyDescent="0.2">
      <c r="B52" s="10"/>
      <c r="C52" s="89" t="s">
        <v>27</v>
      </c>
      <c r="D52" s="89"/>
      <c r="E52" s="90"/>
    </row>
    <row r="53" spans="2:5" x14ac:dyDescent="0.2">
      <c r="B53" s="9" t="s">
        <v>28</v>
      </c>
      <c r="C53" s="11"/>
      <c r="D53" s="11"/>
      <c r="E53" s="12"/>
    </row>
    <row r="54" spans="2:5" ht="7.5" customHeight="1" x14ac:dyDescent="0.2">
      <c r="B54" s="10"/>
      <c r="C54" s="89"/>
      <c r="D54" s="89"/>
      <c r="E54" s="90"/>
    </row>
    <row r="55" spans="2:5" x14ac:dyDescent="0.2">
      <c r="B55" s="9" t="s">
        <v>17</v>
      </c>
      <c r="C55" s="7"/>
      <c r="D55" s="7"/>
      <c r="E55" s="8"/>
    </row>
    <row r="56" spans="2:5" ht="13.5" customHeight="1" x14ac:dyDescent="0.2">
      <c r="B56" s="9"/>
      <c r="C56" s="89" t="s">
        <v>29</v>
      </c>
      <c r="D56" s="91"/>
      <c r="E56" s="92"/>
    </row>
    <row r="57" spans="2:5" ht="7.5" customHeight="1" thickBot="1" x14ac:dyDescent="0.25">
      <c r="B57" s="13"/>
      <c r="C57" s="14"/>
      <c r="D57" s="14"/>
      <c r="E57" s="15"/>
    </row>
  </sheetData>
  <mergeCells count="22">
    <mergeCell ref="B1:H1"/>
    <mergeCell ref="A3:B3"/>
    <mergeCell ref="C3:E3"/>
    <mergeCell ref="A4:B4"/>
    <mergeCell ref="C4:E4"/>
    <mergeCell ref="C22:E22"/>
    <mergeCell ref="C24:E24"/>
    <mergeCell ref="C26:E26"/>
    <mergeCell ref="A5:B5"/>
    <mergeCell ref="A6:B6"/>
    <mergeCell ref="C17:E17"/>
    <mergeCell ref="C19:E20"/>
    <mergeCell ref="C32:E32"/>
    <mergeCell ref="C34:E35"/>
    <mergeCell ref="C37:E37"/>
    <mergeCell ref="C39:E39"/>
    <mergeCell ref="C41:E41"/>
    <mergeCell ref="C47:E47"/>
    <mergeCell ref="C49:E50"/>
    <mergeCell ref="C52:E52"/>
    <mergeCell ref="C54:E54"/>
    <mergeCell ref="C56:E56"/>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workbookViewId="0">
      <selection activeCell="J20" sqref="J20"/>
    </sheetView>
  </sheetViews>
  <sheetFormatPr baseColWidth="10" defaultColWidth="9.140625" defaultRowHeight="12.75" x14ac:dyDescent="0.2"/>
  <cols>
    <col min="2" max="2" width="13.7109375" customWidth="1"/>
    <col min="3" max="3" width="7.28515625" customWidth="1"/>
    <col min="7" max="7" width="19" customWidth="1"/>
    <col min="8" max="8" width="13.140625" customWidth="1"/>
    <col min="9" max="9" width="16.85546875" customWidth="1"/>
    <col min="10" max="10" width="30.42578125" customWidth="1"/>
    <col min="11" max="11" width="25.28515625" customWidth="1"/>
    <col min="12" max="12" width="17" customWidth="1"/>
    <col min="15" max="15" width="18.28515625" customWidth="1"/>
  </cols>
  <sheetData>
    <row r="1" spans="1:15" ht="16.5" thickBot="1" x14ac:dyDescent="0.25">
      <c r="A1" s="105" t="s">
        <v>38</v>
      </c>
      <c r="B1" s="105"/>
      <c r="C1" s="105"/>
      <c r="D1" s="105"/>
      <c r="E1" s="105"/>
      <c r="F1" s="105"/>
      <c r="G1" s="105"/>
      <c r="H1" s="105"/>
      <c r="I1" s="105"/>
      <c r="J1" s="40" t="s">
        <v>39</v>
      </c>
      <c r="K1" s="41">
        <v>6</v>
      </c>
    </row>
    <row r="2" spans="1:15" ht="15" thickBot="1" x14ac:dyDescent="0.25">
      <c r="A2" s="42"/>
      <c r="B2" s="43"/>
      <c r="C2" s="43"/>
      <c r="D2" s="44"/>
      <c r="E2" s="44"/>
      <c r="F2" s="44"/>
      <c r="G2" s="44"/>
      <c r="H2" s="44"/>
      <c r="I2" s="44"/>
      <c r="J2" s="44"/>
      <c r="K2" s="45"/>
    </row>
    <row r="3" spans="1:15" ht="15.75" thickBot="1" x14ac:dyDescent="0.25">
      <c r="A3" s="101" t="s">
        <v>40</v>
      </c>
      <c r="B3" s="101"/>
      <c r="C3" s="101"/>
      <c r="D3" s="98" t="s">
        <v>41</v>
      </c>
      <c r="E3" s="98"/>
      <c r="F3" s="98"/>
      <c r="G3" s="98"/>
      <c r="H3" s="98"/>
      <c r="I3" s="98"/>
      <c r="J3" s="98"/>
      <c r="K3" s="98"/>
    </row>
    <row r="4" spans="1:15" ht="15.75" thickBot="1" x14ac:dyDescent="0.25">
      <c r="A4" s="102" t="s">
        <v>42</v>
      </c>
      <c r="B4" s="102"/>
      <c r="C4" s="102"/>
      <c r="D4" s="98">
        <v>26</v>
      </c>
      <c r="E4" s="98"/>
      <c r="F4" s="98"/>
      <c r="G4" s="98"/>
      <c r="H4" s="98"/>
      <c r="I4" s="98"/>
      <c r="J4" s="98"/>
      <c r="K4" s="98"/>
    </row>
    <row r="5" spans="1:15" ht="15.75" thickBot="1" x14ac:dyDescent="0.25">
      <c r="A5" s="102" t="s">
        <v>43</v>
      </c>
      <c r="B5" s="102"/>
      <c r="C5" s="102"/>
      <c r="D5" s="98" t="s">
        <v>44</v>
      </c>
      <c r="E5" s="98"/>
      <c r="F5" s="98"/>
      <c r="G5" s="98"/>
      <c r="H5" s="98"/>
      <c r="I5" s="98"/>
      <c r="J5" s="98"/>
      <c r="K5" s="98"/>
    </row>
    <row r="6" spans="1:15" ht="15.75" thickBot="1" x14ac:dyDescent="0.25">
      <c r="A6" s="101" t="s">
        <v>45</v>
      </c>
      <c r="B6" s="101"/>
      <c r="C6" s="101"/>
      <c r="D6" s="98" t="s">
        <v>44</v>
      </c>
      <c r="E6" s="98"/>
      <c r="F6" s="98"/>
      <c r="G6" s="98"/>
      <c r="H6" s="98"/>
      <c r="I6" s="98"/>
      <c r="J6" s="98"/>
      <c r="K6" s="98"/>
    </row>
    <row r="7" spans="1:15" ht="15.75" thickBot="1" x14ac:dyDescent="0.25">
      <c r="A7" s="102" t="s">
        <v>46</v>
      </c>
      <c r="B7" s="102"/>
      <c r="C7" s="102"/>
      <c r="D7" s="98" t="s">
        <v>47</v>
      </c>
      <c r="E7" s="98"/>
      <c r="F7" s="98"/>
      <c r="G7" s="98"/>
      <c r="H7" s="98"/>
      <c r="I7" s="98"/>
      <c r="J7" s="98"/>
      <c r="K7" s="98"/>
    </row>
    <row r="8" spans="1:15" ht="15.75" thickBot="1" x14ac:dyDescent="0.25">
      <c r="A8" s="103" t="s">
        <v>48</v>
      </c>
      <c r="B8" s="103"/>
      <c r="C8" s="103"/>
      <c r="D8" s="104" t="s">
        <v>49</v>
      </c>
      <c r="E8" s="104"/>
      <c r="F8" s="104"/>
      <c r="G8" s="104"/>
      <c r="H8" s="104"/>
      <c r="I8" s="104"/>
      <c r="J8" s="104"/>
      <c r="K8" s="104"/>
    </row>
    <row r="9" spans="1:15" ht="15.75" thickBot="1" x14ac:dyDescent="0.25">
      <c r="A9" s="46"/>
      <c r="B9" s="47"/>
      <c r="C9" s="47"/>
      <c r="D9" s="48"/>
      <c r="E9" s="48"/>
      <c r="F9" s="48"/>
      <c r="G9" s="48"/>
      <c r="H9" s="48"/>
      <c r="I9" s="48"/>
      <c r="J9" s="48"/>
      <c r="K9" s="49"/>
    </row>
    <row r="10" spans="1:15" ht="13.5" thickBot="1" x14ac:dyDescent="0.25">
      <c r="A10" s="100" t="s">
        <v>50</v>
      </c>
      <c r="B10" s="96" t="s">
        <v>51</v>
      </c>
      <c r="C10" s="96" t="s">
        <v>52</v>
      </c>
      <c r="D10" s="96"/>
      <c r="E10" s="96"/>
      <c r="F10" s="96"/>
      <c r="G10" s="96"/>
      <c r="H10" s="96" t="s">
        <v>53</v>
      </c>
      <c r="I10" s="96" t="s">
        <v>54</v>
      </c>
      <c r="J10" s="96" t="s">
        <v>55</v>
      </c>
      <c r="K10" s="96" t="s">
        <v>56</v>
      </c>
    </row>
    <row r="11" spans="1:15" ht="13.5" thickBot="1" x14ac:dyDescent="0.25">
      <c r="A11" s="100"/>
      <c r="B11" s="96"/>
      <c r="C11" s="96"/>
      <c r="D11" s="96"/>
      <c r="E11" s="96"/>
      <c r="F11" s="96"/>
      <c r="G11" s="96"/>
      <c r="H11" s="96"/>
      <c r="I11" s="96"/>
      <c r="J11" s="96"/>
      <c r="K11" s="96"/>
    </row>
    <row r="12" spans="1:15" ht="45.75" customHeight="1" thickBot="1" x14ac:dyDescent="0.25">
      <c r="A12" s="50">
        <v>1</v>
      </c>
      <c r="B12" s="51" t="s">
        <v>22</v>
      </c>
      <c r="C12" s="97" t="s">
        <v>23</v>
      </c>
      <c r="D12" s="97"/>
      <c r="E12" s="97"/>
      <c r="F12" s="97"/>
      <c r="G12" s="97"/>
      <c r="H12" s="50" t="s">
        <v>57</v>
      </c>
      <c r="I12" s="52" t="s">
        <v>58</v>
      </c>
      <c r="J12" s="53">
        <v>9030</v>
      </c>
      <c r="K12" s="54">
        <v>6</v>
      </c>
      <c r="O12" s="55"/>
    </row>
    <row r="13" spans="1:15" ht="48" customHeight="1" thickBot="1" x14ac:dyDescent="0.25">
      <c r="A13" s="50">
        <v>2</v>
      </c>
      <c r="B13" s="51" t="s">
        <v>24</v>
      </c>
      <c r="C13" s="97" t="s">
        <v>25</v>
      </c>
      <c r="D13" s="97"/>
      <c r="E13" s="97"/>
      <c r="F13" s="97"/>
      <c r="G13" s="97"/>
      <c r="H13" s="50" t="s">
        <v>57</v>
      </c>
      <c r="I13" s="52" t="s">
        <v>58</v>
      </c>
      <c r="J13" s="53">
        <v>9115</v>
      </c>
      <c r="K13" s="54">
        <v>20</v>
      </c>
      <c r="O13" s="55"/>
    </row>
    <row r="14" spans="1:15" ht="51" customHeight="1" thickBot="1" x14ac:dyDescent="0.25">
      <c r="A14" s="50">
        <v>3</v>
      </c>
      <c r="B14" t="s">
        <v>37</v>
      </c>
      <c r="C14" s="97" t="s">
        <v>36</v>
      </c>
      <c r="D14" s="97"/>
      <c r="E14" s="97"/>
      <c r="F14" s="97"/>
      <c r="G14" s="97"/>
      <c r="H14" s="50" t="s">
        <v>57</v>
      </c>
      <c r="I14" s="52" t="s">
        <v>58</v>
      </c>
      <c r="J14" s="53">
        <v>23900</v>
      </c>
      <c r="K14" s="54">
        <v>20</v>
      </c>
      <c r="O14" s="55"/>
    </row>
    <row r="15" spans="1:15" ht="15.75" thickBot="1" x14ac:dyDescent="0.25">
      <c r="A15" s="98" t="s">
        <v>59</v>
      </c>
      <c r="B15" s="98"/>
      <c r="C15" s="98"/>
      <c r="D15" s="98"/>
      <c r="E15" s="98"/>
      <c r="F15" s="98"/>
      <c r="G15" s="98"/>
      <c r="H15" s="98"/>
      <c r="I15" s="98"/>
      <c r="J15" s="99">
        <v>714480</v>
      </c>
      <c r="K15" s="99"/>
    </row>
  </sheetData>
  <mergeCells count="25">
    <mergeCell ref="A5:C5"/>
    <mergeCell ref="D5:K5"/>
    <mergeCell ref="A1:I1"/>
    <mergeCell ref="A3:C3"/>
    <mergeCell ref="D3:K3"/>
    <mergeCell ref="A4:C4"/>
    <mergeCell ref="D4:K4"/>
    <mergeCell ref="A6:C6"/>
    <mergeCell ref="D6:K6"/>
    <mergeCell ref="A7:C7"/>
    <mergeCell ref="D7:K7"/>
    <mergeCell ref="A8:C8"/>
    <mergeCell ref="D8:K8"/>
    <mergeCell ref="K10:K11"/>
    <mergeCell ref="C12:G12"/>
    <mergeCell ref="C13:G13"/>
    <mergeCell ref="C14:G14"/>
    <mergeCell ref="A15:I15"/>
    <mergeCell ref="J15:K15"/>
    <mergeCell ref="A10:A11"/>
    <mergeCell ref="B10:B11"/>
    <mergeCell ref="C10:G11"/>
    <mergeCell ref="H10:H11"/>
    <mergeCell ref="I10:I11"/>
    <mergeCell ref="J10: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selection activeCell="I32" sqref="I32"/>
    </sheetView>
  </sheetViews>
  <sheetFormatPr baseColWidth="10" defaultColWidth="11" defaultRowHeight="12.75" x14ac:dyDescent="0.2"/>
  <cols>
    <col min="1" max="5" width="4.42578125" customWidth="1"/>
    <col min="6" max="6" width="5.140625" customWidth="1"/>
    <col min="7" max="7" width="4.42578125" style="88" customWidth="1"/>
    <col min="8" max="14" width="4.42578125" customWidth="1"/>
    <col min="15" max="16" width="14.85546875" customWidth="1"/>
    <col min="17" max="17" width="14.7109375" customWidth="1"/>
  </cols>
  <sheetData>
    <row r="1" spans="1:17" ht="15.75" thickBot="1" x14ac:dyDescent="0.3">
      <c r="A1" s="126" t="s">
        <v>3</v>
      </c>
      <c r="B1" s="126"/>
      <c r="C1" s="126"/>
      <c r="D1" s="127">
        <v>2021</v>
      </c>
      <c r="E1" s="127"/>
      <c r="F1" s="56"/>
      <c r="G1" s="56"/>
      <c r="H1" s="57"/>
      <c r="I1" s="57"/>
      <c r="J1" s="57"/>
      <c r="K1" s="57"/>
      <c r="L1" s="57"/>
      <c r="M1" s="57"/>
      <c r="N1" s="57"/>
      <c r="O1" s="58"/>
      <c r="P1" s="128" t="s">
        <v>60</v>
      </c>
      <c r="Q1" s="128"/>
    </row>
    <row r="2" spans="1:17" ht="13.5" thickBot="1" x14ac:dyDescent="0.25">
      <c r="A2" s="59"/>
      <c r="B2" s="60"/>
      <c r="C2" s="60"/>
      <c r="D2" s="60"/>
      <c r="E2" s="60"/>
      <c r="F2" s="60"/>
      <c r="G2" s="61"/>
      <c r="H2" s="62"/>
      <c r="I2" s="62"/>
      <c r="J2" s="62"/>
      <c r="K2" s="62"/>
      <c r="L2" s="62"/>
      <c r="M2" s="62"/>
      <c r="N2" s="62"/>
      <c r="O2" s="60"/>
      <c r="P2" s="128"/>
      <c r="Q2" s="128"/>
    </row>
    <row r="3" spans="1:17" ht="13.5" thickBot="1" x14ac:dyDescent="0.25">
      <c r="A3" s="59"/>
      <c r="B3" s="60"/>
      <c r="C3" s="60"/>
      <c r="D3" s="60"/>
      <c r="E3" s="60"/>
      <c r="F3" s="60"/>
      <c r="G3" s="61"/>
      <c r="H3" s="60"/>
      <c r="I3" s="60"/>
      <c r="J3" s="60"/>
      <c r="K3" s="60"/>
      <c r="L3" s="60"/>
      <c r="M3" s="60"/>
      <c r="N3" s="60"/>
      <c r="O3" s="60"/>
      <c r="P3" s="60"/>
      <c r="Q3" s="63"/>
    </row>
    <row r="4" spans="1:17" s="64" customFormat="1" ht="15" thickBot="1" x14ac:dyDescent="0.25">
      <c r="A4" s="129" t="s">
        <v>61</v>
      </c>
      <c r="B4" s="129"/>
      <c r="C4" s="129"/>
      <c r="D4" s="129"/>
      <c r="E4" s="129"/>
      <c r="F4" s="129"/>
      <c r="G4" s="123" t="s">
        <v>41</v>
      </c>
      <c r="H4" s="123"/>
      <c r="I4" s="123"/>
      <c r="J4" s="123"/>
      <c r="K4" s="123"/>
      <c r="L4" s="123"/>
      <c r="M4" s="123"/>
      <c r="N4" s="123"/>
      <c r="O4" s="123"/>
      <c r="P4" s="123"/>
      <c r="Q4" s="123"/>
    </row>
    <row r="5" spans="1:17" s="64" customFormat="1" ht="15" thickBot="1" x14ac:dyDescent="0.25">
      <c r="A5" s="122" t="s">
        <v>42</v>
      </c>
      <c r="B5" s="122"/>
      <c r="C5" s="122"/>
      <c r="D5" s="122"/>
      <c r="E5" s="122"/>
      <c r="F5" s="122"/>
      <c r="G5" s="123">
        <v>26</v>
      </c>
      <c r="H5" s="123"/>
      <c r="I5" s="123"/>
      <c r="J5" s="123"/>
      <c r="K5" s="123"/>
      <c r="L5" s="123"/>
      <c r="M5" s="123"/>
      <c r="N5" s="123"/>
      <c r="O5" s="123"/>
      <c r="P5" s="123"/>
      <c r="Q5" s="123"/>
    </row>
    <row r="6" spans="1:17" s="64" customFormat="1" ht="15" thickBot="1" x14ac:dyDescent="0.25">
      <c r="A6" s="122" t="s">
        <v>43</v>
      </c>
      <c r="B6" s="122"/>
      <c r="C6" s="122"/>
      <c r="D6" s="122"/>
      <c r="E6" s="122"/>
      <c r="F6" s="122"/>
      <c r="G6" s="123" t="s">
        <v>44</v>
      </c>
      <c r="H6" s="123"/>
      <c r="I6" s="123"/>
      <c r="J6" s="123"/>
      <c r="K6" s="123"/>
      <c r="L6" s="123"/>
      <c r="M6" s="123"/>
      <c r="N6" s="123"/>
      <c r="O6" s="123"/>
      <c r="P6" s="123"/>
      <c r="Q6" s="123"/>
    </row>
    <row r="7" spans="1:17" s="64" customFormat="1" ht="15" thickBot="1" x14ac:dyDescent="0.25">
      <c r="A7" s="122" t="s">
        <v>45</v>
      </c>
      <c r="B7" s="122"/>
      <c r="C7" s="122"/>
      <c r="D7" s="122"/>
      <c r="E7" s="122"/>
      <c r="F7" s="122"/>
      <c r="G7" s="123" t="s">
        <v>44</v>
      </c>
      <c r="H7" s="123"/>
      <c r="I7" s="123"/>
      <c r="J7" s="123"/>
      <c r="K7" s="123"/>
      <c r="L7" s="123"/>
      <c r="M7" s="123"/>
      <c r="N7" s="123"/>
      <c r="O7" s="123"/>
      <c r="P7" s="123"/>
      <c r="Q7" s="123"/>
    </row>
    <row r="8" spans="1:17" ht="13.5" thickBot="1" x14ac:dyDescent="0.25">
      <c r="A8" s="124" t="s">
        <v>62</v>
      </c>
      <c r="B8" s="124"/>
      <c r="C8" s="124"/>
      <c r="D8" s="124"/>
      <c r="E8" s="124"/>
      <c r="F8" s="124"/>
      <c r="G8" s="124"/>
      <c r="H8" s="124"/>
      <c r="I8" s="124"/>
      <c r="J8" s="124"/>
      <c r="K8" s="124"/>
      <c r="L8" s="124"/>
      <c r="M8" s="124"/>
      <c r="N8" s="124"/>
      <c r="O8" s="124"/>
      <c r="P8" s="124"/>
      <c r="Q8" s="124"/>
    </row>
    <row r="9" spans="1:17" ht="14.25" x14ac:dyDescent="0.2">
      <c r="A9" s="125" t="s">
        <v>63</v>
      </c>
      <c r="B9" s="125"/>
      <c r="C9" s="125"/>
      <c r="D9" s="125"/>
      <c r="E9" s="125"/>
      <c r="F9" s="125"/>
      <c r="G9" s="125"/>
      <c r="H9" s="125"/>
      <c r="I9" s="125"/>
      <c r="J9" s="125"/>
      <c r="K9" s="125"/>
      <c r="L9" s="125"/>
      <c r="M9" s="125"/>
      <c r="N9" s="125"/>
      <c r="O9" s="125"/>
      <c r="P9" s="125"/>
      <c r="Q9" s="125"/>
    </row>
    <row r="10" spans="1:17" ht="85.5" customHeight="1" x14ac:dyDescent="0.2">
      <c r="A10" s="115" t="s">
        <v>64</v>
      </c>
      <c r="B10" s="115"/>
      <c r="C10" s="115"/>
      <c r="D10" s="115"/>
      <c r="E10" s="115"/>
      <c r="F10" s="115"/>
      <c r="G10" s="115"/>
      <c r="H10" s="115"/>
      <c r="I10" s="115"/>
      <c r="J10" s="115"/>
      <c r="K10" s="115"/>
      <c r="L10" s="115"/>
      <c r="M10" s="115"/>
      <c r="N10" s="115"/>
      <c r="O10" s="115"/>
      <c r="P10" s="115"/>
      <c r="Q10" s="115"/>
    </row>
    <row r="11" spans="1:17" ht="13.5" thickBot="1" x14ac:dyDescent="0.25">
      <c r="A11" s="65"/>
      <c r="B11" s="66"/>
      <c r="C11" s="66"/>
      <c r="D11" s="66"/>
      <c r="E11" s="66"/>
      <c r="F11" s="66"/>
      <c r="G11" s="67"/>
      <c r="H11" s="66"/>
      <c r="I11" s="66"/>
      <c r="J11" s="66"/>
      <c r="K11" s="66"/>
      <c r="L11" s="66"/>
      <c r="M11" s="66"/>
      <c r="N11" s="66"/>
      <c r="O11" s="66"/>
      <c r="P11" s="66"/>
      <c r="Q11" s="68"/>
    </row>
    <row r="12" spans="1:17" ht="13.5" thickBot="1" x14ac:dyDescent="0.25">
      <c r="A12" s="116" t="s">
        <v>65</v>
      </c>
      <c r="B12" s="116"/>
      <c r="C12" s="116"/>
      <c r="D12" s="116"/>
      <c r="E12" s="116"/>
      <c r="F12" s="116"/>
      <c r="G12" s="116"/>
      <c r="H12" s="116"/>
      <c r="I12" s="116"/>
      <c r="J12" s="116"/>
      <c r="K12" s="116"/>
      <c r="L12" s="116"/>
      <c r="M12" s="116"/>
      <c r="N12" s="116"/>
      <c r="O12" s="116"/>
      <c r="P12" s="116"/>
      <c r="Q12" s="116"/>
    </row>
    <row r="13" spans="1:17" ht="13.5" thickBot="1" x14ac:dyDescent="0.25">
      <c r="A13" s="117" t="s">
        <v>66</v>
      </c>
      <c r="B13" s="117"/>
      <c r="C13" s="117"/>
      <c r="D13" s="117"/>
      <c r="E13" s="117"/>
      <c r="F13" s="117"/>
      <c r="G13" s="117"/>
      <c r="H13" s="117"/>
      <c r="I13" s="117"/>
      <c r="J13" s="117"/>
      <c r="K13" s="117"/>
      <c r="L13" s="117"/>
      <c r="M13" s="117"/>
      <c r="N13" s="117"/>
      <c r="O13" s="118" t="s">
        <v>67</v>
      </c>
      <c r="P13" s="118"/>
      <c r="Q13" s="119" t="s">
        <v>68</v>
      </c>
    </row>
    <row r="14" spans="1:17" ht="13.5" thickBot="1" x14ac:dyDescent="0.25">
      <c r="A14" s="69" t="s">
        <v>69</v>
      </c>
      <c r="B14" s="70" t="s">
        <v>70</v>
      </c>
      <c r="C14" s="70" t="s">
        <v>71</v>
      </c>
      <c r="D14" s="70" t="s">
        <v>72</v>
      </c>
      <c r="E14" s="70" t="s">
        <v>73</v>
      </c>
      <c r="F14" s="70" t="s">
        <v>74</v>
      </c>
      <c r="G14" s="71" t="s">
        <v>75</v>
      </c>
      <c r="H14" s="70" t="s">
        <v>76</v>
      </c>
      <c r="I14" s="70" t="s">
        <v>77</v>
      </c>
      <c r="J14" s="70" t="s">
        <v>78</v>
      </c>
      <c r="K14" s="70" t="s">
        <v>78</v>
      </c>
      <c r="L14" s="70" t="s">
        <v>79</v>
      </c>
      <c r="M14" s="72" t="s">
        <v>80</v>
      </c>
      <c r="N14" s="73" t="s">
        <v>81</v>
      </c>
      <c r="O14" s="118"/>
      <c r="P14" s="118"/>
      <c r="Q14" s="119"/>
    </row>
    <row r="15" spans="1:17" x14ac:dyDescent="0.2">
      <c r="A15" s="74">
        <v>34</v>
      </c>
      <c r="B15" s="75">
        <v>0</v>
      </c>
      <c r="C15" s="75">
        <v>0</v>
      </c>
      <c r="D15" s="75">
        <v>2</v>
      </c>
      <c r="E15" s="75">
        <v>0</v>
      </c>
      <c r="F15" s="75">
        <v>4901</v>
      </c>
      <c r="G15" s="75">
        <v>1</v>
      </c>
      <c r="H15" s="75">
        <v>3</v>
      </c>
      <c r="I15" s="75">
        <v>2</v>
      </c>
      <c r="J15" s="75">
        <v>4</v>
      </c>
      <c r="K15" s="75">
        <v>4</v>
      </c>
      <c r="L15" s="75">
        <v>0</v>
      </c>
      <c r="M15" s="76">
        <v>1</v>
      </c>
      <c r="N15" s="75" t="s">
        <v>82</v>
      </c>
      <c r="O15" s="120" t="s">
        <v>83</v>
      </c>
      <c r="P15" s="121"/>
      <c r="Q15" s="77">
        <v>714480</v>
      </c>
    </row>
    <row r="16" spans="1:17" x14ac:dyDescent="0.2">
      <c r="A16" s="78"/>
      <c r="B16" s="79"/>
      <c r="C16" s="79"/>
      <c r="D16" s="79"/>
      <c r="E16" s="79"/>
      <c r="F16" s="79"/>
      <c r="G16" s="79"/>
      <c r="H16" s="79"/>
      <c r="I16" s="79"/>
      <c r="J16" s="79"/>
      <c r="K16" s="79"/>
      <c r="L16" s="79"/>
      <c r="M16" s="80"/>
      <c r="N16" s="81"/>
      <c r="O16" s="110"/>
      <c r="P16" s="110"/>
      <c r="Q16" s="82"/>
    </row>
    <row r="17" spans="1:17" x14ac:dyDescent="0.2">
      <c r="A17" s="78"/>
      <c r="B17" s="79"/>
      <c r="C17" s="79"/>
      <c r="D17" s="79"/>
      <c r="E17" s="79"/>
      <c r="F17" s="79"/>
      <c r="G17" s="79"/>
      <c r="H17" s="79"/>
      <c r="I17" s="79"/>
      <c r="J17" s="79"/>
      <c r="K17" s="79"/>
      <c r="L17" s="79"/>
      <c r="M17" s="80"/>
      <c r="N17" s="81"/>
      <c r="O17" s="111"/>
      <c r="P17" s="111"/>
      <c r="Q17" s="82"/>
    </row>
    <row r="18" spans="1:17" x14ac:dyDescent="0.2">
      <c r="A18" s="78"/>
      <c r="B18" s="79"/>
      <c r="C18" s="79"/>
      <c r="D18" s="79"/>
      <c r="E18" s="79"/>
      <c r="F18" s="79"/>
      <c r="G18" s="79"/>
      <c r="H18" s="79"/>
      <c r="I18" s="79"/>
      <c r="J18" s="79"/>
      <c r="K18" s="79"/>
      <c r="L18" s="79"/>
      <c r="M18" s="80"/>
      <c r="N18" s="81"/>
      <c r="O18" s="112"/>
      <c r="P18" s="112"/>
      <c r="Q18" s="82"/>
    </row>
    <row r="19" spans="1:17" x14ac:dyDescent="0.2">
      <c r="A19" s="78"/>
      <c r="B19" s="79"/>
      <c r="C19" s="79"/>
      <c r="D19" s="79"/>
      <c r="E19" s="79"/>
      <c r="F19" s="79"/>
      <c r="G19" s="79"/>
      <c r="H19" s="79"/>
      <c r="I19" s="79"/>
      <c r="J19" s="79"/>
      <c r="K19" s="79"/>
      <c r="L19" s="79"/>
      <c r="M19" s="80"/>
      <c r="N19" s="81"/>
      <c r="O19" s="112"/>
      <c r="P19" s="112"/>
      <c r="Q19" s="82"/>
    </row>
    <row r="20" spans="1:17" ht="13.5" thickBot="1" x14ac:dyDescent="0.25">
      <c r="A20" s="83"/>
      <c r="B20" s="84"/>
      <c r="C20" s="84"/>
      <c r="D20" s="84"/>
      <c r="E20" s="84"/>
      <c r="F20" s="84"/>
      <c r="G20" s="84"/>
      <c r="H20" s="84"/>
      <c r="I20" s="84"/>
      <c r="J20" s="84"/>
      <c r="K20" s="84"/>
      <c r="L20" s="84"/>
      <c r="M20" s="85"/>
      <c r="N20" s="84"/>
      <c r="O20" s="113"/>
      <c r="P20" s="113"/>
      <c r="Q20" s="86"/>
    </row>
    <row r="21" spans="1:17" ht="15.75" thickBot="1" x14ac:dyDescent="0.25">
      <c r="A21" s="114" t="s">
        <v>84</v>
      </c>
      <c r="B21" s="114"/>
      <c r="C21" s="114"/>
      <c r="D21" s="114"/>
      <c r="E21" s="114"/>
      <c r="F21" s="114"/>
      <c r="G21" s="114"/>
      <c r="H21" s="114"/>
      <c r="I21" s="114"/>
      <c r="J21" s="114"/>
      <c r="K21" s="114"/>
      <c r="L21" s="114"/>
      <c r="M21" s="114"/>
      <c r="N21" s="114"/>
      <c r="O21" s="114"/>
      <c r="P21" s="114"/>
      <c r="Q21" s="87">
        <f>SUM(Q15:Q20)</f>
        <v>714480</v>
      </c>
    </row>
    <row r="22" spans="1:17" ht="13.5" thickBot="1" x14ac:dyDescent="0.25">
      <c r="A22" s="106"/>
      <c r="B22" s="106"/>
      <c r="C22" s="106"/>
      <c r="D22" s="106"/>
      <c r="E22" s="106"/>
      <c r="F22" s="106"/>
      <c r="G22" s="106"/>
      <c r="H22" s="106"/>
      <c r="I22" s="106"/>
      <c r="J22" s="106"/>
      <c r="K22" s="106"/>
      <c r="L22" s="106"/>
      <c r="M22" s="106"/>
      <c r="N22" s="106"/>
      <c r="O22" s="106"/>
      <c r="P22" s="106"/>
      <c r="Q22" s="106"/>
    </row>
    <row r="23" spans="1:17" ht="15.75" thickBot="1" x14ac:dyDescent="0.25">
      <c r="A23" s="107" t="s">
        <v>85</v>
      </c>
      <c r="B23" s="107"/>
      <c r="C23" s="107"/>
      <c r="D23" s="107"/>
      <c r="E23" s="107"/>
      <c r="F23" s="107"/>
      <c r="G23" s="108"/>
      <c r="H23" s="108"/>
      <c r="I23" s="108"/>
      <c r="J23" s="108"/>
      <c r="K23" s="108"/>
      <c r="L23" s="108"/>
      <c r="M23" s="108"/>
      <c r="N23" s="108"/>
      <c r="O23" s="108"/>
      <c r="P23" s="108"/>
      <c r="Q23" s="108"/>
    </row>
    <row r="24" spans="1:17" ht="13.5" thickBot="1" x14ac:dyDescent="0.25">
      <c r="A24" s="109" t="s">
        <v>86</v>
      </c>
      <c r="B24" s="109"/>
      <c r="C24" s="109"/>
      <c r="D24" s="109"/>
      <c r="E24" s="109"/>
      <c r="F24" s="109"/>
      <c r="G24" s="109"/>
      <c r="H24" s="109"/>
      <c r="I24" s="109"/>
      <c r="J24" s="109"/>
      <c r="K24" s="109"/>
      <c r="L24" s="109"/>
      <c r="M24" s="109"/>
      <c r="N24" s="109"/>
      <c r="O24" s="109"/>
      <c r="P24" s="109"/>
      <c r="Q24" s="109"/>
    </row>
    <row r="25" spans="1:17" ht="51.75" customHeight="1" thickBot="1" x14ac:dyDescent="0.25">
      <c r="A25" s="109"/>
      <c r="B25" s="109"/>
      <c r="C25" s="109"/>
      <c r="D25" s="109"/>
      <c r="E25" s="109"/>
      <c r="F25" s="109"/>
      <c r="G25" s="109"/>
      <c r="H25" s="109"/>
      <c r="I25" s="109"/>
      <c r="J25" s="109"/>
      <c r="K25" s="109"/>
      <c r="L25" s="109"/>
      <c r="M25" s="109"/>
      <c r="N25" s="109"/>
      <c r="O25" s="109"/>
      <c r="P25" s="109"/>
      <c r="Q25" s="109"/>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2020-08-31T11:09:41Z</cp:lastPrinted>
  <dcterms:created xsi:type="dcterms:W3CDTF">2020-07-17T23:44:49Z</dcterms:created>
  <dcterms:modified xsi:type="dcterms:W3CDTF">2021-08-12T15:44:00Z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