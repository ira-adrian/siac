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F35A9B52-ADE7-4CCD-9AEF-0AD033A3E7D0}" xr6:coauthVersionLast="47" xr6:coauthVersionMax="47" xr10:uidLastSave="{00000000-0000-0000-0000-000000000000}"/>
  <bookViews>
    <workbookView xWindow="-120" yWindow="-120" windowWidth="29040" windowHeight="15840" xr2:uid="{931E1E66-20E7-4173-83D0-7378323B5A7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5" i="1" l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</calcChain>
</file>

<file path=xl/sharedStrings.xml><?xml version="1.0" encoding="utf-8"?>
<sst xmlns="http://schemas.openxmlformats.org/spreadsheetml/2006/main" count="208" uniqueCount="119">
  <si>
    <t>Pedido de Necesidades Trimestrales</t>
  </si>
  <si>
    <t>JURISDICCION:</t>
  </si>
  <si>
    <t>040 - Ministerio de Salud</t>
  </si>
  <si>
    <t xml:space="preserve">SAF N°: </t>
  </si>
  <si>
    <t>11/ 23/ 24  o  28- "…......."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</si>
  <si>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</si>
  <si>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</si>
  <si>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</si>
  <si>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</si>
  <si>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</si>
  <si>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</si>
  <si>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</si>
  <si>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</si>
  <si>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</si>
  <si>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</si>
  <si>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</si>
  <si>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ACIDO POLIACRILICO 0,2% GEL x 10 GRS</t>
  </si>
  <si>
    <t>ENVASE</t>
  </si>
  <si>
    <t>ACIDO VALPROICO 500MG/5ML AMPOLLA</t>
  </si>
  <si>
    <t>AMPOLLA</t>
  </si>
  <si>
    <t>ALPRAZOLAM 0,5MG  COMPRIMIDO</t>
  </si>
  <si>
    <t>COMPRIMIDO</t>
  </si>
  <si>
    <t>ALPRAZOLAM 1MG COMPRIMIDO</t>
  </si>
  <si>
    <t>ALPRAZOLAM 2MG COMPRIMIDO</t>
  </si>
  <si>
    <t>AMITRIPTILINA 25MG COMPRIMIDOS</t>
  </si>
  <si>
    <t>ARIPIPRAZOL 10 MG COMPRIMIDO</t>
  </si>
  <si>
    <t>ARIPIPRAZOL SOLUCION ORAL X 150 ML</t>
  </si>
  <si>
    <t>FRASCO</t>
  </si>
  <si>
    <t>BIPIRIDENO 2 MG COMPRIMIDO</t>
  </si>
  <si>
    <t xml:space="preserve">BROMFENAC 0,09 % GOTAS x 5 ml </t>
  </si>
  <si>
    <t>GOTERO</t>
  </si>
  <si>
    <t xml:space="preserve">CAFEINA 25% AMPOLLA </t>
  </si>
  <si>
    <t>CARBAMAZEPINA 200MG COMPRIMIDO</t>
  </si>
  <si>
    <t>CARBAMAZEPINA SUSPENSION ORAL 2%</t>
  </si>
  <si>
    <t>CARBONATO DE LITIO 300MG COMPRIMIDO</t>
  </si>
  <si>
    <t>CARBOXIMETILCELULOSA GOTAS x 10 ml</t>
  </si>
  <si>
    <t xml:space="preserve">CICLOPENTOLATO 1%X 5ML </t>
  </si>
  <si>
    <t xml:space="preserve">CIPROFLOXACINA 0,3% + DEXAMETASONA 0,1% COLIRIO x 5 ml </t>
  </si>
  <si>
    <t>CIPROFLOXACINA 0,3% + DEXAMETASONA 0,1% UNGÜENTO</t>
  </si>
  <si>
    <t>CITALOPRAM 20MG COMPRIMIDOS</t>
  </si>
  <si>
    <t>CLONAZEPAM  2,5 MG/ML X 20 ML</t>
  </si>
  <si>
    <t>CLONAZEPAM 0,5 MG COMPRIMIDOS</t>
  </si>
  <si>
    <t>CLONAZEPAM 2 MG COMPRIMIDOS</t>
  </si>
  <si>
    <t>CLORPROMAZINA  25 MG COMPRIMIDOS</t>
  </si>
  <si>
    <t>CLORPROMAZINA 25MG  AMPOLLA IM</t>
  </si>
  <si>
    <t>CLOZAPINA 25 MG COMPRIMIDO</t>
  </si>
  <si>
    <t>CLORPROMAZINA 50MG  AMPOLLA EV</t>
  </si>
  <si>
    <t>CLOTIAPINA 40MG COMPRIMIDO</t>
  </si>
  <si>
    <t>DIAZEPAM 10 MG COMPRIMIDO</t>
  </si>
  <si>
    <t>DIAZEPAM 5 MG COMPRIMIDO</t>
  </si>
  <si>
    <t>DIFENHIDRAMINA 0,25% JARABE X 120 ML</t>
  </si>
  <si>
    <t>DIFENHIDRAMINA 50MG COMPRIMIDOS</t>
  </si>
  <si>
    <t>DIFENILHIDRAMINA 10MG AMPOLLAS</t>
  </si>
  <si>
    <t>DIVALPROATO DE SODIO 250MG COMPRIMIDO</t>
  </si>
  <si>
    <t>DIVALPROATO DE SODIO 500MG COMPRIMIDO</t>
  </si>
  <si>
    <t>DORZOLAMIDA +TIMOLOL GOTAS</t>
  </si>
  <si>
    <t>ERITROMICINA 0,1GR COLIRIO</t>
  </si>
  <si>
    <t xml:space="preserve">ERITROMICINA O,5 %UNGUENTO OFTALMICO </t>
  </si>
  <si>
    <t>FENITOINA 100 MG COMPRIMIDO</t>
  </si>
  <si>
    <t>FENITOINA 100 MG  AMPOLLAS X 2 ML</t>
  </si>
  <si>
    <t>FENITOINA SUSPENSION X 120ML</t>
  </si>
  <si>
    <t>FENOBARBITAL 100MG COMPRIMIDO</t>
  </si>
  <si>
    <t xml:space="preserve">FENOBARBITAL 15 MG COMPRIMIDO </t>
  </si>
  <si>
    <t>FLUMAZENIL 0,5 MG  AMPOLLAS X 5 ML</t>
  </si>
  <si>
    <t>FLUORESCEINA SODICA O,25% COLIRIO</t>
  </si>
  <si>
    <t>FLUOXETINA 20MG CAPSULAS</t>
  </si>
  <si>
    <t>CAPSULAS</t>
  </si>
  <si>
    <t>GATIFLOXACINA 0,3 % COLIRIO x 5 ml</t>
  </si>
  <si>
    <t>GENTAMINA SULFATO  GOTAS x 10 ml TIPO PROVISUAL</t>
  </si>
  <si>
    <t>HALOPERIDOL 10 MG COMPRIMIDO</t>
  </si>
  <si>
    <t>HALOPERIDOL 2MG/ML GOTAS</t>
  </si>
  <si>
    <t>HALOPERIDOL 5 MG AMPOLLA</t>
  </si>
  <si>
    <t>HALOPERIDOL 5MG COMPRIMIDO</t>
  </si>
  <si>
    <t>HALOPERIDOL DECANOATO 150MG AMPOLLA</t>
  </si>
  <si>
    <t>HIDROXIZINA CLORHIDRATO 25MG COMPRIMIDOS</t>
  </si>
  <si>
    <t>LAMOTRIGINA 100MG COMPRIMIDO</t>
  </si>
  <si>
    <t>LAMOTRIGINA 25 MG COMPRIMIDO</t>
  </si>
  <si>
    <t>LAMOTRIGINA 50 MG COMPRIMIDO</t>
  </si>
  <si>
    <t>LAMOTRIGINA 50MG COMPRIMIDO</t>
  </si>
  <si>
    <t>LATANOPROST 0,05% COLIRIO X 2.5 ML</t>
  </si>
  <si>
    <t>LEVETIRACETAM 100MG/ML SOLUCION ORAL X 300 ML</t>
  </si>
  <si>
    <t>LEVETIRACETAM 500MG AMPOLLA x 10 UNIDADES</t>
  </si>
  <si>
    <t>CAJA</t>
  </si>
  <si>
    <t>LEVETIRACETAM 500MG COMPRIMIDO</t>
  </si>
  <si>
    <t>LEVOMEPROMAZINA 25 MG AMPOLLA</t>
  </si>
  <si>
    <t>LEVOMEPROMAZINA 25 MG COMPRIMIDO</t>
  </si>
  <si>
    <t>LORATADINA 10MG COMPRIMIDO</t>
  </si>
  <si>
    <t>LORATADINA 1MG/ML JARABE</t>
  </si>
  <si>
    <t>LORAZEPAM 1 MG COMPRIMIDO</t>
  </si>
  <si>
    <t>LORAZEPAM 1MG SUBLINGUAL COMPRIMIDO</t>
  </si>
  <si>
    <t>LORAZEPAM 2MG COMPRIMIDO</t>
  </si>
  <si>
    <t>NALOXONA 0,4 MG / ML AMPOLLA</t>
  </si>
  <si>
    <t>NEOSTIGMINA 0,5 MG  AMPOLLA X 1 ML</t>
  </si>
  <si>
    <t>OLANZAPINA 10MG COMPRIMIDO</t>
  </si>
  <si>
    <t>PAROXETINA 20MG COMPRIMIDO</t>
  </si>
  <si>
    <t>PIRIDOSTIGMINA 60MG CAPSULAS</t>
  </si>
  <si>
    <t>PREDNISOLONA ACETATO+FENILEFRINA CLORHIDRATO COLIRIO x 10 ml</t>
  </si>
  <si>
    <t>PREGABALINA 75MG COMPRIMIDO</t>
  </si>
  <si>
    <t>PROPARACAINA CLORHIDRATO 0,5% COLIRIO</t>
  </si>
  <si>
    <t>PROTAMINA SULFATO 50MG AMPOLLA</t>
  </si>
  <si>
    <t>QUETIAPINA 100MG COMPRIMIDO</t>
  </si>
  <si>
    <t>QUETIAPINA 300MG COMPRIMIDO</t>
  </si>
  <si>
    <t>RISPERIDONA 1MG COMPRIMIDO</t>
  </si>
  <si>
    <t>RISPERIDONA 2 MG COMPRIMIDO</t>
  </si>
  <si>
    <t>RISPERIDONA 3 MG COMPRIMIDO</t>
  </si>
  <si>
    <t>SERTRALINA 50MG COMPRIMIDOS</t>
  </si>
  <si>
    <t>SURFACTANTE PULMONAR 120 MG FCO AMPOLLA</t>
  </si>
  <si>
    <t>SURFACTANTE PULMONAR 200 MG FCO AMPOLLA</t>
  </si>
  <si>
    <t>SURFACTANTE PULMONAR 90 MG FCO AMPOLLA</t>
  </si>
  <si>
    <t>TOBRAMICINA 0,3% COLIRIO</t>
  </si>
  <si>
    <t>TOBRAMICINA 0,3%+DEXAMETASONA COLIRIO</t>
  </si>
  <si>
    <t>TOPIRAMATO 100MG COMPRIMDO</t>
  </si>
  <si>
    <t>TRAVOPROST 0,04% COLIRIO</t>
  </si>
  <si>
    <t>TROPICAMIDA 0,5%+ FENILEFRINA 5% COLIRIO</t>
  </si>
  <si>
    <t>VALPROATO DE MAGNESIO 200MG COMPRIMIDO</t>
  </si>
  <si>
    <t>VALPROATO DE MAGNESIO 400MG COMPRIMIDO</t>
  </si>
  <si>
    <t>VALPROATO DE SODIO 5GR X 120 ML</t>
  </si>
  <si>
    <t>VELANFAXINA 75MG COMPRIMIDO</t>
  </si>
  <si>
    <t>ZOLPIDEN 10MG COMPRIMIDO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</si>
</sst>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0" borderId="0"/>
  </cellStyleXfs>
  <cellXfs count="36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wrapText="1" indent="1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center" wrapText="1"/>
    </xf>
    <xf numFmtId="0" fontId="4" fillId="4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wrapText="1" indent="1"/>
    </xf>
    <xf numFmtId="0" fontId="5" fillId="3" borderId="0" xfId="0" applyFont="1" applyFill="1" applyAlignment="1">
      <alignment horizontal="left" wrapText="1" indent="1"/>
    </xf>
    <xf numFmtId="0" fontId="7" fillId="2" borderId="0" xfId="0" applyFont="1" applyFill="1" applyAlignment="1">
      <alignment horizontal="left" wrapText="1"/>
    </xf>
    <xf numFmtId="0" fontId="5" fillId="5" borderId="0" xfId="0" applyFont="1" applyFill="1" applyAlignment="1">
      <alignment horizontal="left" wrapText="1" inden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 wrapText="1"/>
    </xf>
    <xf numFmtId="3" fontId="9" fillId="2" borderId="4" xfId="0" applyNumberFormat="1" applyFont="1" applyFill="1" applyBorder="1" applyAlignment="1">
      <alignment horizontal="center" vertical="center"/>
    </xf>
    <xf numFmtId="44" fontId="9" fillId="2" borderId="4" xfId="1" applyFont="1" applyFill="1" applyBorder="1" applyAlignment="1">
      <alignment horizontal="center"/>
    </xf>
    <xf numFmtId="164" fontId="9" fillId="3" borderId="4" xfId="1" applyNumberFormat="1" applyFont="1" applyFill="1" applyBorder="1" applyAlignment="1" applyProtection="1">
      <alignment horizontal="right" vertical="center" wrapText="1"/>
    </xf>
    <xf numFmtId="0" fontId="9" fillId="2" borderId="4" xfId="0" applyFont="1" applyFill="1" applyBorder="1"/>
    <xf numFmtId="0" fontId="11" fillId="2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0" fillId="2" borderId="4" xfId="0" applyFill="1" applyBorder="1"/>
    <xf numFmtId="44" fontId="9" fillId="2" borderId="6" xfId="1" applyFont="1" applyFill="1" applyBorder="1" applyAlignment="1">
      <alignment horizontal="center"/>
    </xf>
    <xf numFmtId="0" fontId="9" fillId="2" borderId="4" xfId="2" applyFill="1" applyBorder="1" applyAlignment="1">
      <alignment horizontal="center" vertical="center"/>
    </xf>
    <xf numFmtId="3" fontId="9" fillId="2" borderId="4" xfId="2" applyNumberFormat="1" applyFill="1" applyBorder="1" applyAlignment="1">
      <alignment horizontal="center" vertical="center"/>
    </xf>
    <xf numFmtId="44" fontId="9" fillId="2" borderId="4" xfId="1" applyFont="1" applyFill="1" applyBorder="1" applyAlignment="1">
      <alignment horizontal="right" vertical="center" indent="2"/>
    </xf>
    <xf numFmtId="0" fontId="9" fillId="2" borderId="4" xfId="0" applyFont="1" applyFill="1" applyBorder="1" applyAlignment="1">
      <alignment horizontal="left" vertical="center"/>
    </xf>
    <xf numFmtId="3" fontId="9" fillId="2" borderId="4" xfId="1" applyNumberFormat="1" applyFont="1" applyFill="1" applyBorder="1" applyAlignment="1">
      <alignment horizontal="center" vertical="center"/>
    </xf>
    <xf numFmtId="44" fontId="9" fillId="2" borderId="4" xfId="1" applyFont="1" applyFill="1" applyBorder="1" applyAlignment="1">
      <alignment horizontal="center" vertical="center"/>
    </xf>
  </cellXfs>
  <cellStyles count="3">
    <cellStyle name="Moneda" xfId="1" builtinId="4"/>
    <cellStyle name="Normal" xfId="0" builtinId="0"/>
    <cellStyle name="Normal 2 3" xfId="2" xr:uid="{71B48E4F-DD27-47CE-8F7C-C316807E8E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FE500-D3F4-46AF-BD4B-4259123FE7DE}">
  <dimension ref="A1:I106"/>
  <sheetViews>
    <sheetView tabSelected="1" workbookViewId="0">
      <selection sqref="A1:I106"/>
    </sheetView>
  </sheetViews>
  <sheetFormatPr baseColWidth="10" defaultRowHeight="15" x14ac:dyDescent="0.25"/>
  <cols>
    <col min="1" max="1" width="4.5703125" customWidth="1"/>
    <col min="2" max="2" width="14" customWidth="1"/>
    <col min="3" max="3" width="13.28515625" customWidth="1"/>
    <col min="4" max="4" width="8.42578125" customWidth="1"/>
    <col min="5" max="5" width="93.42578125" customWidth="1"/>
    <col min="6" max="6" width="13" bestFit="1" customWidth="1"/>
    <col min="7" max="7" width="10.42578125" bestFit="1" customWidth="1"/>
    <col min="8" max="8" width="15.7109375" customWidth="1"/>
    <col min="9" max="9" width="18.5703125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2"/>
    </row>
    <row r="2" spans="1:9" ht="27" x14ac:dyDescent="0.35">
      <c r="A2" s="1"/>
      <c r="B2" s="3" t="s">
        <v>0</v>
      </c>
      <c r="C2" s="3"/>
      <c r="D2" s="3"/>
      <c r="E2" s="3"/>
      <c r="F2" s="3"/>
      <c r="G2" s="3"/>
      <c r="H2" s="3"/>
      <c r="I2" s="2"/>
    </row>
    <row r="3" spans="1:9" x14ac:dyDescent="0.25">
      <c r="A3" s="1"/>
      <c r="B3" s="1"/>
      <c r="C3" s="1"/>
      <c r="D3" s="1"/>
      <c r="E3" s="1"/>
      <c r="F3" s="1"/>
      <c r="G3" s="1"/>
      <c r="H3" s="1"/>
      <c r="I3" s="2"/>
    </row>
    <row r="4" spans="1:9" ht="15.75" x14ac:dyDescent="0.25">
      <c r="A4" s="4" t="s">
        <v>1</v>
      </c>
      <c r="B4" s="4"/>
      <c r="C4" s="5" t="s">
        <v>2</v>
      </c>
      <c r="D4" s="5"/>
      <c r="E4" s="5"/>
      <c r="F4" s="6"/>
      <c r="G4" s="7"/>
      <c r="H4" s="6"/>
      <c r="I4" s="2"/>
    </row>
    <row r="5" spans="1:9" ht="15.75" x14ac:dyDescent="0.25">
      <c r="A5" s="8" t="s">
        <v>3</v>
      </c>
      <c r="B5" s="8"/>
      <c r="C5" s="9" t="s">
        <v>4</v>
      </c>
      <c r="D5" s="9"/>
      <c r="E5" s="9"/>
      <c r="F5" s="6"/>
      <c r="G5" s="7"/>
      <c r="H5" s="6"/>
      <c r="I5" s="2"/>
    </row>
    <row r="6" spans="1:9" ht="15.75" x14ac:dyDescent="0.25">
      <c r="A6" s="4" t="s">
        <v>5</v>
      </c>
      <c r="B6" s="4"/>
      <c r="C6" s="10">
        <v>2021</v>
      </c>
      <c r="D6" s="11"/>
      <c r="E6" s="11"/>
      <c r="F6" s="6"/>
      <c r="G6" s="7"/>
      <c r="H6" s="6"/>
      <c r="I6" s="2"/>
    </row>
    <row r="7" spans="1:9" ht="15.75" x14ac:dyDescent="0.25">
      <c r="A7" s="8" t="s">
        <v>6</v>
      </c>
      <c r="B7" s="8"/>
      <c r="C7" s="12">
        <v>4</v>
      </c>
      <c r="D7" s="11"/>
      <c r="E7" s="11"/>
      <c r="F7" s="6"/>
      <c r="G7" s="7"/>
      <c r="H7" s="6"/>
      <c r="I7" s="2"/>
    </row>
    <row r="8" spans="1:9" ht="15.75" thickBot="1" x14ac:dyDescent="0.3">
      <c r="A8" s="1"/>
      <c r="B8" s="6"/>
      <c r="C8" s="7"/>
      <c r="D8" s="6"/>
      <c r="E8" s="6"/>
      <c r="F8" s="6"/>
      <c r="G8" s="7"/>
      <c r="H8" s="6"/>
      <c r="I8" s="2"/>
    </row>
    <row r="9" spans="1:9" ht="39.75" thickTop="1" thickBot="1" x14ac:dyDescent="0.3">
      <c r="A9" s="13" t="s">
        <v>7</v>
      </c>
      <c r="B9" s="13" t="s">
        <v>8</v>
      </c>
      <c r="C9" s="13" t="s">
        <v>9</v>
      </c>
      <c r="D9" s="14" t="s">
        <v>10</v>
      </c>
      <c r="E9" s="15" t="s">
        <v>11</v>
      </c>
      <c r="F9" s="16" t="s">
        <v>12</v>
      </c>
      <c r="G9" s="17" t="s">
        <v>13</v>
      </c>
      <c r="H9" s="13" t="s">
        <v>14</v>
      </c>
      <c r="I9" s="18" t="s">
        <v>15</v>
      </c>
    </row>
    <row r="10" spans="1:9" ht="15.75" thickBot="1" x14ac:dyDescent="0.3">
      <c r="A10" s="19">
        <v>1</v>
      </c>
      <c r="B10" s="19"/>
      <c r="C10" s="19"/>
      <c r="D10" s="20">
        <v>252</v>
      </c>
      <c r="E10" s="21" t="s">
        <v>16</v>
      </c>
      <c r="F10" s="19" t="s">
        <v>17</v>
      </c>
      <c r="G10" s="22"/>
      <c r="H10" s="23">
        <v>950</v>
      </c>
      <c r="I10" s="24">
        <f>+G10*H10</f>
        <v>0</v>
      </c>
    </row>
    <row r="11" spans="1:9" ht="15.75" thickBot="1" x14ac:dyDescent="0.3">
      <c r="A11" s="19">
        <v>2</v>
      </c>
      <c r="B11" s="19"/>
      <c r="C11" s="19"/>
      <c r="D11" s="20">
        <v>252</v>
      </c>
      <c r="E11" s="21" t="s">
        <v>18</v>
      </c>
      <c r="F11" s="19" t="s">
        <v>19</v>
      </c>
      <c r="G11" s="22"/>
      <c r="H11" s="23">
        <v>301.56</v>
      </c>
      <c r="I11" s="24">
        <f t="shared" ref="I11:I74" si="0">+G11*H11</f>
        <v>0</v>
      </c>
    </row>
    <row r="12" spans="1:9" ht="15.75" thickBot="1" x14ac:dyDescent="0.3">
      <c r="A12" s="19">
        <v>3</v>
      </c>
      <c r="B12" s="19"/>
      <c r="C12" s="19"/>
      <c r="D12" s="20">
        <v>252</v>
      </c>
      <c r="E12" s="21" t="s">
        <v>20</v>
      </c>
      <c r="F12" s="19" t="s">
        <v>21</v>
      </c>
      <c r="G12" s="22"/>
      <c r="H12" s="23">
        <v>2.8</v>
      </c>
      <c r="I12" s="24">
        <f t="shared" si="0"/>
        <v>0</v>
      </c>
    </row>
    <row r="13" spans="1:9" ht="15.75" thickBot="1" x14ac:dyDescent="0.3">
      <c r="A13" s="19">
        <v>4</v>
      </c>
      <c r="B13" s="19"/>
      <c r="C13" s="19"/>
      <c r="D13" s="20">
        <v>252</v>
      </c>
      <c r="E13" s="21" t="s">
        <v>22</v>
      </c>
      <c r="F13" s="19" t="s">
        <v>21</v>
      </c>
      <c r="G13" s="22"/>
      <c r="H13" s="23">
        <v>2.8</v>
      </c>
      <c r="I13" s="24">
        <f t="shared" si="0"/>
        <v>0</v>
      </c>
    </row>
    <row r="14" spans="1:9" ht="15.75" thickBot="1" x14ac:dyDescent="0.3">
      <c r="A14" s="19">
        <v>5</v>
      </c>
      <c r="B14" s="19"/>
      <c r="C14" s="19"/>
      <c r="D14" s="20">
        <v>252</v>
      </c>
      <c r="E14" s="21" t="s">
        <v>23</v>
      </c>
      <c r="F14" s="19" t="s">
        <v>21</v>
      </c>
      <c r="G14" s="22"/>
      <c r="H14" s="23">
        <v>3.6</v>
      </c>
      <c r="I14" s="24">
        <f t="shared" si="0"/>
        <v>0</v>
      </c>
    </row>
    <row r="15" spans="1:9" ht="15.75" thickBot="1" x14ac:dyDescent="0.3">
      <c r="A15" s="19">
        <v>6</v>
      </c>
      <c r="B15" s="19"/>
      <c r="C15" s="19"/>
      <c r="D15" s="20">
        <v>252</v>
      </c>
      <c r="E15" s="25" t="s">
        <v>24</v>
      </c>
      <c r="F15" s="19" t="s">
        <v>21</v>
      </c>
      <c r="G15" s="22"/>
      <c r="H15" s="23">
        <v>12</v>
      </c>
      <c r="I15" s="24">
        <f t="shared" si="0"/>
        <v>0</v>
      </c>
    </row>
    <row r="16" spans="1:9" ht="15.75" thickBot="1" x14ac:dyDescent="0.3">
      <c r="A16" s="19">
        <v>7</v>
      </c>
      <c r="B16" s="19"/>
      <c r="C16" s="19"/>
      <c r="D16" s="20">
        <v>252</v>
      </c>
      <c r="E16" s="26" t="s">
        <v>25</v>
      </c>
      <c r="F16" s="19" t="s">
        <v>21</v>
      </c>
      <c r="G16" s="22"/>
      <c r="H16" s="23">
        <v>22.3</v>
      </c>
      <c r="I16" s="24">
        <f t="shared" si="0"/>
        <v>0</v>
      </c>
    </row>
    <row r="17" spans="1:9" ht="15.75" thickBot="1" x14ac:dyDescent="0.3">
      <c r="A17" s="19">
        <v>8</v>
      </c>
      <c r="B17" s="27"/>
      <c r="C17" s="19"/>
      <c r="D17" s="20">
        <v>252</v>
      </c>
      <c r="E17" s="26" t="s">
        <v>26</v>
      </c>
      <c r="F17" s="19" t="s">
        <v>27</v>
      </c>
      <c r="G17" s="22"/>
      <c r="H17" s="23">
        <v>2500</v>
      </c>
      <c r="I17" s="24">
        <f t="shared" si="0"/>
        <v>0</v>
      </c>
    </row>
    <row r="18" spans="1:9" ht="15.75" thickBot="1" x14ac:dyDescent="0.3">
      <c r="A18" s="19">
        <v>9</v>
      </c>
      <c r="B18" s="27"/>
      <c r="C18" s="19"/>
      <c r="D18" s="20">
        <v>252</v>
      </c>
      <c r="E18" s="21" t="s">
        <v>28</v>
      </c>
      <c r="F18" s="19" t="s">
        <v>21</v>
      </c>
      <c r="G18" s="22"/>
      <c r="H18" s="23">
        <v>4</v>
      </c>
      <c r="I18" s="24">
        <f t="shared" si="0"/>
        <v>0</v>
      </c>
    </row>
    <row r="19" spans="1:9" ht="15.75" thickBot="1" x14ac:dyDescent="0.3">
      <c r="A19" s="19">
        <v>10</v>
      </c>
      <c r="B19" s="27"/>
      <c r="C19" s="19"/>
      <c r="D19" s="20">
        <v>252</v>
      </c>
      <c r="E19" s="21" t="s">
        <v>29</v>
      </c>
      <c r="F19" s="19" t="s">
        <v>30</v>
      </c>
      <c r="G19" s="22"/>
      <c r="H19" s="23">
        <v>1370</v>
      </c>
      <c r="I19" s="24">
        <f t="shared" si="0"/>
        <v>0</v>
      </c>
    </row>
    <row r="20" spans="1:9" ht="15.75" thickBot="1" x14ac:dyDescent="0.3">
      <c r="A20" s="19">
        <v>11</v>
      </c>
      <c r="B20" s="27"/>
      <c r="C20" s="19"/>
      <c r="D20" s="20">
        <v>252</v>
      </c>
      <c r="E20" s="28" t="s">
        <v>31</v>
      </c>
      <c r="F20" s="19" t="s">
        <v>19</v>
      </c>
      <c r="G20" s="22"/>
      <c r="H20" s="23">
        <v>45</v>
      </c>
      <c r="I20" s="24">
        <f t="shared" si="0"/>
        <v>0</v>
      </c>
    </row>
    <row r="21" spans="1:9" ht="15.75" thickBot="1" x14ac:dyDescent="0.3">
      <c r="A21" s="19">
        <v>12</v>
      </c>
      <c r="B21" s="19"/>
      <c r="C21" s="19"/>
      <c r="D21" s="20">
        <v>252</v>
      </c>
      <c r="E21" s="21" t="s">
        <v>32</v>
      </c>
      <c r="F21" s="19" t="s">
        <v>21</v>
      </c>
      <c r="G21" s="22"/>
      <c r="H21" s="23">
        <v>8.6999999999999993</v>
      </c>
      <c r="I21" s="24">
        <f t="shared" si="0"/>
        <v>0</v>
      </c>
    </row>
    <row r="22" spans="1:9" ht="15.75" thickBot="1" x14ac:dyDescent="0.3">
      <c r="A22" s="19">
        <v>13</v>
      </c>
      <c r="B22" s="19"/>
      <c r="C22" s="19"/>
      <c r="D22" s="20">
        <v>252</v>
      </c>
      <c r="E22" s="21" t="s">
        <v>33</v>
      </c>
      <c r="F22" s="19" t="s">
        <v>27</v>
      </c>
      <c r="G22" s="22"/>
      <c r="H22" s="23">
        <v>518</v>
      </c>
      <c r="I22" s="24">
        <f t="shared" si="0"/>
        <v>0</v>
      </c>
    </row>
    <row r="23" spans="1:9" ht="15.75" thickBot="1" x14ac:dyDescent="0.3">
      <c r="A23" s="19">
        <v>14</v>
      </c>
      <c r="B23" s="19"/>
      <c r="C23" s="19"/>
      <c r="D23" s="20">
        <v>252</v>
      </c>
      <c r="E23" s="21" t="s">
        <v>34</v>
      </c>
      <c r="F23" s="19" t="s">
        <v>21</v>
      </c>
      <c r="G23" s="22"/>
      <c r="H23" s="23">
        <v>55</v>
      </c>
      <c r="I23" s="24">
        <f t="shared" si="0"/>
        <v>0</v>
      </c>
    </row>
    <row r="24" spans="1:9" ht="15.75" thickBot="1" x14ac:dyDescent="0.3">
      <c r="A24" s="19">
        <v>15</v>
      </c>
      <c r="B24" s="19"/>
      <c r="C24" s="19"/>
      <c r="D24" s="20">
        <v>252</v>
      </c>
      <c r="E24" s="21" t="s">
        <v>35</v>
      </c>
      <c r="F24" s="19" t="s">
        <v>30</v>
      </c>
      <c r="G24" s="22"/>
      <c r="H24" s="23">
        <v>760</v>
      </c>
      <c r="I24" s="24">
        <f t="shared" si="0"/>
        <v>0</v>
      </c>
    </row>
    <row r="25" spans="1:9" ht="15.75" thickBot="1" x14ac:dyDescent="0.3">
      <c r="A25" s="19">
        <v>16</v>
      </c>
      <c r="B25" s="19"/>
      <c r="C25" s="19"/>
      <c r="D25" s="20">
        <v>252</v>
      </c>
      <c r="E25" s="21" t="s">
        <v>36</v>
      </c>
      <c r="F25" s="19" t="s">
        <v>30</v>
      </c>
      <c r="G25" s="22"/>
      <c r="H25" s="23">
        <v>580</v>
      </c>
      <c r="I25" s="24">
        <f t="shared" si="0"/>
        <v>0</v>
      </c>
    </row>
    <row r="26" spans="1:9" ht="15.75" thickBot="1" x14ac:dyDescent="0.3">
      <c r="A26" s="19">
        <v>17</v>
      </c>
      <c r="B26" s="27"/>
      <c r="C26" s="19"/>
      <c r="D26" s="20">
        <v>252</v>
      </c>
      <c r="E26" s="21" t="s">
        <v>37</v>
      </c>
      <c r="F26" s="19" t="s">
        <v>30</v>
      </c>
      <c r="G26" s="22"/>
      <c r="H26" s="23">
        <v>430</v>
      </c>
      <c r="I26" s="24">
        <f t="shared" si="0"/>
        <v>0</v>
      </c>
    </row>
    <row r="27" spans="1:9" ht="15.75" thickBot="1" x14ac:dyDescent="0.3">
      <c r="A27" s="19">
        <v>18</v>
      </c>
      <c r="B27" s="19"/>
      <c r="C27" s="19"/>
      <c r="D27" s="20">
        <v>252</v>
      </c>
      <c r="E27" s="21" t="s">
        <v>38</v>
      </c>
      <c r="F27" s="19" t="s">
        <v>17</v>
      </c>
      <c r="G27" s="22"/>
      <c r="H27" s="23">
        <v>950</v>
      </c>
      <c r="I27" s="24">
        <f t="shared" si="0"/>
        <v>0</v>
      </c>
    </row>
    <row r="28" spans="1:9" ht="15.75" thickBot="1" x14ac:dyDescent="0.3">
      <c r="A28" s="19">
        <v>19</v>
      </c>
      <c r="B28" s="27"/>
      <c r="C28" s="19"/>
      <c r="D28" s="20">
        <v>252</v>
      </c>
      <c r="E28" s="28" t="s">
        <v>39</v>
      </c>
      <c r="F28" s="19" t="s">
        <v>21</v>
      </c>
      <c r="G28" s="22"/>
      <c r="H28" s="23">
        <v>54</v>
      </c>
      <c r="I28" s="24">
        <f t="shared" si="0"/>
        <v>0</v>
      </c>
    </row>
    <row r="29" spans="1:9" ht="15.75" thickBot="1" x14ac:dyDescent="0.3">
      <c r="A29" s="19">
        <v>20</v>
      </c>
      <c r="B29" s="19"/>
      <c r="C29" s="19"/>
      <c r="D29" s="20">
        <v>252</v>
      </c>
      <c r="E29" s="21" t="s">
        <v>40</v>
      </c>
      <c r="F29" s="19" t="s">
        <v>30</v>
      </c>
      <c r="G29" s="22"/>
      <c r="H29" s="23">
        <v>250</v>
      </c>
      <c r="I29" s="24">
        <f t="shared" si="0"/>
        <v>0</v>
      </c>
    </row>
    <row r="30" spans="1:9" ht="15.75" thickBot="1" x14ac:dyDescent="0.3">
      <c r="A30" s="19">
        <v>21</v>
      </c>
      <c r="B30" s="19"/>
      <c r="C30" s="19"/>
      <c r="D30" s="20">
        <v>252</v>
      </c>
      <c r="E30" s="21" t="s">
        <v>41</v>
      </c>
      <c r="F30" s="19" t="s">
        <v>21</v>
      </c>
      <c r="G30" s="22"/>
      <c r="H30" s="23">
        <v>2.9</v>
      </c>
      <c r="I30" s="24">
        <f t="shared" si="0"/>
        <v>0</v>
      </c>
    </row>
    <row r="31" spans="1:9" ht="15.75" thickBot="1" x14ac:dyDescent="0.3">
      <c r="A31" s="19">
        <v>22</v>
      </c>
      <c r="B31" s="19"/>
      <c r="C31" s="19"/>
      <c r="D31" s="20">
        <v>252</v>
      </c>
      <c r="E31" s="21" t="s">
        <v>42</v>
      </c>
      <c r="F31" s="19" t="s">
        <v>21</v>
      </c>
      <c r="G31" s="22"/>
      <c r="H31" s="23">
        <v>3.5</v>
      </c>
      <c r="I31" s="24">
        <f t="shared" si="0"/>
        <v>0</v>
      </c>
    </row>
    <row r="32" spans="1:9" ht="15.75" thickBot="1" x14ac:dyDescent="0.3">
      <c r="A32" s="19">
        <v>23</v>
      </c>
      <c r="B32" s="27"/>
      <c r="C32" s="19"/>
      <c r="D32" s="20">
        <v>252</v>
      </c>
      <c r="E32" s="21" t="s">
        <v>43</v>
      </c>
      <c r="F32" s="19" t="s">
        <v>21</v>
      </c>
      <c r="G32" s="22"/>
      <c r="H32" s="23">
        <v>18.21</v>
      </c>
      <c r="I32" s="24">
        <f t="shared" si="0"/>
        <v>0</v>
      </c>
    </row>
    <row r="33" spans="1:9" ht="15.75" thickBot="1" x14ac:dyDescent="0.3">
      <c r="A33" s="19">
        <v>24</v>
      </c>
      <c r="B33" s="19"/>
      <c r="C33" s="19"/>
      <c r="D33" s="20">
        <v>252</v>
      </c>
      <c r="E33" s="21" t="s">
        <v>44</v>
      </c>
      <c r="F33" s="19" t="s">
        <v>19</v>
      </c>
      <c r="G33" s="22"/>
      <c r="H33" s="23">
        <v>130</v>
      </c>
      <c r="I33" s="24">
        <f t="shared" si="0"/>
        <v>0</v>
      </c>
    </row>
    <row r="34" spans="1:9" ht="15.75" thickBot="1" x14ac:dyDescent="0.3">
      <c r="A34" s="19">
        <v>25</v>
      </c>
      <c r="B34" s="19"/>
      <c r="C34" s="19"/>
      <c r="D34" s="20">
        <v>252</v>
      </c>
      <c r="E34" s="21" t="s">
        <v>45</v>
      </c>
      <c r="F34" s="19" t="s">
        <v>21</v>
      </c>
      <c r="G34" s="22"/>
      <c r="H34" s="23">
        <v>49</v>
      </c>
      <c r="I34" s="24">
        <f t="shared" si="0"/>
        <v>0</v>
      </c>
    </row>
    <row r="35" spans="1:9" ht="15.75" thickBot="1" x14ac:dyDescent="0.3">
      <c r="A35" s="19">
        <v>26</v>
      </c>
      <c r="B35" s="27"/>
      <c r="C35" s="19"/>
      <c r="D35" s="20">
        <v>252</v>
      </c>
      <c r="E35" s="21" t="s">
        <v>46</v>
      </c>
      <c r="F35" s="19" t="s">
        <v>19</v>
      </c>
      <c r="G35" s="22"/>
      <c r="H35" s="23">
        <v>150</v>
      </c>
      <c r="I35" s="24">
        <f t="shared" si="0"/>
        <v>0</v>
      </c>
    </row>
    <row r="36" spans="1:9" ht="15.75" thickBot="1" x14ac:dyDescent="0.3">
      <c r="A36" s="19">
        <v>27</v>
      </c>
      <c r="B36" s="27"/>
      <c r="C36" s="19"/>
      <c r="D36" s="20">
        <v>252</v>
      </c>
      <c r="E36" s="21" t="s">
        <v>47</v>
      </c>
      <c r="F36" s="19" t="s">
        <v>21</v>
      </c>
      <c r="G36" s="22"/>
      <c r="H36" s="23">
        <v>39</v>
      </c>
      <c r="I36" s="24">
        <f t="shared" si="0"/>
        <v>0</v>
      </c>
    </row>
    <row r="37" spans="1:9" ht="15.75" thickBot="1" x14ac:dyDescent="0.3">
      <c r="A37" s="19">
        <v>28</v>
      </c>
      <c r="B37" s="19"/>
      <c r="C37" s="19"/>
      <c r="D37" s="20">
        <v>252</v>
      </c>
      <c r="E37" s="21" t="s">
        <v>48</v>
      </c>
      <c r="F37" s="19" t="s">
        <v>21</v>
      </c>
      <c r="G37" s="22"/>
      <c r="H37" s="23">
        <v>5.2</v>
      </c>
      <c r="I37" s="24">
        <f t="shared" si="0"/>
        <v>0</v>
      </c>
    </row>
    <row r="38" spans="1:9" ht="15.75" thickBot="1" x14ac:dyDescent="0.3">
      <c r="A38" s="19">
        <v>29</v>
      </c>
      <c r="B38" s="19"/>
      <c r="C38" s="19"/>
      <c r="D38" s="20">
        <v>252</v>
      </c>
      <c r="E38" s="21" t="s">
        <v>49</v>
      </c>
      <c r="F38" s="19" t="s">
        <v>21</v>
      </c>
      <c r="G38" s="22"/>
      <c r="H38" s="23">
        <v>4.3</v>
      </c>
      <c r="I38" s="24">
        <f t="shared" si="0"/>
        <v>0</v>
      </c>
    </row>
    <row r="39" spans="1:9" ht="15.75" thickBot="1" x14ac:dyDescent="0.3">
      <c r="A39" s="19">
        <v>30</v>
      </c>
      <c r="B39" s="27"/>
      <c r="C39" s="19"/>
      <c r="D39" s="20">
        <v>252</v>
      </c>
      <c r="E39" s="21" t="s">
        <v>50</v>
      </c>
      <c r="F39" s="19" t="s">
        <v>27</v>
      </c>
      <c r="G39" s="22"/>
      <c r="H39" s="29">
        <v>92</v>
      </c>
      <c r="I39" s="24">
        <f t="shared" si="0"/>
        <v>0</v>
      </c>
    </row>
    <row r="40" spans="1:9" ht="15.75" thickBot="1" x14ac:dyDescent="0.3">
      <c r="A40" s="19">
        <v>31</v>
      </c>
      <c r="B40" s="27"/>
      <c r="C40" s="19"/>
      <c r="D40" s="20">
        <v>252</v>
      </c>
      <c r="E40" s="21" t="s">
        <v>51</v>
      </c>
      <c r="F40" s="19" t="s">
        <v>21</v>
      </c>
      <c r="G40" s="22"/>
      <c r="H40" s="23">
        <v>3.5</v>
      </c>
      <c r="I40" s="24">
        <f t="shared" si="0"/>
        <v>0</v>
      </c>
    </row>
    <row r="41" spans="1:9" ht="15.75" thickBot="1" x14ac:dyDescent="0.3">
      <c r="A41" s="19">
        <v>32</v>
      </c>
      <c r="B41" s="19"/>
      <c r="C41" s="19"/>
      <c r="D41" s="20">
        <v>252</v>
      </c>
      <c r="E41" s="21" t="s">
        <v>52</v>
      </c>
      <c r="F41" s="19" t="s">
        <v>19</v>
      </c>
      <c r="G41" s="22"/>
      <c r="H41" s="23">
        <v>42</v>
      </c>
      <c r="I41" s="24">
        <f t="shared" si="0"/>
        <v>0</v>
      </c>
    </row>
    <row r="42" spans="1:9" ht="15.75" thickBot="1" x14ac:dyDescent="0.3">
      <c r="A42" s="19">
        <v>33</v>
      </c>
      <c r="B42" s="19"/>
      <c r="C42" s="19"/>
      <c r="D42" s="20">
        <v>252</v>
      </c>
      <c r="E42" s="21" t="s">
        <v>53</v>
      </c>
      <c r="F42" s="19" t="s">
        <v>21</v>
      </c>
      <c r="G42" s="22"/>
      <c r="H42" s="23">
        <v>30</v>
      </c>
      <c r="I42" s="24">
        <f t="shared" si="0"/>
        <v>0</v>
      </c>
    </row>
    <row r="43" spans="1:9" ht="15.75" thickBot="1" x14ac:dyDescent="0.3">
      <c r="A43" s="19">
        <v>34</v>
      </c>
      <c r="B43" s="19"/>
      <c r="C43" s="19"/>
      <c r="D43" s="20">
        <v>252</v>
      </c>
      <c r="E43" s="21" t="s">
        <v>54</v>
      </c>
      <c r="F43" s="19" t="s">
        <v>21</v>
      </c>
      <c r="G43" s="22"/>
      <c r="H43" s="23">
        <v>44.07</v>
      </c>
      <c r="I43" s="24">
        <f t="shared" si="0"/>
        <v>0</v>
      </c>
    </row>
    <row r="44" spans="1:9" ht="15.75" thickBot="1" x14ac:dyDescent="0.3">
      <c r="A44" s="19">
        <v>35</v>
      </c>
      <c r="B44" s="19"/>
      <c r="C44" s="19"/>
      <c r="D44" s="20">
        <v>252</v>
      </c>
      <c r="E44" s="21" t="s">
        <v>55</v>
      </c>
      <c r="F44" s="19" t="s">
        <v>30</v>
      </c>
      <c r="G44" s="22"/>
      <c r="H44" s="23">
        <v>1200</v>
      </c>
      <c r="I44" s="24">
        <f t="shared" si="0"/>
        <v>0</v>
      </c>
    </row>
    <row r="45" spans="1:9" ht="15.75" thickBot="1" x14ac:dyDescent="0.3">
      <c r="A45" s="19">
        <v>36</v>
      </c>
      <c r="B45" s="19"/>
      <c r="C45" s="19"/>
      <c r="D45" s="20">
        <v>252</v>
      </c>
      <c r="E45" s="21" t="s">
        <v>56</v>
      </c>
      <c r="F45" s="19" t="s">
        <v>30</v>
      </c>
      <c r="G45" s="22"/>
      <c r="H45" s="23">
        <v>995</v>
      </c>
      <c r="I45" s="24">
        <f t="shared" si="0"/>
        <v>0</v>
      </c>
    </row>
    <row r="46" spans="1:9" ht="15.75" thickBot="1" x14ac:dyDescent="0.3">
      <c r="A46" s="19">
        <v>37</v>
      </c>
      <c r="B46" s="19"/>
      <c r="C46" s="19"/>
      <c r="D46" s="20">
        <v>252</v>
      </c>
      <c r="E46" s="21" t="s">
        <v>57</v>
      </c>
      <c r="F46" s="19" t="s">
        <v>17</v>
      </c>
      <c r="G46" s="22"/>
      <c r="H46" s="23">
        <v>1050</v>
      </c>
      <c r="I46" s="24">
        <f t="shared" si="0"/>
        <v>0</v>
      </c>
    </row>
    <row r="47" spans="1:9" ht="15.75" thickBot="1" x14ac:dyDescent="0.3">
      <c r="A47" s="19">
        <v>38</v>
      </c>
      <c r="B47" s="19"/>
      <c r="C47" s="19"/>
      <c r="D47" s="20">
        <v>252</v>
      </c>
      <c r="E47" s="21" t="s">
        <v>58</v>
      </c>
      <c r="F47" s="19" t="s">
        <v>21</v>
      </c>
      <c r="G47" s="22"/>
      <c r="H47" s="23">
        <v>6.9</v>
      </c>
      <c r="I47" s="24">
        <f t="shared" si="0"/>
        <v>0</v>
      </c>
    </row>
    <row r="48" spans="1:9" ht="15.75" thickBot="1" x14ac:dyDescent="0.3">
      <c r="A48" s="19">
        <v>39</v>
      </c>
      <c r="B48" s="19"/>
      <c r="C48" s="19"/>
      <c r="D48" s="20">
        <v>252</v>
      </c>
      <c r="E48" s="26" t="s">
        <v>59</v>
      </c>
      <c r="F48" s="30" t="s">
        <v>19</v>
      </c>
      <c r="G48" s="31"/>
      <c r="H48" s="32">
        <v>32</v>
      </c>
      <c r="I48" s="24">
        <f t="shared" si="0"/>
        <v>0</v>
      </c>
    </row>
    <row r="49" spans="1:9" ht="15.75" thickBot="1" x14ac:dyDescent="0.3">
      <c r="A49" s="19">
        <v>40</v>
      </c>
      <c r="B49" s="19"/>
      <c r="C49" s="19"/>
      <c r="D49" s="20">
        <v>252</v>
      </c>
      <c r="E49" s="21" t="s">
        <v>60</v>
      </c>
      <c r="F49" s="30" t="s">
        <v>27</v>
      </c>
      <c r="G49" s="31"/>
      <c r="H49" s="32">
        <v>985</v>
      </c>
      <c r="I49" s="24">
        <f t="shared" si="0"/>
        <v>0</v>
      </c>
    </row>
    <row r="50" spans="1:9" ht="15.75" thickBot="1" x14ac:dyDescent="0.3">
      <c r="A50" s="19">
        <v>41</v>
      </c>
      <c r="B50" s="19"/>
      <c r="C50" s="19"/>
      <c r="D50" s="20">
        <v>252</v>
      </c>
      <c r="E50" s="21" t="s">
        <v>61</v>
      </c>
      <c r="F50" s="30" t="s">
        <v>21</v>
      </c>
      <c r="G50" s="31"/>
      <c r="H50" s="32">
        <v>6.8</v>
      </c>
      <c r="I50" s="24">
        <f t="shared" si="0"/>
        <v>0</v>
      </c>
    </row>
    <row r="51" spans="1:9" ht="15.75" thickBot="1" x14ac:dyDescent="0.3">
      <c r="A51" s="19">
        <v>42</v>
      </c>
      <c r="B51" s="19"/>
      <c r="C51" s="19"/>
      <c r="D51" s="20">
        <v>252</v>
      </c>
      <c r="E51" s="21" t="s">
        <v>62</v>
      </c>
      <c r="F51" s="30" t="s">
        <v>21</v>
      </c>
      <c r="G51" s="31"/>
      <c r="H51" s="32">
        <v>13.5</v>
      </c>
      <c r="I51" s="24">
        <f t="shared" si="0"/>
        <v>0</v>
      </c>
    </row>
    <row r="52" spans="1:9" ht="15.75" thickBot="1" x14ac:dyDescent="0.3">
      <c r="A52" s="19">
        <v>43</v>
      </c>
      <c r="B52" s="19"/>
      <c r="C52" s="19"/>
      <c r="D52" s="20">
        <v>252</v>
      </c>
      <c r="E52" s="26" t="s">
        <v>63</v>
      </c>
      <c r="F52" s="30" t="s">
        <v>19</v>
      </c>
      <c r="G52" s="31"/>
      <c r="H52" s="32">
        <v>156</v>
      </c>
      <c r="I52" s="24">
        <f t="shared" si="0"/>
        <v>0</v>
      </c>
    </row>
    <row r="53" spans="1:9" ht="15.75" thickBot="1" x14ac:dyDescent="0.3">
      <c r="A53" s="19">
        <v>44</v>
      </c>
      <c r="B53" s="19"/>
      <c r="C53" s="19"/>
      <c r="D53" s="20">
        <v>252</v>
      </c>
      <c r="E53" s="21" t="s">
        <v>64</v>
      </c>
      <c r="F53" s="30" t="s">
        <v>30</v>
      </c>
      <c r="G53" s="31"/>
      <c r="H53" s="32">
        <v>860</v>
      </c>
      <c r="I53" s="24">
        <f t="shared" si="0"/>
        <v>0</v>
      </c>
    </row>
    <row r="54" spans="1:9" ht="15.75" thickBot="1" x14ac:dyDescent="0.3">
      <c r="A54" s="19">
        <v>45</v>
      </c>
      <c r="B54" s="19"/>
      <c r="C54" s="19"/>
      <c r="D54" s="20">
        <v>252</v>
      </c>
      <c r="E54" s="28" t="s">
        <v>65</v>
      </c>
      <c r="F54" s="30" t="s">
        <v>66</v>
      </c>
      <c r="G54" s="31"/>
      <c r="H54" s="32">
        <v>4.5</v>
      </c>
      <c r="I54" s="24">
        <f t="shared" si="0"/>
        <v>0</v>
      </c>
    </row>
    <row r="55" spans="1:9" ht="15.75" thickBot="1" x14ac:dyDescent="0.3">
      <c r="A55" s="19">
        <v>46</v>
      </c>
      <c r="B55" s="19"/>
      <c r="C55" s="19"/>
      <c r="D55" s="20">
        <v>252</v>
      </c>
      <c r="E55" s="21" t="s">
        <v>67</v>
      </c>
      <c r="F55" s="30" t="s">
        <v>30</v>
      </c>
      <c r="G55" s="31"/>
      <c r="H55" s="32">
        <v>1350</v>
      </c>
      <c r="I55" s="24">
        <f t="shared" si="0"/>
        <v>0</v>
      </c>
    </row>
    <row r="56" spans="1:9" ht="15.75" thickBot="1" x14ac:dyDescent="0.3">
      <c r="A56" s="19">
        <v>47</v>
      </c>
      <c r="B56" s="19"/>
      <c r="C56" s="19"/>
      <c r="D56" s="20">
        <v>252</v>
      </c>
      <c r="E56" s="21" t="s">
        <v>68</v>
      </c>
      <c r="F56" s="30" t="s">
        <v>30</v>
      </c>
      <c r="G56" s="31"/>
      <c r="H56" s="32">
        <v>250</v>
      </c>
      <c r="I56" s="24">
        <f t="shared" si="0"/>
        <v>0</v>
      </c>
    </row>
    <row r="57" spans="1:9" ht="15.75" thickBot="1" x14ac:dyDescent="0.3">
      <c r="A57" s="19">
        <v>48</v>
      </c>
      <c r="B57" s="19"/>
      <c r="C57" s="19"/>
      <c r="D57" s="20">
        <v>252</v>
      </c>
      <c r="E57" s="21" t="s">
        <v>69</v>
      </c>
      <c r="F57" s="30" t="s">
        <v>21</v>
      </c>
      <c r="G57" s="31"/>
      <c r="H57" s="32">
        <v>18.75</v>
      </c>
      <c r="I57" s="24">
        <f t="shared" si="0"/>
        <v>0</v>
      </c>
    </row>
    <row r="58" spans="1:9" ht="15.75" thickBot="1" x14ac:dyDescent="0.3">
      <c r="A58" s="19">
        <v>49</v>
      </c>
      <c r="B58" s="19"/>
      <c r="C58" s="19"/>
      <c r="D58" s="20">
        <v>252</v>
      </c>
      <c r="E58" s="21" t="s">
        <v>70</v>
      </c>
      <c r="F58" s="30" t="s">
        <v>30</v>
      </c>
      <c r="G58" s="31"/>
      <c r="H58" s="32">
        <v>260</v>
      </c>
      <c r="I58" s="24">
        <f t="shared" si="0"/>
        <v>0</v>
      </c>
    </row>
    <row r="59" spans="1:9" ht="15.75" thickBot="1" x14ac:dyDescent="0.3">
      <c r="A59" s="19">
        <v>50</v>
      </c>
      <c r="B59" s="19"/>
      <c r="C59" s="19"/>
      <c r="D59" s="20">
        <v>252</v>
      </c>
      <c r="E59" s="21" t="s">
        <v>71</v>
      </c>
      <c r="F59" s="30" t="s">
        <v>19</v>
      </c>
      <c r="G59" s="31"/>
      <c r="H59" s="32">
        <v>46</v>
      </c>
      <c r="I59" s="24">
        <f t="shared" si="0"/>
        <v>0</v>
      </c>
    </row>
    <row r="60" spans="1:9" ht="15.75" thickBot="1" x14ac:dyDescent="0.3">
      <c r="A60" s="19">
        <v>51</v>
      </c>
      <c r="B60" s="19"/>
      <c r="C60" s="19"/>
      <c r="D60" s="20">
        <v>252</v>
      </c>
      <c r="E60" s="21" t="s">
        <v>72</v>
      </c>
      <c r="F60" s="30" t="s">
        <v>21</v>
      </c>
      <c r="G60" s="31"/>
      <c r="H60" s="32">
        <v>15.7</v>
      </c>
      <c r="I60" s="24">
        <f t="shared" si="0"/>
        <v>0</v>
      </c>
    </row>
    <row r="61" spans="1:9" ht="15.75" thickBot="1" x14ac:dyDescent="0.3">
      <c r="A61" s="19">
        <v>52</v>
      </c>
      <c r="B61" s="19"/>
      <c r="C61" s="19"/>
      <c r="D61" s="20">
        <v>252</v>
      </c>
      <c r="E61" s="21" t="s">
        <v>73</v>
      </c>
      <c r="F61" s="30" t="s">
        <v>19</v>
      </c>
      <c r="G61" s="31"/>
      <c r="H61" s="32">
        <v>8.4</v>
      </c>
      <c r="I61" s="24">
        <f t="shared" si="0"/>
        <v>0</v>
      </c>
    </row>
    <row r="62" spans="1:9" ht="15.75" thickBot="1" x14ac:dyDescent="0.3">
      <c r="A62" s="19">
        <v>53</v>
      </c>
      <c r="B62" s="19"/>
      <c r="C62" s="19"/>
      <c r="D62" s="20">
        <v>252</v>
      </c>
      <c r="E62" s="21" t="s">
        <v>74</v>
      </c>
      <c r="F62" s="30" t="s">
        <v>21</v>
      </c>
      <c r="G62" s="31"/>
      <c r="H62" s="32">
        <v>34.119999999999997</v>
      </c>
      <c r="I62" s="24">
        <f t="shared" si="0"/>
        <v>0</v>
      </c>
    </row>
    <row r="63" spans="1:9" ht="15.75" thickBot="1" x14ac:dyDescent="0.3">
      <c r="A63" s="19">
        <v>54</v>
      </c>
      <c r="B63" s="19"/>
      <c r="C63" s="19"/>
      <c r="D63" s="20">
        <v>252</v>
      </c>
      <c r="E63" s="21" t="s">
        <v>75</v>
      </c>
      <c r="F63" s="30" t="s">
        <v>21</v>
      </c>
      <c r="G63" s="31"/>
      <c r="H63" s="32">
        <v>9.9</v>
      </c>
      <c r="I63" s="24">
        <f t="shared" si="0"/>
        <v>0</v>
      </c>
    </row>
    <row r="64" spans="1:9" ht="15.75" thickBot="1" x14ac:dyDescent="0.3">
      <c r="A64" s="19">
        <v>55</v>
      </c>
      <c r="B64" s="19"/>
      <c r="C64" s="19"/>
      <c r="D64" s="20">
        <v>252</v>
      </c>
      <c r="E64" s="21" t="s">
        <v>76</v>
      </c>
      <c r="F64" s="30" t="s">
        <v>21</v>
      </c>
      <c r="G64" s="31"/>
      <c r="H64" s="32">
        <v>6.5</v>
      </c>
      <c r="I64" s="24">
        <f t="shared" si="0"/>
        <v>0</v>
      </c>
    </row>
    <row r="65" spans="1:9" ht="15.75" thickBot="1" x14ac:dyDescent="0.3">
      <c r="A65" s="19">
        <v>56</v>
      </c>
      <c r="B65" s="19"/>
      <c r="C65" s="19"/>
      <c r="D65" s="20">
        <v>252</v>
      </c>
      <c r="E65" s="21" t="s">
        <v>77</v>
      </c>
      <c r="F65" s="30" t="s">
        <v>21</v>
      </c>
      <c r="G65" s="31"/>
      <c r="H65" s="32">
        <v>38</v>
      </c>
      <c r="I65" s="24">
        <f t="shared" si="0"/>
        <v>0</v>
      </c>
    </row>
    <row r="66" spans="1:9" ht="15.75" thickBot="1" x14ac:dyDescent="0.3">
      <c r="A66" s="19">
        <v>57</v>
      </c>
      <c r="B66" s="19"/>
      <c r="C66" s="19"/>
      <c r="D66" s="20">
        <v>252</v>
      </c>
      <c r="E66" s="21" t="s">
        <v>78</v>
      </c>
      <c r="F66" s="30" t="s">
        <v>21</v>
      </c>
      <c r="G66" s="31"/>
      <c r="H66" s="32">
        <v>8.26</v>
      </c>
      <c r="I66" s="24">
        <f t="shared" si="0"/>
        <v>0</v>
      </c>
    </row>
    <row r="67" spans="1:9" ht="15.75" thickBot="1" x14ac:dyDescent="0.3">
      <c r="A67" s="19">
        <v>58</v>
      </c>
      <c r="B67" s="19"/>
      <c r="C67" s="19"/>
      <c r="D67" s="20">
        <v>252</v>
      </c>
      <c r="E67" s="21" t="s">
        <v>79</v>
      </c>
      <c r="F67" s="30" t="s">
        <v>30</v>
      </c>
      <c r="G67" s="31"/>
      <c r="H67" s="32">
        <v>1240</v>
      </c>
      <c r="I67" s="24">
        <f t="shared" si="0"/>
        <v>0</v>
      </c>
    </row>
    <row r="68" spans="1:9" ht="15.75" thickBot="1" x14ac:dyDescent="0.3">
      <c r="A68" s="19">
        <v>59</v>
      </c>
      <c r="B68" s="19"/>
      <c r="C68" s="19"/>
      <c r="D68" s="20">
        <v>252</v>
      </c>
      <c r="E68" s="21" t="s">
        <v>80</v>
      </c>
      <c r="F68" s="30" t="s">
        <v>27</v>
      </c>
      <c r="G68" s="31"/>
      <c r="H68" s="32">
        <v>2435</v>
      </c>
      <c r="I68" s="24">
        <f t="shared" si="0"/>
        <v>0</v>
      </c>
    </row>
    <row r="69" spans="1:9" ht="15.75" thickBot="1" x14ac:dyDescent="0.3">
      <c r="A69" s="19">
        <v>60</v>
      </c>
      <c r="B69" s="19"/>
      <c r="C69" s="19"/>
      <c r="D69" s="20">
        <v>252</v>
      </c>
      <c r="E69" s="21" t="s">
        <v>81</v>
      </c>
      <c r="F69" s="30" t="s">
        <v>82</v>
      </c>
      <c r="G69" s="31"/>
      <c r="H69" s="32">
        <v>3478.75</v>
      </c>
      <c r="I69" s="24">
        <f t="shared" si="0"/>
        <v>0</v>
      </c>
    </row>
    <row r="70" spans="1:9" ht="15.75" thickBot="1" x14ac:dyDescent="0.3">
      <c r="A70" s="19">
        <v>61</v>
      </c>
      <c r="B70" s="19"/>
      <c r="C70" s="19"/>
      <c r="D70" s="20">
        <v>252</v>
      </c>
      <c r="E70" s="21" t="s">
        <v>83</v>
      </c>
      <c r="F70" s="30" t="s">
        <v>21</v>
      </c>
      <c r="G70" s="31"/>
      <c r="H70" s="32">
        <v>35</v>
      </c>
      <c r="I70" s="24">
        <f t="shared" si="0"/>
        <v>0</v>
      </c>
    </row>
    <row r="71" spans="1:9" ht="15.75" thickBot="1" x14ac:dyDescent="0.3">
      <c r="A71" s="19">
        <v>62</v>
      </c>
      <c r="B71" s="19"/>
      <c r="C71" s="19"/>
      <c r="D71" s="20">
        <v>252</v>
      </c>
      <c r="E71" s="26" t="s">
        <v>84</v>
      </c>
      <c r="F71" s="30" t="s">
        <v>19</v>
      </c>
      <c r="G71" s="31"/>
      <c r="H71" s="32">
        <v>420</v>
      </c>
      <c r="I71" s="24">
        <f t="shared" si="0"/>
        <v>0</v>
      </c>
    </row>
    <row r="72" spans="1:9" ht="15.75" thickBot="1" x14ac:dyDescent="0.3">
      <c r="A72" s="19">
        <v>63</v>
      </c>
      <c r="B72" s="19"/>
      <c r="C72" s="19"/>
      <c r="D72" s="20">
        <v>252</v>
      </c>
      <c r="E72" s="26" t="s">
        <v>85</v>
      </c>
      <c r="F72" s="30" t="s">
        <v>21</v>
      </c>
      <c r="G72" s="31"/>
      <c r="H72" s="32">
        <v>5.89</v>
      </c>
      <c r="I72" s="24">
        <f t="shared" si="0"/>
        <v>0</v>
      </c>
    </row>
    <row r="73" spans="1:9" ht="15.75" thickBot="1" x14ac:dyDescent="0.3">
      <c r="A73" s="19">
        <v>64</v>
      </c>
      <c r="B73" s="19"/>
      <c r="C73" s="19"/>
      <c r="D73" s="20">
        <v>252</v>
      </c>
      <c r="E73" s="21" t="s">
        <v>86</v>
      </c>
      <c r="F73" s="30" t="s">
        <v>21</v>
      </c>
      <c r="G73" s="31"/>
      <c r="H73" s="32">
        <v>3.6</v>
      </c>
      <c r="I73" s="24">
        <f t="shared" si="0"/>
        <v>0</v>
      </c>
    </row>
    <row r="74" spans="1:9" ht="15.75" thickBot="1" x14ac:dyDescent="0.3">
      <c r="A74" s="19">
        <v>65</v>
      </c>
      <c r="B74" s="19"/>
      <c r="C74" s="19"/>
      <c r="D74" s="20">
        <v>252</v>
      </c>
      <c r="E74" s="21" t="s">
        <v>87</v>
      </c>
      <c r="F74" s="30" t="s">
        <v>27</v>
      </c>
      <c r="G74" s="31"/>
      <c r="H74" s="32">
        <v>250</v>
      </c>
      <c r="I74" s="24">
        <f t="shared" si="0"/>
        <v>0</v>
      </c>
    </row>
    <row r="75" spans="1:9" ht="15.75" thickBot="1" x14ac:dyDescent="0.3">
      <c r="A75" s="19">
        <v>66</v>
      </c>
      <c r="B75" s="19"/>
      <c r="C75" s="19"/>
      <c r="D75" s="20">
        <v>252</v>
      </c>
      <c r="E75" s="21" t="s">
        <v>88</v>
      </c>
      <c r="F75" s="30" t="s">
        <v>21</v>
      </c>
      <c r="G75" s="31"/>
      <c r="H75" s="32">
        <v>3.8</v>
      </c>
      <c r="I75" s="24">
        <f t="shared" ref="I75:I105" si="1">+G75*H75</f>
        <v>0</v>
      </c>
    </row>
    <row r="76" spans="1:9" ht="15.75" thickBot="1" x14ac:dyDescent="0.3">
      <c r="A76" s="19">
        <v>67</v>
      </c>
      <c r="B76" s="19"/>
      <c r="C76" s="19"/>
      <c r="D76" s="20">
        <v>252</v>
      </c>
      <c r="E76" s="21" t="s">
        <v>89</v>
      </c>
      <c r="F76" s="30" t="s">
        <v>21</v>
      </c>
      <c r="G76" s="31"/>
      <c r="H76" s="32">
        <v>18.899999999999999</v>
      </c>
      <c r="I76" s="24">
        <f t="shared" si="1"/>
        <v>0</v>
      </c>
    </row>
    <row r="77" spans="1:9" ht="15.75" thickBot="1" x14ac:dyDescent="0.3">
      <c r="A77" s="19">
        <v>68</v>
      </c>
      <c r="B77" s="19"/>
      <c r="C77" s="19"/>
      <c r="D77" s="20">
        <v>252</v>
      </c>
      <c r="E77" s="21" t="s">
        <v>90</v>
      </c>
      <c r="F77" s="30" t="s">
        <v>21</v>
      </c>
      <c r="G77" s="31"/>
      <c r="H77" s="32">
        <v>4.6500000000000004</v>
      </c>
      <c r="I77" s="24">
        <f t="shared" si="1"/>
        <v>0</v>
      </c>
    </row>
    <row r="78" spans="1:9" ht="15.75" thickBot="1" x14ac:dyDescent="0.3">
      <c r="A78" s="19">
        <v>69</v>
      </c>
      <c r="B78" s="19"/>
      <c r="C78" s="19"/>
      <c r="D78" s="20">
        <v>252</v>
      </c>
      <c r="E78" s="33" t="s">
        <v>91</v>
      </c>
      <c r="F78" s="30" t="s">
        <v>19</v>
      </c>
      <c r="G78" s="31"/>
      <c r="H78" s="32">
        <v>125</v>
      </c>
      <c r="I78" s="24">
        <f t="shared" si="1"/>
        <v>0</v>
      </c>
    </row>
    <row r="79" spans="1:9" ht="15.75" thickBot="1" x14ac:dyDescent="0.3">
      <c r="A79" s="19">
        <v>70</v>
      </c>
      <c r="B79" s="19"/>
      <c r="C79" s="19"/>
      <c r="D79" s="20">
        <v>252</v>
      </c>
      <c r="E79" s="33" t="s">
        <v>92</v>
      </c>
      <c r="F79" s="30" t="s">
        <v>19</v>
      </c>
      <c r="G79" s="31"/>
      <c r="H79" s="32">
        <v>36</v>
      </c>
      <c r="I79" s="24">
        <f t="shared" si="1"/>
        <v>0</v>
      </c>
    </row>
    <row r="80" spans="1:9" ht="15.75" thickBot="1" x14ac:dyDescent="0.3">
      <c r="A80" s="19">
        <v>71</v>
      </c>
      <c r="B80" s="19"/>
      <c r="C80" s="19"/>
      <c r="D80" s="20">
        <v>252</v>
      </c>
      <c r="E80" s="21" t="s">
        <v>93</v>
      </c>
      <c r="F80" s="30" t="s">
        <v>21</v>
      </c>
      <c r="G80" s="31"/>
      <c r="H80" s="32">
        <v>19</v>
      </c>
      <c r="I80" s="24">
        <f t="shared" si="1"/>
        <v>0</v>
      </c>
    </row>
    <row r="81" spans="1:9" ht="15.75" thickBot="1" x14ac:dyDescent="0.3">
      <c r="A81" s="19">
        <v>72</v>
      </c>
      <c r="B81" s="19"/>
      <c r="C81" s="19"/>
      <c r="D81" s="20">
        <v>252</v>
      </c>
      <c r="E81" s="28" t="s">
        <v>94</v>
      </c>
      <c r="F81" s="30" t="s">
        <v>21</v>
      </c>
      <c r="G81" s="31"/>
      <c r="H81" s="32">
        <v>11.2</v>
      </c>
      <c r="I81" s="24">
        <f t="shared" si="1"/>
        <v>0</v>
      </c>
    </row>
    <row r="82" spans="1:9" ht="15.75" thickBot="1" x14ac:dyDescent="0.3">
      <c r="A82" s="19">
        <v>73</v>
      </c>
      <c r="B82" s="19"/>
      <c r="C82" s="19"/>
      <c r="D82" s="20">
        <v>252</v>
      </c>
      <c r="E82" s="21" t="s">
        <v>95</v>
      </c>
      <c r="F82" s="30" t="s">
        <v>66</v>
      </c>
      <c r="G82" s="31"/>
      <c r="H82" s="32">
        <v>2634</v>
      </c>
      <c r="I82" s="24">
        <f t="shared" si="1"/>
        <v>0</v>
      </c>
    </row>
    <row r="83" spans="1:9" ht="15.75" thickBot="1" x14ac:dyDescent="0.3">
      <c r="A83" s="19">
        <v>74</v>
      </c>
      <c r="B83" s="19"/>
      <c r="C83" s="19"/>
      <c r="D83" s="20">
        <v>252</v>
      </c>
      <c r="E83" s="21" t="s">
        <v>96</v>
      </c>
      <c r="F83" s="30" t="s">
        <v>30</v>
      </c>
      <c r="G83" s="31"/>
      <c r="H83" s="32">
        <v>870</v>
      </c>
      <c r="I83" s="24">
        <f t="shared" si="1"/>
        <v>0</v>
      </c>
    </row>
    <row r="84" spans="1:9" ht="15.75" thickBot="1" x14ac:dyDescent="0.3">
      <c r="A84" s="19">
        <v>75</v>
      </c>
      <c r="B84" s="19"/>
      <c r="C84" s="19"/>
      <c r="D84" s="20">
        <v>252</v>
      </c>
      <c r="E84" s="21" t="s">
        <v>97</v>
      </c>
      <c r="F84" s="30" t="s">
        <v>21</v>
      </c>
      <c r="G84" s="31"/>
      <c r="H84" s="32">
        <v>12.5</v>
      </c>
      <c r="I84" s="24">
        <f t="shared" si="1"/>
        <v>0</v>
      </c>
    </row>
    <row r="85" spans="1:9" ht="15.75" thickBot="1" x14ac:dyDescent="0.3">
      <c r="A85" s="19">
        <v>76</v>
      </c>
      <c r="B85" s="19"/>
      <c r="C85" s="19"/>
      <c r="D85" s="20">
        <v>252</v>
      </c>
      <c r="E85" s="21" t="s">
        <v>98</v>
      </c>
      <c r="F85" s="30" t="s">
        <v>30</v>
      </c>
      <c r="G85" s="31"/>
      <c r="H85" s="32">
        <v>558.6</v>
      </c>
      <c r="I85" s="24">
        <f t="shared" si="1"/>
        <v>0</v>
      </c>
    </row>
    <row r="86" spans="1:9" ht="15.75" thickBot="1" x14ac:dyDescent="0.3">
      <c r="A86" s="19">
        <v>77</v>
      </c>
      <c r="B86" s="19"/>
      <c r="C86" s="19"/>
      <c r="D86" s="20">
        <v>252</v>
      </c>
      <c r="E86" s="33" t="s">
        <v>99</v>
      </c>
      <c r="F86" s="30" t="s">
        <v>19</v>
      </c>
      <c r="G86" s="31"/>
      <c r="H86" s="32">
        <v>1200</v>
      </c>
      <c r="I86" s="24">
        <f t="shared" si="1"/>
        <v>0</v>
      </c>
    </row>
    <row r="87" spans="1:9" ht="15.75" thickBot="1" x14ac:dyDescent="0.3">
      <c r="A87" s="19">
        <v>78</v>
      </c>
      <c r="B87" s="19"/>
      <c r="C87" s="19"/>
      <c r="D87" s="20">
        <v>252</v>
      </c>
      <c r="E87" s="21" t="s">
        <v>100</v>
      </c>
      <c r="F87" s="30" t="s">
        <v>21</v>
      </c>
      <c r="G87" s="31"/>
      <c r="H87" s="32">
        <v>16.5</v>
      </c>
      <c r="I87" s="24">
        <f t="shared" si="1"/>
        <v>0</v>
      </c>
    </row>
    <row r="88" spans="1:9" ht="15.75" thickBot="1" x14ac:dyDescent="0.3">
      <c r="A88" s="19">
        <v>79</v>
      </c>
      <c r="B88" s="19"/>
      <c r="C88" s="19"/>
      <c r="D88" s="20">
        <v>252</v>
      </c>
      <c r="E88" s="21" t="s">
        <v>101</v>
      </c>
      <c r="F88" s="30" t="s">
        <v>21</v>
      </c>
      <c r="G88" s="31"/>
      <c r="H88" s="32">
        <v>18</v>
      </c>
      <c r="I88" s="24">
        <f t="shared" si="1"/>
        <v>0</v>
      </c>
    </row>
    <row r="89" spans="1:9" ht="15.75" thickBot="1" x14ac:dyDescent="0.3">
      <c r="A89" s="19">
        <v>80</v>
      </c>
      <c r="B89" s="19"/>
      <c r="C89" s="19"/>
      <c r="D89" s="20">
        <v>252</v>
      </c>
      <c r="E89" s="21" t="s">
        <v>102</v>
      </c>
      <c r="F89" s="30" t="s">
        <v>21</v>
      </c>
      <c r="G89" s="31"/>
      <c r="H89" s="32">
        <v>15.88</v>
      </c>
      <c r="I89" s="24">
        <f t="shared" si="1"/>
        <v>0</v>
      </c>
    </row>
    <row r="90" spans="1:9" ht="15.75" thickBot="1" x14ac:dyDescent="0.3">
      <c r="A90" s="19">
        <v>81</v>
      </c>
      <c r="B90" s="27"/>
      <c r="C90" s="19"/>
      <c r="D90" s="20">
        <v>252</v>
      </c>
      <c r="E90" s="21" t="s">
        <v>103</v>
      </c>
      <c r="F90" s="30" t="s">
        <v>21</v>
      </c>
      <c r="G90" s="31"/>
      <c r="H90" s="32">
        <v>3.65</v>
      </c>
      <c r="I90" s="24">
        <f t="shared" si="1"/>
        <v>0</v>
      </c>
    </row>
    <row r="91" spans="1:9" ht="15.75" thickBot="1" x14ac:dyDescent="0.3">
      <c r="A91" s="19">
        <v>82</v>
      </c>
      <c r="B91" s="27"/>
      <c r="C91" s="19"/>
      <c r="D91" s="20">
        <v>252</v>
      </c>
      <c r="E91" s="21" t="s">
        <v>104</v>
      </c>
      <c r="F91" s="30" t="s">
        <v>21</v>
      </c>
      <c r="G91" s="31"/>
      <c r="H91" s="32">
        <v>3.85</v>
      </c>
      <c r="I91" s="24">
        <f t="shared" si="1"/>
        <v>0</v>
      </c>
    </row>
    <row r="92" spans="1:9" ht="15.75" thickBot="1" x14ac:dyDescent="0.3">
      <c r="A92" s="19">
        <v>83</v>
      </c>
      <c r="B92" s="27"/>
      <c r="C92" s="19"/>
      <c r="D92" s="20">
        <v>252</v>
      </c>
      <c r="E92" s="28" t="s">
        <v>105</v>
      </c>
      <c r="F92" s="30" t="s">
        <v>21</v>
      </c>
      <c r="G92" s="31"/>
      <c r="H92" s="32">
        <v>4.79</v>
      </c>
      <c r="I92" s="24">
        <f t="shared" si="1"/>
        <v>0</v>
      </c>
    </row>
    <row r="93" spans="1:9" ht="15.75" thickBot="1" x14ac:dyDescent="0.3">
      <c r="A93" s="19">
        <v>84</v>
      </c>
      <c r="B93" s="27"/>
      <c r="C93" s="19"/>
      <c r="D93" s="20">
        <v>252</v>
      </c>
      <c r="E93" s="33" t="s">
        <v>106</v>
      </c>
      <c r="F93" s="30" t="s">
        <v>19</v>
      </c>
      <c r="G93" s="31"/>
      <c r="H93" s="32">
        <v>7200</v>
      </c>
      <c r="I93" s="24">
        <f t="shared" si="1"/>
        <v>0</v>
      </c>
    </row>
    <row r="94" spans="1:9" ht="15.75" thickBot="1" x14ac:dyDescent="0.3">
      <c r="A94" s="19">
        <v>85</v>
      </c>
      <c r="B94" s="19"/>
      <c r="C94" s="19"/>
      <c r="D94" s="20">
        <v>252</v>
      </c>
      <c r="E94" s="33" t="s">
        <v>107</v>
      </c>
      <c r="F94" s="30" t="s">
        <v>19</v>
      </c>
      <c r="G94" s="34"/>
      <c r="H94" s="32">
        <v>7800</v>
      </c>
      <c r="I94" s="24">
        <f t="shared" si="1"/>
        <v>0</v>
      </c>
    </row>
    <row r="95" spans="1:9" ht="15.75" thickBot="1" x14ac:dyDescent="0.3">
      <c r="A95" s="19">
        <v>86</v>
      </c>
      <c r="B95" s="19"/>
      <c r="C95" s="19"/>
      <c r="D95" s="20">
        <v>252</v>
      </c>
      <c r="E95" s="33" t="s">
        <v>108</v>
      </c>
      <c r="F95" s="30" t="s">
        <v>19</v>
      </c>
      <c r="G95" s="34"/>
      <c r="H95" s="32">
        <v>13900</v>
      </c>
      <c r="I95" s="24">
        <f t="shared" si="1"/>
        <v>0</v>
      </c>
    </row>
    <row r="96" spans="1:9" ht="15.75" thickBot="1" x14ac:dyDescent="0.3">
      <c r="A96" s="19">
        <v>87</v>
      </c>
      <c r="B96" s="19"/>
      <c r="C96" s="19"/>
      <c r="D96" s="20">
        <v>252</v>
      </c>
      <c r="E96" s="21" t="s">
        <v>109</v>
      </c>
      <c r="F96" s="30" t="s">
        <v>30</v>
      </c>
      <c r="G96" s="34"/>
      <c r="H96" s="32">
        <v>155</v>
      </c>
      <c r="I96" s="24">
        <f t="shared" si="1"/>
        <v>0</v>
      </c>
    </row>
    <row r="97" spans="1:9" ht="15.75" thickBot="1" x14ac:dyDescent="0.3">
      <c r="A97" s="19">
        <v>88</v>
      </c>
      <c r="B97" s="19"/>
      <c r="C97" s="19"/>
      <c r="D97" s="20">
        <v>252</v>
      </c>
      <c r="E97" s="21" t="s">
        <v>110</v>
      </c>
      <c r="F97" s="30" t="s">
        <v>30</v>
      </c>
      <c r="G97" s="34"/>
      <c r="H97" s="32">
        <v>230</v>
      </c>
      <c r="I97" s="24">
        <f t="shared" si="1"/>
        <v>0</v>
      </c>
    </row>
    <row r="98" spans="1:9" ht="15.75" thickBot="1" x14ac:dyDescent="0.3">
      <c r="A98" s="19">
        <v>89</v>
      </c>
      <c r="B98" s="19"/>
      <c r="C98" s="19"/>
      <c r="D98" s="20">
        <v>252</v>
      </c>
      <c r="E98" s="21" t="s">
        <v>111</v>
      </c>
      <c r="F98" s="30" t="s">
        <v>21</v>
      </c>
      <c r="G98" s="34"/>
      <c r="H98" s="32">
        <v>31.5</v>
      </c>
      <c r="I98" s="24">
        <f t="shared" si="1"/>
        <v>0</v>
      </c>
    </row>
    <row r="99" spans="1:9" ht="15.75" thickBot="1" x14ac:dyDescent="0.3">
      <c r="A99" s="19">
        <v>90</v>
      </c>
      <c r="B99" s="27"/>
      <c r="C99" s="19"/>
      <c r="D99" s="20">
        <v>252</v>
      </c>
      <c r="E99" s="21" t="s">
        <v>112</v>
      </c>
      <c r="F99" s="30" t="s">
        <v>30</v>
      </c>
      <c r="G99" s="34"/>
      <c r="H99" s="32">
        <v>980</v>
      </c>
      <c r="I99" s="24">
        <f t="shared" si="1"/>
        <v>0</v>
      </c>
    </row>
    <row r="100" spans="1:9" ht="15.75" thickBot="1" x14ac:dyDescent="0.3">
      <c r="A100" s="19">
        <v>91</v>
      </c>
      <c r="B100" s="19"/>
      <c r="C100" s="19"/>
      <c r="D100" s="20">
        <v>252</v>
      </c>
      <c r="E100" s="21" t="s">
        <v>113</v>
      </c>
      <c r="F100" s="30" t="s">
        <v>30</v>
      </c>
      <c r="G100" s="34"/>
      <c r="H100" s="32">
        <v>361</v>
      </c>
      <c r="I100" s="24">
        <f t="shared" si="1"/>
        <v>0</v>
      </c>
    </row>
    <row r="101" spans="1:9" ht="15.75" thickBot="1" x14ac:dyDescent="0.3">
      <c r="A101" s="19">
        <v>92</v>
      </c>
      <c r="B101" s="27"/>
      <c r="C101" s="19"/>
      <c r="D101" s="20">
        <v>252</v>
      </c>
      <c r="E101" s="21" t="s">
        <v>114</v>
      </c>
      <c r="F101" s="30" t="s">
        <v>21</v>
      </c>
      <c r="G101" s="34"/>
      <c r="H101" s="32">
        <v>15.1</v>
      </c>
      <c r="I101" s="24">
        <f t="shared" si="1"/>
        <v>0</v>
      </c>
    </row>
    <row r="102" spans="1:9" ht="15.75" thickBot="1" x14ac:dyDescent="0.3">
      <c r="A102" s="19">
        <v>93</v>
      </c>
      <c r="B102" s="19"/>
      <c r="C102" s="19"/>
      <c r="D102" s="20">
        <v>252</v>
      </c>
      <c r="E102" s="21" t="s">
        <v>115</v>
      </c>
      <c r="F102" s="30" t="s">
        <v>21</v>
      </c>
      <c r="G102" s="34"/>
      <c r="H102" s="32">
        <v>52</v>
      </c>
      <c r="I102" s="24">
        <f t="shared" si="1"/>
        <v>0</v>
      </c>
    </row>
    <row r="103" spans="1:9" ht="15.75" thickBot="1" x14ac:dyDescent="0.3">
      <c r="A103" s="19">
        <v>94</v>
      </c>
      <c r="B103" s="19"/>
      <c r="C103" s="19"/>
      <c r="D103" s="20">
        <v>252</v>
      </c>
      <c r="E103" s="21" t="s">
        <v>116</v>
      </c>
      <c r="F103" s="30" t="s">
        <v>27</v>
      </c>
      <c r="G103" s="34"/>
      <c r="H103" s="32">
        <v>380</v>
      </c>
      <c r="I103" s="24">
        <f t="shared" si="1"/>
        <v>0</v>
      </c>
    </row>
    <row r="104" spans="1:9" ht="15.75" thickBot="1" x14ac:dyDescent="0.3">
      <c r="A104" s="19">
        <v>95</v>
      </c>
      <c r="B104" s="19"/>
      <c r="C104" s="19"/>
      <c r="D104" s="20">
        <v>252</v>
      </c>
      <c r="E104" s="28" t="s">
        <v>117</v>
      </c>
      <c r="F104" s="30" t="s">
        <v>21</v>
      </c>
      <c r="G104" s="34"/>
      <c r="H104" s="32">
        <v>69</v>
      </c>
      <c r="I104" s="24">
        <f t="shared" si="1"/>
        <v>0</v>
      </c>
    </row>
    <row r="105" spans="1:9" ht="15.75" thickBot="1" x14ac:dyDescent="0.3">
      <c r="A105" s="19">
        <v>96</v>
      </c>
      <c r="B105" s="27"/>
      <c r="C105" s="19"/>
      <c r="D105" s="20">
        <v>252</v>
      </c>
      <c r="E105" s="21" t="s">
        <v>118</v>
      </c>
      <c r="F105" s="19" t="s">
        <v>21</v>
      </c>
      <c r="G105" s="22"/>
      <c r="H105" s="35">
        <v>25</v>
      </c>
      <c r="I105" s="24">
        <f t="shared" si="1"/>
        <v>0</v>
      </c>
    </row>
    <row r="106" spans="1:9" x14ac:dyDescent="0.25">
      <c r="A106" s="1"/>
      <c r="B106" s="1"/>
      <c r="C106" s="1"/>
      <c r="D106" s="1"/>
      <c r="E106" s="1"/>
      <c r="F106" s="1"/>
      <c r="G106" s="1"/>
      <c r="H106" s="1"/>
      <c r="I106" s="2"/>
    </row>
  </sheetData>
  <mergeCells count="7">
    <mergeCell ref="A7:B7"/>
    <mergeCell ref="B2:H2"/>
    <mergeCell ref="A4:B4"/>
    <mergeCell ref="C4:E4"/>
    <mergeCell ref="A5:B5"/>
    <mergeCell ref="C5:E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2021-09-20T12:45:09Z</dcterms:created>
  <dcterms:modified xsi:type="dcterms:W3CDTF">2021-09-20T12:45:28Z</dcterms:modified>
</cp:coreProperties>
</file>