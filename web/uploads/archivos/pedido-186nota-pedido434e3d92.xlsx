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G:\Mi unidad\FRI -SCA\PLANIFICACION\04.2022- Telas e Insumos. Pase.FALTA-Reporte.OK-Excel.FALTA (Falta ver si se consolida)\"/>
    </mc:Choice>
  </mc:AlternateContent>
  <bookViews>
    <workbookView xWindow="-105" yWindow="-105" windowWidth="20640" windowHeight="11760" tabRatio="630" firstSheet="1" activeTab="1"/>
  </bookViews>
  <sheets>
    <sheet name="Necesidades Trimestrales" sheetId="1" r:id="rId1"/>
    <sheet name=" NotaPedido" sheetId="2" r:id="rId2"/>
    <sheet name="Autor Gastar" sheetId="3" r:id="rId3"/>
  </sheets>
  <externalReferences>
    <externalReference r:id="rId4"/>
  </externalReferences>
  <definedNames>
    <definedName name="_xlnm._FilterDatabase" localSheetId="0" hidden="1">'Necesidades Trimestrales'!$A$9:$I$23</definedName>
    <definedName name="_xlnm.Print_Area" localSheetId="1">' NotaPedido'!$A$1:$K$27</definedName>
    <definedName name="_xlnm.Print_Area" localSheetId="2">'Autor Gastar'!$A$1:$Q$25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17" i="3" l="1"/>
  <c r="I18" i="3"/>
  <c r="K26" i="2" l="1"/>
  <c r="J26" i="2"/>
  <c r="I26" i="2"/>
  <c r="B26" i="2"/>
  <c r="C26" i="2"/>
  <c r="I24" i="1" l="1"/>
  <c r="I16" i="3" l="1"/>
  <c r="I15" i="3"/>
  <c r="B14" i="2"/>
  <c r="B15" i="2"/>
  <c r="B16" i="2"/>
  <c r="B17" i="2"/>
  <c r="B18" i="2"/>
  <c r="B19" i="2"/>
  <c r="B20" i="2"/>
  <c r="B21" i="2"/>
  <c r="B22" i="2"/>
  <c r="B23" i="2"/>
  <c r="B24" i="2"/>
  <c r="B25" i="2"/>
  <c r="B13" i="2"/>
  <c r="B12" i="2"/>
  <c r="C12" i="2" l="1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K21" i="2" l="1"/>
  <c r="K22" i="2"/>
  <c r="K23" i="2"/>
  <c r="K24" i="2"/>
  <c r="K25" i="2"/>
  <c r="J21" i="2"/>
  <c r="J22" i="2"/>
  <c r="J23" i="2"/>
  <c r="J24" i="2"/>
  <c r="J25" i="2"/>
  <c r="I21" i="2"/>
  <c r="I22" i="2"/>
  <c r="I23" i="2"/>
  <c r="I24" i="2"/>
  <c r="I25" i="2"/>
  <c r="I19" i="1"/>
  <c r="I20" i="1"/>
  <c r="I21" i="1"/>
  <c r="I22" i="1"/>
  <c r="I23" i="1"/>
  <c r="I12" i="2" l="1"/>
  <c r="I13" i="2"/>
  <c r="I14" i="2"/>
  <c r="I15" i="2"/>
  <c r="I16" i="2"/>
  <c r="I17" i="2"/>
  <c r="I18" i="2"/>
  <c r="I19" i="2"/>
  <c r="I20" i="2"/>
  <c r="K12" i="2"/>
  <c r="K13" i="2"/>
  <c r="K14" i="2"/>
  <c r="K15" i="2"/>
  <c r="K16" i="2"/>
  <c r="K17" i="2"/>
  <c r="K18" i="2"/>
  <c r="K19" i="2"/>
  <c r="K20" i="2"/>
  <c r="J12" i="2"/>
  <c r="J27" i="2" s="1"/>
  <c r="J13" i="2"/>
  <c r="J14" i="2"/>
  <c r="J15" i="2"/>
  <c r="J16" i="2"/>
  <c r="J17" i="2"/>
  <c r="J18" i="2"/>
  <c r="J19" i="2"/>
  <c r="J20" i="2"/>
  <c r="I10" i="1"/>
  <c r="I11" i="1"/>
  <c r="I12" i="1"/>
  <c r="I13" i="1"/>
  <c r="I14" i="1"/>
  <c r="I15" i="1"/>
  <c r="I16" i="1"/>
  <c r="I17" i="1"/>
  <c r="I18" i="1"/>
  <c r="A10" i="3" l="1"/>
  <c r="G6" i="3" l="1"/>
  <c r="D3" i="2"/>
  <c r="G4" i="3" s="1"/>
  <c r="D4" i="2"/>
  <c r="G5" i="3" s="1"/>
  <c r="D1" i="3" l="1"/>
  <c r="Q21" i="3" l="1"/>
</calcChain>
</file>

<file path=xl/sharedStrings.xml><?xml version="1.0" encoding="utf-8"?>
<sst xmlns="http://schemas.openxmlformats.org/spreadsheetml/2006/main" count="197" uniqueCount="128">
  <si>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</si>
  <si>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</si>
  <si>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</si>
  <si>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</si>
  <si>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</si>
  <si>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</si>
  <si>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</si>
  <si>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</si>
  <si>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</si>
  <si>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</si>
  <si>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</si>
  <si>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</si>
  <si>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</si>
  <si>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</si>
  <si>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</si>
  <si>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</si>
  <si>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</si>
  <si>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</si>
  <si>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</si>
  <si>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</si>
  <si>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</si>
  <si>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</si>
  <si>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</si>
  <si>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</si>
  <si>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</si>
  <si>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</si>
  <si>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</si>
  <si>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</si>
  <si>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</si>
  <si>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</si>
  <si>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</si>
  <si>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</si>
  <si>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</si>
  <si>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</si>
  <si>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</si>
  <si>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</si>
  <si>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</si>
  <si>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</si>
  <si>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</si>
  <si>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</si>
  <si>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</si>
  <si>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</si>
  <si>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</si>
  <si>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</si>
  <si>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</si>
  <si>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</si>
  <si>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</si>
  <si>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</si>
  <si>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</si>
  <si>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</si>
  <si>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</si>
  <si>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024 - Hospital Interzonal de Niños</t>
  </si>
  <si>
    <t>040 - Ministerio de Salud</t>
  </si>
  <si>
    <t>1.1</t>
  </si>
  <si>
    <t>NO</t>
  </si>
  <si>
    <t xml:space="preserve"> </t>
  </si>
  <si>
    <t>UNIDAD</t>
  </si>
  <si>
    <t>Plazos y lugares de entrega</t>
  </si>
  <si>
    <r>
      <t>Mantenimiento de Oferta</t>
    </r>
    <r>
      <rPr>
        <sz val="10"/>
        <rFont val="Times New Roman"/>
        <family val="1"/>
      </rPr>
      <t xml:space="preserve">: 45 dias habiles </t>
    </r>
  </si>
  <si>
    <t>Servicio de Economato</t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</si>
  <si>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Dentro de los diez (10) días habiles de notificada la Orden de Compra</t>
    </r>
  </si>
  <si>
    <t>Especificidades Item N° 4:</t>
  </si>
  <si>
    <t>Utiles de Escritorio, Oficina y 
Enseñanaza</t>
  </si>
  <si>
    <t>Especificidades Item N° 13:</t>
  </si>
  <si>
    <t>SI</t>
  </si>
  <si>
    <r>
      <rPr>
        <u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>SERVICIO DE ECONOMATO -HOSPITAL INT. DE NIÑOS – AV. VIRGEN DEL VALLE N° 1050-CATAMARCA DE 8:00 A 12:00HS., DEBIENDO CORRER LOS GASTOS DE FLETES, ACARREO, CARGA, DESCARGA Y SEGURO A CARGO DEL ADJUDICATARIO.</t>
    </r>
  </si>
  <si>
    <t>AGUJAS P/MAQUINA DE COSER; MATERIAL: ACERO INOXIDABLE, NUMERO: 90/14</t>
  </si>
  <si>
    <t>2.7.9-1234.30</t>
  </si>
  <si>
    <t>REPUESTOS</t>
  </si>
  <si>
    <t>2.7.9-1234.33</t>
  </si>
  <si>
    <t>AGUJAS P/MAQUINA DE COSER; MATERIAL: ACERO INOXIDABLE, NUMERO: 160/23</t>
  </si>
  <si>
    <t>SOBRE</t>
  </si>
  <si>
    <t>AGUJAS P/MAQUINA DE COSER; MATERIAL: ACERO INOXIDABLE, NUMERO: 14</t>
  </si>
  <si>
    <t>2.7.9-1234.3</t>
  </si>
  <si>
    <t>AGUJAS P/COSTURA; LONG.DE CUERPO: 5 Cm, CANT.DE PUNTAS: 1, FORMA: RECTA</t>
  </si>
  <si>
    <t>2.7.9-1236.18</t>
  </si>
  <si>
    <t>HILO DE POLIESTER; PRESENTACION: CONO, USO: P/COSER, NUMERO: 120, LARGO: 4000 M, TONALIDAD: BLANCO</t>
  </si>
  <si>
    <t>2.2.1-1052.53</t>
  </si>
  <si>
    <t>INDUMENT TEXTIL Y CONFECCIONES</t>
  </si>
  <si>
    <t>CONO</t>
  </si>
  <si>
    <t>HILO DE POLIESTER; PRESENTACION: CONO, USO: P/COSER, NUMERO: SIN VALOR, LARGO: 1000 M, TONALIDAD: VERDE OLIVA</t>
  </si>
  <si>
    <t>2.2.1-1052.55</t>
  </si>
  <si>
    <t>ELASTICO; PRESENTACION: ROLLO X 25 M, ANCHO: 4 Cm</t>
  </si>
  <si>
    <t>2.2.9-2298.6</t>
  </si>
  <si>
    <t>ROLLO</t>
  </si>
  <si>
    <t>ELASTICO; PRESENTACION: ROLLO X 50 M, ANCHO: 1 Cm</t>
  </si>
  <si>
    <t>2.2.9-2298.1</t>
  </si>
  <si>
    <t>TIJERA; USO: PARA CORTAR TELA, MATERIAL: ACERO INOXIDABLE, LONG.DE CUERPO: 18 Cm</t>
  </si>
  <si>
    <t>2.9.2-5042.2</t>
  </si>
  <si>
    <t>HERRAMIENTAS</t>
  </si>
  <si>
    <t>TIJERA; USO: PARA CORTAR TELA, MATERIAL: ACERO INOXIDABLE, LONG.DE CUERPO: 30 Cm</t>
  </si>
  <si>
    <t>2.9.2-5042.25</t>
  </si>
  <si>
    <t>TELAS TEXTILES; TIPO: ALGODON POLIESTER, ANCHO: 1,50 M, LARGO: 200 M</t>
  </si>
  <si>
    <t>2.2.1-9956.64</t>
  </si>
  <si>
    <t>TELA POLIESTER; LARGO: 100 M</t>
  </si>
  <si>
    <t>2.2.1-8843.4</t>
  </si>
  <si>
    <t>TELAS TEXTILES; TIPO: POLAR, ANCHO: 1,60 M, LARGO: 100 M</t>
  </si>
  <si>
    <t>2.2.1-9956.119</t>
  </si>
  <si>
    <t>TELAS TEXTILES; TIPO: MORLEY, ANCHO: 0,90 M, LARGO: 100 M</t>
  </si>
  <si>
    <t>2.2.1-9956.90</t>
  </si>
  <si>
    <t>2.2.1</t>
  </si>
  <si>
    <t>2.7.9</t>
  </si>
  <si>
    <t>2.2.9</t>
  </si>
  <si>
    <t>2.9.2</t>
  </si>
  <si>
    <t>Hilados y Telas</t>
  </si>
  <si>
    <t>Otros No Especificados Precedentemente</t>
  </si>
  <si>
    <t>Especificidades Item N° 1:</t>
  </si>
  <si>
    <r>
      <t>Descripción técnica</t>
    </r>
    <r>
      <rPr>
        <sz val="10"/>
        <rFont val="Times New Roman"/>
        <family val="1"/>
      </rPr>
      <t xml:space="preserve">: </t>
    </r>
  </si>
  <si>
    <t>PARA MAQUINA INDUSTRIAL, SOBRE POR 10 UNIDADES.</t>
  </si>
  <si>
    <t>Especificidades Item N° 2:</t>
  </si>
  <si>
    <t>Especificidades Item N° 3:</t>
  </si>
  <si>
    <t>PARA MAQUINA OVERLOCK, SOBRE POR 10 UNIDADES.</t>
  </si>
  <si>
    <t>OJO ANCHO, SOBRE POR 20 UNIDADES.</t>
  </si>
  <si>
    <t>Especificidades Item N° 11:</t>
  </si>
  <si>
    <t>Especificidades Item N° 12:</t>
  </si>
  <si>
    <t>Especificidades Item N° 14:</t>
  </si>
  <si>
    <t>Especificidades Item N° 15:</t>
  </si>
  <si>
    <t>TIPO NIDO DE ABEJA, 50% ALGODÓN - 50% POLIESTER, COLOR BLANCO.</t>
  </si>
  <si>
    <t>PARA SABANAS, 35% ALGODÓN - 65% POLIESTER, COLOR BLANCO.</t>
  </si>
  <si>
    <t>IMPERMEABLE GRUESO, RESISTENTE AL AGUA X 1,5 MT. DE ANCHO, COLOR BLANCO.</t>
  </si>
  <si>
    <t xml:space="preserve">PARA MANTA, COLORES OSCUROS. </t>
  </si>
  <si>
    <t>PARA PUÑOS ELASTIZADOS TIPO REB DE MORLEY LIVIANO, COLORES CLAROS.</t>
  </si>
  <si>
    <t>040/2022</t>
  </si>
  <si>
    <t>Telas e Insumos de Costura.</t>
  </si>
  <si>
    <t>Para la adquisición de Telas e Insumos de Costura destinados al Servicio de Economato del Hospital Interzonal de Niños Eva Peron, para el normal funcionamiento del organismo.</t>
  </si>
  <si>
    <t>TOTAL DE PESOS: UN MILLON CIEN MIL  CON 00/100.</t>
  </si>
  <si>
    <t>2º Trimestre - Año 2022</t>
  </si>
  <si>
    <t>Costo total estimado: Un Millon Cien Mil Con 00/100.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</si>
</sst>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3" formatCode="_-* #,##0.00_-;\-* #,##0.00_-;_-* &quot;-&quot;??_-;_-@_-"/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&quot;$&quot;\ #,##0.00"/>
    <numFmt numFmtId="170" formatCode="&quot;$&quot;#,##0.00"/>
    <numFmt numFmtId="171" formatCode="[$$-2C0A]#,##0.00"/>
  </numFmts>
  <fonts count="28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9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65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indexed="64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/>
      <diagonal/>
    </border>
    <border>
      <left style="medium">
        <color rgb="FF3D3D3D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/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indexed="64"/>
      </bottom>
      <diagonal/>
    </border>
    <border>
      <left style="medium">
        <color rgb="FF3D3D3D"/>
      </left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 style="thin">
        <color rgb="FF3D3D3D"/>
      </left>
      <right style="medium">
        <color rgb="FF3D3D3D"/>
      </right>
      <top/>
      <bottom style="thin">
        <color rgb="FF3D3D3D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indexed="64"/>
      </bottom>
      <diagonal/>
    </border>
    <border>
      <left style="thin">
        <color rgb="FF3D3D3D"/>
      </left>
      <right/>
      <top style="medium">
        <color rgb="FF3D3D3D"/>
      </top>
      <bottom style="thin">
        <color indexed="64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</borders>
  <cellStyleXfs count="9">
    <xf numFmtId="0" fontId="0" fillId="0" borderId="0"/>
    <xf numFmtId="165" fontId="17" fillId="0" borderId="0" applyBorder="0" applyProtection="0"/>
    <xf numFmtId="0" fontId="4" fillId="0" borderId="1" applyProtection="0"/>
    <xf numFmtId="164" fontId="5" fillId="0" borderId="0" applyBorder="0" applyProtection="0"/>
    <xf numFmtId="0" fontId="6" fillId="2" borderId="0" applyBorder="0" applyProtection="0"/>
    <xf numFmtId="0" fontId="17" fillId="0" borderId="0"/>
    <xf numFmtId="43" fontId="3" fillId="0" borderId="0" applyFont="0" applyFill="0" applyBorder="0" applyAlignment="0" applyProtection="0"/>
    <xf numFmtId="0" fontId="2" fillId="0" borderId="0"/>
    <xf numFmtId="0" fontId="1" fillId="0" borderId="0"/>
  </cellStyleXfs>
  <cellXfs count="153">
    <xf numFmtId="0" fontId="0" fillId="0" borderId="0" xfId="0"/>
    <xf numFmtId="0" fontId="0" fillId="0" borderId="0" xfId="0" applyBorder="1"/>
    <xf numFmtId="0" fontId="0" fillId="0" borderId="0" xfId="0" applyAlignment="1">
      <alignment horizontal="left"/>
    </xf>
    <xf numFmtId="3" fontId="12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5" fillId="0" borderId="0" xfId="0" applyFont="1"/>
    <xf numFmtId="0" fontId="0" fillId="0" borderId="10" xfId="0" applyBorder="1"/>
    <xf numFmtId="0" fontId="0" fillId="0" borderId="24" xfId="0" applyBorder="1"/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25" xfId="0" applyBorder="1"/>
    <xf numFmtId="0" fontId="0" fillId="0" borderId="27" xfId="0" applyFont="1" applyBorder="1" applyAlignment="1">
      <alignment horizontal="center" vertical="center"/>
    </xf>
    <xf numFmtId="0" fontId="0" fillId="0" borderId="28" xfId="0" applyFont="1" applyBorder="1" applyAlignment="1">
      <alignment horizontal="center" vertical="center"/>
    </xf>
    <xf numFmtId="166" fontId="0" fillId="0" borderId="31" xfId="3" applyNumberFormat="1" applyFont="1" applyBorder="1" applyAlignment="1" applyProtection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166" fontId="0" fillId="0" borderId="35" xfId="3" applyNumberFormat="1" applyFont="1" applyBorder="1" applyAlignment="1" applyProtection="1">
      <alignment horizontal="center" vertical="center"/>
    </xf>
    <xf numFmtId="166" fontId="16" fillId="0" borderId="36" xfId="0" applyNumberFormat="1" applyFont="1" applyBorder="1" applyAlignment="1">
      <alignment horizontal="center" vertical="center"/>
    </xf>
    <xf numFmtId="0" fontId="18" fillId="0" borderId="0" xfId="0" applyFont="1"/>
    <xf numFmtId="0" fontId="21" fillId="0" borderId="0" xfId="0" applyFont="1" applyAlignment="1">
      <alignment horizontal="left" wrapText="1"/>
    </xf>
    <xf numFmtId="0" fontId="21" fillId="0" borderId="0" xfId="0" applyFont="1" applyAlignment="1">
      <alignment horizontal="center" wrapText="1"/>
    </xf>
    <xf numFmtId="0" fontId="18" fillId="0" borderId="3" xfId="0" applyFont="1" applyBorder="1"/>
    <xf numFmtId="0" fontId="18" fillId="0" borderId="4" xfId="0" applyFont="1" applyBorder="1"/>
    <xf numFmtId="0" fontId="18" fillId="0" borderId="5" xfId="0" applyFont="1" applyBorder="1"/>
    <xf numFmtId="0" fontId="18" fillId="0" borderId="0" xfId="0" applyFont="1" applyBorder="1"/>
    <xf numFmtId="166" fontId="18" fillId="0" borderId="0" xfId="0" applyNumberFormat="1" applyFont="1"/>
    <xf numFmtId="0" fontId="8" fillId="3" borderId="10" xfId="0" applyFont="1" applyFill="1" applyBorder="1" applyAlignment="1">
      <alignment horizontal="right" vertical="center"/>
    </xf>
    <xf numFmtId="0" fontId="9" fillId="4" borderId="11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vertical="center"/>
    </xf>
    <xf numFmtId="0" fontId="0" fillId="3" borderId="0" xfId="0" applyFill="1"/>
    <xf numFmtId="0" fontId="8" fillId="3" borderId="12" xfId="0" applyFont="1" applyFill="1" applyBorder="1" applyAlignment="1">
      <alignment vertical="center"/>
    </xf>
    <xf numFmtId="0" fontId="8" fillId="3" borderId="0" xfId="0" applyFont="1" applyFill="1" applyBorder="1" applyAlignment="1">
      <alignment vertical="center"/>
    </xf>
    <xf numFmtId="0" fontId="10" fillId="3" borderId="0" xfId="0" applyFont="1" applyFill="1" applyBorder="1" applyAlignment="1">
      <alignment horizontal="left" vertical="center"/>
    </xf>
    <xf numFmtId="0" fontId="9" fillId="3" borderId="0" xfId="0" applyFont="1" applyFill="1" applyBorder="1" applyAlignment="1">
      <alignment horizontal="left" vertical="center" wrapText="1" indent="1"/>
    </xf>
    <xf numFmtId="0" fontId="26" fillId="4" borderId="0" xfId="0" applyFont="1" applyFill="1" applyAlignment="1">
      <alignment horizontal="left" wrapText="1" indent="1"/>
    </xf>
    <xf numFmtId="0" fontId="22" fillId="3" borderId="0" xfId="0" applyFont="1" applyFill="1" applyAlignment="1">
      <alignment horizontal="left" wrapText="1"/>
    </xf>
    <xf numFmtId="167" fontId="18" fillId="0" borderId="0" xfId="0" applyNumberFormat="1" applyFont="1"/>
    <xf numFmtId="169" fontId="23" fillId="0" borderId="0" xfId="0" applyNumberFormat="1" applyFont="1"/>
    <xf numFmtId="169" fontId="24" fillId="0" borderId="0" xfId="0" applyNumberFormat="1" applyFont="1" applyAlignment="1">
      <alignment horizontal="left" wrapText="1"/>
    </xf>
    <xf numFmtId="167" fontId="5" fillId="3" borderId="0" xfId="0" applyNumberFormat="1" applyFont="1" applyFill="1" applyBorder="1" applyAlignment="1">
      <alignment vertical="center"/>
    </xf>
    <xf numFmtId="0" fontId="0" fillId="0" borderId="27" xfId="0" applyFont="1" applyFill="1" applyBorder="1" applyAlignment="1">
      <alignment horizontal="center" vertical="center"/>
    </xf>
    <xf numFmtId="0" fontId="0" fillId="0" borderId="28" xfId="0" applyFont="1" applyFill="1" applyBorder="1" applyAlignment="1">
      <alignment horizontal="center" vertic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5" xfId="0" applyFont="1" applyBorder="1" applyAlignment="1">
      <alignment horizontal="left" vertical="center"/>
    </xf>
    <xf numFmtId="0" fontId="16" fillId="0" borderId="46" xfId="0" applyFont="1" applyBorder="1" applyAlignment="1">
      <alignment horizontal="center" vertical="center"/>
    </xf>
    <xf numFmtId="0" fontId="16" fillId="0" borderId="47" xfId="0" applyFont="1" applyBorder="1" applyAlignment="1">
      <alignment horizontal="center" vertical="center"/>
    </xf>
    <xf numFmtId="166" fontId="0" fillId="0" borderId="50" xfId="3" applyNumberFormat="1" applyFont="1" applyBorder="1" applyAlignment="1" applyProtection="1">
      <alignment horizontal="center" vertical="center"/>
    </xf>
    <xf numFmtId="0" fontId="23" fillId="0" borderId="54" xfId="0" applyFont="1" applyBorder="1" applyAlignment="1">
      <alignment horizontal="center" vertical="center"/>
    </xf>
    <xf numFmtId="166" fontId="23" fillId="4" borderId="55" xfId="1" applyNumberFormat="1" applyFont="1" applyFill="1" applyBorder="1" applyAlignment="1" applyProtection="1">
      <alignment horizontal="right" vertical="center" wrapText="1"/>
    </xf>
    <xf numFmtId="0" fontId="7" fillId="3" borderId="54" xfId="0" applyFont="1" applyFill="1" applyBorder="1" applyAlignment="1">
      <alignment horizontal="center" vertical="center"/>
    </xf>
    <xf numFmtId="0" fontId="7" fillId="3" borderId="53" xfId="0" applyFont="1" applyFill="1" applyBorder="1" applyAlignment="1">
      <alignment horizontal="left" vertical="center"/>
    </xf>
    <xf numFmtId="3" fontId="7" fillId="3" borderId="55" xfId="0" applyNumberFormat="1" applyFont="1" applyFill="1" applyBorder="1" applyAlignment="1">
      <alignment horizontal="center" vertical="center"/>
    </xf>
    <xf numFmtId="166" fontId="7" fillId="3" borderId="53" xfId="1" applyNumberFormat="1" applyFont="1" applyFill="1" applyBorder="1" applyAlignment="1" applyProtection="1">
      <alignment horizontal="right" vertical="center" wrapText="1"/>
    </xf>
    <xf numFmtId="0" fontId="7" fillId="4" borderId="53" xfId="0" applyFont="1" applyFill="1" applyBorder="1" applyAlignment="1">
      <alignment horizontal="center" vertical="center"/>
    </xf>
    <xf numFmtId="0" fontId="7" fillId="3" borderId="53" xfId="0" applyFont="1" applyFill="1" applyBorder="1" applyAlignment="1">
      <alignment horizontal="center" vertical="center" wrapText="1"/>
    </xf>
    <xf numFmtId="0" fontId="22" fillId="0" borderId="14" xfId="0" applyFont="1" applyBorder="1" applyAlignment="1">
      <alignment horizontal="center" vertical="center" wrapText="1"/>
    </xf>
    <xf numFmtId="169" fontId="27" fillId="0" borderId="14" xfId="0" applyNumberFormat="1" applyFont="1" applyBorder="1" applyAlignment="1">
      <alignment horizontal="center" vertical="center" wrapText="1"/>
    </xf>
    <xf numFmtId="0" fontId="25" fillId="0" borderId="2" xfId="0" applyFont="1" applyBorder="1" applyAlignment="1">
      <alignment horizontal="left" indent="3"/>
    </xf>
    <xf numFmtId="0" fontId="25" fillId="0" borderId="7" xfId="0" applyFont="1" applyBorder="1" applyAlignment="1"/>
    <xf numFmtId="0" fontId="18" fillId="0" borderId="8" xfId="0" applyFont="1" applyBorder="1" applyAlignment="1">
      <alignment horizontal="center" wrapText="1"/>
    </xf>
    <xf numFmtId="0" fontId="18" fillId="0" borderId="8" xfId="0" applyFont="1" applyFill="1" applyBorder="1" applyAlignment="1">
      <alignment horizontal="center" wrapText="1"/>
    </xf>
    <xf numFmtId="0" fontId="18" fillId="0" borderId="9" xfId="0" applyFont="1" applyBorder="1" applyAlignment="1">
      <alignment horizontal="center" wrapText="1"/>
    </xf>
    <xf numFmtId="0" fontId="24" fillId="0" borderId="56" xfId="0" applyFont="1" applyBorder="1" applyAlignment="1">
      <alignment horizontal="center" vertical="center" wrapText="1"/>
    </xf>
    <xf numFmtId="0" fontId="24" fillId="4" borderId="56" xfId="0" applyFont="1" applyFill="1" applyBorder="1" applyAlignment="1">
      <alignment horizontal="center" vertical="center" wrapText="1"/>
    </xf>
    <xf numFmtId="0" fontId="24" fillId="0" borderId="53" xfId="0" applyFont="1" applyBorder="1" applyAlignment="1">
      <alignment horizontal="center" vertical="center" wrapText="1"/>
    </xf>
    <xf numFmtId="0" fontId="24" fillId="4" borderId="53" xfId="0" applyFont="1" applyFill="1" applyBorder="1" applyAlignment="1">
      <alignment horizontal="center" vertical="center" wrapText="1"/>
    </xf>
    <xf numFmtId="0" fontId="0" fillId="3" borderId="57" xfId="0" applyFont="1" applyFill="1" applyBorder="1" applyAlignment="1">
      <alignment horizontal="center" vertical="center"/>
    </xf>
    <xf numFmtId="0" fontId="0" fillId="4" borderId="57" xfId="0" applyFont="1" applyFill="1" applyBorder="1" applyAlignment="1">
      <alignment horizontal="center" vertical="center"/>
    </xf>
    <xf numFmtId="0" fontId="0" fillId="4" borderId="58" xfId="0" applyFont="1" applyFill="1" applyBorder="1" applyAlignment="1">
      <alignment horizontal="center" vertical="center"/>
    </xf>
    <xf numFmtId="0" fontId="17" fillId="4" borderId="57" xfId="0" applyFont="1" applyFill="1" applyBorder="1" applyAlignment="1">
      <alignment horizontal="center" vertical="center"/>
    </xf>
    <xf numFmtId="0" fontId="0" fillId="3" borderId="28" xfId="0" applyFont="1" applyFill="1" applyBorder="1" applyAlignment="1">
      <alignment horizontal="center" vertical="center"/>
    </xf>
    <xf numFmtId="0" fontId="0" fillId="4" borderId="28" xfId="0" applyFont="1" applyFill="1" applyBorder="1" applyAlignment="1">
      <alignment horizontal="center" vertical="center"/>
    </xf>
    <xf numFmtId="0" fontId="0" fillId="4" borderId="29" xfId="0" applyFont="1" applyFill="1" applyBorder="1" applyAlignment="1">
      <alignment horizontal="center" vertical="center"/>
    </xf>
    <xf numFmtId="0" fontId="17" fillId="4" borderId="28" xfId="0" applyFont="1" applyFill="1" applyBorder="1" applyAlignment="1">
      <alignment horizontal="center" vertical="center"/>
    </xf>
    <xf numFmtId="0" fontId="25" fillId="0" borderId="2" xfId="0" applyFont="1" applyBorder="1"/>
    <xf numFmtId="170" fontId="18" fillId="0" borderId="56" xfId="0" applyNumberFormat="1" applyFont="1" applyBorder="1" applyAlignment="1">
      <alignment vertical="center"/>
    </xf>
    <xf numFmtId="170" fontId="18" fillId="0" borderId="53" xfId="0" applyNumberFormat="1" applyFont="1" applyBorder="1" applyAlignment="1">
      <alignment vertical="center"/>
    </xf>
    <xf numFmtId="0" fontId="18" fillId="0" borderId="8" xfId="0" applyFont="1" applyBorder="1"/>
    <xf numFmtId="0" fontId="18" fillId="0" borderId="9" xfId="0" applyFont="1" applyBorder="1"/>
    <xf numFmtId="0" fontId="23" fillId="0" borderId="60" xfId="0" applyFont="1" applyBorder="1" applyAlignment="1">
      <alignment horizontal="center" vertical="center"/>
    </xf>
    <xf numFmtId="0" fontId="24" fillId="0" borderId="61" xfId="0" applyFont="1" applyBorder="1" applyAlignment="1">
      <alignment horizontal="center" vertical="center" wrapText="1"/>
    </xf>
    <xf numFmtId="0" fontId="24" fillId="4" borderId="61" xfId="0" applyFont="1" applyFill="1" applyBorder="1" applyAlignment="1">
      <alignment horizontal="center" vertical="center" wrapText="1"/>
    </xf>
    <xf numFmtId="170" fontId="18" fillId="0" borderId="61" xfId="0" applyNumberFormat="1" applyFont="1" applyBorder="1" applyAlignment="1">
      <alignment vertical="center"/>
    </xf>
    <xf numFmtId="166" fontId="23" fillId="4" borderId="62" xfId="1" applyNumberFormat="1" applyFont="1" applyFill="1" applyBorder="1" applyAlignment="1" applyProtection="1">
      <alignment horizontal="right" vertical="center" wrapText="1"/>
    </xf>
    <xf numFmtId="0" fontId="23" fillId="0" borderId="63" xfId="0" applyFont="1" applyBorder="1" applyAlignment="1">
      <alignment horizontal="center" vertical="center"/>
    </xf>
    <xf numFmtId="166" fontId="23" fillId="4" borderId="64" xfId="1" applyNumberFormat="1" applyFont="1" applyFill="1" applyBorder="1" applyAlignment="1" applyProtection="1">
      <alignment horizontal="right" vertical="center" wrapText="1"/>
    </xf>
    <xf numFmtId="171" fontId="18" fillId="0" borderId="0" xfId="0" applyNumberFormat="1" applyFont="1"/>
    <xf numFmtId="166" fontId="18" fillId="0" borderId="8" xfId="0" applyNumberFormat="1" applyFont="1" applyBorder="1"/>
    <xf numFmtId="0" fontId="0" fillId="0" borderId="56" xfId="0" applyBorder="1" applyAlignment="1">
      <alignment vertical="center"/>
    </xf>
    <xf numFmtId="0" fontId="0" fillId="0" borderId="53" xfId="0" applyBorder="1" applyAlignment="1">
      <alignment vertical="center"/>
    </xf>
    <xf numFmtId="0" fontId="0" fillId="0" borderId="61" xfId="0" applyBorder="1" applyAlignment="1">
      <alignment vertical="center"/>
    </xf>
    <xf numFmtId="0" fontId="0" fillId="0" borderId="56" xfId="0" applyBorder="1" applyAlignment="1">
      <alignment vertical="center" wrapText="1"/>
    </xf>
    <xf numFmtId="0" fontId="0" fillId="0" borderId="53" xfId="0" applyBorder="1" applyAlignment="1">
      <alignment vertical="center" wrapText="1"/>
    </xf>
    <xf numFmtId="0" fontId="17" fillId="0" borderId="53" xfId="0" applyFont="1" applyBorder="1" applyAlignment="1">
      <alignment vertical="center" wrapText="1"/>
    </xf>
    <xf numFmtId="0" fontId="17" fillId="0" borderId="61" xfId="0" applyFont="1" applyBorder="1" applyAlignment="1">
      <alignment vertical="center" wrapText="1"/>
    </xf>
    <xf numFmtId="0" fontId="20" fillId="0" borderId="0" xfId="0" applyFont="1" applyBorder="1" applyAlignment="1">
      <alignment horizontal="left" vertical="center" wrapText="1"/>
    </xf>
    <xf numFmtId="0" fontId="18" fillId="4" borderId="5" xfId="5" applyFont="1" applyFill="1" applyBorder="1" applyAlignment="1">
      <alignment horizontal="left" wrapText="1"/>
    </xf>
    <xf numFmtId="0" fontId="18" fillId="4" borderId="0" xfId="5" applyFont="1" applyFill="1" applyBorder="1" applyAlignment="1">
      <alignment horizontal="left" wrapText="1"/>
    </xf>
    <xf numFmtId="0" fontId="18" fillId="4" borderId="6" xfId="5" applyFont="1" applyFill="1" applyBorder="1" applyAlignment="1">
      <alignment horizontal="left" wrapText="1"/>
    </xf>
    <xf numFmtId="0" fontId="19" fillId="0" borderId="0" xfId="0" applyFont="1" applyBorder="1" applyAlignment="1">
      <alignment horizontal="center"/>
    </xf>
    <xf numFmtId="0" fontId="26" fillId="4" borderId="0" xfId="0" applyFont="1" applyFill="1" applyBorder="1" applyAlignment="1">
      <alignment horizontal="left" wrapText="1" indent="1"/>
    </xf>
    <xf numFmtId="0" fontId="7" fillId="3" borderId="53" xfId="0" applyFont="1" applyFill="1" applyBorder="1" applyAlignment="1">
      <alignment horizontal="left" vertical="center" wrapText="1"/>
    </xf>
    <xf numFmtId="0" fontId="8" fillId="3" borderId="0" xfId="0" applyFont="1" applyFill="1" applyBorder="1" applyAlignment="1">
      <alignment horizontal="center" vertical="center"/>
    </xf>
    <xf numFmtId="0" fontId="10" fillId="3" borderId="13" xfId="0" applyFont="1" applyFill="1" applyBorder="1" applyAlignment="1">
      <alignment horizontal="left" vertical="center" wrapText="1"/>
    </xf>
    <xf numFmtId="0" fontId="9" fillId="3" borderId="14" xfId="0" applyFont="1" applyFill="1" applyBorder="1" applyAlignment="1">
      <alignment horizontal="left" vertical="center" wrapText="1" indent="1"/>
    </xf>
    <xf numFmtId="0" fontId="10" fillId="3" borderId="15" xfId="0" applyFont="1" applyFill="1" applyBorder="1" applyAlignment="1">
      <alignment horizontal="left" vertical="center" wrapText="1"/>
    </xf>
    <xf numFmtId="0" fontId="9" fillId="4" borderId="17" xfId="0" applyFont="1" applyFill="1" applyBorder="1" applyAlignment="1">
      <alignment horizontal="left" vertical="center" wrapText="1" indent="1"/>
    </xf>
    <xf numFmtId="0" fontId="11" fillId="3" borderId="16" xfId="0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center" vertical="center" wrapText="1"/>
    </xf>
    <xf numFmtId="0" fontId="11" fillId="3" borderId="17" xfId="0" applyFont="1" applyFill="1" applyBorder="1" applyAlignment="1">
      <alignment horizontal="center" vertical="center" wrapText="1"/>
    </xf>
    <xf numFmtId="0" fontId="10" fillId="3" borderId="16" xfId="0" applyFont="1" applyFill="1" applyBorder="1" applyAlignment="1">
      <alignment horizontal="left" vertical="center"/>
    </xf>
    <xf numFmtId="167" fontId="10" fillId="3" borderId="14" xfId="0" applyNumberFormat="1" applyFont="1" applyFill="1" applyBorder="1" applyAlignment="1">
      <alignment horizontal="center" vertical="center"/>
    </xf>
    <xf numFmtId="0" fontId="0" fillId="0" borderId="19" xfId="0" applyFont="1" applyBorder="1" applyAlignment="1">
      <alignment horizontal="center"/>
    </xf>
    <xf numFmtId="3" fontId="12" fillId="0" borderId="20" xfId="0" applyNumberFormat="1" applyFont="1" applyBorder="1" applyAlignment="1">
      <alignment horizontal="center"/>
    </xf>
    <xf numFmtId="0" fontId="13" fillId="0" borderId="11" xfId="0" applyFont="1" applyBorder="1" applyAlignment="1">
      <alignment horizontal="center" vertical="center" wrapText="1"/>
    </xf>
    <xf numFmtId="0" fontId="5" fillId="0" borderId="11" xfId="0" applyFont="1" applyBorder="1"/>
    <xf numFmtId="0" fontId="14" fillId="0" borderId="11" xfId="0" applyFont="1" applyBorder="1" applyAlignment="1">
      <alignment horizontal="left" indent="1"/>
    </xf>
    <xf numFmtId="0" fontId="7" fillId="0" borderId="13" xfId="0" applyFont="1" applyBorder="1" applyAlignment="1">
      <alignment horizontal="left" vertical="center" wrapText="1"/>
    </xf>
    <xf numFmtId="0" fontId="7" fillId="0" borderId="38" xfId="0" applyFont="1" applyBorder="1" applyAlignment="1">
      <alignment horizontal="left" vertical="center" wrapText="1"/>
    </xf>
    <xf numFmtId="0" fontId="7" fillId="0" borderId="39" xfId="0" applyFont="1" applyBorder="1" applyAlignment="1">
      <alignment horizontal="left" vertical="center" wrapText="1"/>
    </xf>
    <xf numFmtId="0" fontId="15" fillId="0" borderId="11" xfId="0" applyFont="1" applyBorder="1" applyAlignment="1">
      <alignment horizontal="left"/>
    </xf>
    <xf numFmtId="0" fontId="14" fillId="0" borderId="22" xfId="0" applyFont="1" applyBorder="1"/>
    <xf numFmtId="0" fontId="14" fillId="0" borderId="23" xfId="0" applyFont="1" applyBorder="1" applyAlignment="1">
      <alignment horizontal="left" vertical="center" wrapText="1" indent="1"/>
    </xf>
    <xf numFmtId="0" fontId="16" fillId="0" borderId="21" xfId="0" applyFont="1" applyBorder="1" applyAlignment="1">
      <alignment horizontal="center" vertical="center"/>
    </xf>
    <xf numFmtId="0" fontId="16" fillId="0" borderId="40" xfId="0" applyFont="1" applyBorder="1" applyAlignment="1">
      <alignment horizontal="center" vertical="center"/>
    </xf>
    <xf numFmtId="0" fontId="16" fillId="0" borderId="41" xfId="0" applyFont="1" applyBorder="1" applyAlignment="1">
      <alignment horizontal="center" vertical="center"/>
    </xf>
    <xf numFmtId="0" fontId="16" fillId="0" borderId="42" xfId="0" applyFont="1" applyBorder="1" applyAlignment="1">
      <alignment horizontal="center" vertical="center" wrapText="1"/>
    </xf>
    <xf numFmtId="0" fontId="16" fillId="0" borderId="43" xfId="0" applyFont="1" applyBorder="1" applyAlignment="1">
      <alignment horizontal="center" vertical="center" wrapText="1"/>
    </xf>
    <xf numFmtId="0" fontId="16" fillId="0" borderId="48" xfId="0" applyFont="1" applyBorder="1" applyAlignment="1">
      <alignment horizontal="center" vertical="center" wrapText="1"/>
    </xf>
    <xf numFmtId="0" fontId="16" fillId="0" borderId="49" xfId="0" applyFont="1" applyBorder="1" applyAlignment="1">
      <alignment horizontal="center" vertical="center" wrapText="1"/>
    </xf>
    <xf numFmtId="0" fontId="16" fillId="0" borderId="51" xfId="0" applyFont="1" applyBorder="1" applyAlignment="1">
      <alignment horizontal="center" vertical="center"/>
    </xf>
    <xf numFmtId="0" fontId="16" fillId="0" borderId="52" xfId="0" applyFont="1" applyBorder="1" applyAlignment="1">
      <alignment horizontal="center" vertical="center"/>
    </xf>
    <xf numFmtId="0" fontId="17" fillId="0" borderId="59" xfId="0" applyFont="1" applyBorder="1" applyAlignment="1">
      <alignment horizontal="left" vertical="center" wrapText="1"/>
    </xf>
    <xf numFmtId="0" fontId="0" fillId="0" borderId="59" xfId="0" applyFont="1" applyBorder="1" applyAlignment="1">
      <alignment horizontal="left" vertical="center" wrapText="1"/>
    </xf>
    <xf numFmtId="0" fontId="17" fillId="0" borderId="30" xfId="0" applyFont="1" applyBorder="1" applyAlignment="1">
      <alignment horizontal="left" vertical="center" wrapText="1"/>
    </xf>
    <xf numFmtId="0" fontId="0" fillId="0" borderId="30" xfId="0" applyFont="1" applyBorder="1" applyAlignment="1">
      <alignment horizontal="left" vertical="center"/>
    </xf>
    <xf numFmtId="0" fontId="12" fillId="0" borderId="19" xfId="0" applyFont="1" applyBorder="1" applyAlignment="1">
      <alignment vertical="center" wrapText="1"/>
    </xf>
    <xf numFmtId="0" fontId="12" fillId="0" borderId="37" xfId="0" applyFont="1" applyBorder="1" applyAlignment="1">
      <alignment vertical="center" wrapText="1"/>
    </xf>
    <xf numFmtId="0" fontId="12" fillId="0" borderId="17" xfId="0" applyFont="1" applyBorder="1" applyAlignment="1">
      <alignment vertical="center" wrapText="1"/>
    </xf>
    <xf numFmtId="0" fontId="14" fillId="0" borderId="26" xfId="0" applyFont="1" applyBorder="1" applyAlignment="1">
      <alignment vertical="center" wrapText="1"/>
    </xf>
    <xf numFmtId="0" fontId="14" fillId="4" borderId="36" xfId="0" applyFont="1" applyFill="1" applyBorder="1" applyAlignment="1">
      <alignment horizontal="left" vertical="center" wrapText="1" indent="1"/>
    </xf>
    <xf numFmtId="0" fontId="0" fillId="0" borderId="30" xfId="0" applyFont="1" applyBorder="1" applyAlignment="1">
      <alignment horizontal="left" vertical="center" wrapText="1"/>
    </xf>
    <xf numFmtId="0" fontId="0" fillId="0" borderId="30" xfId="0" applyBorder="1" applyAlignment="1">
      <alignment horizontal="left" vertical="center"/>
    </xf>
    <xf numFmtId="0" fontId="0" fillId="0" borderId="33" xfId="0" applyBorder="1" applyAlignment="1">
      <alignment horizontal="left" vertical="center"/>
    </xf>
    <xf numFmtId="0" fontId="12" fillId="0" borderId="36" xfId="0" applyFont="1" applyBorder="1" applyAlignment="1">
      <alignment horizontal="left" vertical="center" wrapText="1"/>
    </xf>
    <xf numFmtId="0" fontId="0" fillId="0" borderId="21" xfId="0" applyBorder="1"/>
  </cellXfs>
  <cellStyles count="9">
    <cellStyle name="Encabezado 1" xfId="2"/>
    <cellStyle name="Millares 2" xfId="6"/>
    <cellStyle name="Moneda" xfId="1" builtinId="4"/>
    <cellStyle name="Moneda_AUTORIZACION Y NOTA DE PEDIDO" xfId="3"/>
    <cellStyle name="Neutral 1" xfId="4"/>
    <cellStyle name="Normal" xfId="0" builtinId="0"/>
    <cellStyle name="Normal 2 3" xfId="5"/>
    <cellStyle name="Normal 3" xfId="7"/>
    <cellStyle name="Normal 4" xfId="8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uario/Desktop/SECRETARIA%20DE%20CONTRATACIONES%20-%20PEDIDOS/2021/ECONOMATO/LIBRERIA%20SAF%2024%20-%202&#186;%20TRIMESTR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cesidades Trimestrales"/>
      <sheetName val=" NotaPedido"/>
      <sheetName val="Autor Gastar"/>
    </sheetNames>
    <sheetDataSet>
      <sheetData sheetId="0">
        <row r="10">
          <cell r="D10">
            <v>292</v>
          </cell>
        </row>
        <row r="11">
          <cell r="D11">
            <v>292</v>
          </cell>
        </row>
        <row r="12">
          <cell r="D12">
            <v>231</v>
          </cell>
        </row>
        <row r="13">
          <cell r="D13">
            <v>292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K57"/>
  <sheetViews>
    <sheetView topLeftCell="A19" zoomScale="93" zoomScaleNormal="93" workbookViewId="0">
      <selection activeCell="E6" sqref="E6"/>
    </sheetView>
  </sheetViews>
  <sheetFormatPr baseColWidth="10" defaultColWidth="11" defaultRowHeight="12.75" x14ac:dyDescent="0.2"/>
  <cols>
    <col min="1" max="1" width="6.42578125" style="24" customWidth="1"/>
    <col min="2" max="2" width="15.7109375" style="24" customWidth="1"/>
    <col min="3" max="3" width="25.140625" style="24" customWidth="1"/>
    <col min="4" max="4" width="8.42578125" style="24" customWidth="1"/>
    <col min="5" max="5" width="59.28515625" style="24" customWidth="1"/>
    <col min="6" max="6" width="11" style="24"/>
    <col min="7" max="7" width="10.85546875" style="24" customWidth="1"/>
    <col min="8" max="8" width="13.85546875" style="43" customWidth="1"/>
    <col min="9" max="9" width="18.5703125" style="24" customWidth="1"/>
    <col min="10" max="10" width="11" style="24"/>
    <col min="11" max="11" width="12.140625" style="24" bestFit="1" customWidth="1"/>
    <col min="12" max="12" width="13.140625" style="24" customWidth="1"/>
    <col min="13" max="16384" width="11" style="24"/>
  </cols>
  <sheetData>
    <row r="2" spans="1:11" ht="27" x14ac:dyDescent="0.35">
      <c r="B2" s="106" t="s">
        <v>0</v>
      </c>
      <c r="C2" s="106"/>
      <c r="D2" s="106"/>
      <c r="E2" s="106"/>
      <c r="F2" s="106"/>
      <c r="G2" s="106"/>
      <c r="H2" s="106"/>
    </row>
    <row r="3" spans="1:11" ht="12" customHeight="1" x14ac:dyDescent="0.2"/>
    <row r="4" spans="1:11" ht="18" customHeight="1" x14ac:dyDescent="0.25">
      <c r="A4" s="102" t="s">
        <v>1</v>
      </c>
      <c r="B4" s="102"/>
      <c r="C4" s="107" t="s">
        <v>52</v>
      </c>
      <c r="D4" s="107"/>
      <c r="E4" s="107"/>
      <c r="F4" s="25"/>
      <c r="G4" s="26"/>
      <c r="H4" s="44"/>
    </row>
    <row r="5" spans="1:11" ht="18" customHeight="1" x14ac:dyDescent="0.25">
      <c r="A5" s="102" t="s">
        <v>2</v>
      </c>
      <c r="B5" s="102"/>
      <c r="C5" s="107" t="s">
        <v>51</v>
      </c>
      <c r="D5" s="107"/>
      <c r="E5" s="107"/>
      <c r="F5" s="25"/>
      <c r="G5" s="26" t="s">
        <v>55</v>
      </c>
      <c r="H5" s="44"/>
    </row>
    <row r="6" spans="1:11" ht="16.5" customHeight="1" x14ac:dyDescent="0.25">
      <c r="A6" s="102" t="s">
        <v>3</v>
      </c>
      <c r="B6" s="102"/>
      <c r="C6" s="40">
        <v>2022</v>
      </c>
      <c r="D6" s="41"/>
      <c r="E6" s="41"/>
      <c r="F6" s="25"/>
      <c r="G6" s="26"/>
      <c r="H6" s="44"/>
    </row>
    <row r="7" spans="1:11" ht="16.5" customHeight="1" x14ac:dyDescent="0.25">
      <c r="A7" s="102" t="s">
        <v>4</v>
      </c>
      <c r="B7" s="102"/>
      <c r="C7" s="40">
        <v>2</v>
      </c>
      <c r="D7" s="41"/>
      <c r="E7" s="41"/>
      <c r="F7" s="25"/>
      <c r="G7" s="26"/>
      <c r="H7" s="44"/>
    </row>
    <row r="8" spans="1:11" ht="13.5" thickBot="1" x14ac:dyDescent="0.25">
      <c r="B8" s="25"/>
      <c r="C8" s="26"/>
      <c r="D8" s="25"/>
      <c r="E8" s="25"/>
      <c r="F8" s="25"/>
      <c r="G8" s="26"/>
      <c r="H8" s="44"/>
      <c r="J8" s="42"/>
    </row>
    <row r="9" spans="1:11" ht="36.75" thickBot="1" x14ac:dyDescent="0.25">
      <c r="A9" s="62" t="s">
        <v>5</v>
      </c>
      <c r="B9" s="62" t="s">
        <v>6</v>
      </c>
      <c r="C9" s="62" t="s">
        <v>7</v>
      </c>
      <c r="D9" s="62" t="s">
        <v>8</v>
      </c>
      <c r="E9" s="62" t="s">
        <v>9</v>
      </c>
      <c r="F9" s="62" t="s">
        <v>10</v>
      </c>
      <c r="G9" s="62" t="s">
        <v>11</v>
      </c>
      <c r="H9" s="63" t="s">
        <v>12</v>
      </c>
      <c r="I9" s="62" t="s">
        <v>13</v>
      </c>
      <c r="K9" s="31"/>
    </row>
    <row r="10" spans="1:11" ht="25.5" x14ac:dyDescent="0.2">
      <c r="A10" s="91">
        <v>1</v>
      </c>
      <c r="B10" s="95" t="s">
        <v>67</v>
      </c>
      <c r="C10" s="95" t="s">
        <v>68</v>
      </c>
      <c r="D10" s="69" t="s">
        <v>101</v>
      </c>
      <c r="E10" s="98" t="s">
        <v>66</v>
      </c>
      <c r="F10" s="70" t="s">
        <v>71</v>
      </c>
      <c r="G10" s="70">
        <v>30</v>
      </c>
      <c r="H10" s="82">
        <v>400</v>
      </c>
      <c r="I10" s="92">
        <f t="shared" ref="I10:I24" si="0">+G10*H10</f>
        <v>12000</v>
      </c>
      <c r="K10" s="31"/>
    </row>
    <row r="11" spans="1:11" ht="25.5" x14ac:dyDescent="0.2">
      <c r="A11" s="54">
        <v>2</v>
      </c>
      <c r="B11" s="96" t="s">
        <v>69</v>
      </c>
      <c r="C11" s="96" t="s">
        <v>68</v>
      </c>
      <c r="D11" s="71" t="s">
        <v>101</v>
      </c>
      <c r="E11" s="99" t="s">
        <v>70</v>
      </c>
      <c r="F11" s="72" t="s">
        <v>71</v>
      </c>
      <c r="G11" s="72">
        <v>30</v>
      </c>
      <c r="H11" s="83">
        <v>400</v>
      </c>
      <c r="I11" s="55">
        <f t="shared" si="0"/>
        <v>12000</v>
      </c>
      <c r="K11" s="31"/>
    </row>
    <row r="12" spans="1:11" ht="25.5" x14ac:dyDescent="0.2">
      <c r="A12" s="54">
        <v>3</v>
      </c>
      <c r="B12" s="96" t="s">
        <v>73</v>
      </c>
      <c r="C12" s="100" t="s">
        <v>68</v>
      </c>
      <c r="D12" s="71" t="s">
        <v>101</v>
      </c>
      <c r="E12" s="99" t="s">
        <v>72</v>
      </c>
      <c r="F12" s="72" t="s">
        <v>71</v>
      </c>
      <c r="G12" s="72">
        <v>30</v>
      </c>
      <c r="H12" s="83">
        <v>400</v>
      </c>
      <c r="I12" s="55">
        <f t="shared" si="0"/>
        <v>12000</v>
      </c>
      <c r="K12" s="31"/>
    </row>
    <row r="13" spans="1:11" ht="25.5" x14ac:dyDescent="0.2">
      <c r="A13" s="54">
        <v>4</v>
      </c>
      <c r="B13" s="96" t="s">
        <v>75</v>
      </c>
      <c r="C13" s="100" t="s">
        <v>68</v>
      </c>
      <c r="D13" s="71" t="s">
        <v>101</v>
      </c>
      <c r="E13" s="99" t="s">
        <v>74</v>
      </c>
      <c r="F13" s="72" t="s">
        <v>71</v>
      </c>
      <c r="G13" s="72">
        <v>3</v>
      </c>
      <c r="H13" s="83">
        <v>300</v>
      </c>
      <c r="I13" s="55">
        <f t="shared" si="0"/>
        <v>900</v>
      </c>
      <c r="K13" s="31"/>
    </row>
    <row r="14" spans="1:11" ht="25.5" x14ac:dyDescent="0.2">
      <c r="A14" s="54">
        <v>5</v>
      </c>
      <c r="B14" s="96" t="s">
        <v>77</v>
      </c>
      <c r="C14" s="99" t="s">
        <v>78</v>
      </c>
      <c r="D14" s="71" t="s">
        <v>100</v>
      </c>
      <c r="E14" s="100" t="s">
        <v>76</v>
      </c>
      <c r="F14" s="72" t="s">
        <v>79</v>
      </c>
      <c r="G14" s="72">
        <v>15</v>
      </c>
      <c r="H14" s="83">
        <v>500</v>
      </c>
      <c r="I14" s="55">
        <f t="shared" si="0"/>
        <v>7500</v>
      </c>
    </row>
    <row r="15" spans="1:11" ht="38.25" x14ac:dyDescent="0.2">
      <c r="A15" s="54">
        <v>6</v>
      </c>
      <c r="B15" s="96" t="s">
        <v>81</v>
      </c>
      <c r="C15" s="99" t="s">
        <v>78</v>
      </c>
      <c r="D15" s="71" t="s">
        <v>100</v>
      </c>
      <c r="E15" s="99" t="s">
        <v>80</v>
      </c>
      <c r="F15" s="72" t="s">
        <v>79</v>
      </c>
      <c r="G15" s="72">
        <v>20</v>
      </c>
      <c r="H15" s="83">
        <v>200</v>
      </c>
      <c r="I15" s="55">
        <f t="shared" si="0"/>
        <v>4000</v>
      </c>
      <c r="K15" s="93"/>
    </row>
    <row r="16" spans="1:11" ht="25.5" x14ac:dyDescent="0.2">
      <c r="A16" s="54">
        <v>7</v>
      </c>
      <c r="B16" s="96" t="s">
        <v>83</v>
      </c>
      <c r="C16" s="100" t="s">
        <v>78</v>
      </c>
      <c r="D16" s="71" t="s">
        <v>102</v>
      </c>
      <c r="E16" s="96" t="s">
        <v>82</v>
      </c>
      <c r="F16" s="72" t="s">
        <v>84</v>
      </c>
      <c r="G16" s="72">
        <v>4</v>
      </c>
      <c r="H16" s="83">
        <v>1500</v>
      </c>
      <c r="I16" s="55">
        <f t="shared" si="0"/>
        <v>6000</v>
      </c>
    </row>
    <row r="17" spans="1:9" ht="25.5" x14ac:dyDescent="0.2">
      <c r="A17" s="54">
        <v>8</v>
      </c>
      <c r="B17" s="96" t="s">
        <v>86</v>
      </c>
      <c r="C17" s="100" t="s">
        <v>78</v>
      </c>
      <c r="D17" s="71" t="s">
        <v>102</v>
      </c>
      <c r="E17" s="96" t="s">
        <v>85</v>
      </c>
      <c r="F17" s="72" t="s">
        <v>84</v>
      </c>
      <c r="G17" s="72">
        <v>3</v>
      </c>
      <c r="H17" s="83">
        <v>1500</v>
      </c>
      <c r="I17" s="55">
        <f t="shared" si="0"/>
        <v>4500</v>
      </c>
    </row>
    <row r="18" spans="1:9" ht="25.5" x14ac:dyDescent="0.2">
      <c r="A18" s="54">
        <v>9</v>
      </c>
      <c r="B18" s="96" t="s">
        <v>88</v>
      </c>
      <c r="C18" s="96" t="s">
        <v>89</v>
      </c>
      <c r="D18" s="71" t="s">
        <v>103</v>
      </c>
      <c r="E18" s="99" t="s">
        <v>87</v>
      </c>
      <c r="F18" s="72" t="s">
        <v>56</v>
      </c>
      <c r="G18" s="72">
        <v>3</v>
      </c>
      <c r="H18" s="83">
        <v>4900</v>
      </c>
      <c r="I18" s="55">
        <f t="shared" si="0"/>
        <v>14700</v>
      </c>
    </row>
    <row r="19" spans="1:9" ht="25.5" x14ac:dyDescent="0.2">
      <c r="A19" s="54">
        <v>10</v>
      </c>
      <c r="B19" s="96" t="s">
        <v>91</v>
      </c>
      <c r="C19" s="96" t="s">
        <v>89</v>
      </c>
      <c r="D19" s="71" t="s">
        <v>103</v>
      </c>
      <c r="E19" s="99" t="s">
        <v>90</v>
      </c>
      <c r="F19" s="72" t="s">
        <v>56</v>
      </c>
      <c r="G19" s="72">
        <v>2</v>
      </c>
      <c r="H19" s="83">
        <v>8200</v>
      </c>
      <c r="I19" s="55">
        <f t="shared" si="0"/>
        <v>16400</v>
      </c>
    </row>
    <row r="20" spans="1:9" ht="25.5" x14ac:dyDescent="0.2">
      <c r="A20" s="54">
        <v>11</v>
      </c>
      <c r="B20" s="96" t="s">
        <v>93</v>
      </c>
      <c r="C20" s="99" t="s">
        <v>78</v>
      </c>
      <c r="D20" s="71" t="s">
        <v>100</v>
      </c>
      <c r="E20" s="99" t="s">
        <v>92</v>
      </c>
      <c r="F20" s="72" t="s">
        <v>84</v>
      </c>
      <c r="G20" s="72">
        <v>3</v>
      </c>
      <c r="H20" s="83">
        <v>80000</v>
      </c>
      <c r="I20" s="55">
        <f t="shared" si="0"/>
        <v>240000</v>
      </c>
    </row>
    <row r="21" spans="1:9" ht="25.5" x14ac:dyDescent="0.2">
      <c r="A21" s="54">
        <v>12</v>
      </c>
      <c r="B21" s="96" t="s">
        <v>93</v>
      </c>
      <c r="C21" s="99" t="s">
        <v>78</v>
      </c>
      <c r="D21" s="71" t="s">
        <v>100</v>
      </c>
      <c r="E21" s="99" t="s">
        <v>92</v>
      </c>
      <c r="F21" s="72" t="s">
        <v>84</v>
      </c>
      <c r="G21" s="72">
        <v>2</v>
      </c>
      <c r="H21" s="83">
        <v>180000</v>
      </c>
      <c r="I21" s="55">
        <f t="shared" si="0"/>
        <v>360000</v>
      </c>
    </row>
    <row r="22" spans="1:9" ht="25.5" x14ac:dyDescent="0.2">
      <c r="A22" s="54">
        <v>13</v>
      </c>
      <c r="B22" s="96" t="s">
        <v>95</v>
      </c>
      <c r="C22" s="100" t="s">
        <v>78</v>
      </c>
      <c r="D22" s="71" t="s">
        <v>100</v>
      </c>
      <c r="E22" s="96" t="s">
        <v>94</v>
      </c>
      <c r="F22" s="72" t="s">
        <v>84</v>
      </c>
      <c r="G22" s="72">
        <v>3</v>
      </c>
      <c r="H22" s="83">
        <v>50000</v>
      </c>
      <c r="I22" s="55">
        <f t="shared" si="0"/>
        <v>150000</v>
      </c>
    </row>
    <row r="23" spans="1:9" ht="25.5" x14ac:dyDescent="0.2">
      <c r="A23" s="54">
        <v>14</v>
      </c>
      <c r="B23" s="96" t="s">
        <v>97</v>
      </c>
      <c r="C23" s="100" t="s">
        <v>78</v>
      </c>
      <c r="D23" s="71" t="s">
        <v>100</v>
      </c>
      <c r="E23" s="96" t="s">
        <v>96</v>
      </c>
      <c r="F23" s="72" t="s">
        <v>84</v>
      </c>
      <c r="G23" s="72">
        <v>3</v>
      </c>
      <c r="H23" s="83">
        <v>70000</v>
      </c>
      <c r="I23" s="55">
        <f t="shared" si="0"/>
        <v>210000</v>
      </c>
    </row>
    <row r="24" spans="1:9" ht="26.25" thickBot="1" x14ac:dyDescent="0.25">
      <c r="A24" s="86">
        <v>15</v>
      </c>
      <c r="B24" s="97" t="s">
        <v>99</v>
      </c>
      <c r="C24" s="101" t="s">
        <v>78</v>
      </c>
      <c r="D24" s="87" t="s">
        <v>100</v>
      </c>
      <c r="E24" s="97" t="s">
        <v>98</v>
      </c>
      <c r="F24" s="88" t="s">
        <v>84</v>
      </c>
      <c r="G24" s="88">
        <v>1</v>
      </c>
      <c r="H24" s="89">
        <v>50000</v>
      </c>
      <c r="I24" s="90">
        <f t="shared" si="0"/>
        <v>50000</v>
      </c>
    </row>
    <row r="25" spans="1:9" ht="13.5" thickBot="1" x14ac:dyDescent="0.25">
      <c r="I25" s="31"/>
    </row>
    <row r="26" spans="1:9" x14ac:dyDescent="0.2">
      <c r="B26" s="64" t="s">
        <v>57</v>
      </c>
      <c r="C26" s="27"/>
      <c r="D26" s="27"/>
      <c r="E26" s="28"/>
      <c r="I26" s="31"/>
    </row>
    <row r="27" spans="1:9" ht="13.5" customHeight="1" x14ac:dyDescent="0.2">
      <c r="B27" s="103" t="s">
        <v>65</v>
      </c>
      <c r="C27" s="104"/>
      <c r="D27" s="104"/>
      <c r="E27" s="105"/>
    </row>
    <row r="28" spans="1:9" ht="25.5" customHeight="1" x14ac:dyDescent="0.2">
      <c r="B28" s="103"/>
      <c r="C28" s="104"/>
      <c r="D28" s="104"/>
      <c r="E28" s="105"/>
      <c r="F28" s="29"/>
      <c r="G28" s="30"/>
    </row>
    <row r="29" spans="1:9" ht="13.5" customHeight="1" x14ac:dyDescent="0.2">
      <c r="B29" s="103" t="s">
        <v>60</v>
      </c>
      <c r="C29" s="104"/>
      <c r="D29" s="104"/>
      <c r="E29" s="105"/>
      <c r="F29" s="29"/>
      <c r="G29" s="30"/>
    </row>
    <row r="30" spans="1:9" ht="13.5" thickBot="1" x14ac:dyDescent="0.25">
      <c r="B30" s="65" t="s">
        <v>58</v>
      </c>
      <c r="C30" s="66"/>
      <c r="D30" s="67"/>
      <c r="E30" s="68"/>
      <c r="F30" s="29"/>
      <c r="G30" s="30"/>
    </row>
    <row r="31" spans="1:9" ht="12" customHeight="1" thickBot="1" x14ac:dyDescent="0.25"/>
    <row r="32" spans="1:9" x14ac:dyDescent="0.2">
      <c r="B32" s="81" t="s">
        <v>106</v>
      </c>
      <c r="C32" s="27"/>
      <c r="D32" s="27"/>
      <c r="E32" s="28"/>
    </row>
    <row r="33" spans="2:5" ht="13.5" thickBot="1" x14ac:dyDescent="0.25">
      <c r="B33" s="65" t="s">
        <v>107</v>
      </c>
      <c r="C33" s="94" t="s">
        <v>108</v>
      </c>
      <c r="D33" s="84"/>
      <c r="E33" s="85"/>
    </row>
    <row r="34" spans="2:5" ht="13.5" thickBot="1" x14ac:dyDescent="0.25"/>
    <row r="35" spans="2:5" ht="13.5" customHeight="1" x14ac:dyDescent="0.2">
      <c r="B35" s="81" t="s">
        <v>109</v>
      </c>
      <c r="C35" s="27"/>
      <c r="D35" s="27"/>
      <c r="E35" s="28"/>
    </row>
    <row r="36" spans="2:5" ht="13.5" thickBot="1" x14ac:dyDescent="0.25">
      <c r="B36" s="65" t="s">
        <v>107</v>
      </c>
      <c r="C36" s="94" t="s">
        <v>111</v>
      </c>
      <c r="D36" s="84"/>
      <c r="E36" s="85"/>
    </row>
    <row r="37" spans="2:5" ht="13.5" thickBot="1" x14ac:dyDescent="0.25"/>
    <row r="38" spans="2:5" x14ac:dyDescent="0.2">
      <c r="B38" s="81" t="s">
        <v>110</v>
      </c>
      <c r="C38" s="27"/>
      <c r="D38" s="27"/>
      <c r="E38" s="28"/>
    </row>
    <row r="39" spans="2:5" ht="13.5" thickBot="1" x14ac:dyDescent="0.25">
      <c r="B39" s="65" t="s">
        <v>107</v>
      </c>
      <c r="C39" s="94" t="s">
        <v>111</v>
      </c>
      <c r="D39" s="84"/>
      <c r="E39" s="85"/>
    </row>
    <row r="40" spans="2:5" ht="13.5" thickBot="1" x14ac:dyDescent="0.25"/>
    <row r="41" spans="2:5" x14ac:dyDescent="0.2">
      <c r="B41" s="81" t="s">
        <v>61</v>
      </c>
      <c r="C41" s="27"/>
      <c r="D41" s="27"/>
      <c r="E41" s="28"/>
    </row>
    <row r="42" spans="2:5" ht="13.5" thickBot="1" x14ac:dyDescent="0.25">
      <c r="B42" s="65" t="s">
        <v>107</v>
      </c>
      <c r="C42" s="84" t="s">
        <v>112</v>
      </c>
      <c r="D42" s="84"/>
      <c r="E42" s="85"/>
    </row>
    <row r="43" spans="2:5" ht="13.5" thickBot="1" x14ac:dyDescent="0.25"/>
    <row r="44" spans="2:5" x14ac:dyDescent="0.2">
      <c r="B44" s="81" t="s">
        <v>113</v>
      </c>
      <c r="C44" s="27"/>
      <c r="D44" s="27"/>
      <c r="E44" s="28"/>
    </row>
    <row r="45" spans="2:5" ht="13.5" thickBot="1" x14ac:dyDescent="0.25">
      <c r="B45" s="65" t="s">
        <v>107</v>
      </c>
      <c r="C45" s="84" t="s">
        <v>118</v>
      </c>
      <c r="D45" s="84"/>
      <c r="E45" s="85"/>
    </row>
    <row r="46" spans="2:5" ht="13.5" thickBot="1" x14ac:dyDescent="0.25"/>
    <row r="47" spans="2:5" x14ac:dyDescent="0.2">
      <c r="B47" s="81" t="s">
        <v>114</v>
      </c>
      <c r="C47" s="27"/>
      <c r="D47" s="27"/>
      <c r="E47" s="28"/>
    </row>
    <row r="48" spans="2:5" ht="13.5" thickBot="1" x14ac:dyDescent="0.25">
      <c r="B48" s="65" t="s">
        <v>107</v>
      </c>
      <c r="C48" s="84" t="s">
        <v>117</v>
      </c>
      <c r="D48" s="84"/>
      <c r="E48" s="85"/>
    </row>
    <row r="49" spans="2:5" ht="13.5" thickBot="1" x14ac:dyDescent="0.25"/>
    <row r="50" spans="2:5" x14ac:dyDescent="0.2">
      <c r="B50" s="81" t="s">
        <v>63</v>
      </c>
      <c r="C50" s="27"/>
      <c r="D50" s="27"/>
      <c r="E50" s="28"/>
    </row>
    <row r="51" spans="2:5" ht="13.5" thickBot="1" x14ac:dyDescent="0.25">
      <c r="B51" s="65" t="s">
        <v>107</v>
      </c>
      <c r="C51" s="84" t="s">
        <v>119</v>
      </c>
      <c r="D51" s="84"/>
      <c r="E51" s="85"/>
    </row>
    <row r="52" spans="2:5" ht="13.5" thickBot="1" x14ac:dyDescent="0.25"/>
    <row r="53" spans="2:5" x14ac:dyDescent="0.2">
      <c r="B53" s="81" t="s">
        <v>115</v>
      </c>
      <c r="C53" s="27"/>
      <c r="D53" s="27"/>
      <c r="E53" s="28"/>
    </row>
    <row r="54" spans="2:5" ht="13.5" thickBot="1" x14ac:dyDescent="0.25">
      <c r="B54" s="65" t="s">
        <v>107</v>
      </c>
      <c r="C54" s="84" t="s">
        <v>120</v>
      </c>
      <c r="D54" s="84"/>
      <c r="E54" s="85"/>
    </row>
    <row r="55" spans="2:5" ht="13.5" thickBot="1" x14ac:dyDescent="0.25"/>
    <row r="56" spans="2:5" x14ac:dyDescent="0.2">
      <c r="B56" s="81" t="s">
        <v>116</v>
      </c>
      <c r="C56" s="27"/>
      <c r="D56" s="27"/>
      <c r="E56" s="28"/>
    </row>
    <row r="57" spans="2:5" ht="13.5" thickBot="1" x14ac:dyDescent="0.25">
      <c r="B57" s="65" t="s">
        <v>107</v>
      </c>
      <c r="C57" s="84" t="s">
        <v>121</v>
      </c>
      <c r="D57" s="84"/>
      <c r="E57" s="85"/>
    </row>
  </sheetData>
  <autoFilter ref="A9:I23"/>
  <sortState ref="A10:H43">
    <sortCondition ref="E10:E43"/>
  </sortState>
  <mergeCells count="9">
    <mergeCell ref="A6:B6"/>
    <mergeCell ref="A7:B7"/>
    <mergeCell ref="B27:E28"/>
    <mergeCell ref="B29:E29"/>
    <mergeCell ref="B2:H2"/>
    <mergeCell ref="A4:B4"/>
    <mergeCell ref="C4:E4"/>
    <mergeCell ref="A5:B5"/>
    <mergeCell ref="C5:E5"/>
  </mergeCells>
  <printOptions horizontalCentered="1"/>
  <pageMargins left="0.11811023622047245" right="0.11811023622047245" top="0.35433070866141736" bottom="0.35433070866141736" header="0" footer="0"/>
  <pageSetup paperSize="5" firstPageNumber="0" fitToHeight="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27"/>
  <sheetViews>
    <sheetView tabSelected="1" zoomScale="80" zoomScaleNormal="80" workbookViewId="0">
      <selection activeCell="U37" sqref="U37"/>
    </sheetView>
  </sheetViews>
  <sheetFormatPr baseColWidth="10" defaultColWidth="9.140625" defaultRowHeight="12.75" x14ac:dyDescent="0.2"/>
  <cols>
    <col min="1" max="1" width="5.5703125" style="34" customWidth="1"/>
    <col min="2" max="2" width="15.140625" style="34" customWidth="1"/>
    <col min="3" max="3" width="14.140625" style="34" customWidth="1"/>
    <col min="4" max="4" width="26" style="34" customWidth="1"/>
    <col min="5" max="5" width="8" style="34" customWidth="1"/>
    <col min="6" max="6" width="7.85546875" style="34" customWidth="1"/>
    <col min="7" max="7" width="48.5703125" style="34" customWidth="1"/>
    <col min="8" max="8" width="9.28515625" style="34" customWidth="1"/>
    <col min="9" max="9" width="15.5703125" style="34" customWidth="1"/>
    <col min="10" max="10" width="14.7109375" style="34" customWidth="1"/>
    <col min="11" max="11" width="15.5703125" style="34" customWidth="1"/>
    <col min="12" max="13" width="5.85546875" style="34" customWidth="1"/>
    <col min="14" max="14" width="14.140625" style="34" customWidth="1"/>
    <col min="15" max="15" width="12.5703125" style="34" customWidth="1"/>
    <col min="16" max="1024" width="9.140625" style="34"/>
    <col min="1025" max="16384" width="9.140625" style="35"/>
  </cols>
  <sheetData>
    <row r="1" spans="1:11" ht="18" customHeight="1" x14ac:dyDescent="0.2">
      <c r="A1" s="109" t="s">
        <v>14</v>
      </c>
      <c r="B1" s="109"/>
      <c r="C1" s="109"/>
      <c r="D1" s="109"/>
      <c r="E1" s="109"/>
      <c r="F1" s="109"/>
      <c r="G1" s="109"/>
      <c r="H1" s="109"/>
      <c r="I1" s="109"/>
      <c r="J1" s="32" t="s">
        <v>15</v>
      </c>
      <c r="K1" s="33" t="s">
        <v>122</v>
      </c>
    </row>
    <row r="2" spans="1:11" ht="18.75" customHeight="1" thickBot="1" x14ac:dyDescent="0.25">
      <c r="A2" s="36"/>
      <c r="B2" s="36"/>
      <c r="C2" s="36"/>
      <c r="D2" s="37"/>
      <c r="E2" s="37"/>
      <c r="F2" s="37"/>
      <c r="G2" s="37"/>
      <c r="H2" s="37"/>
      <c r="I2" s="37"/>
      <c r="J2" s="37"/>
      <c r="K2" s="37"/>
    </row>
    <row r="3" spans="1:11" ht="18.75" customHeight="1" thickBot="1" x14ac:dyDescent="0.25">
      <c r="A3" s="110" t="s">
        <v>48</v>
      </c>
      <c r="B3" s="110"/>
      <c r="C3" s="110"/>
      <c r="D3" s="111" t="str">
        <f>'Necesidades Trimestrales'!C4</f>
        <v>040 - Ministerio de Salud</v>
      </c>
      <c r="E3" s="111"/>
      <c r="F3" s="111"/>
      <c r="G3" s="111"/>
      <c r="H3" s="111"/>
      <c r="I3" s="111"/>
      <c r="J3" s="111"/>
      <c r="K3" s="111"/>
    </row>
    <row r="4" spans="1:11" ht="18.75" customHeight="1" thickBot="1" x14ac:dyDescent="0.25">
      <c r="A4" s="112" t="s">
        <v>49</v>
      </c>
      <c r="B4" s="112"/>
      <c r="C4" s="112"/>
      <c r="D4" s="111" t="str">
        <f>'Necesidades Trimestrales'!C5</f>
        <v>024 - Hospital Interzonal de Niños</v>
      </c>
      <c r="E4" s="111"/>
      <c r="F4" s="111"/>
      <c r="G4" s="111"/>
      <c r="H4" s="111"/>
      <c r="I4" s="111"/>
      <c r="J4" s="111"/>
      <c r="K4" s="111"/>
    </row>
    <row r="5" spans="1:11" ht="18.75" customHeight="1" thickBot="1" x14ac:dyDescent="0.25">
      <c r="A5" s="112" t="s">
        <v>27</v>
      </c>
      <c r="B5" s="112"/>
      <c r="C5" s="112"/>
      <c r="D5" s="111" t="s">
        <v>51</v>
      </c>
      <c r="E5" s="111"/>
      <c r="F5" s="111"/>
      <c r="G5" s="111"/>
      <c r="H5" s="111"/>
      <c r="I5" s="111"/>
      <c r="J5" s="111"/>
      <c r="K5" s="111"/>
    </row>
    <row r="6" spans="1:11" ht="16.5" customHeight="1" thickBot="1" x14ac:dyDescent="0.25">
      <c r="A6" s="110" t="s">
        <v>50</v>
      </c>
      <c r="B6" s="110"/>
      <c r="C6" s="110"/>
      <c r="D6" s="111" t="s">
        <v>59</v>
      </c>
      <c r="E6" s="111"/>
      <c r="F6" s="111"/>
      <c r="G6" s="111"/>
      <c r="H6" s="111"/>
      <c r="I6" s="111"/>
      <c r="J6" s="111"/>
      <c r="K6" s="111"/>
    </row>
    <row r="7" spans="1:11" ht="16.5" customHeight="1" x14ac:dyDescent="0.2">
      <c r="A7" s="112" t="s">
        <v>16</v>
      </c>
      <c r="B7" s="112"/>
      <c r="C7" s="112"/>
      <c r="D7" s="111" t="s">
        <v>126</v>
      </c>
      <c r="E7" s="111"/>
      <c r="F7" s="111"/>
      <c r="G7" s="111"/>
      <c r="H7" s="111"/>
      <c r="I7" s="111"/>
      <c r="J7" s="111"/>
      <c r="K7" s="111"/>
    </row>
    <row r="8" spans="1:11" ht="16.5" customHeight="1" x14ac:dyDescent="0.2">
      <c r="A8" s="117" t="s">
        <v>17</v>
      </c>
      <c r="B8" s="117"/>
      <c r="C8" s="117"/>
      <c r="D8" s="113" t="s">
        <v>123</v>
      </c>
      <c r="E8" s="113"/>
      <c r="F8" s="113"/>
      <c r="G8" s="113"/>
      <c r="H8" s="113"/>
      <c r="I8" s="113"/>
      <c r="J8" s="113"/>
      <c r="K8" s="113"/>
    </row>
    <row r="9" spans="1:11" ht="15.75" x14ac:dyDescent="0.2">
      <c r="A9" s="38"/>
      <c r="B9" s="38"/>
      <c r="C9" s="38"/>
      <c r="D9" s="39"/>
      <c r="E9" s="39"/>
      <c r="F9" s="39"/>
      <c r="G9" s="39"/>
      <c r="H9" s="39"/>
      <c r="I9" s="39"/>
      <c r="J9" s="39"/>
      <c r="K9" s="39"/>
    </row>
    <row r="10" spans="1:11" ht="18.75" customHeight="1" x14ac:dyDescent="0.2">
      <c r="A10" s="114" t="s">
        <v>18</v>
      </c>
      <c r="B10" s="115" t="s">
        <v>19</v>
      </c>
      <c r="C10" s="115" t="s">
        <v>20</v>
      </c>
      <c r="D10" s="115"/>
      <c r="E10" s="115"/>
      <c r="F10" s="115"/>
      <c r="G10" s="115"/>
      <c r="H10" s="115" t="s">
        <v>21</v>
      </c>
      <c r="I10" s="115" t="s">
        <v>22</v>
      </c>
      <c r="J10" s="115" t="s">
        <v>23</v>
      </c>
      <c r="K10" s="116" t="s">
        <v>24</v>
      </c>
    </row>
    <row r="11" spans="1:11" ht="24" customHeight="1" thickBot="1" x14ac:dyDescent="0.25">
      <c r="A11" s="114"/>
      <c r="B11" s="115"/>
      <c r="C11" s="115"/>
      <c r="D11" s="115"/>
      <c r="E11" s="115"/>
      <c r="F11" s="115"/>
      <c r="G11" s="115"/>
      <c r="H11" s="115"/>
      <c r="I11" s="115"/>
      <c r="J11" s="115"/>
      <c r="K11" s="116"/>
    </row>
    <row r="12" spans="1:11" ht="27.75" customHeight="1" x14ac:dyDescent="0.2">
      <c r="A12" s="56">
        <v>1</v>
      </c>
      <c r="B12" s="57" t="str">
        <f>'Necesidades Trimestrales'!B10</f>
        <v>2.7.9-1234.30</v>
      </c>
      <c r="C12" s="108" t="str">
        <f>'Necesidades Trimestrales'!E10</f>
        <v>AGUJAS P/MAQUINA DE COSER; MATERIAL: ACERO INOXIDABLE, NUMERO: 90/14</v>
      </c>
      <c r="D12" s="108"/>
      <c r="E12" s="108"/>
      <c r="F12" s="108"/>
      <c r="G12" s="108"/>
      <c r="H12" s="60" t="s">
        <v>54</v>
      </c>
      <c r="I12" s="61" t="str">
        <f>'Necesidades Trimestrales'!F10</f>
        <v>SOBRE</v>
      </c>
      <c r="J12" s="59">
        <f>'Necesidades Trimestrales'!H10</f>
        <v>400</v>
      </c>
      <c r="K12" s="58">
        <f>'Necesidades Trimestrales'!G10</f>
        <v>30</v>
      </c>
    </row>
    <row r="13" spans="1:11" ht="27.75" customHeight="1" x14ac:dyDescent="0.2">
      <c r="A13" s="56">
        <v>2</v>
      </c>
      <c r="B13" s="57" t="str">
        <f>'Necesidades Trimestrales'!B11</f>
        <v>2.7.9-1234.33</v>
      </c>
      <c r="C13" s="108" t="str">
        <f>'Necesidades Trimestrales'!E11</f>
        <v>AGUJAS P/MAQUINA DE COSER; MATERIAL: ACERO INOXIDABLE, NUMERO: 160/23</v>
      </c>
      <c r="D13" s="108"/>
      <c r="E13" s="108"/>
      <c r="F13" s="108"/>
      <c r="G13" s="108"/>
      <c r="H13" s="60" t="s">
        <v>54</v>
      </c>
      <c r="I13" s="61" t="str">
        <f>'Necesidades Trimestrales'!F11</f>
        <v>SOBRE</v>
      </c>
      <c r="J13" s="59">
        <f>'Necesidades Trimestrales'!H11</f>
        <v>400</v>
      </c>
      <c r="K13" s="58">
        <f>'Necesidades Trimestrales'!G11</f>
        <v>30</v>
      </c>
    </row>
    <row r="14" spans="1:11" ht="27.75" customHeight="1" x14ac:dyDescent="0.2">
      <c r="A14" s="56">
        <v>3</v>
      </c>
      <c r="B14" s="57" t="str">
        <f>'Necesidades Trimestrales'!B12</f>
        <v>2.7.9-1234.3</v>
      </c>
      <c r="C14" s="108" t="str">
        <f>'Necesidades Trimestrales'!E12</f>
        <v>AGUJAS P/MAQUINA DE COSER; MATERIAL: ACERO INOXIDABLE, NUMERO: 14</v>
      </c>
      <c r="D14" s="108"/>
      <c r="E14" s="108"/>
      <c r="F14" s="108"/>
      <c r="G14" s="108"/>
      <c r="H14" s="60" t="s">
        <v>54</v>
      </c>
      <c r="I14" s="61" t="str">
        <f>'Necesidades Trimestrales'!F12</f>
        <v>SOBRE</v>
      </c>
      <c r="J14" s="59">
        <f>'Necesidades Trimestrales'!H12</f>
        <v>400</v>
      </c>
      <c r="K14" s="58">
        <f>'Necesidades Trimestrales'!G12</f>
        <v>30</v>
      </c>
    </row>
    <row r="15" spans="1:11" ht="27.75" customHeight="1" x14ac:dyDescent="0.2">
      <c r="A15" s="56">
        <v>4</v>
      </c>
      <c r="B15" s="57" t="str">
        <f>'Necesidades Trimestrales'!B13</f>
        <v>2.7.9-1236.18</v>
      </c>
      <c r="C15" s="108" t="str">
        <f>'Necesidades Trimestrales'!E13</f>
        <v>AGUJAS P/COSTURA; LONG.DE CUERPO: 5 Cm, CANT.DE PUNTAS: 1, FORMA: RECTA</v>
      </c>
      <c r="D15" s="108"/>
      <c r="E15" s="108"/>
      <c r="F15" s="108"/>
      <c r="G15" s="108"/>
      <c r="H15" s="60" t="s">
        <v>64</v>
      </c>
      <c r="I15" s="61" t="str">
        <f>'Necesidades Trimestrales'!F13</f>
        <v>SOBRE</v>
      </c>
      <c r="J15" s="59">
        <f>'Necesidades Trimestrales'!H13</f>
        <v>300</v>
      </c>
      <c r="K15" s="58">
        <f>'Necesidades Trimestrales'!G13</f>
        <v>3</v>
      </c>
    </row>
    <row r="16" spans="1:11" ht="27.75" customHeight="1" x14ac:dyDescent="0.2">
      <c r="A16" s="56">
        <v>5</v>
      </c>
      <c r="B16" s="57" t="str">
        <f>'Necesidades Trimestrales'!B14</f>
        <v>2.2.1-1052.53</v>
      </c>
      <c r="C16" s="108" t="str">
        <f>'Necesidades Trimestrales'!E14</f>
        <v>HILO DE POLIESTER; PRESENTACION: CONO, USO: P/COSER, NUMERO: 120, LARGO: 4000 M, TONALIDAD: BLANCO</v>
      </c>
      <c r="D16" s="108"/>
      <c r="E16" s="108"/>
      <c r="F16" s="108"/>
      <c r="G16" s="108"/>
      <c r="H16" s="60" t="s">
        <v>64</v>
      </c>
      <c r="I16" s="61" t="str">
        <f>'Necesidades Trimestrales'!F14</f>
        <v>CONO</v>
      </c>
      <c r="J16" s="59">
        <f>'Necesidades Trimestrales'!H14</f>
        <v>500</v>
      </c>
      <c r="K16" s="58">
        <f>'Necesidades Trimestrales'!G14</f>
        <v>15</v>
      </c>
    </row>
    <row r="17" spans="1:14" ht="27.75" customHeight="1" x14ac:dyDescent="0.2">
      <c r="A17" s="56">
        <v>6</v>
      </c>
      <c r="B17" s="57" t="str">
        <f>'Necesidades Trimestrales'!B15</f>
        <v>2.2.1-1052.55</v>
      </c>
      <c r="C17" s="108" t="str">
        <f>'Necesidades Trimestrales'!E15</f>
        <v>HILO DE POLIESTER; PRESENTACION: CONO, USO: P/COSER, NUMERO: SIN VALOR, LARGO: 1000 M, TONALIDAD: VERDE OLIVA</v>
      </c>
      <c r="D17" s="108"/>
      <c r="E17" s="108"/>
      <c r="F17" s="108"/>
      <c r="G17" s="108"/>
      <c r="H17" s="60" t="s">
        <v>64</v>
      </c>
      <c r="I17" s="61" t="str">
        <f>'Necesidades Trimestrales'!F15</f>
        <v>CONO</v>
      </c>
      <c r="J17" s="59">
        <f>'Necesidades Trimestrales'!H15</f>
        <v>200</v>
      </c>
      <c r="K17" s="58">
        <f>'Necesidades Trimestrales'!G15</f>
        <v>20</v>
      </c>
    </row>
    <row r="18" spans="1:14" ht="27.75" customHeight="1" x14ac:dyDescent="0.2">
      <c r="A18" s="56">
        <v>7</v>
      </c>
      <c r="B18" s="57" t="str">
        <f>'Necesidades Trimestrales'!B16</f>
        <v>2.2.9-2298.6</v>
      </c>
      <c r="C18" s="108" t="str">
        <f>'Necesidades Trimestrales'!E16</f>
        <v>ELASTICO; PRESENTACION: ROLLO X 25 M, ANCHO: 4 Cm</v>
      </c>
      <c r="D18" s="108"/>
      <c r="E18" s="108"/>
      <c r="F18" s="108"/>
      <c r="G18" s="108"/>
      <c r="H18" s="60" t="s">
        <v>64</v>
      </c>
      <c r="I18" s="61" t="str">
        <f>'Necesidades Trimestrales'!F16</f>
        <v>ROLLO</v>
      </c>
      <c r="J18" s="59">
        <f>'Necesidades Trimestrales'!H16</f>
        <v>1500</v>
      </c>
      <c r="K18" s="58">
        <f>'Necesidades Trimestrales'!G16</f>
        <v>4</v>
      </c>
    </row>
    <row r="19" spans="1:14" ht="27.75" customHeight="1" x14ac:dyDescent="0.2">
      <c r="A19" s="56">
        <v>8</v>
      </c>
      <c r="B19" s="57" t="str">
        <f>'Necesidades Trimestrales'!B17</f>
        <v>2.2.9-2298.1</v>
      </c>
      <c r="C19" s="108" t="str">
        <f>'Necesidades Trimestrales'!E17</f>
        <v>ELASTICO; PRESENTACION: ROLLO X 50 M, ANCHO: 1 Cm</v>
      </c>
      <c r="D19" s="108"/>
      <c r="E19" s="108"/>
      <c r="F19" s="108"/>
      <c r="G19" s="108"/>
      <c r="H19" s="60" t="s">
        <v>54</v>
      </c>
      <c r="I19" s="61" t="str">
        <f>'Necesidades Trimestrales'!F17</f>
        <v>ROLLO</v>
      </c>
      <c r="J19" s="59">
        <f>'Necesidades Trimestrales'!H17</f>
        <v>1500</v>
      </c>
      <c r="K19" s="58">
        <f>'Necesidades Trimestrales'!G17</f>
        <v>3</v>
      </c>
    </row>
    <row r="20" spans="1:14" ht="27.75" customHeight="1" x14ac:dyDescent="0.2">
      <c r="A20" s="56">
        <v>9</v>
      </c>
      <c r="B20" s="57" t="str">
        <f>'Necesidades Trimestrales'!B18</f>
        <v>2.9.2-5042.2</v>
      </c>
      <c r="C20" s="108" t="str">
        <f>'Necesidades Trimestrales'!E18</f>
        <v>TIJERA; USO: PARA CORTAR TELA, MATERIAL: ACERO INOXIDABLE, LONG.DE CUERPO: 18 Cm</v>
      </c>
      <c r="D20" s="108"/>
      <c r="E20" s="108"/>
      <c r="F20" s="108"/>
      <c r="G20" s="108"/>
      <c r="H20" s="60" t="s">
        <v>64</v>
      </c>
      <c r="I20" s="61" t="str">
        <f>'Necesidades Trimestrales'!F18</f>
        <v>UNIDAD</v>
      </c>
      <c r="J20" s="59">
        <f>'Necesidades Trimestrales'!H18</f>
        <v>4900</v>
      </c>
      <c r="K20" s="58">
        <f>'Necesidades Trimestrales'!G18</f>
        <v>3</v>
      </c>
    </row>
    <row r="21" spans="1:14" ht="27.75" customHeight="1" x14ac:dyDescent="0.2">
      <c r="A21" s="56">
        <v>10</v>
      </c>
      <c r="B21" s="57" t="str">
        <f>'Necesidades Trimestrales'!B19</f>
        <v>2.9.2-5042.25</v>
      </c>
      <c r="C21" s="108" t="str">
        <f>'Necesidades Trimestrales'!E19</f>
        <v>TIJERA; USO: PARA CORTAR TELA, MATERIAL: ACERO INOXIDABLE, LONG.DE CUERPO: 30 Cm</v>
      </c>
      <c r="D21" s="108"/>
      <c r="E21" s="108"/>
      <c r="F21" s="108"/>
      <c r="G21" s="108"/>
      <c r="H21" s="60" t="s">
        <v>64</v>
      </c>
      <c r="I21" s="61" t="str">
        <f>'Necesidades Trimestrales'!F19</f>
        <v>UNIDAD</v>
      </c>
      <c r="J21" s="59">
        <f>'Necesidades Trimestrales'!H19</f>
        <v>8200</v>
      </c>
      <c r="K21" s="58">
        <f>'Necesidades Trimestrales'!G19</f>
        <v>2</v>
      </c>
    </row>
    <row r="22" spans="1:14" ht="27.75" customHeight="1" x14ac:dyDescent="0.2">
      <c r="A22" s="56">
        <v>11</v>
      </c>
      <c r="B22" s="57" t="str">
        <f>'Necesidades Trimestrales'!B20</f>
        <v>2.2.1-9956.64</v>
      </c>
      <c r="C22" s="108" t="str">
        <f>'Necesidades Trimestrales'!E20</f>
        <v>TELAS TEXTILES; TIPO: ALGODON POLIESTER, ANCHO: 1,50 M, LARGO: 200 M</v>
      </c>
      <c r="D22" s="108"/>
      <c r="E22" s="108"/>
      <c r="F22" s="108"/>
      <c r="G22" s="108"/>
      <c r="H22" s="60" t="s">
        <v>64</v>
      </c>
      <c r="I22" s="61" t="str">
        <f>'Necesidades Trimestrales'!F20</f>
        <v>ROLLO</v>
      </c>
      <c r="J22" s="59">
        <f>'Necesidades Trimestrales'!H20</f>
        <v>80000</v>
      </c>
      <c r="K22" s="58">
        <f>'Necesidades Trimestrales'!G20</f>
        <v>3</v>
      </c>
    </row>
    <row r="23" spans="1:14" ht="27.75" customHeight="1" x14ac:dyDescent="0.2">
      <c r="A23" s="56">
        <v>12</v>
      </c>
      <c r="B23" s="57" t="str">
        <f>'Necesidades Trimestrales'!B21</f>
        <v>2.2.1-9956.64</v>
      </c>
      <c r="C23" s="108" t="str">
        <f>'Necesidades Trimestrales'!E21</f>
        <v>TELAS TEXTILES; TIPO: ALGODON POLIESTER, ANCHO: 1,50 M, LARGO: 200 M</v>
      </c>
      <c r="D23" s="108"/>
      <c r="E23" s="108"/>
      <c r="F23" s="108"/>
      <c r="G23" s="108"/>
      <c r="H23" s="60" t="s">
        <v>54</v>
      </c>
      <c r="I23" s="61" t="str">
        <f>'Necesidades Trimestrales'!F21</f>
        <v>ROLLO</v>
      </c>
      <c r="J23" s="59">
        <f>'Necesidades Trimestrales'!H21</f>
        <v>180000</v>
      </c>
      <c r="K23" s="58">
        <f>'Necesidades Trimestrales'!G21</f>
        <v>2</v>
      </c>
    </row>
    <row r="24" spans="1:14" ht="27.75" customHeight="1" x14ac:dyDescent="0.2">
      <c r="A24" s="56">
        <v>13</v>
      </c>
      <c r="B24" s="57" t="str">
        <f>'Necesidades Trimestrales'!B22</f>
        <v>2.2.1-8843.4</v>
      </c>
      <c r="C24" s="108" t="str">
        <f>'Necesidades Trimestrales'!E22</f>
        <v>TELA POLIESTER; LARGO: 100 M</v>
      </c>
      <c r="D24" s="108"/>
      <c r="E24" s="108"/>
      <c r="F24" s="108"/>
      <c r="G24" s="108"/>
      <c r="H24" s="60" t="s">
        <v>64</v>
      </c>
      <c r="I24" s="61" t="str">
        <f>'Necesidades Trimestrales'!F22</f>
        <v>ROLLO</v>
      </c>
      <c r="J24" s="59">
        <f>'Necesidades Trimestrales'!H22</f>
        <v>50000</v>
      </c>
      <c r="K24" s="58">
        <f>'Necesidades Trimestrales'!G22</f>
        <v>3</v>
      </c>
    </row>
    <row r="25" spans="1:14" ht="27.75" customHeight="1" x14ac:dyDescent="0.2">
      <c r="A25" s="56">
        <v>14</v>
      </c>
      <c r="B25" s="57" t="str">
        <f>'Necesidades Trimestrales'!B23</f>
        <v>2.2.1-9956.119</v>
      </c>
      <c r="C25" s="108" t="str">
        <f>'Necesidades Trimestrales'!E23</f>
        <v>TELAS TEXTILES; TIPO: POLAR, ANCHO: 1,60 M, LARGO: 100 M</v>
      </c>
      <c r="D25" s="108"/>
      <c r="E25" s="108"/>
      <c r="F25" s="108"/>
      <c r="G25" s="108"/>
      <c r="H25" s="60" t="s">
        <v>54</v>
      </c>
      <c r="I25" s="61" t="str">
        <f>'Necesidades Trimestrales'!F23</f>
        <v>ROLLO</v>
      </c>
      <c r="J25" s="59">
        <f>'Necesidades Trimestrales'!H23</f>
        <v>70000</v>
      </c>
      <c r="K25" s="58">
        <f>'Necesidades Trimestrales'!G23</f>
        <v>3</v>
      </c>
    </row>
    <row r="26" spans="1:14" ht="27.75" customHeight="1" thickBot="1" x14ac:dyDescent="0.25">
      <c r="A26" s="56">
        <v>15</v>
      </c>
      <c r="B26" s="57" t="str">
        <f>'Necesidades Trimestrales'!B24</f>
        <v>2.2.1-9956.90</v>
      </c>
      <c r="C26" s="108" t="str">
        <f>'Necesidades Trimestrales'!E24</f>
        <v>TELAS TEXTILES; TIPO: MORLEY, ANCHO: 0,90 M, LARGO: 100 M</v>
      </c>
      <c r="D26" s="108"/>
      <c r="E26" s="108"/>
      <c r="F26" s="108"/>
      <c r="G26" s="108"/>
      <c r="H26" s="60" t="s">
        <v>54</v>
      </c>
      <c r="I26" s="61" t="str">
        <f>'Necesidades Trimestrales'!F24</f>
        <v>ROLLO</v>
      </c>
      <c r="J26" s="59">
        <f>'Necesidades Trimestrales'!H24</f>
        <v>50000</v>
      </c>
      <c r="K26" s="58">
        <f>'Necesidades Trimestrales'!G24</f>
        <v>1</v>
      </c>
    </row>
    <row r="27" spans="1:14" ht="20.25" customHeight="1" thickBot="1" x14ac:dyDescent="0.25">
      <c r="A27" s="111" t="s">
        <v>127</v>
      </c>
      <c r="B27" s="111"/>
      <c r="C27" s="111"/>
      <c r="D27" s="111"/>
      <c r="E27" s="111"/>
      <c r="F27" s="111"/>
      <c r="G27" s="111"/>
      <c r="H27" s="111"/>
      <c r="I27" s="111"/>
      <c r="J27" s="118">
        <f>SUMPRODUCT(J12:J26,K12:K26)</f>
        <v>1100000</v>
      </c>
      <c r="K27" s="118"/>
      <c r="N27" s="45"/>
    </row>
  </sheetData>
  <mergeCells count="37">
    <mergeCell ref="A8:C8"/>
    <mergeCell ref="A27:I27"/>
    <mergeCell ref="J27:K27"/>
    <mergeCell ref="C12:G12"/>
    <mergeCell ref="C13:G13"/>
    <mergeCell ref="C14:G14"/>
    <mergeCell ref="C15:G15"/>
    <mergeCell ref="C16:G16"/>
    <mergeCell ref="C17:G17"/>
    <mergeCell ref="C18:G18"/>
    <mergeCell ref="C19:G19"/>
    <mergeCell ref="C20:G20"/>
    <mergeCell ref="C24:G24"/>
    <mergeCell ref="C21:G21"/>
    <mergeCell ref="C22:G22"/>
    <mergeCell ref="C23:G23"/>
    <mergeCell ref="C10:G11"/>
    <mergeCell ref="H10:H11"/>
    <mergeCell ref="I10:I11"/>
    <mergeCell ref="J10:J11"/>
    <mergeCell ref="K10:K11"/>
    <mergeCell ref="C25:G25"/>
    <mergeCell ref="C26:G26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D8:K8"/>
    <mergeCell ref="A10:A11"/>
    <mergeCell ref="B10:B11"/>
  </mergeCells>
  <printOptions horizontalCentered="1"/>
  <pageMargins left="0.19685039370078741" right="0.19685039370078741" top="0.39370078740157483" bottom="0.39370078740157483" header="0" footer="0"/>
  <pageSetup paperSize="5" scale="90" firstPageNumber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"/>
  <sheetViews>
    <sheetView topLeftCell="A13" zoomScale="130" zoomScaleNormal="130" workbookViewId="0">
      <selection activeCell="O31" sqref="O31"/>
    </sheetView>
  </sheetViews>
  <sheetFormatPr baseColWidth="10" defaultColWidth="11" defaultRowHeight="12.75" x14ac:dyDescent="0.2"/>
  <cols>
    <col min="1" max="5" width="4.42578125" customWidth="1"/>
    <col min="6" max="6" width="5" customWidth="1"/>
    <col min="7" max="7" width="4.42578125" style="2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19" t="s">
        <v>3</v>
      </c>
      <c r="B1" s="119"/>
      <c r="C1" s="119"/>
      <c r="D1" s="120">
        <f>'Necesidades Trimestrales'!C6</f>
        <v>2022</v>
      </c>
      <c r="E1" s="120"/>
      <c r="F1" s="3"/>
      <c r="G1" s="3"/>
      <c r="H1" s="4"/>
      <c r="I1" s="4"/>
      <c r="J1" s="4"/>
      <c r="K1" s="4"/>
      <c r="L1" s="4"/>
      <c r="M1" s="4"/>
      <c r="N1" s="4"/>
      <c r="P1" s="121" t="s">
        <v>25</v>
      </c>
      <c r="Q1" s="121"/>
    </row>
    <row r="2" spans="1:17" ht="15.75" customHeight="1" x14ac:dyDescent="0.2">
      <c r="H2" s="4"/>
      <c r="I2" s="4"/>
      <c r="J2" s="4"/>
      <c r="K2" s="4"/>
      <c r="L2" s="4"/>
      <c r="M2" s="4"/>
      <c r="N2" s="4"/>
      <c r="P2" s="121"/>
      <c r="Q2" s="121"/>
    </row>
    <row r="4" spans="1:17" s="5" customFormat="1" ht="18" customHeight="1" thickBot="1" x14ac:dyDescent="0.25">
      <c r="A4" s="122" t="s">
        <v>26</v>
      </c>
      <c r="B4" s="122"/>
      <c r="C4" s="122"/>
      <c r="D4" s="122"/>
      <c r="E4" s="122"/>
      <c r="F4" s="122"/>
      <c r="G4" s="123" t="str">
        <f>' NotaPedido'!D3</f>
        <v>040 - Ministerio de Salud</v>
      </c>
      <c r="H4" s="123"/>
      <c r="I4" s="123"/>
      <c r="J4" s="123"/>
      <c r="K4" s="123"/>
      <c r="L4" s="123"/>
      <c r="M4" s="123"/>
      <c r="N4" s="123"/>
      <c r="O4" s="123"/>
      <c r="P4" s="123"/>
      <c r="Q4" s="123"/>
    </row>
    <row r="5" spans="1:17" s="5" customFormat="1" ht="18" customHeight="1" thickBot="1" x14ac:dyDescent="0.25">
      <c r="A5" s="124" t="s">
        <v>49</v>
      </c>
      <c r="B5" s="125"/>
      <c r="C5" s="125"/>
      <c r="D5" s="125"/>
      <c r="E5" s="125"/>
      <c r="F5" s="126"/>
      <c r="G5" s="123" t="str">
        <f>' NotaPedido'!D4</f>
        <v>024 - Hospital Interzonal de Niños</v>
      </c>
      <c r="H5" s="123"/>
      <c r="I5" s="123"/>
      <c r="J5" s="123"/>
      <c r="K5" s="123"/>
      <c r="L5" s="123"/>
      <c r="M5" s="123"/>
      <c r="N5" s="123"/>
      <c r="O5" s="123"/>
      <c r="P5" s="123"/>
      <c r="Q5" s="123"/>
    </row>
    <row r="6" spans="1:17" s="5" customFormat="1" ht="18" customHeight="1" thickBot="1" x14ac:dyDescent="0.25">
      <c r="A6" s="124" t="s">
        <v>27</v>
      </c>
      <c r="B6" s="125"/>
      <c r="C6" s="125"/>
      <c r="D6" s="125"/>
      <c r="E6" s="125"/>
      <c r="F6" s="126"/>
      <c r="G6" s="123" t="str">
        <f>' NotaPedido'!D5</f>
        <v>024 - Hospital Interzonal de Niños</v>
      </c>
      <c r="H6" s="123"/>
      <c r="I6" s="123"/>
      <c r="J6" s="123"/>
      <c r="K6" s="123"/>
      <c r="L6" s="123"/>
      <c r="M6" s="123"/>
      <c r="N6" s="123"/>
      <c r="O6" s="123"/>
      <c r="P6" s="123"/>
      <c r="Q6" s="123"/>
    </row>
    <row r="7" spans="1:17" s="5" customFormat="1" ht="18" customHeight="1" thickBot="1" x14ac:dyDescent="0.25">
      <c r="A7" s="124" t="s">
        <v>50</v>
      </c>
      <c r="B7" s="125"/>
      <c r="C7" s="125"/>
      <c r="D7" s="125"/>
      <c r="E7" s="125"/>
      <c r="F7" s="126"/>
      <c r="G7" s="123" t="s">
        <v>59</v>
      </c>
      <c r="H7" s="123"/>
      <c r="I7" s="123"/>
      <c r="J7" s="123"/>
      <c r="K7" s="123"/>
      <c r="L7" s="123"/>
      <c r="M7" s="123"/>
      <c r="N7" s="123"/>
      <c r="O7" s="123"/>
      <c r="P7" s="123"/>
      <c r="Q7" s="123"/>
    </row>
    <row r="8" spans="1:17" ht="18" customHeight="1" thickBot="1" x14ac:dyDescent="0.25">
      <c r="A8" s="127" t="s">
        <v>28</v>
      </c>
      <c r="B8" s="127"/>
      <c r="C8" s="127"/>
      <c r="D8" s="127"/>
      <c r="E8" s="127"/>
      <c r="F8" s="127"/>
      <c r="G8" s="127"/>
      <c r="H8" s="127"/>
      <c r="I8" s="127"/>
      <c r="J8" s="127"/>
      <c r="K8" s="127"/>
      <c r="L8" s="127"/>
      <c r="M8" s="127"/>
      <c r="N8" s="127"/>
      <c r="O8" s="127"/>
      <c r="P8" s="127"/>
      <c r="Q8" s="127"/>
    </row>
    <row r="9" spans="1:17" ht="18" customHeight="1" x14ac:dyDescent="0.2">
      <c r="A9" s="128" t="s">
        <v>29</v>
      </c>
      <c r="B9" s="128"/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8"/>
      <c r="N9" s="128"/>
      <c r="O9" s="1"/>
      <c r="P9" s="1"/>
      <c r="Q9" s="6"/>
    </row>
    <row r="10" spans="1:17" ht="54.75" customHeight="1" x14ac:dyDescent="0.2">
      <c r="A10" s="129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040/2022,  afectando la erogación resultante a los créditos presupuestarios aprobados a favor de esta Unidad Ejecutora, conforme al siguiente detalle:</v>
      </c>
      <c r="B10" s="129"/>
      <c r="C10" s="129"/>
      <c r="D10" s="129"/>
      <c r="E10" s="129"/>
      <c r="F10" s="129"/>
      <c r="G10" s="129"/>
      <c r="H10" s="129"/>
      <c r="I10" s="129"/>
      <c r="J10" s="129"/>
      <c r="K10" s="129"/>
      <c r="L10" s="129"/>
      <c r="M10" s="129"/>
      <c r="N10" s="129"/>
      <c r="O10" s="129"/>
      <c r="P10" s="129"/>
      <c r="Q10" s="129"/>
    </row>
    <row r="11" spans="1:17" ht="9" customHeight="1" x14ac:dyDescent="0.2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7" ht="15.75" customHeight="1" thickBot="1" x14ac:dyDescent="0.25">
      <c r="A12" s="130" t="s">
        <v>30</v>
      </c>
      <c r="B12" s="130"/>
      <c r="C12" s="130"/>
      <c r="D12" s="130"/>
      <c r="E12" s="130"/>
      <c r="F12" s="130"/>
      <c r="G12" s="130"/>
      <c r="H12" s="130"/>
      <c r="I12" s="130"/>
      <c r="J12" s="130"/>
      <c r="K12" s="130"/>
      <c r="L12" s="130"/>
      <c r="M12" s="130"/>
      <c r="N12" s="130"/>
      <c r="O12" s="130"/>
      <c r="P12" s="130"/>
      <c r="Q12" s="130"/>
    </row>
    <row r="13" spans="1:17" ht="15.75" customHeight="1" thickBot="1" x14ac:dyDescent="0.25">
      <c r="A13" s="131" t="s">
        <v>31</v>
      </c>
      <c r="B13" s="132"/>
      <c r="C13" s="132"/>
      <c r="D13" s="132"/>
      <c r="E13" s="132"/>
      <c r="F13" s="132"/>
      <c r="G13" s="132"/>
      <c r="H13" s="132"/>
      <c r="I13" s="132"/>
      <c r="J13" s="132"/>
      <c r="K13" s="132"/>
      <c r="L13" s="132"/>
      <c r="M13" s="132"/>
      <c r="N13" s="132"/>
      <c r="O13" s="133" t="s">
        <v>32</v>
      </c>
      <c r="P13" s="134"/>
      <c r="Q13" s="137" t="s">
        <v>33</v>
      </c>
    </row>
    <row r="14" spans="1:17" ht="15.75" customHeight="1" thickBot="1" x14ac:dyDescent="0.25">
      <c r="A14" s="48" t="s">
        <v>34</v>
      </c>
      <c r="B14" s="49" t="s">
        <v>35</v>
      </c>
      <c r="C14" s="49" t="s">
        <v>36</v>
      </c>
      <c r="D14" s="49" t="s">
        <v>37</v>
      </c>
      <c r="E14" s="49" t="s">
        <v>38</v>
      </c>
      <c r="F14" s="49" t="s">
        <v>39</v>
      </c>
      <c r="G14" s="50" t="s">
        <v>40</v>
      </c>
      <c r="H14" s="49" t="s">
        <v>41</v>
      </c>
      <c r="I14" s="49" t="s">
        <v>42</v>
      </c>
      <c r="J14" s="49" t="s">
        <v>43</v>
      </c>
      <c r="K14" s="49" t="s">
        <v>43</v>
      </c>
      <c r="L14" s="49" t="s">
        <v>44</v>
      </c>
      <c r="M14" s="51" t="s">
        <v>45</v>
      </c>
      <c r="N14" s="52" t="s">
        <v>46</v>
      </c>
      <c r="O14" s="135"/>
      <c r="P14" s="136"/>
      <c r="Q14" s="138"/>
    </row>
    <row r="15" spans="1:17" ht="26.25" customHeight="1" x14ac:dyDescent="0.2">
      <c r="A15" s="46">
        <v>36</v>
      </c>
      <c r="B15" s="47"/>
      <c r="C15" s="47"/>
      <c r="D15" s="47">
        <v>1</v>
      </c>
      <c r="E15" s="47"/>
      <c r="F15" s="47">
        <v>4901</v>
      </c>
      <c r="G15" s="47">
        <v>3</v>
      </c>
      <c r="H15" s="47">
        <v>310</v>
      </c>
      <c r="I15" s="73" t="str">
        <f>LEFT('[1]Necesidades Trimestrales'!D10,1)</f>
        <v>2</v>
      </c>
      <c r="J15" s="73">
        <v>2</v>
      </c>
      <c r="K15" s="73">
        <v>1</v>
      </c>
      <c r="L15" s="74"/>
      <c r="M15" s="75">
        <v>1</v>
      </c>
      <c r="N15" s="76" t="s">
        <v>53</v>
      </c>
      <c r="O15" s="139" t="s">
        <v>104</v>
      </c>
      <c r="P15" s="140"/>
      <c r="Q15" s="53">
        <v>1021500</v>
      </c>
    </row>
    <row r="16" spans="1:17" ht="24.75" customHeight="1" x14ac:dyDescent="0.2">
      <c r="A16" s="11">
        <v>36</v>
      </c>
      <c r="B16" s="12"/>
      <c r="C16" s="12"/>
      <c r="D16" s="12">
        <v>1</v>
      </c>
      <c r="E16" s="12"/>
      <c r="F16" s="12">
        <v>4901</v>
      </c>
      <c r="G16" s="12">
        <v>3</v>
      </c>
      <c r="H16" s="12">
        <v>310</v>
      </c>
      <c r="I16" s="77" t="str">
        <f>LEFT('[1]Necesidades Trimestrales'!D11,1)</f>
        <v>2</v>
      </c>
      <c r="J16" s="77">
        <v>2</v>
      </c>
      <c r="K16" s="77">
        <v>9</v>
      </c>
      <c r="L16" s="78"/>
      <c r="M16" s="79">
        <v>1</v>
      </c>
      <c r="N16" s="80" t="s">
        <v>53</v>
      </c>
      <c r="O16" s="141" t="s">
        <v>105</v>
      </c>
      <c r="P16" s="142"/>
      <c r="Q16" s="13">
        <v>10500</v>
      </c>
    </row>
    <row r="17" spans="1:18" ht="27" customHeight="1" x14ac:dyDescent="0.2">
      <c r="A17" s="11">
        <v>36</v>
      </c>
      <c r="B17" s="12"/>
      <c r="C17" s="12"/>
      <c r="D17" s="12">
        <v>1</v>
      </c>
      <c r="E17" s="12"/>
      <c r="F17" s="12">
        <v>4901</v>
      </c>
      <c r="G17" s="12">
        <v>3</v>
      </c>
      <c r="H17" s="12">
        <v>310</v>
      </c>
      <c r="I17" s="77" t="str">
        <f>LEFT('[1]Necesidades Trimestrales'!D12,1)</f>
        <v>2</v>
      </c>
      <c r="J17" s="77">
        <v>7</v>
      </c>
      <c r="K17" s="77">
        <v>9</v>
      </c>
      <c r="L17" s="78"/>
      <c r="M17" s="79">
        <v>1</v>
      </c>
      <c r="N17" s="80" t="s">
        <v>53</v>
      </c>
      <c r="O17" s="141" t="s">
        <v>105</v>
      </c>
      <c r="P17" s="142"/>
      <c r="Q17" s="13">
        <v>36900</v>
      </c>
    </row>
    <row r="18" spans="1:18" ht="27" customHeight="1" x14ac:dyDescent="0.2">
      <c r="A18" s="11">
        <v>36</v>
      </c>
      <c r="B18" s="12"/>
      <c r="C18" s="12"/>
      <c r="D18" s="12">
        <v>1</v>
      </c>
      <c r="E18" s="12"/>
      <c r="F18" s="12">
        <v>4901</v>
      </c>
      <c r="G18" s="12">
        <v>3</v>
      </c>
      <c r="H18" s="12">
        <v>310</v>
      </c>
      <c r="I18" s="77" t="str">
        <f>LEFT('[1]Necesidades Trimestrales'!D13,1)</f>
        <v>2</v>
      </c>
      <c r="J18" s="77">
        <v>9</v>
      </c>
      <c r="K18" s="77">
        <v>2</v>
      </c>
      <c r="L18" s="78"/>
      <c r="M18" s="79">
        <v>1</v>
      </c>
      <c r="N18" s="80" t="s">
        <v>53</v>
      </c>
      <c r="O18" s="148" t="s">
        <v>62</v>
      </c>
      <c r="P18" s="142"/>
      <c r="Q18" s="13">
        <v>31100</v>
      </c>
    </row>
    <row r="19" spans="1:18" ht="17.25" customHeight="1" x14ac:dyDescent="0.2">
      <c r="A19" s="14"/>
      <c r="B19" s="15"/>
      <c r="C19" s="15"/>
      <c r="D19" s="15"/>
      <c r="E19" s="15"/>
      <c r="F19" s="16"/>
      <c r="G19" s="15"/>
      <c r="H19" s="15"/>
      <c r="I19" s="15"/>
      <c r="J19" s="15"/>
      <c r="K19" s="15"/>
      <c r="L19" s="15"/>
      <c r="M19" s="17"/>
      <c r="N19" s="18"/>
      <c r="O19" s="149"/>
      <c r="P19" s="149"/>
      <c r="Q19" s="13"/>
      <c r="R19" s="1"/>
    </row>
    <row r="20" spans="1:18" ht="17.25" customHeight="1" x14ac:dyDescent="0.2">
      <c r="A20" s="19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1"/>
      <c r="N20" s="20"/>
      <c r="O20" s="150"/>
      <c r="P20" s="150"/>
      <c r="Q20" s="22"/>
    </row>
    <row r="21" spans="1:18" ht="29.25" customHeight="1" x14ac:dyDescent="0.2">
      <c r="A21" s="151" t="s">
        <v>125</v>
      </c>
      <c r="B21" s="151"/>
      <c r="C21" s="151"/>
      <c r="D21" s="151"/>
      <c r="E21" s="151"/>
      <c r="F21" s="151"/>
      <c r="G21" s="151"/>
      <c r="H21" s="151"/>
      <c r="I21" s="151"/>
      <c r="J21" s="151"/>
      <c r="K21" s="151"/>
      <c r="L21" s="151"/>
      <c r="M21" s="151"/>
      <c r="N21" s="151"/>
      <c r="O21" s="151"/>
      <c r="P21" s="151"/>
      <c r="Q21" s="23">
        <f>SUM(Q15:Q20)</f>
        <v>1100000</v>
      </c>
    </row>
    <row r="22" spans="1:18" ht="18" customHeight="1" thickBot="1" x14ac:dyDescent="0.25">
      <c r="A22" s="152"/>
      <c r="B22" s="152"/>
      <c r="C22" s="152"/>
      <c r="D22" s="152"/>
      <c r="E22" s="152"/>
      <c r="F22" s="152"/>
      <c r="G22" s="152"/>
      <c r="H22" s="152"/>
      <c r="I22" s="152"/>
      <c r="J22" s="152"/>
      <c r="K22" s="152"/>
      <c r="L22" s="152"/>
      <c r="M22" s="152"/>
      <c r="N22" s="152"/>
      <c r="O22" s="152"/>
      <c r="P22" s="152"/>
      <c r="Q22" s="152"/>
    </row>
    <row r="23" spans="1:18" ht="17.25" customHeight="1" thickBot="1" x14ac:dyDescent="0.25">
      <c r="A23" s="143" t="s">
        <v>47</v>
      </c>
      <c r="B23" s="144"/>
      <c r="C23" s="144"/>
      <c r="D23" s="144"/>
      <c r="E23" s="144"/>
      <c r="F23" s="145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6"/>
    </row>
    <row r="24" spans="1:18" ht="18" customHeight="1" thickBot="1" x14ac:dyDescent="0.25">
      <c r="A24" s="147" t="s">
        <v>124</v>
      </c>
      <c r="B24" s="147"/>
      <c r="C24" s="147"/>
      <c r="D24" s="147"/>
      <c r="E24" s="147"/>
      <c r="F24" s="147"/>
      <c r="G24" s="147"/>
      <c r="H24" s="147"/>
      <c r="I24" s="147"/>
      <c r="J24" s="147"/>
      <c r="K24" s="147"/>
      <c r="L24" s="147"/>
      <c r="M24" s="147"/>
      <c r="N24" s="147"/>
      <c r="O24" s="147"/>
      <c r="P24" s="147"/>
      <c r="Q24" s="147"/>
    </row>
    <row r="25" spans="1:18" ht="26.25" customHeight="1" x14ac:dyDescent="0.2">
      <c r="A25" s="147"/>
      <c r="B25" s="147"/>
      <c r="C25" s="147"/>
      <c r="D25" s="147"/>
      <c r="E25" s="147"/>
      <c r="F25" s="147"/>
      <c r="G25" s="147"/>
      <c r="H25" s="147"/>
      <c r="I25" s="147"/>
      <c r="J25" s="147"/>
      <c r="K25" s="147"/>
      <c r="L25" s="147"/>
      <c r="M25" s="147"/>
      <c r="N25" s="147"/>
      <c r="O25" s="147"/>
      <c r="P25" s="147"/>
      <c r="Q25" s="147"/>
    </row>
  </sheetData>
  <mergeCells count="29">
    <mergeCell ref="A24:Q25"/>
    <mergeCell ref="O18:P18"/>
    <mergeCell ref="O19:P19"/>
    <mergeCell ref="O20:P20"/>
    <mergeCell ref="A21:P21"/>
    <mergeCell ref="A22:Q22"/>
    <mergeCell ref="O15:P15"/>
    <mergeCell ref="O16:P16"/>
    <mergeCell ref="O17:P17"/>
    <mergeCell ref="A23:F23"/>
    <mergeCell ref="G23:Q23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COMPRAS</cp:lastModifiedBy>
  <cp:revision>2</cp:revision>
  <cp:lastPrinted>2022-04-06T15:54:56Z</cp:lastPrinted>
  <dcterms:created xsi:type="dcterms:W3CDTF">2020-07-17T23:44:49Z</dcterms:created>
  <dcterms:modified xsi:type="dcterms:W3CDTF">2022-04-18T13:02:11Z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