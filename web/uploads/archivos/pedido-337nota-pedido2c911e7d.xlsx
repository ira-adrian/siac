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105" windowWidth="20640" windowHeight="11760" tabRatio="500" activeTab="2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Trimestrales'!$A$9:$I$19</definedName>
    <definedName name="_xlnm.Print_Area" localSheetId="1">' NotaPedido'!$A$1:$K$22</definedName>
    <definedName name="_xlnm.Print_Area" localSheetId="2">'Autor Gastar'!$A$1:$Q$27</definedName>
    <definedName name="_xlnm.Print_Area" localSheetId="0">'Necesidades Trimestrales'!$E$9:$E$19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23" i="3" l="1"/>
  <c r="I17" i="3" l="1"/>
  <c r="K16" i="3"/>
  <c r="I16" i="3"/>
  <c r="A10" i="3" l="1"/>
  <c r="B14" i="2" l="1"/>
  <c r="B15" i="2"/>
  <c r="B16" i="2"/>
  <c r="B17" i="2"/>
  <c r="B18" i="2"/>
  <c r="B19" i="2"/>
  <c r="B20" i="2"/>
  <c r="B21" i="2"/>
  <c r="C20" i="2"/>
  <c r="C21" i="2"/>
  <c r="C16" i="2"/>
  <c r="C17" i="2"/>
  <c r="C18" i="2"/>
  <c r="C19" i="2"/>
  <c r="C15" i="2"/>
  <c r="C14" i="2"/>
  <c r="I14" i="2"/>
  <c r="I15" i="2"/>
  <c r="I16" i="2"/>
  <c r="I17" i="2"/>
  <c r="I18" i="2"/>
  <c r="I19" i="2"/>
  <c r="I20" i="2"/>
  <c r="I21" i="2"/>
  <c r="J14" i="2"/>
  <c r="J15" i="2"/>
  <c r="J16" i="2"/>
  <c r="J17" i="2"/>
  <c r="J18" i="2"/>
  <c r="J19" i="2"/>
  <c r="J20" i="2"/>
  <c r="J21" i="2"/>
  <c r="K14" i="2"/>
  <c r="K15" i="2"/>
  <c r="K16" i="2"/>
  <c r="K17" i="2"/>
  <c r="K18" i="2"/>
  <c r="K19" i="2"/>
  <c r="K20" i="2"/>
  <c r="K21" i="2"/>
  <c r="I13" i="2"/>
  <c r="J13" i="2"/>
  <c r="K13" i="2"/>
  <c r="C13" i="2"/>
  <c r="B13" i="2"/>
  <c r="I12" i="1" l="1"/>
  <c r="I13" i="1"/>
  <c r="I14" i="1"/>
  <c r="I15" i="1"/>
  <c r="I16" i="1"/>
  <c r="I17" i="1"/>
  <c r="I18" i="1"/>
  <c r="I19" i="1"/>
  <c r="I11" i="1"/>
  <c r="G6" i="3" l="1"/>
  <c r="G7" i="3"/>
  <c r="D7" i="2"/>
  <c r="D3" i="2"/>
  <c r="G4" i="3" s="1"/>
  <c r="D4" i="2"/>
  <c r="G5" i="3" s="1"/>
  <c r="D1" i="3" l="1"/>
  <c r="K12" i="2"/>
  <c r="J12" i="2"/>
  <c r="I12" i="2"/>
  <c r="C12" i="2"/>
  <c r="B12" i="2"/>
  <c r="I10" i="1"/>
  <c r="I15" i="3"/>
  <c r="J22" i="2" l="1"/>
  <c r="K15" i="3"/>
</calcChain>
</file>

<file path=xl/sharedStrings.xml><?xml version="1.0" encoding="utf-8"?>
<sst xmlns="http://schemas.openxmlformats.org/spreadsheetml/2006/main" count="126" uniqueCount="95">
  <si>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</si>
  <si>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</si>
  <si>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</si>
  <si>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</si>
  <si>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</si>
  <si>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</si>
  <si>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</si>
  <si>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</si>
  <si>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</si>
  <si>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</si>
  <si>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</si>
  <si>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</si>
  <si>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</si>
  <si>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</si>
  <si>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</si>
  <si>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Plazos y lugares de entrega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</si>
  <si>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</si>
  <si>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</si>
  <si>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</si>
  <si>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</si>
  <si>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</si>
  <si>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</si>
  <si>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</si>
  <si>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</si>
  <si>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</si>
  <si>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</si>
  <si>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</si>
  <si>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</si>
  <si>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</si>
  <si>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</si>
  <si>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</si>
  <si>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</si>
  <si>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</si>
  <si>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</si>
  <si>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</si>
  <si>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</si>
  <si>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</si>
  <si>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</si>
  <si>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</si>
  <si>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</si>
  <si>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</si>
  <si>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</si>
  <si>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</si>
  <si>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</si>
  <si>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</si>
  <si>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</si>
  <si>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</si>
  <si>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</si>
  <si>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</si>
  <si>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</si>
  <si>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</si>
  <si>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</si>
  <si>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</si>
  <si>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PAQUETE</t>
  </si>
  <si>
    <t>024 - Hospital Interzonal de Niños</t>
  </si>
  <si>
    <t>040 - Ministerio de Salud</t>
  </si>
  <si>
    <t>Servicio de Alimentacion y Dietoterapia</t>
  </si>
  <si>
    <t>1.1</t>
  </si>
  <si>
    <t>NO</t>
  </si>
  <si>
    <t>BAZAR Y MENAJE</t>
  </si>
  <si>
    <t>2.9.4-690.15</t>
  </si>
  <si>
    <t>CUCHARAS; TIPO: DE MESA, MATERIAL: PLASTICO</t>
  </si>
  <si>
    <t>2.9.4-689.15</t>
  </si>
  <si>
    <t>CUCHILLOS; TIPO: DE MESA, MATERIAL: PLASTICO</t>
  </si>
  <si>
    <t>2.9.4-692.10</t>
  </si>
  <si>
    <t>TENEDORES; TIPO: DE MESA, MATERIAL: PLASTICO</t>
  </si>
  <si>
    <t>2.9.4-588.67</t>
  </si>
  <si>
    <t>VASOS PLASTICOS DESCARTABLES; MATERIAL: POLIPROPILENO, MOTIVO: LISO C/TAPA, CAPACIDAD: 500 CM3, PRESENTACION: ENVASE X 50, TIPO: ESTRIADO</t>
  </si>
  <si>
    <t>2.9.4-588.50</t>
  </si>
  <si>
    <t>VASOS PLASTICOS DESCARTABLES; MATERIAL: POLIETILENO, CAPACIDAD: 220 CM3, PRESENTACION: PAQUETE X 100 UN, TIPO: BLANCO, MOTIVO: LISO</t>
  </si>
  <si>
    <t>2.3.4-5442.12</t>
  </si>
  <si>
    <t>ROLLOS P/COCINA; DIMENSION: 0,33 X 400 M, PRESENTACION: BOBINA</t>
  </si>
  <si>
    <t>BOBINA</t>
  </si>
  <si>
    <t>2.9.4-4743.23</t>
  </si>
  <si>
    <t>BANDEJA P/TRANSP. DE ALIMENTO; DIMENSION: 18 X 14 X 4 Cm, TIPO: RECTANGULAR CON TAPA, MATERIAL: ALUMINIO, CAPACIDAD: 750 CM2</t>
  </si>
  <si>
    <t>2.9.5-5755.16</t>
  </si>
  <si>
    <t>PROD. MEDICO/FARMACEUTICOS/LAB</t>
  </si>
  <si>
    <t>FILMS AUTOADHERENTES; TIPO: TRANSPARENTE, MATERIAL: POLIETILENO, PRESENTACION: ENVASE X 300 M, ANCHO: 38 Cm</t>
  </si>
  <si>
    <t>Productos de Papel y Carton</t>
  </si>
  <si>
    <t>Utensilios de Cocina y Comedor</t>
  </si>
  <si>
    <t>Utiles Menores Medico, Quirurgico y de Laboratorio</t>
  </si>
  <si>
    <t>Para la adquisición de Descartables de Cocina destinados al servico de Alimentacion y Dietoterapia del Hospital Interzonal de Niños Eva Peron, para el normal funcionamiento del organismo.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</si>
  <si>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7 días de notificada la Orden de Compra</t>
    </r>
  </si>
  <si>
    <t xml:space="preserve">45 dias habiles 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</si>
  <si>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NUTRICION -HOSPITAL INT. DE NIÑOS – AV. VIRGEN DEL VALLE N° 1050-CATAMARCA DE 8:00 A 12:00HS., DEBIENDO CORRER LOS GASTOS DE FLETES, ACARREO, CARGA, DESCARGA Y SEGURO A CARGO DEL ADJUDICATARIO.</t>
    </r>
  </si>
  <si>
    <t>Mantenimiento de Oferta</t>
  </si>
  <si>
    <t>Adquisición de Descartables de Cocina</t>
  </si>
  <si>
    <t>VASOS PLASTICOS DESCARTABLES; MATERIAL: POLIESTIRENO, MOTIVO: LISO, CAPACIDAD: 250 CM3, PRESENTACION: BOLSA X 100 UN, TIPO: BLANCO</t>
  </si>
  <si>
    <t>2.9.4-588.68</t>
  </si>
  <si>
    <t>BOLSA</t>
  </si>
  <si>
    <t>SERVILLETAS DE PAPEL; PRESENTACION: PAQUETE X 100, DIMENSION: 24 X 24 Cm, COLOR: BLANCO, MOTIVO: SIN VALOR, TIPO: LISAS</t>
  </si>
  <si>
    <t>2.3.4-938.13</t>
  </si>
  <si>
    <t>Costo total estimado: Un Millon Treinta y Siete Mil Cuatrocientos con 00/100.</t>
  </si>
  <si>
    <t>TOTAL DE PESOS: UN MILLON TREINTA Y SIETE MIL CUATROCIENTOS CON 00/100.</t>
  </si>
  <si>
    <t>27/2021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</si>
</sst>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4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50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2" xfId="0" applyBorder="1"/>
    <xf numFmtId="0" fontId="0" fillId="0" borderId="27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8" xfId="0" applyBorder="1"/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1" xfId="0" applyFont="1" applyBorder="1" applyAlignment="1">
      <alignment horizontal="left" vertical="center"/>
    </xf>
    <xf numFmtId="0" fontId="13" fillId="0" borderId="32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166" fontId="0" fillId="0" borderId="40" xfId="3" applyNumberFormat="1" applyFont="1" applyBorder="1" applyAlignment="1" applyProtection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6" fontId="0" fillId="0" borderId="44" xfId="3" applyNumberFormat="1" applyFont="1" applyBorder="1" applyAlignment="1" applyProtection="1">
      <alignment horizontal="center" vertical="center"/>
    </xf>
    <xf numFmtId="166" fontId="13" fillId="0" borderId="45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15" fillId="0" borderId="6" xfId="0" applyFont="1" applyBorder="1"/>
    <xf numFmtId="0" fontId="15" fillId="0" borderId="7" xfId="0" applyFont="1" applyBorder="1"/>
    <xf numFmtId="0" fontId="15" fillId="0" borderId="0" xfId="0" applyFont="1" applyBorder="1" applyAlignment="1">
      <alignment horizontal="center" wrapText="1"/>
    </xf>
    <xf numFmtId="0" fontId="15" fillId="0" borderId="9" xfId="0" applyFont="1" applyBorder="1" applyAlignment="1">
      <alignment horizontal="center" wrapText="1"/>
    </xf>
    <xf numFmtId="0" fontId="15" fillId="0" borderId="10" xfId="0" applyFont="1" applyBorder="1" applyAlignment="1">
      <alignment horizontal="left" indent="3"/>
    </xf>
    <xf numFmtId="166" fontId="15" fillId="0" borderId="0" xfId="0" applyNumberFormat="1" applyFont="1"/>
    <xf numFmtId="0" fontId="19" fillId="0" borderId="5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14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57" xfId="0" applyFont="1" applyFill="1" applyBorder="1" applyAlignment="1">
      <alignment horizontal="center" vertical="center"/>
    </xf>
    <xf numFmtId="0" fontId="4" fillId="3" borderId="57" xfId="0" applyFont="1" applyFill="1" applyBorder="1" applyAlignment="1">
      <alignment horizontal="left" vertical="center"/>
    </xf>
    <xf numFmtId="0" fontId="4" fillId="4" borderId="57" xfId="0" applyFont="1" applyFill="1" applyBorder="1" applyAlignment="1">
      <alignment horizontal="center" vertical="center"/>
    </xf>
    <xf numFmtId="0" fontId="4" fillId="3" borderId="57" xfId="0" applyFont="1" applyFill="1" applyBorder="1" applyAlignment="1">
      <alignment horizontal="center" vertical="center" wrapText="1"/>
    </xf>
    <xf numFmtId="166" fontId="4" fillId="3" borderId="57" xfId="1" applyNumberFormat="1" applyFont="1" applyFill="1" applyBorder="1" applyAlignment="1" applyProtection="1">
      <alignment horizontal="right" vertical="center" wrapText="1"/>
    </xf>
    <xf numFmtId="3" fontId="4" fillId="3" borderId="57" xfId="0" applyNumberFormat="1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left" vertical="center"/>
    </xf>
    <xf numFmtId="0" fontId="4" fillId="4" borderId="21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 wrapText="1"/>
    </xf>
    <xf numFmtId="166" fontId="4" fillId="3" borderId="21" xfId="1" applyNumberFormat="1" applyFont="1" applyFill="1" applyBorder="1" applyAlignment="1" applyProtection="1">
      <alignment horizontal="right" vertical="center" wrapText="1"/>
    </xf>
    <xf numFmtId="3" fontId="4" fillId="3" borderId="21" xfId="0" applyNumberFormat="1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166" fontId="20" fillId="4" borderId="3" xfId="1" applyNumberFormat="1" applyFont="1" applyFill="1" applyBorder="1" applyAlignment="1" applyProtection="1">
      <alignment horizontal="right" vertical="center" wrapText="1"/>
    </xf>
    <xf numFmtId="166" fontId="20" fillId="4" borderId="4" xfId="1" applyNumberFormat="1" applyFont="1" applyFill="1" applyBorder="1" applyAlignment="1" applyProtection="1">
      <alignment horizontal="right" vertical="center" wrapText="1"/>
    </xf>
    <xf numFmtId="166" fontId="20" fillId="4" borderId="49" xfId="1" applyNumberFormat="1" applyFont="1" applyFill="1" applyBorder="1" applyAlignment="1" applyProtection="1">
      <alignment horizontal="right" vertical="center" wrapText="1"/>
    </xf>
    <xf numFmtId="166" fontId="20" fillId="4" borderId="50" xfId="1" applyNumberFormat="1" applyFont="1" applyFill="1" applyBorder="1" applyAlignment="1" applyProtection="1">
      <alignment horizontal="right" vertical="center" wrapText="1"/>
    </xf>
    <xf numFmtId="0" fontId="0" fillId="4" borderId="33" xfId="0" applyFont="1" applyFill="1" applyBorder="1" applyAlignment="1">
      <alignment horizontal="center" vertical="center"/>
    </xf>
    <xf numFmtId="0" fontId="0" fillId="4" borderId="34" xfId="0" applyFont="1" applyFill="1" applyBorder="1" applyAlignment="1">
      <alignment horizontal="center" vertical="center"/>
    </xf>
    <xf numFmtId="0" fontId="14" fillId="4" borderId="34" xfId="0" applyFont="1" applyFill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23" fillId="4" borderId="3" xfId="0" applyFont="1" applyFill="1" applyBorder="1" applyAlignment="1">
      <alignment horizontal="center" vertical="center" wrapText="1"/>
    </xf>
    <xf numFmtId="0" fontId="14" fillId="0" borderId="59" xfId="0" applyFont="1" applyBorder="1" applyAlignment="1">
      <alignment horizontal="center" vertical="center"/>
    </xf>
    <xf numFmtId="0" fontId="14" fillId="0" borderId="55" xfId="0" applyFont="1" applyBorder="1"/>
    <xf numFmtId="0" fontId="23" fillId="0" borderId="55" xfId="0" applyFont="1" applyBorder="1" applyAlignment="1">
      <alignment horizontal="center" vertical="center" wrapText="1"/>
    </xf>
    <xf numFmtId="0" fontId="14" fillId="0" borderId="55" xfId="0" applyFont="1" applyBorder="1" applyAlignment="1">
      <alignment vertical="center" wrapText="1"/>
    </xf>
    <xf numFmtId="0" fontId="23" fillId="4" borderId="55" xfId="0" applyFont="1" applyFill="1" applyBorder="1" applyAlignment="1">
      <alignment horizontal="center" vertical="center" wrapText="1"/>
    </xf>
    <xf numFmtId="0" fontId="23" fillId="0" borderId="60" xfId="0" applyFont="1" applyBorder="1" applyAlignment="1">
      <alignment horizontal="center" vertical="center" wrapText="1"/>
    </xf>
    <xf numFmtId="0" fontId="23" fillId="4" borderId="60" xfId="0" applyFont="1" applyFill="1" applyBorder="1" applyAlignment="1">
      <alignment horizontal="center" vertical="center" wrapText="1"/>
    </xf>
    <xf numFmtId="0" fontId="0" fillId="4" borderId="61" xfId="0" applyFont="1" applyFill="1" applyBorder="1" applyAlignment="1">
      <alignment horizontal="center" vertical="center"/>
    </xf>
    <xf numFmtId="0" fontId="0" fillId="4" borderId="39" xfId="0" applyFont="1" applyFill="1" applyBorder="1" applyAlignment="1">
      <alignment horizontal="center" vertical="center"/>
    </xf>
    <xf numFmtId="0" fontId="14" fillId="4" borderId="39" xfId="0" applyFont="1" applyFill="1" applyBorder="1" applyAlignment="1">
      <alignment horizontal="center" vertical="center"/>
    </xf>
    <xf numFmtId="0" fontId="0" fillId="3" borderId="39" xfId="0" applyFont="1" applyFill="1" applyBorder="1" applyAlignment="1">
      <alignment horizontal="center" vertical="center"/>
    </xf>
    <xf numFmtId="0" fontId="0" fillId="4" borderId="37" xfId="0" applyFont="1" applyFill="1" applyBorder="1" applyAlignment="1">
      <alignment horizontal="center" vertical="center"/>
    </xf>
    <xf numFmtId="0" fontId="0" fillId="4" borderId="62" xfId="0" applyFont="1" applyFill="1" applyBorder="1" applyAlignment="1">
      <alignment horizontal="center" vertical="center"/>
    </xf>
    <xf numFmtId="0" fontId="0" fillId="3" borderId="37" xfId="0" applyFont="1" applyFill="1" applyBorder="1" applyAlignment="1">
      <alignment horizontal="center" vertical="center"/>
    </xf>
    <xf numFmtId="0" fontId="0" fillId="3" borderId="62" xfId="0" applyFont="1" applyFill="1" applyBorder="1" applyAlignment="1">
      <alignment horizontal="center" vertical="center"/>
    </xf>
    <xf numFmtId="0" fontId="21" fillId="0" borderId="5" xfId="0" applyFont="1" applyBorder="1" applyAlignment="1">
      <alignment horizontal="left" indent="3"/>
    </xf>
    <xf numFmtId="0" fontId="21" fillId="0" borderId="8" xfId="0" applyFont="1" applyBorder="1" applyAlignment="1"/>
    <xf numFmtId="0" fontId="15" fillId="0" borderId="0" xfId="0" applyFont="1" applyFill="1" applyBorder="1" applyAlignment="1">
      <alignment horizontal="center" wrapText="1"/>
    </xf>
    <xf numFmtId="0" fontId="14" fillId="0" borderId="3" xfId="0" applyFont="1" applyBorder="1" applyAlignment="1">
      <alignment wrapText="1"/>
    </xf>
    <xf numFmtId="0" fontId="0" fillId="0" borderId="0" xfId="0" applyAlignment="1">
      <alignment wrapText="1"/>
    </xf>
    <xf numFmtId="0" fontId="14" fillId="0" borderId="55" xfId="0" applyFont="1" applyBorder="1" applyAlignment="1">
      <alignment wrapText="1"/>
    </xf>
    <xf numFmtId="0" fontId="14" fillId="0" borderId="60" xfId="0" applyFont="1" applyBorder="1" applyAlignment="1">
      <alignment wrapText="1"/>
    </xf>
    <xf numFmtId="0" fontId="14" fillId="0" borderId="60" xfId="0" applyFont="1" applyBorder="1" applyAlignment="1">
      <alignment vertical="center"/>
    </xf>
    <xf numFmtId="0" fontId="15" fillId="4" borderId="8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9" xfId="5" applyFont="1" applyFill="1" applyBorder="1" applyAlignment="1">
      <alignment horizontal="left" wrapText="1"/>
    </xf>
    <xf numFmtId="0" fontId="15" fillId="4" borderId="11" xfId="0" applyFont="1" applyFill="1" applyBorder="1" applyAlignment="1">
      <alignment horizontal="left" wrapText="1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2" fillId="4" borderId="0" xfId="0" applyFont="1" applyFill="1" applyBorder="1" applyAlignment="1">
      <alignment horizontal="left" wrapText="1" indent="1"/>
    </xf>
    <xf numFmtId="0" fontId="6" fillId="3" borderId="16" xfId="0" applyFont="1" applyFill="1" applyBorder="1" applyAlignment="1">
      <alignment horizontal="left" vertical="center" wrapText="1" indent="1"/>
    </xf>
    <xf numFmtId="167" fontId="7" fillId="3" borderId="16" xfId="0" applyNumberFormat="1" applyFont="1" applyFill="1" applyBorder="1" applyAlignment="1">
      <alignment horizontal="center" vertical="center"/>
    </xf>
    <xf numFmtId="0" fontId="4" fillId="3" borderId="57" xfId="0" applyFont="1" applyFill="1" applyBorder="1" applyAlignment="1">
      <alignment horizontal="left" vertical="center" wrapText="1"/>
    </xf>
    <xf numFmtId="0" fontId="4" fillId="3" borderId="21" xfId="0" applyFont="1" applyFill="1" applyBorder="1" applyAlignment="1">
      <alignment horizontal="left" vertical="center" wrapText="1"/>
    </xf>
    <xf numFmtId="0" fontId="7" fillId="3" borderId="18" xfId="0" applyFont="1" applyFill="1" applyBorder="1" applyAlignment="1">
      <alignment horizontal="left" vertical="center"/>
    </xf>
    <xf numFmtId="0" fontId="6" fillId="4" borderId="19" xfId="0" applyFont="1" applyFill="1" applyBorder="1" applyAlignment="1">
      <alignment horizontal="left" vertical="center" wrapText="1" indent="1"/>
    </xf>
    <xf numFmtId="0" fontId="8" fillId="3" borderId="18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left" vertical="center" wrapText="1"/>
    </xf>
    <xf numFmtId="0" fontId="7" fillId="3" borderId="17" xfId="0" applyFont="1" applyFill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46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  <xf numFmtId="0" fontId="11" fillId="4" borderId="45" xfId="0" applyFont="1" applyFill="1" applyBorder="1" applyAlignment="1">
      <alignment horizontal="left" vertical="center" wrapText="1" indent="1"/>
    </xf>
    <xf numFmtId="0" fontId="0" fillId="0" borderId="39" xfId="0" applyFont="1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9" fillId="0" borderId="45" xfId="0" applyFont="1" applyBorder="1" applyAlignment="1">
      <alignment horizontal="left" vertical="center" wrapText="1"/>
    </xf>
    <xf numFmtId="0" fontId="0" fillId="0" borderId="24" xfId="0" applyBorder="1"/>
    <xf numFmtId="0" fontId="14" fillId="0" borderId="34" xfId="0" applyFont="1" applyBorder="1" applyAlignment="1">
      <alignment horizontal="left" vertical="center" wrapText="1"/>
    </xf>
    <xf numFmtId="0" fontId="0" fillId="0" borderId="34" xfId="0" applyFont="1" applyBorder="1" applyAlignment="1">
      <alignment horizontal="left" vertical="center" wrapText="1"/>
    </xf>
    <xf numFmtId="0" fontId="0" fillId="0" borderId="63" xfId="0" applyFont="1" applyBorder="1" applyAlignment="1">
      <alignment horizontal="left" vertical="center" wrapText="1"/>
    </xf>
    <xf numFmtId="0" fontId="0" fillId="0" borderId="64" xfId="0" applyFont="1" applyBorder="1" applyAlignment="1">
      <alignment horizontal="left" vertical="center" wrapText="1"/>
    </xf>
    <xf numFmtId="0" fontId="11" fillId="0" borderId="25" xfId="0" applyFont="1" applyBorder="1"/>
    <xf numFmtId="0" fontId="11" fillId="0" borderId="26" xfId="0" applyFont="1" applyBorder="1" applyAlignment="1">
      <alignment horizontal="left" vertical="center" wrapText="1" indent="1"/>
    </xf>
    <xf numFmtId="0" fontId="13" fillId="0" borderId="24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indent="1"/>
    </xf>
    <xf numFmtId="0" fontId="12" fillId="0" borderId="13" xfId="0" applyFont="1" applyBorder="1" applyAlignment="1">
      <alignment horizontal="left"/>
    </xf>
    <xf numFmtId="0" fontId="0" fillId="0" borderId="22" xfId="0" applyFont="1" applyBorder="1" applyAlignment="1">
      <alignment horizontal="center"/>
    </xf>
    <xf numFmtId="3" fontId="9" fillId="0" borderId="23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 vertical="center" wrapText="1"/>
    </xf>
    <xf numFmtId="0" fontId="2" fillId="0" borderId="13" xfId="0" applyFont="1" applyBorder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26"/>
  <sheetViews>
    <sheetView zoomScale="98" zoomScaleNormal="98" workbookViewId="0">
      <selection activeCell="C4" sqref="C4:E4"/>
    </sheetView>
  </sheetViews>
  <sheetFormatPr baseColWidth="10" defaultColWidth="11" defaultRowHeight="12.75" x14ac:dyDescent="0.2"/>
  <cols>
    <col min="1" max="1" width="4.5703125" style="32" customWidth="1"/>
    <col min="2" max="2" width="14" style="32" customWidth="1"/>
    <col min="3" max="3" width="13.28515625" style="32" customWidth="1"/>
    <col min="4" max="4" width="8.42578125" style="32" customWidth="1"/>
    <col min="5" max="5" width="114.28515625" style="32" customWidth="1"/>
    <col min="6" max="6" width="11" style="32"/>
    <col min="7" max="7" width="10.42578125" style="32" bestFit="1" customWidth="1"/>
    <col min="8" max="8" width="13.85546875" style="32" customWidth="1"/>
    <col min="9" max="9" width="18.5703125" style="32" customWidth="1"/>
    <col min="10" max="10" width="11" style="32"/>
    <col min="11" max="11" width="14.7109375" style="32" customWidth="1"/>
    <col min="12" max="16384" width="11" style="32"/>
  </cols>
  <sheetData>
    <row r="2" spans="1:11" ht="27" x14ac:dyDescent="0.35">
      <c r="B2" s="106" t="s">
        <v>0</v>
      </c>
      <c r="C2" s="106"/>
      <c r="D2" s="106"/>
      <c r="E2" s="106"/>
      <c r="F2" s="106"/>
      <c r="G2" s="106"/>
      <c r="H2" s="106"/>
    </row>
    <row r="3" spans="1:11" ht="12" customHeight="1" x14ac:dyDescent="0.2"/>
    <row r="4" spans="1:11" ht="18" customHeight="1" x14ac:dyDescent="0.25">
      <c r="A4" s="107" t="s">
        <v>1</v>
      </c>
      <c r="B4" s="107"/>
      <c r="C4" s="108" t="s">
        <v>55</v>
      </c>
      <c r="D4" s="108"/>
      <c r="E4" s="108"/>
      <c r="F4" s="33"/>
      <c r="G4" s="34"/>
      <c r="H4" s="33"/>
    </row>
    <row r="5" spans="1:11" ht="18" customHeight="1" x14ac:dyDescent="0.25">
      <c r="A5" s="107" t="s">
        <v>2</v>
      </c>
      <c r="B5" s="107"/>
      <c r="C5" s="108" t="s">
        <v>54</v>
      </c>
      <c r="D5" s="108"/>
      <c r="E5" s="108"/>
      <c r="F5" s="33"/>
      <c r="G5" s="34"/>
      <c r="H5" s="33"/>
    </row>
    <row r="6" spans="1:11" ht="16.5" customHeight="1" x14ac:dyDescent="0.25">
      <c r="A6" s="107" t="s">
        <v>3</v>
      </c>
      <c r="B6" s="107"/>
      <c r="C6" s="67">
        <v>2021</v>
      </c>
      <c r="D6" s="68"/>
      <c r="E6" s="68"/>
      <c r="F6" s="33"/>
      <c r="G6" s="34"/>
      <c r="H6" s="33"/>
    </row>
    <row r="7" spans="1:11" ht="16.5" customHeight="1" x14ac:dyDescent="0.25">
      <c r="A7" s="107" t="s">
        <v>4</v>
      </c>
      <c r="B7" s="107"/>
      <c r="C7" s="67">
        <v>2</v>
      </c>
      <c r="D7" s="68"/>
      <c r="E7" s="68"/>
      <c r="F7" s="33"/>
      <c r="G7" s="34"/>
      <c r="H7" s="33"/>
    </row>
    <row r="8" spans="1:11" ht="13.5" thickBot="1" x14ac:dyDescent="0.25">
      <c r="B8" s="33"/>
      <c r="C8" s="34"/>
      <c r="D8" s="33"/>
      <c r="E8" s="33"/>
      <c r="F8" s="33"/>
      <c r="G8" s="34"/>
      <c r="H8" s="33"/>
    </row>
    <row r="9" spans="1:11" ht="39.75" thickTop="1" thickBot="1" x14ac:dyDescent="0.25">
      <c r="A9" s="42" t="s">
        <v>5</v>
      </c>
      <c r="B9" s="42" t="s">
        <v>6</v>
      </c>
      <c r="C9" s="42" t="s">
        <v>7</v>
      </c>
      <c r="D9" s="43" t="s">
        <v>8</v>
      </c>
      <c r="E9" s="45" t="s">
        <v>9</v>
      </c>
      <c r="F9" s="44" t="s">
        <v>10</v>
      </c>
      <c r="G9" s="35" t="s">
        <v>11</v>
      </c>
      <c r="H9" s="35" t="s">
        <v>12</v>
      </c>
      <c r="I9" s="35" t="s">
        <v>13</v>
      </c>
    </row>
    <row r="10" spans="1:11" ht="26.25" thickTop="1" x14ac:dyDescent="0.2">
      <c r="A10" s="76">
        <v>1</v>
      </c>
      <c r="B10" t="s">
        <v>88</v>
      </c>
      <c r="C10" s="97" t="s">
        <v>59</v>
      </c>
      <c r="D10" s="77">
        <v>294</v>
      </c>
      <c r="E10" s="98" t="s">
        <v>87</v>
      </c>
      <c r="F10" s="78" t="s">
        <v>89</v>
      </c>
      <c r="G10" s="78">
        <v>140</v>
      </c>
      <c r="H10" s="69">
        <v>1000</v>
      </c>
      <c r="I10" s="70">
        <f>H10*G10</f>
        <v>140000</v>
      </c>
      <c r="K10" s="41"/>
    </row>
    <row r="11" spans="1:11" ht="25.5" x14ac:dyDescent="0.2">
      <c r="A11" s="79">
        <v>2</v>
      </c>
      <c r="B11" s="80" t="s">
        <v>60</v>
      </c>
      <c r="C11" s="99" t="s">
        <v>59</v>
      </c>
      <c r="D11" s="81">
        <v>294</v>
      </c>
      <c r="E11" s="82" t="s">
        <v>61</v>
      </c>
      <c r="F11" s="83" t="s">
        <v>14</v>
      </c>
      <c r="G11" s="83">
        <v>6000</v>
      </c>
      <c r="H11" s="71">
        <v>2.5</v>
      </c>
      <c r="I11" s="72">
        <f>G11*H11</f>
        <v>15000</v>
      </c>
    </row>
    <row r="12" spans="1:11" ht="25.5" x14ac:dyDescent="0.2">
      <c r="A12" s="79">
        <v>3</v>
      </c>
      <c r="B12" s="80" t="s">
        <v>62</v>
      </c>
      <c r="C12" s="99" t="s">
        <v>59</v>
      </c>
      <c r="D12" s="81">
        <v>294</v>
      </c>
      <c r="E12" s="82" t="s">
        <v>63</v>
      </c>
      <c r="F12" s="83" t="s">
        <v>14</v>
      </c>
      <c r="G12" s="83">
        <v>6000</v>
      </c>
      <c r="H12" s="71">
        <v>1.6</v>
      </c>
      <c r="I12" s="72">
        <f t="shared" ref="I12:I19" si="0">G12*H12</f>
        <v>9600</v>
      </c>
    </row>
    <row r="13" spans="1:11" ht="25.5" x14ac:dyDescent="0.2">
      <c r="A13" s="79">
        <v>4</v>
      </c>
      <c r="B13" s="80" t="s">
        <v>64</v>
      </c>
      <c r="C13" s="99" t="s">
        <v>59</v>
      </c>
      <c r="D13" s="81">
        <v>294</v>
      </c>
      <c r="E13" s="82" t="s">
        <v>65</v>
      </c>
      <c r="F13" s="83" t="s">
        <v>14</v>
      </c>
      <c r="G13" s="83">
        <v>6000</v>
      </c>
      <c r="H13" s="71">
        <v>1.6</v>
      </c>
      <c r="I13" s="72">
        <f t="shared" si="0"/>
        <v>9600</v>
      </c>
    </row>
    <row r="14" spans="1:11" ht="25.5" x14ac:dyDescent="0.2">
      <c r="A14" s="79">
        <v>5</v>
      </c>
      <c r="B14" s="80" t="s">
        <v>66</v>
      </c>
      <c r="C14" s="99" t="s">
        <v>59</v>
      </c>
      <c r="D14" s="81">
        <v>294</v>
      </c>
      <c r="E14" s="99" t="s">
        <v>67</v>
      </c>
      <c r="F14" s="83" t="s">
        <v>53</v>
      </c>
      <c r="G14" s="83">
        <v>30</v>
      </c>
      <c r="H14" s="71">
        <v>250</v>
      </c>
      <c r="I14" s="72">
        <f t="shared" si="0"/>
        <v>7500</v>
      </c>
    </row>
    <row r="15" spans="1:11" ht="25.5" x14ac:dyDescent="0.2">
      <c r="A15" s="79">
        <v>6</v>
      </c>
      <c r="B15" s="80" t="s">
        <v>68</v>
      </c>
      <c r="C15" s="99" t="s">
        <v>59</v>
      </c>
      <c r="D15" s="81">
        <v>294</v>
      </c>
      <c r="E15" s="99" t="s">
        <v>69</v>
      </c>
      <c r="F15" s="83" t="s">
        <v>53</v>
      </c>
      <c r="G15" s="83">
        <v>240</v>
      </c>
      <c r="H15" s="71">
        <v>260</v>
      </c>
      <c r="I15" s="72">
        <f t="shared" si="0"/>
        <v>62400</v>
      </c>
    </row>
    <row r="16" spans="1:11" ht="25.5" x14ac:dyDescent="0.2">
      <c r="A16" s="79">
        <v>7</v>
      </c>
      <c r="B16" t="s">
        <v>91</v>
      </c>
      <c r="C16" s="99" t="s">
        <v>59</v>
      </c>
      <c r="D16" s="81">
        <v>234</v>
      </c>
      <c r="E16" s="98" t="s">
        <v>90</v>
      </c>
      <c r="F16" s="83" t="s">
        <v>53</v>
      </c>
      <c r="G16" s="83">
        <v>100</v>
      </c>
      <c r="H16" s="71">
        <v>55</v>
      </c>
      <c r="I16" s="72">
        <f t="shared" si="0"/>
        <v>5500</v>
      </c>
    </row>
    <row r="17" spans="1:9" ht="25.5" x14ac:dyDescent="0.2">
      <c r="A17" s="79">
        <v>8</v>
      </c>
      <c r="B17" s="80" t="s">
        <v>70</v>
      </c>
      <c r="C17" s="99" t="s">
        <v>59</v>
      </c>
      <c r="D17" s="81">
        <v>234</v>
      </c>
      <c r="E17" s="82" t="s">
        <v>71</v>
      </c>
      <c r="F17" s="83" t="s">
        <v>72</v>
      </c>
      <c r="G17" s="83">
        <v>60</v>
      </c>
      <c r="H17" s="71">
        <v>600</v>
      </c>
      <c r="I17" s="72">
        <f t="shared" si="0"/>
        <v>36000</v>
      </c>
    </row>
    <row r="18" spans="1:9" ht="25.5" x14ac:dyDescent="0.2">
      <c r="A18" s="79">
        <v>9</v>
      </c>
      <c r="B18" s="80" t="s">
        <v>73</v>
      </c>
      <c r="C18" s="99" t="s">
        <v>59</v>
      </c>
      <c r="D18" s="81">
        <v>294</v>
      </c>
      <c r="E18" s="99" t="s">
        <v>74</v>
      </c>
      <c r="F18" s="83" t="s">
        <v>14</v>
      </c>
      <c r="G18" s="83">
        <v>36000</v>
      </c>
      <c r="H18" s="71">
        <v>20</v>
      </c>
      <c r="I18" s="72">
        <f t="shared" si="0"/>
        <v>720000</v>
      </c>
    </row>
    <row r="19" spans="1:9" ht="51.75" thickBot="1" x14ac:dyDescent="0.25">
      <c r="A19" s="79">
        <v>10</v>
      </c>
      <c r="B19" s="101" t="s">
        <v>75</v>
      </c>
      <c r="C19" s="100" t="s">
        <v>76</v>
      </c>
      <c r="D19" s="84">
        <v>295</v>
      </c>
      <c r="E19" s="100" t="s">
        <v>77</v>
      </c>
      <c r="F19" s="85" t="s">
        <v>14</v>
      </c>
      <c r="G19" s="85">
        <v>60</v>
      </c>
      <c r="H19" s="71">
        <v>530</v>
      </c>
      <c r="I19" s="72">
        <f t="shared" si="0"/>
        <v>31800</v>
      </c>
    </row>
    <row r="20" spans="1:9" ht="13.5" thickBot="1" x14ac:dyDescent="0.25">
      <c r="I20" s="41"/>
    </row>
    <row r="21" spans="1:9" x14ac:dyDescent="0.2">
      <c r="B21" s="94" t="s">
        <v>15</v>
      </c>
      <c r="C21" s="36"/>
      <c r="D21" s="36"/>
      <c r="E21" s="37"/>
    </row>
    <row r="22" spans="1:9" ht="12.75" customHeight="1" x14ac:dyDescent="0.2">
      <c r="B22" s="102" t="s">
        <v>84</v>
      </c>
      <c r="C22" s="103"/>
      <c r="D22" s="103"/>
      <c r="E22" s="104"/>
    </row>
    <row r="23" spans="1:9" ht="26.25" customHeight="1" x14ac:dyDescent="0.2">
      <c r="B23" s="102"/>
      <c r="C23" s="103"/>
      <c r="D23" s="103"/>
      <c r="E23" s="104"/>
    </row>
    <row r="24" spans="1:9" ht="26.25" customHeight="1" x14ac:dyDescent="0.2">
      <c r="B24" s="102" t="s">
        <v>82</v>
      </c>
      <c r="C24" s="103"/>
      <c r="D24" s="103"/>
      <c r="E24" s="104"/>
    </row>
    <row r="25" spans="1:9" x14ac:dyDescent="0.2">
      <c r="B25" s="95" t="s">
        <v>85</v>
      </c>
      <c r="C25" s="38"/>
      <c r="D25" s="96"/>
      <c r="E25" s="39"/>
    </row>
    <row r="26" spans="1:9" ht="26.25" customHeight="1" thickBot="1" x14ac:dyDescent="0.25">
      <c r="B26" s="40"/>
      <c r="C26" s="105" t="s">
        <v>83</v>
      </c>
      <c r="D26" s="105"/>
      <c r="E26" s="105"/>
    </row>
  </sheetData>
  <autoFilter ref="A9:I19"/>
  <mergeCells count="10">
    <mergeCell ref="B22:E23"/>
    <mergeCell ref="B24:E24"/>
    <mergeCell ref="C26:E26"/>
    <mergeCell ref="B2:H2"/>
    <mergeCell ref="A4:B4"/>
    <mergeCell ref="C4:E4"/>
    <mergeCell ref="A5:B5"/>
    <mergeCell ref="C5:E5"/>
    <mergeCell ref="A6:B6"/>
    <mergeCell ref="A7:B7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2"/>
  <sheetViews>
    <sheetView topLeftCell="A16" zoomScale="110" zoomScaleNormal="110" workbookViewId="0">
      <selection activeCell="M7" sqref="M7"/>
    </sheetView>
  </sheetViews>
  <sheetFormatPr baseColWidth="10" defaultColWidth="9.140625" defaultRowHeight="12.75" x14ac:dyDescent="0.2"/>
  <cols>
    <col min="1" max="1" width="5.5703125" style="48" customWidth="1"/>
    <col min="2" max="2" width="15.140625" style="48" customWidth="1"/>
    <col min="3" max="3" width="14.140625" style="48" customWidth="1"/>
    <col min="4" max="4" width="26" style="48" customWidth="1"/>
    <col min="5" max="5" width="8" style="48" customWidth="1"/>
    <col min="6" max="6" width="7.85546875" style="48" customWidth="1"/>
    <col min="7" max="7" width="48.5703125" style="48" customWidth="1"/>
    <col min="8" max="8" width="9.28515625" style="48" customWidth="1"/>
    <col min="9" max="9" width="15.5703125" style="48" customWidth="1"/>
    <col min="10" max="10" width="14.7109375" style="48" customWidth="1"/>
    <col min="11" max="11" width="15.5703125" style="48" customWidth="1"/>
    <col min="12" max="14" width="5.85546875" style="48" customWidth="1"/>
    <col min="15" max="15" width="12.5703125" style="48" customWidth="1"/>
    <col min="16" max="1024" width="9.140625" style="48"/>
    <col min="1025" max="16384" width="9.140625" style="49"/>
  </cols>
  <sheetData>
    <row r="1" spans="1:11" ht="18" customHeight="1" x14ac:dyDescent="0.2">
      <c r="A1" s="118" t="s">
        <v>16</v>
      </c>
      <c r="B1" s="118"/>
      <c r="C1" s="118"/>
      <c r="D1" s="118"/>
      <c r="E1" s="118"/>
      <c r="F1" s="118"/>
      <c r="G1" s="118"/>
      <c r="H1" s="118"/>
      <c r="I1" s="118"/>
      <c r="J1" s="46" t="s">
        <v>17</v>
      </c>
      <c r="K1" s="47" t="s">
        <v>94</v>
      </c>
    </row>
    <row r="2" spans="1:11" ht="18.75" customHeight="1" thickBo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</row>
    <row r="3" spans="1:11" ht="18.75" customHeight="1" thickBot="1" x14ac:dyDescent="0.25">
      <c r="A3" s="119" t="s">
        <v>50</v>
      </c>
      <c r="B3" s="119"/>
      <c r="C3" s="119"/>
      <c r="D3" s="109" t="str">
        <f>'Necesidades Trimestrales'!C4</f>
        <v>040 - Ministerio de Salud</v>
      </c>
      <c r="E3" s="109"/>
      <c r="F3" s="109"/>
      <c r="G3" s="109"/>
      <c r="H3" s="109"/>
      <c r="I3" s="109"/>
      <c r="J3" s="109"/>
      <c r="K3" s="109"/>
    </row>
    <row r="4" spans="1:11" ht="18.75" customHeight="1" thickBot="1" x14ac:dyDescent="0.25">
      <c r="A4" s="120" t="s">
        <v>51</v>
      </c>
      <c r="B4" s="120"/>
      <c r="C4" s="120"/>
      <c r="D4" s="109" t="str">
        <f>'Necesidades Trimestrales'!C5</f>
        <v>024 - Hospital Interzonal de Niños</v>
      </c>
      <c r="E4" s="109"/>
      <c r="F4" s="109"/>
      <c r="G4" s="109"/>
      <c r="H4" s="109"/>
      <c r="I4" s="109"/>
      <c r="J4" s="109"/>
      <c r="K4" s="109"/>
    </row>
    <row r="5" spans="1:11" ht="18.75" customHeight="1" thickBot="1" x14ac:dyDescent="0.25">
      <c r="A5" s="120" t="s">
        <v>29</v>
      </c>
      <c r="B5" s="120"/>
      <c r="C5" s="120"/>
      <c r="D5" s="109" t="s">
        <v>54</v>
      </c>
      <c r="E5" s="109"/>
      <c r="F5" s="109"/>
      <c r="G5" s="109"/>
      <c r="H5" s="109"/>
      <c r="I5" s="109"/>
      <c r="J5" s="109"/>
      <c r="K5" s="109"/>
    </row>
    <row r="6" spans="1:11" ht="16.5" customHeight="1" thickBot="1" x14ac:dyDescent="0.25">
      <c r="A6" s="119" t="s">
        <v>52</v>
      </c>
      <c r="B6" s="119"/>
      <c r="C6" s="119"/>
      <c r="D6" s="109" t="s">
        <v>56</v>
      </c>
      <c r="E6" s="109"/>
      <c r="F6" s="109"/>
      <c r="G6" s="109"/>
      <c r="H6" s="109"/>
      <c r="I6" s="109"/>
      <c r="J6" s="109"/>
      <c r="K6" s="109"/>
    </row>
    <row r="7" spans="1:11" ht="16.5" customHeight="1" x14ac:dyDescent="0.2">
      <c r="A7" s="120" t="s">
        <v>18</v>
      </c>
      <c r="B7" s="120"/>
      <c r="C7" s="120"/>
      <c r="D7" s="109" t="str">
        <f>'Necesidades Trimestrales'!C7 &amp; "° Trimestre - Año " &amp; 'Necesidades Trimestrales'!C6</f>
        <v>2° Trimestre - Año 2021</v>
      </c>
      <c r="E7" s="109"/>
      <c r="F7" s="109"/>
      <c r="G7" s="109"/>
      <c r="H7" s="109"/>
      <c r="I7" s="109"/>
      <c r="J7" s="109"/>
      <c r="K7" s="109"/>
    </row>
    <row r="8" spans="1:11" ht="16.5" customHeight="1" x14ac:dyDescent="0.2">
      <c r="A8" s="113" t="s">
        <v>19</v>
      </c>
      <c r="B8" s="113"/>
      <c r="C8" s="113"/>
      <c r="D8" s="114" t="s">
        <v>86</v>
      </c>
      <c r="E8" s="114"/>
      <c r="F8" s="114"/>
      <c r="G8" s="114"/>
      <c r="H8" s="114"/>
      <c r="I8" s="114"/>
      <c r="J8" s="114"/>
      <c r="K8" s="114"/>
    </row>
    <row r="9" spans="1:11" ht="15.75" x14ac:dyDescent="0.2">
      <c r="A9" s="52"/>
      <c r="B9" s="52"/>
      <c r="C9" s="52"/>
      <c r="D9" s="53"/>
      <c r="E9" s="53"/>
      <c r="F9" s="53"/>
      <c r="G9" s="53"/>
      <c r="H9" s="53"/>
      <c r="I9" s="53"/>
      <c r="J9" s="53"/>
      <c r="K9" s="53"/>
    </row>
    <row r="10" spans="1:11" ht="18.75" customHeight="1" x14ac:dyDescent="0.2">
      <c r="A10" s="115" t="s">
        <v>20</v>
      </c>
      <c r="B10" s="116" t="s">
        <v>21</v>
      </c>
      <c r="C10" s="116" t="s">
        <v>22</v>
      </c>
      <c r="D10" s="116"/>
      <c r="E10" s="116"/>
      <c r="F10" s="116"/>
      <c r="G10" s="116"/>
      <c r="H10" s="116" t="s">
        <v>23</v>
      </c>
      <c r="I10" s="116" t="s">
        <v>24</v>
      </c>
      <c r="J10" s="116" t="s">
        <v>25</v>
      </c>
      <c r="K10" s="117" t="s">
        <v>26</v>
      </c>
    </row>
    <row r="11" spans="1:11" ht="24" customHeight="1" x14ac:dyDescent="0.2">
      <c r="A11" s="115"/>
      <c r="B11" s="116"/>
      <c r="C11" s="116"/>
      <c r="D11" s="116"/>
      <c r="E11" s="116"/>
      <c r="F11" s="116"/>
      <c r="G11" s="116"/>
      <c r="H11" s="116"/>
      <c r="I11" s="116"/>
      <c r="J11" s="116"/>
      <c r="K11" s="117"/>
    </row>
    <row r="12" spans="1:11" ht="27.75" customHeight="1" x14ac:dyDescent="0.2">
      <c r="A12" s="54">
        <v>1</v>
      </c>
      <c r="B12" s="55" t="str">
        <f>'Necesidades Trimestrales'!B10</f>
        <v>2.9.4-588.68</v>
      </c>
      <c r="C12" s="111" t="str">
        <f>'Necesidades Trimestrales'!E10</f>
        <v>VASOS PLASTICOS DESCARTABLES; MATERIAL: POLIESTIRENO, MOTIVO: LISO, CAPACIDAD: 250 CM3, PRESENTACION: BOLSA X 100 UN, TIPO: BLANCO</v>
      </c>
      <c r="D12" s="111"/>
      <c r="E12" s="111"/>
      <c r="F12" s="111"/>
      <c r="G12" s="111"/>
      <c r="H12" s="56" t="s">
        <v>58</v>
      </c>
      <c r="I12" s="57" t="str">
        <f>'Necesidades Trimestrales'!F10</f>
        <v>BOLSA</v>
      </c>
      <c r="J12" s="58">
        <f>'Necesidades Trimestrales'!H10</f>
        <v>1000</v>
      </c>
      <c r="K12" s="59">
        <f>'Necesidades Trimestrales'!G10</f>
        <v>140</v>
      </c>
    </row>
    <row r="13" spans="1:11" ht="20.25" customHeight="1" x14ac:dyDescent="0.2">
      <c r="A13" s="60">
        <v>2</v>
      </c>
      <c r="B13" s="61" t="str">
        <f>'Necesidades Trimestrales'!B11</f>
        <v>2.9.4-690.15</v>
      </c>
      <c r="C13" s="112" t="str">
        <f>'Necesidades Trimestrales'!E11</f>
        <v>CUCHARAS; TIPO: DE MESA, MATERIAL: PLASTICO</v>
      </c>
      <c r="D13" s="112"/>
      <c r="E13" s="112"/>
      <c r="F13" s="112"/>
      <c r="G13" s="112"/>
      <c r="H13" s="62" t="s">
        <v>58</v>
      </c>
      <c r="I13" s="63" t="str">
        <f>'Necesidades Trimestrales'!F11</f>
        <v>UNIDAD</v>
      </c>
      <c r="J13" s="64">
        <f>'Necesidades Trimestrales'!H11</f>
        <v>2.5</v>
      </c>
      <c r="K13" s="65">
        <f>'Necesidades Trimestrales'!G11</f>
        <v>6000</v>
      </c>
    </row>
    <row r="14" spans="1:11" ht="20.25" customHeight="1" x14ac:dyDescent="0.2">
      <c r="A14" s="66">
        <v>3</v>
      </c>
      <c r="B14" s="61" t="str">
        <f>'Necesidades Trimestrales'!B12</f>
        <v>2.9.4-689.15</v>
      </c>
      <c r="C14" s="112" t="str">
        <f>'Necesidades Trimestrales'!E12</f>
        <v>CUCHILLOS; TIPO: DE MESA, MATERIAL: PLASTICO</v>
      </c>
      <c r="D14" s="112"/>
      <c r="E14" s="112"/>
      <c r="F14" s="112"/>
      <c r="G14" s="112"/>
      <c r="H14" s="62" t="s">
        <v>58</v>
      </c>
      <c r="I14" s="63" t="str">
        <f>'Necesidades Trimestrales'!F12</f>
        <v>UNIDAD</v>
      </c>
      <c r="J14" s="64">
        <f>'Necesidades Trimestrales'!H12</f>
        <v>1.6</v>
      </c>
      <c r="K14" s="65">
        <f>'Necesidades Trimestrales'!G12</f>
        <v>6000</v>
      </c>
    </row>
    <row r="15" spans="1:11" ht="20.25" customHeight="1" x14ac:dyDescent="0.2">
      <c r="A15" s="66">
        <v>4</v>
      </c>
      <c r="B15" s="61" t="str">
        <f>'Necesidades Trimestrales'!B13</f>
        <v>2.9.4-692.10</v>
      </c>
      <c r="C15" s="112" t="str">
        <f>'Necesidades Trimestrales'!E13</f>
        <v>TENEDORES; TIPO: DE MESA, MATERIAL: PLASTICO</v>
      </c>
      <c r="D15" s="112"/>
      <c r="E15" s="112"/>
      <c r="F15" s="112"/>
      <c r="G15" s="112"/>
      <c r="H15" s="62" t="s">
        <v>58</v>
      </c>
      <c r="I15" s="63" t="str">
        <f>'Necesidades Trimestrales'!F13</f>
        <v>UNIDAD</v>
      </c>
      <c r="J15" s="64">
        <f>'Necesidades Trimestrales'!H13</f>
        <v>1.6</v>
      </c>
      <c r="K15" s="65">
        <f>'Necesidades Trimestrales'!G13</f>
        <v>6000</v>
      </c>
    </row>
    <row r="16" spans="1:11" ht="26.25" customHeight="1" x14ac:dyDescent="0.2">
      <c r="A16" s="66">
        <v>5</v>
      </c>
      <c r="B16" s="61" t="str">
        <f>'Necesidades Trimestrales'!B14</f>
        <v>2.9.4-588.67</v>
      </c>
      <c r="C16" s="112" t="str">
        <f>'Necesidades Trimestrales'!E14</f>
        <v>VASOS PLASTICOS DESCARTABLES; MATERIAL: POLIPROPILENO, MOTIVO: LISO C/TAPA, CAPACIDAD: 500 CM3, PRESENTACION: ENVASE X 50, TIPO: ESTRIADO</v>
      </c>
      <c r="D16" s="112"/>
      <c r="E16" s="112"/>
      <c r="F16" s="112"/>
      <c r="G16" s="112"/>
      <c r="H16" s="62" t="s">
        <v>58</v>
      </c>
      <c r="I16" s="63" t="str">
        <f>'Necesidades Trimestrales'!F14</f>
        <v>PAQUETE</v>
      </c>
      <c r="J16" s="64">
        <f>'Necesidades Trimestrales'!H14</f>
        <v>250</v>
      </c>
      <c r="K16" s="65">
        <f>'Necesidades Trimestrales'!G14</f>
        <v>30</v>
      </c>
    </row>
    <row r="17" spans="1:11" ht="27.75" customHeight="1" x14ac:dyDescent="0.2">
      <c r="A17" s="66">
        <v>6</v>
      </c>
      <c r="B17" s="61" t="str">
        <f>'Necesidades Trimestrales'!B15</f>
        <v>2.9.4-588.50</v>
      </c>
      <c r="C17" s="112" t="str">
        <f>'Necesidades Trimestrales'!E15</f>
        <v>VASOS PLASTICOS DESCARTABLES; MATERIAL: POLIETILENO, CAPACIDAD: 220 CM3, PRESENTACION: PAQUETE X 100 UN, TIPO: BLANCO, MOTIVO: LISO</v>
      </c>
      <c r="D17" s="112"/>
      <c r="E17" s="112"/>
      <c r="F17" s="112"/>
      <c r="G17" s="112"/>
      <c r="H17" s="62" t="s">
        <v>58</v>
      </c>
      <c r="I17" s="63" t="str">
        <f>'Necesidades Trimestrales'!F15</f>
        <v>PAQUETE</v>
      </c>
      <c r="J17" s="64">
        <f>'Necesidades Trimestrales'!H15</f>
        <v>260</v>
      </c>
      <c r="K17" s="65">
        <f>'Necesidades Trimestrales'!G15</f>
        <v>240</v>
      </c>
    </row>
    <row r="18" spans="1:11" ht="31.5" customHeight="1" x14ac:dyDescent="0.2">
      <c r="A18" s="66">
        <v>7</v>
      </c>
      <c r="B18" s="61" t="str">
        <f>'Necesidades Trimestrales'!B16</f>
        <v>2.3.4-938.13</v>
      </c>
      <c r="C18" s="112" t="str">
        <f>'Necesidades Trimestrales'!E16</f>
        <v>SERVILLETAS DE PAPEL; PRESENTACION: PAQUETE X 100, DIMENSION: 24 X 24 Cm, COLOR: BLANCO, MOTIVO: SIN VALOR, TIPO: LISAS</v>
      </c>
      <c r="D18" s="112"/>
      <c r="E18" s="112"/>
      <c r="F18" s="112"/>
      <c r="G18" s="112"/>
      <c r="H18" s="62" t="s">
        <v>58</v>
      </c>
      <c r="I18" s="63" t="str">
        <f>'Necesidades Trimestrales'!F16</f>
        <v>PAQUETE</v>
      </c>
      <c r="J18" s="64">
        <f>'Necesidades Trimestrales'!H16</f>
        <v>55</v>
      </c>
      <c r="K18" s="65">
        <f>'Necesidades Trimestrales'!G16</f>
        <v>100</v>
      </c>
    </row>
    <row r="19" spans="1:11" ht="20.25" customHeight="1" x14ac:dyDescent="0.2">
      <c r="A19" s="66">
        <v>8</v>
      </c>
      <c r="B19" s="61" t="str">
        <f>'Necesidades Trimestrales'!B17</f>
        <v>2.3.4-5442.12</v>
      </c>
      <c r="C19" s="112" t="str">
        <f>'Necesidades Trimestrales'!E17</f>
        <v>ROLLOS P/COCINA; DIMENSION: 0,33 X 400 M, PRESENTACION: BOBINA</v>
      </c>
      <c r="D19" s="112"/>
      <c r="E19" s="112"/>
      <c r="F19" s="112"/>
      <c r="G19" s="112"/>
      <c r="H19" s="62" t="s">
        <v>58</v>
      </c>
      <c r="I19" s="63" t="str">
        <f>'Necesidades Trimestrales'!F17</f>
        <v>BOBINA</v>
      </c>
      <c r="J19" s="64">
        <f>'Necesidades Trimestrales'!H17</f>
        <v>600</v>
      </c>
      <c r="K19" s="65">
        <f>'Necesidades Trimestrales'!G17</f>
        <v>60</v>
      </c>
    </row>
    <row r="20" spans="1:11" ht="30" customHeight="1" x14ac:dyDescent="0.2">
      <c r="A20" s="66">
        <v>9</v>
      </c>
      <c r="B20" s="61" t="str">
        <f>'Necesidades Trimestrales'!B18</f>
        <v>2.9.4-4743.23</v>
      </c>
      <c r="C20" s="112" t="str">
        <f>'Necesidades Trimestrales'!E18</f>
        <v>BANDEJA P/TRANSP. DE ALIMENTO; DIMENSION: 18 X 14 X 4 Cm, TIPO: RECTANGULAR CON TAPA, MATERIAL: ALUMINIO, CAPACIDAD: 750 CM2</v>
      </c>
      <c r="D20" s="112"/>
      <c r="E20" s="112"/>
      <c r="F20" s="112"/>
      <c r="G20" s="112"/>
      <c r="H20" s="62" t="s">
        <v>58</v>
      </c>
      <c r="I20" s="63" t="str">
        <f>'Necesidades Trimestrales'!F18</f>
        <v>UNIDAD</v>
      </c>
      <c r="J20" s="64">
        <f>'Necesidades Trimestrales'!H18</f>
        <v>20</v>
      </c>
      <c r="K20" s="65">
        <f>'Necesidades Trimestrales'!G18</f>
        <v>36000</v>
      </c>
    </row>
    <row r="21" spans="1:11" ht="28.5" customHeight="1" thickBot="1" x14ac:dyDescent="0.25">
      <c r="A21" s="66">
        <v>10</v>
      </c>
      <c r="B21" s="61" t="str">
        <f>'Necesidades Trimestrales'!B19</f>
        <v>2.9.5-5755.16</v>
      </c>
      <c r="C21" s="112" t="str">
        <f>'Necesidades Trimestrales'!E19</f>
        <v>FILMS AUTOADHERENTES; TIPO: TRANSPARENTE, MATERIAL: POLIETILENO, PRESENTACION: ENVASE X 300 M, ANCHO: 38 Cm</v>
      </c>
      <c r="D21" s="112"/>
      <c r="E21" s="112"/>
      <c r="F21" s="112"/>
      <c r="G21" s="112"/>
      <c r="H21" s="62" t="s">
        <v>58</v>
      </c>
      <c r="I21" s="63" t="str">
        <f>'Necesidades Trimestrales'!F19</f>
        <v>UNIDAD</v>
      </c>
      <c r="J21" s="64">
        <f>'Necesidades Trimestrales'!H19</f>
        <v>530</v>
      </c>
      <c r="K21" s="65">
        <f>'Necesidades Trimestrales'!G19</f>
        <v>60</v>
      </c>
    </row>
    <row r="22" spans="1:11" ht="20.25" customHeight="1" thickBot="1" x14ac:dyDescent="0.25">
      <c r="A22" s="109" t="s">
        <v>92</v>
      </c>
      <c r="B22" s="109"/>
      <c r="C22" s="109"/>
      <c r="D22" s="109"/>
      <c r="E22" s="109"/>
      <c r="F22" s="109"/>
      <c r="G22" s="109"/>
      <c r="H22" s="109"/>
      <c r="I22" s="109"/>
      <c r="J22" s="110">
        <f>SUMPRODUCT(J12:J21,K12:K21)</f>
        <v>1037400</v>
      </c>
      <c r="K22" s="110"/>
    </row>
  </sheetData>
  <mergeCells count="32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22:I22"/>
    <mergeCell ref="J22:K22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zoomScale="130" zoomScaleNormal="130" workbookViewId="0">
      <selection activeCell="I29" sqref="I29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46" t="s">
        <v>3</v>
      </c>
      <c r="B1" s="146"/>
      <c r="C1" s="146"/>
      <c r="D1" s="147">
        <f>'Necesidades Trimestrales'!C6</f>
        <v>2021</v>
      </c>
      <c r="E1" s="147"/>
      <c r="F1" s="3"/>
      <c r="G1" s="3"/>
      <c r="H1" s="4"/>
      <c r="I1" s="4"/>
      <c r="J1" s="4"/>
      <c r="K1" s="4"/>
      <c r="L1" s="4"/>
      <c r="M1" s="4"/>
      <c r="N1" s="4"/>
      <c r="P1" s="148" t="s">
        <v>27</v>
      </c>
      <c r="Q1" s="148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48"/>
      <c r="Q2" s="148"/>
    </row>
    <row r="4" spans="1:17" s="5" customFormat="1" ht="18" customHeight="1" thickBot="1" x14ac:dyDescent="0.25">
      <c r="A4" s="149" t="s">
        <v>28</v>
      </c>
      <c r="B4" s="149"/>
      <c r="C4" s="149"/>
      <c r="D4" s="149"/>
      <c r="E4" s="149"/>
      <c r="F4" s="149"/>
      <c r="G4" s="144" t="str">
        <f>' NotaPedido'!D3</f>
        <v>040 - Ministerio de Salud</v>
      </c>
      <c r="H4" s="144"/>
      <c r="I4" s="144"/>
      <c r="J4" s="144"/>
      <c r="K4" s="144"/>
      <c r="L4" s="144"/>
      <c r="M4" s="144"/>
      <c r="N4" s="144"/>
      <c r="O4" s="144"/>
      <c r="P4" s="144"/>
      <c r="Q4" s="144"/>
    </row>
    <row r="5" spans="1:17" s="5" customFormat="1" ht="18" customHeight="1" thickBot="1" x14ac:dyDescent="0.25">
      <c r="A5" s="141" t="s">
        <v>51</v>
      </c>
      <c r="B5" s="142"/>
      <c r="C5" s="142"/>
      <c r="D5" s="142"/>
      <c r="E5" s="142"/>
      <c r="F5" s="143"/>
      <c r="G5" s="144" t="str">
        <f>' NotaPedido'!D4</f>
        <v>024 - Hospital Interzonal de Niños</v>
      </c>
      <c r="H5" s="144"/>
      <c r="I5" s="144"/>
      <c r="J5" s="144"/>
      <c r="K5" s="144"/>
      <c r="L5" s="144"/>
      <c r="M5" s="144"/>
      <c r="N5" s="144"/>
      <c r="O5" s="144"/>
      <c r="P5" s="144"/>
      <c r="Q5" s="144"/>
    </row>
    <row r="6" spans="1:17" s="5" customFormat="1" ht="18" customHeight="1" thickBot="1" x14ac:dyDescent="0.25">
      <c r="A6" s="141" t="s">
        <v>29</v>
      </c>
      <c r="B6" s="142"/>
      <c r="C6" s="142"/>
      <c r="D6" s="142"/>
      <c r="E6" s="142"/>
      <c r="F6" s="143"/>
      <c r="G6" s="144" t="str">
        <f>' NotaPedido'!D5</f>
        <v>024 - Hospital Interzonal de Niños</v>
      </c>
      <c r="H6" s="144"/>
      <c r="I6" s="144"/>
      <c r="J6" s="144"/>
      <c r="K6" s="144"/>
      <c r="L6" s="144"/>
      <c r="M6" s="144"/>
      <c r="N6" s="144"/>
      <c r="O6" s="144"/>
      <c r="P6" s="144"/>
      <c r="Q6" s="144"/>
    </row>
    <row r="7" spans="1:17" s="5" customFormat="1" ht="18" customHeight="1" thickBot="1" x14ac:dyDescent="0.25">
      <c r="A7" s="141" t="s">
        <v>52</v>
      </c>
      <c r="B7" s="142"/>
      <c r="C7" s="142"/>
      <c r="D7" s="142"/>
      <c r="E7" s="142"/>
      <c r="F7" s="143"/>
      <c r="G7" s="144" t="str">
        <f>' NotaPedido'!D6</f>
        <v>Servicio de Alimentacion y Dietoterapia</v>
      </c>
      <c r="H7" s="144"/>
      <c r="I7" s="144"/>
      <c r="J7" s="144"/>
      <c r="K7" s="144"/>
      <c r="L7" s="144"/>
      <c r="M7" s="144"/>
      <c r="N7" s="144"/>
      <c r="O7" s="144"/>
      <c r="P7" s="144"/>
      <c r="Q7" s="144"/>
    </row>
    <row r="8" spans="1:17" ht="18" customHeight="1" thickBot="1" x14ac:dyDescent="0.25">
      <c r="A8" s="145" t="s">
        <v>30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</row>
    <row r="9" spans="1:17" ht="18" customHeight="1" x14ac:dyDescent="0.2">
      <c r="A9" s="135" t="s">
        <v>31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"/>
      <c r="P9" s="1"/>
      <c r="Q9" s="6"/>
    </row>
    <row r="10" spans="1:17" ht="54.75" customHeight="1" x14ac:dyDescent="0.2">
      <c r="A10" s="136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27/2021,  afectando la erogación resultante a los créditos presupuestarios aprobados a favor de esta Unidad Ejecutora, conforme al siguiente detalle: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37" t="s">
        <v>32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</row>
    <row r="13" spans="1:17" ht="15.75" customHeight="1" x14ac:dyDescent="0.2">
      <c r="A13" s="138" t="s">
        <v>33</v>
      </c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9" t="s">
        <v>34</v>
      </c>
      <c r="P13" s="139"/>
      <c r="Q13" s="140" t="s">
        <v>35</v>
      </c>
    </row>
    <row r="14" spans="1:17" ht="15.75" customHeight="1" thickBot="1" x14ac:dyDescent="0.25">
      <c r="A14" s="11" t="s">
        <v>36</v>
      </c>
      <c r="B14" s="12" t="s">
        <v>37</v>
      </c>
      <c r="C14" s="12" t="s">
        <v>38</v>
      </c>
      <c r="D14" s="12" t="s">
        <v>39</v>
      </c>
      <c r="E14" s="12" t="s">
        <v>40</v>
      </c>
      <c r="F14" s="12" t="s">
        <v>41</v>
      </c>
      <c r="G14" s="13" t="s">
        <v>42</v>
      </c>
      <c r="H14" s="12" t="s">
        <v>43</v>
      </c>
      <c r="I14" s="12" t="s">
        <v>44</v>
      </c>
      <c r="J14" s="12" t="s">
        <v>45</v>
      </c>
      <c r="K14" s="12" t="s">
        <v>45</v>
      </c>
      <c r="L14" s="12" t="s">
        <v>46</v>
      </c>
      <c r="M14" s="14" t="s">
        <v>47</v>
      </c>
      <c r="N14" s="15" t="s">
        <v>48</v>
      </c>
      <c r="O14" s="139"/>
      <c r="P14" s="139"/>
      <c r="Q14" s="140"/>
    </row>
    <row r="15" spans="1:17" ht="17.25" customHeight="1" x14ac:dyDescent="0.2">
      <c r="A15" s="73">
        <v>36</v>
      </c>
      <c r="B15" s="91"/>
      <c r="C15" s="91"/>
      <c r="D15" s="91">
        <v>1</v>
      </c>
      <c r="E15" s="91"/>
      <c r="F15" s="91">
        <v>4901</v>
      </c>
      <c r="G15" s="91">
        <v>3</v>
      </c>
      <c r="H15" s="91">
        <v>310</v>
      </c>
      <c r="I15" s="93" t="str">
        <f>LEFT('Necesidades Trimestrales'!D10,1)</f>
        <v>2</v>
      </c>
      <c r="J15" s="93">
        <v>3</v>
      </c>
      <c r="K15" s="93" t="str">
        <f>RIGHT('Necesidades Trimestrales'!D10,1)</f>
        <v>4</v>
      </c>
      <c r="L15" s="91"/>
      <c r="M15" s="74">
        <v>1</v>
      </c>
      <c r="N15" s="75" t="s">
        <v>57</v>
      </c>
      <c r="O15" s="131" t="s">
        <v>78</v>
      </c>
      <c r="P15" s="132"/>
      <c r="Q15" s="16">
        <v>41500</v>
      </c>
    </row>
    <row r="16" spans="1:17" ht="17.25" customHeight="1" x14ac:dyDescent="0.2">
      <c r="A16" s="86">
        <v>36</v>
      </c>
      <c r="B16" s="90"/>
      <c r="C16" s="90"/>
      <c r="D16" s="90">
        <v>1</v>
      </c>
      <c r="E16" s="90"/>
      <c r="F16" s="90">
        <v>4901</v>
      </c>
      <c r="G16" s="90">
        <v>3</v>
      </c>
      <c r="H16" s="90">
        <v>310</v>
      </c>
      <c r="I16" s="92" t="str">
        <f>LEFT('Necesidades Trimestrales'!D11,1)</f>
        <v>2</v>
      </c>
      <c r="J16" s="92">
        <v>9</v>
      </c>
      <c r="K16" s="92" t="str">
        <f>RIGHT('Necesidades Trimestrales'!D11,1)</f>
        <v>4</v>
      </c>
      <c r="L16" s="90"/>
      <c r="M16" s="87">
        <v>1</v>
      </c>
      <c r="N16" s="88" t="s">
        <v>57</v>
      </c>
      <c r="O16" s="126" t="s">
        <v>79</v>
      </c>
      <c r="P16" s="126"/>
      <c r="Q16" s="21">
        <v>964100</v>
      </c>
    </row>
    <row r="17" spans="1:18" ht="23.25" customHeight="1" x14ac:dyDescent="0.2">
      <c r="A17" s="86">
        <v>36</v>
      </c>
      <c r="B17" s="87"/>
      <c r="C17" s="87"/>
      <c r="D17" s="87">
        <v>1</v>
      </c>
      <c r="E17" s="87"/>
      <c r="F17" s="87">
        <v>4901</v>
      </c>
      <c r="G17" s="87">
        <v>3</v>
      </c>
      <c r="H17" s="87">
        <v>310</v>
      </c>
      <c r="I17" s="89" t="str">
        <f>LEFT('Necesidades Trimestrales'!D12,1)</f>
        <v>2</v>
      </c>
      <c r="J17" s="89">
        <v>9</v>
      </c>
      <c r="K17" s="89">
        <v>5</v>
      </c>
      <c r="L17" s="87"/>
      <c r="M17" s="87">
        <v>1</v>
      </c>
      <c r="N17" s="88" t="s">
        <v>57</v>
      </c>
      <c r="O17" s="133" t="s">
        <v>80</v>
      </c>
      <c r="P17" s="134"/>
      <c r="Q17" s="21">
        <v>31800</v>
      </c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26"/>
      <c r="P18" s="126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26"/>
      <c r="P19" s="126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26"/>
      <c r="P20" s="126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27"/>
      <c r="P21" s="127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28"/>
      <c r="P22" s="128"/>
      <c r="Q22" s="30"/>
    </row>
    <row r="23" spans="1:18" ht="29.25" customHeight="1" x14ac:dyDescent="0.2">
      <c r="A23" s="129" t="s">
        <v>93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31">
        <f>SUM(Q15:Q22)</f>
        <v>1037400</v>
      </c>
    </row>
    <row r="24" spans="1:18" ht="18" customHeight="1" thickBot="1" x14ac:dyDescent="0.25">
      <c r="A24" s="130"/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</row>
    <row r="25" spans="1:18" ht="17.25" customHeight="1" thickBot="1" x14ac:dyDescent="0.25">
      <c r="A25" s="121" t="s">
        <v>49</v>
      </c>
      <c r="B25" s="122"/>
      <c r="C25" s="122"/>
      <c r="D25" s="122"/>
      <c r="E25" s="122"/>
      <c r="F25" s="123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</row>
    <row r="26" spans="1:18" ht="18" customHeight="1" thickBot="1" x14ac:dyDescent="0.25">
      <c r="A26" s="125" t="s">
        <v>81</v>
      </c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</row>
    <row r="27" spans="1:18" ht="15" customHeight="1" x14ac:dyDescent="0.2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2020-07-23T13:47:13Z</cp:lastPrinted>
  <dcterms:created xsi:type="dcterms:W3CDTF">2020-07-17T23:44:49Z</dcterms:created>
  <dcterms:modified xsi:type="dcterms:W3CDTF">2021-03-10T15:29:59Z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