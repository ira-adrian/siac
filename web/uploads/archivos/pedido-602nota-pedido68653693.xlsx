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Rodolfo\CONSOLIDADOS\MDSD- MSEG-MVU\MVU\"/>
    </mc:Choice>
  </mc:AlternateContent>
  <xr:revisionPtr revIDLastSave="0" documentId="13_ncr:1_{9D1047C7-2ACA-4010-A6C1-69707262CDF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K12" i="2" l="1"/>
  <c r="I10" i="1"/>
  <c r="Q15" i="3" s="1"/>
  <c r="Q23" i="3" s="1"/>
  <c r="A10" i="3"/>
  <c r="G6" i="3" l="1"/>
  <c r="G7" i="3"/>
  <c r="D7" i="2"/>
  <c r="D3" i="2"/>
  <c r="G4" i="3" s="1"/>
  <c r="D4" i="2"/>
  <c r="G5" i="3" s="1"/>
  <c r="D1" i="3" l="1"/>
  <c r="J12" i="2"/>
  <c r="J15" i="2" s="1"/>
  <c r="I12" i="2"/>
  <c r="C12" i="2"/>
  <c r="B12" i="2"/>
  <c r="D10" i="1"/>
  <c r="I15" i="3" s="1"/>
  <c r="I12" i="1" l="1"/>
  <c r="K15" i="3"/>
  <c r="J15" i="3"/>
</calcChain>
</file>

<file path=xl/sharedStrings.xml><?xml version="1.0" encoding="utf-8"?>
<sst xmlns="http://schemas.openxmlformats.org/spreadsheetml/2006/main" count="82" uniqueCount="74">
  <si>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</si>
  <si>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</si>
  <si>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</si>
  <si>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</si>
  <si>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</si>
  <si>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</si>
  <si>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</si>
  <si>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</si>
  <si>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</si>
  <si>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</si>
  <si>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</si>
  <si>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</si>
  <si>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</si>
  <si>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</si>
  <si>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</si>
  <si>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</si>
  <si>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</si>
  <si>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</si>
  <si>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</si>
  <si>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</si>
  <si>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</si>
  <si>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</si>
  <si>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</si>
  <si>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</si>
  <si>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</si>
  <si>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</si>
  <si>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</si>
  <si>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</si>
  <si>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</si>
  <si>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</si>
  <si>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</si>
  <si>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</si>
  <si>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</si>
  <si>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</si>
  <si>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</si>
  <si>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</si>
  <si>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</si>
  <si>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</si>
  <si>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</si>
  <si>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</si>
  <si>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</si>
  <si>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</si>
  <si>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</si>
  <si>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</si>
  <si>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</si>
  <si>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</si>
  <si>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</si>
  <si>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</si>
  <si>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</si>
  <si>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</si>
  <si>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</si>
  <si>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</si>
  <si>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</si>
  <si>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</si>
  <si>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</si>
  <si>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</si>
  <si>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</si>
  <si>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MINISTERIO DE VIVIENDA - AV. VENEZUELA S/Nº - CAPE - PABELLON Nº7</t>
  </si>
  <si>
    <t>1.1</t>
  </si>
  <si>
    <t>35 - Ministerio de Vivienda y Urbanizacion</t>
  </si>
  <si>
    <t>Ministerio de Vivienda y Urbanizacion</t>
  </si>
  <si>
    <t>48 - Direccion Provincial de Gestion de Administracion y Recursos Humanos</t>
  </si>
  <si>
    <t>COMBUSTIBLES Y LUBRICANTES</t>
  </si>
  <si>
    <t>LITROS</t>
  </si>
  <si>
    <t>2.5.6-793.31</t>
  </si>
  <si>
    <t>GAS OIL; PRESENTACION: POR LITRO, USO: MOTORES DIESEL, COMERCIALIZACION: GRADO 3, DESTINO: DPTO. S.F.V. DE CATAMARCA</t>
  </si>
  <si>
    <t>Adquisicion de Combustible Gasoil para vehiculos Oficiales del Ministerio de Vivienda y Urbanizacion.</t>
  </si>
  <si>
    <t>DENTRO DE LOS 15 DIAS HABILES, A PARTIR DEL PERFECCIONAMIENTO DEL DOCUMENTO CONTRACTUAL.</t>
  </si>
  <si>
    <t>30 DIAS.</t>
  </si>
  <si>
    <t>SE SUGIERE LA ENTREGA DE VALES DE 10 LITROS. CUANDO LA CANTIDAD ADJUDICADA NO PERMITA LA CONFECCIONDE DICHO VALE SE PODRA CONFECCIONAR UN VALE POR UNA CANTIDAD MENOR.</t>
  </si>
  <si>
    <t>SI</t>
  </si>
  <si>
    <t>882/2021</t>
  </si>
  <si>
    <t>Costo total estimado: Un Millon Novecientos Noventa y Nueve Mil Novecientos Cincuenta y Tres con 00/100</t>
  </si>
  <si>
    <r>
      <t xml:space="preserve">TOTAL DE PESOS: </t>
    </r>
    <r>
      <rPr>
        <b/>
        <sz val="8"/>
        <rFont val="Arial"/>
        <family val="2"/>
      </rPr>
      <t>Un Millon Novecientos Noventa y Nueve Mil Novecientos Cincuenta y Tres con 00/100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</si>
</sst>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4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5" xfId="0" applyBorder="1"/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166" fontId="0" fillId="0" borderId="48" xfId="3" applyNumberFormat="1" applyFont="1" applyBorder="1" applyAlignment="1" applyProtection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6" fontId="0" fillId="0" borderId="52" xfId="3" applyNumberFormat="1" applyFont="1" applyBorder="1" applyAlignment="1" applyProtection="1">
      <alignment horizontal="center" vertical="center"/>
    </xf>
    <xf numFmtId="166" fontId="14" fillId="0" borderId="53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14" xfId="0" applyFont="1" applyBorder="1" applyAlignment="1">
      <alignment horizontal="left" indent="3"/>
    </xf>
    <xf numFmtId="0" fontId="16" fillId="0" borderId="15" xfId="0" applyFont="1" applyBorder="1"/>
    <xf numFmtId="0" fontId="16" fillId="0" borderId="16" xfId="0" applyFont="1" applyBorder="1"/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25" fillId="0" borderId="41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3" fontId="16" fillId="0" borderId="0" xfId="0" applyNumberFormat="1" applyFont="1" applyFill="1"/>
    <xf numFmtId="0" fontId="21" fillId="0" borderId="5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22" fillId="0" borderId="57" xfId="0" applyFont="1" applyFill="1" applyBorder="1" applyAlignment="1">
      <alignment horizontal="center" vertical="center" wrapText="1"/>
    </xf>
    <xf numFmtId="0" fontId="22" fillId="0" borderId="57" xfId="0" applyFont="1" applyFill="1" applyBorder="1" applyAlignment="1">
      <alignment horizontal="left" vertical="center" wrapText="1"/>
    </xf>
    <xf numFmtId="166" fontId="21" fillId="0" borderId="57" xfId="1" applyNumberFormat="1" applyFont="1" applyFill="1" applyBorder="1" applyAlignment="1" applyProtection="1">
      <alignment horizontal="right" vertical="center" wrapText="1"/>
    </xf>
    <xf numFmtId="0" fontId="16" fillId="0" borderId="57" xfId="0" applyFont="1" applyFill="1" applyBorder="1" applyAlignment="1">
      <alignment horizontal="center"/>
    </xf>
    <xf numFmtId="0" fontId="16" fillId="0" borderId="57" xfId="0" applyFont="1" applyFill="1" applyBorder="1"/>
    <xf numFmtId="0" fontId="20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166" fontId="21" fillId="0" borderId="58" xfId="1" applyNumberFormat="1" applyFont="1" applyFill="1" applyBorder="1" applyAlignment="1" applyProtection="1">
      <alignment horizontal="right" vertical="center"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166" fontId="4" fillId="0" borderId="2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/>
    </xf>
    <xf numFmtId="1" fontId="10" fillId="0" borderId="30" xfId="0" applyNumberFormat="1" applyFont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12" fillId="0" borderId="18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left"/>
    </xf>
    <xf numFmtId="0" fontId="12" fillId="0" borderId="32" xfId="0" applyFont="1" applyBorder="1"/>
    <xf numFmtId="0" fontId="12" fillId="0" borderId="33" xfId="0" applyFont="1" applyBorder="1" applyAlignment="1">
      <alignment horizontal="left" vertical="center" wrapText="1" indent="1"/>
    </xf>
    <xf numFmtId="0" fontId="14" fillId="0" borderId="3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0" fillId="0" borderId="47" xfId="0" applyFont="1" applyBorder="1" applyAlignment="1">
      <alignment horizontal="left" vertical="center"/>
    </xf>
    <xf numFmtId="0" fontId="10" fillId="0" borderId="29" xfId="0" applyFont="1" applyBorder="1" applyAlignment="1">
      <alignment vertical="center" wrapText="1"/>
    </xf>
    <xf numFmtId="0" fontId="10" fillId="0" borderId="54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53" xfId="0" applyFont="1" applyFill="1" applyBorder="1" applyAlignment="1">
      <alignment horizontal="left" vertical="center" wrapText="1" indent="1"/>
    </xf>
    <xf numFmtId="0" fontId="0" fillId="0" borderId="47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0" fontId="0" fillId="0" borderId="31" xfId="0" applyBorder="1"/>
    <xf numFmtId="44" fontId="21" fillId="0" borderId="57" xfId="1" applyNumberFormat="1" applyFont="1" applyFill="1" applyBorder="1" applyAlignment="1" applyProtection="1">
      <alignment horizontal="center" vertical="center" wrapText="1"/>
    </xf>
    <xf numFmtId="44" fontId="21" fillId="0" borderId="58" xfId="1" applyNumberFormat="1" applyFont="1" applyFill="1" applyBorder="1" applyAlignment="1" applyProtection="1">
      <alignment horizontal="right" vertical="center" wrapText="1"/>
    </xf>
    <xf numFmtId="44" fontId="19" fillId="0" borderId="8" xfId="0" applyNumberFormat="1" applyFont="1" applyFill="1" applyBorder="1" applyAlignment="1">
      <alignment horizontal="right" wrapText="1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F4" zoomScaleNormal="100" workbookViewId="0">
      <selection activeCell="I12" sqref="I12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38" customWidth="1"/>
    <col min="8" max="8" width="13.85546875" style="38" customWidth="1"/>
    <col min="9" max="9" width="18.5703125" style="38" customWidth="1"/>
    <col min="10" max="10" width="18" style="38" customWidth="1"/>
    <col min="11" max="16384" width="11" style="38"/>
  </cols>
  <sheetData>
    <row r="1" spans="1:10" x14ac:dyDescent="0.2">
      <c r="A1" s="46"/>
      <c r="B1" s="46"/>
      <c r="C1" s="46"/>
      <c r="D1" s="46"/>
      <c r="E1" s="46"/>
      <c r="F1" s="46"/>
      <c r="G1" s="46"/>
      <c r="H1" s="46"/>
      <c r="I1" s="46"/>
      <c r="J1" s="46"/>
    </row>
    <row r="2" spans="1:10" ht="27" x14ac:dyDescent="0.35">
      <c r="A2" s="46"/>
      <c r="B2" s="90" t="s">
        <v>0</v>
      </c>
      <c r="C2" s="90"/>
      <c r="D2" s="90"/>
      <c r="E2" s="90"/>
      <c r="F2" s="90"/>
      <c r="G2" s="90"/>
      <c r="H2" s="90"/>
      <c r="I2" s="46"/>
      <c r="J2" s="46"/>
    </row>
    <row r="3" spans="1:10" x14ac:dyDescent="0.2">
      <c r="A3" s="46"/>
      <c r="B3" s="46"/>
      <c r="C3" s="46"/>
      <c r="D3" s="46"/>
      <c r="E3" s="46"/>
      <c r="F3" s="46"/>
      <c r="G3" s="46"/>
      <c r="H3" s="46"/>
      <c r="I3" s="46"/>
      <c r="J3" s="46"/>
    </row>
    <row r="4" spans="1:10" ht="18" customHeight="1" x14ac:dyDescent="0.25">
      <c r="A4" s="91" t="s">
        <v>1</v>
      </c>
      <c r="B4" s="91"/>
      <c r="C4" s="92" t="s">
        <v>59</v>
      </c>
      <c r="D4" s="92"/>
      <c r="E4" s="92"/>
      <c r="F4" s="47"/>
      <c r="G4" s="48"/>
      <c r="H4" s="47"/>
      <c r="I4" s="46"/>
      <c r="J4" s="46"/>
    </row>
    <row r="5" spans="1:10" ht="18" customHeight="1" x14ac:dyDescent="0.25">
      <c r="A5" s="91" t="s">
        <v>2</v>
      </c>
      <c r="B5" s="91"/>
      <c r="C5" s="92" t="s">
        <v>61</v>
      </c>
      <c r="D5" s="92"/>
      <c r="E5" s="92"/>
      <c r="F5" s="47"/>
      <c r="G5" s="48"/>
      <c r="H5" s="47"/>
      <c r="I5" s="46"/>
      <c r="J5" s="46"/>
    </row>
    <row r="6" spans="1:10" ht="16.5" customHeight="1" x14ac:dyDescent="0.25">
      <c r="A6" s="91" t="s">
        <v>3</v>
      </c>
      <c r="B6" s="91"/>
      <c r="C6" s="49">
        <v>2021</v>
      </c>
      <c r="D6" s="50"/>
      <c r="E6" s="50"/>
      <c r="F6" s="47"/>
      <c r="G6" s="48"/>
      <c r="H6" s="47"/>
      <c r="I6" s="46"/>
      <c r="J6" s="46"/>
    </row>
    <row r="7" spans="1:10" ht="16.5" customHeight="1" x14ac:dyDescent="0.25">
      <c r="A7" s="91" t="s">
        <v>4</v>
      </c>
      <c r="B7" s="91"/>
      <c r="C7" s="49">
        <v>4</v>
      </c>
      <c r="D7" s="50"/>
      <c r="E7" s="50"/>
      <c r="F7" s="47"/>
      <c r="G7" s="48"/>
      <c r="H7" s="47"/>
      <c r="I7" s="46"/>
      <c r="J7" s="46"/>
    </row>
    <row r="8" spans="1:10" ht="13.5" thickBot="1" x14ac:dyDescent="0.25">
      <c r="A8" s="46"/>
      <c r="B8" s="47"/>
      <c r="C8" s="48"/>
      <c r="D8" s="47"/>
      <c r="E8" s="47"/>
      <c r="F8" s="47"/>
      <c r="G8" s="48"/>
      <c r="H8" s="47"/>
      <c r="I8" s="46"/>
      <c r="J8" s="46"/>
    </row>
    <row r="9" spans="1:10" ht="38.25" x14ac:dyDescent="0.2">
      <c r="A9" s="72" t="s">
        <v>5</v>
      </c>
      <c r="B9" s="73" t="s">
        <v>6</v>
      </c>
      <c r="C9" s="73" t="s">
        <v>7</v>
      </c>
      <c r="D9" s="73" t="s">
        <v>8</v>
      </c>
      <c r="E9" s="73" t="s">
        <v>9</v>
      </c>
      <c r="F9" s="73" t="s">
        <v>10</v>
      </c>
      <c r="G9" s="73" t="s">
        <v>11</v>
      </c>
      <c r="H9" s="73" t="s">
        <v>12</v>
      </c>
      <c r="I9" s="74" t="s">
        <v>13</v>
      </c>
      <c r="J9" s="46"/>
    </row>
    <row r="10" spans="1:10" ht="24" x14ac:dyDescent="0.2">
      <c r="A10" s="52">
        <v>1</v>
      </c>
      <c r="B10" s="67" t="s">
        <v>64</v>
      </c>
      <c r="C10" s="88" t="s">
        <v>62</v>
      </c>
      <c r="D10" s="67" t="str">
        <f>LEFT(B10,5)</f>
        <v>2.5.6</v>
      </c>
      <c r="E10" s="68" t="s">
        <v>65</v>
      </c>
      <c r="F10" s="67" t="s">
        <v>63</v>
      </c>
      <c r="G10" s="67">
        <v>21030</v>
      </c>
      <c r="H10" s="137">
        <v>95.1</v>
      </c>
      <c r="I10" s="138">
        <f>G10*H10</f>
        <v>1999952.9999999998</v>
      </c>
      <c r="J10" s="51"/>
    </row>
    <row r="11" spans="1:10" x14ac:dyDescent="0.2">
      <c r="A11" s="52"/>
      <c r="B11" s="70"/>
      <c r="C11" s="71"/>
      <c r="D11" s="67"/>
      <c r="E11" s="71"/>
      <c r="F11" s="67"/>
      <c r="G11" s="67"/>
      <c r="H11" s="69"/>
      <c r="I11" s="75"/>
      <c r="J11" s="46"/>
    </row>
    <row r="12" spans="1:10" ht="13.5" thickBot="1" x14ac:dyDescent="0.25">
      <c r="A12" s="53"/>
      <c r="B12" s="54"/>
      <c r="C12" s="55"/>
      <c r="D12" s="54"/>
      <c r="E12" s="55"/>
      <c r="F12" s="56"/>
      <c r="G12" s="56"/>
      <c r="H12" s="56"/>
      <c r="I12" s="139">
        <f>SUM(I10:I11)</f>
        <v>1999952.9999999998</v>
      </c>
      <c r="J12" s="46"/>
    </row>
    <row r="13" spans="1:10" x14ac:dyDescent="0.2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spans="1:10" x14ac:dyDescent="0.2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spans="1:10" x14ac:dyDescent="0.2">
      <c r="A15" s="46"/>
      <c r="B15" s="57" t="s">
        <v>14</v>
      </c>
      <c r="C15" s="58"/>
      <c r="D15" s="58"/>
      <c r="E15" s="59"/>
      <c r="F15" s="46"/>
      <c r="G15" s="46"/>
      <c r="H15" s="46"/>
      <c r="I15" s="46"/>
      <c r="J15" s="46"/>
    </row>
    <row r="16" spans="1:10" ht="5.25" customHeight="1" x14ac:dyDescent="0.2">
      <c r="A16" s="46"/>
      <c r="B16" s="60"/>
      <c r="C16" s="61"/>
      <c r="D16" s="61"/>
      <c r="E16" s="62"/>
      <c r="F16" s="46"/>
      <c r="G16" s="46"/>
      <c r="H16" s="46"/>
      <c r="I16" s="46"/>
      <c r="J16" s="46"/>
    </row>
    <row r="17" spans="1:10" x14ac:dyDescent="0.2">
      <c r="A17" s="46"/>
      <c r="B17" s="63" t="s">
        <v>15</v>
      </c>
      <c r="C17" s="61"/>
      <c r="D17" s="61"/>
      <c r="E17" s="62"/>
      <c r="F17" s="46"/>
      <c r="G17" s="46"/>
      <c r="H17" s="46"/>
      <c r="I17" s="46"/>
      <c r="J17" s="46"/>
    </row>
    <row r="18" spans="1:10" ht="41.25" customHeight="1" x14ac:dyDescent="0.2">
      <c r="A18" s="46"/>
      <c r="B18" s="63"/>
      <c r="C18" s="95" t="s">
        <v>69</v>
      </c>
      <c r="D18" s="95"/>
      <c r="E18" s="96"/>
      <c r="F18" s="46"/>
      <c r="G18" s="46"/>
      <c r="H18" s="46"/>
      <c r="I18" s="46"/>
      <c r="J18" s="46"/>
    </row>
    <row r="19" spans="1:10" x14ac:dyDescent="0.2">
      <c r="A19" s="46"/>
      <c r="B19" s="63" t="s">
        <v>16</v>
      </c>
      <c r="C19" s="61"/>
      <c r="D19" s="61"/>
      <c r="E19" s="62"/>
      <c r="F19" s="46"/>
      <c r="G19" s="46"/>
      <c r="H19" s="46"/>
      <c r="I19" s="46"/>
      <c r="J19" s="46"/>
    </row>
    <row r="20" spans="1:10" x14ac:dyDescent="0.2">
      <c r="A20" s="46"/>
      <c r="B20" s="64"/>
      <c r="C20" s="94" t="s">
        <v>67</v>
      </c>
      <c r="D20" s="94"/>
      <c r="E20" s="94"/>
      <c r="F20" s="46"/>
      <c r="G20" s="46"/>
      <c r="H20" s="46"/>
      <c r="I20" s="46"/>
      <c r="J20" s="46"/>
    </row>
    <row r="21" spans="1:10" x14ac:dyDescent="0.2">
      <c r="A21" s="46"/>
      <c r="B21" s="64"/>
      <c r="C21" s="94" t="s">
        <v>57</v>
      </c>
      <c r="D21" s="94"/>
      <c r="E21" s="94"/>
      <c r="F21" s="46"/>
      <c r="G21" s="46"/>
      <c r="H21" s="46"/>
      <c r="I21" s="46"/>
      <c r="J21" s="46"/>
    </row>
    <row r="22" spans="1:10" x14ac:dyDescent="0.2">
      <c r="A22" s="46"/>
      <c r="B22" s="63" t="s">
        <v>17</v>
      </c>
      <c r="C22" s="61"/>
      <c r="D22" s="61"/>
      <c r="E22" s="62"/>
      <c r="F22" s="46"/>
      <c r="G22" s="46"/>
      <c r="H22" s="46"/>
      <c r="I22" s="46"/>
      <c r="J22" s="46"/>
    </row>
    <row r="23" spans="1:10" ht="26.25" customHeight="1" x14ac:dyDescent="0.2">
      <c r="A23" s="46"/>
      <c r="B23" s="64"/>
      <c r="C23" s="93"/>
      <c r="D23" s="93"/>
      <c r="E23" s="93"/>
      <c r="F23" s="46"/>
      <c r="G23" s="46"/>
      <c r="H23" s="46"/>
      <c r="I23" s="46"/>
      <c r="J23" s="46"/>
    </row>
    <row r="24" spans="1:10" x14ac:dyDescent="0.2">
      <c r="A24" s="46"/>
      <c r="B24" s="63" t="s">
        <v>18</v>
      </c>
      <c r="C24" s="65"/>
      <c r="D24" s="65"/>
      <c r="E24" s="66"/>
      <c r="F24" s="46"/>
      <c r="G24" s="46"/>
      <c r="H24" s="46"/>
      <c r="I24" s="46"/>
      <c r="J24" s="46"/>
    </row>
    <row r="25" spans="1:10" ht="26.25" customHeight="1" x14ac:dyDescent="0.2">
      <c r="A25" s="46"/>
      <c r="B25" s="64"/>
      <c r="C25" s="93" t="s">
        <v>68</v>
      </c>
      <c r="D25" s="93"/>
      <c r="E25" s="93"/>
      <c r="F25" s="46"/>
      <c r="G25" s="46"/>
      <c r="H25" s="46"/>
      <c r="I25" s="46"/>
      <c r="J25" s="46"/>
    </row>
    <row r="26" spans="1:10" x14ac:dyDescent="0.2">
      <c r="A26" s="46"/>
      <c r="B26" s="63" t="s">
        <v>19</v>
      </c>
      <c r="C26" s="61"/>
      <c r="D26" s="61"/>
      <c r="E26" s="62"/>
      <c r="F26" s="46"/>
      <c r="G26" s="46"/>
      <c r="H26" s="46"/>
      <c r="I26" s="46"/>
      <c r="J26" s="46"/>
    </row>
    <row r="27" spans="1:10" ht="23.25" customHeight="1" x14ac:dyDescent="0.2">
      <c r="A27" s="46"/>
      <c r="B27" s="63"/>
      <c r="C27" s="94"/>
      <c r="D27" s="94"/>
      <c r="E27" s="94"/>
      <c r="F27" s="46"/>
      <c r="G27" s="46"/>
      <c r="H27" s="46"/>
      <c r="I27" s="46"/>
      <c r="J27" s="46"/>
    </row>
    <row r="28" spans="1:10" ht="13.5" thickBot="1" x14ac:dyDescent="0.25">
      <c r="B28" s="39"/>
      <c r="C28" s="40"/>
      <c r="D28" s="40"/>
      <c r="E28" s="41"/>
    </row>
  </sheetData>
  <mergeCells count="13">
    <mergeCell ref="C23:E23"/>
    <mergeCell ref="C25:E25"/>
    <mergeCell ref="C27:E27"/>
    <mergeCell ref="A6:B6"/>
    <mergeCell ref="A7:B7"/>
    <mergeCell ref="C18:E18"/>
    <mergeCell ref="C20:E20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5"/>
  <sheetViews>
    <sheetView zoomScale="87" zoomScaleNormal="87" workbookViewId="0">
      <selection activeCell="A15" sqref="A15:I1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7" t="s">
        <v>20</v>
      </c>
      <c r="B1" s="97"/>
      <c r="C1" s="97"/>
      <c r="D1" s="97"/>
      <c r="E1" s="97"/>
      <c r="F1" s="97"/>
      <c r="G1" s="97"/>
      <c r="H1" s="97"/>
      <c r="I1" s="97"/>
      <c r="J1" s="76" t="s">
        <v>21</v>
      </c>
      <c r="K1" s="77" t="s">
        <v>71</v>
      </c>
    </row>
    <row r="2" spans="1:11" ht="18.75" customHeight="1" thickBot="1" x14ac:dyDescent="0.25">
      <c r="A2" s="78"/>
      <c r="B2" s="78"/>
      <c r="C2" s="78"/>
      <c r="D2" s="79"/>
      <c r="E2" s="79"/>
      <c r="F2" s="79"/>
      <c r="G2" s="79"/>
      <c r="H2" s="79"/>
      <c r="I2" s="79"/>
      <c r="J2" s="79"/>
      <c r="K2" s="79"/>
    </row>
    <row r="3" spans="1:11" ht="18.75" customHeight="1" thickBot="1" x14ac:dyDescent="0.25">
      <c r="A3" s="98" t="s">
        <v>54</v>
      </c>
      <c r="B3" s="98"/>
      <c r="C3" s="98"/>
      <c r="D3" s="99" t="str">
        <f>'Necesidades Trimestrales'!C4</f>
        <v>35 - Ministerio de Vivienda y Urbanizacion</v>
      </c>
      <c r="E3" s="99"/>
      <c r="F3" s="99"/>
      <c r="G3" s="99"/>
      <c r="H3" s="99"/>
      <c r="I3" s="99"/>
      <c r="J3" s="99"/>
      <c r="K3" s="99"/>
    </row>
    <row r="4" spans="1:11" ht="18.75" customHeight="1" thickBot="1" x14ac:dyDescent="0.25">
      <c r="A4" s="100" t="s">
        <v>55</v>
      </c>
      <c r="B4" s="100"/>
      <c r="C4" s="100"/>
      <c r="D4" s="99" t="str">
        <f>'Necesidades Trimestrales'!C5</f>
        <v>48 - Direccion Provincial de Gestion de Administracion y Recursos Humanos</v>
      </c>
      <c r="E4" s="99"/>
      <c r="F4" s="99"/>
      <c r="G4" s="99"/>
      <c r="H4" s="99"/>
      <c r="I4" s="99"/>
      <c r="J4" s="99"/>
      <c r="K4" s="99"/>
    </row>
    <row r="5" spans="1:11" ht="18.75" customHeight="1" thickBot="1" x14ac:dyDescent="0.25">
      <c r="A5" s="100" t="s">
        <v>33</v>
      </c>
      <c r="B5" s="100"/>
      <c r="C5" s="100"/>
      <c r="D5" s="99" t="s">
        <v>60</v>
      </c>
      <c r="E5" s="99"/>
      <c r="F5" s="99"/>
      <c r="G5" s="99"/>
      <c r="H5" s="99"/>
      <c r="I5" s="99"/>
      <c r="J5" s="99"/>
      <c r="K5" s="99"/>
    </row>
    <row r="6" spans="1:11" ht="16.5" customHeight="1" thickBot="1" x14ac:dyDescent="0.25">
      <c r="A6" s="98" t="s">
        <v>56</v>
      </c>
      <c r="B6" s="98"/>
      <c r="C6" s="98"/>
      <c r="D6" s="99" t="s">
        <v>60</v>
      </c>
      <c r="E6" s="99"/>
      <c r="F6" s="99"/>
      <c r="G6" s="99"/>
      <c r="H6" s="99"/>
      <c r="I6" s="99"/>
      <c r="J6" s="99"/>
      <c r="K6" s="99"/>
    </row>
    <row r="7" spans="1:11" ht="16.5" customHeight="1" x14ac:dyDescent="0.2">
      <c r="A7" s="100" t="s">
        <v>22</v>
      </c>
      <c r="B7" s="100"/>
      <c r="C7" s="100"/>
      <c r="D7" s="99" t="str">
        <f>'Necesidades Trimestrales'!C7 &amp; "° Trimestre - Año " &amp; 'Necesidades Trimestrales'!C6</f>
        <v>4° Trimestre - Año 2021</v>
      </c>
      <c r="E7" s="99"/>
      <c r="F7" s="99"/>
      <c r="G7" s="99"/>
      <c r="H7" s="99"/>
      <c r="I7" s="99"/>
      <c r="J7" s="99"/>
      <c r="K7" s="99"/>
    </row>
    <row r="8" spans="1:11" ht="33" customHeight="1" x14ac:dyDescent="0.2">
      <c r="A8" s="101" t="s">
        <v>23</v>
      </c>
      <c r="B8" s="101"/>
      <c r="C8" s="101"/>
      <c r="D8" s="102" t="s">
        <v>66</v>
      </c>
      <c r="E8" s="102"/>
      <c r="F8" s="102"/>
      <c r="G8" s="102"/>
      <c r="H8" s="102"/>
      <c r="I8" s="102"/>
      <c r="J8" s="102"/>
      <c r="K8" s="102"/>
    </row>
    <row r="9" spans="1:11" ht="15.75" x14ac:dyDescent="0.2">
      <c r="A9" s="80"/>
      <c r="B9" s="80"/>
      <c r="C9" s="80"/>
      <c r="D9" s="81"/>
      <c r="E9" s="81"/>
      <c r="F9" s="81"/>
      <c r="G9" s="81"/>
      <c r="H9" s="81"/>
      <c r="I9" s="81"/>
      <c r="J9" s="81"/>
      <c r="K9" s="81"/>
    </row>
    <row r="10" spans="1:11" ht="18.75" customHeight="1" x14ac:dyDescent="0.2">
      <c r="A10" s="103" t="s">
        <v>24</v>
      </c>
      <c r="B10" s="104" t="s">
        <v>25</v>
      </c>
      <c r="C10" s="104" t="s">
        <v>26</v>
      </c>
      <c r="D10" s="104"/>
      <c r="E10" s="104"/>
      <c r="F10" s="104"/>
      <c r="G10" s="104"/>
      <c r="H10" s="104" t="s">
        <v>27</v>
      </c>
      <c r="I10" s="104" t="s">
        <v>28</v>
      </c>
      <c r="J10" s="104" t="s">
        <v>29</v>
      </c>
      <c r="K10" s="105" t="s">
        <v>30</v>
      </c>
    </row>
    <row r="11" spans="1:11" ht="24" customHeight="1" thickBot="1" x14ac:dyDescent="0.25">
      <c r="A11" s="103"/>
      <c r="B11" s="104"/>
      <c r="C11" s="104"/>
      <c r="D11" s="104"/>
      <c r="E11" s="104"/>
      <c r="F11" s="104"/>
      <c r="G11" s="104"/>
      <c r="H11" s="104"/>
      <c r="I11" s="104"/>
      <c r="J11" s="104"/>
      <c r="K11" s="105"/>
    </row>
    <row r="12" spans="1:11" ht="36" customHeight="1" thickBot="1" x14ac:dyDescent="0.25">
      <c r="A12" s="82">
        <v>1</v>
      </c>
      <c r="B12" s="82" t="str">
        <f>'Necesidades Trimestrales'!B10</f>
        <v>2.5.6-793.31</v>
      </c>
      <c r="C12" s="108" t="str">
        <f>'Necesidades Trimestrales'!E10</f>
        <v>GAS OIL; PRESENTACION: POR LITRO, USO: MOTORES DIESEL, COMERCIALIZACION: GRADO 3, DESTINO: DPTO. S.F.V. DE CATAMARCA</v>
      </c>
      <c r="D12" s="108"/>
      <c r="E12" s="108"/>
      <c r="F12" s="108"/>
      <c r="G12" s="108"/>
      <c r="H12" s="82" t="s">
        <v>70</v>
      </c>
      <c r="I12" s="84" t="str">
        <f>'Necesidades Trimestrales'!F10</f>
        <v>LITROS</v>
      </c>
      <c r="J12" s="89">
        <f>'Necesidades Trimestrales'!H10</f>
        <v>95.1</v>
      </c>
      <c r="K12" s="86">
        <f>'Necesidades Trimestrales'!G10</f>
        <v>21030</v>
      </c>
    </row>
    <row r="13" spans="1:11" ht="27.75" customHeight="1" x14ac:dyDescent="0.2">
      <c r="A13" s="87"/>
      <c r="B13" s="83"/>
      <c r="C13" s="108"/>
      <c r="D13" s="108"/>
      <c r="E13" s="108"/>
      <c r="F13" s="108"/>
      <c r="G13" s="108"/>
      <c r="H13" s="82"/>
      <c r="I13" s="84"/>
      <c r="J13" s="85"/>
      <c r="K13" s="86"/>
    </row>
    <row r="14" spans="1:11" ht="20.25" customHeight="1" thickBot="1" x14ac:dyDescent="0.25">
      <c r="A14" s="3"/>
      <c r="B14" s="4"/>
      <c r="C14" s="109"/>
      <c r="D14" s="109"/>
      <c r="E14" s="109"/>
      <c r="F14" s="109"/>
      <c r="G14" s="109"/>
      <c r="H14" s="5"/>
      <c r="I14" s="6"/>
      <c r="J14" s="6"/>
      <c r="K14" s="7"/>
    </row>
    <row r="15" spans="1:11" ht="20.25" customHeight="1" x14ac:dyDescent="0.2">
      <c r="A15" s="106" t="s">
        <v>72</v>
      </c>
      <c r="B15" s="106"/>
      <c r="C15" s="106"/>
      <c r="D15" s="106"/>
      <c r="E15" s="106"/>
      <c r="F15" s="106"/>
      <c r="G15" s="106"/>
      <c r="H15" s="106"/>
      <c r="I15" s="106"/>
      <c r="J15" s="107">
        <f>SUMPRODUCT(J12:J14,K12:K14)</f>
        <v>1999952.9999999998</v>
      </c>
      <c r="K15" s="107"/>
    </row>
  </sheetData>
  <mergeCells count="25">
    <mergeCell ref="A15:I15"/>
    <mergeCell ref="J15:K15"/>
    <mergeCell ref="C12:G12"/>
    <mergeCell ref="C13:G13"/>
    <mergeCell ref="C14:G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8" customWidth="1"/>
    <col min="8" max="14" width="4.42578125" customWidth="1"/>
    <col min="15" max="16" width="14.85546875" customWidth="1"/>
    <col min="17" max="17" width="15" customWidth="1"/>
  </cols>
  <sheetData>
    <row r="1" spans="1:17" ht="15.75" customHeight="1" x14ac:dyDescent="0.25">
      <c r="A1" s="110" t="s">
        <v>3</v>
      </c>
      <c r="B1" s="110"/>
      <c r="C1" s="110"/>
      <c r="D1" s="111">
        <f>'Necesidades Trimestrales'!C6</f>
        <v>2021</v>
      </c>
      <c r="E1" s="111"/>
      <c r="F1" s="9"/>
      <c r="G1" s="9"/>
      <c r="H1" s="10"/>
      <c r="I1" s="10"/>
      <c r="J1" s="10"/>
      <c r="K1" s="10"/>
      <c r="L1" s="10"/>
      <c r="M1" s="10"/>
      <c r="N1" s="10"/>
      <c r="P1" s="112" t="s">
        <v>31</v>
      </c>
      <c r="Q1" s="112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12"/>
      <c r="Q2" s="112"/>
    </row>
    <row r="4" spans="1:17" s="11" customFormat="1" ht="18" customHeight="1" thickBot="1" x14ac:dyDescent="0.25">
      <c r="A4" s="113" t="s">
        <v>32</v>
      </c>
      <c r="B4" s="113"/>
      <c r="C4" s="113"/>
      <c r="D4" s="113"/>
      <c r="E4" s="113"/>
      <c r="F4" s="113"/>
      <c r="G4" s="114" t="str">
        <f>' NotaPedido'!D3</f>
        <v>35 - Ministerio de Vivienda y Urbanizacion</v>
      </c>
      <c r="H4" s="114"/>
      <c r="I4" s="114"/>
      <c r="J4" s="114"/>
      <c r="K4" s="114"/>
      <c r="L4" s="114"/>
      <c r="M4" s="114"/>
      <c r="N4" s="114"/>
      <c r="O4" s="114"/>
      <c r="P4" s="114"/>
      <c r="Q4" s="114"/>
    </row>
    <row r="5" spans="1:17" s="11" customFormat="1" ht="18" customHeight="1" thickBot="1" x14ac:dyDescent="0.25">
      <c r="A5" s="115" t="s">
        <v>55</v>
      </c>
      <c r="B5" s="116"/>
      <c r="C5" s="116"/>
      <c r="D5" s="116"/>
      <c r="E5" s="116"/>
      <c r="F5" s="117"/>
      <c r="G5" s="114" t="str">
        <f>' NotaPedido'!D4</f>
        <v>48 - Direccion Provincial de Gestion de Administracion y Recursos Humanos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1:17" s="11" customFormat="1" ht="18" customHeight="1" thickBot="1" x14ac:dyDescent="0.25">
      <c r="A6" s="115" t="s">
        <v>33</v>
      </c>
      <c r="B6" s="116"/>
      <c r="C6" s="116"/>
      <c r="D6" s="116"/>
      <c r="E6" s="116"/>
      <c r="F6" s="117"/>
      <c r="G6" s="114" t="str">
        <f>' NotaPedido'!D5</f>
        <v>Ministerio de Vivienda y Urbanizacion</v>
      </c>
      <c r="H6" s="114"/>
      <c r="I6" s="114"/>
      <c r="J6" s="114"/>
      <c r="K6" s="114"/>
      <c r="L6" s="114"/>
      <c r="M6" s="114"/>
      <c r="N6" s="114"/>
      <c r="O6" s="114"/>
      <c r="P6" s="114"/>
      <c r="Q6" s="114"/>
    </row>
    <row r="7" spans="1:17" s="11" customFormat="1" ht="18" customHeight="1" thickBot="1" x14ac:dyDescent="0.25">
      <c r="A7" s="115" t="s">
        <v>56</v>
      </c>
      <c r="B7" s="116"/>
      <c r="C7" s="116"/>
      <c r="D7" s="116"/>
      <c r="E7" s="116"/>
      <c r="F7" s="117"/>
      <c r="G7" s="114" t="str">
        <f>' NotaPedido'!D6</f>
        <v>Ministerio de Vivienda y Urbanizacion</v>
      </c>
      <c r="H7" s="114"/>
      <c r="I7" s="114"/>
      <c r="J7" s="114"/>
      <c r="K7" s="114"/>
      <c r="L7" s="114"/>
      <c r="M7" s="114"/>
      <c r="N7" s="114"/>
      <c r="O7" s="114"/>
      <c r="P7" s="114"/>
      <c r="Q7" s="114"/>
    </row>
    <row r="8" spans="1:17" ht="18" customHeight="1" thickBot="1" x14ac:dyDescent="0.25">
      <c r="A8" s="118" t="s">
        <v>34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</row>
    <row r="9" spans="1:17" ht="18" customHeight="1" x14ac:dyDescent="0.2">
      <c r="A9" s="119" t="s">
        <v>35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12"/>
    </row>
    <row r="10" spans="1:17" ht="54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882/2021,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 x14ac:dyDescent="0.2">
      <c r="A12" s="121" t="s">
        <v>36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">
      <c r="A13" s="122" t="s">
        <v>37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38</v>
      </c>
      <c r="P13" s="123"/>
      <c r="Q13" s="124" t="s">
        <v>39</v>
      </c>
    </row>
    <row r="14" spans="1:17" ht="15.75" customHeight="1" x14ac:dyDescent="0.2">
      <c r="A14" s="17" t="s">
        <v>40</v>
      </c>
      <c r="B14" s="18" t="s">
        <v>41</v>
      </c>
      <c r="C14" s="18" t="s">
        <v>42</v>
      </c>
      <c r="D14" s="18" t="s">
        <v>43</v>
      </c>
      <c r="E14" s="18" t="s">
        <v>44</v>
      </c>
      <c r="F14" s="18" t="s">
        <v>45</v>
      </c>
      <c r="G14" s="19" t="s">
        <v>46</v>
      </c>
      <c r="H14" s="18" t="s">
        <v>47</v>
      </c>
      <c r="I14" s="18" t="s">
        <v>48</v>
      </c>
      <c r="J14" s="18" t="s">
        <v>49</v>
      </c>
      <c r="K14" s="18" t="s">
        <v>49</v>
      </c>
      <c r="L14" s="18" t="s">
        <v>50</v>
      </c>
      <c r="M14" s="20" t="s">
        <v>51</v>
      </c>
      <c r="N14" s="21" t="s">
        <v>52</v>
      </c>
      <c r="O14" s="123"/>
      <c r="P14" s="123"/>
      <c r="Q14" s="124"/>
    </row>
    <row r="15" spans="1:17" ht="17.25" customHeight="1" x14ac:dyDescent="0.2">
      <c r="A15" s="42">
        <v>25</v>
      </c>
      <c r="B15" s="43">
        <v>0</v>
      </c>
      <c r="C15" s="43">
        <v>0</v>
      </c>
      <c r="D15" s="43">
        <v>1</v>
      </c>
      <c r="E15" s="43">
        <v>0</v>
      </c>
      <c r="F15" s="43">
        <v>4901</v>
      </c>
      <c r="G15" s="43">
        <v>3</v>
      </c>
      <c r="H15" s="43">
        <v>370</v>
      </c>
      <c r="I15" s="43" t="str">
        <f>LEFT('Necesidades Trimestrales'!D10,1)</f>
        <v>2</v>
      </c>
      <c r="J15" s="43" t="str">
        <f>MID('Necesidades Trimestrales'!D10,3,1)</f>
        <v>5</v>
      </c>
      <c r="K15" s="43" t="str">
        <f>RIGHT('Necesidades Trimestrales'!D10,1)</f>
        <v>6</v>
      </c>
      <c r="L15" s="43">
        <v>0</v>
      </c>
      <c r="M15" s="44">
        <v>1</v>
      </c>
      <c r="N15" s="45" t="s">
        <v>58</v>
      </c>
      <c r="O15" s="125" t="s">
        <v>62</v>
      </c>
      <c r="P15" s="126"/>
      <c r="Q15" s="22">
        <f>'Necesidades Trimestrales'!I10</f>
        <v>1999952.9999999998</v>
      </c>
    </row>
    <row r="16" spans="1:17" ht="17.2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27"/>
      <c r="P16" s="127"/>
      <c r="Q16" s="27"/>
    </row>
    <row r="17" spans="1:18" ht="17.25" customHeight="1" x14ac:dyDescent="0.2">
      <c r="A17" s="23"/>
      <c r="B17" s="24"/>
      <c r="C17" s="24"/>
      <c r="D17" s="24"/>
      <c r="E17" s="24"/>
      <c r="F17" s="26"/>
      <c r="G17" s="24"/>
      <c r="H17" s="24"/>
      <c r="I17" s="24"/>
      <c r="J17" s="24"/>
      <c r="K17" s="24"/>
      <c r="L17" s="24"/>
      <c r="M17" s="25"/>
      <c r="N17" s="26"/>
      <c r="O17" s="127"/>
      <c r="P17" s="127"/>
      <c r="Q17" s="27"/>
    </row>
    <row r="18" spans="1:18" ht="17.25" customHeight="1" x14ac:dyDescent="0.2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5"/>
      <c r="N18" s="26"/>
      <c r="O18" s="127"/>
      <c r="P18" s="127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27"/>
      <c r="P19" s="127"/>
      <c r="Q19" s="27"/>
    </row>
    <row r="20" spans="1:18" ht="17.25" customHeight="1" x14ac:dyDescent="0.2">
      <c r="A20" s="23"/>
      <c r="B20" s="24"/>
      <c r="C20" s="24"/>
      <c r="D20" s="24"/>
      <c r="E20" s="24"/>
      <c r="F20" s="26"/>
      <c r="G20" s="24"/>
      <c r="H20" s="24"/>
      <c r="I20" s="24"/>
      <c r="J20" s="24"/>
      <c r="K20" s="24"/>
      <c r="L20" s="24"/>
      <c r="M20" s="25"/>
      <c r="N20" s="26"/>
      <c r="O20" s="127"/>
      <c r="P20" s="127"/>
      <c r="Q20" s="27"/>
    </row>
    <row r="21" spans="1:18" ht="17.25" customHeight="1" x14ac:dyDescent="0.2">
      <c r="A21" s="28"/>
      <c r="B21" s="29"/>
      <c r="C21" s="29"/>
      <c r="D21" s="29"/>
      <c r="E21" s="29"/>
      <c r="F21" s="30"/>
      <c r="G21" s="29"/>
      <c r="H21" s="29"/>
      <c r="I21" s="29"/>
      <c r="J21" s="29"/>
      <c r="K21" s="29"/>
      <c r="L21" s="29"/>
      <c r="M21" s="31"/>
      <c r="N21" s="32"/>
      <c r="O21" s="133"/>
      <c r="P21" s="133"/>
      <c r="Q21" s="27"/>
      <c r="R21" s="1"/>
    </row>
    <row r="22" spans="1:18" ht="17.25" customHeight="1" x14ac:dyDescent="0.2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5"/>
      <c r="N22" s="34"/>
      <c r="O22" s="134"/>
      <c r="P22" s="134"/>
      <c r="Q22" s="36"/>
    </row>
    <row r="23" spans="1:18" ht="20.25" customHeight="1" x14ac:dyDescent="0.2">
      <c r="A23" s="135" t="s">
        <v>73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37">
        <f>SUM(Q15:Q22)</f>
        <v>1999952.9999999998</v>
      </c>
    </row>
    <row r="24" spans="1:18" ht="18" customHeight="1" thickBot="1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</row>
    <row r="25" spans="1:18" ht="17.25" customHeight="1" thickBot="1" x14ac:dyDescent="0.25">
      <c r="A25" s="128" t="s">
        <v>53</v>
      </c>
      <c r="B25" s="129"/>
      <c r="C25" s="129"/>
      <c r="D25" s="129"/>
      <c r="E25" s="129"/>
      <c r="F25" s="130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</row>
    <row r="26" spans="1:18" ht="23.25" customHeight="1" thickBot="1" x14ac:dyDescent="0.25">
      <c r="A26" s="132" t="s">
        <v>66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8" ht="20.25" customHeight="1" x14ac:dyDescent="0.2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RODOLFO SARTOR</cp:lastModifiedBy>
  <cp:revision>2</cp:revision>
  <cp:lastPrinted>2021-01-20T14:56:33Z</cp:lastPrinted>
  <dcterms:created xsi:type="dcterms:W3CDTF">2020-07-17T23:44:49Z</dcterms:created>
  <dcterms:modified xsi:type="dcterms:W3CDTF">2021-11-03T15:52:51Z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