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255" windowWidth="15600" windowHeight="11400" tabRatio="500"/>
  </bookViews>
  <sheets>
    <sheet name="Necesidades Trimestrales" sheetId="1" r:id="rId1"/>
    <sheet name=" NotaPedido" sheetId="2" r:id="rId2"/>
    <sheet name="Autor Gastar" sheetId="3" r:id="rId3"/>
  </sheets>
  <definedNames>
    <definedName name="_xlnm.Print_Area" localSheetId="1">' NotaPedido'!$A$1:$K$13</definedName>
    <definedName name="_xlnm.Print_Area" localSheetId="2">'Autor Gastar'!$A$1:$Q$28</definedName>
    <definedName name="_xlnm.Print_Area" localSheetId="0">'Necesidades Trimestrales'!$A$1:$I$75</definedName>
  </definedNames>
  <calcPr calcId="145621"/>
</workbook>
</file>

<file path=xl/calcChain.xml><?xml version="1.0" encoding="utf-8"?>
<calcChain xmlns="http://schemas.openxmlformats.org/spreadsheetml/2006/main">
  <c r="I11" i="1" l="1"/>
  <c r="D10" i="1" l="1"/>
  <c r="I10" i="1"/>
  <c r="J13" i="2"/>
  <c r="Q21" i="3" l="1"/>
  <c r="G4" i="3" l="1"/>
  <c r="G6" i="3" l="1"/>
  <c r="G7" i="3"/>
  <c r="G5" i="3"/>
  <c r="A10" i="3" l="1"/>
  <c r="D1" i="3"/>
</calcChain>
</file>

<file path=xl/sharedStrings.xml><?xml version="1.0" encoding="utf-8"?>
<sst xmlns="http://schemas.openxmlformats.org/spreadsheetml/2006/main" count="90" uniqueCount="76">
  <si>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</si>
  <si>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</si>
  <si>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</si>
  <si>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</si>
  <si>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</si>
  <si>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</si>
  <si>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</si>
  <si>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</si>
  <si>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</si>
  <si>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</si>
  <si>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</si>
  <si>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</si>
  <si>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</si>
  <si>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</si>
  <si>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</si>
  <si>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Descripción técnica</t>
  </si>
  <si>
    <t>Plazos y lugares de entrega</t>
  </si>
  <si>
    <t>Calidad Minima esperada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</si>
  <si>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</si>
  <si>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</si>
  <si>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</si>
  <si>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</si>
  <si>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</si>
  <si>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</si>
  <si>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</si>
  <si>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</si>
  <si>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</si>
  <si>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</si>
  <si>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</si>
  <si>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</si>
  <si>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</si>
  <si>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</si>
  <si>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</si>
  <si>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</si>
  <si>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</si>
  <si>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</si>
  <si>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</si>
  <si>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</si>
  <si>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</si>
  <si>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</si>
  <si>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</si>
  <si>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</si>
  <si>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</si>
  <si>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</si>
  <si>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</si>
  <si>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</si>
  <si>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</si>
  <si>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</si>
  <si>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</si>
  <si>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</si>
  <si>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</si>
  <si>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</si>
  <si>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</si>
  <si>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</si>
  <si>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</si>
  <si>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</si>
  <si>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</si>
  <si>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</si>
  <si>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 xml:space="preserve"> MINISTERIO DE CIENCIA E INNOVACION TECNOLOGICA</t>
  </si>
  <si>
    <t>1.1</t>
  </si>
  <si>
    <t>EQUIPOS</t>
  </si>
  <si>
    <t>El plazo de entrega  dentro de los sesenta (60) dias de recibida la orden de compra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 Título de propiedad a nombre del Ministerio de Ciencia e Innovación Tecnológica, constancia de patentamiento y placas identificadoras</t>
  </si>
  <si>
    <t>2 TRIMESTRE 2021</t>
  </si>
  <si>
    <t>ACOPLADOS; DIMENSION: 6 X 2,6 M, CAPACIDAD: 8 Ton, USO: CARGA GENERAL, MATERIAL: ACERO</t>
  </si>
  <si>
    <t>4.3.2-8393.35</t>
  </si>
  <si>
    <t>Equipo de Transporte,Traccion y Elevacion</t>
  </si>
  <si>
    <r>
      <t xml:space="preserve">Garantia: </t>
    </r>
    <r>
      <rPr>
        <sz val="10"/>
        <rFont val="Times New Roman"/>
        <family val="1"/>
      </rPr>
      <t>Garantía del fabricante minima de un (1) año.</t>
    </r>
  </si>
  <si>
    <r>
      <t>Mantenimiento</t>
    </r>
    <r>
      <rPr>
        <sz val="10"/>
        <rFont val="Times New Roman"/>
        <family val="1"/>
      </rPr>
      <t>: Treinta (30) Días Hábiles.-</t>
    </r>
  </si>
  <si>
    <t xml:space="preserve"> Dimensiones: 6.00m ancho x 2.20m ancho x 2.10m altura.  Sistema de frenos eléctrico.  2 ejes con balancín. Paneles de chapa galvanizada.  Debe contener una rueda de auxilio. Debe tener sistema de iluminación interior con tablero principal. Debe tener luces exteriores de señalización. Debe poder volcar sus laterales para crear una plataforma la cual contenga los apoyos necesarios. Debe incluir baranda perimetral reforzada, caballetes de apoyo, escalón y rampa con pasamanos.   Debe contener un gabinete para un grupo generador ○ debe tener piso de goma símil madera en la unidad y laterales rebatibles.  Terminación en chapa de alto transito.
</t>
  </si>
  <si>
    <t>Especificidades Item N°1:</t>
  </si>
  <si>
    <t>Costo total estimado:  PESOS CUATRO MILLONES QUINIENTOS MIL CON 00/100.-</t>
  </si>
  <si>
    <t>PESOS: CUATRO MILLONES QUINIENTOS MIL CON 00/100.-</t>
  </si>
  <si>
    <t>009/2021</t>
  </si>
  <si>
    <t>SECRETARIA DE INNOVACION</t>
  </si>
  <si>
    <t>ADQUISICIÓN DE TRAILER   DESTINADO  A LA CREACION DEL CENTRO DE INNOVACIÓN ITINERANTE.</t>
  </si>
  <si>
    <t>ADQUISICIÓN DE  TRAILER DESTINADO  A LA CREACION DEL CENTRO DE INNOVACIÓN ITINERANTE.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</si>
</sst>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_);_(@_)"/>
    <numFmt numFmtId="165" formatCode="[$$-2C0A]\ #,##0.00;[$$-2C0A]&quot; -&quot;#,##0.00"/>
    <numFmt numFmtId="166" formatCode="[$$-2C0A]\ #,##0.00"/>
    <numFmt numFmtId="167" formatCode="dd\-mm\-yy;@"/>
    <numFmt numFmtId="168" formatCode="_-&quot;$&quot;* #,##0.00_-;\-&quot;$&quot;* #,##0.00_-;_-&quot;$&quot;* &quot;-&quot;??_-;_-@_-"/>
    <numFmt numFmtId="169" formatCode="_-[$$-2C0A]\ * #,##0.00_-;\-[$$-2C0A]\ * #,##0.00_-;_-[$$-2C0A]\ * &quot;-&quot;??_-;_-@_-"/>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sz val="8"/>
      <name val="Arial"/>
      <family val="2"/>
    </font>
    <font>
      <sz val="8"/>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4">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auto="1"/>
      </left>
      <right style="thick">
        <color auto="1"/>
      </right>
      <top style="thick">
        <color auto="1"/>
      </top>
      <bottom style="thin">
        <color indexed="64"/>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rgb="FF3D3D3D"/>
      </left>
      <right style="medium">
        <color rgb="FF3D3D3D"/>
      </right>
      <top style="medium">
        <color rgb="FF3D3D3D"/>
      </top>
      <bottom style="thin">
        <color indexed="64"/>
      </bottom>
      <diagonal/>
    </border>
    <border>
      <left style="medium">
        <color rgb="FF3D3D3D"/>
      </left>
      <right style="thin">
        <color rgb="FF3D3D3D"/>
      </right>
      <top style="medium">
        <color rgb="FF3D3D3D"/>
      </top>
      <bottom style="thin">
        <color indexed="64"/>
      </bottom>
      <diagonal/>
    </border>
    <border>
      <left style="thin">
        <color rgb="FF3D3D3D"/>
      </left>
      <right style="thin">
        <color rgb="FF3D3D3D"/>
      </right>
      <top style="medium">
        <color rgb="FF3D3D3D"/>
      </top>
      <bottom style="thin">
        <color indexed="64"/>
      </bottom>
      <diagonal/>
    </border>
    <border>
      <left style="thin">
        <color rgb="FF3D3D3D"/>
      </left>
      <right/>
      <top style="medium">
        <color rgb="FF3D3D3D"/>
      </top>
      <bottom style="thin">
        <color indexed="64"/>
      </bottom>
      <diagonal/>
    </border>
  </borders>
  <cellStyleXfs count="6">
    <xf numFmtId="0" fontId="0" fillId="0" borderId="0"/>
    <xf numFmtId="0" fontId="1" fillId="0" borderId="1" applyProtection="0"/>
    <xf numFmtId="164" fontId="2" fillId="0" borderId="0" applyBorder="0" applyProtection="0"/>
    <xf numFmtId="0" fontId="3" fillId="2" borderId="0" applyBorder="0" applyProtection="0"/>
    <xf numFmtId="0" fontId="15" fillId="0" borderId="0"/>
    <xf numFmtId="168" fontId="15" fillId="0" borderId="0" applyFont="0" applyFill="0" applyBorder="0" applyAlignment="0" applyProtection="0"/>
  </cellStyleXfs>
  <cellXfs count="125">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4" fillId="0" borderId="21"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7" fontId="0" fillId="0" borderId="0" xfId="0" applyNumberFormat="1" applyAlignment="1">
      <alignment horizontal="left"/>
    </xf>
    <xf numFmtId="0" fontId="2" fillId="0" borderId="0" xfId="0" applyFont="1"/>
    <xf numFmtId="0" fontId="0" fillId="0" borderId="10" xfId="0" applyBorder="1"/>
    <xf numFmtId="0" fontId="0" fillId="0" borderId="27" xfId="0" applyBorder="1"/>
    <xf numFmtId="0" fontId="0" fillId="0" borderId="12" xfId="0" applyBorder="1"/>
    <xf numFmtId="0" fontId="0" fillId="0" borderId="12" xfId="0" applyBorder="1" applyAlignment="1">
      <alignment horizontal="left"/>
    </xf>
    <xf numFmtId="0" fontId="0" fillId="0" borderId="28" xfId="0" applyBorder="1"/>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0" fontId="0" fillId="0" borderId="33" xfId="0" applyFont="1" applyBorder="1" applyAlignment="1">
      <alignment horizontal="center" vertical="center"/>
    </xf>
    <xf numFmtId="165" fontId="0" fillId="0" borderId="34" xfId="2" applyNumberFormat="1" applyFont="1" applyBorder="1" applyAlignment="1" applyProtection="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0" fillId="0" borderId="33" xfId="0" applyBorder="1" applyAlignment="1">
      <alignment horizontal="center" vertical="center"/>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165" fontId="0" fillId="0" borderId="38" xfId="2" applyNumberFormat="1" applyFont="1" applyBorder="1" applyAlignment="1" applyProtection="1">
      <alignment horizontal="center" vertical="center"/>
    </xf>
    <xf numFmtId="165" fontId="14" fillId="0" borderId="39"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2"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4" fillId="3" borderId="19" xfId="0" applyFont="1" applyFill="1" applyBorder="1" applyAlignment="1">
      <alignment horizontal="center" vertical="center" wrapText="1"/>
    </xf>
    <xf numFmtId="0" fontId="15" fillId="0" borderId="0" xfId="0" applyFont="1"/>
    <xf numFmtId="0" fontId="23" fillId="4" borderId="0" xfId="0" applyFont="1" applyFill="1" applyAlignment="1">
      <alignment horizontal="left" wrapText="1" indent="1"/>
    </xf>
    <xf numFmtId="0" fontId="20" fillId="3" borderId="0" xfId="0" applyFont="1" applyFill="1" applyAlignment="1">
      <alignment horizontal="left" wrapText="1"/>
    </xf>
    <xf numFmtId="0" fontId="20" fillId="0" borderId="43" xfId="0" applyFont="1" applyBorder="1" applyAlignment="1">
      <alignment horizontal="center" vertical="center" wrapText="1"/>
    </xf>
    <xf numFmtId="166" fontId="2" fillId="0" borderId="0" xfId="0" applyNumberFormat="1" applyFont="1" applyBorder="1" applyAlignment="1">
      <alignment vertical="center"/>
    </xf>
    <xf numFmtId="0" fontId="16" fillId="0" borderId="0" xfId="0" applyFont="1" applyAlignment="1">
      <alignment horizontal="left" vertical="center"/>
    </xf>
    <xf numFmtId="0" fontId="16" fillId="3" borderId="22" xfId="4" applyFont="1" applyFill="1" applyBorder="1" applyAlignment="1">
      <alignment horizontal="center" vertical="center"/>
    </xf>
    <xf numFmtId="0" fontId="16" fillId="3" borderId="14" xfId="4" applyFont="1" applyFill="1" applyBorder="1" applyAlignment="1">
      <alignment horizontal="center" vertical="center" wrapText="1"/>
    </xf>
    <xf numFmtId="0" fontId="16" fillId="3" borderId="14" xfId="4" applyFont="1" applyFill="1" applyBorder="1" applyAlignment="1">
      <alignment horizontal="left" vertical="center" wrapText="1"/>
    </xf>
    <xf numFmtId="0" fontId="19" fillId="3" borderId="47" xfId="4" applyFont="1" applyFill="1" applyBorder="1" applyAlignment="1">
      <alignment horizontal="center" vertical="center" wrapText="1"/>
    </xf>
    <xf numFmtId="0" fontId="16" fillId="3" borderId="47" xfId="4" applyFont="1" applyFill="1" applyBorder="1" applyAlignment="1">
      <alignment horizontal="center" vertical="center" wrapText="1"/>
    </xf>
    <xf numFmtId="0" fontId="19" fillId="3" borderId="14" xfId="4" applyFont="1" applyFill="1" applyBorder="1" applyAlignment="1">
      <alignment horizontal="center" vertical="center" wrapText="1"/>
    </xf>
    <xf numFmtId="165" fontId="16" fillId="4" borderId="14" xfId="5" applyNumberFormat="1" applyFont="1" applyFill="1" applyBorder="1" applyAlignment="1" applyProtection="1">
      <alignment horizontal="right" vertical="center" wrapText="1"/>
    </xf>
    <xf numFmtId="166" fontId="19" fillId="3" borderId="23" xfId="4" applyNumberFormat="1" applyFont="1" applyFill="1" applyBorder="1" applyAlignment="1">
      <alignment horizontal="right" vertical="center" wrapText="1"/>
    </xf>
    <xf numFmtId="169" fontId="21" fillId="0" borderId="0" xfId="0" applyNumberFormat="1" applyFont="1"/>
    <xf numFmtId="166" fontId="16" fillId="0" borderId="0" xfId="0" applyNumberFormat="1" applyFont="1"/>
    <xf numFmtId="166" fontId="25" fillId="0" borderId="0" xfId="0" applyNumberFormat="1" applyFont="1"/>
    <xf numFmtId="0" fontId="16" fillId="3" borderId="14" xfId="4" applyFont="1" applyFill="1" applyBorder="1" applyAlignment="1">
      <alignment vertical="center"/>
    </xf>
    <xf numFmtId="0" fontId="14" fillId="0" borderId="51" xfId="0" applyFont="1" applyBorder="1" applyAlignment="1">
      <alignment horizontal="center" vertical="center"/>
    </xf>
    <xf numFmtId="0" fontId="14" fillId="0" borderId="52" xfId="0" applyFont="1" applyBorder="1" applyAlignment="1">
      <alignment horizontal="center" vertical="center"/>
    </xf>
    <xf numFmtId="0" fontId="14" fillId="0" borderId="52" xfId="0" applyFont="1" applyBorder="1" applyAlignment="1">
      <alignment horizontal="left" vertical="center"/>
    </xf>
    <xf numFmtId="0" fontId="14" fillId="0" borderId="53" xfId="0" applyFont="1" applyBorder="1" applyAlignment="1">
      <alignment horizontal="center" vertical="center"/>
    </xf>
    <xf numFmtId="0" fontId="14" fillId="0" borderId="50" xfId="0" applyFont="1" applyBorder="1" applyAlignment="1">
      <alignment horizontal="center" vertical="center"/>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xf>
    <xf numFmtId="0" fontId="16" fillId="4" borderId="6" xfId="0" applyFont="1" applyFill="1" applyBorder="1" applyAlignment="1">
      <alignment horizontal="left"/>
    </xf>
    <xf numFmtId="0" fontId="18" fillId="0" borderId="0" xfId="0" applyFont="1" applyBorder="1" applyAlignment="1">
      <alignment horizontal="left" vertical="center" wrapText="1"/>
    </xf>
    <xf numFmtId="0" fontId="17" fillId="0" borderId="0" xfId="0" applyFont="1" applyBorder="1" applyAlignment="1">
      <alignment horizontal="center"/>
    </xf>
    <xf numFmtId="0" fontId="23" fillId="4" borderId="0" xfId="0" applyFont="1" applyFill="1" applyBorder="1" applyAlignment="1">
      <alignment horizontal="left" wrapText="1" indent="1"/>
    </xf>
    <xf numFmtId="0" fontId="8" fillId="0" borderId="14" xfId="0" applyFont="1" applyBorder="1" applyAlignment="1">
      <alignment horizontal="left" vertical="center" wrapText="1" indent="1"/>
    </xf>
    <xf numFmtId="166" fontId="7" fillId="0" borderId="14" xfId="0" applyNumberFormat="1" applyFont="1" applyBorder="1" applyAlignment="1">
      <alignment horizontal="center" vertical="center"/>
    </xf>
    <xf numFmtId="0" fontId="4" fillId="0" borderId="44" xfId="0" applyFont="1" applyBorder="1" applyAlignment="1">
      <alignment horizontal="left" vertical="center" wrapText="1"/>
    </xf>
    <xf numFmtId="0" fontId="4" fillId="0" borderId="45" xfId="0" applyFont="1" applyBorder="1" applyAlignment="1">
      <alignment horizontal="left" vertical="center" wrapText="1"/>
    </xf>
    <xf numFmtId="0" fontId="4" fillId="0" borderId="46"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22" xfId="0" applyFont="1" applyBorder="1" applyAlignment="1">
      <alignment vertical="center" wrapText="1"/>
    </xf>
    <xf numFmtId="0" fontId="10" fillId="0" borderId="40" xfId="0" applyFont="1" applyBorder="1" applyAlignment="1">
      <alignment vertical="center" wrapText="1"/>
    </xf>
    <xf numFmtId="0" fontId="10" fillId="0" borderId="17" xfId="0" applyFont="1" applyBorder="1" applyAlignment="1">
      <alignment vertical="center" wrapText="1"/>
    </xf>
    <xf numFmtId="0" fontId="12" fillId="0" borderId="29" xfId="0" applyFont="1" applyBorder="1" applyAlignment="1">
      <alignment vertical="center" wrapText="1"/>
    </xf>
    <xf numFmtId="0" fontId="2" fillId="4" borderId="39" xfId="0" applyFont="1" applyFill="1" applyBorder="1" applyAlignment="1">
      <alignment horizontal="left" vertical="center" wrapText="1" indent="1"/>
    </xf>
    <xf numFmtId="0" fontId="0" fillId="0" borderId="33" xfId="0" applyFont="1" applyBorder="1" applyAlignment="1">
      <alignment horizontal="left" vertical="center"/>
    </xf>
    <xf numFmtId="0" fontId="0" fillId="0" borderId="33" xfId="0" applyBorder="1" applyAlignment="1">
      <alignment horizontal="left" vertical="center"/>
    </xf>
    <xf numFmtId="0" fontId="0" fillId="0" borderId="36" xfId="0" applyBorder="1" applyAlignment="1">
      <alignment horizontal="left" vertical="center"/>
    </xf>
    <xf numFmtId="0" fontId="10" fillId="0" borderId="39" xfId="0" applyFont="1" applyBorder="1" applyAlignment="1">
      <alignment horizontal="left" vertical="center" wrapText="1"/>
    </xf>
    <xf numFmtId="0" fontId="0" fillId="0" borderId="24" xfId="0" applyBorder="1"/>
    <xf numFmtId="0" fontId="24" fillId="0" borderId="48" xfId="0" applyFont="1" applyBorder="1" applyAlignment="1">
      <alignment horizontal="left" vertical="center" wrapText="1"/>
    </xf>
    <xf numFmtId="0" fontId="24" fillId="0" borderId="49" xfId="0" applyFont="1" applyBorder="1" applyAlignment="1">
      <alignment horizontal="left" vertical="center" wrapText="1"/>
    </xf>
    <xf numFmtId="0" fontId="12" fillId="0" borderId="25" xfId="0" applyFont="1" applyBorder="1"/>
    <xf numFmtId="0" fontId="12" fillId="0" borderId="26" xfId="0" applyFont="1" applyBorder="1" applyAlignment="1">
      <alignment horizontal="left" vertical="center" wrapText="1" indent="1"/>
    </xf>
    <xf numFmtId="0" fontId="14" fillId="0" borderId="24" xfId="0" applyFont="1" applyBorder="1" applyAlignment="1">
      <alignment horizontal="center" vertical="center"/>
    </xf>
    <xf numFmtId="0" fontId="14" fillId="0" borderId="11" xfId="0" applyFont="1" applyBorder="1" applyAlignment="1">
      <alignment horizontal="center" vertical="center"/>
    </xf>
    <xf numFmtId="0" fontId="14" fillId="0" borderId="24" xfId="0" applyFont="1" applyBorder="1" applyAlignment="1">
      <alignment horizontal="center" vertical="center" wrapText="1"/>
    </xf>
    <xf numFmtId="0" fontId="14" fillId="0" borderId="29" xfId="0" applyFont="1" applyBorder="1" applyAlignment="1">
      <alignment horizontal="center" vertical="center"/>
    </xf>
    <xf numFmtId="0" fontId="4" fillId="0" borderId="13" xfId="0" applyFont="1" applyBorder="1" applyAlignment="1">
      <alignment horizontal="left" vertical="center" wrapText="1"/>
    </xf>
    <xf numFmtId="0" fontId="4" fillId="0" borderId="41" xfId="0" applyFont="1" applyBorder="1" applyAlignment="1">
      <alignment horizontal="left" vertical="center" wrapText="1"/>
    </xf>
    <xf numFmtId="0" fontId="4" fillId="0" borderId="42"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0" fillId="0" borderId="22" xfId="0" applyFont="1" applyBorder="1" applyAlignment="1">
      <alignment horizontal="center"/>
    </xf>
    <xf numFmtId="3" fontId="10" fillId="0" borderId="23"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cellXfs>
  <cellStyles count="6">
    <cellStyle name="Encabezado 1" xfId="1"/>
    <cellStyle name="Moneda 2" xfId="5"/>
    <cellStyle name="Moneda_AUTORIZACION Y NOTA DE PEDIDO" xfId="2"/>
    <cellStyle name="Neutral 1" xfId="3"/>
    <cellStyle name="Normal" xfId="0" builtinId="0"/>
    <cellStyle name="Normal 2" xfId="4"/>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129"/>
  <sheetViews>
    <sheetView tabSelected="1" topLeftCell="A3" zoomScale="84" zoomScaleNormal="84" workbookViewId="0">
      <selection activeCell="F15" sqref="F15"/>
    </sheetView>
  </sheetViews>
  <sheetFormatPr baseColWidth="10" defaultColWidth="11" defaultRowHeight="12.75" x14ac:dyDescent="0.2"/>
  <cols>
    <col min="1" max="1" width="4.5703125" style="34" customWidth="1"/>
    <col min="2" max="2" width="12.5703125" style="34" customWidth="1"/>
    <col min="3" max="3" width="19.7109375" style="34" customWidth="1"/>
    <col min="4" max="4" width="7.140625" style="34" customWidth="1"/>
    <col min="5" max="5" width="59.42578125" style="34" customWidth="1"/>
    <col min="6" max="6" width="11" style="34"/>
    <col min="7" max="7" width="10.85546875" style="34" customWidth="1"/>
    <col min="8" max="8" width="14.140625" style="34" customWidth="1"/>
    <col min="9" max="9" width="15.28515625" style="34" customWidth="1"/>
    <col min="10" max="10" width="11" style="34"/>
    <col min="11" max="11" width="11.28515625" style="34" bestFit="1" customWidth="1"/>
    <col min="12" max="12" width="12.7109375" style="34" bestFit="1" customWidth="1"/>
    <col min="13" max="16384" width="11" style="34"/>
  </cols>
  <sheetData>
    <row r="2" spans="1:12" ht="27" x14ac:dyDescent="0.35">
      <c r="B2" s="82" t="s">
        <v>0</v>
      </c>
      <c r="C2" s="82"/>
      <c r="D2" s="82"/>
      <c r="E2" s="82"/>
      <c r="F2" s="82"/>
      <c r="G2" s="82"/>
      <c r="H2" s="82"/>
    </row>
    <row r="3" spans="1:12" ht="8.25" customHeight="1" x14ac:dyDescent="0.2"/>
    <row r="4" spans="1:12" ht="27.75" customHeight="1" x14ac:dyDescent="0.25">
      <c r="A4" s="81" t="s">
        <v>1</v>
      </c>
      <c r="B4" s="81"/>
      <c r="C4" s="83" t="s">
        <v>56</v>
      </c>
      <c r="D4" s="83"/>
      <c r="E4" s="83"/>
      <c r="F4" s="35"/>
      <c r="G4" s="36"/>
      <c r="H4" s="35"/>
    </row>
    <row r="5" spans="1:12" ht="18" customHeight="1" x14ac:dyDescent="0.25">
      <c r="A5" s="81" t="s">
        <v>2</v>
      </c>
      <c r="B5" s="81"/>
      <c r="C5" s="83" t="s">
        <v>57</v>
      </c>
      <c r="D5" s="83"/>
      <c r="E5" s="83"/>
      <c r="F5" s="35"/>
      <c r="G5" s="36"/>
      <c r="H5" s="35"/>
    </row>
    <row r="6" spans="1:12" ht="16.5" customHeight="1" x14ac:dyDescent="0.25">
      <c r="A6" s="81" t="s">
        <v>3</v>
      </c>
      <c r="B6" s="81"/>
      <c r="C6" s="53">
        <v>2021</v>
      </c>
      <c r="D6" s="54"/>
      <c r="E6" s="54"/>
      <c r="F6" s="35"/>
      <c r="G6" s="36"/>
      <c r="H6" s="35"/>
    </row>
    <row r="7" spans="1:12" ht="16.5" customHeight="1" x14ac:dyDescent="0.25">
      <c r="A7" s="81" t="s">
        <v>4</v>
      </c>
      <c r="B7" s="81"/>
      <c r="C7" s="53">
        <v>2</v>
      </c>
      <c r="D7" s="54"/>
      <c r="E7" s="54"/>
      <c r="F7" s="35"/>
      <c r="G7" s="36"/>
      <c r="H7" s="35"/>
    </row>
    <row r="8" spans="1:12" x14ac:dyDescent="0.2">
      <c r="B8" s="35"/>
      <c r="C8" s="36"/>
      <c r="D8" s="35"/>
      <c r="E8" s="35"/>
      <c r="F8" s="35"/>
      <c r="G8" s="36"/>
      <c r="H8" s="35"/>
    </row>
    <row r="9" spans="1:12" ht="39.75" thickTop="1" thickBot="1" x14ac:dyDescent="0.25">
      <c r="A9" s="55" t="s">
        <v>5</v>
      </c>
      <c r="B9" s="55" t="s">
        <v>6</v>
      </c>
      <c r="C9" s="55" t="s">
        <v>7</v>
      </c>
      <c r="D9" s="55" t="s">
        <v>8</v>
      </c>
      <c r="E9" s="55" t="s">
        <v>9</v>
      </c>
      <c r="F9" s="55" t="s">
        <v>10</v>
      </c>
      <c r="G9" s="55" t="s">
        <v>11</v>
      </c>
      <c r="H9" s="55" t="s">
        <v>12</v>
      </c>
      <c r="I9" s="55" t="s">
        <v>13</v>
      </c>
    </row>
    <row r="10" spans="1:12" ht="39.75" customHeight="1" thickBot="1" x14ac:dyDescent="0.25">
      <c r="A10" s="58">
        <v>1</v>
      </c>
      <c r="B10" s="59" t="s">
        <v>64</v>
      </c>
      <c r="C10" s="69" t="s">
        <v>60</v>
      </c>
      <c r="D10" s="61" t="str">
        <f t="shared" ref="D10" si="0">LEFT(B10,5)</f>
        <v>4.3.2</v>
      </c>
      <c r="E10" s="60" t="s">
        <v>63</v>
      </c>
      <c r="F10" s="62" t="s">
        <v>14</v>
      </c>
      <c r="G10" s="63">
        <v>1</v>
      </c>
      <c r="H10" s="64">
        <v>4500000</v>
      </c>
      <c r="I10" s="65">
        <f t="shared" ref="I10" si="1">H10*G10</f>
        <v>4500000</v>
      </c>
      <c r="K10" s="68"/>
      <c r="L10" s="67"/>
    </row>
    <row r="11" spans="1:12" ht="13.5" thickBot="1" x14ac:dyDescent="0.25">
      <c r="I11" s="66">
        <f>SUMPRODUCT(H10:H10,G10:G10)</f>
        <v>4500000</v>
      </c>
    </row>
    <row r="12" spans="1:12" x14ac:dyDescent="0.2">
      <c r="B12" s="37" t="s">
        <v>69</v>
      </c>
      <c r="C12" s="38"/>
      <c r="D12" s="38"/>
      <c r="E12" s="39"/>
      <c r="L12" s="67"/>
    </row>
    <row r="13" spans="1:12" ht="7.5" customHeight="1" x14ac:dyDescent="0.2">
      <c r="B13" s="40"/>
      <c r="C13" s="41"/>
      <c r="D13" s="41"/>
      <c r="E13" s="42"/>
    </row>
    <row r="14" spans="1:12" x14ac:dyDescent="0.2">
      <c r="B14" s="43" t="s">
        <v>15</v>
      </c>
      <c r="C14" s="41"/>
      <c r="D14" s="41"/>
      <c r="E14" s="42"/>
    </row>
    <row r="15" spans="1:12" ht="102.75" customHeight="1" x14ac:dyDescent="0.2">
      <c r="B15" s="43"/>
      <c r="C15" s="75" t="s">
        <v>68</v>
      </c>
      <c r="D15" s="75"/>
      <c r="E15" s="76"/>
    </row>
    <row r="16" spans="1:12" x14ac:dyDescent="0.2">
      <c r="B16" s="43" t="s">
        <v>16</v>
      </c>
      <c r="C16" s="41"/>
      <c r="D16" s="41"/>
      <c r="E16" s="42"/>
    </row>
    <row r="17" spans="2:5" ht="12.75" customHeight="1" x14ac:dyDescent="0.2">
      <c r="B17" s="44"/>
      <c r="C17" s="75" t="s">
        <v>61</v>
      </c>
      <c r="D17" s="75"/>
      <c r="E17" s="76"/>
    </row>
    <row r="18" spans="2:5" ht="97.5" customHeight="1" x14ac:dyDescent="0.2">
      <c r="B18" s="44"/>
      <c r="C18" s="75"/>
      <c r="D18" s="75"/>
      <c r="E18" s="76"/>
    </row>
    <row r="19" spans="2:5" x14ac:dyDescent="0.2">
      <c r="B19" s="43" t="s">
        <v>17</v>
      </c>
      <c r="C19" s="41"/>
      <c r="D19" s="41"/>
      <c r="E19" s="42"/>
    </row>
    <row r="20" spans="2:5" ht="6" customHeight="1" x14ac:dyDescent="0.2">
      <c r="B20" s="44"/>
      <c r="C20" s="77"/>
      <c r="D20" s="77"/>
      <c r="E20" s="78"/>
    </row>
    <row r="21" spans="2:5" x14ac:dyDescent="0.2">
      <c r="B21" s="43" t="s">
        <v>67</v>
      </c>
      <c r="C21" s="45"/>
      <c r="D21" s="45"/>
      <c r="E21" s="46"/>
    </row>
    <row r="22" spans="2:5" ht="7.5" customHeight="1" x14ac:dyDescent="0.2">
      <c r="B22" s="44"/>
      <c r="C22" s="77"/>
      <c r="D22" s="77"/>
      <c r="E22" s="78"/>
    </row>
    <row r="23" spans="2:5" x14ac:dyDescent="0.2">
      <c r="B23" s="43" t="s">
        <v>66</v>
      </c>
      <c r="C23" s="41"/>
      <c r="D23" s="41"/>
      <c r="E23" s="42"/>
    </row>
    <row r="24" spans="2:5" ht="15" customHeight="1" x14ac:dyDescent="0.2">
      <c r="B24" s="43"/>
      <c r="C24" s="77"/>
      <c r="D24" s="79"/>
      <c r="E24" s="80"/>
    </row>
    <row r="25" spans="2:5" ht="13.5" thickBot="1" x14ac:dyDescent="0.25">
      <c r="B25" s="47"/>
      <c r="C25" s="48"/>
      <c r="D25" s="48"/>
      <c r="E25" s="49"/>
    </row>
    <row r="28" spans="2:5" ht="6.75" customHeight="1" x14ac:dyDescent="0.2"/>
    <row r="30" spans="2:5" ht="112.5" customHeight="1" x14ac:dyDescent="0.2"/>
    <row r="32" spans="2:5" ht="24" customHeight="1" x14ac:dyDescent="0.2"/>
    <row r="33" spans="2:5" ht="48.75" customHeight="1" x14ac:dyDescent="0.2"/>
    <row r="35" spans="2:5" ht="4.5" customHeight="1" x14ac:dyDescent="0.2"/>
    <row r="37" spans="2:5" ht="7.5" customHeight="1" x14ac:dyDescent="0.2"/>
    <row r="40" spans="2:5" ht="2.25" customHeight="1" x14ac:dyDescent="0.2"/>
    <row r="46" spans="2:5" s="57" customFormat="1" ht="75.75" customHeight="1" x14ac:dyDescent="0.2">
      <c r="B46" s="34"/>
      <c r="C46" s="34"/>
      <c r="D46" s="34"/>
      <c r="E46" s="34"/>
    </row>
    <row r="48" spans="2:5" ht="12.75" customHeight="1" x14ac:dyDescent="0.2"/>
    <row r="49" ht="55.5" customHeight="1" x14ac:dyDescent="0.2"/>
    <row r="57" ht="20.25" customHeight="1" x14ac:dyDescent="0.2"/>
    <row r="60" ht="3.75" customHeight="1" x14ac:dyDescent="0.2"/>
    <row r="61" ht="13.5" customHeight="1" x14ac:dyDescent="0.2"/>
    <row r="62" ht="47.25" customHeight="1" x14ac:dyDescent="0.2"/>
    <row r="64" ht="12.75" customHeight="1" x14ac:dyDescent="0.2"/>
    <row r="65" ht="54.75" customHeight="1" x14ac:dyDescent="0.2"/>
    <row r="73" ht="4.5" customHeight="1" x14ac:dyDescent="0.2"/>
    <row r="74" ht="7.5" customHeight="1" x14ac:dyDescent="0.2"/>
    <row r="75" ht="12.75" customHeight="1" x14ac:dyDescent="0.2"/>
    <row r="77" ht="3.75" customHeight="1" x14ac:dyDescent="0.2"/>
    <row r="79" ht="123" customHeight="1" x14ac:dyDescent="0.2"/>
    <row r="81" ht="12.75" customHeight="1" x14ac:dyDescent="0.2"/>
    <row r="82" ht="61.5" customHeight="1" x14ac:dyDescent="0.2"/>
    <row r="90" ht="4.5" customHeight="1" x14ac:dyDescent="0.2"/>
    <row r="94" ht="3.75" customHeight="1" x14ac:dyDescent="0.2"/>
    <row r="96" ht="51.75" customHeight="1" x14ac:dyDescent="0.2"/>
    <row r="98" ht="12.75" customHeight="1" x14ac:dyDescent="0.2"/>
    <row r="99" ht="63" customHeight="1" x14ac:dyDescent="0.2"/>
    <row r="111" ht="39.75" customHeight="1" x14ac:dyDescent="0.2"/>
    <row r="113" ht="60.75" customHeight="1" x14ac:dyDescent="0.2"/>
    <row r="126" ht="81.75" customHeight="1" x14ac:dyDescent="0.2"/>
    <row r="129" ht="90.75" customHeight="1" x14ac:dyDescent="0.2"/>
  </sheetData>
  <mergeCells count="12">
    <mergeCell ref="A6:B6"/>
    <mergeCell ref="A7:B7"/>
    <mergeCell ref="B2:H2"/>
    <mergeCell ref="A4:B4"/>
    <mergeCell ref="C4:E4"/>
    <mergeCell ref="A5:B5"/>
    <mergeCell ref="C5:E5"/>
    <mergeCell ref="C15:E15"/>
    <mergeCell ref="C17:E18"/>
    <mergeCell ref="C20:E20"/>
    <mergeCell ref="C22:E22"/>
    <mergeCell ref="C24:E24"/>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13"/>
  <sheetViews>
    <sheetView zoomScaleNormal="100" workbookViewId="0">
      <selection activeCell="M12" sqref="M12"/>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4" t="s">
        <v>18</v>
      </c>
      <c r="B1" s="94"/>
      <c r="C1" s="94"/>
      <c r="D1" s="94"/>
      <c r="E1" s="94"/>
      <c r="F1" s="94"/>
      <c r="G1" s="94"/>
      <c r="H1" s="94"/>
      <c r="I1" s="94"/>
      <c r="J1" s="3" t="s">
        <v>19</v>
      </c>
      <c r="K1" s="50" t="s">
        <v>72</v>
      </c>
    </row>
    <row r="2" spans="1:12" ht="18.75" customHeight="1" thickBot="1" x14ac:dyDescent="0.25">
      <c r="A2" s="4"/>
      <c r="B2" s="4"/>
      <c r="C2" s="4"/>
      <c r="D2" s="5"/>
      <c r="E2" s="5"/>
      <c r="F2" s="5"/>
      <c r="G2" s="5"/>
      <c r="H2" s="5"/>
      <c r="I2" s="5"/>
      <c r="J2" s="5"/>
      <c r="K2" s="5"/>
    </row>
    <row r="3" spans="1:12" ht="18.75" customHeight="1" thickBot="1" x14ac:dyDescent="0.25">
      <c r="A3" s="95" t="s">
        <v>53</v>
      </c>
      <c r="B3" s="95"/>
      <c r="C3" s="95"/>
      <c r="D3" s="96" t="s">
        <v>56</v>
      </c>
      <c r="E3" s="96"/>
      <c r="F3" s="96"/>
      <c r="G3" s="96"/>
      <c r="H3" s="96"/>
      <c r="I3" s="96"/>
      <c r="J3" s="96"/>
      <c r="K3" s="96"/>
    </row>
    <row r="4" spans="1:12" ht="18.75" customHeight="1" thickBot="1" x14ac:dyDescent="0.25">
      <c r="A4" s="97" t="s">
        <v>54</v>
      </c>
      <c r="B4" s="97"/>
      <c r="C4" s="97"/>
      <c r="D4" s="96" t="s">
        <v>57</v>
      </c>
      <c r="E4" s="96"/>
      <c r="F4" s="96"/>
      <c r="G4" s="96"/>
      <c r="H4" s="96"/>
      <c r="I4" s="96"/>
      <c r="J4" s="96"/>
      <c r="K4" s="96"/>
    </row>
    <row r="5" spans="1:12" ht="18.75" customHeight="1" thickBot="1" x14ac:dyDescent="0.25">
      <c r="A5" s="97" t="s">
        <v>32</v>
      </c>
      <c r="B5" s="97"/>
      <c r="C5" s="97"/>
      <c r="D5" s="96" t="s">
        <v>58</v>
      </c>
      <c r="E5" s="96"/>
      <c r="F5" s="96"/>
      <c r="G5" s="96"/>
      <c r="H5" s="96"/>
      <c r="I5" s="96"/>
      <c r="J5" s="96"/>
      <c r="K5" s="96"/>
    </row>
    <row r="6" spans="1:12" ht="17.25" customHeight="1" thickBot="1" x14ac:dyDescent="0.25">
      <c r="A6" s="95" t="s">
        <v>55</v>
      </c>
      <c r="B6" s="95"/>
      <c r="C6" s="95"/>
      <c r="D6" s="96" t="s">
        <v>73</v>
      </c>
      <c r="E6" s="96"/>
      <c r="F6" s="96"/>
      <c r="G6" s="96"/>
      <c r="H6" s="96"/>
      <c r="I6" s="96"/>
      <c r="J6" s="96"/>
      <c r="K6" s="96"/>
    </row>
    <row r="7" spans="1:12" ht="20.25" customHeight="1" x14ac:dyDescent="0.2">
      <c r="A7" s="97" t="s">
        <v>20</v>
      </c>
      <c r="B7" s="97"/>
      <c r="C7" s="97"/>
      <c r="D7" s="96" t="s">
        <v>62</v>
      </c>
      <c r="E7" s="96"/>
      <c r="F7" s="96"/>
      <c r="G7" s="96"/>
      <c r="H7" s="96"/>
      <c r="I7" s="96"/>
      <c r="J7" s="96"/>
      <c r="K7" s="96"/>
    </row>
    <row r="8" spans="1:12" ht="40.5" customHeight="1" x14ac:dyDescent="0.2">
      <c r="A8" s="89" t="s">
        <v>21</v>
      </c>
      <c r="B8" s="89"/>
      <c r="C8" s="89"/>
      <c r="D8" s="90" t="s">
        <v>74</v>
      </c>
      <c r="E8" s="90"/>
      <c r="F8" s="90"/>
      <c r="G8" s="90"/>
      <c r="H8" s="90"/>
      <c r="I8" s="90"/>
      <c r="J8" s="90"/>
      <c r="K8" s="90"/>
    </row>
    <row r="9" spans="1:12" ht="15.75" x14ac:dyDescent="0.2">
      <c r="A9" s="6"/>
      <c r="B9" s="6"/>
      <c r="C9" s="6"/>
      <c r="D9" s="7"/>
      <c r="E9" s="7"/>
      <c r="F9" s="7"/>
      <c r="G9" s="7"/>
      <c r="H9" s="7"/>
      <c r="I9" s="7"/>
      <c r="J9" s="7"/>
      <c r="K9" s="7"/>
    </row>
    <row r="10" spans="1:12" ht="18.75" customHeight="1" x14ac:dyDescent="0.2">
      <c r="A10" s="91" t="s">
        <v>22</v>
      </c>
      <c r="B10" s="92" t="s">
        <v>23</v>
      </c>
      <c r="C10" s="92" t="s">
        <v>24</v>
      </c>
      <c r="D10" s="92"/>
      <c r="E10" s="92"/>
      <c r="F10" s="92"/>
      <c r="G10" s="92"/>
      <c r="H10" s="92" t="s">
        <v>25</v>
      </c>
      <c r="I10" s="92" t="s">
        <v>26</v>
      </c>
      <c r="J10" s="92" t="s">
        <v>27</v>
      </c>
      <c r="K10" s="93" t="s">
        <v>28</v>
      </c>
    </row>
    <row r="11" spans="1:12" ht="24" customHeight="1" thickBot="1" x14ac:dyDescent="0.25">
      <c r="A11" s="91"/>
      <c r="B11" s="92"/>
      <c r="C11" s="92"/>
      <c r="D11" s="92"/>
      <c r="E11" s="92"/>
      <c r="F11" s="92"/>
      <c r="G11" s="92"/>
      <c r="H11" s="92"/>
      <c r="I11" s="92"/>
      <c r="J11" s="92"/>
      <c r="K11" s="93"/>
    </row>
    <row r="12" spans="1:12" ht="37.5" customHeight="1" thickBot="1" x14ac:dyDescent="0.25">
      <c r="A12" s="8">
        <v>1</v>
      </c>
      <c r="B12" s="59" t="s">
        <v>64</v>
      </c>
      <c r="C12" s="86" t="s">
        <v>63</v>
      </c>
      <c r="D12" s="87" t="s">
        <v>63</v>
      </c>
      <c r="E12" s="87" t="s">
        <v>63</v>
      </c>
      <c r="F12" s="87" t="s">
        <v>63</v>
      </c>
      <c r="G12" s="88" t="s">
        <v>63</v>
      </c>
      <c r="H12" s="9" t="s">
        <v>29</v>
      </c>
      <c r="I12" s="51" t="s">
        <v>14</v>
      </c>
      <c r="J12" s="64">
        <v>4500000</v>
      </c>
      <c r="K12" s="63">
        <v>1</v>
      </c>
      <c r="L12" s="56"/>
    </row>
    <row r="13" spans="1:12" ht="31.5" customHeight="1" thickBot="1" x14ac:dyDescent="0.25">
      <c r="A13" s="84" t="s">
        <v>70</v>
      </c>
      <c r="B13" s="84"/>
      <c r="C13" s="84"/>
      <c r="D13" s="84"/>
      <c r="E13" s="84"/>
      <c r="F13" s="84"/>
      <c r="G13" s="84"/>
      <c r="H13" s="84"/>
      <c r="I13" s="84"/>
      <c r="J13" s="85">
        <f>SUMPRODUCT(J12:J12,K12:K12)</f>
        <v>4500000</v>
      </c>
      <c r="K13" s="85"/>
      <c r="L13" s="56"/>
    </row>
  </sheetData>
  <mergeCells count="23">
    <mergeCell ref="A1:I1"/>
    <mergeCell ref="A6:C6"/>
    <mergeCell ref="D6:K6"/>
    <mergeCell ref="A7:C7"/>
    <mergeCell ref="D7:K7"/>
    <mergeCell ref="A3:C3"/>
    <mergeCell ref="D3:K3"/>
    <mergeCell ref="A4:C4"/>
    <mergeCell ref="D4:K4"/>
    <mergeCell ref="A5:C5"/>
    <mergeCell ref="D5:K5"/>
    <mergeCell ref="A13:I13"/>
    <mergeCell ref="J13:K13"/>
    <mergeCell ref="C12:G12"/>
    <mergeCell ref="A8:C8"/>
    <mergeCell ref="D8:K8"/>
    <mergeCell ref="A10:A11"/>
    <mergeCell ref="B10:B11"/>
    <mergeCell ref="C10:G11"/>
    <mergeCell ref="H10:H11"/>
    <mergeCell ref="I10:I11"/>
    <mergeCell ref="J10:J11"/>
    <mergeCell ref="K10:K11"/>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topLeftCell="A4" zoomScale="130" zoomScaleNormal="130" workbookViewId="0">
      <selection activeCell="S24" sqref="S24"/>
    </sheetView>
  </sheetViews>
  <sheetFormatPr baseColWidth="10" defaultColWidth="11" defaultRowHeight="12.75" x14ac:dyDescent="0.2"/>
  <cols>
    <col min="1" max="4" width="4.42578125" customWidth="1"/>
    <col min="5" max="5" width="4.140625" customWidth="1"/>
    <col min="6" max="6" width="5.42578125" customWidth="1"/>
    <col min="7" max="7" width="4.42578125" style="10" customWidth="1"/>
    <col min="8" max="14" width="4.42578125" customWidth="1"/>
    <col min="15" max="15" width="14.85546875" customWidth="1"/>
    <col min="16" max="16" width="14" customWidth="1"/>
    <col min="17" max="17" width="14.7109375" customWidth="1"/>
  </cols>
  <sheetData>
    <row r="1" spans="1:17" ht="15.75" customHeight="1" x14ac:dyDescent="0.25">
      <c r="A1" s="121" t="s">
        <v>3</v>
      </c>
      <c r="B1" s="121"/>
      <c r="C1" s="121"/>
      <c r="D1" s="122">
        <f>'Necesidades Trimestrales'!C6</f>
        <v>2021</v>
      </c>
      <c r="E1" s="122"/>
      <c r="F1" s="11"/>
      <c r="G1" s="11"/>
      <c r="H1" s="12"/>
      <c r="I1" s="12"/>
      <c r="J1" s="12"/>
      <c r="K1" s="12"/>
      <c r="L1" s="12"/>
      <c r="M1" s="12"/>
      <c r="N1" s="12"/>
      <c r="P1" s="123" t="s">
        <v>30</v>
      </c>
      <c r="Q1" s="123"/>
    </row>
    <row r="2" spans="1:17" ht="15.75" customHeight="1" x14ac:dyDescent="0.2">
      <c r="H2" s="12"/>
      <c r="I2" s="12"/>
      <c r="J2" s="12"/>
      <c r="K2" s="12"/>
      <c r="L2" s="12"/>
      <c r="M2" s="12"/>
      <c r="N2" s="12"/>
      <c r="P2" s="123"/>
      <c r="Q2" s="123"/>
    </row>
    <row r="4" spans="1:17" s="13" customFormat="1" ht="18" customHeight="1" thickBot="1" x14ac:dyDescent="0.25">
      <c r="A4" s="124" t="s">
        <v>31</v>
      </c>
      <c r="B4" s="124"/>
      <c r="C4" s="124"/>
      <c r="D4" s="124"/>
      <c r="E4" s="124"/>
      <c r="F4" s="124"/>
      <c r="G4" s="119" t="str">
        <f>' NotaPedido'!D3</f>
        <v>70 - MINISTERIO DE CIENCIA E INNOVACION TECNOLOGICA</v>
      </c>
      <c r="H4" s="119"/>
      <c r="I4" s="119"/>
      <c r="J4" s="119"/>
      <c r="K4" s="119"/>
      <c r="L4" s="119"/>
      <c r="M4" s="119"/>
      <c r="N4" s="119"/>
      <c r="O4" s="119"/>
      <c r="P4" s="119"/>
      <c r="Q4" s="119"/>
    </row>
    <row r="5" spans="1:17" s="13" customFormat="1" ht="18" customHeight="1" thickBot="1" x14ac:dyDescent="0.25">
      <c r="A5" s="116" t="s">
        <v>54</v>
      </c>
      <c r="B5" s="117"/>
      <c r="C5" s="117"/>
      <c r="D5" s="117"/>
      <c r="E5" s="117"/>
      <c r="F5" s="118"/>
      <c r="G5" s="119" t="str">
        <f>' NotaPedido'!D4</f>
        <v>20 - MINISTERIO DE CIENCIA E INNOVACION TECNOLOGICA</v>
      </c>
      <c r="H5" s="119"/>
      <c r="I5" s="119"/>
      <c r="J5" s="119"/>
      <c r="K5" s="119"/>
      <c r="L5" s="119"/>
      <c r="M5" s="119"/>
      <c r="N5" s="119"/>
      <c r="O5" s="119"/>
      <c r="P5" s="119"/>
      <c r="Q5" s="119"/>
    </row>
    <row r="6" spans="1:17" s="13" customFormat="1" ht="18" customHeight="1" thickBot="1" x14ac:dyDescent="0.25">
      <c r="A6" s="116" t="s">
        <v>32</v>
      </c>
      <c r="B6" s="117"/>
      <c r="C6" s="117"/>
      <c r="D6" s="117"/>
      <c r="E6" s="117"/>
      <c r="F6" s="118"/>
      <c r="G6" s="119" t="str">
        <f>' NotaPedido'!D5</f>
        <v xml:space="preserve"> MINISTERIO DE CIENCIA E INNOVACION TECNOLOGICA</v>
      </c>
      <c r="H6" s="119"/>
      <c r="I6" s="119"/>
      <c r="J6" s="119"/>
      <c r="K6" s="119"/>
      <c r="L6" s="119"/>
      <c r="M6" s="119"/>
      <c r="N6" s="119"/>
      <c r="O6" s="119"/>
      <c r="P6" s="119"/>
      <c r="Q6" s="119"/>
    </row>
    <row r="7" spans="1:17" s="13" customFormat="1" ht="18" customHeight="1" thickBot="1" x14ac:dyDescent="0.25">
      <c r="A7" s="116" t="s">
        <v>55</v>
      </c>
      <c r="B7" s="117"/>
      <c r="C7" s="117"/>
      <c r="D7" s="117"/>
      <c r="E7" s="117"/>
      <c r="F7" s="118"/>
      <c r="G7" s="119" t="str">
        <f>' NotaPedido'!D6</f>
        <v>SECRETARIA DE INNOVACION</v>
      </c>
      <c r="H7" s="119"/>
      <c r="I7" s="119"/>
      <c r="J7" s="119"/>
      <c r="K7" s="119"/>
      <c r="L7" s="119"/>
      <c r="M7" s="119"/>
      <c r="N7" s="119"/>
      <c r="O7" s="119"/>
      <c r="P7" s="119"/>
      <c r="Q7" s="119"/>
    </row>
    <row r="8" spans="1:17" ht="18" customHeight="1" thickBot="1" x14ac:dyDescent="0.25">
      <c r="A8" s="120" t="s">
        <v>33</v>
      </c>
      <c r="B8" s="120"/>
      <c r="C8" s="120"/>
      <c r="D8" s="120"/>
      <c r="E8" s="120"/>
      <c r="F8" s="120"/>
      <c r="G8" s="120"/>
      <c r="H8" s="120"/>
      <c r="I8" s="120"/>
      <c r="J8" s="120"/>
      <c r="K8" s="120"/>
      <c r="L8" s="120"/>
      <c r="M8" s="120"/>
      <c r="N8" s="120"/>
      <c r="O8" s="120"/>
      <c r="P8" s="120"/>
      <c r="Q8" s="120"/>
    </row>
    <row r="9" spans="1:17" ht="18" customHeight="1" x14ac:dyDescent="0.2">
      <c r="A9" s="110" t="s">
        <v>34</v>
      </c>
      <c r="B9" s="110"/>
      <c r="C9" s="110"/>
      <c r="D9" s="110"/>
      <c r="E9" s="110"/>
      <c r="F9" s="110"/>
      <c r="G9" s="110"/>
      <c r="H9" s="110"/>
      <c r="I9" s="110"/>
      <c r="J9" s="110"/>
      <c r="K9" s="110"/>
      <c r="L9" s="110"/>
      <c r="M9" s="110"/>
      <c r="N9" s="110"/>
      <c r="O9" s="1"/>
      <c r="P9" s="1"/>
      <c r="Q9" s="14"/>
    </row>
    <row r="10" spans="1:17" ht="54.75" customHeight="1" x14ac:dyDescent="0.2">
      <c r="A10" s="11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009/2021,  afectando la erogación resultante a los créditos presupuestarios aprobados a favor de esta Unidad Ejecutora, conforme al siguiente detalle:</v>
      </c>
      <c r="B10" s="111"/>
      <c r="C10" s="111"/>
      <c r="D10" s="111"/>
      <c r="E10" s="111"/>
      <c r="F10" s="111"/>
      <c r="G10" s="111"/>
      <c r="H10" s="111"/>
      <c r="I10" s="111"/>
      <c r="J10" s="111"/>
      <c r="K10" s="111"/>
      <c r="L10" s="111"/>
      <c r="M10" s="111"/>
      <c r="N10" s="111"/>
      <c r="O10" s="111"/>
      <c r="P10" s="111"/>
      <c r="Q10" s="111"/>
    </row>
    <row r="11" spans="1:17" ht="9" customHeight="1" x14ac:dyDescent="0.2">
      <c r="A11" s="15"/>
      <c r="B11" s="16"/>
      <c r="C11" s="16"/>
      <c r="D11" s="16"/>
      <c r="E11" s="16"/>
      <c r="F11" s="16"/>
      <c r="G11" s="17"/>
      <c r="H11" s="16"/>
      <c r="I11" s="16"/>
      <c r="J11" s="16"/>
      <c r="K11" s="16"/>
      <c r="L11" s="16"/>
      <c r="M11" s="16"/>
      <c r="N11" s="16"/>
      <c r="O11" s="16"/>
      <c r="P11" s="16"/>
      <c r="Q11" s="18"/>
    </row>
    <row r="12" spans="1:17" ht="15.75" customHeight="1" x14ac:dyDescent="0.2">
      <c r="A12" s="112" t="s">
        <v>35</v>
      </c>
      <c r="B12" s="112"/>
      <c r="C12" s="112"/>
      <c r="D12" s="112"/>
      <c r="E12" s="112"/>
      <c r="F12" s="112"/>
      <c r="G12" s="112"/>
      <c r="H12" s="112"/>
      <c r="I12" s="112"/>
      <c r="J12" s="112"/>
      <c r="K12" s="112"/>
      <c r="L12" s="112"/>
      <c r="M12" s="112"/>
      <c r="N12" s="112"/>
      <c r="O12" s="112"/>
      <c r="P12" s="112"/>
      <c r="Q12" s="112"/>
    </row>
    <row r="13" spans="1:17" ht="15.75" customHeight="1" thickBot="1" x14ac:dyDescent="0.25">
      <c r="A13" s="113" t="s">
        <v>36</v>
      </c>
      <c r="B13" s="113"/>
      <c r="C13" s="113"/>
      <c r="D13" s="113"/>
      <c r="E13" s="113"/>
      <c r="F13" s="113"/>
      <c r="G13" s="113"/>
      <c r="H13" s="113"/>
      <c r="I13" s="113"/>
      <c r="J13" s="113"/>
      <c r="K13" s="113"/>
      <c r="L13" s="113"/>
      <c r="M13" s="113"/>
      <c r="N13" s="113"/>
      <c r="O13" s="114" t="s">
        <v>37</v>
      </c>
      <c r="P13" s="114"/>
      <c r="Q13" s="115" t="s">
        <v>38</v>
      </c>
    </row>
    <row r="14" spans="1:17" ht="15.75" customHeight="1" x14ac:dyDescent="0.2">
      <c r="A14" s="70" t="s">
        <v>39</v>
      </c>
      <c r="B14" s="71" t="s">
        <v>40</v>
      </c>
      <c r="C14" s="71" t="s">
        <v>41</v>
      </c>
      <c r="D14" s="71" t="s">
        <v>42</v>
      </c>
      <c r="E14" s="71" t="s">
        <v>43</v>
      </c>
      <c r="F14" s="71" t="s">
        <v>44</v>
      </c>
      <c r="G14" s="72" t="s">
        <v>45</v>
      </c>
      <c r="H14" s="71" t="s">
        <v>46</v>
      </c>
      <c r="I14" s="71" t="s">
        <v>47</v>
      </c>
      <c r="J14" s="71" t="s">
        <v>48</v>
      </c>
      <c r="K14" s="71" t="s">
        <v>48</v>
      </c>
      <c r="L14" s="71" t="s">
        <v>49</v>
      </c>
      <c r="M14" s="73" t="s">
        <v>50</v>
      </c>
      <c r="N14" s="74" t="s">
        <v>51</v>
      </c>
      <c r="O14" s="114"/>
      <c r="P14" s="114"/>
      <c r="Q14" s="115"/>
    </row>
    <row r="15" spans="1:17" ht="22.5" customHeight="1" x14ac:dyDescent="0.2">
      <c r="A15" s="19">
        <v>3</v>
      </c>
      <c r="B15" s="20">
        <v>0</v>
      </c>
      <c r="C15" s="20">
        <v>0</v>
      </c>
      <c r="D15" s="20">
        <v>1</v>
      </c>
      <c r="E15" s="20">
        <v>0</v>
      </c>
      <c r="F15" s="20">
        <v>4901</v>
      </c>
      <c r="G15" s="20">
        <v>3</v>
      </c>
      <c r="H15" s="20">
        <v>5</v>
      </c>
      <c r="I15" s="20">
        <v>4</v>
      </c>
      <c r="J15" s="20">
        <v>3</v>
      </c>
      <c r="K15" s="20">
        <v>2</v>
      </c>
      <c r="L15" s="20">
        <v>0</v>
      </c>
      <c r="M15" s="21">
        <v>1</v>
      </c>
      <c r="N15" s="20" t="s">
        <v>59</v>
      </c>
      <c r="O15" s="108" t="s">
        <v>65</v>
      </c>
      <c r="P15" s="109"/>
      <c r="Q15" s="23">
        <v>4500000</v>
      </c>
    </row>
    <row r="16" spans="1:17" ht="17.25" customHeight="1" x14ac:dyDescent="0.2">
      <c r="A16" s="19"/>
      <c r="B16" s="20"/>
      <c r="C16" s="20"/>
      <c r="D16" s="20"/>
      <c r="E16" s="20"/>
      <c r="F16" s="20"/>
      <c r="G16" s="20"/>
      <c r="H16" s="20"/>
      <c r="I16" s="20"/>
      <c r="J16" s="20"/>
      <c r="K16" s="20"/>
      <c r="L16" s="20"/>
      <c r="M16" s="21"/>
      <c r="N16" s="22"/>
      <c r="O16" s="103"/>
      <c r="P16" s="103"/>
      <c r="Q16" s="23"/>
    </row>
    <row r="17" spans="1:18" ht="17.25" customHeight="1" x14ac:dyDescent="0.2">
      <c r="A17" s="19"/>
      <c r="B17" s="20"/>
      <c r="C17" s="20"/>
      <c r="D17" s="20"/>
      <c r="E17" s="20"/>
      <c r="F17" s="22"/>
      <c r="G17" s="20"/>
      <c r="H17" s="20"/>
      <c r="I17" s="20"/>
      <c r="J17" s="20"/>
      <c r="K17" s="20"/>
      <c r="L17" s="20"/>
      <c r="M17" s="21"/>
      <c r="N17" s="22"/>
      <c r="O17" s="103"/>
      <c r="P17" s="103"/>
      <c r="Q17" s="23"/>
    </row>
    <row r="18" spans="1:18" ht="17.25" customHeight="1" x14ac:dyDescent="0.2">
      <c r="A18" s="19"/>
      <c r="B18" s="20"/>
      <c r="C18" s="20"/>
      <c r="D18" s="20"/>
      <c r="E18" s="20"/>
      <c r="F18" s="22"/>
      <c r="G18" s="20"/>
      <c r="H18" s="20"/>
      <c r="I18" s="20"/>
      <c r="J18" s="20"/>
      <c r="K18" s="20"/>
      <c r="L18" s="20"/>
      <c r="M18" s="21"/>
      <c r="N18" s="22"/>
      <c r="O18" s="103"/>
      <c r="P18" s="103"/>
      <c r="Q18" s="23"/>
    </row>
    <row r="19" spans="1:18" ht="8.25" customHeight="1" x14ac:dyDescent="0.2">
      <c r="A19" s="24"/>
      <c r="B19" s="25"/>
      <c r="C19" s="25"/>
      <c r="D19" s="25"/>
      <c r="E19" s="25"/>
      <c r="F19" s="26"/>
      <c r="G19" s="25"/>
      <c r="H19" s="25"/>
      <c r="I19" s="25"/>
      <c r="J19" s="25"/>
      <c r="K19" s="25"/>
      <c r="L19" s="25"/>
      <c r="M19" s="27"/>
      <c r="N19" s="28"/>
      <c r="O19" s="104"/>
      <c r="P19" s="104"/>
      <c r="Q19" s="23"/>
      <c r="R19" s="1"/>
    </row>
    <row r="20" spans="1:18" ht="17.25" customHeight="1" x14ac:dyDescent="0.2">
      <c r="A20" s="29"/>
      <c r="B20" s="30"/>
      <c r="C20" s="30"/>
      <c r="D20" s="30"/>
      <c r="E20" s="30"/>
      <c r="F20" s="30"/>
      <c r="G20" s="30"/>
      <c r="H20" s="30"/>
      <c r="I20" s="30"/>
      <c r="J20" s="30"/>
      <c r="K20" s="30"/>
      <c r="L20" s="30"/>
      <c r="M20" s="31"/>
      <c r="N20" s="30"/>
      <c r="O20" s="105"/>
      <c r="P20" s="105"/>
      <c r="Q20" s="32"/>
    </row>
    <row r="21" spans="1:18" ht="32.25" customHeight="1" x14ac:dyDescent="0.2">
      <c r="A21" s="106" t="s">
        <v>71</v>
      </c>
      <c r="B21" s="106"/>
      <c r="C21" s="106"/>
      <c r="D21" s="106"/>
      <c r="E21" s="106"/>
      <c r="F21" s="106"/>
      <c r="G21" s="106"/>
      <c r="H21" s="106"/>
      <c r="I21" s="106"/>
      <c r="J21" s="106"/>
      <c r="K21" s="106"/>
      <c r="L21" s="106"/>
      <c r="M21" s="106"/>
      <c r="N21" s="106"/>
      <c r="O21" s="106"/>
      <c r="P21" s="106"/>
      <c r="Q21" s="33">
        <f>SUM(Q15:Q20)</f>
        <v>4500000</v>
      </c>
    </row>
    <row r="22" spans="1:18" ht="18" customHeight="1" thickBot="1" x14ac:dyDescent="0.25">
      <c r="A22" s="107"/>
      <c r="B22" s="107"/>
      <c r="C22" s="107"/>
      <c r="D22" s="107"/>
      <c r="E22" s="107"/>
      <c r="F22" s="107"/>
      <c r="G22" s="107"/>
      <c r="H22" s="107"/>
      <c r="I22" s="107"/>
      <c r="J22" s="107"/>
      <c r="K22" s="107"/>
      <c r="L22" s="107"/>
      <c r="M22" s="107"/>
      <c r="N22" s="107"/>
      <c r="O22" s="107"/>
      <c r="P22" s="107"/>
      <c r="Q22" s="107"/>
    </row>
    <row r="23" spans="1:18" ht="17.25" customHeight="1" thickBot="1" x14ac:dyDescent="0.25">
      <c r="A23" s="98" t="s">
        <v>52</v>
      </c>
      <c r="B23" s="99"/>
      <c r="C23" s="99"/>
      <c r="D23" s="99"/>
      <c r="E23" s="99"/>
      <c r="F23" s="100"/>
      <c r="G23" s="101"/>
      <c r="H23" s="101"/>
      <c r="I23" s="101"/>
      <c r="J23" s="101"/>
      <c r="K23" s="101"/>
      <c r="L23" s="101"/>
      <c r="M23" s="101"/>
      <c r="N23" s="101"/>
      <c r="O23" s="101"/>
      <c r="P23" s="101"/>
      <c r="Q23" s="101"/>
    </row>
    <row r="24" spans="1:18" ht="18" customHeight="1" thickBot="1" x14ac:dyDescent="0.25">
      <c r="A24" s="102" t="s">
        <v>75</v>
      </c>
      <c r="B24" s="102"/>
      <c r="C24" s="102"/>
      <c r="D24" s="102"/>
      <c r="E24" s="102"/>
      <c r="F24" s="102"/>
      <c r="G24" s="102"/>
      <c r="H24" s="102"/>
      <c r="I24" s="102"/>
      <c r="J24" s="102"/>
      <c r="K24" s="102"/>
      <c r="L24" s="102"/>
      <c r="M24" s="102"/>
      <c r="N24" s="102"/>
      <c r="O24" s="102"/>
      <c r="P24" s="102"/>
      <c r="Q24" s="102"/>
    </row>
    <row r="25" spans="1:18" ht="21.75" customHeight="1" x14ac:dyDescent="0.2">
      <c r="A25" s="102"/>
      <c r="B25" s="102"/>
      <c r="C25" s="102"/>
      <c r="D25" s="102"/>
      <c r="E25" s="102"/>
      <c r="F25" s="102"/>
      <c r="G25" s="102"/>
      <c r="H25" s="102"/>
      <c r="I25" s="102"/>
      <c r="J25" s="102"/>
      <c r="K25" s="102"/>
      <c r="L25" s="102"/>
      <c r="M25" s="102"/>
      <c r="N25" s="102"/>
      <c r="O25" s="102"/>
      <c r="P25" s="102"/>
      <c r="Q25" s="102"/>
    </row>
    <row r="28" spans="1:18" x14ac:dyDescent="0.2">
      <c r="A28" s="52"/>
    </row>
  </sheetData>
  <mergeCells count="29">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3:F23"/>
    <mergeCell ref="G23:Q23"/>
    <mergeCell ref="A24:Q25"/>
    <mergeCell ref="O18:P18"/>
    <mergeCell ref="O19:P19"/>
    <mergeCell ref="O20:P20"/>
    <mergeCell ref="A21:P21"/>
    <mergeCell ref="A22:Q22"/>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Laura</cp:lastModifiedBy>
  <cp:revision>2</cp:revision>
  <cp:lastPrinted>2020-11-16T14:26:52Z</cp:lastPrinted>
  <dcterms:created xsi:type="dcterms:W3CDTF">2020-07-17T23:44:49Z</dcterms:created>
  <dcterms:modified xsi:type="dcterms:W3CDTF">2021-04-08T15:01:55Z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