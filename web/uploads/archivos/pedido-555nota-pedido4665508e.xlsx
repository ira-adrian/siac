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Medicamentos 2022\Terapia Antiinfecciosa consolidado\4to Trim 2022\"/>
    </mc:Choice>
  </mc:AlternateContent>
  <xr:revisionPtr revIDLastSave="0" documentId="13_ncr:1_{6E12A3C2-264E-4ABB-AFAF-9B466DB15C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NotaPedido'!$A$11:$K$63</definedName>
    <definedName name="_xlnm._FilterDatabase" localSheetId="0" hidden="1">'Necesidades Trimestrales'!$J$9:$K$9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C54" i="2" l="1"/>
  <c r="C49" i="2"/>
  <c r="I48" i="2"/>
  <c r="C45" i="2"/>
  <c r="I35" i="2"/>
  <c r="I31" i="2"/>
  <c r="B25" i="2"/>
  <c r="I24" i="2"/>
  <c r="C24" i="2"/>
  <c r="C15" i="2"/>
  <c r="C13" i="2"/>
  <c r="A26" i="3" l="1"/>
  <c r="G52" i="1"/>
  <c r="G51" i="1"/>
  <c r="G37" i="1"/>
  <c r="G36" i="1"/>
  <c r="G35" i="1"/>
  <c r="G30" i="1"/>
  <c r="G29" i="1"/>
  <c r="G10" i="1" l="1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I12" i="2"/>
  <c r="I13" i="2"/>
  <c r="I14" i="2"/>
  <c r="I15" i="2"/>
  <c r="I16" i="2"/>
  <c r="I17" i="2"/>
  <c r="I18" i="2"/>
  <c r="I19" i="2"/>
  <c r="I20" i="2"/>
  <c r="I21" i="2"/>
  <c r="I22" i="2"/>
  <c r="I23" i="2"/>
  <c r="I25" i="2"/>
  <c r="I26" i="2"/>
  <c r="I27" i="2"/>
  <c r="I28" i="2"/>
  <c r="I29" i="2"/>
  <c r="I30" i="2"/>
  <c r="I32" i="2"/>
  <c r="I33" i="2"/>
  <c r="I34" i="2"/>
  <c r="I36" i="2"/>
  <c r="I37" i="2"/>
  <c r="I38" i="2"/>
  <c r="I39" i="2"/>
  <c r="I40" i="2"/>
  <c r="I41" i="2"/>
  <c r="I42" i="2"/>
  <c r="I43" i="2"/>
  <c r="I44" i="2"/>
  <c r="I45" i="2"/>
  <c r="I46" i="2"/>
  <c r="I47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C12" i="2"/>
  <c r="C14" i="2"/>
  <c r="C16" i="2"/>
  <c r="C17" i="2"/>
  <c r="C18" i="2"/>
  <c r="C19" i="2"/>
  <c r="C20" i="2"/>
  <c r="C21" i="2"/>
  <c r="C22" i="2"/>
  <c r="C23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6" i="2"/>
  <c r="C47" i="2"/>
  <c r="C48" i="2"/>
  <c r="C50" i="2"/>
  <c r="C51" i="2"/>
  <c r="C52" i="2"/>
  <c r="C53" i="2"/>
  <c r="C55" i="2"/>
  <c r="C56" i="2"/>
  <c r="C57" i="2"/>
  <c r="C58" i="2"/>
  <c r="C59" i="2"/>
  <c r="C60" i="2"/>
  <c r="C61" i="2"/>
  <c r="C62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I10" i="1" l="1"/>
  <c r="J63" i="2" l="1"/>
  <c r="Q15" i="3" s="1"/>
  <c r="Q23" i="3" l="1"/>
  <c r="A10" i="3"/>
  <c r="G7" i="3"/>
  <c r="G6" i="3"/>
  <c r="D1" i="3"/>
  <c r="D4" i="2"/>
  <c r="G5" i="3" s="1"/>
  <c r="D3" i="2"/>
  <c r="G4" i="3" s="1"/>
  <c r="I61" i="1"/>
</calcChain>
</file>

<file path=xl/sharedStrings.xml><?xml version="1.0" encoding="utf-8"?>
<sst xmlns="http://schemas.openxmlformats.org/spreadsheetml/2006/main" count="332" uniqueCount="181">
  <si>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</si>
  <si>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</si>
  <si>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</si>
  <si>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</si>
  <si>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</si>
  <si>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</si>
  <si>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</si>
  <si>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</si>
  <si>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</si>
  <si>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</si>
  <si>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</si>
  <si>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</si>
  <si>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</si>
  <si>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</si>
  <si>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COMPRIMIDO</t>
  </si>
  <si>
    <t>AMPOLLA</t>
  </si>
  <si>
    <t>FRASCO</t>
  </si>
  <si>
    <t>CAPSULAS</t>
  </si>
  <si>
    <t>UNIDAD</t>
  </si>
  <si>
    <t>NOTA DE PEDIDO</t>
  </si>
  <si>
    <t>N°</t>
  </si>
  <si>
    <t>xxx/2022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</si>
  <si>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</si>
  <si>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</si>
  <si>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</si>
  <si>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</si>
  <si>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</si>
  <si>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Semestral</t>
  </si>
  <si>
    <t>OBJETO:</t>
  </si>
  <si>
    <t>Adquisición de TERAPIA ANTIINFECCIOSA SISTEMICA/SUEROS INMUNES E INMUNOGLOBULINAS  Y MEDIOS DE CONTRASTES /ANALGESICOS ANTINFLAMATORIOS /MIORRELAJANTES/ANESTESICOS/ANALGESICOS OPIACIOS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</si>
  <si>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</si>
  <si>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</si>
  <si>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</si>
  <si>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</si>
  <si>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</si>
  <si>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</si>
  <si>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</si>
  <si>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</si>
  <si>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</si>
  <si>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</si>
  <si>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</si>
  <si>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</si>
  <si>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</si>
  <si>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</si>
  <si>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</si>
  <si>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</si>
  <si>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</si>
  <si>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</si>
  <si>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</si>
  <si>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</si>
  <si>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</si>
  <si>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</si>
  <si>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</si>
  <si>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</si>
  <si>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</si>
  <si>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</si>
  <si>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</si>
  <si>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</si>
  <si>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</si>
  <si>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</si>
  <si>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</si>
  <si>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PROD. MEDICO/FARMACEUTICOS/LAB</t>
  </si>
  <si>
    <t>2.5.2-1724.16</t>
  </si>
  <si>
    <t>2.5.2-1821.440</t>
  </si>
  <si>
    <t>2.5.2-1821.9</t>
  </si>
  <si>
    <t>2.5.2-1821.399</t>
  </si>
  <si>
    <t>2.5.2-1821.389</t>
  </si>
  <si>
    <t>2.5.2-1821.8</t>
  </si>
  <si>
    <t>2.5.2-1821.94</t>
  </si>
  <si>
    <t>2.5.2-1821.502</t>
  </si>
  <si>
    <t>2.5.2-1821.321</t>
  </si>
  <si>
    <t>2.5.2-1821.337</t>
  </si>
  <si>
    <t>2.5.2-1821.405</t>
  </si>
  <si>
    <t>2.5.2-1821.214</t>
  </si>
  <si>
    <t>2.5.2-1821.387</t>
  </si>
  <si>
    <t>2.5.2-1821.46</t>
  </si>
  <si>
    <t>2.5.2-1821.37</t>
  </si>
  <si>
    <t>2.5.2-1821.338</t>
  </si>
  <si>
    <t>2.5.2-1724.140</t>
  </si>
  <si>
    <t>2.5.2-1724.117</t>
  </si>
  <si>
    <t>2.5.2-1724.208</t>
  </si>
  <si>
    <t>2.5.2-1724.74</t>
  </si>
  <si>
    <t>2.5.2-1821.458</t>
  </si>
  <si>
    <t>2.5.2-1821.238</t>
  </si>
  <si>
    <t>2.5.2-1821.4</t>
  </si>
  <si>
    <t>2.5.2-1724.163</t>
  </si>
  <si>
    <t>2.5.2-1725.68</t>
  </si>
  <si>
    <t>2.5.2-1724.23</t>
  </si>
  <si>
    <t>2.5.2-1725.49</t>
  </si>
  <si>
    <t>2.5.2-1821.71</t>
  </si>
  <si>
    <t>2.5.2-1883.111</t>
  </si>
  <si>
    <t>2.5.2-1883.186</t>
  </si>
  <si>
    <t>2.5.2-1883.19</t>
  </si>
  <si>
    <t>2.5.2-1857.12</t>
  </si>
  <si>
    <t>2.5.2-1857.36</t>
  </si>
  <si>
    <t>2.5.2-1821.400</t>
  </si>
  <si>
    <t>2.5.2-1821.76</t>
  </si>
  <si>
    <t>2.5.2-1821.334</t>
  </si>
  <si>
    <t>2.5.2-1724.98</t>
  </si>
  <si>
    <t>2.5.2-1724.206</t>
  </si>
  <si>
    <t>2.5.2-1725.35</t>
  </si>
  <si>
    <t>2.5.2-1821.220</t>
  </si>
  <si>
    <t>2.5.2-1821.54</t>
  </si>
  <si>
    <t>2.5.2-1822.6</t>
  </si>
  <si>
    <t>2.5.2-1821.201</t>
  </si>
  <si>
    <t>2.5.2-2455.31</t>
  </si>
  <si>
    <t>2.5.2-1724.154</t>
  </si>
  <si>
    <t>ANTIBIOTICOS P/PERSONAS; TIPO: ASOCIACION, DROGA GENERICA: AMOXICIL. 875 MG+CLAVUL.125 MG mGr, FORMA FARMACEUTICA: COMPRIMIDO, PRESENTACION: UNIDAD</t>
  </si>
  <si>
    <t>ANTIBIOTICOS P/PERSONAS; TIPO: MONODROGA, DROGA GENERICA: AMOXICILINA, PRESENTACION: 500 mGr, FORMA FARMACEUTICA: COMPRIMIDOS</t>
  </si>
  <si>
    <t>ANTIBIOTICOS P/PERSONAS; TIPO: MONODROGA, DROGA GENERICA: AMOXICILINA 500 mGr, FORMA FARMACEUTICA: SUSPENSION, PRESENTACION: ENVASE X 90 mL</t>
  </si>
  <si>
    <t>ANTIBIOTICOS P/PERSONAS; TIPO: ASOCIACION, DROGA GENERICA: AMPICILINA + SULBACTAN, FORMA FARMACEUTICA: FRASCO AMPOLLA, PRESENTACION: ENVASE X 1,5 GR</t>
  </si>
  <si>
    <t>ANTIBIOTICOS P/PERSONAS; TIPO: MONODROGA, DROGA GENERICA: AMPICILINA, FORMA FARMACEUTICA: AMPOLLA, PRESENTACION: 1 GR</t>
  </si>
  <si>
    <t>ANTIBIOTICOS P/PERSONAS; TIPO: MONODROGA, DROGA GENERICA: AZITROMICINA, FORMA FARMACEUTICA: COMPRIMIDO, PRESENTACION: 500 mGr</t>
  </si>
  <si>
    <t>ANTIBIOTICOS P/PERSONAS; TIPO: MONODROGA, DROGA GENERICA: AZITROMICINA 200 mGr, FORMA FARMACEUTICA: SUSPENSION, PRESENTACION: ENVASE X 15 Ml</t>
  </si>
  <si>
    <t>ANTIBIOTICOS P/PERSONAS; TIPO: MONODROGA, DROGA GENERICA: CEFALEXINA 500 mGr, FORMA FARMACEUTICA: COMPRIMIDO, PRESENTACION: 1 UN</t>
  </si>
  <si>
    <t>ANTIBIOTICOS P/PERSONAS; TIPO: MONODROGA, DROGA GENERICA: CEFALEXINA 500MG, FORMA FARMACEUTICA: SUSPENSION, PRESENTACION: ENVASE X 90 mL</t>
  </si>
  <si>
    <t>ANTIBIOTICOS P/PERSONAS; TIPO: MONODROGA, DROGA GENERICA: CEFALOTINA SODICA, FORMA FARMACEUTICA: FRASCO AMPOLLA, PRESENTACION: 1 GR</t>
  </si>
  <si>
    <t>ANTIBIOTICOS P/PERSONAS; TIPO: MONODROGA, DROGA GENERICA: CEFTRIAXONA, FORMA FARMACEUTICA: FRASCO AMPOLLA, PRESENTACION: 1 GR</t>
  </si>
  <si>
    <t>ANTIBIOTICOS P/PERSONAS; TIPO: MONODROGA, FORMA FARMACEUTICA: COMPRIMIDO, PRESENTACION: 500 mGr, DROGA GENERICA: CIPROFLOXACINA</t>
  </si>
  <si>
    <t>ANTIBIOTICOS P/PERSONAS; TIPO: MONODROGA, DROGA GENERICA: CLARITROMICINA 250MG, FORMA FARMACEUTICA: SUSPENSION, PRESENTACION: ENVASE X 90 mL</t>
  </si>
  <si>
    <t>ANTIBIOTICOS P/PERSONAS; TIPO: MONODROGA, DROGA GENERICA: CLARITROMICINA, FORMA FARMACEUTICA: COMPRIMIDO, PRESENTACION: 500 mGr</t>
  </si>
  <si>
    <t>ANTIMICOBACTERIAS; TIPO: MONODROGA, DROGA GENERICA: RIFAMPICINA, PRESENTACION: 300 mGr, FORMA FARMACEUTICA: CAPSULA</t>
  </si>
  <si>
    <t>ANTIBIOTICOS P/PERSONAS; TIPO: ANTITUBERCULOSTATICO, DROGA GENERICA: RIFAMPICINA X 2 GR, FORMA FARMACEUTICA: EN SUSPENSION CADA 100 mL, PRESENTACION: FRASCO X 50 Ml</t>
  </si>
  <si>
    <t>ANTIBIOTICOS P/PERSONAS; TIPO: MONODROGA, DROGA GENERICA: DOXICICLINA 100 mGr, FORMA FARMACEUTICA: COMPRIMIDO, PRESENTACION: UNIDAD</t>
  </si>
  <si>
    <t>ANTIBIOTICOS P/PERSONAS; TIPO: MONODROGA, DROGA GENERICA: FLUCONAZOL 100 MG, FORMA FARMACEUTICA: COMPRIMIDO, PRESENTACION: 100 mGr</t>
  </si>
  <si>
    <t>ANTIBIOTICOS P/PERSONAS; DROGA GENERICA: GENTAMICINA, FORMA FARMACEUTICA: AMPOLLA, PRESENTACION: 80 mGr, TIPO: MONODROGA</t>
  </si>
  <si>
    <t>ANTIINFLAMATORIOS NO ESTEROIDE; TIPO: MONODROGA, DROGA GENERICA: IBUPROFENO, FORMA FARMACEUTICA: COMPRIMIDO, PRESENTACION: 400 mGr</t>
  </si>
  <si>
    <t>ANTIINFLAMATORIOS NO ESTEROIDE; DROGA GENERICA: KETOROLAC, FORMA FARMACEUTICA: COMPRIMIDO, PRESENTACION: 10 mGr, TIPO: MONODROGA</t>
  </si>
  <si>
    <t>ANTIBIOTICOS P/PERSONAS; TIPO: MONODROGA, DROGA GENERICA: LEVOFLOXACINA, PRESENTACION: 500 mGr, FORMA FARMACEUTICA: COMPRIMIDO</t>
  </si>
  <si>
    <t>ANESTESICOS LOCALES; TIPO: MONODROGA, DROGA GENERICA: LIDOCAINA 2%S/EPINEFRINA, FORMA FARMACEUTICA: AMPOLLA, PRESENTACION: 5 mL</t>
  </si>
  <si>
    <t>ANESTESICOS LOCALES; TIPO: ASOCIACION, DROGA GENERICA: LIDOCAINA 2% C/EPINEFRINA, FORMA FARMACEUTICA: FRASCO AMPOLLA, PRESENTACION: 20 mL</t>
  </si>
  <si>
    <t>ANESTESICOS LOCALES; TIPO: MONODROGA, DROGA GENERICA: LIDOCAINA VISCOSA, FORMA FARMACEUTICA: ENVASE, PRESENTACION: 50 mL</t>
  </si>
  <si>
    <t>ANTIPARASITARIOS; TIPO: MONODROGA, DROGA GENERICA: MEBENDAZOL, FORMA FARMACEUTICA: COMPRIMIDOS, PRESENTACION: 100 mGr</t>
  </si>
  <si>
    <t>ANTIPARASITARIOS; TIPO: MONODROGA, DROGA GENERICA: MEBENDAZOL 2%, FORMA FARMACEUTICA: SUSPENSION, PRESENTACION: ENVASE X 30 mL</t>
  </si>
  <si>
    <t>ANTIBIOTICOS P/PERSONAS; TIPO: MONODROGA, FORMA FARMACEUTICA: COMPRIMIDO, PRESENTACION: 500 mGr, DROGA GENERICA: METRONIDAZOL</t>
  </si>
  <si>
    <t>ANTIBIOTICOS P/PERSONAS; TIPO: MONODROGA, DROGA GENERICA: METRONIDAZOL 500 mGr, FORMA FARMACEUTICA: SACHET X 100 mL, PRESENTACION: UNIDAD</t>
  </si>
  <si>
    <t>ANTIINFLAMATORIOS NO ESTEROIDE; TIPO: MONODROGA, DROGA GENERICA: NAPROXENO, FORMA FARMACEUTICA: COMPRIMIDO, PRESENTACION: 500 mGr</t>
  </si>
  <si>
    <t>ANTIBIOTICOS P/PERSONAS; TIPO: MONODROGA, DROGA GENERICA: PENICILINA G. BENZATINICA, FORMA FARMACEUTICA: AMPOLLA, PRESENTACION: 1.200.000 UI</t>
  </si>
  <si>
    <t>ANTIBIOTICOS P/PERSONAS; TIPO: MONODROGA, DROGA GENERICA: PENICILINA G. BENZATINICA, FORMA FARMACEUTICA: FRASCO AMPOLLA, PRESENTACION: 2.400.000 UI</t>
  </si>
  <si>
    <t>ANESTESICOS GENERALES; DROGA GENERICA: SEVOFLUORANO, FORMA FARMACEUTICA: SOLUCION, PRESENTACION: ENVASE X 250 mL, TIPO: MONODROGA</t>
  </si>
  <si>
    <r>
      <t xml:space="preserve">ANTIBIOTICOS P/PERSONAS; TIPO: MONODROGA, DROGA GENERICA: CIPROFLOXACINA, FORMA FARMACEUTICA: </t>
    </r>
    <r>
      <rPr>
        <sz val="10"/>
        <color theme="1"/>
        <rFont val="Arial"/>
        <family val="2"/>
      </rPr>
      <t>SACHET</t>
    </r>
    <r>
      <rPr>
        <sz val="10"/>
        <color rgb="FF000000"/>
        <rFont val="Arial"/>
        <family val="2"/>
      </rPr>
      <t>, PRESENTACION: ENVASE X 200 mGr</t>
    </r>
  </si>
  <si>
    <r>
      <t>ANTIBIOTICOS P/PERSONAS; TIPO: MONODROGA, DROGA GENERICA: METRONIDAZOL</t>
    </r>
    <r>
      <rPr>
        <b/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>125MG</t>
    </r>
    <r>
      <rPr>
        <sz val="10"/>
        <color rgb="FF000000"/>
        <rFont val="Arial"/>
        <family val="2"/>
      </rPr>
      <t>/5ML, FORMA FARMACEUTICA: SUSPENSION ORAL, PRESENTACION: ENVASE X 120 mL</t>
    </r>
  </si>
  <si>
    <t>2.5.2-1821.524</t>
  </si>
  <si>
    <t>ANESTESICOS LOCALES; TIPO: MONODROGA, DROGA GENERICA: BUPIVACAINA 0,5% HIPERBARICA, FORMA FARMACEUTICA: AMPOLLA, PRESENTACION: 4 ML CON AGUJA 27 G X 3 1/2 CON INTRODUCTOR</t>
  </si>
  <si>
    <t>2.5.2-1883.188</t>
  </si>
  <si>
    <t>2.5.2-1724.243</t>
  </si>
  <si>
    <t>2.5.2-1724.244</t>
  </si>
  <si>
    <t>ANALGÉSICOS ; TIPO: MONODROGA, DROGA GENÉRICA: PARACETAMOL 500 MGR, FORMA FARMACEÚTICA: COMPRIMIDO, PRESENTACIÓN: X UNIDAD</t>
  </si>
  <si>
    <t>2.5.2-1724.245</t>
  </si>
  <si>
    <t>PEDICULICIDAS; DROGA GENERICA: PERMETRINA, FORMA FARMACEUTICA: EMULSION, PRESENTACION: 100 mL</t>
  </si>
  <si>
    <t>2.5.2-3097.9</t>
  </si>
  <si>
    <t>ANTIBIOTICOS P/PERSONAS; TIPO: ASOCIACION, DROGA GENERICA: AMOXICILINA + AC.CLAVULANICO 400 MG / 57 MG, FORMA FARMACEUTICA: SUSPENSION, PRESENTACION: ENVASE X 70 ML</t>
  </si>
  <si>
    <t>SACHET</t>
  </si>
  <si>
    <t>Productos Farmacéuticos y Medicinales</t>
  </si>
  <si>
    <t>ANALGESICOS; TIPO: MONODROGA, DROGA GENERICA: PARACETAMOL 1 GR, FORMA FARMACEUTICA: COMPRIMIDO, PRESENTACION: UNIDAD</t>
  </si>
  <si>
    <t>ANALGESICOS; TIPO: MONODROGA, DROGA GENERICA: PARACETAMOL 2%, 100MG/5ML, FORMA FARMACEÚTICA: JARABE, PRESENTACION: 120 ML</t>
  </si>
  <si>
    <t>ANALGESICOS; TIPO: MONODROGA, DROGA GENERICA: ACIDO ACETILSALICILICO, PRESENTACION: 100 mGr, FORMA FARMACEUTICA: COMPRIMIDO</t>
  </si>
  <si>
    <t>ANALGESICOS; TIPO: MONODROGA, DROGA GENERICA: DICLOFENAC X 75 MG, FORMA FARMACEUTICA: COMPRIMIDO, PRESENTACION: UNIDAD</t>
  </si>
  <si>
    <r>
      <t xml:space="preserve">ANALGESICOS; TIPO: ASOCIACION, DROGA GENERICA: DICLOFENAC </t>
    </r>
    <r>
      <rPr>
        <sz val="10"/>
        <color theme="1"/>
        <rFont val="Arial"/>
        <family val="2"/>
      </rPr>
      <t>SODICO</t>
    </r>
    <r>
      <rPr>
        <b/>
        <sz val="10"/>
        <color rgb="FFFF0000"/>
        <rFont val="Arial"/>
        <family val="2"/>
      </rPr>
      <t>,</t>
    </r>
    <r>
      <rPr>
        <sz val="10"/>
        <color rgb="FF000000"/>
        <rFont val="Arial"/>
        <family val="2"/>
      </rPr>
      <t xml:space="preserve"> FORMA FARMACEUTICA: AMPOLLA, PRESENTACION: 3 Ml</t>
    </r>
  </si>
  <si>
    <t>ANALGESICOS; TIPO: MONODROGA, DROGA GENERICA: DIPIRONA SODICA 1 GR, FORMA FARMACEUTICA: AMPOLLA, PRESENTACION: 2 mL</t>
  </si>
  <si>
    <t>ANALGESICOS; TIPO: MONODROGA, DROGA GENERICA: DIPIRONA, FORMA FARMACEUTICA: JARABE, PRESENTACION: FRASCO X 120 mL</t>
  </si>
  <si>
    <t>ANALGESICOS; TIPO: MONODROGA, DROGA GENERICA: IBUPROFENO 2%, FORMA FARMACEUTICA: SUSPENSION, PRESENTACION: ENVASE X 90 mL</t>
  </si>
  <si>
    <t>ANALGESICOS; TIPO: MONODROGA, DROGA GENERICA: MORFINA CLORIDRATO 1%, FORMA FARMACEUTICA: AMPOLLA, PRESENTACION: 1 mL</t>
  </si>
  <si>
    <t>ANALGESICOS; TIPO: MONODROGA, DROGA GENERICA: NALBUFINA 10 mGr, FORMA FARMACEUTICA: AMPOLLA, PRESENTACION: ENVASE X 1 mL</t>
  </si>
  <si>
    <t>ANALGESICOS; TIPO: MONODROGA, DROGA GENERICA: TRAMADOL 50 mGr, FORMA FARMACEUTICA: AMPOLLA, PRESENTACION: UNIDAD</t>
  </si>
  <si>
    <t>ANALGESICOS; TIPO: MONODROGA, DROGA GENERICA: KETOROLAC, FORMA FARMACEUTICA: AMPOLLA, PRESENTACION: 30 mGr</t>
  </si>
  <si>
    <t>CANTIDAD DPF</t>
  </si>
  <si>
    <t>011 - Direccion Provincial de Administracion - MS</t>
  </si>
  <si>
    <t>469 - Direccion Provincial de Farmacia e Insumos</t>
  </si>
  <si>
    <t>TOTAL RUBRO TERAPIA ANTIINFECCIOSA SISTEMICA/SUEROS INMUNES E INMUNOGLOBULINAS  Y MEDIOS DE CONTRASTES /ANALGESICOS ANTINFLAMATORIOS /MIORRELAJANTES/ANESTESICOS/ANALGESICOS OPIACIOS</t>
  </si>
  <si>
    <t>Costo total estimado: PESOS SETENTA Y OCHO MILLONES OCHOCIENTOS CUATRO MIL CUATROCIENTOS VEINTIUNO con 00/100.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</si>
  <si>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</si>
  <si>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</si>
  <si>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</si>
  <si>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diez (10) dias habiles</t>
  </si>
  <si>
    <t>Lugar de Entrega:</t>
  </si>
  <si>
    <t>Calidad Minima esperada</t>
  </si>
  <si>
    <t>Mantenimiento</t>
  </si>
  <si>
    <t>cuarenta y cinco (45) días habiles</t>
  </si>
  <si>
    <t>DIR. PROV. DE FARMACIA E INSUMOS - CHACABUCO N° 169 - en el horario de 8:00hs a 12:00hs de lunes a viernes. DEBIENDO CORRER LOS GASTOS DE FLETES, ACARREO, CARGA, DESCARGA Y SEGURO A CARGO DEL ADJUDICATARIO.</t>
  </si>
  <si>
    <t>TOTAL DE PESOS: SETENTA Y OCHO MILLONES OCHOCIENTOS CUATRO MIL CUATROCIENTOS VEINTIUNO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</si>
</sst>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"/>
    <numFmt numFmtId="165" formatCode="_-&quot;$&quot;\ * #,##0.00_-;\-&quot;$&quot;\ * #,##0.00_-;_-&quot;$&quot;\ * &quot;-&quot;??_-;_-@"/>
    <numFmt numFmtId="166" formatCode="[$$-2C0A]\ #,##0.00;[$$-2C0A]&quot; -&quot;#,##0.00"/>
    <numFmt numFmtId="167" formatCode="[$$-2C0A]\ #,##0.00"/>
    <numFmt numFmtId="168" formatCode="dd\-mm\-yy"/>
    <numFmt numFmtId="175" formatCode="0.000000000"/>
  </numFmts>
  <fonts count="2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1" fillId="0" borderId="6"/>
    <xf numFmtId="0" fontId="4" fillId="0" borderId="6"/>
  </cellStyleXfs>
  <cellXfs count="20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horizontal="right" vertical="center"/>
    </xf>
    <xf numFmtId="0" fontId="14" fillId="0" borderId="9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3" fontId="18" fillId="0" borderId="0" xfId="0" applyNumberFormat="1" applyFont="1"/>
    <xf numFmtId="168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23" xfId="0" applyFont="1" applyBorder="1"/>
    <xf numFmtId="0" fontId="10" fillId="0" borderId="30" xfId="0" applyFont="1" applyBorder="1"/>
    <xf numFmtId="0" fontId="10" fillId="0" borderId="30" xfId="0" applyFont="1" applyBorder="1" applyAlignment="1">
      <alignment horizontal="left"/>
    </xf>
    <xf numFmtId="0" fontId="10" fillId="0" borderId="24" xfId="0" applyFont="1" applyBorder="1"/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3" xfId="0" applyFont="1" applyBorder="1" applyAlignment="1">
      <alignment horizontal="left" vertical="center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" fillId="0" borderId="6" xfId="0" applyFont="1" applyBorder="1"/>
    <xf numFmtId="0" fontId="7" fillId="0" borderId="6" xfId="0" applyFont="1" applyBorder="1" applyAlignment="1">
      <alignment horizontal="left" wrapText="1"/>
    </xf>
    <xf numFmtId="0" fontId="9" fillId="0" borderId="60" xfId="0" applyFont="1" applyBorder="1" applyAlignment="1">
      <alignment horizontal="center" vertical="center" wrapText="1"/>
    </xf>
    <xf numFmtId="164" fontId="9" fillId="0" borderId="60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10" fillId="0" borderId="60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 wrapText="1"/>
    </xf>
    <xf numFmtId="3" fontId="10" fillId="0" borderId="60" xfId="0" applyNumberFormat="1" applyFont="1" applyBorder="1" applyAlignment="1">
      <alignment horizontal="center" vertical="center"/>
    </xf>
    <xf numFmtId="164" fontId="10" fillId="0" borderId="60" xfId="0" applyNumberFormat="1" applyFont="1" applyBorder="1" applyAlignment="1">
      <alignment horizontal="right" vertical="center" wrapText="1"/>
    </xf>
    <xf numFmtId="0" fontId="23" fillId="0" borderId="60" xfId="0" applyFont="1" applyBorder="1" applyAlignment="1">
      <alignment vertical="center" wrapText="1"/>
    </xf>
    <xf numFmtId="0" fontId="23" fillId="0" borderId="60" xfId="0" applyFont="1" applyBorder="1" applyAlignment="1">
      <alignment wrapText="1"/>
    </xf>
    <xf numFmtId="0" fontId="23" fillId="0" borderId="60" xfId="0" applyFont="1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4" fillId="0" borderId="60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60" xfId="0" applyBorder="1" applyAlignment="1">
      <alignment horizontal="center" vertical="center"/>
    </xf>
    <xf numFmtId="0" fontId="0" fillId="2" borderId="60" xfId="0" applyFill="1" applyBorder="1" applyAlignment="1">
      <alignment horizontal="center" vertical="center" wrapText="1"/>
    </xf>
    <xf numFmtId="0" fontId="23" fillId="2" borderId="0" xfId="0" applyFont="1" applyFill="1" applyAlignment="1">
      <alignment vertical="center" wrapText="1"/>
    </xf>
    <xf numFmtId="165" fontId="10" fillId="2" borderId="60" xfId="0" applyNumberFormat="1" applyFont="1" applyFill="1" applyBorder="1" applyAlignment="1">
      <alignment horizontal="right" vertical="center"/>
    </xf>
    <xf numFmtId="165" fontId="10" fillId="2" borderId="60" xfId="0" applyNumberFormat="1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 wrapText="1"/>
    </xf>
    <xf numFmtId="165" fontId="4" fillId="2" borderId="60" xfId="0" applyNumberFormat="1" applyFont="1" applyFill="1" applyBorder="1" applyAlignment="1">
      <alignment horizontal="center" vertical="center"/>
    </xf>
    <xf numFmtId="0" fontId="0" fillId="0" borderId="6" xfId="0" applyBorder="1"/>
    <xf numFmtId="0" fontId="2" fillId="0" borderId="61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 wrapText="1"/>
    </xf>
    <xf numFmtId="166" fontId="2" fillId="0" borderId="61" xfId="0" applyNumberFormat="1" applyFont="1" applyBorder="1" applyAlignment="1">
      <alignment horizontal="right" vertical="center" wrapText="1"/>
    </xf>
    <xf numFmtId="3" fontId="2" fillId="0" borderId="6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165" fontId="10" fillId="2" borderId="60" xfId="0" applyNumberFormat="1" applyFont="1" applyFill="1" applyBorder="1" applyAlignment="1">
      <alignment vertical="center"/>
    </xf>
    <xf numFmtId="0" fontId="23" fillId="0" borderId="60" xfId="0" applyFont="1" applyBorder="1" applyAlignment="1">
      <alignment horizontal="center" vertical="center"/>
    </xf>
    <xf numFmtId="0" fontId="23" fillId="2" borderId="60" xfId="0" applyFont="1" applyFill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2" borderId="6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4" fillId="0" borderId="0" xfId="0" applyFont="1"/>
    <xf numFmtId="0" fontId="10" fillId="0" borderId="63" xfId="0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0" fontId="0" fillId="0" borderId="63" xfId="0" applyBorder="1" applyAlignment="1">
      <alignment horizontal="center" vertical="center" wrapText="1"/>
    </xf>
    <xf numFmtId="0" fontId="23" fillId="0" borderId="63" xfId="0" applyFont="1" applyBorder="1" applyAlignment="1">
      <alignment vertical="center" wrapText="1"/>
    </xf>
    <xf numFmtId="3" fontId="10" fillId="0" borderId="63" xfId="0" applyNumberFormat="1" applyFont="1" applyBorder="1" applyAlignment="1">
      <alignment horizontal="center" vertical="center"/>
    </xf>
    <xf numFmtId="165" fontId="10" fillId="2" borderId="63" xfId="0" applyNumberFormat="1" applyFont="1" applyFill="1" applyBorder="1" applyAlignment="1">
      <alignment horizontal="right" vertical="center"/>
    </xf>
    <xf numFmtId="164" fontId="24" fillId="0" borderId="62" xfId="0" applyNumberFormat="1" applyFont="1" applyBorder="1" applyAlignment="1">
      <alignment horizontal="right" vertical="center" wrapText="1"/>
    </xf>
    <xf numFmtId="165" fontId="10" fillId="0" borderId="60" xfId="0" applyNumberFormat="1" applyFont="1" applyBorder="1" applyAlignment="1">
      <alignment horizontal="center" vertical="center"/>
    </xf>
    <xf numFmtId="0" fontId="10" fillId="0" borderId="27" xfId="0" applyFont="1" applyBorder="1"/>
    <xf numFmtId="0" fontId="13" fillId="0" borderId="8" xfId="0" applyFont="1" applyBorder="1" applyAlignment="1">
      <alignment horizontal="center" vertical="center"/>
    </xf>
    <xf numFmtId="0" fontId="2" fillId="0" borderId="70" xfId="0" applyFont="1" applyBorder="1"/>
    <xf numFmtId="0" fontId="27" fillId="0" borderId="6" xfId="2" applyFont="1" applyAlignment="1">
      <alignment horizontal="center" vertical="center" wrapText="1"/>
    </xf>
    <xf numFmtId="0" fontId="2" fillId="0" borderId="6" xfId="2" applyFont="1" applyAlignment="1">
      <alignment horizontal="left" vertical="center" wrapText="1"/>
    </xf>
    <xf numFmtId="0" fontId="2" fillId="0" borderId="71" xfId="0" applyFont="1" applyBorder="1" applyAlignment="1">
      <alignment horizontal="left" vertical="center"/>
    </xf>
    <xf numFmtId="0" fontId="2" fillId="0" borderId="6" xfId="2" applyFont="1" applyAlignment="1">
      <alignment horizontal="center" vertical="center"/>
    </xf>
    <xf numFmtId="0" fontId="2" fillId="0" borderId="6" xfId="2" applyFont="1" applyAlignment="1">
      <alignment vertical="center"/>
    </xf>
    <xf numFmtId="0" fontId="2" fillId="0" borderId="72" xfId="0" applyFont="1" applyBorder="1"/>
    <xf numFmtId="0" fontId="2" fillId="0" borderId="73" xfId="0" applyFont="1" applyBorder="1"/>
    <xf numFmtId="0" fontId="2" fillId="0" borderId="74" xfId="0" applyFont="1" applyBorder="1" applyAlignment="1">
      <alignment horizontal="left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166" fontId="10" fillId="0" borderId="41" xfId="0" applyNumberFormat="1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166" fontId="10" fillId="0" borderId="48" xfId="0" applyNumberFormat="1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166" fontId="10" fillId="0" borderId="53" xfId="0" applyNumberFormat="1" applyFont="1" applyBorder="1" applyAlignment="1">
      <alignment horizontal="center" vertical="center"/>
    </xf>
    <xf numFmtId="166" fontId="22" fillId="0" borderId="57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4" fillId="0" borderId="4" xfId="0" applyFont="1" applyBorder="1"/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6" xfId="0" applyFont="1" applyBorder="1"/>
    <xf numFmtId="0" fontId="6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4" fillId="0" borderId="64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/>
    </xf>
    <xf numFmtId="0" fontId="24" fillId="0" borderId="66" xfId="0" applyFont="1" applyBorder="1" applyAlignment="1">
      <alignment horizontal="center" vertical="center"/>
    </xf>
    <xf numFmtId="0" fontId="27" fillId="0" borderId="67" xfId="2" applyFont="1" applyBorder="1" applyAlignment="1">
      <alignment horizontal="center" vertical="center" wrapText="1"/>
    </xf>
    <xf numFmtId="0" fontId="27" fillId="0" borderId="68" xfId="2" applyFont="1" applyBorder="1" applyAlignment="1">
      <alignment horizontal="center" vertical="center" wrapText="1"/>
    </xf>
    <xf numFmtId="0" fontId="2" fillId="0" borderId="68" xfId="2" applyFont="1" applyBorder="1" applyAlignment="1">
      <alignment horizontal="left" vertical="center" wrapText="1"/>
    </xf>
    <xf numFmtId="0" fontId="2" fillId="0" borderId="69" xfId="2" applyFont="1" applyBorder="1" applyAlignment="1">
      <alignment horizontal="left" vertical="center" wrapText="1"/>
    </xf>
    <xf numFmtId="0" fontId="27" fillId="0" borderId="70" xfId="2" applyFont="1" applyBorder="1" applyAlignment="1">
      <alignment horizontal="center" vertical="center" wrapText="1"/>
    </xf>
    <xf numFmtId="0" fontId="27" fillId="0" borderId="6" xfId="2" applyFont="1" applyAlignment="1">
      <alignment horizontal="center" vertical="center" wrapText="1"/>
    </xf>
    <xf numFmtId="0" fontId="2" fillId="0" borderId="6" xfId="2" applyFont="1" applyAlignment="1">
      <alignment horizontal="left" vertical="center"/>
    </xf>
    <xf numFmtId="0" fontId="2" fillId="0" borderId="71" xfId="2" applyFont="1" applyBorder="1" applyAlignment="1">
      <alignment horizontal="left" vertical="center"/>
    </xf>
    <xf numFmtId="0" fontId="2" fillId="0" borderId="6" xfId="2" applyFont="1" applyAlignment="1">
      <alignment horizontal="left" vertical="center" wrapText="1"/>
    </xf>
    <xf numFmtId="0" fontId="2" fillId="0" borderId="71" xfId="2" applyFont="1" applyBorder="1" applyAlignment="1">
      <alignment horizontal="left" vertical="center" wrapText="1"/>
    </xf>
    <xf numFmtId="0" fontId="2" fillId="0" borderId="6" xfId="2" applyFont="1" applyAlignment="1">
      <alignment horizontal="center" vertical="center"/>
    </xf>
    <xf numFmtId="0" fontId="2" fillId="0" borderId="71" xfId="2" applyFont="1" applyBorder="1" applyAlignment="1">
      <alignment horizontal="center" vertical="center"/>
    </xf>
    <xf numFmtId="0" fontId="2" fillId="0" borderId="61" xfId="0" applyFont="1" applyBorder="1" applyAlignment="1">
      <alignment horizontal="left" vertical="center" wrapText="1"/>
    </xf>
    <xf numFmtId="0" fontId="4" fillId="0" borderId="61" xfId="0" applyFont="1" applyBorder="1"/>
    <xf numFmtId="0" fontId="17" fillId="0" borderId="6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 wrapText="1"/>
    </xf>
    <xf numFmtId="0" fontId="4" fillId="0" borderId="14" xfId="0" applyFont="1" applyBorder="1"/>
    <xf numFmtId="0" fontId="4" fillId="0" borderId="15" xfId="0" applyFont="1" applyBorder="1"/>
    <xf numFmtId="0" fontId="13" fillId="0" borderId="20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4" fillId="0" borderId="11" xfId="0" applyFont="1" applyBorder="1"/>
    <xf numFmtId="0" fontId="4" fillId="0" borderId="12" xfId="0" applyFont="1" applyBorder="1"/>
    <xf numFmtId="0" fontId="16" fillId="0" borderId="16" xfId="0" applyFont="1" applyBorder="1" applyAlignment="1">
      <alignment horizontal="left" vertical="center" wrapText="1"/>
    </xf>
    <xf numFmtId="0" fontId="4" fillId="0" borderId="17" xfId="0" applyFont="1" applyBorder="1"/>
    <xf numFmtId="0" fontId="4" fillId="0" borderId="18" xfId="0" applyFont="1" applyBorder="1"/>
    <xf numFmtId="0" fontId="16" fillId="0" borderId="13" xfId="0" applyFont="1" applyBorder="1" applyAlignment="1">
      <alignment horizontal="left" vertical="center"/>
    </xf>
    <xf numFmtId="0" fontId="4" fillId="0" borderId="19" xfId="0" applyFont="1" applyBorder="1"/>
    <xf numFmtId="0" fontId="17" fillId="0" borderId="61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/>
    </xf>
    <xf numFmtId="167" fontId="16" fillId="0" borderId="13" xfId="0" applyNumberFormat="1" applyFont="1" applyBorder="1" applyAlignment="1">
      <alignment horizontal="center" vertical="center"/>
    </xf>
    <xf numFmtId="167" fontId="16" fillId="0" borderId="15" xfId="0" applyNumberFormat="1" applyFont="1" applyBorder="1" applyAlignment="1">
      <alignment horizontal="center" vertical="center"/>
    </xf>
    <xf numFmtId="0" fontId="13" fillId="0" borderId="61" xfId="0" applyFont="1" applyBorder="1" applyAlignment="1">
      <alignment horizontal="left" vertical="center" wrapText="1"/>
    </xf>
    <xf numFmtId="0" fontId="20" fillId="0" borderId="58" xfId="0" applyFont="1" applyBorder="1" applyAlignment="1">
      <alignment horizontal="left" vertical="center" wrapText="1"/>
    </xf>
    <xf numFmtId="0" fontId="4" fillId="0" borderId="5" xfId="0" applyFont="1" applyBorder="1"/>
    <xf numFmtId="0" fontId="4" fillId="0" borderId="59" xfId="0" applyFont="1" applyBorder="1"/>
    <xf numFmtId="0" fontId="4" fillId="0" borderId="23" xfId="0" applyFont="1" applyBorder="1"/>
    <xf numFmtId="0" fontId="4" fillId="0" borderId="30" xfId="0" applyFont="1" applyBorder="1"/>
    <xf numFmtId="0" fontId="4" fillId="0" borderId="24" xfId="0" applyFont="1" applyBorder="1"/>
    <xf numFmtId="0" fontId="18" fillId="0" borderId="54" xfId="0" applyFont="1" applyBorder="1" applyAlignment="1">
      <alignment horizontal="left" vertical="center" wrapText="1"/>
    </xf>
    <xf numFmtId="0" fontId="4" fillId="0" borderId="55" xfId="0" applyFont="1" applyBorder="1"/>
    <xf numFmtId="0" fontId="4" fillId="0" borderId="56" xfId="0" applyFont="1" applyBorder="1"/>
    <xf numFmtId="0" fontId="10" fillId="0" borderId="21" xfId="0" applyFont="1" applyBorder="1"/>
    <xf numFmtId="0" fontId="4" fillId="0" borderId="31" xfId="0" applyFont="1" applyBorder="1"/>
    <xf numFmtId="0" fontId="4" fillId="0" borderId="22" xfId="0" applyFont="1" applyBorder="1"/>
    <xf numFmtId="0" fontId="10" fillId="0" borderId="46" xfId="0" applyFont="1" applyBorder="1" applyAlignment="1">
      <alignment horizontal="left" vertical="center"/>
    </xf>
    <xf numFmtId="0" fontId="4" fillId="0" borderId="47" xfId="0" applyFont="1" applyBorder="1"/>
    <xf numFmtId="0" fontId="10" fillId="0" borderId="51" xfId="0" applyFont="1" applyBorder="1" applyAlignment="1">
      <alignment horizontal="left" vertical="center"/>
    </xf>
    <xf numFmtId="0" fontId="4" fillId="0" borderId="52" xfId="0" applyFont="1" applyBorder="1"/>
    <xf numFmtId="0" fontId="18" fillId="0" borderId="13" xfId="0" applyFont="1" applyBorder="1" applyAlignment="1">
      <alignment vertical="center" wrapText="1"/>
    </xf>
    <xf numFmtId="0" fontId="19" fillId="0" borderId="21" xfId="0" applyFont="1" applyBorder="1" applyAlignment="1">
      <alignment horizontal="center" vertical="center" wrapText="1"/>
    </xf>
    <xf numFmtId="0" fontId="10" fillId="0" borderId="10" xfId="0" applyFont="1" applyBorder="1"/>
    <xf numFmtId="0" fontId="4" fillId="0" borderId="25" xfId="0" applyFont="1" applyBorder="1"/>
    <xf numFmtId="0" fontId="20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/>
    </xf>
    <xf numFmtId="3" fontId="18" fillId="0" borderId="14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0" fontId="20" fillId="0" borderId="26" xfId="0" applyFont="1" applyBorder="1"/>
    <xf numFmtId="0" fontId="0" fillId="0" borderId="0" xfId="0"/>
    <xf numFmtId="0" fontId="20" fillId="0" borderId="28" xfId="0" applyFont="1" applyBorder="1" applyAlignment="1">
      <alignment horizontal="left" vertical="center" wrapText="1"/>
    </xf>
    <xf numFmtId="0" fontId="4" fillId="0" borderId="29" xfId="0" applyFont="1" applyBorder="1"/>
    <xf numFmtId="0" fontId="22" fillId="0" borderId="2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0" fillId="0" borderId="31" xfId="0" applyFont="1" applyBorder="1" applyAlignment="1">
      <alignment vertical="center" wrapText="1"/>
    </xf>
    <xf numFmtId="0" fontId="22" fillId="0" borderId="21" xfId="0" applyFont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22" fillId="0" borderId="2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vertical="center"/>
    </xf>
    <xf numFmtId="175" fontId="0" fillId="0" borderId="0" xfId="0" applyNumberFormat="1"/>
    <xf numFmtId="44" fontId="0" fillId="0" borderId="0" xfId="0" applyNumberFormat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tabSelected="1" topLeftCell="A42" zoomScaleNormal="100" workbookViewId="0">
      <selection activeCell="J60" sqref="J60"/>
    </sheetView>
  </sheetViews>
  <sheetFormatPr baseColWidth="10" defaultColWidth="12.5703125" defaultRowHeight="15" customHeight="1" x14ac:dyDescent="0.2"/>
  <cols>
    <col min="1" max="1" width="4.5703125" customWidth="1"/>
    <col min="2" max="2" width="14" style="30" customWidth="1"/>
    <col min="3" max="3" width="31.42578125" style="30" customWidth="1"/>
    <col min="4" max="4" width="6.7109375" customWidth="1"/>
    <col min="5" max="5" width="116" customWidth="1"/>
    <col min="6" max="6" width="13" customWidth="1"/>
    <col min="7" max="7" width="10.85546875" customWidth="1"/>
    <col min="8" max="8" width="14.42578125" style="28" customWidth="1"/>
    <col min="9" max="9" width="15.5703125" customWidth="1"/>
    <col min="10" max="10" width="8.7109375" customWidth="1"/>
    <col min="11" max="11" width="12.42578125" style="30" bestFit="1" customWidth="1"/>
    <col min="12" max="12" width="31" bestFit="1" customWidth="1"/>
    <col min="13" max="13" width="52.140625" bestFit="1" customWidth="1"/>
    <col min="14" max="14" width="38.28515625" bestFit="1" customWidth="1"/>
  </cols>
  <sheetData>
    <row r="1" spans="1:12" ht="12.75" customHeight="1" x14ac:dyDescent="0.2">
      <c r="A1" s="1">
        <v>2022</v>
      </c>
      <c r="B1" s="5"/>
      <c r="C1" s="5"/>
      <c r="D1" s="1"/>
      <c r="E1" s="24"/>
      <c r="F1" s="1"/>
      <c r="G1" s="1"/>
      <c r="H1" s="29"/>
      <c r="I1" s="2"/>
      <c r="J1" s="1"/>
      <c r="K1" s="5"/>
    </row>
    <row r="2" spans="1:12" ht="26.25" customHeight="1" x14ac:dyDescent="0.35">
      <c r="A2" s="1"/>
      <c r="B2" s="117" t="s">
        <v>0</v>
      </c>
      <c r="C2" s="118"/>
      <c r="D2" s="118"/>
      <c r="E2" s="119"/>
      <c r="F2" s="118"/>
      <c r="G2" s="118"/>
      <c r="H2" s="116"/>
      <c r="I2" s="2"/>
      <c r="J2" s="1"/>
      <c r="K2" s="5"/>
    </row>
    <row r="3" spans="1:12" ht="12.75" customHeight="1" x14ac:dyDescent="0.2">
      <c r="A3" s="1"/>
      <c r="B3" s="5"/>
      <c r="C3" s="5"/>
      <c r="D3" s="1"/>
      <c r="E3" s="24"/>
      <c r="F3" s="1"/>
      <c r="G3" s="1"/>
      <c r="H3" s="29"/>
      <c r="I3" s="2"/>
      <c r="J3" s="1"/>
      <c r="K3" s="5"/>
    </row>
    <row r="4" spans="1:12" ht="12.75" customHeight="1" x14ac:dyDescent="0.25">
      <c r="A4" s="115" t="s">
        <v>1</v>
      </c>
      <c r="B4" s="116"/>
      <c r="C4" s="120" t="s">
        <v>2</v>
      </c>
      <c r="D4" s="121"/>
      <c r="E4" s="122"/>
      <c r="F4" s="3"/>
      <c r="G4" s="4"/>
      <c r="H4" s="33"/>
      <c r="I4" s="2"/>
      <c r="J4" s="1"/>
      <c r="K4" s="5"/>
    </row>
    <row r="5" spans="1:12" ht="12.75" customHeight="1" x14ac:dyDescent="0.25">
      <c r="A5" s="115" t="s">
        <v>3</v>
      </c>
      <c r="B5" s="116"/>
      <c r="C5" s="120" t="s">
        <v>167</v>
      </c>
      <c r="D5" s="121"/>
      <c r="E5" s="122"/>
      <c r="F5" s="3"/>
      <c r="G5" s="4"/>
      <c r="H5" s="33"/>
      <c r="I5" s="2"/>
      <c r="J5" s="1"/>
      <c r="K5" s="5"/>
    </row>
    <row r="6" spans="1:12" ht="12.75" customHeight="1" x14ac:dyDescent="0.2">
      <c r="A6" s="115" t="s">
        <v>4</v>
      </c>
      <c r="B6" s="116"/>
      <c r="C6" s="70">
        <v>2022</v>
      </c>
      <c r="D6" s="71"/>
      <c r="E6" s="72"/>
      <c r="F6" s="3"/>
      <c r="G6" s="4"/>
      <c r="H6" s="33"/>
      <c r="I6" s="2"/>
      <c r="J6" s="1"/>
      <c r="K6" s="5"/>
    </row>
    <row r="7" spans="1:12" ht="12.75" customHeight="1" x14ac:dyDescent="0.2">
      <c r="A7" s="115" t="s">
        <v>5</v>
      </c>
      <c r="B7" s="116"/>
      <c r="C7" s="70">
        <v>4</v>
      </c>
      <c r="D7" s="71"/>
      <c r="E7" s="72"/>
      <c r="F7" s="3"/>
      <c r="G7" s="4"/>
      <c r="H7" s="33"/>
      <c r="I7" s="2"/>
      <c r="J7" s="1"/>
      <c r="K7" s="5"/>
    </row>
    <row r="8" spans="1:12" ht="12.75" customHeight="1" x14ac:dyDescent="0.2">
      <c r="A8" s="1"/>
      <c r="B8" s="31"/>
      <c r="C8" s="31"/>
      <c r="D8" s="3"/>
      <c r="E8" s="25"/>
      <c r="F8" s="3"/>
      <c r="G8" s="4"/>
      <c r="H8" s="33"/>
      <c r="I8" s="2"/>
      <c r="J8" s="1"/>
      <c r="K8" s="5"/>
    </row>
    <row r="9" spans="1:12" s="34" customFormat="1" ht="38.25" x14ac:dyDescent="0.2">
      <c r="A9" s="26" t="s">
        <v>6</v>
      </c>
      <c r="B9" s="26" t="s">
        <v>7</v>
      </c>
      <c r="C9" s="26" t="s">
        <v>8</v>
      </c>
      <c r="D9" s="26" t="s">
        <v>9</v>
      </c>
      <c r="E9" s="26" t="s">
        <v>10</v>
      </c>
      <c r="F9" s="26" t="s">
        <v>11</v>
      </c>
      <c r="G9" s="26" t="s">
        <v>166</v>
      </c>
      <c r="H9" s="26" t="s">
        <v>12</v>
      </c>
      <c r="I9" s="27" t="s">
        <v>13</v>
      </c>
      <c r="J9" s="48"/>
      <c r="K9" s="32"/>
    </row>
    <row r="10" spans="1:12" ht="25.5" x14ac:dyDescent="0.2">
      <c r="A10" s="39">
        <v>1</v>
      </c>
      <c r="B10" s="66" t="s">
        <v>62</v>
      </c>
      <c r="C10" s="68" t="s">
        <v>61</v>
      </c>
      <c r="D10" s="40">
        <v>252</v>
      </c>
      <c r="E10" s="43" t="s">
        <v>156</v>
      </c>
      <c r="F10" s="39" t="s">
        <v>14</v>
      </c>
      <c r="G10" s="41">
        <f>25000+700</f>
        <v>25700</v>
      </c>
      <c r="H10" s="53">
        <v>1.88</v>
      </c>
      <c r="I10" s="42">
        <f t="shared" ref="I10:I60" si="0">+G10*H10</f>
        <v>48316</v>
      </c>
      <c r="J10" s="28">
        <v>5</v>
      </c>
      <c r="K10" s="199"/>
      <c r="L10" s="200">
        <v>48316</v>
      </c>
    </row>
    <row r="11" spans="1:12" ht="25.5" x14ac:dyDescent="0.2">
      <c r="A11" s="39">
        <v>2</v>
      </c>
      <c r="B11" s="54" t="s">
        <v>142</v>
      </c>
      <c r="C11" s="69" t="s">
        <v>61</v>
      </c>
      <c r="D11" s="55">
        <v>252</v>
      </c>
      <c r="E11" s="51" t="s">
        <v>151</v>
      </c>
      <c r="F11" s="54" t="s">
        <v>16</v>
      </c>
      <c r="G11" s="41">
        <v>12000</v>
      </c>
      <c r="H11" s="56">
        <v>410</v>
      </c>
      <c r="I11" s="42">
        <f t="shared" si="0"/>
        <v>4920000</v>
      </c>
      <c r="J11" s="28">
        <v>9</v>
      </c>
      <c r="K11" s="199"/>
      <c r="L11" s="200">
        <v>4920000</v>
      </c>
    </row>
    <row r="12" spans="1:12" ht="27.75" customHeight="1" x14ac:dyDescent="0.2">
      <c r="A12" s="39">
        <v>3</v>
      </c>
      <c r="B12" s="66" t="s">
        <v>63</v>
      </c>
      <c r="C12" s="68" t="s">
        <v>61</v>
      </c>
      <c r="D12" s="40">
        <v>252</v>
      </c>
      <c r="E12" s="45" t="s">
        <v>107</v>
      </c>
      <c r="F12" s="39" t="s">
        <v>14</v>
      </c>
      <c r="G12" s="41">
        <v>250000</v>
      </c>
      <c r="H12" s="53">
        <v>38</v>
      </c>
      <c r="I12" s="42">
        <f t="shared" si="0"/>
        <v>9500000</v>
      </c>
      <c r="J12" s="28">
        <v>10</v>
      </c>
      <c r="K12" s="199"/>
      <c r="L12" s="200">
        <v>9500000</v>
      </c>
    </row>
    <row r="13" spans="1:12" ht="25.5" x14ac:dyDescent="0.2">
      <c r="A13" s="39">
        <v>4</v>
      </c>
      <c r="B13" s="66" t="s">
        <v>64</v>
      </c>
      <c r="C13" s="68" t="s">
        <v>61</v>
      </c>
      <c r="D13" s="40">
        <v>252</v>
      </c>
      <c r="E13" s="45" t="s">
        <v>108</v>
      </c>
      <c r="F13" s="39" t="s">
        <v>14</v>
      </c>
      <c r="G13" s="41">
        <v>100000</v>
      </c>
      <c r="H13" s="53">
        <v>15</v>
      </c>
      <c r="I13" s="42">
        <f t="shared" si="0"/>
        <v>1500000</v>
      </c>
      <c r="J13" s="28">
        <v>11</v>
      </c>
      <c r="K13" s="199"/>
      <c r="L13" s="200">
        <v>1500000</v>
      </c>
    </row>
    <row r="14" spans="1:12" ht="25.5" x14ac:dyDescent="0.2">
      <c r="A14" s="39">
        <v>5</v>
      </c>
      <c r="B14" s="66" t="s">
        <v>65</v>
      </c>
      <c r="C14" s="68" t="s">
        <v>61</v>
      </c>
      <c r="D14" s="40">
        <v>252</v>
      </c>
      <c r="E14" s="45" t="s">
        <v>109</v>
      </c>
      <c r="F14" s="39" t="s">
        <v>16</v>
      </c>
      <c r="G14" s="41">
        <v>10000</v>
      </c>
      <c r="H14" s="53">
        <v>320</v>
      </c>
      <c r="I14" s="42">
        <f t="shared" si="0"/>
        <v>3200000</v>
      </c>
      <c r="J14" s="28">
        <v>12</v>
      </c>
      <c r="K14" s="199"/>
      <c r="L14" s="200">
        <v>3200000</v>
      </c>
    </row>
    <row r="15" spans="1:12" ht="25.5" x14ac:dyDescent="0.2">
      <c r="A15" s="39">
        <v>6</v>
      </c>
      <c r="B15" s="66" t="s">
        <v>66</v>
      </c>
      <c r="C15" s="68" t="s">
        <v>61</v>
      </c>
      <c r="D15" s="40">
        <v>252</v>
      </c>
      <c r="E15" s="45" t="s">
        <v>110</v>
      </c>
      <c r="F15" s="39" t="s">
        <v>15</v>
      </c>
      <c r="G15" s="41">
        <v>22000</v>
      </c>
      <c r="H15" s="82">
        <v>145</v>
      </c>
      <c r="I15" s="42">
        <f t="shared" si="0"/>
        <v>3190000</v>
      </c>
      <c r="J15" s="28">
        <v>13</v>
      </c>
      <c r="K15" s="199"/>
      <c r="L15" s="200">
        <v>3190000</v>
      </c>
    </row>
    <row r="16" spans="1:12" ht="25.5" x14ac:dyDescent="0.2">
      <c r="A16" s="39">
        <v>7</v>
      </c>
      <c r="B16" s="66" t="s">
        <v>67</v>
      </c>
      <c r="C16" s="68" t="s">
        <v>61</v>
      </c>
      <c r="D16" s="40">
        <v>252</v>
      </c>
      <c r="E16" s="45" t="s">
        <v>111</v>
      </c>
      <c r="F16" s="39" t="s">
        <v>15</v>
      </c>
      <c r="G16" s="41">
        <v>15000</v>
      </c>
      <c r="H16" s="53">
        <v>99</v>
      </c>
      <c r="I16" s="42">
        <f t="shared" si="0"/>
        <v>1485000</v>
      </c>
      <c r="J16" s="28">
        <v>14</v>
      </c>
      <c r="K16" s="199"/>
      <c r="L16" s="200">
        <v>1485000</v>
      </c>
    </row>
    <row r="17" spans="1:13" ht="25.5" x14ac:dyDescent="0.2">
      <c r="A17" s="39">
        <v>8</v>
      </c>
      <c r="B17" s="66" t="s">
        <v>69</v>
      </c>
      <c r="C17" s="68" t="s">
        <v>61</v>
      </c>
      <c r="D17" s="40">
        <v>252</v>
      </c>
      <c r="E17" s="45" t="s">
        <v>113</v>
      </c>
      <c r="F17" s="39" t="s">
        <v>16</v>
      </c>
      <c r="G17" s="41">
        <v>12000</v>
      </c>
      <c r="H17" s="53">
        <v>562.5</v>
      </c>
      <c r="I17" s="42">
        <f t="shared" si="0"/>
        <v>6750000</v>
      </c>
      <c r="J17" s="28">
        <v>18</v>
      </c>
      <c r="K17" s="199"/>
      <c r="L17" s="200">
        <v>6750000</v>
      </c>
    </row>
    <row r="18" spans="1:13" ht="25.5" x14ac:dyDescent="0.2">
      <c r="A18" s="39">
        <v>9</v>
      </c>
      <c r="B18" s="66" t="s">
        <v>68</v>
      </c>
      <c r="C18" s="68" t="s">
        <v>61</v>
      </c>
      <c r="D18" s="40">
        <v>252</v>
      </c>
      <c r="E18" s="43" t="s">
        <v>112</v>
      </c>
      <c r="F18" s="39" t="s">
        <v>14</v>
      </c>
      <c r="G18" s="41">
        <v>25000</v>
      </c>
      <c r="H18" s="53">
        <v>37.450000000000003</v>
      </c>
      <c r="I18" s="42">
        <f t="shared" si="0"/>
        <v>936250.00000000012</v>
      </c>
      <c r="J18" s="28">
        <v>20</v>
      </c>
      <c r="K18" s="199"/>
      <c r="L18" s="200">
        <v>936250.00000000012</v>
      </c>
    </row>
    <row r="19" spans="1:13" ht="25.5" x14ac:dyDescent="0.2">
      <c r="A19" s="39">
        <v>10</v>
      </c>
      <c r="B19" s="39" t="s">
        <v>144</v>
      </c>
      <c r="C19" s="68" t="s">
        <v>61</v>
      </c>
      <c r="D19" s="49">
        <v>252</v>
      </c>
      <c r="E19" s="46" t="s">
        <v>143</v>
      </c>
      <c r="F19" s="39" t="s">
        <v>15</v>
      </c>
      <c r="G19" s="41">
        <v>200</v>
      </c>
      <c r="H19" s="53">
        <v>1420</v>
      </c>
      <c r="I19" s="42">
        <f t="shared" si="0"/>
        <v>284000</v>
      </c>
      <c r="J19" s="28">
        <v>27</v>
      </c>
      <c r="K19" s="199"/>
      <c r="L19" s="200">
        <v>284000</v>
      </c>
    </row>
    <row r="20" spans="1:13" ht="25.5" x14ac:dyDescent="0.2">
      <c r="A20" s="39">
        <v>11</v>
      </c>
      <c r="B20" s="66" t="s">
        <v>70</v>
      </c>
      <c r="C20" s="68" t="s">
        <v>61</v>
      </c>
      <c r="D20" s="40">
        <v>252</v>
      </c>
      <c r="E20" s="45" t="s">
        <v>114</v>
      </c>
      <c r="F20" s="39" t="s">
        <v>14</v>
      </c>
      <c r="G20" s="41">
        <v>60000</v>
      </c>
      <c r="H20" s="53">
        <v>15.3</v>
      </c>
      <c r="I20" s="42">
        <f t="shared" si="0"/>
        <v>918000</v>
      </c>
      <c r="J20" s="28">
        <v>28</v>
      </c>
      <c r="K20" s="199"/>
      <c r="L20" s="200">
        <v>918000</v>
      </c>
    </row>
    <row r="21" spans="1:13" ht="25.5" x14ac:dyDescent="0.2">
      <c r="A21" s="39">
        <v>12</v>
      </c>
      <c r="B21" s="66" t="s">
        <v>71</v>
      </c>
      <c r="C21" s="68" t="s">
        <v>61</v>
      </c>
      <c r="D21" s="40">
        <v>252</v>
      </c>
      <c r="E21" s="45" t="s">
        <v>115</v>
      </c>
      <c r="F21" s="39" t="s">
        <v>16</v>
      </c>
      <c r="G21" s="41">
        <v>6000</v>
      </c>
      <c r="H21" s="53">
        <v>298</v>
      </c>
      <c r="I21" s="42">
        <f t="shared" si="0"/>
        <v>1788000</v>
      </c>
      <c r="J21" s="28">
        <v>29</v>
      </c>
      <c r="K21" s="199"/>
      <c r="L21" s="200">
        <v>1788000</v>
      </c>
    </row>
    <row r="22" spans="1:13" ht="25.5" x14ac:dyDescent="0.2">
      <c r="A22" s="39">
        <v>13</v>
      </c>
      <c r="B22" s="66" t="s">
        <v>72</v>
      </c>
      <c r="C22" s="68" t="s">
        <v>61</v>
      </c>
      <c r="D22" s="40">
        <v>252</v>
      </c>
      <c r="E22" s="45" t="s">
        <v>116</v>
      </c>
      <c r="F22" s="39" t="s">
        <v>15</v>
      </c>
      <c r="G22" s="41">
        <v>12000</v>
      </c>
      <c r="H22" s="53">
        <v>145</v>
      </c>
      <c r="I22" s="42">
        <f t="shared" si="0"/>
        <v>1740000</v>
      </c>
      <c r="J22" s="28">
        <v>30</v>
      </c>
      <c r="K22" s="199"/>
      <c r="L22" s="200">
        <v>1740000</v>
      </c>
    </row>
    <row r="23" spans="1:13" ht="25.5" x14ac:dyDescent="0.2">
      <c r="A23" s="39">
        <v>14</v>
      </c>
      <c r="B23" s="66" t="s">
        <v>73</v>
      </c>
      <c r="C23" s="68" t="s">
        <v>61</v>
      </c>
      <c r="D23" s="40">
        <v>252</v>
      </c>
      <c r="E23" s="45" t="s">
        <v>117</v>
      </c>
      <c r="F23" s="39" t="s">
        <v>15</v>
      </c>
      <c r="G23" s="41">
        <v>24000</v>
      </c>
      <c r="H23" s="53">
        <v>105</v>
      </c>
      <c r="I23" s="42">
        <f t="shared" si="0"/>
        <v>2520000</v>
      </c>
      <c r="J23" s="28">
        <v>33</v>
      </c>
      <c r="K23" s="199"/>
      <c r="L23" s="200">
        <v>2520000</v>
      </c>
    </row>
    <row r="24" spans="1:13" ht="25.5" x14ac:dyDescent="0.2">
      <c r="A24" s="39">
        <v>15</v>
      </c>
      <c r="B24" s="66" t="s">
        <v>74</v>
      </c>
      <c r="C24" s="68" t="s">
        <v>61</v>
      </c>
      <c r="D24" s="40">
        <v>252</v>
      </c>
      <c r="E24" s="45" t="s">
        <v>140</v>
      </c>
      <c r="F24" s="47" t="s">
        <v>152</v>
      </c>
      <c r="G24" s="41">
        <v>7000</v>
      </c>
      <c r="H24" s="53">
        <v>135</v>
      </c>
      <c r="I24" s="42">
        <f t="shared" si="0"/>
        <v>945000</v>
      </c>
      <c r="J24" s="28">
        <v>35</v>
      </c>
      <c r="K24" s="199"/>
      <c r="L24" s="200">
        <v>945000</v>
      </c>
      <c r="M24" s="34"/>
    </row>
    <row r="25" spans="1:13" ht="25.5" x14ac:dyDescent="0.2">
      <c r="A25" s="39">
        <v>16</v>
      </c>
      <c r="B25" s="66" t="s">
        <v>75</v>
      </c>
      <c r="C25" s="68" t="s">
        <v>61</v>
      </c>
      <c r="D25" s="40">
        <v>252</v>
      </c>
      <c r="E25" s="44" t="s">
        <v>118</v>
      </c>
      <c r="F25" s="39" t="s">
        <v>14</v>
      </c>
      <c r="G25" s="41">
        <v>100000</v>
      </c>
      <c r="H25" s="53">
        <v>11.5</v>
      </c>
      <c r="I25" s="42">
        <f t="shared" si="0"/>
        <v>1150000</v>
      </c>
      <c r="J25" s="28">
        <v>36</v>
      </c>
      <c r="K25" s="199"/>
      <c r="L25" s="200">
        <v>1150000</v>
      </c>
    </row>
    <row r="26" spans="1:13" ht="25.5" x14ac:dyDescent="0.2">
      <c r="A26" s="39">
        <v>17</v>
      </c>
      <c r="B26" s="66" t="s">
        <v>77</v>
      </c>
      <c r="C26" s="68" t="s">
        <v>61</v>
      </c>
      <c r="D26" s="40">
        <v>252</v>
      </c>
      <c r="E26" s="44" t="s">
        <v>119</v>
      </c>
      <c r="F26" s="39" t="s">
        <v>16</v>
      </c>
      <c r="G26" s="41">
        <v>4000</v>
      </c>
      <c r="H26" s="52">
        <v>1500</v>
      </c>
      <c r="I26" s="42">
        <f t="shared" si="0"/>
        <v>6000000</v>
      </c>
      <c r="J26" s="28">
        <v>37</v>
      </c>
      <c r="K26" s="199"/>
      <c r="L26" s="200">
        <v>6000000</v>
      </c>
    </row>
    <row r="27" spans="1:13" ht="25.5" x14ac:dyDescent="0.2">
      <c r="A27" s="39">
        <v>18</v>
      </c>
      <c r="B27" s="66" t="s">
        <v>76</v>
      </c>
      <c r="C27" s="68" t="s">
        <v>61</v>
      </c>
      <c r="D27" s="40">
        <v>252</v>
      </c>
      <c r="E27" s="45" t="s">
        <v>120</v>
      </c>
      <c r="F27" s="39" t="s">
        <v>14</v>
      </c>
      <c r="G27" s="41">
        <v>30000</v>
      </c>
      <c r="H27" s="52">
        <v>35</v>
      </c>
      <c r="I27" s="42">
        <f t="shared" si="0"/>
        <v>1050000</v>
      </c>
      <c r="J27" s="28">
        <v>38</v>
      </c>
      <c r="K27" s="199"/>
      <c r="L27" s="200">
        <v>1050000</v>
      </c>
    </row>
    <row r="28" spans="1:13" ht="25.5" x14ac:dyDescent="0.2">
      <c r="A28" s="39">
        <v>19</v>
      </c>
      <c r="B28" s="66" t="s">
        <v>78</v>
      </c>
      <c r="C28" s="68" t="s">
        <v>61</v>
      </c>
      <c r="D28" s="40">
        <v>252</v>
      </c>
      <c r="E28" s="43" t="s">
        <v>157</v>
      </c>
      <c r="F28" s="39" t="s">
        <v>14</v>
      </c>
      <c r="G28" s="41">
        <v>250000</v>
      </c>
      <c r="H28" s="52">
        <v>3.05</v>
      </c>
      <c r="I28" s="42">
        <f t="shared" si="0"/>
        <v>762500</v>
      </c>
      <c r="J28" s="28">
        <v>51</v>
      </c>
      <c r="K28" s="199"/>
      <c r="L28" s="200">
        <v>762500</v>
      </c>
      <c r="M28" s="201"/>
    </row>
    <row r="29" spans="1:13" ht="25.5" x14ac:dyDescent="0.2">
      <c r="A29" s="39">
        <v>20</v>
      </c>
      <c r="B29" s="66" t="s">
        <v>79</v>
      </c>
      <c r="C29" s="68" t="s">
        <v>61</v>
      </c>
      <c r="D29" s="40">
        <v>252</v>
      </c>
      <c r="E29" s="43" t="s">
        <v>158</v>
      </c>
      <c r="F29" s="39" t="s">
        <v>15</v>
      </c>
      <c r="G29" s="41">
        <f>100000+500</f>
        <v>100500</v>
      </c>
      <c r="H29" s="52">
        <v>35.9</v>
      </c>
      <c r="I29" s="42">
        <f t="shared" si="0"/>
        <v>3607950</v>
      </c>
      <c r="J29" s="28">
        <v>52</v>
      </c>
      <c r="K29" s="199"/>
      <c r="L29" s="200">
        <v>3607950</v>
      </c>
      <c r="M29" s="36"/>
    </row>
    <row r="30" spans="1:13" ht="25.5" x14ac:dyDescent="0.2">
      <c r="A30" s="39">
        <v>21</v>
      </c>
      <c r="B30" s="66" t="s">
        <v>80</v>
      </c>
      <c r="C30" s="68" t="s">
        <v>61</v>
      </c>
      <c r="D30" s="40">
        <v>252</v>
      </c>
      <c r="E30" s="45" t="s">
        <v>159</v>
      </c>
      <c r="F30" s="39" t="s">
        <v>15</v>
      </c>
      <c r="G30" s="41">
        <f>120000+500</f>
        <v>120500</v>
      </c>
      <c r="H30" s="52">
        <v>38.5</v>
      </c>
      <c r="I30" s="42">
        <f t="shared" si="0"/>
        <v>4639250</v>
      </c>
      <c r="J30" s="28">
        <v>54</v>
      </c>
      <c r="K30" s="199"/>
      <c r="L30" s="200">
        <v>4639250</v>
      </c>
    </row>
    <row r="31" spans="1:13" ht="25.5" x14ac:dyDescent="0.2">
      <c r="A31" s="39">
        <v>22</v>
      </c>
      <c r="B31" s="66" t="s">
        <v>81</v>
      </c>
      <c r="C31" s="68" t="s">
        <v>61</v>
      </c>
      <c r="D31" s="40">
        <v>252</v>
      </c>
      <c r="E31" s="43" t="s">
        <v>160</v>
      </c>
      <c r="F31" s="39" t="s">
        <v>16</v>
      </c>
      <c r="G31" s="41">
        <v>10000</v>
      </c>
      <c r="H31" s="53">
        <v>698</v>
      </c>
      <c r="I31" s="42">
        <f t="shared" si="0"/>
        <v>6980000</v>
      </c>
      <c r="J31" s="28">
        <v>55</v>
      </c>
      <c r="K31" s="199"/>
      <c r="L31" s="200">
        <v>6980000</v>
      </c>
    </row>
    <row r="32" spans="1:13" ht="25.5" x14ac:dyDescent="0.2">
      <c r="A32" s="39">
        <v>23</v>
      </c>
      <c r="B32" s="66" t="s">
        <v>82</v>
      </c>
      <c r="C32" s="68" t="s">
        <v>61</v>
      </c>
      <c r="D32" s="40">
        <v>252</v>
      </c>
      <c r="E32" s="45" t="s">
        <v>123</v>
      </c>
      <c r="F32" s="39" t="s">
        <v>14</v>
      </c>
      <c r="G32" s="41">
        <v>2000</v>
      </c>
      <c r="H32" s="53">
        <v>62.17</v>
      </c>
      <c r="I32" s="42">
        <f t="shared" si="0"/>
        <v>124340</v>
      </c>
      <c r="J32" s="28">
        <v>56</v>
      </c>
      <c r="K32" s="199"/>
      <c r="L32" s="200">
        <v>124340</v>
      </c>
    </row>
    <row r="33" spans="1:13" ht="25.5" x14ac:dyDescent="0.2">
      <c r="A33" s="39">
        <v>24</v>
      </c>
      <c r="B33" s="66" t="s">
        <v>83</v>
      </c>
      <c r="C33" s="68" t="s">
        <v>61</v>
      </c>
      <c r="D33" s="40">
        <v>252</v>
      </c>
      <c r="E33" s="43" t="s">
        <v>124</v>
      </c>
      <c r="F33" s="39" t="s">
        <v>14</v>
      </c>
      <c r="G33" s="41">
        <v>1000</v>
      </c>
      <c r="H33" s="53">
        <v>36</v>
      </c>
      <c r="I33" s="42">
        <f t="shared" si="0"/>
        <v>36000</v>
      </c>
      <c r="J33" s="28">
        <v>59</v>
      </c>
      <c r="K33" s="199"/>
      <c r="L33" s="200">
        <v>36000</v>
      </c>
    </row>
    <row r="34" spans="1:13" ht="25.5" x14ac:dyDescent="0.2">
      <c r="A34" s="39">
        <v>25</v>
      </c>
      <c r="B34" s="66" t="s">
        <v>84</v>
      </c>
      <c r="C34" s="68" t="s">
        <v>61</v>
      </c>
      <c r="D34" s="40">
        <v>252</v>
      </c>
      <c r="E34" s="44" t="s">
        <v>125</v>
      </c>
      <c r="F34" s="39" t="s">
        <v>15</v>
      </c>
      <c r="G34" s="41">
        <v>16000</v>
      </c>
      <c r="H34" s="53">
        <v>42</v>
      </c>
      <c r="I34" s="42">
        <f t="shared" si="0"/>
        <v>672000</v>
      </c>
      <c r="J34" s="28">
        <v>66</v>
      </c>
      <c r="K34" s="199"/>
      <c r="L34" s="200">
        <v>672000</v>
      </c>
    </row>
    <row r="35" spans="1:13" ht="25.5" x14ac:dyDescent="0.2">
      <c r="A35" s="39">
        <v>26</v>
      </c>
      <c r="B35" s="66" t="s">
        <v>85</v>
      </c>
      <c r="C35" s="68" t="s">
        <v>61</v>
      </c>
      <c r="D35" s="40">
        <v>252</v>
      </c>
      <c r="E35" s="44" t="s">
        <v>161</v>
      </c>
      <c r="F35" s="39" t="s">
        <v>16</v>
      </c>
      <c r="G35" s="41">
        <f>20000+50</f>
        <v>20050</v>
      </c>
      <c r="H35" s="53">
        <v>110</v>
      </c>
      <c r="I35" s="42">
        <f t="shared" si="0"/>
        <v>2205500</v>
      </c>
      <c r="J35" s="28">
        <v>67</v>
      </c>
      <c r="K35" s="199"/>
      <c r="L35" s="200">
        <v>2205500</v>
      </c>
    </row>
    <row r="36" spans="1:13" ht="25.5" x14ac:dyDescent="0.2">
      <c r="A36" s="39">
        <v>27</v>
      </c>
      <c r="B36" s="66" t="s">
        <v>86</v>
      </c>
      <c r="C36" s="68" t="s">
        <v>61</v>
      </c>
      <c r="D36" s="40">
        <v>252</v>
      </c>
      <c r="E36" s="44" t="s">
        <v>126</v>
      </c>
      <c r="F36" s="39" t="s">
        <v>14</v>
      </c>
      <c r="G36" s="41">
        <f>150000+1000</f>
        <v>151000</v>
      </c>
      <c r="H36" s="53">
        <v>4.8</v>
      </c>
      <c r="I36" s="42">
        <f t="shared" si="0"/>
        <v>724800</v>
      </c>
      <c r="J36" s="28">
        <v>69</v>
      </c>
      <c r="K36" s="199"/>
      <c r="L36" s="200">
        <v>724800</v>
      </c>
    </row>
    <row r="37" spans="1:13" ht="25.5" x14ac:dyDescent="0.2">
      <c r="A37" s="39">
        <v>28</v>
      </c>
      <c r="B37" s="49" t="s">
        <v>88</v>
      </c>
      <c r="C37" s="68" t="s">
        <v>61</v>
      </c>
      <c r="D37" s="40">
        <v>252</v>
      </c>
      <c r="E37" s="46" t="s">
        <v>127</v>
      </c>
      <c r="F37" s="39" t="s">
        <v>14</v>
      </c>
      <c r="G37" s="41">
        <f>40000+500</f>
        <v>40500</v>
      </c>
      <c r="H37" s="53">
        <v>4.95</v>
      </c>
      <c r="I37" s="42">
        <f t="shared" si="0"/>
        <v>200475</v>
      </c>
      <c r="J37" s="28">
        <v>79</v>
      </c>
      <c r="K37" s="199"/>
      <c r="L37" s="200">
        <v>200475</v>
      </c>
    </row>
    <row r="38" spans="1:13" ht="25.5" x14ac:dyDescent="0.2">
      <c r="A38" s="39">
        <v>29</v>
      </c>
      <c r="B38" s="49" t="s">
        <v>87</v>
      </c>
      <c r="C38" s="68" t="s">
        <v>61</v>
      </c>
      <c r="D38" s="40">
        <v>252</v>
      </c>
      <c r="E38" s="45" t="s">
        <v>165</v>
      </c>
      <c r="F38" s="39" t="s">
        <v>15</v>
      </c>
      <c r="G38" s="41">
        <v>10000</v>
      </c>
      <c r="H38" s="53">
        <v>59</v>
      </c>
      <c r="I38" s="42">
        <f t="shared" si="0"/>
        <v>590000</v>
      </c>
      <c r="J38" s="28">
        <v>80</v>
      </c>
      <c r="K38" s="199"/>
      <c r="L38" s="200">
        <v>590000</v>
      </c>
    </row>
    <row r="39" spans="1:13" ht="25.5" x14ac:dyDescent="0.2">
      <c r="A39" s="39">
        <v>30</v>
      </c>
      <c r="B39" s="49" t="s">
        <v>89</v>
      </c>
      <c r="C39" s="68" t="s">
        <v>61</v>
      </c>
      <c r="D39" s="40">
        <v>252</v>
      </c>
      <c r="E39" s="46" t="s">
        <v>128</v>
      </c>
      <c r="F39" s="39" t="s">
        <v>14</v>
      </c>
      <c r="G39" s="41">
        <v>10000</v>
      </c>
      <c r="H39" s="53">
        <v>18</v>
      </c>
      <c r="I39" s="42">
        <f t="shared" si="0"/>
        <v>180000</v>
      </c>
      <c r="J39" s="28">
        <v>81</v>
      </c>
      <c r="K39" s="199"/>
      <c r="L39" s="200">
        <v>180000</v>
      </c>
    </row>
    <row r="40" spans="1:13" ht="25.5" x14ac:dyDescent="0.2">
      <c r="A40" s="39">
        <v>31</v>
      </c>
      <c r="B40" s="49" t="s">
        <v>91</v>
      </c>
      <c r="C40" s="68" t="s">
        <v>61</v>
      </c>
      <c r="D40" s="40">
        <v>252</v>
      </c>
      <c r="E40" s="46" t="s">
        <v>129</v>
      </c>
      <c r="F40" s="39" t="s">
        <v>15</v>
      </c>
      <c r="G40" s="41">
        <v>20000</v>
      </c>
      <c r="H40" s="53">
        <v>33</v>
      </c>
      <c r="I40" s="42">
        <f t="shared" si="0"/>
        <v>660000</v>
      </c>
      <c r="J40" s="28">
        <v>82</v>
      </c>
      <c r="K40" s="199"/>
      <c r="L40" s="200">
        <v>660000</v>
      </c>
    </row>
    <row r="41" spans="1:13" ht="25.5" x14ac:dyDescent="0.2">
      <c r="A41" s="39">
        <v>32</v>
      </c>
      <c r="B41" s="49" t="s">
        <v>90</v>
      </c>
      <c r="C41" s="68" t="s">
        <v>61</v>
      </c>
      <c r="D41" s="40">
        <v>252</v>
      </c>
      <c r="E41" s="46" t="s">
        <v>130</v>
      </c>
      <c r="F41" s="39" t="s">
        <v>15</v>
      </c>
      <c r="G41" s="41">
        <v>500</v>
      </c>
      <c r="H41" s="65">
        <v>493</v>
      </c>
      <c r="I41" s="42">
        <f t="shared" si="0"/>
        <v>246500</v>
      </c>
      <c r="J41" s="28">
        <v>84</v>
      </c>
      <c r="K41" s="199"/>
      <c r="L41" s="200">
        <v>246500</v>
      </c>
    </row>
    <row r="42" spans="1:13" ht="25.5" x14ac:dyDescent="0.2">
      <c r="A42" s="39">
        <v>33</v>
      </c>
      <c r="B42" s="49" t="s">
        <v>92</v>
      </c>
      <c r="C42" s="68" t="s">
        <v>61</v>
      </c>
      <c r="D42" s="40">
        <v>252</v>
      </c>
      <c r="E42" s="46" t="s">
        <v>131</v>
      </c>
      <c r="F42" s="47" t="s">
        <v>18</v>
      </c>
      <c r="G42" s="41">
        <v>30</v>
      </c>
      <c r="H42" s="53">
        <v>245</v>
      </c>
      <c r="I42" s="42">
        <f t="shared" si="0"/>
        <v>7350</v>
      </c>
      <c r="J42" s="28">
        <v>87</v>
      </c>
      <c r="K42" s="199"/>
      <c r="L42" s="200">
        <v>7350</v>
      </c>
    </row>
    <row r="43" spans="1:13" ht="25.5" x14ac:dyDescent="0.2">
      <c r="A43" s="39">
        <v>34</v>
      </c>
      <c r="B43" s="49" t="s">
        <v>93</v>
      </c>
      <c r="C43" s="68" t="s">
        <v>61</v>
      </c>
      <c r="D43" s="40">
        <v>252</v>
      </c>
      <c r="E43" s="46" t="s">
        <v>132</v>
      </c>
      <c r="F43" s="39" t="s">
        <v>14</v>
      </c>
      <c r="G43" s="41">
        <v>5000</v>
      </c>
      <c r="H43" s="53">
        <v>135</v>
      </c>
      <c r="I43" s="42">
        <f t="shared" si="0"/>
        <v>675000</v>
      </c>
      <c r="J43" s="28">
        <v>89</v>
      </c>
      <c r="K43" s="199"/>
      <c r="L43" s="200">
        <v>675000</v>
      </c>
    </row>
    <row r="44" spans="1:13" ht="25.5" x14ac:dyDescent="0.2">
      <c r="A44" s="39">
        <v>35</v>
      </c>
      <c r="B44" s="49" t="s">
        <v>94</v>
      </c>
      <c r="C44" s="68" t="s">
        <v>61</v>
      </c>
      <c r="D44" s="40">
        <v>252</v>
      </c>
      <c r="E44" s="46" t="s">
        <v>133</v>
      </c>
      <c r="F44" s="39" t="s">
        <v>16</v>
      </c>
      <c r="G44" s="41">
        <v>2000</v>
      </c>
      <c r="H44" s="53">
        <v>220</v>
      </c>
      <c r="I44" s="42">
        <f t="shared" si="0"/>
        <v>440000</v>
      </c>
      <c r="J44" s="28">
        <v>90</v>
      </c>
      <c r="K44" s="199"/>
      <c r="L44" s="200">
        <v>440000</v>
      </c>
    </row>
    <row r="45" spans="1:13" ht="25.5" x14ac:dyDescent="0.2">
      <c r="A45" s="39">
        <v>36</v>
      </c>
      <c r="B45" s="49" t="s">
        <v>97</v>
      </c>
      <c r="C45" s="68" t="s">
        <v>61</v>
      </c>
      <c r="D45" s="40">
        <v>252</v>
      </c>
      <c r="E45" s="45" t="s">
        <v>141</v>
      </c>
      <c r="F45" s="39" t="s">
        <v>16</v>
      </c>
      <c r="G45" s="41">
        <v>1000</v>
      </c>
      <c r="H45" s="53">
        <v>169</v>
      </c>
      <c r="I45" s="42">
        <f t="shared" si="0"/>
        <v>169000</v>
      </c>
      <c r="J45" s="28">
        <v>93</v>
      </c>
      <c r="K45" s="199"/>
      <c r="L45" s="200">
        <v>169000</v>
      </c>
      <c r="M45" s="38"/>
    </row>
    <row r="46" spans="1:13" ht="25.5" x14ac:dyDescent="0.2">
      <c r="A46" s="39">
        <v>37</v>
      </c>
      <c r="B46" s="49" t="s">
        <v>96</v>
      </c>
      <c r="C46" s="68" t="s">
        <v>61</v>
      </c>
      <c r="D46" s="40">
        <v>252</v>
      </c>
      <c r="E46" s="46" t="s">
        <v>134</v>
      </c>
      <c r="F46" s="39" t="s">
        <v>14</v>
      </c>
      <c r="G46" s="41">
        <v>32000</v>
      </c>
      <c r="H46" s="53">
        <v>7.69</v>
      </c>
      <c r="I46" s="42">
        <f t="shared" si="0"/>
        <v>246080</v>
      </c>
      <c r="J46" s="28">
        <v>94</v>
      </c>
      <c r="K46" s="199"/>
      <c r="L46" s="200">
        <v>246080</v>
      </c>
      <c r="M46" s="37"/>
    </row>
    <row r="47" spans="1:13" ht="25.5" x14ac:dyDescent="0.2">
      <c r="A47" s="39">
        <v>38</v>
      </c>
      <c r="B47" s="66" t="s">
        <v>95</v>
      </c>
      <c r="C47" s="68" t="s">
        <v>61</v>
      </c>
      <c r="D47" s="40">
        <v>252</v>
      </c>
      <c r="E47" s="45" t="s">
        <v>135</v>
      </c>
      <c r="F47" s="47" t="s">
        <v>18</v>
      </c>
      <c r="G47" s="41">
        <v>5000</v>
      </c>
      <c r="H47" s="53">
        <v>138</v>
      </c>
      <c r="I47" s="42">
        <f t="shared" si="0"/>
        <v>690000</v>
      </c>
      <c r="J47" s="28">
        <v>95</v>
      </c>
      <c r="K47" s="199"/>
      <c r="L47" s="200">
        <v>690000</v>
      </c>
    </row>
    <row r="48" spans="1:13" ht="25.5" x14ac:dyDescent="0.2">
      <c r="A48" s="39">
        <v>39</v>
      </c>
      <c r="B48" s="66" t="s">
        <v>98</v>
      </c>
      <c r="C48" s="68" t="s">
        <v>61</v>
      </c>
      <c r="D48" s="40">
        <v>252</v>
      </c>
      <c r="E48" s="45" t="s">
        <v>162</v>
      </c>
      <c r="F48" s="39" t="s">
        <v>15</v>
      </c>
      <c r="G48" s="41">
        <v>1000</v>
      </c>
      <c r="H48" s="53">
        <v>66</v>
      </c>
      <c r="I48" s="42">
        <f t="shared" si="0"/>
        <v>66000</v>
      </c>
      <c r="J48" s="28">
        <v>98</v>
      </c>
      <c r="K48" s="199"/>
      <c r="L48" s="200">
        <v>66000</v>
      </c>
      <c r="M48" s="35"/>
    </row>
    <row r="49" spans="1:12" ht="25.5" x14ac:dyDescent="0.2">
      <c r="A49" s="39">
        <v>40</v>
      </c>
      <c r="B49" s="66" t="s">
        <v>99</v>
      </c>
      <c r="C49" s="68" t="s">
        <v>61</v>
      </c>
      <c r="D49" s="40">
        <v>252</v>
      </c>
      <c r="E49" s="45" t="s">
        <v>163</v>
      </c>
      <c r="F49" s="39" t="s">
        <v>15</v>
      </c>
      <c r="G49" s="41">
        <v>1500</v>
      </c>
      <c r="H49" s="53">
        <v>72</v>
      </c>
      <c r="I49" s="42">
        <f t="shared" si="0"/>
        <v>108000</v>
      </c>
      <c r="J49" s="28">
        <v>99</v>
      </c>
      <c r="K49" s="199"/>
      <c r="L49" s="200">
        <v>108000</v>
      </c>
    </row>
    <row r="50" spans="1:12" ht="25.5" x14ac:dyDescent="0.2">
      <c r="A50" s="39">
        <v>41</v>
      </c>
      <c r="B50" s="66" t="s">
        <v>100</v>
      </c>
      <c r="C50" s="68" t="s">
        <v>61</v>
      </c>
      <c r="D50" s="40">
        <v>252</v>
      </c>
      <c r="E50" s="45" t="s">
        <v>136</v>
      </c>
      <c r="F50" s="39" t="s">
        <v>14</v>
      </c>
      <c r="G50" s="41">
        <v>20000</v>
      </c>
      <c r="H50" s="53">
        <v>16.8</v>
      </c>
      <c r="I50" s="42">
        <f t="shared" si="0"/>
        <v>336000</v>
      </c>
      <c r="J50" s="28">
        <v>100</v>
      </c>
      <c r="K50" s="199"/>
      <c r="L50" s="200">
        <v>336000</v>
      </c>
    </row>
    <row r="51" spans="1:12" ht="25.5" x14ac:dyDescent="0.2">
      <c r="A51" s="39">
        <v>42</v>
      </c>
      <c r="B51" s="39" t="s">
        <v>145</v>
      </c>
      <c r="C51" s="68" t="s">
        <v>61</v>
      </c>
      <c r="D51" s="40">
        <v>252</v>
      </c>
      <c r="E51" s="45" t="s">
        <v>154</v>
      </c>
      <c r="F51" s="39" t="s">
        <v>14</v>
      </c>
      <c r="G51" s="41">
        <f>40000+500</f>
        <v>40500</v>
      </c>
      <c r="H51" s="53">
        <v>9.8000000000000007</v>
      </c>
      <c r="I51" s="42">
        <f t="shared" si="0"/>
        <v>396900</v>
      </c>
      <c r="J51" s="28">
        <v>103</v>
      </c>
      <c r="K51" s="199"/>
      <c r="L51" s="200">
        <v>396900</v>
      </c>
    </row>
    <row r="52" spans="1:12" ht="25.5" x14ac:dyDescent="0.2">
      <c r="A52" s="39">
        <v>43</v>
      </c>
      <c r="B52" s="39" t="s">
        <v>146</v>
      </c>
      <c r="C52" s="68" t="s">
        <v>61</v>
      </c>
      <c r="D52" s="40">
        <v>252</v>
      </c>
      <c r="E52" s="46" t="s">
        <v>155</v>
      </c>
      <c r="F52" s="39" t="s">
        <v>16</v>
      </c>
      <c r="G52" s="41">
        <f>10000+50</f>
        <v>10050</v>
      </c>
      <c r="H52" s="53">
        <v>165</v>
      </c>
      <c r="I52" s="42">
        <f t="shared" si="0"/>
        <v>1658250</v>
      </c>
      <c r="J52" s="28">
        <v>105</v>
      </c>
      <c r="K52" s="199"/>
      <c r="L52" s="200">
        <v>1658250</v>
      </c>
    </row>
    <row r="53" spans="1:12" ht="25.5" x14ac:dyDescent="0.2">
      <c r="A53" s="39">
        <v>44</v>
      </c>
      <c r="B53" s="39" t="s">
        <v>148</v>
      </c>
      <c r="C53" s="68" t="s">
        <v>61</v>
      </c>
      <c r="D53" s="40">
        <v>252</v>
      </c>
      <c r="E53" s="46" t="s">
        <v>147</v>
      </c>
      <c r="F53" s="39" t="s">
        <v>14</v>
      </c>
      <c r="G53" s="41">
        <v>160000</v>
      </c>
      <c r="H53" s="53">
        <v>5.3</v>
      </c>
      <c r="I53" s="42">
        <f t="shared" si="0"/>
        <v>848000</v>
      </c>
      <c r="J53" s="28">
        <v>106</v>
      </c>
      <c r="K53" s="199"/>
      <c r="L53" s="200">
        <v>848000</v>
      </c>
    </row>
    <row r="54" spans="1:12" ht="25.5" x14ac:dyDescent="0.2">
      <c r="A54" s="39">
        <v>45</v>
      </c>
      <c r="B54" s="66" t="s">
        <v>102</v>
      </c>
      <c r="C54" s="68" t="s">
        <v>61</v>
      </c>
      <c r="D54" s="40">
        <v>252</v>
      </c>
      <c r="E54" s="45" t="s">
        <v>137</v>
      </c>
      <c r="F54" s="39" t="s">
        <v>15</v>
      </c>
      <c r="G54" s="41">
        <v>4000</v>
      </c>
      <c r="H54" s="53">
        <v>152</v>
      </c>
      <c r="I54" s="42">
        <f t="shared" si="0"/>
        <v>608000</v>
      </c>
      <c r="J54" s="28">
        <v>108</v>
      </c>
      <c r="K54" s="199"/>
      <c r="L54" s="200">
        <v>608000</v>
      </c>
    </row>
    <row r="55" spans="1:12" ht="25.5" x14ac:dyDescent="0.2">
      <c r="A55" s="39">
        <v>46</v>
      </c>
      <c r="B55" s="66" t="s">
        <v>101</v>
      </c>
      <c r="C55" s="68" t="s">
        <v>61</v>
      </c>
      <c r="D55" s="40">
        <v>252</v>
      </c>
      <c r="E55" s="45" t="s">
        <v>138</v>
      </c>
      <c r="F55" s="39" t="s">
        <v>15</v>
      </c>
      <c r="G55" s="41">
        <v>4000</v>
      </c>
      <c r="H55" s="52">
        <v>178</v>
      </c>
      <c r="I55" s="42">
        <f t="shared" si="0"/>
        <v>712000</v>
      </c>
      <c r="J55" s="28">
        <v>109</v>
      </c>
      <c r="K55" s="199"/>
      <c r="L55" s="200">
        <v>712000</v>
      </c>
    </row>
    <row r="56" spans="1:12" ht="21.75" customHeight="1" x14ac:dyDescent="0.2">
      <c r="A56" s="39">
        <v>47</v>
      </c>
      <c r="B56" s="39" t="s">
        <v>150</v>
      </c>
      <c r="C56" s="68" t="s">
        <v>61</v>
      </c>
      <c r="D56" s="40">
        <v>252</v>
      </c>
      <c r="E56" s="46" t="s">
        <v>149</v>
      </c>
      <c r="F56" s="47" t="s">
        <v>18</v>
      </c>
      <c r="G56" s="41">
        <v>2000</v>
      </c>
      <c r="H56" s="52">
        <v>958</v>
      </c>
      <c r="I56" s="42">
        <f t="shared" si="0"/>
        <v>1916000</v>
      </c>
      <c r="J56" s="28">
        <v>112</v>
      </c>
      <c r="K56" s="199"/>
      <c r="L56" s="200">
        <v>1916000</v>
      </c>
    </row>
    <row r="57" spans="1:12" ht="25.5" x14ac:dyDescent="0.2">
      <c r="A57" s="39">
        <v>48</v>
      </c>
      <c r="B57" s="67" t="s">
        <v>104</v>
      </c>
      <c r="C57" s="69" t="s">
        <v>61</v>
      </c>
      <c r="D57" s="50">
        <v>252</v>
      </c>
      <c r="E57" s="45" t="s">
        <v>122</v>
      </c>
      <c r="F57" s="39" t="s">
        <v>16</v>
      </c>
      <c r="G57" s="41">
        <v>100</v>
      </c>
      <c r="H57" s="52">
        <v>850</v>
      </c>
      <c r="I57" s="42">
        <f t="shared" si="0"/>
        <v>85000</v>
      </c>
      <c r="J57" s="28">
        <v>121</v>
      </c>
      <c r="K57" s="199"/>
      <c r="L57" s="200">
        <v>85000</v>
      </c>
    </row>
    <row r="58" spans="1:12" ht="25.5" x14ac:dyDescent="0.2">
      <c r="A58" s="39">
        <v>49</v>
      </c>
      <c r="B58" s="66" t="s">
        <v>103</v>
      </c>
      <c r="C58" s="68" t="s">
        <v>61</v>
      </c>
      <c r="D58" s="40">
        <v>252</v>
      </c>
      <c r="E58" s="45" t="s">
        <v>121</v>
      </c>
      <c r="F58" s="39" t="s">
        <v>17</v>
      </c>
      <c r="G58" s="41">
        <v>1000</v>
      </c>
      <c r="H58" s="52">
        <v>37</v>
      </c>
      <c r="I58" s="42">
        <f t="shared" si="0"/>
        <v>37000</v>
      </c>
      <c r="J58" s="28">
        <v>122</v>
      </c>
      <c r="K58" s="199"/>
      <c r="L58" s="200">
        <v>37000</v>
      </c>
    </row>
    <row r="59" spans="1:12" ht="25.5" x14ac:dyDescent="0.2">
      <c r="A59" s="39">
        <v>50</v>
      </c>
      <c r="B59" s="66" t="s">
        <v>105</v>
      </c>
      <c r="C59" s="68" t="s">
        <v>61</v>
      </c>
      <c r="D59" s="40">
        <v>252</v>
      </c>
      <c r="E59" s="45" t="s">
        <v>139</v>
      </c>
      <c r="F59" s="39" t="s">
        <v>16</v>
      </c>
      <c r="G59" s="41">
        <v>12</v>
      </c>
      <c r="H59" s="52">
        <v>15580</v>
      </c>
      <c r="I59" s="42">
        <f t="shared" si="0"/>
        <v>186960</v>
      </c>
      <c r="J59" s="28">
        <v>124</v>
      </c>
      <c r="K59" s="199"/>
      <c r="L59" s="200">
        <v>186960</v>
      </c>
    </row>
    <row r="60" spans="1:12" ht="26.25" thickBot="1" x14ac:dyDescent="0.25">
      <c r="A60" s="39">
        <v>51</v>
      </c>
      <c r="B60" s="75" t="s">
        <v>106</v>
      </c>
      <c r="C60" s="76" t="s">
        <v>61</v>
      </c>
      <c r="D60" s="77">
        <v>252</v>
      </c>
      <c r="E60" s="78" t="s">
        <v>164</v>
      </c>
      <c r="F60" s="74" t="s">
        <v>15</v>
      </c>
      <c r="G60" s="79">
        <v>1000</v>
      </c>
      <c r="H60" s="80">
        <v>65</v>
      </c>
      <c r="I60" s="42">
        <f t="shared" si="0"/>
        <v>65000</v>
      </c>
      <c r="J60" s="28">
        <v>128</v>
      </c>
      <c r="K60" s="199"/>
      <c r="L60" s="200">
        <v>65000</v>
      </c>
    </row>
    <row r="61" spans="1:12" ht="30" customHeight="1" thickBot="1" x14ac:dyDescent="0.25">
      <c r="A61" s="123" t="s">
        <v>169</v>
      </c>
      <c r="B61" s="124"/>
      <c r="C61" s="124"/>
      <c r="D61" s="124"/>
      <c r="E61" s="124"/>
      <c r="F61" s="124"/>
      <c r="G61" s="124"/>
      <c r="H61" s="125"/>
      <c r="I61" s="81">
        <f>SUM(I10:I60)</f>
        <v>78804421</v>
      </c>
      <c r="J61" s="28"/>
      <c r="K61" s="62"/>
    </row>
    <row r="62" spans="1:12" ht="15" customHeight="1" thickBot="1" x14ac:dyDescent="0.25">
      <c r="B62" s="63"/>
      <c r="C62" s="63"/>
      <c r="D62" s="73"/>
      <c r="E62" s="73"/>
    </row>
    <row r="63" spans="1:12" ht="99.75" customHeight="1" x14ac:dyDescent="0.2">
      <c r="B63" s="63"/>
      <c r="C63" s="126" t="s">
        <v>171</v>
      </c>
      <c r="D63" s="127"/>
      <c r="E63" s="128" t="s">
        <v>172</v>
      </c>
      <c r="F63" s="129"/>
    </row>
    <row r="64" spans="1:12" ht="15" customHeight="1" x14ac:dyDescent="0.2">
      <c r="B64" s="63"/>
      <c r="C64" s="85"/>
      <c r="D64" s="86"/>
      <c r="E64" s="87"/>
      <c r="F64" s="88"/>
    </row>
    <row r="65" spans="1:6" ht="15" customHeight="1" x14ac:dyDescent="0.2">
      <c r="B65" s="63"/>
      <c r="C65" s="130" t="s">
        <v>173</v>
      </c>
      <c r="D65" s="131"/>
      <c r="E65" s="132" t="s">
        <v>174</v>
      </c>
      <c r="F65" s="133"/>
    </row>
    <row r="66" spans="1:6" ht="15" customHeight="1" x14ac:dyDescent="0.2">
      <c r="A66" s="57"/>
      <c r="B66" s="64"/>
      <c r="C66" s="85"/>
      <c r="D66" s="86"/>
      <c r="E66" s="89"/>
      <c r="F66" s="88"/>
    </row>
    <row r="67" spans="1:6" ht="30.75" customHeight="1" x14ac:dyDescent="0.2">
      <c r="B67" s="28"/>
      <c r="C67" s="130" t="s">
        <v>175</v>
      </c>
      <c r="D67" s="131"/>
      <c r="E67" s="134" t="s">
        <v>179</v>
      </c>
      <c r="F67" s="135"/>
    </row>
    <row r="68" spans="1:6" ht="15" customHeight="1" x14ac:dyDescent="0.2">
      <c r="B68" s="28"/>
      <c r="C68" s="85"/>
      <c r="D68" s="86"/>
      <c r="E68" s="90"/>
      <c r="F68" s="88"/>
    </row>
    <row r="69" spans="1:6" ht="15" customHeight="1" x14ac:dyDescent="0.2">
      <c r="B69" s="28"/>
      <c r="C69" s="130" t="s">
        <v>176</v>
      </c>
      <c r="D69" s="131"/>
      <c r="E69" s="136"/>
      <c r="F69" s="137"/>
    </row>
    <row r="70" spans="1:6" ht="15" customHeight="1" x14ac:dyDescent="0.2">
      <c r="B70" s="28"/>
      <c r="C70" s="85"/>
      <c r="D70" s="86"/>
      <c r="E70" s="89"/>
      <c r="F70" s="88"/>
    </row>
    <row r="71" spans="1:6" ht="15" customHeight="1" x14ac:dyDescent="0.2">
      <c r="B71" s="28"/>
      <c r="C71" s="130" t="s">
        <v>177</v>
      </c>
      <c r="D71" s="131"/>
      <c r="E71" s="132" t="s">
        <v>178</v>
      </c>
      <c r="F71" s="133"/>
    </row>
    <row r="72" spans="1:6" ht="15" customHeight="1" thickBot="1" x14ac:dyDescent="0.25">
      <c r="B72" s="28"/>
      <c r="C72" s="91"/>
      <c r="D72" s="92"/>
      <c r="E72" s="92"/>
      <c r="F72" s="93"/>
    </row>
    <row r="73" spans="1:6" ht="15" customHeight="1" x14ac:dyDescent="0.2">
      <c r="B73" s="28"/>
      <c r="C73" s="28"/>
    </row>
    <row r="74" spans="1:6" ht="15" customHeight="1" x14ac:dyDescent="0.2">
      <c r="B74" s="28"/>
      <c r="C74" s="28"/>
    </row>
    <row r="75" spans="1:6" ht="15" customHeight="1" x14ac:dyDescent="0.2">
      <c r="B75" s="28"/>
      <c r="C75" s="28"/>
    </row>
    <row r="76" spans="1:6" ht="15" customHeight="1" x14ac:dyDescent="0.2">
      <c r="B76" s="28"/>
      <c r="C76" s="28"/>
    </row>
    <row r="77" spans="1:6" ht="15" customHeight="1" x14ac:dyDescent="0.2">
      <c r="B77" s="28"/>
      <c r="C77" s="28"/>
    </row>
    <row r="78" spans="1:6" ht="15" customHeight="1" x14ac:dyDescent="0.2">
      <c r="B78" s="28"/>
      <c r="C78" s="28"/>
    </row>
    <row r="79" spans="1:6" ht="15" customHeight="1" x14ac:dyDescent="0.2">
      <c r="B79" s="28"/>
      <c r="C79" s="28"/>
    </row>
    <row r="80" spans="1:6" ht="15" customHeight="1" x14ac:dyDescent="0.2">
      <c r="B80" s="28"/>
      <c r="C80" s="28"/>
    </row>
    <row r="81" spans="2:3" ht="15" customHeight="1" x14ac:dyDescent="0.2">
      <c r="B81" s="28"/>
      <c r="C81" s="28"/>
    </row>
    <row r="82" spans="2:3" ht="15" customHeight="1" x14ac:dyDescent="0.2">
      <c r="B82" s="28"/>
      <c r="C82" s="28"/>
    </row>
    <row r="83" spans="2:3" ht="15" customHeight="1" x14ac:dyDescent="0.2">
      <c r="B83" s="28"/>
      <c r="C83" s="28"/>
    </row>
    <row r="84" spans="2:3" ht="15" customHeight="1" x14ac:dyDescent="0.2">
      <c r="B84" s="28"/>
      <c r="C84" s="28"/>
    </row>
    <row r="85" spans="2:3" ht="15" customHeight="1" x14ac:dyDescent="0.2">
      <c r="B85" s="28"/>
      <c r="C85" s="28"/>
    </row>
    <row r="86" spans="2:3" ht="15" customHeight="1" x14ac:dyDescent="0.2">
      <c r="B86" s="28"/>
      <c r="C86" s="28"/>
    </row>
    <row r="87" spans="2:3" ht="15" customHeight="1" x14ac:dyDescent="0.2">
      <c r="B87" s="28"/>
      <c r="C87" s="28"/>
    </row>
    <row r="88" spans="2:3" ht="15" customHeight="1" x14ac:dyDescent="0.2">
      <c r="B88" s="28"/>
      <c r="C88" s="28"/>
    </row>
    <row r="89" spans="2:3" ht="15" customHeight="1" x14ac:dyDescent="0.2">
      <c r="B89" s="28"/>
      <c r="C89" s="28"/>
    </row>
    <row r="90" spans="2:3" ht="15" customHeight="1" x14ac:dyDescent="0.2">
      <c r="B90" s="28"/>
      <c r="C90" s="28"/>
    </row>
    <row r="91" spans="2:3" ht="15" customHeight="1" x14ac:dyDescent="0.2">
      <c r="B91" s="28"/>
      <c r="C91" s="28"/>
    </row>
    <row r="92" spans="2:3" ht="15" customHeight="1" x14ac:dyDescent="0.2">
      <c r="B92" s="28"/>
      <c r="C92" s="28"/>
    </row>
    <row r="93" spans="2:3" ht="15" customHeight="1" x14ac:dyDescent="0.2">
      <c r="B93" s="28"/>
      <c r="C93" s="28"/>
    </row>
    <row r="94" spans="2:3" ht="15" customHeight="1" x14ac:dyDescent="0.2">
      <c r="B94" s="28"/>
      <c r="C94" s="28"/>
    </row>
    <row r="95" spans="2:3" ht="15" customHeight="1" x14ac:dyDescent="0.2">
      <c r="B95" s="28"/>
      <c r="C95" s="28"/>
    </row>
    <row r="96" spans="2:3" ht="15" customHeight="1" x14ac:dyDescent="0.2">
      <c r="B96" s="28"/>
      <c r="C96" s="28"/>
    </row>
    <row r="97" spans="2:3" ht="15" customHeight="1" x14ac:dyDescent="0.2">
      <c r="B97" s="28"/>
      <c r="C97" s="28"/>
    </row>
    <row r="98" spans="2:3" ht="15" customHeight="1" x14ac:dyDescent="0.2">
      <c r="B98" s="28"/>
      <c r="C98" s="28"/>
    </row>
  </sheetData>
  <autoFilter ref="J9:K9" xr:uid="{00000000-0001-0000-0000-000000000000}"/>
  <mergeCells count="18">
    <mergeCell ref="C71:D71"/>
    <mergeCell ref="E71:F71"/>
    <mergeCell ref="C67:D67"/>
    <mergeCell ref="E67:F67"/>
    <mergeCell ref="C69:D69"/>
    <mergeCell ref="E69:F69"/>
    <mergeCell ref="A61:H61"/>
    <mergeCell ref="C63:D63"/>
    <mergeCell ref="E63:F63"/>
    <mergeCell ref="C65:D65"/>
    <mergeCell ref="E65:F65"/>
    <mergeCell ref="A6:B6"/>
    <mergeCell ref="A7:B7"/>
    <mergeCell ref="B2:H2"/>
    <mergeCell ref="A4:B4"/>
    <mergeCell ref="C4:E4"/>
    <mergeCell ref="A5:B5"/>
    <mergeCell ref="C5:E5"/>
  </mergeCells>
  <conditionalFormatting sqref="D70 C71 C69 D68 C67 D66 C65">
    <cfRule type="duplicateValues" dxfId="1" priority="1"/>
  </conditionalFormatting>
  <conditionalFormatting sqref="D70 C71 C69 D68 C67 D66 C65">
    <cfRule type="duplicateValues" dxfId="0" priority="2"/>
  </conditionalFormatting>
  <printOptions horizontalCentered="1"/>
  <pageMargins left="0.11811023622047245" right="0.11811023622047245" top="0.74803149606299213" bottom="0.35433070866141736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zoomScale="120" zoomScaleNormal="120" workbookViewId="0">
      <selection activeCell="C53" sqref="C53:G53"/>
    </sheetView>
  </sheetViews>
  <sheetFormatPr baseColWidth="10" defaultColWidth="12.5703125" defaultRowHeight="15" customHeight="1" x14ac:dyDescent="0.2"/>
  <cols>
    <col min="1" max="1" width="5.5703125" customWidth="1"/>
    <col min="2" max="2" width="15.140625" style="114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1" ht="18.75" customHeight="1" x14ac:dyDescent="0.2">
      <c r="A1" s="141" t="s">
        <v>19</v>
      </c>
      <c r="B1" s="118"/>
      <c r="C1" s="118"/>
      <c r="D1" s="118"/>
      <c r="E1" s="118"/>
      <c r="F1" s="118"/>
      <c r="G1" s="118"/>
      <c r="H1" s="118"/>
      <c r="I1" s="116"/>
      <c r="J1" s="6" t="s">
        <v>20</v>
      </c>
      <c r="K1" s="84" t="s">
        <v>21</v>
      </c>
    </row>
    <row r="2" spans="1:11" ht="18.75" customHeight="1" x14ac:dyDescent="0.2">
      <c r="A2" s="7"/>
      <c r="B2" s="112"/>
      <c r="C2" s="7"/>
      <c r="D2" s="8"/>
      <c r="E2" s="8"/>
      <c r="F2" s="8"/>
      <c r="G2" s="8"/>
      <c r="H2" s="8"/>
      <c r="I2" s="8"/>
      <c r="J2" s="8"/>
      <c r="K2" s="8"/>
    </row>
    <row r="3" spans="1:11" ht="18.75" customHeight="1" x14ac:dyDescent="0.2">
      <c r="A3" s="148" t="s">
        <v>22</v>
      </c>
      <c r="B3" s="149"/>
      <c r="C3" s="150"/>
      <c r="D3" s="142" t="str">
        <f>'Necesidades Trimestrales'!C4</f>
        <v>040 - Ministerio de Salud</v>
      </c>
      <c r="E3" s="143"/>
      <c r="F3" s="143"/>
      <c r="G3" s="143"/>
      <c r="H3" s="143"/>
      <c r="I3" s="143"/>
      <c r="J3" s="143"/>
      <c r="K3" s="144"/>
    </row>
    <row r="4" spans="1:11" ht="18.75" customHeight="1" x14ac:dyDescent="0.2">
      <c r="A4" s="151" t="s">
        <v>23</v>
      </c>
      <c r="B4" s="152"/>
      <c r="C4" s="153"/>
      <c r="D4" s="142" t="str">
        <f>'Necesidades Trimestrales'!C5</f>
        <v>011 - Direccion Provincial de Administracion - MS</v>
      </c>
      <c r="E4" s="143"/>
      <c r="F4" s="143"/>
      <c r="G4" s="143"/>
      <c r="H4" s="143"/>
      <c r="I4" s="143"/>
      <c r="J4" s="143"/>
      <c r="K4" s="144"/>
    </row>
    <row r="5" spans="1:11" ht="18.75" customHeight="1" x14ac:dyDescent="0.2">
      <c r="A5" s="151" t="s">
        <v>24</v>
      </c>
      <c r="B5" s="152"/>
      <c r="C5" s="153"/>
      <c r="D5" s="142" t="s">
        <v>168</v>
      </c>
      <c r="E5" s="143"/>
      <c r="F5" s="143"/>
      <c r="G5" s="143"/>
      <c r="H5" s="143"/>
      <c r="I5" s="143"/>
      <c r="J5" s="143"/>
      <c r="K5" s="144"/>
    </row>
    <row r="6" spans="1:11" ht="18.75" customHeight="1" x14ac:dyDescent="0.2">
      <c r="A6" s="148" t="s">
        <v>25</v>
      </c>
      <c r="B6" s="149"/>
      <c r="C6" s="150"/>
      <c r="D6" s="142" t="s">
        <v>168</v>
      </c>
      <c r="E6" s="143"/>
      <c r="F6" s="143"/>
      <c r="G6" s="143"/>
      <c r="H6" s="143"/>
      <c r="I6" s="143"/>
      <c r="J6" s="143"/>
      <c r="K6" s="144"/>
    </row>
    <row r="7" spans="1:11" ht="18.75" customHeight="1" thickBot="1" x14ac:dyDescent="0.25">
      <c r="A7" s="151" t="s">
        <v>26</v>
      </c>
      <c r="B7" s="152"/>
      <c r="C7" s="153"/>
      <c r="D7" s="142" t="s">
        <v>27</v>
      </c>
      <c r="E7" s="143"/>
      <c r="F7" s="143"/>
      <c r="G7" s="143"/>
      <c r="H7" s="143"/>
      <c r="I7" s="143"/>
      <c r="J7" s="143"/>
      <c r="K7" s="144"/>
    </row>
    <row r="8" spans="1:11" ht="36" customHeight="1" thickBot="1" x14ac:dyDescent="0.25">
      <c r="A8" s="154" t="s">
        <v>28</v>
      </c>
      <c r="B8" s="143"/>
      <c r="C8" s="155"/>
      <c r="D8" s="145" t="s">
        <v>29</v>
      </c>
      <c r="E8" s="146"/>
      <c r="F8" s="146"/>
      <c r="G8" s="146"/>
      <c r="H8" s="146"/>
      <c r="I8" s="146"/>
      <c r="J8" s="146"/>
      <c r="K8" s="147"/>
    </row>
    <row r="9" spans="1:11" ht="12.75" customHeight="1" thickBot="1" x14ac:dyDescent="0.25">
      <c r="A9" s="9"/>
      <c r="B9" s="113"/>
      <c r="C9" s="9"/>
      <c r="D9" s="10"/>
      <c r="E9" s="10"/>
      <c r="F9" s="10"/>
      <c r="G9" s="10"/>
      <c r="H9" s="10"/>
      <c r="I9" s="10"/>
      <c r="J9" s="10"/>
      <c r="K9" s="10"/>
    </row>
    <row r="10" spans="1:11" ht="12.75" customHeight="1" thickBot="1" x14ac:dyDescent="0.25">
      <c r="A10" s="156" t="s">
        <v>30</v>
      </c>
      <c r="B10" s="140" t="s">
        <v>31</v>
      </c>
      <c r="C10" s="140" t="s">
        <v>32</v>
      </c>
      <c r="D10" s="139"/>
      <c r="E10" s="139"/>
      <c r="F10" s="139"/>
      <c r="G10" s="139"/>
      <c r="H10" s="140" t="s">
        <v>33</v>
      </c>
      <c r="I10" s="140" t="s">
        <v>34</v>
      </c>
      <c r="J10" s="140" t="s">
        <v>35</v>
      </c>
      <c r="K10" s="140" t="s">
        <v>36</v>
      </c>
    </row>
    <row r="11" spans="1:11" ht="32.25" customHeight="1" thickBot="1" x14ac:dyDescent="0.25">
      <c r="A11" s="139"/>
      <c r="B11" s="157"/>
      <c r="C11" s="139"/>
      <c r="D11" s="139"/>
      <c r="E11" s="139"/>
      <c r="F11" s="139"/>
      <c r="G11" s="139"/>
      <c r="H11" s="139"/>
      <c r="I11" s="139"/>
      <c r="J11" s="139"/>
      <c r="K11" s="139"/>
    </row>
    <row r="12" spans="1:11" ht="32.25" customHeight="1" thickBot="1" x14ac:dyDescent="0.25">
      <c r="A12" s="58">
        <v>1</v>
      </c>
      <c r="B12" s="58" t="str">
        <f>+'Necesidades Trimestrales'!B10</f>
        <v>2.5.2-1724.16</v>
      </c>
      <c r="C12" s="138" t="str">
        <f>+'Necesidades Trimestrales'!E10</f>
        <v>ANALGESICOS; TIPO: MONODROGA, DROGA GENERICA: ACIDO ACETILSALICILICO, PRESENTACION: 100 mGr, FORMA FARMACEUTICA: COMPRIMIDO</v>
      </c>
      <c r="D12" s="139"/>
      <c r="E12" s="139"/>
      <c r="F12" s="139"/>
      <c r="G12" s="139"/>
      <c r="H12" s="58" t="s">
        <v>37</v>
      </c>
      <c r="I12" s="59" t="str">
        <f>+'Necesidades Trimestrales'!F10</f>
        <v>COMPRIMIDO</v>
      </c>
      <c r="J12" s="60">
        <f>+'Necesidades Trimestrales'!H10</f>
        <v>1.88</v>
      </c>
      <c r="K12" s="61">
        <f>+'Necesidades Trimestrales'!G10</f>
        <v>25700</v>
      </c>
    </row>
    <row r="13" spans="1:11" ht="32.25" customHeight="1" thickBot="1" x14ac:dyDescent="0.25">
      <c r="A13" s="58">
        <v>2</v>
      </c>
      <c r="B13" s="58" t="str">
        <f>+'Necesidades Trimestrales'!B11</f>
        <v>2.5.2-1821.524</v>
      </c>
      <c r="C13" s="138" t="str">
        <f>+'Necesidades Trimestrales'!E11</f>
        <v>ANTIBIOTICOS P/PERSONAS; TIPO: ASOCIACION, DROGA GENERICA: AMOXICILINA + AC.CLAVULANICO 400 MG / 57 MG, FORMA FARMACEUTICA: SUSPENSION, PRESENTACION: ENVASE X 70 ML</v>
      </c>
      <c r="D13" s="139"/>
      <c r="E13" s="139"/>
      <c r="F13" s="139"/>
      <c r="G13" s="139"/>
      <c r="H13" s="58" t="s">
        <v>37</v>
      </c>
      <c r="I13" s="59" t="str">
        <f>+'Necesidades Trimestrales'!F11</f>
        <v>FRASCO</v>
      </c>
      <c r="J13" s="60">
        <f>+'Necesidades Trimestrales'!H11</f>
        <v>410</v>
      </c>
      <c r="K13" s="61">
        <f>+'Necesidades Trimestrales'!G11</f>
        <v>12000</v>
      </c>
    </row>
    <row r="14" spans="1:11" ht="32.25" customHeight="1" thickBot="1" x14ac:dyDescent="0.25">
      <c r="A14" s="58">
        <v>3</v>
      </c>
      <c r="B14" s="58" t="str">
        <f>+'Necesidades Trimestrales'!B12</f>
        <v>2.5.2-1821.440</v>
      </c>
      <c r="C14" s="138" t="str">
        <f>+'Necesidades Trimestrales'!E12</f>
        <v>ANTIBIOTICOS P/PERSONAS; TIPO: ASOCIACION, DROGA GENERICA: AMOXICIL. 875 MG+CLAVUL.125 MG mGr, FORMA FARMACEUTICA: COMPRIMIDO, PRESENTACION: UNIDAD</v>
      </c>
      <c r="D14" s="139"/>
      <c r="E14" s="139"/>
      <c r="F14" s="139"/>
      <c r="G14" s="139"/>
      <c r="H14" s="58" t="s">
        <v>37</v>
      </c>
      <c r="I14" s="59" t="str">
        <f>+'Necesidades Trimestrales'!F12</f>
        <v>COMPRIMIDO</v>
      </c>
      <c r="J14" s="60">
        <f>+'Necesidades Trimestrales'!H12</f>
        <v>38</v>
      </c>
      <c r="K14" s="61">
        <f>+'Necesidades Trimestrales'!G12</f>
        <v>250000</v>
      </c>
    </row>
    <row r="15" spans="1:11" ht="32.25" customHeight="1" thickBot="1" x14ac:dyDescent="0.25">
      <c r="A15" s="58">
        <v>4</v>
      </c>
      <c r="B15" s="58" t="str">
        <f>+'Necesidades Trimestrales'!B13</f>
        <v>2.5.2-1821.9</v>
      </c>
      <c r="C15" s="138" t="str">
        <f>+'Necesidades Trimestrales'!E13</f>
        <v>ANTIBIOTICOS P/PERSONAS; TIPO: MONODROGA, DROGA GENERICA: AMOXICILINA, PRESENTACION: 500 mGr, FORMA FARMACEUTICA: COMPRIMIDOS</v>
      </c>
      <c r="D15" s="139"/>
      <c r="E15" s="139"/>
      <c r="F15" s="139"/>
      <c r="G15" s="139"/>
      <c r="H15" s="58" t="s">
        <v>37</v>
      </c>
      <c r="I15" s="59" t="str">
        <f>+'Necesidades Trimestrales'!F13</f>
        <v>COMPRIMIDO</v>
      </c>
      <c r="J15" s="60">
        <f>+'Necesidades Trimestrales'!H13</f>
        <v>15</v>
      </c>
      <c r="K15" s="61">
        <f>+'Necesidades Trimestrales'!G13</f>
        <v>100000</v>
      </c>
    </row>
    <row r="16" spans="1:11" ht="32.25" customHeight="1" thickBot="1" x14ac:dyDescent="0.25">
      <c r="A16" s="58">
        <v>5</v>
      </c>
      <c r="B16" s="58" t="str">
        <f>+'Necesidades Trimestrales'!B14</f>
        <v>2.5.2-1821.399</v>
      </c>
      <c r="C16" s="138" t="str">
        <f>+'Necesidades Trimestrales'!E14</f>
        <v>ANTIBIOTICOS P/PERSONAS; TIPO: MONODROGA, DROGA GENERICA: AMOXICILINA 500 mGr, FORMA FARMACEUTICA: SUSPENSION, PRESENTACION: ENVASE X 90 mL</v>
      </c>
      <c r="D16" s="139"/>
      <c r="E16" s="139"/>
      <c r="F16" s="139"/>
      <c r="G16" s="139"/>
      <c r="H16" s="58" t="s">
        <v>37</v>
      </c>
      <c r="I16" s="59" t="str">
        <f>+'Necesidades Trimestrales'!F14</f>
        <v>FRASCO</v>
      </c>
      <c r="J16" s="60">
        <f>+'Necesidades Trimestrales'!H14</f>
        <v>320</v>
      </c>
      <c r="K16" s="61">
        <f>+'Necesidades Trimestrales'!G14</f>
        <v>10000</v>
      </c>
    </row>
    <row r="17" spans="1:11" ht="32.25" customHeight="1" thickBot="1" x14ac:dyDescent="0.25">
      <c r="A17" s="58">
        <v>6</v>
      </c>
      <c r="B17" s="58" t="str">
        <f>+'Necesidades Trimestrales'!B15</f>
        <v>2.5.2-1821.389</v>
      </c>
      <c r="C17" s="138" t="str">
        <f>+'Necesidades Trimestrales'!E15</f>
        <v>ANTIBIOTICOS P/PERSONAS; TIPO: ASOCIACION, DROGA GENERICA: AMPICILINA + SULBACTAN, FORMA FARMACEUTICA: FRASCO AMPOLLA, PRESENTACION: ENVASE X 1,5 GR</v>
      </c>
      <c r="D17" s="139"/>
      <c r="E17" s="139"/>
      <c r="F17" s="139"/>
      <c r="G17" s="139"/>
      <c r="H17" s="58" t="s">
        <v>37</v>
      </c>
      <c r="I17" s="59" t="str">
        <f>+'Necesidades Trimestrales'!F15</f>
        <v>AMPOLLA</v>
      </c>
      <c r="J17" s="60">
        <f>+'Necesidades Trimestrales'!H15</f>
        <v>145</v>
      </c>
      <c r="K17" s="61">
        <f>+'Necesidades Trimestrales'!G15</f>
        <v>22000</v>
      </c>
    </row>
    <row r="18" spans="1:11" ht="32.25" customHeight="1" thickBot="1" x14ac:dyDescent="0.25">
      <c r="A18" s="58">
        <v>7</v>
      </c>
      <c r="B18" s="58" t="str">
        <f>+'Necesidades Trimestrales'!B16</f>
        <v>2.5.2-1821.8</v>
      </c>
      <c r="C18" s="138" t="str">
        <f>+'Necesidades Trimestrales'!E16</f>
        <v>ANTIBIOTICOS P/PERSONAS; TIPO: MONODROGA, DROGA GENERICA: AMPICILINA, FORMA FARMACEUTICA: AMPOLLA, PRESENTACION: 1 GR</v>
      </c>
      <c r="D18" s="139"/>
      <c r="E18" s="139"/>
      <c r="F18" s="139"/>
      <c r="G18" s="139"/>
      <c r="H18" s="58" t="s">
        <v>37</v>
      </c>
      <c r="I18" s="59" t="str">
        <f>+'Necesidades Trimestrales'!F16</f>
        <v>AMPOLLA</v>
      </c>
      <c r="J18" s="60">
        <f>+'Necesidades Trimestrales'!H16</f>
        <v>99</v>
      </c>
      <c r="K18" s="61">
        <f>+'Necesidades Trimestrales'!G16</f>
        <v>15000</v>
      </c>
    </row>
    <row r="19" spans="1:11" ht="32.25" customHeight="1" thickBot="1" x14ac:dyDescent="0.25">
      <c r="A19" s="58">
        <v>8</v>
      </c>
      <c r="B19" s="58" t="str">
        <f>+'Necesidades Trimestrales'!B17</f>
        <v>2.5.2-1821.502</v>
      </c>
      <c r="C19" s="138" t="str">
        <f>+'Necesidades Trimestrales'!E17</f>
        <v>ANTIBIOTICOS P/PERSONAS; TIPO: MONODROGA, DROGA GENERICA: AZITROMICINA 200 mGr, FORMA FARMACEUTICA: SUSPENSION, PRESENTACION: ENVASE X 15 Ml</v>
      </c>
      <c r="D19" s="139"/>
      <c r="E19" s="139"/>
      <c r="F19" s="139"/>
      <c r="G19" s="139"/>
      <c r="H19" s="58" t="s">
        <v>37</v>
      </c>
      <c r="I19" s="59" t="str">
        <f>+'Necesidades Trimestrales'!F17</f>
        <v>FRASCO</v>
      </c>
      <c r="J19" s="60">
        <f>+'Necesidades Trimestrales'!H17</f>
        <v>562.5</v>
      </c>
      <c r="K19" s="61">
        <f>+'Necesidades Trimestrales'!G17</f>
        <v>12000</v>
      </c>
    </row>
    <row r="20" spans="1:11" ht="32.25" customHeight="1" thickBot="1" x14ac:dyDescent="0.25">
      <c r="A20" s="58">
        <v>9</v>
      </c>
      <c r="B20" s="58" t="str">
        <f>+'Necesidades Trimestrales'!B18</f>
        <v>2.5.2-1821.94</v>
      </c>
      <c r="C20" s="138" t="str">
        <f>+'Necesidades Trimestrales'!E18</f>
        <v>ANTIBIOTICOS P/PERSONAS; TIPO: MONODROGA, DROGA GENERICA: AZITROMICINA, FORMA FARMACEUTICA: COMPRIMIDO, PRESENTACION: 500 mGr</v>
      </c>
      <c r="D20" s="139"/>
      <c r="E20" s="139"/>
      <c r="F20" s="139"/>
      <c r="G20" s="139"/>
      <c r="H20" s="58" t="s">
        <v>37</v>
      </c>
      <c r="I20" s="59" t="str">
        <f>+'Necesidades Trimestrales'!F18</f>
        <v>COMPRIMIDO</v>
      </c>
      <c r="J20" s="60">
        <f>+'Necesidades Trimestrales'!H18</f>
        <v>37.450000000000003</v>
      </c>
      <c r="K20" s="61">
        <f>+'Necesidades Trimestrales'!G18</f>
        <v>25000</v>
      </c>
    </row>
    <row r="21" spans="1:11" ht="32.25" customHeight="1" thickBot="1" x14ac:dyDescent="0.25">
      <c r="A21" s="58">
        <v>10</v>
      </c>
      <c r="B21" s="58" t="str">
        <f>+'Necesidades Trimestrales'!B19</f>
        <v>2.5.2-1883.188</v>
      </c>
      <c r="C21" s="138" t="str">
        <f>+'Necesidades Trimestrales'!E19</f>
        <v>ANESTESICOS LOCALES; TIPO: MONODROGA, DROGA GENERICA: BUPIVACAINA 0,5% HIPERBARICA, FORMA FARMACEUTICA: AMPOLLA, PRESENTACION: 4 ML CON AGUJA 27 G X 3 1/2 CON INTRODUCTOR</v>
      </c>
      <c r="D21" s="139"/>
      <c r="E21" s="139"/>
      <c r="F21" s="139"/>
      <c r="G21" s="139"/>
      <c r="H21" s="58" t="s">
        <v>37</v>
      </c>
      <c r="I21" s="59" t="str">
        <f>+'Necesidades Trimestrales'!F19</f>
        <v>AMPOLLA</v>
      </c>
      <c r="J21" s="60">
        <f>+'Necesidades Trimestrales'!H19</f>
        <v>1420</v>
      </c>
      <c r="K21" s="61">
        <f>+'Necesidades Trimestrales'!G19</f>
        <v>200</v>
      </c>
    </row>
    <row r="22" spans="1:11" ht="32.25" customHeight="1" thickBot="1" x14ac:dyDescent="0.25">
      <c r="A22" s="58">
        <v>11</v>
      </c>
      <c r="B22" s="58" t="str">
        <f>+'Necesidades Trimestrales'!B20</f>
        <v>2.5.2-1821.321</v>
      </c>
      <c r="C22" s="138" t="str">
        <f>+'Necesidades Trimestrales'!E20</f>
        <v>ANTIBIOTICOS P/PERSONAS; TIPO: MONODROGA, DROGA GENERICA: CEFALEXINA 500 mGr, FORMA FARMACEUTICA: COMPRIMIDO, PRESENTACION: 1 UN</v>
      </c>
      <c r="D22" s="139"/>
      <c r="E22" s="139"/>
      <c r="F22" s="139"/>
      <c r="G22" s="139"/>
      <c r="H22" s="58" t="s">
        <v>37</v>
      </c>
      <c r="I22" s="59" t="str">
        <f>+'Necesidades Trimestrales'!F20</f>
        <v>COMPRIMIDO</v>
      </c>
      <c r="J22" s="60">
        <f>+'Necesidades Trimestrales'!H20</f>
        <v>15.3</v>
      </c>
      <c r="K22" s="61">
        <f>+'Necesidades Trimestrales'!G20</f>
        <v>60000</v>
      </c>
    </row>
    <row r="23" spans="1:11" ht="32.25" customHeight="1" thickBot="1" x14ac:dyDescent="0.25">
      <c r="A23" s="58">
        <v>12</v>
      </c>
      <c r="B23" s="58" t="str">
        <f>+'Necesidades Trimestrales'!B21</f>
        <v>2.5.2-1821.337</v>
      </c>
      <c r="C23" s="138" t="str">
        <f>+'Necesidades Trimestrales'!E21</f>
        <v>ANTIBIOTICOS P/PERSONAS; TIPO: MONODROGA, DROGA GENERICA: CEFALEXINA 500MG, FORMA FARMACEUTICA: SUSPENSION, PRESENTACION: ENVASE X 90 mL</v>
      </c>
      <c r="D23" s="139"/>
      <c r="E23" s="139"/>
      <c r="F23" s="139"/>
      <c r="G23" s="139"/>
      <c r="H23" s="58" t="s">
        <v>37</v>
      </c>
      <c r="I23" s="59" t="str">
        <f>+'Necesidades Trimestrales'!F21</f>
        <v>FRASCO</v>
      </c>
      <c r="J23" s="60">
        <f>+'Necesidades Trimestrales'!H21</f>
        <v>298</v>
      </c>
      <c r="K23" s="61">
        <f>+'Necesidades Trimestrales'!G21</f>
        <v>6000</v>
      </c>
    </row>
    <row r="24" spans="1:11" ht="32.25" customHeight="1" thickBot="1" x14ac:dyDescent="0.25">
      <c r="A24" s="58">
        <v>13</v>
      </c>
      <c r="B24" s="58" t="str">
        <f>+'Necesidades Trimestrales'!B22</f>
        <v>2.5.2-1821.405</v>
      </c>
      <c r="C24" s="138" t="str">
        <f>+'Necesidades Trimestrales'!E22</f>
        <v>ANTIBIOTICOS P/PERSONAS; TIPO: MONODROGA, DROGA GENERICA: CEFALOTINA SODICA, FORMA FARMACEUTICA: FRASCO AMPOLLA, PRESENTACION: 1 GR</v>
      </c>
      <c r="D24" s="139"/>
      <c r="E24" s="139"/>
      <c r="F24" s="139"/>
      <c r="G24" s="139"/>
      <c r="H24" s="58" t="s">
        <v>37</v>
      </c>
      <c r="I24" s="59" t="str">
        <f>+'Necesidades Trimestrales'!F22</f>
        <v>AMPOLLA</v>
      </c>
      <c r="J24" s="60">
        <f>+'Necesidades Trimestrales'!H22</f>
        <v>145</v>
      </c>
      <c r="K24" s="61">
        <f>+'Necesidades Trimestrales'!G22</f>
        <v>12000</v>
      </c>
    </row>
    <row r="25" spans="1:11" ht="32.25" customHeight="1" thickBot="1" x14ac:dyDescent="0.25">
      <c r="A25" s="58">
        <v>14</v>
      </c>
      <c r="B25" s="58" t="str">
        <f>+'Necesidades Trimestrales'!B23</f>
        <v>2.5.2-1821.214</v>
      </c>
      <c r="C25" s="138" t="str">
        <f>+'Necesidades Trimestrales'!E23</f>
        <v>ANTIBIOTICOS P/PERSONAS; TIPO: MONODROGA, DROGA GENERICA: CEFTRIAXONA, FORMA FARMACEUTICA: FRASCO AMPOLLA, PRESENTACION: 1 GR</v>
      </c>
      <c r="D25" s="139"/>
      <c r="E25" s="139"/>
      <c r="F25" s="139"/>
      <c r="G25" s="139"/>
      <c r="H25" s="58" t="s">
        <v>37</v>
      </c>
      <c r="I25" s="59" t="str">
        <f>+'Necesidades Trimestrales'!F23</f>
        <v>AMPOLLA</v>
      </c>
      <c r="J25" s="60">
        <f>+'Necesidades Trimestrales'!H23</f>
        <v>105</v>
      </c>
      <c r="K25" s="61">
        <f>+'Necesidades Trimestrales'!G23</f>
        <v>24000</v>
      </c>
    </row>
    <row r="26" spans="1:11" ht="32.25" customHeight="1" thickBot="1" x14ac:dyDescent="0.25">
      <c r="A26" s="58">
        <v>15</v>
      </c>
      <c r="B26" s="58" t="str">
        <f>+'Necesidades Trimestrales'!B24</f>
        <v>2.5.2-1821.387</v>
      </c>
      <c r="C26" s="138" t="str">
        <f>+'Necesidades Trimestrales'!E24</f>
        <v>ANTIBIOTICOS P/PERSONAS; TIPO: MONODROGA, DROGA GENERICA: CIPROFLOXACINA, FORMA FARMACEUTICA: SACHET, PRESENTACION: ENVASE X 200 mGr</v>
      </c>
      <c r="D26" s="139"/>
      <c r="E26" s="139"/>
      <c r="F26" s="139"/>
      <c r="G26" s="139"/>
      <c r="H26" s="58" t="s">
        <v>37</v>
      </c>
      <c r="I26" s="59" t="str">
        <f>+'Necesidades Trimestrales'!F24</f>
        <v>SACHET</v>
      </c>
      <c r="J26" s="60">
        <f>+'Necesidades Trimestrales'!H24</f>
        <v>135</v>
      </c>
      <c r="K26" s="61">
        <f>+'Necesidades Trimestrales'!G24</f>
        <v>7000</v>
      </c>
    </row>
    <row r="27" spans="1:11" ht="32.25" customHeight="1" thickBot="1" x14ac:dyDescent="0.25">
      <c r="A27" s="58">
        <v>16</v>
      </c>
      <c r="B27" s="58" t="str">
        <f>+'Necesidades Trimestrales'!B25</f>
        <v>2.5.2-1821.46</v>
      </c>
      <c r="C27" s="138" t="str">
        <f>+'Necesidades Trimestrales'!E25</f>
        <v>ANTIBIOTICOS P/PERSONAS; TIPO: MONODROGA, FORMA FARMACEUTICA: COMPRIMIDO, PRESENTACION: 500 mGr, DROGA GENERICA: CIPROFLOXACINA</v>
      </c>
      <c r="D27" s="139"/>
      <c r="E27" s="139"/>
      <c r="F27" s="139"/>
      <c r="G27" s="139"/>
      <c r="H27" s="58" t="s">
        <v>37</v>
      </c>
      <c r="I27" s="59" t="str">
        <f>+'Necesidades Trimestrales'!F25</f>
        <v>COMPRIMIDO</v>
      </c>
      <c r="J27" s="60">
        <f>+'Necesidades Trimestrales'!H25</f>
        <v>11.5</v>
      </c>
      <c r="K27" s="61">
        <f>+'Necesidades Trimestrales'!G25</f>
        <v>100000</v>
      </c>
    </row>
    <row r="28" spans="1:11" ht="32.25" customHeight="1" thickBot="1" x14ac:dyDescent="0.25">
      <c r="A28" s="58">
        <v>17</v>
      </c>
      <c r="B28" s="58" t="str">
        <f>+'Necesidades Trimestrales'!B26</f>
        <v>2.5.2-1821.338</v>
      </c>
      <c r="C28" s="138" t="str">
        <f>+'Necesidades Trimestrales'!E26</f>
        <v>ANTIBIOTICOS P/PERSONAS; TIPO: MONODROGA, DROGA GENERICA: CLARITROMICINA 250MG, FORMA FARMACEUTICA: SUSPENSION, PRESENTACION: ENVASE X 90 mL</v>
      </c>
      <c r="D28" s="139"/>
      <c r="E28" s="139"/>
      <c r="F28" s="139"/>
      <c r="G28" s="139"/>
      <c r="H28" s="58" t="s">
        <v>37</v>
      </c>
      <c r="I28" s="59" t="str">
        <f>+'Necesidades Trimestrales'!F26</f>
        <v>FRASCO</v>
      </c>
      <c r="J28" s="60">
        <f>+'Necesidades Trimestrales'!H26</f>
        <v>1500</v>
      </c>
      <c r="K28" s="61">
        <f>+'Necesidades Trimestrales'!G26</f>
        <v>4000</v>
      </c>
    </row>
    <row r="29" spans="1:11" ht="32.25" customHeight="1" thickBot="1" x14ac:dyDescent="0.25">
      <c r="A29" s="58">
        <v>18</v>
      </c>
      <c r="B29" s="58" t="str">
        <f>+'Necesidades Trimestrales'!B27</f>
        <v>2.5.2-1821.37</v>
      </c>
      <c r="C29" s="138" t="str">
        <f>+'Necesidades Trimestrales'!E27</f>
        <v>ANTIBIOTICOS P/PERSONAS; TIPO: MONODROGA, DROGA GENERICA: CLARITROMICINA, FORMA FARMACEUTICA: COMPRIMIDO, PRESENTACION: 500 mGr</v>
      </c>
      <c r="D29" s="139"/>
      <c r="E29" s="139"/>
      <c r="F29" s="139"/>
      <c r="G29" s="139"/>
      <c r="H29" s="58" t="s">
        <v>37</v>
      </c>
      <c r="I29" s="59" t="str">
        <f>+'Necesidades Trimestrales'!F27</f>
        <v>COMPRIMIDO</v>
      </c>
      <c r="J29" s="60">
        <f>+'Necesidades Trimestrales'!H27</f>
        <v>35</v>
      </c>
      <c r="K29" s="61">
        <f>+'Necesidades Trimestrales'!G27</f>
        <v>30000</v>
      </c>
    </row>
    <row r="30" spans="1:11" ht="32.25" customHeight="1" thickBot="1" x14ac:dyDescent="0.25">
      <c r="A30" s="58">
        <v>19</v>
      </c>
      <c r="B30" s="58" t="str">
        <f>+'Necesidades Trimestrales'!B28</f>
        <v>2.5.2-1724.140</v>
      </c>
      <c r="C30" s="138" t="str">
        <f>+'Necesidades Trimestrales'!E28</f>
        <v>ANALGESICOS; TIPO: MONODROGA, DROGA GENERICA: DICLOFENAC X 75 MG, FORMA FARMACEUTICA: COMPRIMIDO, PRESENTACION: UNIDAD</v>
      </c>
      <c r="D30" s="139"/>
      <c r="E30" s="139"/>
      <c r="F30" s="139"/>
      <c r="G30" s="139"/>
      <c r="H30" s="58" t="s">
        <v>37</v>
      </c>
      <c r="I30" s="59" t="str">
        <f>+'Necesidades Trimestrales'!F28</f>
        <v>COMPRIMIDO</v>
      </c>
      <c r="J30" s="60">
        <f>+'Necesidades Trimestrales'!H28</f>
        <v>3.05</v>
      </c>
      <c r="K30" s="61">
        <f>+'Necesidades Trimestrales'!G28</f>
        <v>250000</v>
      </c>
    </row>
    <row r="31" spans="1:11" ht="32.25" customHeight="1" thickBot="1" x14ac:dyDescent="0.25">
      <c r="A31" s="58">
        <v>20</v>
      </c>
      <c r="B31" s="58" t="str">
        <f>+'Necesidades Trimestrales'!B29</f>
        <v>2.5.2-1724.117</v>
      </c>
      <c r="C31" s="138" t="str">
        <f>+'Necesidades Trimestrales'!E29</f>
        <v>ANALGESICOS; TIPO: ASOCIACION, DROGA GENERICA: DICLOFENAC SODICO, FORMA FARMACEUTICA: AMPOLLA, PRESENTACION: 3 Ml</v>
      </c>
      <c r="D31" s="139"/>
      <c r="E31" s="139"/>
      <c r="F31" s="139"/>
      <c r="G31" s="139"/>
      <c r="H31" s="58" t="s">
        <v>37</v>
      </c>
      <c r="I31" s="59" t="str">
        <f>+'Necesidades Trimestrales'!F29</f>
        <v>AMPOLLA</v>
      </c>
      <c r="J31" s="60">
        <f>+'Necesidades Trimestrales'!H29</f>
        <v>35.9</v>
      </c>
      <c r="K31" s="61">
        <f>+'Necesidades Trimestrales'!G29</f>
        <v>100500</v>
      </c>
    </row>
    <row r="32" spans="1:11" ht="32.25" customHeight="1" thickBot="1" x14ac:dyDescent="0.25">
      <c r="A32" s="58">
        <v>21</v>
      </c>
      <c r="B32" s="58" t="str">
        <f>+'Necesidades Trimestrales'!B30</f>
        <v>2.5.2-1724.208</v>
      </c>
      <c r="C32" s="138" t="str">
        <f>+'Necesidades Trimestrales'!E30</f>
        <v>ANALGESICOS; TIPO: MONODROGA, DROGA GENERICA: DIPIRONA SODICA 1 GR, FORMA FARMACEUTICA: AMPOLLA, PRESENTACION: 2 mL</v>
      </c>
      <c r="D32" s="139"/>
      <c r="E32" s="139"/>
      <c r="F32" s="139"/>
      <c r="G32" s="139"/>
      <c r="H32" s="58" t="s">
        <v>37</v>
      </c>
      <c r="I32" s="59" t="str">
        <f>+'Necesidades Trimestrales'!F30</f>
        <v>AMPOLLA</v>
      </c>
      <c r="J32" s="60">
        <f>+'Necesidades Trimestrales'!H30</f>
        <v>38.5</v>
      </c>
      <c r="K32" s="61">
        <f>+'Necesidades Trimestrales'!G30</f>
        <v>120500</v>
      </c>
    </row>
    <row r="33" spans="1:11" ht="32.25" customHeight="1" thickBot="1" x14ac:dyDescent="0.25">
      <c r="A33" s="58">
        <v>22</v>
      </c>
      <c r="B33" s="58" t="str">
        <f>+'Necesidades Trimestrales'!B31</f>
        <v>2.5.2-1724.74</v>
      </c>
      <c r="C33" s="138" t="str">
        <f>+'Necesidades Trimestrales'!E31</f>
        <v>ANALGESICOS; TIPO: MONODROGA, DROGA GENERICA: DIPIRONA, FORMA FARMACEUTICA: JARABE, PRESENTACION: FRASCO X 120 mL</v>
      </c>
      <c r="D33" s="139"/>
      <c r="E33" s="139"/>
      <c r="F33" s="139"/>
      <c r="G33" s="139"/>
      <c r="H33" s="58" t="s">
        <v>37</v>
      </c>
      <c r="I33" s="59" t="str">
        <f>+'Necesidades Trimestrales'!F31</f>
        <v>FRASCO</v>
      </c>
      <c r="J33" s="60">
        <f>+'Necesidades Trimestrales'!H31</f>
        <v>698</v>
      </c>
      <c r="K33" s="61">
        <f>+'Necesidades Trimestrales'!G31</f>
        <v>10000</v>
      </c>
    </row>
    <row r="34" spans="1:11" ht="32.25" customHeight="1" thickBot="1" x14ac:dyDescent="0.25">
      <c r="A34" s="58">
        <v>23</v>
      </c>
      <c r="B34" s="58" t="str">
        <f>+'Necesidades Trimestrales'!B32</f>
        <v>2.5.2-1821.458</v>
      </c>
      <c r="C34" s="138" t="str">
        <f>+'Necesidades Trimestrales'!E32</f>
        <v>ANTIBIOTICOS P/PERSONAS; TIPO: MONODROGA, DROGA GENERICA: DOXICICLINA 100 mGr, FORMA FARMACEUTICA: COMPRIMIDO, PRESENTACION: UNIDAD</v>
      </c>
      <c r="D34" s="139"/>
      <c r="E34" s="139"/>
      <c r="F34" s="139"/>
      <c r="G34" s="139"/>
      <c r="H34" s="58" t="s">
        <v>37</v>
      </c>
      <c r="I34" s="59" t="str">
        <f>+'Necesidades Trimestrales'!F32</f>
        <v>COMPRIMIDO</v>
      </c>
      <c r="J34" s="60">
        <f>+'Necesidades Trimestrales'!H32</f>
        <v>62.17</v>
      </c>
      <c r="K34" s="61">
        <f>+'Necesidades Trimestrales'!G32</f>
        <v>2000</v>
      </c>
    </row>
    <row r="35" spans="1:11" ht="32.25" customHeight="1" thickBot="1" x14ac:dyDescent="0.25">
      <c r="A35" s="58">
        <v>24</v>
      </c>
      <c r="B35" s="58" t="str">
        <f>+'Necesidades Trimestrales'!B33</f>
        <v>2.5.2-1821.238</v>
      </c>
      <c r="C35" s="138" t="str">
        <f>+'Necesidades Trimestrales'!E33</f>
        <v>ANTIBIOTICOS P/PERSONAS; TIPO: MONODROGA, DROGA GENERICA: FLUCONAZOL 100 MG, FORMA FARMACEUTICA: COMPRIMIDO, PRESENTACION: 100 mGr</v>
      </c>
      <c r="D35" s="139"/>
      <c r="E35" s="139"/>
      <c r="F35" s="139"/>
      <c r="G35" s="139"/>
      <c r="H35" s="58" t="s">
        <v>37</v>
      </c>
      <c r="I35" s="59" t="str">
        <f>+'Necesidades Trimestrales'!F33</f>
        <v>COMPRIMIDO</v>
      </c>
      <c r="J35" s="60">
        <f>+'Necesidades Trimestrales'!H33</f>
        <v>36</v>
      </c>
      <c r="K35" s="61">
        <f>+'Necesidades Trimestrales'!G33</f>
        <v>1000</v>
      </c>
    </row>
    <row r="36" spans="1:11" ht="32.25" customHeight="1" thickBot="1" x14ac:dyDescent="0.25">
      <c r="A36" s="58">
        <v>25</v>
      </c>
      <c r="B36" s="58" t="str">
        <f>+'Necesidades Trimestrales'!B34</f>
        <v>2.5.2-1821.4</v>
      </c>
      <c r="C36" s="138" t="str">
        <f>+'Necesidades Trimestrales'!E34</f>
        <v>ANTIBIOTICOS P/PERSONAS; DROGA GENERICA: GENTAMICINA, FORMA FARMACEUTICA: AMPOLLA, PRESENTACION: 80 mGr, TIPO: MONODROGA</v>
      </c>
      <c r="D36" s="139"/>
      <c r="E36" s="139"/>
      <c r="F36" s="139"/>
      <c r="G36" s="139"/>
      <c r="H36" s="58" t="s">
        <v>37</v>
      </c>
      <c r="I36" s="59" t="str">
        <f>+'Necesidades Trimestrales'!F34</f>
        <v>AMPOLLA</v>
      </c>
      <c r="J36" s="60">
        <f>+'Necesidades Trimestrales'!H34</f>
        <v>42</v>
      </c>
      <c r="K36" s="61">
        <f>+'Necesidades Trimestrales'!G34</f>
        <v>16000</v>
      </c>
    </row>
    <row r="37" spans="1:11" ht="32.25" customHeight="1" thickBot="1" x14ac:dyDescent="0.25">
      <c r="A37" s="58">
        <v>26</v>
      </c>
      <c r="B37" s="58" t="str">
        <f>+'Necesidades Trimestrales'!B35</f>
        <v>2.5.2-1724.163</v>
      </c>
      <c r="C37" s="138" t="str">
        <f>+'Necesidades Trimestrales'!E35</f>
        <v>ANALGESICOS; TIPO: MONODROGA, DROGA GENERICA: IBUPROFENO 2%, FORMA FARMACEUTICA: SUSPENSION, PRESENTACION: ENVASE X 90 mL</v>
      </c>
      <c r="D37" s="139"/>
      <c r="E37" s="139"/>
      <c r="F37" s="139"/>
      <c r="G37" s="139"/>
      <c r="H37" s="58" t="s">
        <v>37</v>
      </c>
      <c r="I37" s="59" t="str">
        <f>+'Necesidades Trimestrales'!F35</f>
        <v>FRASCO</v>
      </c>
      <c r="J37" s="60">
        <f>+'Necesidades Trimestrales'!H35</f>
        <v>110</v>
      </c>
      <c r="K37" s="61">
        <f>+'Necesidades Trimestrales'!G35</f>
        <v>20050</v>
      </c>
    </row>
    <row r="38" spans="1:11" ht="32.25" customHeight="1" thickBot="1" x14ac:dyDescent="0.25">
      <c r="A38" s="58">
        <v>27</v>
      </c>
      <c r="B38" s="58" t="str">
        <f>+'Necesidades Trimestrales'!B36</f>
        <v>2.5.2-1725.68</v>
      </c>
      <c r="C38" s="138" t="str">
        <f>+'Necesidades Trimestrales'!E36</f>
        <v>ANTIINFLAMATORIOS NO ESTEROIDE; TIPO: MONODROGA, DROGA GENERICA: IBUPROFENO, FORMA FARMACEUTICA: COMPRIMIDO, PRESENTACION: 400 mGr</v>
      </c>
      <c r="D38" s="139"/>
      <c r="E38" s="139"/>
      <c r="F38" s="139"/>
      <c r="G38" s="139"/>
      <c r="H38" s="58" t="s">
        <v>37</v>
      </c>
      <c r="I38" s="59" t="str">
        <f>+'Necesidades Trimestrales'!F36</f>
        <v>COMPRIMIDO</v>
      </c>
      <c r="J38" s="60">
        <f>+'Necesidades Trimestrales'!H36</f>
        <v>4.8</v>
      </c>
      <c r="K38" s="61">
        <f>+'Necesidades Trimestrales'!G36</f>
        <v>151000</v>
      </c>
    </row>
    <row r="39" spans="1:11" ht="32.25" customHeight="1" thickBot="1" x14ac:dyDescent="0.25">
      <c r="A39" s="58">
        <v>28</v>
      </c>
      <c r="B39" s="58" t="str">
        <f>+'Necesidades Trimestrales'!B37</f>
        <v>2.5.2-1725.49</v>
      </c>
      <c r="C39" s="138" t="str">
        <f>+'Necesidades Trimestrales'!E37</f>
        <v>ANTIINFLAMATORIOS NO ESTEROIDE; DROGA GENERICA: KETOROLAC, FORMA FARMACEUTICA: COMPRIMIDO, PRESENTACION: 10 mGr, TIPO: MONODROGA</v>
      </c>
      <c r="D39" s="139"/>
      <c r="E39" s="139"/>
      <c r="F39" s="139"/>
      <c r="G39" s="139"/>
      <c r="H39" s="58" t="s">
        <v>37</v>
      </c>
      <c r="I39" s="59" t="str">
        <f>+'Necesidades Trimestrales'!F37</f>
        <v>COMPRIMIDO</v>
      </c>
      <c r="J39" s="60">
        <f>+'Necesidades Trimestrales'!H37</f>
        <v>4.95</v>
      </c>
      <c r="K39" s="61">
        <f>+'Necesidades Trimestrales'!G37</f>
        <v>40500</v>
      </c>
    </row>
    <row r="40" spans="1:11" ht="32.25" customHeight="1" thickBot="1" x14ac:dyDescent="0.25">
      <c r="A40" s="58">
        <v>29</v>
      </c>
      <c r="B40" s="58" t="str">
        <f>+'Necesidades Trimestrales'!B38</f>
        <v>2.5.2-1724.23</v>
      </c>
      <c r="C40" s="138" t="str">
        <f>+'Necesidades Trimestrales'!E38</f>
        <v>ANALGESICOS; TIPO: MONODROGA, DROGA GENERICA: KETOROLAC, FORMA FARMACEUTICA: AMPOLLA, PRESENTACION: 30 mGr</v>
      </c>
      <c r="D40" s="139"/>
      <c r="E40" s="139"/>
      <c r="F40" s="139"/>
      <c r="G40" s="139"/>
      <c r="H40" s="58" t="s">
        <v>37</v>
      </c>
      <c r="I40" s="59" t="str">
        <f>+'Necesidades Trimestrales'!F38</f>
        <v>AMPOLLA</v>
      </c>
      <c r="J40" s="60">
        <f>+'Necesidades Trimestrales'!H38</f>
        <v>59</v>
      </c>
      <c r="K40" s="61">
        <f>+'Necesidades Trimestrales'!G38</f>
        <v>10000</v>
      </c>
    </row>
    <row r="41" spans="1:11" ht="32.25" customHeight="1" thickBot="1" x14ac:dyDescent="0.25">
      <c r="A41" s="58">
        <v>30</v>
      </c>
      <c r="B41" s="58" t="str">
        <f>+'Necesidades Trimestrales'!B39</f>
        <v>2.5.2-1821.71</v>
      </c>
      <c r="C41" s="138" t="str">
        <f>+'Necesidades Trimestrales'!E39</f>
        <v>ANTIBIOTICOS P/PERSONAS; TIPO: MONODROGA, DROGA GENERICA: LEVOFLOXACINA, PRESENTACION: 500 mGr, FORMA FARMACEUTICA: COMPRIMIDO</v>
      </c>
      <c r="D41" s="139"/>
      <c r="E41" s="139"/>
      <c r="F41" s="139"/>
      <c r="G41" s="139"/>
      <c r="H41" s="58" t="s">
        <v>37</v>
      </c>
      <c r="I41" s="59" t="str">
        <f>+'Necesidades Trimestrales'!F39</f>
        <v>COMPRIMIDO</v>
      </c>
      <c r="J41" s="60">
        <f>+'Necesidades Trimestrales'!H39</f>
        <v>18</v>
      </c>
      <c r="K41" s="61">
        <f>+'Necesidades Trimestrales'!G39</f>
        <v>10000</v>
      </c>
    </row>
    <row r="42" spans="1:11" ht="32.25" customHeight="1" thickBot="1" x14ac:dyDescent="0.25">
      <c r="A42" s="58">
        <v>31</v>
      </c>
      <c r="B42" s="58" t="str">
        <f>+'Necesidades Trimestrales'!B40</f>
        <v>2.5.2-1883.186</v>
      </c>
      <c r="C42" s="138" t="str">
        <f>+'Necesidades Trimestrales'!E40</f>
        <v>ANESTESICOS LOCALES; TIPO: MONODROGA, DROGA GENERICA: LIDOCAINA 2%S/EPINEFRINA, FORMA FARMACEUTICA: AMPOLLA, PRESENTACION: 5 mL</v>
      </c>
      <c r="D42" s="139"/>
      <c r="E42" s="139"/>
      <c r="F42" s="139"/>
      <c r="G42" s="139"/>
      <c r="H42" s="58" t="s">
        <v>37</v>
      </c>
      <c r="I42" s="59" t="str">
        <f>+'Necesidades Trimestrales'!F40</f>
        <v>AMPOLLA</v>
      </c>
      <c r="J42" s="60">
        <f>+'Necesidades Trimestrales'!H40</f>
        <v>33</v>
      </c>
      <c r="K42" s="61">
        <f>+'Necesidades Trimestrales'!G40</f>
        <v>20000</v>
      </c>
    </row>
    <row r="43" spans="1:11" ht="32.25" customHeight="1" thickBot="1" x14ac:dyDescent="0.25">
      <c r="A43" s="58">
        <v>32</v>
      </c>
      <c r="B43" s="58" t="str">
        <f>+'Necesidades Trimestrales'!B41</f>
        <v>2.5.2-1883.111</v>
      </c>
      <c r="C43" s="138" t="str">
        <f>+'Necesidades Trimestrales'!E41</f>
        <v>ANESTESICOS LOCALES; TIPO: ASOCIACION, DROGA GENERICA: LIDOCAINA 2% C/EPINEFRINA, FORMA FARMACEUTICA: FRASCO AMPOLLA, PRESENTACION: 20 mL</v>
      </c>
      <c r="D43" s="139"/>
      <c r="E43" s="139"/>
      <c r="F43" s="139"/>
      <c r="G43" s="139"/>
      <c r="H43" s="58" t="s">
        <v>37</v>
      </c>
      <c r="I43" s="59" t="str">
        <f>+'Necesidades Trimestrales'!F41</f>
        <v>AMPOLLA</v>
      </c>
      <c r="J43" s="60">
        <f>+'Necesidades Trimestrales'!H41</f>
        <v>493</v>
      </c>
      <c r="K43" s="61">
        <f>+'Necesidades Trimestrales'!G41</f>
        <v>500</v>
      </c>
    </row>
    <row r="44" spans="1:11" ht="32.25" customHeight="1" thickBot="1" x14ac:dyDescent="0.25">
      <c r="A44" s="58">
        <v>33</v>
      </c>
      <c r="B44" s="58" t="str">
        <f>+'Necesidades Trimestrales'!B42</f>
        <v>2.5.2-1883.19</v>
      </c>
      <c r="C44" s="138" t="str">
        <f>+'Necesidades Trimestrales'!E42</f>
        <v>ANESTESICOS LOCALES; TIPO: MONODROGA, DROGA GENERICA: LIDOCAINA VISCOSA, FORMA FARMACEUTICA: ENVASE, PRESENTACION: 50 mL</v>
      </c>
      <c r="D44" s="139"/>
      <c r="E44" s="139"/>
      <c r="F44" s="139"/>
      <c r="G44" s="139"/>
      <c r="H44" s="58" t="s">
        <v>37</v>
      </c>
      <c r="I44" s="59" t="str">
        <f>+'Necesidades Trimestrales'!F42</f>
        <v>UNIDAD</v>
      </c>
      <c r="J44" s="60">
        <f>+'Necesidades Trimestrales'!H42</f>
        <v>245</v>
      </c>
      <c r="K44" s="61">
        <f>+'Necesidades Trimestrales'!G42</f>
        <v>30</v>
      </c>
    </row>
    <row r="45" spans="1:11" ht="32.25" customHeight="1" thickBot="1" x14ac:dyDescent="0.25">
      <c r="A45" s="58">
        <v>34</v>
      </c>
      <c r="B45" s="58" t="str">
        <f>+'Necesidades Trimestrales'!B43</f>
        <v>2.5.2-1857.12</v>
      </c>
      <c r="C45" s="138" t="str">
        <f>+'Necesidades Trimestrales'!E43</f>
        <v>ANTIPARASITARIOS; TIPO: MONODROGA, DROGA GENERICA: MEBENDAZOL, FORMA FARMACEUTICA: COMPRIMIDOS, PRESENTACION: 100 mGr</v>
      </c>
      <c r="D45" s="139"/>
      <c r="E45" s="139"/>
      <c r="F45" s="139"/>
      <c r="G45" s="139"/>
      <c r="H45" s="58" t="s">
        <v>37</v>
      </c>
      <c r="I45" s="59" t="str">
        <f>+'Necesidades Trimestrales'!F43</f>
        <v>COMPRIMIDO</v>
      </c>
      <c r="J45" s="60">
        <f>+'Necesidades Trimestrales'!H43</f>
        <v>135</v>
      </c>
      <c r="K45" s="61">
        <f>+'Necesidades Trimestrales'!G43</f>
        <v>5000</v>
      </c>
    </row>
    <row r="46" spans="1:11" ht="32.25" customHeight="1" thickBot="1" x14ac:dyDescent="0.25">
      <c r="A46" s="58">
        <v>35</v>
      </c>
      <c r="B46" s="58" t="str">
        <f>+'Necesidades Trimestrales'!B44</f>
        <v>2.5.2-1857.36</v>
      </c>
      <c r="C46" s="138" t="str">
        <f>+'Necesidades Trimestrales'!E44</f>
        <v>ANTIPARASITARIOS; TIPO: MONODROGA, DROGA GENERICA: MEBENDAZOL 2%, FORMA FARMACEUTICA: SUSPENSION, PRESENTACION: ENVASE X 30 mL</v>
      </c>
      <c r="D46" s="139"/>
      <c r="E46" s="139"/>
      <c r="F46" s="139"/>
      <c r="G46" s="139"/>
      <c r="H46" s="58" t="s">
        <v>37</v>
      </c>
      <c r="I46" s="59" t="str">
        <f>+'Necesidades Trimestrales'!F44</f>
        <v>FRASCO</v>
      </c>
      <c r="J46" s="60">
        <f>+'Necesidades Trimestrales'!H44</f>
        <v>220</v>
      </c>
      <c r="K46" s="61">
        <f>+'Necesidades Trimestrales'!G44</f>
        <v>2000</v>
      </c>
    </row>
    <row r="47" spans="1:11" ht="32.25" customHeight="1" thickBot="1" x14ac:dyDescent="0.25">
      <c r="A47" s="58">
        <v>36</v>
      </c>
      <c r="B47" s="58" t="str">
        <f>+'Necesidades Trimestrales'!B45</f>
        <v>2.5.2-1821.334</v>
      </c>
      <c r="C47" s="138" t="str">
        <f>+'Necesidades Trimestrales'!E45</f>
        <v>ANTIBIOTICOS P/PERSONAS; TIPO: MONODROGA, DROGA GENERICA: METRONIDAZOL 125MG/5ML, FORMA FARMACEUTICA: SUSPENSION ORAL, PRESENTACION: ENVASE X 120 mL</v>
      </c>
      <c r="D47" s="139"/>
      <c r="E47" s="139"/>
      <c r="F47" s="139"/>
      <c r="G47" s="139"/>
      <c r="H47" s="58" t="s">
        <v>37</v>
      </c>
      <c r="I47" s="59" t="str">
        <f>+'Necesidades Trimestrales'!F45</f>
        <v>FRASCO</v>
      </c>
      <c r="J47" s="60">
        <f>+'Necesidades Trimestrales'!H45</f>
        <v>169</v>
      </c>
      <c r="K47" s="61">
        <f>+'Necesidades Trimestrales'!G45</f>
        <v>1000</v>
      </c>
    </row>
    <row r="48" spans="1:11" ht="32.25" customHeight="1" thickBot="1" x14ac:dyDescent="0.25">
      <c r="A48" s="58">
        <v>37</v>
      </c>
      <c r="B48" s="58" t="str">
        <f>+'Necesidades Trimestrales'!B46</f>
        <v>2.5.2-1821.76</v>
      </c>
      <c r="C48" s="138" t="str">
        <f>+'Necesidades Trimestrales'!E46</f>
        <v>ANTIBIOTICOS P/PERSONAS; TIPO: MONODROGA, FORMA FARMACEUTICA: COMPRIMIDO, PRESENTACION: 500 mGr, DROGA GENERICA: METRONIDAZOL</v>
      </c>
      <c r="D48" s="139"/>
      <c r="E48" s="139"/>
      <c r="F48" s="139"/>
      <c r="G48" s="139"/>
      <c r="H48" s="58" t="s">
        <v>37</v>
      </c>
      <c r="I48" s="59" t="str">
        <f>+'Necesidades Trimestrales'!F46</f>
        <v>COMPRIMIDO</v>
      </c>
      <c r="J48" s="60">
        <f>+'Necesidades Trimestrales'!H46</f>
        <v>7.69</v>
      </c>
      <c r="K48" s="61">
        <f>+'Necesidades Trimestrales'!G46</f>
        <v>32000</v>
      </c>
    </row>
    <row r="49" spans="1:11" ht="32.25" customHeight="1" thickBot="1" x14ac:dyDescent="0.25">
      <c r="A49" s="58">
        <v>38</v>
      </c>
      <c r="B49" s="58" t="str">
        <f>+'Necesidades Trimestrales'!B47</f>
        <v>2.5.2-1821.400</v>
      </c>
      <c r="C49" s="138" t="str">
        <f>+'Necesidades Trimestrales'!E47</f>
        <v>ANTIBIOTICOS P/PERSONAS; TIPO: MONODROGA, DROGA GENERICA: METRONIDAZOL 500 mGr, FORMA FARMACEUTICA: SACHET X 100 mL, PRESENTACION: UNIDAD</v>
      </c>
      <c r="D49" s="139"/>
      <c r="E49" s="139"/>
      <c r="F49" s="139"/>
      <c r="G49" s="139"/>
      <c r="H49" s="58" t="s">
        <v>37</v>
      </c>
      <c r="I49" s="59" t="str">
        <f>+'Necesidades Trimestrales'!F47</f>
        <v>UNIDAD</v>
      </c>
      <c r="J49" s="60">
        <f>+'Necesidades Trimestrales'!H47</f>
        <v>138</v>
      </c>
      <c r="K49" s="61">
        <f>+'Necesidades Trimestrales'!G47</f>
        <v>5000</v>
      </c>
    </row>
    <row r="50" spans="1:11" ht="32.25" customHeight="1" thickBot="1" x14ac:dyDescent="0.25">
      <c r="A50" s="58">
        <v>39</v>
      </c>
      <c r="B50" s="58" t="str">
        <f>+'Necesidades Trimestrales'!B48</f>
        <v>2.5.2-1724.98</v>
      </c>
      <c r="C50" s="138" t="str">
        <f>+'Necesidades Trimestrales'!E48</f>
        <v>ANALGESICOS; TIPO: MONODROGA, DROGA GENERICA: MORFINA CLORIDRATO 1%, FORMA FARMACEUTICA: AMPOLLA, PRESENTACION: 1 mL</v>
      </c>
      <c r="D50" s="139"/>
      <c r="E50" s="139"/>
      <c r="F50" s="139"/>
      <c r="G50" s="139"/>
      <c r="H50" s="58" t="s">
        <v>37</v>
      </c>
      <c r="I50" s="59" t="str">
        <f>+'Necesidades Trimestrales'!F48</f>
        <v>AMPOLLA</v>
      </c>
      <c r="J50" s="60">
        <f>+'Necesidades Trimestrales'!H48</f>
        <v>66</v>
      </c>
      <c r="K50" s="61">
        <f>+'Necesidades Trimestrales'!G48</f>
        <v>1000</v>
      </c>
    </row>
    <row r="51" spans="1:11" ht="32.25" customHeight="1" thickBot="1" x14ac:dyDescent="0.25">
      <c r="A51" s="58">
        <v>40</v>
      </c>
      <c r="B51" s="58" t="str">
        <f>+'Necesidades Trimestrales'!B49</f>
        <v>2.5.2-1724.206</v>
      </c>
      <c r="C51" s="138" t="str">
        <f>+'Necesidades Trimestrales'!E49</f>
        <v>ANALGESICOS; TIPO: MONODROGA, DROGA GENERICA: NALBUFINA 10 mGr, FORMA FARMACEUTICA: AMPOLLA, PRESENTACION: ENVASE X 1 mL</v>
      </c>
      <c r="D51" s="139"/>
      <c r="E51" s="139"/>
      <c r="F51" s="139"/>
      <c r="G51" s="139"/>
      <c r="H51" s="58" t="s">
        <v>37</v>
      </c>
      <c r="I51" s="59" t="str">
        <f>+'Necesidades Trimestrales'!F49</f>
        <v>AMPOLLA</v>
      </c>
      <c r="J51" s="60">
        <f>+'Necesidades Trimestrales'!H49</f>
        <v>72</v>
      </c>
      <c r="K51" s="61">
        <f>+'Necesidades Trimestrales'!G49</f>
        <v>1500</v>
      </c>
    </row>
    <row r="52" spans="1:11" ht="32.25" customHeight="1" thickBot="1" x14ac:dyDescent="0.25">
      <c r="A52" s="58">
        <v>41</v>
      </c>
      <c r="B52" s="58" t="str">
        <f>+'Necesidades Trimestrales'!B50</f>
        <v>2.5.2-1725.35</v>
      </c>
      <c r="C52" s="138" t="str">
        <f>+'Necesidades Trimestrales'!E50</f>
        <v>ANTIINFLAMATORIOS NO ESTEROIDE; TIPO: MONODROGA, DROGA GENERICA: NAPROXENO, FORMA FARMACEUTICA: COMPRIMIDO, PRESENTACION: 500 mGr</v>
      </c>
      <c r="D52" s="139"/>
      <c r="E52" s="139"/>
      <c r="F52" s="139"/>
      <c r="G52" s="139"/>
      <c r="H52" s="58" t="s">
        <v>37</v>
      </c>
      <c r="I52" s="59" t="str">
        <f>+'Necesidades Trimestrales'!F50</f>
        <v>COMPRIMIDO</v>
      </c>
      <c r="J52" s="60">
        <f>+'Necesidades Trimestrales'!H50</f>
        <v>16.8</v>
      </c>
      <c r="K52" s="61">
        <f>+'Necesidades Trimestrales'!G50</f>
        <v>20000</v>
      </c>
    </row>
    <row r="53" spans="1:11" ht="32.25" customHeight="1" thickBot="1" x14ac:dyDescent="0.25">
      <c r="A53" s="58">
        <v>42</v>
      </c>
      <c r="B53" s="58" t="str">
        <f>+'Necesidades Trimestrales'!B51</f>
        <v>2.5.2-1724.243</v>
      </c>
      <c r="C53" s="138" t="str">
        <f>+'Necesidades Trimestrales'!E51</f>
        <v>ANALGESICOS; TIPO: MONODROGA, DROGA GENERICA: PARACETAMOL 1 GR, FORMA FARMACEUTICA: COMPRIMIDO, PRESENTACION: UNIDAD</v>
      </c>
      <c r="D53" s="139"/>
      <c r="E53" s="139"/>
      <c r="F53" s="139"/>
      <c r="G53" s="139"/>
      <c r="H53" s="58" t="s">
        <v>37</v>
      </c>
      <c r="I53" s="59" t="str">
        <f>+'Necesidades Trimestrales'!F51</f>
        <v>COMPRIMIDO</v>
      </c>
      <c r="J53" s="60">
        <f>+'Necesidades Trimestrales'!H51</f>
        <v>9.8000000000000007</v>
      </c>
      <c r="K53" s="61">
        <f>+'Necesidades Trimestrales'!G51</f>
        <v>40500</v>
      </c>
    </row>
    <row r="54" spans="1:11" ht="32.25" customHeight="1" thickBot="1" x14ac:dyDescent="0.25">
      <c r="A54" s="58">
        <v>43</v>
      </c>
      <c r="B54" s="58" t="str">
        <f>+'Necesidades Trimestrales'!B52</f>
        <v>2.5.2-1724.244</v>
      </c>
      <c r="C54" s="138" t="str">
        <f>+'Necesidades Trimestrales'!E52</f>
        <v>ANALGESICOS; TIPO: MONODROGA, DROGA GENERICA: PARACETAMOL 2%, 100MG/5ML, FORMA FARMACEÚTICA: JARABE, PRESENTACION: 120 ML</v>
      </c>
      <c r="D54" s="139"/>
      <c r="E54" s="139"/>
      <c r="F54" s="139"/>
      <c r="G54" s="139"/>
      <c r="H54" s="58" t="s">
        <v>37</v>
      </c>
      <c r="I54" s="59" t="str">
        <f>+'Necesidades Trimestrales'!F52</f>
        <v>FRASCO</v>
      </c>
      <c r="J54" s="60">
        <f>+'Necesidades Trimestrales'!H52</f>
        <v>165</v>
      </c>
      <c r="K54" s="61">
        <f>+'Necesidades Trimestrales'!G52</f>
        <v>10050</v>
      </c>
    </row>
    <row r="55" spans="1:11" ht="32.25" customHeight="1" thickBot="1" x14ac:dyDescent="0.25">
      <c r="A55" s="58">
        <v>44</v>
      </c>
      <c r="B55" s="58" t="str">
        <f>+'Necesidades Trimestrales'!B53</f>
        <v>2.5.2-1724.245</v>
      </c>
      <c r="C55" s="138" t="str">
        <f>+'Necesidades Trimestrales'!E53</f>
        <v>ANALGÉSICOS ; TIPO: MONODROGA, DROGA GENÉRICA: PARACETAMOL 500 MGR, FORMA FARMACEÚTICA: COMPRIMIDO, PRESENTACIÓN: X UNIDAD</v>
      </c>
      <c r="D55" s="139"/>
      <c r="E55" s="139"/>
      <c r="F55" s="139"/>
      <c r="G55" s="139"/>
      <c r="H55" s="58" t="s">
        <v>37</v>
      </c>
      <c r="I55" s="59" t="str">
        <f>+'Necesidades Trimestrales'!F53</f>
        <v>COMPRIMIDO</v>
      </c>
      <c r="J55" s="60">
        <f>+'Necesidades Trimestrales'!H53</f>
        <v>5.3</v>
      </c>
      <c r="K55" s="61">
        <f>+'Necesidades Trimestrales'!G53</f>
        <v>160000</v>
      </c>
    </row>
    <row r="56" spans="1:11" ht="32.25" customHeight="1" thickBot="1" x14ac:dyDescent="0.25">
      <c r="A56" s="58">
        <v>45</v>
      </c>
      <c r="B56" s="58" t="str">
        <f>+'Necesidades Trimestrales'!B54</f>
        <v>2.5.2-1821.54</v>
      </c>
      <c r="C56" s="138" t="str">
        <f>+'Necesidades Trimestrales'!E54</f>
        <v>ANTIBIOTICOS P/PERSONAS; TIPO: MONODROGA, DROGA GENERICA: PENICILINA G. BENZATINICA, FORMA FARMACEUTICA: AMPOLLA, PRESENTACION: 1.200.000 UI</v>
      </c>
      <c r="D56" s="139"/>
      <c r="E56" s="139"/>
      <c r="F56" s="139"/>
      <c r="G56" s="139"/>
      <c r="H56" s="58" t="s">
        <v>37</v>
      </c>
      <c r="I56" s="59" t="str">
        <f>+'Necesidades Trimestrales'!F54</f>
        <v>AMPOLLA</v>
      </c>
      <c r="J56" s="60">
        <f>+'Necesidades Trimestrales'!H54</f>
        <v>152</v>
      </c>
      <c r="K56" s="61">
        <f>+'Necesidades Trimestrales'!G54</f>
        <v>4000</v>
      </c>
    </row>
    <row r="57" spans="1:11" ht="32.25" customHeight="1" thickBot="1" x14ac:dyDescent="0.25">
      <c r="A57" s="58">
        <v>46</v>
      </c>
      <c r="B57" s="58" t="str">
        <f>+'Necesidades Trimestrales'!B55</f>
        <v>2.5.2-1821.220</v>
      </c>
      <c r="C57" s="138" t="str">
        <f>+'Necesidades Trimestrales'!E55</f>
        <v>ANTIBIOTICOS P/PERSONAS; TIPO: MONODROGA, DROGA GENERICA: PENICILINA G. BENZATINICA, FORMA FARMACEUTICA: FRASCO AMPOLLA, PRESENTACION: 2.400.000 UI</v>
      </c>
      <c r="D57" s="139"/>
      <c r="E57" s="139"/>
      <c r="F57" s="139"/>
      <c r="G57" s="139"/>
      <c r="H57" s="58" t="s">
        <v>37</v>
      </c>
      <c r="I57" s="59" t="str">
        <f>+'Necesidades Trimestrales'!F55</f>
        <v>AMPOLLA</v>
      </c>
      <c r="J57" s="60">
        <f>+'Necesidades Trimestrales'!H55</f>
        <v>178</v>
      </c>
      <c r="K57" s="61">
        <f>+'Necesidades Trimestrales'!G55</f>
        <v>4000</v>
      </c>
    </row>
    <row r="58" spans="1:11" ht="32.25" customHeight="1" thickBot="1" x14ac:dyDescent="0.25">
      <c r="A58" s="58">
        <v>47</v>
      </c>
      <c r="B58" s="58" t="str">
        <f>+'Necesidades Trimestrales'!B56</f>
        <v>2.5.2-3097.9</v>
      </c>
      <c r="C58" s="138" t="str">
        <f>+'Necesidades Trimestrales'!E56</f>
        <v>PEDICULICIDAS; DROGA GENERICA: PERMETRINA, FORMA FARMACEUTICA: EMULSION, PRESENTACION: 100 mL</v>
      </c>
      <c r="D58" s="139"/>
      <c r="E58" s="139"/>
      <c r="F58" s="139"/>
      <c r="G58" s="139"/>
      <c r="H58" s="58" t="s">
        <v>37</v>
      </c>
      <c r="I58" s="59" t="str">
        <f>+'Necesidades Trimestrales'!F56</f>
        <v>UNIDAD</v>
      </c>
      <c r="J58" s="60">
        <f>+'Necesidades Trimestrales'!H56</f>
        <v>958</v>
      </c>
      <c r="K58" s="61">
        <f>+'Necesidades Trimestrales'!G56</f>
        <v>2000</v>
      </c>
    </row>
    <row r="59" spans="1:11" ht="32.25" customHeight="1" thickBot="1" x14ac:dyDescent="0.25">
      <c r="A59" s="58">
        <v>48</v>
      </c>
      <c r="B59" s="58" t="str">
        <f>+'Necesidades Trimestrales'!B57</f>
        <v>2.5.2-1821.201</v>
      </c>
      <c r="C59" s="138" t="str">
        <f>+'Necesidades Trimestrales'!E57</f>
        <v>ANTIBIOTICOS P/PERSONAS; TIPO: ANTITUBERCULOSTATICO, DROGA GENERICA: RIFAMPICINA X 2 GR, FORMA FARMACEUTICA: EN SUSPENSION CADA 100 mL, PRESENTACION: FRASCO X 50 Ml</v>
      </c>
      <c r="D59" s="139"/>
      <c r="E59" s="139"/>
      <c r="F59" s="139"/>
      <c r="G59" s="139"/>
      <c r="H59" s="58" t="s">
        <v>37</v>
      </c>
      <c r="I59" s="59" t="str">
        <f>+'Necesidades Trimestrales'!F57</f>
        <v>FRASCO</v>
      </c>
      <c r="J59" s="60">
        <f>+'Necesidades Trimestrales'!H57</f>
        <v>850</v>
      </c>
      <c r="K59" s="61">
        <f>+'Necesidades Trimestrales'!G57</f>
        <v>100</v>
      </c>
    </row>
    <row r="60" spans="1:11" ht="32.25" customHeight="1" thickBot="1" x14ac:dyDescent="0.25">
      <c r="A60" s="58">
        <v>49</v>
      </c>
      <c r="B60" s="58" t="str">
        <f>+'Necesidades Trimestrales'!B58</f>
        <v>2.5.2-1822.6</v>
      </c>
      <c r="C60" s="138" t="str">
        <f>+'Necesidades Trimestrales'!E58</f>
        <v>ANTIMICOBACTERIAS; TIPO: MONODROGA, DROGA GENERICA: RIFAMPICINA, PRESENTACION: 300 mGr, FORMA FARMACEUTICA: CAPSULA</v>
      </c>
      <c r="D60" s="139"/>
      <c r="E60" s="139"/>
      <c r="F60" s="139"/>
      <c r="G60" s="139"/>
      <c r="H60" s="58" t="s">
        <v>37</v>
      </c>
      <c r="I60" s="59" t="str">
        <f>+'Necesidades Trimestrales'!F58</f>
        <v>CAPSULAS</v>
      </c>
      <c r="J60" s="60">
        <f>+'Necesidades Trimestrales'!H58</f>
        <v>37</v>
      </c>
      <c r="K60" s="61">
        <f>+'Necesidades Trimestrales'!G58</f>
        <v>1000</v>
      </c>
    </row>
    <row r="61" spans="1:11" ht="32.25" customHeight="1" thickBot="1" x14ac:dyDescent="0.25">
      <c r="A61" s="58">
        <v>50</v>
      </c>
      <c r="B61" s="58" t="str">
        <f>+'Necesidades Trimestrales'!B59</f>
        <v>2.5.2-2455.31</v>
      </c>
      <c r="C61" s="138" t="str">
        <f>+'Necesidades Trimestrales'!E59</f>
        <v>ANESTESICOS GENERALES; DROGA GENERICA: SEVOFLUORANO, FORMA FARMACEUTICA: SOLUCION, PRESENTACION: ENVASE X 250 mL, TIPO: MONODROGA</v>
      </c>
      <c r="D61" s="139"/>
      <c r="E61" s="139"/>
      <c r="F61" s="139"/>
      <c r="G61" s="139"/>
      <c r="H61" s="58" t="s">
        <v>37</v>
      </c>
      <c r="I61" s="59" t="str">
        <f>+'Necesidades Trimestrales'!F59</f>
        <v>FRASCO</v>
      </c>
      <c r="J61" s="60">
        <f>+'Necesidades Trimestrales'!H59</f>
        <v>15580</v>
      </c>
      <c r="K61" s="61">
        <f>+'Necesidades Trimestrales'!G59</f>
        <v>12</v>
      </c>
    </row>
    <row r="62" spans="1:11" ht="32.25" customHeight="1" thickBot="1" x14ac:dyDescent="0.25">
      <c r="A62" s="58">
        <v>51</v>
      </c>
      <c r="B62" s="58" t="str">
        <f>+'Necesidades Trimestrales'!B60</f>
        <v>2.5.2-1724.154</v>
      </c>
      <c r="C62" s="138" t="str">
        <f>+'Necesidades Trimestrales'!E60</f>
        <v>ANALGESICOS; TIPO: MONODROGA, DROGA GENERICA: TRAMADOL 50 mGr, FORMA FARMACEUTICA: AMPOLLA, PRESENTACION: UNIDAD</v>
      </c>
      <c r="D62" s="139"/>
      <c r="E62" s="139"/>
      <c r="F62" s="139"/>
      <c r="G62" s="139"/>
      <c r="H62" s="58" t="s">
        <v>37</v>
      </c>
      <c r="I62" s="59" t="str">
        <f>+'Necesidades Trimestrales'!F60</f>
        <v>AMPOLLA</v>
      </c>
      <c r="J62" s="60">
        <f>+'Necesidades Trimestrales'!H60</f>
        <v>65</v>
      </c>
      <c r="K62" s="61">
        <f>+'Necesidades Trimestrales'!G60</f>
        <v>1000</v>
      </c>
    </row>
    <row r="63" spans="1:11" ht="33" customHeight="1" thickBot="1" x14ac:dyDescent="0.25">
      <c r="A63" s="160" t="s">
        <v>170</v>
      </c>
      <c r="B63" s="139"/>
      <c r="C63" s="139"/>
      <c r="D63" s="139"/>
      <c r="E63" s="139"/>
      <c r="F63" s="139"/>
      <c r="G63" s="139"/>
      <c r="H63" s="139"/>
      <c r="I63" s="139"/>
      <c r="J63" s="158">
        <f>SUMPRODUCT(J12:J62,K12:K62)</f>
        <v>78804421</v>
      </c>
      <c r="K63" s="159"/>
    </row>
  </sheetData>
  <mergeCells count="73">
    <mergeCell ref="C53:G53"/>
    <mergeCell ref="J63:K63"/>
    <mergeCell ref="C62:G62"/>
    <mergeCell ref="C60:G60"/>
    <mergeCell ref="C61:G61"/>
    <mergeCell ref="C59:G59"/>
    <mergeCell ref="A63:I63"/>
    <mergeCell ref="C54:G54"/>
    <mergeCell ref="C58:G58"/>
    <mergeCell ref="C55:G55"/>
    <mergeCell ref="C56:G56"/>
    <mergeCell ref="C57:G57"/>
    <mergeCell ref="C50:G50"/>
    <mergeCell ref="C51:G51"/>
    <mergeCell ref="C52:G52"/>
    <mergeCell ref="C48:G48"/>
    <mergeCell ref="C49:G49"/>
    <mergeCell ref="C47:G47"/>
    <mergeCell ref="C44:G44"/>
    <mergeCell ref="C45:G45"/>
    <mergeCell ref="C46:G46"/>
    <mergeCell ref="C43:G43"/>
    <mergeCell ref="C37:G37"/>
    <mergeCell ref="C39:G39"/>
    <mergeCell ref="C40:G40"/>
    <mergeCell ref="C41:G41"/>
    <mergeCell ref="C42:G42"/>
    <mergeCell ref="C38:G38"/>
    <mergeCell ref="C36:G36"/>
    <mergeCell ref="A3:C3"/>
    <mergeCell ref="D3:K3"/>
    <mergeCell ref="A4:C4"/>
    <mergeCell ref="D4:K4"/>
    <mergeCell ref="A5:C5"/>
    <mergeCell ref="D5:K5"/>
    <mergeCell ref="A7:C7"/>
    <mergeCell ref="A8:C8"/>
    <mergeCell ref="A6:C6"/>
    <mergeCell ref="A10:A11"/>
    <mergeCell ref="B10:B11"/>
    <mergeCell ref="C10:G11"/>
    <mergeCell ref="H10:H11"/>
    <mergeCell ref="I10:I11"/>
    <mergeCell ref="C34:G34"/>
    <mergeCell ref="C14:G14"/>
    <mergeCell ref="C15:G15"/>
    <mergeCell ref="C19:G19"/>
    <mergeCell ref="A1:I1"/>
    <mergeCell ref="D6:K6"/>
    <mergeCell ref="D7:K7"/>
    <mergeCell ref="D8:K8"/>
    <mergeCell ref="K10:K11"/>
    <mergeCell ref="J10:J11"/>
    <mergeCell ref="C12:G12"/>
    <mergeCell ref="C35:G35"/>
    <mergeCell ref="C30:G30"/>
    <mergeCell ref="C31:G31"/>
    <mergeCell ref="C32:G32"/>
    <mergeCell ref="C17:G17"/>
    <mergeCell ref="C18:G18"/>
    <mergeCell ref="C21:G21"/>
    <mergeCell ref="C22:G22"/>
    <mergeCell ref="C23:G23"/>
    <mergeCell ref="C24:G24"/>
    <mergeCell ref="C26:G26"/>
    <mergeCell ref="C27:G27"/>
    <mergeCell ref="C16:G16"/>
    <mergeCell ref="C13:G13"/>
    <mergeCell ref="C28:G28"/>
    <mergeCell ref="C29:G29"/>
    <mergeCell ref="C33:G33"/>
    <mergeCell ref="C20:G20"/>
    <mergeCell ref="C25:G25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"/>
  <sheetViews>
    <sheetView workbookViewId="0">
      <selection activeCell="O20" sqref="O20:P20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1" customWidth="1"/>
    <col min="17" max="17" width="14.7109375" customWidth="1"/>
    <col min="18" max="18" width="11" customWidth="1"/>
  </cols>
  <sheetData>
    <row r="1" spans="1:18" ht="15.75" customHeight="1" x14ac:dyDescent="0.25">
      <c r="A1" s="183" t="s">
        <v>4</v>
      </c>
      <c r="B1" s="143"/>
      <c r="C1" s="143"/>
      <c r="D1" s="184">
        <f>'Necesidades Trimestrales'!C6</f>
        <v>2022</v>
      </c>
      <c r="E1" s="144"/>
      <c r="F1" s="11"/>
      <c r="G1" s="11"/>
      <c r="H1" s="12"/>
      <c r="I1" s="12"/>
      <c r="J1" s="12"/>
      <c r="K1" s="12"/>
      <c r="L1" s="12"/>
      <c r="M1" s="12"/>
      <c r="N1" s="12"/>
      <c r="P1" s="178" t="s">
        <v>38</v>
      </c>
      <c r="Q1" s="172"/>
    </row>
    <row r="2" spans="1:18" ht="15.75" customHeight="1" x14ac:dyDescent="0.2">
      <c r="G2" s="13"/>
      <c r="H2" s="12"/>
      <c r="I2" s="12"/>
      <c r="J2" s="12"/>
      <c r="K2" s="12"/>
      <c r="L2" s="12"/>
      <c r="M2" s="12"/>
      <c r="N2" s="12"/>
      <c r="P2" s="164"/>
      <c r="Q2" s="166"/>
    </row>
    <row r="3" spans="1:18" ht="12.75" customHeight="1" x14ac:dyDescent="0.2">
      <c r="G3" s="13"/>
    </row>
    <row r="4" spans="1:18" ht="18" customHeight="1" x14ac:dyDescent="0.2">
      <c r="A4" s="179" t="s">
        <v>39</v>
      </c>
      <c r="B4" s="149"/>
      <c r="C4" s="149"/>
      <c r="D4" s="149"/>
      <c r="E4" s="149"/>
      <c r="F4" s="180"/>
      <c r="G4" s="181" t="str">
        <f>' NotaPedido'!D3</f>
        <v>040 - Ministerio de Salud</v>
      </c>
      <c r="H4" s="149"/>
      <c r="I4" s="149"/>
      <c r="J4" s="149"/>
      <c r="K4" s="149"/>
      <c r="L4" s="149"/>
      <c r="M4" s="149"/>
      <c r="N4" s="149"/>
      <c r="O4" s="149"/>
      <c r="P4" s="149"/>
      <c r="Q4" s="180"/>
      <c r="R4" s="14"/>
    </row>
    <row r="5" spans="1:18" ht="18" customHeight="1" x14ac:dyDescent="0.2">
      <c r="A5" s="182" t="s">
        <v>23</v>
      </c>
      <c r="B5" s="149"/>
      <c r="C5" s="149"/>
      <c r="D5" s="149"/>
      <c r="E5" s="149"/>
      <c r="F5" s="180"/>
      <c r="G5" s="181" t="str">
        <f>' NotaPedido'!D4</f>
        <v>011 - Direccion Provincial de Administracion - MS</v>
      </c>
      <c r="H5" s="149"/>
      <c r="I5" s="149"/>
      <c r="J5" s="149"/>
      <c r="K5" s="149"/>
      <c r="L5" s="149"/>
      <c r="M5" s="149"/>
      <c r="N5" s="149"/>
      <c r="O5" s="149"/>
      <c r="P5" s="149"/>
      <c r="Q5" s="180"/>
      <c r="R5" s="14"/>
    </row>
    <row r="6" spans="1:18" ht="18" customHeight="1" x14ac:dyDescent="0.2">
      <c r="A6" s="182" t="s">
        <v>24</v>
      </c>
      <c r="B6" s="149"/>
      <c r="C6" s="149"/>
      <c r="D6" s="149"/>
      <c r="E6" s="149"/>
      <c r="F6" s="180"/>
      <c r="G6" s="181" t="str">
        <f>' NotaPedido'!D5</f>
        <v>469 - Direccion Provincial de Farmacia e Insumos</v>
      </c>
      <c r="H6" s="149"/>
      <c r="I6" s="149"/>
      <c r="J6" s="149"/>
      <c r="K6" s="149"/>
      <c r="L6" s="149"/>
      <c r="M6" s="149"/>
      <c r="N6" s="149"/>
      <c r="O6" s="149"/>
      <c r="P6" s="149"/>
      <c r="Q6" s="180"/>
      <c r="R6" s="14"/>
    </row>
    <row r="7" spans="1:18" ht="18" customHeight="1" x14ac:dyDescent="0.2">
      <c r="A7" s="182" t="s">
        <v>25</v>
      </c>
      <c r="B7" s="149"/>
      <c r="C7" s="149"/>
      <c r="D7" s="149"/>
      <c r="E7" s="149"/>
      <c r="F7" s="180"/>
      <c r="G7" s="181" t="str">
        <f>' NotaPedido'!D6</f>
        <v>469 - Direccion Provincial de Farmacia e Insumos</v>
      </c>
      <c r="H7" s="149"/>
      <c r="I7" s="149"/>
      <c r="J7" s="149"/>
      <c r="K7" s="149"/>
      <c r="L7" s="149"/>
      <c r="M7" s="149"/>
      <c r="N7" s="149"/>
      <c r="O7" s="149"/>
      <c r="P7" s="149"/>
      <c r="Q7" s="180"/>
      <c r="R7" s="14"/>
    </row>
    <row r="8" spans="1:18" ht="18" customHeight="1" x14ac:dyDescent="0.2">
      <c r="A8" s="185" t="s">
        <v>40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80"/>
    </row>
    <row r="9" spans="1:18" ht="18" customHeight="1" x14ac:dyDescent="0.2">
      <c r="A9" s="186" t="s">
        <v>41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4"/>
      <c r="P9" s="14"/>
      <c r="Q9" s="83"/>
    </row>
    <row r="10" spans="1:18" ht="54.75" customHeight="1" x14ac:dyDescent="0.2">
      <c r="A10" s="188" t="str">
        <f>"Autorizo la realización de los  trámites correspondientes, a fin de proveer a  este Organismo los bienes y/o servicios que se detallan en Nota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xxx/2022,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89"/>
    </row>
    <row r="11" spans="1:18" ht="9" customHeight="1" x14ac:dyDescent="0.2">
      <c r="A11" s="15"/>
      <c r="B11" s="16"/>
      <c r="C11" s="16"/>
      <c r="D11" s="16"/>
      <c r="E11" s="16"/>
      <c r="F11" s="16"/>
      <c r="G11" s="17"/>
      <c r="H11" s="16"/>
      <c r="I11" s="16"/>
      <c r="J11" s="16"/>
      <c r="K11" s="16"/>
      <c r="L11" s="16"/>
      <c r="M11" s="16"/>
      <c r="N11" s="16"/>
      <c r="O11" s="16"/>
      <c r="P11" s="16"/>
      <c r="Q11" s="18"/>
    </row>
    <row r="12" spans="1:18" ht="15.75" customHeight="1" x14ac:dyDescent="0.2">
      <c r="A12" s="190" t="s">
        <v>42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2"/>
    </row>
    <row r="13" spans="1:18" ht="15.75" customHeight="1" x14ac:dyDescent="0.2">
      <c r="A13" s="191" t="s">
        <v>43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80"/>
      <c r="O13" s="193" t="s">
        <v>44</v>
      </c>
      <c r="P13" s="172"/>
      <c r="Q13" s="196" t="s">
        <v>45</v>
      </c>
    </row>
    <row r="14" spans="1:18" ht="15.75" customHeight="1" thickBot="1" x14ac:dyDescent="0.25">
      <c r="A14" s="19" t="s">
        <v>46</v>
      </c>
      <c r="B14" s="20" t="s">
        <v>47</v>
      </c>
      <c r="C14" s="20" t="s">
        <v>48</v>
      </c>
      <c r="D14" s="20" t="s">
        <v>49</v>
      </c>
      <c r="E14" s="20" t="s">
        <v>50</v>
      </c>
      <c r="F14" s="20" t="s">
        <v>51</v>
      </c>
      <c r="G14" s="21" t="s">
        <v>52</v>
      </c>
      <c r="H14" s="20" t="s">
        <v>53</v>
      </c>
      <c r="I14" s="20" t="s">
        <v>54</v>
      </c>
      <c r="J14" s="20" t="s">
        <v>55</v>
      </c>
      <c r="K14" s="20" t="s">
        <v>55</v>
      </c>
      <c r="L14" s="20" t="s">
        <v>56</v>
      </c>
      <c r="M14" s="22" t="s">
        <v>57</v>
      </c>
      <c r="N14" s="23" t="s">
        <v>58</v>
      </c>
      <c r="O14" s="194"/>
      <c r="P14" s="195"/>
      <c r="Q14" s="195"/>
    </row>
    <row r="15" spans="1:18" ht="26.25" customHeight="1" x14ac:dyDescent="0.2">
      <c r="A15" s="94">
        <v>30</v>
      </c>
      <c r="B15" s="95"/>
      <c r="C15" s="95"/>
      <c r="D15" s="95">
        <v>1</v>
      </c>
      <c r="E15" s="95"/>
      <c r="F15" s="95">
        <v>4901</v>
      </c>
      <c r="G15" s="95">
        <v>3</v>
      </c>
      <c r="H15" s="95">
        <v>1</v>
      </c>
      <c r="I15" s="95">
        <v>2</v>
      </c>
      <c r="J15" s="95">
        <v>5</v>
      </c>
      <c r="K15" s="95">
        <v>2</v>
      </c>
      <c r="L15" s="95"/>
      <c r="M15" s="96">
        <v>1</v>
      </c>
      <c r="N15" s="95" t="s">
        <v>59</v>
      </c>
      <c r="O15" s="197" t="s">
        <v>153</v>
      </c>
      <c r="P15" s="198"/>
      <c r="Q15" s="97">
        <f>' NotaPedido'!J63</f>
        <v>78804421</v>
      </c>
    </row>
    <row r="16" spans="1:18" ht="17.25" customHeight="1" x14ac:dyDescent="0.2">
      <c r="A16" s="98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100"/>
      <c r="N16" s="101"/>
      <c r="O16" s="173"/>
      <c r="P16" s="174"/>
      <c r="Q16" s="102"/>
    </row>
    <row r="17" spans="1:18" ht="17.25" customHeight="1" x14ac:dyDescent="0.2">
      <c r="A17" s="98"/>
      <c r="B17" s="99"/>
      <c r="C17" s="99"/>
      <c r="D17" s="99"/>
      <c r="E17" s="99"/>
      <c r="F17" s="101"/>
      <c r="G17" s="99"/>
      <c r="H17" s="99"/>
      <c r="I17" s="99"/>
      <c r="J17" s="99"/>
      <c r="K17" s="99"/>
      <c r="L17" s="99"/>
      <c r="M17" s="100"/>
      <c r="N17" s="101"/>
      <c r="O17" s="173"/>
      <c r="P17" s="174"/>
      <c r="Q17" s="102"/>
    </row>
    <row r="18" spans="1:18" ht="17.25" customHeight="1" x14ac:dyDescent="0.2">
      <c r="A18" s="98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100"/>
      <c r="N18" s="101"/>
      <c r="O18" s="173"/>
      <c r="P18" s="174"/>
      <c r="Q18" s="102"/>
    </row>
    <row r="19" spans="1:18" ht="17.25" customHeight="1" x14ac:dyDescent="0.2">
      <c r="A19" s="98"/>
      <c r="B19" s="99"/>
      <c r="C19" s="99"/>
      <c r="D19" s="99"/>
      <c r="E19" s="99"/>
      <c r="F19" s="101"/>
      <c r="G19" s="99"/>
      <c r="H19" s="99"/>
      <c r="I19" s="99"/>
      <c r="J19" s="99"/>
      <c r="K19" s="99"/>
      <c r="L19" s="99"/>
      <c r="M19" s="100"/>
      <c r="N19" s="101"/>
      <c r="O19" s="173"/>
      <c r="P19" s="174"/>
      <c r="Q19" s="102"/>
    </row>
    <row r="20" spans="1:18" ht="17.25" customHeight="1" x14ac:dyDescent="0.2">
      <c r="A20" s="98"/>
      <c r="B20" s="99"/>
      <c r="C20" s="99"/>
      <c r="D20" s="99"/>
      <c r="E20" s="99"/>
      <c r="F20" s="101"/>
      <c r="G20" s="99"/>
      <c r="H20" s="99"/>
      <c r="I20" s="99"/>
      <c r="J20" s="99"/>
      <c r="K20" s="99"/>
      <c r="L20" s="99"/>
      <c r="M20" s="100"/>
      <c r="N20" s="101"/>
      <c r="O20" s="173"/>
      <c r="P20" s="174"/>
      <c r="Q20" s="102"/>
    </row>
    <row r="21" spans="1:18" ht="17.25" customHeight="1" x14ac:dyDescent="0.2">
      <c r="A21" s="103"/>
      <c r="B21" s="104"/>
      <c r="C21" s="104"/>
      <c r="D21" s="104"/>
      <c r="E21" s="104"/>
      <c r="F21" s="101"/>
      <c r="G21" s="104"/>
      <c r="H21" s="104"/>
      <c r="I21" s="104"/>
      <c r="J21" s="104"/>
      <c r="K21" s="104"/>
      <c r="L21" s="104"/>
      <c r="M21" s="105"/>
      <c r="N21" s="106"/>
      <c r="O21" s="173"/>
      <c r="P21" s="174"/>
      <c r="Q21" s="102"/>
      <c r="R21" s="14"/>
    </row>
    <row r="22" spans="1:18" ht="17.25" customHeight="1" x14ac:dyDescent="0.2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9"/>
      <c r="N22" s="108"/>
      <c r="O22" s="175"/>
      <c r="P22" s="176"/>
      <c r="Q22" s="110"/>
    </row>
    <row r="23" spans="1:18" ht="29.25" customHeight="1" x14ac:dyDescent="0.2">
      <c r="A23" s="167" t="s">
        <v>180</v>
      </c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9"/>
      <c r="Q23" s="111">
        <f>SUM(Q15:Q22)</f>
        <v>78804421</v>
      </c>
    </row>
    <row r="24" spans="1:18" ht="18" customHeight="1" x14ac:dyDescent="0.2">
      <c r="A24" s="170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2"/>
    </row>
    <row r="25" spans="1:18" ht="17.25" customHeight="1" x14ac:dyDescent="0.2">
      <c r="A25" s="177" t="s">
        <v>60</v>
      </c>
      <c r="B25" s="143"/>
      <c r="C25" s="143"/>
      <c r="D25" s="143"/>
      <c r="E25" s="143"/>
      <c r="F25" s="144"/>
      <c r="G25" s="192"/>
      <c r="H25" s="171"/>
      <c r="I25" s="171"/>
      <c r="J25" s="171"/>
      <c r="K25" s="171"/>
      <c r="L25" s="171"/>
      <c r="M25" s="171"/>
      <c r="N25" s="171"/>
      <c r="O25" s="171"/>
      <c r="P25" s="171"/>
      <c r="Q25" s="172"/>
    </row>
    <row r="26" spans="1:18" ht="18" customHeight="1" x14ac:dyDescent="0.2">
      <c r="A26" s="161" t="str">
        <f>' NotaPedido'!D8</f>
        <v>Adquisición de TERAPIA ANTIINFECCIOSA SISTEMICA/SUEROS INMUNES E INMUNOGLOBULINAS  Y MEDIOS DE CONTRASTES /ANALGESICOS ANTINFLAMATORIOS /MIORRELAJANTES/ANESTESICOS/ANALGESICOS OPIACIOS</v>
      </c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3"/>
    </row>
    <row r="27" spans="1:18" ht="33" customHeight="1" x14ac:dyDescent="0.2">
      <c r="A27" s="164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6"/>
    </row>
    <row r="28" spans="1:18" ht="12.75" customHeight="1" x14ac:dyDescent="0.2">
      <c r="G28" s="13"/>
    </row>
    <row r="29" spans="1:18" ht="12.75" customHeight="1" x14ac:dyDescent="0.2">
      <c r="G29" s="13"/>
    </row>
    <row r="30" spans="1:18" ht="12.75" customHeight="1" x14ac:dyDescent="0.2">
      <c r="G30" s="13"/>
    </row>
    <row r="31" spans="1:18" ht="12.75" customHeight="1" x14ac:dyDescent="0.2">
      <c r="G31" s="13"/>
    </row>
    <row r="32" spans="1:18" ht="12.75" customHeight="1" x14ac:dyDescent="0.2">
      <c r="G32" s="13"/>
    </row>
    <row r="33" spans="7:7" ht="12.75" customHeight="1" x14ac:dyDescent="0.2">
      <c r="G33" s="13"/>
    </row>
    <row r="34" spans="7:7" ht="12.75" customHeight="1" x14ac:dyDescent="0.2">
      <c r="G34" s="13"/>
    </row>
    <row r="35" spans="7:7" ht="12.75" customHeight="1" x14ac:dyDescent="0.2">
      <c r="G35" s="13"/>
    </row>
    <row r="36" spans="7:7" ht="12.75" customHeight="1" x14ac:dyDescent="0.2">
      <c r="G36" s="13"/>
    </row>
    <row r="37" spans="7:7" ht="12.75" customHeight="1" x14ac:dyDescent="0.2">
      <c r="G37" s="13"/>
    </row>
    <row r="38" spans="7:7" ht="12.75" customHeight="1" x14ac:dyDescent="0.2">
      <c r="G38" s="13"/>
    </row>
    <row r="39" spans="7:7" ht="12.75" customHeight="1" x14ac:dyDescent="0.2">
      <c r="G39" s="13"/>
    </row>
    <row r="40" spans="7:7" ht="12.75" customHeight="1" x14ac:dyDescent="0.2">
      <c r="G40" s="13"/>
    </row>
    <row r="41" spans="7:7" ht="12.75" customHeight="1" x14ac:dyDescent="0.2">
      <c r="G41" s="13"/>
    </row>
    <row r="42" spans="7:7" ht="12.75" customHeight="1" x14ac:dyDescent="0.2">
      <c r="G42" s="13"/>
    </row>
    <row r="43" spans="7:7" ht="12.75" customHeight="1" x14ac:dyDescent="0.2">
      <c r="G43" s="13"/>
    </row>
    <row r="44" spans="7:7" ht="12.75" customHeight="1" x14ac:dyDescent="0.2">
      <c r="G44" s="13"/>
    </row>
    <row r="45" spans="7:7" ht="12.75" customHeight="1" x14ac:dyDescent="0.2">
      <c r="G45" s="13"/>
    </row>
    <row r="46" spans="7:7" ht="12.75" customHeight="1" x14ac:dyDescent="0.2">
      <c r="G46" s="13"/>
    </row>
    <row r="47" spans="7:7" ht="12.75" customHeight="1" x14ac:dyDescent="0.2">
      <c r="G47" s="13"/>
    </row>
    <row r="48" spans="7:7" ht="12.75" customHeight="1" x14ac:dyDescent="0.2">
      <c r="G48" s="13"/>
    </row>
    <row r="49" spans="7:7" ht="12.75" customHeight="1" x14ac:dyDescent="0.2">
      <c r="G49" s="13"/>
    </row>
    <row r="50" spans="7:7" ht="12.75" customHeight="1" x14ac:dyDescent="0.2">
      <c r="G50" s="13"/>
    </row>
    <row r="51" spans="7:7" ht="12.75" customHeight="1" x14ac:dyDescent="0.2">
      <c r="G51" s="13"/>
    </row>
    <row r="52" spans="7:7" ht="12.75" customHeight="1" x14ac:dyDescent="0.2">
      <c r="G52" s="13"/>
    </row>
    <row r="53" spans="7:7" ht="12.75" customHeight="1" x14ac:dyDescent="0.2">
      <c r="G53" s="13"/>
    </row>
    <row r="54" spans="7:7" ht="12.75" customHeight="1" x14ac:dyDescent="0.2">
      <c r="G54" s="13"/>
    </row>
    <row r="55" spans="7:7" ht="12.75" customHeight="1" x14ac:dyDescent="0.2">
      <c r="G55" s="13"/>
    </row>
    <row r="56" spans="7:7" ht="12.75" customHeight="1" x14ac:dyDescent="0.2">
      <c r="G56" s="13"/>
    </row>
    <row r="57" spans="7:7" ht="12.75" customHeight="1" x14ac:dyDescent="0.2">
      <c r="G57" s="13"/>
    </row>
    <row r="58" spans="7:7" ht="12.75" customHeight="1" x14ac:dyDescent="0.2">
      <c r="G58" s="13"/>
    </row>
    <row r="59" spans="7:7" ht="12.75" customHeight="1" x14ac:dyDescent="0.2">
      <c r="G59" s="13"/>
    </row>
    <row r="60" spans="7:7" ht="12.75" customHeight="1" x14ac:dyDescent="0.2">
      <c r="G60" s="13"/>
    </row>
    <row r="61" spans="7:7" ht="12.75" customHeight="1" x14ac:dyDescent="0.2">
      <c r="G61" s="13"/>
    </row>
    <row r="62" spans="7:7" ht="12.75" customHeight="1" x14ac:dyDescent="0.2">
      <c r="G62" s="13"/>
    </row>
    <row r="63" spans="7:7" ht="12.75" customHeight="1" x14ac:dyDescent="0.2">
      <c r="G63" s="13"/>
    </row>
    <row r="64" spans="7:7" ht="12.75" customHeight="1" x14ac:dyDescent="0.2">
      <c r="G64" s="13"/>
    </row>
    <row r="65" spans="7:7" ht="12.75" customHeight="1" x14ac:dyDescent="0.2">
      <c r="G65" s="13"/>
    </row>
    <row r="66" spans="7:7" ht="12.75" customHeight="1" x14ac:dyDescent="0.2">
      <c r="G66" s="13"/>
    </row>
    <row r="67" spans="7:7" ht="12.75" customHeight="1" x14ac:dyDescent="0.2">
      <c r="G67" s="13"/>
    </row>
    <row r="68" spans="7:7" ht="12.75" customHeight="1" x14ac:dyDescent="0.2">
      <c r="G68" s="13"/>
    </row>
    <row r="69" spans="7:7" ht="12.75" customHeight="1" x14ac:dyDescent="0.2">
      <c r="G69" s="13"/>
    </row>
    <row r="70" spans="7:7" ht="12.75" customHeight="1" x14ac:dyDescent="0.2">
      <c r="G70" s="13"/>
    </row>
    <row r="71" spans="7:7" ht="12.75" customHeight="1" x14ac:dyDescent="0.2">
      <c r="G71" s="13"/>
    </row>
    <row r="72" spans="7:7" ht="12.75" customHeight="1" x14ac:dyDescent="0.2">
      <c r="G72" s="13"/>
    </row>
    <row r="73" spans="7:7" ht="12.75" customHeight="1" x14ac:dyDescent="0.2">
      <c r="G73" s="13"/>
    </row>
    <row r="74" spans="7:7" ht="12.75" customHeight="1" x14ac:dyDescent="0.2">
      <c r="G74" s="13"/>
    </row>
    <row r="75" spans="7:7" ht="12.75" customHeight="1" x14ac:dyDescent="0.2">
      <c r="G75" s="13"/>
    </row>
    <row r="76" spans="7:7" ht="12.75" customHeight="1" x14ac:dyDescent="0.2">
      <c r="G76" s="13"/>
    </row>
    <row r="77" spans="7:7" ht="12.75" customHeight="1" x14ac:dyDescent="0.2">
      <c r="G77" s="13"/>
    </row>
    <row r="78" spans="7:7" ht="12.75" customHeight="1" x14ac:dyDescent="0.2">
      <c r="G78" s="13"/>
    </row>
    <row r="79" spans="7:7" ht="12.75" customHeight="1" x14ac:dyDescent="0.2">
      <c r="G79" s="13"/>
    </row>
    <row r="80" spans="7:7" ht="12.75" customHeight="1" x14ac:dyDescent="0.2">
      <c r="G80" s="13"/>
    </row>
    <row r="81" spans="7:7" ht="12.75" customHeight="1" x14ac:dyDescent="0.2">
      <c r="G81" s="13"/>
    </row>
    <row r="82" spans="7:7" ht="12.75" customHeight="1" x14ac:dyDescent="0.2">
      <c r="G82" s="13"/>
    </row>
    <row r="83" spans="7:7" ht="12.75" customHeight="1" x14ac:dyDescent="0.2">
      <c r="G83" s="13"/>
    </row>
    <row r="84" spans="7:7" ht="12.75" customHeight="1" x14ac:dyDescent="0.2">
      <c r="G84" s="13"/>
    </row>
    <row r="85" spans="7:7" ht="12.75" customHeight="1" x14ac:dyDescent="0.2">
      <c r="G85" s="13"/>
    </row>
    <row r="86" spans="7:7" ht="12.75" customHeight="1" x14ac:dyDescent="0.2">
      <c r="G86" s="13"/>
    </row>
    <row r="87" spans="7:7" ht="12.75" customHeight="1" x14ac:dyDescent="0.2">
      <c r="G87" s="13"/>
    </row>
    <row r="88" spans="7:7" ht="12.75" customHeight="1" x14ac:dyDescent="0.2">
      <c r="G88" s="13"/>
    </row>
    <row r="89" spans="7:7" ht="12.75" customHeight="1" x14ac:dyDescent="0.2">
      <c r="G89" s="13"/>
    </row>
    <row r="90" spans="7:7" ht="12.75" customHeight="1" x14ac:dyDescent="0.2">
      <c r="G90" s="13"/>
    </row>
    <row r="91" spans="7:7" ht="12.75" customHeight="1" x14ac:dyDescent="0.2">
      <c r="G91" s="13"/>
    </row>
    <row r="92" spans="7:7" ht="12.75" customHeight="1" x14ac:dyDescent="0.2">
      <c r="G92" s="13"/>
    </row>
    <row r="93" spans="7:7" ht="12.75" customHeight="1" x14ac:dyDescent="0.2">
      <c r="G93" s="13"/>
    </row>
    <row r="94" spans="7:7" ht="12.75" customHeight="1" x14ac:dyDescent="0.2">
      <c r="G94" s="13"/>
    </row>
    <row r="95" spans="7:7" ht="12.75" customHeight="1" x14ac:dyDescent="0.2">
      <c r="G95" s="13"/>
    </row>
    <row r="96" spans="7:7" ht="12.75" customHeight="1" x14ac:dyDescent="0.2">
      <c r="G96" s="13"/>
    </row>
    <row r="97" spans="7:7" ht="12.75" customHeight="1" x14ac:dyDescent="0.2">
      <c r="G97" s="13"/>
    </row>
    <row r="98" spans="7:7" ht="12.75" customHeight="1" x14ac:dyDescent="0.2">
      <c r="G98" s="13"/>
    </row>
    <row r="99" spans="7:7" ht="12.75" customHeight="1" x14ac:dyDescent="0.2">
      <c r="G99" s="13"/>
    </row>
    <row r="100" spans="7:7" ht="12.75" customHeight="1" x14ac:dyDescent="0.2">
      <c r="G100" s="13"/>
    </row>
  </sheetData>
  <mergeCells count="31">
    <mergeCell ref="A12:Q12"/>
    <mergeCell ref="A13:N13"/>
    <mergeCell ref="G25:Q25"/>
    <mergeCell ref="O13:P14"/>
    <mergeCell ref="Q13:Q14"/>
    <mergeCell ref="O15:P15"/>
    <mergeCell ref="O16:P16"/>
    <mergeCell ref="O17:P17"/>
    <mergeCell ref="O18:P18"/>
    <mergeCell ref="O19:P19"/>
    <mergeCell ref="A8:Q8"/>
    <mergeCell ref="A7:F7"/>
    <mergeCell ref="G7:Q7"/>
    <mergeCell ref="A9:N9"/>
    <mergeCell ref="A10:Q10"/>
    <mergeCell ref="P1:Q2"/>
    <mergeCell ref="A4:F4"/>
    <mergeCell ref="G4:Q4"/>
    <mergeCell ref="G5:Q5"/>
    <mergeCell ref="G6:Q6"/>
    <mergeCell ref="A5:F5"/>
    <mergeCell ref="A6:F6"/>
    <mergeCell ref="A1:C1"/>
    <mergeCell ref="D1:E1"/>
    <mergeCell ref="A26:Q27"/>
    <mergeCell ref="A23:P23"/>
    <mergeCell ref="A24:Q24"/>
    <mergeCell ref="O20:P20"/>
    <mergeCell ref="O21:P21"/>
    <mergeCell ref="O22:P22"/>
    <mergeCell ref="A25:F25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cp:revision>2</cp:revision>
  <cp:lastPrinted>2020-07-23T13:47:13Z</cp:lastPrinted>
  <dcterms:created xsi:type="dcterms:W3CDTF">2020-07-17T23:44:49Z</dcterms:created>
  <dcterms:modified xsi:type="dcterms:W3CDTF">2022-10-20T13:55:41Z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