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913C261C-1989-4202-A69D-D650A8AE9BB9}" xr6:coauthVersionLast="46" xr6:coauthVersionMax="46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Gastar'!$A$1:$Q$27</definedName>
    <definedName name="_xlnm.Print_Area" localSheetId="0">'Necesidades Trimestrales'!$A$1:$I$22</definedName>
    <definedName name="_xlnm.Print_Area" localSheetId="1">NotaPedido!$A$1:$K$25</definedName>
  </definedNames>
  <calcPr calcId="181029"/>
</workbook>
</file>

<file path=xl/calcChain.xml><?xml version="1.0" encoding="utf-8"?>
<calcChain xmlns="http://schemas.openxmlformats.org/spreadsheetml/2006/main">
  <c r="K23" i="2" l="1"/>
  <c r="K24" i="2"/>
  <c r="J23" i="2"/>
  <c r="J24" i="2"/>
  <c r="I23" i="2"/>
  <c r="I24" i="2"/>
  <c r="C24" i="2"/>
  <c r="C23" i="2"/>
  <c r="B23" i="2"/>
  <c r="B24" i="2"/>
  <c r="I22" i="1" l="1"/>
  <c r="I21" i="1"/>
  <c r="B15" i="2" l="1"/>
  <c r="B16" i="2"/>
  <c r="B17" i="2"/>
  <c r="B18" i="2"/>
  <c r="B19" i="2"/>
  <c r="B20" i="2"/>
  <c r="B21" i="2"/>
  <c r="B22" i="2"/>
  <c r="K17" i="2"/>
  <c r="K18" i="2"/>
  <c r="K19" i="2"/>
  <c r="K20" i="2"/>
  <c r="K21" i="2"/>
  <c r="K22" i="2"/>
  <c r="C16" i="2"/>
  <c r="C17" i="2"/>
  <c r="C18" i="2"/>
  <c r="C19" i="2"/>
  <c r="C20" i="2"/>
  <c r="C21" i="2"/>
  <c r="C22" i="2"/>
  <c r="J18" i="2"/>
  <c r="J19" i="2"/>
  <c r="J20" i="2"/>
  <c r="J21" i="2"/>
  <c r="J22" i="2"/>
  <c r="I17" i="2"/>
  <c r="I18" i="2"/>
  <c r="I19" i="2"/>
  <c r="I20" i="2"/>
  <c r="I21" i="2"/>
  <c r="I22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0" i="1"/>
  <c r="I19" i="1"/>
  <c r="I18" i="1"/>
  <c r="I17" i="1"/>
  <c r="I16" i="1"/>
  <c r="I15" i="1"/>
  <c r="I14" i="1"/>
  <c r="I13" i="1"/>
  <c r="I12" i="1"/>
  <c r="I11" i="1"/>
  <c r="I10" i="1"/>
  <c r="J25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<sst xmlns="http://schemas.openxmlformats.org/spreadsheetml/2006/main" count="206" uniqueCount="121">
  <si>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</si>
  <si>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</si>
  <si>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</si>
  <si>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</si>
  <si>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</si>
  <si>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</si>
  <si>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</si>
  <si>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</si>
  <si>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</si>
  <si>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</si>
  <si>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</si>
  <si>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</si>
  <si>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</si>
  <si>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</si>
  <si>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</si>
  <si>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</si>
  <si>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</si>
  <si>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</si>
  <si>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</si>
  <si>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</si>
  <si>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</si>
  <si>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</si>
  <si>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</si>
  <si>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</si>
  <si>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</si>
  <si>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</si>
  <si>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</si>
  <si>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</si>
  <si>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</si>
  <si>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</si>
  <si>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</si>
  <si>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</si>
  <si>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</si>
  <si>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</si>
  <si>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</si>
  <si>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</si>
  <si>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</si>
  <si>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</si>
  <si>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</si>
  <si>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</si>
  <si>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</si>
  <si>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</si>
  <si>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</si>
  <si>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</si>
  <si>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</si>
  <si>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</si>
  <si>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</si>
  <si>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</si>
  <si>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</si>
  <si>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</si>
  <si>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</si>
  <si>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</si>
  <si>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</si>
  <si>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</si>
  <si>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</si>
  <si>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</si>
  <si>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</si>
  <si>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</si>
  <si>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</si>
  <si>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</si>
  <si>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</si>
  <si>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</si>
  <si>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</si>
  <si>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3.1</t>
  </si>
  <si>
    <t>1.1</t>
  </si>
  <si>
    <t>Utiles Menores Med. Quir. y de Lab.</t>
  </si>
  <si>
    <t>CAJA</t>
  </si>
  <si>
    <t>FRASCO</t>
  </si>
  <si>
    <t>BOLSA</t>
  </si>
  <si>
    <t xml:space="preserve">Laboratorio de Hematologia </t>
  </si>
  <si>
    <t>10 dias - Servicio de Laboratorio de Hematologia del HISJB</t>
  </si>
  <si>
    <t>2.5.1-8988.2231</t>
  </si>
  <si>
    <t>QUIMICOS</t>
  </si>
  <si>
    <t>2.5.1</t>
  </si>
  <si>
    <t>REACTIVOS P/EQUIPO; EQUIPO: COAGULOMETRO, MARCA EQUIPO: DESTINY, NOMBRE DEL PRODUCTO: ANTICOAGULANTE LUPICO TAMIZAJE, PRESENTACION: 10 X ENVASE X 2 mL</t>
  </si>
  <si>
    <t>REACTIVOS P/EQUIPO; EQUIPO: COAGULOMETRO, MARCA EQUIPO: DESTINY, NOMBRE DEL PRODUCTO: ANTICOAG. LUPICO CONFIRMACION, PRESENTACION: 10 X ENVASE X 2 mL</t>
  </si>
  <si>
    <t>2.5.1-8988.2232</t>
  </si>
  <si>
    <t>PROD. MEDICO/FARMACEUTICOS/LAB</t>
  </si>
  <si>
    <t>2.9.5</t>
  </si>
  <si>
    <t>Especificidades Item N° 4:</t>
  </si>
  <si>
    <t>2.5.1-8988.1022</t>
  </si>
  <si>
    <t>2.5.1.</t>
  </si>
  <si>
    <t>REACTIVOS P/EQUIPO; EQUIPO: AUTOANALIZADOR, MARCA EQUIPO: GENERICO, NOMBRE DEL PRODUCTO: PLASMA DE REFERENCIA, PRESENTACION: ENVASE X 1 mL</t>
  </si>
  <si>
    <t>Especificidades Item N° 5:</t>
  </si>
  <si>
    <t>2.5.1-8988.1282</t>
  </si>
  <si>
    <t>REACTIVOS P/EQUIPO; EQUIPO: SIST. INTEGRADO DE QUIMICA, MARCA EQUIPO: DIMENSION, NOMBRE DEL PRODUCTO: DETERMINACION TP Y APTT, PRESENTACION: ENVASE X 1850 DETERM.</t>
  </si>
  <si>
    <t>Especificidades Item N° 6:</t>
  </si>
  <si>
    <t>2.5.1-9038.46</t>
  </si>
  <si>
    <t>2,5.1</t>
  </si>
  <si>
    <t>2.5,1</t>
  </si>
  <si>
    <t>REACTIVO INDICADOR-COLORANTE; COMPUESTO QUIMICO: MAY GRUNWALD, ESTADO: SOLUCION, CALIDAD: PRO ANALISIS, PRESENTACION: ENVASE X 1 L</t>
  </si>
  <si>
    <t>2.5.1-9038.117</t>
  </si>
  <si>
    <t>REACTIVO INDICADOR-COLORANTE; COMPUESTO QUIMICO: GIEMSA, ESTADO: LIQUIDO, CALIDAD: PRO ANALISIS, PRESENTACION: ENVASE X 1 L</t>
  </si>
  <si>
    <t>REACTIVO INDICADOR-COLORANTE; COMPUESTO QUIMICO: AZUL BRILLANTE DE CRESILO, ESTADO: SOLIDO, CALIDAD: PRO ANALISIS, PRESENTACION: ENVASE X 50 GR</t>
  </si>
  <si>
    <t>2.5.1-9038.43</t>
  </si>
  <si>
    <t>Especificidades Item N° 8:</t>
  </si>
  <si>
    <t>ACEITES Y GRASAS; COMPUESTO QUIMICO: ACEITE DE INMERSION, ESTADO: LIQUIDO, CALIDAD: PRO ANALISIS, CONCENTRACION/PUREZA: 99,9 %, PRESENTACION: ENVASE X 100 mL</t>
  </si>
  <si>
    <t>2.5.1-9043.2</t>
  </si>
  <si>
    <t>2.9.5-6471.1</t>
  </si>
  <si>
    <t>2.9.5.</t>
  </si>
  <si>
    <t>MICROPUNTAS DE PIPETA; TIPO: P/PIPETA GILSON, CAPACIDAD DE PIPETA: 20 A 200 µL, SUPERFICIE: SIN VALOR, AUTOCLAVABLES A: 121 °C, PRESENTACION: BOLSA X 1000 UN, AUTOCLAVABLE: 121 °C, PRESION: 0,1 DURANTE 20 MINUTOS, MPA: 0,1 DURANTE 20 MINUTOS</t>
  </si>
  <si>
    <t>2.9.5-468.42</t>
  </si>
  <si>
    <t>TUBOS DE ENSAYO; TIPO: EPPENDORF, MATERIAL: PLASTICO, DIMENSION: 1.5 mL, ACCESORIOS: SIN, ACCESORIO: SIN</t>
  </si>
  <si>
    <t>Especificidades Item N° 1 :</t>
  </si>
  <si>
    <t>2.9.5-5773.6</t>
  </si>
  <si>
    <t>PORTAOBJETOS P/LABORATORIO; USO: LABORATORIO, MATERIAL: VIDRIO, PRESENTACION: CAJA X 50 UN, MEDIDA: 7,5 X 2,5 Cm</t>
  </si>
  <si>
    <t>Especificidades Item N° 3:</t>
  </si>
  <si>
    <t>2.5.1-8988.1376</t>
  </si>
  <si>
    <t>REACTIVOS P/EQUIPO; EQUIPO: AUTOANALIZADOR, MARCA EQUIPO: IL, NOMBRE DEL PRODUCTO: DET. PLASMA DEF. FACTOR VIII, PRESENTACION: UNIDAD</t>
  </si>
  <si>
    <t>2.9.5-441.99</t>
  </si>
  <si>
    <t>AGUJAS QUIRURGICAS; TIPO: 21 GX1´, ESPECIFICACION: SIN VALOR, UNIDAD VENTA: CAJA X 100 UN, PRESENTACION: CAJA X 100 UN</t>
  </si>
  <si>
    <t>Tipo Tcoag</t>
  </si>
  <si>
    <t>Tipo Hemo - Medica</t>
  </si>
  <si>
    <t>Tipo Bio Pur</t>
  </si>
  <si>
    <t>Solucion azul brillante de cresilo por 25 ML</t>
  </si>
  <si>
    <t>Especificidades Item N° 10:</t>
  </si>
  <si>
    <t xml:space="preserve">Tip amarillo 5 - 200 ul corona chica por 1000 unidades </t>
  </si>
  <si>
    <t xml:space="preserve">Adquisición de Insumos Laboratorio Oncohematologia </t>
  </si>
  <si>
    <t>348/2020</t>
  </si>
  <si>
    <t>TOTAL DE PESOS: DOSCIENTOS OCHO MIL OCHOCIENTOS SETENTA Y UNO CON 00/100.-------</t>
  </si>
  <si>
    <t>Costo total estimado: doscientos ocho mil ochocientos setenta y uno con 00/100.------------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</si>
</sst>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b/>
      <sz val="9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15" fillId="0" borderId="0" xfId="0" applyFont="1" applyBorder="1" applyAlignment="1">
      <alignment horizontal="left" indent="3"/>
    </xf>
    <xf numFmtId="0" fontId="20" fillId="0" borderId="48" xfId="0" applyFont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21" fillId="4" borderId="48" xfId="0" applyFont="1" applyFill="1" applyBorder="1" applyAlignment="1">
      <alignment horizontal="center" vertical="center" wrapText="1"/>
    </xf>
    <xf numFmtId="0" fontId="21" fillId="5" borderId="48" xfId="0" applyFont="1" applyFill="1" applyBorder="1" applyAlignment="1">
      <alignment horizontal="left" vertical="center" wrapText="1"/>
    </xf>
    <xf numFmtId="0" fontId="21" fillId="5" borderId="48" xfId="0" applyFont="1" applyFill="1" applyBorder="1" applyAlignment="1">
      <alignment horizontal="center" vertical="center" wrapText="1"/>
    </xf>
    <xf numFmtId="0" fontId="24" fillId="5" borderId="48" xfId="0" applyFont="1" applyFill="1" applyBorder="1" applyAlignment="1">
      <alignment vertical="center" wrapText="1"/>
    </xf>
    <xf numFmtId="166" fontId="20" fillId="4" borderId="48" xfId="1" applyNumberFormat="1" applyFont="1" applyFill="1" applyBorder="1" applyAlignment="1" applyProtection="1">
      <alignment horizontal="center" vertical="center" wrapText="1"/>
    </xf>
    <xf numFmtId="166" fontId="20" fillId="4" borderId="48" xfId="1" applyNumberFormat="1" applyFont="1" applyFill="1" applyBorder="1" applyAlignment="1" applyProtection="1">
      <alignment horizontal="right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left" vertical="center" wrapText="1"/>
    </xf>
    <xf numFmtId="166" fontId="20" fillId="0" borderId="14" xfId="1" applyNumberFormat="1" applyFont="1" applyFill="1" applyBorder="1" applyAlignment="1" applyProtection="1">
      <alignment horizontal="center" vertical="center" wrapText="1"/>
    </xf>
    <xf numFmtId="166" fontId="20" fillId="0" borderId="14" xfId="1" applyNumberFormat="1" applyFont="1" applyFill="1" applyBorder="1" applyAlignment="1" applyProtection="1">
      <alignment horizontal="right" vertical="center" wrapText="1"/>
    </xf>
    <xf numFmtId="0" fontId="21" fillId="4" borderId="14" xfId="0" applyFont="1" applyFill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4" xfId="0" applyFont="1" applyBorder="1"/>
    <xf numFmtId="0" fontId="15" fillId="0" borderId="14" xfId="0" applyFont="1" applyBorder="1" applyAlignment="1">
      <alignment wrapText="1"/>
    </xf>
    <xf numFmtId="169" fontId="15" fillId="0" borderId="14" xfId="0" applyNumberFormat="1" applyFont="1" applyBorder="1"/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3" borderId="0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left" wrapText="1"/>
    </xf>
    <xf numFmtId="0" fontId="15" fillId="4" borderId="6" xfId="0" applyFont="1" applyFill="1" applyBorder="1" applyAlignment="1">
      <alignment horizontal="left"/>
    </xf>
    <xf numFmtId="0" fontId="15" fillId="4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15" fillId="3" borderId="6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wrapText="1"/>
    </xf>
    <xf numFmtId="0" fontId="15" fillId="4" borderId="6" xfId="0" applyFont="1" applyFill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6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9"/>
  <sheetViews>
    <sheetView zoomScale="85" zoomScaleNormal="85" workbookViewId="0">
      <selection activeCell="A7" sqref="A7:B7"/>
    </sheetView>
  </sheetViews>
  <sheetFormatPr baseColWidth="10" defaultColWidth="11" defaultRowHeight="12.75" x14ac:dyDescent="0.2"/>
  <cols>
    <col min="1" max="1" width="4.5703125" style="39" customWidth="1"/>
    <col min="2" max="2" width="15" style="39" customWidth="1"/>
    <col min="3" max="3" width="28.42578125" style="39" customWidth="1"/>
    <col min="4" max="4" width="8.42578125" style="97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105" t="s">
        <v>0</v>
      </c>
      <c r="C2" s="105"/>
      <c r="D2" s="105"/>
      <c r="E2" s="105"/>
      <c r="F2" s="105"/>
      <c r="G2" s="105"/>
      <c r="H2" s="105"/>
    </row>
    <row r="4" spans="1:9" ht="18" customHeight="1" x14ac:dyDescent="0.25">
      <c r="A4" s="106" t="s">
        <v>1</v>
      </c>
      <c r="B4" s="106"/>
      <c r="C4" s="107" t="s">
        <v>58</v>
      </c>
      <c r="D4" s="107"/>
      <c r="E4" s="107"/>
      <c r="F4" s="40"/>
      <c r="G4" s="41"/>
      <c r="H4" s="40"/>
    </row>
    <row r="5" spans="1:9" ht="18" customHeight="1" x14ac:dyDescent="0.25">
      <c r="A5" s="106" t="s">
        <v>2</v>
      </c>
      <c r="B5" s="106"/>
      <c r="C5" s="107" t="s">
        <v>59</v>
      </c>
      <c r="D5" s="107"/>
      <c r="E5" s="107"/>
      <c r="F5" s="40"/>
      <c r="G5" s="41"/>
      <c r="H5" s="40"/>
    </row>
    <row r="6" spans="1:9" ht="16.5" customHeight="1" x14ac:dyDescent="0.25">
      <c r="A6" s="106" t="s">
        <v>3</v>
      </c>
      <c r="B6" s="106"/>
      <c r="C6" s="63">
        <v>2020</v>
      </c>
      <c r="D6" s="96"/>
      <c r="E6" s="64"/>
      <c r="F6" s="40"/>
      <c r="G6" s="41"/>
      <c r="H6" s="40"/>
    </row>
    <row r="7" spans="1:9" ht="16.5" customHeight="1" x14ac:dyDescent="0.25">
      <c r="A7" s="106" t="s">
        <v>4</v>
      </c>
      <c r="B7" s="106"/>
      <c r="C7" s="63">
        <v>4</v>
      </c>
      <c r="D7" s="96"/>
      <c r="E7" s="64"/>
      <c r="F7" s="40"/>
      <c r="G7" s="41"/>
      <c r="H7" s="40"/>
    </row>
    <row r="8" spans="1:9" ht="13.5" thickBot="1" x14ac:dyDescent="0.25">
      <c r="B8" s="40"/>
      <c r="C8" s="41"/>
      <c r="D8" s="41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48" thickBot="1" x14ac:dyDescent="0.25">
      <c r="A10" s="56">
        <v>1</v>
      </c>
      <c r="B10" s="94" t="s">
        <v>71</v>
      </c>
      <c r="C10" s="57" t="s">
        <v>72</v>
      </c>
      <c r="D10" s="58" t="s">
        <v>73</v>
      </c>
      <c r="E10" s="59" t="s">
        <v>74</v>
      </c>
      <c r="F10" s="60" t="s">
        <v>66</v>
      </c>
      <c r="G10" s="60">
        <v>1</v>
      </c>
      <c r="H10" s="61">
        <v>42861</v>
      </c>
      <c r="I10" s="62">
        <f t="shared" ref="I10:I22" si="0">G10*H10</f>
        <v>42861</v>
      </c>
    </row>
    <row r="11" spans="1:9" ht="48" thickBot="1" x14ac:dyDescent="0.25">
      <c r="A11" s="56">
        <v>2</v>
      </c>
      <c r="B11" s="60" t="s">
        <v>76</v>
      </c>
      <c r="C11" s="57" t="s">
        <v>72</v>
      </c>
      <c r="D11" s="58" t="s">
        <v>73</v>
      </c>
      <c r="E11" s="59" t="s">
        <v>75</v>
      </c>
      <c r="F11" s="60" t="s">
        <v>66</v>
      </c>
      <c r="G11" s="60">
        <v>1</v>
      </c>
      <c r="H11" s="61">
        <v>48215</v>
      </c>
      <c r="I11" s="62">
        <f t="shared" si="0"/>
        <v>48215</v>
      </c>
    </row>
    <row r="12" spans="1:9" ht="48" thickBot="1" x14ac:dyDescent="0.25">
      <c r="A12" s="56">
        <v>3</v>
      </c>
      <c r="B12" s="90" t="s">
        <v>107</v>
      </c>
      <c r="C12" s="91" t="s">
        <v>72</v>
      </c>
      <c r="D12" s="90" t="s">
        <v>73</v>
      </c>
      <c r="E12" s="59" t="s">
        <v>108</v>
      </c>
      <c r="F12" s="90" t="s">
        <v>66</v>
      </c>
      <c r="G12" s="90">
        <v>1</v>
      </c>
      <c r="H12" s="92">
        <v>23872</v>
      </c>
      <c r="I12" s="93">
        <f t="shared" si="0"/>
        <v>23872</v>
      </c>
    </row>
    <row r="13" spans="1:9" ht="53.25" customHeight="1" thickBot="1" x14ac:dyDescent="0.25">
      <c r="A13" s="56">
        <v>4</v>
      </c>
      <c r="B13" s="60" t="s">
        <v>80</v>
      </c>
      <c r="C13" s="81" t="s">
        <v>72</v>
      </c>
      <c r="D13" s="82" t="s">
        <v>81</v>
      </c>
      <c r="E13" s="83" t="s">
        <v>82</v>
      </c>
      <c r="F13" s="60" t="s">
        <v>66</v>
      </c>
      <c r="G13" s="60">
        <v>1</v>
      </c>
      <c r="H13" s="61">
        <v>25679</v>
      </c>
      <c r="I13" s="62">
        <f t="shared" si="0"/>
        <v>25679</v>
      </c>
    </row>
    <row r="14" spans="1:9" ht="52.5" customHeight="1" thickBot="1" x14ac:dyDescent="0.25">
      <c r="A14" s="56">
        <v>5</v>
      </c>
      <c r="B14" s="60" t="s">
        <v>84</v>
      </c>
      <c r="C14" s="81" t="s">
        <v>72</v>
      </c>
      <c r="D14" s="82" t="s">
        <v>89</v>
      </c>
      <c r="E14" s="83" t="s">
        <v>85</v>
      </c>
      <c r="F14" s="60" t="s">
        <v>66</v>
      </c>
      <c r="G14" s="60">
        <v>4</v>
      </c>
      <c r="H14" s="61">
        <v>7086</v>
      </c>
      <c r="I14" s="62">
        <f t="shared" si="0"/>
        <v>28344</v>
      </c>
    </row>
    <row r="15" spans="1:9" ht="50.25" customHeight="1" thickBot="1" x14ac:dyDescent="0.25">
      <c r="A15" s="56">
        <v>6</v>
      </c>
      <c r="B15" s="60" t="s">
        <v>87</v>
      </c>
      <c r="C15" s="81" t="s">
        <v>72</v>
      </c>
      <c r="D15" s="82" t="s">
        <v>88</v>
      </c>
      <c r="E15" s="83" t="s">
        <v>90</v>
      </c>
      <c r="F15" s="60" t="s">
        <v>67</v>
      </c>
      <c r="G15" s="60">
        <v>2</v>
      </c>
      <c r="H15" s="61">
        <v>3145</v>
      </c>
      <c r="I15" s="62">
        <f t="shared" si="0"/>
        <v>6290</v>
      </c>
    </row>
    <row r="16" spans="1:9" ht="43.5" customHeight="1" thickBot="1" x14ac:dyDescent="0.25">
      <c r="A16" s="56">
        <v>7</v>
      </c>
      <c r="B16" s="60" t="s">
        <v>91</v>
      </c>
      <c r="C16" s="81" t="s">
        <v>72</v>
      </c>
      <c r="D16" s="82" t="s">
        <v>73</v>
      </c>
      <c r="E16" s="83" t="s">
        <v>92</v>
      </c>
      <c r="F16" s="60" t="s">
        <v>67</v>
      </c>
      <c r="G16" s="60">
        <v>2</v>
      </c>
      <c r="H16" s="61">
        <v>2553</v>
      </c>
      <c r="I16" s="62">
        <f t="shared" si="0"/>
        <v>5106</v>
      </c>
    </row>
    <row r="17" spans="1:9" ht="50.25" customHeight="1" thickBot="1" x14ac:dyDescent="0.25">
      <c r="A17" s="56">
        <v>8</v>
      </c>
      <c r="B17" s="60" t="s">
        <v>94</v>
      </c>
      <c r="C17" s="81" t="s">
        <v>72</v>
      </c>
      <c r="D17" s="82" t="s">
        <v>73</v>
      </c>
      <c r="E17" s="83" t="s">
        <v>93</v>
      </c>
      <c r="F17" s="60" t="s">
        <v>67</v>
      </c>
      <c r="G17" s="60">
        <v>3</v>
      </c>
      <c r="H17" s="61">
        <v>1650</v>
      </c>
      <c r="I17" s="62">
        <f t="shared" si="0"/>
        <v>4950</v>
      </c>
    </row>
    <row r="18" spans="1:9" ht="56.25" customHeight="1" thickBot="1" x14ac:dyDescent="0.25">
      <c r="A18" s="56">
        <v>9</v>
      </c>
      <c r="B18" s="60" t="s">
        <v>97</v>
      </c>
      <c r="C18" s="81" t="s">
        <v>72</v>
      </c>
      <c r="D18" s="82" t="s">
        <v>81</v>
      </c>
      <c r="E18" s="83" t="s">
        <v>96</v>
      </c>
      <c r="F18" s="60" t="s">
        <v>67</v>
      </c>
      <c r="G18" s="60">
        <v>9</v>
      </c>
      <c r="H18" s="61">
        <v>1057</v>
      </c>
      <c r="I18" s="62">
        <f t="shared" si="0"/>
        <v>9513</v>
      </c>
    </row>
    <row r="19" spans="1:9" ht="72" customHeight="1" thickBot="1" x14ac:dyDescent="0.25">
      <c r="A19" s="95">
        <v>10</v>
      </c>
      <c r="B19" s="60" t="s">
        <v>98</v>
      </c>
      <c r="C19" s="81" t="s">
        <v>77</v>
      </c>
      <c r="D19" s="82" t="s">
        <v>99</v>
      </c>
      <c r="E19" s="83" t="s">
        <v>100</v>
      </c>
      <c r="F19" s="60" t="s">
        <v>68</v>
      </c>
      <c r="G19" s="60">
        <v>2</v>
      </c>
      <c r="H19" s="61">
        <v>1089</v>
      </c>
      <c r="I19" s="62">
        <f t="shared" si="0"/>
        <v>2178</v>
      </c>
    </row>
    <row r="20" spans="1:9" ht="47.25" customHeight="1" thickBot="1" x14ac:dyDescent="0.25">
      <c r="A20" s="80">
        <v>11</v>
      </c>
      <c r="B20" s="84" t="s">
        <v>109</v>
      </c>
      <c r="C20" s="85" t="s">
        <v>77</v>
      </c>
      <c r="D20" s="86" t="s">
        <v>78</v>
      </c>
      <c r="E20" s="87" t="s">
        <v>110</v>
      </c>
      <c r="F20" s="84" t="s">
        <v>66</v>
      </c>
      <c r="G20" s="84">
        <v>6</v>
      </c>
      <c r="H20" s="88">
        <v>1125</v>
      </c>
      <c r="I20" s="89">
        <f t="shared" si="0"/>
        <v>6750</v>
      </c>
    </row>
    <row r="21" spans="1:9" ht="39.75" customHeight="1" thickBot="1" x14ac:dyDescent="0.25">
      <c r="A21" s="56">
        <v>12</v>
      </c>
      <c r="B21" s="60" t="s">
        <v>104</v>
      </c>
      <c r="C21" s="81" t="s">
        <v>77</v>
      </c>
      <c r="D21" s="82" t="s">
        <v>99</v>
      </c>
      <c r="E21" s="83" t="s">
        <v>105</v>
      </c>
      <c r="F21" s="60" t="s">
        <v>66</v>
      </c>
      <c r="G21" s="60">
        <v>9</v>
      </c>
      <c r="H21" s="61">
        <v>117</v>
      </c>
      <c r="I21" s="62">
        <f t="shared" si="0"/>
        <v>1053</v>
      </c>
    </row>
    <row r="22" spans="1:9" ht="36.75" customHeight="1" thickBot="1" x14ac:dyDescent="0.25">
      <c r="A22" s="101">
        <v>13</v>
      </c>
      <c r="B22" s="102" t="s">
        <v>101</v>
      </c>
      <c r="C22" s="81" t="s">
        <v>77</v>
      </c>
      <c r="D22" s="101" t="s">
        <v>78</v>
      </c>
      <c r="E22" s="103" t="s">
        <v>102</v>
      </c>
      <c r="F22" s="101" t="s">
        <v>68</v>
      </c>
      <c r="G22" s="101">
        <v>2</v>
      </c>
      <c r="H22" s="104">
        <v>2030</v>
      </c>
      <c r="I22" s="104">
        <f t="shared" si="0"/>
        <v>4060</v>
      </c>
    </row>
    <row r="24" spans="1:9" ht="13.5" thickBot="1" x14ac:dyDescent="0.25"/>
    <row r="25" spans="1:9" x14ac:dyDescent="0.2">
      <c r="B25" s="42" t="s">
        <v>103</v>
      </c>
      <c r="C25" s="43"/>
      <c r="D25" s="98"/>
      <c r="E25" s="44"/>
    </row>
    <row r="26" spans="1:9" ht="5.25" customHeight="1" x14ac:dyDescent="0.2">
      <c r="B26" s="45"/>
      <c r="C26" s="46"/>
      <c r="D26" s="99"/>
      <c r="E26" s="47"/>
    </row>
    <row r="27" spans="1:9" x14ac:dyDescent="0.2">
      <c r="B27" s="48" t="s">
        <v>14</v>
      </c>
      <c r="C27" s="46"/>
      <c r="D27" s="99"/>
      <c r="E27" s="47"/>
    </row>
    <row r="28" spans="1:9" ht="41.25" customHeight="1" x14ac:dyDescent="0.2">
      <c r="B28" s="48"/>
      <c r="C28" s="108" t="s">
        <v>111</v>
      </c>
      <c r="D28" s="108"/>
      <c r="E28" s="109"/>
    </row>
    <row r="29" spans="1:9" x14ac:dyDescent="0.2">
      <c r="B29" s="48" t="s">
        <v>15</v>
      </c>
      <c r="C29" s="46"/>
      <c r="D29" s="99"/>
      <c r="E29" s="47"/>
    </row>
    <row r="30" spans="1:9" x14ac:dyDescent="0.2">
      <c r="B30" s="49"/>
      <c r="C30" s="110" t="s">
        <v>70</v>
      </c>
      <c r="D30" s="110"/>
      <c r="E30" s="110"/>
    </row>
    <row r="31" spans="1:9" x14ac:dyDescent="0.2">
      <c r="B31" s="49"/>
      <c r="C31" s="111"/>
      <c r="D31" s="111"/>
      <c r="E31" s="111"/>
    </row>
    <row r="32" spans="1:9" x14ac:dyDescent="0.2">
      <c r="B32" s="48" t="s">
        <v>16</v>
      </c>
      <c r="C32" s="46"/>
      <c r="D32" s="99"/>
      <c r="E32" s="47"/>
    </row>
    <row r="33" spans="2:5" ht="26.25" customHeight="1" x14ac:dyDescent="0.2">
      <c r="B33" s="49"/>
      <c r="C33" s="115"/>
      <c r="D33" s="115"/>
      <c r="E33" s="115"/>
    </row>
    <row r="34" spans="2:5" x14ac:dyDescent="0.2">
      <c r="B34" s="48" t="s">
        <v>17</v>
      </c>
      <c r="C34" s="50"/>
      <c r="D34" s="50"/>
      <c r="E34" s="51"/>
    </row>
    <row r="35" spans="2:5" ht="26.25" customHeight="1" x14ac:dyDescent="0.2">
      <c r="B35" s="49"/>
      <c r="C35" s="116" t="s">
        <v>62</v>
      </c>
      <c r="D35" s="116"/>
      <c r="E35" s="116"/>
    </row>
    <row r="36" spans="2:5" x14ac:dyDescent="0.2">
      <c r="B36" s="48" t="s">
        <v>18</v>
      </c>
      <c r="C36" s="46"/>
      <c r="D36" s="99"/>
      <c r="E36" s="47"/>
    </row>
    <row r="37" spans="2:5" ht="23.25" customHeight="1" x14ac:dyDescent="0.2">
      <c r="B37" s="48"/>
      <c r="C37" s="113"/>
      <c r="D37" s="113"/>
      <c r="E37" s="113"/>
    </row>
    <row r="38" spans="2:5" ht="13.5" thickBot="1" x14ac:dyDescent="0.25">
      <c r="B38" s="52"/>
      <c r="C38" s="53"/>
      <c r="D38" s="100"/>
      <c r="E38" s="54"/>
    </row>
    <row r="39" spans="2:5" ht="17.45" customHeight="1" x14ac:dyDescent="0.2">
      <c r="B39" s="79"/>
      <c r="C39" s="46"/>
      <c r="D39" s="99"/>
      <c r="E39" s="46"/>
    </row>
    <row r="40" spans="2:5" ht="17.45" customHeight="1" thickBot="1" x14ac:dyDescent="0.25">
      <c r="B40" s="79"/>
      <c r="C40" s="46"/>
      <c r="D40" s="99"/>
      <c r="E40" s="46"/>
    </row>
    <row r="41" spans="2:5" ht="17.45" customHeight="1" x14ac:dyDescent="0.2">
      <c r="B41" s="42" t="s">
        <v>19</v>
      </c>
      <c r="C41" s="43"/>
      <c r="D41" s="98"/>
      <c r="E41" s="44"/>
    </row>
    <row r="42" spans="2:5" ht="17.45" customHeight="1" x14ac:dyDescent="0.2">
      <c r="B42" s="45"/>
      <c r="C42" s="46"/>
      <c r="D42" s="99"/>
      <c r="E42" s="47"/>
    </row>
    <row r="43" spans="2:5" ht="17.45" customHeight="1" x14ac:dyDescent="0.2">
      <c r="B43" s="48" t="s">
        <v>14</v>
      </c>
      <c r="C43" s="46"/>
      <c r="D43" s="99"/>
      <c r="E43" s="47"/>
    </row>
    <row r="44" spans="2:5" ht="17.45" customHeight="1" x14ac:dyDescent="0.2">
      <c r="B44" s="48"/>
      <c r="C44" s="108" t="s">
        <v>111</v>
      </c>
      <c r="D44" s="108"/>
      <c r="E44" s="109"/>
    </row>
    <row r="45" spans="2:5" ht="17.45" customHeight="1" x14ac:dyDescent="0.2">
      <c r="B45" s="48" t="s">
        <v>15</v>
      </c>
      <c r="C45" s="46"/>
      <c r="D45" s="99"/>
      <c r="E45" s="47"/>
    </row>
    <row r="46" spans="2:5" ht="17.45" customHeight="1" x14ac:dyDescent="0.2">
      <c r="B46" s="49"/>
      <c r="C46" s="112"/>
      <c r="D46" s="112"/>
      <c r="E46" s="113"/>
    </row>
    <row r="47" spans="2:5" ht="17.45" customHeight="1" x14ac:dyDescent="0.2">
      <c r="B47" s="49"/>
      <c r="C47" s="112"/>
      <c r="D47" s="112"/>
      <c r="E47" s="113"/>
    </row>
    <row r="48" spans="2:5" ht="17.45" customHeight="1" x14ac:dyDescent="0.2">
      <c r="B48" s="48" t="s">
        <v>16</v>
      </c>
      <c r="C48" s="46"/>
      <c r="D48" s="99"/>
      <c r="E48" s="47"/>
    </row>
    <row r="49" spans="2:5" ht="17.45" customHeight="1" x14ac:dyDescent="0.2">
      <c r="B49" s="49"/>
      <c r="C49" s="114"/>
      <c r="D49" s="114"/>
      <c r="E49" s="115"/>
    </row>
    <row r="50" spans="2:5" ht="17.45" customHeight="1" x14ac:dyDescent="0.2">
      <c r="B50" s="48" t="s">
        <v>17</v>
      </c>
      <c r="C50" s="50"/>
      <c r="D50" s="50"/>
      <c r="E50" s="51"/>
    </row>
    <row r="51" spans="2:5" ht="17.45" customHeight="1" x14ac:dyDescent="0.2">
      <c r="B51" s="49"/>
      <c r="C51" s="114"/>
      <c r="D51" s="114"/>
      <c r="E51" s="115"/>
    </row>
    <row r="52" spans="2:5" ht="17.45" customHeight="1" x14ac:dyDescent="0.2">
      <c r="B52" s="48" t="s">
        <v>18</v>
      </c>
      <c r="C52" s="46"/>
      <c r="D52" s="99"/>
      <c r="E52" s="47"/>
    </row>
    <row r="53" spans="2:5" ht="17.45" customHeight="1" x14ac:dyDescent="0.2">
      <c r="B53" s="48"/>
      <c r="C53" s="113"/>
      <c r="D53" s="113"/>
      <c r="E53" s="113"/>
    </row>
    <row r="54" spans="2:5" ht="17.45" customHeight="1" thickBot="1" x14ac:dyDescent="0.25">
      <c r="B54" s="52"/>
      <c r="C54" s="53"/>
      <c r="D54" s="100"/>
      <c r="E54" s="54"/>
    </row>
    <row r="55" spans="2:5" ht="17.45" customHeight="1" thickBot="1" x14ac:dyDescent="0.25">
      <c r="B55" s="79"/>
      <c r="C55" s="46"/>
      <c r="D55" s="99"/>
      <c r="E55" s="46"/>
    </row>
    <row r="56" spans="2:5" ht="17.45" customHeight="1" x14ac:dyDescent="0.2">
      <c r="B56" s="42" t="s">
        <v>106</v>
      </c>
      <c r="C56" s="43"/>
      <c r="D56" s="98"/>
      <c r="E56" s="44"/>
    </row>
    <row r="57" spans="2:5" ht="17.45" customHeight="1" x14ac:dyDescent="0.2">
      <c r="B57" s="45"/>
      <c r="C57" s="46"/>
      <c r="D57" s="99"/>
      <c r="E57" s="47"/>
    </row>
    <row r="58" spans="2:5" ht="17.45" customHeight="1" x14ac:dyDescent="0.2">
      <c r="B58" s="48" t="s">
        <v>14</v>
      </c>
      <c r="C58" s="46"/>
      <c r="D58" s="99"/>
      <c r="E58" s="47"/>
    </row>
    <row r="59" spans="2:5" ht="17.45" customHeight="1" x14ac:dyDescent="0.2">
      <c r="B59" s="48"/>
      <c r="C59" s="108" t="s">
        <v>111</v>
      </c>
      <c r="D59" s="108"/>
      <c r="E59" s="109"/>
    </row>
    <row r="60" spans="2:5" ht="17.45" customHeight="1" x14ac:dyDescent="0.2">
      <c r="B60" s="48" t="s">
        <v>15</v>
      </c>
      <c r="C60" s="46"/>
      <c r="D60" s="99"/>
      <c r="E60" s="47"/>
    </row>
    <row r="61" spans="2:5" ht="17.45" customHeight="1" x14ac:dyDescent="0.2">
      <c r="B61" s="49"/>
      <c r="C61" s="112"/>
      <c r="D61" s="112"/>
      <c r="E61" s="113"/>
    </row>
    <row r="62" spans="2:5" ht="17.45" customHeight="1" x14ac:dyDescent="0.2">
      <c r="B62" s="49"/>
      <c r="C62" s="112"/>
      <c r="D62" s="112"/>
      <c r="E62" s="113"/>
    </row>
    <row r="63" spans="2:5" ht="17.45" customHeight="1" x14ac:dyDescent="0.2">
      <c r="B63" s="48" t="s">
        <v>16</v>
      </c>
      <c r="C63" s="46"/>
      <c r="D63" s="99"/>
      <c r="E63" s="47"/>
    </row>
    <row r="64" spans="2:5" ht="17.45" customHeight="1" x14ac:dyDescent="0.2">
      <c r="B64" s="49"/>
      <c r="C64" s="114"/>
      <c r="D64" s="114"/>
      <c r="E64" s="115"/>
    </row>
    <row r="65" spans="2:5" ht="17.45" customHeight="1" x14ac:dyDescent="0.2">
      <c r="B65" s="48" t="s">
        <v>17</v>
      </c>
      <c r="C65" s="50"/>
      <c r="D65" s="50"/>
      <c r="E65" s="51"/>
    </row>
    <row r="66" spans="2:5" ht="17.45" customHeight="1" x14ac:dyDescent="0.2">
      <c r="B66" s="49"/>
      <c r="C66" s="114"/>
      <c r="D66" s="114"/>
      <c r="E66" s="115"/>
    </row>
    <row r="67" spans="2:5" ht="17.45" customHeight="1" x14ac:dyDescent="0.2">
      <c r="B67" s="48" t="s">
        <v>18</v>
      </c>
      <c r="C67" s="46"/>
      <c r="D67" s="99"/>
      <c r="E67" s="47"/>
    </row>
    <row r="68" spans="2:5" ht="17.45" customHeight="1" x14ac:dyDescent="0.2">
      <c r="B68" s="48"/>
      <c r="C68" s="113"/>
      <c r="D68" s="113"/>
      <c r="E68" s="113"/>
    </row>
    <row r="69" spans="2:5" ht="17.45" customHeight="1" thickBot="1" x14ac:dyDescent="0.25">
      <c r="B69" s="52"/>
      <c r="C69" s="53"/>
      <c r="D69" s="100"/>
      <c r="E69" s="54"/>
    </row>
    <row r="70" spans="2:5" ht="17.45" customHeight="1" x14ac:dyDescent="0.2">
      <c r="B70" s="79"/>
      <c r="C70" s="46"/>
      <c r="D70" s="99"/>
      <c r="E70" s="46"/>
    </row>
    <row r="71" spans="2:5" ht="17.45" customHeight="1" x14ac:dyDescent="0.2">
      <c r="B71" s="79"/>
      <c r="C71" s="46"/>
      <c r="D71" s="99"/>
      <c r="E71" s="46"/>
    </row>
    <row r="72" spans="2:5" ht="13.5" thickBot="1" x14ac:dyDescent="0.25">
      <c r="B72" s="79"/>
      <c r="C72" s="46"/>
      <c r="D72" s="99"/>
      <c r="E72" s="46"/>
    </row>
    <row r="73" spans="2:5" x14ac:dyDescent="0.2">
      <c r="B73" s="42" t="s">
        <v>79</v>
      </c>
      <c r="C73" s="43"/>
      <c r="D73" s="98"/>
      <c r="E73" s="44"/>
    </row>
    <row r="74" spans="2:5" ht="7.5" customHeight="1" x14ac:dyDescent="0.2">
      <c r="B74" s="45"/>
      <c r="C74" s="46"/>
      <c r="D74" s="99"/>
      <c r="E74" s="47"/>
    </row>
    <row r="75" spans="2:5" x14ac:dyDescent="0.2">
      <c r="B75" s="48" t="s">
        <v>14</v>
      </c>
      <c r="C75" s="46"/>
      <c r="D75" s="99"/>
      <c r="E75" s="47"/>
    </row>
    <row r="76" spans="2:5" ht="39" customHeight="1" x14ac:dyDescent="0.2">
      <c r="B76" s="48"/>
      <c r="C76" s="108" t="s">
        <v>111</v>
      </c>
      <c r="D76" s="108"/>
      <c r="E76" s="109"/>
    </row>
    <row r="77" spans="2:5" x14ac:dyDescent="0.2">
      <c r="B77" s="48" t="s">
        <v>15</v>
      </c>
      <c r="C77" s="46"/>
      <c r="D77" s="99"/>
      <c r="E77" s="47"/>
    </row>
    <row r="78" spans="2:5" x14ac:dyDescent="0.2">
      <c r="B78" s="49"/>
      <c r="C78" s="112"/>
      <c r="D78" s="112"/>
      <c r="E78" s="113"/>
    </row>
    <row r="79" spans="2:5" x14ac:dyDescent="0.2">
      <c r="B79" s="49"/>
      <c r="C79" s="112"/>
      <c r="D79" s="112"/>
      <c r="E79" s="113"/>
    </row>
    <row r="80" spans="2:5" x14ac:dyDescent="0.2">
      <c r="B80" s="48" t="s">
        <v>16</v>
      </c>
      <c r="C80" s="46"/>
      <c r="D80" s="99"/>
      <c r="E80" s="47"/>
    </row>
    <row r="81" spans="2:5" x14ac:dyDescent="0.2">
      <c r="B81" s="49"/>
      <c r="C81" s="114"/>
      <c r="D81" s="114"/>
      <c r="E81" s="115"/>
    </row>
    <row r="82" spans="2:5" x14ac:dyDescent="0.2">
      <c r="B82" s="48" t="s">
        <v>17</v>
      </c>
      <c r="C82" s="50"/>
      <c r="D82" s="50"/>
      <c r="E82" s="51"/>
    </row>
    <row r="83" spans="2:5" x14ac:dyDescent="0.2">
      <c r="B83" s="49"/>
      <c r="C83" s="114"/>
      <c r="D83" s="114"/>
      <c r="E83" s="115"/>
    </row>
    <row r="84" spans="2:5" x14ac:dyDescent="0.2">
      <c r="B84" s="48" t="s">
        <v>18</v>
      </c>
      <c r="C84" s="46"/>
      <c r="D84" s="99"/>
      <c r="E84" s="47"/>
    </row>
    <row r="85" spans="2:5" x14ac:dyDescent="0.2">
      <c r="B85" s="48"/>
      <c r="C85" s="113"/>
      <c r="D85" s="113"/>
      <c r="E85" s="113"/>
    </row>
    <row r="86" spans="2:5" x14ac:dyDescent="0.2">
      <c r="B86" s="52"/>
      <c r="C86" s="53"/>
      <c r="D86" s="100"/>
      <c r="E86" s="54"/>
    </row>
    <row r="89" spans="2:5" ht="13.5" thickBot="1" x14ac:dyDescent="0.25"/>
    <row r="90" spans="2:5" x14ac:dyDescent="0.2">
      <c r="B90" s="42" t="s">
        <v>83</v>
      </c>
      <c r="C90" s="43"/>
      <c r="D90" s="98"/>
      <c r="E90" s="44"/>
    </row>
    <row r="91" spans="2:5" x14ac:dyDescent="0.2">
      <c r="B91" s="45"/>
      <c r="C91" s="46"/>
      <c r="D91" s="99"/>
      <c r="E91" s="47"/>
    </row>
    <row r="92" spans="2:5" x14ac:dyDescent="0.2">
      <c r="B92" s="48" t="s">
        <v>14</v>
      </c>
      <c r="C92" s="46"/>
      <c r="D92" s="99"/>
      <c r="E92" s="47"/>
    </row>
    <row r="93" spans="2:5" x14ac:dyDescent="0.2">
      <c r="B93" s="48"/>
      <c r="C93" s="108" t="s">
        <v>112</v>
      </c>
      <c r="D93" s="108"/>
      <c r="E93" s="109"/>
    </row>
    <row r="94" spans="2:5" x14ac:dyDescent="0.2">
      <c r="B94" s="48" t="s">
        <v>15</v>
      </c>
      <c r="C94" s="46"/>
      <c r="D94" s="99"/>
      <c r="E94" s="47"/>
    </row>
    <row r="95" spans="2:5" x14ac:dyDescent="0.2">
      <c r="B95" s="49"/>
      <c r="C95" s="113"/>
      <c r="D95" s="113"/>
      <c r="E95" s="113"/>
    </row>
    <row r="96" spans="2:5" x14ac:dyDescent="0.2">
      <c r="B96" s="49"/>
      <c r="C96" s="113"/>
      <c r="D96" s="113"/>
      <c r="E96" s="113"/>
    </row>
    <row r="97" spans="2:5" x14ac:dyDescent="0.2">
      <c r="B97" s="48" t="s">
        <v>16</v>
      </c>
      <c r="C97" s="46"/>
      <c r="D97" s="99"/>
      <c r="E97" s="47"/>
    </row>
    <row r="98" spans="2:5" x14ac:dyDescent="0.2">
      <c r="B98" s="49"/>
      <c r="C98" s="115"/>
      <c r="D98" s="115"/>
      <c r="E98" s="115"/>
    </row>
    <row r="99" spans="2:5" x14ac:dyDescent="0.2">
      <c r="B99" s="48" t="s">
        <v>17</v>
      </c>
      <c r="C99" s="50"/>
      <c r="D99" s="50"/>
      <c r="E99" s="51"/>
    </row>
    <row r="100" spans="2:5" x14ac:dyDescent="0.2">
      <c r="B100" s="49"/>
      <c r="C100" s="115"/>
      <c r="D100" s="115"/>
      <c r="E100" s="115"/>
    </row>
    <row r="101" spans="2:5" x14ac:dyDescent="0.2">
      <c r="B101" s="48" t="s">
        <v>18</v>
      </c>
      <c r="C101" s="46"/>
      <c r="D101" s="99"/>
      <c r="E101" s="47"/>
    </row>
    <row r="102" spans="2:5" x14ac:dyDescent="0.2">
      <c r="B102" s="48"/>
      <c r="C102" s="113"/>
      <c r="D102" s="113"/>
      <c r="E102" s="113"/>
    </row>
    <row r="103" spans="2:5" ht="13.5" thickBot="1" x14ac:dyDescent="0.25">
      <c r="B103" s="52"/>
      <c r="C103" s="53"/>
      <c r="D103" s="100"/>
      <c r="E103" s="54"/>
    </row>
    <row r="104" spans="2:5" ht="13.5" thickBot="1" x14ac:dyDescent="0.25"/>
    <row r="105" spans="2:5" x14ac:dyDescent="0.2">
      <c r="B105" s="42" t="s">
        <v>86</v>
      </c>
      <c r="C105" s="43"/>
      <c r="D105" s="98"/>
      <c r="E105" s="44"/>
    </row>
    <row r="106" spans="2:5" x14ac:dyDescent="0.2">
      <c r="B106" s="45"/>
      <c r="C106" s="46"/>
      <c r="D106" s="99"/>
      <c r="E106" s="47"/>
    </row>
    <row r="107" spans="2:5" x14ac:dyDescent="0.2">
      <c r="B107" s="48" t="s">
        <v>14</v>
      </c>
      <c r="C107" s="46"/>
      <c r="D107" s="99"/>
      <c r="E107" s="47"/>
    </row>
    <row r="108" spans="2:5" x14ac:dyDescent="0.2">
      <c r="B108" s="48"/>
      <c r="C108" s="108" t="s">
        <v>113</v>
      </c>
      <c r="D108" s="108"/>
      <c r="E108" s="109"/>
    </row>
    <row r="109" spans="2:5" x14ac:dyDescent="0.2">
      <c r="B109" s="48" t="s">
        <v>15</v>
      </c>
      <c r="C109" s="46"/>
      <c r="D109" s="99"/>
      <c r="E109" s="47"/>
    </row>
    <row r="110" spans="2:5" x14ac:dyDescent="0.2">
      <c r="B110" s="49"/>
      <c r="C110" s="113"/>
      <c r="D110" s="113"/>
      <c r="E110" s="113"/>
    </row>
    <row r="111" spans="2:5" x14ac:dyDescent="0.2">
      <c r="B111" s="49"/>
      <c r="C111" s="113"/>
      <c r="D111" s="113"/>
      <c r="E111" s="113"/>
    </row>
    <row r="112" spans="2:5" x14ac:dyDescent="0.2">
      <c r="B112" s="48" t="s">
        <v>16</v>
      </c>
      <c r="C112" s="46"/>
      <c r="D112" s="99"/>
      <c r="E112" s="47"/>
    </row>
    <row r="113" spans="2:5" x14ac:dyDescent="0.2">
      <c r="B113" s="49"/>
      <c r="C113" s="115"/>
      <c r="D113" s="115"/>
      <c r="E113" s="115"/>
    </row>
    <row r="114" spans="2:5" x14ac:dyDescent="0.2">
      <c r="B114" s="48" t="s">
        <v>17</v>
      </c>
      <c r="C114" s="50"/>
      <c r="D114" s="50"/>
      <c r="E114" s="51"/>
    </row>
    <row r="115" spans="2:5" x14ac:dyDescent="0.2">
      <c r="B115" s="49"/>
      <c r="C115" s="115"/>
      <c r="D115" s="115"/>
      <c r="E115" s="115"/>
    </row>
    <row r="116" spans="2:5" x14ac:dyDescent="0.2">
      <c r="B116" s="48" t="s">
        <v>18</v>
      </c>
      <c r="C116" s="46"/>
      <c r="D116" s="99"/>
      <c r="E116" s="47"/>
    </row>
    <row r="117" spans="2:5" x14ac:dyDescent="0.2">
      <c r="B117" s="48"/>
      <c r="C117" s="113"/>
      <c r="D117" s="113"/>
      <c r="E117" s="113"/>
    </row>
    <row r="118" spans="2:5" ht="13.5" thickBot="1" x14ac:dyDescent="0.25">
      <c r="B118" s="52"/>
      <c r="C118" s="53"/>
      <c r="D118" s="100"/>
      <c r="E118" s="54"/>
    </row>
    <row r="120" spans="2:5" ht="13.5" thickBot="1" x14ac:dyDescent="0.25"/>
    <row r="121" spans="2:5" x14ac:dyDescent="0.2">
      <c r="B121" s="42" t="s">
        <v>95</v>
      </c>
      <c r="C121" s="43"/>
      <c r="D121" s="98"/>
      <c r="E121" s="44"/>
    </row>
    <row r="122" spans="2:5" x14ac:dyDescent="0.2">
      <c r="B122" s="45"/>
      <c r="C122" s="46"/>
      <c r="D122" s="99"/>
      <c r="E122" s="47"/>
    </row>
    <row r="123" spans="2:5" x14ac:dyDescent="0.2">
      <c r="B123" s="48" t="s">
        <v>14</v>
      </c>
      <c r="C123" s="46"/>
      <c r="D123" s="99"/>
      <c r="E123" s="47"/>
    </row>
    <row r="124" spans="2:5" x14ac:dyDescent="0.2">
      <c r="B124" s="48"/>
      <c r="C124" s="108" t="s">
        <v>114</v>
      </c>
      <c r="D124" s="108"/>
      <c r="E124" s="109"/>
    </row>
    <row r="125" spans="2:5" x14ac:dyDescent="0.2">
      <c r="B125" s="48" t="s">
        <v>15</v>
      </c>
      <c r="C125" s="46"/>
      <c r="D125" s="99"/>
      <c r="E125" s="47"/>
    </row>
    <row r="126" spans="2:5" x14ac:dyDescent="0.2">
      <c r="B126" s="49"/>
      <c r="C126" s="113"/>
      <c r="D126" s="113"/>
      <c r="E126" s="113"/>
    </row>
    <row r="127" spans="2:5" x14ac:dyDescent="0.2">
      <c r="B127" s="49"/>
      <c r="C127" s="113"/>
      <c r="D127" s="113"/>
      <c r="E127" s="113"/>
    </row>
    <row r="128" spans="2:5" x14ac:dyDescent="0.2">
      <c r="B128" s="48" t="s">
        <v>16</v>
      </c>
      <c r="C128" s="46"/>
      <c r="D128" s="99"/>
      <c r="E128" s="47"/>
    </row>
    <row r="129" spans="2:5" x14ac:dyDescent="0.2">
      <c r="B129" s="49"/>
      <c r="C129" s="115"/>
      <c r="D129" s="115"/>
      <c r="E129" s="115"/>
    </row>
    <row r="130" spans="2:5" x14ac:dyDescent="0.2">
      <c r="B130" s="48" t="s">
        <v>17</v>
      </c>
      <c r="C130" s="50"/>
      <c r="D130" s="50"/>
      <c r="E130" s="51"/>
    </row>
    <row r="131" spans="2:5" x14ac:dyDescent="0.2">
      <c r="B131" s="49"/>
      <c r="C131" s="115"/>
      <c r="D131" s="115"/>
      <c r="E131" s="115"/>
    </row>
    <row r="132" spans="2:5" x14ac:dyDescent="0.2">
      <c r="B132" s="48" t="s">
        <v>18</v>
      </c>
      <c r="C132" s="46"/>
      <c r="D132" s="99"/>
      <c r="E132" s="47"/>
    </row>
    <row r="133" spans="2:5" x14ac:dyDescent="0.2">
      <c r="B133" s="48"/>
      <c r="C133" s="113"/>
      <c r="D133" s="113"/>
      <c r="E133" s="113"/>
    </row>
    <row r="134" spans="2:5" ht="13.5" thickBot="1" x14ac:dyDescent="0.25">
      <c r="B134" s="52"/>
      <c r="C134" s="53"/>
      <c r="D134" s="100"/>
      <c r="E134" s="54"/>
    </row>
    <row r="135" spans="2:5" ht="13.5" thickBot="1" x14ac:dyDescent="0.25"/>
    <row r="136" spans="2:5" x14ac:dyDescent="0.2">
      <c r="B136" s="42" t="s">
        <v>115</v>
      </c>
      <c r="C136" s="43"/>
      <c r="D136" s="98"/>
      <c r="E136" s="44"/>
    </row>
    <row r="137" spans="2:5" x14ac:dyDescent="0.2">
      <c r="B137" s="45"/>
      <c r="C137" s="46"/>
      <c r="D137" s="99"/>
      <c r="E137" s="47"/>
    </row>
    <row r="138" spans="2:5" x14ac:dyDescent="0.2">
      <c r="B138" s="48" t="s">
        <v>14</v>
      </c>
      <c r="C138" s="46"/>
      <c r="D138" s="99"/>
      <c r="E138" s="47"/>
    </row>
    <row r="139" spans="2:5" x14ac:dyDescent="0.2">
      <c r="B139" s="48"/>
      <c r="C139" s="108" t="s">
        <v>116</v>
      </c>
      <c r="D139" s="108"/>
      <c r="E139" s="109"/>
    </row>
    <row r="140" spans="2:5" x14ac:dyDescent="0.2">
      <c r="B140" s="48" t="s">
        <v>15</v>
      </c>
      <c r="C140" s="46"/>
      <c r="D140" s="99"/>
      <c r="E140" s="47"/>
    </row>
    <row r="141" spans="2:5" x14ac:dyDescent="0.2">
      <c r="B141" s="49"/>
      <c r="C141" s="113"/>
      <c r="D141" s="113"/>
      <c r="E141" s="113"/>
    </row>
    <row r="142" spans="2:5" x14ac:dyDescent="0.2">
      <c r="B142" s="49"/>
      <c r="C142" s="113"/>
      <c r="D142" s="113"/>
      <c r="E142" s="113"/>
    </row>
    <row r="143" spans="2:5" x14ac:dyDescent="0.2">
      <c r="B143" s="48" t="s">
        <v>16</v>
      </c>
      <c r="C143" s="46"/>
      <c r="D143" s="99"/>
      <c r="E143" s="47"/>
    </row>
    <row r="144" spans="2:5" x14ac:dyDescent="0.2">
      <c r="B144" s="49"/>
      <c r="C144" s="115"/>
      <c r="D144" s="115"/>
      <c r="E144" s="115"/>
    </row>
    <row r="145" spans="2:5" x14ac:dyDescent="0.2">
      <c r="B145" s="48" t="s">
        <v>17</v>
      </c>
      <c r="C145" s="50"/>
      <c r="D145" s="50"/>
      <c r="E145" s="51"/>
    </row>
    <row r="146" spans="2:5" x14ac:dyDescent="0.2">
      <c r="B146" s="49"/>
      <c r="C146" s="115"/>
      <c r="D146" s="115"/>
      <c r="E146" s="115"/>
    </row>
    <row r="147" spans="2:5" x14ac:dyDescent="0.2">
      <c r="B147" s="48" t="s">
        <v>18</v>
      </c>
      <c r="C147" s="46"/>
      <c r="D147" s="99"/>
      <c r="E147" s="47"/>
    </row>
    <row r="148" spans="2:5" x14ac:dyDescent="0.2">
      <c r="B148" s="48"/>
      <c r="C148" s="113"/>
      <c r="D148" s="113"/>
      <c r="E148" s="113"/>
    </row>
    <row r="149" spans="2:5" ht="13.5" thickBot="1" x14ac:dyDescent="0.25">
      <c r="B149" s="52"/>
      <c r="C149" s="53"/>
      <c r="D149" s="100"/>
      <c r="E149" s="54"/>
    </row>
  </sheetData>
  <mergeCells count="55">
    <mergeCell ref="C148:E148"/>
    <mergeCell ref="C139:E139"/>
    <mergeCell ref="C141:E141"/>
    <mergeCell ref="C142:E142"/>
    <mergeCell ref="C144:E144"/>
    <mergeCell ref="C146:E146"/>
    <mergeCell ref="C61:E61"/>
    <mergeCell ref="C62:E62"/>
    <mergeCell ref="C64:E64"/>
    <mergeCell ref="C66:E66"/>
    <mergeCell ref="C68:E68"/>
    <mergeCell ref="C129:E129"/>
    <mergeCell ref="C131:E131"/>
    <mergeCell ref="C133:E133"/>
    <mergeCell ref="C115:E115"/>
    <mergeCell ref="C117:E117"/>
    <mergeCell ref="C124:E124"/>
    <mergeCell ref="C126:E126"/>
    <mergeCell ref="C127:E127"/>
    <mergeCell ref="C102:E102"/>
    <mergeCell ref="C108:E108"/>
    <mergeCell ref="C110:E110"/>
    <mergeCell ref="C111:E111"/>
    <mergeCell ref="C113:E113"/>
    <mergeCell ref="C93:E93"/>
    <mergeCell ref="C95:E95"/>
    <mergeCell ref="C96:E96"/>
    <mergeCell ref="C98:E98"/>
    <mergeCell ref="C100:E100"/>
    <mergeCell ref="C79:E79"/>
    <mergeCell ref="C81:E81"/>
    <mergeCell ref="C83:E83"/>
    <mergeCell ref="C85:E85"/>
    <mergeCell ref="C33:E33"/>
    <mergeCell ref="C35:E35"/>
    <mergeCell ref="C37:E37"/>
    <mergeCell ref="C76:E76"/>
    <mergeCell ref="C78:E78"/>
    <mergeCell ref="C44:E44"/>
    <mergeCell ref="C46:E46"/>
    <mergeCell ref="C47:E47"/>
    <mergeCell ref="C49:E49"/>
    <mergeCell ref="C51:E51"/>
    <mergeCell ref="C53:E53"/>
    <mergeCell ref="C59:E59"/>
    <mergeCell ref="A6:B6"/>
    <mergeCell ref="A7:B7"/>
    <mergeCell ref="C28:E28"/>
    <mergeCell ref="C30:E30"/>
    <mergeCell ref="C31:E31"/>
    <mergeCell ref="B2:H2"/>
    <mergeCell ref="A4:B4"/>
    <mergeCell ref="C4:E4"/>
    <mergeCell ref="A5:B5"/>
    <mergeCell ref="C5:E5"/>
  </mergeCells>
  <pageMargins left="0.70866141732283472" right="0.70866141732283472" top="0.74803149606299213" bottom="0.74803149606299213" header="0.51181102362204722" footer="0.51181102362204722"/>
  <pageSetup paperSize="5" scale="40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zoomScale="80" zoomScaleNormal="80" workbookViewId="0">
      <selection activeCell="A26" sqref="A26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17" t="s">
        <v>20</v>
      </c>
      <c r="B1" s="117"/>
      <c r="C1" s="117"/>
      <c r="D1" s="117"/>
      <c r="E1" s="117"/>
      <c r="F1" s="117"/>
      <c r="G1" s="117"/>
      <c r="H1" s="117"/>
      <c r="I1" s="117"/>
      <c r="J1" s="3" t="s">
        <v>21</v>
      </c>
      <c r="K1" s="65" t="s">
        <v>118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18" t="s">
        <v>54</v>
      </c>
      <c r="B3" s="118"/>
      <c r="C3" s="118"/>
      <c r="D3" s="119" t="str">
        <f>'Necesidades Trimestrales'!C4</f>
        <v>40 - Ministerio de Salud</v>
      </c>
      <c r="E3" s="119"/>
      <c r="F3" s="119"/>
      <c r="G3" s="119"/>
      <c r="H3" s="119"/>
      <c r="I3" s="119"/>
      <c r="J3" s="119"/>
      <c r="K3" s="119"/>
    </row>
    <row r="4" spans="1:11" ht="18.75" customHeight="1" thickBot="1" x14ac:dyDescent="0.25">
      <c r="A4" s="120" t="s">
        <v>55</v>
      </c>
      <c r="B4" s="120"/>
      <c r="C4" s="120"/>
      <c r="D4" s="119" t="str">
        <f>'Necesidades Trimestrales'!C5</f>
        <v>23 - Hospital Interzonal San Juan Bautista</v>
      </c>
      <c r="E4" s="119"/>
      <c r="F4" s="119"/>
      <c r="G4" s="119"/>
      <c r="H4" s="119"/>
      <c r="I4" s="119"/>
      <c r="J4" s="119"/>
      <c r="K4" s="119"/>
    </row>
    <row r="5" spans="1:11" ht="18.75" customHeight="1" thickBot="1" x14ac:dyDescent="0.25">
      <c r="A5" s="120" t="s">
        <v>33</v>
      </c>
      <c r="B5" s="120"/>
      <c r="C5" s="120"/>
      <c r="D5" s="119" t="s">
        <v>60</v>
      </c>
      <c r="E5" s="119"/>
      <c r="F5" s="119"/>
      <c r="G5" s="119"/>
      <c r="H5" s="119"/>
      <c r="I5" s="119"/>
      <c r="J5" s="119"/>
      <c r="K5" s="119"/>
    </row>
    <row r="6" spans="1:11" ht="16.5" customHeight="1" thickBot="1" x14ac:dyDescent="0.25">
      <c r="A6" s="118" t="s">
        <v>56</v>
      </c>
      <c r="B6" s="118"/>
      <c r="C6" s="118"/>
      <c r="D6" s="119" t="s">
        <v>69</v>
      </c>
      <c r="E6" s="119"/>
      <c r="F6" s="119"/>
      <c r="G6" s="119"/>
      <c r="H6" s="119"/>
      <c r="I6" s="119"/>
      <c r="J6" s="119"/>
      <c r="K6" s="119"/>
    </row>
    <row r="7" spans="1:11" ht="16.5" customHeight="1" x14ac:dyDescent="0.2">
      <c r="A7" s="120" t="s">
        <v>22</v>
      </c>
      <c r="B7" s="120"/>
      <c r="C7" s="120"/>
      <c r="D7" s="119" t="str">
        <f>'Necesidades Trimestrales'!C7 &amp; "° Trimestre - Año " &amp; 'Necesidades Trimestrales'!C6</f>
        <v>4° Trimestre - Año 2020</v>
      </c>
      <c r="E7" s="119"/>
      <c r="F7" s="119"/>
      <c r="G7" s="119"/>
      <c r="H7" s="119"/>
      <c r="I7" s="119"/>
      <c r="J7" s="119"/>
      <c r="K7" s="119"/>
    </row>
    <row r="8" spans="1:11" ht="16.5" customHeight="1" x14ac:dyDescent="0.2">
      <c r="A8" s="121" t="s">
        <v>23</v>
      </c>
      <c r="B8" s="121"/>
      <c r="C8" s="121"/>
      <c r="D8" s="122" t="s">
        <v>117</v>
      </c>
      <c r="E8" s="122"/>
      <c r="F8" s="122"/>
      <c r="G8" s="122"/>
      <c r="H8" s="122"/>
      <c r="I8" s="122"/>
      <c r="J8" s="122"/>
      <c r="K8" s="122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23" t="s">
        <v>24</v>
      </c>
      <c r="B10" s="124" t="s">
        <v>25</v>
      </c>
      <c r="C10" s="124" t="s">
        <v>26</v>
      </c>
      <c r="D10" s="124"/>
      <c r="E10" s="124"/>
      <c r="F10" s="124"/>
      <c r="G10" s="124"/>
      <c r="H10" s="124" t="s">
        <v>27</v>
      </c>
      <c r="I10" s="124" t="s">
        <v>28</v>
      </c>
      <c r="J10" s="124" t="s">
        <v>29</v>
      </c>
      <c r="K10" s="125" t="s">
        <v>30</v>
      </c>
    </row>
    <row r="11" spans="1:11" ht="24" customHeight="1" thickBot="1" x14ac:dyDescent="0.25">
      <c r="A11" s="123"/>
      <c r="B11" s="124"/>
      <c r="C11" s="124"/>
      <c r="D11" s="124"/>
      <c r="E11" s="124"/>
      <c r="F11" s="124"/>
      <c r="G11" s="124"/>
      <c r="H11" s="124"/>
      <c r="I11" s="124"/>
      <c r="J11" s="124"/>
      <c r="K11" s="125"/>
    </row>
    <row r="12" spans="1:11" ht="30" customHeight="1" thickBot="1" x14ac:dyDescent="0.25">
      <c r="A12" s="8">
        <v>1</v>
      </c>
      <c r="B12" s="66" t="str">
        <f>'Necesidades Trimestrales'!B10</f>
        <v>2.5.1-8988.2231</v>
      </c>
      <c r="C12" s="128" t="str">
        <f>'Necesidades Trimestrales'!E10</f>
        <v>REACTIVOS P/EQUIPO; EQUIPO: COAGULOMETRO, MARCA EQUIPO: DESTINY, NOMBRE DEL PRODUCTO: ANTICOAGULANTE LUPICO TAMIZAJE, PRESENTACION: 10 X ENVASE X 2 mL</v>
      </c>
      <c r="D12" s="128"/>
      <c r="E12" s="128"/>
      <c r="F12" s="128"/>
      <c r="G12" s="128"/>
      <c r="H12" s="67" t="s">
        <v>57</v>
      </c>
      <c r="I12" s="68" t="str">
        <f>'Necesidades Trimestrales'!F10</f>
        <v>CAJA</v>
      </c>
      <c r="J12" s="69">
        <f>'Necesidades Trimestrales'!H10</f>
        <v>42861</v>
      </c>
      <c r="K12" s="70">
        <f>'Necesidades Trimestrales'!G10</f>
        <v>1</v>
      </c>
    </row>
    <row r="13" spans="1:11" ht="30" customHeight="1" thickBot="1" x14ac:dyDescent="0.25">
      <c r="A13" s="8">
        <v>2</v>
      </c>
      <c r="B13" s="66" t="str">
        <f>'Necesidades Trimestrales'!B11</f>
        <v>2.5.1-8988.2232</v>
      </c>
      <c r="C13" s="128" t="str">
        <f>'Necesidades Trimestrales'!E11</f>
        <v>REACTIVOS P/EQUIPO; EQUIPO: COAGULOMETRO, MARCA EQUIPO: DESTINY, NOMBRE DEL PRODUCTO: ANTICOAG. LUPICO CONFIRMACION, PRESENTACION: 10 X ENVASE X 2 mL</v>
      </c>
      <c r="D13" s="128"/>
      <c r="E13" s="128"/>
      <c r="F13" s="128"/>
      <c r="G13" s="128"/>
      <c r="H13" s="67" t="s">
        <v>57</v>
      </c>
      <c r="I13" s="68" t="str">
        <f>'Necesidades Trimestrales'!F11</f>
        <v>CAJA</v>
      </c>
      <c r="J13" s="69">
        <f>'Necesidades Trimestrales'!H11</f>
        <v>48215</v>
      </c>
      <c r="K13" s="70">
        <f>'Necesidades Trimestrales'!G11</f>
        <v>1</v>
      </c>
    </row>
    <row r="14" spans="1:11" ht="39.75" customHeight="1" thickBot="1" x14ac:dyDescent="0.25">
      <c r="A14" s="8">
        <v>3</v>
      </c>
      <c r="B14" s="66" t="str">
        <f>'Necesidades Trimestrales'!B12</f>
        <v>2.5.1-8988.1376</v>
      </c>
      <c r="C14" s="128" t="str">
        <f>'Necesidades Trimestrales'!E12</f>
        <v>REACTIVOS P/EQUIPO; EQUIPO: AUTOANALIZADOR, MARCA EQUIPO: IL, NOMBRE DEL PRODUCTO: DET. PLASMA DEF. FACTOR VIII, PRESENTACION: UNIDAD</v>
      </c>
      <c r="D14" s="128"/>
      <c r="E14" s="128"/>
      <c r="F14" s="128"/>
      <c r="G14" s="128"/>
      <c r="H14" s="67" t="s">
        <v>57</v>
      </c>
      <c r="I14" s="68" t="str">
        <f>'Necesidades Trimestrales'!F12</f>
        <v>CAJA</v>
      </c>
      <c r="J14" s="69">
        <f>'Necesidades Trimestrales'!H12</f>
        <v>23872</v>
      </c>
      <c r="K14" s="70">
        <f>'Necesidades Trimestrales'!G12</f>
        <v>1</v>
      </c>
    </row>
    <row r="15" spans="1:11" ht="35.25" customHeight="1" thickBot="1" x14ac:dyDescent="0.25">
      <c r="A15" s="8">
        <v>4</v>
      </c>
      <c r="B15" s="66" t="str">
        <f>'Necesidades Trimestrales'!B13</f>
        <v>2.5.1-8988.1022</v>
      </c>
      <c r="C15" s="128" t="str">
        <f>'Necesidades Trimestrales'!E13</f>
        <v>REACTIVOS P/EQUIPO; EQUIPO: AUTOANALIZADOR, MARCA EQUIPO: GENERICO, NOMBRE DEL PRODUCTO: PLASMA DE REFERENCIA, PRESENTACION: ENVASE X 1 mL</v>
      </c>
      <c r="D15" s="128"/>
      <c r="E15" s="128"/>
      <c r="F15" s="128"/>
      <c r="G15" s="128"/>
      <c r="H15" s="67" t="s">
        <v>57</v>
      </c>
      <c r="I15" s="68" t="str">
        <f>'Necesidades Trimestrales'!F13</f>
        <v>CAJA</v>
      </c>
      <c r="J15" s="69">
        <f>'Necesidades Trimestrales'!H13</f>
        <v>25679</v>
      </c>
      <c r="K15" s="70">
        <f>'Necesidades Trimestrales'!G13</f>
        <v>1</v>
      </c>
    </row>
    <row r="16" spans="1:11" ht="37.5" customHeight="1" thickBot="1" x14ac:dyDescent="0.25">
      <c r="A16" s="8">
        <v>5</v>
      </c>
      <c r="B16" s="66" t="str">
        <f>'Necesidades Trimestrales'!B14</f>
        <v>2.5.1-8988.1282</v>
      </c>
      <c r="C16" s="128" t="str">
        <f>'Necesidades Trimestrales'!E14</f>
        <v>REACTIVOS P/EQUIPO; EQUIPO: SIST. INTEGRADO DE QUIMICA, MARCA EQUIPO: DIMENSION, NOMBRE DEL PRODUCTO: DETERMINACION TP Y APTT, PRESENTACION: ENVASE X 1850 DETERM.</v>
      </c>
      <c r="D16" s="128"/>
      <c r="E16" s="128"/>
      <c r="F16" s="128"/>
      <c r="G16" s="128"/>
      <c r="H16" s="67" t="s">
        <v>57</v>
      </c>
      <c r="I16" s="68" t="str">
        <f>'Necesidades Trimestrales'!F14</f>
        <v>CAJA</v>
      </c>
      <c r="J16" s="69">
        <f>'Necesidades Trimestrales'!H14</f>
        <v>7086</v>
      </c>
      <c r="K16" s="70">
        <f>'Necesidades Trimestrales'!G14</f>
        <v>4</v>
      </c>
    </row>
    <row r="17" spans="1:1024" ht="39.75" customHeight="1" thickBot="1" x14ac:dyDescent="0.25">
      <c r="A17" s="8">
        <v>6</v>
      </c>
      <c r="B17" s="66" t="str">
        <f>'Necesidades Trimestrales'!B15</f>
        <v>2.5.1-9038.46</v>
      </c>
      <c r="C17" s="128" t="str">
        <f>'Necesidades Trimestrales'!E15</f>
        <v>REACTIVO INDICADOR-COLORANTE; COMPUESTO QUIMICO: MAY GRUNWALD, ESTADO: SOLUCION, CALIDAD: PRO ANALISIS, PRESENTACION: ENVASE X 1 L</v>
      </c>
      <c r="D17" s="128"/>
      <c r="E17" s="128"/>
      <c r="F17" s="128"/>
      <c r="G17" s="128"/>
      <c r="H17" s="67" t="s">
        <v>57</v>
      </c>
      <c r="I17" s="68" t="str">
        <f>'Necesidades Trimestrales'!F15</f>
        <v>FRASCO</v>
      </c>
      <c r="J17" s="69">
        <f>'Necesidades Trimestrales'!H15</f>
        <v>3145</v>
      </c>
      <c r="K17" s="70">
        <f>'Necesidades Trimestrales'!G15</f>
        <v>2</v>
      </c>
    </row>
    <row r="18" spans="1:1024" ht="38.25" customHeight="1" thickBot="1" x14ac:dyDescent="0.25">
      <c r="A18" s="8">
        <v>7</v>
      </c>
      <c r="B18" s="66" t="str">
        <f>'Necesidades Trimestrales'!B16</f>
        <v>2.5.1-9038.117</v>
      </c>
      <c r="C18" s="128" t="str">
        <f>'Necesidades Trimestrales'!E16</f>
        <v>REACTIVO INDICADOR-COLORANTE; COMPUESTO QUIMICO: GIEMSA, ESTADO: LIQUIDO, CALIDAD: PRO ANALISIS, PRESENTACION: ENVASE X 1 L</v>
      </c>
      <c r="D18" s="128"/>
      <c r="E18" s="128"/>
      <c r="F18" s="128"/>
      <c r="G18" s="128"/>
      <c r="H18" s="67" t="s">
        <v>57</v>
      </c>
      <c r="I18" s="68" t="str">
        <f>'Necesidades Trimestrales'!F16</f>
        <v>FRASCO</v>
      </c>
      <c r="J18" s="69">
        <f>'Necesidades Trimestrales'!H16</f>
        <v>2553</v>
      </c>
      <c r="K18" s="70">
        <f>'Necesidades Trimestrales'!G16</f>
        <v>2</v>
      </c>
    </row>
    <row r="19" spans="1:1024" ht="38.25" customHeight="1" thickBot="1" x14ac:dyDescent="0.25">
      <c r="A19" s="8">
        <v>8</v>
      </c>
      <c r="B19" s="66" t="str">
        <f>'Necesidades Trimestrales'!B17</f>
        <v>2.5.1-9038.43</v>
      </c>
      <c r="C19" s="128" t="str">
        <f>'Necesidades Trimestrales'!E17</f>
        <v>REACTIVO INDICADOR-COLORANTE; COMPUESTO QUIMICO: AZUL BRILLANTE DE CRESILO, ESTADO: SOLIDO, CALIDAD: PRO ANALISIS, PRESENTACION: ENVASE X 50 GR</v>
      </c>
      <c r="D19" s="128"/>
      <c r="E19" s="128"/>
      <c r="F19" s="128"/>
      <c r="G19" s="128"/>
      <c r="H19" s="67" t="s">
        <v>57</v>
      </c>
      <c r="I19" s="68" t="str">
        <f>'Necesidades Trimestrales'!F17</f>
        <v>FRASCO</v>
      </c>
      <c r="J19" s="69">
        <f>'Necesidades Trimestrales'!H17</f>
        <v>1650</v>
      </c>
      <c r="K19" s="70">
        <f>'Necesidades Trimestrales'!G17</f>
        <v>3</v>
      </c>
    </row>
    <row r="20" spans="1:1024" ht="42" customHeight="1" thickBot="1" x14ac:dyDescent="0.25">
      <c r="A20" s="8">
        <v>9</v>
      </c>
      <c r="B20" s="66" t="str">
        <f>'Necesidades Trimestrales'!B18</f>
        <v>2.5.1-9043.2</v>
      </c>
      <c r="C20" s="128" t="str">
        <f>'Necesidades Trimestrales'!E18</f>
        <v>ACEITES Y GRASAS; COMPUESTO QUIMICO: ACEITE DE INMERSION, ESTADO: LIQUIDO, CALIDAD: PRO ANALISIS, CONCENTRACION/PUREZA: 99,9 %, PRESENTACION: ENVASE X 100 mL</v>
      </c>
      <c r="D20" s="128"/>
      <c r="E20" s="128"/>
      <c r="F20" s="128"/>
      <c r="G20" s="128"/>
      <c r="H20" s="67" t="s">
        <v>57</v>
      </c>
      <c r="I20" s="68" t="str">
        <f>'Necesidades Trimestrales'!F18</f>
        <v>FRASCO</v>
      </c>
      <c r="J20" s="69">
        <f>'Necesidades Trimestrales'!H18</f>
        <v>1057</v>
      </c>
      <c r="K20" s="70">
        <f>'Necesidades Trimestrales'!G18</f>
        <v>9</v>
      </c>
    </row>
    <row r="21" spans="1:1024" ht="47.25" customHeight="1" thickBot="1" x14ac:dyDescent="0.25">
      <c r="A21" s="8">
        <v>10</v>
      </c>
      <c r="B21" s="66" t="str">
        <f>'Necesidades Trimestrales'!B19</f>
        <v>2.9.5-6471.1</v>
      </c>
      <c r="C21" s="128" t="str">
        <f>'Necesidades Trimestrales'!E19</f>
        <v>MICROPUNTAS DE PIPETA; TIPO: P/PIPETA GILSON, CAPACIDAD DE PIPETA: 20 A 200 µL, SUPERFICIE: SIN VALOR, AUTOCLAVABLES A: 121 °C, PRESENTACION: BOLSA X 1000 UN, AUTOCLAVABLE: 121 °C, PRESION: 0,1 DURANTE 20 MINUTOS, MPA: 0,1 DURANTE 20 MINUTOS</v>
      </c>
      <c r="D21" s="128"/>
      <c r="E21" s="128"/>
      <c r="F21" s="128"/>
      <c r="G21" s="128"/>
      <c r="H21" s="67" t="s">
        <v>57</v>
      </c>
      <c r="I21" s="68" t="str">
        <f>'Necesidades Trimestrales'!F19</f>
        <v>BOLSA</v>
      </c>
      <c r="J21" s="69">
        <f>'Necesidades Trimestrales'!H19</f>
        <v>1089</v>
      </c>
      <c r="K21" s="70">
        <f>'Necesidades Trimestrales'!G19</f>
        <v>2</v>
      </c>
    </row>
    <row r="22" spans="1:1024" ht="39.75" customHeight="1" thickBot="1" x14ac:dyDescent="0.25">
      <c r="A22" s="8">
        <v>11</v>
      </c>
      <c r="B22" s="66" t="str">
        <f>'Necesidades Trimestrales'!B20</f>
        <v>2.9.5-441.99</v>
      </c>
      <c r="C22" s="128" t="str">
        <f>'Necesidades Trimestrales'!E20</f>
        <v>AGUJAS QUIRURGICAS; TIPO: 21 GX1´, ESPECIFICACION: SIN VALOR, UNIDAD VENTA: CAJA X 100 UN, PRESENTACION: CAJA X 100 UN</v>
      </c>
      <c r="D22" s="128"/>
      <c r="E22" s="128"/>
      <c r="F22" s="128"/>
      <c r="G22" s="128"/>
      <c r="H22" s="67" t="s">
        <v>57</v>
      </c>
      <c r="I22" s="68" t="str">
        <f>'Necesidades Trimestrales'!F20</f>
        <v>CAJA</v>
      </c>
      <c r="J22" s="69">
        <f>'Necesidades Trimestrales'!H20</f>
        <v>1125</v>
      </c>
      <c r="K22" s="70">
        <f>'Necesidades Trimestrales'!G20</f>
        <v>6</v>
      </c>
    </row>
    <row r="23" spans="1:1024" ht="39.75" customHeight="1" thickBot="1" x14ac:dyDescent="0.25">
      <c r="A23" s="8">
        <v>12</v>
      </c>
      <c r="B23" s="66" t="str">
        <f>'Necesidades Trimestrales'!B21</f>
        <v>2.9.5-5773.6</v>
      </c>
      <c r="C23" s="128" t="str">
        <f>'Necesidades Trimestrales'!E21</f>
        <v>PORTAOBJETOS P/LABORATORIO; USO: LABORATORIO, MATERIAL: VIDRIO, PRESENTACION: CAJA X 50 UN, MEDIDA: 7,5 X 2,5 Cm</v>
      </c>
      <c r="D23" s="128"/>
      <c r="E23" s="128"/>
      <c r="F23" s="128"/>
      <c r="G23" s="128"/>
      <c r="H23" s="67" t="s">
        <v>57</v>
      </c>
      <c r="I23" s="68" t="str">
        <f>'Necesidades Trimestrales'!F21</f>
        <v>CAJA</v>
      </c>
      <c r="J23" s="69">
        <f>'Necesidades Trimestrales'!H21</f>
        <v>117</v>
      </c>
      <c r="K23" s="70">
        <f>'Necesidades Trimestrales'!G21</f>
        <v>9</v>
      </c>
    </row>
    <row r="24" spans="1:1024" ht="34.5" customHeight="1" thickBot="1" x14ac:dyDescent="0.25">
      <c r="A24" s="8">
        <v>13</v>
      </c>
      <c r="B24" s="66" t="str">
        <f>'Necesidades Trimestrales'!B22</f>
        <v>2.9.5-468.42</v>
      </c>
      <c r="C24" s="128" t="str">
        <f>'Necesidades Trimestrales'!E22</f>
        <v>TUBOS DE ENSAYO; TIPO: EPPENDORF, MATERIAL: PLASTICO, DIMENSION: 1.5 mL, ACCESORIOS: SIN, ACCESORIO: SIN</v>
      </c>
      <c r="D24" s="128"/>
      <c r="E24" s="128"/>
      <c r="F24" s="128"/>
      <c r="G24" s="128"/>
      <c r="H24" s="67" t="s">
        <v>57</v>
      </c>
      <c r="I24" s="68" t="str">
        <f>'Necesidades Trimestrales'!F22</f>
        <v>BOLSA</v>
      </c>
      <c r="J24" s="69">
        <f>'Necesidades Trimestrales'!H22</f>
        <v>2030</v>
      </c>
      <c r="K24" s="70">
        <f>'Necesidades Trimestrales'!G22</f>
        <v>2</v>
      </c>
    </row>
    <row r="25" spans="1:1024" ht="20.25" customHeight="1" thickBot="1" x14ac:dyDescent="0.25">
      <c r="A25" s="126" t="s">
        <v>120</v>
      </c>
      <c r="B25" s="126"/>
      <c r="C25" s="126"/>
      <c r="D25" s="126"/>
      <c r="E25" s="126"/>
      <c r="F25" s="126"/>
      <c r="G25" s="126"/>
      <c r="H25" s="126"/>
      <c r="I25" s="126"/>
      <c r="J25" s="127">
        <f>SUMPRODUCT(J12:J24,K12:K24)</f>
        <v>208871</v>
      </c>
      <c r="K25" s="127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</sheetData>
  <mergeCells count="35">
    <mergeCell ref="A25:I25"/>
    <mergeCell ref="J25:K2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4:G24"/>
    <mergeCell ref="C23:G2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topLeftCell="A4" zoomScale="130" zoomScaleNormal="130" workbookViewId="0">
      <selection activeCell="Q23" sqref="Q23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9" t="s">
        <v>3</v>
      </c>
      <c r="B1" s="129"/>
      <c r="C1" s="129"/>
      <c r="D1" s="130">
        <f>'Necesidades Trimestrales'!C6</f>
        <v>2020</v>
      </c>
      <c r="E1" s="130"/>
      <c r="F1" s="10"/>
      <c r="G1" s="10"/>
      <c r="H1" s="11"/>
      <c r="I1" s="11"/>
      <c r="J1" s="11"/>
      <c r="K1" s="11"/>
      <c r="L1" s="11"/>
      <c r="M1" s="11"/>
      <c r="N1" s="11"/>
      <c r="P1" s="131" t="s">
        <v>31</v>
      </c>
      <c r="Q1" s="13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1"/>
      <c r="Q2" s="131"/>
    </row>
    <row r="4" spans="1:17" s="12" customFormat="1" ht="18" customHeight="1" thickBot="1" x14ac:dyDescent="0.25">
      <c r="A4" s="132" t="s">
        <v>32</v>
      </c>
      <c r="B4" s="132"/>
      <c r="C4" s="132"/>
      <c r="D4" s="132"/>
      <c r="E4" s="132"/>
      <c r="F4" s="132"/>
      <c r="G4" s="133" t="str">
        <f>NotaPedido!D3</f>
        <v>40 - Ministerio de Salud</v>
      </c>
      <c r="H4" s="133"/>
      <c r="I4" s="133"/>
      <c r="J4" s="133"/>
      <c r="K4" s="133"/>
      <c r="L4" s="133"/>
      <c r="M4" s="133"/>
      <c r="N4" s="133"/>
      <c r="O4" s="133"/>
      <c r="P4" s="133"/>
      <c r="Q4" s="133"/>
    </row>
    <row r="5" spans="1:17" s="12" customFormat="1" ht="18" customHeight="1" thickBot="1" x14ac:dyDescent="0.25">
      <c r="A5" s="134" t="s">
        <v>55</v>
      </c>
      <c r="B5" s="135"/>
      <c r="C5" s="135"/>
      <c r="D5" s="135"/>
      <c r="E5" s="135"/>
      <c r="F5" s="136"/>
      <c r="G5" s="133" t="str">
        <f>NotaPedido!D4</f>
        <v>23 - Hospital Interzonal San Juan Bautista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</row>
    <row r="6" spans="1:17" s="12" customFormat="1" ht="18" customHeight="1" thickBot="1" x14ac:dyDescent="0.25">
      <c r="A6" s="134" t="s">
        <v>33</v>
      </c>
      <c r="B6" s="135"/>
      <c r="C6" s="135"/>
      <c r="D6" s="135"/>
      <c r="E6" s="135"/>
      <c r="F6" s="136"/>
      <c r="G6" s="133" t="str">
        <f>NotaPedido!D5</f>
        <v>168 - Direccion Asistencial</v>
      </c>
      <c r="H6" s="133"/>
      <c r="I6" s="133"/>
      <c r="J6" s="133"/>
      <c r="K6" s="133"/>
      <c r="L6" s="133"/>
      <c r="M6" s="133"/>
      <c r="N6" s="133"/>
      <c r="O6" s="133"/>
      <c r="P6" s="133"/>
      <c r="Q6" s="133"/>
    </row>
    <row r="7" spans="1:17" s="12" customFormat="1" ht="18" customHeight="1" thickBot="1" x14ac:dyDescent="0.25">
      <c r="A7" s="134" t="s">
        <v>56</v>
      </c>
      <c r="B7" s="135"/>
      <c r="C7" s="135"/>
      <c r="D7" s="135"/>
      <c r="E7" s="135"/>
      <c r="F7" s="136"/>
      <c r="G7" s="133" t="str">
        <f>NotaPedido!D6</f>
        <v xml:space="preserve">Laboratorio de Hematologia </v>
      </c>
      <c r="H7" s="133"/>
      <c r="I7" s="133"/>
      <c r="J7" s="133"/>
      <c r="K7" s="133"/>
      <c r="L7" s="133"/>
      <c r="M7" s="133"/>
      <c r="N7" s="133"/>
      <c r="O7" s="133"/>
      <c r="P7" s="133"/>
      <c r="Q7" s="133"/>
    </row>
    <row r="8" spans="1:17" ht="18" customHeight="1" thickBot="1" x14ac:dyDescent="0.25">
      <c r="A8" s="137" t="s">
        <v>34</v>
      </c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</row>
    <row r="9" spans="1:17" ht="18" customHeight="1" x14ac:dyDescent="0.2">
      <c r="A9" s="138" t="s">
        <v>35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"/>
      <c r="P9" s="1"/>
      <c r="Q9" s="13"/>
    </row>
    <row r="10" spans="1:17" ht="54.75" customHeight="1" x14ac:dyDescent="0.2">
      <c r="A10" s="139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348/2020,  afectando la erogación resultante a los créditos presupuestarios aprobados a favor de esta Unidad Ejecutora, conforme al siguiente detalle:</v>
      </c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40" t="s">
        <v>36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</row>
    <row r="13" spans="1:17" ht="15.75" customHeight="1" x14ac:dyDescent="0.2">
      <c r="A13" s="141" t="s">
        <v>37</v>
      </c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2" t="s">
        <v>38</v>
      </c>
      <c r="P13" s="142"/>
      <c r="Q13" s="143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42"/>
      <c r="P14" s="142"/>
      <c r="Q14" s="143"/>
    </row>
    <row r="15" spans="1:17" ht="17.25" customHeight="1" x14ac:dyDescent="0.2">
      <c r="A15" s="73">
        <v>33</v>
      </c>
      <c r="B15" s="74"/>
      <c r="C15" s="74"/>
      <c r="D15" s="74">
        <v>2</v>
      </c>
      <c r="E15" s="74"/>
      <c r="F15" s="74">
        <v>4901</v>
      </c>
      <c r="G15" s="74">
        <v>3</v>
      </c>
      <c r="H15" s="75" t="s">
        <v>63</v>
      </c>
      <c r="I15" s="76">
        <v>2</v>
      </c>
      <c r="J15" s="76">
        <v>5</v>
      </c>
      <c r="K15" s="76">
        <v>1</v>
      </c>
      <c r="L15" s="74"/>
      <c r="M15" s="77">
        <v>1</v>
      </c>
      <c r="N15" s="75" t="s">
        <v>64</v>
      </c>
      <c r="O15" s="144" t="s">
        <v>61</v>
      </c>
      <c r="P15" s="144"/>
      <c r="Q15" s="23">
        <v>194830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7">
        <v>4901</v>
      </c>
      <c r="G16" s="25">
        <v>3</v>
      </c>
      <c r="H16" s="71" t="s">
        <v>63</v>
      </c>
      <c r="I16" s="25">
        <v>2</v>
      </c>
      <c r="J16" s="25">
        <v>9</v>
      </c>
      <c r="K16" s="25">
        <v>5</v>
      </c>
      <c r="L16" s="25"/>
      <c r="M16" s="26">
        <v>1</v>
      </c>
      <c r="N16" s="72" t="s">
        <v>64</v>
      </c>
      <c r="O16" s="145" t="s">
        <v>65</v>
      </c>
      <c r="P16" s="145"/>
      <c r="Q16" s="28">
        <v>14041</v>
      </c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45"/>
      <c r="P17" s="145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46"/>
      <c r="P18" s="147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47"/>
      <c r="P19" s="147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47"/>
      <c r="P20" s="147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53"/>
      <c r="P21" s="153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54"/>
      <c r="P22" s="154"/>
      <c r="Q22" s="37"/>
    </row>
    <row r="23" spans="1:19" ht="20.25" customHeight="1" x14ac:dyDescent="0.2">
      <c r="A23" s="155" t="s">
        <v>119</v>
      </c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38">
        <f>SUM(Q15:Q22)</f>
        <v>208871</v>
      </c>
    </row>
    <row r="24" spans="1:19" ht="18" customHeight="1" thickBot="1" x14ac:dyDescent="0.25">
      <c r="A24" s="156"/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1:19" ht="17.25" customHeight="1" thickBot="1" x14ac:dyDescent="0.25">
      <c r="A25" s="148" t="s">
        <v>53</v>
      </c>
      <c r="B25" s="149"/>
      <c r="C25" s="149"/>
      <c r="D25" s="149"/>
      <c r="E25" s="149"/>
      <c r="F25" s="150"/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</row>
    <row r="26" spans="1:19" ht="18" customHeight="1" thickBot="1" x14ac:dyDescent="0.25">
      <c r="A26" s="152" t="str">
        <f>"Para la "&amp; NotaPedido!D8 &amp;" para ser destinados al " &amp; NotaPedido!D6 &amp;"  del HISJB del Ministerio de Salud."</f>
        <v>Para la Adquisición de Insumos Laboratorio Oncohematologia  para ser destinados al Laboratorio de Hematologia   del HISJB del Ministerio de Salud.</v>
      </c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</row>
    <row r="27" spans="1:19" ht="15" customHeight="1" x14ac:dyDescent="0.2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2020-11-03T13:59:22Z</cp:lastPrinted>
  <dcterms:created xsi:type="dcterms:W3CDTF">2020-07-17T23:44:49Z</dcterms:created>
  <dcterms:modified xsi:type="dcterms:W3CDTF">2021-08-17T16:07:45Z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