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SUTURAS\ms\corregido\"/>
    </mc:Choice>
  </mc:AlternateContent>
  <xr:revisionPtr revIDLastSave="0" documentId="13_ncr:1_{39190AB4-B777-4ECA-86F9-3726DD9BF3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10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13" i="2"/>
  <c r="J14" i="2"/>
  <c r="J15" i="2"/>
  <c r="M15" i="2" s="1"/>
  <c r="J16" i="2"/>
  <c r="J17" i="2"/>
  <c r="J18" i="2"/>
  <c r="J19" i="2"/>
  <c r="M19" i="2" s="1"/>
  <c r="J20" i="2"/>
  <c r="J21" i="2"/>
  <c r="J22" i="2"/>
  <c r="J23" i="2"/>
  <c r="M23" i="2" s="1"/>
  <c r="J24" i="2"/>
  <c r="J25" i="2"/>
  <c r="J26" i="2"/>
  <c r="J27" i="2"/>
  <c r="M27" i="2" s="1"/>
  <c r="J28" i="2"/>
  <c r="J29" i="2"/>
  <c r="J30" i="2"/>
  <c r="J31" i="2"/>
  <c r="M31" i="2" s="1"/>
  <c r="J32" i="2"/>
  <c r="J33" i="2"/>
  <c r="J34" i="2"/>
  <c r="J35" i="2"/>
  <c r="M35" i="2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M32" i="2" l="1"/>
  <c r="M28" i="2"/>
  <c r="M24" i="2"/>
  <c r="M20" i="2"/>
  <c r="M16" i="2"/>
  <c r="M34" i="2"/>
  <c r="M22" i="2"/>
  <c r="M18" i="2"/>
  <c r="M25" i="2"/>
  <c r="M26" i="2"/>
  <c r="M33" i="2"/>
  <c r="M29" i="2"/>
  <c r="M21" i="2"/>
  <c r="M17" i="2"/>
  <c r="M13" i="2"/>
  <c r="M30" i="2"/>
  <c r="M14" i="2"/>
  <c r="A41" i="3"/>
  <c r="K12" i="2"/>
  <c r="J12" i="2"/>
  <c r="I12" i="2"/>
  <c r="C12" i="2"/>
  <c r="M12" i="2" l="1"/>
  <c r="M37" i="2"/>
  <c r="G6" i="3"/>
  <c r="G7" i="3"/>
  <c r="D4" i="2"/>
  <c r="G5" i="3" s="1"/>
  <c r="D3" i="2"/>
  <c r="G4" i="3" s="1"/>
  <c r="Q15" i="3" l="1"/>
  <c r="Q38" i="3" s="1"/>
  <c r="J37" i="2"/>
  <c r="I34" i="1" l="1"/>
</calcChain>
</file>

<file path=xl/sharedStrings.xml><?xml version="1.0" encoding="utf-8"?>
<sst xmlns="http://schemas.openxmlformats.org/spreadsheetml/2006/main" count="176" uniqueCount="101">
  <si>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</si>
  <si>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</si>
  <si>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</si>
  <si>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</si>
  <si>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</si>
  <si>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</si>
  <si>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</si>
  <si>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</si>
  <si>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</si>
  <si>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</si>
  <si>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</si>
  <si>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</si>
  <si>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</si>
  <si>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</si>
  <si>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</si>
  <si>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</si>
  <si>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</si>
  <si>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</si>
  <si>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</si>
  <si>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PRODUCTOS MEDICOS/FARMACEUTICOS/LAB.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</si>
  <si>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</si>
  <si>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</si>
  <si>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</si>
  <si>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</si>
  <si>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</si>
  <si>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</si>
  <si>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</si>
  <si>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</si>
  <si>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</si>
  <si>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</si>
  <si>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</si>
  <si>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</si>
  <si>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</si>
  <si>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</si>
  <si>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</si>
  <si>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</si>
  <si>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</si>
  <si>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</si>
  <si>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</si>
  <si>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</si>
  <si>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</si>
  <si>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</si>
  <si>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</si>
  <si>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</si>
  <si>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</si>
  <si>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</si>
  <si>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</si>
  <si>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</si>
  <si>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</si>
  <si>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</si>
  <si>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</si>
  <si>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</si>
  <si>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</si>
  <si>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</si>
  <si>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</si>
  <si>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</si>
  <si>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</si>
  <si>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</si>
  <si>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</si>
  <si>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</si>
  <si>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</si>
  <si>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</si>
  <si>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</si>
  <si>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</si>
  <si>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</si>
  <si>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</si>
  <si>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1° TRIMESTRE 2022</t>
  </si>
  <si>
    <t>1.1</t>
  </si>
  <si>
    <t>SI</t>
  </si>
  <si>
    <t>UTILES MENORES MEDICOS, QUIRURGICOS Y DE LABORATORIO</t>
  </si>
  <si>
    <t>veinte (20) dias habiles</t>
  </si>
  <si>
    <t>HILO DE LINO N° 20  ROLLO X 170 MTS</t>
  </si>
  <si>
    <t>HILO DE LINO N° 30  ROLLO X 290 MTS</t>
  </si>
  <si>
    <t>HILO DE LINO N° 40  ROLLO X 375 MTS</t>
  </si>
  <si>
    <t>HILO DE LINO N° 60 ROLLO X 590 MTS</t>
  </si>
  <si>
    <t>HILO DE LINO N° 80 ROLLO X 780 MTS</t>
  </si>
  <si>
    <t>HILO DE LINO N°100 ROLLO X 950 MTS</t>
  </si>
  <si>
    <t>HILO DE SUTURA CATGUT  CROMICO Nº0 CON AGUJA  CT -1  1/2 CIRC 36.4 mm TIPO ETHICON 812 T  X  UNIDAD</t>
  </si>
  <si>
    <t>HILO DE SUTURA CATGUT CROMICO Nro 1 CON AGUJA CT -1  1/2 CIRC 36.4 mm TIPO ETHICON 813 T X UNIDAD</t>
  </si>
  <si>
    <t>HILO DE SUTURA CATGUT CROMICO Nro 2 CON AGUJA CT -1  1/2 CIRC 36.4 mm TIPO ETHICON 814 T  X UNIDAD</t>
  </si>
  <si>
    <t>SUT.ABS.CATGUT  SIMP. 1  SIN AGUJA X 150 CM X UNIDAD</t>
  </si>
  <si>
    <t>SUT.N/ABS.MONONYLON  4-0  TIPO DAFILON BRAUN  COD OFTAL. 0936103   X 1 UNID.</t>
  </si>
  <si>
    <t>SUT.N/ABS.MONONYLON  5/0  TIPO DAFILON BRAUN COD OFTAL. 0936090  X 1 UNID.</t>
  </si>
  <si>
    <t>SUTURA QUIRURGICA ACIDO POLIGLICOLICO TRENZADA ABSORBIBLE T/VICRYL N°2-0 J339 H X 1 UNID.</t>
  </si>
  <si>
    <t>SUTURA QUIRURGICA ACIDO POLIGLICOLICO TRENZADA ABSORBIBLE TIPO VIRYL Nº 3-0 CODIGO J316 C / AGUJA</t>
  </si>
  <si>
    <t>SUTURA QUIRURGICA ACIDO POLIGLICOLICO TRENZADA ABSORBIBLE TIPO VIRYL Nº 4-0 CODIGO J315 C / AGUJA</t>
  </si>
  <si>
    <t>SUTURA QUIRURGICA ACIDO POLIGLICOLICO TRENZADA ABSORBIBLE TIPO VIRYL Nº 5-0 CODIGO J314 C / AGUJA</t>
  </si>
  <si>
    <t>SUTURA QUIRURGICA ACIDO POLIGLICOLICO TRENZADA ABSROBIBLE TIPO VICRYL  1  J 353 H x UNIDAD</t>
  </si>
  <si>
    <t>SUTURA QUIRURGICA ACIDO POLIGLICOLICO TRENZADA ABSROBIBLE TIPO VICRYL 0 J340 H CON AGUJA X UNIDAD</t>
  </si>
  <si>
    <t>SUTURA QUIRURGICA ACIDO POLIGLICOLICO TRENZADA ABSROBIBLE TIPO VICRYL 1 J341 CON AGUJA X UNIDAD</t>
  </si>
  <si>
    <t>SUTURA QUIRURGICA ACIDO POLIGLICOLICO TRENZADA ABSROBIBLE TIPO VICRYL 2 J536 CON AGUJA /W9246 X UNIDAD</t>
  </si>
  <si>
    <t>SUTURA QUIRURGICA POLIPROPILENO NO ABSORBIBLE  2/0  TIPO PROLENE con aguja recta 8423 T POR UNIDAD</t>
  </si>
  <si>
    <t>SUTURA QUIRURGICA POLIPROPILENO NO ABSORBIBLE  3/0 TIPO PROLENE  8622  H Con aguja recta POR UNIDAD</t>
  </si>
  <si>
    <t>SUTURA QUIRURGICA POLIPROPILENO NO ABSORBIBLE 4/0 TIPO PROLENE  8521 T POR UNIDAD</t>
  </si>
  <si>
    <t>Costo total estimado: CINCO MILLONES TRESCIENTOS TREINTA Y NUEVE MIL CIENTO VEINTICUATRO CON 00/100.-</t>
  </si>
  <si>
    <t>TOTAL RUBRO SUTURAS</t>
  </si>
  <si>
    <t>ADQUISICION DEL RUBRO SUTURAS</t>
  </si>
  <si>
    <t xml:space="preserve"> 14/2022</t>
  </si>
  <si>
    <t>Autorizo la realización de los  trámites correspondientes, a fin de proveer a  este Organismo los bienes que se detallan en Nota  de Pedido N° 14/2022 afectando la erogación resultante a los créditos presupuestarios aprobados a favor de esta Unidad Ejecutora, conforme al siguiente detalle:</t>
  </si>
  <si>
    <t>TOTAL DE PESOS: CINCO MILLONES TRESCIENTOS TREINTA Y NUEVE MIL CIENTO VEINTICUATRO CON 00/100.-</t>
  </si>
  <si>
    <t>SUTURA QUIRURGICA POLIPROPILENO NO ABSORBIBLE TIPO PROLENE 1/0  CT CON AGUJA  8425 H X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</si>
</sst>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0" fillId="0" borderId="0" applyBorder="0" applyProtection="0"/>
    <xf numFmtId="0" fontId="24" fillId="0" borderId="58" applyProtection="0"/>
    <xf numFmtId="0" fontId="24" fillId="0" borderId="58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5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69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2" xfId="2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8" fillId="0" borderId="0" xfId="0" applyFont="1"/>
    <xf numFmtId="165" fontId="10" fillId="0" borderId="5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0" xfId="0" applyFont="1"/>
    <xf numFmtId="0" fontId="8" fillId="0" borderId="2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3" fontId="10" fillId="0" borderId="5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4" fillId="0" borderId="19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3" xfId="0" applyFont="1" applyBorder="1" applyAlignment="1">
      <alignment horizontal="left" vertical="center" wrapText="1" indent="1"/>
    </xf>
    <xf numFmtId="3" fontId="18" fillId="0" borderId="30" xfId="0" applyNumberFormat="1" applyFont="1" applyBorder="1" applyAlignment="1"/>
    <xf numFmtId="168" fontId="0" fillId="0" borderId="30" xfId="0" applyNumberFormat="1" applyBorder="1" applyAlignment="1">
      <alignment horizontal="left"/>
    </xf>
    <xf numFmtId="0" fontId="0" fillId="0" borderId="30" xfId="0" applyBorder="1"/>
    <xf numFmtId="0" fontId="0" fillId="0" borderId="19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3" xfId="0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36" xfId="0" applyBorder="1"/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40" xfId="0" applyFont="1" applyBorder="1" applyAlignment="1">
      <alignment horizontal="left" vertical="center"/>
    </xf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70" fontId="0" fillId="0" borderId="46" xfId="7" applyNumberFormat="1" applyFont="1" applyBorder="1" applyAlignment="1" applyProtection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70" fontId="0" fillId="0" borderId="51" xfId="7" applyNumberFormat="1" applyFont="1" applyBorder="1" applyAlignment="1" applyProtection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70" fontId="0" fillId="0" borderId="55" xfId="7" applyNumberFormat="1" applyFont="1" applyBorder="1" applyAlignment="1" applyProtection="1">
      <alignment horizontal="center" vertical="center"/>
    </xf>
    <xf numFmtId="170" fontId="23" fillId="0" borderId="57" xfId="0" applyNumberFormat="1" applyFont="1" applyBorder="1" applyAlignment="1">
      <alignment horizontal="center" vertical="center"/>
    </xf>
    <xf numFmtId="0" fontId="26" fillId="0" borderId="8" xfId="5" applyFont="1" applyFill="1" applyBorder="1" applyAlignment="1">
      <alignment horizontal="center" vertical="center" wrapText="1"/>
    </xf>
    <xf numFmtId="0" fontId="26" fillId="0" borderId="19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6" fillId="0" borderId="19" xfId="5" applyFont="1" applyFill="1" applyBorder="1" applyAlignment="1">
      <alignment horizontal="center" wrapText="1"/>
    </xf>
    <xf numFmtId="0" fontId="26" fillId="0" borderId="19" xfId="5" applyFont="1" applyBorder="1" applyAlignment="1">
      <alignment horizontal="center" wrapText="1"/>
    </xf>
    <xf numFmtId="0" fontId="26" fillId="0" borderId="59" xfId="5" applyFont="1" applyBorder="1" applyAlignment="1">
      <alignment horizontal="center" wrapText="1"/>
    </xf>
    <xf numFmtId="0" fontId="0" fillId="0" borderId="13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28" fillId="0" borderId="23" xfId="0" applyFont="1" applyBorder="1" applyAlignment="1">
      <alignment horizontal="center" vertical="center"/>
    </xf>
    <xf numFmtId="0" fontId="28" fillId="0" borderId="7" xfId="0" applyFont="1" applyBorder="1" applyAlignment="1">
      <alignment horizontal="left" vertical="center"/>
    </xf>
    <xf numFmtId="0" fontId="28" fillId="0" borderId="25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3" fontId="28" fillId="0" borderId="24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3" fontId="28" fillId="0" borderId="26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28" fillId="0" borderId="7" xfId="0" applyNumberFormat="1" applyFont="1" applyBorder="1" applyAlignment="1">
      <alignment horizontal="center" vertical="center" wrapText="1"/>
    </xf>
    <xf numFmtId="165" fontId="28" fillId="0" borderId="1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27" fillId="0" borderId="0" xfId="0" applyNumberFormat="1" applyFont="1"/>
    <xf numFmtId="0" fontId="28" fillId="0" borderId="1" xfId="0" applyFont="1" applyBorder="1" applyAlignment="1">
      <alignment horizontal="center" vertical="center" wrapText="1"/>
    </xf>
    <xf numFmtId="0" fontId="2" fillId="0" borderId="0" xfId="0" applyFont="1"/>
    <xf numFmtId="165" fontId="29" fillId="0" borderId="0" xfId="0" applyNumberFormat="1" applyFont="1"/>
    <xf numFmtId="0" fontId="30" fillId="0" borderId="0" xfId="0" applyFont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0" fontId="32" fillId="0" borderId="0" xfId="0" applyFont="1"/>
    <xf numFmtId="0" fontId="3" fillId="0" borderId="0" xfId="5" applyFont="1" applyFill="1" applyBorder="1" applyAlignment="1">
      <alignment horizontal="left" vertical="center" wrapText="1"/>
    </xf>
    <xf numFmtId="0" fontId="3" fillId="0" borderId="13" xfId="5" applyFont="1" applyFill="1" applyBorder="1" applyAlignment="1">
      <alignment horizontal="left" vertical="center" wrapText="1"/>
    </xf>
    <xf numFmtId="0" fontId="3" fillId="0" borderId="60" xfId="5" applyFont="1" applyBorder="1" applyAlignment="1">
      <alignment horizontal="left" vertical="center" wrapText="1"/>
    </xf>
    <xf numFmtId="0" fontId="3" fillId="0" borderId="62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" fillId="0" borderId="30" xfId="5" applyFont="1" applyFill="1" applyBorder="1" applyAlignment="1">
      <alignment horizontal="left" vertical="center" wrapText="1"/>
    </xf>
    <xf numFmtId="0" fontId="3" fillId="0" borderId="61" xfId="5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 indent="1"/>
    </xf>
    <xf numFmtId="166" fontId="13" fillId="0" borderId="27" xfId="0" applyNumberFormat="1" applyFont="1" applyBorder="1" applyAlignment="1">
      <alignment horizontal="center" vertical="center"/>
    </xf>
    <xf numFmtId="0" fontId="28" fillId="0" borderId="63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center" vertical="center" wrapText="1"/>
    </xf>
    <xf numFmtId="165" fontId="15" fillId="0" borderId="21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 indent="1"/>
    </xf>
    <xf numFmtId="0" fontId="14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 wrapText="1" indent="1"/>
    </xf>
    <xf numFmtId="0" fontId="11" fillId="0" borderId="8" xfId="0" applyFont="1" applyBorder="1" applyAlignment="1">
      <alignment horizontal="center" vertical="center"/>
    </xf>
    <xf numFmtId="0" fontId="18" fillId="0" borderId="15" xfId="0" applyFont="1" applyBorder="1" applyAlignment="1">
      <alignment vertical="center" wrapText="1"/>
    </xf>
    <xf numFmtId="0" fontId="21" fillId="0" borderId="38" xfId="0" applyFont="1" applyBorder="1" applyAlignment="1">
      <alignment vertical="center" wrapText="1"/>
    </xf>
    <xf numFmtId="0" fontId="21" fillId="0" borderId="27" xfId="0" applyFont="1" applyBorder="1" applyAlignment="1">
      <alignment horizontal="left" vertical="center" wrapText="1" indent="1"/>
    </xf>
    <xf numFmtId="0" fontId="0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8" fillId="0" borderId="56" xfId="0" applyFont="1" applyBorder="1" applyAlignment="1">
      <alignment horizontal="left" vertical="center" wrapText="1"/>
    </xf>
    <xf numFmtId="0" fontId="0" fillId="0" borderId="34" xfId="0" applyBorder="1"/>
    <xf numFmtId="0" fontId="0" fillId="0" borderId="50" xfId="0" applyFont="1" applyBorder="1" applyAlignment="1">
      <alignment horizontal="center" vertical="center"/>
    </xf>
    <xf numFmtId="49" fontId="21" fillId="0" borderId="35" xfId="0" applyNumberFormat="1" applyFont="1" applyBorder="1" applyAlignment="1">
      <alignment horizontal="justify" vertical="center" wrapText="1"/>
    </xf>
    <xf numFmtId="0" fontId="23" fillId="0" borderId="3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/>
    </xf>
    <xf numFmtId="0" fontId="0" fillId="0" borderId="44" xfId="0" applyFont="1" applyBorder="1" applyAlignment="1">
      <alignment horizontal="left" vertical="center" wrapText="1"/>
    </xf>
    <xf numFmtId="0" fontId="0" fillId="0" borderId="50" xfId="0" applyBorder="1" applyAlignment="1">
      <alignment horizontal="center"/>
    </xf>
    <xf numFmtId="0" fontId="21" fillId="0" borderId="34" xfId="0" applyFont="1" applyBorder="1" applyAlignment="1">
      <alignment horizontal="left"/>
    </xf>
    <xf numFmtId="0" fontId="0" fillId="0" borderId="28" xfId="0" applyFont="1" applyBorder="1" applyAlignment="1">
      <alignment horizontal="center"/>
    </xf>
    <xf numFmtId="3" fontId="18" fillId="0" borderId="29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20" fillId="0" borderId="31" xfId="0" applyFont="1" applyBorder="1"/>
    <xf numFmtId="0" fontId="21" fillId="0" borderId="32" xfId="0" applyFont="1" applyBorder="1" applyAlignment="1">
      <alignment horizontal="left" indent="1"/>
    </xf>
    <xf numFmtId="0" fontId="16" fillId="0" borderId="31" xfId="0" applyFont="1" applyBorder="1" applyAlignment="1">
      <alignment horizontal="left" vertical="center" wrapText="1"/>
    </xf>
    <xf numFmtId="0" fontId="22" fillId="0" borderId="33" xfId="0" applyFont="1" applyBorder="1" applyAlignment="1">
      <alignment horizontal="left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"/>
  <sheetViews>
    <sheetView tabSelected="1" zoomScaleNormal="100" workbookViewId="0">
      <selection activeCell="N23" sqref="N23"/>
    </sheetView>
  </sheetViews>
  <sheetFormatPr baseColWidth="10" defaultRowHeight="15" x14ac:dyDescent="0.25"/>
  <cols>
    <col min="1" max="1" width="4.85546875" style="36" bestFit="1" customWidth="1"/>
    <col min="2" max="2" width="13" style="36" bestFit="1" customWidth="1"/>
    <col min="3" max="3" width="43.28515625" style="36" customWidth="1"/>
    <col min="4" max="4" width="5.5703125" style="36" bestFit="1" customWidth="1"/>
    <col min="5" max="5" width="94.42578125" style="37" customWidth="1"/>
    <col min="6" max="6" width="10.5703125" style="36" bestFit="1" customWidth="1"/>
    <col min="7" max="7" width="10.42578125" style="38" bestFit="1" customWidth="1"/>
    <col min="8" max="8" width="10.42578125" style="39" bestFit="1" customWidth="1"/>
    <col min="9" max="9" width="16.28515625" style="39" bestFit="1" customWidth="1"/>
    <col min="10" max="10" width="23.7109375" bestFit="1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7"/>
      <c r="I1" s="6"/>
    </row>
    <row r="2" spans="1:10" s="119" customFormat="1" ht="18.75" x14ac:dyDescent="0.3">
      <c r="A2" s="117"/>
      <c r="B2" s="125" t="s">
        <v>0</v>
      </c>
      <c r="C2" s="125"/>
      <c r="D2" s="125"/>
      <c r="E2" s="125"/>
      <c r="F2" s="125"/>
      <c r="G2" s="125"/>
      <c r="H2" s="125"/>
      <c r="I2" s="118"/>
    </row>
    <row r="3" spans="1:10" x14ac:dyDescent="0.25">
      <c r="A3" s="3"/>
      <c r="B3" s="2"/>
      <c r="C3" s="3"/>
      <c r="D3" s="3"/>
      <c r="E3" s="4"/>
      <c r="F3" s="3"/>
      <c r="G3" s="5"/>
      <c r="H3" s="7"/>
      <c r="I3" s="6"/>
    </row>
    <row r="4" spans="1:10" x14ac:dyDescent="0.25">
      <c r="A4" s="124" t="s">
        <v>1</v>
      </c>
      <c r="B4" s="124"/>
      <c r="C4" s="93" t="s">
        <v>2</v>
      </c>
      <c r="D4" s="93"/>
      <c r="E4" s="93"/>
      <c r="F4" s="8"/>
      <c r="G4" s="9"/>
      <c r="H4" s="7"/>
      <c r="I4" s="6"/>
    </row>
    <row r="5" spans="1:10" ht="15" customHeight="1" x14ac:dyDescent="0.25">
      <c r="A5" s="124" t="s">
        <v>3</v>
      </c>
      <c r="B5" s="124"/>
      <c r="C5" s="93" t="s">
        <v>4</v>
      </c>
      <c r="D5" s="93"/>
      <c r="E5" s="93"/>
      <c r="F5" s="8"/>
      <c r="G5" s="9"/>
      <c r="H5" s="7"/>
      <c r="I5" s="6"/>
    </row>
    <row r="6" spans="1:10" x14ac:dyDescent="0.25">
      <c r="A6" s="124" t="s">
        <v>5</v>
      </c>
      <c r="B6" s="124"/>
      <c r="C6" s="94">
        <v>2022</v>
      </c>
      <c r="D6" s="95"/>
      <c r="E6" s="94"/>
      <c r="F6" s="8"/>
      <c r="G6" s="9"/>
      <c r="H6" s="7"/>
      <c r="I6" s="6"/>
    </row>
    <row r="7" spans="1:10" x14ac:dyDescent="0.25">
      <c r="A7" s="124" t="s">
        <v>6</v>
      </c>
      <c r="B7" s="124"/>
      <c r="C7" s="94" t="s">
        <v>7</v>
      </c>
      <c r="D7" s="95"/>
      <c r="E7" s="94"/>
      <c r="F7" s="8"/>
      <c r="G7" s="9"/>
      <c r="H7" s="7"/>
      <c r="I7" s="6"/>
    </row>
    <row r="8" spans="1:10" x14ac:dyDescent="0.25">
      <c r="A8" s="3"/>
      <c r="B8" s="8"/>
      <c r="C8" s="8"/>
      <c r="D8" s="8"/>
      <c r="E8" s="10"/>
      <c r="F8" s="8"/>
      <c r="G8" s="9"/>
      <c r="H8" s="7"/>
      <c r="I8" s="6"/>
    </row>
    <row r="9" spans="1:10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4" t="s">
        <v>14</v>
      </c>
      <c r="H9" s="16" t="s">
        <v>15</v>
      </c>
      <c r="I9" s="15" t="s">
        <v>16</v>
      </c>
      <c r="J9" s="17" t="s">
        <v>17</v>
      </c>
    </row>
    <row r="10" spans="1:10" s="24" customFormat="1" ht="12.75" x14ac:dyDescent="0.2">
      <c r="A10" s="29">
        <v>1</v>
      </c>
      <c r="B10" s="29"/>
      <c r="C10" s="29" t="s">
        <v>19</v>
      </c>
      <c r="D10" s="29">
        <v>295</v>
      </c>
      <c r="E10" s="34" t="s">
        <v>71</v>
      </c>
      <c r="F10" s="29" t="s">
        <v>18</v>
      </c>
      <c r="G10" s="21">
        <v>60</v>
      </c>
      <c r="H10" s="30">
        <v>2100</v>
      </c>
      <c r="I10" s="30">
        <f>G10*H10</f>
        <v>126000</v>
      </c>
      <c r="J10" s="20"/>
    </row>
    <row r="11" spans="1:10" s="24" customFormat="1" ht="12.75" x14ac:dyDescent="0.2">
      <c r="A11" s="18">
        <v>2</v>
      </c>
      <c r="B11" s="18"/>
      <c r="C11" s="18" t="s">
        <v>19</v>
      </c>
      <c r="D11" s="18">
        <v>295</v>
      </c>
      <c r="E11" s="31" t="s">
        <v>72</v>
      </c>
      <c r="F11" s="18" t="s">
        <v>18</v>
      </c>
      <c r="G11" s="19">
        <v>50</v>
      </c>
      <c r="H11" s="32">
        <v>2100</v>
      </c>
      <c r="I11" s="30">
        <f t="shared" ref="I11:I33" si="0">G11*H11</f>
        <v>105000</v>
      </c>
      <c r="J11" s="20"/>
    </row>
    <row r="12" spans="1:10" s="24" customFormat="1" ht="12.75" x14ac:dyDescent="0.2">
      <c r="A12" s="18">
        <v>3</v>
      </c>
      <c r="B12" s="18"/>
      <c r="C12" s="18" t="s">
        <v>19</v>
      </c>
      <c r="D12" s="18">
        <v>295</v>
      </c>
      <c r="E12" s="31" t="s">
        <v>73</v>
      </c>
      <c r="F12" s="18" t="s">
        <v>18</v>
      </c>
      <c r="G12" s="19">
        <v>60</v>
      </c>
      <c r="H12" s="32">
        <v>2150</v>
      </c>
      <c r="I12" s="30">
        <f t="shared" si="0"/>
        <v>129000</v>
      </c>
      <c r="J12" s="20"/>
    </row>
    <row r="13" spans="1:10" s="24" customFormat="1" ht="12.75" x14ac:dyDescent="0.2">
      <c r="A13" s="29">
        <v>4</v>
      </c>
      <c r="B13" s="18"/>
      <c r="C13" s="18" t="s">
        <v>19</v>
      </c>
      <c r="D13" s="18">
        <v>295</v>
      </c>
      <c r="E13" s="31" t="s">
        <v>74</v>
      </c>
      <c r="F13" s="18" t="s">
        <v>18</v>
      </c>
      <c r="G13" s="19">
        <v>60</v>
      </c>
      <c r="H13" s="32">
        <v>2200</v>
      </c>
      <c r="I13" s="30">
        <f t="shared" si="0"/>
        <v>132000</v>
      </c>
      <c r="J13" s="20"/>
    </row>
    <row r="14" spans="1:10" s="24" customFormat="1" ht="12.75" x14ac:dyDescent="0.2">
      <c r="A14" s="18">
        <v>5</v>
      </c>
      <c r="B14" s="18"/>
      <c r="C14" s="18" t="s">
        <v>19</v>
      </c>
      <c r="D14" s="18">
        <v>295</v>
      </c>
      <c r="E14" s="31" t="s">
        <v>75</v>
      </c>
      <c r="F14" s="18" t="s">
        <v>18</v>
      </c>
      <c r="G14" s="19">
        <v>50</v>
      </c>
      <c r="H14" s="32">
        <v>2300</v>
      </c>
      <c r="I14" s="30">
        <f t="shared" si="0"/>
        <v>115000</v>
      </c>
      <c r="J14" s="20"/>
    </row>
    <row r="15" spans="1:10" s="24" customFormat="1" ht="12.75" x14ac:dyDescent="0.2">
      <c r="A15" s="18">
        <v>6</v>
      </c>
      <c r="B15" s="18"/>
      <c r="C15" s="18" t="s">
        <v>19</v>
      </c>
      <c r="D15" s="18">
        <v>295</v>
      </c>
      <c r="E15" s="31" t="s">
        <v>76</v>
      </c>
      <c r="F15" s="18" t="s">
        <v>18</v>
      </c>
      <c r="G15" s="19">
        <v>50</v>
      </c>
      <c r="H15" s="32">
        <v>2350</v>
      </c>
      <c r="I15" s="30">
        <f t="shared" si="0"/>
        <v>117500</v>
      </c>
      <c r="J15" s="20"/>
    </row>
    <row r="16" spans="1:10" s="24" customFormat="1" ht="12.75" x14ac:dyDescent="0.2">
      <c r="A16" s="29">
        <v>7</v>
      </c>
      <c r="B16" s="18"/>
      <c r="C16" s="18" t="s">
        <v>19</v>
      </c>
      <c r="D16" s="18">
        <v>295</v>
      </c>
      <c r="E16" s="31" t="s">
        <v>77</v>
      </c>
      <c r="F16" s="18" t="s">
        <v>18</v>
      </c>
      <c r="G16" s="19">
        <v>960</v>
      </c>
      <c r="H16" s="32">
        <v>345</v>
      </c>
      <c r="I16" s="30">
        <f t="shared" si="0"/>
        <v>331200</v>
      </c>
      <c r="J16" s="20"/>
    </row>
    <row r="17" spans="1:10" s="24" customFormat="1" ht="12.75" x14ac:dyDescent="0.2">
      <c r="A17" s="18">
        <v>8</v>
      </c>
      <c r="B17" s="18"/>
      <c r="C17" s="18" t="s">
        <v>19</v>
      </c>
      <c r="D17" s="18">
        <v>295</v>
      </c>
      <c r="E17" s="31" t="s">
        <v>78</v>
      </c>
      <c r="F17" s="18" t="s">
        <v>18</v>
      </c>
      <c r="G17" s="19">
        <v>480</v>
      </c>
      <c r="H17" s="32">
        <v>345</v>
      </c>
      <c r="I17" s="30">
        <f t="shared" si="0"/>
        <v>165600</v>
      </c>
      <c r="J17" s="20"/>
    </row>
    <row r="18" spans="1:10" s="24" customFormat="1" ht="12.75" x14ac:dyDescent="0.2">
      <c r="A18" s="18">
        <v>9</v>
      </c>
      <c r="B18" s="18"/>
      <c r="C18" s="18" t="s">
        <v>19</v>
      </c>
      <c r="D18" s="18">
        <v>295</v>
      </c>
      <c r="E18" s="31" t="s">
        <v>79</v>
      </c>
      <c r="F18" s="18" t="s">
        <v>18</v>
      </c>
      <c r="G18" s="19">
        <v>960</v>
      </c>
      <c r="H18" s="32">
        <v>345</v>
      </c>
      <c r="I18" s="30">
        <f t="shared" si="0"/>
        <v>331200</v>
      </c>
      <c r="J18" s="20"/>
    </row>
    <row r="19" spans="1:10" s="24" customFormat="1" ht="12.75" x14ac:dyDescent="0.2">
      <c r="A19" s="18">
        <v>10</v>
      </c>
      <c r="B19" s="18"/>
      <c r="C19" s="18" t="s">
        <v>19</v>
      </c>
      <c r="D19" s="18">
        <v>295</v>
      </c>
      <c r="E19" s="31" t="s">
        <v>80</v>
      </c>
      <c r="F19" s="18" t="s">
        <v>18</v>
      </c>
      <c r="G19" s="19">
        <v>960</v>
      </c>
      <c r="H19" s="32">
        <v>340</v>
      </c>
      <c r="I19" s="30">
        <f t="shared" si="0"/>
        <v>326400</v>
      </c>
      <c r="J19" s="20"/>
    </row>
    <row r="20" spans="1:10" s="24" customFormat="1" ht="12.75" x14ac:dyDescent="0.2">
      <c r="A20" s="18">
        <v>11</v>
      </c>
      <c r="B20" s="18"/>
      <c r="C20" s="18" t="s">
        <v>19</v>
      </c>
      <c r="D20" s="18">
        <v>295</v>
      </c>
      <c r="E20" s="31" t="s">
        <v>81</v>
      </c>
      <c r="F20" s="18" t="s">
        <v>18</v>
      </c>
      <c r="G20" s="19">
        <v>144</v>
      </c>
      <c r="H20" s="32">
        <v>245</v>
      </c>
      <c r="I20" s="30">
        <f t="shared" si="0"/>
        <v>35280</v>
      </c>
      <c r="J20" s="20"/>
    </row>
    <row r="21" spans="1:10" s="24" customFormat="1" ht="12.75" x14ac:dyDescent="0.2">
      <c r="A21" s="18">
        <v>12</v>
      </c>
      <c r="B21" s="18"/>
      <c r="C21" s="18" t="s">
        <v>19</v>
      </c>
      <c r="D21" s="18">
        <v>295</v>
      </c>
      <c r="E21" s="31" t="s">
        <v>82</v>
      </c>
      <c r="F21" s="18" t="s">
        <v>18</v>
      </c>
      <c r="G21" s="19">
        <v>144</v>
      </c>
      <c r="H21" s="32">
        <v>245</v>
      </c>
      <c r="I21" s="30">
        <f t="shared" si="0"/>
        <v>35280</v>
      </c>
      <c r="J21" s="20"/>
    </row>
    <row r="22" spans="1:10" s="24" customFormat="1" ht="12.75" x14ac:dyDescent="0.2">
      <c r="A22" s="18">
        <v>13</v>
      </c>
      <c r="B22" s="18"/>
      <c r="C22" s="18" t="s">
        <v>19</v>
      </c>
      <c r="D22" s="18">
        <v>295</v>
      </c>
      <c r="E22" s="31" t="s">
        <v>83</v>
      </c>
      <c r="F22" s="18" t="s">
        <v>18</v>
      </c>
      <c r="G22" s="19">
        <v>960</v>
      </c>
      <c r="H22" s="32">
        <v>280</v>
      </c>
      <c r="I22" s="30">
        <f t="shared" si="0"/>
        <v>268800</v>
      </c>
      <c r="J22" s="20"/>
    </row>
    <row r="23" spans="1:10" s="24" customFormat="1" ht="12.75" x14ac:dyDescent="0.2">
      <c r="A23" s="18">
        <v>14</v>
      </c>
      <c r="B23" s="18"/>
      <c r="C23" s="18" t="s">
        <v>19</v>
      </c>
      <c r="D23" s="18">
        <v>295</v>
      </c>
      <c r="E23" s="31" t="s">
        <v>84</v>
      </c>
      <c r="F23" s="18" t="s">
        <v>18</v>
      </c>
      <c r="G23" s="19">
        <v>1440</v>
      </c>
      <c r="H23" s="32">
        <v>280</v>
      </c>
      <c r="I23" s="30">
        <f t="shared" si="0"/>
        <v>403200</v>
      </c>
      <c r="J23" s="20"/>
    </row>
    <row r="24" spans="1:10" s="24" customFormat="1" ht="12.75" x14ac:dyDescent="0.2">
      <c r="A24" s="18">
        <v>15</v>
      </c>
      <c r="B24" s="18"/>
      <c r="C24" s="18" t="s">
        <v>19</v>
      </c>
      <c r="D24" s="18">
        <v>295</v>
      </c>
      <c r="E24" s="31" t="s">
        <v>85</v>
      </c>
      <c r="F24" s="18" t="s">
        <v>18</v>
      </c>
      <c r="G24" s="19">
        <v>1440</v>
      </c>
      <c r="H24" s="32">
        <v>280</v>
      </c>
      <c r="I24" s="30">
        <f t="shared" si="0"/>
        <v>403200</v>
      </c>
      <c r="J24" s="20"/>
    </row>
    <row r="25" spans="1:10" s="24" customFormat="1" ht="12.75" x14ac:dyDescent="0.2">
      <c r="A25" s="18">
        <v>16</v>
      </c>
      <c r="B25" s="18"/>
      <c r="C25" s="18" t="s">
        <v>19</v>
      </c>
      <c r="D25" s="18">
        <v>295</v>
      </c>
      <c r="E25" s="31" t="s">
        <v>86</v>
      </c>
      <c r="F25" s="18" t="s">
        <v>18</v>
      </c>
      <c r="G25" s="19">
        <v>1440</v>
      </c>
      <c r="H25" s="32">
        <v>280</v>
      </c>
      <c r="I25" s="30">
        <f t="shared" si="0"/>
        <v>403200</v>
      </c>
      <c r="J25" s="20"/>
    </row>
    <row r="26" spans="1:10" s="24" customFormat="1" ht="12.75" x14ac:dyDescent="0.2">
      <c r="A26" s="18">
        <v>17</v>
      </c>
      <c r="B26" s="18"/>
      <c r="C26" s="18" t="s">
        <v>19</v>
      </c>
      <c r="D26" s="18">
        <v>295</v>
      </c>
      <c r="E26" s="31" t="s">
        <v>87</v>
      </c>
      <c r="F26" s="18" t="s">
        <v>18</v>
      </c>
      <c r="G26" s="19">
        <v>960</v>
      </c>
      <c r="H26" s="32">
        <v>235</v>
      </c>
      <c r="I26" s="30">
        <f t="shared" si="0"/>
        <v>225600</v>
      </c>
      <c r="J26" s="20"/>
    </row>
    <row r="27" spans="1:10" s="24" customFormat="1" ht="12.75" x14ac:dyDescent="0.2">
      <c r="A27" s="18">
        <v>18</v>
      </c>
      <c r="B27" s="18"/>
      <c r="C27" s="18" t="s">
        <v>19</v>
      </c>
      <c r="D27" s="18">
        <v>295</v>
      </c>
      <c r="E27" s="31" t="s">
        <v>88</v>
      </c>
      <c r="F27" s="18" t="s">
        <v>18</v>
      </c>
      <c r="G27" s="19">
        <v>864</v>
      </c>
      <c r="H27" s="32">
        <v>235</v>
      </c>
      <c r="I27" s="30">
        <f t="shared" si="0"/>
        <v>203040</v>
      </c>
      <c r="J27" s="20"/>
    </row>
    <row r="28" spans="1:10" s="24" customFormat="1" ht="12.75" x14ac:dyDescent="0.2">
      <c r="A28" s="18">
        <v>19</v>
      </c>
      <c r="B28" s="18"/>
      <c r="C28" s="18" t="s">
        <v>19</v>
      </c>
      <c r="D28" s="18">
        <v>295</v>
      </c>
      <c r="E28" s="31" t="s">
        <v>89</v>
      </c>
      <c r="F28" s="18" t="s">
        <v>18</v>
      </c>
      <c r="G28" s="19">
        <v>864</v>
      </c>
      <c r="H28" s="32">
        <v>235</v>
      </c>
      <c r="I28" s="30">
        <f t="shared" si="0"/>
        <v>203040</v>
      </c>
      <c r="J28" s="20"/>
    </row>
    <row r="29" spans="1:10" s="24" customFormat="1" ht="12.75" x14ac:dyDescent="0.2">
      <c r="A29" s="18">
        <v>20</v>
      </c>
      <c r="B29" s="18"/>
      <c r="C29" s="18" t="s">
        <v>19</v>
      </c>
      <c r="D29" s="18">
        <v>295</v>
      </c>
      <c r="E29" s="31" t="s">
        <v>90</v>
      </c>
      <c r="F29" s="18" t="s">
        <v>18</v>
      </c>
      <c r="G29" s="19">
        <v>864</v>
      </c>
      <c r="H29" s="32">
        <v>444</v>
      </c>
      <c r="I29" s="30">
        <f t="shared" si="0"/>
        <v>383616</v>
      </c>
      <c r="J29" s="20"/>
    </row>
    <row r="30" spans="1:10" s="24" customFormat="1" ht="12.75" x14ac:dyDescent="0.2">
      <c r="A30" s="18">
        <v>21</v>
      </c>
      <c r="B30" s="18"/>
      <c r="C30" s="18" t="s">
        <v>19</v>
      </c>
      <c r="D30" s="18">
        <v>295</v>
      </c>
      <c r="E30" s="31" t="s">
        <v>100</v>
      </c>
      <c r="F30" s="18" t="s">
        <v>18</v>
      </c>
      <c r="G30" s="19">
        <v>288</v>
      </c>
      <c r="H30" s="32">
        <v>765</v>
      </c>
      <c r="I30" s="30">
        <f t="shared" si="0"/>
        <v>220320</v>
      </c>
      <c r="J30" s="20"/>
    </row>
    <row r="31" spans="1:10" s="24" customFormat="1" ht="12.75" x14ac:dyDescent="0.2">
      <c r="A31" s="18">
        <v>22</v>
      </c>
      <c r="B31" s="18"/>
      <c r="C31" s="18" t="s">
        <v>19</v>
      </c>
      <c r="D31" s="18">
        <v>295</v>
      </c>
      <c r="E31" s="31" t="s">
        <v>91</v>
      </c>
      <c r="F31" s="18" t="s">
        <v>18</v>
      </c>
      <c r="G31" s="19">
        <v>288</v>
      </c>
      <c r="H31" s="32">
        <v>782</v>
      </c>
      <c r="I31" s="30">
        <f t="shared" si="0"/>
        <v>225216</v>
      </c>
      <c r="J31" s="20"/>
    </row>
    <row r="32" spans="1:10" s="24" customFormat="1" ht="12.75" x14ac:dyDescent="0.2">
      <c r="A32" s="18">
        <v>23</v>
      </c>
      <c r="B32" s="18"/>
      <c r="C32" s="18" t="s">
        <v>19</v>
      </c>
      <c r="D32" s="18">
        <v>295</v>
      </c>
      <c r="E32" s="31" t="s">
        <v>92</v>
      </c>
      <c r="F32" s="18" t="s">
        <v>18</v>
      </c>
      <c r="G32" s="19">
        <v>288</v>
      </c>
      <c r="H32" s="32">
        <v>782</v>
      </c>
      <c r="I32" s="30">
        <f t="shared" si="0"/>
        <v>225216</v>
      </c>
      <c r="J32" s="20"/>
    </row>
    <row r="33" spans="1:10" s="24" customFormat="1" ht="13.5" thickBot="1" x14ac:dyDescent="0.25">
      <c r="A33" s="18">
        <v>24</v>
      </c>
      <c r="B33" s="18"/>
      <c r="C33" s="18" t="s">
        <v>19</v>
      </c>
      <c r="D33" s="18">
        <v>295</v>
      </c>
      <c r="E33" s="31" t="s">
        <v>93</v>
      </c>
      <c r="F33" s="18" t="s">
        <v>18</v>
      </c>
      <c r="G33" s="19">
        <v>288</v>
      </c>
      <c r="H33" s="32">
        <v>782</v>
      </c>
      <c r="I33" s="30">
        <f t="shared" si="0"/>
        <v>225216</v>
      </c>
      <c r="J33" s="20"/>
    </row>
    <row r="34" spans="1:10" s="28" customFormat="1" ht="13.5" thickBot="1" x14ac:dyDescent="0.25">
      <c r="A34" s="26"/>
      <c r="B34" s="23"/>
      <c r="C34" s="23"/>
      <c r="D34" s="23"/>
      <c r="E34" s="22" t="s">
        <v>95</v>
      </c>
      <c r="F34" s="23"/>
      <c r="G34" s="35"/>
      <c r="H34" s="25"/>
      <c r="I34" s="33">
        <f>SUM(I10:I33)</f>
        <v>5339124</v>
      </c>
      <c r="J34" s="27"/>
    </row>
    <row r="35" spans="1:10" ht="15.75" thickBot="1" x14ac:dyDescent="0.3"/>
    <row r="36" spans="1:10" ht="150.75" customHeight="1" x14ac:dyDescent="0.25">
      <c r="C36" s="85" t="s">
        <v>57</v>
      </c>
      <c r="D36" s="126" t="s">
        <v>58</v>
      </c>
      <c r="E36" s="127"/>
    </row>
    <row r="37" spans="1:10" x14ac:dyDescent="0.25">
      <c r="C37" s="86"/>
      <c r="D37" s="87"/>
      <c r="E37" s="91"/>
    </row>
    <row r="38" spans="1:10" x14ac:dyDescent="0.25">
      <c r="C38" s="88" t="s">
        <v>59</v>
      </c>
      <c r="D38" s="120" t="s">
        <v>70</v>
      </c>
      <c r="E38" s="121"/>
    </row>
    <row r="39" spans="1:10" x14ac:dyDescent="0.25">
      <c r="C39" s="88"/>
      <c r="D39" s="87"/>
      <c r="E39" s="91"/>
    </row>
    <row r="40" spans="1:10" ht="27" customHeight="1" x14ac:dyDescent="0.25">
      <c r="C40" s="88" t="s">
        <v>60</v>
      </c>
      <c r="D40" s="120" t="s">
        <v>61</v>
      </c>
      <c r="E40" s="121"/>
    </row>
    <row r="41" spans="1:10" x14ac:dyDescent="0.25">
      <c r="C41" s="88"/>
      <c r="D41" s="87"/>
      <c r="E41" s="91"/>
    </row>
    <row r="42" spans="1:10" x14ac:dyDescent="0.25">
      <c r="C42" s="89" t="s">
        <v>62</v>
      </c>
      <c r="D42" s="92"/>
      <c r="E42" s="91"/>
    </row>
    <row r="43" spans="1:10" x14ac:dyDescent="0.25">
      <c r="C43" s="89"/>
      <c r="D43" s="92"/>
      <c r="E43" s="91"/>
    </row>
    <row r="44" spans="1:10" ht="15.75" thickBot="1" x14ac:dyDescent="0.3">
      <c r="C44" s="90" t="s">
        <v>63</v>
      </c>
      <c r="D44" s="122" t="s">
        <v>64</v>
      </c>
      <c r="E44" s="123"/>
    </row>
  </sheetData>
  <mergeCells count="9">
    <mergeCell ref="D40:E40"/>
    <mergeCell ref="D44:E44"/>
    <mergeCell ref="A7:B7"/>
    <mergeCell ref="A6:B6"/>
    <mergeCell ref="B2:H2"/>
    <mergeCell ref="A4:B4"/>
    <mergeCell ref="A5:B5"/>
    <mergeCell ref="D36:E36"/>
    <mergeCell ref="D38:E38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8:C44">
    <cfRule type="duplicateValues" dxfId="3" priority="1"/>
  </conditionalFormatting>
  <conditionalFormatting sqref="C38:C44">
    <cfRule type="duplicateValues" dxfId="2" priority="2"/>
  </conditionalFormatting>
  <conditionalFormatting sqref="C38:C44">
    <cfRule type="duplicateValues" dxfId="1" priority="3"/>
  </conditionalFormatting>
  <conditionalFormatting sqref="C38:C44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opLeftCell="A13" workbookViewId="0">
      <selection activeCell="K2" sqref="K2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28515625" customWidth="1"/>
    <col min="8" max="8" width="9.28515625" customWidth="1"/>
    <col min="9" max="9" width="15.5703125" customWidth="1"/>
    <col min="10" max="10" width="14.7109375" style="112" customWidth="1"/>
    <col min="11" max="11" width="15.5703125" customWidth="1"/>
    <col min="13" max="13" width="13" style="113" bestFit="1" customWidth="1"/>
  </cols>
  <sheetData>
    <row r="1" spans="1:13" ht="30.75" thickBot="1" x14ac:dyDescent="0.3">
      <c r="A1" s="144" t="s">
        <v>20</v>
      </c>
      <c r="B1" s="144"/>
      <c r="C1" s="144"/>
      <c r="D1" s="144"/>
      <c r="E1" s="144"/>
      <c r="F1" s="144"/>
      <c r="G1" s="144"/>
      <c r="H1" s="144"/>
      <c r="I1" s="144"/>
      <c r="J1" s="107" t="s">
        <v>21</v>
      </c>
      <c r="K1" s="40" t="s">
        <v>97</v>
      </c>
    </row>
    <row r="2" spans="1:13" ht="16.149999999999999" thickBot="1" x14ac:dyDescent="0.35">
      <c r="A2" s="41"/>
      <c r="B2" s="42"/>
      <c r="C2" s="42"/>
      <c r="D2" s="43"/>
      <c r="E2" s="43"/>
      <c r="F2" s="43"/>
      <c r="G2" s="43"/>
      <c r="H2" s="43"/>
      <c r="I2" s="43"/>
      <c r="J2" s="108"/>
      <c r="K2" s="44"/>
    </row>
    <row r="3" spans="1:13" ht="16.5" thickBot="1" x14ac:dyDescent="0.3">
      <c r="A3" s="139" t="s">
        <v>22</v>
      </c>
      <c r="B3" s="139"/>
      <c r="C3" s="139"/>
      <c r="D3" s="140" t="str">
        <f>'SAF 011'!C4</f>
        <v>040 - MINISTERIO DE SALUD</v>
      </c>
      <c r="E3" s="140"/>
      <c r="F3" s="140"/>
      <c r="G3" s="140"/>
      <c r="H3" s="140"/>
      <c r="I3" s="140"/>
      <c r="J3" s="140"/>
      <c r="K3" s="140"/>
    </row>
    <row r="4" spans="1:13" ht="16.149999999999999" thickBot="1" x14ac:dyDescent="0.35">
      <c r="A4" s="141" t="s">
        <v>23</v>
      </c>
      <c r="B4" s="141"/>
      <c r="C4" s="141"/>
      <c r="D4" s="140" t="str">
        <f>'SAF 011'!C5</f>
        <v>011 - DIRECCION PROVINCIAL DE ADMINISTRACION - MINISTERIO DE SALUD</v>
      </c>
      <c r="E4" s="140"/>
      <c r="F4" s="140"/>
      <c r="G4" s="140"/>
      <c r="H4" s="140"/>
      <c r="I4" s="140"/>
      <c r="J4" s="140"/>
      <c r="K4" s="140"/>
    </row>
    <row r="5" spans="1:13" ht="16.149999999999999" thickBot="1" x14ac:dyDescent="0.35">
      <c r="A5" s="141" t="s">
        <v>24</v>
      </c>
      <c r="B5" s="141"/>
      <c r="C5" s="141"/>
      <c r="D5" s="140" t="s">
        <v>65</v>
      </c>
      <c r="E5" s="140"/>
      <c r="F5" s="140"/>
      <c r="G5" s="140"/>
      <c r="H5" s="140"/>
      <c r="I5" s="140"/>
      <c r="J5" s="140"/>
      <c r="K5" s="140"/>
    </row>
    <row r="6" spans="1:13" ht="16.149999999999999" thickBot="1" x14ac:dyDescent="0.35">
      <c r="A6" s="139" t="s">
        <v>25</v>
      </c>
      <c r="B6" s="139"/>
      <c r="C6" s="139"/>
      <c r="D6" s="140" t="s">
        <v>65</v>
      </c>
      <c r="E6" s="140"/>
      <c r="F6" s="140"/>
      <c r="G6" s="140"/>
      <c r="H6" s="140"/>
      <c r="I6" s="140"/>
      <c r="J6" s="140"/>
      <c r="K6" s="140"/>
    </row>
    <row r="7" spans="1:13" ht="16.5" thickBot="1" x14ac:dyDescent="0.3">
      <c r="A7" s="141" t="s">
        <v>26</v>
      </c>
      <c r="B7" s="141"/>
      <c r="C7" s="141"/>
      <c r="D7" s="140" t="s">
        <v>66</v>
      </c>
      <c r="E7" s="140"/>
      <c r="F7" s="140"/>
      <c r="G7" s="140"/>
      <c r="H7" s="140"/>
      <c r="I7" s="140"/>
      <c r="J7" s="140"/>
      <c r="K7" s="140"/>
    </row>
    <row r="8" spans="1:13" ht="16.149999999999999" thickBot="1" x14ac:dyDescent="0.35">
      <c r="A8" s="142" t="s">
        <v>27</v>
      </c>
      <c r="B8" s="142"/>
      <c r="C8" s="142"/>
      <c r="D8" s="143" t="s">
        <v>96</v>
      </c>
      <c r="E8" s="143"/>
      <c r="F8" s="143"/>
      <c r="G8" s="143"/>
      <c r="H8" s="143"/>
      <c r="I8" s="143"/>
      <c r="J8" s="143"/>
      <c r="K8" s="143"/>
    </row>
    <row r="9" spans="1:13" ht="16.149999999999999" thickBot="1" x14ac:dyDescent="0.35">
      <c r="A9" s="45"/>
      <c r="B9" s="46"/>
      <c r="C9" s="46"/>
      <c r="D9" s="47"/>
      <c r="E9" s="47"/>
      <c r="F9" s="47"/>
      <c r="G9" s="47"/>
      <c r="H9" s="47"/>
      <c r="I9" s="47"/>
      <c r="J9" s="109"/>
      <c r="K9" s="48"/>
    </row>
    <row r="10" spans="1:13" ht="15.75" thickBot="1" x14ac:dyDescent="0.3">
      <c r="A10" s="138" t="s">
        <v>28</v>
      </c>
      <c r="B10" s="136" t="s">
        <v>29</v>
      </c>
      <c r="C10" s="136" t="s">
        <v>30</v>
      </c>
      <c r="D10" s="136"/>
      <c r="E10" s="136"/>
      <c r="F10" s="136"/>
      <c r="G10" s="136"/>
      <c r="H10" s="136" t="s">
        <v>31</v>
      </c>
      <c r="I10" s="136" t="s">
        <v>32</v>
      </c>
      <c r="J10" s="137" t="s">
        <v>33</v>
      </c>
      <c r="K10" s="134" t="s">
        <v>34</v>
      </c>
    </row>
    <row r="11" spans="1:13" ht="30.75" customHeight="1" thickBot="1" x14ac:dyDescent="0.3">
      <c r="A11" s="138"/>
      <c r="B11" s="136"/>
      <c r="C11" s="136"/>
      <c r="D11" s="136"/>
      <c r="E11" s="136"/>
      <c r="F11" s="136"/>
      <c r="G11" s="136"/>
      <c r="H11" s="136"/>
      <c r="I11" s="136"/>
      <c r="J11" s="137"/>
      <c r="K11" s="134"/>
    </row>
    <row r="12" spans="1:13" s="96" customFormat="1" x14ac:dyDescent="0.25">
      <c r="A12" s="97">
        <v>1</v>
      </c>
      <c r="B12" s="98"/>
      <c r="C12" s="135" t="str">
        <f>'SAF 011'!E10</f>
        <v>HILO DE LINO N° 20  ROLLO X 170 MTS</v>
      </c>
      <c r="D12" s="135"/>
      <c r="E12" s="135"/>
      <c r="F12" s="135"/>
      <c r="G12" s="135"/>
      <c r="H12" s="101" t="s">
        <v>68</v>
      </c>
      <c r="I12" s="102" t="str">
        <f>'SAF 011'!F10</f>
        <v>UNIDAD</v>
      </c>
      <c r="J12" s="110">
        <f>'SAF 011'!H10</f>
        <v>2100</v>
      </c>
      <c r="K12" s="103" t="e">
        <f>'SAF 011'!#REF!</f>
        <v>#REF!</v>
      </c>
      <c r="M12" s="113" t="e">
        <f>+J12*K12</f>
        <v>#REF!</v>
      </c>
    </row>
    <row r="13" spans="1:13" s="96" customFormat="1" ht="16.5" customHeight="1" x14ac:dyDescent="0.3">
      <c r="A13" s="99">
        <v>2</v>
      </c>
      <c r="B13" s="100"/>
      <c r="C13" s="130" t="str">
        <f>'SAF 011'!E11</f>
        <v>HILO DE LINO N° 30  ROLLO X 290 MTS</v>
      </c>
      <c r="D13" s="131"/>
      <c r="E13" s="131"/>
      <c r="F13" s="131"/>
      <c r="G13" s="132"/>
      <c r="H13" s="104" t="s">
        <v>68</v>
      </c>
      <c r="I13" s="105" t="str">
        <f>'SAF 011'!F11</f>
        <v>UNIDAD</v>
      </c>
      <c r="J13" s="111">
        <f>'SAF 011'!H11</f>
        <v>2100</v>
      </c>
      <c r="K13" s="106" t="e">
        <f>'SAF 011'!#REF!</f>
        <v>#REF!</v>
      </c>
      <c r="M13" s="113" t="e">
        <f t="shared" ref="M13:M35" si="0">+J13*K13</f>
        <v>#REF!</v>
      </c>
    </row>
    <row r="14" spans="1:13" s="96" customFormat="1" ht="16.5" customHeight="1" x14ac:dyDescent="0.3">
      <c r="A14" s="99">
        <v>3</v>
      </c>
      <c r="B14" s="100"/>
      <c r="C14" s="130" t="str">
        <f>'SAF 011'!E12</f>
        <v>HILO DE LINO N° 40  ROLLO X 375 MTS</v>
      </c>
      <c r="D14" s="131"/>
      <c r="E14" s="131"/>
      <c r="F14" s="131"/>
      <c r="G14" s="132"/>
      <c r="H14" s="104" t="s">
        <v>68</v>
      </c>
      <c r="I14" s="105" t="str">
        <f>'SAF 011'!F12</f>
        <v>UNIDAD</v>
      </c>
      <c r="J14" s="111">
        <f>'SAF 011'!H12</f>
        <v>2150</v>
      </c>
      <c r="K14" s="106" t="e">
        <f>'SAF 011'!#REF!</f>
        <v>#REF!</v>
      </c>
      <c r="M14" s="113" t="e">
        <f t="shared" si="0"/>
        <v>#REF!</v>
      </c>
    </row>
    <row r="15" spans="1:13" s="96" customFormat="1" ht="16.5" customHeight="1" x14ac:dyDescent="0.3">
      <c r="A15" s="99">
        <v>4</v>
      </c>
      <c r="B15" s="100"/>
      <c r="C15" s="130" t="str">
        <f>'SAF 011'!E13</f>
        <v>HILO DE LINO N° 60 ROLLO X 590 MTS</v>
      </c>
      <c r="D15" s="131"/>
      <c r="E15" s="131"/>
      <c r="F15" s="131"/>
      <c r="G15" s="132"/>
      <c r="H15" s="104" t="s">
        <v>68</v>
      </c>
      <c r="I15" s="105" t="str">
        <f>'SAF 011'!F13</f>
        <v>UNIDAD</v>
      </c>
      <c r="J15" s="111">
        <f>'SAF 011'!H13</f>
        <v>2200</v>
      </c>
      <c r="K15" s="106" t="e">
        <f>'SAF 011'!#REF!</f>
        <v>#REF!</v>
      </c>
      <c r="M15" s="113" t="e">
        <f t="shared" si="0"/>
        <v>#REF!</v>
      </c>
    </row>
    <row r="16" spans="1:13" s="96" customFormat="1" ht="16.5" customHeight="1" x14ac:dyDescent="0.3">
      <c r="A16" s="99">
        <v>5</v>
      </c>
      <c r="B16" s="100"/>
      <c r="C16" s="130" t="str">
        <f>'SAF 011'!E14</f>
        <v>HILO DE LINO N° 80 ROLLO X 780 MTS</v>
      </c>
      <c r="D16" s="131"/>
      <c r="E16" s="131"/>
      <c r="F16" s="131"/>
      <c r="G16" s="132"/>
      <c r="H16" s="104" t="s">
        <v>68</v>
      </c>
      <c r="I16" s="105" t="str">
        <f>'SAF 011'!F14</f>
        <v>UNIDAD</v>
      </c>
      <c r="J16" s="111">
        <f>'SAF 011'!H14</f>
        <v>2300</v>
      </c>
      <c r="K16" s="106" t="e">
        <f>'SAF 011'!#REF!</f>
        <v>#REF!</v>
      </c>
      <c r="M16" s="113" t="e">
        <f t="shared" si="0"/>
        <v>#REF!</v>
      </c>
    </row>
    <row r="17" spans="1:13" s="96" customFormat="1" ht="16.5" customHeight="1" x14ac:dyDescent="0.3">
      <c r="A17" s="99">
        <v>6</v>
      </c>
      <c r="B17" s="100"/>
      <c r="C17" s="130" t="str">
        <f>'SAF 011'!E15</f>
        <v>HILO DE LINO N°100 ROLLO X 950 MTS</v>
      </c>
      <c r="D17" s="131"/>
      <c r="E17" s="131"/>
      <c r="F17" s="131"/>
      <c r="G17" s="132"/>
      <c r="H17" s="104" t="s">
        <v>68</v>
      </c>
      <c r="I17" s="105" t="str">
        <f>'SAF 011'!F15</f>
        <v>UNIDAD</v>
      </c>
      <c r="J17" s="111">
        <f>'SAF 011'!H15</f>
        <v>2350</v>
      </c>
      <c r="K17" s="106" t="e">
        <f>'SAF 011'!#REF!</f>
        <v>#REF!</v>
      </c>
      <c r="M17" s="113" t="e">
        <f t="shared" si="0"/>
        <v>#REF!</v>
      </c>
    </row>
    <row r="18" spans="1:13" s="96" customFormat="1" ht="16.5" customHeight="1" x14ac:dyDescent="0.3">
      <c r="A18" s="99">
        <v>7</v>
      </c>
      <c r="B18" s="100"/>
      <c r="C18" s="130" t="str">
        <f>'SAF 011'!E16</f>
        <v>HILO DE SUTURA CATGUT  CROMICO Nº0 CON AGUJA  CT -1  1/2 CIRC 36.4 mm TIPO ETHICON 812 T  X  UNIDAD</v>
      </c>
      <c r="D18" s="131"/>
      <c r="E18" s="131"/>
      <c r="F18" s="131"/>
      <c r="G18" s="132"/>
      <c r="H18" s="104" t="s">
        <v>68</v>
      </c>
      <c r="I18" s="105" t="str">
        <f>'SAF 011'!F16</f>
        <v>UNIDAD</v>
      </c>
      <c r="J18" s="111">
        <f>'SAF 011'!H16</f>
        <v>345</v>
      </c>
      <c r="K18" s="106" t="e">
        <f>'SAF 011'!#REF!</f>
        <v>#REF!</v>
      </c>
      <c r="M18" s="113" t="e">
        <f t="shared" si="0"/>
        <v>#REF!</v>
      </c>
    </row>
    <row r="19" spans="1:13" s="96" customFormat="1" ht="16.5" customHeight="1" x14ac:dyDescent="0.3">
      <c r="A19" s="99">
        <v>8</v>
      </c>
      <c r="B19" s="100"/>
      <c r="C19" s="130" t="str">
        <f>'SAF 011'!E17</f>
        <v>HILO DE SUTURA CATGUT CROMICO Nro 1 CON AGUJA CT -1  1/2 CIRC 36.4 mm TIPO ETHICON 813 T X UNIDAD</v>
      </c>
      <c r="D19" s="131"/>
      <c r="E19" s="131"/>
      <c r="F19" s="131"/>
      <c r="G19" s="132"/>
      <c r="H19" s="104" t="s">
        <v>68</v>
      </c>
      <c r="I19" s="114" t="str">
        <f>'SAF 011'!F17</f>
        <v>UNIDAD</v>
      </c>
      <c r="J19" s="111">
        <f>'SAF 011'!H17</f>
        <v>345</v>
      </c>
      <c r="K19" s="106" t="e">
        <f>'SAF 011'!#REF!</f>
        <v>#REF!</v>
      </c>
      <c r="M19" s="113" t="e">
        <f t="shared" si="0"/>
        <v>#REF!</v>
      </c>
    </row>
    <row r="20" spans="1:13" s="96" customFormat="1" ht="16.5" customHeight="1" x14ac:dyDescent="0.3">
      <c r="A20" s="99">
        <v>9</v>
      </c>
      <c r="B20" s="100"/>
      <c r="C20" s="130" t="str">
        <f>'SAF 011'!E18</f>
        <v>HILO DE SUTURA CATGUT CROMICO Nro 2 CON AGUJA CT -1  1/2 CIRC 36.4 mm TIPO ETHICON 814 T  X UNIDAD</v>
      </c>
      <c r="D20" s="131"/>
      <c r="E20" s="131"/>
      <c r="F20" s="131"/>
      <c r="G20" s="132"/>
      <c r="H20" s="104" t="s">
        <v>68</v>
      </c>
      <c r="I20" s="114" t="str">
        <f>'SAF 011'!F18</f>
        <v>UNIDAD</v>
      </c>
      <c r="J20" s="111">
        <f>'SAF 011'!H18</f>
        <v>345</v>
      </c>
      <c r="K20" s="106" t="e">
        <f>'SAF 011'!#REF!</f>
        <v>#REF!</v>
      </c>
      <c r="M20" s="113" t="e">
        <f t="shared" si="0"/>
        <v>#REF!</v>
      </c>
    </row>
    <row r="21" spans="1:13" s="96" customFormat="1" ht="16.5" customHeight="1" x14ac:dyDescent="0.3">
      <c r="A21" s="99">
        <v>10</v>
      </c>
      <c r="B21" s="100"/>
      <c r="C21" s="130" t="str">
        <f>'SAF 011'!E19</f>
        <v>SUT.ABS.CATGUT  SIMP. 1  SIN AGUJA X 150 CM X UNIDAD</v>
      </c>
      <c r="D21" s="131"/>
      <c r="E21" s="131"/>
      <c r="F21" s="131"/>
      <c r="G21" s="132"/>
      <c r="H21" s="104" t="s">
        <v>68</v>
      </c>
      <c r="I21" s="114" t="str">
        <f>'SAF 011'!F19</f>
        <v>UNIDAD</v>
      </c>
      <c r="J21" s="111">
        <f>'SAF 011'!H19</f>
        <v>340</v>
      </c>
      <c r="K21" s="106" t="e">
        <f>'SAF 011'!#REF!</f>
        <v>#REF!</v>
      </c>
      <c r="M21" s="113" t="e">
        <f t="shared" si="0"/>
        <v>#REF!</v>
      </c>
    </row>
    <row r="22" spans="1:13" s="96" customFormat="1" ht="16.5" customHeight="1" x14ac:dyDescent="0.3">
      <c r="A22" s="99">
        <v>11</v>
      </c>
      <c r="B22" s="100"/>
      <c r="C22" s="130" t="str">
        <f>'SAF 011'!E20</f>
        <v>SUT.N/ABS.MONONYLON  4-0  TIPO DAFILON BRAUN  COD OFTAL. 0936103   X 1 UNID.</v>
      </c>
      <c r="D22" s="131"/>
      <c r="E22" s="131"/>
      <c r="F22" s="131"/>
      <c r="G22" s="132"/>
      <c r="H22" s="104" t="s">
        <v>68</v>
      </c>
      <c r="I22" s="114" t="str">
        <f>'SAF 011'!F20</f>
        <v>UNIDAD</v>
      </c>
      <c r="J22" s="111">
        <f>'SAF 011'!H20</f>
        <v>245</v>
      </c>
      <c r="K22" s="106" t="e">
        <f>'SAF 011'!#REF!</f>
        <v>#REF!</v>
      </c>
      <c r="M22" s="113" t="e">
        <f t="shared" si="0"/>
        <v>#REF!</v>
      </c>
    </row>
    <row r="23" spans="1:13" s="96" customFormat="1" ht="16.5" customHeight="1" x14ac:dyDescent="0.3">
      <c r="A23" s="99">
        <v>12</v>
      </c>
      <c r="B23" s="100"/>
      <c r="C23" s="130" t="str">
        <f>'SAF 011'!E21</f>
        <v>SUT.N/ABS.MONONYLON  5/0  TIPO DAFILON BRAUN COD OFTAL. 0936090  X 1 UNID.</v>
      </c>
      <c r="D23" s="131"/>
      <c r="E23" s="131"/>
      <c r="F23" s="131"/>
      <c r="G23" s="132"/>
      <c r="H23" s="104" t="s">
        <v>68</v>
      </c>
      <c r="I23" s="114" t="str">
        <f>'SAF 011'!F21</f>
        <v>UNIDAD</v>
      </c>
      <c r="J23" s="111">
        <f>'SAF 011'!H21</f>
        <v>245</v>
      </c>
      <c r="K23" s="106" t="e">
        <f>'SAF 011'!#REF!</f>
        <v>#REF!</v>
      </c>
      <c r="M23" s="113" t="e">
        <f t="shared" si="0"/>
        <v>#REF!</v>
      </c>
    </row>
    <row r="24" spans="1:13" s="96" customFormat="1" ht="16.5" customHeight="1" x14ac:dyDescent="0.3">
      <c r="A24" s="99">
        <v>13</v>
      </c>
      <c r="B24" s="100"/>
      <c r="C24" s="130" t="str">
        <f>'SAF 011'!E22</f>
        <v>SUTURA QUIRURGICA ACIDO POLIGLICOLICO TRENZADA ABSORBIBLE T/VICRYL N°2-0 J339 H X 1 UNID.</v>
      </c>
      <c r="D24" s="131"/>
      <c r="E24" s="131"/>
      <c r="F24" s="131"/>
      <c r="G24" s="132"/>
      <c r="H24" s="104" t="s">
        <v>68</v>
      </c>
      <c r="I24" s="114" t="str">
        <f>'SAF 011'!F22</f>
        <v>UNIDAD</v>
      </c>
      <c r="J24" s="111">
        <f>'SAF 011'!H22</f>
        <v>280</v>
      </c>
      <c r="K24" s="106" t="e">
        <f>'SAF 011'!#REF!</f>
        <v>#REF!</v>
      </c>
      <c r="M24" s="113" t="e">
        <f t="shared" si="0"/>
        <v>#REF!</v>
      </c>
    </row>
    <row r="25" spans="1:13" s="96" customFormat="1" ht="16.5" customHeight="1" x14ac:dyDescent="0.3">
      <c r="A25" s="99">
        <v>14</v>
      </c>
      <c r="B25" s="100"/>
      <c r="C25" s="130" t="str">
        <f>'SAF 011'!E23</f>
        <v>SUTURA QUIRURGICA ACIDO POLIGLICOLICO TRENZADA ABSORBIBLE TIPO VIRYL Nº 3-0 CODIGO J316 C / AGUJA</v>
      </c>
      <c r="D25" s="131"/>
      <c r="E25" s="131"/>
      <c r="F25" s="131"/>
      <c r="G25" s="132"/>
      <c r="H25" s="104" t="s">
        <v>68</v>
      </c>
      <c r="I25" s="114" t="str">
        <f>'SAF 011'!F23</f>
        <v>UNIDAD</v>
      </c>
      <c r="J25" s="111">
        <f>'SAF 011'!H23</f>
        <v>280</v>
      </c>
      <c r="K25" s="106" t="e">
        <f>'SAF 011'!#REF!</f>
        <v>#REF!</v>
      </c>
      <c r="M25" s="113" t="e">
        <f t="shared" si="0"/>
        <v>#REF!</v>
      </c>
    </row>
    <row r="26" spans="1:13" s="96" customFormat="1" ht="16.5" customHeight="1" x14ac:dyDescent="0.3">
      <c r="A26" s="99">
        <v>15</v>
      </c>
      <c r="B26" s="100"/>
      <c r="C26" s="130" t="str">
        <f>'SAF 011'!E24</f>
        <v>SUTURA QUIRURGICA ACIDO POLIGLICOLICO TRENZADA ABSORBIBLE TIPO VIRYL Nº 4-0 CODIGO J315 C / AGUJA</v>
      </c>
      <c r="D26" s="131"/>
      <c r="E26" s="131"/>
      <c r="F26" s="131"/>
      <c r="G26" s="132"/>
      <c r="H26" s="104" t="s">
        <v>68</v>
      </c>
      <c r="I26" s="114" t="str">
        <f>'SAF 011'!F24</f>
        <v>UNIDAD</v>
      </c>
      <c r="J26" s="111">
        <f>'SAF 011'!H24</f>
        <v>280</v>
      </c>
      <c r="K26" s="106" t="e">
        <f>'SAF 011'!#REF!</f>
        <v>#REF!</v>
      </c>
      <c r="M26" s="113" t="e">
        <f t="shared" si="0"/>
        <v>#REF!</v>
      </c>
    </row>
    <row r="27" spans="1:13" s="96" customFormat="1" ht="16.5" customHeight="1" x14ac:dyDescent="0.3">
      <c r="A27" s="99">
        <v>16</v>
      </c>
      <c r="B27" s="100"/>
      <c r="C27" s="130" t="str">
        <f>'SAF 011'!E25</f>
        <v>SUTURA QUIRURGICA ACIDO POLIGLICOLICO TRENZADA ABSORBIBLE TIPO VIRYL Nº 5-0 CODIGO J314 C / AGUJA</v>
      </c>
      <c r="D27" s="131"/>
      <c r="E27" s="131"/>
      <c r="F27" s="131"/>
      <c r="G27" s="132"/>
      <c r="H27" s="104" t="s">
        <v>68</v>
      </c>
      <c r="I27" s="114" t="str">
        <f>'SAF 011'!F25</f>
        <v>UNIDAD</v>
      </c>
      <c r="J27" s="111">
        <f>'SAF 011'!H25</f>
        <v>280</v>
      </c>
      <c r="K27" s="106" t="e">
        <f>'SAF 011'!#REF!</f>
        <v>#REF!</v>
      </c>
      <c r="M27" s="113" t="e">
        <f t="shared" si="0"/>
        <v>#REF!</v>
      </c>
    </row>
    <row r="28" spans="1:13" s="96" customFormat="1" ht="16.5" customHeight="1" x14ac:dyDescent="0.3">
      <c r="A28" s="99">
        <v>17</v>
      </c>
      <c r="B28" s="100"/>
      <c r="C28" s="130" t="str">
        <f>'SAF 011'!E26</f>
        <v>SUTURA QUIRURGICA ACIDO POLIGLICOLICO TRENZADA ABSROBIBLE TIPO VICRYL  1  J 353 H x UNIDAD</v>
      </c>
      <c r="D28" s="131"/>
      <c r="E28" s="131"/>
      <c r="F28" s="131"/>
      <c r="G28" s="132"/>
      <c r="H28" s="104" t="s">
        <v>68</v>
      </c>
      <c r="I28" s="114" t="str">
        <f>'SAF 011'!F26</f>
        <v>UNIDAD</v>
      </c>
      <c r="J28" s="111">
        <f>'SAF 011'!H26</f>
        <v>235</v>
      </c>
      <c r="K28" s="106" t="e">
        <f>'SAF 011'!#REF!</f>
        <v>#REF!</v>
      </c>
      <c r="M28" s="113" t="e">
        <f t="shared" si="0"/>
        <v>#REF!</v>
      </c>
    </row>
    <row r="29" spans="1:13" s="96" customFormat="1" ht="16.5" customHeight="1" x14ac:dyDescent="0.3">
      <c r="A29" s="99">
        <v>18</v>
      </c>
      <c r="B29" s="100"/>
      <c r="C29" s="130" t="str">
        <f>'SAF 011'!E27</f>
        <v>SUTURA QUIRURGICA ACIDO POLIGLICOLICO TRENZADA ABSROBIBLE TIPO VICRYL 0 J340 H CON AGUJA X UNIDAD</v>
      </c>
      <c r="D29" s="131"/>
      <c r="E29" s="131"/>
      <c r="F29" s="131"/>
      <c r="G29" s="132"/>
      <c r="H29" s="104" t="s">
        <v>68</v>
      </c>
      <c r="I29" s="105" t="str">
        <f>'SAF 011'!F27</f>
        <v>UNIDAD</v>
      </c>
      <c r="J29" s="111">
        <f>'SAF 011'!H27</f>
        <v>235</v>
      </c>
      <c r="K29" s="106" t="e">
        <f>'SAF 011'!#REF!</f>
        <v>#REF!</v>
      </c>
      <c r="M29" s="113" t="e">
        <f t="shared" si="0"/>
        <v>#REF!</v>
      </c>
    </row>
    <row r="30" spans="1:13" s="96" customFormat="1" ht="16.5" customHeight="1" x14ac:dyDescent="0.3">
      <c r="A30" s="99">
        <v>19</v>
      </c>
      <c r="B30" s="100"/>
      <c r="C30" s="130" t="str">
        <f>'SAF 011'!E28</f>
        <v>SUTURA QUIRURGICA ACIDO POLIGLICOLICO TRENZADA ABSROBIBLE TIPO VICRYL 1 J341 CON AGUJA X UNIDAD</v>
      </c>
      <c r="D30" s="131"/>
      <c r="E30" s="131"/>
      <c r="F30" s="131"/>
      <c r="G30" s="132"/>
      <c r="H30" s="104" t="s">
        <v>68</v>
      </c>
      <c r="I30" s="105" t="str">
        <f>'SAF 011'!F28</f>
        <v>UNIDAD</v>
      </c>
      <c r="J30" s="111">
        <f>'SAF 011'!H28</f>
        <v>235</v>
      </c>
      <c r="K30" s="106" t="e">
        <f>'SAF 011'!#REF!</f>
        <v>#REF!</v>
      </c>
      <c r="M30" s="113" t="e">
        <f t="shared" si="0"/>
        <v>#REF!</v>
      </c>
    </row>
    <row r="31" spans="1:13" s="96" customFormat="1" ht="16.5" customHeight="1" x14ac:dyDescent="0.3">
      <c r="A31" s="99">
        <v>20</v>
      </c>
      <c r="B31" s="100"/>
      <c r="C31" s="130" t="str">
        <f>'SAF 011'!E29</f>
        <v>SUTURA QUIRURGICA ACIDO POLIGLICOLICO TRENZADA ABSROBIBLE TIPO VICRYL 2 J536 CON AGUJA /W9246 X UNIDAD</v>
      </c>
      <c r="D31" s="131"/>
      <c r="E31" s="131"/>
      <c r="F31" s="131"/>
      <c r="G31" s="132"/>
      <c r="H31" s="104" t="s">
        <v>68</v>
      </c>
      <c r="I31" s="105" t="str">
        <f>'SAF 011'!F29</f>
        <v>UNIDAD</v>
      </c>
      <c r="J31" s="111">
        <f>'SAF 011'!H29</f>
        <v>444</v>
      </c>
      <c r="K31" s="106" t="e">
        <f>'SAF 011'!#REF!</f>
        <v>#REF!</v>
      </c>
      <c r="M31" s="113" t="e">
        <f t="shared" si="0"/>
        <v>#REF!</v>
      </c>
    </row>
    <row r="32" spans="1:13" s="96" customFormat="1" ht="16.5" customHeight="1" x14ac:dyDescent="0.3">
      <c r="A32" s="99">
        <v>21</v>
      </c>
      <c r="B32" s="100"/>
      <c r="C32" s="130" t="str">
        <f>'SAF 011'!E30</f>
        <v>SUTURA QUIRURGICA POLIPROPILENO NO ABSORBIBLE TIPO PROLENE 1/0  CT CON AGUJA  8425 H X UNIDAD</v>
      </c>
      <c r="D32" s="131"/>
      <c r="E32" s="131"/>
      <c r="F32" s="131"/>
      <c r="G32" s="132"/>
      <c r="H32" s="104" t="s">
        <v>68</v>
      </c>
      <c r="I32" s="105" t="str">
        <f>'SAF 011'!F30</f>
        <v>UNIDAD</v>
      </c>
      <c r="J32" s="111">
        <f>'SAF 011'!H30</f>
        <v>765</v>
      </c>
      <c r="K32" s="106" t="e">
        <f>'SAF 011'!#REF!</f>
        <v>#REF!</v>
      </c>
      <c r="M32" s="113" t="e">
        <f t="shared" si="0"/>
        <v>#REF!</v>
      </c>
    </row>
    <row r="33" spans="1:13" s="96" customFormat="1" ht="16.5" customHeight="1" x14ac:dyDescent="0.25">
      <c r="A33" s="99">
        <v>22</v>
      </c>
      <c r="B33" s="100"/>
      <c r="C33" s="130" t="str">
        <f>'SAF 011'!E31</f>
        <v>SUTURA QUIRURGICA POLIPROPILENO NO ABSORBIBLE  2/0  TIPO PROLENE con aguja recta 8423 T POR UNIDAD</v>
      </c>
      <c r="D33" s="131"/>
      <c r="E33" s="131"/>
      <c r="F33" s="131"/>
      <c r="G33" s="132"/>
      <c r="H33" s="104" t="s">
        <v>68</v>
      </c>
      <c r="I33" s="114" t="str">
        <f>'SAF 011'!F31</f>
        <v>UNIDAD</v>
      </c>
      <c r="J33" s="111">
        <f>'SAF 011'!H31</f>
        <v>782</v>
      </c>
      <c r="K33" s="106" t="e">
        <f>'SAF 011'!#REF!</f>
        <v>#REF!</v>
      </c>
      <c r="M33" s="113" t="e">
        <f t="shared" si="0"/>
        <v>#REF!</v>
      </c>
    </row>
    <row r="34" spans="1:13" s="96" customFormat="1" ht="16.5" customHeight="1" x14ac:dyDescent="0.25">
      <c r="A34" s="99">
        <v>23</v>
      </c>
      <c r="B34" s="100"/>
      <c r="C34" s="130" t="str">
        <f>'SAF 011'!E32</f>
        <v>SUTURA QUIRURGICA POLIPROPILENO NO ABSORBIBLE  3/0 TIPO PROLENE  8622  H Con aguja recta POR UNIDAD</v>
      </c>
      <c r="D34" s="131"/>
      <c r="E34" s="131"/>
      <c r="F34" s="131"/>
      <c r="G34" s="132"/>
      <c r="H34" s="104" t="s">
        <v>68</v>
      </c>
      <c r="I34" s="114" t="str">
        <f>'SAF 011'!F32</f>
        <v>UNIDAD</v>
      </c>
      <c r="J34" s="111">
        <f>'SAF 011'!H32</f>
        <v>782</v>
      </c>
      <c r="K34" s="106" t="e">
        <f>'SAF 011'!#REF!</f>
        <v>#REF!</v>
      </c>
      <c r="M34" s="113" t="e">
        <f t="shared" si="0"/>
        <v>#REF!</v>
      </c>
    </row>
    <row r="35" spans="1:13" s="96" customFormat="1" ht="15.75" customHeight="1" x14ac:dyDescent="0.25">
      <c r="A35" s="99">
        <v>24</v>
      </c>
      <c r="B35" s="100"/>
      <c r="C35" s="130" t="str">
        <f>'SAF 011'!E33</f>
        <v>SUTURA QUIRURGICA POLIPROPILENO NO ABSORBIBLE 4/0 TIPO PROLENE  8521 T POR UNIDAD</v>
      </c>
      <c r="D35" s="131"/>
      <c r="E35" s="131"/>
      <c r="F35" s="131"/>
      <c r="G35" s="132"/>
      <c r="H35" s="104" t="s">
        <v>68</v>
      </c>
      <c r="I35" s="105" t="str">
        <f>'SAF 011'!F33</f>
        <v>UNIDAD</v>
      </c>
      <c r="J35" s="111">
        <f>'SAF 011'!H33</f>
        <v>782</v>
      </c>
      <c r="K35" s="106" t="e">
        <f>'SAF 011'!#REF!</f>
        <v>#REF!</v>
      </c>
      <c r="M35" s="113" t="e">
        <f t="shared" si="0"/>
        <v>#REF!</v>
      </c>
    </row>
    <row r="36" spans="1:13" s="96" customFormat="1" x14ac:dyDescent="0.25">
      <c r="A36" s="99"/>
      <c r="B36" s="100"/>
      <c r="C36" s="133"/>
      <c r="D36" s="133"/>
      <c r="E36" s="133"/>
      <c r="F36" s="133"/>
      <c r="G36" s="133"/>
      <c r="H36" s="104"/>
      <c r="I36" s="105"/>
      <c r="J36" s="111"/>
      <c r="K36" s="106"/>
      <c r="M36" s="113"/>
    </row>
    <row r="37" spans="1:13" s="115" customFormat="1" ht="39.75" customHeight="1" thickBot="1" x14ac:dyDescent="0.3">
      <c r="A37" s="128" t="s">
        <v>94</v>
      </c>
      <c r="B37" s="128"/>
      <c r="C37" s="128"/>
      <c r="D37" s="128"/>
      <c r="E37" s="128"/>
      <c r="F37" s="128"/>
      <c r="G37" s="128"/>
      <c r="H37" s="128"/>
      <c r="I37" s="128"/>
      <c r="J37" s="129" t="e">
        <f>+M37</f>
        <v>#REF!</v>
      </c>
      <c r="K37" s="129"/>
      <c r="M37" s="116" t="e">
        <f>SUM(M12:M36)</f>
        <v>#REF!</v>
      </c>
    </row>
  </sheetData>
  <mergeCells count="47">
    <mergeCell ref="C34:G34"/>
    <mergeCell ref="C25:G25"/>
    <mergeCell ref="C26:G26"/>
    <mergeCell ref="C27:G27"/>
    <mergeCell ref="C28:G28"/>
    <mergeCell ref="C33:G33"/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A37:I37"/>
    <mergeCell ref="J37:K37"/>
    <mergeCell ref="C17:G17"/>
    <mergeCell ref="C18:G18"/>
    <mergeCell ref="C29:G29"/>
    <mergeCell ref="C30:G30"/>
    <mergeCell ref="C31:G31"/>
    <mergeCell ref="C36:G36"/>
    <mergeCell ref="C32:G32"/>
    <mergeCell ref="C35:G35"/>
    <mergeCell ref="C19:G19"/>
    <mergeCell ref="C20:G20"/>
    <mergeCell ref="C21:G21"/>
    <mergeCell ref="C22:G22"/>
    <mergeCell ref="C23:G23"/>
    <mergeCell ref="C24:G2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4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62" t="s">
        <v>5</v>
      </c>
      <c r="B1" s="162"/>
      <c r="C1" s="162"/>
      <c r="D1" s="163">
        <v>2022</v>
      </c>
      <c r="E1" s="163"/>
      <c r="F1" s="49"/>
      <c r="G1" s="49"/>
      <c r="H1" s="50"/>
      <c r="I1" s="50"/>
      <c r="J1" s="50"/>
      <c r="K1" s="50"/>
      <c r="L1" s="50"/>
      <c r="M1" s="50"/>
      <c r="N1" s="50"/>
      <c r="O1" s="51"/>
      <c r="P1" s="164" t="s">
        <v>35</v>
      </c>
      <c r="Q1" s="164"/>
    </row>
    <row r="2" spans="1:17" ht="15.75" thickBot="1" x14ac:dyDescent="0.3">
      <c r="A2" s="52"/>
      <c r="B2" s="53"/>
      <c r="C2" s="53"/>
      <c r="D2" s="53"/>
      <c r="E2" s="53"/>
      <c r="F2" s="53"/>
      <c r="G2" s="54"/>
      <c r="H2" s="55"/>
      <c r="I2" s="55"/>
      <c r="J2" s="55"/>
      <c r="K2" s="55"/>
      <c r="L2" s="55"/>
      <c r="M2" s="55"/>
      <c r="N2" s="55"/>
      <c r="O2" s="53"/>
      <c r="P2" s="164"/>
      <c r="Q2" s="164"/>
    </row>
    <row r="3" spans="1:17" thickBot="1" x14ac:dyDescent="0.35">
      <c r="A3" s="52"/>
      <c r="B3" s="53"/>
      <c r="C3" s="53"/>
      <c r="D3" s="53"/>
      <c r="E3" s="53"/>
      <c r="F3" s="53"/>
      <c r="G3" s="54"/>
      <c r="H3" s="53"/>
      <c r="I3" s="53"/>
      <c r="J3" s="53"/>
      <c r="K3" s="53"/>
      <c r="L3" s="53"/>
      <c r="M3" s="53"/>
      <c r="N3" s="53"/>
      <c r="O3" s="53"/>
      <c r="P3" s="53"/>
      <c r="Q3" s="56"/>
    </row>
    <row r="4" spans="1:17" ht="15.75" thickBot="1" x14ac:dyDescent="0.3">
      <c r="A4" s="165" t="s">
        <v>36</v>
      </c>
      <c r="B4" s="165"/>
      <c r="C4" s="165"/>
      <c r="D4" s="165"/>
      <c r="E4" s="165"/>
      <c r="F4" s="165"/>
      <c r="G4" s="166" t="str">
        <f>NP!D3</f>
        <v>040 - MINISTERIO DE SALUD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thickBot="1" x14ac:dyDescent="0.35">
      <c r="A5" s="167" t="s">
        <v>23</v>
      </c>
      <c r="B5" s="167"/>
      <c r="C5" s="167"/>
      <c r="D5" s="167"/>
      <c r="E5" s="167"/>
      <c r="F5" s="167"/>
      <c r="G5" s="166" t="str">
        <f>NP!D4</f>
        <v>011 - DIRECCION PROVINCIAL DE ADMINISTRACION - MINISTERIO DE SALUD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7" thickBot="1" x14ac:dyDescent="0.35">
      <c r="A6" s="167" t="s">
        <v>24</v>
      </c>
      <c r="B6" s="167"/>
      <c r="C6" s="167"/>
      <c r="D6" s="167"/>
      <c r="E6" s="167"/>
      <c r="F6" s="167"/>
      <c r="G6" s="166" t="str">
        <f>NP!D5</f>
        <v>DIRECCION PROVINCIAL DE FARMACIA E INSUMOS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7" thickBot="1" x14ac:dyDescent="0.35">
      <c r="A7" s="167" t="s">
        <v>25</v>
      </c>
      <c r="B7" s="167"/>
      <c r="C7" s="167"/>
      <c r="D7" s="167"/>
      <c r="E7" s="167"/>
      <c r="F7" s="167"/>
      <c r="G7" s="166" t="str">
        <f>NP!D6</f>
        <v>DIRECCION PROVINCIAL DE FARMACIA E INSUMOS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</row>
    <row r="8" spans="1:17" ht="15.75" thickBot="1" x14ac:dyDescent="0.3">
      <c r="A8" s="168" t="s">
        <v>37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</row>
    <row r="9" spans="1:17" ht="20.25" customHeight="1" x14ac:dyDescent="0.25">
      <c r="A9" s="161" t="s">
        <v>38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</row>
    <row r="10" spans="1:17" ht="69" customHeight="1" x14ac:dyDescent="0.25">
      <c r="A10" s="154" t="s">
        <v>98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thickBot="1" x14ac:dyDescent="0.35">
      <c r="A11" s="57"/>
      <c r="B11" s="58"/>
      <c r="C11" s="58"/>
      <c r="D11" s="58"/>
      <c r="E11" s="58"/>
      <c r="F11" s="58"/>
      <c r="G11" s="59"/>
      <c r="H11" s="58"/>
      <c r="I11" s="58"/>
      <c r="J11" s="58"/>
      <c r="K11" s="58"/>
      <c r="L11" s="58"/>
      <c r="M11" s="58"/>
      <c r="N11" s="58"/>
      <c r="O11" s="58"/>
      <c r="P11" s="58"/>
      <c r="Q11" s="60"/>
    </row>
    <row r="12" spans="1:17" ht="15.75" thickBot="1" x14ac:dyDescent="0.3">
      <c r="A12" s="155" t="s">
        <v>39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thickBot="1" x14ac:dyDescent="0.3">
      <c r="A13" s="156" t="s">
        <v>40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41</v>
      </c>
      <c r="P13" s="157"/>
      <c r="Q13" s="158" t="s">
        <v>42</v>
      </c>
    </row>
    <row r="14" spans="1:17" ht="15.75" thickBot="1" x14ac:dyDescent="0.3">
      <c r="A14" s="61" t="s">
        <v>43</v>
      </c>
      <c r="B14" s="62" t="s">
        <v>44</v>
      </c>
      <c r="C14" s="62" t="s">
        <v>45</v>
      </c>
      <c r="D14" s="62" t="s">
        <v>46</v>
      </c>
      <c r="E14" s="62" t="s">
        <v>47</v>
      </c>
      <c r="F14" s="62" t="s">
        <v>48</v>
      </c>
      <c r="G14" s="63" t="s">
        <v>49</v>
      </c>
      <c r="H14" s="62" t="s">
        <v>50</v>
      </c>
      <c r="I14" s="62" t="s">
        <v>51</v>
      </c>
      <c r="J14" s="62" t="s">
        <v>52</v>
      </c>
      <c r="K14" s="62" t="s">
        <v>52</v>
      </c>
      <c r="L14" s="62" t="s">
        <v>53</v>
      </c>
      <c r="M14" s="64" t="s">
        <v>54</v>
      </c>
      <c r="N14" s="65" t="s">
        <v>55</v>
      </c>
      <c r="O14" s="157"/>
      <c r="P14" s="157"/>
      <c r="Q14" s="158"/>
    </row>
    <row r="15" spans="1:17" ht="48.75" customHeight="1" x14ac:dyDescent="0.3">
      <c r="A15" s="66">
        <v>30</v>
      </c>
      <c r="B15" s="67"/>
      <c r="C15" s="67"/>
      <c r="D15" s="67">
        <v>1</v>
      </c>
      <c r="E15" s="67"/>
      <c r="F15" s="67">
        <v>4901</v>
      </c>
      <c r="G15" s="67">
        <v>3</v>
      </c>
      <c r="H15" s="67">
        <v>1</v>
      </c>
      <c r="I15" s="67">
        <v>2</v>
      </c>
      <c r="J15" s="67">
        <v>9</v>
      </c>
      <c r="K15" s="67">
        <v>5</v>
      </c>
      <c r="L15" s="67"/>
      <c r="M15" s="68">
        <v>1</v>
      </c>
      <c r="N15" s="67" t="s">
        <v>67</v>
      </c>
      <c r="O15" s="159" t="s">
        <v>69</v>
      </c>
      <c r="P15" s="159"/>
      <c r="Q15" s="69" t="e">
        <f>NP!M37</f>
        <v>#REF!</v>
      </c>
    </row>
    <row r="16" spans="1:17" ht="14.45" x14ac:dyDescent="0.3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2"/>
      <c r="N16" s="73"/>
      <c r="O16" s="148"/>
      <c r="P16" s="148"/>
      <c r="Q16" s="74"/>
    </row>
    <row r="17" spans="1:17" ht="14.45" x14ac:dyDescent="0.3">
      <c r="A17" s="70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2"/>
      <c r="N17" s="73"/>
      <c r="O17" s="160"/>
      <c r="P17" s="160"/>
      <c r="Q17" s="74"/>
    </row>
    <row r="18" spans="1:17" ht="14.45" x14ac:dyDescent="0.3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2"/>
      <c r="N18" s="73"/>
      <c r="O18" s="153"/>
      <c r="P18" s="153"/>
      <c r="Q18" s="74"/>
    </row>
    <row r="19" spans="1:17" ht="14.45" x14ac:dyDescent="0.3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2"/>
      <c r="N19" s="73"/>
      <c r="O19" s="153"/>
      <c r="P19" s="153"/>
      <c r="Q19" s="74"/>
    </row>
    <row r="20" spans="1:17" x14ac:dyDescent="0.25">
      <c r="A20" s="70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2"/>
      <c r="N20" s="73"/>
      <c r="O20" s="153"/>
      <c r="P20" s="153"/>
      <c r="Q20" s="74"/>
    </row>
    <row r="21" spans="1:17" x14ac:dyDescent="0.25">
      <c r="A21" s="70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2"/>
      <c r="N21" s="73"/>
      <c r="O21" s="153"/>
      <c r="P21" s="153"/>
      <c r="Q21" s="74"/>
    </row>
    <row r="22" spans="1:17" x14ac:dyDescent="0.25">
      <c r="A22" s="70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2"/>
      <c r="N22" s="73"/>
      <c r="O22" s="153"/>
      <c r="P22" s="153"/>
      <c r="Q22" s="74"/>
    </row>
    <row r="23" spans="1:17" x14ac:dyDescent="0.25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2"/>
      <c r="N23" s="73"/>
      <c r="O23" s="153"/>
      <c r="P23" s="153"/>
      <c r="Q23" s="74"/>
    </row>
    <row r="24" spans="1:17" x14ac:dyDescent="0.25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2"/>
      <c r="N24" s="73"/>
      <c r="O24" s="153"/>
      <c r="P24" s="153"/>
      <c r="Q24" s="74"/>
    </row>
    <row r="25" spans="1:17" x14ac:dyDescent="0.25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2"/>
      <c r="N25" s="73"/>
      <c r="O25" s="153"/>
      <c r="P25" s="153"/>
      <c r="Q25" s="74"/>
    </row>
    <row r="26" spans="1:17" x14ac:dyDescent="0.25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2"/>
      <c r="N26" s="73"/>
      <c r="O26" s="153"/>
      <c r="P26" s="153"/>
      <c r="Q26" s="74"/>
    </row>
    <row r="27" spans="1:17" x14ac:dyDescent="0.25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2"/>
      <c r="N27" s="73"/>
      <c r="O27" s="153"/>
      <c r="P27" s="153"/>
      <c r="Q27" s="74"/>
    </row>
    <row r="28" spans="1:17" x14ac:dyDescent="0.25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2"/>
      <c r="N28" s="73"/>
      <c r="O28" s="153"/>
      <c r="P28" s="153"/>
      <c r="Q28" s="74"/>
    </row>
    <row r="29" spans="1:17" x14ac:dyDescent="0.25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2"/>
      <c r="N29" s="73"/>
      <c r="O29" s="153"/>
      <c r="P29" s="153"/>
      <c r="Q29" s="74"/>
    </row>
    <row r="30" spans="1:17" x14ac:dyDescent="0.25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2"/>
      <c r="N30" s="73"/>
      <c r="O30" s="153"/>
      <c r="P30" s="153"/>
      <c r="Q30" s="74"/>
    </row>
    <row r="31" spans="1:17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2"/>
      <c r="N31" s="73"/>
      <c r="O31" s="153"/>
      <c r="P31" s="153"/>
      <c r="Q31" s="74"/>
    </row>
    <row r="32" spans="1:17" x14ac:dyDescent="0.25">
      <c r="A32" s="70"/>
      <c r="B32" s="71"/>
      <c r="C32" s="71"/>
      <c r="D32" s="71"/>
      <c r="E32" s="71"/>
      <c r="F32" s="73"/>
      <c r="G32" s="71"/>
      <c r="H32" s="71"/>
      <c r="I32" s="71"/>
      <c r="J32" s="71"/>
      <c r="K32" s="71"/>
      <c r="L32" s="71"/>
      <c r="M32" s="72"/>
      <c r="N32" s="73"/>
      <c r="O32" s="148"/>
      <c r="P32" s="148"/>
      <c r="Q32" s="74"/>
    </row>
    <row r="33" spans="1:17" x14ac:dyDescent="0.25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2"/>
      <c r="N33" s="73"/>
      <c r="O33" s="148"/>
      <c r="P33" s="148"/>
      <c r="Q33" s="74"/>
    </row>
    <row r="34" spans="1:17" x14ac:dyDescent="0.25">
      <c r="A34" s="70"/>
      <c r="B34" s="71"/>
      <c r="C34" s="71"/>
      <c r="D34" s="71"/>
      <c r="E34" s="71"/>
      <c r="F34" s="73"/>
      <c r="G34" s="71"/>
      <c r="H34" s="71"/>
      <c r="I34" s="71"/>
      <c r="J34" s="71"/>
      <c r="K34" s="71"/>
      <c r="L34" s="71"/>
      <c r="M34" s="72"/>
      <c r="N34" s="73"/>
      <c r="O34" s="148"/>
      <c r="P34" s="148"/>
      <c r="Q34" s="74"/>
    </row>
    <row r="35" spans="1:17" x14ac:dyDescent="0.25">
      <c r="A35" s="70"/>
      <c r="B35" s="71"/>
      <c r="C35" s="71"/>
      <c r="D35" s="71"/>
      <c r="E35" s="71"/>
      <c r="F35" s="73"/>
      <c r="G35" s="71"/>
      <c r="H35" s="71"/>
      <c r="I35" s="71"/>
      <c r="J35" s="71"/>
      <c r="K35" s="71"/>
      <c r="L35" s="71"/>
      <c r="M35" s="72"/>
      <c r="N35" s="73"/>
      <c r="O35" s="148"/>
      <c r="P35" s="148"/>
      <c r="Q35" s="74"/>
    </row>
    <row r="36" spans="1:17" x14ac:dyDescent="0.25">
      <c r="A36" s="75"/>
      <c r="B36" s="76"/>
      <c r="C36" s="76"/>
      <c r="D36" s="76"/>
      <c r="E36" s="76"/>
      <c r="F36" s="77"/>
      <c r="G36" s="76"/>
      <c r="H36" s="76"/>
      <c r="I36" s="76"/>
      <c r="J36" s="76"/>
      <c r="K36" s="76"/>
      <c r="L36" s="76"/>
      <c r="M36" s="78"/>
      <c r="N36" s="79"/>
      <c r="O36" s="149"/>
      <c r="P36" s="149"/>
      <c r="Q36" s="74"/>
    </row>
    <row r="37" spans="1:17" ht="15.75" thickBot="1" x14ac:dyDescent="0.3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2"/>
      <c r="N37" s="81"/>
      <c r="O37" s="150"/>
      <c r="P37" s="150"/>
      <c r="Q37" s="83"/>
    </row>
    <row r="38" spans="1:17" ht="33" customHeight="1" thickBot="1" x14ac:dyDescent="0.3">
      <c r="A38" s="151" t="s">
        <v>99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84" t="e">
        <f>SUM(Q15:Q37)</f>
        <v>#REF!</v>
      </c>
    </row>
    <row r="39" spans="1:17" ht="15.75" thickBot="1" x14ac:dyDescent="0.3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</row>
    <row r="40" spans="1:17" ht="15.75" thickBot="1" x14ac:dyDescent="0.3">
      <c r="A40" s="145" t="s">
        <v>56</v>
      </c>
      <c r="B40" s="145"/>
      <c r="C40" s="145"/>
      <c r="D40" s="145"/>
      <c r="E40" s="145"/>
      <c r="F40" s="145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</row>
    <row r="41" spans="1:17" ht="15.75" thickBot="1" x14ac:dyDescent="0.3">
      <c r="A41" s="147" t="str">
        <f>NP!D8</f>
        <v>ADQUISICION DEL RUBRO SUTURAS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</row>
    <row r="42" spans="1:17" ht="15.75" thickBot="1" x14ac:dyDescent="0.3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2021-12-21T17:55:07Z</dcterms:created>
  <dcterms:modified xsi:type="dcterms:W3CDTF">2022-02-25T14:10:32Z</dcterms:modified>
</cp:coreProperties>
</file>