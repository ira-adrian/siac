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8800" windowHeight="11430" tabRatio="500"/>
  </bookViews>
  <sheets>
    <sheet name="Necesidades Trimestrales" sheetId="1" r:id="rId1"/>
  </sheets>
  <calcPr calcId="124519"/>
</workbook>
</file>

<file path=xl/calcChain.xml><?xml version="1.0" encoding="utf-8"?>
<calcChain xmlns="http://schemas.openxmlformats.org/spreadsheetml/2006/main">
  <c r="I10" i="1"/>
  <c r="I11" l="1"/>
  <c r="I12"/>
  <c r="D10"/>
</calcChain>
</file>

<file path=xl/sharedStrings.xml><?xml version="1.0" encoding="utf-8"?>
<sst xmlns="http://schemas.openxmlformats.org/spreadsheetml/2006/main" count="34" uniqueCount="34">
  <si>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</si>
  <si>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</si>
  <si>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</si>
  <si>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</si>
  <si>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</si>
  <si>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</si>
  <si>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</si>
  <si>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</si>
  <si>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</si>
  <si>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</si>
  <si>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</si>
  <si>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</si>
  <si>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</si>
  <si>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</si>
  <si>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</si>
  <si>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Descripción técnica</t>
  </si>
  <si>
    <t>Especificidades Item N° 1:</t>
  </si>
  <si>
    <t>Plazo de Mantenimiento de oferta</t>
  </si>
  <si>
    <t>Forma de Pago:</t>
  </si>
  <si>
    <t xml:space="preserve">                                                                                 </t>
  </si>
  <si>
    <t>Treinta  (30) días habiles.</t>
  </si>
  <si>
    <t>30 - MINISTERIO DE ECONOMIA</t>
  </si>
  <si>
    <t>SAF 9 - DIRECCION PROVINCIAL DE ADMINISTRACION DE LA SECRETARIA DE FINANZAS PUBLICAS</t>
  </si>
  <si>
    <r>
      <rPr>
        <u/>
        <sz val="10"/>
        <rFont val="Times New Roman"/>
        <family val="1"/>
      </rPr>
      <t>Duracion de la Prestacion del Servicio:</t>
    </r>
    <r>
      <rPr>
        <sz val="10"/>
        <rFont val="Times New Roman"/>
        <family val="1"/>
      </rPr>
      <t xml:space="preserve"> </t>
    </r>
  </si>
  <si>
    <t>Doce (12) meses contados a partir de la fecha de inicio de la prestacion del servicio.</t>
  </si>
  <si>
    <r>
      <rPr>
        <u/>
        <sz val="10"/>
        <rFont val="Times New Roman"/>
        <family val="1"/>
      </rPr>
      <t>Calidad exigida para la Prestacion del Servicio:</t>
    </r>
    <r>
      <rPr>
        <sz val="10"/>
        <rFont val="Times New Roman"/>
        <family val="1"/>
      </rPr>
      <t xml:space="preserve"> </t>
    </r>
  </si>
  <si>
    <t>Primera calidad</t>
  </si>
  <si>
    <t xml:space="preserve">Un solo pago por adelantado. </t>
  </si>
  <si>
    <t>3.1.4-2880.1</t>
  </si>
  <si>
    <t>SERVICIOS BASICOS</t>
  </si>
  <si>
    <t>SERVICIO DE CORREO ELECTRONICO; DESCRIPCION : SERVICIO DE CORREO ELECTRONICO, DESCRIPCION: SERVICIO DE CORREO ELECTRONICO</t>
  </si>
  <si>
    <t>UNIDAD</t>
  </si>
  <si>
    <t>DOS (02) días habiles a partir del perfeccionamiento del documento contractual en la Secretaria de Modernización del Ministerio de Economia, sito en Av. Venezuela S/N° - C.A.P.E. Pabellón N° 21, San Fernando del Valle de Catamarca .</t>
  </si>
  <si>
    <t xml:space="preserve">Descripción general del servicio: La búsqueda está orientada a una solución de Correo Corporativo almacenado enla NUBE que permita controlar los servicios de correo, videoconferencia, ofimática. La solución provista debe contar mínimamente con:  Correo electrónico: Correo electrónico, gestión de tareas, administración decontactos y calendario compartido.  Almacenamiento de archivos: Almacenamiento de archivos en line y usocompartido al menos 30GB de almacenamiento personal.  Gestión de Documentos: Una plataforma web para gestión de documentosque permita mejorar la productividad a través de documentos compartidos,versionado e historial de revisiones.  Conferencias en línea: Poder visualizar quién está en línea, mensajeríainstantánea y realizar videoconferencias.  Red Social Corporativa: Red Social para mejorar la comunicación eintegración entre los Ministerios, Áreas, Equipos, etc. y fundamentalmente entrelas sedes de interior. Este servicio albergará las casillas de email en los servidores de la Empresa, perodeberá permitir utilizar nuestro propio nombre de dominio del tipo @catamarca.gob.ar y @catamarca.gov.ar, además incluir casillas del tipo POP3,Webmail o IMMAP, con gran capacidad de espacio en disco por cada casilla. Las propuestas deben prever, los servicios y funcionalidades indicados acontinuación: 1. Correo Electrónico: • Envío y recepción de correos electrónicos con archivos adjuntos • Reglas para redireccionar y clasificar automáticamente mensajes • Mensajes de respuesta automática • Alias adicionales: un mismo usuario puede tener más de una dirección de correo para recibir mails. • Búsqueda dinámica avanzada para los mensajes • Establecimiento de prioridad de los mensajes • Posibilidad de incorporación de firma automática Contactos: • Disponibilidad de listas de correo. Calendario: • Posibilidad de agendar eventos en el calendario personal. • Posibilidad de enviar convocatorias a reunión a varios asistentes. • Recordatorios sobre los eventos y convocatorias del calendario. • Posibilidad de compartir el calendario Seguridad: • Protección antivirus y antispam. • Encriptación de las comunicaciones cliente servidor. Múltiples alternativas de acceso al correo: • Clientes de correo de escritorio. • Navegadores web • Dispositivos móviles Panel de Administración: • Deberá contar con una interfaz amigable que posea una herramienta de administración accesible vía web, en español, con la cual el administrador de correo podrá gestionar las cuentas asociadas a los mismos. • Las actividades a desarrollar por el administrador, deberá contemplarse las siguientes: - Realizar altas de usuarios con los datos básicos como son login, password, nombre, etc. - Realizar bajas de usuarios. - Visualizar el estado de los de los usuarios: Lista con todos los usuarios y estado. - Visualizar la ficha de algún usuario: consultar y/o modificar los datos de un usuario en particular. - Crear grupos de usuario: Un grupo de usuarios es una lista de correos.  El servicio debe ser compatible bajo cualquier sistema operativo. El servicio debe conservar las cuentas actuales, sus correos y sus documentos. Los servicios deberán estar garantizados a través de un acuerdo de nivel de servicio. • Cantidad de Casillas de Correo: 450. • Garantía de Funcionamiento de Servicio: El compromiso de disponibilidad de servicio será de al menos un 99,9% mensual. Esto significa que la plataforma debe estar disponible para los usuarios en ese porcentaje, las 24 hs diarias tanto en días hábiles como inhábiles. El oferente deberá proporcionar el Servicio de Correo Electrónico Corporativo, durante Doce (12) meses contados a partir de la entrega de la Orden de Compra. 
</t>
  </si>
</sst>
</file>

<file path=xl/styles.xml><?xml version="1.0" encoding="utf-8"?>
<styleSheet xmlns="http://schemas.openxmlformats.org/spreadsheetml/2006/main">
  <numFmts count="2">
    <numFmt numFmtId="8" formatCode="&quot;$&quot;\ #,##0.00;[Red]\-&quot;$&quot;\ #,##0.00"/>
    <numFmt numFmtId="164" formatCode="&quot;$&quot;\ #,##0.00;[Red]&quot;$&quot;\ #,##0.00"/>
  </numFmts>
  <fonts count="17">
    <font>
      <sz val="10"/>
      <name val="Arial"/>
      <charset val="1"/>
    </font>
    <font>
      <b/>
      <sz val="15"/>
      <color rgb="FF666699"/>
      <name val="Calibri"/>
      <family val="2"/>
      <charset val="1"/>
    </font>
    <font>
      <sz val="11"/>
      <color rgb="FF993300"/>
      <name val="Calibri"/>
      <family val="2"/>
      <charset val="1"/>
    </font>
    <font>
      <sz val="10"/>
      <name val="Times New Roman"/>
      <family val="1"/>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0"/>
      <name val="Times New Roman"/>
      <family val="1"/>
    </font>
    <font>
      <sz val="11"/>
      <color rgb="FF333333"/>
      <name val="Arial"/>
      <family val="2"/>
    </font>
    <font>
      <sz val="11"/>
      <name val="Arial"/>
      <family val="2"/>
    </font>
  </fonts>
  <fills count="3">
    <fill>
      <patternFill patternType="none"/>
    </fill>
    <fill>
      <patternFill patternType="gray125"/>
    </fill>
    <fill>
      <patternFill patternType="solid">
        <fgColor rgb="FFFFFF99"/>
        <bgColor rgb="FFFFFFCC"/>
      </patternFill>
    </fill>
  </fills>
  <borders count="1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s>
  <cellStyleXfs count="3">
    <xf numFmtId="0" fontId="0" fillId="0" borderId="0"/>
    <xf numFmtId="0" fontId="1" fillId="0" borderId="1" applyProtection="0"/>
    <xf numFmtId="0" fontId="2" fillId="2" borderId="0" applyBorder="0" applyProtection="0"/>
  </cellStyleXfs>
  <cellXfs count="56">
    <xf numFmtId="0" fontId="0" fillId="0" borderId="0" xfId="0"/>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5" fillId="0" borderId="3" xfId="0" applyFont="1" applyBorder="1"/>
    <xf numFmtId="0" fontId="5" fillId="0" borderId="4" xfId="0" applyFont="1" applyBorder="1"/>
    <xf numFmtId="0" fontId="5" fillId="0" borderId="5" xfId="0" applyFont="1" applyBorder="1"/>
    <xf numFmtId="0" fontId="5" fillId="0" borderId="0" xfId="0" applyFont="1" applyBorder="1"/>
    <xf numFmtId="0" fontId="5" fillId="0" borderId="6" xfId="0" applyFont="1" applyBorder="1"/>
    <xf numFmtId="0" fontId="5" fillId="0" borderId="5" xfId="0" applyFont="1" applyBorder="1" applyAlignment="1">
      <alignment horizontal="left" indent="3"/>
    </xf>
    <xf numFmtId="0" fontId="5" fillId="0" borderId="7" xfId="0" applyFont="1" applyBorder="1" applyAlignment="1">
      <alignment horizontal="left" indent="3"/>
    </xf>
    <xf numFmtId="0" fontId="9" fillId="0" borderId="0" xfId="0" applyFont="1" applyAlignment="1">
      <alignment horizontal="left" wrapText="1"/>
    </xf>
    <xf numFmtId="0" fontId="13" fillId="0" borderId="0" xfId="0" applyFont="1" applyFill="1" applyAlignment="1">
      <alignment horizontal="left" wrapText="1" indent="1"/>
    </xf>
    <xf numFmtId="0" fontId="5" fillId="0" borderId="0" xfId="0" applyFont="1" applyFill="1" applyBorder="1"/>
    <xf numFmtId="0" fontId="5" fillId="0" borderId="8" xfId="0" applyFont="1" applyFill="1" applyBorder="1"/>
    <xf numFmtId="0" fontId="5" fillId="0" borderId="9" xfId="0" applyFont="1" applyFill="1" applyBorder="1"/>
    <xf numFmtId="0" fontId="5" fillId="0" borderId="0" xfId="0" applyFont="1" applyFill="1"/>
    <xf numFmtId="0" fontId="5" fillId="0" borderId="0" xfId="0" applyFont="1" applyAlignment="1">
      <alignment horizontal="left" vertical="center"/>
    </xf>
    <xf numFmtId="164" fontId="5" fillId="0" borderId="0" xfId="0" applyNumberFormat="1" applyFont="1" applyAlignment="1">
      <alignment horizontal="left" vertical="center"/>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2" fillId="0" borderId="5" xfId="0" applyFont="1" applyBorder="1"/>
    <xf numFmtId="0" fontId="12" fillId="0" borderId="5" xfId="0" applyFont="1" applyBorder="1" applyAlignment="1"/>
    <xf numFmtId="0" fontId="5" fillId="0" borderId="5" xfId="0" applyFont="1" applyBorder="1" applyAlignment="1"/>
    <xf numFmtId="0" fontId="5" fillId="0" borderId="0" xfId="0" applyFont="1" applyFill="1" applyBorder="1" applyAlignment="1">
      <alignment horizontal="center" wrapText="1"/>
    </xf>
    <xf numFmtId="0" fontId="5" fillId="0" borderId="6" xfId="0" applyFont="1" applyFill="1" applyBorder="1" applyAlignment="1">
      <alignment horizontal="center" wrapText="1"/>
    </xf>
    <xf numFmtId="0" fontId="14" fillId="0" borderId="2" xfId="0" applyFont="1" applyBorder="1"/>
    <xf numFmtId="8" fontId="4" fillId="0" borderId="13" xfId="0" applyNumberFormat="1" applyFont="1" applyBorder="1" applyAlignment="1">
      <alignment horizontal="center" vertical="center"/>
    </xf>
    <xf numFmtId="0" fontId="14" fillId="0" borderId="0" xfId="0" applyFont="1" applyBorder="1" applyAlignment="1">
      <alignment horizontal="center" vertical="top" wrapText="1"/>
    </xf>
    <xf numFmtId="0" fontId="5" fillId="0" borderId="0" xfId="0" applyFont="1" applyFill="1" applyBorder="1" applyAlignment="1">
      <alignment horizontal="left" wrapText="1"/>
    </xf>
    <xf numFmtId="0" fontId="5" fillId="0" borderId="0" xfId="0" applyFont="1" applyFill="1" applyBorder="1" applyAlignment="1">
      <alignment vertical="center" wrapText="1"/>
    </xf>
    <xf numFmtId="8" fontId="4" fillId="0" borderId="14" xfId="0" applyNumberFormat="1" applyFont="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Border="1" applyAlignment="1">
      <alignment vertical="center"/>
    </xf>
    <xf numFmtId="0" fontId="11" fillId="0" borderId="16" xfId="0" applyFont="1" applyFill="1" applyBorder="1" applyAlignment="1">
      <alignment horizontal="center" vertical="center" wrapText="1"/>
    </xf>
    <xf numFmtId="0" fontId="15" fillId="0" borderId="16" xfId="0" applyFont="1" applyBorder="1" applyAlignment="1">
      <alignment vertical="center" wrapText="1"/>
    </xf>
    <xf numFmtId="0" fontId="3" fillId="0" borderId="17" xfId="0" applyFont="1" applyBorder="1" applyAlignment="1">
      <alignment horizontal="center" vertical="center" wrapText="1"/>
    </xf>
    <xf numFmtId="3" fontId="3" fillId="0" borderId="16" xfId="0" applyNumberFormat="1" applyFont="1" applyBorder="1" applyAlignment="1">
      <alignment horizontal="center" vertical="center"/>
    </xf>
    <xf numFmtId="8" fontId="4" fillId="0" borderId="16" xfId="0" applyNumberFormat="1" applyFont="1" applyBorder="1" applyAlignment="1">
      <alignment horizontal="center" vertical="center"/>
    </xf>
    <xf numFmtId="8" fontId="4" fillId="0" borderId="0" xfId="0" applyNumberFormat="1" applyFont="1" applyBorder="1" applyAlignment="1">
      <alignment horizontal="center" vertical="center"/>
    </xf>
    <xf numFmtId="0" fontId="5" fillId="0" borderId="0" xfId="0" applyFont="1" applyFill="1" applyBorder="1" applyAlignment="1">
      <alignment horizontal="center" wrapText="1"/>
    </xf>
    <xf numFmtId="0" fontId="16" fillId="0" borderId="16" xfId="0" applyFont="1" applyBorder="1" applyAlignment="1">
      <alignment horizontal="center" vertical="center" wrapText="1"/>
    </xf>
    <xf numFmtId="0" fontId="5" fillId="0" borderId="9" xfId="0" applyFont="1" applyBorder="1"/>
    <xf numFmtId="0" fontId="5" fillId="0" borderId="5" xfId="0" applyFont="1" applyBorder="1" applyAlignment="1">
      <alignment horizontal="left" wrapText="1"/>
    </xf>
    <xf numFmtId="0" fontId="5" fillId="0" borderId="0" xfId="0" applyFont="1" applyBorder="1" applyAlignment="1">
      <alignment horizontal="left" wrapText="1"/>
    </xf>
    <xf numFmtId="0" fontId="5" fillId="0" borderId="0" xfId="0" applyFont="1" applyBorder="1" applyAlignment="1">
      <alignment horizontal="left" vertical="center" wrapText="1"/>
    </xf>
    <xf numFmtId="0" fontId="5" fillId="0" borderId="6" xfId="0" applyFont="1" applyBorder="1" applyAlignment="1">
      <alignment horizontal="left" vertical="center" wrapText="1"/>
    </xf>
    <xf numFmtId="0" fontId="7" fillId="0" borderId="0" xfId="0" applyFont="1" applyBorder="1" applyAlignment="1">
      <alignment horizontal="left" vertical="center" wrapText="1"/>
    </xf>
    <xf numFmtId="0" fontId="6" fillId="0" borderId="0" xfId="0" applyFont="1" applyBorder="1" applyAlignment="1">
      <alignment horizontal="center"/>
    </xf>
    <xf numFmtId="0" fontId="13" fillId="0" borderId="0" xfId="0" applyFont="1" applyFill="1" applyBorder="1" applyAlignment="1">
      <alignment horizontal="left" wrapText="1" indent="1"/>
    </xf>
    <xf numFmtId="0" fontId="5" fillId="0" borderId="0" xfId="0" applyFont="1" applyFill="1" applyBorder="1" applyAlignment="1">
      <alignment horizontal="left" vertical="center" wrapText="1"/>
    </xf>
    <xf numFmtId="0" fontId="5" fillId="0" borderId="6" xfId="0" applyFont="1" applyFill="1" applyBorder="1" applyAlignment="1">
      <alignment horizontal="left" vertical="center" wrapText="1"/>
    </xf>
    <xf numFmtId="0" fontId="5" fillId="0" borderId="0" xfId="0" applyFont="1" applyFill="1" applyBorder="1" applyAlignment="1">
      <alignment horizontal="left" wrapText="1"/>
    </xf>
    <xf numFmtId="0" fontId="5" fillId="0" borderId="6" xfId="0" applyFont="1" applyFill="1" applyBorder="1" applyAlignment="1">
      <alignment horizontal="left" wrapText="1"/>
    </xf>
    <xf numFmtId="0" fontId="5" fillId="0" borderId="0" xfId="0" applyFont="1" applyFill="1" applyBorder="1" applyAlignment="1">
      <alignment horizontal="center" wrapText="1"/>
    </xf>
  </cellXfs>
  <cellStyles count="3">
    <cellStyle name="Encabezado 1" xfId="1"/>
    <cellStyle name="Neutral 1" xfId="2"/>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N36"/>
  <sheetViews>
    <sheetView tabSelected="1" topLeftCell="A22" zoomScaleSheetLayoutView="80" workbookViewId="0">
      <selection activeCell="E34" sqref="E34"/>
    </sheetView>
  </sheetViews>
  <sheetFormatPr baseColWidth="10" defaultColWidth="11" defaultRowHeight="12.75"/>
  <cols>
    <col min="1" max="1" width="4.5703125" style="1" customWidth="1"/>
    <col min="2" max="2" width="13.7109375" style="1" customWidth="1"/>
    <col min="3" max="3" width="19.85546875" style="1" customWidth="1"/>
    <col min="4" max="4" width="8.42578125" style="1" customWidth="1"/>
    <col min="5" max="5" width="87.42578125" style="1" customWidth="1"/>
    <col min="6" max="6" width="11" style="1"/>
    <col min="7" max="7" width="12.7109375" style="1" customWidth="1"/>
    <col min="8" max="8" width="15.42578125" style="1" customWidth="1"/>
    <col min="9" max="9" width="18.5703125" style="1" customWidth="1"/>
    <col min="10" max="10" width="11" style="18"/>
    <col min="11" max="14" width="11" style="17"/>
    <col min="15" max="16384" width="11" style="1"/>
  </cols>
  <sheetData>
    <row r="2" spans="1:9" ht="27">
      <c r="B2" s="49" t="s">
        <v>0</v>
      </c>
      <c r="C2" s="49"/>
      <c r="D2" s="49"/>
      <c r="E2" s="49"/>
      <c r="F2" s="49"/>
      <c r="G2" s="49"/>
      <c r="H2" s="49"/>
    </row>
    <row r="4" spans="1:9" ht="18" customHeight="1">
      <c r="A4" s="48" t="s">
        <v>1</v>
      </c>
      <c r="B4" s="48"/>
      <c r="C4" s="50" t="s">
        <v>21</v>
      </c>
      <c r="D4" s="50"/>
      <c r="E4" s="50"/>
      <c r="F4" s="2"/>
      <c r="G4" s="3"/>
      <c r="H4" s="2"/>
    </row>
    <row r="5" spans="1:9" ht="18" customHeight="1">
      <c r="A5" s="48" t="s">
        <v>2</v>
      </c>
      <c r="B5" s="48"/>
      <c r="C5" s="50" t="s">
        <v>22</v>
      </c>
      <c r="D5" s="50"/>
      <c r="E5" s="50"/>
      <c r="F5" s="2"/>
      <c r="G5" s="3"/>
      <c r="H5" s="2"/>
    </row>
    <row r="6" spans="1:9" ht="16.5" customHeight="1">
      <c r="A6" s="48" t="s">
        <v>3</v>
      </c>
      <c r="B6" s="48"/>
      <c r="C6" s="12">
        <v>2022</v>
      </c>
      <c r="D6" s="11"/>
      <c r="E6" s="11"/>
      <c r="F6" s="2"/>
      <c r="G6" s="3"/>
      <c r="H6" s="2"/>
    </row>
    <row r="7" spans="1:9" ht="16.5" customHeight="1">
      <c r="A7" s="48" t="s">
        <v>4</v>
      </c>
      <c r="B7" s="48"/>
      <c r="C7" s="12">
        <v>2</v>
      </c>
      <c r="D7" s="11"/>
      <c r="E7" s="11"/>
      <c r="F7" s="2"/>
      <c r="G7" s="3"/>
      <c r="H7" s="2"/>
    </row>
    <row r="8" spans="1:9" ht="13.5" thickBot="1">
      <c r="B8" s="2"/>
      <c r="C8" s="3"/>
      <c r="D8" s="2"/>
      <c r="E8" s="2"/>
      <c r="F8" s="2"/>
      <c r="G8" s="3"/>
      <c r="H8" s="2"/>
    </row>
    <row r="9" spans="1:9" ht="39" thickBot="1">
      <c r="A9" s="19" t="s">
        <v>5</v>
      </c>
      <c r="B9" s="20" t="s">
        <v>6</v>
      </c>
      <c r="C9" s="20" t="s">
        <v>7</v>
      </c>
      <c r="D9" s="20" t="s">
        <v>8</v>
      </c>
      <c r="E9" s="20" t="s">
        <v>9</v>
      </c>
      <c r="F9" s="20" t="s">
        <v>10</v>
      </c>
      <c r="G9" s="20" t="s">
        <v>11</v>
      </c>
      <c r="H9" s="20" t="s">
        <v>12</v>
      </c>
      <c r="I9" s="21" t="s">
        <v>13</v>
      </c>
    </row>
    <row r="10" spans="1:9" ht="56.25" customHeight="1" thickBot="1">
      <c r="A10" s="33">
        <v>1</v>
      </c>
      <c r="B10" s="34" t="s">
        <v>28</v>
      </c>
      <c r="C10" s="42" t="s">
        <v>29</v>
      </c>
      <c r="D10" s="35" t="str">
        <f t="shared" ref="D10" si="0">LEFT(B10,5)</f>
        <v>3.1.4</v>
      </c>
      <c r="E10" s="36" t="s">
        <v>30</v>
      </c>
      <c r="F10" s="37" t="s">
        <v>31</v>
      </c>
      <c r="G10" s="38">
        <v>1</v>
      </c>
      <c r="H10" s="39">
        <v>4090285</v>
      </c>
      <c r="I10" s="39">
        <f>H10*G10</f>
        <v>4090285</v>
      </c>
    </row>
    <row r="11" spans="1:9" hidden="1">
      <c r="B11" s="9"/>
      <c r="C11" s="25"/>
      <c r="D11" s="25"/>
      <c r="E11" s="26"/>
      <c r="I11" s="32">
        <f t="shared" ref="I11:I12" si="1">H11*G11</f>
        <v>0</v>
      </c>
    </row>
    <row r="12" spans="1:9" ht="13.5" hidden="1" thickBot="1">
      <c r="B12" s="10"/>
      <c r="C12" s="14"/>
      <c r="D12" s="14"/>
      <c r="E12" s="15"/>
      <c r="I12" s="28">
        <f t="shared" si="1"/>
        <v>0</v>
      </c>
    </row>
    <row r="13" spans="1:9">
      <c r="D13" s="16"/>
      <c r="E13" s="16"/>
    </row>
    <row r="15" spans="1:9">
      <c r="H15" s="40"/>
    </row>
    <row r="16" spans="1:9" ht="13.5" thickBot="1"/>
    <row r="17" spans="2:6">
      <c r="B17" s="27" t="s">
        <v>16</v>
      </c>
      <c r="C17" s="4"/>
      <c r="D17" s="4"/>
      <c r="E17" s="4"/>
      <c r="F17" s="5"/>
    </row>
    <row r="18" spans="2:6">
      <c r="B18" s="22"/>
      <c r="C18" s="7"/>
      <c r="D18" s="7"/>
      <c r="E18" s="7"/>
      <c r="F18" s="8"/>
    </row>
    <row r="19" spans="2:6">
      <c r="B19" s="22" t="s">
        <v>15</v>
      </c>
      <c r="C19" s="7"/>
      <c r="D19" s="7"/>
      <c r="E19" s="7"/>
      <c r="F19" s="8"/>
    </row>
    <row r="20" spans="2:6" ht="364.5" customHeight="1">
      <c r="B20" s="6"/>
      <c r="C20" s="29"/>
      <c r="D20" s="46" t="s">
        <v>33</v>
      </c>
      <c r="E20" s="46"/>
      <c r="F20" s="47"/>
    </row>
    <row r="21" spans="2:6">
      <c r="B21" s="44"/>
      <c r="C21" s="45"/>
      <c r="D21" s="45"/>
      <c r="E21" s="45"/>
      <c r="F21" s="8"/>
    </row>
    <row r="22" spans="2:6">
      <c r="B22" s="23" t="s">
        <v>14</v>
      </c>
      <c r="C22" s="13"/>
      <c r="D22" s="13"/>
      <c r="E22" s="13"/>
      <c r="F22" s="8"/>
    </row>
    <row r="23" spans="2:6" ht="36.75" customHeight="1">
      <c r="B23" s="9"/>
      <c r="C23" s="31"/>
      <c r="D23" s="51" t="s">
        <v>32</v>
      </c>
      <c r="E23" s="51"/>
      <c r="F23" s="52"/>
    </row>
    <row r="24" spans="2:6">
      <c r="B24" s="23"/>
      <c r="C24" s="13"/>
      <c r="D24" s="13"/>
      <c r="E24" s="13"/>
      <c r="F24" s="8"/>
    </row>
    <row r="25" spans="2:6">
      <c r="B25" s="23" t="s">
        <v>17</v>
      </c>
      <c r="C25" s="41"/>
      <c r="D25" s="41"/>
      <c r="E25" s="41"/>
      <c r="F25" s="8"/>
    </row>
    <row r="26" spans="2:6" ht="18" customHeight="1">
      <c r="B26" s="23"/>
      <c r="C26" s="41"/>
      <c r="D26" s="51" t="s">
        <v>20</v>
      </c>
      <c r="E26" s="51"/>
      <c r="F26" s="52"/>
    </row>
    <row r="27" spans="2:6" ht="12.75" customHeight="1">
      <c r="B27" s="9"/>
      <c r="C27" s="31" t="s">
        <v>19</v>
      </c>
      <c r="D27" s="7"/>
      <c r="E27" s="7"/>
      <c r="F27" s="8"/>
    </row>
    <row r="28" spans="2:6" ht="13.5" customHeight="1">
      <c r="B28" s="24" t="s">
        <v>23</v>
      </c>
      <c r="C28" s="41"/>
      <c r="D28" s="7"/>
      <c r="E28" s="7"/>
      <c r="F28" s="8"/>
    </row>
    <row r="29" spans="2:6">
      <c r="B29" s="23"/>
      <c r="C29" s="41"/>
      <c r="D29" s="51" t="s">
        <v>24</v>
      </c>
      <c r="E29" s="51"/>
      <c r="F29" s="52"/>
    </row>
    <row r="30" spans="2:6" ht="12" customHeight="1">
      <c r="B30" s="23"/>
      <c r="C30" s="41"/>
    </row>
    <row r="31" spans="2:6" ht="15" customHeight="1">
      <c r="B31" s="23" t="s">
        <v>18</v>
      </c>
      <c r="C31" s="55"/>
      <c r="D31" s="55"/>
      <c r="E31" s="55"/>
      <c r="F31" s="8"/>
    </row>
    <row r="32" spans="2:6" ht="21" customHeight="1">
      <c r="B32" s="23"/>
      <c r="C32" s="41"/>
      <c r="D32" s="51" t="s">
        <v>27</v>
      </c>
      <c r="E32" s="51"/>
      <c r="F32" s="52"/>
    </row>
    <row r="33" spans="2:6" ht="12.75" customHeight="1">
      <c r="B33" s="23"/>
      <c r="C33" s="41"/>
      <c r="D33" s="30"/>
      <c r="E33" s="30"/>
      <c r="F33" s="8"/>
    </row>
    <row r="34" spans="2:6" ht="19.5" customHeight="1">
      <c r="B34" s="24" t="s">
        <v>25</v>
      </c>
      <c r="C34" s="41"/>
    </row>
    <row r="35" spans="2:6" ht="24" customHeight="1">
      <c r="B35" s="24"/>
      <c r="C35" s="41"/>
      <c r="D35" s="53" t="s">
        <v>26</v>
      </c>
      <c r="E35" s="53"/>
      <c r="F35" s="54"/>
    </row>
    <row r="36" spans="2:6" ht="13.5" thickBot="1">
      <c r="B36" s="10"/>
      <c r="C36" s="14"/>
      <c r="D36" s="14"/>
      <c r="E36" s="14"/>
      <c r="F36" s="43"/>
    </row>
  </sheetData>
  <mergeCells count="15">
    <mergeCell ref="D23:F23"/>
    <mergeCell ref="D26:F26"/>
    <mergeCell ref="D29:F29"/>
    <mergeCell ref="D32:F32"/>
    <mergeCell ref="D35:F35"/>
    <mergeCell ref="C31:E31"/>
    <mergeCell ref="B21:E21"/>
    <mergeCell ref="D20:F20"/>
    <mergeCell ref="A6:B6"/>
    <mergeCell ref="A7:B7"/>
    <mergeCell ref="B2:H2"/>
    <mergeCell ref="A4:B4"/>
    <mergeCell ref="C4:E4"/>
    <mergeCell ref="A5:B5"/>
    <mergeCell ref="C5:E5"/>
  </mergeCells>
  <pageMargins left="0.70866141732283472" right="0.70866141732283472" top="0.35433070866141736" bottom="0.35433070866141736" header="0.51181102362204722" footer="0.51181102362204722"/>
  <pageSetup paperSize="5" scale="56"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SAMUEL</cp:lastModifiedBy>
  <cp:revision>2</cp:revision>
  <cp:lastPrinted>2021-11-16T10:46:20Z</cp:lastPrinted>
  <dcterms:created xsi:type="dcterms:W3CDTF">2020-07-17T23:44:49Z</dcterms:created>
  <dcterms:modified xsi:type="dcterms:W3CDTF">2022-04-08T14:00:04Z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