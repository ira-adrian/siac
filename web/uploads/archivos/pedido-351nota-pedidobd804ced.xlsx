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DF610BB9-7FA0-4907-B7DA-F8B294AE5034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Gastar'!$A$1:$Q$27</definedName>
  </definedNames>
  <calcPr calcId="181029"/>
</workbook>
</file>

<file path=xl/calcChain.xml><?xml version="1.0" encoding="utf-8"?>
<calcChain xmlns="http://schemas.openxmlformats.org/spreadsheetml/2006/main">
  <c r="I10" i="1" l="1"/>
  <c r="A10" i="3" l="1"/>
  <c r="K12" i="2"/>
  <c r="J12" i="2"/>
  <c r="I12" i="2"/>
  <c r="C12" i="2"/>
  <c r="B12" i="2"/>
  <c r="D10" i="1"/>
  <c r="J13" i="2" l="1"/>
  <c r="G6" i="3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<sst xmlns="http://schemas.openxmlformats.org/spreadsheetml/2006/main" count="90" uniqueCount="85">
  <si>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</si>
  <si>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</si>
  <si>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</si>
  <si>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</si>
  <si>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</si>
  <si>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</si>
  <si>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</si>
  <si>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</si>
  <si>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</si>
  <si>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</si>
  <si>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</si>
  <si>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</si>
  <si>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</si>
  <si>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</si>
  <si>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</si>
  <si>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</si>
  <si>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</si>
  <si>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</si>
  <si>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</si>
  <si>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</si>
  <si>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</si>
  <si>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</si>
  <si>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</si>
  <si>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</si>
  <si>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</si>
  <si>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</si>
  <si>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</si>
  <si>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</si>
  <si>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</si>
  <si>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</si>
  <si>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</si>
  <si>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</si>
  <si>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</si>
  <si>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</si>
  <si>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</si>
  <si>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</si>
  <si>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</si>
  <si>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</si>
  <si>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</si>
  <si>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</si>
  <si>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</si>
  <si>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</si>
  <si>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</si>
  <si>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</si>
  <si>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</si>
  <si>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</si>
  <si>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</si>
  <si>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</si>
  <si>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</si>
  <si>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</si>
  <si>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</si>
  <si>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</si>
  <si>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</si>
  <si>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</si>
  <si>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</si>
  <si>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</si>
  <si>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Direccion Mantenimiento</t>
  </si>
  <si>
    <t>1.1</t>
  </si>
  <si>
    <t>COMBUSTIBLES Y LUBRICANTES</t>
  </si>
  <si>
    <t>LITROS</t>
  </si>
  <si>
    <t>Combustibles y Lubricantes</t>
  </si>
  <si>
    <t>Especificidades Item N° 5:</t>
  </si>
  <si>
    <t>Item N° 1</t>
  </si>
  <si>
    <t>Combustible dirigido a motorizaciones diesel modernas que requieren la utilizacion de un gasoil grado3 para su adecuado funcionamiento.</t>
  </si>
  <si>
    <t>GASOIL GRADO 3 CON BAJO CONTENIDO DE AZUFRE INFERIOR A 10 ppm</t>
  </si>
  <si>
    <t>Adquisicion de combustibles y lubricantes</t>
  </si>
  <si>
    <t>Plazos de entrega:</t>
  </si>
  <si>
    <t>Lugar de Entrega:</t>
  </si>
  <si>
    <t xml:space="preserve"> DIRECCION DE MANTENIMIENTO MATERNIDAD PROVINCIAL  25 DE MAYO -HERNANDO DE PEDRAZA 1650</t>
  </si>
  <si>
    <t>Horario de Entrega:</t>
  </si>
  <si>
    <t>8 a 12 Hs.</t>
  </si>
  <si>
    <t>40-Ministerio de Salud</t>
  </si>
  <si>
    <t>Para la adquisición de combustible tipo grado 3 principalmente para grupo electrogeno y unidades de la institucion , para ser destinado a la Direccion de Mantenimiento de la Maternidad Provincial 25 de Mayo del Ministerio de Salud."</t>
  </si>
  <si>
    <t>SI</t>
  </si>
  <si>
    <t>239-Direccion Mantenimiento</t>
  </si>
  <si>
    <t>29/2021</t>
  </si>
  <si>
    <t>10 Dias corridos desde la firma del instrumento contractual</t>
  </si>
  <si>
    <t>Forma de entrega:</t>
  </si>
  <si>
    <t>2.5.6-793.31</t>
  </si>
  <si>
    <t>GAS OIL; PRESENTACION: POR LITRO, USO: MOTORES DIESEL, COMERCIALIZACION: GRADO 3, DESTINO: DPTO. S.F.V. DE CATAMARCA</t>
  </si>
  <si>
    <t xml:space="preserve">Deberan entregar VALE DE $500 que equivale a 5 litros </t>
  </si>
  <si>
    <t xml:space="preserve">30 dias corridos </t>
  </si>
  <si>
    <t>Costo total estimado: TRESCIENTOS MIL CON 00/100</t>
  </si>
  <si>
    <t>TOTAL DE PESOS: TRESCIENTOS MIL CON 00/100</t>
  </si>
  <si>
    <t>Dos furgones Mercedes Benz sprinter 313 CDI Patente: KIY 113 Y KIY 114. Dos ambulancia Fiat Ducato MAXICARGO patente:NPE 527- IVECO DAYLY 3.0 HPI patente: JDK 554.Un tanqueta de combustible para 1500 lt patente:101 KIY 114. Marca IGARRETA y generador de energia VOLVO-Potencia max 630 KVA   (Se utiliza entre 50 a 60 litros x hs aprox)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</si>
</sst>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\ #,##0.00;[Red]\-&quot;$&quot;\ #,##0.00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3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5" fillId="0" borderId="1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0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3" fillId="0" borderId="4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15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0" xfId="0" applyFont="1" applyBorder="1"/>
    <xf numFmtId="0" fontId="15" fillId="0" borderId="7" xfId="0" applyFont="1" applyBorder="1"/>
    <xf numFmtId="0" fontId="15" fillId="0" borderId="8" xfId="0" applyFont="1" applyBorder="1" applyAlignment="1">
      <alignment horizontal="left" indent="3"/>
    </xf>
    <xf numFmtId="0" fontId="15" fillId="0" borderId="9" xfId="0" applyFont="1" applyBorder="1"/>
    <xf numFmtId="0" fontId="15" fillId="0" borderId="10" xfId="0" applyFont="1" applyBorder="1"/>
    <xf numFmtId="0" fontId="21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4" fillId="0" borderId="20" xfId="0" applyFont="1" applyFill="1" applyBorder="1" applyAlignment="1">
      <alignment horizontal="left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 wrapText="1"/>
    </xf>
    <xf numFmtId="166" fontId="4" fillId="0" borderId="20" xfId="1" applyNumberFormat="1" applyFont="1" applyFill="1" applyBorder="1" applyAlignment="1" applyProtection="1">
      <alignment horizontal="right" vertical="center" wrapText="1"/>
    </xf>
    <xf numFmtId="3" fontId="4" fillId="0" borderId="20" xfId="0" applyNumberFormat="1" applyFont="1" applyFill="1" applyBorder="1" applyAlignment="1">
      <alignment horizontal="center" vertical="center"/>
    </xf>
    <xf numFmtId="49" fontId="6" fillId="0" borderId="12" xfId="0" applyNumberFormat="1" applyFont="1" applyFill="1" applyBorder="1" applyAlignment="1">
      <alignment horizontal="center" vertical="center"/>
    </xf>
    <xf numFmtId="0" fontId="0" fillId="0" borderId="32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15" fillId="0" borderId="3" xfId="0" applyFont="1" applyBorder="1"/>
    <xf numFmtId="0" fontId="19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8" fontId="19" fillId="0" borderId="50" xfId="0" applyNumberFormat="1" applyFont="1" applyBorder="1" applyAlignment="1">
      <alignment horizontal="center" vertical="center" wrapText="1"/>
    </xf>
    <xf numFmtId="8" fontId="19" fillId="0" borderId="51" xfId="0" applyNumberFormat="1" applyFont="1" applyBorder="1" applyAlignment="1">
      <alignment horizontal="center" vertical="center" wrapText="1"/>
    </xf>
    <xf numFmtId="0" fontId="22" fillId="0" borderId="6" xfId="0" applyFont="1" applyBorder="1"/>
    <xf numFmtId="0" fontId="15" fillId="0" borderId="7" xfId="0" applyFont="1" applyBorder="1" applyAlignment="1">
      <alignment horizontal="left"/>
    </xf>
    <xf numFmtId="0" fontId="15" fillId="0" borderId="0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6" xfId="0" applyFont="1" applyBorder="1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0" applyFont="1" applyBorder="1" applyAlignment="1">
      <alignment vertical="top" wrapText="1"/>
    </xf>
    <xf numFmtId="0" fontId="15" fillId="0" borderId="0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0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17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center" vertical="top" wrapText="1"/>
    </xf>
    <xf numFmtId="0" fontId="16" fillId="0" borderId="0" xfId="0" applyFont="1" applyBorder="1" applyAlignment="1">
      <alignment horizontal="center"/>
    </xf>
    <xf numFmtId="0" fontId="21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left" wrapText="1" indent="1"/>
    </xf>
    <xf numFmtId="0" fontId="6" fillId="0" borderId="15" xfId="0" applyFont="1" applyBorder="1" applyAlignment="1">
      <alignment horizontal="left" vertical="center" wrapText="1" indent="1"/>
    </xf>
    <xf numFmtId="167" fontId="7" fillId="0" borderId="15" xfId="0" applyNumberFormat="1" applyFont="1" applyBorder="1" applyAlignment="1">
      <alignment horizontal="center" vertical="center"/>
    </xf>
    <xf numFmtId="0" fontId="4" fillId="0" borderId="20" xfId="0" applyFont="1" applyFill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6" fillId="0" borderId="18" xfId="0" applyFont="1" applyFill="1" applyBorder="1" applyAlignment="1">
      <alignment horizontal="left" vertical="center" wrapText="1" indent="1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 indent="1"/>
    </xf>
    <xf numFmtId="0" fontId="7" fillId="0" borderId="16" xfId="0" applyFont="1" applyBorder="1" applyAlignment="1">
      <alignment horizontal="left" vertical="center" wrapText="1"/>
    </xf>
    <xf numFmtId="0" fontId="9" fillId="0" borderId="21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2" fillId="0" borderId="45" xfId="0" applyFont="1" applyFill="1" applyBorder="1" applyAlignment="1">
      <alignment horizontal="left" vertical="center" wrapText="1" indent="1"/>
    </xf>
    <xf numFmtId="0" fontId="0" fillId="0" borderId="39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13" fillId="0" borderId="45" xfId="0" applyFont="1" applyBorder="1" applyAlignment="1">
      <alignment horizontal="left" vertical="center" wrapText="1"/>
    </xf>
    <xf numFmtId="0" fontId="0" fillId="0" borderId="23" xfId="0" applyBorder="1"/>
    <xf numFmtId="0" fontId="0" fillId="0" borderId="33" xfId="0" applyFont="1" applyBorder="1" applyAlignment="1">
      <alignment horizontal="left" vertical="center" wrapText="1"/>
    </xf>
    <xf numFmtId="0" fontId="11" fillId="0" borderId="24" xfId="0" applyFont="1" applyBorder="1"/>
    <xf numFmtId="0" fontId="11" fillId="0" borderId="25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indent="1"/>
    </xf>
    <xf numFmtId="0" fontId="12" fillId="0" borderId="12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2" fillId="0" borderId="12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3"/>
  <sheetViews>
    <sheetView tabSelected="1" zoomScale="86" zoomScaleNormal="86" workbookViewId="0">
      <selection activeCell="G18" sqref="G18"/>
    </sheetView>
  </sheetViews>
  <sheetFormatPr baseColWidth="10" defaultColWidth="11" defaultRowHeight="12.75" x14ac:dyDescent="0.2"/>
  <cols>
    <col min="1" max="1" width="4.5703125" style="39" customWidth="1"/>
    <col min="2" max="2" width="16.71093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3" t="s">
        <v>0</v>
      </c>
      <c r="C2" s="83"/>
      <c r="D2" s="83"/>
      <c r="E2" s="83"/>
      <c r="F2" s="83"/>
      <c r="G2" s="83"/>
      <c r="H2" s="83"/>
    </row>
    <row r="4" spans="1:9" ht="18" customHeight="1" x14ac:dyDescent="0.2">
      <c r="A4" s="80" t="s">
        <v>1</v>
      </c>
      <c r="B4" s="80"/>
      <c r="C4" s="84" t="s">
        <v>71</v>
      </c>
      <c r="D4" s="84"/>
      <c r="E4" s="84"/>
      <c r="F4" s="40"/>
      <c r="G4" s="41"/>
      <c r="H4" s="40"/>
    </row>
    <row r="5" spans="1:9" ht="18" customHeight="1" x14ac:dyDescent="0.25">
      <c r="A5" s="80" t="s">
        <v>2</v>
      </c>
      <c r="B5" s="80"/>
      <c r="C5" s="85" t="s">
        <v>55</v>
      </c>
      <c r="D5" s="85"/>
      <c r="E5" s="85"/>
      <c r="F5" s="40"/>
      <c r="G5" s="41"/>
      <c r="H5" s="40"/>
    </row>
    <row r="6" spans="1:9" ht="16.5" customHeight="1" x14ac:dyDescent="0.25">
      <c r="A6" s="80" t="s">
        <v>3</v>
      </c>
      <c r="B6" s="80"/>
      <c r="C6" s="51">
        <v>2021</v>
      </c>
      <c r="D6" s="52"/>
      <c r="E6" s="52"/>
      <c r="F6" s="40"/>
      <c r="G6" s="41"/>
      <c r="H6" s="40"/>
    </row>
    <row r="7" spans="1:9" ht="16.5" customHeight="1" x14ac:dyDescent="0.25">
      <c r="A7" s="80" t="s">
        <v>4</v>
      </c>
      <c r="B7" s="80"/>
      <c r="C7" s="51">
        <v>2</v>
      </c>
      <c r="D7" s="52"/>
      <c r="E7" s="52"/>
      <c r="F7" s="40"/>
      <c r="G7" s="41"/>
      <c r="H7" s="40"/>
    </row>
    <row r="8" spans="1:9" x14ac:dyDescent="0.2">
      <c r="B8" s="40"/>
      <c r="C8" s="41"/>
      <c r="D8" s="40"/>
      <c r="E8" s="40"/>
      <c r="F8" s="40"/>
      <c r="G8" s="41"/>
      <c r="H8" s="40"/>
    </row>
    <row r="9" spans="1:9" ht="39.75" thickTop="1" thickBot="1" x14ac:dyDescent="0.25">
      <c r="A9" s="42" t="s">
        <v>5</v>
      </c>
      <c r="B9" s="42" t="s">
        <v>6</v>
      </c>
      <c r="C9" s="42" t="s">
        <v>7</v>
      </c>
      <c r="D9" s="42" t="s">
        <v>8</v>
      </c>
      <c r="E9" s="42" t="s">
        <v>9</v>
      </c>
      <c r="F9" s="42" t="s">
        <v>10</v>
      </c>
      <c r="G9" s="42" t="s">
        <v>11</v>
      </c>
      <c r="H9" s="42" t="s">
        <v>12</v>
      </c>
      <c r="I9" s="42" t="s">
        <v>13</v>
      </c>
    </row>
    <row r="10" spans="1:9" ht="26.25" thickBot="1" x14ac:dyDescent="0.25">
      <c r="A10" s="64">
        <v>1</v>
      </c>
      <c r="B10" t="s">
        <v>78</v>
      </c>
      <c r="C10" s="65" t="s">
        <v>58</v>
      </c>
      <c r="D10" s="66" t="str">
        <f>LEFT(B10,5)</f>
        <v>2.5.6</v>
      </c>
      <c r="E10" s="65" t="s">
        <v>79</v>
      </c>
      <c r="F10" s="65" t="s">
        <v>59</v>
      </c>
      <c r="G10" s="65">
        <v>3000</v>
      </c>
      <c r="H10" s="67">
        <v>100</v>
      </c>
      <c r="I10" s="68">
        <f>G10*H10</f>
        <v>300000</v>
      </c>
    </row>
    <row r="11" spans="1:9" ht="27" customHeight="1" x14ac:dyDescent="0.2"/>
    <row r="12" spans="1:9" ht="13.5" thickBot="1" x14ac:dyDescent="0.25"/>
    <row r="13" spans="1:9" customFormat="1" x14ac:dyDescent="0.2">
      <c r="B13" s="63" t="s">
        <v>61</v>
      </c>
      <c r="C13" s="43" t="s">
        <v>62</v>
      </c>
      <c r="D13" s="43"/>
      <c r="E13" s="44"/>
      <c r="F13" s="39"/>
      <c r="G13" s="39"/>
      <c r="H13" s="39"/>
    </row>
    <row r="14" spans="1:9" customFormat="1" x14ac:dyDescent="0.2">
      <c r="B14" s="45"/>
      <c r="C14" s="46"/>
      <c r="D14" s="46"/>
      <c r="E14" s="47"/>
      <c r="F14" s="39"/>
      <c r="G14" s="39"/>
      <c r="H14" s="39"/>
    </row>
    <row r="15" spans="1:9" customFormat="1" x14ac:dyDescent="0.2">
      <c r="B15" s="69" t="s">
        <v>14</v>
      </c>
      <c r="C15" s="46"/>
      <c r="D15" s="46"/>
      <c r="E15" s="47"/>
      <c r="F15" s="39"/>
      <c r="G15" s="39"/>
      <c r="H15" s="39"/>
    </row>
    <row r="16" spans="1:9" customFormat="1" x14ac:dyDescent="0.2">
      <c r="B16" s="45"/>
      <c r="C16" s="46" t="s">
        <v>63</v>
      </c>
      <c r="D16" s="46"/>
      <c r="E16" s="47"/>
      <c r="F16" s="39"/>
      <c r="G16" s="39"/>
      <c r="H16" s="39"/>
    </row>
    <row r="17" spans="2:8" customFormat="1" ht="41.25" customHeight="1" x14ac:dyDescent="0.2">
      <c r="B17" s="73"/>
      <c r="C17" s="81" t="s">
        <v>84</v>
      </c>
      <c r="D17" s="81"/>
      <c r="E17" s="82"/>
      <c r="F17" s="75"/>
      <c r="G17" s="75"/>
      <c r="H17" s="39"/>
    </row>
    <row r="18" spans="2:8" customFormat="1" ht="41.25" customHeight="1" x14ac:dyDescent="0.2">
      <c r="B18" s="73"/>
      <c r="C18" s="81" t="s">
        <v>80</v>
      </c>
      <c r="D18" s="81"/>
      <c r="E18" s="82"/>
      <c r="F18" s="75"/>
      <c r="G18" s="75"/>
      <c r="H18" s="39"/>
    </row>
    <row r="19" spans="2:8" customFormat="1" ht="17.25" customHeight="1" x14ac:dyDescent="0.2">
      <c r="B19" s="69" t="s">
        <v>77</v>
      </c>
      <c r="C19" s="46"/>
      <c r="D19" s="46"/>
      <c r="E19" s="47"/>
      <c r="F19" s="39"/>
      <c r="G19" s="39"/>
      <c r="H19" s="39"/>
    </row>
    <row r="20" spans="2:8" customFormat="1" ht="18" customHeight="1" x14ac:dyDescent="0.2">
      <c r="B20" s="69" t="s">
        <v>66</v>
      </c>
      <c r="C20" s="46"/>
      <c r="D20" s="78" t="s">
        <v>76</v>
      </c>
      <c r="E20" s="79"/>
      <c r="F20" s="39"/>
      <c r="G20" s="39"/>
      <c r="H20" s="39"/>
    </row>
    <row r="21" spans="2:8" customFormat="1" x14ac:dyDescent="0.2">
      <c r="B21" s="45"/>
      <c r="C21" s="46"/>
      <c r="D21" s="71"/>
      <c r="E21" s="72"/>
      <c r="F21" s="74"/>
      <c r="G21" s="39"/>
      <c r="H21" s="39"/>
    </row>
    <row r="22" spans="2:8" customFormat="1" x14ac:dyDescent="0.2">
      <c r="B22" s="69" t="s">
        <v>67</v>
      </c>
      <c r="C22" s="46"/>
      <c r="D22" s="71"/>
      <c r="E22" s="72"/>
      <c r="F22" s="39"/>
      <c r="G22" s="39"/>
      <c r="H22" s="39"/>
    </row>
    <row r="23" spans="2:8" customFormat="1" x14ac:dyDescent="0.2">
      <c r="B23" s="45"/>
      <c r="C23" s="46" t="s">
        <v>68</v>
      </c>
      <c r="D23" s="46"/>
      <c r="E23" s="70"/>
      <c r="F23" s="39"/>
      <c r="G23" s="39"/>
      <c r="H23" s="39"/>
    </row>
    <row r="24" spans="2:8" customFormat="1" x14ac:dyDescent="0.2">
      <c r="B24" s="45"/>
      <c r="C24" s="46"/>
      <c r="D24" s="46"/>
      <c r="E24" s="70"/>
      <c r="F24" s="39"/>
      <c r="G24" s="39"/>
      <c r="H24" s="39"/>
    </row>
    <row r="25" spans="2:8" customFormat="1" x14ac:dyDescent="0.2">
      <c r="B25" s="69" t="s">
        <v>69</v>
      </c>
      <c r="C25" s="46"/>
      <c r="D25" s="78" t="s">
        <v>70</v>
      </c>
      <c r="E25" s="79"/>
      <c r="F25" s="39"/>
      <c r="G25" s="39"/>
      <c r="H25" s="39"/>
    </row>
    <row r="26" spans="2:8" customFormat="1" x14ac:dyDescent="0.2">
      <c r="B26" s="69"/>
      <c r="C26" s="46"/>
      <c r="D26" s="46"/>
      <c r="E26" s="47"/>
      <c r="F26" s="39"/>
      <c r="G26" s="39"/>
      <c r="H26" s="39"/>
    </row>
    <row r="27" spans="2:8" customFormat="1" x14ac:dyDescent="0.2">
      <c r="B27" s="45" t="s">
        <v>15</v>
      </c>
      <c r="C27" s="46"/>
      <c r="D27" s="46"/>
      <c r="E27" s="47"/>
      <c r="F27" s="39"/>
      <c r="G27" s="39"/>
      <c r="H27" s="39"/>
    </row>
    <row r="28" spans="2:8" customFormat="1" x14ac:dyDescent="0.2">
      <c r="B28" s="45"/>
      <c r="C28" s="76" t="s">
        <v>64</v>
      </c>
      <c r="D28" s="76"/>
      <c r="E28" s="77"/>
      <c r="F28" s="39"/>
      <c r="G28" s="39"/>
      <c r="H28" s="39"/>
    </row>
    <row r="29" spans="2:8" customFormat="1" x14ac:dyDescent="0.2">
      <c r="B29" s="45" t="s">
        <v>16</v>
      </c>
      <c r="C29" s="46"/>
      <c r="D29" s="46"/>
      <c r="E29" s="47"/>
      <c r="F29" s="39"/>
      <c r="G29" s="39"/>
      <c r="H29" s="39"/>
    </row>
    <row r="30" spans="2:8" customFormat="1" x14ac:dyDescent="0.2">
      <c r="B30" s="45"/>
      <c r="C30" s="76" t="s">
        <v>81</v>
      </c>
      <c r="D30" s="76"/>
      <c r="E30" s="77"/>
      <c r="F30" s="39"/>
      <c r="G30" s="39"/>
      <c r="H30" s="39"/>
    </row>
    <row r="31" spans="2:8" customFormat="1" x14ac:dyDescent="0.2">
      <c r="B31" s="45" t="s">
        <v>17</v>
      </c>
      <c r="C31" s="46"/>
      <c r="D31" s="46"/>
      <c r="E31" s="47"/>
      <c r="F31" s="39"/>
      <c r="G31" s="39"/>
      <c r="H31" s="39"/>
    </row>
    <row r="32" spans="2:8" customFormat="1" x14ac:dyDescent="0.2">
      <c r="B32" s="45"/>
      <c r="C32" s="46"/>
      <c r="D32" s="46"/>
      <c r="E32" s="47"/>
      <c r="F32" s="39"/>
      <c r="G32" s="39"/>
      <c r="H32" s="39"/>
    </row>
    <row r="33" spans="2:5" ht="13.5" thickBot="1" x14ac:dyDescent="0.25">
      <c r="B33" s="48"/>
      <c r="C33" s="49"/>
      <c r="D33" s="49"/>
      <c r="E33" s="50"/>
    </row>
  </sheetData>
  <mergeCells count="13">
    <mergeCell ref="B2:H2"/>
    <mergeCell ref="A4:B4"/>
    <mergeCell ref="C4:E4"/>
    <mergeCell ref="A5:B5"/>
    <mergeCell ref="C5:E5"/>
    <mergeCell ref="C30:E30"/>
    <mergeCell ref="D20:E20"/>
    <mergeCell ref="C28:E28"/>
    <mergeCell ref="D25:E25"/>
    <mergeCell ref="A6:B6"/>
    <mergeCell ref="A7:B7"/>
    <mergeCell ref="C17:E17"/>
    <mergeCell ref="C18:E18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zoomScale="75" zoomScaleNormal="75" workbookViewId="0">
      <selection activeCell="A14" sqref="A1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4" t="s">
        <v>18</v>
      </c>
      <c r="B1" s="94"/>
      <c r="C1" s="94"/>
      <c r="D1" s="94"/>
      <c r="E1" s="94"/>
      <c r="F1" s="94"/>
      <c r="G1" s="94"/>
      <c r="H1" s="94"/>
      <c r="I1" s="94"/>
      <c r="J1" s="3" t="s">
        <v>19</v>
      </c>
      <c r="K1" s="58" t="s">
        <v>75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95" t="s">
        <v>52</v>
      </c>
      <c r="B3" s="95"/>
      <c r="C3" s="95"/>
      <c r="D3" s="96" t="str">
        <f>'Necesidades Trimestrales'!C4</f>
        <v>40-Ministerio de Salud</v>
      </c>
      <c r="E3" s="96"/>
      <c r="F3" s="96"/>
      <c r="G3" s="96"/>
      <c r="H3" s="96"/>
      <c r="I3" s="96"/>
      <c r="J3" s="96"/>
      <c r="K3" s="96"/>
    </row>
    <row r="4" spans="1:11" ht="18.75" customHeight="1" thickBot="1" x14ac:dyDescent="0.25">
      <c r="A4" s="97" t="s">
        <v>53</v>
      </c>
      <c r="B4" s="97"/>
      <c r="C4" s="97"/>
      <c r="D4" s="96" t="str">
        <f>'Necesidades Trimestrales'!C5</f>
        <v>28- Maternidad Provincial 25 de Mayo</v>
      </c>
      <c r="E4" s="96"/>
      <c r="F4" s="96"/>
      <c r="G4" s="96"/>
      <c r="H4" s="96"/>
      <c r="I4" s="96"/>
      <c r="J4" s="96"/>
      <c r="K4" s="96"/>
    </row>
    <row r="5" spans="1:11" ht="18.75" customHeight="1" thickBot="1" x14ac:dyDescent="0.25">
      <c r="A5" s="97" t="s">
        <v>31</v>
      </c>
      <c r="B5" s="97"/>
      <c r="C5" s="97"/>
      <c r="D5" s="96" t="s">
        <v>74</v>
      </c>
      <c r="E5" s="96"/>
      <c r="F5" s="96"/>
      <c r="G5" s="96"/>
      <c r="H5" s="96"/>
      <c r="I5" s="96"/>
      <c r="J5" s="96"/>
      <c r="K5" s="96"/>
    </row>
    <row r="6" spans="1:11" ht="16.5" customHeight="1" thickBot="1" x14ac:dyDescent="0.25">
      <c r="A6" s="95" t="s">
        <v>54</v>
      </c>
      <c r="B6" s="95"/>
      <c r="C6" s="95"/>
      <c r="D6" s="96" t="s">
        <v>56</v>
      </c>
      <c r="E6" s="96"/>
      <c r="F6" s="96"/>
      <c r="G6" s="96"/>
      <c r="H6" s="96"/>
      <c r="I6" s="96"/>
      <c r="J6" s="96"/>
      <c r="K6" s="96"/>
    </row>
    <row r="7" spans="1:11" ht="16.5" customHeight="1" thickBot="1" x14ac:dyDescent="0.25">
      <c r="A7" s="97" t="s">
        <v>20</v>
      </c>
      <c r="B7" s="97"/>
      <c r="C7" s="97"/>
      <c r="D7" s="96" t="str">
        <f>'Necesidades Trimestrales'!C7 &amp; "° Trimestre - Año " &amp; 'Necesidades Trimestrales'!C6</f>
        <v>2° Trimestre - Año 2021</v>
      </c>
      <c r="E7" s="96"/>
      <c r="F7" s="96"/>
      <c r="G7" s="96"/>
      <c r="H7" s="96"/>
      <c r="I7" s="96"/>
      <c r="J7" s="96"/>
      <c r="K7" s="96"/>
    </row>
    <row r="8" spans="1:11" ht="16.5" customHeight="1" x14ac:dyDescent="0.2">
      <c r="A8" s="89" t="s">
        <v>21</v>
      </c>
      <c r="B8" s="89"/>
      <c r="C8" s="89"/>
      <c r="D8" s="90" t="s">
        <v>65</v>
      </c>
      <c r="E8" s="90"/>
      <c r="F8" s="90"/>
      <c r="G8" s="90"/>
      <c r="H8" s="90"/>
      <c r="I8" s="90"/>
      <c r="J8" s="90"/>
      <c r="K8" s="90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1" t="s">
        <v>22</v>
      </c>
      <c r="B10" s="92" t="s">
        <v>23</v>
      </c>
      <c r="C10" s="92" t="s">
        <v>24</v>
      </c>
      <c r="D10" s="92"/>
      <c r="E10" s="92"/>
      <c r="F10" s="92"/>
      <c r="G10" s="92"/>
      <c r="H10" s="92" t="s">
        <v>25</v>
      </c>
      <c r="I10" s="92" t="s">
        <v>26</v>
      </c>
      <c r="J10" s="92" t="s">
        <v>27</v>
      </c>
      <c r="K10" s="93" t="s">
        <v>28</v>
      </c>
    </row>
    <row r="11" spans="1:11" ht="24" customHeight="1" thickBot="1" x14ac:dyDescent="0.25">
      <c r="A11" s="91"/>
      <c r="B11" s="92"/>
      <c r="C11" s="92"/>
      <c r="D11" s="92"/>
      <c r="E11" s="92"/>
      <c r="F11" s="92"/>
      <c r="G11" s="92"/>
      <c r="H11" s="92"/>
      <c r="I11" s="92"/>
      <c r="J11" s="92"/>
      <c r="K11" s="93"/>
    </row>
    <row r="12" spans="1:11" ht="46.5" customHeight="1" thickBot="1" x14ac:dyDescent="0.25">
      <c r="A12" s="8">
        <v>1</v>
      </c>
      <c r="B12" s="53" t="str">
        <f>'Necesidades Trimestrales'!B10</f>
        <v>2.5.6-793.31</v>
      </c>
      <c r="C12" s="88" t="str">
        <f>'Necesidades Trimestrales'!E10</f>
        <v>GAS OIL; PRESENTACION: POR LITRO, USO: MOTORES DIESEL, COMERCIALIZACION: GRADO 3, DESTINO: DPTO. S.F.V. DE CATAMARCA</v>
      </c>
      <c r="D12" s="88"/>
      <c r="E12" s="88"/>
      <c r="F12" s="88"/>
      <c r="G12" s="88"/>
      <c r="H12" s="54" t="s">
        <v>73</v>
      </c>
      <c r="I12" s="55" t="str">
        <f>'Necesidades Trimestrales'!F10</f>
        <v>LITROS</v>
      </c>
      <c r="J12" s="56">
        <f>'Necesidades Trimestrales'!H10</f>
        <v>100</v>
      </c>
      <c r="K12" s="57">
        <f>'Necesidades Trimestrales'!G10</f>
        <v>3000</v>
      </c>
    </row>
    <row r="13" spans="1:11" ht="20.25" customHeight="1" thickBot="1" x14ac:dyDescent="0.25">
      <c r="A13" s="86" t="s">
        <v>82</v>
      </c>
      <c r="B13" s="86"/>
      <c r="C13" s="86"/>
      <c r="D13" s="86"/>
      <c r="E13" s="86"/>
      <c r="F13" s="86"/>
      <c r="G13" s="86"/>
      <c r="H13" s="86"/>
      <c r="I13" s="86"/>
      <c r="J13" s="87">
        <f>SUMPRODUCT(J12:J12,K12:K12)</f>
        <v>300000</v>
      </c>
      <c r="K13" s="87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10" zoomScale="130" zoomScaleNormal="130" workbookViewId="0">
      <selection activeCell="A24" sqref="A24:Q24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0" t="s">
        <v>3</v>
      </c>
      <c r="B1" s="120"/>
      <c r="C1" s="120"/>
      <c r="D1" s="121">
        <f>'Necesidades Trimestrales'!C6</f>
        <v>2021</v>
      </c>
      <c r="E1" s="121"/>
      <c r="F1" s="10"/>
      <c r="G1" s="10"/>
      <c r="H1" s="11"/>
      <c r="I1" s="11"/>
      <c r="J1" s="11"/>
      <c r="K1" s="11"/>
      <c r="L1" s="11"/>
      <c r="M1" s="11"/>
      <c r="N1" s="11"/>
      <c r="P1" s="122" t="s">
        <v>29</v>
      </c>
      <c r="Q1" s="122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22"/>
      <c r="Q2" s="122"/>
    </row>
    <row r="4" spans="1:17" s="12" customFormat="1" ht="18" customHeight="1" thickBot="1" x14ac:dyDescent="0.25">
      <c r="A4" s="123" t="s">
        <v>30</v>
      </c>
      <c r="B4" s="123"/>
      <c r="C4" s="123"/>
      <c r="D4" s="123"/>
      <c r="E4" s="123"/>
      <c r="F4" s="123"/>
      <c r="G4" s="118" t="str">
        <f>' NotaPedido'!D3</f>
        <v>40-Ministerio de Salud</v>
      </c>
      <c r="H4" s="118"/>
      <c r="I4" s="118"/>
      <c r="J4" s="118"/>
      <c r="K4" s="118"/>
      <c r="L4" s="118"/>
      <c r="M4" s="118"/>
      <c r="N4" s="118"/>
      <c r="O4" s="118"/>
      <c r="P4" s="118"/>
      <c r="Q4" s="118"/>
    </row>
    <row r="5" spans="1:17" s="12" customFormat="1" ht="18" customHeight="1" thickBot="1" x14ac:dyDescent="0.25">
      <c r="A5" s="115" t="s">
        <v>53</v>
      </c>
      <c r="B5" s="116"/>
      <c r="C5" s="116"/>
      <c r="D5" s="116"/>
      <c r="E5" s="116"/>
      <c r="F5" s="117"/>
      <c r="G5" s="118" t="str">
        <f>' NotaPedido'!D4</f>
        <v>28- Maternidad Provincial 25 de Mayo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</row>
    <row r="6" spans="1:17" s="12" customFormat="1" ht="18" customHeight="1" thickBot="1" x14ac:dyDescent="0.25">
      <c r="A6" s="115" t="s">
        <v>31</v>
      </c>
      <c r="B6" s="116"/>
      <c r="C6" s="116"/>
      <c r="D6" s="116"/>
      <c r="E6" s="116"/>
      <c r="F6" s="117"/>
      <c r="G6" s="118" t="str">
        <f>' NotaPedido'!D5</f>
        <v>239-Direccion Mantenimiento</v>
      </c>
      <c r="H6" s="118"/>
      <c r="I6" s="118"/>
      <c r="J6" s="118"/>
      <c r="K6" s="118"/>
      <c r="L6" s="118"/>
      <c r="M6" s="118"/>
      <c r="N6" s="118"/>
      <c r="O6" s="118"/>
      <c r="P6" s="118"/>
      <c r="Q6" s="118"/>
    </row>
    <row r="7" spans="1:17" s="12" customFormat="1" ht="18" customHeight="1" thickBot="1" x14ac:dyDescent="0.25">
      <c r="A7" s="115" t="s">
        <v>54</v>
      </c>
      <c r="B7" s="116"/>
      <c r="C7" s="116"/>
      <c r="D7" s="116"/>
      <c r="E7" s="116"/>
      <c r="F7" s="117"/>
      <c r="G7" s="118" t="str">
        <f>' NotaPedido'!D6</f>
        <v>Direccion Mantenimiento</v>
      </c>
      <c r="H7" s="118"/>
      <c r="I7" s="118"/>
      <c r="J7" s="118"/>
      <c r="K7" s="118"/>
      <c r="L7" s="118"/>
      <c r="M7" s="118"/>
      <c r="N7" s="118"/>
      <c r="O7" s="118"/>
      <c r="P7" s="118"/>
      <c r="Q7" s="118"/>
    </row>
    <row r="8" spans="1:17" ht="18" customHeight="1" thickBot="1" x14ac:dyDescent="0.25">
      <c r="A8" s="119" t="s">
        <v>32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</row>
    <row r="9" spans="1:17" ht="18" customHeight="1" x14ac:dyDescent="0.2">
      <c r="A9" s="109" t="s">
        <v>33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"/>
      <c r="P9" s="1"/>
      <c r="Q9" s="13"/>
    </row>
    <row r="10" spans="1:17" ht="54.75" customHeight="1" x14ac:dyDescent="0.2">
      <c r="A10" s="11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29/2021,  afectando la erogación resultante a los créditos presupuestarios aprobados a favor de esta Unidad Ejecutora, conforme al siguiente detalle: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1" t="s">
        <v>34</v>
      </c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</row>
    <row r="13" spans="1:17" ht="15.75" customHeight="1" x14ac:dyDescent="0.2">
      <c r="A13" s="112" t="s">
        <v>35</v>
      </c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3" t="s">
        <v>36</v>
      </c>
      <c r="P13" s="113"/>
      <c r="Q13" s="114" t="s">
        <v>37</v>
      </c>
    </row>
    <row r="14" spans="1:17" ht="15.75" customHeight="1" x14ac:dyDescent="0.2">
      <c r="A14" s="18" t="s">
        <v>38</v>
      </c>
      <c r="B14" s="19" t="s">
        <v>39</v>
      </c>
      <c r="C14" s="19" t="s">
        <v>40</v>
      </c>
      <c r="D14" s="19" t="s">
        <v>41</v>
      </c>
      <c r="E14" s="19" t="s">
        <v>42</v>
      </c>
      <c r="F14" s="19" t="s">
        <v>43</v>
      </c>
      <c r="G14" s="20" t="s">
        <v>44</v>
      </c>
      <c r="H14" s="19" t="s">
        <v>45</v>
      </c>
      <c r="I14" s="19" t="s">
        <v>46</v>
      </c>
      <c r="J14" s="19" t="s">
        <v>47</v>
      </c>
      <c r="K14" s="19" t="s">
        <v>47</v>
      </c>
      <c r="L14" s="19" t="s">
        <v>48</v>
      </c>
      <c r="M14" s="21" t="s">
        <v>49</v>
      </c>
      <c r="N14" s="22" t="s">
        <v>50</v>
      </c>
      <c r="O14" s="113"/>
      <c r="P14" s="113"/>
      <c r="Q14" s="114"/>
    </row>
    <row r="15" spans="1:17" ht="17.25" customHeight="1" x14ac:dyDescent="0.2">
      <c r="A15" s="59">
        <v>42</v>
      </c>
      <c r="B15" s="60"/>
      <c r="C15" s="60"/>
      <c r="D15" s="60">
        <v>4</v>
      </c>
      <c r="E15" s="60"/>
      <c r="F15" s="60">
        <v>4901</v>
      </c>
      <c r="G15" s="60">
        <v>3</v>
      </c>
      <c r="H15" s="60">
        <v>1</v>
      </c>
      <c r="I15" s="60">
        <v>2</v>
      </c>
      <c r="J15" s="60">
        <v>5</v>
      </c>
      <c r="K15" s="60">
        <v>6</v>
      </c>
      <c r="L15" s="60"/>
      <c r="M15" s="61">
        <v>1</v>
      </c>
      <c r="N15" s="62" t="s">
        <v>57</v>
      </c>
      <c r="O15" s="108" t="s">
        <v>60</v>
      </c>
      <c r="P15" s="108"/>
      <c r="Q15" s="23">
        <v>300000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7"/>
      <c r="O16" s="103"/>
      <c r="P16" s="103"/>
      <c r="Q16" s="28"/>
    </row>
    <row r="17" spans="1:18" ht="17.25" customHeight="1" x14ac:dyDescent="0.2">
      <c r="A17" s="24"/>
      <c r="B17" s="25"/>
      <c r="C17" s="25"/>
      <c r="D17" s="25"/>
      <c r="E17" s="25"/>
      <c r="F17" s="27"/>
      <c r="G17" s="25"/>
      <c r="H17" s="25"/>
      <c r="I17" s="25"/>
      <c r="J17" s="25"/>
      <c r="K17" s="25"/>
      <c r="L17" s="25"/>
      <c r="M17" s="26"/>
      <c r="N17" s="27"/>
      <c r="O17" s="103"/>
      <c r="P17" s="103"/>
      <c r="Q17" s="28"/>
    </row>
    <row r="18" spans="1:18" ht="17.25" customHeight="1" x14ac:dyDescent="0.2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6"/>
      <c r="N18" s="27"/>
      <c r="O18" s="103"/>
      <c r="P18" s="103"/>
      <c r="Q18" s="28"/>
    </row>
    <row r="19" spans="1:18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03"/>
      <c r="P19" s="103"/>
      <c r="Q19" s="28"/>
    </row>
    <row r="20" spans="1:18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03"/>
      <c r="P20" s="103"/>
      <c r="Q20" s="28"/>
    </row>
    <row r="21" spans="1:18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04"/>
      <c r="P21" s="104"/>
      <c r="Q21" s="28"/>
      <c r="R21" s="1"/>
    </row>
    <row r="22" spans="1:18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05"/>
      <c r="P22" s="105"/>
      <c r="Q22" s="37"/>
    </row>
    <row r="23" spans="1:18" ht="20.25" customHeight="1" x14ac:dyDescent="0.2">
      <c r="A23" s="106" t="s">
        <v>83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38">
        <f>SUM(Q15:Q22)</f>
        <v>300000</v>
      </c>
    </row>
    <row r="24" spans="1:18" ht="18" customHeight="1" thickBot="1" x14ac:dyDescent="0.25">
      <c r="A24" s="107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</row>
    <row r="25" spans="1:18" ht="17.25" customHeight="1" thickBot="1" x14ac:dyDescent="0.25">
      <c r="A25" s="98" t="s">
        <v>51</v>
      </c>
      <c r="B25" s="99"/>
      <c r="C25" s="99"/>
      <c r="D25" s="99"/>
      <c r="E25" s="99"/>
      <c r="F25" s="100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</row>
    <row r="26" spans="1:18" ht="18" customHeight="1" thickBot="1" x14ac:dyDescent="0.25">
      <c r="A26" s="102" t="s">
        <v>72</v>
      </c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</row>
    <row r="27" spans="1:18" ht="15" customHeight="1" x14ac:dyDescent="0.2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2020-07-17T22:18:48Z</cp:lastPrinted>
  <dcterms:created xsi:type="dcterms:W3CDTF">2020-07-17T23:44:49Z</dcterms:created>
  <dcterms:modified xsi:type="dcterms:W3CDTF">2021-08-17T11:30:47Z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