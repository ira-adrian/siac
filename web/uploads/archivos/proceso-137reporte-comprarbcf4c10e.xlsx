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0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ADRIAN\Downloads\"/>
    </mc:Choice>
  </mc:AlternateContent>
  <xr:revisionPtr revIDLastSave="0" documentId="13_ncr:1_{2D075691-9DE1-4E66-9A4A-12AE17C7CB9C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Cuadro comparativo" sheetId="2" r:id="rId1"/>
  </sheets>
  <definedNames>
    <definedName name="Datos">'Cuadro comparativo'!$E$1:$E$5</definedName>
    <definedName name="DatosTitulos">'Cuadro comparativo'!$D$1:$D$5</definedName>
    <definedName name="PROVEEDOR">'Cuadro comparativo'!$G$8:$J$8,'Cuadro comparativo'!$K$8:$N$8,'Cuadro comparativo'!$O$8:$R$8</definedName>
    <definedName name="Titles">'Cuadro comparativo'!$A$8:$F$8</definedName>
  </definedNames>
  <calcPr calcId="181029"/>
</workbook>
</file>

<file path=xl/calcChain.xml><?xml version="1.0" encoding="utf-8"?>
<calcChain xmlns="http://schemas.openxmlformats.org/spreadsheetml/2006/main">
  <c r="I20" i="2" l="1"/>
  <c r="M20" i="2"/>
  <c r="Q20" i="2"/>
</calcChain>
</file>

<file path=xl/sharedStrings.xml><?xml version="1.0" encoding="utf-8"?>
<sst xmlns="http://schemas.openxmlformats.org/spreadsheetml/2006/main" count="96" uniqueCount="66">
  <si>
    <t>Número expediente:</t>
  </si>
  <si>
    <t>EX-2022-01296219-   -CAT-DPCBS#MEC</t>
  </si>
  <si>
    <t>Número proceso de compra:</t>
  </si>
  <si>
    <t>100-0124-CDI22</t>
  </si>
  <si>
    <t>Nombre descriptivo proceso de compra:</t>
  </si>
  <si>
    <t>ADQUISICION DE EQUIPOS INFORMÁTICOS PARA EL MINISTERIO DE INCLUSION DIGITAL Y SISTEMAS PRODUCTIVOS</t>
  </si>
  <si>
    <t>Unidad Operativa de Compras:</t>
  </si>
  <si>
    <t>Secretaria de Compras y Abastecimiento</t>
  </si>
  <si>
    <t>Fecha de Apertura:</t>
  </si>
  <si>
    <t>29/07/2022</t>
  </si>
  <si>
    <t>Renglón</t>
  </si>
  <si>
    <t>MDP SISTEMAS DIGITALES S.R.L.</t>
  </si>
  <si>
    <t>Juan Manuel Olveira Luraschi</t>
  </si>
  <si>
    <t>YAMIL PACHA</t>
  </si>
  <si>
    <t>Alternativa</t>
  </si>
  <si>
    <t>Código</t>
  </si>
  <si>
    <t>Descripción</t>
  </si>
  <si>
    <t>Cantidad solicitada</t>
  </si>
  <si>
    <t>Unidad de medida</t>
  </si>
  <si>
    <t>Precio unitario</t>
  </si>
  <si>
    <t>Cantidad ofertada</t>
  </si>
  <si>
    <t>Total por renglón</t>
  </si>
  <si>
    <t>Especificacion técnica</t>
  </si>
  <si>
    <t xml:space="preserve">1 </t>
  </si>
  <si>
    <t xml:space="preserve">4.3.6-6160.232 </t>
  </si>
  <si>
    <t xml:space="preserve">COMPUTADORAS; TIPO: ESCRITORIO, CODIGO ETAP: PC ESCRITORIO, VERSION ETAP: 25.0 
</t>
  </si>
  <si>
    <t xml:space="preserve">UNIDAD </t>
  </si>
  <si>
    <t xml:space="preserve">COMPUTADORA ESCRITORIO MARCA: EXO MODELO: READY D4-S5485L • Procesador 10ma 
Gen - Intel® Core™ i5-10400 • Sistema Operativo Linux Mint 
• Memoria RAM 8 GB DDR4 | 2400Mhz • Disco 
SSD 512Gb  • Chipset Intel® H510 • Intel® UHD 
Graphics / GLan / HDMI / VGA • GABINETE EXO 
WB-10 kit 500W  • Teclado + mouse + parlantes 
USB  NOTA: no se incluye el monitor junto a 
la PC porque hay faltante de entrega actualmente y la 
imprevisibilidad de ingresos nuevos a cortos plazos 30/60/90 dias en 
marcas como Viewsonic, CX, Philips, EXO y Dell.  </t>
  </si>
  <si>
    <t xml:space="preserve">PC de escritorio | Intel Core i5 | 8GB RAM 
| 480 SSD | Monitor de 19'' | Kit de 
teclado y mouse | Marca CX Performance  </t>
  </si>
  <si>
    <t xml:space="preserve">PC CX AMD RYZEN 5 4600G+8G+SSD480G (ECS) GABINETE  CX 
SLIM 5835 BLACK ALUM 600W USB 3.0 S/CR TECLADO CX 
SLIM WK-718 TECLA CHOCOLATE USB MOUSE CX MEQ-037 RUBBER BLACK 
COLOR FINISH  USB MB ECS AM4 A520AM4-M3D BOX M-ATX 
CPU AMD RYZEN 5 4600G AM4 65W MEMORIA DDR4 8GB 
 DISCO SSD 480 GB PLACA RED PCI-E TP-LINK WN881ND 
11N 300MBPS 2X2DBI Monitor Samsung A330n (LS19A330NHL) 19” panel tn 
brillo 250cd contraste 600:1 resolución 1366x768 tiempo de respuesta 5ms 
vga . hdmi color negro vesa 75 x 75 adaptador 
externo  </t>
  </si>
  <si>
    <t xml:space="preserve">2 </t>
  </si>
  <si>
    <t xml:space="preserve">4.3.6-6161.113 </t>
  </si>
  <si>
    <t xml:space="preserve">IMPRESORAS; TIPO: IMPRESORA MULTIFUNCION, CODIGO ETAP: PR-010, VERSION ETAP: PRIMAVERA 
2006 V 13 </t>
  </si>
  <si>
    <t xml:space="preserve">Epson Expression XP-2101 con wifi   </t>
  </si>
  <si>
    <t xml:space="preserve">3 </t>
  </si>
  <si>
    <t xml:space="preserve">COMPUTADORA ESCRITORIO MARCA: EXO MODELO: READY D4-S5485L • Procesador 10ma 
Gen - Intel® Core™ i5-10400 • Sistema Operativo Linux Mint 
• Memoria RAM 8 GB DDR4 | 2400Mhz • Disco 
SSD 256Gb  • Chipset Intel® H510 • Intel® UHD 
Graphics / GLan / HDMI / VGA • GABINETE EXO 
WB-10 kit 500W  • Teclado + mouse + parlantes 
USB </t>
  </si>
  <si>
    <t xml:space="preserve">PC de escritorio | Intel i5 | 8GB RAM | 
240 SSD | Kit de teclado, mouse y parlantes | 
Marca CX Performance  </t>
  </si>
  <si>
    <t xml:space="preserve">PC CX AMD RYZEN 5 4650G+8G+SSD240 (MSI) GABINETE  CX 
SLIM 5835 BLACK ALUM 600W USB 3.0 S/CR TECLADO CX 
SLIM WK-718 TECLA CHOCOLATE USB MOUSE CX MEQ-037 RUBBER BLACK 
COLOR FINISH  USB MB MSI AM4 A520M-A PRO BOX 
M-ATX CPU AMD RYZEN 5 4650G PRO AM4 65W MPK 
MEMORIA DDR4 8GB DISCO SSD 240GB Monitor Samsung A330n (LS19A330NHL) 
19” panel tn brillo 250cd contraste 600:1 resolución 1366x768 tiempo 
de respuesta 5ms vga . hdmi color negro vesa 75 
x 75 adaptador externo  </t>
  </si>
  <si>
    <t xml:space="preserve">4 </t>
  </si>
  <si>
    <t xml:space="preserve">4.3.6-6169.105 </t>
  </si>
  <si>
    <t xml:space="preserve">MONITORES; TIPO: TFT/LCD/LED, CODIGO ETAP: MN-E, VERSION ETAP: 25.0 </t>
  </si>
  <si>
    <t xml:space="preserve">Monitor Philips V 221V8 LCD 21.5''  </t>
  </si>
  <si>
    <t xml:space="preserve">Mon Hikvision 22 Vga+hdmi DS-D5022QE-E Monitor 22 hikvision vga+hdmi angulo 
de vision: 65 vertical/90 horizontal vesa standard max resolucion 1920x1080 
60hz\\ </t>
  </si>
  <si>
    <t xml:space="preserve">5 </t>
  </si>
  <si>
    <t xml:space="preserve">4.3.6-1372.15 </t>
  </si>
  <si>
    <t xml:space="preserve">VIDEO CAMARAS P/PC; RESOLUCION: HD 1280 X 720 - 1.3 
MEGAPIXEL, DEFINICION: 25 CUADRO/SEG, TIPO DE CONEXION: USB 2.0 O 
SUPERIOR </t>
  </si>
  <si>
    <t xml:space="preserve">Logitech Brio  </t>
  </si>
  <si>
    <t xml:space="preserve">6 </t>
  </si>
  <si>
    <t xml:space="preserve">4.3.6-3190.7 </t>
  </si>
  <si>
    <t xml:space="preserve">SCANNERS DE HUELLAS DACTILARES; TIPO: OPTICO AUTOSENSIBLE, RESOLUCION: 512 DPI, 
TECLADO: SIN, DISPLAY: SIN, SOFTWARE: SIN </t>
  </si>
  <si>
    <t xml:space="preserve">Lector De Huellas Digitales Futronic Fs80 Biometrico Usb Pc  
</t>
  </si>
  <si>
    <t xml:space="preserve">7 </t>
  </si>
  <si>
    <t xml:space="preserve">4.3.6-3351.4 </t>
  </si>
  <si>
    <t xml:space="preserve">KIT PERIFERICOS P/PC; COMPONENTES: TABLETA DIGITALIZADORA </t>
  </si>
  <si>
    <t xml:space="preserve">8 </t>
  </si>
  <si>
    <t xml:space="preserve">4.3.6-6170.65 </t>
  </si>
  <si>
    <t xml:space="preserve">DIG. DE IMÁGENES/ESCÁNER; TIPO: ESTANDAR PORTÁTIL; CÓDIGO ETAP: SC STD 
- ESCÁNER ESTÁNDAR, VERSIÓN ETAP: V25 </t>
  </si>
  <si>
    <t xml:space="preserve">Escaner Kodak Scanmate I940  </t>
  </si>
  <si>
    <t xml:space="preserve">9 </t>
  </si>
  <si>
    <t xml:space="preserve">4.3.6-6161.349 </t>
  </si>
  <si>
    <t xml:space="preserve">IMPRESORAS; TIPO: LASER MONOCROMÁTICA; CODIGO ETAP: PR-ESTANDAR - IMPRESORA ELECTROFOTOGRÁFICA 
O DE TINTA ESTÁNDAR;  VERSION ETAP: V25 </t>
  </si>
  <si>
    <t xml:space="preserve">10 </t>
  </si>
  <si>
    <t xml:space="preserve">4.3.6-6160.233 </t>
  </si>
  <si>
    <t xml:space="preserve">COMPUTADORAS; TIPO: NOTEBOOK; CÓDIGO ETAP: PC-PORTÁTIL - COMPUTADORA PORTÁTIL ESTÁNDAR; 
VERSION ETAP: V25 </t>
  </si>
  <si>
    <t xml:space="preserve">NOTEBOOK MARCA: EXO MODELO: SMART PRO Q7-S5385S • Procesador 11va 
Gen - Intel® Core™ i5-1135G7 • Sin Sistema Operativo  
• Memoria 16GB DDR4 / 32GB Max • SSD 256GB 
+ HDD 1Tb SATA / CReader • Teclado númerico / 
RJ-45 / WIFI ac + BT / HDMI / VGA 
/ USB • Gráficos Intel® Iris® X / WCam HD 
• LED 15,6” | Resolución FULL HD 1920x1080 16:9 • 
2000 gramos / Kensington Lock / Batería de 10 hs 
/ fTPM  </t>
  </si>
  <si>
    <t xml:space="preserve">Total: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</si>
</sst>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\ #,##0.00"/>
    <numFmt numFmtId="165" formatCode="\$\ #,##0.00"/>
  </numFmts>
  <fonts count="2" x14ac:knownFonts="1"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A2ADD0"/>
        <bgColor rgb="FFA2ADD0"/>
      </patternFill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6">
    <xf numFmtId="0" fontId="0" fillId="0" borderId="0" xfId="0" applyNumberFormat="1" applyFill="1" applyAlignment="1" applyProtection="1"/>
    <xf numFmtId="0" fontId="1" fillId="2" borderId="0" xfId="0" applyNumberFormat="1" applyFont="1" applyFill="1" applyAlignment="1" applyProtection="1">
      <alignment horizontal="center"/>
    </xf>
    <xf numFmtId="0" fontId="1" fillId="2" borderId="0" xfId="0" applyNumberFormat="1" applyFont="1" applyFill="1" applyAlignment="1" applyProtection="1">
      <alignment horizontal="left"/>
    </xf>
    <xf numFmtId="164" fontId="0" fillId="0" borderId="0" xfId="0" applyNumberFormat="1" applyFill="1" applyAlignment="1" applyProtection="1"/>
    <xf numFmtId="0" fontId="0" fillId="0" borderId="0" xfId="0" applyNumberFormat="1" applyFill="1" applyAlignment="1" applyProtection="1">
      <alignment wrapText="1"/>
    </xf>
    <xf numFmtId="165" fontId="0" fillId="0" borderId="0" xfId="0" applyNumberFormat="1" applyFill="1" applyAlignment="1" applyProtection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9:F20" totalsRowCount="1">
  <tableColumns count="6">
    <tableColumn id="1" xr3:uid="{00000000-0010-0000-0000-000001000000}" name="Renglón"/>
    <tableColumn id="2" xr3:uid="{00000000-0010-0000-0000-000002000000}" name="Alternativa"/>
    <tableColumn id="3" xr3:uid="{00000000-0010-0000-0000-000003000000}" name="Código" totalsRowLabel="Total: "/>
    <tableColumn id="4" xr3:uid="{00000000-0010-0000-0000-000004000000}" name="Descripción"/>
    <tableColumn id="5" xr3:uid="{00000000-0010-0000-0000-000005000000}" name="Cantidad solicitada"/>
    <tableColumn id="6" xr3:uid="{00000000-0010-0000-0000-000006000000}" name="Unidad de medida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G9:J20" totalsRowCount="1">
  <tableColumns count="4">
    <tableColumn id="1" xr3:uid="{00000000-0010-0000-0100-000001000000}" name="Precio unitario"/>
    <tableColumn id="2" xr3:uid="{00000000-0010-0000-0100-000002000000}" name="Cantidad ofertada"/>
    <tableColumn id="3" xr3:uid="{00000000-0010-0000-0100-000003000000}" name="Total por renglón" totalsRowFunction="sum"/>
    <tableColumn id="4" xr3:uid="{00000000-0010-0000-0100-000004000000}" name="Especificacion técnica"/>
  </tableColumns>
  <tableStyleInfo name="TableStyleLight9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K9:N20" totalsRowCount="1">
  <tableColumns count="4">
    <tableColumn id="1" xr3:uid="{00000000-0010-0000-0200-000001000000}" name="Precio unitario"/>
    <tableColumn id="2" xr3:uid="{00000000-0010-0000-0200-000002000000}" name="Cantidad ofertada"/>
    <tableColumn id="3" xr3:uid="{00000000-0010-0000-0200-000003000000}" name="Total por renglón" totalsRowFunction="sum"/>
    <tableColumn id="4" xr3:uid="{00000000-0010-0000-0200-000004000000}" name="Especificacion técnica"/>
  </tableColumns>
  <tableStyleInfo name="TableStyleLight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4" displayName="Table4" ref="O9:R20" totalsRowCount="1">
  <tableColumns count="4">
    <tableColumn id="1" xr3:uid="{00000000-0010-0000-0300-000001000000}" name="Precio unitario"/>
    <tableColumn id="2" xr3:uid="{00000000-0010-0000-0300-000002000000}" name="Cantidad ofertada"/>
    <tableColumn id="3" xr3:uid="{00000000-0010-0000-0300-000003000000}" name="Total por renglón" totalsRowFunction="sum"/>
    <tableColumn id="4" xr3:uid="{00000000-0010-0000-0300-000004000000}" name="Especificacion técnica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Relationship Id="rId4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20"/>
  <sheetViews>
    <sheetView tabSelected="1" workbookViewId="0">
      <pane xSplit="3" ySplit="9" topLeftCell="D10" activePane="bottomRight" state="frozenSplit"/>
      <selection pane="topRight"/>
      <selection pane="bottomLeft"/>
      <selection pane="bottomRight" activeCell="D10" sqref="D10"/>
    </sheetView>
  </sheetViews>
  <sheetFormatPr baseColWidth="10" defaultColWidth="9.140625" defaultRowHeight="15" x14ac:dyDescent="0.25"/>
  <cols>
    <col min="1" max="1" width="8.85546875" customWidth="1"/>
    <col min="2" max="2" width="11.28515625" customWidth="1"/>
    <col min="3" max="3" width="14.7109375" customWidth="1"/>
    <col min="4" max="4" width="99.42578125" customWidth="1"/>
    <col min="5" max="5" width="102.140625" customWidth="1"/>
    <col min="6" max="6" width="17.42578125" customWidth="1"/>
    <col min="7" max="7" width="14.28515625" customWidth="1"/>
    <col min="8" max="8" width="17.28515625" customWidth="1"/>
    <col min="9" max="9" width="16.5703125" customWidth="1"/>
    <col min="10" max="10" width="79.42578125" customWidth="1"/>
    <col min="11" max="11" width="14.28515625" customWidth="1"/>
    <col min="12" max="12" width="17.28515625" customWidth="1"/>
    <col min="13" max="13" width="16.5703125" customWidth="1"/>
    <col min="14" max="14" width="52.42578125" customWidth="1"/>
    <col min="15" max="15" width="14.28515625" customWidth="1"/>
    <col min="16" max="16" width="17.28515625" customWidth="1"/>
    <col min="17" max="17" width="16.5703125" customWidth="1"/>
    <col min="18" max="18" width="70.7109375" customWidth="1"/>
  </cols>
  <sheetData>
    <row r="1" spans="1:18" x14ac:dyDescent="0.25">
      <c r="D1" s="2" t="s">
        <v>0</v>
      </c>
      <c r="E1" s="2" t="s">
        <v>1</v>
      </c>
    </row>
    <row r="2" spans="1:18" x14ac:dyDescent="0.25">
      <c r="D2" s="2" t="s">
        <v>2</v>
      </c>
      <c r="E2" s="2" t="s">
        <v>3</v>
      </c>
    </row>
    <row r="3" spans="1:18" x14ac:dyDescent="0.25">
      <c r="D3" s="2" t="s">
        <v>4</v>
      </c>
      <c r="E3" s="2" t="s">
        <v>5</v>
      </c>
    </row>
    <row r="4" spans="1:18" x14ac:dyDescent="0.25">
      <c r="D4" s="2" t="s">
        <v>6</v>
      </c>
      <c r="E4" s="2" t="s">
        <v>7</v>
      </c>
    </row>
    <row r="5" spans="1:18" x14ac:dyDescent="0.25">
      <c r="D5" s="2" t="s">
        <v>8</v>
      </c>
      <c r="E5" s="2" t="s">
        <v>9</v>
      </c>
    </row>
    <row r="8" spans="1:18" x14ac:dyDescent="0.25">
      <c r="A8" s="1" t="s">
        <v>10</v>
      </c>
      <c r="B8" s="1"/>
      <c r="C8" s="1"/>
      <c r="D8" s="1"/>
      <c r="E8" s="1"/>
      <c r="F8" s="1"/>
      <c r="G8" s="1" t="s">
        <v>11</v>
      </c>
      <c r="H8" s="1"/>
      <c r="I8" s="1"/>
      <c r="J8" s="1"/>
      <c r="K8" s="1" t="s">
        <v>12</v>
      </c>
      <c r="L8" s="1"/>
      <c r="M8" s="1"/>
      <c r="N8" s="1"/>
      <c r="O8" s="1" t="s">
        <v>13</v>
      </c>
      <c r="P8" s="1"/>
      <c r="Q8" s="1"/>
      <c r="R8" s="1"/>
    </row>
    <row r="9" spans="1:18" x14ac:dyDescent="0.25">
      <c r="A9" t="s">
        <v>10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 s="3" t="s">
        <v>19</v>
      </c>
      <c r="H9" s="3" t="s">
        <v>20</v>
      </c>
      <c r="I9" t="s">
        <v>21</v>
      </c>
      <c r="J9" t="s">
        <v>22</v>
      </c>
      <c r="K9" s="3" t="s">
        <v>19</v>
      </c>
      <c r="L9" s="3" t="s">
        <v>20</v>
      </c>
      <c r="M9" t="s">
        <v>21</v>
      </c>
      <c r="N9" t="s">
        <v>22</v>
      </c>
      <c r="O9" s="3" t="s">
        <v>19</v>
      </c>
      <c r="P9" s="3" t="s">
        <v>20</v>
      </c>
      <c r="Q9" t="s">
        <v>21</v>
      </c>
      <c r="R9" t="s">
        <v>22</v>
      </c>
    </row>
    <row r="10" spans="1:18" ht="165" x14ac:dyDescent="0.25">
      <c r="A10" t="s">
        <v>23</v>
      </c>
      <c r="B10" t="s">
        <v>23</v>
      </c>
      <c r="C10" t="s">
        <v>24</v>
      </c>
      <c r="D10" s="4" t="s">
        <v>25</v>
      </c>
      <c r="E10">
        <v>20</v>
      </c>
      <c r="F10" t="s">
        <v>26</v>
      </c>
      <c r="G10" s="3">
        <v>91600</v>
      </c>
      <c r="H10" s="3">
        <v>20</v>
      </c>
      <c r="I10" s="5">
        <v>1832000</v>
      </c>
      <c r="J10" s="4" t="s">
        <v>27</v>
      </c>
      <c r="K10" s="3">
        <v>199060</v>
      </c>
      <c r="L10" s="3">
        <v>20</v>
      </c>
      <c r="M10" s="5">
        <v>3981200</v>
      </c>
      <c r="N10" s="4" t="s">
        <v>28</v>
      </c>
      <c r="O10" s="3">
        <v>153830</v>
      </c>
      <c r="P10" s="3">
        <v>20</v>
      </c>
      <c r="Q10" s="5">
        <v>3076600</v>
      </c>
      <c r="R10" s="4" t="s">
        <v>29</v>
      </c>
    </row>
    <row r="11" spans="1:18" ht="30" x14ac:dyDescent="0.25">
      <c r="A11" t="s">
        <v>30</v>
      </c>
      <c r="B11" t="s">
        <v>23</v>
      </c>
      <c r="C11" t="s">
        <v>31</v>
      </c>
      <c r="D11" s="4" t="s">
        <v>32</v>
      </c>
      <c r="E11">
        <v>12</v>
      </c>
      <c r="F11" t="s">
        <v>26</v>
      </c>
      <c r="G11" s="3"/>
      <c r="H11" s="3"/>
      <c r="I11" s="5"/>
      <c r="K11" s="3">
        <v>57980</v>
      </c>
      <c r="L11" s="3">
        <v>12</v>
      </c>
      <c r="M11" s="5">
        <v>695760</v>
      </c>
      <c r="N11" t="s">
        <v>33</v>
      </c>
      <c r="O11" s="3"/>
      <c r="P11" s="3"/>
      <c r="Q11" s="5"/>
    </row>
    <row r="12" spans="1:18" ht="150" x14ac:dyDescent="0.25">
      <c r="A12" t="s">
        <v>34</v>
      </c>
      <c r="B12" t="s">
        <v>23</v>
      </c>
      <c r="C12" t="s">
        <v>24</v>
      </c>
      <c r="D12" s="4" t="s">
        <v>25</v>
      </c>
      <c r="E12">
        <v>20</v>
      </c>
      <c r="F12" t="s">
        <v>26</v>
      </c>
      <c r="G12" s="3">
        <v>88600</v>
      </c>
      <c r="H12" s="3">
        <v>20</v>
      </c>
      <c r="I12" s="5">
        <v>1772000</v>
      </c>
      <c r="J12" s="4" t="s">
        <v>35</v>
      </c>
      <c r="K12" s="3">
        <v>138000</v>
      </c>
      <c r="L12" s="3">
        <v>20</v>
      </c>
      <c r="M12" s="5">
        <v>2760000</v>
      </c>
      <c r="N12" s="4" t="s">
        <v>36</v>
      </c>
      <c r="O12" s="3">
        <v>150743</v>
      </c>
      <c r="P12" s="3">
        <v>20</v>
      </c>
      <c r="Q12" s="5">
        <v>3014860</v>
      </c>
      <c r="R12" s="4" t="s">
        <v>37</v>
      </c>
    </row>
    <row r="13" spans="1:18" ht="60" x14ac:dyDescent="0.25">
      <c r="A13" t="s">
        <v>38</v>
      </c>
      <c r="B13" t="s">
        <v>23</v>
      </c>
      <c r="C13" t="s">
        <v>39</v>
      </c>
      <c r="D13" t="s">
        <v>40</v>
      </c>
      <c r="E13">
        <v>20</v>
      </c>
      <c r="F13" t="s">
        <v>26</v>
      </c>
      <c r="G13" s="3"/>
      <c r="H13" s="3"/>
      <c r="I13" s="5"/>
      <c r="K13" s="3">
        <v>72000</v>
      </c>
      <c r="L13" s="3">
        <v>20</v>
      </c>
      <c r="M13" s="5">
        <v>1440000</v>
      </c>
      <c r="N13" t="s">
        <v>41</v>
      </c>
      <c r="O13" s="3">
        <v>51000</v>
      </c>
      <c r="P13" s="3">
        <v>20</v>
      </c>
      <c r="Q13" s="5">
        <v>1020000</v>
      </c>
      <c r="R13" s="4" t="s">
        <v>42</v>
      </c>
    </row>
    <row r="14" spans="1:18" ht="45" x14ac:dyDescent="0.25">
      <c r="A14" t="s">
        <v>43</v>
      </c>
      <c r="B14" t="s">
        <v>23</v>
      </c>
      <c r="C14" t="s">
        <v>44</v>
      </c>
      <c r="D14" s="4" t="s">
        <v>45</v>
      </c>
      <c r="E14">
        <v>25</v>
      </c>
      <c r="F14" t="s">
        <v>26</v>
      </c>
      <c r="G14" s="3"/>
      <c r="H14" s="3"/>
      <c r="I14" s="5"/>
      <c r="K14" s="3">
        <v>35000</v>
      </c>
      <c r="L14" s="3">
        <v>25</v>
      </c>
      <c r="M14" s="5">
        <v>875000</v>
      </c>
      <c r="N14" t="s">
        <v>46</v>
      </c>
      <c r="O14" s="3"/>
      <c r="P14" s="3"/>
      <c r="Q14" s="5"/>
    </row>
    <row r="15" spans="1:18" ht="45" x14ac:dyDescent="0.25">
      <c r="A15" t="s">
        <v>47</v>
      </c>
      <c r="B15" t="s">
        <v>23</v>
      </c>
      <c r="C15" t="s">
        <v>48</v>
      </c>
      <c r="D15" s="4" t="s">
        <v>49</v>
      </c>
      <c r="E15">
        <v>25</v>
      </c>
      <c r="F15" t="s">
        <v>26</v>
      </c>
      <c r="G15" s="3"/>
      <c r="H15" s="3"/>
      <c r="I15" s="5"/>
      <c r="K15" s="3">
        <v>30000</v>
      </c>
      <c r="L15" s="3">
        <v>25</v>
      </c>
      <c r="M15" s="5">
        <v>750000</v>
      </c>
      <c r="N15" s="4" t="s">
        <v>50</v>
      </c>
      <c r="O15" s="3"/>
      <c r="P15" s="3"/>
      <c r="Q15" s="5"/>
    </row>
    <row r="16" spans="1:18" x14ac:dyDescent="0.25">
      <c r="A16" t="s">
        <v>51</v>
      </c>
      <c r="B16" t="s">
        <v>23</v>
      </c>
      <c r="C16" t="s">
        <v>52</v>
      </c>
      <c r="D16" t="s">
        <v>53</v>
      </c>
      <c r="E16">
        <v>25</v>
      </c>
      <c r="F16" t="s">
        <v>26</v>
      </c>
      <c r="G16" s="3"/>
      <c r="H16" s="3"/>
      <c r="I16" s="5"/>
      <c r="K16" s="3"/>
      <c r="L16" s="3"/>
      <c r="M16" s="5"/>
      <c r="O16" s="3"/>
      <c r="P16" s="3"/>
      <c r="Q16" s="5"/>
    </row>
    <row r="17" spans="1:17" ht="30" x14ac:dyDescent="0.25">
      <c r="A17" t="s">
        <v>54</v>
      </c>
      <c r="B17" t="s">
        <v>23</v>
      </c>
      <c r="C17" t="s">
        <v>55</v>
      </c>
      <c r="D17" s="4" t="s">
        <v>56</v>
      </c>
      <c r="E17">
        <v>20</v>
      </c>
      <c r="F17" t="s">
        <v>26</v>
      </c>
      <c r="G17" s="3"/>
      <c r="H17" s="3"/>
      <c r="I17" s="5"/>
      <c r="K17" s="3">
        <v>92500</v>
      </c>
      <c r="L17" s="3">
        <v>20</v>
      </c>
      <c r="M17" s="5">
        <v>1850000</v>
      </c>
      <c r="N17" t="s">
        <v>57</v>
      </c>
      <c r="O17" s="3"/>
      <c r="P17" s="3"/>
      <c r="Q17" s="5"/>
    </row>
    <row r="18" spans="1:17" ht="45" x14ac:dyDescent="0.25">
      <c r="A18" t="s">
        <v>58</v>
      </c>
      <c r="B18" t="s">
        <v>23</v>
      </c>
      <c r="C18" t="s">
        <v>59</v>
      </c>
      <c r="D18" s="4" t="s">
        <v>60</v>
      </c>
      <c r="E18">
        <v>20</v>
      </c>
      <c r="F18" t="s">
        <v>26</v>
      </c>
      <c r="G18" s="3"/>
      <c r="H18" s="3"/>
      <c r="I18" s="5"/>
      <c r="K18" s="3"/>
      <c r="L18" s="3"/>
      <c r="M18" s="5"/>
      <c r="O18" s="3"/>
      <c r="P18" s="3"/>
      <c r="Q18" s="5"/>
    </row>
    <row r="19" spans="1:17" ht="135" x14ac:dyDescent="0.25">
      <c r="A19" t="s">
        <v>61</v>
      </c>
      <c r="B19" t="s">
        <v>23</v>
      </c>
      <c r="C19" t="s">
        <v>62</v>
      </c>
      <c r="D19" s="4" t="s">
        <v>63</v>
      </c>
      <c r="E19">
        <v>5</v>
      </c>
      <c r="F19" t="s">
        <v>26</v>
      </c>
      <c r="G19" s="3">
        <v>172900</v>
      </c>
      <c r="H19" s="3">
        <v>5</v>
      </c>
      <c r="I19" s="5">
        <v>864500</v>
      </c>
      <c r="J19" s="4" t="s">
        <v>64</v>
      </c>
      <c r="K19" s="3"/>
      <c r="L19" s="3"/>
      <c r="M19" s="5"/>
      <c r="O19" s="3"/>
      <c r="P19" s="3"/>
      <c r="Q19" s="5"/>
    </row>
    <row r="20" spans="1:17" x14ac:dyDescent="0.25">
      <c r="C20" t="s">
        <v>65</v>
      </c>
      <c r="D20" s="4"/>
      <c r="G20" s="3"/>
      <c r="H20" s="3"/>
      <c r="I20" s="5">
        <f>SUBTOTAL(109,Table2[Total por renglón])</f>
        <v>4468500</v>
      </c>
      <c r="J20" s="4"/>
      <c r="K20" s="3"/>
      <c r="L20" s="3"/>
      <c r="M20" s="5">
        <f>SUBTOTAL(109,Table3[Total por renglón])</f>
        <v>12351960</v>
      </c>
      <c r="O20" s="3"/>
      <c r="P20" s="3"/>
      <c r="Q20" s="5">
        <f>SUBTOTAL(109,Table4[Total por renglón])</f>
        <v>7111460</v>
      </c>
    </row>
  </sheetData>
  <mergeCells count="4">
    <mergeCell ref="G8:J8"/>
    <mergeCell ref="K8:N8"/>
    <mergeCell ref="O8:R8"/>
    <mergeCell ref="A8:F8"/>
  </mergeCells>
  <pageMargins left="0.75" right="0.75" top="0.75" bottom="0.5" header="0.5" footer="0.75"/>
  <tableParts count="4">
    <tablePart r:id="rId1"/>
    <tablePart r:id="rId2"/>
    <tablePart r:id="rId3"/>
    <tablePart r:id="rId4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4</vt:i4>
      </vt:variant>
    </vt:vector>
  </HeadingPairs>
  <TitlesOfParts>
    <vt:vector size="5" baseType="lpstr">
      <vt:lpstr>Cuadro comparativo</vt:lpstr>
      <vt:lpstr>Datos</vt:lpstr>
      <vt:lpstr>DatosTitulos</vt:lpstr>
      <vt:lpstr>PROVEEDOR</vt:lpstr>
      <vt:lpstr>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ADRIAN</cp:lastModifiedBy>
  <dcterms:created xsi:type="dcterms:W3CDTF">2022-08-03T12:18:35Z</dcterms:created>
  <dcterms:modified xsi:type="dcterms:W3CDTF">2022-08-03T12:19:05Z</dcterms:modified>
</cp:coreProperties>
</file>