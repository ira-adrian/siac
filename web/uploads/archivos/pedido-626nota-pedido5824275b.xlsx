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4 TRIMESTRE 2022\Maternidad\equipamiento quirofano\corregido\final\"/>
    </mc:Choice>
  </mc:AlternateContent>
  <xr:revisionPtr revIDLastSave="0" documentId="8_{FD6ACDE7-CC5A-4E16-B329-6385A92F6E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NotaPedido'!$A$11:$K$22</definedName>
    <definedName name="_xlnm._FilterDatabase" localSheetId="0" hidden="1">'Necesidades Trimestrales'!$A$9:$I$19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3" i="2" l="1"/>
  <c r="J14" i="2"/>
  <c r="J15" i="2"/>
  <c r="J16" i="2"/>
  <c r="J17" i="2"/>
  <c r="J18" i="2"/>
  <c r="J19" i="2"/>
  <c r="J20" i="2"/>
  <c r="J21" i="2"/>
  <c r="J12" i="2"/>
  <c r="I19" i="1"/>
  <c r="B21" i="2"/>
  <c r="C21" i="2"/>
  <c r="I21" i="2"/>
  <c r="K21" i="2"/>
  <c r="Q22" i="3"/>
  <c r="K13" i="2"/>
  <c r="K14" i="2"/>
  <c r="K15" i="2"/>
  <c r="K16" i="2"/>
  <c r="K17" i="2"/>
  <c r="K18" i="2"/>
  <c r="K19" i="2"/>
  <c r="K20" i="2"/>
  <c r="K12" i="2"/>
  <c r="I13" i="2"/>
  <c r="I14" i="2"/>
  <c r="I15" i="2"/>
  <c r="I16" i="2"/>
  <c r="I17" i="2"/>
  <c r="I18" i="2"/>
  <c r="I19" i="2"/>
  <c r="I20" i="2"/>
  <c r="I12" i="2"/>
  <c r="C13" i="2"/>
  <c r="C14" i="2"/>
  <c r="C15" i="2"/>
  <c r="C16" i="2"/>
  <c r="C17" i="2"/>
  <c r="C18" i="2"/>
  <c r="C19" i="2"/>
  <c r="C20" i="2"/>
  <c r="C12" i="2"/>
  <c r="B13" i="2"/>
  <c r="B14" i="2"/>
  <c r="B15" i="2"/>
  <c r="B16" i="2"/>
  <c r="B17" i="2"/>
  <c r="B18" i="2"/>
  <c r="B19" i="2"/>
  <c r="B20" i="2"/>
  <c r="B12" i="2"/>
  <c r="I11" i="1"/>
  <c r="I12" i="1"/>
  <c r="I13" i="1"/>
  <c r="I14" i="1"/>
  <c r="I15" i="1"/>
  <c r="I16" i="1"/>
  <c r="I17" i="1"/>
  <c r="I18" i="1"/>
  <c r="I10" i="1"/>
  <c r="J22" i="2" l="1"/>
  <c r="A10" i="3" l="1"/>
  <c r="G7" i="3"/>
  <c r="G6" i="3"/>
  <c r="D1" i="3"/>
  <c r="D4" i="2"/>
  <c r="G5" i="3" s="1"/>
  <c r="D3" i="2"/>
  <c r="G4" i="3" s="1"/>
</calcChain>
</file>

<file path=xl/sharedStrings.xml><?xml version="1.0" encoding="utf-8"?>
<sst xmlns="http://schemas.openxmlformats.org/spreadsheetml/2006/main" count="197" uniqueCount="123">
  <si>
    <t>Pedido de Necesidades Trimestrales</t>
  </si>
  <si>
    <t>JURISDICCION:</t>
  </si>
  <si>
    <t>040 - Ministerio de Salud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</si>
  <si>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</si>
  <si>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</si>
  <si>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</si>
  <si>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</si>
  <si>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</si>
  <si>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</si>
  <si>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</si>
  <si>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</si>
  <si>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</si>
  <si>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</si>
  <si>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</si>
  <si>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</si>
  <si>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</si>
  <si>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</si>
  <si>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</si>
  <si>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xxx/2022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</si>
  <si>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</si>
  <si>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</si>
  <si>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</si>
  <si>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</si>
  <si>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</si>
  <si>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</si>
  <si>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</si>
  <si>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</si>
  <si>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</si>
  <si>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</si>
  <si>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</si>
  <si>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</si>
  <si>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</si>
  <si>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</si>
  <si>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</si>
  <si>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</si>
  <si>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</si>
  <si>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</si>
  <si>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</si>
  <si>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</si>
  <si>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</si>
  <si>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</si>
  <si>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</si>
  <si>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</si>
  <si>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</si>
  <si>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</si>
  <si>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</si>
  <si>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</si>
  <si>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</si>
  <si>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</si>
  <si>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</si>
  <si>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</si>
  <si>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</si>
  <si>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</si>
  <si>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</si>
  <si>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</si>
  <si>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</si>
  <si>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PROD. MEDICO/FARMACEUTICOS/LAB</t>
  </si>
  <si>
    <t xml:space="preserve">Mantenimiento: 45 dias habiles </t>
  </si>
  <si>
    <t xml:space="preserve"> 28- Maternidad provincial 25 de Mayo</t>
  </si>
  <si>
    <t>4.3.3-133.15</t>
  </si>
  <si>
    <t>ELECTROBISTURI; TIPO: MONOPOLAR, BIPOLAR Y SPRAY, CONTROL: PEDAL Y MANUAL, POTENCIA: MODULABLE</t>
  </si>
  <si>
    <t>4.3.3</t>
  </si>
  <si>
    <t>ELECTROBISTURI; TIPO: MONOPOLAR Y BIPOLAR, CONTROL: PEDAL TRIPLE Y MANDO, POTENCIA: 400 W</t>
  </si>
  <si>
    <t>4.3.3-133.14</t>
  </si>
  <si>
    <t>MONITOR PARAMETRO FISIOLOGICO; TIPO: MULTIPAR LCD, TAMAÑO: 17 pulg, AUTONOMIA: 7 H, TEMPERATURA: 20 A 45 °C, TENSION SANGUINEA: 30 A 300 mm hg, ALIMENTACION: 220 V</t>
  </si>
  <si>
    <t>4.3.3-5424.9</t>
  </si>
  <si>
    <t>EQUIPOS</t>
  </si>
  <si>
    <t>BUTACAS; PATAS: 5, RESPALDO: CON, GIRATORIA: SI, APOYABRAZO: SIN, TERMINACION: CUERINA, MATERIAL ESTRUCTURA: METAL</t>
  </si>
  <si>
    <t>EQUIPO DE OFICINA Y MUEBLES</t>
  </si>
  <si>
    <t>4.3.7-1846.20</t>
  </si>
  <si>
    <t>ECOGRAFOS; TIPO: PORTATIL, USO: GENERAL Y OBSTETRICIA</t>
  </si>
  <si>
    <t>4.3.7</t>
  </si>
  <si>
    <t>4.3.3-5186.9</t>
  </si>
  <si>
    <t>4.3.3-7787.1</t>
  </si>
  <si>
    <t>TABLETA PC; RESOLUCION: 1280 X 800 PXL, PANTALLA: 9,4 pulg, MEMORIA: 32 Gb, MEMORIA RAM: 32 Gb</t>
  </si>
  <si>
    <t>INFORMATICA</t>
  </si>
  <si>
    <t>4.3.6-9604.3</t>
  </si>
  <si>
    <t>4.3.6</t>
  </si>
  <si>
    <t>169-Direccion Asistencial</t>
  </si>
  <si>
    <t>Adquisición de Equipamiento para Instalacion de Quirofano.</t>
  </si>
  <si>
    <t>Servicio de Quirofano</t>
  </si>
  <si>
    <t>NEGATOSCOPIOS; USO: P/RADIOGRAFIAS, FUENTE DE ALIMENTACION : 220 V, ANCHO X LARGO: 65 X 125 Cm, MODELO: SIN VALOR, FUENTE DE ALIMENTACION: 220 V</t>
  </si>
  <si>
    <t>4.3.5-1290.8</t>
  </si>
  <si>
    <t>MESAS P/CIRUGIAS; TIPO: FLUOROSCOPICA, LARGO: 185 Cm, ANCHO: 55 Cm, PESO: 180 Kg</t>
  </si>
  <si>
    <t>LAMPARAS SCIALITICAS; DAM DE PANTALLA: 500 A 800 mm, ANGULO DE GIRO: 360 º, ALTURA MAXIMA: 240 Cm, CANTIDAD BOMBILLAS: 1 O MAS</t>
  </si>
  <si>
    <t>4.3.3-8420.7</t>
  </si>
  <si>
    <t>TIPO KAIROS MINICOMP</t>
  </si>
  <si>
    <t>CON MODULO DE CAPNOGRAFIA TIPO MINDRAY</t>
  </si>
  <si>
    <t>LAMPARAS LED, BRAZOS ARTICULADOS, DIFERENTES GRADOS DE INTENSIDAD DE LUZ</t>
  </si>
  <si>
    <t>SISTEMA DE ANESTESIA; TIPO: DE DOS GASES, USO: CIRUGIA, ELEMENTO: MESA DE ANESTESIA COMPLETA</t>
  </si>
  <si>
    <t>4.3.3-9496.1</t>
  </si>
  <si>
    <t>1 AÑO</t>
  </si>
  <si>
    <t>45 DIAS HABILES</t>
  </si>
  <si>
    <t>Mantenimiento:      45 DIAS HABILES</t>
  </si>
  <si>
    <t>Mantenimiento:  45 DIAS HABILES</t>
  </si>
  <si>
    <t>SI</t>
  </si>
  <si>
    <t>Equipo Sanitario y de Laboratorio</t>
  </si>
  <si>
    <t>Equipo Educacional y Recreativo</t>
  </si>
  <si>
    <t>Equipos para Computacion</t>
  </si>
  <si>
    <t>Equipos de Oficina y Muebles</t>
  </si>
  <si>
    <t>Para la adquisición de Equipamiento para Instalacion de Quirofano destinados al servico de Quirofano de la Maternidad provincial 25 de Mayo</t>
  </si>
  <si>
    <r>
      <rPr>
        <b/>
        <u/>
        <sz val="12"/>
        <rFont val="Times New Roman"/>
        <family val="1"/>
      </rPr>
      <t>Especificidades</t>
    </r>
    <r>
      <rPr>
        <b/>
        <sz val="12"/>
        <rFont val="Times New Roman"/>
        <family val="1"/>
      </rPr>
      <t>: ITEMS 1 al 10</t>
    </r>
  </si>
  <si>
    <r>
      <rPr>
        <u/>
        <sz val="12"/>
        <rFont val="Times New Roman"/>
        <family val="1"/>
      </rPr>
      <t xml:space="preserve">Lugar de Entrega:  </t>
    </r>
    <r>
      <rPr>
        <b/>
        <u/>
        <sz val="12"/>
        <rFont val="Times New Roman"/>
        <family val="1"/>
      </rPr>
      <t>SERVICIO DE QUIROFANO</t>
    </r>
    <r>
      <rPr>
        <u/>
        <sz val="12"/>
        <rFont val="Times New Roman"/>
        <family val="1"/>
      </rPr>
      <t xml:space="preserve"> </t>
    </r>
    <r>
      <rPr>
        <sz val="12"/>
        <rFont val="Times New Roman"/>
        <family val="1"/>
      </rPr>
      <t>DE 08:00 A 12:00HS., HERNANDO DE PEDRAZA 1650- DEBIENDO CORRER LOS GASTOS DE FLETES, ACARREO, CARGA, DESCARGA Y SEGURO A CARGO DEL ADJUDICATARIO.</t>
    </r>
  </si>
  <si>
    <t>Costo total estimado: CATORCE MILLONES TRESCIENTOS NOVENTA Y TRES MIL QUINIENTOS SETENTA CON   00/100.</t>
  </si>
  <si>
    <t>TOTAL DE PESOS: CATORCE MILLONES TRESCIENTOS NOVENTA Y TRES MIL QUINIENTOS SETENTA CON   00/100.</t>
  </si>
  <si>
    <t>CINCO AÑOS</t>
  </si>
  <si>
    <t xml:space="preserve"> CON SISTEMA PARA SEVOFLUORANO-DEBE INCLUIR: CAPNOGRAFIA,OXIMETRIA, ECG, PRESION ARTERIAL INVASIVA Y NO INVASIVA,ANALIZADOR PARA VENTILACION NEONATAL, ANALIZADOR DE GASES- REQUIERE PERSONAL CAPACITADO PARA INSTALACION</t>
  </si>
  <si>
    <t>REGULABLE EN ALTURA MEDIDA ASIENTO 45 CM MINIMO APROX</t>
  </si>
  <si>
    <t>8(OCHO)MOVIMIENTOS- ELECTRICA- ORTOPEDICA- CON DESPLAZAMIENTO Y FRENO-CON ACCESORIOS ( PIERNERA, APOYA BRAZO, HOMBRERA, CABECERA ETC)</t>
  </si>
  <si>
    <r>
      <rPr>
        <u/>
        <sz val="12"/>
        <rFont val="Times New Roman"/>
        <family val="1"/>
      </rPr>
      <t>Plazo de entrega:</t>
    </r>
    <r>
      <rPr>
        <sz val="12"/>
        <rFont val="Times New Roman"/>
        <family val="1"/>
      </rPr>
      <t xml:space="preserve">  30 DIAS HABILES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</si>
  <si>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30 DIAS HABILES</t>
    </r>
  </si>
  <si>
    <r>
      <rPr>
        <u/>
        <sz val="10"/>
        <rFont val="Times New Roman"/>
        <family val="1"/>
      </rPr>
      <t xml:space="preserve">Plazo de entrega: </t>
    </r>
    <r>
      <rPr>
        <sz val="10"/>
        <rFont val="Times New Roman"/>
        <family val="1"/>
      </rPr>
      <t>30 DIAS HABILES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</si>
  <si>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 30 DIAS HABILES</t>
    </r>
  </si>
  <si>
    <t>Garantia de Funcionamiento</t>
  </si>
  <si>
    <r>
      <rPr>
        <b/>
        <u/>
        <sz val="11"/>
        <rFont val="Times New Roman"/>
        <family val="1"/>
      </rPr>
      <t>Especificidades</t>
    </r>
    <r>
      <rPr>
        <b/>
        <sz val="11"/>
        <rFont val="Times New Roman"/>
        <family val="1"/>
      </rPr>
      <t xml:space="preserve">: ITEM 7 : </t>
    </r>
  </si>
  <si>
    <r>
      <rPr>
        <b/>
        <u/>
        <sz val="11"/>
        <rFont val="Times New Roman"/>
        <family val="1"/>
      </rPr>
      <t>Especificidades</t>
    </r>
    <r>
      <rPr>
        <b/>
        <sz val="11"/>
        <rFont val="Times New Roman"/>
        <family val="1"/>
      </rPr>
      <t>: ITEM 1</t>
    </r>
  </si>
  <si>
    <r>
      <rPr>
        <b/>
        <u/>
        <sz val="11"/>
        <rFont val="Times New Roman"/>
        <family val="1"/>
      </rPr>
      <t>Especificidades</t>
    </r>
    <r>
      <rPr>
        <b/>
        <sz val="11"/>
        <rFont val="Times New Roman"/>
        <family val="1"/>
      </rPr>
      <t xml:space="preserve">: ITEM 2 : </t>
    </r>
  </si>
  <si>
    <r>
      <rPr>
        <b/>
        <u/>
        <sz val="11"/>
        <rFont val="Times New Roman"/>
        <family val="1"/>
      </rPr>
      <t>Especificidades</t>
    </r>
    <r>
      <rPr>
        <b/>
        <sz val="11"/>
        <rFont val="Times New Roman"/>
        <family val="1"/>
      </rPr>
      <t xml:space="preserve">: ITEM 3 : </t>
    </r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</si>
  <si>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 xml:space="preserve">: ITEM 5: </t>
    </r>
  </si>
  <si>
    <r>
      <rPr>
        <b/>
        <u/>
        <sz val="11"/>
        <rFont val="Times New Roman"/>
        <family val="1"/>
      </rPr>
      <t>Especificidades</t>
    </r>
    <r>
      <rPr>
        <b/>
        <sz val="11"/>
        <rFont val="Times New Roman"/>
        <family val="1"/>
      </rPr>
      <t xml:space="preserve">: ITEM 6 : </t>
    </r>
  </si>
  <si>
    <r>
      <rPr>
        <b/>
        <u/>
        <sz val="11"/>
        <rFont val="Times New Roman"/>
        <family val="1"/>
      </rPr>
      <t>Especificidades</t>
    </r>
    <r>
      <rPr>
        <b/>
        <sz val="11"/>
        <rFont val="Times New Roman"/>
        <family val="1"/>
      </rPr>
      <t xml:space="preserve">: ITEM 8 : </t>
    </r>
  </si>
  <si>
    <r>
      <rPr>
        <b/>
        <u/>
        <sz val="11"/>
        <rFont val="Times New Roman"/>
        <family val="1"/>
      </rPr>
      <t>Especificidades</t>
    </r>
    <r>
      <rPr>
        <b/>
        <sz val="11"/>
        <rFont val="Times New Roman"/>
        <family val="1"/>
      </rPr>
      <t xml:space="preserve">: ITEM 09 :  </t>
    </r>
  </si>
  <si>
    <t>PORTATIL-MONITOR DE15" MINIMO-TOUCH PANEL DE 8"- 3,5 KG DE PESO APROX- COLOR HD_ ALTA DEFINICION-PAQUETES DE CALCULOS PARA VARIAS APLICACIONES:OBSTERICIA, GINECOLOGIA,CARDIOLOGIA, UROLOGIA-ANESTESIA- VASCULAR-PAQUETE COMPLETO DE MEDICIONES- TRANSDUCTOR LINEAL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</si>
</sst>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"/>
    <numFmt numFmtId="165" formatCode="_-&quot;$&quot;\ * #,##0.00_-;\-&quot;$&quot;\ * #,##0.00_-;_-&quot;$&quot;\ * &quot;-&quot;??_-;_-@"/>
    <numFmt numFmtId="166" formatCode="[$$-2C0A]\ #,##0.00;[$$-2C0A]&quot; -&quot;#,##0.00"/>
    <numFmt numFmtId="167" formatCode="[$$-2C0A]\ #,##0.00"/>
    <numFmt numFmtId="168" formatCode="dd\-mm\-yy"/>
    <numFmt numFmtId="169" formatCode="&quot;$&quot;\ #,##0.00"/>
  </numFmts>
  <fonts count="34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sz val="10"/>
      <name val="Arial"/>
      <family val="2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name val="Arial"/>
      <family val="2"/>
    </font>
    <font>
      <u/>
      <sz val="10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sz val="11"/>
      <color rgb="FF333333"/>
      <name val="Arial"/>
      <family val="2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u/>
      <sz val="12"/>
      <name val="Times New Roman"/>
      <family val="1"/>
    </font>
    <font>
      <sz val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7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6"/>
  </cellStyleXfs>
  <cellXfs count="251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3" fontId="19" fillId="0" borderId="0" xfId="0" applyNumberFormat="1" applyFont="1"/>
    <xf numFmtId="168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0" fontId="2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left" vertical="center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166" fontId="10" fillId="0" borderId="45" xfId="0" applyNumberFormat="1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166" fontId="10" fillId="0" borderId="50" xfId="0" applyNumberFormat="1" applyFont="1" applyBorder="1" applyAlignment="1">
      <alignment horizontal="center" vertical="center"/>
    </xf>
    <xf numFmtId="0" fontId="2" fillId="0" borderId="6" xfId="0" applyFont="1" applyBorder="1"/>
    <xf numFmtId="0" fontId="7" fillId="0" borderId="6" xfId="0" applyFont="1" applyBorder="1" applyAlignment="1">
      <alignment horizontal="left" wrapText="1"/>
    </xf>
    <xf numFmtId="0" fontId="9" fillId="0" borderId="57" xfId="0" applyFont="1" applyBorder="1" applyAlignment="1">
      <alignment horizontal="center" vertical="center" wrapText="1"/>
    </xf>
    <xf numFmtId="164" fontId="9" fillId="0" borderId="57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6" xfId="0" applyBorder="1"/>
    <xf numFmtId="0" fontId="10" fillId="0" borderId="6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24" fillId="0" borderId="6" xfId="0" applyFont="1" applyBorder="1" applyAlignment="1">
      <alignment horizontal="left" vertical="center" wrapText="1"/>
    </xf>
    <xf numFmtId="3" fontId="10" fillId="0" borderId="6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2" fillId="0" borderId="6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wrapText="1"/>
    </xf>
    <xf numFmtId="0" fontId="2" fillId="0" borderId="62" xfId="0" applyFont="1" applyBorder="1" applyAlignment="1">
      <alignment horizontal="left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2" fillId="0" borderId="62" xfId="0" applyFont="1" applyBorder="1" applyAlignment="1">
      <alignment horizontal="center" wrapText="1"/>
    </xf>
    <xf numFmtId="0" fontId="11" fillId="0" borderId="63" xfId="0" applyFont="1" applyBorder="1" applyAlignment="1">
      <alignment vertical="center"/>
    </xf>
    <xf numFmtId="0" fontId="2" fillId="0" borderId="64" xfId="0" applyFont="1" applyBorder="1" applyAlignment="1">
      <alignment vertical="center"/>
    </xf>
    <xf numFmtId="0" fontId="2" fillId="0" borderId="64" xfId="0" applyFont="1" applyBorder="1"/>
    <xf numFmtId="0" fontId="2" fillId="0" borderId="65" xfId="0" applyFont="1" applyBorder="1"/>
    <xf numFmtId="0" fontId="4" fillId="0" borderId="6" xfId="0" applyFont="1" applyBorder="1"/>
    <xf numFmtId="0" fontId="6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wrapText="1"/>
    </xf>
    <xf numFmtId="0" fontId="8" fillId="2" borderId="6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 vertical="center" wrapText="1"/>
    </xf>
    <xf numFmtId="0" fontId="21" fillId="0" borderId="57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 wrapText="1"/>
    </xf>
    <xf numFmtId="3" fontId="21" fillId="0" borderId="57" xfId="0" applyNumberFormat="1" applyFont="1" applyBorder="1" applyAlignment="1">
      <alignment horizontal="center" vertical="center"/>
    </xf>
    <xf numFmtId="0" fontId="21" fillId="2" borderId="57" xfId="0" applyFont="1" applyFill="1" applyBorder="1" applyAlignment="1">
      <alignment horizontal="center" vertical="center" wrapText="1"/>
    </xf>
    <xf numFmtId="0" fontId="26" fillId="2" borderId="57" xfId="0" applyFont="1" applyFill="1" applyBorder="1" applyAlignment="1">
      <alignment horizontal="center" vertical="center" wrapText="1"/>
    </xf>
    <xf numFmtId="3" fontId="21" fillId="2" borderId="57" xfId="0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right" vertical="center"/>
    </xf>
    <xf numFmtId="0" fontId="14" fillId="3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vertical="center"/>
    </xf>
    <xf numFmtId="0" fontId="16" fillId="2" borderId="1" xfId="0" applyFont="1" applyFill="1" applyBorder="1" applyAlignment="1">
      <alignment vertical="center"/>
    </xf>
    <xf numFmtId="0" fontId="0" fillId="0" borderId="57" xfId="0" applyBorder="1" applyAlignment="1">
      <alignment horizontal="center" vertical="center"/>
    </xf>
    <xf numFmtId="0" fontId="4" fillId="0" borderId="62" xfId="0" applyFont="1" applyBorder="1"/>
    <xf numFmtId="0" fontId="4" fillId="0" borderId="61" xfId="0" applyFont="1" applyBorder="1"/>
    <xf numFmtId="0" fontId="21" fillId="0" borderId="69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/>
    </xf>
    <xf numFmtId="0" fontId="26" fillId="0" borderId="69" xfId="0" applyFont="1" applyBorder="1" applyAlignment="1">
      <alignment horizontal="center" vertical="center" wrapText="1"/>
    </xf>
    <xf numFmtId="0" fontId="21" fillId="0" borderId="69" xfId="0" applyFont="1" applyBorder="1" applyAlignment="1">
      <alignment horizontal="center" vertical="center"/>
    </xf>
    <xf numFmtId="0" fontId="27" fillId="0" borderId="69" xfId="0" applyFont="1" applyBorder="1" applyAlignment="1">
      <alignment horizontal="center" vertical="center" wrapText="1"/>
    </xf>
    <xf numFmtId="0" fontId="21" fillId="0" borderId="71" xfId="0" applyFont="1" applyBorder="1" applyAlignment="1">
      <alignment horizontal="center" vertical="center"/>
    </xf>
    <xf numFmtId="3" fontId="21" fillId="0" borderId="7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2" xfId="0" applyFont="1" applyBorder="1"/>
    <xf numFmtId="0" fontId="28" fillId="0" borderId="58" xfId="0" applyFont="1" applyBorder="1" applyAlignment="1">
      <alignment vertical="center"/>
    </xf>
    <xf numFmtId="0" fontId="28" fillId="0" borderId="59" xfId="0" applyFont="1" applyBorder="1" applyAlignment="1">
      <alignment vertical="center"/>
    </xf>
    <xf numFmtId="0" fontId="28" fillId="0" borderId="59" xfId="0" applyFont="1" applyBorder="1"/>
    <xf numFmtId="0" fontId="18" fillId="0" borderId="58" xfId="0" applyFont="1" applyBorder="1" applyAlignment="1">
      <alignment vertical="center"/>
    </xf>
    <xf numFmtId="0" fontId="18" fillId="0" borderId="59" xfId="0" applyFont="1" applyBorder="1" applyAlignment="1">
      <alignment vertical="center"/>
    </xf>
    <xf numFmtId="0" fontId="18" fillId="0" borderId="59" xfId="0" applyFont="1" applyBorder="1"/>
    <xf numFmtId="0" fontId="18" fillId="0" borderId="60" xfId="0" applyFont="1" applyBorder="1"/>
    <xf numFmtId="0" fontId="18" fillId="0" borderId="61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8" fillId="0" borderId="6" xfId="0" applyFont="1" applyBorder="1"/>
    <xf numFmtId="0" fontId="18" fillId="0" borderId="62" xfId="0" applyFont="1" applyBorder="1"/>
    <xf numFmtId="0" fontId="28" fillId="0" borderId="60" xfId="0" applyFont="1" applyBorder="1" applyAlignment="1">
      <alignment horizontal="center" wrapText="1"/>
    </xf>
    <xf numFmtId="0" fontId="21" fillId="0" borderId="57" xfId="0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/>
    </xf>
    <xf numFmtId="169" fontId="21" fillId="2" borderId="57" xfId="0" applyNumberFormat="1" applyFont="1" applyFill="1" applyBorder="1" applyAlignment="1">
      <alignment horizontal="center" vertical="center"/>
    </xf>
    <xf numFmtId="0" fontId="0" fillId="0" borderId="57" xfId="0" applyBorder="1" applyAlignment="1">
      <alignment horizontal="center" vertical="center" wrapText="1"/>
    </xf>
    <xf numFmtId="0" fontId="27" fillId="0" borderId="70" xfId="0" applyFont="1" applyBorder="1" applyAlignment="1">
      <alignment horizontal="center" vertical="center" wrapText="1"/>
    </xf>
    <xf numFmtId="169" fontId="27" fillId="0" borderId="69" xfId="0" applyNumberFormat="1" applyFont="1" applyBorder="1" applyAlignment="1">
      <alignment horizontal="center" vertical="center" wrapText="1"/>
    </xf>
    <xf numFmtId="0" fontId="24" fillId="0" borderId="57" xfId="0" applyFont="1" applyBorder="1" applyAlignment="1">
      <alignment horizontal="center" vertical="center"/>
    </xf>
    <xf numFmtId="169" fontId="21" fillId="2" borderId="71" xfId="0" applyNumberFormat="1" applyFont="1" applyFill="1" applyBorder="1" applyAlignment="1">
      <alignment horizontal="center" vertical="center"/>
    </xf>
    <xf numFmtId="0" fontId="26" fillId="0" borderId="67" xfId="0" applyFon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9" fontId="0" fillId="0" borderId="57" xfId="0" applyNumberFormat="1" applyBorder="1" applyAlignment="1">
      <alignment horizontal="center" vertical="center"/>
    </xf>
    <xf numFmtId="0" fontId="14" fillId="0" borderId="58" xfId="0" applyFont="1" applyBorder="1" applyAlignment="1">
      <alignment vertical="center"/>
    </xf>
    <xf numFmtId="0" fontId="14" fillId="0" borderId="59" xfId="0" applyFont="1" applyBorder="1" applyAlignment="1">
      <alignment vertical="center"/>
    </xf>
    <xf numFmtId="0" fontId="14" fillId="0" borderId="59" xfId="0" applyFont="1" applyBorder="1"/>
    <xf numFmtId="0" fontId="14" fillId="0" borderId="60" xfId="0" applyFont="1" applyBorder="1"/>
    <xf numFmtId="0" fontId="17" fillId="0" borderId="61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6" xfId="0" applyFont="1" applyBorder="1"/>
    <xf numFmtId="0" fontId="17" fillId="0" borderId="62" xfId="0" applyFont="1" applyBorder="1"/>
    <xf numFmtId="0" fontId="32" fillId="0" borderId="6" xfId="0" applyFont="1" applyBorder="1"/>
    <xf numFmtId="0" fontId="32" fillId="0" borderId="62" xfId="0" applyFont="1" applyBorder="1"/>
    <xf numFmtId="0" fontId="32" fillId="0" borderId="61" xfId="0" applyFont="1" applyBorder="1"/>
    <xf numFmtId="0" fontId="17" fillId="0" borderId="61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wrapText="1"/>
    </xf>
    <xf numFmtId="0" fontId="17" fillId="0" borderId="62" xfId="0" applyFont="1" applyBorder="1" applyAlignment="1">
      <alignment horizontal="left" wrapText="1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wrapText="1"/>
    </xf>
    <xf numFmtId="0" fontId="17" fillId="0" borderId="62" xfId="0" applyFont="1" applyBorder="1" applyAlignment="1">
      <alignment horizontal="center" wrapText="1"/>
    </xf>
    <xf numFmtId="0" fontId="31" fillId="0" borderId="63" xfId="0" applyFont="1" applyBorder="1" applyAlignment="1">
      <alignment vertical="center"/>
    </xf>
    <xf numFmtId="0" fontId="17" fillId="0" borderId="64" xfId="0" applyFont="1" applyBorder="1" applyAlignment="1">
      <alignment vertical="center"/>
    </xf>
    <xf numFmtId="0" fontId="17" fillId="0" borderId="64" xfId="0" applyFont="1" applyBorder="1"/>
    <xf numFmtId="0" fontId="17" fillId="0" borderId="65" xfId="0" applyFont="1" applyBorder="1"/>
    <xf numFmtId="0" fontId="31" fillId="0" borderId="61" xfId="0" applyFont="1" applyBorder="1" applyAlignment="1">
      <alignment horizontal="center" vertical="center" wrapText="1"/>
    </xf>
    <xf numFmtId="0" fontId="10" fillId="2" borderId="0" xfId="0" applyFont="1" applyFill="1"/>
    <xf numFmtId="0" fontId="10" fillId="2" borderId="27" xfId="0" applyFont="1" applyFill="1" applyBorder="1"/>
    <xf numFmtId="0" fontId="10" fillId="2" borderId="23" xfId="0" applyFont="1" applyFill="1" applyBorder="1"/>
    <xf numFmtId="0" fontId="10" fillId="2" borderId="30" xfId="0" applyFont="1" applyFill="1" applyBorder="1"/>
    <xf numFmtId="0" fontId="10" fillId="2" borderId="30" xfId="0" applyFont="1" applyFill="1" applyBorder="1" applyAlignment="1">
      <alignment horizontal="left"/>
    </xf>
    <xf numFmtId="0" fontId="10" fillId="2" borderId="24" xfId="0" applyFont="1" applyFill="1" applyBorder="1"/>
    <xf numFmtId="0" fontId="10" fillId="3" borderId="36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166" fontId="23" fillId="3" borderId="54" xfId="0" applyNumberFormat="1" applyFont="1" applyFill="1" applyBorder="1" applyAlignment="1">
      <alignment horizontal="center" vertical="center"/>
    </xf>
    <xf numFmtId="0" fontId="2" fillId="2" borderId="66" xfId="0" applyFont="1" applyFill="1" applyBorder="1" applyAlignment="1">
      <alignment horizontal="center" vertical="center"/>
    </xf>
    <xf numFmtId="0" fontId="2" fillId="2" borderId="66" xfId="0" applyFont="1" applyFill="1" applyBorder="1" applyAlignment="1">
      <alignment horizontal="left" vertical="center"/>
    </xf>
    <xf numFmtId="0" fontId="2" fillId="2" borderId="66" xfId="0" applyFont="1" applyFill="1" applyBorder="1" applyAlignment="1">
      <alignment horizontal="center" vertical="center" wrapText="1"/>
    </xf>
    <xf numFmtId="3" fontId="2" fillId="2" borderId="66" xfId="0" applyNumberFormat="1" applyFont="1" applyFill="1" applyBorder="1" applyAlignment="1">
      <alignment horizontal="center" vertical="center"/>
    </xf>
    <xf numFmtId="166" fontId="2" fillId="2" borderId="66" xfId="0" applyNumberFormat="1" applyFont="1" applyFill="1" applyBorder="1" applyAlignment="1">
      <alignment horizontal="right" vertical="center" wrapText="1"/>
    </xf>
    <xf numFmtId="0" fontId="11" fillId="0" borderId="6" xfId="0" applyFont="1" applyBorder="1" applyAlignment="1">
      <alignment vertical="center"/>
    </xf>
    <xf numFmtId="0" fontId="9" fillId="0" borderId="60" xfId="0" applyFont="1" applyBorder="1"/>
    <xf numFmtId="0" fontId="9" fillId="0" borderId="60" xfId="0" applyFont="1" applyBorder="1" applyAlignment="1">
      <alignment horizontal="center" wrapText="1"/>
    </xf>
    <xf numFmtId="0" fontId="9" fillId="0" borderId="60" xfId="0" applyFont="1" applyBorder="1" applyAlignment="1">
      <alignment wrapText="1"/>
    </xf>
    <xf numFmtId="0" fontId="17" fillId="0" borderId="61" xfId="0" applyFont="1" applyBorder="1" applyAlignment="1">
      <alignment horizontal="left" wrapText="1"/>
    </xf>
    <xf numFmtId="0" fontId="32" fillId="0" borderId="6" xfId="0" applyFont="1" applyBorder="1"/>
    <xf numFmtId="0" fontId="32" fillId="0" borderId="62" xfId="0" applyFont="1" applyBorder="1"/>
    <xf numFmtId="0" fontId="32" fillId="0" borderId="61" xfId="0" applyFont="1" applyBorder="1"/>
    <xf numFmtId="0" fontId="5" fillId="2" borderId="2" xfId="0" applyFont="1" applyFill="1" applyBorder="1" applyAlignment="1">
      <alignment horizontal="left" vertical="center" wrapText="1"/>
    </xf>
    <xf numFmtId="0" fontId="4" fillId="2" borderId="4" xfId="0" applyFont="1" applyFill="1" applyBorder="1"/>
    <xf numFmtId="0" fontId="5" fillId="3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6" xfId="0" applyFont="1" applyBorder="1"/>
    <xf numFmtId="0" fontId="4" fillId="0" borderId="4" xfId="0" applyFont="1" applyBorder="1"/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wrapText="1"/>
    </xf>
    <xf numFmtId="0" fontId="6" fillId="3" borderId="2" xfId="0" applyFont="1" applyFill="1" applyBorder="1" applyAlignment="1">
      <alignment horizontal="left" wrapText="1"/>
    </xf>
    <xf numFmtId="0" fontId="4" fillId="2" borderId="3" xfId="0" applyFont="1" applyFill="1" applyBorder="1"/>
    <xf numFmtId="0" fontId="4" fillId="2" borderId="6" xfId="0" applyFont="1" applyFill="1" applyBorder="1"/>
    <xf numFmtId="0" fontId="2" fillId="0" borderId="61" xfId="0" applyFont="1" applyBorder="1" applyAlignment="1">
      <alignment horizontal="left" wrapText="1"/>
    </xf>
    <xf numFmtId="0" fontId="4" fillId="0" borderId="62" xfId="0" applyFont="1" applyBorder="1"/>
    <xf numFmtId="0" fontId="18" fillId="0" borderId="59" xfId="0" applyFont="1" applyBorder="1" applyAlignment="1">
      <alignment horizontal="center" wrapText="1"/>
    </xf>
    <xf numFmtId="0" fontId="18" fillId="0" borderId="60" xfId="0" applyFont="1" applyBorder="1" applyAlignment="1">
      <alignment horizontal="center" wrapText="1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66" xfId="0" applyFont="1" applyFill="1" applyBorder="1" applyAlignment="1">
      <alignment horizontal="left" vertical="center" wrapText="1"/>
    </xf>
    <xf numFmtId="0" fontId="4" fillId="2" borderId="66" xfId="0" applyFont="1" applyFill="1" applyBorder="1"/>
    <xf numFmtId="0" fontId="18" fillId="0" borderId="66" xfId="0" applyFont="1" applyBorder="1" applyAlignment="1">
      <alignment horizontal="center" vertical="center" wrapText="1"/>
    </xf>
    <xf numFmtId="0" fontId="4" fillId="0" borderId="66" xfId="0" applyFont="1" applyBorder="1"/>
    <xf numFmtId="0" fontId="12" fillId="2" borderId="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left" vertical="center" wrapText="1"/>
    </xf>
    <xf numFmtId="0" fontId="4" fillId="2" borderId="14" xfId="0" applyFont="1" applyFill="1" applyBorder="1"/>
    <xf numFmtId="0" fontId="4" fillId="2" borderId="15" xfId="0" applyFont="1" applyFill="1" applyBorder="1"/>
    <xf numFmtId="0" fontId="14" fillId="3" borderId="20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167" fontId="17" fillId="0" borderId="66" xfId="0" applyNumberFormat="1" applyFont="1" applyBorder="1" applyAlignment="1">
      <alignment horizontal="center" vertical="center"/>
    </xf>
    <xf numFmtId="0" fontId="14" fillId="0" borderId="66" xfId="0" applyFont="1" applyBorder="1" applyAlignment="1">
      <alignment horizontal="left" vertical="center" wrapText="1"/>
    </xf>
    <xf numFmtId="0" fontId="17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/>
    <xf numFmtId="0" fontId="4" fillId="2" borderId="12" xfId="0" applyFont="1" applyFill="1" applyBorder="1"/>
    <xf numFmtId="0" fontId="14" fillId="2" borderId="13" xfId="0" applyFont="1" applyFill="1" applyBorder="1" applyAlignment="1">
      <alignment horizontal="left" vertical="center" wrapText="1"/>
    </xf>
    <xf numFmtId="0" fontId="17" fillId="3" borderId="16" xfId="0" applyFont="1" applyFill="1" applyBorder="1" applyAlignment="1">
      <alignment horizontal="left" vertical="center" wrapText="1"/>
    </xf>
    <xf numFmtId="0" fontId="4" fillId="2" borderId="17" xfId="0" applyFont="1" applyFill="1" applyBorder="1"/>
    <xf numFmtId="0" fontId="4" fillId="2" borderId="18" xfId="0" applyFont="1" applyFill="1" applyBorder="1"/>
    <xf numFmtId="0" fontId="17" fillId="3" borderId="13" xfId="0" applyFont="1" applyFill="1" applyBorder="1" applyAlignment="1">
      <alignment horizontal="left" vertical="center"/>
    </xf>
    <xf numFmtId="0" fontId="4" fillId="2" borderId="19" xfId="0" applyFont="1" applyFill="1" applyBorder="1"/>
    <xf numFmtId="0" fontId="17" fillId="3" borderId="10" xfId="0" applyFont="1" applyFill="1" applyBorder="1" applyAlignment="1">
      <alignment horizontal="left" vertical="center" wrapText="1"/>
    </xf>
    <xf numFmtId="0" fontId="18" fillId="0" borderId="66" xfId="0" applyFont="1" applyBorder="1" applyAlignment="1">
      <alignment horizontal="center" vertical="center"/>
    </xf>
    <xf numFmtId="0" fontId="21" fillId="3" borderId="55" xfId="0" applyFont="1" applyFill="1" applyBorder="1" applyAlignment="1">
      <alignment horizontal="left" vertical="center" wrapText="1"/>
    </xf>
    <xf numFmtId="0" fontId="4" fillId="2" borderId="5" xfId="0" applyFont="1" applyFill="1" applyBorder="1"/>
    <xf numFmtId="0" fontId="4" fillId="2" borderId="56" xfId="0" applyFont="1" applyFill="1" applyBorder="1"/>
    <xf numFmtId="0" fontId="4" fillId="2" borderId="23" xfId="0" applyFont="1" applyFill="1" applyBorder="1"/>
    <xf numFmtId="0" fontId="4" fillId="2" borderId="30" xfId="0" applyFont="1" applyFill="1" applyBorder="1"/>
    <xf numFmtId="0" fontId="4" fillId="2" borderId="24" xfId="0" applyFont="1" applyFill="1" applyBorder="1"/>
    <xf numFmtId="0" fontId="19" fillId="3" borderId="51" xfId="0" applyFont="1" applyFill="1" applyBorder="1" applyAlignment="1">
      <alignment horizontal="left" vertical="center" wrapText="1"/>
    </xf>
    <xf numFmtId="0" fontId="4" fillId="2" borderId="52" xfId="0" applyFont="1" applyFill="1" applyBorder="1"/>
    <xf numFmtId="0" fontId="4" fillId="2" borderId="53" xfId="0" applyFont="1" applyFill="1" applyBorder="1"/>
    <xf numFmtId="0" fontId="10" fillId="0" borderId="21" xfId="0" applyFont="1" applyBorder="1"/>
    <xf numFmtId="0" fontId="4" fillId="0" borderId="31" xfId="0" applyFont="1" applyBorder="1"/>
    <xf numFmtId="0" fontId="4" fillId="0" borderId="22" xfId="0" applyFont="1" applyBorder="1"/>
    <xf numFmtId="0" fontId="10" fillId="0" borderId="43" xfId="0" applyFont="1" applyBorder="1" applyAlignment="1">
      <alignment horizontal="left" vertical="center"/>
    </xf>
    <xf numFmtId="0" fontId="4" fillId="0" borderId="44" xfId="0" applyFont="1" applyBorder="1"/>
    <xf numFmtId="0" fontId="10" fillId="0" borderId="48" xfId="0" applyFont="1" applyBorder="1" applyAlignment="1">
      <alignment horizontal="left" vertical="center"/>
    </xf>
    <xf numFmtId="0" fontId="4" fillId="0" borderId="49" xfId="0" applyFont="1" applyBorder="1"/>
    <xf numFmtId="0" fontId="19" fillId="0" borderId="13" xfId="0" applyFont="1" applyBorder="1" applyAlignment="1">
      <alignment vertical="center" wrapText="1"/>
    </xf>
    <xf numFmtId="0" fontId="4" fillId="0" borderId="14" xfId="0" applyFont="1" applyBorder="1"/>
    <xf numFmtId="0" fontId="4" fillId="0" borderId="15" xfId="0" applyFont="1" applyBorder="1"/>
    <xf numFmtId="0" fontId="20" fillId="0" borderId="21" xfId="0" applyFont="1" applyBorder="1" applyAlignment="1">
      <alignment horizontal="center" vertical="center" wrapText="1"/>
    </xf>
    <xf numFmtId="0" fontId="4" fillId="0" borderId="23" xfId="0" applyFont="1" applyBorder="1"/>
    <xf numFmtId="0" fontId="4" fillId="0" borderId="24" xfId="0" applyFont="1" applyBorder="1"/>
    <xf numFmtId="0" fontId="10" fillId="2" borderId="10" xfId="0" applyFont="1" applyFill="1" applyBorder="1"/>
    <xf numFmtId="0" fontId="4" fillId="2" borderId="25" xfId="0" applyFont="1" applyFill="1" applyBorder="1"/>
    <xf numFmtId="0" fontId="21" fillId="2" borderId="10" xfId="0" applyFont="1" applyFill="1" applyBorder="1" applyAlignment="1">
      <alignment horizontal="left"/>
    </xf>
    <xf numFmtId="0" fontId="21" fillId="3" borderId="10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left" vertical="center" wrapText="1"/>
    </xf>
    <xf numFmtId="0" fontId="10" fillId="0" borderId="13" xfId="0" applyFont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0" fontId="22" fillId="0" borderId="10" xfId="0" applyFont="1" applyBorder="1" applyAlignment="1">
      <alignment horizontal="left"/>
    </xf>
    <xf numFmtId="0" fontId="4" fillId="0" borderId="11" xfId="0" applyFont="1" applyBorder="1"/>
    <xf numFmtId="0" fontId="4" fillId="0" borderId="25" xfId="0" applyFont="1" applyBorder="1"/>
    <xf numFmtId="0" fontId="21" fillId="2" borderId="26" xfId="0" applyFont="1" applyFill="1" applyBorder="1"/>
    <xf numFmtId="0" fontId="0" fillId="2" borderId="0" xfId="0" applyFill="1"/>
    <xf numFmtId="0" fontId="21" fillId="3" borderId="28" xfId="0" applyFont="1" applyFill="1" applyBorder="1" applyAlignment="1">
      <alignment horizontal="left" vertical="center" wrapText="1"/>
    </xf>
    <xf numFmtId="0" fontId="4" fillId="2" borderId="29" xfId="0" applyFont="1" applyFill="1" applyBorder="1"/>
    <xf numFmtId="0" fontId="23" fillId="0" borderId="21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vertical="center" wrapText="1"/>
    </xf>
    <xf numFmtId="0" fontId="23" fillId="0" borderId="21" xfId="0" applyFont="1" applyBorder="1" applyAlignment="1">
      <alignment horizontal="center" vertical="center" wrapText="1"/>
    </xf>
    <xf numFmtId="0" fontId="4" fillId="0" borderId="26" xfId="0" applyFont="1" applyBorder="1"/>
    <xf numFmtId="0" fontId="4" fillId="0" borderId="27" xfId="0" applyFont="1" applyBorder="1"/>
    <xf numFmtId="0" fontId="23" fillId="0" borderId="22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topLeftCell="A19" zoomScale="70" zoomScaleNormal="70" workbookViewId="0">
      <selection activeCell="J99" sqref="J99"/>
    </sheetView>
  </sheetViews>
  <sheetFormatPr baseColWidth="10" defaultColWidth="12.5703125" defaultRowHeight="15" customHeight="1" x14ac:dyDescent="0.2"/>
  <cols>
    <col min="1" max="1" width="4.5703125" customWidth="1"/>
    <col min="2" max="2" width="18.5703125" style="34" customWidth="1"/>
    <col min="3" max="3" width="32.7109375" style="34" customWidth="1"/>
    <col min="4" max="4" width="6.7109375" customWidth="1"/>
    <col min="5" max="5" width="90.7109375" customWidth="1"/>
    <col min="6" max="6" width="13" customWidth="1"/>
    <col min="7" max="7" width="10.85546875" customWidth="1"/>
    <col min="8" max="8" width="18.7109375" style="34" customWidth="1"/>
    <col min="9" max="9" width="19.28515625" customWidth="1"/>
    <col min="10" max="10" width="12.42578125" style="36" bestFit="1" customWidth="1"/>
    <col min="11" max="11" width="31" bestFit="1" customWidth="1"/>
    <col min="12" max="12" width="52.140625" bestFit="1" customWidth="1"/>
    <col min="13" max="13" width="38.28515625" bestFit="1" customWidth="1"/>
  </cols>
  <sheetData>
    <row r="1" spans="1:10" ht="12.75" customHeight="1" x14ac:dyDescent="0.2">
      <c r="A1" s="1"/>
      <c r="B1" s="35"/>
      <c r="C1" s="35"/>
      <c r="D1" s="1"/>
      <c r="E1" s="30"/>
      <c r="F1" s="1"/>
      <c r="G1" s="1"/>
      <c r="H1" s="35"/>
      <c r="I1" s="2"/>
      <c r="J1" s="5"/>
    </row>
    <row r="2" spans="1:10" ht="26.25" customHeight="1" x14ac:dyDescent="0.35">
      <c r="A2" s="1"/>
      <c r="B2" s="167" t="s">
        <v>0</v>
      </c>
      <c r="C2" s="168"/>
      <c r="D2" s="168"/>
      <c r="E2" s="169"/>
      <c r="F2" s="168"/>
      <c r="G2" s="168"/>
      <c r="H2" s="170"/>
      <c r="I2" s="2"/>
      <c r="J2" s="5"/>
    </row>
    <row r="3" spans="1:10" ht="12.75" customHeight="1" x14ac:dyDescent="0.2">
      <c r="A3" s="1"/>
      <c r="B3" s="35"/>
      <c r="C3" s="35"/>
      <c r="D3" s="1"/>
      <c r="E3" s="30"/>
      <c r="F3" s="1"/>
      <c r="G3" s="1"/>
      <c r="H3" s="35"/>
      <c r="I3" s="2"/>
      <c r="J3" s="5"/>
    </row>
    <row r="4" spans="1:10" ht="12.75" customHeight="1" x14ac:dyDescent="0.25">
      <c r="A4" s="171" t="s">
        <v>1</v>
      </c>
      <c r="B4" s="170"/>
      <c r="C4" s="172" t="s">
        <v>2</v>
      </c>
      <c r="D4" s="168"/>
      <c r="E4" s="169"/>
      <c r="F4" s="3"/>
      <c r="G4" s="4"/>
      <c r="H4" s="39"/>
      <c r="I4" s="2"/>
      <c r="J4" s="5"/>
    </row>
    <row r="5" spans="1:10" ht="12.75" customHeight="1" x14ac:dyDescent="0.25">
      <c r="A5" s="166" t="s">
        <v>3</v>
      </c>
      <c r="B5" s="165"/>
      <c r="C5" s="173" t="s">
        <v>58</v>
      </c>
      <c r="D5" s="174"/>
      <c r="E5" s="175"/>
      <c r="F5" s="3"/>
      <c r="G5" s="4"/>
      <c r="H5" s="39"/>
      <c r="I5" s="2"/>
      <c r="J5" s="5"/>
    </row>
    <row r="6" spans="1:10" ht="12.75" customHeight="1" x14ac:dyDescent="0.2">
      <c r="A6" s="164" t="s">
        <v>4</v>
      </c>
      <c r="B6" s="165"/>
      <c r="C6" s="64">
        <v>2022</v>
      </c>
      <c r="D6" s="65"/>
      <c r="E6" s="66"/>
      <c r="F6" s="3"/>
      <c r="G6" s="4"/>
      <c r="H6" s="39"/>
      <c r="I6" s="2"/>
      <c r="J6" s="5"/>
    </row>
    <row r="7" spans="1:10" ht="12.75" customHeight="1" x14ac:dyDescent="0.2">
      <c r="A7" s="166" t="s">
        <v>5</v>
      </c>
      <c r="B7" s="165"/>
      <c r="C7" s="67">
        <v>4</v>
      </c>
      <c r="D7" s="65"/>
      <c r="E7" s="66"/>
      <c r="F7" s="3"/>
      <c r="G7" s="4"/>
      <c r="H7" s="39"/>
      <c r="I7" s="2"/>
      <c r="J7" s="5"/>
    </row>
    <row r="8" spans="1:10" ht="12.75" customHeight="1" x14ac:dyDescent="0.2">
      <c r="A8" s="1"/>
      <c r="B8" s="39"/>
      <c r="C8" s="37"/>
      <c r="D8" s="3"/>
      <c r="E8" s="31"/>
      <c r="F8" s="3"/>
      <c r="G8" s="4"/>
      <c r="H8" s="39"/>
      <c r="I8" s="2"/>
      <c r="J8" s="5"/>
    </row>
    <row r="9" spans="1:10" s="40" customFormat="1" ht="25.5" x14ac:dyDescent="0.2">
      <c r="A9" s="32" t="s">
        <v>6</v>
      </c>
      <c r="B9" s="32" t="s">
        <v>7</v>
      </c>
      <c r="C9" s="32" t="s">
        <v>8</v>
      </c>
      <c r="D9" s="32" t="s">
        <v>9</v>
      </c>
      <c r="E9" s="32" t="s">
        <v>10</v>
      </c>
      <c r="F9" s="32" t="s">
        <v>11</v>
      </c>
      <c r="G9" s="32" t="s">
        <v>12</v>
      </c>
      <c r="H9" s="32" t="s">
        <v>13</v>
      </c>
      <c r="I9" s="33" t="s">
        <v>14</v>
      </c>
      <c r="J9" s="38"/>
    </row>
    <row r="10" spans="1:10" ht="50.25" customHeight="1" x14ac:dyDescent="0.2">
      <c r="A10" s="68">
        <v>1</v>
      </c>
      <c r="B10" s="105" t="s">
        <v>59</v>
      </c>
      <c r="C10" s="69" t="s">
        <v>56</v>
      </c>
      <c r="D10" s="69" t="s">
        <v>61</v>
      </c>
      <c r="E10" s="69" t="s">
        <v>60</v>
      </c>
      <c r="F10" s="68" t="s">
        <v>15</v>
      </c>
      <c r="G10" s="70">
        <v>1</v>
      </c>
      <c r="H10" s="106">
        <v>1848590</v>
      </c>
      <c r="I10" s="115">
        <f>+H10*G10</f>
        <v>1848590</v>
      </c>
      <c r="J10" s="35"/>
    </row>
    <row r="11" spans="1:10" ht="36" customHeight="1" x14ac:dyDescent="0.2">
      <c r="A11" s="68">
        <v>2</v>
      </c>
      <c r="B11" s="105" t="s">
        <v>63</v>
      </c>
      <c r="C11" s="69" t="s">
        <v>56</v>
      </c>
      <c r="D11" s="69" t="s">
        <v>61</v>
      </c>
      <c r="E11" s="107" t="s">
        <v>62</v>
      </c>
      <c r="F11" s="68" t="s">
        <v>15</v>
      </c>
      <c r="G11" s="70">
        <v>1</v>
      </c>
      <c r="H11" s="106">
        <v>1848590</v>
      </c>
      <c r="I11" s="115">
        <f t="shared" ref="I11:I19" si="0">+H11*G11</f>
        <v>1848590</v>
      </c>
      <c r="J11" s="35"/>
    </row>
    <row r="12" spans="1:10" ht="42.75" x14ac:dyDescent="0.2">
      <c r="A12" s="68">
        <v>3</v>
      </c>
      <c r="B12" s="81" t="s">
        <v>65</v>
      </c>
      <c r="C12" s="82" t="s">
        <v>66</v>
      </c>
      <c r="D12" s="83" t="s">
        <v>61</v>
      </c>
      <c r="E12" s="108" t="s">
        <v>64</v>
      </c>
      <c r="F12" s="84" t="s">
        <v>15</v>
      </c>
      <c r="G12" s="85">
        <v>5</v>
      </c>
      <c r="H12" s="109">
        <v>301400</v>
      </c>
      <c r="I12" s="115">
        <f t="shared" si="0"/>
        <v>1507000</v>
      </c>
      <c r="J12" s="35"/>
    </row>
    <row r="13" spans="1:10" ht="37.5" customHeight="1" x14ac:dyDescent="0.2">
      <c r="A13" s="68">
        <v>4</v>
      </c>
      <c r="B13" s="105" t="s">
        <v>82</v>
      </c>
      <c r="C13" s="107" t="s">
        <v>56</v>
      </c>
      <c r="D13" s="69" t="s">
        <v>61</v>
      </c>
      <c r="E13" s="107" t="s">
        <v>81</v>
      </c>
      <c r="F13" s="68" t="s">
        <v>15</v>
      </c>
      <c r="G13" s="70">
        <v>1</v>
      </c>
      <c r="H13" s="106">
        <v>76300</v>
      </c>
      <c r="I13" s="115">
        <f t="shared" si="0"/>
        <v>76300</v>
      </c>
      <c r="J13" s="35"/>
    </row>
    <row r="14" spans="1:10" ht="41.25" customHeight="1" x14ac:dyDescent="0.2">
      <c r="A14" s="68">
        <v>5</v>
      </c>
      <c r="B14" s="105" t="s">
        <v>90</v>
      </c>
      <c r="C14" s="110" t="s">
        <v>66</v>
      </c>
      <c r="D14" s="104" t="s">
        <v>61</v>
      </c>
      <c r="E14" s="107" t="s">
        <v>89</v>
      </c>
      <c r="F14" s="86" t="s">
        <v>15</v>
      </c>
      <c r="G14" s="87">
        <v>1</v>
      </c>
      <c r="H14" s="111">
        <v>3152870</v>
      </c>
      <c r="I14" s="115">
        <f t="shared" si="0"/>
        <v>3152870</v>
      </c>
      <c r="J14" s="35"/>
    </row>
    <row r="15" spans="1:10" ht="47.25" customHeight="1" x14ac:dyDescent="0.2">
      <c r="A15" s="68">
        <v>6</v>
      </c>
      <c r="B15" s="112" t="s">
        <v>69</v>
      </c>
      <c r="C15" s="78" t="s">
        <v>68</v>
      </c>
      <c r="D15" s="69" t="s">
        <v>71</v>
      </c>
      <c r="E15" s="107" t="s">
        <v>67</v>
      </c>
      <c r="F15" s="68" t="s">
        <v>15</v>
      </c>
      <c r="G15" s="70">
        <v>4</v>
      </c>
      <c r="H15" s="106">
        <v>55770</v>
      </c>
      <c r="I15" s="115">
        <f t="shared" si="0"/>
        <v>223080</v>
      </c>
      <c r="J15" s="35"/>
    </row>
    <row r="16" spans="1:10" ht="42" customHeight="1" x14ac:dyDescent="0.2">
      <c r="A16" s="68">
        <v>7</v>
      </c>
      <c r="B16" s="105" t="s">
        <v>72</v>
      </c>
      <c r="C16" s="113" t="s">
        <v>66</v>
      </c>
      <c r="D16" s="71" t="s">
        <v>61</v>
      </c>
      <c r="E16" s="107" t="s">
        <v>70</v>
      </c>
      <c r="F16" s="68" t="s">
        <v>15</v>
      </c>
      <c r="G16" s="70">
        <v>1</v>
      </c>
      <c r="H16" s="106">
        <v>3845650</v>
      </c>
      <c r="I16" s="115">
        <f t="shared" si="0"/>
        <v>3845650</v>
      </c>
      <c r="J16" s="35"/>
    </row>
    <row r="17" spans="1:10" ht="42.75" customHeight="1" x14ac:dyDescent="0.2">
      <c r="A17" s="68">
        <v>8</v>
      </c>
      <c r="B17" s="105" t="s">
        <v>73</v>
      </c>
      <c r="C17" s="78" t="s">
        <v>66</v>
      </c>
      <c r="D17" s="69" t="s">
        <v>61</v>
      </c>
      <c r="E17" s="114" t="s">
        <v>83</v>
      </c>
      <c r="F17" s="68" t="s">
        <v>15</v>
      </c>
      <c r="G17" s="70">
        <v>1</v>
      </c>
      <c r="H17" s="106">
        <v>1506960</v>
      </c>
      <c r="I17" s="115">
        <f t="shared" si="0"/>
        <v>1506960</v>
      </c>
      <c r="J17" s="35"/>
    </row>
    <row r="18" spans="1:10" ht="42" customHeight="1" x14ac:dyDescent="0.2">
      <c r="A18" s="68">
        <v>9</v>
      </c>
      <c r="B18" s="105" t="s">
        <v>85</v>
      </c>
      <c r="C18" s="36" t="s">
        <v>66</v>
      </c>
      <c r="D18" s="69" t="s">
        <v>61</v>
      </c>
      <c r="E18" s="107" t="s">
        <v>84</v>
      </c>
      <c r="F18" s="68" t="s">
        <v>15</v>
      </c>
      <c r="G18" s="70">
        <v>1</v>
      </c>
      <c r="H18" s="106">
        <v>312530</v>
      </c>
      <c r="I18" s="115">
        <f t="shared" si="0"/>
        <v>312530</v>
      </c>
      <c r="J18" s="35"/>
    </row>
    <row r="19" spans="1:10" ht="37.5" customHeight="1" x14ac:dyDescent="0.2">
      <c r="A19" s="68">
        <v>10</v>
      </c>
      <c r="B19" s="105" t="s">
        <v>76</v>
      </c>
      <c r="C19" s="78" t="s">
        <v>75</v>
      </c>
      <c r="D19" s="72" t="s">
        <v>77</v>
      </c>
      <c r="E19" s="107" t="s">
        <v>74</v>
      </c>
      <c r="F19" s="68" t="s">
        <v>15</v>
      </c>
      <c r="G19" s="73">
        <v>1</v>
      </c>
      <c r="H19" s="106">
        <v>72000</v>
      </c>
      <c r="I19" s="115">
        <f t="shared" si="0"/>
        <v>72000</v>
      </c>
      <c r="J19" s="35"/>
    </row>
    <row r="20" spans="1:10" ht="12.75" x14ac:dyDescent="0.2">
      <c r="A20" s="42"/>
      <c r="B20" s="43"/>
      <c r="C20" s="44"/>
      <c r="D20" s="45"/>
      <c r="E20" s="46"/>
      <c r="F20" s="42"/>
      <c r="G20" s="47"/>
      <c r="H20" s="48"/>
      <c r="I20" s="88"/>
      <c r="J20" s="49"/>
    </row>
    <row r="21" spans="1:10" ht="12.75" x14ac:dyDescent="0.2">
      <c r="A21" s="42"/>
      <c r="B21" s="43"/>
      <c r="C21" s="44"/>
      <c r="D21" s="45"/>
      <c r="E21" s="46"/>
      <c r="F21" s="42"/>
      <c r="G21" s="47"/>
      <c r="H21" s="48"/>
      <c r="I21" s="88"/>
      <c r="J21" s="49"/>
    </row>
    <row r="22" spans="1:10" ht="12.75" x14ac:dyDescent="0.2">
      <c r="A22" s="42"/>
      <c r="B22" s="43"/>
      <c r="C22" s="44"/>
      <c r="D22" s="45"/>
      <c r="E22" s="46"/>
      <c r="F22" s="42"/>
      <c r="G22" s="47"/>
      <c r="H22" s="48"/>
      <c r="I22" s="88"/>
      <c r="J22" s="49"/>
    </row>
    <row r="23" spans="1:10" ht="12.75" x14ac:dyDescent="0.2">
      <c r="A23" s="42"/>
      <c r="B23" s="43"/>
      <c r="C23" s="44"/>
      <c r="D23" s="45"/>
      <c r="E23" s="46"/>
      <c r="F23" s="42"/>
      <c r="G23" s="47"/>
      <c r="H23" s="48"/>
      <c r="I23" s="88"/>
      <c r="J23" s="49"/>
    </row>
    <row r="24" spans="1:10" ht="13.5" thickBot="1" x14ac:dyDescent="0.25">
      <c r="A24" s="42"/>
      <c r="B24" s="43"/>
      <c r="C24" s="44"/>
      <c r="D24" s="45"/>
      <c r="E24" s="46"/>
      <c r="F24" s="42"/>
      <c r="G24" s="47"/>
      <c r="H24" s="48"/>
      <c r="I24" s="88"/>
      <c r="J24" s="49"/>
    </row>
    <row r="25" spans="1:10" ht="15.75" x14ac:dyDescent="0.25">
      <c r="A25" s="42"/>
      <c r="B25" s="116" t="s">
        <v>101</v>
      </c>
      <c r="C25" s="117"/>
      <c r="D25" s="118"/>
      <c r="E25" s="119"/>
      <c r="F25" s="42"/>
      <c r="G25" s="47"/>
      <c r="H25" s="48"/>
      <c r="I25" s="88"/>
      <c r="J25" s="49"/>
    </row>
    <row r="26" spans="1:10" ht="15.75" x14ac:dyDescent="0.25">
      <c r="A26" s="42"/>
      <c r="B26" s="120"/>
      <c r="C26" s="121"/>
      <c r="D26" s="122"/>
      <c r="E26" s="123"/>
      <c r="F26" s="42"/>
      <c r="G26" s="47"/>
      <c r="H26" s="48"/>
      <c r="I26" s="88"/>
      <c r="J26" s="49"/>
    </row>
    <row r="27" spans="1:10" ht="36" customHeight="1" x14ac:dyDescent="0.2">
      <c r="A27" s="42"/>
      <c r="B27" s="160" t="s">
        <v>102</v>
      </c>
      <c r="C27" s="161"/>
      <c r="D27" s="161"/>
      <c r="E27" s="162"/>
      <c r="F27" s="42"/>
      <c r="G27" s="47"/>
      <c r="H27" s="48"/>
      <c r="I27" s="88"/>
      <c r="J27" s="49"/>
    </row>
    <row r="28" spans="1:10" ht="12.75" x14ac:dyDescent="0.2">
      <c r="A28" s="42"/>
      <c r="B28" s="163"/>
      <c r="C28" s="161"/>
      <c r="D28" s="161"/>
      <c r="E28" s="162"/>
      <c r="F28" s="42"/>
      <c r="G28" s="47"/>
      <c r="H28" s="48"/>
      <c r="I28" s="88"/>
      <c r="J28" s="49"/>
    </row>
    <row r="29" spans="1:10" x14ac:dyDescent="0.2">
      <c r="A29" s="42"/>
      <c r="B29" s="126"/>
      <c r="C29" s="124"/>
      <c r="D29" s="124"/>
      <c r="E29" s="125"/>
      <c r="F29" s="42"/>
      <c r="G29" s="47"/>
      <c r="H29" s="48"/>
      <c r="I29" s="88"/>
      <c r="J29" s="49"/>
    </row>
    <row r="30" spans="1:10" ht="15.75" x14ac:dyDescent="0.25">
      <c r="A30" s="42"/>
      <c r="B30" s="160" t="s">
        <v>109</v>
      </c>
      <c r="C30" s="161"/>
      <c r="D30" s="161"/>
      <c r="E30" s="162"/>
      <c r="F30" s="42"/>
      <c r="G30" s="47"/>
      <c r="H30" s="48"/>
      <c r="I30" s="88"/>
      <c r="J30" s="49"/>
    </row>
    <row r="31" spans="1:10" ht="15.75" x14ac:dyDescent="0.25">
      <c r="A31" s="42"/>
      <c r="B31" s="127"/>
      <c r="C31" s="128"/>
      <c r="D31" s="129"/>
      <c r="E31" s="130"/>
      <c r="F31" s="42"/>
      <c r="G31" s="47"/>
      <c r="H31" s="48"/>
      <c r="I31" s="88"/>
      <c r="J31" s="49"/>
    </row>
    <row r="32" spans="1:10" ht="31.5" x14ac:dyDescent="0.25">
      <c r="A32" s="42"/>
      <c r="B32" s="138" t="s">
        <v>113</v>
      </c>
      <c r="C32" s="131" t="s">
        <v>91</v>
      </c>
      <c r="D32" s="132"/>
      <c r="E32" s="133"/>
      <c r="F32" s="42"/>
      <c r="G32" s="47"/>
      <c r="H32" s="48"/>
      <c r="I32" s="88"/>
      <c r="J32" s="49"/>
    </row>
    <row r="33" spans="1:10" ht="16.5" thickBot="1" x14ac:dyDescent="0.3">
      <c r="A33" s="42"/>
      <c r="B33" s="134" t="s">
        <v>57</v>
      </c>
      <c r="C33" s="135" t="s">
        <v>92</v>
      </c>
      <c r="D33" s="136"/>
      <c r="E33" s="137"/>
      <c r="F33" s="42"/>
      <c r="G33" s="47"/>
      <c r="H33" s="48"/>
      <c r="I33" s="88"/>
      <c r="J33" s="49"/>
    </row>
    <row r="34" spans="1:10" ht="12.75" x14ac:dyDescent="0.2">
      <c r="A34" s="42"/>
      <c r="B34" s="43"/>
      <c r="C34" s="44"/>
      <c r="D34" s="45"/>
      <c r="E34" s="46"/>
      <c r="F34" s="42"/>
      <c r="G34" s="47"/>
      <c r="H34" s="48"/>
      <c r="I34" s="88"/>
      <c r="J34" s="49"/>
    </row>
    <row r="35" spans="1:10" ht="12.75" x14ac:dyDescent="0.2">
      <c r="A35" s="42"/>
      <c r="B35" s="43"/>
      <c r="C35" s="44"/>
      <c r="D35" s="45"/>
      <c r="E35" s="46"/>
      <c r="F35" s="42"/>
      <c r="G35" s="47"/>
      <c r="H35" s="48"/>
      <c r="I35" s="88"/>
      <c r="J35" s="49"/>
    </row>
    <row r="36" spans="1:10" ht="15" customHeight="1" thickBot="1" x14ac:dyDescent="0.25">
      <c r="B36" s="50"/>
      <c r="C36" s="50"/>
      <c r="D36" s="51"/>
      <c r="E36" s="51"/>
      <c r="I36" s="88"/>
    </row>
    <row r="37" spans="1:10" ht="27.75" customHeight="1" x14ac:dyDescent="0.2">
      <c r="B37" s="95" t="s">
        <v>115</v>
      </c>
      <c r="C37" s="96"/>
      <c r="D37" s="97"/>
      <c r="E37" s="98" t="s">
        <v>86</v>
      </c>
      <c r="I37" s="88"/>
    </row>
    <row r="38" spans="1:10" ht="15" customHeight="1" x14ac:dyDescent="0.2">
      <c r="B38" s="89"/>
      <c r="C38" s="90"/>
      <c r="D38" s="30"/>
      <c r="E38" s="91"/>
      <c r="I38" s="88"/>
    </row>
    <row r="39" spans="1:10" ht="15" customHeight="1" x14ac:dyDescent="0.2">
      <c r="B39" s="160" t="s">
        <v>102</v>
      </c>
      <c r="C39" s="161"/>
      <c r="D39" s="161"/>
      <c r="E39" s="162"/>
      <c r="I39" s="88"/>
    </row>
    <row r="40" spans="1:10" ht="15" customHeight="1" x14ac:dyDescent="0.2">
      <c r="B40" s="163"/>
      <c r="C40" s="161"/>
      <c r="D40" s="161"/>
      <c r="E40" s="162"/>
      <c r="I40" s="88"/>
    </row>
    <row r="41" spans="1:10" ht="15" customHeight="1" x14ac:dyDescent="0.2">
      <c r="B41" s="80"/>
      <c r="C41" s="63"/>
      <c r="D41" s="63"/>
      <c r="E41" s="79"/>
      <c r="I41" s="88"/>
    </row>
    <row r="42" spans="1:10" ht="15" customHeight="1" x14ac:dyDescent="0.2">
      <c r="B42" s="176" t="s">
        <v>110</v>
      </c>
      <c r="C42" s="169"/>
      <c r="D42" s="169"/>
      <c r="E42" s="177"/>
      <c r="I42" s="88"/>
    </row>
    <row r="43" spans="1:10" ht="15" customHeight="1" x14ac:dyDescent="0.2">
      <c r="B43" s="52"/>
      <c r="C43" s="53"/>
      <c r="D43" s="54"/>
      <c r="E43" s="55"/>
      <c r="I43" s="88"/>
    </row>
    <row r="44" spans="1:10" ht="42.75" customHeight="1" x14ac:dyDescent="0.2">
      <c r="B44" s="138" t="s">
        <v>113</v>
      </c>
      <c r="C44" s="56" t="s">
        <v>91</v>
      </c>
      <c r="D44" s="57"/>
      <c r="E44" s="58"/>
      <c r="I44" s="88"/>
    </row>
    <row r="45" spans="1:10" ht="32.25" customHeight="1" thickBot="1" x14ac:dyDescent="0.25">
      <c r="B45" s="59" t="s">
        <v>93</v>
      </c>
      <c r="C45" s="60"/>
      <c r="D45" s="61"/>
      <c r="E45" s="62"/>
      <c r="I45" s="88"/>
    </row>
    <row r="46" spans="1:10" ht="15" customHeight="1" thickBot="1" x14ac:dyDescent="0.25">
      <c r="B46" s="50"/>
      <c r="C46" s="50"/>
      <c r="D46" s="51"/>
      <c r="E46" s="51"/>
      <c r="I46" s="88"/>
    </row>
    <row r="47" spans="1:10" ht="27.75" customHeight="1" x14ac:dyDescent="0.2">
      <c r="B47" s="95" t="s">
        <v>116</v>
      </c>
      <c r="C47" s="96"/>
      <c r="D47" s="97"/>
      <c r="E47" s="98" t="s">
        <v>86</v>
      </c>
      <c r="I47" s="88"/>
    </row>
    <row r="48" spans="1:10" ht="15" customHeight="1" x14ac:dyDescent="0.2">
      <c r="B48" s="89"/>
      <c r="C48" s="90"/>
      <c r="D48" s="30"/>
      <c r="E48" s="91"/>
      <c r="I48" s="88"/>
    </row>
    <row r="49" spans="2:9" ht="15" customHeight="1" x14ac:dyDescent="0.2">
      <c r="B49" s="160" t="s">
        <v>102</v>
      </c>
      <c r="C49" s="161"/>
      <c r="D49" s="161"/>
      <c r="E49" s="162"/>
      <c r="I49" s="88"/>
    </row>
    <row r="50" spans="2:9" ht="15" customHeight="1" x14ac:dyDescent="0.2">
      <c r="B50" s="163"/>
      <c r="C50" s="161"/>
      <c r="D50" s="161"/>
      <c r="E50" s="162"/>
      <c r="I50" s="88"/>
    </row>
    <row r="51" spans="2:9" ht="15" customHeight="1" x14ac:dyDescent="0.2">
      <c r="B51" s="80"/>
      <c r="C51" s="63"/>
      <c r="D51" s="63"/>
      <c r="E51" s="79"/>
      <c r="I51" s="88"/>
    </row>
    <row r="52" spans="2:9" ht="15" customHeight="1" x14ac:dyDescent="0.2">
      <c r="B52" s="176" t="s">
        <v>111</v>
      </c>
      <c r="C52" s="169"/>
      <c r="D52" s="169"/>
      <c r="E52" s="177"/>
      <c r="I52" s="88"/>
    </row>
    <row r="53" spans="2:9" ht="15" customHeight="1" x14ac:dyDescent="0.2">
      <c r="B53" s="52"/>
      <c r="C53" s="53"/>
      <c r="D53" s="54"/>
      <c r="E53" s="55"/>
      <c r="I53" s="88"/>
    </row>
    <row r="54" spans="2:9" ht="39.75" customHeight="1" x14ac:dyDescent="0.2">
      <c r="B54" s="138" t="s">
        <v>113</v>
      </c>
      <c r="C54" s="56" t="s">
        <v>91</v>
      </c>
      <c r="D54" s="57"/>
      <c r="E54" s="58"/>
      <c r="I54" s="88"/>
    </row>
    <row r="55" spans="2:9" ht="15" customHeight="1" thickBot="1" x14ac:dyDescent="0.25">
      <c r="B55" s="59" t="s">
        <v>93</v>
      </c>
      <c r="C55" s="60"/>
      <c r="D55" s="61"/>
      <c r="E55" s="62"/>
      <c r="I55" s="88"/>
    </row>
    <row r="56" spans="2:9" ht="15" customHeight="1" thickBot="1" x14ac:dyDescent="0.25">
      <c r="B56" s="50"/>
      <c r="C56" s="50"/>
      <c r="D56" s="51"/>
      <c r="E56" s="51"/>
      <c r="I56" s="88"/>
    </row>
    <row r="57" spans="2:9" ht="27.75" customHeight="1" x14ac:dyDescent="0.2">
      <c r="B57" s="95" t="s">
        <v>117</v>
      </c>
      <c r="C57" s="96"/>
      <c r="D57" s="97"/>
      <c r="E57" s="98" t="s">
        <v>87</v>
      </c>
      <c r="I57" s="88"/>
    </row>
    <row r="58" spans="2:9" ht="27.75" customHeight="1" x14ac:dyDescent="0.2">
      <c r="B58" s="99"/>
      <c r="C58" s="100"/>
      <c r="D58" s="101"/>
      <c r="E58" s="102"/>
      <c r="I58" s="88"/>
    </row>
    <row r="59" spans="2:9" ht="15" customHeight="1" x14ac:dyDescent="0.2">
      <c r="B59" s="160" t="s">
        <v>102</v>
      </c>
      <c r="C59" s="161"/>
      <c r="D59" s="161"/>
      <c r="E59" s="162"/>
      <c r="I59" s="88"/>
    </row>
    <row r="60" spans="2:9" ht="15" customHeight="1" x14ac:dyDescent="0.2">
      <c r="B60" s="163"/>
      <c r="C60" s="161"/>
      <c r="D60" s="161"/>
      <c r="E60" s="162"/>
      <c r="I60" s="88"/>
    </row>
    <row r="61" spans="2:9" ht="15" customHeight="1" x14ac:dyDescent="0.2">
      <c r="B61" s="80"/>
      <c r="C61" s="63"/>
      <c r="D61" s="63"/>
      <c r="E61" s="79"/>
      <c r="I61" s="88"/>
    </row>
    <row r="62" spans="2:9" ht="15" customHeight="1" x14ac:dyDescent="0.2">
      <c r="B62" s="176" t="s">
        <v>110</v>
      </c>
      <c r="C62" s="169"/>
      <c r="D62" s="169"/>
      <c r="E62" s="177"/>
      <c r="I62" s="88"/>
    </row>
    <row r="63" spans="2:9" ht="15" customHeight="1" x14ac:dyDescent="0.2">
      <c r="B63" s="52"/>
      <c r="C63" s="53"/>
      <c r="D63" s="54"/>
      <c r="E63" s="55"/>
      <c r="I63" s="88"/>
    </row>
    <row r="64" spans="2:9" ht="42" customHeight="1" x14ac:dyDescent="0.2">
      <c r="B64" s="138" t="s">
        <v>113</v>
      </c>
      <c r="C64" s="56" t="s">
        <v>91</v>
      </c>
      <c r="D64" s="57"/>
      <c r="E64" s="58"/>
      <c r="I64" s="41"/>
    </row>
    <row r="65" spans="2:9" ht="15" customHeight="1" thickBot="1" x14ac:dyDescent="0.25">
      <c r="B65" s="59" t="s">
        <v>94</v>
      </c>
      <c r="C65" s="60"/>
      <c r="D65" s="61"/>
      <c r="E65" s="62"/>
      <c r="I65" s="41"/>
    </row>
    <row r="66" spans="2:9" ht="15" customHeight="1" thickBot="1" x14ac:dyDescent="0.25">
      <c r="B66" s="50"/>
      <c r="C66" s="50"/>
      <c r="D66" s="51"/>
      <c r="E66" s="51"/>
    </row>
    <row r="67" spans="2:9" ht="81" customHeight="1" x14ac:dyDescent="0.2">
      <c r="B67" s="92" t="s">
        <v>118</v>
      </c>
      <c r="C67" s="93"/>
      <c r="D67" s="94"/>
      <c r="E67" s="103" t="s">
        <v>106</v>
      </c>
    </row>
    <row r="68" spans="2:9" ht="34.5" customHeight="1" x14ac:dyDescent="0.2">
      <c r="B68" s="89"/>
      <c r="C68" s="90"/>
      <c r="D68" s="30"/>
      <c r="E68" s="91"/>
    </row>
    <row r="69" spans="2:9" ht="15" customHeight="1" x14ac:dyDescent="0.2">
      <c r="B69" s="160" t="s">
        <v>102</v>
      </c>
      <c r="C69" s="161"/>
      <c r="D69" s="161"/>
      <c r="E69" s="162"/>
    </row>
    <row r="70" spans="2:9" ht="33" customHeight="1" x14ac:dyDescent="0.2">
      <c r="B70" s="163"/>
      <c r="C70" s="161"/>
      <c r="D70" s="161"/>
      <c r="E70" s="162"/>
    </row>
    <row r="71" spans="2:9" ht="15" customHeight="1" x14ac:dyDescent="0.2">
      <c r="B71" s="80"/>
      <c r="C71" s="63"/>
      <c r="D71" s="63"/>
      <c r="E71" s="79"/>
    </row>
    <row r="72" spans="2:9" ht="15" customHeight="1" x14ac:dyDescent="0.2">
      <c r="B72" s="176" t="s">
        <v>112</v>
      </c>
      <c r="C72" s="169"/>
      <c r="D72" s="169"/>
      <c r="E72" s="177"/>
    </row>
    <row r="73" spans="2:9" ht="15" customHeight="1" x14ac:dyDescent="0.2">
      <c r="B73" s="52"/>
      <c r="C73" s="53"/>
      <c r="D73" s="54"/>
      <c r="E73" s="55"/>
    </row>
    <row r="74" spans="2:9" ht="33" customHeight="1" x14ac:dyDescent="0.2">
      <c r="B74" s="138" t="s">
        <v>113</v>
      </c>
      <c r="C74" s="56" t="s">
        <v>91</v>
      </c>
      <c r="D74" s="57"/>
      <c r="E74" s="58"/>
    </row>
    <row r="75" spans="2:9" ht="15" customHeight="1" thickBot="1" x14ac:dyDescent="0.25">
      <c r="B75" s="59" t="s">
        <v>94</v>
      </c>
      <c r="C75" s="60"/>
      <c r="D75" s="61"/>
      <c r="E75" s="62"/>
    </row>
    <row r="76" spans="2:9" ht="15" customHeight="1" thickBot="1" x14ac:dyDescent="0.25">
      <c r="B76" s="156"/>
      <c r="C76" s="90"/>
      <c r="D76" s="30"/>
      <c r="E76" s="30"/>
    </row>
    <row r="77" spans="2:9" ht="51.75" customHeight="1" x14ac:dyDescent="0.2">
      <c r="B77" s="95" t="s">
        <v>119</v>
      </c>
      <c r="C77" s="96"/>
      <c r="D77" s="97"/>
      <c r="E77" s="157" t="s">
        <v>107</v>
      </c>
    </row>
    <row r="78" spans="2:9" ht="15" customHeight="1" x14ac:dyDescent="0.2">
      <c r="B78" s="99"/>
      <c r="C78" s="100"/>
      <c r="D78" s="101"/>
      <c r="E78" s="102"/>
    </row>
    <row r="79" spans="2:9" ht="15" customHeight="1" x14ac:dyDescent="0.2">
      <c r="B79" s="160" t="s">
        <v>102</v>
      </c>
      <c r="C79" s="161"/>
      <c r="D79" s="161"/>
      <c r="E79" s="162"/>
    </row>
    <row r="80" spans="2:9" ht="15" customHeight="1" x14ac:dyDescent="0.2">
      <c r="B80" s="163"/>
      <c r="C80" s="161"/>
      <c r="D80" s="161"/>
      <c r="E80" s="162"/>
    </row>
    <row r="81" spans="2:5" ht="15" customHeight="1" x14ac:dyDescent="0.2">
      <c r="B81" s="80"/>
      <c r="C81" s="63"/>
      <c r="D81" s="63"/>
      <c r="E81" s="79"/>
    </row>
    <row r="82" spans="2:5" ht="15" customHeight="1" x14ac:dyDescent="0.2">
      <c r="B82" s="176" t="s">
        <v>110</v>
      </c>
      <c r="C82" s="169"/>
      <c r="D82" s="169"/>
      <c r="E82" s="177"/>
    </row>
    <row r="83" spans="2:5" ht="15" customHeight="1" x14ac:dyDescent="0.2">
      <c r="B83" s="52"/>
      <c r="C83" s="53"/>
      <c r="D83" s="54"/>
      <c r="E83" s="55"/>
    </row>
    <row r="84" spans="2:5" ht="32.25" customHeight="1" x14ac:dyDescent="0.2">
      <c r="B84" s="138" t="s">
        <v>113</v>
      </c>
      <c r="C84" s="56" t="s">
        <v>91</v>
      </c>
      <c r="D84" s="57"/>
      <c r="E84" s="58"/>
    </row>
    <row r="85" spans="2:5" ht="15" customHeight="1" thickBot="1" x14ac:dyDescent="0.25">
      <c r="B85" s="59" t="s">
        <v>94</v>
      </c>
      <c r="C85" s="60"/>
      <c r="D85" s="61"/>
      <c r="E85" s="62"/>
    </row>
    <row r="86" spans="2:5" ht="15" customHeight="1" x14ac:dyDescent="0.2">
      <c r="B86" s="156"/>
      <c r="C86" s="90"/>
      <c r="D86" s="30"/>
      <c r="E86" s="30"/>
    </row>
    <row r="87" spans="2:5" ht="15" customHeight="1" thickBot="1" x14ac:dyDescent="0.25">
      <c r="B87" s="156"/>
      <c r="C87" s="90"/>
      <c r="D87" s="30"/>
      <c r="E87" s="30"/>
    </row>
    <row r="88" spans="2:5" ht="78.75" customHeight="1" x14ac:dyDescent="0.2">
      <c r="B88" s="95" t="s">
        <v>114</v>
      </c>
      <c r="C88" s="96"/>
      <c r="D88" s="97"/>
      <c r="E88" s="159" t="s">
        <v>122</v>
      </c>
    </row>
    <row r="89" spans="2:5" ht="15" customHeight="1" x14ac:dyDescent="0.2">
      <c r="B89" s="99"/>
      <c r="C89" s="100"/>
      <c r="D89" s="101"/>
      <c r="E89" s="102"/>
    </row>
    <row r="90" spans="2:5" ht="20.25" customHeight="1" x14ac:dyDescent="0.2">
      <c r="B90" s="160" t="s">
        <v>102</v>
      </c>
      <c r="C90" s="161"/>
      <c r="D90" s="161"/>
      <c r="E90" s="162"/>
    </row>
    <row r="91" spans="2:5" ht="15" customHeight="1" x14ac:dyDescent="0.2">
      <c r="B91" s="163"/>
      <c r="C91" s="161"/>
      <c r="D91" s="161"/>
      <c r="E91" s="162"/>
    </row>
    <row r="92" spans="2:5" ht="15" customHeight="1" x14ac:dyDescent="0.2">
      <c r="B92" s="80"/>
      <c r="C92" s="63"/>
      <c r="D92" s="63"/>
      <c r="E92" s="79"/>
    </row>
    <row r="93" spans="2:5" ht="15" customHeight="1" x14ac:dyDescent="0.2">
      <c r="B93" s="176" t="s">
        <v>110</v>
      </c>
      <c r="C93" s="169"/>
      <c r="D93" s="169"/>
      <c r="E93" s="177"/>
    </row>
    <row r="94" spans="2:5" ht="15" customHeight="1" x14ac:dyDescent="0.2">
      <c r="B94" s="52"/>
      <c r="C94" s="53"/>
      <c r="D94" s="54"/>
      <c r="E94" s="55"/>
    </row>
    <row r="95" spans="2:5" ht="37.5" customHeight="1" x14ac:dyDescent="0.2">
      <c r="B95" s="138" t="s">
        <v>113</v>
      </c>
      <c r="C95" s="56" t="s">
        <v>91</v>
      </c>
      <c r="D95" s="57"/>
      <c r="E95" s="58"/>
    </row>
    <row r="96" spans="2:5" ht="15" customHeight="1" thickBot="1" x14ac:dyDescent="0.25">
      <c r="B96" s="59" t="s">
        <v>94</v>
      </c>
      <c r="C96" s="60"/>
      <c r="D96" s="61"/>
      <c r="E96" s="62"/>
    </row>
    <row r="97" spans="2:10" ht="15" customHeight="1" x14ac:dyDescent="0.2">
      <c r="B97" s="156"/>
      <c r="C97" s="90"/>
      <c r="D97" s="30"/>
      <c r="E97" s="30"/>
    </row>
    <row r="98" spans="2:10" ht="15" customHeight="1" thickBot="1" x14ac:dyDescent="0.25">
      <c r="B98" s="156"/>
      <c r="C98" s="90"/>
      <c r="D98" s="30"/>
      <c r="E98" s="30"/>
    </row>
    <row r="99" spans="2:10" ht="83.25" customHeight="1" x14ac:dyDescent="0.2">
      <c r="B99" s="95" t="s">
        <v>120</v>
      </c>
      <c r="C99" s="96"/>
      <c r="D99" s="97"/>
      <c r="E99" s="158" t="s">
        <v>108</v>
      </c>
      <c r="F99" s="40"/>
      <c r="G99" s="40"/>
      <c r="H99" s="40"/>
      <c r="I99" s="40"/>
      <c r="J99" s="40"/>
    </row>
    <row r="100" spans="2:10" ht="15" customHeight="1" x14ac:dyDescent="0.2">
      <c r="B100" s="99"/>
      <c r="C100" s="100"/>
      <c r="D100" s="101"/>
      <c r="E100" s="102"/>
    </row>
    <row r="101" spans="2:10" ht="15" customHeight="1" x14ac:dyDescent="0.2">
      <c r="B101" s="160" t="s">
        <v>102</v>
      </c>
      <c r="C101" s="161"/>
      <c r="D101" s="161"/>
      <c r="E101" s="162"/>
    </row>
    <row r="102" spans="2:10" ht="15" customHeight="1" x14ac:dyDescent="0.2">
      <c r="B102" s="163"/>
      <c r="C102" s="161"/>
      <c r="D102" s="161"/>
      <c r="E102" s="162"/>
    </row>
    <row r="103" spans="2:10" ht="15" customHeight="1" x14ac:dyDescent="0.2">
      <c r="B103" s="80"/>
      <c r="C103" s="63"/>
      <c r="D103" s="63"/>
      <c r="E103" s="79"/>
    </row>
    <row r="104" spans="2:10" ht="15" customHeight="1" x14ac:dyDescent="0.2">
      <c r="B104" s="176" t="s">
        <v>110</v>
      </c>
      <c r="C104" s="169"/>
      <c r="D104" s="169"/>
      <c r="E104" s="177"/>
    </row>
    <row r="105" spans="2:10" ht="15" customHeight="1" x14ac:dyDescent="0.2">
      <c r="B105" s="52"/>
      <c r="C105" s="53"/>
      <c r="D105" s="54"/>
      <c r="E105" s="55"/>
    </row>
    <row r="106" spans="2:10" ht="45" customHeight="1" x14ac:dyDescent="0.2">
      <c r="B106" s="138" t="s">
        <v>113</v>
      </c>
      <c r="C106" s="56" t="s">
        <v>91</v>
      </c>
      <c r="D106" s="57"/>
      <c r="E106" s="58"/>
    </row>
    <row r="107" spans="2:10" ht="15" customHeight="1" thickBot="1" x14ac:dyDescent="0.25">
      <c r="B107" s="59" t="s">
        <v>94</v>
      </c>
      <c r="C107" s="60"/>
      <c r="D107" s="61"/>
      <c r="E107" s="62"/>
    </row>
    <row r="108" spans="2:10" ht="15" customHeight="1" x14ac:dyDescent="0.2">
      <c r="B108" s="156"/>
      <c r="C108" s="90"/>
      <c r="D108" s="30"/>
      <c r="E108" s="30"/>
    </row>
    <row r="109" spans="2:10" ht="15" customHeight="1" thickBot="1" x14ac:dyDescent="0.25">
      <c r="B109" s="50"/>
      <c r="C109" s="50"/>
      <c r="D109" s="51"/>
      <c r="E109" s="51"/>
    </row>
    <row r="110" spans="2:10" ht="38.25" customHeight="1" x14ac:dyDescent="0.2">
      <c r="B110" s="95" t="s">
        <v>121</v>
      </c>
      <c r="C110" s="96"/>
      <c r="D110" s="178" t="s">
        <v>88</v>
      </c>
      <c r="E110" s="179"/>
    </row>
    <row r="111" spans="2:10" ht="15" customHeight="1" x14ac:dyDescent="0.2">
      <c r="B111" s="89"/>
      <c r="C111" s="90"/>
      <c r="D111" s="30"/>
      <c r="E111" s="91"/>
    </row>
    <row r="112" spans="2:10" ht="15" customHeight="1" x14ac:dyDescent="0.2">
      <c r="B112" s="160" t="s">
        <v>102</v>
      </c>
      <c r="C112" s="161"/>
      <c r="D112" s="161"/>
      <c r="E112" s="162"/>
    </row>
    <row r="113" spans="2:5" ht="15" customHeight="1" x14ac:dyDescent="0.2">
      <c r="B113" s="163"/>
      <c r="C113" s="161"/>
      <c r="D113" s="161"/>
      <c r="E113" s="162"/>
    </row>
    <row r="114" spans="2:5" ht="15" customHeight="1" x14ac:dyDescent="0.2">
      <c r="B114" s="80"/>
      <c r="C114" s="63"/>
      <c r="D114" s="63"/>
      <c r="E114" s="79"/>
    </row>
    <row r="115" spans="2:5" ht="15" customHeight="1" x14ac:dyDescent="0.2">
      <c r="B115" s="176" t="s">
        <v>110</v>
      </c>
      <c r="C115" s="169"/>
      <c r="D115" s="169"/>
      <c r="E115" s="177"/>
    </row>
    <row r="116" spans="2:5" ht="15" customHeight="1" x14ac:dyDescent="0.2">
      <c r="B116" s="52"/>
      <c r="C116" s="53"/>
      <c r="D116" s="54"/>
      <c r="E116" s="55"/>
    </row>
    <row r="117" spans="2:5" ht="40.5" customHeight="1" x14ac:dyDescent="0.2">
      <c r="B117" s="138" t="s">
        <v>113</v>
      </c>
      <c r="C117" s="56" t="s">
        <v>91</v>
      </c>
      <c r="D117" s="57"/>
      <c r="E117" s="58"/>
    </row>
    <row r="118" spans="2:5" ht="15" customHeight="1" thickBot="1" x14ac:dyDescent="0.25">
      <c r="B118" s="59" t="s">
        <v>94</v>
      </c>
      <c r="C118" s="60"/>
      <c r="D118" s="61"/>
      <c r="E118" s="62"/>
    </row>
    <row r="119" spans="2:5" ht="15" customHeight="1" x14ac:dyDescent="0.2">
      <c r="B119" s="50"/>
      <c r="C119" s="50"/>
      <c r="D119" s="51"/>
      <c r="E119" s="51"/>
    </row>
  </sheetData>
  <mergeCells count="26">
    <mergeCell ref="B62:E62"/>
    <mergeCell ref="B112:E113"/>
    <mergeCell ref="B115:E115"/>
    <mergeCell ref="B69:E70"/>
    <mergeCell ref="B72:E72"/>
    <mergeCell ref="D110:E110"/>
    <mergeCell ref="B79:E80"/>
    <mergeCell ref="B82:E82"/>
    <mergeCell ref="B101:E102"/>
    <mergeCell ref="B104:E104"/>
    <mergeCell ref="B90:E91"/>
    <mergeCell ref="B93:E93"/>
    <mergeCell ref="B39:E40"/>
    <mergeCell ref="B42:E42"/>
    <mergeCell ref="B49:E50"/>
    <mergeCell ref="B52:E52"/>
    <mergeCell ref="B59:E60"/>
    <mergeCell ref="B27:E28"/>
    <mergeCell ref="B30:E30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workbookViewId="0">
      <selection activeCell="L9" sqref="L9"/>
    </sheetView>
  </sheetViews>
  <sheetFormatPr baseColWidth="10" defaultColWidth="12.5703125" defaultRowHeight="15" customHeight="1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</cols>
  <sheetData>
    <row r="1" spans="1:11" ht="12.75" customHeight="1" x14ac:dyDescent="0.2">
      <c r="A1" s="187" t="s">
        <v>16</v>
      </c>
      <c r="B1" s="174"/>
      <c r="C1" s="174"/>
      <c r="D1" s="174"/>
      <c r="E1" s="174"/>
      <c r="F1" s="174"/>
      <c r="G1" s="174"/>
      <c r="H1" s="174"/>
      <c r="I1" s="165"/>
      <c r="J1" s="74" t="s">
        <v>17</v>
      </c>
      <c r="K1" s="75" t="s">
        <v>18</v>
      </c>
    </row>
    <row r="2" spans="1:11" ht="12.75" customHeight="1" x14ac:dyDescent="0.2">
      <c r="A2" s="76"/>
      <c r="B2" s="76"/>
      <c r="C2" s="76"/>
      <c r="D2" s="77"/>
      <c r="E2" s="77"/>
      <c r="F2" s="77"/>
      <c r="G2" s="77"/>
      <c r="H2" s="77"/>
      <c r="I2" s="77"/>
      <c r="J2" s="77"/>
      <c r="K2" s="77"/>
    </row>
    <row r="3" spans="1:11" ht="12.75" customHeight="1" x14ac:dyDescent="0.2">
      <c r="A3" s="196" t="s">
        <v>19</v>
      </c>
      <c r="B3" s="197"/>
      <c r="C3" s="198"/>
      <c r="D3" s="199" t="str">
        <f>'Necesidades Trimestrales'!C4</f>
        <v>040 - Ministerio de Salud</v>
      </c>
      <c r="E3" s="189"/>
      <c r="F3" s="189"/>
      <c r="G3" s="189"/>
      <c r="H3" s="189"/>
      <c r="I3" s="189"/>
      <c r="J3" s="189"/>
      <c r="K3" s="190"/>
    </row>
    <row r="4" spans="1:11" ht="12.75" customHeight="1" x14ac:dyDescent="0.2">
      <c r="A4" s="200" t="s">
        <v>20</v>
      </c>
      <c r="B4" s="201"/>
      <c r="C4" s="202"/>
      <c r="D4" s="188" t="str">
        <f>'Necesidades Trimestrales'!C5</f>
        <v xml:space="preserve"> 28- Maternidad provincial 25 de Mayo</v>
      </c>
      <c r="E4" s="189"/>
      <c r="F4" s="189"/>
      <c r="G4" s="189"/>
      <c r="H4" s="189"/>
      <c r="I4" s="189"/>
      <c r="J4" s="189"/>
      <c r="K4" s="190"/>
    </row>
    <row r="5" spans="1:11" ht="12.75" customHeight="1" x14ac:dyDescent="0.2">
      <c r="A5" s="200" t="s">
        <v>21</v>
      </c>
      <c r="B5" s="201"/>
      <c r="C5" s="202"/>
      <c r="D5" s="188" t="s">
        <v>78</v>
      </c>
      <c r="E5" s="189"/>
      <c r="F5" s="189"/>
      <c r="G5" s="189"/>
      <c r="H5" s="189"/>
      <c r="I5" s="189"/>
      <c r="J5" s="189"/>
      <c r="K5" s="190"/>
    </row>
    <row r="6" spans="1:11" ht="12.75" customHeight="1" x14ac:dyDescent="0.2">
      <c r="A6" s="205" t="s">
        <v>22</v>
      </c>
      <c r="B6" s="197"/>
      <c r="C6" s="198"/>
      <c r="D6" s="188" t="s">
        <v>80</v>
      </c>
      <c r="E6" s="189"/>
      <c r="F6" s="189"/>
      <c r="G6" s="189"/>
      <c r="H6" s="189"/>
      <c r="I6" s="189"/>
      <c r="J6" s="189"/>
      <c r="K6" s="190"/>
    </row>
    <row r="7" spans="1:11" ht="12.75" customHeight="1" x14ac:dyDescent="0.2">
      <c r="A7" s="200" t="s">
        <v>23</v>
      </c>
      <c r="B7" s="201"/>
      <c r="C7" s="202"/>
      <c r="D7" s="188" t="s">
        <v>105</v>
      </c>
      <c r="E7" s="189"/>
      <c r="F7" s="189"/>
      <c r="G7" s="189"/>
      <c r="H7" s="189"/>
      <c r="I7" s="189"/>
      <c r="J7" s="189"/>
      <c r="K7" s="190"/>
    </row>
    <row r="8" spans="1:11" ht="36" customHeight="1" thickBot="1" x14ac:dyDescent="0.25">
      <c r="A8" s="203" t="s">
        <v>24</v>
      </c>
      <c r="B8" s="189"/>
      <c r="C8" s="204"/>
      <c r="D8" s="191" t="s">
        <v>79</v>
      </c>
      <c r="E8" s="192"/>
      <c r="F8" s="192"/>
      <c r="G8" s="192"/>
      <c r="H8" s="192"/>
      <c r="I8" s="192"/>
      <c r="J8" s="192"/>
      <c r="K8" s="193"/>
    </row>
    <row r="9" spans="1:11" ht="12.75" customHeight="1" thickBo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2.75" customHeight="1" thickBot="1" x14ac:dyDescent="0.25">
      <c r="A10" s="206" t="s">
        <v>25</v>
      </c>
      <c r="B10" s="185" t="s">
        <v>26</v>
      </c>
      <c r="C10" s="185" t="s">
        <v>27</v>
      </c>
      <c r="D10" s="186"/>
      <c r="E10" s="186"/>
      <c r="F10" s="186"/>
      <c r="G10" s="186"/>
      <c r="H10" s="185" t="s">
        <v>28</v>
      </c>
      <c r="I10" s="185" t="s">
        <v>29</v>
      </c>
      <c r="J10" s="185" t="s">
        <v>30</v>
      </c>
      <c r="K10" s="185" t="s">
        <v>31</v>
      </c>
    </row>
    <row r="11" spans="1:11" ht="32.25" customHeight="1" thickBot="1" x14ac:dyDescent="0.25">
      <c r="A11" s="186"/>
      <c r="B11" s="186"/>
      <c r="C11" s="186"/>
      <c r="D11" s="186"/>
      <c r="E11" s="186"/>
      <c r="F11" s="186"/>
      <c r="G11" s="186"/>
      <c r="H11" s="186"/>
      <c r="I11" s="186"/>
      <c r="J11" s="186"/>
      <c r="K11" s="186"/>
    </row>
    <row r="12" spans="1:11" ht="32.25" customHeight="1" thickBot="1" x14ac:dyDescent="0.25">
      <c r="A12" s="151">
        <v>1</v>
      </c>
      <c r="B12" s="152" t="str">
        <f>+'Necesidades Trimestrales'!B10</f>
        <v>4.3.3-133.15</v>
      </c>
      <c r="C12" s="183" t="str">
        <f>+'Necesidades Trimestrales'!E10</f>
        <v>ELECTROBISTURI; TIPO: MONOPOLAR, BIPOLAR Y SPRAY, CONTROL: PEDAL Y MANUAL, POTENCIA: MODULABLE</v>
      </c>
      <c r="D12" s="184"/>
      <c r="E12" s="184"/>
      <c r="F12" s="184"/>
      <c r="G12" s="184"/>
      <c r="H12" s="151" t="s">
        <v>95</v>
      </c>
      <c r="I12" s="153" t="str">
        <f>+'Necesidades Trimestrales'!F10</f>
        <v>UNIDAD</v>
      </c>
      <c r="J12" s="155">
        <f>+'Necesidades Trimestrales'!H10</f>
        <v>1848590</v>
      </c>
      <c r="K12" s="154">
        <f>+'Necesidades Trimestrales'!G10</f>
        <v>1</v>
      </c>
    </row>
    <row r="13" spans="1:11" ht="32.25" customHeight="1" thickBot="1" x14ac:dyDescent="0.25">
      <c r="A13" s="151">
        <v>2</v>
      </c>
      <c r="B13" s="152" t="str">
        <f>+'Necesidades Trimestrales'!B11</f>
        <v>4.3.3-133.14</v>
      </c>
      <c r="C13" s="183" t="str">
        <f>+'Necesidades Trimestrales'!E11</f>
        <v>ELECTROBISTURI; TIPO: MONOPOLAR Y BIPOLAR, CONTROL: PEDAL TRIPLE Y MANDO, POTENCIA: 400 W</v>
      </c>
      <c r="D13" s="184"/>
      <c r="E13" s="184"/>
      <c r="F13" s="184"/>
      <c r="G13" s="184"/>
      <c r="H13" s="151" t="s">
        <v>95</v>
      </c>
      <c r="I13" s="153" t="str">
        <f>+'Necesidades Trimestrales'!F11</f>
        <v>UNIDAD</v>
      </c>
      <c r="J13" s="155">
        <f>+'Necesidades Trimestrales'!H11</f>
        <v>1848590</v>
      </c>
      <c r="K13" s="154">
        <f>+'Necesidades Trimestrales'!G11</f>
        <v>1</v>
      </c>
    </row>
    <row r="14" spans="1:11" ht="32.25" customHeight="1" thickBot="1" x14ac:dyDescent="0.25">
      <c r="A14" s="151">
        <v>3</v>
      </c>
      <c r="B14" s="152" t="str">
        <f>+'Necesidades Trimestrales'!B12</f>
        <v>4.3.3-5424.9</v>
      </c>
      <c r="C14" s="183" t="str">
        <f>+'Necesidades Trimestrales'!E12</f>
        <v>MONITOR PARAMETRO FISIOLOGICO; TIPO: MULTIPAR LCD, TAMAÑO: 17 pulg, AUTONOMIA: 7 H, TEMPERATURA: 20 A 45 °C, TENSION SANGUINEA: 30 A 300 mm hg, ALIMENTACION: 220 V</v>
      </c>
      <c r="D14" s="184"/>
      <c r="E14" s="184"/>
      <c r="F14" s="184"/>
      <c r="G14" s="184"/>
      <c r="H14" s="151" t="s">
        <v>95</v>
      </c>
      <c r="I14" s="153" t="str">
        <f>+'Necesidades Trimestrales'!F12</f>
        <v>UNIDAD</v>
      </c>
      <c r="J14" s="155">
        <f>+'Necesidades Trimestrales'!H12</f>
        <v>301400</v>
      </c>
      <c r="K14" s="154">
        <f>+'Necesidades Trimestrales'!G12</f>
        <v>5</v>
      </c>
    </row>
    <row r="15" spans="1:11" ht="32.25" customHeight="1" thickBot="1" x14ac:dyDescent="0.25">
      <c r="A15" s="151">
        <v>4</v>
      </c>
      <c r="B15" s="152" t="str">
        <f>+'Necesidades Trimestrales'!B13</f>
        <v>4.3.5-1290.8</v>
      </c>
      <c r="C15" s="183" t="str">
        <f>+'Necesidades Trimestrales'!E13</f>
        <v>NEGATOSCOPIOS; USO: P/RADIOGRAFIAS, FUENTE DE ALIMENTACION : 220 V, ANCHO X LARGO: 65 X 125 Cm, MODELO: SIN VALOR, FUENTE DE ALIMENTACION: 220 V</v>
      </c>
      <c r="D15" s="184"/>
      <c r="E15" s="184"/>
      <c r="F15" s="184"/>
      <c r="G15" s="184"/>
      <c r="H15" s="151" t="s">
        <v>32</v>
      </c>
      <c r="I15" s="153" t="str">
        <f>+'Necesidades Trimestrales'!F13</f>
        <v>UNIDAD</v>
      </c>
      <c r="J15" s="155">
        <f>+'Necesidades Trimestrales'!H13</f>
        <v>76300</v>
      </c>
      <c r="K15" s="154">
        <f>+'Necesidades Trimestrales'!G13</f>
        <v>1</v>
      </c>
    </row>
    <row r="16" spans="1:11" ht="32.25" customHeight="1" thickBot="1" x14ac:dyDescent="0.25">
      <c r="A16" s="151">
        <v>5</v>
      </c>
      <c r="B16" s="152" t="str">
        <f>+'Necesidades Trimestrales'!B14</f>
        <v>4.3.3-9496.1</v>
      </c>
      <c r="C16" s="183" t="str">
        <f>+'Necesidades Trimestrales'!E14</f>
        <v>SISTEMA DE ANESTESIA; TIPO: DE DOS GASES, USO: CIRUGIA, ELEMENTO: MESA DE ANESTESIA COMPLETA</v>
      </c>
      <c r="D16" s="184"/>
      <c r="E16" s="184"/>
      <c r="F16" s="184"/>
      <c r="G16" s="184"/>
      <c r="H16" s="151" t="s">
        <v>95</v>
      </c>
      <c r="I16" s="153" t="str">
        <f>+'Necesidades Trimestrales'!F14</f>
        <v>UNIDAD</v>
      </c>
      <c r="J16" s="155">
        <f>+'Necesidades Trimestrales'!H14</f>
        <v>3152870</v>
      </c>
      <c r="K16" s="154">
        <f>+'Necesidades Trimestrales'!G14</f>
        <v>1</v>
      </c>
    </row>
    <row r="17" spans="1:11" ht="32.25" customHeight="1" thickBot="1" x14ac:dyDescent="0.25">
      <c r="A17" s="151">
        <v>6</v>
      </c>
      <c r="B17" s="152" t="str">
        <f>+'Necesidades Trimestrales'!B15</f>
        <v>4.3.7-1846.20</v>
      </c>
      <c r="C17" s="183" t="str">
        <f>+'Necesidades Trimestrales'!E15</f>
        <v>BUTACAS; PATAS: 5, RESPALDO: CON, GIRATORIA: SI, APOYABRAZO: SIN, TERMINACION: CUERINA, MATERIAL ESTRUCTURA: METAL</v>
      </c>
      <c r="D17" s="184"/>
      <c r="E17" s="184"/>
      <c r="F17" s="184"/>
      <c r="G17" s="184"/>
      <c r="H17" s="151" t="s">
        <v>95</v>
      </c>
      <c r="I17" s="153" t="str">
        <f>+'Necesidades Trimestrales'!F15</f>
        <v>UNIDAD</v>
      </c>
      <c r="J17" s="155">
        <f>+'Necesidades Trimestrales'!H15</f>
        <v>55770</v>
      </c>
      <c r="K17" s="154">
        <f>+'Necesidades Trimestrales'!G15</f>
        <v>4</v>
      </c>
    </row>
    <row r="18" spans="1:11" ht="32.25" customHeight="1" thickBot="1" x14ac:dyDescent="0.25">
      <c r="A18" s="151">
        <v>7</v>
      </c>
      <c r="B18" s="152" t="str">
        <f>+'Necesidades Trimestrales'!B16</f>
        <v>4.3.3-5186.9</v>
      </c>
      <c r="C18" s="183" t="str">
        <f>+'Necesidades Trimestrales'!E16</f>
        <v>ECOGRAFOS; TIPO: PORTATIL, USO: GENERAL Y OBSTETRICIA</v>
      </c>
      <c r="D18" s="184"/>
      <c r="E18" s="184"/>
      <c r="F18" s="184"/>
      <c r="G18" s="184"/>
      <c r="H18" s="151" t="s">
        <v>95</v>
      </c>
      <c r="I18" s="153" t="str">
        <f>+'Necesidades Trimestrales'!F16</f>
        <v>UNIDAD</v>
      </c>
      <c r="J18" s="155">
        <f>+'Necesidades Trimestrales'!H16</f>
        <v>3845650</v>
      </c>
      <c r="K18" s="154">
        <f>+'Necesidades Trimestrales'!G16</f>
        <v>1</v>
      </c>
    </row>
    <row r="19" spans="1:11" ht="32.25" customHeight="1" thickBot="1" x14ac:dyDescent="0.25">
      <c r="A19" s="151">
        <v>8</v>
      </c>
      <c r="B19" s="152" t="str">
        <f>+'Necesidades Trimestrales'!B17</f>
        <v>4.3.3-7787.1</v>
      </c>
      <c r="C19" s="183" t="str">
        <f>+'Necesidades Trimestrales'!E17</f>
        <v>MESAS P/CIRUGIAS; TIPO: FLUOROSCOPICA, LARGO: 185 Cm, ANCHO: 55 Cm, PESO: 180 Kg</v>
      </c>
      <c r="D19" s="184"/>
      <c r="E19" s="184"/>
      <c r="F19" s="184"/>
      <c r="G19" s="184"/>
      <c r="H19" s="151" t="s">
        <v>95</v>
      </c>
      <c r="I19" s="153" t="str">
        <f>+'Necesidades Trimestrales'!F17</f>
        <v>UNIDAD</v>
      </c>
      <c r="J19" s="155">
        <f>+'Necesidades Trimestrales'!H17</f>
        <v>1506960</v>
      </c>
      <c r="K19" s="154">
        <f>+'Necesidades Trimestrales'!G17</f>
        <v>1</v>
      </c>
    </row>
    <row r="20" spans="1:11" ht="32.25" customHeight="1" thickBot="1" x14ac:dyDescent="0.25">
      <c r="A20" s="151">
        <v>9</v>
      </c>
      <c r="B20" s="152" t="str">
        <f>+'Necesidades Trimestrales'!B18</f>
        <v>4.3.3-8420.7</v>
      </c>
      <c r="C20" s="183" t="str">
        <f>+'Necesidades Trimestrales'!E18</f>
        <v>LAMPARAS SCIALITICAS; DAM DE PANTALLA: 500 A 800 mm, ANGULO DE GIRO: 360 º, ALTURA MAXIMA: 240 Cm, CANTIDAD BOMBILLAS: 1 O MAS</v>
      </c>
      <c r="D20" s="184"/>
      <c r="E20" s="184"/>
      <c r="F20" s="184"/>
      <c r="G20" s="184"/>
      <c r="H20" s="151" t="s">
        <v>95</v>
      </c>
      <c r="I20" s="153" t="str">
        <f>+'Necesidades Trimestrales'!F18</f>
        <v>UNIDAD</v>
      </c>
      <c r="J20" s="155">
        <f>+'Necesidades Trimestrales'!H18</f>
        <v>312530</v>
      </c>
      <c r="K20" s="154">
        <f>+'Necesidades Trimestrales'!G18</f>
        <v>1</v>
      </c>
    </row>
    <row r="21" spans="1:11" ht="32.25" customHeight="1" thickBot="1" x14ac:dyDescent="0.25">
      <c r="A21" s="151">
        <v>10</v>
      </c>
      <c r="B21" s="152" t="str">
        <f>+'Necesidades Trimestrales'!B19</f>
        <v>4.3.6-9604.3</v>
      </c>
      <c r="C21" s="180" t="str">
        <f>+'Necesidades Trimestrales'!E19</f>
        <v>TABLETA PC; RESOLUCION: 1280 X 800 PXL, PANTALLA: 9,4 pulg, MEMORIA: 32 Gb, MEMORIA RAM: 32 Gb</v>
      </c>
      <c r="D21" s="181"/>
      <c r="E21" s="181"/>
      <c r="F21" s="181"/>
      <c r="G21" s="182"/>
      <c r="H21" s="151" t="s">
        <v>32</v>
      </c>
      <c r="I21" s="153" t="str">
        <f>+'Necesidades Trimestrales'!F19</f>
        <v>UNIDAD</v>
      </c>
      <c r="J21" s="155">
        <f>+'Necesidades Trimestrales'!H19</f>
        <v>72000</v>
      </c>
      <c r="K21" s="154">
        <f>+'Necesidades Trimestrales'!G19</f>
        <v>1</v>
      </c>
    </row>
    <row r="22" spans="1:11" ht="21.75" customHeight="1" thickBot="1" x14ac:dyDescent="0.25">
      <c r="A22" s="195" t="s">
        <v>103</v>
      </c>
      <c r="B22" s="186"/>
      <c r="C22" s="186"/>
      <c r="D22" s="186"/>
      <c r="E22" s="186"/>
      <c r="F22" s="186"/>
      <c r="G22" s="186"/>
      <c r="H22" s="186"/>
      <c r="I22" s="186"/>
      <c r="J22" s="194">
        <f>SUMPRODUCT(J12:J21,K12:K21)</f>
        <v>14393570</v>
      </c>
      <c r="K22" s="186"/>
    </row>
  </sheetData>
  <mergeCells count="32">
    <mergeCell ref="J22:K22"/>
    <mergeCell ref="A22:I22"/>
    <mergeCell ref="A3:C3"/>
    <mergeCell ref="D3:K3"/>
    <mergeCell ref="A4:C4"/>
    <mergeCell ref="D4:K4"/>
    <mergeCell ref="A5:C5"/>
    <mergeCell ref="D5:K5"/>
    <mergeCell ref="A7:C7"/>
    <mergeCell ref="A8:C8"/>
    <mergeCell ref="A6:C6"/>
    <mergeCell ref="A10:A11"/>
    <mergeCell ref="B10:B11"/>
    <mergeCell ref="C10:G11"/>
    <mergeCell ref="H10:H11"/>
    <mergeCell ref="I10:I11"/>
    <mergeCell ref="J10:J11"/>
    <mergeCell ref="A1:I1"/>
    <mergeCell ref="D6:K6"/>
    <mergeCell ref="D7:K7"/>
    <mergeCell ref="D8:K8"/>
    <mergeCell ref="K10:K11"/>
    <mergeCell ref="C21:G21"/>
    <mergeCell ref="C12:G12"/>
    <mergeCell ref="C18:G18"/>
    <mergeCell ref="C19:G19"/>
    <mergeCell ref="C20:G20"/>
    <mergeCell ref="C17:G17"/>
    <mergeCell ref="C13:G13"/>
    <mergeCell ref="C14:G14"/>
    <mergeCell ref="C15:G15"/>
    <mergeCell ref="C16:G16"/>
  </mergeCells>
  <printOptions horizontalCentered="1"/>
  <pageMargins left="0.196527777777778" right="0.196527777777778" top="0.98402777777777795" bottom="0.98402777777777795" header="0" footer="0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9"/>
  <sheetViews>
    <sheetView workbookViewId="0">
      <selection activeCell="A25" sqref="A25:Q26"/>
    </sheetView>
  </sheetViews>
  <sheetFormatPr baseColWidth="10" defaultColWidth="12.5703125" defaultRowHeight="15" customHeight="1" x14ac:dyDescent="0.2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1" customWidth="1"/>
    <col min="17" max="17" width="14.7109375" customWidth="1"/>
    <col min="18" max="18" width="11" customWidth="1"/>
  </cols>
  <sheetData>
    <row r="1" spans="1:18" ht="15.75" customHeight="1" x14ac:dyDescent="0.25">
      <c r="A1" s="234" t="s">
        <v>4</v>
      </c>
      <c r="B1" s="224"/>
      <c r="C1" s="224"/>
      <c r="D1" s="235">
        <f>'Necesidades Trimestrales'!C6</f>
        <v>2022</v>
      </c>
      <c r="E1" s="225"/>
      <c r="F1" s="8"/>
      <c r="G1" s="8"/>
      <c r="H1" s="9"/>
      <c r="I1" s="9"/>
      <c r="J1" s="9"/>
      <c r="K1" s="9"/>
      <c r="L1" s="9"/>
      <c r="M1" s="9"/>
      <c r="N1" s="9"/>
      <c r="P1" s="226" t="s">
        <v>33</v>
      </c>
      <c r="Q1" s="218"/>
    </row>
    <row r="2" spans="1:18" ht="15.75" customHeight="1" x14ac:dyDescent="0.2">
      <c r="G2" s="10"/>
      <c r="H2" s="9"/>
      <c r="I2" s="9"/>
      <c r="J2" s="9"/>
      <c r="K2" s="9"/>
      <c r="L2" s="9"/>
      <c r="M2" s="9"/>
      <c r="N2" s="9"/>
      <c r="P2" s="227"/>
      <c r="Q2" s="228"/>
    </row>
    <row r="3" spans="1:18" ht="12.75" customHeight="1" x14ac:dyDescent="0.2">
      <c r="G3" s="10"/>
    </row>
    <row r="4" spans="1:18" ht="18" customHeight="1" x14ac:dyDescent="0.2">
      <c r="A4" s="229" t="s">
        <v>34</v>
      </c>
      <c r="B4" s="197"/>
      <c r="C4" s="197"/>
      <c r="D4" s="197"/>
      <c r="E4" s="197"/>
      <c r="F4" s="230"/>
      <c r="G4" s="231" t="str">
        <f>' NotaPedido'!D3</f>
        <v>040 - Ministerio de Salud</v>
      </c>
      <c r="H4" s="197"/>
      <c r="I4" s="197"/>
      <c r="J4" s="197"/>
      <c r="K4" s="197"/>
      <c r="L4" s="197"/>
      <c r="M4" s="197"/>
      <c r="N4" s="197"/>
      <c r="O4" s="197"/>
      <c r="P4" s="197"/>
      <c r="Q4" s="230"/>
      <c r="R4" s="11"/>
    </row>
    <row r="5" spans="1:18" ht="18" customHeight="1" x14ac:dyDescent="0.2">
      <c r="A5" s="233" t="s">
        <v>20</v>
      </c>
      <c r="B5" s="197"/>
      <c r="C5" s="197"/>
      <c r="D5" s="197"/>
      <c r="E5" s="197"/>
      <c r="F5" s="230"/>
      <c r="G5" s="232" t="str">
        <f>' NotaPedido'!D4</f>
        <v xml:space="preserve"> 28- Maternidad provincial 25 de Mayo</v>
      </c>
      <c r="H5" s="197"/>
      <c r="I5" s="197"/>
      <c r="J5" s="197"/>
      <c r="K5" s="197"/>
      <c r="L5" s="197"/>
      <c r="M5" s="197"/>
      <c r="N5" s="197"/>
      <c r="O5" s="197"/>
      <c r="P5" s="197"/>
      <c r="Q5" s="230"/>
      <c r="R5" s="11"/>
    </row>
    <row r="6" spans="1:18" ht="18" customHeight="1" x14ac:dyDescent="0.2">
      <c r="A6" s="233" t="s">
        <v>21</v>
      </c>
      <c r="B6" s="197"/>
      <c r="C6" s="197"/>
      <c r="D6" s="197"/>
      <c r="E6" s="197"/>
      <c r="F6" s="230"/>
      <c r="G6" s="232" t="str">
        <f>' NotaPedido'!D5</f>
        <v>169-Direccion Asistencial</v>
      </c>
      <c r="H6" s="197"/>
      <c r="I6" s="197"/>
      <c r="J6" s="197"/>
      <c r="K6" s="197"/>
      <c r="L6" s="197"/>
      <c r="M6" s="197"/>
      <c r="N6" s="197"/>
      <c r="O6" s="197"/>
      <c r="P6" s="197"/>
      <c r="Q6" s="230"/>
      <c r="R6" s="11"/>
    </row>
    <row r="7" spans="1:18" ht="18" customHeight="1" x14ac:dyDescent="0.2">
      <c r="A7" s="233" t="s">
        <v>22</v>
      </c>
      <c r="B7" s="197"/>
      <c r="C7" s="197"/>
      <c r="D7" s="197"/>
      <c r="E7" s="197"/>
      <c r="F7" s="230"/>
      <c r="G7" s="232" t="str">
        <f>' NotaPedido'!D6</f>
        <v>Servicio de Quirofano</v>
      </c>
      <c r="H7" s="197"/>
      <c r="I7" s="197"/>
      <c r="J7" s="197"/>
      <c r="K7" s="197"/>
      <c r="L7" s="197"/>
      <c r="M7" s="197"/>
      <c r="N7" s="197"/>
      <c r="O7" s="197"/>
      <c r="P7" s="197"/>
      <c r="Q7" s="230"/>
      <c r="R7" s="11"/>
    </row>
    <row r="8" spans="1:18" ht="18" customHeight="1" x14ac:dyDescent="0.2">
      <c r="A8" s="236" t="s">
        <v>35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8"/>
    </row>
    <row r="9" spans="1:18" ht="18" customHeight="1" x14ac:dyDescent="0.2">
      <c r="A9" s="239" t="s">
        <v>36</v>
      </c>
      <c r="B9" s="240"/>
      <c r="C9" s="240"/>
      <c r="D9" s="240"/>
      <c r="E9" s="240"/>
      <c r="F9" s="240"/>
      <c r="G9" s="240"/>
      <c r="H9" s="240"/>
      <c r="I9" s="240"/>
      <c r="J9" s="240"/>
      <c r="K9" s="240"/>
      <c r="L9" s="240"/>
      <c r="M9" s="240"/>
      <c r="N9" s="240"/>
      <c r="O9" s="139"/>
      <c r="P9" s="139"/>
      <c r="Q9" s="140"/>
    </row>
    <row r="10" spans="1:18" ht="54.75" customHeight="1" x14ac:dyDescent="0.2">
      <c r="A10" s="241" t="str">
        <f>"Autorizo la realización de los  trámites correspondientes, a fin de proveer a  este Organismo los bienes y/o servicios que se detallan en Nota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xxx/2022,  afectando la erogación resultante a los créditos presupuestarios aprobados a favor de esta Unidad Ejecutora, conforme al siguiente detalle:</v>
      </c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242"/>
    </row>
    <row r="11" spans="1:18" ht="9" customHeight="1" x14ac:dyDescent="0.2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8" ht="15.75" customHeight="1" x14ac:dyDescent="0.2">
      <c r="A12" s="243" t="s">
        <v>37</v>
      </c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8"/>
    </row>
    <row r="13" spans="1:18" ht="15.75" customHeight="1" x14ac:dyDescent="0.2">
      <c r="A13" s="244" t="s">
        <v>38</v>
      </c>
      <c r="B13" s="237"/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8"/>
      <c r="O13" s="246" t="s">
        <v>39</v>
      </c>
      <c r="P13" s="218"/>
      <c r="Q13" s="249" t="s">
        <v>40</v>
      </c>
    </row>
    <row r="14" spans="1:18" ht="15.75" customHeight="1" thickBot="1" x14ac:dyDescent="0.25">
      <c r="A14" s="12" t="s">
        <v>41</v>
      </c>
      <c r="B14" s="13" t="s">
        <v>42</v>
      </c>
      <c r="C14" s="13" t="s">
        <v>43</v>
      </c>
      <c r="D14" s="13" t="s">
        <v>44</v>
      </c>
      <c r="E14" s="13" t="s">
        <v>45</v>
      </c>
      <c r="F14" s="13" t="s">
        <v>46</v>
      </c>
      <c r="G14" s="14" t="s">
        <v>47</v>
      </c>
      <c r="H14" s="13" t="s">
        <v>48</v>
      </c>
      <c r="I14" s="13" t="s">
        <v>49</v>
      </c>
      <c r="J14" s="13" t="s">
        <v>50</v>
      </c>
      <c r="K14" s="13" t="s">
        <v>50</v>
      </c>
      <c r="L14" s="13" t="s">
        <v>51</v>
      </c>
      <c r="M14" s="15" t="s">
        <v>52</v>
      </c>
      <c r="N14" s="16" t="s">
        <v>53</v>
      </c>
      <c r="O14" s="247"/>
      <c r="P14" s="248"/>
      <c r="Q14" s="248"/>
    </row>
    <row r="15" spans="1:18" ht="17.25" customHeight="1" thickBot="1" x14ac:dyDescent="0.25">
      <c r="A15" s="145">
        <v>42</v>
      </c>
      <c r="B15" s="146"/>
      <c r="C15" s="146"/>
      <c r="D15" s="147">
        <v>2</v>
      </c>
      <c r="E15" s="146"/>
      <c r="F15" s="146">
        <v>4901</v>
      </c>
      <c r="G15" s="146">
        <v>3</v>
      </c>
      <c r="H15" s="146">
        <v>1</v>
      </c>
      <c r="I15" s="147">
        <v>4</v>
      </c>
      <c r="J15" s="147">
        <v>3</v>
      </c>
      <c r="K15" s="147">
        <v>3</v>
      </c>
      <c r="L15" s="146"/>
      <c r="M15" s="148">
        <v>1</v>
      </c>
      <c r="N15" s="149" t="s">
        <v>54</v>
      </c>
      <c r="O15" s="250" t="s">
        <v>96</v>
      </c>
      <c r="P15" s="220"/>
      <c r="Q15" s="21">
        <v>14022190</v>
      </c>
    </row>
    <row r="16" spans="1:18" ht="17.25" customHeight="1" thickBot="1" x14ac:dyDescent="0.25">
      <c r="A16" s="145">
        <v>42</v>
      </c>
      <c r="B16" s="146"/>
      <c r="C16" s="146"/>
      <c r="D16" s="147">
        <v>2</v>
      </c>
      <c r="E16" s="146"/>
      <c r="F16" s="146">
        <v>4901</v>
      </c>
      <c r="G16" s="146">
        <v>3</v>
      </c>
      <c r="H16" s="146">
        <v>1</v>
      </c>
      <c r="I16" s="147">
        <v>4</v>
      </c>
      <c r="J16" s="147">
        <v>3</v>
      </c>
      <c r="K16" s="147">
        <v>5</v>
      </c>
      <c r="L16" s="146"/>
      <c r="M16" s="148">
        <v>1</v>
      </c>
      <c r="N16" s="149" t="s">
        <v>54</v>
      </c>
      <c r="O16" s="250" t="s">
        <v>97</v>
      </c>
      <c r="P16" s="220"/>
      <c r="Q16" s="21">
        <v>76300</v>
      </c>
    </row>
    <row r="17" spans="1:18" ht="17.25" customHeight="1" thickBot="1" x14ac:dyDescent="0.25">
      <c r="A17" s="145">
        <v>42</v>
      </c>
      <c r="B17" s="146"/>
      <c r="C17" s="146"/>
      <c r="D17" s="147">
        <v>2</v>
      </c>
      <c r="E17" s="146"/>
      <c r="F17" s="146">
        <v>4901</v>
      </c>
      <c r="G17" s="146">
        <v>3</v>
      </c>
      <c r="H17" s="146">
        <v>1</v>
      </c>
      <c r="I17" s="147">
        <v>4</v>
      </c>
      <c r="J17" s="147">
        <v>3</v>
      </c>
      <c r="K17" s="147">
        <v>6</v>
      </c>
      <c r="L17" s="146"/>
      <c r="M17" s="148">
        <v>1</v>
      </c>
      <c r="N17" s="149" t="s">
        <v>54</v>
      </c>
      <c r="O17" s="250" t="s">
        <v>98</v>
      </c>
      <c r="P17" s="220"/>
      <c r="Q17" s="21">
        <v>72000</v>
      </c>
    </row>
    <row r="18" spans="1:18" ht="17.25" customHeight="1" x14ac:dyDescent="0.2">
      <c r="A18" s="145">
        <v>42</v>
      </c>
      <c r="B18" s="146"/>
      <c r="C18" s="146"/>
      <c r="D18" s="147">
        <v>2</v>
      </c>
      <c r="E18" s="146"/>
      <c r="F18" s="146">
        <v>4901</v>
      </c>
      <c r="G18" s="146">
        <v>3</v>
      </c>
      <c r="H18" s="146">
        <v>1</v>
      </c>
      <c r="I18" s="147">
        <v>4</v>
      </c>
      <c r="J18" s="147">
        <v>3</v>
      </c>
      <c r="K18" s="147">
        <v>7</v>
      </c>
      <c r="L18" s="146"/>
      <c r="M18" s="148">
        <v>1</v>
      </c>
      <c r="N18" s="149" t="s">
        <v>54</v>
      </c>
      <c r="O18" s="250" t="s">
        <v>99</v>
      </c>
      <c r="P18" s="220"/>
      <c r="Q18" s="21">
        <v>223080</v>
      </c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219"/>
      <c r="P19" s="220"/>
      <c r="Q19" s="21"/>
    </row>
    <row r="20" spans="1:18" ht="17.25" customHeight="1" x14ac:dyDescent="0.2">
      <c r="A20" s="22"/>
      <c r="B20" s="23"/>
      <c r="C20" s="23"/>
      <c r="D20" s="23"/>
      <c r="E20" s="23"/>
      <c r="F20" s="20"/>
      <c r="G20" s="23"/>
      <c r="H20" s="23"/>
      <c r="I20" s="23"/>
      <c r="J20" s="23"/>
      <c r="K20" s="23"/>
      <c r="L20" s="23"/>
      <c r="M20" s="24"/>
      <c r="N20" s="25"/>
      <c r="O20" s="219"/>
      <c r="P20" s="220"/>
      <c r="Q20" s="21"/>
      <c r="R20" s="11"/>
    </row>
    <row r="21" spans="1:18" ht="17.25" customHeight="1" x14ac:dyDescent="0.2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7"/>
      <c r="O21" s="221"/>
      <c r="P21" s="222"/>
      <c r="Q21" s="29"/>
    </row>
    <row r="22" spans="1:18" ht="29.25" customHeight="1" x14ac:dyDescent="0.2">
      <c r="A22" s="213" t="s">
        <v>104</v>
      </c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5"/>
      <c r="Q22" s="150">
        <f>SUM(Q15:Q21)</f>
        <v>14393570</v>
      </c>
    </row>
    <row r="23" spans="1:18" ht="18" customHeight="1" x14ac:dyDescent="0.2">
      <c r="A23" s="216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8"/>
    </row>
    <row r="24" spans="1:18" ht="17.25" customHeight="1" x14ac:dyDescent="0.2">
      <c r="A24" s="223" t="s">
        <v>55</v>
      </c>
      <c r="B24" s="224"/>
      <c r="C24" s="224"/>
      <c r="D24" s="224"/>
      <c r="E24" s="224"/>
      <c r="F24" s="225"/>
      <c r="G24" s="245"/>
      <c r="H24" s="217"/>
      <c r="I24" s="217"/>
      <c r="J24" s="217"/>
      <c r="K24" s="217"/>
      <c r="L24" s="217"/>
      <c r="M24" s="217"/>
      <c r="N24" s="217"/>
      <c r="O24" s="217"/>
      <c r="P24" s="217"/>
      <c r="Q24" s="218"/>
    </row>
    <row r="25" spans="1:18" ht="18" customHeight="1" x14ac:dyDescent="0.2">
      <c r="A25" s="207" t="s">
        <v>100</v>
      </c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9"/>
    </row>
    <row r="26" spans="1:18" ht="15" customHeight="1" x14ac:dyDescent="0.2">
      <c r="A26" s="210"/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2"/>
    </row>
    <row r="27" spans="1:18" ht="12.75" customHeight="1" x14ac:dyDescent="0.2">
      <c r="G27" s="10"/>
    </row>
    <row r="28" spans="1:18" ht="12.75" customHeight="1" x14ac:dyDescent="0.2">
      <c r="G28" s="10"/>
    </row>
    <row r="29" spans="1:18" ht="12.75" customHeight="1" x14ac:dyDescent="0.2">
      <c r="G29" s="10"/>
    </row>
    <row r="30" spans="1:18" ht="12.75" customHeight="1" x14ac:dyDescent="0.2">
      <c r="G30" s="10"/>
    </row>
    <row r="31" spans="1:18" ht="12.75" customHeight="1" x14ac:dyDescent="0.2">
      <c r="G31" s="10"/>
    </row>
    <row r="32" spans="1:18" ht="12.75" customHeight="1" x14ac:dyDescent="0.2">
      <c r="G32" s="10"/>
    </row>
    <row r="33" spans="7:7" ht="12.75" customHeight="1" x14ac:dyDescent="0.2">
      <c r="G33" s="10"/>
    </row>
    <row r="34" spans="7:7" ht="12.75" customHeight="1" x14ac:dyDescent="0.2">
      <c r="G34" s="10"/>
    </row>
    <row r="35" spans="7:7" ht="12.75" customHeight="1" x14ac:dyDescent="0.2">
      <c r="G35" s="10"/>
    </row>
    <row r="36" spans="7:7" ht="12.75" customHeight="1" x14ac:dyDescent="0.2">
      <c r="G36" s="10"/>
    </row>
    <row r="37" spans="7:7" ht="12.75" customHeight="1" x14ac:dyDescent="0.2">
      <c r="G37" s="10"/>
    </row>
    <row r="38" spans="7:7" ht="12.75" customHeight="1" x14ac:dyDescent="0.2">
      <c r="G38" s="10"/>
    </row>
    <row r="39" spans="7:7" ht="12.75" customHeight="1" x14ac:dyDescent="0.2">
      <c r="G39" s="10"/>
    </row>
    <row r="40" spans="7:7" ht="12.75" customHeight="1" x14ac:dyDescent="0.2">
      <c r="G40" s="10"/>
    </row>
    <row r="41" spans="7:7" ht="12.75" customHeight="1" x14ac:dyDescent="0.2">
      <c r="G41" s="10"/>
    </row>
    <row r="42" spans="7:7" ht="12.75" customHeight="1" x14ac:dyDescent="0.2">
      <c r="G42" s="10"/>
    </row>
    <row r="43" spans="7:7" ht="12.75" customHeight="1" x14ac:dyDescent="0.2">
      <c r="G43" s="10"/>
    </row>
    <row r="44" spans="7:7" ht="12.75" customHeight="1" x14ac:dyDescent="0.2">
      <c r="G44" s="10"/>
    </row>
    <row r="45" spans="7:7" ht="12.75" customHeight="1" x14ac:dyDescent="0.2">
      <c r="G45" s="10"/>
    </row>
    <row r="46" spans="7:7" ht="12.75" customHeight="1" x14ac:dyDescent="0.2">
      <c r="G46" s="10"/>
    </row>
    <row r="47" spans="7:7" ht="12.75" customHeight="1" x14ac:dyDescent="0.2">
      <c r="G47" s="10"/>
    </row>
    <row r="48" spans="7:7" ht="12.75" customHeight="1" x14ac:dyDescent="0.2">
      <c r="G48" s="10"/>
    </row>
    <row r="49" spans="7:7" ht="12.75" customHeight="1" x14ac:dyDescent="0.2">
      <c r="G49" s="10"/>
    </row>
    <row r="50" spans="7:7" ht="12.75" customHeight="1" x14ac:dyDescent="0.2">
      <c r="G50" s="10"/>
    </row>
    <row r="51" spans="7:7" ht="12.75" customHeight="1" x14ac:dyDescent="0.2">
      <c r="G51" s="10"/>
    </row>
    <row r="52" spans="7:7" ht="12.75" customHeight="1" x14ac:dyDescent="0.2">
      <c r="G52" s="10"/>
    </row>
    <row r="53" spans="7:7" ht="12.75" customHeight="1" x14ac:dyDescent="0.2">
      <c r="G53" s="10"/>
    </row>
    <row r="54" spans="7:7" ht="12.75" customHeight="1" x14ac:dyDescent="0.2">
      <c r="G54" s="10"/>
    </row>
    <row r="55" spans="7:7" ht="12.75" customHeight="1" x14ac:dyDescent="0.2">
      <c r="G55" s="10"/>
    </row>
    <row r="56" spans="7:7" ht="12.75" customHeight="1" x14ac:dyDescent="0.2">
      <c r="G56" s="10"/>
    </row>
    <row r="57" spans="7:7" ht="12.75" customHeight="1" x14ac:dyDescent="0.2">
      <c r="G57" s="10"/>
    </row>
    <row r="58" spans="7:7" ht="12.75" customHeight="1" x14ac:dyDescent="0.2">
      <c r="G58" s="10"/>
    </row>
    <row r="59" spans="7:7" ht="12.75" customHeight="1" x14ac:dyDescent="0.2">
      <c r="G59" s="10"/>
    </row>
    <row r="60" spans="7:7" ht="12.75" customHeight="1" x14ac:dyDescent="0.2">
      <c r="G60" s="10"/>
    </row>
    <row r="61" spans="7:7" ht="12.75" customHeight="1" x14ac:dyDescent="0.2">
      <c r="G61" s="10"/>
    </row>
    <row r="62" spans="7:7" ht="12.75" customHeight="1" x14ac:dyDescent="0.2">
      <c r="G62" s="10"/>
    </row>
    <row r="63" spans="7:7" ht="12.75" customHeight="1" x14ac:dyDescent="0.2">
      <c r="G63" s="10"/>
    </row>
    <row r="64" spans="7:7" ht="12.75" customHeight="1" x14ac:dyDescent="0.2">
      <c r="G64" s="10"/>
    </row>
    <row r="65" spans="7:7" ht="12.75" customHeight="1" x14ac:dyDescent="0.2">
      <c r="G65" s="10"/>
    </row>
    <row r="66" spans="7:7" ht="12.75" customHeight="1" x14ac:dyDescent="0.2">
      <c r="G66" s="10"/>
    </row>
    <row r="67" spans="7:7" ht="12.75" customHeight="1" x14ac:dyDescent="0.2">
      <c r="G67" s="10"/>
    </row>
    <row r="68" spans="7:7" ht="12.75" customHeight="1" x14ac:dyDescent="0.2">
      <c r="G68" s="10"/>
    </row>
    <row r="69" spans="7:7" ht="12.75" customHeight="1" x14ac:dyDescent="0.2">
      <c r="G69" s="10"/>
    </row>
    <row r="70" spans="7:7" ht="12.75" customHeight="1" x14ac:dyDescent="0.2">
      <c r="G70" s="10"/>
    </row>
    <row r="71" spans="7:7" ht="12.75" customHeight="1" x14ac:dyDescent="0.2">
      <c r="G71" s="10"/>
    </row>
    <row r="72" spans="7:7" ht="12.75" customHeight="1" x14ac:dyDescent="0.2">
      <c r="G72" s="10"/>
    </row>
    <row r="73" spans="7:7" ht="12.75" customHeight="1" x14ac:dyDescent="0.2">
      <c r="G73" s="10"/>
    </row>
    <row r="74" spans="7:7" ht="12.75" customHeight="1" x14ac:dyDescent="0.2">
      <c r="G74" s="10"/>
    </row>
    <row r="75" spans="7:7" ht="12.75" customHeight="1" x14ac:dyDescent="0.2">
      <c r="G75" s="10"/>
    </row>
    <row r="76" spans="7:7" ht="12.75" customHeight="1" x14ac:dyDescent="0.2">
      <c r="G76" s="10"/>
    </row>
    <row r="77" spans="7:7" ht="12.75" customHeight="1" x14ac:dyDescent="0.2">
      <c r="G77" s="10"/>
    </row>
    <row r="78" spans="7:7" ht="12.75" customHeight="1" x14ac:dyDescent="0.2">
      <c r="G78" s="10"/>
    </row>
    <row r="79" spans="7:7" ht="12.75" customHeight="1" x14ac:dyDescent="0.2">
      <c r="G79" s="10"/>
    </row>
    <row r="80" spans="7:7" ht="12.75" customHeight="1" x14ac:dyDescent="0.2">
      <c r="G80" s="10"/>
    </row>
    <row r="81" spans="7:7" ht="12.75" customHeight="1" x14ac:dyDescent="0.2">
      <c r="G81" s="10"/>
    </row>
    <row r="82" spans="7:7" ht="12.75" customHeight="1" x14ac:dyDescent="0.2">
      <c r="G82" s="10"/>
    </row>
    <row r="83" spans="7:7" ht="12.75" customHeight="1" x14ac:dyDescent="0.2">
      <c r="G83" s="10"/>
    </row>
    <row r="84" spans="7:7" ht="12.75" customHeight="1" x14ac:dyDescent="0.2">
      <c r="G84" s="10"/>
    </row>
    <row r="85" spans="7:7" ht="12.75" customHeight="1" x14ac:dyDescent="0.2">
      <c r="G85" s="10"/>
    </row>
    <row r="86" spans="7:7" ht="12.75" customHeight="1" x14ac:dyDescent="0.2">
      <c r="G86" s="10"/>
    </row>
    <row r="87" spans="7:7" ht="12.75" customHeight="1" x14ac:dyDescent="0.2">
      <c r="G87" s="10"/>
    </row>
    <row r="88" spans="7:7" ht="12.75" customHeight="1" x14ac:dyDescent="0.2">
      <c r="G88" s="10"/>
    </row>
    <row r="89" spans="7:7" ht="12.75" customHeight="1" x14ac:dyDescent="0.2">
      <c r="G89" s="10"/>
    </row>
    <row r="90" spans="7:7" ht="12.75" customHeight="1" x14ac:dyDescent="0.2">
      <c r="G90" s="10"/>
    </row>
    <row r="91" spans="7:7" ht="12.75" customHeight="1" x14ac:dyDescent="0.2">
      <c r="G91" s="10"/>
    </row>
    <row r="92" spans="7:7" ht="12.75" customHeight="1" x14ac:dyDescent="0.2">
      <c r="G92" s="10"/>
    </row>
    <row r="93" spans="7:7" ht="12.75" customHeight="1" x14ac:dyDescent="0.2">
      <c r="G93" s="10"/>
    </row>
    <row r="94" spans="7:7" ht="12.75" customHeight="1" x14ac:dyDescent="0.2">
      <c r="G94" s="10"/>
    </row>
    <row r="95" spans="7:7" ht="12.75" customHeight="1" x14ac:dyDescent="0.2">
      <c r="G95" s="10"/>
    </row>
    <row r="96" spans="7:7" ht="12.75" customHeight="1" x14ac:dyDescent="0.2">
      <c r="G96" s="10"/>
    </row>
    <row r="97" spans="7:7" ht="12.75" customHeight="1" x14ac:dyDescent="0.2">
      <c r="G97" s="10"/>
    </row>
    <row r="98" spans="7:7" ht="12.75" customHeight="1" x14ac:dyDescent="0.2">
      <c r="G98" s="10"/>
    </row>
    <row r="99" spans="7:7" ht="12.75" customHeight="1" x14ac:dyDescent="0.2">
      <c r="G99" s="10"/>
    </row>
  </sheetData>
  <mergeCells count="30">
    <mergeCell ref="A12:Q12"/>
    <mergeCell ref="A13:N13"/>
    <mergeCell ref="G24:Q24"/>
    <mergeCell ref="O13:P14"/>
    <mergeCell ref="Q13:Q14"/>
    <mergeCell ref="O15:P15"/>
    <mergeCell ref="O16:P16"/>
    <mergeCell ref="O17:P17"/>
    <mergeCell ref="O18:P18"/>
    <mergeCell ref="A8:Q8"/>
    <mergeCell ref="A7:F7"/>
    <mergeCell ref="G7:Q7"/>
    <mergeCell ref="A9:N9"/>
    <mergeCell ref="A10:Q10"/>
    <mergeCell ref="P1:Q2"/>
    <mergeCell ref="A4:F4"/>
    <mergeCell ref="G4:Q4"/>
    <mergeCell ref="G5:Q5"/>
    <mergeCell ref="G6:Q6"/>
    <mergeCell ref="A5:F5"/>
    <mergeCell ref="A6:F6"/>
    <mergeCell ref="A1:C1"/>
    <mergeCell ref="D1:E1"/>
    <mergeCell ref="A25:Q26"/>
    <mergeCell ref="A22:P22"/>
    <mergeCell ref="A23:Q23"/>
    <mergeCell ref="O19:P19"/>
    <mergeCell ref="O20:P20"/>
    <mergeCell ref="O21:P21"/>
    <mergeCell ref="A24:F24"/>
  </mergeCells>
  <phoneticPr fontId="33" type="noConversion"/>
  <printOptions horizontalCentered="1"/>
  <pageMargins left="0.39374999999999999" right="0.39374999999999999" top="0.98402777777777795" bottom="0.98402777777777795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 NotaPedido</vt:lpstr>
      <vt:lpstr>Autor Gastar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2022-12-01T14:45:45Z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