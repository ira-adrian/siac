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8360" windowHeight="6600" activeTab="2"/>
  </bookViews>
  <sheets>
    <sheet name="ALIMENTACION ENTERAL NT " sheetId="1" r:id="rId1"/>
    <sheet name="ALIMENTACION ENTERAL NPYE" sheetId="2" r:id="rId2"/>
    <sheet name="ALIMENTACION ENTERAL APG" sheetId="3" r:id="rId3"/>
  </sheets>
  <externalReferences>
    <externalReference r:id="rId4"/>
  </externalReferences>
  <definedNames>
    <definedName name="_xlnm.Print_Area" localSheetId="2">'ALIMENTACION ENTERAL APG'!$A$1:$Q$27</definedName>
    <definedName name="_xlnm.Print_Area" localSheetId="1">'ALIMENTACION ENTERAL NPYE'!$A$1:$K$20</definedName>
  </definedNames>
  <calcPr calcId="124519"/>
</workbook>
</file>

<file path=xl/calcChain.xml><?xml version="1.0" encoding="utf-8"?>
<calcChain xmlns="http://schemas.openxmlformats.org/spreadsheetml/2006/main">
  <c r="A10" i="3"/>
  <c r="G7"/>
  <c r="G6"/>
  <c r="G5"/>
  <c r="G4"/>
  <c r="D1"/>
  <c r="K19" i="2"/>
  <c r="J19"/>
  <c r="I19"/>
  <c r="C19"/>
  <c r="B19"/>
  <c r="K18"/>
  <c r="J18"/>
  <c r="I18"/>
  <c r="C18"/>
  <c r="B18"/>
  <c r="K17"/>
  <c r="J17"/>
  <c r="I17"/>
  <c r="C17"/>
  <c r="B17"/>
  <c r="K16"/>
  <c r="J16"/>
  <c r="I16"/>
  <c r="C16"/>
  <c r="B16"/>
  <c r="K15"/>
  <c r="J15"/>
  <c r="I15"/>
  <c r="C15"/>
  <c r="B15"/>
  <c r="K14"/>
  <c r="J14"/>
  <c r="I14"/>
  <c r="B14"/>
  <c r="K13"/>
  <c r="J13"/>
  <c r="I13"/>
  <c r="C13"/>
  <c r="K12"/>
  <c r="J12"/>
  <c r="J20" s="1"/>
  <c r="I12"/>
  <c r="C12"/>
  <c r="D7"/>
  <c r="I17" i="1"/>
  <c r="I16"/>
  <c r="I15"/>
  <c r="I14"/>
  <c r="I13"/>
  <c r="I12"/>
  <c r="I11"/>
  <c r="I10"/>
</calcChain>
</file>

<file path=xl/sharedStrings.xml><?xml version="1.0" encoding="utf-8"?>
<sst xmlns="http://schemas.openxmlformats.org/spreadsheetml/2006/main" count="183" uniqueCount="102">
  <si>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</si>
  <si>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</si>
  <si>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</si>
  <si>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</si>
  <si>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</si>
  <si>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</si>
  <si>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</si>
  <si>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</si>
  <si>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</si>
  <si>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</si>
  <si>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</si>
  <si>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</si>
  <si>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</si>
  <si>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</si>
  <si>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</si>
  <si>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</si>
  <si>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2.5.2</t>
  </si>
  <si>
    <t>RECONSTITUYENTE GENERAL; TIPO: ASOCIACION, DROGA GENERICA: NUTRICION PARENTERAL, FORMA FARMACEUTICA: SOLUCION, PRESENTACION: ENVASE X 1000 CM3</t>
  </si>
  <si>
    <t>UNIDAD</t>
  </si>
  <si>
    <t>RECONSTITUYENTE GENERAL; TIPO: ASOCIACION, DROGA GENERICA: NUTRICION PARENTERAL, FORMA FARMACEUTICA: SOLUCION, PRESENTACION: ENVASE X 500 CM3</t>
  </si>
  <si>
    <t>ALIMENTACIÓN ENTERAL COMPLETA X 500 ML. PARA DBT TIPO DIBEN DE FRESENIUS KABI.-</t>
  </si>
  <si>
    <t>ALIMENTACIÓN ENTERAL PARA DBT X 1000 CC. TIPO DIASÓN DE NUTRICIA BAGÓ O GLUCERNA DE ABOTT.-</t>
  </si>
  <si>
    <t>ALIMENTACIÓN ENTERAL DE ALTA DESIDAD CALORICA X 500 CC. TIPO FRESUBIN ENERGY DE FRESENIUS KABI.-</t>
  </si>
  <si>
    <t>ALIMENTACIÓN ENTERAL COMPLETA ENRIQUESIDA EN FIBRAS X 1000 CC. TIPO NUTRISÓN MULTI-FIBRE DE NUTRICIA BAGÓ O FRESUBIN FIBRA DE FRESENIUS KABI.-</t>
  </si>
  <si>
    <t>SUPLEMENTO BEBIBLE X 200 ML. PARA DIABETICA TIPO DIBEN DRINK O DIASIP SABOR VAINILLA.-</t>
  </si>
  <si>
    <t>SUPLEMENTO BEBIBLE X 200 ML. TIPO FRESUBIN DRINK O FORTISIP SABOR VAINILLA.-</t>
  </si>
  <si>
    <t>Especificidades Item N° 1:</t>
  </si>
  <si>
    <t>Descripción técnica</t>
  </si>
  <si>
    <t>ALIMENTACIÓN ENTERAL COMPLETA X 1000 ML. TIPO FRESIBIN ORIGINAL DE FRESENIUS KABI, O NUTRISÓN ESTÁNDAR DE NUTRICIA BAGÓ.-</t>
  </si>
  <si>
    <t>Plazos y lugares de entrega</t>
  </si>
  <si>
    <t xml:space="preserve">Las entregas se efectuaran  en el Servicio de Nutricion del H.I.S.J.B. </t>
  </si>
  <si>
    <t xml:space="preserve">01 dia </t>
  </si>
  <si>
    <t>Calidad Minima esperada</t>
  </si>
  <si>
    <t>Mantenimiento</t>
  </si>
  <si>
    <t xml:space="preserve">Plazo de mantenimiento de oferta 30 días habiles </t>
  </si>
  <si>
    <t>Garantia</t>
  </si>
  <si>
    <t>Especificidades Item N° 2:</t>
  </si>
  <si>
    <t>ALIMENTACIÓN ENTERAL COMPLETA X 500 ML. TIPO RECONVAN DE FRESENIUS KABI O PROTISÓN X 500 ML. DE NUTRICIA BAGÓ.-</t>
  </si>
  <si>
    <t>Las entregas se efectuaran en el Servicio de Nutrición del HSJB</t>
  </si>
  <si>
    <t>01 día</t>
  </si>
  <si>
    <t>Plazo de mantenimiento de oferta 30 días hábiles</t>
  </si>
  <si>
    <t>Especificidades Item N° 3:</t>
  </si>
  <si>
    <t>Especificidades Item N° 4:</t>
  </si>
  <si>
    <t>ALIMENTACIÓN ENTERAL PARA DBT X 1000 CC. TIPO DIASON DE NUTRICIA BAGÓ O GLUCERNA DE ABOTT.-</t>
  </si>
  <si>
    <t>Especificidades Item N° 5:</t>
  </si>
  <si>
    <t>ALIMENTACIÓN ENTERAL DE ALTA DENSIDAD CALÓRICA X 500 CC. TIPO FRESUBIN ENERGY DE FRESENIUS KABI.-</t>
  </si>
  <si>
    <t>Especificidades Item N° 6:</t>
  </si>
  <si>
    <t>ALIMENTACIÓN ENTERAL COMPLETA ENRIQUESIDA EN FIBRAS X 1000 CC. TIPO NUTRISON MULTI-FIBRE DE NUTRICIA BAGÓ O FRESUBÍN DE FRESENIUS KABI.-</t>
  </si>
  <si>
    <t>Especificidades Item N° 7:</t>
  </si>
  <si>
    <t>SUPLEMENTO BEBIBLE X 200 ML. PARA DIABETICO TIPO DIBEN DRINK O DIASIP SABOR VAINILLA.-</t>
  </si>
  <si>
    <t>Especificidades Item N° 8:</t>
  </si>
  <si>
    <t>SUPLEMENTO BEBIBLE X 200 ML. TIPO FRESUBÍN DRINK O FORTISIP SABOR VAINILLA.-</t>
  </si>
  <si>
    <t>NOTA DE PEDIDO</t>
  </si>
  <si>
    <t>N°</t>
  </si>
  <si>
    <t>320 - 2020</t>
  </si>
  <si>
    <t xml:space="preserve">JURISDICCIÓN: </t>
  </si>
  <si>
    <t xml:space="preserve">40 - Ministerio de Salud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</si>
  <si>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</si>
  <si>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</si>
  <si>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</si>
  <si>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</si>
  <si>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</si>
  <si>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</si>
  <si>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</si>
  <si>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Adquisicion de Alimentos Enterales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</si>
  <si>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</si>
  <si>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</si>
  <si>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</si>
  <si>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</si>
  <si>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</si>
  <si>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</si>
  <si>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</si>
  <si>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</si>
  <si>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BOLSAS DE NUTRICION PARENTERAL; CAPACIDAD: 500 mL, USO: MEZC,CONS, ADMIN DE SOLUC PARE</t>
  </si>
  <si>
    <t>Costo total estimado: CUATROCIENTOS VEINTIDOS MIL SEISCIENTOS CUARENTA Y SEIS CON 00/100.---------------------------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</si>
  <si>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</si>
  <si>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</si>
  <si>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</si>
  <si>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</si>
  <si>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</si>
  <si>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</si>
  <si>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</si>
  <si>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</si>
  <si>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</si>
  <si>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</si>
  <si>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</si>
  <si>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</si>
  <si>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</si>
  <si>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</si>
  <si>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</si>
  <si>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</si>
  <si>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</si>
  <si>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</si>
  <si>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</si>
  <si>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</si>
  <si>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</si>
  <si>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</si>
  <si>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</si>
  <si>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Productos Farmaceuticos y Medic.</t>
  </si>
  <si>
    <t>TOTAL DE PESOS: CUATROCIENTOS VEINTIDOS MIL SEISCIENTOS CUARENTA Y SEIS CON 00/100.----------</t>
  </si>
  <si>
    <t>JUSTIFICACIÓN:</t>
  </si>
  <si>
    <t>Para la adquisición de Alimentos Enterales, para ser destinados al Hospital Interzonal San Juan Bautista</t>
  </si>
</sst>
</file>

<file path=xl/styles.xml><?xml version="1.0" encoding="utf-8"?>
<styleSheet xmlns="http://schemas.openxmlformats.org/spreadsheetml/2006/main">
  <numFmts count="4">
    <numFmt numFmtId="164" formatCode="_(\$* #,##0.00_);_(\$* \(#,##0.00\);_(\$* \-??_);_(@_)"/>
    <numFmt numFmtId="166" formatCode="[$$-2C0A]\ #,##0.00;[$$-2C0A]&quot; -&quot;#,##0.00"/>
    <numFmt numFmtId="167" formatCode="[$$-2C0A]\ #,##0.00"/>
    <numFmt numFmtId="168" formatCode="dd\-mm\-yy;@"/>
  </numFmts>
  <fonts count="28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0"/>
      <name val="Times New Roman"/>
      <family val="1"/>
      <charset val="1"/>
    </font>
    <font>
      <sz val="10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4" fillId="0" borderId="16" applyProtection="0"/>
    <xf numFmtId="164" fontId="15" fillId="0" borderId="0" applyBorder="0" applyProtection="0"/>
    <xf numFmtId="0" fontId="16" fillId="6" borderId="0" applyBorder="0" applyProtection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6" fontId="12" fillId="0" borderId="0" applyBorder="0" applyProtection="0"/>
  </cellStyleXfs>
  <cellXfs count="14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4" fontId="11" fillId="3" borderId="4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1" fillId="3" borderId="6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4" fontId="5" fillId="3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0" fontId="13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/>
    <xf numFmtId="0" fontId="1" fillId="0" borderId="12" xfId="0" applyFont="1" applyBorder="1"/>
    <xf numFmtId="0" fontId="13" fillId="0" borderId="11" xfId="0" applyFont="1" applyBorder="1" applyAlignment="1">
      <alignment horizontal="left" indent="3"/>
    </xf>
    <xf numFmtId="0" fontId="1" fillId="4" borderId="12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3" borderId="11" xfId="0" applyFont="1" applyFill="1" applyBorder="1" applyAlignment="1">
      <alignment horizontal="left" indent="3"/>
    </xf>
    <xf numFmtId="0" fontId="1" fillId="4" borderId="12" xfId="0" applyFont="1" applyFill="1" applyBorder="1" applyAlignment="1">
      <alignment horizontal="center"/>
    </xf>
    <xf numFmtId="0" fontId="1" fillId="5" borderId="0" xfId="0" applyFont="1" applyFill="1"/>
    <xf numFmtId="0" fontId="1" fillId="0" borderId="11" xfId="0" applyFont="1" applyBorder="1" applyAlignment="1">
      <alignment horizontal="left" indent="3"/>
    </xf>
    <xf numFmtId="0" fontId="1" fillId="4" borderId="12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left" indent="3"/>
    </xf>
    <xf numFmtId="0" fontId="1" fillId="0" borderId="14" xfId="0" applyFont="1" applyBorder="1"/>
    <xf numFmtId="0" fontId="1" fillId="0" borderId="15" xfId="0" applyFont="1" applyBorder="1"/>
    <xf numFmtId="0" fontId="17" fillId="0" borderId="0" xfId="0" applyFont="1" applyBorder="1" applyAlignment="1">
      <alignment horizontal="center" vertical="center"/>
    </xf>
    <xf numFmtId="0" fontId="17" fillId="0" borderId="17" xfId="0" applyFont="1" applyBorder="1" applyAlignment="1">
      <alignment horizontal="right" vertical="center"/>
    </xf>
    <xf numFmtId="0" fontId="18" fillId="2" borderId="18" xfId="0" applyFont="1" applyFill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9" fillId="0" borderId="20" xfId="0" applyFont="1" applyBorder="1" applyAlignment="1">
      <alignment horizontal="left" vertical="center" wrapText="1"/>
    </xf>
    <xf numFmtId="0" fontId="18" fillId="3" borderId="21" xfId="0" applyFont="1" applyFill="1" applyBorder="1" applyAlignment="1">
      <alignment horizontal="left" vertical="center" wrapText="1" indent="1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 wrapText="1" indent="1"/>
    </xf>
    <xf numFmtId="0" fontId="19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 wrapText="1" indent="1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 wrapText="1"/>
    </xf>
    <xf numFmtId="0" fontId="11" fillId="2" borderId="26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wrapText="1"/>
    </xf>
    <xf numFmtId="166" fontId="11" fillId="3" borderId="26" xfId="8" applyNumberFormat="1" applyFont="1" applyFill="1" applyBorder="1" applyAlignment="1" applyProtection="1">
      <alignment horizontal="right" vertical="center" wrapText="1"/>
    </xf>
    <xf numFmtId="3" fontId="11" fillId="3" borderId="26" xfId="0" applyNumberFormat="1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left" vertical="center" wrapText="1" indent="1"/>
    </xf>
    <xf numFmtId="0" fontId="18" fillId="0" borderId="28" xfId="0" applyFont="1" applyBorder="1" applyAlignment="1">
      <alignment horizontal="left" vertical="center" wrapText="1" indent="1"/>
    </xf>
    <xf numFmtId="167" fontId="19" fillId="3" borderId="21" xfId="0" applyNumberFormat="1" applyFont="1" applyFill="1" applyBorder="1" applyAlignment="1">
      <alignment horizontal="center" vertical="center"/>
    </xf>
    <xf numFmtId="0" fontId="12" fillId="0" borderId="29" xfId="4" applyFont="1" applyBorder="1" applyAlignment="1">
      <alignment horizontal="center"/>
    </xf>
    <xf numFmtId="3" fontId="22" fillId="0" borderId="30" xfId="4" applyNumberFormat="1" applyFont="1" applyBorder="1" applyAlignment="1">
      <alignment horizontal="center"/>
    </xf>
    <xf numFmtId="3" fontId="22" fillId="0" borderId="0" xfId="4" applyNumberFormat="1" applyFont="1" applyBorder="1" applyAlignment="1"/>
    <xf numFmtId="168" fontId="12" fillId="0" borderId="0" xfId="4" applyNumberFormat="1" applyAlignment="1">
      <alignment horizontal="left"/>
    </xf>
    <xf numFmtId="0" fontId="12" fillId="0" borderId="0" xfId="4"/>
    <xf numFmtId="0" fontId="23" fillId="0" borderId="18" xfId="4" applyFont="1" applyBorder="1" applyAlignment="1">
      <alignment horizontal="center" vertical="center" wrapText="1"/>
    </xf>
    <xf numFmtId="0" fontId="12" fillId="0" borderId="0" xfId="4" applyAlignment="1">
      <alignment horizontal="left"/>
    </xf>
    <xf numFmtId="0" fontId="15" fillId="0" borderId="18" xfId="4" applyFont="1" applyBorder="1"/>
    <xf numFmtId="0" fontId="24" fillId="0" borderId="18" xfId="4" applyFont="1" applyBorder="1" applyAlignment="1">
      <alignment horizontal="left" indent="1"/>
    </xf>
    <xf numFmtId="0" fontId="15" fillId="0" borderId="0" xfId="4" applyFont="1"/>
    <xf numFmtId="0" fontId="11" fillId="0" borderId="20" xfId="4" applyFont="1" applyBorder="1" applyAlignment="1">
      <alignment horizontal="left" vertical="center" wrapText="1"/>
    </xf>
    <xf numFmtId="0" fontId="11" fillId="0" borderId="31" xfId="4" applyFont="1" applyBorder="1" applyAlignment="1">
      <alignment horizontal="left" vertical="center" wrapText="1"/>
    </xf>
    <xf numFmtId="0" fontId="11" fillId="0" borderId="32" xfId="4" applyFont="1" applyBorder="1" applyAlignment="1">
      <alignment horizontal="left" vertical="center" wrapText="1"/>
    </xf>
    <xf numFmtId="0" fontId="25" fillId="0" borderId="18" xfId="4" applyFont="1" applyBorder="1" applyAlignment="1">
      <alignment horizontal="left"/>
    </xf>
    <xf numFmtId="0" fontId="24" fillId="0" borderId="33" xfId="4" applyFont="1" applyBorder="1"/>
    <xf numFmtId="0" fontId="12" fillId="0" borderId="0" xfId="4" applyBorder="1"/>
    <xf numFmtId="0" fontId="12" fillId="0" borderId="17" xfId="4" applyBorder="1"/>
    <xf numFmtId="0" fontId="24" fillId="0" borderId="34" xfId="4" applyFont="1" applyBorder="1" applyAlignment="1">
      <alignment horizontal="left" vertical="center" wrapText="1" indent="1"/>
    </xf>
    <xf numFmtId="0" fontId="12" fillId="0" borderId="35" xfId="4" applyBorder="1"/>
    <xf numFmtId="0" fontId="12" fillId="0" borderId="19" xfId="4" applyBorder="1"/>
    <xf numFmtId="0" fontId="12" fillId="0" borderId="19" xfId="4" applyBorder="1" applyAlignment="1">
      <alignment horizontal="left"/>
    </xf>
    <xf numFmtId="0" fontId="12" fillId="0" borderId="36" xfId="4" applyBorder="1"/>
    <xf numFmtId="0" fontId="26" fillId="0" borderId="37" xfId="4" applyFont="1" applyBorder="1" applyAlignment="1">
      <alignment horizontal="center" vertical="center"/>
    </xf>
    <xf numFmtId="0" fontId="26" fillId="0" borderId="18" xfId="4" applyFont="1" applyBorder="1" applyAlignment="1">
      <alignment horizontal="center" vertical="center"/>
    </xf>
    <xf numFmtId="0" fontId="26" fillId="0" borderId="37" xfId="4" applyFont="1" applyBorder="1" applyAlignment="1">
      <alignment horizontal="center" vertical="center" wrapText="1"/>
    </xf>
    <xf numFmtId="0" fontId="26" fillId="0" borderId="38" xfId="4" applyFont="1" applyBorder="1" applyAlignment="1">
      <alignment horizontal="center" vertical="center"/>
    </xf>
    <xf numFmtId="0" fontId="26" fillId="0" borderId="39" xfId="4" applyFont="1" applyBorder="1" applyAlignment="1">
      <alignment horizontal="center" vertical="center"/>
    </xf>
    <xf numFmtId="0" fontId="26" fillId="0" borderId="40" xfId="4" applyFont="1" applyBorder="1" applyAlignment="1">
      <alignment horizontal="center" vertical="center"/>
    </xf>
    <xf numFmtId="0" fontId="26" fillId="0" borderId="40" xfId="4" applyFont="1" applyBorder="1" applyAlignment="1">
      <alignment horizontal="left" vertical="center"/>
    </xf>
    <xf numFmtId="0" fontId="26" fillId="0" borderId="41" xfId="4" applyFont="1" applyBorder="1" applyAlignment="1">
      <alignment horizontal="center" vertical="center"/>
    </xf>
    <xf numFmtId="0" fontId="26" fillId="0" borderId="34" xfId="4" applyFont="1" applyBorder="1" applyAlignment="1">
      <alignment horizontal="center" vertical="center"/>
    </xf>
    <xf numFmtId="0" fontId="12" fillId="2" borderId="42" xfId="4" applyFont="1" applyFill="1" applyBorder="1" applyAlignment="1">
      <alignment horizontal="center" vertical="center"/>
    </xf>
    <xf numFmtId="0" fontId="12" fillId="2" borderId="43" xfId="4" applyFont="1" applyFill="1" applyBorder="1" applyAlignment="1">
      <alignment horizontal="center" vertical="center"/>
    </xf>
    <xf numFmtId="0" fontId="12" fillId="3" borderId="43" xfId="4" applyFont="1" applyFill="1" applyBorder="1" applyAlignment="1">
      <alignment horizontal="center" vertical="center"/>
    </xf>
    <xf numFmtId="0" fontId="12" fillId="2" borderId="44" xfId="4" applyFont="1" applyFill="1" applyBorder="1" applyAlignment="1">
      <alignment horizontal="center" vertical="center"/>
    </xf>
    <xf numFmtId="0" fontId="12" fillId="0" borderId="43" xfId="4" applyFont="1" applyBorder="1" applyAlignment="1">
      <alignment horizontal="left" vertical="center" wrapText="1"/>
    </xf>
    <xf numFmtId="166" fontId="0" fillId="0" borderId="45" xfId="2" applyNumberFormat="1" applyFont="1" applyBorder="1" applyAlignment="1" applyProtection="1">
      <alignment horizontal="center" vertical="center"/>
    </xf>
    <xf numFmtId="0" fontId="12" fillId="0" borderId="46" xfId="4" applyFont="1" applyBorder="1" applyAlignment="1">
      <alignment horizontal="center" vertical="center"/>
    </xf>
    <xf numFmtId="0" fontId="12" fillId="0" borderId="47" xfId="4" applyFont="1" applyBorder="1" applyAlignment="1">
      <alignment horizontal="center" vertical="center"/>
    </xf>
    <xf numFmtId="0" fontId="12" fillId="0" borderId="48" xfId="4" applyFont="1" applyBorder="1" applyAlignment="1">
      <alignment horizontal="center" vertical="center"/>
    </xf>
    <xf numFmtId="0" fontId="12" fillId="0" borderId="49" xfId="4" applyFont="1" applyBorder="1" applyAlignment="1">
      <alignment horizontal="center" vertical="center"/>
    </xf>
    <xf numFmtId="0" fontId="12" fillId="0" borderId="49" xfId="4" applyFont="1" applyBorder="1" applyAlignment="1">
      <alignment horizontal="left" vertical="center"/>
    </xf>
    <xf numFmtId="166" fontId="0" fillId="0" borderId="50" xfId="2" applyNumberFormat="1" applyFont="1" applyBorder="1" applyAlignment="1" applyProtection="1">
      <alignment horizontal="center" vertical="center"/>
    </xf>
    <xf numFmtId="0" fontId="24" fillId="0" borderId="46" xfId="4" applyFont="1" applyBorder="1" applyAlignment="1">
      <alignment horizontal="center" vertical="center"/>
    </xf>
    <xf numFmtId="0" fontId="24" fillId="0" borderId="47" xfId="4" applyFont="1" applyBorder="1" applyAlignment="1">
      <alignment horizontal="center" vertical="center"/>
    </xf>
    <xf numFmtId="0" fontId="12" fillId="0" borderId="49" xfId="4" applyBorder="1" applyAlignment="1">
      <alignment horizontal="center" vertical="center"/>
    </xf>
    <xf numFmtId="0" fontId="24" fillId="0" borderId="48" xfId="4" applyFont="1" applyBorder="1" applyAlignment="1">
      <alignment horizontal="center" vertical="center"/>
    </xf>
    <xf numFmtId="0" fontId="24" fillId="0" borderId="49" xfId="4" applyFont="1" applyBorder="1" applyAlignment="1">
      <alignment horizontal="center" vertical="center"/>
    </xf>
    <xf numFmtId="0" fontId="12" fillId="0" borderId="49" xfId="4" applyBorder="1" applyAlignment="1">
      <alignment horizontal="left" vertical="center"/>
    </xf>
    <xf numFmtId="0" fontId="12" fillId="0" borderId="51" xfId="4" applyBorder="1" applyAlignment="1">
      <alignment horizontal="center" vertical="center"/>
    </xf>
    <xf numFmtId="0" fontId="12" fillId="0" borderId="52" xfId="4" applyBorder="1" applyAlignment="1">
      <alignment horizontal="center" vertical="center"/>
    </xf>
    <xf numFmtId="0" fontId="12" fillId="0" borderId="53" xfId="4" applyBorder="1" applyAlignment="1">
      <alignment horizontal="center" vertical="center"/>
    </xf>
    <xf numFmtId="0" fontId="12" fillId="0" borderId="52" xfId="4" applyBorder="1" applyAlignment="1">
      <alignment horizontal="left" vertical="center"/>
    </xf>
    <xf numFmtId="166" fontId="0" fillId="0" borderId="54" xfId="2" applyNumberFormat="1" applyFont="1" applyBorder="1" applyAlignment="1" applyProtection="1">
      <alignment horizontal="center" vertical="center"/>
    </xf>
    <xf numFmtId="0" fontId="27" fillId="0" borderId="55" xfId="4" applyFont="1" applyBorder="1" applyAlignment="1">
      <alignment horizontal="left" vertical="center" wrapText="1"/>
    </xf>
    <xf numFmtId="166" fontId="26" fillId="3" borderId="55" xfId="4" applyNumberFormat="1" applyFont="1" applyFill="1" applyBorder="1" applyAlignment="1">
      <alignment horizontal="center" vertical="center"/>
    </xf>
    <xf numFmtId="0" fontId="12" fillId="0" borderId="37" xfId="4" applyBorder="1"/>
    <xf numFmtId="0" fontId="22" fillId="0" borderId="29" xfId="4" applyFont="1" applyBorder="1" applyAlignment="1">
      <alignment vertical="center" wrapText="1"/>
    </xf>
    <xf numFmtId="0" fontId="22" fillId="0" borderId="56" xfId="4" applyFont="1" applyBorder="1" applyAlignment="1">
      <alignment vertical="center" wrapText="1"/>
    </xf>
    <xf numFmtId="0" fontId="22" fillId="0" borderId="24" xfId="4" applyFont="1" applyBorder="1" applyAlignment="1">
      <alignment vertical="center" wrapText="1"/>
    </xf>
    <xf numFmtId="0" fontId="24" fillId="0" borderId="38" xfId="4" applyFont="1" applyBorder="1" applyAlignment="1">
      <alignment vertical="center" wrapText="1"/>
    </xf>
    <xf numFmtId="0" fontId="24" fillId="2" borderId="55" xfId="4" applyFont="1" applyFill="1" applyBorder="1" applyAlignment="1">
      <alignment horizontal="left" vertical="center" wrapText="1" indent="1"/>
    </xf>
  </cellXfs>
  <cellStyles count="9">
    <cellStyle name="Encabezado 1" xfId="1"/>
    <cellStyle name="Moneda 2" xfId="8"/>
    <cellStyle name="Moneda_AUTORIZACION Y NOTA DE PEDIDO" xfId="2"/>
    <cellStyle name="Neutral 1" xfId="3"/>
    <cellStyle name="Normal" xfId="0" builtinId="0"/>
    <cellStyle name="Normal 2" xfId="4"/>
    <cellStyle name="Normal 3" xfId="5"/>
    <cellStyle name="Normal 4" xfId="6"/>
    <cellStyle name="Porcentaje 2" xfId="7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11126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11126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11126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11126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ITACION6\PROGRAMACION%20PRIMER%20TRIMESTRE%202021\SERVICIO%20DE%20NUTRICION\DIETOTERAPICOS\APG%20+%20NP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1</v>
          </cell>
        </row>
        <row r="10">
          <cell r="E10" t="str">
            <v>RECONSTITUYENTE GENERAL; TIPO: ASOCIACION, DROGA GENERICA: NUTRICION PARENTERAL, FORMA FARMACEUTICA: SOLUCION, PRESENTACION: ENVASE X 1000 CM3</v>
          </cell>
          <cell r="F10" t="str">
            <v>UNIDAD</v>
          </cell>
          <cell r="G10">
            <v>150</v>
          </cell>
          <cell r="H10">
            <v>567.49</v>
          </cell>
        </row>
        <row r="11">
          <cell r="E11" t="str">
            <v>RECONSTITUYENTE GENERAL; TIPO: ASOCIACION, DROGA GENERICA: NUTRICION PARENTERAL, FORMA FARMACEUTICA: SOLUCION, PRESENTACION: ENVASE X 500 CM3</v>
          </cell>
          <cell r="F11" t="str">
            <v>UNIDAD</v>
          </cell>
          <cell r="G11">
            <v>150</v>
          </cell>
          <cell r="H11">
            <v>585.28</v>
          </cell>
        </row>
        <row r="12">
          <cell r="F12" t="str">
            <v>UNIDAD</v>
          </cell>
          <cell r="G12">
            <v>150</v>
          </cell>
          <cell r="H12">
            <v>452.3</v>
          </cell>
        </row>
        <row r="13">
          <cell r="E13" t="str">
            <v>ALIMENTACIÓN ENTERAL PARA DBT X 1000 CC. TIPO DIASÓN DE NUTRICIA BAGÓ O GLUCERNA DE ABOTT.-</v>
          </cell>
          <cell r="F13" t="str">
            <v>UNIDAD</v>
          </cell>
          <cell r="G13">
            <v>80</v>
          </cell>
          <cell r="H13">
            <v>605</v>
          </cell>
        </row>
        <row r="14">
          <cell r="E14" t="str">
            <v>ALIMENTACIÓN ENTERAL DE ALTA DESIDAD CALORICA X 500 CC. TIPO FRESUBIN ENERGY DE FRESENIUS KABI.-</v>
          </cell>
          <cell r="F14" t="str">
            <v>UNIDAD</v>
          </cell>
          <cell r="G14">
            <v>100</v>
          </cell>
          <cell r="H14">
            <v>466.06</v>
          </cell>
        </row>
        <row r="15">
          <cell r="E15" t="str">
            <v>ALIMENTACIÓN ENTERAL COMPLETA ENRIQUESIDA EN FIBRAS X 1000 CC. TIPO NUTRISÓN MULTI-FIBRE DE NUTRICIA BAGÓ O FRESUBIN FIBRA DE FRESENIUS KABI.-</v>
          </cell>
          <cell r="F15" t="str">
            <v>UNIDAD</v>
          </cell>
          <cell r="G15">
            <v>30</v>
          </cell>
          <cell r="H15">
            <v>566.85</v>
          </cell>
        </row>
        <row r="16">
          <cell r="E16" t="str">
            <v>SUPLEMENTO BEBIBLE X 200 ML. PARA DIABETICA TIPO DIBEN DRINK O DIASIP SABOR VAINILLA.-</v>
          </cell>
          <cell r="F16" t="str">
            <v>UNIDAD</v>
          </cell>
          <cell r="G16">
            <v>100</v>
          </cell>
          <cell r="H16">
            <v>345.78</v>
          </cell>
        </row>
        <row r="17">
          <cell r="E17" t="str">
            <v>SUPLEMENTO BEBIBLE X 200 ML. TIPO FRESUBIN DRINK O FORTISIP SABOR VAINILLA.-</v>
          </cell>
          <cell r="F17" t="str">
            <v>UNIDAD</v>
          </cell>
          <cell r="G17">
            <v>100</v>
          </cell>
          <cell r="H17">
            <v>352.96</v>
          </cell>
        </row>
      </sheetData>
      <sheetData sheetId="1">
        <row r="1">
          <cell r="K1" t="str">
            <v>320 - 2020</v>
          </cell>
        </row>
        <row r="3">
          <cell r="D3" t="str">
            <v xml:space="preserve">40 - Ministerio de Salud </v>
          </cell>
        </row>
        <row r="4">
          <cell r="D4" t="str">
            <v>23 - Hospital Interzonal San Juan Bautista</v>
          </cell>
        </row>
        <row r="5">
          <cell r="D5" t="str">
            <v>168 - Direccion Asistencial</v>
          </cell>
        </row>
        <row r="6">
          <cell r="D6" t="str">
            <v>Servicio de Nutricion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38"/>
  <sheetViews>
    <sheetView zoomScale="80" zoomScaleNormal="80" workbookViewId="0">
      <selection activeCell="L16" sqref="L16"/>
    </sheetView>
  </sheetViews>
  <sheetFormatPr baseColWidth="10" defaultColWidth="11" defaultRowHeight="13.2"/>
  <cols>
    <col min="1" max="1" width="4.5546875" style="1" customWidth="1"/>
    <col min="2" max="2" width="12.88671875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>
      <c r="B2" s="2" t="s">
        <v>0</v>
      </c>
      <c r="C2" s="2"/>
      <c r="D2" s="2"/>
      <c r="E2" s="2"/>
      <c r="F2" s="2"/>
      <c r="G2" s="2"/>
      <c r="H2" s="2"/>
    </row>
    <row r="4" spans="1:9" ht="18" customHeight="1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spans="1:9" ht="18" customHeight="1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spans="1:9" ht="16.5" customHeight="1">
      <c r="A6" s="3" t="s">
        <v>5</v>
      </c>
      <c r="B6" s="3"/>
      <c r="C6" s="7">
        <v>2021</v>
      </c>
      <c r="D6" s="8"/>
      <c r="E6" s="8"/>
      <c r="F6" s="5"/>
      <c r="G6" s="6"/>
      <c r="H6" s="5"/>
    </row>
    <row r="7" spans="1:9" ht="16.5" customHeight="1">
      <c r="A7" s="3" t="s">
        <v>6</v>
      </c>
      <c r="B7" s="3"/>
      <c r="C7" s="7">
        <v>1</v>
      </c>
      <c r="D7" s="8"/>
      <c r="E7" s="8"/>
      <c r="F7" s="5"/>
      <c r="G7" s="6"/>
      <c r="H7" s="5"/>
    </row>
    <row r="8" spans="1:9" ht="13.8" thickBot="1">
      <c r="B8" s="5"/>
      <c r="C8" s="6"/>
      <c r="D8" s="5"/>
      <c r="E8" s="5"/>
      <c r="F8" s="5"/>
      <c r="G8" s="6"/>
      <c r="H8" s="5"/>
    </row>
    <row r="9" spans="1:9" ht="40.200000000000003" thickBot="1">
      <c r="A9" s="9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0" t="s">
        <v>14</v>
      </c>
      <c r="I9" s="11" t="s">
        <v>15</v>
      </c>
    </row>
    <row r="10" spans="1:9" ht="46.8">
      <c r="A10" s="12">
        <v>1</v>
      </c>
      <c r="B10" s="13"/>
      <c r="C10" s="14"/>
      <c r="D10" s="15" t="s">
        <v>16</v>
      </c>
      <c r="E10" s="16" t="s">
        <v>17</v>
      </c>
      <c r="F10" s="17" t="s">
        <v>18</v>
      </c>
      <c r="G10" s="17">
        <v>150</v>
      </c>
      <c r="H10" s="18">
        <v>567.49</v>
      </c>
      <c r="I10" s="18">
        <f>+G10*H10</f>
        <v>85123.5</v>
      </c>
    </row>
    <row r="11" spans="1:9" ht="46.8">
      <c r="A11" s="19">
        <v>2</v>
      </c>
      <c r="B11" s="20"/>
      <c r="C11" s="21"/>
      <c r="D11" s="22" t="s">
        <v>16</v>
      </c>
      <c r="E11" s="23" t="s">
        <v>19</v>
      </c>
      <c r="F11" s="24" t="s">
        <v>18</v>
      </c>
      <c r="G11" s="24">
        <v>150</v>
      </c>
      <c r="H11" s="25">
        <v>585.28</v>
      </c>
      <c r="I11" s="26">
        <f t="shared" ref="I11:I17" si="0">+G11*H11</f>
        <v>87792</v>
      </c>
    </row>
    <row r="12" spans="1:9" ht="39.75" customHeight="1">
      <c r="A12" s="19">
        <v>3</v>
      </c>
      <c r="B12" s="27"/>
      <c r="C12" s="28"/>
      <c r="D12" s="22" t="s">
        <v>16</v>
      </c>
      <c r="E12" s="23" t="s">
        <v>20</v>
      </c>
      <c r="F12" s="24" t="s">
        <v>18</v>
      </c>
      <c r="G12" s="24">
        <v>150</v>
      </c>
      <c r="H12" s="25">
        <v>452.3</v>
      </c>
      <c r="I12" s="26">
        <f t="shared" si="0"/>
        <v>67845</v>
      </c>
    </row>
    <row r="13" spans="1:9" ht="31.2">
      <c r="A13" s="19">
        <v>4</v>
      </c>
      <c r="B13" s="29"/>
      <c r="C13" s="28"/>
      <c r="D13" s="22" t="s">
        <v>16</v>
      </c>
      <c r="E13" s="23" t="s">
        <v>21</v>
      </c>
      <c r="F13" s="24" t="s">
        <v>18</v>
      </c>
      <c r="G13" s="24">
        <v>80</v>
      </c>
      <c r="H13" s="30">
        <v>605</v>
      </c>
      <c r="I13" s="26">
        <f t="shared" si="0"/>
        <v>48400</v>
      </c>
    </row>
    <row r="14" spans="1:9" ht="41.25" customHeight="1">
      <c r="A14" s="19">
        <v>5</v>
      </c>
      <c r="B14" s="29"/>
      <c r="C14" s="28"/>
      <c r="D14" s="22" t="s">
        <v>16</v>
      </c>
      <c r="E14" s="23" t="s">
        <v>22</v>
      </c>
      <c r="F14" s="24" t="s">
        <v>18</v>
      </c>
      <c r="G14" s="24">
        <v>100</v>
      </c>
      <c r="H14" s="25">
        <v>466.06</v>
      </c>
      <c r="I14" s="26">
        <f t="shared" si="0"/>
        <v>46606</v>
      </c>
    </row>
    <row r="15" spans="1:9" ht="31.2">
      <c r="A15" s="19">
        <v>6</v>
      </c>
      <c r="B15" s="29"/>
      <c r="C15" s="28"/>
      <c r="D15" s="22" t="s">
        <v>16</v>
      </c>
      <c r="E15" s="23" t="s">
        <v>23</v>
      </c>
      <c r="F15" s="24" t="s">
        <v>18</v>
      </c>
      <c r="G15" s="24">
        <v>30</v>
      </c>
      <c r="H15" s="25">
        <v>566.85</v>
      </c>
      <c r="I15" s="26">
        <f t="shared" si="0"/>
        <v>17005.5</v>
      </c>
    </row>
    <row r="16" spans="1:9" ht="31.2">
      <c r="A16" s="19">
        <v>7</v>
      </c>
      <c r="B16" s="29"/>
      <c r="C16" s="28"/>
      <c r="D16" s="22" t="s">
        <v>16</v>
      </c>
      <c r="E16" s="23" t="s">
        <v>24</v>
      </c>
      <c r="F16" s="24" t="s">
        <v>18</v>
      </c>
      <c r="G16" s="24">
        <v>100</v>
      </c>
      <c r="H16" s="25">
        <v>345.78</v>
      </c>
      <c r="I16" s="26">
        <f t="shared" si="0"/>
        <v>34578</v>
      </c>
    </row>
    <row r="17" spans="1:13" ht="31.5" customHeight="1">
      <c r="A17" s="19">
        <v>8</v>
      </c>
      <c r="B17" s="29"/>
      <c r="C17" s="28"/>
      <c r="D17" s="22" t="s">
        <v>16</v>
      </c>
      <c r="E17" s="23" t="s">
        <v>25</v>
      </c>
      <c r="F17" s="31" t="s">
        <v>18</v>
      </c>
      <c r="G17" s="32">
        <v>100</v>
      </c>
      <c r="H17" s="33">
        <v>352.96</v>
      </c>
      <c r="I17" s="33">
        <f t="shared" si="0"/>
        <v>35296</v>
      </c>
    </row>
    <row r="20" spans="1:13">
      <c r="B20" s="34" t="s">
        <v>26</v>
      </c>
      <c r="C20" s="35"/>
      <c r="D20" s="35"/>
      <c r="E20" s="36"/>
    </row>
    <row r="21" spans="1:13" ht="5.25" customHeight="1">
      <c r="B21" s="37"/>
      <c r="C21" s="38"/>
      <c r="D21" s="38"/>
      <c r="E21" s="39"/>
    </row>
    <row r="22" spans="1:13">
      <c r="B22" s="40" t="s">
        <v>27</v>
      </c>
      <c r="C22" s="38"/>
      <c r="D22" s="38"/>
      <c r="E22" s="39"/>
    </row>
    <row r="23" spans="1:13" ht="41.25" customHeight="1">
      <c r="B23" s="40"/>
      <c r="C23" s="41" t="s">
        <v>28</v>
      </c>
      <c r="D23" s="41"/>
      <c r="E23" s="41"/>
    </row>
    <row r="24" spans="1:13">
      <c r="B24" s="40" t="s">
        <v>29</v>
      </c>
      <c r="C24" s="38"/>
      <c r="D24" s="38"/>
      <c r="E24" s="39"/>
    </row>
    <row r="25" spans="1:13" s="45" customFormat="1">
      <c r="A25" s="42"/>
      <c r="B25" s="43"/>
      <c r="C25" s="44" t="s">
        <v>30</v>
      </c>
      <c r="D25" s="44"/>
      <c r="E25" s="44"/>
      <c r="F25" s="42"/>
      <c r="G25" s="42"/>
      <c r="H25" s="42"/>
      <c r="I25" s="42"/>
      <c r="J25" s="42"/>
      <c r="K25" s="42"/>
      <c r="L25" s="42"/>
      <c r="M25" s="42"/>
    </row>
    <row r="26" spans="1:13" s="45" customFormat="1">
      <c r="A26" s="42"/>
      <c r="B26" s="43"/>
      <c r="C26" s="44" t="s">
        <v>31</v>
      </c>
      <c r="D26" s="44"/>
      <c r="E26" s="44"/>
      <c r="F26" s="42"/>
      <c r="G26" s="42"/>
      <c r="H26" s="42"/>
      <c r="I26" s="42"/>
      <c r="J26" s="42"/>
      <c r="K26" s="42"/>
      <c r="L26" s="42"/>
      <c r="M26" s="42"/>
    </row>
    <row r="27" spans="1:13">
      <c r="B27" s="40" t="s">
        <v>32</v>
      </c>
      <c r="C27" s="38"/>
      <c r="D27" s="38"/>
      <c r="E27" s="39"/>
    </row>
    <row r="28" spans="1:13" ht="26.25" customHeight="1">
      <c r="B28" s="46"/>
      <c r="C28" s="47"/>
      <c r="D28" s="47"/>
      <c r="E28" s="47"/>
    </row>
    <row r="29" spans="1:13">
      <c r="B29" s="40" t="s">
        <v>33</v>
      </c>
      <c r="C29" s="48"/>
      <c r="D29" s="48"/>
      <c r="E29" s="49"/>
    </row>
    <row r="30" spans="1:13" ht="26.25" customHeight="1">
      <c r="B30" s="43"/>
      <c r="C30" s="47" t="s">
        <v>34</v>
      </c>
      <c r="D30" s="47"/>
      <c r="E30" s="47"/>
    </row>
    <row r="31" spans="1:13">
      <c r="B31" s="40" t="s">
        <v>35</v>
      </c>
      <c r="C31" s="38"/>
      <c r="D31" s="38"/>
      <c r="E31" s="39"/>
    </row>
    <row r="32" spans="1:13" ht="23.25" customHeight="1">
      <c r="B32" s="40"/>
      <c r="C32" s="44"/>
      <c r="D32" s="44"/>
      <c r="E32" s="44"/>
    </row>
    <row r="33" spans="2:5" ht="13.8" thickBot="1">
      <c r="B33" s="50"/>
      <c r="C33" s="51"/>
      <c r="D33" s="51"/>
      <c r="E33" s="52"/>
    </row>
    <row r="35" spans="2:5">
      <c r="B35" s="34" t="s">
        <v>36</v>
      </c>
      <c r="C35" s="35"/>
      <c r="D35" s="35"/>
      <c r="E35" s="36"/>
    </row>
    <row r="36" spans="2:5" ht="7.5" customHeight="1">
      <c r="B36" s="37"/>
      <c r="C36" s="38"/>
      <c r="D36" s="38"/>
      <c r="E36" s="39"/>
    </row>
    <row r="37" spans="2:5">
      <c r="B37" s="40" t="s">
        <v>27</v>
      </c>
      <c r="C37" s="38"/>
      <c r="D37" s="38"/>
      <c r="E37" s="39"/>
    </row>
    <row r="38" spans="2:5" ht="37.5" customHeight="1">
      <c r="B38" s="40"/>
      <c r="C38" s="47" t="s">
        <v>37</v>
      </c>
      <c r="D38" s="47"/>
      <c r="E38" s="47"/>
    </row>
    <row r="39" spans="2:5">
      <c r="B39" s="40" t="s">
        <v>29</v>
      </c>
      <c r="C39" s="38"/>
      <c r="D39" s="38"/>
      <c r="E39" s="39"/>
    </row>
    <row r="40" spans="2:5">
      <c r="B40" s="46"/>
      <c r="C40" s="44" t="s">
        <v>38</v>
      </c>
      <c r="D40" s="44"/>
      <c r="E40" s="44"/>
    </row>
    <row r="41" spans="2:5">
      <c r="B41" s="46"/>
      <c r="C41" s="44" t="s">
        <v>39</v>
      </c>
      <c r="D41" s="44"/>
      <c r="E41" s="44"/>
    </row>
    <row r="42" spans="2:5">
      <c r="B42" s="40" t="s">
        <v>32</v>
      </c>
      <c r="C42" s="38"/>
      <c r="D42" s="38"/>
      <c r="E42" s="39"/>
    </row>
    <row r="43" spans="2:5">
      <c r="B43" s="46"/>
      <c r="C43" s="47"/>
      <c r="D43" s="47"/>
      <c r="E43" s="47"/>
    </row>
    <row r="44" spans="2:5">
      <c r="B44" s="40" t="s">
        <v>33</v>
      </c>
      <c r="C44" s="48"/>
      <c r="D44" s="48"/>
      <c r="E44" s="49"/>
    </row>
    <row r="45" spans="2:5" ht="20.25" customHeight="1">
      <c r="B45" s="46"/>
      <c r="C45" s="47" t="s">
        <v>40</v>
      </c>
      <c r="D45" s="47"/>
      <c r="E45" s="47"/>
    </row>
    <row r="46" spans="2:5">
      <c r="B46" s="40" t="s">
        <v>35</v>
      </c>
      <c r="C46" s="38"/>
      <c r="D46" s="38"/>
      <c r="E46" s="39"/>
    </row>
    <row r="47" spans="2:5">
      <c r="B47" s="40"/>
      <c r="C47" s="44"/>
      <c r="D47" s="44"/>
      <c r="E47" s="44"/>
    </row>
    <row r="48" spans="2:5" ht="13.8" thickBot="1">
      <c r="B48" s="50"/>
      <c r="C48" s="51"/>
      <c r="D48" s="51"/>
      <c r="E48" s="52"/>
    </row>
    <row r="49" spans="2:5" ht="13.8" thickBot="1"/>
    <row r="50" spans="2:5">
      <c r="B50" s="34" t="s">
        <v>41</v>
      </c>
      <c r="C50" s="35"/>
      <c r="D50" s="35"/>
      <c r="E50" s="36"/>
    </row>
    <row r="51" spans="2:5">
      <c r="B51" s="37"/>
      <c r="C51" s="38"/>
      <c r="D51" s="38"/>
      <c r="E51" s="39"/>
    </row>
    <row r="52" spans="2:5">
      <c r="B52" s="40" t="s">
        <v>27</v>
      </c>
      <c r="C52" s="38"/>
      <c r="D52" s="38"/>
      <c r="E52" s="39"/>
    </row>
    <row r="53" spans="2:5" ht="48" customHeight="1">
      <c r="B53" s="40"/>
      <c r="C53" s="47" t="s">
        <v>20</v>
      </c>
      <c r="D53" s="47"/>
      <c r="E53" s="47"/>
    </row>
    <row r="54" spans="2:5">
      <c r="B54" s="40" t="s">
        <v>29</v>
      </c>
      <c r="C54" s="38"/>
      <c r="D54" s="38"/>
      <c r="E54" s="39"/>
    </row>
    <row r="55" spans="2:5">
      <c r="B55" s="46"/>
      <c r="C55" s="44" t="s">
        <v>38</v>
      </c>
      <c r="D55" s="44"/>
      <c r="E55" s="44"/>
    </row>
    <row r="56" spans="2:5">
      <c r="B56" s="46"/>
      <c r="C56" s="44" t="s">
        <v>39</v>
      </c>
      <c r="D56" s="44"/>
      <c r="E56" s="44"/>
    </row>
    <row r="57" spans="2:5">
      <c r="B57" s="40" t="s">
        <v>32</v>
      </c>
      <c r="C57" s="38"/>
      <c r="D57" s="38"/>
      <c r="E57" s="39"/>
    </row>
    <row r="58" spans="2:5">
      <c r="B58" s="46"/>
      <c r="C58" s="47"/>
      <c r="D58" s="47"/>
      <c r="E58" s="47"/>
    </row>
    <row r="59" spans="2:5">
      <c r="B59" s="40" t="s">
        <v>33</v>
      </c>
      <c r="C59" s="48"/>
      <c r="D59" s="48"/>
      <c r="E59" s="49"/>
    </row>
    <row r="60" spans="2:5" ht="20.25" customHeight="1">
      <c r="B60" s="46"/>
      <c r="C60" s="47" t="s">
        <v>40</v>
      </c>
      <c r="D60" s="47"/>
      <c r="E60" s="47"/>
    </row>
    <row r="61" spans="2:5">
      <c r="B61" s="40" t="s">
        <v>35</v>
      </c>
      <c r="C61" s="38"/>
      <c r="D61" s="38"/>
      <c r="E61" s="39"/>
    </row>
    <row r="62" spans="2:5">
      <c r="B62" s="40"/>
      <c r="C62" s="44"/>
      <c r="D62" s="44"/>
      <c r="E62" s="44"/>
    </row>
    <row r="63" spans="2:5" ht="13.8" thickBot="1">
      <c r="B63" s="50"/>
      <c r="C63" s="51"/>
      <c r="D63" s="51"/>
      <c r="E63" s="52"/>
    </row>
    <row r="64" spans="2:5" ht="13.8" thickBot="1"/>
    <row r="65" spans="2:5">
      <c r="B65" s="34" t="s">
        <v>42</v>
      </c>
      <c r="C65" s="35"/>
      <c r="D65" s="35"/>
      <c r="E65" s="36"/>
    </row>
    <row r="66" spans="2:5">
      <c r="B66" s="37"/>
      <c r="C66" s="38"/>
      <c r="D66" s="38"/>
      <c r="E66" s="39"/>
    </row>
    <row r="67" spans="2:5">
      <c r="B67" s="40" t="s">
        <v>27</v>
      </c>
      <c r="C67" s="38"/>
      <c r="D67" s="38"/>
      <c r="E67" s="39"/>
    </row>
    <row r="68" spans="2:5" ht="45.75" customHeight="1">
      <c r="B68" s="40"/>
      <c r="C68" s="47" t="s">
        <v>43</v>
      </c>
      <c r="D68" s="47"/>
      <c r="E68" s="47"/>
    </row>
    <row r="69" spans="2:5">
      <c r="B69" s="40" t="s">
        <v>29</v>
      </c>
      <c r="C69" s="38"/>
      <c r="D69" s="38"/>
      <c r="E69" s="39"/>
    </row>
    <row r="70" spans="2:5">
      <c r="B70" s="46"/>
      <c r="C70" s="44" t="s">
        <v>38</v>
      </c>
      <c r="D70" s="44"/>
      <c r="E70" s="44"/>
    </row>
    <row r="71" spans="2:5">
      <c r="B71" s="46"/>
      <c r="C71" s="44" t="s">
        <v>39</v>
      </c>
      <c r="D71" s="44"/>
      <c r="E71" s="44"/>
    </row>
    <row r="72" spans="2:5">
      <c r="B72" s="40" t="s">
        <v>32</v>
      </c>
      <c r="C72" s="38"/>
      <c r="D72" s="38"/>
      <c r="E72" s="39"/>
    </row>
    <row r="73" spans="2:5">
      <c r="B73" s="46"/>
      <c r="C73" s="47"/>
      <c r="D73" s="47"/>
      <c r="E73" s="47"/>
    </row>
    <row r="74" spans="2:5">
      <c r="B74" s="40" t="s">
        <v>33</v>
      </c>
      <c r="C74" s="48"/>
      <c r="D74" s="48"/>
      <c r="E74" s="49"/>
    </row>
    <row r="75" spans="2:5" ht="18.75" customHeight="1">
      <c r="B75" s="46"/>
      <c r="C75" s="47" t="s">
        <v>40</v>
      </c>
      <c r="D75" s="47"/>
      <c r="E75" s="47"/>
    </row>
    <row r="76" spans="2:5">
      <c r="B76" s="40" t="s">
        <v>35</v>
      </c>
      <c r="C76" s="38"/>
      <c r="D76" s="38"/>
      <c r="E76" s="39"/>
    </row>
    <row r="77" spans="2:5">
      <c r="B77" s="40"/>
      <c r="C77" s="44"/>
      <c r="D77" s="44"/>
      <c r="E77" s="44"/>
    </row>
    <row r="78" spans="2:5" ht="13.8" thickBot="1">
      <c r="B78" s="50"/>
      <c r="C78" s="51"/>
      <c r="D78" s="51"/>
      <c r="E78" s="52"/>
    </row>
    <row r="79" spans="2:5" ht="13.8" thickBot="1"/>
    <row r="80" spans="2:5">
      <c r="B80" s="34" t="s">
        <v>44</v>
      </c>
      <c r="C80" s="35"/>
      <c r="D80" s="35"/>
      <c r="E80" s="36"/>
    </row>
    <row r="81" spans="2:5">
      <c r="B81" s="37"/>
      <c r="C81" s="38"/>
      <c r="D81" s="38"/>
      <c r="E81" s="39"/>
    </row>
    <row r="82" spans="2:5">
      <c r="B82" s="40" t="s">
        <v>27</v>
      </c>
      <c r="C82" s="38"/>
      <c r="D82" s="38"/>
      <c r="E82" s="39"/>
    </row>
    <row r="83" spans="2:5" ht="40.5" customHeight="1">
      <c r="B83" s="40"/>
      <c r="C83" s="47" t="s">
        <v>45</v>
      </c>
      <c r="D83" s="47"/>
      <c r="E83" s="47"/>
    </row>
    <row r="84" spans="2:5">
      <c r="B84" s="40" t="s">
        <v>29</v>
      </c>
      <c r="C84" s="38"/>
      <c r="D84" s="38"/>
      <c r="E84" s="39"/>
    </row>
    <row r="85" spans="2:5">
      <c r="B85" s="46"/>
      <c r="C85" s="44" t="s">
        <v>38</v>
      </c>
      <c r="D85" s="44"/>
      <c r="E85" s="44"/>
    </row>
    <row r="86" spans="2:5">
      <c r="B86" s="46"/>
      <c r="C86" s="44" t="s">
        <v>39</v>
      </c>
      <c r="D86" s="44"/>
      <c r="E86" s="44"/>
    </row>
    <row r="87" spans="2:5">
      <c r="B87" s="40" t="s">
        <v>32</v>
      </c>
      <c r="C87" s="38"/>
      <c r="D87" s="38"/>
      <c r="E87" s="39"/>
    </row>
    <row r="88" spans="2:5">
      <c r="B88" s="46"/>
      <c r="C88" s="47"/>
      <c r="D88" s="47"/>
      <c r="E88" s="47"/>
    </row>
    <row r="89" spans="2:5">
      <c r="B89" s="40" t="s">
        <v>33</v>
      </c>
      <c r="C89" s="48"/>
      <c r="D89" s="48"/>
      <c r="E89" s="49"/>
    </row>
    <row r="90" spans="2:5" ht="19.5" customHeight="1">
      <c r="B90" s="46"/>
      <c r="C90" s="47" t="s">
        <v>40</v>
      </c>
      <c r="D90" s="47"/>
      <c r="E90" s="47"/>
    </row>
    <row r="91" spans="2:5">
      <c r="B91" s="40" t="s">
        <v>35</v>
      </c>
      <c r="C91" s="38"/>
      <c r="D91" s="38"/>
      <c r="E91" s="39"/>
    </row>
    <row r="92" spans="2:5">
      <c r="B92" s="40"/>
      <c r="C92" s="44"/>
      <c r="D92" s="44"/>
      <c r="E92" s="44"/>
    </row>
    <row r="93" spans="2:5" ht="13.8" thickBot="1">
      <c r="B93" s="50"/>
      <c r="C93" s="51"/>
      <c r="D93" s="51"/>
      <c r="E93" s="52"/>
    </row>
    <row r="94" spans="2:5" ht="13.8" thickBot="1"/>
    <row r="95" spans="2:5">
      <c r="B95" s="34" t="s">
        <v>46</v>
      </c>
      <c r="C95" s="35"/>
      <c r="D95" s="35"/>
      <c r="E95" s="36"/>
    </row>
    <row r="96" spans="2:5">
      <c r="B96" s="37"/>
      <c r="C96" s="38"/>
      <c r="D96" s="38"/>
      <c r="E96" s="39"/>
    </row>
    <row r="97" spans="2:5">
      <c r="B97" s="40" t="s">
        <v>27</v>
      </c>
      <c r="C97" s="38"/>
      <c r="D97" s="38"/>
      <c r="E97" s="39"/>
    </row>
    <row r="98" spans="2:5" ht="43.5" customHeight="1">
      <c r="B98" s="40"/>
      <c r="C98" s="47" t="s">
        <v>47</v>
      </c>
      <c r="D98" s="47"/>
      <c r="E98" s="47"/>
    </row>
    <row r="99" spans="2:5">
      <c r="B99" s="40" t="s">
        <v>29</v>
      </c>
      <c r="C99" s="38"/>
      <c r="D99" s="38"/>
      <c r="E99" s="39"/>
    </row>
    <row r="100" spans="2:5">
      <c r="B100" s="46"/>
      <c r="C100" s="44" t="s">
        <v>38</v>
      </c>
      <c r="D100" s="44"/>
      <c r="E100" s="44"/>
    </row>
    <row r="101" spans="2:5">
      <c r="B101" s="46"/>
      <c r="C101" s="44" t="s">
        <v>39</v>
      </c>
      <c r="D101" s="44"/>
      <c r="E101" s="44"/>
    </row>
    <row r="102" spans="2:5">
      <c r="B102" s="40" t="s">
        <v>32</v>
      </c>
      <c r="C102" s="38"/>
      <c r="D102" s="38"/>
      <c r="E102" s="39"/>
    </row>
    <row r="103" spans="2:5">
      <c r="B103" s="46"/>
      <c r="C103" s="47"/>
      <c r="D103" s="47"/>
      <c r="E103" s="47"/>
    </row>
    <row r="104" spans="2:5">
      <c r="B104" s="40" t="s">
        <v>33</v>
      </c>
      <c r="C104" s="48"/>
      <c r="D104" s="48"/>
      <c r="E104" s="49"/>
    </row>
    <row r="105" spans="2:5" ht="18.75" customHeight="1">
      <c r="B105" s="46"/>
      <c r="C105" s="47" t="s">
        <v>40</v>
      </c>
      <c r="D105" s="47"/>
      <c r="E105" s="47"/>
    </row>
    <row r="106" spans="2:5">
      <c r="B106" s="40" t="s">
        <v>35</v>
      </c>
      <c r="C106" s="38"/>
      <c r="D106" s="38"/>
      <c r="E106" s="39"/>
    </row>
    <row r="107" spans="2:5">
      <c r="B107" s="40"/>
      <c r="C107" s="44"/>
      <c r="D107" s="44"/>
      <c r="E107" s="44"/>
    </row>
    <row r="108" spans="2:5" ht="13.8" thickBot="1">
      <c r="B108" s="50"/>
      <c r="C108" s="51"/>
      <c r="D108" s="51"/>
      <c r="E108" s="52"/>
    </row>
    <row r="109" spans="2:5" ht="13.8" thickBot="1"/>
    <row r="110" spans="2:5">
      <c r="B110" s="34" t="s">
        <v>48</v>
      </c>
      <c r="C110" s="35"/>
      <c r="D110" s="35"/>
      <c r="E110" s="36"/>
    </row>
    <row r="111" spans="2:5">
      <c r="B111" s="37"/>
      <c r="C111" s="38"/>
      <c r="D111" s="38"/>
      <c r="E111" s="39"/>
    </row>
    <row r="112" spans="2:5">
      <c r="B112" s="40" t="s">
        <v>27</v>
      </c>
      <c r="C112" s="38"/>
      <c r="D112" s="38"/>
      <c r="E112" s="39"/>
    </row>
    <row r="113" spans="2:5" ht="42" customHeight="1">
      <c r="B113" s="40"/>
      <c r="C113" s="47" t="s">
        <v>49</v>
      </c>
      <c r="D113" s="47"/>
      <c r="E113" s="47"/>
    </row>
    <row r="114" spans="2:5">
      <c r="B114" s="40" t="s">
        <v>29</v>
      </c>
      <c r="C114" s="38"/>
      <c r="D114" s="38"/>
      <c r="E114" s="39"/>
    </row>
    <row r="115" spans="2:5">
      <c r="B115" s="46"/>
      <c r="C115" s="44" t="s">
        <v>38</v>
      </c>
      <c r="D115" s="44"/>
      <c r="E115" s="44"/>
    </row>
    <row r="116" spans="2:5">
      <c r="B116" s="46"/>
      <c r="C116" s="44" t="s">
        <v>39</v>
      </c>
      <c r="D116" s="44"/>
      <c r="E116" s="44"/>
    </row>
    <row r="117" spans="2:5">
      <c r="B117" s="40" t="s">
        <v>32</v>
      </c>
      <c r="C117" s="38"/>
      <c r="D117" s="38"/>
      <c r="E117" s="39"/>
    </row>
    <row r="118" spans="2:5">
      <c r="B118" s="46"/>
      <c r="C118" s="47"/>
      <c r="D118" s="47"/>
      <c r="E118" s="47"/>
    </row>
    <row r="119" spans="2:5">
      <c r="B119" s="40" t="s">
        <v>33</v>
      </c>
      <c r="C119" s="48"/>
      <c r="D119" s="48"/>
      <c r="E119" s="49"/>
    </row>
    <row r="120" spans="2:5" ht="20.25" customHeight="1">
      <c r="B120" s="46"/>
      <c r="C120" s="47" t="s">
        <v>40</v>
      </c>
      <c r="D120" s="47"/>
      <c r="E120" s="47"/>
    </row>
    <row r="121" spans="2:5">
      <c r="B121" s="40" t="s">
        <v>35</v>
      </c>
      <c r="C121" s="38"/>
      <c r="D121" s="38"/>
      <c r="E121" s="39"/>
    </row>
    <row r="122" spans="2:5">
      <c r="B122" s="40"/>
      <c r="C122" s="44"/>
      <c r="D122" s="44"/>
      <c r="E122" s="44"/>
    </row>
    <row r="123" spans="2:5" ht="13.8" thickBot="1">
      <c r="B123" s="50"/>
      <c r="C123" s="51"/>
      <c r="D123" s="51"/>
      <c r="E123" s="52"/>
    </row>
    <row r="124" spans="2:5" ht="13.8" thickBot="1"/>
    <row r="125" spans="2:5">
      <c r="B125" s="34" t="s">
        <v>50</v>
      </c>
      <c r="C125" s="35"/>
      <c r="D125" s="35"/>
      <c r="E125" s="36"/>
    </row>
    <row r="126" spans="2:5">
      <c r="B126" s="37"/>
      <c r="C126" s="38"/>
      <c r="D126" s="38"/>
      <c r="E126" s="39"/>
    </row>
    <row r="127" spans="2:5">
      <c r="B127" s="40" t="s">
        <v>27</v>
      </c>
      <c r="C127" s="38"/>
      <c r="D127" s="38"/>
      <c r="E127" s="39"/>
    </row>
    <row r="128" spans="2:5" ht="38.25" customHeight="1">
      <c r="B128" s="40"/>
      <c r="C128" s="47" t="s">
        <v>51</v>
      </c>
      <c r="D128" s="47"/>
      <c r="E128" s="47"/>
    </row>
    <row r="129" spans="2:5">
      <c r="B129" s="40" t="s">
        <v>29</v>
      </c>
      <c r="C129" s="38"/>
      <c r="D129" s="38"/>
      <c r="E129" s="39"/>
    </row>
    <row r="130" spans="2:5">
      <c r="B130" s="46"/>
      <c r="C130" s="44" t="s">
        <v>38</v>
      </c>
      <c r="D130" s="44"/>
      <c r="E130" s="44"/>
    </row>
    <row r="131" spans="2:5">
      <c r="B131" s="46"/>
      <c r="C131" s="44" t="s">
        <v>39</v>
      </c>
      <c r="D131" s="44"/>
      <c r="E131" s="44"/>
    </row>
    <row r="132" spans="2:5">
      <c r="B132" s="40" t="s">
        <v>32</v>
      </c>
      <c r="C132" s="38"/>
      <c r="D132" s="38"/>
      <c r="E132" s="39"/>
    </row>
    <row r="133" spans="2:5">
      <c r="B133" s="46"/>
      <c r="C133" s="47"/>
      <c r="D133" s="47"/>
      <c r="E133" s="47"/>
    </row>
    <row r="134" spans="2:5">
      <c r="B134" s="40" t="s">
        <v>33</v>
      </c>
      <c r="C134" s="48"/>
      <c r="D134" s="48"/>
      <c r="E134" s="49"/>
    </row>
    <row r="135" spans="2:5" ht="21" customHeight="1">
      <c r="B135" s="46"/>
      <c r="C135" s="47" t="s">
        <v>40</v>
      </c>
      <c r="D135" s="47"/>
      <c r="E135" s="47"/>
    </row>
    <row r="136" spans="2:5">
      <c r="B136" s="40" t="s">
        <v>35</v>
      </c>
      <c r="C136" s="38"/>
      <c r="D136" s="38"/>
      <c r="E136" s="39"/>
    </row>
    <row r="137" spans="2:5">
      <c r="B137" s="40"/>
      <c r="C137" s="44"/>
      <c r="D137" s="44"/>
      <c r="E137" s="44"/>
    </row>
    <row r="138" spans="2:5" ht="13.8" thickBot="1">
      <c r="B138" s="50"/>
      <c r="C138" s="51"/>
      <c r="D138" s="51"/>
      <c r="E138" s="52"/>
    </row>
  </sheetData>
  <mergeCells count="55">
    <mergeCell ref="C137:E137"/>
    <mergeCell ref="C122:E122"/>
    <mergeCell ref="C128:E128"/>
    <mergeCell ref="C130:E130"/>
    <mergeCell ref="C131:E131"/>
    <mergeCell ref="C133:E133"/>
    <mergeCell ref="C135:E135"/>
    <mergeCell ref="C107:E107"/>
    <mergeCell ref="C113:E113"/>
    <mergeCell ref="C115:E115"/>
    <mergeCell ref="C116:E116"/>
    <mergeCell ref="C118:E118"/>
    <mergeCell ref="C120:E120"/>
    <mergeCell ref="C92:E92"/>
    <mergeCell ref="C98:E98"/>
    <mergeCell ref="C100:E100"/>
    <mergeCell ref="C101:E101"/>
    <mergeCell ref="C103:E103"/>
    <mergeCell ref="C105:E105"/>
    <mergeCell ref="C77:E77"/>
    <mergeCell ref="C83:E83"/>
    <mergeCell ref="C85:E85"/>
    <mergeCell ref="C86:E86"/>
    <mergeCell ref="C88:E88"/>
    <mergeCell ref="C90:E90"/>
    <mergeCell ref="C62:E62"/>
    <mergeCell ref="C68:E68"/>
    <mergeCell ref="C70:E70"/>
    <mergeCell ref="C71:E71"/>
    <mergeCell ref="C73:E73"/>
    <mergeCell ref="C75:E75"/>
    <mergeCell ref="C47:E47"/>
    <mergeCell ref="C53:E53"/>
    <mergeCell ref="C55:E55"/>
    <mergeCell ref="C56:E56"/>
    <mergeCell ref="C58:E58"/>
    <mergeCell ref="C60:E60"/>
    <mergeCell ref="C32:E32"/>
    <mergeCell ref="C38:E38"/>
    <mergeCell ref="C40:E40"/>
    <mergeCell ref="C41:E41"/>
    <mergeCell ref="C43:E43"/>
    <mergeCell ref="C45:E45"/>
    <mergeCell ref="A7:B7"/>
    <mergeCell ref="C23:E23"/>
    <mergeCell ref="C25:E25"/>
    <mergeCell ref="C26:E26"/>
    <mergeCell ref="C28:E28"/>
    <mergeCell ref="C30:E30"/>
    <mergeCell ref="B2:H2"/>
    <mergeCell ref="A4:B4"/>
    <mergeCell ref="C4:E4"/>
    <mergeCell ref="A5:B5"/>
    <mergeCell ref="C5:E5"/>
    <mergeCell ref="A6:B6"/>
  </mergeCells>
  <conditionalFormatting sqref="E10">
    <cfRule type="cellIs" dxfId="31" priority="32" operator="equal">
      <formula>"duplicado"</formula>
    </cfRule>
  </conditionalFormatting>
  <conditionalFormatting sqref="E10">
    <cfRule type="duplicateValues" dxfId="30" priority="29"/>
    <cfRule type="duplicateValues" dxfId="29" priority="30"/>
    <cfRule type="cellIs" dxfId="28" priority="31" operator="equal">
      <formula>"calibra"</formula>
    </cfRule>
  </conditionalFormatting>
  <conditionalFormatting sqref="E11">
    <cfRule type="cellIs" dxfId="27" priority="28" operator="equal">
      <formula>"duplicado"</formula>
    </cfRule>
  </conditionalFormatting>
  <conditionalFormatting sqref="E11">
    <cfRule type="duplicateValues" dxfId="26" priority="25"/>
    <cfRule type="duplicateValues" dxfId="25" priority="26"/>
    <cfRule type="cellIs" dxfId="24" priority="27" operator="equal">
      <formula>"calibra"</formula>
    </cfRule>
  </conditionalFormatting>
  <conditionalFormatting sqref="E12">
    <cfRule type="cellIs" dxfId="23" priority="24" operator="equal">
      <formula>"duplicado"</formula>
    </cfRule>
  </conditionalFormatting>
  <conditionalFormatting sqref="E12">
    <cfRule type="duplicateValues" dxfId="22" priority="21"/>
    <cfRule type="duplicateValues" dxfId="21" priority="22"/>
    <cfRule type="cellIs" dxfId="20" priority="23" operator="equal">
      <formula>"calibra"</formula>
    </cfRule>
  </conditionalFormatting>
  <conditionalFormatting sqref="E13">
    <cfRule type="cellIs" dxfId="19" priority="20" operator="equal">
      <formula>"duplicado"</formula>
    </cfRule>
  </conditionalFormatting>
  <conditionalFormatting sqref="E13">
    <cfRule type="duplicateValues" dxfId="18" priority="17"/>
    <cfRule type="duplicateValues" dxfId="17" priority="18"/>
    <cfRule type="cellIs" dxfId="16" priority="19" operator="equal">
      <formula>"calibra"</formula>
    </cfRule>
  </conditionalFormatting>
  <conditionalFormatting sqref="E14">
    <cfRule type="cellIs" dxfId="15" priority="16" operator="equal">
      <formula>"duplicado"</formula>
    </cfRule>
  </conditionalFormatting>
  <conditionalFormatting sqref="E14">
    <cfRule type="duplicateValues" dxfId="14" priority="13"/>
    <cfRule type="duplicateValues" dxfId="13" priority="14"/>
    <cfRule type="cellIs" dxfId="12" priority="15" operator="equal">
      <formula>"calibra"</formula>
    </cfRule>
  </conditionalFormatting>
  <conditionalFormatting sqref="E15">
    <cfRule type="cellIs" dxfId="11" priority="12" operator="equal">
      <formula>"duplicado"</formula>
    </cfRule>
  </conditionalFormatting>
  <conditionalFormatting sqref="E15">
    <cfRule type="duplicateValues" dxfId="10" priority="9"/>
    <cfRule type="duplicateValues" dxfId="9" priority="10"/>
    <cfRule type="cellIs" dxfId="8" priority="11" operator="equal">
      <formula>"calibra"</formula>
    </cfRule>
  </conditionalFormatting>
  <conditionalFormatting sqref="E16">
    <cfRule type="cellIs" dxfId="7" priority="8" operator="equal">
      <formula>"duplicado"</formula>
    </cfRule>
  </conditionalFormatting>
  <conditionalFormatting sqref="E16">
    <cfRule type="duplicateValues" dxfId="6" priority="5"/>
    <cfRule type="duplicateValues" dxfId="5" priority="6"/>
    <cfRule type="cellIs" dxfId="4" priority="7" operator="equal">
      <formula>"calibra"</formula>
    </cfRule>
  </conditionalFormatting>
  <conditionalFormatting sqref="E17">
    <cfRule type="cellIs" dxfId="3" priority="4" operator="equal">
      <formula>"duplicado"</formula>
    </cfRule>
  </conditionalFormatting>
  <conditionalFormatting sqref="E17">
    <cfRule type="duplicateValues" dxfId="2" priority="1"/>
    <cfRule type="duplicateValues" dxfId="1" priority="2"/>
    <cfRule type="cellIs" dxfId="0" priority="3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J20"/>
  <sheetViews>
    <sheetView zoomScale="90" zoomScaleNormal="90" workbookViewId="0">
      <selection activeCell="D6" sqref="D6:K6"/>
    </sheetView>
  </sheetViews>
  <sheetFormatPr baseColWidth="10" defaultColWidth="9.109375" defaultRowHeight="13.2"/>
  <cols>
    <col min="1" max="1" width="5.5546875" style="56" customWidth="1"/>
    <col min="2" max="2" width="15.109375" style="56" customWidth="1"/>
    <col min="3" max="3" width="14.109375" style="56" customWidth="1"/>
    <col min="4" max="4" width="26" style="56" customWidth="1"/>
    <col min="5" max="5" width="8" style="56" customWidth="1"/>
    <col min="6" max="6" width="7.88671875" style="56" customWidth="1"/>
    <col min="7" max="7" width="42" style="56" customWidth="1"/>
    <col min="8" max="8" width="9.33203125" style="56" customWidth="1"/>
    <col min="9" max="9" width="15.5546875" style="56" customWidth="1"/>
    <col min="10" max="10" width="14.6640625" style="56" customWidth="1"/>
    <col min="11" max="11" width="15.5546875" style="56" customWidth="1"/>
    <col min="12" max="14" width="5.88671875" style="56" customWidth="1"/>
    <col min="15" max="15" width="12.5546875" style="56" customWidth="1"/>
    <col min="16" max="1024" width="9.109375" style="56"/>
  </cols>
  <sheetData>
    <row r="1" spans="1:11" ht="18" customHeight="1" thickBot="1">
      <c r="A1" s="53" t="s">
        <v>52</v>
      </c>
      <c r="B1" s="53"/>
      <c r="C1" s="53"/>
      <c r="D1" s="53"/>
      <c r="E1" s="53"/>
      <c r="F1" s="53"/>
      <c r="G1" s="53"/>
      <c r="H1" s="53"/>
      <c r="I1" s="53"/>
      <c r="J1" s="54" t="s">
        <v>53</v>
      </c>
      <c r="K1" s="55" t="s">
        <v>54</v>
      </c>
    </row>
    <row r="2" spans="1:11" ht="18.75" customHeight="1" thickBot="1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1" ht="18.75" customHeight="1" thickBot="1">
      <c r="A3" s="59" t="s">
        <v>55</v>
      </c>
      <c r="B3" s="59"/>
      <c r="C3" s="59"/>
      <c r="D3" s="60" t="s">
        <v>56</v>
      </c>
      <c r="E3" s="60"/>
      <c r="F3" s="60"/>
      <c r="G3" s="60"/>
      <c r="H3" s="60"/>
      <c r="I3" s="60"/>
      <c r="J3" s="60"/>
      <c r="K3" s="60"/>
    </row>
    <row r="4" spans="1:11" ht="18.75" customHeight="1" thickBot="1">
      <c r="A4" s="61" t="s">
        <v>57</v>
      </c>
      <c r="B4" s="61"/>
      <c r="C4" s="61"/>
      <c r="D4" s="60" t="s">
        <v>4</v>
      </c>
      <c r="E4" s="60"/>
      <c r="F4" s="60"/>
      <c r="G4" s="60"/>
      <c r="H4" s="60"/>
      <c r="I4" s="60"/>
      <c r="J4" s="60"/>
      <c r="K4" s="60"/>
    </row>
    <row r="5" spans="1:11" ht="18.75" customHeight="1" thickBot="1">
      <c r="A5" s="61" t="s">
        <v>58</v>
      </c>
      <c r="B5" s="61"/>
      <c r="C5" s="61"/>
      <c r="D5" s="60" t="s">
        <v>59</v>
      </c>
      <c r="E5" s="60"/>
      <c r="F5" s="60"/>
      <c r="G5" s="60"/>
      <c r="H5" s="60"/>
      <c r="I5" s="60"/>
      <c r="J5" s="60"/>
      <c r="K5" s="60"/>
    </row>
    <row r="6" spans="1:11" ht="16.5" customHeight="1" thickBot="1">
      <c r="A6" s="59" t="s">
        <v>60</v>
      </c>
      <c r="B6" s="59"/>
      <c r="C6" s="59"/>
      <c r="D6" s="60" t="s">
        <v>61</v>
      </c>
      <c r="E6" s="60"/>
      <c r="F6" s="60"/>
      <c r="G6" s="60"/>
      <c r="H6" s="60"/>
      <c r="I6" s="60"/>
      <c r="J6" s="60"/>
      <c r="K6" s="60"/>
    </row>
    <row r="7" spans="1:11" ht="16.5" customHeight="1" thickBot="1">
      <c r="A7" s="61" t="s">
        <v>62</v>
      </c>
      <c r="B7" s="61"/>
      <c r="C7" s="61"/>
      <c r="D7" s="60" t="str">
        <f>'[1]Necesidades Trimestrales'!C7 &amp; "° Trimestre - Año " &amp; '[1]Necesidades Trimestrales'!C6</f>
        <v>1° Trimestre - Año 2021</v>
      </c>
      <c r="E7" s="60"/>
      <c r="F7" s="60"/>
      <c r="G7" s="60"/>
      <c r="H7" s="60"/>
      <c r="I7" s="60"/>
      <c r="J7" s="60"/>
      <c r="K7" s="60"/>
    </row>
    <row r="8" spans="1:11" ht="16.5" customHeight="1" thickBot="1">
      <c r="A8" s="62" t="s">
        <v>63</v>
      </c>
      <c r="B8" s="62"/>
      <c r="C8" s="62"/>
      <c r="D8" s="63" t="s">
        <v>64</v>
      </c>
      <c r="E8" s="63"/>
      <c r="F8" s="63"/>
      <c r="G8" s="63"/>
      <c r="H8" s="63"/>
      <c r="I8" s="63"/>
      <c r="J8" s="63"/>
      <c r="K8" s="63"/>
    </row>
    <row r="9" spans="1:11" ht="16.2" thickBot="1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</row>
    <row r="10" spans="1:11" ht="18.75" customHeight="1" thickBot="1">
      <c r="A10" s="66" t="s">
        <v>65</v>
      </c>
      <c r="B10" s="67" t="s">
        <v>66</v>
      </c>
      <c r="C10" s="67" t="s">
        <v>67</v>
      </c>
      <c r="D10" s="67"/>
      <c r="E10" s="67"/>
      <c r="F10" s="67"/>
      <c r="G10" s="67"/>
      <c r="H10" s="67" t="s">
        <v>68</v>
      </c>
      <c r="I10" s="67" t="s">
        <v>69</v>
      </c>
      <c r="J10" s="67" t="s">
        <v>70</v>
      </c>
      <c r="K10" s="68" t="s">
        <v>71</v>
      </c>
    </row>
    <row r="11" spans="1:11" ht="24" customHeight="1" thickBot="1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8"/>
    </row>
    <row r="12" spans="1:11" ht="36.75" customHeight="1" thickBot="1">
      <c r="A12" s="69">
        <v>1</v>
      </c>
      <c r="B12" s="70">
        <v>0</v>
      </c>
      <c r="C12" s="71" t="str">
        <f>'[1]Necesidades Trimestrales'!E10</f>
        <v>RECONSTITUYENTE GENERAL; TIPO: ASOCIACION, DROGA GENERICA: NUTRICION PARENTERAL, FORMA FARMACEUTICA: SOLUCION, PRESENTACION: ENVASE X 1000 CM3</v>
      </c>
      <c r="D12" s="71"/>
      <c r="E12" s="71"/>
      <c r="F12" s="71"/>
      <c r="G12" s="71"/>
      <c r="H12" s="72" t="s">
        <v>72</v>
      </c>
      <c r="I12" s="73" t="str">
        <f>'[1]Necesidades Trimestrales'!F10</f>
        <v>UNIDAD</v>
      </c>
      <c r="J12" s="74">
        <f>'[1]Necesidades Trimestrales'!H10</f>
        <v>567.49</v>
      </c>
      <c r="K12" s="75">
        <f>'[1]Necesidades Trimestrales'!G10</f>
        <v>150</v>
      </c>
    </row>
    <row r="13" spans="1:11" ht="46.5" customHeight="1" thickBot="1">
      <c r="A13" s="76">
        <v>2</v>
      </c>
      <c r="B13" s="70">
        <v>0</v>
      </c>
      <c r="C13" s="71" t="str">
        <f>'[1]Necesidades Trimestrales'!E11</f>
        <v>RECONSTITUYENTE GENERAL; TIPO: ASOCIACION, DROGA GENERICA: NUTRICION PARENTERAL, FORMA FARMACEUTICA: SOLUCION, PRESENTACION: ENVASE X 500 CM3</v>
      </c>
      <c r="D13" s="71"/>
      <c r="E13" s="71"/>
      <c r="F13" s="71"/>
      <c r="G13" s="71"/>
      <c r="H13" s="72" t="s">
        <v>72</v>
      </c>
      <c r="I13" s="73" t="str">
        <f>'[1]Necesidades Trimestrales'!F11</f>
        <v>UNIDAD</v>
      </c>
      <c r="J13" s="74">
        <f>'[1]Necesidades Trimestrales'!H11</f>
        <v>585.28</v>
      </c>
      <c r="K13" s="75">
        <f>'[1]Necesidades Trimestrales'!G11</f>
        <v>150</v>
      </c>
    </row>
    <row r="14" spans="1:11" ht="42" customHeight="1" thickBot="1">
      <c r="A14" s="76">
        <v>3</v>
      </c>
      <c r="B14" s="70">
        <f>'[1]Necesidades Trimestrales'!B12</f>
        <v>0</v>
      </c>
      <c r="C14" s="71" t="s">
        <v>73</v>
      </c>
      <c r="D14" s="71"/>
      <c r="E14" s="71"/>
      <c r="F14" s="71"/>
      <c r="G14" s="71"/>
      <c r="H14" s="72" t="s">
        <v>72</v>
      </c>
      <c r="I14" s="73" t="str">
        <f>'[1]Necesidades Trimestrales'!F12</f>
        <v>UNIDAD</v>
      </c>
      <c r="J14" s="74">
        <f>'[1]Necesidades Trimestrales'!H12</f>
        <v>452.3</v>
      </c>
      <c r="K14" s="75">
        <f>'[1]Necesidades Trimestrales'!G12</f>
        <v>150</v>
      </c>
    </row>
    <row r="15" spans="1:11" ht="33.75" customHeight="1" thickBot="1">
      <c r="A15" s="69">
        <v>4</v>
      </c>
      <c r="B15" s="70">
        <f>'[1]Necesidades Trimestrales'!B13</f>
        <v>0</v>
      </c>
      <c r="C15" s="71" t="str">
        <f>'[1]Necesidades Trimestrales'!E13</f>
        <v>ALIMENTACIÓN ENTERAL PARA DBT X 1000 CC. TIPO DIASÓN DE NUTRICIA BAGÓ O GLUCERNA DE ABOTT.-</v>
      </c>
      <c r="D15" s="71"/>
      <c r="E15" s="71"/>
      <c r="F15" s="71"/>
      <c r="G15" s="71"/>
      <c r="H15" s="72" t="s">
        <v>72</v>
      </c>
      <c r="I15" s="73" t="str">
        <f>'[1]Necesidades Trimestrales'!F13</f>
        <v>UNIDAD</v>
      </c>
      <c r="J15" s="74">
        <f>'[1]Necesidades Trimestrales'!H13</f>
        <v>605</v>
      </c>
      <c r="K15" s="75">
        <f>'[1]Necesidades Trimestrales'!G13</f>
        <v>80</v>
      </c>
    </row>
    <row r="16" spans="1:11" ht="33.75" customHeight="1" thickBot="1">
      <c r="A16" s="76">
        <v>5</v>
      </c>
      <c r="B16" s="70">
        <f>'[1]Necesidades Trimestrales'!B14</f>
        <v>0</v>
      </c>
      <c r="C16" s="71" t="str">
        <f>'[1]Necesidades Trimestrales'!E14</f>
        <v>ALIMENTACIÓN ENTERAL DE ALTA DESIDAD CALORICA X 500 CC. TIPO FRESUBIN ENERGY DE FRESENIUS KABI.-</v>
      </c>
      <c r="D16" s="71"/>
      <c r="E16" s="71"/>
      <c r="F16" s="71"/>
      <c r="G16" s="71"/>
      <c r="H16" s="72" t="s">
        <v>72</v>
      </c>
      <c r="I16" s="73" t="str">
        <f>'[1]Necesidades Trimestrales'!F14</f>
        <v>UNIDAD</v>
      </c>
      <c r="J16" s="74">
        <f>'[1]Necesidades Trimestrales'!H14</f>
        <v>466.06</v>
      </c>
      <c r="K16" s="75">
        <f>'[1]Necesidades Trimestrales'!G14</f>
        <v>100</v>
      </c>
    </row>
    <row r="17" spans="1:11" ht="33.75" customHeight="1" thickBot="1">
      <c r="A17" s="76">
        <v>6</v>
      </c>
      <c r="B17" s="70">
        <f>'[1]Necesidades Trimestrales'!B15</f>
        <v>0</v>
      </c>
      <c r="C17" s="71" t="str">
        <f>'[1]Necesidades Trimestrales'!E15</f>
        <v>ALIMENTACIÓN ENTERAL COMPLETA ENRIQUESIDA EN FIBRAS X 1000 CC. TIPO NUTRISÓN MULTI-FIBRE DE NUTRICIA BAGÓ O FRESUBIN FIBRA DE FRESENIUS KABI.-</v>
      </c>
      <c r="D17" s="71"/>
      <c r="E17" s="71"/>
      <c r="F17" s="71"/>
      <c r="G17" s="71"/>
      <c r="H17" s="72" t="s">
        <v>72</v>
      </c>
      <c r="I17" s="73" t="str">
        <f>'[1]Necesidades Trimestrales'!F15</f>
        <v>UNIDAD</v>
      </c>
      <c r="J17" s="74">
        <f>'[1]Necesidades Trimestrales'!H15</f>
        <v>566.85</v>
      </c>
      <c r="K17" s="75">
        <f>'[1]Necesidades Trimestrales'!G15</f>
        <v>30</v>
      </c>
    </row>
    <row r="18" spans="1:11" ht="33.75" customHeight="1" thickBot="1">
      <c r="A18" s="69">
        <v>7</v>
      </c>
      <c r="B18" s="70">
        <f>'[1]Necesidades Trimestrales'!B16</f>
        <v>0</v>
      </c>
      <c r="C18" s="71" t="str">
        <f>'[1]Necesidades Trimestrales'!E16</f>
        <v>SUPLEMENTO BEBIBLE X 200 ML. PARA DIABETICA TIPO DIBEN DRINK O DIASIP SABOR VAINILLA.-</v>
      </c>
      <c r="D18" s="71"/>
      <c r="E18" s="71"/>
      <c r="F18" s="71"/>
      <c r="G18" s="71"/>
      <c r="H18" s="72" t="s">
        <v>72</v>
      </c>
      <c r="I18" s="73" t="str">
        <f>'[1]Necesidades Trimestrales'!F16</f>
        <v>UNIDAD</v>
      </c>
      <c r="J18" s="74">
        <f>'[1]Necesidades Trimestrales'!H16</f>
        <v>345.78</v>
      </c>
      <c r="K18" s="75">
        <f>'[1]Necesidades Trimestrales'!G16</f>
        <v>100</v>
      </c>
    </row>
    <row r="19" spans="1:11" ht="33.75" customHeight="1" thickBot="1">
      <c r="A19" s="76">
        <v>8</v>
      </c>
      <c r="B19" s="70">
        <f>'[1]Necesidades Trimestrales'!B17</f>
        <v>0</v>
      </c>
      <c r="C19" s="71" t="str">
        <f>'[1]Necesidades Trimestrales'!E17</f>
        <v>SUPLEMENTO BEBIBLE X 200 ML. TIPO FRESUBIN DRINK O FORTISIP SABOR VAINILLA.-</v>
      </c>
      <c r="D19" s="71"/>
      <c r="E19" s="71"/>
      <c r="F19" s="71"/>
      <c r="G19" s="71"/>
      <c r="H19" s="77" t="s">
        <v>72</v>
      </c>
      <c r="I19" s="73" t="str">
        <f>'[1]Necesidades Trimestrales'!F17</f>
        <v>UNIDAD</v>
      </c>
      <c r="J19" s="74">
        <f>'[1]Necesidades Trimestrales'!H17</f>
        <v>352.96</v>
      </c>
      <c r="K19" s="75">
        <f>'[1]Necesidades Trimestrales'!G17</f>
        <v>100</v>
      </c>
    </row>
    <row r="20" spans="1:11" ht="20.25" customHeight="1" thickBot="1">
      <c r="A20" s="78" t="s">
        <v>74</v>
      </c>
      <c r="B20" s="78"/>
      <c r="C20" s="78"/>
      <c r="D20" s="78"/>
      <c r="E20" s="78"/>
      <c r="F20" s="78"/>
      <c r="G20" s="78"/>
      <c r="H20" s="79"/>
      <c r="I20" s="78"/>
      <c r="J20" s="80">
        <f>SUMPRODUCT(J12:J19,K12:K19)</f>
        <v>422646</v>
      </c>
      <c r="K20" s="80"/>
    </row>
  </sheetData>
  <mergeCells count="30">
    <mergeCell ref="C17:G17"/>
    <mergeCell ref="C18:G18"/>
    <mergeCell ref="C19:G19"/>
    <mergeCell ref="A20:I20"/>
    <mergeCell ref="J20:K20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19685039370078741" bottom="0.19685039370078741" header="0.51181102362204722" footer="0.51181102362204722"/>
  <pageSetup paperSize="5" firstPageNumber="0" fitToHeight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"/>
  <sheetViews>
    <sheetView tabSelected="1" zoomScale="130" zoomScaleNormal="130" workbookViewId="0">
      <selection activeCell="S25" sqref="S25"/>
    </sheetView>
  </sheetViews>
  <sheetFormatPr baseColWidth="10" defaultColWidth="11" defaultRowHeight="13.2"/>
  <cols>
    <col min="1" max="5" width="4.44140625" style="85" customWidth="1"/>
    <col min="6" max="6" width="5.44140625" style="85" customWidth="1"/>
    <col min="7" max="7" width="4.44140625" style="87" customWidth="1"/>
    <col min="8" max="14" width="4.44140625" style="85" customWidth="1"/>
    <col min="15" max="16" width="14.88671875" style="85" customWidth="1"/>
    <col min="17" max="17" width="16.6640625" style="85" customWidth="1"/>
    <col min="18" max="16384" width="11" style="85"/>
  </cols>
  <sheetData>
    <row r="1" spans="1:17" ht="15.75" customHeight="1" thickBot="1">
      <c r="A1" s="81" t="s">
        <v>5</v>
      </c>
      <c r="B1" s="81"/>
      <c r="C1" s="81"/>
      <c r="D1" s="82">
        <f>'[1]Necesidades Trimestrales'!C6</f>
        <v>2021</v>
      </c>
      <c r="E1" s="82"/>
      <c r="F1" s="83"/>
      <c r="G1" s="83"/>
      <c r="H1" s="84"/>
      <c r="I1" s="84"/>
      <c r="J1" s="84"/>
      <c r="K1" s="84"/>
      <c r="L1" s="84"/>
      <c r="M1" s="84"/>
      <c r="N1" s="84"/>
      <c r="P1" s="86" t="s">
        <v>75</v>
      </c>
      <c r="Q1" s="86"/>
    </row>
    <row r="2" spans="1:17" ht="15.75" customHeight="1" thickBot="1">
      <c r="H2" s="84"/>
      <c r="I2" s="84"/>
      <c r="J2" s="84"/>
      <c r="K2" s="84"/>
      <c r="L2" s="84"/>
      <c r="M2" s="84"/>
      <c r="N2" s="84"/>
      <c r="P2" s="86"/>
      <c r="Q2" s="86"/>
    </row>
    <row r="4" spans="1:17" s="90" customFormat="1" ht="18" customHeight="1" thickBot="1">
      <c r="A4" s="88" t="s">
        <v>76</v>
      </c>
      <c r="B4" s="88"/>
      <c r="C4" s="88"/>
      <c r="D4" s="88"/>
      <c r="E4" s="88"/>
      <c r="F4" s="88"/>
      <c r="G4" s="89" t="str">
        <f>'[1] NotaPedido'!D3</f>
        <v xml:space="preserve">40 - Ministerio de Salud </v>
      </c>
      <c r="H4" s="89"/>
      <c r="I4" s="89"/>
      <c r="J4" s="89"/>
      <c r="K4" s="89"/>
      <c r="L4" s="89"/>
      <c r="M4" s="89"/>
      <c r="N4" s="89"/>
      <c r="O4" s="89"/>
      <c r="P4" s="89"/>
      <c r="Q4" s="89"/>
    </row>
    <row r="5" spans="1:17" s="90" customFormat="1" ht="18" customHeight="1" thickBot="1">
      <c r="A5" s="91" t="s">
        <v>57</v>
      </c>
      <c r="B5" s="92"/>
      <c r="C5" s="92"/>
      <c r="D5" s="92"/>
      <c r="E5" s="92"/>
      <c r="F5" s="93"/>
      <c r="G5" s="89" t="str">
        <f>'[1] NotaPedido'!D4</f>
        <v>23 - Hospital Interzonal San Juan Bautista</v>
      </c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1:17" s="90" customFormat="1" ht="18" customHeight="1" thickBot="1">
      <c r="A6" s="91" t="s">
        <v>58</v>
      </c>
      <c r="B6" s="92"/>
      <c r="C6" s="92"/>
      <c r="D6" s="92"/>
      <c r="E6" s="92"/>
      <c r="F6" s="93"/>
      <c r="G6" s="89" t="str">
        <f>'[1] NotaPedido'!D5</f>
        <v>168 - Direccion Asistencial</v>
      </c>
      <c r="H6" s="89"/>
      <c r="I6" s="89"/>
      <c r="J6" s="89"/>
      <c r="K6" s="89"/>
      <c r="L6" s="89"/>
      <c r="M6" s="89"/>
      <c r="N6" s="89"/>
      <c r="O6" s="89"/>
      <c r="P6" s="89"/>
      <c r="Q6" s="89"/>
    </row>
    <row r="7" spans="1:17" s="90" customFormat="1" ht="18" customHeight="1" thickBot="1">
      <c r="A7" s="91" t="s">
        <v>60</v>
      </c>
      <c r="B7" s="92"/>
      <c r="C7" s="92"/>
      <c r="D7" s="92"/>
      <c r="E7" s="92"/>
      <c r="F7" s="93"/>
      <c r="G7" s="89" t="str">
        <f>'[1] NotaPedido'!D6</f>
        <v>Servicio de Nutricion</v>
      </c>
      <c r="H7" s="89"/>
      <c r="I7" s="89"/>
      <c r="J7" s="89"/>
      <c r="K7" s="89"/>
      <c r="L7" s="89"/>
      <c r="M7" s="89"/>
      <c r="N7" s="89"/>
      <c r="O7" s="89"/>
      <c r="P7" s="89"/>
      <c r="Q7" s="89"/>
    </row>
    <row r="8" spans="1:17" ht="18" customHeight="1" thickBot="1">
      <c r="A8" s="94" t="s">
        <v>77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1:17" ht="18" customHeight="1">
      <c r="A9" s="95" t="s">
        <v>78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6"/>
      <c r="P9" s="96"/>
      <c r="Q9" s="97"/>
    </row>
    <row r="10" spans="1:17" ht="54.75" customHeight="1">
      <c r="A10" s="98" t="str">
        <f>"Autorizo la realización de los  trámites correspondientes, a fin de proveer a  este Organismo los bienes y/o servicios que se detallan en Nota  de Pedido N° " &amp; '[1]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320 - 2020,  afectando la erogación resultante a los créditos presupuestarios aprobados a favor de esta Unidad Ejecutora, conforme al siguiente detalle: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</row>
    <row r="11" spans="1:17" ht="9" customHeight="1" thickBot="1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customHeight="1" thickBot="1">
      <c r="A12" s="103" t="s">
        <v>79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</row>
    <row r="13" spans="1:17" ht="15.75" customHeight="1" thickBot="1">
      <c r="A13" s="104" t="s">
        <v>80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5" t="s">
        <v>81</v>
      </c>
      <c r="P13" s="105"/>
      <c r="Q13" s="106" t="s">
        <v>82</v>
      </c>
    </row>
    <row r="14" spans="1:17" ht="15.75" customHeight="1" thickBot="1">
      <c r="A14" s="107" t="s">
        <v>83</v>
      </c>
      <c r="B14" s="108" t="s">
        <v>84</v>
      </c>
      <c r="C14" s="108" t="s">
        <v>85</v>
      </c>
      <c r="D14" s="108" t="s">
        <v>86</v>
      </c>
      <c r="E14" s="108" t="s">
        <v>87</v>
      </c>
      <c r="F14" s="108" t="s">
        <v>88</v>
      </c>
      <c r="G14" s="109" t="s">
        <v>89</v>
      </c>
      <c r="H14" s="108" t="s">
        <v>90</v>
      </c>
      <c r="I14" s="108" t="s">
        <v>91</v>
      </c>
      <c r="J14" s="108" t="s">
        <v>92</v>
      </c>
      <c r="K14" s="108" t="s">
        <v>92</v>
      </c>
      <c r="L14" s="108" t="s">
        <v>93</v>
      </c>
      <c r="M14" s="110" t="s">
        <v>94</v>
      </c>
      <c r="N14" s="111" t="s">
        <v>95</v>
      </c>
      <c r="O14" s="105"/>
      <c r="P14" s="105"/>
      <c r="Q14" s="106"/>
    </row>
    <row r="15" spans="1:17" ht="17.25" customHeight="1">
      <c r="A15" s="112">
        <v>33</v>
      </c>
      <c r="B15" s="113"/>
      <c r="C15" s="113"/>
      <c r="D15" s="113">
        <v>2</v>
      </c>
      <c r="E15" s="113"/>
      <c r="F15" s="113">
        <v>4901</v>
      </c>
      <c r="G15" s="113">
        <v>3</v>
      </c>
      <c r="H15" s="113" t="s">
        <v>96</v>
      </c>
      <c r="I15" s="114">
        <v>2</v>
      </c>
      <c r="J15" s="114">
        <v>5</v>
      </c>
      <c r="K15" s="114">
        <v>2</v>
      </c>
      <c r="L15" s="113"/>
      <c r="M15" s="115">
        <v>1</v>
      </c>
      <c r="N15" s="113" t="s">
        <v>97</v>
      </c>
      <c r="O15" s="116" t="s">
        <v>98</v>
      </c>
      <c r="P15" s="116"/>
      <c r="Q15" s="117">
        <v>422646</v>
      </c>
    </row>
    <row r="16" spans="1:17" ht="17.25" customHeight="1">
      <c r="A16" s="118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20"/>
      <c r="N16" s="121"/>
      <c r="O16" s="122"/>
      <c r="P16" s="122"/>
      <c r="Q16" s="123"/>
    </row>
    <row r="17" spans="1:18" ht="17.25" customHeight="1">
      <c r="A17" s="118"/>
      <c r="B17" s="119"/>
      <c r="C17" s="119"/>
      <c r="D17" s="119"/>
      <c r="E17" s="119"/>
      <c r="F17" s="121"/>
      <c r="G17" s="119"/>
      <c r="H17" s="119"/>
      <c r="I17" s="119"/>
      <c r="J17" s="119"/>
      <c r="K17" s="119"/>
      <c r="L17" s="119"/>
      <c r="M17" s="120"/>
      <c r="N17" s="121"/>
      <c r="O17" s="122"/>
      <c r="P17" s="122"/>
      <c r="Q17" s="123"/>
    </row>
    <row r="18" spans="1:18" ht="17.25" customHeight="1">
      <c r="A18" s="118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20"/>
      <c r="N18" s="121"/>
      <c r="O18" s="122"/>
      <c r="P18" s="122"/>
      <c r="Q18" s="123"/>
    </row>
    <row r="19" spans="1:18" ht="17.25" customHeight="1">
      <c r="A19" s="118"/>
      <c r="B19" s="119"/>
      <c r="C19" s="119"/>
      <c r="D19" s="119"/>
      <c r="E19" s="119"/>
      <c r="F19" s="121"/>
      <c r="G19" s="119"/>
      <c r="H19" s="119"/>
      <c r="I19" s="119"/>
      <c r="J19" s="119"/>
      <c r="K19" s="119"/>
      <c r="L19" s="119"/>
      <c r="M19" s="120"/>
      <c r="N19" s="121"/>
      <c r="O19" s="122"/>
      <c r="P19" s="122"/>
      <c r="Q19" s="123"/>
    </row>
    <row r="20" spans="1:18" ht="17.25" customHeight="1">
      <c r="A20" s="118"/>
      <c r="B20" s="119"/>
      <c r="C20" s="119"/>
      <c r="D20" s="119"/>
      <c r="E20" s="119"/>
      <c r="F20" s="121"/>
      <c r="G20" s="119"/>
      <c r="H20" s="119"/>
      <c r="I20" s="119"/>
      <c r="J20" s="119"/>
      <c r="K20" s="119"/>
      <c r="L20" s="119"/>
      <c r="M20" s="120"/>
      <c r="N20" s="121"/>
      <c r="O20" s="122"/>
      <c r="P20" s="122"/>
      <c r="Q20" s="123"/>
    </row>
    <row r="21" spans="1:18" ht="17.25" customHeight="1">
      <c r="A21" s="124"/>
      <c r="B21" s="125"/>
      <c r="C21" s="125"/>
      <c r="D21" s="125"/>
      <c r="E21" s="125"/>
      <c r="F21" s="126"/>
      <c r="G21" s="125"/>
      <c r="H21" s="125"/>
      <c r="I21" s="125"/>
      <c r="J21" s="125"/>
      <c r="K21" s="125"/>
      <c r="L21" s="125"/>
      <c r="M21" s="127"/>
      <c r="N21" s="128"/>
      <c r="O21" s="129"/>
      <c r="P21" s="129"/>
      <c r="Q21" s="123"/>
      <c r="R21" s="96"/>
    </row>
    <row r="22" spans="1:18" ht="17.25" customHeight="1" thickBot="1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2"/>
      <c r="N22" s="131"/>
      <c r="O22" s="133"/>
      <c r="P22" s="133"/>
      <c r="Q22" s="134"/>
    </row>
    <row r="23" spans="1:18" ht="31.5" customHeight="1" thickBot="1">
      <c r="A23" s="135" t="s">
        <v>99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>
        <v>422646</v>
      </c>
    </row>
    <row r="24" spans="1:18" ht="18" customHeight="1" thickBo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</row>
    <row r="25" spans="1:18" ht="17.25" customHeight="1" thickBot="1">
      <c r="A25" s="138" t="s">
        <v>100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>
      <c r="A26" s="142" t="s">
        <v>101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thickBot="1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O22:P22"/>
    <mergeCell ref="A23:P23"/>
    <mergeCell ref="A24:Q24"/>
    <mergeCell ref="A25:F25"/>
    <mergeCell ref="G25:Q25"/>
    <mergeCell ref="A26:Q27"/>
    <mergeCell ref="O16:P16"/>
    <mergeCell ref="O17:P17"/>
    <mergeCell ref="O18:P18"/>
    <mergeCell ref="O19:P19"/>
    <mergeCell ref="O20:P20"/>
    <mergeCell ref="O21:P21"/>
    <mergeCell ref="A10:Q10"/>
    <mergeCell ref="A12:Q12"/>
    <mergeCell ref="A13:N13"/>
    <mergeCell ref="O13:P14"/>
    <mergeCell ref="Q13:Q14"/>
    <mergeCell ref="O15:P15"/>
    <mergeCell ref="A6:F6"/>
    <mergeCell ref="G6:Q6"/>
    <mergeCell ref="A7:F7"/>
    <mergeCell ref="G7:Q7"/>
    <mergeCell ref="A8:Q8"/>
    <mergeCell ref="A9:N9"/>
    <mergeCell ref="A1:C1"/>
    <mergeCell ref="D1:E1"/>
    <mergeCell ref="P1:Q2"/>
    <mergeCell ref="A4:F4"/>
    <mergeCell ref="G4:Q4"/>
    <mergeCell ref="A5:F5"/>
    <mergeCell ref="G5:Q5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1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ALIMENTACION ENTERAL NT </vt:lpstr>
      <vt:lpstr>ALIMENTACION ENTERAL NPYE</vt:lpstr>
      <vt:lpstr>ALIMENTACION ENTERAL APG</vt:lpstr>
      <vt:lpstr>'ALIMENTACION ENTERAL APG'!Área_de_impresión</vt:lpstr>
      <vt:lpstr>'ALIMENTACION ENTERAL NPYE'!Área_de_impresión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dcterms:created xsi:type="dcterms:W3CDTF">2021-02-08T13:32:34Z</dcterms:created>
  <dcterms:modified xsi:type="dcterms:W3CDTF">2021-02-08T13:35:10Z</dcterms:modified>
</cp:coreProperties>
</file>