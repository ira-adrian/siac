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6F6E108D-3815-4078-A4AD-95ED9E3FD9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Nota de Pedido" sheetId="2" r:id="rId2"/>
    <sheet name="APG" sheetId="3" r:id="rId3"/>
  </sheets>
  <definedNames>
    <definedName name="_xlnm.Print_Area" localSheetId="2">APG!$A$1:$Q$24</definedName>
  </definedNames>
  <calcPr calcId="181029"/>
</workbook>
</file>

<file path=xl/calcChain.xml><?xml version="1.0" encoding="utf-8"?>
<calcChain xmlns="http://schemas.openxmlformats.org/spreadsheetml/2006/main">
  <c r="I15" i="2" l="1"/>
  <c r="K14" i="2" l="1"/>
  <c r="C16" i="2" l="1"/>
  <c r="B13" i="2" l="1"/>
  <c r="B14" i="2"/>
  <c r="B15" i="2"/>
  <c r="B16" i="2"/>
  <c r="B17" i="2"/>
  <c r="B12" i="2"/>
  <c r="K13" i="2"/>
  <c r="K15" i="2"/>
  <c r="K16" i="2"/>
  <c r="K17" i="2"/>
  <c r="K12" i="2"/>
  <c r="J13" i="2"/>
  <c r="J14" i="2"/>
  <c r="J15" i="2"/>
  <c r="J16" i="2"/>
  <c r="J17" i="2"/>
  <c r="J12" i="2"/>
  <c r="C13" i="2"/>
  <c r="C14" i="2"/>
  <c r="C15" i="2"/>
  <c r="C17" i="2"/>
  <c r="C12" i="2"/>
  <c r="I10" i="1"/>
  <c r="J18" i="2" l="1"/>
  <c r="L12" i="2"/>
  <c r="L13" i="2"/>
  <c r="L14" i="2"/>
  <c r="L15" i="2"/>
  <c r="L16" i="2"/>
  <c r="L17" i="2"/>
  <c r="I15" i="1"/>
  <c r="L18" i="2" l="1"/>
  <c r="Q19" i="3"/>
  <c r="I14" i="1"/>
  <c r="I13" i="1"/>
  <c r="I12" i="1"/>
  <c r="I11" i="1"/>
</calcChain>
</file>

<file path=xl/sharedStrings.xml><?xml version="1.0" encoding="utf-8"?>
<sst xmlns="http://schemas.openxmlformats.org/spreadsheetml/2006/main" count="134" uniqueCount="96">
  <si>
    <t>Pedido de Necesidades Trimestrales</t>
  </si>
  <si>
    <t>JURISDICCION:</t>
  </si>
  <si>
    <t>040 - Ministerio de Salud</t>
  </si>
  <si>
    <t xml:space="preserve">SAF N°: </t>
  </si>
  <si>
    <t>024 - Hospital Interzonal de Niños</t>
  </si>
  <si>
    <t>EJERCICIO:</t>
  </si>
  <si>
    <t>TRIMESTRE:</t>
  </si>
  <si>
    <t>ID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</si>
  <si>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</si>
  <si>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</si>
  <si>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</si>
  <si>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</si>
  <si>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</si>
  <si>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</si>
  <si>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</si>
  <si>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</si>
  <si>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</si>
  <si>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</si>
  <si>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</si>
  <si>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</si>
  <si>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</si>
  <si>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</si>
  <si>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</si>
  <si>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</si>
  <si>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</si>
  <si>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</si>
  <si>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</si>
  <si>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</si>
  <si>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</si>
  <si>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</si>
  <si>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</si>
  <si>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</si>
  <si>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</si>
  <si>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</si>
  <si>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</si>
  <si>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</si>
  <si>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</si>
  <si>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</si>
  <si>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</si>
  <si>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</si>
  <si>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</si>
  <si>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</si>
  <si>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</si>
  <si>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</si>
  <si>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</si>
  <si>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</si>
  <si>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</si>
  <si>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</si>
  <si>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</si>
  <si>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</si>
  <si>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</si>
  <si>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</si>
  <si>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</si>
  <si>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</si>
  <si>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</si>
  <si>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Plazos y lugares de entrega</t>
  </si>
  <si>
    <t>024- Hospital Interzonal de Niños</t>
  </si>
  <si>
    <t xml:space="preserve">2 do Trimestre </t>
  </si>
  <si>
    <t xml:space="preserve">040- Ministerio de Slud </t>
  </si>
  <si>
    <t>040- Ministerio de Salud</t>
  </si>
  <si>
    <t>2.2.1</t>
  </si>
  <si>
    <t>Metro</t>
  </si>
  <si>
    <t>INDUMENT TEXTIL Y CONFECCIONES</t>
  </si>
  <si>
    <t>HILO DE ALGODON; PRESENTACION: CONO, USO: P/COSER, LARGO: 4000 M, TONALIDAD: BLANCO, NUMERO: 16</t>
  </si>
  <si>
    <t>Servicio de Economato</t>
  </si>
  <si>
    <t>Telas e Hilos</t>
  </si>
  <si>
    <t xml:space="preserve">Autorizo la realización de los  trámites correspondientes, a fin de proveer a  este Organismo los bienes y/o servicios que se detallan en Nota  de Pedido N° 47/2021,  afectando la erogación resultante a los créditos presupuestarios aprobados a favor de esta Unidad Ejecutora, conforme al siguiente detalle:                
</t>
  </si>
  <si>
    <t>Para la adquisición de TELAS E HILOS  destinados al servico de Economato del Hospital Interzonal de Niños Eva Peron, para el normal funcionamiento del organismo.</t>
  </si>
  <si>
    <t>2.2.1-1053.37</t>
  </si>
  <si>
    <t>2.2.1-1052.55</t>
  </si>
  <si>
    <t>ELASTICO; PRESENTACION: ROLLO X 25 M, ANCHO: 2,5 Cm</t>
  </si>
  <si>
    <t>2.2.9.2298.2</t>
  </si>
  <si>
    <t>2.2.9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</si>
  <si>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</si>
  <si>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t>2.2.1-2617.31</t>
  </si>
  <si>
    <t>HILO DE POLIESTER; PRESENTACION: CONO, USO: P/COSER, NUMERO: SIN VALOR, LARGO: 1000 M, TONALIDAD: VERDE OLIVA</t>
  </si>
  <si>
    <t>TELA DE ALGODON; ANCHO: 1,60 M, LARGO: POR METRO</t>
  </si>
  <si>
    <t>Descripción técnica</t>
  </si>
  <si>
    <t>Especificidades Item N° 1:</t>
  </si>
  <si>
    <t>Especificidades Item N° 4:</t>
  </si>
  <si>
    <t>Especificidades Item N° 5:</t>
  </si>
  <si>
    <t>Elastico Ancho de Algodón</t>
  </si>
  <si>
    <t xml:space="preserve">Tela Algodón color Verde Cirugia </t>
  </si>
  <si>
    <t>TOTAL DE PESOS: DOSCIENTOS TREINTA Y CUATRO MIL OCHOCIENTOS TREINTA Y CINCO CON 00/100.</t>
  </si>
  <si>
    <t>2.2.1-9956.61</t>
  </si>
  <si>
    <t>TELAS TEXTILES; TIPO: ALGODON POLIESTER, ANCHO: 1,50 M, LARGO: 50 M</t>
  </si>
  <si>
    <t>Rollo</t>
  </si>
  <si>
    <t>2.2.1-2617.19</t>
  </si>
  <si>
    <t>TELA DE ALGODON; ANCHO: 1,5 M, LARGO ROLLO: X METRO, LARGO: X METRO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</si>
  <si>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 Dentro de los 10 días corridos de notificada la Orden de Compra. A los fines de garantizar la atencion y el funcionamiento integro de los servicios de Salud que surgen originadas principalmente en las Urgencias, en el rol de Servicio Esencial por la situacion de Pandemia Covid-19.</t>
    </r>
  </si>
  <si>
    <r>
      <t>Mantenimiento de Oferta:</t>
    </r>
    <r>
      <rPr>
        <sz val="10"/>
        <rFont val="Times New Roman"/>
        <family val="1"/>
      </rPr>
      <t xml:space="preserve"> 45 dias habiles</t>
    </r>
  </si>
  <si>
    <t>TELA NIDO DE ABEJA, DE GRAMOS CHICOS - COLOR BLANCO - ROLLOS DE 1,50 METROS DE ANCHO X 50 METROS DE LARGO</t>
  </si>
  <si>
    <t>Especificidades Item N° 6:</t>
  </si>
  <si>
    <t>TELA PARA SABANAS COLOR BLANCO COMPOSICIÓN 75% POLIESTER - 25% ALGODÓN - DE 1,50 METROS DE ANCHO</t>
  </si>
  <si>
    <t xml:space="preserve">COSTO TOTAL ESTIMADO : DOSCIENTOS TREINTA Y CUATRO MIL OCHOCIENTOS TREINTA Y CINCO CON 00/100 : </t>
  </si>
  <si>
    <t>47/2021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</si>
</sst>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&quot;$&quot;#,##0.00"/>
    <numFmt numFmtId="166" formatCode="_ [$$-2C0A]\ * #,##0.00_ ;_ [$$-2C0A]\ * \-#,##0.00_ ;_ [$$-2C0A]\ * &quot;-&quot;??_ ;_ @_ "/>
    <numFmt numFmtId="167" formatCode="[$$-2C0A]\ #,##0.00;[$$-2C0A]&quot; -&quot;#,##0.00"/>
    <numFmt numFmtId="168" formatCode="dd\-mm\-yy;@"/>
    <numFmt numFmtId="169" formatCode="_(\$* #,##0.00_);_(\$* \(#,##0.00\);_(\$* \-??_);_(@_)"/>
    <numFmt numFmtId="170" formatCode="&quot;$&quot;\ 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Bookman Old Style"/>
      <family val="1"/>
    </font>
    <font>
      <sz val="1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u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medium">
        <color rgb="FF3D3D3D"/>
      </right>
      <top style="thin">
        <color rgb="FF3D3D3D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rgb="FF3D3D3D"/>
      </right>
      <top style="thin">
        <color rgb="FF3D3D3D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3D3D3D"/>
      </left>
      <right/>
      <top/>
      <bottom style="thin">
        <color rgb="FF3D3D3D"/>
      </bottom>
      <diagonal/>
    </border>
    <border>
      <left/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9" fontId="16" fillId="0" borderId="0" applyBorder="0" applyProtection="0"/>
    <xf numFmtId="0" fontId="10" fillId="0" borderId="0"/>
  </cellStyleXfs>
  <cellXfs count="196">
    <xf numFmtId="0" fontId="0" fillId="0" borderId="0" xfId="0"/>
    <xf numFmtId="0" fontId="3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6" fillId="2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0" fontId="11" fillId="3" borderId="2" xfId="0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15" fillId="3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3" fontId="17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2" xfId="0" applyBorder="1"/>
    <xf numFmtId="0" fontId="0" fillId="0" borderId="20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21" xfId="0" applyBorder="1"/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3" xfId="0" applyBorder="1"/>
    <xf numFmtId="0" fontId="3" fillId="0" borderId="0" xfId="0" applyFont="1" applyAlignment="1">
      <alignment horizontal="center"/>
    </xf>
    <xf numFmtId="0" fontId="8" fillId="3" borderId="0" xfId="0" applyFont="1" applyFill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0" fillId="2" borderId="35" xfId="0" applyFont="1" applyFill="1" applyBorder="1" applyAlignment="1">
      <alignment horizontal="center" vertical="center"/>
    </xf>
    <xf numFmtId="0" fontId="0" fillId="2" borderId="36" xfId="0" applyFont="1" applyFill="1" applyBorder="1" applyAlignment="1">
      <alignment horizontal="center" vertical="center"/>
    </xf>
    <xf numFmtId="0" fontId="0" fillId="3" borderId="36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22" fillId="0" borderId="40" xfId="0" applyFont="1" applyBorder="1" applyAlignment="1">
      <alignment horizontal="left" indent="3"/>
    </xf>
    <xf numFmtId="0" fontId="3" fillId="0" borderId="41" xfId="0" applyFont="1" applyBorder="1"/>
    <xf numFmtId="0" fontId="3" fillId="0" borderId="42" xfId="0" applyFont="1" applyBorder="1"/>
    <xf numFmtId="0" fontId="3" fillId="0" borderId="45" xfId="0" applyFont="1" applyBorder="1" applyAlignment="1">
      <alignment horizontal="left" indent="3"/>
    </xf>
    <xf numFmtId="0" fontId="3" fillId="0" borderId="46" xfId="0" applyFont="1" applyBorder="1"/>
    <xf numFmtId="0" fontId="3" fillId="0" borderId="47" xfId="0" applyFont="1" applyBorder="1"/>
    <xf numFmtId="0" fontId="15" fillId="3" borderId="11" xfId="0" applyFont="1" applyFill="1" applyBorder="1" applyAlignment="1">
      <alignment horizontal="center" vertical="center"/>
    </xf>
    <xf numFmtId="0" fontId="0" fillId="0" borderId="13" xfId="0" applyBorder="1" applyAlignment="1"/>
    <xf numFmtId="0" fontId="0" fillId="4" borderId="0" xfId="0" applyFill="1"/>
    <xf numFmtId="170" fontId="0" fillId="0" borderId="0" xfId="0" applyNumberFormat="1"/>
    <xf numFmtId="0" fontId="15" fillId="0" borderId="11" xfId="0" applyFont="1" applyFill="1" applyBorder="1" applyAlignment="1">
      <alignment horizontal="center" vertical="center"/>
    </xf>
    <xf numFmtId="0" fontId="3" fillId="0" borderId="0" xfId="0" applyFont="1" applyFill="1"/>
    <xf numFmtId="0" fontId="0" fillId="0" borderId="0" xfId="0" applyFill="1"/>
    <xf numFmtId="167" fontId="0" fillId="0" borderId="37" xfId="2" applyNumberFormat="1" applyFont="1" applyBorder="1" applyAlignment="1" applyProtection="1">
      <alignment vertical="center"/>
    </xf>
    <xf numFmtId="170" fontId="0" fillId="0" borderId="13" xfId="1" applyNumberFormat="1" applyFont="1" applyBorder="1" applyAlignment="1"/>
    <xf numFmtId="167" fontId="0" fillId="0" borderId="30" xfId="2" applyNumberFormat="1" applyFont="1" applyBorder="1" applyAlignment="1" applyProtection="1">
      <alignment vertical="center"/>
    </xf>
    <xf numFmtId="167" fontId="21" fillId="0" borderId="31" xfId="0" applyNumberFormat="1" applyFont="1" applyBorder="1" applyAlignment="1">
      <alignment vertical="center"/>
    </xf>
    <xf numFmtId="0" fontId="22" fillId="0" borderId="41" xfId="0" applyFont="1" applyBorder="1" applyAlignment="1">
      <alignment horizontal="left" indent="3"/>
    </xf>
    <xf numFmtId="0" fontId="3" fillId="0" borderId="46" xfId="0" applyFont="1" applyBorder="1" applyAlignment="1">
      <alignment horizontal="left" indent="3"/>
    </xf>
    <xf numFmtId="0" fontId="3" fillId="0" borderId="43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22" fillId="0" borderId="43" xfId="0" applyFont="1" applyBorder="1" applyAlignment="1">
      <alignment horizontal="left" wrapText="1"/>
    </xf>
    <xf numFmtId="0" fontId="0" fillId="0" borderId="0" xfId="0" applyBorder="1" applyAlignment="1">
      <alignment horizontal="center"/>
    </xf>
    <xf numFmtId="0" fontId="0" fillId="0" borderId="44" xfId="0" applyBorder="1"/>
    <xf numFmtId="0" fontId="0" fillId="0" borderId="43" xfId="0" applyBorder="1"/>
    <xf numFmtId="0" fontId="0" fillId="0" borderId="45" xfId="0" applyBorder="1"/>
    <xf numFmtId="0" fontId="0" fillId="0" borderId="46" xfId="0" applyBorder="1"/>
    <xf numFmtId="0" fontId="0" fillId="0" borderId="46" xfId="0" applyBorder="1" applyAlignment="1">
      <alignment horizontal="center"/>
    </xf>
    <xf numFmtId="0" fontId="0" fillId="0" borderId="47" xfId="0" applyBorder="1"/>
    <xf numFmtId="0" fontId="23" fillId="0" borderId="13" xfId="0" applyFont="1" applyFill="1" applyBorder="1" applyAlignment="1">
      <alignment horizontal="center" wrapText="1"/>
    </xf>
    <xf numFmtId="0" fontId="24" fillId="0" borderId="13" xfId="0" applyFont="1" applyFill="1" applyBorder="1" applyAlignment="1">
      <alignment horizontal="left" wrapText="1"/>
    </xf>
    <xf numFmtId="0" fontId="24" fillId="0" borderId="13" xfId="0" applyFont="1" applyFill="1" applyBorder="1" applyAlignment="1">
      <alignment horizontal="center"/>
    </xf>
    <xf numFmtId="165" fontId="24" fillId="0" borderId="13" xfId="0" applyNumberFormat="1" applyFont="1" applyFill="1" applyBorder="1" applyAlignment="1">
      <alignment horizontal="center"/>
    </xf>
    <xf numFmtId="0" fontId="24" fillId="0" borderId="13" xfId="0" applyFont="1" applyFill="1" applyBorder="1" applyAlignment="1">
      <alignment horizontal="left" vertical="center" wrapText="1"/>
    </xf>
    <xf numFmtId="0" fontId="23" fillId="0" borderId="13" xfId="0" applyFont="1" applyBorder="1" applyAlignment="1">
      <alignment horizontal="center" wrapText="1"/>
    </xf>
    <xf numFmtId="0" fontId="24" fillId="0" borderId="13" xfId="0" applyFont="1" applyBorder="1" applyAlignment="1">
      <alignment horizontal="left" wrapText="1"/>
    </xf>
    <xf numFmtId="0" fontId="24" fillId="0" borderId="13" xfId="0" applyFont="1" applyBorder="1" applyAlignment="1">
      <alignment horizontal="center"/>
    </xf>
    <xf numFmtId="165" fontId="24" fillId="0" borderId="13" xfId="0" applyNumberFormat="1" applyFont="1" applyBorder="1" applyAlignment="1">
      <alignment horizont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wrapText="1"/>
    </xf>
    <xf numFmtId="0" fontId="3" fillId="0" borderId="44" xfId="0" applyFont="1" applyBorder="1" applyAlignment="1">
      <alignment horizontal="left" wrapText="1"/>
    </xf>
    <xf numFmtId="0" fontId="22" fillId="0" borderId="43" xfId="0" applyFont="1" applyBorder="1" applyAlignment="1">
      <alignment horizontal="left" wrapText="1"/>
    </xf>
    <xf numFmtId="0" fontId="23" fillId="0" borderId="11" xfId="0" applyFont="1" applyFill="1" applyBorder="1" applyAlignment="1">
      <alignment horizontal="center" wrapText="1"/>
    </xf>
    <xf numFmtId="0" fontId="24" fillId="0" borderId="11" xfId="0" applyFont="1" applyFill="1" applyBorder="1" applyAlignment="1">
      <alignment horizontal="left" wrapText="1"/>
    </xf>
    <xf numFmtId="0" fontId="24" fillId="0" borderId="11" xfId="0" applyFont="1" applyFill="1" applyBorder="1" applyAlignment="1">
      <alignment horizontal="center"/>
    </xf>
    <xf numFmtId="165" fontId="24" fillId="0" borderId="11" xfId="0" applyNumberFormat="1" applyFont="1" applyFill="1" applyBorder="1" applyAlignment="1">
      <alignment horizontal="center"/>
    </xf>
    <xf numFmtId="166" fontId="23" fillId="0" borderId="51" xfId="1" applyNumberFormat="1" applyFont="1" applyFill="1" applyBorder="1"/>
    <xf numFmtId="0" fontId="15" fillId="3" borderId="13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166" fontId="23" fillId="0" borderId="52" xfId="1" applyNumberFormat="1" applyFont="1" applyFill="1" applyBorder="1"/>
    <xf numFmtId="166" fontId="23" fillId="0" borderId="52" xfId="1" applyNumberFormat="1" applyFont="1" applyBorder="1"/>
    <xf numFmtId="0" fontId="15" fillId="3" borderId="54" xfId="0" applyFont="1" applyFill="1" applyBorder="1" applyAlignment="1">
      <alignment horizontal="center" vertical="center"/>
    </xf>
    <xf numFmtId="0" fontId="23" fillId="0" borderId="54" xfId="0" applyFont="1" applyFill="1" applyBorder="1" applyAlignment="1">
      <alignment horizontal="center" wrapText="1"/>
    </xf>
    <xf numFmtId="0" fontId="15" fillId="0" borderId="54" xfId="0" applyFont="1" applyFill="1" applyBorder="1" applyAlignment="1">
      <alignment horizontal="center" vertical="center"/>
    </xf>
    <xf numFmtId="0" fontId="24" fillId="0" borderId="54" xfId="0" applyFont="1" applyFill="1" applyBorder="1" applyAlignment="1">
      <alignment horizontal="center"/>
    </xf>
    <xf numFmtId="165" fontId="24" fillId="0" borderId="54" xfId="0" applyNumberFormat="1" applyFont="1" applyFill="1" applyBorder="1" applyAlignment="1">
      <alignment horizontal="center"/>
    </xf>
    <xf numFmtId="166" fontId="23" fillId="0" borderId="55" xfId="1" applyNumberFormat="1" applyFont="1" applyFill="1" applyBorder="1"/>
    <xf numFmtId="0" fontId="23" fillId="0" borderId="10" xfId="0" applyFont="1" applyFill="1" applyBorder="1" applyAlignment="1">
      <alignment horizontal="center" vertical="center"/>
    </xf>
    <xf numFmtId="0" fontId="23" fillId="0" borderId="12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5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6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5" fillId="3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165" fontId="9" fillId="0" borderId="54" xfId="0" applyNumberFormat="1" applyFont="1" applyBorder="1" applyAlignment="1">
      <alignment horizontal="right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165" fontId="9" fillId="0" borderId="11" xfId="0" applyNumberFormat="1" applyFont="1" applyBorder="1" applyAlignment="1">
      <alignment horizontal="right" vertical="center"/>
    </xf>
    <xf numFmtId="165" fontId="9" fillId="0" borderId="13" xfId="0" applyNumberFormat="1" applyFont="1" applyBorder="1" applyAlignment="1">
      <alignment horizontal="right" vertical="center"/>
    </xf>
    <xf numFmtId="0" fontId="22" fillId="0" borderId="43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44" xfId="0" applyFont="1" applyBorder="1" applyAlignment="1">
      <alignment horizontal="left" wrapText="1"/>
    </xf>
    <xf numFmtId="0" fontId="3" fillId="0" borderId="0" xfId="0" applyFont="1" applyFill="1" applyBorder="1" applyAlignment="1">
      <alignment horizontal="center" wrapText="1"/>
    </xf>
    <xf numFmtId="0" fontId="22" fillId="0" borderId="40" xfId="0" applyFont="1" applyBorder="1" applyAlignment="1">
      <alignment horizontal="left" wrapText="1"/>
    </xf>
    <xf numFmtId="0" fontId="22" fillId="0" borderId="41" xfId="0" applyFont="1" applyBorder="1" applyAlignment="1">
      <alignment horizontal="left" wrapText="1"/>
    </xf>
    <xf numFmtId="0" fontId="22" fillId="0" borderId="42" xfId="0" applyFont="1" applyBorder="1" applyAlignment="1">
      <alignment horizontal="left" wrapText="1"/>
    </xf>
    <xf numFmtId="0" fontId="4" fillId="0" borderId="0" xfId="0" applyFont="1" applyBorder="1" applyAlignment="1">
      <alignment horizontal="left"/>
    </xf>
    <xf numFmtId="0" fontId="3" fillId="2" borderId="43" xfId="3" applyFont="1" applyFill="1" applyBorder="1" applyAlignment="1">
      <alignment horizontal="left" wrapText="1"/>
    </xf>
    <xf numFmtId="0" fontId="3" fillId="2" borderId="0" xfId="3" applyFont="1" applyFill="1" applyBorder="1" applyAlignment="1">
      <alignment horizontal="left" wrapText="1"/>
    </xf>
    <xf numFmtId="0" fontId="3" fillId="2" borderId="44" xfId="3" applyFont="1" applyFill="1" applyBorder="1" applyAlignment="1">
      <alignment horizontal="left" wrapText="1"/>
    </xf>
    <xf numFmtId="0" fontId="4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left" wrapText="1" indent="1"/>
    </xf>
    <xf numFmtId="0" fontId="22" fillId="0" borderId="43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44" xfId="0" applyFont="1" applyBorder="1" applyAlignment="1">
      <alignment horizontal="left"/>
    </xf>
    <xf numFmtId="0" fontId="8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3" fillId="2" borderId="43" xfId="3" applyFont="1" applyFill="1" applyBorder="1" applyAlignment="1">
      <alignment wrapText="1"/>
    </xf>
    <xf numFmtId="0" fontId="3" fillId="2" borderId="0" xfId="3" applyFont="1" applyFill="1" applyBorder="1" applyAlignment="1">
      <alignment wrapText="1"/>
    </xf>
    <xf numFmtId="0" fontId="3" fillId="2" borderId="44" xfId="3" applyFont="1" applyFill="1" applyBorder="1" applyAlignment="1">
      <alignment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5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/>
    </xf>
    <xf numFmtId="0" fontId="14" fillId="3" borderId="57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 indent="1"/>
    </xf>
    <xf numFmtId="0" fontId="13" fillId="3" borderId="6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 wrapText="1" inden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/>
    </xf>
    <xf numFmtId="170" fontId="2" fillId="0" borderId="60" xfId="0" applyNumberFormat="1" applyFont="1" applyBorder="1" applyAlignment="1">
      <alignment horizontal="center"/>
    </xf>
    <xf numFmtId="170" fontId="2" fillId="0" borderId="61" xfId="0" applyNumberFormat="1" applyFont="1" applyBorder="1" applyAlignment="1">
      <alignment horizontal="center"/>
    </xf>
    <xf numFmtId="0" fontId="2" fillId="0" borderId="59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9" fillId="0" borderId="11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9" fillId="0" borderId="13" xfId="0" applyFont="1" applyBorder="1" applyAlignment="1">
      <alignment horizontal="left" vertical="center" wrapText="1"/>
    </xf>
    <xf numFmtId="0" fontId="9" fillId="0" borderId="54" xfId="0" applyFont="1" applyBorder="1" applyAlignment="1">
      <alignment horizontal="left" wrapText="1"/>
    </xf>
    <xf numFmtId="0" fontId="19" fillId="0" borderId="18" xfId="0" applyFont="1" applyBorder="1"/>
    <xf numFmtId="0" fontId="0" fillId="0" borderId="14" xfId="0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16" fillId="0" borderId="3" xfId="0" applyFont="1" applyBorder="1"/>
    <xf numFmtId="0" fontId="19" fillId="0" borderId="3" xfId="0" applyFont="1" applyBorder="1" applyAlignment="1">
      <alignment horizontal="left" indent="1"/>
    </xf>
    <xf numFmtId="0" fontId="15" fillId="0" borderId="5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/>
    </xf>
    <xf numFmtId="0" fontId="0" fillId="0" borderId="28" xfId="0" applyBorder="1" applyAlignment="1">
      <alignment horizontal="left" vertical="center"/>
    </xf>
    <xf numFmtId="0" fontId="19" fillId="0" borderId="19" xfId="0" applyFont="1" applyBorder="1" applyAlignment="1">
      <alignment horizontal="left" vertical="center" wrapText="1" indent="1"/>
    </xf>
    <xf numFmtId="0" fontId="21" fillId="0" borderId="2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0" fillId="0" borderId="38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 wrapText="1"/>
    </xf>
    <xf numFmtId="0" fontId="0" fillId="0" borderId="33" xfId="0" applyBorder="1" applyAlignment="1">
      <alignment horizontal="left" wrapText="1"/>
    </xf>
    <xf numFmtId="0" fontId="0" fillId="0" borderId="34" xfId="0" applyBorder="1" applyAlignment="1">
      <alignment horizontal="left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7" fillId="0" borderId="31" xfId="0" applyFont="1" applyBorder="1" applyAlignment="1">
      <alignment horizontal="left" vertical="center" wrapText="1"/>
    </xf>
    <xf numFmtId="0" fontId="0" fillId="0" borderId="22" xfId="0" applyBorder="1"/>
    <xf numFmtId="0" fontId="17" fillId="0" borderId="14" xfId="0" applyFont="1" applyBorder="1" applyAlignment="1">
      <alignment vertical="center" wrapText="1"/>
    </xf>
    <xf numFmtId="0" fontId="17" fillId="0" borderId="32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19" fillId="0" borderId="23" xfId="0" applyFont="1" applyBorder="1" applyAlignment="1">
      <alignment vertical="center" wrapText="1"/>
    </xf>
    <xf numFmtId="0" fontId="19" fillId="2" borderId="31" xfId="0" applyFont="1" applyFill="1" applyBorder="1" applyAlignment="1">
      <alignment horizontal="left" vertical="center" wrapText="1" indent="1"/>
    </xf>
  </cellXfs>
  <cellStyles count="4">
    <cellStyle name="Moneda" xfId="1" builtinId="4"/>
    <cellStyle name="Moneda_AUTORIZACION Y NOTA DE PEDIDO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workbookViewId="0">
      <selection activeCell="G13" sqref="G13"/>
    </sheetView>
  </sheetViews>
  <sheetFormatPr baseColWidth="10" defaultRowHeight="15" x14ac:dyDescent="0.25"/>
  <cols>
    <col min="1" max="1" width="12.28515625" customWidth="1"/>
    <col min="2" max="2" width="14.5703125" customWidth="1"/>
    <col min="3" max="3" width="18.42578125" customWidth="1"/>
    <col min="4" max="4" width="11.42578125" style="37"/>
    <col min="5" max="5" width="54.28515625" customWidth="1"/>
    <col min="9" max="9" width="13.28515625" customWidth="1"/>
  </cols>
  <sheetData>
    <row r="1" spans="1:14" ht="38.25" customHeight="1" x14ac:dyDescent="0.35">
      <c r="A1" s="1"/>
      <c r="B1" s="1"/>
      <c r="C1" s="130" t="s">
        <v>0</v>
      </c>
      <c r="D1" s="130"/>
      <c r="E1" s="130"/>
      <c r="F1" s="130"/>
      <c r="G1" s="130"/>
      <c r="H1" s="130"/>
      <c r="I1" s="130"/>
      <c r="J1" s="1"/>
    </row>
    <row r="2" spans="1:14" ht="27" hidden="1" x14ac:dyDescent="0.35">
      <c r="A2" s="1"/>
      <c r="B2" s="1"/>
      <c r="C2" s="134"/>
      <c r="D2" s="134"/>
      <c r="E2" s="134"/>
      <c r="F2" s="134"/>
      <c r="G2" s="134"/>
      <c r="H2" s="134"/>
      <c r="I2" s="1"/>
      <c r="J2" s="1"/>
    </row>
    <row r="3" spans="1:14" ht="16.5" hidden="1" customHeight="1" x14ac:dyDescent="0.25">
      <c r="A3" s="1"/>
      <c r="B3" s="1"/>
      <c r="C3" s="1"/>
      <c r="D3" s="34"/>
      <c r="E3" s="1"/>
      <c r="F3" s="1"/>
      <c r="G3" s="1"/>
      <c r="H3" s="1"/>
      <c r="I3" s="1"/>
      <c r="J3" s="1"/>
    </row>
    <row r="4" spans="1:14" ht="30.75" customHeight="1" x14ac:dyDescent="0.25">
      <c r="A4" s="139" t="s">
        <v>1</v>
      </c>
      <c r="B4" s="139"/>
      <c r="C4" s="39" t="s">
        <v>2</v>
      </c>
      <c r="D4" s="38"/>
      <c r="E4" s="38"/>
      <c r="F4" s="2"/>
      <c r="G4" s="3"/>
      <c r="H4" s="2"/>
      <c r="I4" s="1"/>
      <c r="J4" s="1"/>
    </row>
    <row r="5" spans="1:14" ht="15.75" x14ac:dyDescent="0.25">
      <c r="A5" s="140" t="s">
        <v>3</v>
      </c>
      <c r="B5" s="140"/>
      <c r="C5" s="135" t="s">
        <v>4</v>
      </c>
      <c r="D5" s="135"/>
      <c r="E5" s="135"/>
      <c r="F5" s="2"/>
      <c r="G5" s="3"/>
      <c r="H5" s="2"/>
      <c r="I5" s="1"/>
      <c r="J5" s="1"/>
    </row>
    <row r="6" spans="1:14" ht="15.75" customHeight="1" x14ac:dyDescent="0.25">
      <c r="A6" s="140" t="s">
        <v>5</v>
      </c>
      <c r="B6" s="140"/>
      <c r="C6" s="4">
        <v>2021</v>
      </c>
      <c r="D6" s="35"/>
      <c r="E6" s="5"/>
      <c r="F6" s="2"/>
      <c r="G6" s="3"/>
      <c r="H6" s="2"/>
      <c r="I6" s="1"/>
      <c r="J6" s="1"/>
    </row>
    <row r="7" spans="1:14" ht="15.75" customHeight="1" x14ac:dyDescent="0.25">
      <c r="A7" s="140" t="s">
        <v>6</v>
      </c>
      <c r="B7" s="140"/>
      <c r="C7" s="4">
        <v>2</v>
      </c>
      <c r="D7" s="35"/>
      <c r="E7" s="5"/>
      <c r="F7" s="2"/>
      <c r="G7" s="3"/>
      <c r="H7" s="2"/>
      <c r="I7" s="1"/>
      <c r="J7" s="1"/>
    </row>
    <row r="8" spans="1:14" ht="15.75" thickBot="1" x14ac:dyDescent="0.3">
      <c r="A8" s="1"/>
      <c r="B8" s="1"/>
      <c r="C8" s="3"/>
      <c r="D8" s="3"/>
      <c r="E8" s="2"/>
      <c r="F8" s="2"/>
      <c r="G8" s="3"/>
      <c r="H8" s="2"/>
      <c r="I8" s="1"/>
      <c r="J8" s="1"/>
    </row>
    <row r="9" spans="1:14" ht="39" thickBot="1" x14ac:dyDescent="0.3">
      <c r="A9" s="82" t="s">
        <v>7</v>
      </c>
      <c r="B9" s="82" t="s">
        <v>25</v>
      </c>
      <c r="C9" s="82" t="s">
        <v>8</v>
      </c>
      <c r="D9" s="82" t="s">
        <v>9</v>
      </c>
      <c r="E9" s="82" t="s">
        <v>10</v>
      </c>
      <c r="F9" s="82" t="s">
        <v>11</v>
      </c>
      <c r="G9" s="82" t="s">
        <v>12</v>
      </c>
      <c r="H9" s="82" t="s">
        <v>13</v>
      </c>
      <c r="I9" s="83" t="s">
        <v>14</v>
      </c>
      <c r="J9" s="1"/>
    </row>
    <row r="10" spans="1:14" ht="30" x14ac:dyDescent="0.3">
      <c r="A10" s="102">
        <v>1</v>
      </c>
      <c r="B10" s="50" t="s">
        <v>71</v>
      </c>
      <c r="C10" s="87" t="s">
        <v>62</v>
      </c>
      <c r="D10" s="54" t="s">
        <v>72</v>
      </c>
      <c r="E10" s="88" t="s">
        <v>70</v>
      </c>
      <c r="F10" s="89" t="s">
        <v>15</v>
      </c>
      <c r="G10" s="89">
        <v>2</v>
      </c>
      <c r="H10" s="90">
        <v>700</v>
      </c>
      <c r="I10" s="91">
        <f>+H10*G10</f>
        <v>1400</v>
      </c>
      <c r="J10" s="55"/>
      <c r="K10" s="56"/>
      <c r="L10" s="56"/>
      <c r="M10" s="56"/>
    </row>
    <row r="11" spans="1:14" s="52" customFormat="1" ht="45" x14ac:dyDescent="0.3">
      <c r="A11" s="103">
        <v>2</v>
      </c>
      <c r="B11" s="92" t="s">
        <v>68</v>
      </c>
      <c r="C11" s="73" t="s">
        <v>62</v>
      </c>
      <c r="D11" s="93" t="s">
        <v>60</v>
      </c>
      <c r="E11" s="74" t="s">
        <v>63</v>
      </c>
      <c r="F11" s="75" t="s">
        <v>15</v>
      </c>
      <c r="G11" s="75">
        <v>5</v>
      </c>
      <c r="H11" s="76">
        <v>267</v>
      </c>
      <c r="I11" s="94">
        <f t="shared" ref="I11:I15" si="0">+H11*G11</f>
        <v>1335</v>
      </c>
      <c r="J11" s="55"/>
      <c r="K11" s="56"/>
      <c r="L11" s="56"/>
      <c r="M11" s="56"/>
      <c r="N11" s="56"/>
    </row>
    <row r="12" spans="1:14" ht="45" x14ac:dyDescent="0.3">
      <c r="A12" s="103">
        <v>3</v>
      </c>
      <c r="B12" s="92" t="s">
        <v>69</v>
      </c>
      <c r="C12" s="73" t="s">
        <v>62</v>
      </c>
      <c r="D12" s="93" t="s">
        <v>60</v>
      </c>
      <c r="E12" s="77" t="s">
        <v>75</v>
      </c>
      <c r="F12" s="75" t="s">
        <v>15</v>
      </c>
      <c r="G12" s="75">
        <v>26</v>
      </c>
      <c r="H12" s="76">
        <v>250</v>
      </c>
      <c r="I12" s="94">
        <f t="shared" si="0"/>
        <v>6500</v>
      </c>
      <c r="J12" s="55"/>
      <c r="K12" s="56"/>
      <c r="L12" s="56"/>
      <c r="M12" s="56"/>
    </row>
    <row r="13" spans="1:14" ht="30.75" x14ac:dyDescent="0.3">
      <c r="A13" s="104">
        <v>4</v>
      </c>
      <c r="B13" s="108" t="s">
        <v>87</v>
      </c>
      <c r="C13" s="78" t="s">
        <v>62</v>
      </c>
      <c r="D13" s="92" t="s">
        <v>60</v>
      </c>
      <c r="E13" s="106" t="s">
        <v>88</v>
      </c>
      <c r="F13" s="80" t="s">
        <v>86</v>
      </c>
      <c r="G13" s="80">
        <v>3</v>
      </c>
      <c r="H13" s="76">
        <v>31500</v>
      </c>
      <c r="I13" s="95">
        <f t="shared" si="0"/>
        <v>94500</v>
      </c>
      <c r="J13" s="1"/>
    </row>
    <row r="14" spans="1:14" ht="30" x14ac:dyDescent="0.3">
      <c r="A14" s="104">
        <v>5</v>
      </c>
      <c r="B14" s="92" t="s">
        <v>74</v>
      </c>
      <c r="C14" s="78" t="s">
        <v>62</v>
      </c>
      <c r="D14" s="92" t="s">
        <v>60</v>
      </c>
      <c r="E14" s="79" t="s">
        <v>76</v>
      </c>
      <c r="F14" s="80" t="s">
        <v>61</v>
      </c>
      <c r="G14" s="80">
        <v>150</v>
      </c>
      <c r="H14" s="81">
        <v>570</v>
      </c>
      <c r="I14" s="95">
        <f t="shared" si="0"/>
        <v>85500</v>
      </c>
      <c r="J14" s="1"/>
    </row>
    <row r="15" spans="1:14" ht="31.5" thickBot="1" x14ac:dyDescent="0.35">
      <c r="A15" s="105">
        <v>6</v>
      </c>
      <c r="B15" s="109" t="s">
        <v>84</v>
      </c>
      <c r="C15" s="97" t="s">
        <v>62</v>
      </c>
      <c r="D15" s="98" t="s">
        <v>60</v>
      </c>
      <c r="E15" s="107" t="s">
        <v>85</v>
      </c>
      <c r="F15" s="99" t="s">
        <v>86</v>
      </c>
      <c r="G15" s="99">
        <v>4</v>
      </c>
      <c r="H15" s="100">
        <v>11400</v>
      </c>
      <c r="I15" s="101">
        <f t="shared" si="0"/>
        <v>45600</v>
      </c>
      <c r="J15" s="1"/>
    </row>
    <row r="16" spans="1:14" ht="15.75" thickBot="1" x14ac:dyDescent="0.3">
      <c r="D16"/>
      <c r="J16" s="1"/>
    </row>
    <row r="17" spans="1:10" ht="27.75" customHeight="1" x14ac:dyDescent="0.25">
      <c r="A17" s="44" t="s">
        <v>55</v>
      </c>
      <c r="B17" s="61"/>
      <c r="C17" s="45"/>
      <c r="D17" s="45"/>
      <c r="E17" s="46"/>
      <c r="F17" s="1"/>
      <c r="G17" s="1"/>
      <c r="H17" s="1"/>
      <c r="I17" s="1"/>
      <c r="J17" s="1"/>
    </row>
    <row r="18" spans="1:10" ht="29.25" customHeight="1" x14ac:dyDescent="0.25">
      <c r="A18" s="131" t="s">
        <v>73</v>
      </c>
      <c r="B18" s="132"/>
      <c r="C18" s="132"/>
      <c r="D18" s="132"/>
      <c r="E18" s="133"/>
      <c r="F18" s="1"/>
      <c r="G18" s="1"/>
      <c r="H18" s="1"/>
      <c r="I18" s="1"/>
      <c r="J18" s="1"/>
    </row>
    <row r="19" spans="1:10" x14ac:dyDescent="0.25">
      <c r="A19" s="131"/>
      <c r="B19" s="132"/>
      <c r="C19" s="132"/>
      <c r="D19" s="132"/>
      <c r="E19" s="133"/>
      <c r="F19" s="1"/>
      <c r="G19" s="1"/>
      <c r="H19" s="1"/>
      <c r="I19" s="1"/>
      <c r="J19" s="1"/>
    </row>
    <row r="20" spans="1:10" ht="39.75" customHeight="1" x14ac:dyDescent="0.25">
      <c r="A20" s="141" t="s">
        <v>89</v>
      </c>
      <c r="B20" s="142"/>
      <c r="C20" s="142"/>
      <c r="D20" s="142"/>
      <c r="E20" s="143"/>
      <c r="F20" s="1"/>
      <c r="G20" s="1"/>
      <c r="H20" s="1"/>
      <c r="I20" s="1"/>
      <c r="J20" s="1"/>
    </row>
    <row r="21" spans="1:10" x14ac:dyDescent="0.25">
      <c r="A21" s="136" t="s">
        <v>90</v>
      </c>
      <c r="B21" s="137"/>
      <c r="C21" s="137"/>
      <c r="D21" s="137"/>
      <c r="E21" s="138"/>
      <c r="F21" s="1"/>
      <c r="G21" s="1"/>
      <c r="H21" s="1"/>
      <c r="I21" s="1"/>
      <c r="J21" s="1"/>
    </row>
    <row r="22" spans="1:10" ht="7.5" customHeight="1" thickBot="1" x14ac:dyDescent="0.3">
      <c r="A22" s="47"/>
      <c r="B22" s="62"/>
      <c r="C22" s="48"/>
      <c r="D22" s="48"/>
      <c r="E22" s="49"/>
      <c r="F22" s="1"/>
      <c r="G22" s="1"/>
      <c r="H22" s="1"/>
      <c r="I22" s="1"/>
      <c r="J22" s="1"/>
    </row>
    <row r="23" spans="1:10" ht="15.75" thickBot="1" x14ac:dyDescent="0.3">
      <c r="A23" s="1"/>
      <c r="B23" s="1"/>
      <c r="F23" s="1"/>
      <c r="G23" s="1"/>
      <c r="H23" s="1"/>
      <c r="I23" s="1"/>
      <c r="J23" s="1"/>
    </row>
    <row r="24" spans="1:10" ht="19.5" customHeight="1" x14ac:dyDescent="0.25">
      <c r="A24" s="127" t="s">
        <v>78</v>
      </c>
      <c r="B24" s="128"/>
      <c r="C24" s="128"/>
      <c r="D24" s="128"/>
      <c r="E24" s="129"/>
      <c r="J24" s="1"/>
    </row>
    <row r="25" spans="1:10" ht="9.75" customHeight="1" x14ac:dyDescent="0.25">
      <c r="A25" s="63"/>
      <c r="B25" s="64"/>
      <c r="C25" s="64"/>
      <c r="D25" s="64"/>
      <c r="E25" s="67"/>
      <c r="J25" s="1"/>
    </row>
    <row r="26" spans="1:10" ht="27.75" customHeight="1" x14ac:dyDescent="0.25">
      <c r="A26" s="65" t="s">
        <v>77</v>
      </c>
      <c r="B26" s="124" t="s">
        <v>81</v>
      </c>
      <c r="C26" s="124"/>
      <c r="D26" s="124"/>
      <c r="E26" s="125"/>
      <c r="J26" s="1"/>
    </row>
    <row r="27" spans="1:10" ht="15" customHeight="1" x14ac:dyDescent="0.25">
      <c r="A27" s="65"/>
      <c r="B27" s="126"/>
      <c r="C27" s="126"/>
      <c r="D27" s="126"/>
      <c r="E27" s="67"/>
      <c r="J27" s="1"/>
    </row>
    <row r="28" spans="1:10" x14ac:dyDescent="0.25">
      <c r="A28" s="68"/>
      <c r="B28" s="19"/>
      <c r="C28" s="19"/>
      <c r="D28" s="66"/>
      <c r="E28" s="67"/>
      <c r="J28" s="1"/>
    </row>
    <row r="29" spans="1:10" ht="27" customHeight="1" x14ac:dyDescent="0.25">
      <c r="A29" s="121" t="s">
        <v>79</v>
      </c>
      <c r="B29" s="122"/>
      <c r="C29" s="122"/>
      <c r="D29" s="122"/>
      <c r="E29" s="123"/>
      <c r="J29" s="1"/>
    </row>
    <row r="30" spans="1:10" x14ac:dyDescent="0.25">
      <c r="A30" s="68"/>
      <c r="B30" s="19"/>
      <c r="C30" s="19"/>
      <c r="D30" s="66"/>
      <c r="E30" s="67"/>
      <c r="J30" s="1"/>
    </row>
    <row r="31" spans="1:10" ht="28.5" customHeight="1" x14ac:dyDescent="0.25">
      <c r="A31" s="65" t="s">
        <v>77</v>
      </c>
      <c r="B31" s="124" t="s">
        <v>91</v>
      </c>
      <c r="C31" s="124"/>
      <c r="D31" s="124"/>
      <c r="E31" s="125"/>
      <c r="J31" s="1"/>
    </row>
    <row r="32" spans="1:10" x14ac:dyDescent="0.25">
      <c r="A32" s="68"/>
      <c r="B32" s="19"/>
      <c r="C32" s="19"/>
      <c r="D32" s="66"/>
      <c r="E32" s="67"/>
      <c r="J32" s="1"/>
    </row>
    <row r="33" spans="1:10" ht="26.25" customHeight="1" x14ac:dyDescent="0.25">
      <c r="A33" s="121" t="s">
        <v>80</v>
      </c>
      <c r="B33" s="122"/>
      <c r="C33" s="122"/>
      <c r="D33" s="122"/>
      <c r="E33" s="123"/>
      <c r="J33" s="1"/>
    </row>
    <row r="34" spans="1:10" x14ac:dyDescent="0.25">
      <c r="A34" s="68"/>
      <c r="B34" s="19"/>
      <c r="C34" s="19"/>
      <c r="D34" s="66"/>
      <c r="E34" s="67"/>
      <c r="J34" s="1"/>
    </row>
    <row r="35" spans="1:10" ht="24.75" customHeight="1" x14ac:dyDescent="0.25">
      <c r="A35" s="65" t="s">
        <v>77</v>
      </c>
      <c r="B35" s="124" t="s">
        <v>82</v>
      </c>
      <c r="C35" s="124"/>
      <c r="D35" s="124"/>
      <c r="E35" s="125"/>
      <c r="J35" s="1"/>
    </row>
    <row r="36" spans="1:10" ht="24.75" customHeight="1" x14ac:dyDescent="0.25">
      <c r="A36" s="86"/>
      <c r="B36" s="84"/>
      <c r="C36" s="84"/>
      <c r="D36" s="84"/>
      <c r="E36" s="85"/>
      <c r="J36" s="1"/>
    </row>
    <row r="37" spans="1:10" ht="26.25" customHeight="1" x14ac:dyDescent="0.25">
      <c r="A37" s="121" t="s">
        <v>92</v>
      </c>
      <c r="B37" s="122"/>
      <c r="C37" s="122"/>
      <c r="D37" s="122"/>
      <c r="E37" s="123"/>
      <c r="J37" s="1"/>
    </row>
    <row r="38" spans="1:10" x14ac:dyDescent="0.25">
      <c r="A38" s="68"/>
      <c r="B38" s="19"/>
      <c r="C38" s="19"/>
      <c r="D38" s="66"/>
      <c r="E38" s="67"/>
      <c r="J38" s="1"/>
    </row>
    <row r="39" spans="1:10" ht="24.75" customHeight="1" x14ac:dyDescent="0.25">
      <c r="A39" s="86" t="s">
        <v>77</v>
      </c>
      <c r="B39" s="124" t="s">
        <v>93</v>
      </c>
      <c r="C39" s="124"/>
      <c r="D39" s="124"/>
      <c r="E39" s="125"/>
      <c r="J39" s="1"/>
    </row>
    <row r="40" spans="1:10" ht="15.75" thickBot="1" x14ac:dyDescent="0.3">
      <c r="A40" s="69"/>
      <c r="B40" s="70"/>
      <c r="C40" s="70"/>
      <c r="D40" s="71"/>
      <c r="E40" s="72"/>
      <c r="J40" s="1"/>
    </row>
    <row r="41" spans="1:10" ht="4.5" customHeight="1" x14ac:dyDescent="0.25">
      <c r="A41" s="68"/>
      <c r="B41" s="19"/>
      <c r="C41" s="19"/>
      <c r="D41" s="66"/>
      <c r="E41" s="67"/>
      <c r="J41" s="1"/>
    </row>
    <row r="42" spans="1:10" ht="18" customHeight="1" x14ac:dyDescent="0.25">
      <c r="J42" s="1"/>
    </row>
    <row r="43" spans="1:10" ht="40.5" customHeight="1" x14ac:dyDescent="0.25">
      <c r="J43" s="1"/>
    </row>
    <row r="44" spans="1:10" ht="29.25" customHeight="1" x14ac:dyDescent="0.25">
      <c r="J44" s="1"/>
    </row>
    <row r="45" spans="1:10" ht="24" customHeight="1" x14ac:dyDescent="0.25">
      <c r="J45" s="1"/>
    </row>
    <row r="46" spans="1:10" x14ac:dyDescent="0.25">
      <c r="J46" s="1"/>
    </row>
    <row r="47" spans="1:10" x14ac:dyDescent="0.25">
      <c r="J47" s="1"/>
    </row>
    <row r="48" spans="1:10" x14ac:dyDescent="0.25">
      <c r="J48" s="1"/>
    </row>
  </sheetData>
  <mergeCells count="19">
    <mergeCell ref="A24:E24"/>
    <mergeCell ref="A29:E29"/>
    <mergeCell ref="A33:E33"/>
    <mergeCell ref="C1:I1"/>
    <mergeCell ref="A18:E19"/>
    <mergeCell ref="C2:H2"/>
    <mergeCell ref="C5:E5"/>
    <mergeCell ref="A21:E21"/>
    <mergeCell ref="A4:B4"/>
    <mergeCell ref="A5:B5"/>
    <mergeCell ref="A6:B6"/>
    <mergeCell ref="A7:B7"/>
    <mergeCell ref="A20:E20"/>
    <mergeCell ref="A37:E37"/>
    <mergeCell ref="B39:E39"/>
    <mergeCell ref="B35:E35"/>
    <mergeCell ref="B27:D27"/>
    <mergeCell ref="B26:E26"/>
    <mergeCell ref="B31:E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"/>
  <sheetViews>
    <sheetView workbookViewId="0">
      <selection activeCell="I16" sqref="I16"/>
    </sheetView>
  </sheetViews>
  <sheetFormatPr baseColWidth="10" defaultRowHeight="15" x14ac:dyDescent="0.25"/>
  <cols>
    <col min="2" max="2" width="15.5703125" customWidth="1"/>
    <col min="4" max="4" width="11.5703125" customWidth="1"/>
    <col min="7" max="7" width="19" customWidth="1"/>
    <col min="10" max="10" width="16.42578125" customWidth="1"/>
    <col min="12" max="12" width="0.5703125" customWidth="1"/>
  </cols>
  <sheetData>
    <row r="1" spans="1:12" ht="16.5" thickBot="1" x14ac:dyDescent="0.3">
      <c r="A1" s="155" t="s">
        <v>16</v>
      </c>
      <c r="B1" s="155"/>
      <c r="C1" s="155"/>
      <c r="D1" s="155"/>
      <c r="E1" s="155"/>
      <c r="F1" s="155"/>
      <c r="G1" s="155"/>
      <c r="H1" s="155"/>
      <c r="I1" s="155"/>
      <c r="J1" s="6" t="s">
        <v>17</v>
      </c>
      <c r="K1" s="7" t="s">
        <v>95</v>
      </c>
    </row>
    <row r="2" spans="1:12" ht="16.5" thickBot="1" x14ac:dyDescent="0.3">
      <c r="A2" s="8"/>
      <c r="B2" s="8"/>
      <c r="C2" s="8"/>
      <c r="D2" s="9"/>
      <c r="E2" s="9"/>
      <c r="F2" s="9"/>
      <c r="G2" s="9"/>
      <c r="H2" s="9"/>
      <c r="I2" s="9"/>
      <c r="J2" s="9"/>
      <c r="K2" s="9"/>
    </row>
    <row r="3" spans="1:12" ht="16.5" thickBot="1" x14ac:dyDescent="0.3">
      <c r="A3" s="148" t="s">
        <v>18</v>
      </c>
      <c r="B3" s="148"/>
      <c r="C3" s="148"/>
      <c r="D3" s="149" t="s">
        <v>58</v>
      </c>
      <c r="E3" s="149"/>
      <c r="F3" s="149"/>
      <c r="G3" s="149"/>
      <c r="H3" s="149"/>
      <c r="I3" s="149"/>
      <c r="J3" s="149"/>
      <c r="K3" s="149"/>
    </row>
    <row r="4" spans="1:12" ht="16.5" thickBot="1" x14ac:dyDescent="0.3">
      <c r="A4" s="150" t="s">
        <v>19</v>
      </c>
      <c r="B4" s="150"/>
      <c r="C4" s="150"/>
      <c r="D4" s="149" t="s">
        <v>56</v>
      </c>
      <c r="E4" s="149"/>
      <c r="F4" s="149"/>
      <c r="G4" s="149"/>
      <c r="H4" s="149"/>
      <c r="I4" s="149"/>
      <c r="J4" s="149"/>
      <c r="K4" s="149"/>
    </row>
    <row r="5" spans="1:12" ht="16.5" thickBot="1" x14ac:dyDescent="0.3">
      <c r="A5" s="150" t="s">
        <v>20</v>
      </c>
      <c r="B5" s="150"/>
      <c r="C5" s="150"/>
      <c r="D5" s="149" t="s">
        <v>4</v>
      </c>
      <c r="E5" s="149"/>
      <c r="F5" s="149"/>
      <c r="G5" s="149"/>
      <c r="H5" s="149"/>
      <c r="I5" s="149"/>
      <c r="J5" s="149"/>
      <c r="K5" s="149"/>
    </row>
    <row r="6" spans="1:12" ht="16.5" thickBot="1" x14ac:dyDescent="0.3">
      <c r="A6" s="148" t="s">
        <v>21</v>
      </c>
      <c r="B6" s="148"/>
      <c r="C6" s="148"/>
      <c r="D6" s="149" t="s">
        <v>64</v>
      </c>
      <c r="E6" s="149"/>
      <c r="F6" s="149"/>
      <c r="G6" s="149"/>
      <c r="H6" s="149"/>
      <c r="I6" s="149"/>
      <c r="J6" s="149"/>
      <c r="K6" s="149"/>
    </row>
    <row r="7" spans="1:12" ht="16.5" thickBot="1" x14ac:dyDescent="0.3">
      <c r="A7" s="150" t="s">
        <v>22</v>
      </c>
      <c r="B7" s="150"/>
      <c r="C7" s="150"/>
      <c r="D7" s="149" t="s">
        <v>57</v>
      </c>
      <c r="E7" s="149"/>
      <c r="F7" s="149"/>
      <c r="G7" s="149"/>
      <c r="H7" s="149"/>
      <c r="I7" s="149"/>
      <c r="J7" s="149"/>
      <c r="K7" s="149"/>
    </row>
    <row r="8" spans="1:12" ht="16.5" thickBot="1" x14ac:dyDescent="0.3">
      <c r="A8" s="151" t="s">
        <v>23</v>
      </c>
      <c r="B8" s="151"/>
      <c r="C8" s="151"/>
      <c r="D8" s="152" t="s">
        <v>65</v>
      </c>
      <c r="E8" s="152"/>
      <c r="F8" s="152"/>
      <c r="G8" s="152"/>
      <c r="H8" s="152"/>
      <c r="I8" s="152"/>
      <c r="J8" s="152"/>
      <c r="K8" s="152"/>
    </row>
    <row r="9" spans="1:12" ht="16.5" thickBot="1" x14ac:dyDescent="0.3">
      <c r="A9" s="10"/>
      <c r="B9" s="10"/>
      <c r="C9" s="10"/>
      <c r="D9" s="11"/>
      <c r="E9" s="11"/>
      <c r="F9" s="11"/>
      <c r="G9" s="11"/>
      <c r="H9" s="11"/>
      <c r="I9" s="11"/>
      <c r="J9" s="11"/>
      <c r="K9" s="11"/>
    </row>
    <row r="10" spans="1:12" ht="15.75" thickBot="1" x14ac:dyDescent="0.3">
      <c r="A10" s="146" t="s">
        <v>24</v>
      </c>
      <c r="B10" s="153" t="s">
        <v>25</v>
      </c>
      <c r="C10" s="153" t="s">
        <v>26</v>
      </c>
      <c r="D10" s="153"/>
      <c r="E10" s="153"/>
      <c r="F10" s="153"/>
      <c r="G10" s="153"/>
      <c r="H10" s="153" t="s">
        <v>27</v>
      </c>
      <c r="I10" s="153" t="s">
        <v>28</v>
      </c>
      <c r="J10" s="153" t="s">
        <v>29</v>
      </c>
      <c r="K10" s="144" t="s">
        <v>30</v>
      </c>
    </row>
    <row r="11" spans="1:12" ht="32.25" customHeight="1" thickBot="1" x14ac:dyDescent="0.3">
      <c r="A11" s="147"/>
      <c r="B11" s="154"/>
      <c r="C11" s="154"/>
      <c r="D11" s="154"/>
      <c r="E11" s="154"/>
      <c r="F11" s="154"/>
      <c r="G11" s="154"/>
      <c r="H11" s="154"/>
      <c r="I11" s="154"/>
      <c r="J11" s="154"/>
      <c r="K11" s="145"/>
    </row>
    <row r="12" spans="1:12" ht="33" customHeight="1" thickBot="1" x14ac:dyDescent="0.3">
      <c r="A12" s="12">
        <v>1</v>
      </c>
      <c r="B12" s="50" t="str">
        <f>'Necesidades trimestrales'!B10</f>
        <v>2.2.9.2298.2</v>
      </c>
      <c r="C12" s="160" t="str">
        <f>'Necesidades trimestrales'!E10</f>
        <v>ELASTICO; PRESENTACION: ROLLO X 25 M, ANCHO: 2,5 Cm</v>
      </c>
      <c r="D12" s="160"/>
      <c r="E12" s="160"/>
      <c r="F12" s="160"/>
      <c r="G12" s="160"/>
      <c r="H12" s="13" t="s">
        <v>31</v>
      </c>
      <c r="I12" s="112" t="s">
        <v>15</v>
      </c>
      <c r="J12" s="119">
        <f>'Necesidades trimestrales'!H10</f>
        <v>700</v>
      </c>
      <c r="K12" s="116">
        <f>'Necesidades trimestrales'!G10</f>
        <v>2</v>
      </c>
      <c r="L12" s="53">
        <f>+K12*J12</f>
        <v>1400</v>
      </c>
    </row>
    <row r="13" spans="1:12" ht="51" customHeight="1" thickBot="1" x14ac:dyDescent="0.3">
      <c r="A13" s="14">
        <v>2</v>
      </c>
      <c r="B13" s="50" t="str">
        <f>'Necesidades trimestrales'!B11</f>
        <v>2.2.1-1053.37</v>
      </c>
      <c r="C13" s="161" t="str">
        <f>'Necesidades trimestrales'!E11</f>
        <v>HILO DE ALGODON; PRESENTACION: CONO, USO: P/COSER, LARGO: 4000 M, TONALIDAD: BLANCO, NUMERO: 16</v>
      </c>
      <c r="D13" s="161"/>
      <c r="E13" s="161"/>
      <c r="F13" s="161"/>
      <c r="G13" s="161"/>
      <c r="H13" s="15" t="s">
        <v>31</v>
      </c>
      <c r="I13" s="113" t="s">
        <v>15</v>
      </c>
      <c r="J13" s="120">
        <f>'Necesidades trimestrales'!H11</f>
        <v>267</v>
      </c>
      <c r="K13" s="117">
        <f>'Necesidades trimestrales'!G11</f>
        <v>5</v>
      </c>
      <c r="L13" s="53">
        <f t="shared" ref="L13:L17" si="0">+K13*J13</f>
        <v>1335</v>
      </c>
    </row>
    <row r="14" spans="1:12" ht="54.75" customHeight="1" thickBot="1" x14ac:dyDescent="0.3">
      <c r="A14" s="14">
        <v>3</v>
      </c>
      <c r="B14" s="50" t="str">
        <f>'Necesidades trimestrales'!B12</f>
        <v>2.2.1-1052.55</v>
      </c>
      <c r="C14" s="161" t="str">
        <f>'Necesidades trimestrales'!E12</f>
        <v>HILO DE POLIESTER; PRESENTACION: CONO, USO: P/COSER, NUMERO: SIN VALOR, LARGO: 1000 M, TONALIDAD: VERDE OLIVA</v>
      </c>
      <c r="D14" s="161"/>
      <c r="E14" s="161"/>
      <c r="F14" s="161"/>
      <c r="G14" s="161"/>
      <c r="H14" s="15" t="s">
        <v>31</v>
      </c>
      <c r="I14" s="113" t="s">
        <v>15</v>
      </c>
      <c r="J14" s="120">
        <f>'Necesidades trimestrales'!H12</f>
        <v>250</v>
      </c>
      <c r="K14" s="117">
        <f>+'Necesidades trimestrales'!G12</f>
        <v>26</v>
      </c>
      <c r="L14" s="53">
        <f t="shared" si="0"/>
        <v>6500</v>
      </c>
    </row>
    <row r="15" spans="1:12" ht="34.5" customHeight="1" thickBot="1" x14ac:dyDescent="0.3">
      <c r="A15" s="14">
        <v>4</v>
      </c>
      <c r="B15" s="50" t="str">
        <f>'Necesidades trimestrales'!B13</f>
        <v>2.2.1-2617.19</v>
      </c>
      <c r="C15" s="161" t="str">
        <f>'Necesidades trimestrales'!E13</f>
        <v>TELA DE ALGODON; ANCHO: 1,5 M, LARGO ROLLO: X METRO, LARGO: X METRO</v>
      </c>
      <c r="D15" s="161"/>
      <c r="E15" s="161"/>
      <c r="F15" s="161"/>
      <c r="G15" s="161"/>
      <c r="H15" s="15" t="s">
        <v>31</v>
      </c>
      <c r="I15" s="113" t="str">
        <f>+'Necesidades trimestrales'!F13</f>
        <v>Rollo</v>
      </c>
      <c r="J15" s="120">
        <f>'Necesidades trimestrales'!H13</f>
        <v>31500</v>
      </c>
      <c r="K15" s="117">
        <f>'Necesidades trimestrales'!G13</f>
        <v>3</v>
      </c>
      <c r="L15" s="53">
        <f t="shared" si="0"/>
        <v>94500</v>
      </c>
    </row>
    <row r="16" spans="1:12" ht="37.5" customHeight="1" x14ac:dyDescent="0.25">
      <c r="A16" s="14">
        <v>5</v>
      </c>
      <c r="B16" s="50" t="str">
        <f>'Necesidades trimestrales'!B14</f>
        <v>2.2.1-2617.31</v>
      </c>
      <c r="C16" s="162" t="str">
        <f>'Necesidades trimestrales'!E14</f>
        <v>TELA DE ALGODON; ANCHO: 1,60 M, LARGO: POR METRO</v>
      </c>
      <c r="D16" s="162"/>
      <c r="E16" s="162"/>
      <c r="F16" s="162"/>
      <c r="G16" s="162"/>
      <c r="H16" s="15" t="s">
        <v>31</v>
      </c>
      <c r="I16" s="113" t="s">
        <v>61</v>
      </c>
      <c r="J16" s="120">
        <f>'Necesidades trimestrales'!H14</f>
        <v>570</v>
      </c>
      <c r="K16" s="117">
        <f>'Necesidades trimestrales'!G14</f>
        <v>150</v>
      </c>
      <c r="L16" s="53">
        <f t="shared" si="0"/>
        <v>85500</v>
      </c>
    </row>
    <row r="17" spans="1:14" ht="48" customHeight="1" thickBot="1" x14ac:dyDescent="0.3">
      <c r="A17" s="110">
        <v>6</v>
      </c>
      <c r="B17" s="96" t="str">
        <f>'Necesidades trimestrales'!B15</f>
        <v>2.2.1-9956.61</v>
      </c>
      <c r="C17" s="163" t="str">
        <f>'Necesidades trimestrales'!E15</f>
        <v>TELAS TEXTILES; TIPO: ALGODON POLIESTER, ANCHO: 1,50 M, LARGO: 50 M</v>
      </c>
      <c r="D17" s="163"/>
      <c r="E17" s="163"/>
      <c r="F17" s="163"/>
      <c r="G17" s="163"/>
      <c r="H17" s="111" t="s">
        <v>31</v>
      </c>
      <c r="I17" s="114" t="s">
        <v>86</v>
      </c>
      <c r="J17" s="115">
        <f>'Necesidades trimestrales'!H15</f>
        <v>11400</v>
      </c>
      <c r="K17" s="118">
        <f>'Necesidades trimestrales'!G15</f>
        <v>4</v>
      </c>
      <c r="L17" s="53">
        <f t="shared" si="0"/>
        <v>45600</v>
      </c>
    </row>
    <row r="18" spans="1:14" ht="30.75" customHeight="1" x14ac:dyDescent="0.25">
      <c r="A18" s="158" t="s">
        <v>94</v>
      </c>
      <c r="B18" s="159"/>
      <c r="C18" s="159"/>
      <c r="D18" s="159"/>
      <c r="E18" s="159"/>
      <c r="F18" s="159"/>
      <c r="G18" s="159"/>
      <c r="H18" s="159"/>
      <c r="I18" s="159"/>
      <c r="J18" s="156">
        <f>SUMPRODUCT(J12:J17,K12:K17)</f>
        <v>234835</v>
      </c>
      <c r="K18" s="157"/>
      <c r="L18" s="53">
        <f>SUM(L12:L17)</f>
        <v>234835</v>
      </c>
    </row>
    <row r="19" spans="1:14" x14ac:dyDescent="0.25">
      <c r="N19" s="53"/>
    </row>
    <row r="50" ht="34.5" customHeight="1" x14ac:dyDescent="0.25"/>
  </sheetData>
  <mergeCells count="28">
    <mergeCell ref="J18:K18"/>
    <mergeCell ref="A18:I18"/>
    <mergeCell ref="C12:G12"/>
    <mergeCell ref="C13:G13"/>
    <mergeCell ref="C14:G14"/>
    <mergeCell ref="C15:G15"/>
    <mergeCell ref="C16:G16"/>
    <mergeCell ref="C17:G17"/>
    <mergeCell ref="A5:C5"/>
    <mergeCell ref="D5:K5"/>
    <mergeCell ref="A1:I1"/>
    <mergeCell ref="A3:C3"/>
    <mergeCell ref="D3:K3"/>
    <mergeCell ref="A4:C4"/>
    <mergeCell ref="D4:K4"/>
    <mergeCell ref="K10:K11"/>
    <mergeCell ref="A10:A11"/>
    <mergeCell ref="A6:C6"/>
    <mergeCell ref="D6:K6"/>
    <mergeCell ref="A7:C7"/>
    <mergeCell ref="D7:K7"/>
    <mergeCell ref="A8:C8"/>
    <mergeCell ref="D8:K8"/>
    <mergeCell ref="B10:B11"/>
    <mergeCell ref="C10:G11"/>
    <mergeCell ref="H10:H11"/>
    <mergeCell ref="I10:I11"/>
    <mergeCell ref="J10:J1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zoomScaleNormal="100" workbookViewId="0">
      <selection activeCell="T10" sqref="T10"/>
    </sheetView>
  </sheetViews>
  <sheetFormatPr baseColWidth="10" defaultRowHeight="15" x14ac:dyDescent="0.25"/>
  <cols>
    <col min="1" max="1" width="9.7109375" customWidth="1"/>
    <col min="2" max="2" width="3.5703125" bestFit="1" customWidth="1"/>
    <col min="3" max="3" width="3.85546875" customWidth="1"/>
    <col min="4" max="4" width="5" customWidth="1"/>
    <col min="5" max="5" width="5.140625" customWidth="1"/>
    <col min="6" max="6" width="8.140625" customWidth="1"/>
    <col min="7" max="7" width="6.7109375" customWidth="1"/>
    <col min="8" max="8" width="6.140625" customWidth="1"/>
    <col min="9" max="9" width="5.28515625" customWidth="1"/>
    <col min="10" max="10" width="5.7109375" customWidth="1"/>
    <col min="11" max="11" width="6.5703125" customWidth="1"/>
    <col min="12" max="12" width="4.28515625" customWidth="1"/>
    <col min="13" max="13" width="6" customWidth="1"/>
    <col min="14" max="14" width="6.85546875" customWidth="1"/>
    <col min="17" max="17" width="14.7109375" customWidth="1"/>
  </cols>
  <sheetData>
    <row r="1" spans="1:17" ht="15.75" thickBot="1" x14ac:dyDescent="0.3">
      <c r="A1" s="165" t="s">
        <v>5</v>
      </c>
      <c r="B1" s="165"/>
      <c r="C1" s="165"/>
      <c r="D1" s="166">
        <v>2021</v>
      </c>
      <c r="E1" s="166"/>
      <c r="F1" s="16"/>
      <c r="G1" s="16"/>
      <c r="H1" s="17"/>
      <c r="I1" s="17"/>
      <c r="J1" s="17"/>
      <c r="K1" s="17"/>
      <c r="L1" s="17"/>
      <c r="M1" s="17"/>
      <c r="N1" s="17"/>
      <c r="P1" s="167" t="s">
        <v>32</v>
      </c>
      <c r="Q1" s="167"/>
    </row>
    <row r="2" spans="1:17" ht="15.75" thickBot="1" x14ac:dyDescent="0.3">
      <c r="G2" s="18"/>
      <c r="H2" s="17"/>
      <c r="I2" s="17"/>
      <c r="J2" s="17"/>
      <c r="K2" s="17"/>
      <c r="L2" s="17"/>
      <c r="M2" s="17"/>
      <c r="N2" s="17"/>
      <c r="P2" s="167"/>
      <c r="Q2" s="167"/>
    </row>
    <row r="3" spans="1:17" ht="15.75" thickBot="1" x14ac:dyDescent="0.3">
      <c r="G3" s="18"/>
    </row>
    <row r="4" spans="1:17" ht="15.75" thickBot="1" x14ac:dyDescent="0.3">
      <c r="A4" s="168" t="s">
        <v>33</v>
      </c>
      <c r="B4" s="168"/>
      <c r="C4" s="168"/>
      <c r="D4" s="168"/>
      <c r="E4" s="168"/>
      <c r="F4" s="168"/>
      <c r="G4" s="169" t="s">
        <v>59</v>
      </c>
      <c r="H4" s="169"/>
      <c r="I4" s="169"/>
      <c r="J4" s="169"/>
      <c r="K4" s="169"/>
      <c r="L4" s="169"/>
      <c r="M4" s="169"/>
      <c r="N4" s="169"/>
      <c r="O4" s="169"/>
      <c r="P4" s="169"/>
      <c r="Q4" s="169"/>
    </row>
    <row r="5" spans="1:17" ht="15.75" thickBot="1" x14ac:dyDescent="0.3">
      <c r="A5" s="170" t="s">
        <v>19</v>
      </c>
      <c r="B5" s="171"/>
      <c r="C5" s="171"/>
      <c r="D5" s="171"/>
      <c r="E5" s="171"/>
      <c r="F5" s="172"/>
      <c r="G5" s="169" t="s">
        <v>56</v>
      </c>
      <c r="H5" s="169"/>
      <c r="I5" s="169"/>
      <c r="J5" s="169"/>
      <c r="K5" s="169"/>
      <c r="L5" s="169"/>
      <c r="M5" s="169"/>
      <c r="N5" s="169"/>
      <c r="O5" s="169"/>
      <c r="P5" s="169"/>
      <c r="Q5" s="169"/>
    </row>
    <row r="6" spans="1:17" ht="15.75" thickBot="1" x14ac:dyDescent="0.3">
      <c r="A6" s="170" t="s">
        <v>20</v>
      </c>
      <c r="B6" s="171"/>
      <c r="C6" s="171"/>
      <c r="D6" s="171"/>
      <c r="E6" s="171"/>
      <c r="F6" s="172"/>
      <c r="G6" s="169" t="s">
        <v>56</v>
      </c>
      <c r="H6" s="169"/>
      <c r="I6" s="169"/>
      <c r="J6" s="169"/>
      <c r="K6" s="169"/>
      <c r="L6" s="169"/>
      <c r="M6" s="169"/>
      <c r="N6" s="169"/>
      <c r="O6" s="169"/>
      <c r="P6" s="169"/>
      <c r="Q6" s="169"/>
    </row>
    <row r="7" spans="1:17" ht="15.75" thickBot="1" x14ac:dyDescent="0.3">
      <c r="A7" s="170" t="s">
        <v>21</v>
      </c>
      <c r="B7" s="171"/>
      <c r="C7" s="171"/>
      <c r="D7" s="171"/>
      <c r="E7" s="171"/>
      <c r="F7" s="172"/>
      <c r="G7" s="169" t="s">
        <v>64</v>
      </c>
      <c r="H7" s="169"/>
      <c r="I7" s="169"/>
      <c r="J7" s="169"/>
      <c r="K7" s="169"/>
      <c r="L7" s="169"/>
      <c r="M7" s="169"/>
      <c r="N7" s="169"/>
      <c r="O7" s="169"/>
      <c r="P7" s="169"/>
      <c r="Q7" s="169"/>
    </row>
    <row r="8" spans="1:17" ht="15.75" thickBot="1" x14ac:dyDescent="0.3">
      <c r="A8" s="173" t="s">
        <v>34</v>
      </c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</row>
    <row r="9" spans="1:17" x14ac:dyDescent="0.25">
      <c r="A9" s="164" t="s">
        <v>35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9"/>
      <c r="P9" s="19"/>
      <c r="Q9" s="20"/>
    </row>
    <row r="10" spans="1:17" ht="65.25" customHeight="1" x14ac:dyDescent="0.25">
      <c r="A10" s="175" t="s">
        <v>66</v>
      </c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</row>
    <row r="11" spans="1:17" ht="15.75" thickBot="1" x14ac:dyDescent="0.3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4"/>
    </row>
    <row r="12" spans="1:17" ht="15.75" thickBot="1" x14ac:dyDescent="0.3">
      <c r="A12" s="176" t="s">
        <v>36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ht="24.75" customHeight="1" thickBot="1" x14ac:dyDescent="0.3">
      <c r="A13" s="177" t="s">
        <v>37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8" t="s">
        <v>38</v>
      </c>
      <c r="P13" s="179"/>
      <c r="Q13" s="182" t="s">
        <v>39</v>
      </c>
    </row>
    <row r="14" spans="1:17" ht="19.5" customHeight="1" x14ac:dyDescent="0.25">
      <c r="A14" s="25" t="s">
        <v>40</v>
      </c>
      <c r="B14" s="26" t="s">
        <v>41</v>
      </c>
      <c r="C14" s="26" t="s">
        <v>42</v>
      </c>
      <c r="D14" s="26" t="s">
        <v>43</v>
      </c>
      <c r="E14" s="26" t="s">
        <v>44</v>
      </c>
      <c r="F14" s="26" t="s">
        <v>45</v>
      </c>
      <c r="G14" s="27" t="s">
        <v>46</v>
      </c>
      <c r="H14" s="26" t="s">
        <v>47</v>
      </c>
      <c r="I14" s="26" t="s">
        <v>48</v>
      </c>
      <c r="J14" s="26" t="s">
        <v>49</v>
      </c>
      <c r="K14" s="26" t="s">
        <v>49</v>
      </c>
      <c r="L14" s="26" t="s">
        <v>50</v>
      </c>
      <c r="M14" s="28" t="s">
        <v>51</v>
      </c>
      <c r="N14" s="29" t="s">
        <v>52</v>
      </c>
      <c r="O14" s="180"/>
      <c r="P14" s="181"/>
      <c r="Q14" s="182"/>
    </row>
    <row r="15" spans="1:17" ht="26.25" customHeight="1" x14ac:dyDescent="0.25">
      <c r="A15" s="40">
        <v>36</v>
      </c>
      <c r="B15" s="41"/>
      <c r="C15" s="41"/>
      <c r="D15" s="41">
        <v>1</v>
      </c>
      <c r="E15" s="41"/>
      <c r="F15" s="41">
        <v>4901</v>
      </c>
      <c r="G15" s="41">
        <v>3</v>
      </c>
      <c r="H15" s="41">
        <v>310</v>
      </c>
      <c r="I15" s="42">
        <v>2</v>
      </c>
      <c r="J15" s="42">
        <v>2</v>
      </c>
      <c r="K15" s="42">
        <v>1</v>
      </c>
      <c r="L15" s="41"/>
      <c r="M15" s="41">
        <v>1</v>
      </c>
      <c r="N15" s="43" t="s">
        <v>54</v>
      </c>
      <c r="O15" s="183" t="s">
        <v>62</v>
      </c>
      <c r="P15" s="184"/>
      <c r="Q15" s="57">
        <v>233435</v>
      </c>
    </row>
    <row r="16" spans="1:17" ht="36.75" customHeight="1" x14ac:dyDescent="0.25">
      <c r="A16" s="36">
        <v>36</v>
      </c>
      <c r="B16" s="33"/>
      <c r="C16" s="33"/>
      <c r="D16" s="36">
        <v>1</v>
      </c>
      <c r="E16" s="33"/>
      <c r="F16" s="36">
        <v>4901</v>
      </c>
      <c r="G16" s="36">
        <v>3</v>
      </c>
      <c r="H16" s="36">
        <v>310</v>
      </c>
      <c r="I16" s="36">
        <v>2</v>
      </c>
      <c r="J16" s="36">
        <v>2</v>
      </c>
      <c r="K16" s="36">
        <v>9</v>
      </c>
      <c r="L16" s="33"/>
      <c r="M16" s="36">
        <v>1</v>
      </c>
      <c r="N16" s="36" t="s">
        <v>54</v>
      </c>
      <c r="O16" s="185" t="s">
        <v>62</v>
      </c>
      <c r="P16" s="186"/>
      <c r="Q16" s="58">
        <v>1400</v>
      </c>
    </row>
    <row r="17" spans="1:17" ht="26.25" customHeight="1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187"/>
      <c r="P17" s="188"/>
      <c r="Q17" s="51"/>
    </row>
    <row r="18" spans="1:17" ht="32.25" customHeight="1" thickBot="1" x14ac:dyDescent="0.3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  <c r="N18" s="31"/>
      <c r="O18" s="174"/>
      <c r="P18" s="174"/>
      <c r="Q18" s="59"/>
    </row>
    <row r="19" spans="1:17" ht="15.75" thickBot="1" x14ac:dyDescent="0.3">
      <c r="A19" s="189" t="s">
        <v>83</v>
      </c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60">
        <f>SUM(Q15:Q18)</f>
        <v>234835</v>
      </c>
    </row>
    <row r="20" spans="1:17" ht="15.75" thickBot="1" x14ac:dyDescent="0.3">
      <c r="A20" s="190"/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</row>
    <row r="21" spans="1:17" ht="15.75" thickBot="1" x14ac:dyDescent="0.3">
      <c r="A21" s="191" t="s">
        <v>53</v>
      </c>
      <c r="B21" s="192"/>
      <c r="C21" s="192"/>
      <c r="D21" s="192"/>
      <c r="E21" s="192"/>
      <c r="F21" s="193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</row>
    <row r="22" spans="1:17" ht="15.75" thickBot="1" x14ac:dyDescent="0.3">
      <c r="A22" s="195" t="s">
        <v>67</v>
      </c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</row>
    <row r="23" spans="1:17" ht="15.75" thickBot="1" x14ac:dyDescent="0.3">
      <c r="A23" s="195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</row>
    <row r="24" spans="1:17" x14ac:dyDescent="0.25">
      <c r="G24" s="18"/>
    </row>
    <row r="25" spans="1:17" x14ac:dyDescent="0.25">
      <c r="G25" s="18"/>
    </row>
  </sheetData>
  <mergeCells count="27">
    <mergeCell ref="A19:P19"/>
    <mergeCell ref="A20:Q20"/>
    <mergeCell ref="A21:F21"/>
    <mergeCell ref="G21:Q21"/>
    <mergeCell ref="A22:Q23"/>
    <mergeCell ref="O18:P18"/>
    <mergeCell ref="A10:Q10"/>
    <mergeCell ref="A12:Q12"/>
    <mergeCell ref="A13:N13"/>
    <mergeCell ref="O13:P14"/>
    <mergeCell ref="Q13:Q14"/>
    <mergeCell ref="O15:P15"/>
    <mergeCell ref="O16:P16"/>
    <mergeCell ref="O17:P17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Nota de Pedido</vt:lpstr>
      <vt:lpstr>APG</vt:lpstr>
      <vt:lpstr>APG!Área_de_impresión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lastPrinted>2021-03-16T15:41:42Z</cp:lastPrinted>
  <dcterms:created xsi:type="dcterms:W3CDTF">2021-03-16T13:57:57Z</dcterms:created>
  <dcterms:modified xsi:type="dcterms:W3CDTF">2021-08-11T12:03:56Z</dcterms:modified>
</cp:coreProperties>
</file>