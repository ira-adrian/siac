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Trimestrales'!$A$9:$I$62</definedName>
    <definedName name="_xlnm.Print_Area" localSheetId="1">' NotaPedido'!$A$1:$K$91</definedName>
    <definedName name="_xlnm.Print_Area" localSheetId="2">'Autor Gastar'!$A$1:$Q$25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5" i="2" l="1"/>
  <c r="I65" i="2"/>
  <c r="J65" i="2"/>
  <c r="K65" i="2"/>
  <c r="C66" i="2"/>
  <c r="I66" i="2"/>
  <c r="J66" i="2"/>
  <c r="K66" i="2"/>
  <c r="C67" i="2"/>
  <c r="I67" i="2"/>
  <c r="J67" i="2"/>
  <c r="K67" i="2"/>
  <c r="C68" i="2"/>
  <c r="I68" i="2"/>
  <c r="J68" i="2"/>
  <c r="K68" i="2"/>
  <c r="C69" i="2"/>
  <c r="I69" i="2"/>
  <c r="J69" i="2"/>
  <c r="K69" i="2"/>
  <c r="C70" i="2"/>
  <c r="I70" i="2"/>
  <c r="J70" i="2"/>
  <c r="K70" i="2"/>
  <c r="C71" i="2"/>
  <c r="I71" i="2"/>
  <c r="J71" i="2"/>
  <c r="K71" i="2"/>
  <c r="C72" i="2"/>
  <c r="I72" i="2"/>
  <c r="J72" i="2"/>
  <c r="K72" i="2"/>
  <c r="C73" i="2"/>
  <c r="I73" i="2"/>
  <c r="J73" i="2"/>
  <c r="K73" i="2"/>
  <c r="C74" i="2"/>
  <c r="I74" i="2"/>
  <c r="J74" i="2"/>
  <c r="K74" i="2"/>
  <c r="C75" i="2"/>
  <c r="I75" i="2"/>
  <c r="J75" i="2"/>
  <c r="K75" i="2"/>
  <c r="C76" i="2"/>
  <c r="I76" i="2"/>
  <c r="J76" i="2"/>
  <c r="K76" i="2"/>
  <c r="C77" i="2"/>
  <c r="I77" i="2"/>
  <c r="J77" i="2"/>
  <c r="K77" i="2"/>
  <c r="C78" i="2"/>
  <c r="I78" i="2"/>
  <c r="J78" i="2"/>
  <c r="K78" i="2"/>
  <c r="C79" i="2"/>
  <c r="I79" i="2"/>
  <c r="J79" i="2"/>
  <c r="K79" i="2"/>
  <c r="C80" i="2"/>
  <c r="I80" i="2"/>
  <c r="J80" i="2"/>
  <c r="K80" i="2"/>
  <c r="C81" i="2"/>
  <c r="I81" i="2"/>
  <c r="J81" i="2"/>
  <c r="K81" i="2"/>
  <c r="C82" i="2"/>
  <c r="I82" i="2"/>
  <c r="J82" i="2"/>
  <c r="K82" i="2"/>
  <c r="C83" i="2"/>
  <c r="I83" i="2"/>
  <c r="J83" i="2"/>
  <c r="K83" i="2"/>
  <c r="C84" i="2"/>
  <c r="I84" i="2"/>
  <c r="J84" i="2"/>
  <c r="K84" i="2"/>
  <c r="C85" i="2"/>
  <c r="I85" i="2"/>
  <c r="J85" i="2"/>
  <c r="K85" i="2"/>
  <c r="C86" i="2"/>
  <c r="I86" i="2"/>
  <c r="J86" i="2"/>
  <c r="K86" i="2"/>
  <c r="C87" i="2"/>
  <c r="I87" i="2"/>
  <c r="J87" i="2"/>
  <c r="K87" i="2"/>
  <c r="C88" i="2"/>
  <c r="I88" i="2"/>
  <c r="J88" i="2"/>
  <c r="K88" i="2"/>
  <c r="C89" i="2"/>
  <c r="I89" i="2"/>
  <c r="J89" i="2"/>
  <c r="K89" i="2"/>
  <c r="C90" i="2"/>
  <c r="I90" i="2"/>
  <c r="J90" i="2"/>
  <c r="K90" i="2"/>
  <c r="I63" i="1" l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K48" i="2" l="1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48" i="2"/>
  <c r="C49" i="2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K32" i="2" l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3" i="2"/>
  <c r="G4" i="3" s="1"/>
  <c r="D4" i="2"/>
  <c r="G5" i="3" s="1"/>
  <c r="D1" i="3" l="1"/>
  <c r="K12" i="2"/>
  <c r="J12" i="2"/>
  <c r="J91" i="2" s="1"/>
  <c r="I12" i="2"/>
  <c r="C12" i="2"/>
  <c r="Q21" i="3" l="1"/>
</calcChain>
</file>

<file path=xl/sharedStrings.xml><?xml version="1.0" encoding="utf-8"?>
<sst xmlns="http://schemas.openxmlformats.org/spreadsheetml/2006/main" count="391" uniqueCount="157">
  <si>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</si>
  <si>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</si>
  <si>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</si>
  <si>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</si>
  <si>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</si>
  <si>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</si>
  <si>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</si>
  <si>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</si>
  <si>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</si>
  <si>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</si>
  <si>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</si>
  <si>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</si>
  <si>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</si>
  <si>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</si>
  <si>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</si>
  <si>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</si>
  <si>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</si>
  <si>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</si>
  <si>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</si>
  <si>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</si>
  <si>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</si>
  <si>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</si>
  <si>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</si>
  <si>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</si>
  <si>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</si>
  <si>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</si>
  <si>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</si>
  <si>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</si>
  <si>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</si>
  <si>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</si>
  <si>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</si>
  <si>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</si>
  <si>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</si>
  <si>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</si>
  <si>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</si>
  <si>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</si>
  <si>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</si>
  <si>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</si>
  <si>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</si>
  <si>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</si>
  <si>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</si>
  <si>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</si>
  <si>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</si>
  <si>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</si>
  <si>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</si>
  <si>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</si>
  <si>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</si>
  <si>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</si>
  <si>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</si>
  <si>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</si>
  <si>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</si>
  <si>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</si>
  <si>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</si>
  <si>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</si>
  <si>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</si>
  <si>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</si>
  <si>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</si>
  <si>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</si>
  <si>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</si>
  <si>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FENOBARBITAL 100MG COMPRIMIDO</t>
  </si>
  <si>
    <t>FENITOINA SUSPENSION X 120ML</t>
  </si>
  <si>
    <t>CLONAZEPAM 2 MG COMPRIMIDOS</t>
  </si>
  <si>
    <t>LORAZEPAM 1 MG COMPRIMIDO</t>
  </si>
  <si>
    <t>CARBAMAZEPINA SUSPENSION ORAL 2%</t>
  </si>
  <si>
    <t>VALPROATO DE SODIO 5GR X 120 ML</t>
  </si>
  <si>
    <t>VALPROATO DE MAGNESIO 200MG COMPRIMIDO</t>
  </si>
  <si>
    <t>DIVALPROATO DE SODIO 500MG COMPRIMIDO</t>
  </si>
  <si>
    <t>BIPIRIDENO 2 MG COMPRIMIDO</t>
  </si>
  <si>
    <t>LEVOMEPROMAZINA 25 MG AMPOLLA</t>
  </si>
  <si>
    <t>CLORPROMAZINA 25MG  AMPOLLA IM</t>
  </si>
  <si>
    <t>HALOPERIDOL 5 MG AMPOLLA</t>
  </si>
  <si>
    <t>RISPERIDONA 1MG COMPRIMIDO</t>
  </si>
  <si>
    <t>RISPERIDONA 2 MG COMPRIMIDO</t>
  </si>
  <si>
    <t>RISPERIDONA 3 MG COMPRIMIDO</t>
  </si>
  <si>
    <t>DIFENILHIDRAMINA 10MG AMPOLLAS</t>
  </si>
  <si>
    <t xml:space="preserve">ERITROMICINA O,5 %UNGUENTO OFTALMICO </t>
  </si>
  <si>
    <t>AMPOLLA</t>
  </si>
  <si>
    <t>COMPRIMIDO</t>
  </si>
  <si>
    <t>CARBAMAZEPINA 200MG COMPRIMIDO</t>
  </si>
  <si>
    <t>FRASCO</t>
  </si>
  <si>
    <t>GOTERO</t>
  </si>
  <si>
    <t>DIFENHIDRAMINA 0,25% JARABE X 120 ML</t>
  </si>
  <si>
    <t>ENVASE</t>
  </si>
  <si>
    <t>FENITOINA 100 MG  AMPOLLAS X 2 ML</t>
  </si>
  <si>
    <t>LAMOTRIGINA 25 MG COMPRIMIDO</t>
  </si>
  <si>
    <t>LEVETIRACETAM 500MG AMPOLLA x 10 UNIDADES</t>
  </si>
  <si>
    <t>CAJA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</si>
  <si>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</si>
  <si>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</si>
  <si>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</si>
  <si>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125/2021</t>
  </si>
  <si>
    <t>Medicamentos</t>
  </si>
  <si>
    <t>Trimestral</t>
  </si>
  <si>
    <t>ACIDO ACETIL SALICILICO 100 MG COMPRIMIDO</t>
  </si>
  <si>
    <t>AGUA DESTILADA EN SACHET X 500 ML</t>
  </si>
  <si>
    <t>SACHET</t>
  </si>
  <si>
    <t>ALIMENTACION PARENTERAL  DE GRAN VOLUMEN TIPO OLI CLINOMEL/SMOFKABIVEN CENTRAL BOLSA X 1970 ML</t>
  </si>
  <si>
    <t>AMOXICILINA  400 MG + AC CLAULANICO 57 MG  SUSPENSIÓN  x 70 ml</t>
  </si>
  <si>
    <t>AZITROMICINA 200 MG / 5 ML SUSPENSIÓN x 15 ml</t>
  </si>
  <si>
    <t xml:space="preserve">CEFTRIAXONA 1 GR FCO AMPOLLA </t>
  </si>
  <si>
    <t>CLONDINA CLORHIDRATO 0,150 MG/ML AMPOLLA X 1 ML</t>
  </si>
  <si>
    <t>CLORURO DE SODIO AL 20% AMPOLLAS</t>
  </si>
  <si>
    <t>DEXAMETASONA 8 MG AMPOLLA</t>
  </si>
  <si>
    <t>DOPAMINA 200 MG  AMPOLLA X 5 ML</t>
  </si>
  <si>
    <t>FENOBARBITAL 200MG AMPOLLAS</t>
  </si>
  <si>
    <t>FENTANILO 250 MCG INYECTABLE</t>
  </si>
  <si>
    <t>HIDROCORTISONA 100 MG FCO AMPOLLA</t>
  </si>
  <si>
    <t>HIDROCORTISONA 500 MG FCO AMPOLLA</t>
  </si>
  <si>
    <t>KETAMINA 50MG/ML FCO AMPOLLA</t>
  </si>
  <si>
    <t>LORAZEPAM 4 MG/2ML AMPOLLA</t>
  </si>
  <si>
    <t>MEROPENEM 1000MG FCO AMPOLLA</t>
  </si>
  <si>
    <t>MEROPENEM 500MG FCO AMPOLLA</t>
  </si>
  <si>
    <t>MEPREDNISONA 40 MG COMPRIMIDO</t>
  </si>
  <si>
    <t>MEPREDNISONA 0,4 %  GOTAS</t>
  </si>
  <si>
    <t>MEPREDNISONA 8MG COMPRIMIDO</t>
  </si>
  <si>
    <t>METRONIDAZOL 500 MG SACHET</t>
  </si>
  <si>
    <t>MIDAZOLAM 15 MG AMPOLLA</t>
  </si>
  <si>
    <t>MORFINA 10 MG AMPOLLA</t>
  </si>
  <si>
    <t>NITROPRUSIATO SODIO 50 MG VIAL</t>
  </si>
  <si>
    <t>NORADRENALINA 4 mg AMPOLLA x 4 ml</t>
  </si>
  <si>
    <t>OMEPRAZOL 40 MG FCO AMP ENDOVENOSO</t>
  </si>
  <si>
    <t>PARACETAMOL 2% JARABE x 120 ml</t>
  </si>
  <si>
    <t>PARACETAMOL 500 MG COMPRIMIDO</t>
  </si>
  <si>
    <t>PROPOFOL 1% AMPOLLAS X 20 ML</t>
  </si>
  <si>
    <t>SALBUTAMOL GOTAS x 10 ml</t>
  </si>
  <si>
    <t>TRAMADOL 50 MG AMPOLLA</t>
  </si>
  <si>
    <t>VECURONIO BROMURO 10 MG AMPOLLA</t>
  </si>
  <si>
    <t>ACIDO POLIACRILICO 0,2% GEL x 10 GRS</t>
  </si>
  <si>
    <t>CARBON ACTIVADO POLVO x 1kg</t>
  </si>
  <si>
    <t>UNIDAD</t>
  </si>
  <si>
    <t>DOMPERIDONA 1%  GOTAS x 20 ml</t>
  </si>
  <si>
    <t>DOMPERIDONA 4MG AMPOLLAS X 3 ML</t>
  </si>
  <si>
    <t>INSULINA NPH HUMANA 100 UI JERINGA PRELLENADA TIPO INSULATARD FLEX PEND X 5 AMPOLLAS</t>
  </si>
  <si>
    <t>METOCLOPRAMIDA 0,2 % GOTAS x 20 ml</t>
  </si>
  <si>
    <t>METOCLOPRAMIDA AMPOLLA 10 MG X 2 ML</t>
  </si>
  <si>
    <t>OMEPRAZOL 20 MG CAPSULAS</t>
  </si>
  <si>
    <t>CAPSULA</t>
  </si>
  <si>
    <t>RANITIDINA 50 MG AMPOLLA</t>
  </si>
  <si>
    <t>AGUA DESTILADA EN AMPOLLAS x 10 ml</t>
  </si>
  <si>
    <t>CLORURO DE POTASIO SACHET X 100ML</t>
  </si>
  <si>
    <t>SOLUCION DEXTROSA AL 10% SACHET DE 500 ML</t>
  </si>
  <si>
    <t>SOLUCION DEXTROSA AL 25% SACHET DE 500 ML</t>
  </si>
  <si>
    <t>SOLUCION FISIOLOGICA EN AMPOLLAS x 10 ML</t>
  </si>
  <si>
    <t>SOLUCION GLUCOSADA AL 25 % AMPOLLAS X 10 ML</t>
  </si>
  <si>
    <t>SULFATO DE MAGNESIO 25%  AMPOLLAS X 5 ML</t>
  </si>
  <si>
    <t>ADRENALINA  1MG/ML AMPOLLA DE 1 ML</t>
  </si>
  <si>
    <t>ESMOLOL 100MG AMPOLLA X 10 ML</t>
  </si>
  <si>
    <t>FILGRASTIN 300 MCG AMPOLLA</t>
  </si>
  <si>
    <t>FUROSEMIDA 20 MG  AMPOLLAS X 2 ML</t>
  </si>
  <si>
    <t>MILRINONA 10 G  FCO AMPOLLA</t>
  </si>
  <si>
    <t>SULFATO FERROSO 125 MG/ ML GOTAS X 20 ML</t>
  </si>
  <si>
    <t>VITAMINA K 1 MG AMPOLLA</t>
  </si>
  <si>
    <t>VITAMINA K 10 MG AMPOLLA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</si>
  <si>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Quince (15) días habiles de notificada la Orden de Compra</t>
    </r>
  </si>
  <si>
    <t>Para la adquisición de Medicamentos destinados al Servicio de Farmacia del Hospital Interzonal de Niños Eva Peron, para el normal funcionamiento del organismo.</t>
  </si>
  <si>
    <t>TOTAL DE PESOS: SIETE MILLONES SEISCIENTOS ONCE MIL DOSCIENTOS OCHENTA Y UNO CON 25/100.</t>
  </si>
  <si>
    <t>Costo total estimado: Siete Millones Seiscientos Once Mil Doscientos Ochenta y Uno Con 25/100.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</si>
</sst>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9" xfId="0" applyBorder="1"/>
    <xf numFmtId="0" fontId="0" fillId="0" borderId="23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24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166" fontId="14" fillId="0" borderId="3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9" xfId="0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1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3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6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53" xfId="0" applyBorder="1"/>
    <xf numFmtId="0" fontId="21" fillId="0" borderId="54" xfId="0" applyFont="1" applyBorder="1" applyAlignment="1">
      <alignment horizontal="center" vertical="center"/>
    </xf>
    <xf numFmtId="0" fontId="15" fillId="0" borderId="53" xfId="0" applyFont="1" applyBorder="1" applyAlignment="1">
      <alignment wrapText="1"/>
    </xf>
    <xf numFmtId="0" fontId="5" fillId="3" borderId="54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left" vertical="center"/>
    </xf>
    <xf numFmtId="3" fontId="5" fillId="3" borderId="55" xfId="0" applyNumberFormat="1" applyFont="1" applyFill="1" applyBorder="1" applyAlignment="1">
      <alignment horizontal="center" vertical="center"/>
    </xf>
    <xf numFmtId="166" fontId="5" fillId="3" borderId="53" xfId="1" applyNumberFormat="1" applyFont="1" applyFill="1" applyBorder="1" applyAlignment="1" applyProtection="1">
      <alignment horizontal="right" vertical="center" wrapText="1"/>
    </xf>
    <xf numFmtId="0" fontId="5" fillId="4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21" fillId="0" borderId="58" xfId="0" applyFont="1" applyBorder="1" applyAlignment="1">
      <alignment horizontal="center" vertical="center"/>
    </xf>
    <xf numFmtId="0" fontId="0" fillId="0" borderId="57" xfId="0" applyBorder="1"/>
    <xf numFmtId="0" fontId="15" fillId="0" borderId="57" xfId="0" applyFont="1" applyBorder="1" applyAlignment="1">
      <alignment wrapText="1"/>
    </xf>
    <xf numFmtId="0" fontId="20" fillId="0" borderId="13" xfId="0" applyFont="1" applyBorder="1" applyAlignment="1">
      <alignment horizontal="center" vertical="center" wrapText="1"/>
    </xf>
    <xf numFmtId="169" fontId="25" fillId="0" borderId="13" xfId="0" applyNumberFormat="1" applyFont="1" applyBorder="1" applyAlignment="1">
      <alignment horizontal="center" vertical="center" wrapText="1"/>
    </xf>
    <xf numFmtId="0" fontId="0" fillId="0" borderId="56" xfId="0" applyBorder="1"/>
    <xf numFmtId="0" fontId="5" fillId="3" borderId="56" xfId="0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indent="3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23" fillId="0" borderId="5" xfId="0" applyFont="1" applyFill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22" fillId="0" borderId="59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166" fontId="21" fillId="4" borderId="61" xfId="1" applyNumberFormat="1" applyFont="1" applyFill="1" applyBorder="1" applyAlignment="1" applyProtection="1">
      <alignment horizontal="right" vertical="center" wrapText="1"/>
    </xf>
    <xf numFmtId="166" fontId="21" fillId="4" borderId="62" xfId="1" applyNumberFormat="1" applyFont="1" applyFill="1" applyBorder="1" applyAlignment="1" applyProtection="1">
      <alignment horizontal="right" vertical="center" wrapText="1"/>
    </xf>
    <xf numFmtId="0" fontId="15" fillId="5" borderId="2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center" vertical="center"/>
    </xf>
    <xf numFmtId="3" fontId="15" fillId="5" borderId="2" xfId="0" applyNumberFormat="1" applyFont="1" applyFill="1" applyBorder="1" applyAlignment="1">
      <alignment horizontal="center" vertical="center"/>
    </xf>
    <xf numFmtId="170" fontId="15" fillId="5" borderId="2" xfId="0" applyNumberFormat="1" applyFont="1" applyFill="1" applyBorder="1" applyAlignment="1">
      <alignment horizontal="center" vertical="center"/>
    </xf>
    <xf numFmtId="0" fontId="0" fillId="5" borderId="53" xfId="0" applyFont="1" applyFill="1" applyBorder="1" applyAlignment="1">
      <alignment horizontal="left" vertical="center" wrapText="1"/>
    </xf>
    <xf numFmtId="0" fontId="15" fillId="5" borderId="53" xfId="0" applyFont="1" applyFill="1" applyBorder="1" applyAlignment="1">
      <alignment horizontal="center" vertical="center"/>
    </xf>
    <xf numFmtId="3" fontId="15" fillId="5" borderId="53" xfId="0" applyNumberFormat="1" applyFont="1" applyFill="1" applyBorder="1" applyAlignment="1">
      <alignment horizontal="center" vertical="center"/>
    </xf>
    <xf numFmtId="170" fontId="15" fillId="5" borderId="53" xfId="0" applyNumberFormat="1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left" vertical="center" wrapText="1"/>
    </xf>
    <xf numFmtId="0" fontId="15" fillId="5" borderId="53" xfId="0" applyFont="1" applyFill="1" applyBorder="1" applyAlignment="1">
      <alignment horizontal="left" vertical="center"/>
    </xf>
    <xf numFmtId="0" fontId="15" fillId="5" borderId="53" xfId="0" applyFont="1" applyFill="1" applyBorder="1" applyAlignment="1">
      <alignment vertical="center"/>
    </xf>
    <xf numFmtId="0" fontId="0" fillId="0" borderId="53" xfId="0" applyFont="1" applyBorder="1" applyAlignment="1">
      <alignment horizontal="left" vertical="center"/>
    </xf>
    <xf numFmtId="0" fontId="15" fillId="5" borderId="53" xfId="0" applyFont="1" applyFill="1" applyBorder="1" applyAlignment="1">
      <alignment horizontal="left"/>
    </xf>
    <xf numFmtId="170" fontId="15" fillId="5" borderId="53" xfId="0" applyNumberFormat="1" applyFont="1" applyFill="1" applyBorder="1" applyAlignment="1">
      <alignment horizontal="center"/>
    </xf>
    <xf numFmtId="170" fontId="15" fillId="5" borderId="53" xfId="0" applyNumberFormat="1" applyFont="1" applyFill="1" applyBorder="1" applyAlignment="1">
      <alignment horizontal="right" vertical="center"/>
    </xf>
    <xf numFmtId="0" fontId="15" fillId="5" borderId="53" xfId="0" applyFont="1" applyFill="1" applyBorder="1" applyAlignment="1">
      <alignment wrapText="1"/>
    </xf>
    <xf numFmtId="0" fontId="26" fillId="5" borderId="53" xfId="0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5" borderId="53" xfId="0" applyFont="1" applyFill="1" applyBorder="1" applyAlignment="1">
      <alignment horizontal="left" vertical="center"/>
    </xf>
    <xf numFmtId="0" fontId="27" fillId="0" borderId="53" xfId="0" applyFont="1" applyBorder="1" applyAlignment="1">
      <alignment vertical="center" wrapText="1"/>
    </xf>
    <xf numFmtId="0" fontId="27" fillId="0" borderId="53" xfId="0" applyFont="1" applyBorder="1" applyAlignment="1">
      <alignment horizontal="center" vertical="center" wrapText="1"/>
    </xf>
    <xf numFmtId="170" fontId="27" fillId="0" borderId="53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0" fillId="5" borderId="53" xfId="0" applyFont="1" applyFill="1" applyBorder="1" applyAlignment="1">
      <alignment horizontal="left"/>
    </xf>
    <xf numFmtId="0" fontId="16" fillId="0" borderId="5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5" fillId="3" borderId="53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 indent="1"/>
    </xf>
    <xf numFmtId="0" fontId="8" fillId="3" borderId="14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left" vertical="center"/>
    </xf>
    <xf numFmtId="167" fontId="8" fillId="3" borderId="1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0" fillId="0" borderId="18" xfId="0" applyFont="1" applyBorder="1" applyAlignment="1">
      <alignment horizontal="center"/>
    </xf>
    <xf numFmtId="3" fontId="10" fillId="0" borderId="19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12" fillId="0" borderId="10" xfId="0" applyFont="1" applyBorder="1" applyAlignment="1">
      <alignment horizontal="left" indent="1"/>
    </xf>
    <xf numFmtId="0" fontId="5" fillId="0" borderId="12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/>
    </xf>
    <xf numFmtId="0" fontId="12" fillId="0" borderId="21" xfId="0" applyFont="1" applyBorder="1"/>
    <xf numFmtId="0" fontId="12" fillId="0" borderId="22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6" fillId="0" borderId="27" xfId="0" applyFont="1" applyFill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/>
    </xf>
    <xf numFmtId="0" fontId="10" fillId="0" borderId="18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4" borderId="35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0" fillId="0" borderId="35" xfId="0" applyFont="1" applyBorder="1" applyAlignment="1">
      <alignment horizontal="left" vertical="center" wrapText="1"/>
    </xf>
    <xf numFmtId="0" fontId="0" fillId="0" borderId="20" xfId="0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7"/>
  <sheetViews>
    <sheetView tabSelected="1" topLeftCell="A79" zoomScale="93" zoomScaleNormal="93" workbookViewId="0">
      <selection activeCell="I89" sqref="I89"/>
    </sheetView>
  </sheetViews>
  <sheetFormatPr baseColWidth="10" defaultColWidth="11" defaultRowHeight="12.75" x14ac:dyDescent="0.2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3.42578125" style="26" customWidth="1"/>
    <col min="7" max="7" width="10.42578125" style="26" bestFit="1" customWidth="1"/>
    <col min="8" max="8" width="13.85546875" style="50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20" t="s">
        <v>0</v>
      </c>
      <c r="C2" s="120"/>
      <c r="D2" s="120"/>
      <c r="E2" s="120"/>
      <c r="F2" s="120"/>
      <c r="G2" s="120"/>
      <c r="H2" s="120"/>
    </row>
    <row r="3" spans="1:10" ht="12" customHeight="1" x14ac:dyDescent="0.2"/>
    <row r="4" spans="1:10" ht="18" customHeight="1" x14ac:dyDescent="0.25">
      <c r="A4" s="119" t="s">
        <v>1</v>
      </c>
      <c r="B4" s="119"/>
      <c r="C4" s="121" t="s">
        <v>52</v>
      </c>
      <c r="D4" s="121"/>
      <c r="E4" s="121"/>
      <c r="F4" s="27"/>
      <c r="G4" s="28"/>
      <c r="H4" s="51"/>
    </row>
    <row r="5" spans="1:10" ht="18" customHeight="1" x14ac:dyDescent="0.25">
      <c r="A5" s="119" t="s">
        <v>2</v>
      </c>
      <c r="B5" s="119"/>
      <c r="C5" s="121" t="s">
        <v>51</v>
      </c>
      <c r="D5" s="121"/>
      <c r="E5" s="121"/>
      <c r="F5" s="27"/>
      <c r="G5" s="28" t="s">
        <v>55</v>
      </c>
      <c r="H5" s="51"/>
    </row>
    <row r="6" spans="1:10" ht="16.5" customHeight="1" x14ac:dyDescent="0.25">
      <c r="A6" s="119" t="s">
        <v>3</v>
      </c>
      <c r="B6" s="119"/>
      <c r="C6" s="41">
        <v>2021</v>
      </c>
      <c r="D6" s="42"/>
      <c r="E6" s="42"/>
      <c r="F6" s="27"/>
      <c r="G6" s="28"/>
      <c r="H6" s="51"/>
    </row>
    <row r="7" spans="1:10" ht="16.5" customHeight="1" x14ac:dyDescent="0.25">
      <c r="A7" s="119" t="s">
        <v>4</v>
      </c>
      <c r="B7" s="119"/>
      <c r="C7" s="41">
        <v>4</v>
      </c>
      <c r="D7" s="42"/>
      <c r="E7" s="42"/>
      <c r="F7" s="27"/>
      <c r="G7" s="28"/>
      <c r="H7" s="51"/>
    </row>
    <row r="8" spans="1:10" ht="13.5" thickBot="1" x14ac:dyDescent="0.25">
      <c r="B8" s="27"/>
      <c r="C8" s="28"/>
      <c r="D8" s="27"/>
      <c r="E8" s="27"/>
      <c r="F8" s="27"/>
      <c r="G8" s="28"/>
      <c r="H8" s="51"/>
      <c r="J8" s="49"/>
    </row>
    <row r="9" spans="1:10" ht="36.75" thickBot="1" x14ac:dyDescent="0.25">
      <c r="A9" s="78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9" t="s">
        <v>12</v>
      </c>
      <c r="I9" s="78" t="s">
        <v>13</v>
      </c>
    </row>
    <row r="10" spans="1:10" ht="25.5" x14ac:dyDescent="0.2">
      <c r="A10" s="75">
        <v>1</v>
      </c>
      <c r="B10" s="76"/>
      <c r="C10" s="77" t="s">
        <v>58</v>
      </c>
      <c r="D10" s="89">
        <v>252</v>
      </c>
      <c r="E10" s="93" t="s">
        <v>93</v>
      </c>
      <c r="F10" s="94" t="s">
        <v>77</v>
      </c>
      <c r="G10" s="95">
        <v>200</v>
      </c>
      <c r="H10" s="96">
        <v>2.5</v>
      </c>
      <c r="I10" s="91">
        <f>+G10*H10</f>
        <v>500</v>
      </c>
    </row>
    <row r="11" spans="1:10" ht="25.5" x14ac:dyDescent="0.2">
      <c r="A11" s="66">
        <v>2</v>
      </c>
      <c r="B11" s="65"/>
      <c r="C11" s="67" t="s">
        <v>58</v>
      </c>
      <c r="D11" s="90">
        <v>252</v>
      </c>
      <c r="E11" s="101" t="s">
        <v>127</v>
      </c>
      <c r="F11" s="98" t="s">
        <v>82</v>
      </c>
      <c r="G11" s="99">
        <v>100</v>
      </c>
      <c r="H11" s="106">
        <v>950</v>
      </c>
      <c r="I11" s="92">
        <f t="shared" ref="I11:I62" si="0">+G11*H11</f>
        <v>95000</v>
      </c>
    </row>
    <row r="12" spans="1:10" ht="25.5" x14ac:dyDescent="0.2">
      <c r="A12" s="66">
        <v>3</v>
      </c>
      <c r="B12" s="65"/>
      <c r="C12" s="67" t="s">
        <v>58</v>
      </c>
      <c r="D12" s="90">
        <v>252</v>
      </c>
      <c r="E12" s="102" t="s">
        <v>145</v>
      </c>
      <c r="F12" s="98" t="s">
        <v>129</v>
      </c>
      <c r="G12" s="99">
        <v>1000</v>
      </c>
      <c r="H12" s="107">
        <v>32</v>
      </c>
      <c r="I12" s="92">
        <f t="shared" si="0"/>
        <v>32000</v>
      </c>
    </row>
    <row r="13" spans="1:10" ht="25.5" x14ac:dyDescent="0.2">
      <c r="A13" s="66">
        <v>4</v>
      </c>
      <c r="B13" s="65"/>
      <c r="C13" s="67" t="s">
        <v>58</v>
      </c>
      <c r="D13" s="90">
        <v>252</v>
      </c>
      <c r="E13" s="112" t="s">
        <v>138</v>
      </c>
      <c r="F13" s="113" t="s">
        <v>129</v>
      </c>
      <c r="G13" s="112">
        <v>2000</v>
      </c>
      <c r="H13" s="114">
        <v>34.5</v>
      </c>
      <c r="I13" s="92">
        <f t="shared" si="0"/>
        <v>69000</v>
      </c>
    </row>
    <row r="14" spans="1:10" ht="25.5" x14ac:dyDescent="0.2">
      <c r="A14" s="66">
        <v>5</v>
      </c>
      <c r="B14" s="65"/>
      <c r="C14" s="67" t="s">
        <v>58</v>
      </c>
      <c r="D14" s="90">
        <v>252</v>
      </c>
      <c r="E14" s="97" t="s">
        <v>94</v>
      </c>
      <c r="F14" s="98" t="s">
        <v>95</v>
      </c>
      <c r="G14" s="99">
        <v>1000</v>
      </c>
      <c r="H14" s="100">
        <v>60.55</v>
      </c>
      <c r="I14" s="92">
        <f t="shared" si="0"/>
        <v>60550</v>
      </c>
    </row>
    <row r="15" spans="1:10" ht="25.5" x14ac:dyDescent="0.2">
      <c r="A15" s="66">
        <v>6</v>
      </c>
      <c r="B15" s="65"/>
      <c r="C15" s="67" t="s">
        <v>58</v>
      </c>
      <c r="D15" s="90">
        <v>252</v>
      </c>
      <c r="E15" s="101" t="s">
        <v>96</v>
      </c>
      <c r="F15" s="98" t="s">
        <v>82</v>
      </c>
      <c r="G15" s="99">
        <v>46</v>
      </c>
      <c r="H15" s="100">
        <v>6218</v>
      </c>
      <c r="I15" s="92">
        <f t="shared" si="0"/>
        <v>286028</v>
      </c>
    </row>
    <row r="16" spans="1:10" ht="25.5" x14ac:dyDescent="0.2">
      <c r="A16" s="66">
        <v>7</v>
      </c>
      <c r="B16" s="65"/>
      <c r="C16" s="67" t="s">
        <v>58</v>
      </c>
      <c r="D16" s="90">
        <v>252</v>
      </c>
      <c r="E16" s="108" t="s">
        <v>97</v>
      </c>
      <c r="F16" s="98" t="s">
        <v>79</v>
      </c>
      <c r="G16" s="99">
        <v>100</v>
      </c>
      <c r="H16" s="100">
        <v>245</v>
      </c>
      <c r="I16" s="92">
        <f t="shared" si="0"/>
        <v>24500</v>
      </c>
    </row>
    <row r="17" spans="1:9" ht="25.5" x14ac:dyDescent="0.2">
      <c r="A17" s="66">
        <v>8</v>
      </c>
      <c r="B17" s="65"/>
      <c r="C17" s="67" t="s">
        <v>58</v>
      </c>
      <c r="D17" s="90">
        <v>252</v>
      </c>
      <c r="E17" s="102" t="s">
        <v>98</v>
      </c>
      <c r="F17" s="98" t="s">
        <v>79</v>
      </c>
      <c r="G17" s="99">
        <v>210</v>
      </c>
      <c r="H17" s="100">
        <v>203</v>
      </c>
      <c r="I17" s="92">
        <f t="shared" si="0"/>
        <v>42630</v>
      </c>
    </row>
    <row r="18" spans="1:9" ht="25.5" x14ac:dyDescent="0.2">
      <c r="A18" s="66">
        <v>9</v>
      </c>
      <c r="B18" s="65"/>
      <c r="C18" s="67" t="s">
        <v>58</v>
      </c>
      <c r="D18" s="90">
        <v>252</v>
      </c>
      <c r="E18" s="101" t="s">
        <v>67</v>
      </c>
      <c r="F18" s="98" t="s">
        <v>77</v>
      </c>
      <c r="G18" s="99">
        <v>50</v>
      </c>
      <c r="H18" s="106">
        <v>4</v>
      </c>
      <c r="I18" s="92">
        <f t="shared" si="0"/>
        <v>200</v>
      </c>
    </row>
    <row r="19" spans="1:9" ht="25.5" x14ac:dyDescent="0.2">
      <c r="A19" s="66">
        <v>10</v>
      </c>
      <c r="B19" s="65"/>
      <c r="C19" s="67" t="s">
        <v>58</v>
      </c>
      <c r="D19" s="90">
        <v>252</v>
      </c>
      <c r="E19" s="101" t="s">
        <v>78</v>
      </c>
      <c r="F19" s="98" t="s">
        <v>77</v>
      </c>
      <c r="G19" s="99">
        <v>200</v>
      </c>
      <c r="H19" s="106">
        <v>8.6999999999999993</v>
      </c>
      <c r="I19" s="92">
        <f t="shared" si="0"/>
        <v>1739.9999999999998</v>
      </c>
    </row>
    <row r="20" spans="1:9" ht="25.5" x14ac:dyDescent="0.2">
      <c r="A20" s="66">
        <v>11</v>
      </c>
      <c r="B20" s="65"/>
      <c r="C20" s="67" t="s">
        <v>58</v>
      </c>
      <c r="D20" s="90">
        <v>252</v>
      </c>
      <c r="E20" s="101" t="s">
        <v>63</v>
      </c>
      <c r="F20" s="98" t="s">
        <v>79</v>
      </c>
      <c r="G20" s="99">
        <v>20</v>
      </c>
      <c r="H20" s="106">
        <v>518</v>
      </c>
      <c r="I20" s="92">
        <f t="shared" si="0"/>
        <v>10360</v>
      </c>
    </row>
    <row r="21" spans="1:9" ht="25.5" x14ac:dyDescent="0.2">
      <c r="A21" s="66">
        <v>12</v>
      </c>
      <c r="B21" s="65"/>
      <c r="C21" s="67" t="s">
        <v>58</v>
      </c>
      <c r="D21" s="90">
        <v>252</v>
      </c>
      <c r="E21" s="108" t="s">
        <v>128</v>
      </c>
      <c r="F21" s="109" t="s">
        <v>129</v>
      </c>
      <c r="G21" s="99">
        <v>3</v>
      </c>
      <c r="H21" s="107">
        <v>2700</v>
      </c>
      <c r="I21" s="92">
        <f t="shared" si="0"/>
        <v>8100</v>
      </c>
    </row>
    <row r="22" spans="1:9" ht="25.5" x14ac:dyDescent="0.2">
      <c r="A22" s="66">
        <v>13</v>
      </c>
      <c r="B22" s="65"/>
      <c r="C22" s="67" t="s">
        <v>58</v>
      </c>
      <c r="D22" s="90">
        <v>252</v>
      </c>
      <c r="E22" s="102" t="s">
        <v>99</v>
      </c>
      <c r="F22" s="98" t="s">
        <v>76</v>
      </c>
      <c r="G22" s="99">
        <v>1000</v>
      </c>
      <c r="H22" s="100">
        <v>120</v>
      </c>
      <c r="I22" s="92">
        <f t="shared" si="0"/>
        <v>120000</v>
      </c>
    </row>
    <row r="23" spans="1:9" ht="25.5" x14ac:dyDescent="0.2">
      <c r="A23" s="66">
        <v>14</v>
      </c>
      <c r="B23" s="65"/>
      <c r="C23" s="67" t="s">
        <v>58</v>
      </c>
      <c r="D23" s="90">
        <v>252</v>
      </c>
      <c r="E23" s="101" t="s">
        <v>61</v>
      </c>
      <c r="F23" s="98" t="s">
        <v>77</v>
      </c>
      <c r="G23" s="99">
        <v>300</v>
      </c>
      <c r="H23" s="106">
        <v>3.5</v>
      </c>
      <c r="I23" s="92">
        <f t="shared" si="0"/>
        <v>1050</v>
      </c>
    </row>
    <row r="24" spans="1:9" ht="25.5" x14ac:dyDescent="0.2">
      <c r="A24" s="66">
        <v>15</v>
      </c>
      <c r="B24" s="65"/>
      <c r="C24" s="67" t="s">
        <v>58</v>
      </c>
      <c r="D24" s="90">
        <v>252</v>
      </c>
      <c r="E24" s="103" t="s">
        <v>100</v>
      </c>
      <c r="F24" s="98" t="s">
        <v>76</v>
      </c>
      <c r="G24" s="99">
        <v>100</v>
      </c>
      <c r="H24" s="100">
        <v>80</v>
      </c>
      <c r="I24" s="92">
        <f t="shared" si="0"/>
        <v>8000</v>
      </c>
    </row>
    <row r="25" spans="1:9" ht="25.5" x14ac:dyDescent="0.2">
      <c r="A25" s="66">
        <v>16</v>
      </c>
      <c r="B25" s="65"/>
      <c r="C25" s="67" t="s">
        <v>58</v>
      </c>
      <c r="D25" s="90">
        <v>252</v>
      </c>
      <c r="E25" s="101" t="s">
        <v>69</v>
      </c>
      <c r="F25" s="98" t="s">
        <v>76</v>
      </c>
      <c r="G25" s="99">
        <v>100</v>
      </c>
      <c r="H25" s="106">
        <v>130</v>
      </c>
      <c r="I25" s="92">
        <f t="shared" si="0"/>
        <v>13000</v>
      </c>
    </row>
    <row r="26" spans="1:9" ht="25.5" x14ac:dyDescent="0.2">
      <c r="A26" s="66">
        <v>17</v>
      </c>
      <c r="B26" s="65"/>
      <c r="C26" s="67" t="s">
        <v>58</v>
      </c>
      <c r="D26" s="90">
        <v>252</v>
      </c>
      <c r="E26" s="112" t="s">
        <v>139</v>
      </c>
      <c r="F26" s="113" t="s">
        <v>129</v>
      </c>
      <c r="G26" s="112">
        <v>1000</v>
      </c>
      <c r="H26" s="114">
        <v>160</v>
      </c>
      <c r="I26" s="92">
        <f t="shared" si="0"/>
        <v>160000</v>
      </c>
    </row>
    <row r="27" spans="1:9" ht="25.5" x14ac:dyDescent="0.2">
      <c r="A27" s="66">
        <v>18</v>
      </c>
      <c r="B27" s="65"/>
      <c r="C27" s="67" t="s">
        <v>58</v>
      </c>
      <c r="D27" s="90">
        <v>252</v>
      </c>
      <c r="E27" s="104" t="s">
        <v>101</v>
      </c>
      <c r="F27" s="98" t="s">
        <v>76</v>
      </c>
      <c r="G27" s="99">
        <v>5000</v>
      </c>
      <c r="H27" s="100">
        <v>39</v>
      </c>
      <c r="I27" s="92">
        <f t="shared" si="0"/>
        <v>195000</v>
      </c>
    </row>
    <row r="28" spans="1:9" ht="25.5" x14ac:dyDescent="0.2">
      <c r="A28" s="66">
        <v>19</v>
      </c>
      <c r="B28" s="65"/>
      <c r="C28" s="67" t="s">
        <v>58</v>
      </c>
      <c r="D28" s="90">
        <v>252</v>
      </c>
      <c r="E28" s="102" t="s">
        <v>102</v>
      </c>
      <c r="F28" s="98" t="s">
        <v>76</v>
      </c>
      <c r="G28" s="99">
        <v>4000</v>
      </c>
      <c r="H28" s="100">
        <v>32</v>
      </c>
      <c r="I28" s="92">
        <f t="shared" si="0"/>
        <v>128000</v>
      </c>
    </row>
    <row r="29" spans="1:9" ht="25.5" x14ac:dyDescent="0.2">
      <c r="A29" s="66">
        <v>20</v>
      </c>
      <c r="B29" s="65"/>
      <c r="C29" s="67" t="s">
        <v>58</v>
      </c>
      <c r="D29" s="90">
        <v>252</v>
      </c>
      <c r="E29" s="101" t="s">
        <v>81</v>
      </c>
      <c r="F29" s="98" t="s">
        <v>79</v>
      </c>
      <c r="G29" s="99">
        <v>2000</v>
      </c>
      <c r="H29" s="106">
        <v>92</v>
      </c>
      <c r="I29" s="92">
        <f t="shared" si="0"/>
        <v>184000</v>
      </c>
    </row>
    <row r="30" spans="1:9" ht="25.5" x14ac:dyDescent="0.2">
      <c r="A30" s="66">
        <v>21</v>
      </c>
      <c r="B30" s="80"/>
      <c r="C30" s="67" t="s">
        <v>58</v>
      </c>
      <c r="D30" s="90">
        <v>252</v>
      </c>
      <c r="E30" s="101" t="s">
        <v>74</v>
      </c>
      <c r="F30" s="98" t="s">
        <v>76</v>
      </c>
      <c r="G30" s="99">
        <v>1500</v>
      </c>
      <c r="H30" s="106">
        <v>42</v>
      </c>
      <c r="I30" s="92">
        <f t="shared" si="0"/>
        <v>63000</v>
      </c>
    </row>
    <row r="31" spans="1:9" ht="25.5" x14ac:dyDescent="0.2">
      <c r="A31" s="66">
        <v>22</v>
      </c>
      <c r="B31" s="80"/>
      <c r="C31" s="67" t="s">
        <v>58</v>
      </c>
      <c r="D31" s="90">
        <v>252</v>
      </c>
      <c r="E31" s="101" t="s">
        <v>66</v>
      </c>
      <c r="F31" s="98" t="s">
        <v>77</v>
      </c>
      <c r="G31" s="99">
        <v>100</v>
      </c>
      <c r="H31" s="106">
        <v>44.07</v>
      </c>
      <c r="I31" s="92">
        <f t="shared" si="0"/>
        <v>4407</v>
      </c>
    </row>
    <row r="32" spans="1:9" ht="25.5" x14ac:dyDescent="0.2">
      <c r="A32" s="66">
        <v>23</v>
      </c>
      <c r="B32" s="80"/>
      <c r="C32" s="67" t="s">
        <v>58</v>
      </c>
      <c r="D32" s="90">
        <v>252</v>
      </c>
      <c r="E32" s="108" t="s">
        <v>130</v>
      </c>
      <c r="F32" s="109" t="s">
        <v>80</v>
      </c>
      <c r="G32" s="99">
        <v>100</v>
      </c>
      <c r="H32" s="107">
        <v>350</v>
      </c>
      <c r="I32" s="92">
        <f t="shared" si="0"/>
        <v>35000</v>
      </c>
    </row>
    <row r="33" spans="1:9" ht="25.5" x14ac:dyDescent="0.2">
      <c r="A33" s="66">
        <v>24</v>
      </c>
      <c r="B33" s="80"/>
      <c r="C33" s="67" t="s">
        <v>58</v>
      </c>
      <c r="D33" s="90">
        <v>252</v>
      </c>
      <c r="E33" s="108" t="s">
        <v>131</v>
      </c>
      <c r="F33" s="110" t="s">
        <v>76</v>
      </c>
      <c r="G33" s="99">
        <v>1000</v>
      </c>
      <c r="H33" s="107">
        <v>88</v>
      </c>
      <c r="I33" s="92">
        <f t="shared" si="0"/>
        <v>88000</v>
      </c>
    </row>
    <row r="34" spans="1:9" ht="25.5" x14ac:dyDescent="0.2">
      <c r="A34" s="66">
        <v>25</v>
      </c>
      <c r="B34" s="80"/>
      <c r="C34" s="67" t="s">
        <v>58</v>
      </c>
      <c r="D34" s="90">
        <v>252</v>
      </c>
      <c r="E34" s="101" t="s">
        <v>103</v>
      </c>
      <c r="F34" s="98" t="s">
        <v>76</v>
      </c>
      <c r="G34" s="99">
        <v>100</v>
      </c>
      <c r="H34" s="100">
        <v>280</v>
      </c>
      <c r="I34" s="92">
        <f t="shared" si="0"/>
        <v>28000</v>
      </c>
    </row>
    <row r="35" spans="1:9" ht="25.5" x14ac:dyDescent="0.2">
      <c r="A35" s="66">
        <v>26</v>
      </c>
      <c r="B35" s="80"/>
      <c r="C35" s="67" t="s">
        <v>58</v>
      </c>
      <c r="D35" s="90">
        <v>252</v>
      </c>
      <c r="E35" s="101" t="s">
        <v>75</v>
      </c>
      <c r="F35" s="98" t="s">
        <v>82</v>
      </c>
      <c r="G35" s="99">
        <v>20</v>
      </c>
      <c r="H35" s="106">
        <v>1050</v>
      </c>
      <c r="I35" s="92">
        <f t="shared" si="0"/>
        <v>21000</v>
      </c>
    </row>
    <row r="36" spans="1:9" ht="25.5" x14ac:dyDescent="0.2">
      <c r="A36" s="66">
        <v>27</v>
      </c>
      <c r="B36" s="80"/>
      <c r="C36" s="67" t="s">
        <v>58</v>
      </c>
      <c r="D36" s="90">
        <v>252</v>
      </c>
      <c r="E36" s="102" t="s">
        <v>146</v>
      </c>
      <c r="F36" s="98" t="s">
        <v>129</v>
      </c>
      <c r="G36" s="99">
        <v>10</v>
      </c>
      <c r="H36" s="107">
        <v>5082</v>
      </c>
      <c r="I36" s="92">
        <f t="shared" si="0"/>
        <v>50820</v>
      </c>
    </row>
    <row r="37" spans="1:9" ht="25.5" x14ac:dyDescent="0.2">
      <c r="A37" s="66">
        <v>28</v>
      </c>
      <c r="B37" s="80"/>
      <c r="C37" s="67" t="s">
        <v>58</v>
      </c>
      <c r="D37" s="90">
        <v>252</v>
      </c>
      <c r="E37" s="97" t="s">
        <v>83</v>
      </c>
      <c r="F37" s="98" t="s">
        <v>76</v>
      </c>
      <c r="G37" s="99">
        <v>200</v>
      </c>
      <c r="H37" s="107">
        <v>32</v>
      </c>
      <c r="I37" s="92">
        <f t="shared" si="0"/>
        <v>6400</v>
      </c>
    </row>
    <row r="38" spans="1:9" ht="25.5" x14ac:dyDescent="0.2">
      <c r="A38" s="66">
        <v>29</v>
      </c>
      <c r="B38" s="80"/>
      <c r="C38" s="67" t="s">
        <v>58</v>
      </c>
      <c r="D38" s="90">
        <v>252</v>
      </c>
      <c r="E38" s="101" t="s">
        <v>60</v>
      </c>
      <c r="F38" s="98" t="s">
        <v>79</v>
      </c>
      <c r="G38" s="99">
        <v>30</v>
      </c>
      <c r="H38" s="107">
        <v>985</v>
      </c>
      <c r="I38" s="92">
        <f t="shared" si="0"/>
        <v>29550</v>
      </c>
    </row>
    <row r="39" spans="1:9" ht="25.5" x14ac:dyDescent="0.2">
      <c r="A39" s="66">
        <v>30</v>
      </c>
      <c r="B39" s="80"/>
      <c r="C39" s="67" t="s">
        <v>58</v>
      </c>
      <c r="D39" s="90">
        <v>252</v>
      </c>
      <c r="E39" s="101" t="s">
        <v>59</v>
      </c>
      <c r="F39" s="98" t="s">
        <v>77</v>
      </c>
      <c r="G39" s="99">
        <v>400</v>
      </c>
      <c r="H39" s="107">
        <v>6.8</v>
      </c>
      <c r="I39" s="92">
        <f t="shared" si="0"/>
        <v>2720</v>
      </c>
    </row>
    <row r="40" spans="1:9" ht="25.5" x14ac:dyDescent="0.2">
      <c r="A40" s="66">
        <v>31</v>
      </c>
      <c r="B40" s="80"/>
      <c r="C40" s="67" t="s">
        <v>58</v>
      </c>
      <c r="D40" s="90">
        <v>252</v>
      </c>
      <c r="E40" s="101" t="s">
        <v>104</v>
      </c>
      <c r="F40" s="98" t="s">
        <v>76</v>
      </c>
      <c r="G40" s="99">
        <v>600</v>
      </c>
      <c r="H40" s="100">
        <v>280</v>
      </c>
      <c r="I40" s="92">
        <f t="shared" si="0"/>
        <v>168000</v>
      </c>
    </row>
    <row r="41" spans="1:9" ht="25.5" x14ac:dyDescent="0.2">
      <c r="A41" s="66">
        <v>32</v>
      </c>
      <c r="B41" s="80"/>
      <c r="C41" s="67" t="s">
        <v>58</v>
      </c>
      <c r="D41" s="90">
        <v>252</v>
      </c>
      <c r="E41" s="102" t="s">
        <v>105</v>
      </c>
      <c r="F41" s="98" t="s">
        <v>76</v>
      </c>
      <c r="G41" s="99">
        <v>4000</v>
      </c>
      <c r="H41" s="100">
        <v>366</v>
      </c>
      <c r="I41" s="92">
        <f t="shared" si="0"/>
        <v>1464000</v>
      </c>
    </row>
    <row r="42" spans="1:9" ht="25.5" x14ac:dyDescent="0.2">
      <c r="A42" s="66">
        <v>33</v>
      </c>
      <c r="B42" s="80"/>
      <c r="C42" s="67" t="s">
        <v>58</v>
      </c>
      <c r="D42" s="90">
        <v>252</v>
      </c>
      <c r="E42" s="102" t="s">
        <v>147</v>
      </c>
      <c r="F42" s="98" t="s">
        <v>129</v>
      </c>
      <c r="G42" s="99">
        <v>5</v>
      </c>
      <c r="H42" s="107">
        <v>1500</v>
      </c>
      <c r="I42" s="92">
        <f t="shared" si="0"/>
        <v>7500</v>
      </c>
    </row>
    <row r="43" spans="1:9" ht="25.5" x14ac:dyDescent="0.2">
      <c r="A43" s="66">
        <v>34</v>
      </c>
      <c r="B43" s="80"/>
      <c r="C43" s="67" t="s">
        <v>58</v>
      </c>
      <c r="D43" s="90">
        <v>252</v>
      </c>
      <c r="E43" s="102" t="s">
        <v>148</v>
      </c>
      <c r="F43" s="98" t="s">
        <v>129</v>
      </c>
      <c r="G43" s="99">
        <v>300</v>
      </c>
      <c r="H43" s="107">
        <v>31</v>
      </c>
      <c r="I43" s="92">
        <f t="shared" si="0"/>
        <v>9300</v>
      </c>
    </row>
    <row r="44" spans="1:9" ht="25.5" x14ac:dyDescent="0.2">
      <c r="A44" s="66">
        <v>35</v>
      </c>
      <c r="B44" s="80"/>
      <c r="C44" s="67" t="s">
        <v>58</v>
      </c>
      <c r="D44" s="90">
        <v>252</v>
      </c>
      <c r="E44" s="101" t="s">
        <v>70</v>
      </c>
      <c r="F44" s="98" t="s">
        <v>76</v>
      </c>
      <c r="G44" s="99">
        <v>100</v>
      </c>
      <c r="H44" s="107">
        <v>46</v>
      </c>
      <c r="I44" s="92">
        <f t="shared" si="0"/>
        <v>4600</v>
      </c>
    </row>
    <row r="45" spans="1:9" ht="25.5" x14ac:dyDescent="0.2">
      <c r="A45" s="66">
        <v>36</v>
      </c>
      <c r="B45" s="80"/>
      <c r="C45" s="67" t="s">
        <v>58</v>
      </c>
      <c r="D45" s="90">
        <v>252</v>
      </c>
      <c r="E45" s="102" t="s">
        <v>106</v>
      </c>
      <c r="F45" s="98" t="s">
        <v>76</v>
      </c>
      <c r="G45" s="99">
        <v>500</v>
      </c>
      <c r="H45" s="100">
        <v>103</v>
      </c>
      <c r="I45" s="92">
        <f t="shared" si="0"/>
        <v>51500</v>
      </c>
    </row>
    <row r="46" spans="1:9" ht="25.5" x14ac:dyDescent="0.2">
      <c r="A46" s="66">
        <v>37</v>
      </c>
      <c r="B46" s="80"/>
      <c r="C46" s="67" t="s">
        <v>58</v>
      </c>
      <c r="D46" s="90">
        <v>252</v>
      </c>
      <c r="E46" s="102" t="s">
        <v>107</v>
      </c>
      <c r="F46" s="98" t="s">
        <v>76</v>
      </c>
      <c r="G46" s="99">
        <v>500</v>
      </c>
      <c r="H46" s="100">
        <v>205</v>
      </c>
      <c r="I46" s="92">
        <f t="shared" si="0"/>
        <v>102500</v>
      </c>
    </row>
    <row r="47" spans="1:9" ht="25.5" x14ac:dyDescent="0.2">
      <c r="A47" s="66">
        <v>38</v>
      </c>
      <c r="B47" s="80"/>
      <c r="C47" s="67" t="s">
        <v>58</v>
      </c>
      <c r="D47" s="90">
        <v>252</v>
      </c>
      <c r="E47" s="108" t="s">
        <v>132</v>
      </c>
      <c r="F47" s="109" t="s">
        <v>86</v>
      </c>
      <c r="G47" s="99">
        <v>2</v>
      </c>
      <c r="H47" s="107">
        <v>6215</v>
      </c>
      <c r="I47" s="92">
        <f t="shared" si="0"/>
        <v>12430</v>
      </c>
    </row>
    <row r="48" spans="1:9" ht="25.5" x14ac:dyDescent="0.2">
      <c r="A48" s="66">
        <v>39</v>
      </c>
      <c r="B48" s="80"/>
      <c r="C48" s="67" t="s">
        <v>58</v>
      </c>
      <c r="D48" s="90">
        <v>252</v>
      </c>
      <c r="E48" s="105" t="s">
        <v>108</v>
      </c>
      <c r="F48" s="98" t="s">
        <v>76</v>
      </c>
      <c r="G48" s="99">
        <v>100</v>
      </c>
      <c r="H48" s="100">
        <v>1895</v>
      </c>
      <c r="I48" s="92">
        <f t="shared" si="0"/>
        <v>189500</v>
      </c>
    </row>
    <row r="49" spans="1:9" ht="25.5" x14ac:dyDescent="0.2">
      <c r="A49" s="66">
        <v>40</v>
      </c>
      <c r="B49" s="80"/>
      <c r="C49" s="67" t="s">
        <v>58</v>
      </c>
      <c r="D49" s="90">
        <v>252</v>
      </c>
      <c r="E49" s="101" t="s">
        <v>84</v>
      </c>
      <c r="F49" s="98" t="s">
        <v>77</v>
      </c>
      <c r="G49" s="99">
        <v>30</v>
      </c>
      <c r="H49" s="107">
        <v>6.5</v>
      </c>
      <c r="I49" s="92">
        <f t="shared" si="0"/>
        <v>195</v>
      </c>
    </row>
    <row r="50" spans="1:9" ht="25.5" x14ac:dyDescent="0.2">
      <c r="A50" s="66">
        <v>41</v>
      </c>
      <c r="B50" s="80"/>
      <c r="C50" s="67" t="s">
        <v>58</v>
      </c>
      <c r="D50" s="90">
        <v>252</v>
      </c>
      <c r="E50" s="101" t="s">
        <v>85</v>
      </c>
      <c r="F50" s="98" t="s">
        <v>86</v>
      </c>
      <c r="G50" s="99">
        <v>15</v>
      </c>
      <c r="H50" s="107">
        <v>3478.75</v>
      </c>
      <c r="I50" s="92">
        <f t="shared" si="0"/>
        <v>52181.25</v>
      </c>
    </row>
    <row r="51" spans="1:9" ht="25.5" x14ac:dyDescent="0.2">
      <c r="A51" s="66">
        <v>42</v>
      </c>
      <c r="B51" s="80"/>
      <c r="C51" s="67" t="s">
        <v>58</v>
      </c>
      <c r="D51" s="90">
        <v>252</v>
      </c>
      <c r="E51" s="97" t="s">
        <v>68</v>
      </c>
      <c r="F51" s="98" t="s">
        <v>76</v>
      </c>
      <c r="G51" s="99">
        <v>100</v>
      </c>
      <c r="H51" s="107">
        <v>420</v>
      </c>
      <c r="I51" s="92">
        <f t="shared" si="0"/>
        <v>42000</v>
      </c>
    </row>
    <row r="52" spans="1:9" ht="25.5" x14ac:dyDescent="0.2">
      <c r="A52" s="66">
        <v>43</v>
      </c>
      <c r="B52" s="80"/>
      <c r="C52" s="67" t="s">
        <v>58</v>
      </c>
      <c r="D52" s="90">
        <v>252</v>
      </c>
      <c r="E52" s="101" t="s">
        <v>62</v>
      </c>
      <c r="F52" s="98" t="s">
        <v>77</v>
      </c>
      <c r="G52" s="99">
        <v>100</v>
      </c>
      <c r="H52" s="107">
        <v>3.8</v>
      </c>
      <c r="I52" s="92">
        <f t="shared" si="0"/>
        <v>380</v>
      </c>
    </row>
    <row r="53" spans="1:9" ht="25.5" x14ac:dyDescent="0.2">
      <c r="A53" s="66">
        <v>44</v>
      </c>
      <c r="B53" s="80"/>
      <c r="C53" s="67" t="s">
        <v>58</v>
      </c>
      <c r="D53" s="90">
        <v>252</v>
      </c>
      <c r="E53" s="101" t="s">
        <v>109</v>
      </c>
      <c r="F53" s="98" t="s">
        <v>76</v>
      </c>
      <c r="G53" s="99">
        <v>500</v>
      </c>
      <c r="H53" s="100">
        <v>560</v>
      </c>
      <c r="I53" s="92">
        <f t="shared" si="0"/>
        <v>280000</v>
      </c>
    </row>
    <row r="54" spans="1:9" ht="25.5" x14ac:dyDescent="0.2">
      <c r="A54" s="66">
        <v>45</v>
      </c>
      <c r="B54" s="80"/>
      <c r="C54" s="67" t="s">
        <v>58</v>
      </c>
      <c r="D54" s="90">
        <v>252</v>
      </c>
      <c r="E54" s="102" t="s">
        <v>113</v>
      </c>
      <c r="F54" s="98" t="s">
        <v>80</v>
      </c>
      <c r="G54" s="99">
        <v>1000</v>
      </c>
      <c r="H54" s="100">
        <v>320</v>
      </c>
      <c r="I54" s="92">
        <f t="shared" si="0"/>
        <v>320000</v>
      </c>
    </row>
    <row r="55" spans="1:9" ht="25.5" x14ac:dyDescent="0.2">
      <c r="A55" s="66">
        <v>46</v>
      </c>
      <c r="B55" s="80"/>
      <c r="C55" s="67" t="s">
        <v>58</v>
      </c>
      <c r="D55" s="90">
        <v>252</v>
      </c>
      <c r="E55" s="102" t="s">
        <v>112</v>
      </c>
      <c r="F55" s="98" t="s">
        <v>77</v>
      </c>
      <c r="G55" s="99">
        <v>200</v>
      </c>
      <c r="H55" s="100">
        <v>65</v>
      </c>
      <c r="I55" s="92">
        <f t="shared" si="0"/>
        <v>13000</v>
      </c>
    </row>
    <row r="56" spans="1:9" ht="25.5" x14ac:dyDescent="0.2">
      <c r="A56" s="66">
        <v>47</v>
      </c>
      <c r="B56" s="80"/>
      <c r="C56" s="67" t="s">
        <v>58</v>
      </c>
      <c r="D56" s="90">
        <v>252</v>
      </c>
      <c r="E56" s="102" t="s">
        <v>114</v>
      </c>
      <c r="F56" s="98" t="s">
        <v>77</v>
      </c>
      <c r="G56" s="99">
        <v>1000</v>
      </c>
      <c r="H56" s="100">
        <v>40</v>
      </c>
      <c r="I56" s="92">
        <f t="shared" si="0"/>
        <v>40000</v>
      </c>
    </row>
    <row r="57" spans="1:9" ht="25.5" x14ac:dyDescent="0.2">
      <c r="A57" s="66">
        <v>48</v>
      </c>
      <c r="B57" s="80"/>
      <c r="C57" s="67" t="s">
        <v>58</v>
      </c>
      <c r="D57" s="90">
        <v>252</v>
      </c>
      <c r="E57" s="102" t="s">
        <v>110</v>
      </c>
      <c r="F57" s="98" t="s">
        <v>76</v>
      </c>
      <c r="G57" s="99">
        <v>100</v>
      </c>
      <c r="H57" s="100">
        <v>580</v>
      </c>
      <c r="I57" s="92">
        <f t="shared" si="0"/>
        <v>58000</v>
      </c>
    </row>
    <row r="58" spans="1:9" ht="25.5" x14ac:dyDescent="0.2">
      <c r="A58" s="66">
        <v>49</v>
      </c>
      <c r="B58" s="80"/>
      <c r="C58" s="67" t="s">
        <v>58</v>
      </c>
      <c r="D58" s="90">
        <v>252</v>
      </c>
      <c r="E58" s="102" t="s">
        <v>111</v>
      </c>
      <c r="F58" s="98" t="s">
        <v>76</v>
      </c>
      <c r="G58" s="99">
        <v>100</v>
      </c>
      <c r="H58" s="100">
        <v>276</v>
      </c>
      <c r="I58" s="92">
        <f t="shared" si="0"/>
        <v>27600</v>
      </c>
    </row>
    <row r="59" spans="1:9" ht="25.5" x14ac:dyDescent="0.2">
      <c r="A59" s="66">
        <v>50</v>
      </c>
      <c r="B59" s="80"/>
      <c r="C59" s="67" t="s">
        <v>58</v>
      </c>
      <c r="D59" s="90">
        <v>252</v>
      </c>
      <c r="E59" s="108" t="s">
        <v>133</v>
      </c>
      <c r="F59" s="109" t="s">
        <v>80</v>
      </c>
      <c r="G59" s="99">
        <v>500</v>
      </c>
      <c r="H59" s="107">
        <v>155</v>
      </c>
      <c r="I59" s="92">
        <f t="shared" si="0"/>
        <v>77500</v>
      </c>
    </row>
    <row r="60" spans="1:9" ht="25.5" x14ac:dyDescent="0.2">
      <c r="A60" s="66">
        <v>51</v>
      </c>
      <c r="B60" s="80"/>
      <c r="C60" s="67" t="s">
        <v>58</v>
      </c>
      <c r="D60" s="90">
        <v>252</v>
      </c>
      <c r="E60" s="111" t="s">
        <v>134</v>
      </c>
      <c r="F60" s="109" t="s">
        <v>76</v>
      </c>
      <c r="G60" s="109">
        <v>2000</v>
      </c>
      <c r="H60" s="107">
        <v>35</v>
      </c>
      <c r="I60" s="92">
        <f t="shared" si="0"/>
        <v>70000</v>
      </c>
    </row>
    <row r="61" spans="1:9" ht="25.5" x14ac:dyDescent="0.2">
      <c r="A61" s="66">
        <v>52</v>
      </c>
      <c r="B61" s="80"/>
      <c r="C61" s="67" t="s">
        <v>58</v>
      </c>
      <c r="D61" s="90">
        <v>252</v>
      </c>
      <c r="E61" s="102" t="s">
        <v>115</v>
      </c>
      <c r="F61" s="98" t="s">
        <v>82</v>
      </c>
      <c r="G61" s="99">
        <v>500</v>
      </c>
      <c r="H61" s="100">
        <v>76</v>
      </c>
      <c r="I61" s="92">
        <f t="shared" si="0"/>
        <v>38000</v>
      </c>
    </row>
    <row r="62" spans="1:9" ht="25.5" x14ac:dyDescent="0.2">
      <c r="A62" s="66">
        <v>53</v>
      </c>
      <c r="B62" s="65"/>
      <c r="C62" s="67" t="s">
        <v>58</v>
      </c>
      <c r="D62" s="90">
        <v>252</v>
      </c>
      <c r="E62" s="101" t="s">
        <v>116</v>
      </c>
      <c r="F62" s="98" t="s">
        <v>76</v>
      </c>
      <c r="G62" s="99">
        <v>1500</v>
      </c>
      <c r="H62" s="100">
        <v>514</v>
      </c>
      <c r="I62" s="92">
        <f t="shared" si="0"/>
        <v>771000</v>
      </c>
    </row>
    <row r="63" spans="1:9" ht="25.5" x14ac:dyDescent="0.2">
      <c r="A63" s="66">
        <v>54</v>
      </c>
      <c r="B63" s="65"/>
      <c r="C63" s="67" t="s">
        <v>58</v>
      </c>
      <c r="D63" s="90">
        <v>252</v>
      </c>
      <c r="E63" s="117" t="s">
        <v>149</v>
      </c>
      <c r="F63" s="98" t="s">
        <v>129</v>
      </c>
      <c r="G63" s="99">
        <v>200</v>
      </c>
      <c r="H63" s="107">
        <v>359</v>
      </c>
      <c r="I63" s="92">
        <f t="shared" ref="I63:I88" si="1">+G63*H63</f>
        <v>71800</v>
      </c>
    </row>
    <row r="64" spans="1:9" ht="25.5" x14ac:dyDescent="0.2">
      <c r="A64" s="66">
        <v>55</v>
      </c>
      <c r="B64" s="65"/>
      <c r="C64" s="67" t="s">
        <v>58</v>
      </c>
      <c r="D64" s="90">
        <v>252</v>
      </c>
      <c r="E64" s="97" t="s">
        <v>117</v>
      </c>
      <c r="F64" s="98" t="s">
        <v>76</v>
      </c>
      <c r="G64" s="99">
        <v>1000</v>
      </c>
      <c r="H64" s="100">
        <v>118</v>
      </c>
      <c r="I64" s="92">
        <f t="shared" si="1"/>
        <v>118000</v>
      </c>
    </row>
    <row r="65" spans="1:9" ht="25.5" x14ac:dyDescent="0.2">
      <c r="A65" s="66">
        <v>56</v>
      </c>
      <c r="B65" s="65"/>
      <c r="C65" s="67" t="s">
        <v>58</v>
      </c>
      <c r="D65" s="90">
        <v>252</v>
      </c>
      <c r="E65" s="102" t="s">
        <v>118</v>
      </c>
      <c r="F65" s="98" t="s">
        <v>76</v>
      </c>
      <c r="G65" s="99">
        <v>100</v>
      </c>
      <c r="H65" s="100">
        <v>780</v>
      </c>
      <c r="I65" s="92">
        <f t="shared" si="1"/>
        <v>78000</v>
      </c>
    </row>
    <row r="66" spans="1:9" ht="25.5" x14ac:dyDescent="0.2">
      <c r="A66" s="66">
        <v>57</v>
      </c>
      <c r="B66" s="65"/>
      <c r="C66" s="67" t="s">
        <v>58</v>
      </c>
      <c r="D66" s="90">
        <v>252</v>
      </c>
      <c r="E66" s="101" t="s">
        <v>119</v>
      </c>
      <c r="F66" s="98" t="s">
        <v>76</v>
      </c>
      <c r="G66" s="99">
        <v>200</v>
      </c>
      <c r="H66" s="100">
        <v>290</v>
      </c>
      <c r="I66" s="92">
        <f t="shared" si="1"/>
        <v>58000</v>
      </c>
    </row>
    <row r="67" spans="1:9" ht="25.5" x14ac:dyDescent="0.2">
      <c r="A67" s="66">
        <v>58</v>
      </c>
      <c r="B67" s="65"/>
      <c r="C67" s="67" t="s">
        <v>58</v>
      </c>
      <c r="D67" s="90">
        <v>252</v>
      </c>
      <c r="E67" s="108" t="s">
        <v>135</v>
      </c>
      <c r="F67" s="110" t="s">
        <v>136</v>
      </c>
      <c r="G67" s="99">
        <v>2000</v>
      </c>
      <c r="H67" s="107">
        <v>2.39</v>
      </c>
      <c r="I67" s="92">
        <f t="shared" si="1"/>
        <v>4780</v>
      </c>
    </row>
    <row r="68" spans="1:9" ht="25.5" x14ac:dyDescent="0.2">
      <c r="A68" s="66">
        <v>59</v>
      </c>
      <c r="B68" s="65"/>
      <c r="C68" s="67" t="s">
        <v>58</v>
      </c>
      <c r="D68" s="90">
        <v>252</v>
      </c>
      <c r="E68" s="102" t="s">
        <v>120</v>
      </c>
      <c r="F68" s="98" t="s">
        <v>76</v>
      </c>
      <c r="G68" s="99">
        <v>400</v>
      </c>
      <c r="H68" s="100">
        <v>498</v>
      </c>
      <c r="I68" s="92">
        <f t="shared" si="1"/>
        <v>199200</v>
      </c>
    </row>
    <row r="69" spans="1:9" ht="25.5" x14ac:dyDescent="0.2">
      <c r="A69" s="66">
        <v>60</v>
      </c>
      <c r="B69" s="65"/>
      <c r="C69" s="67" t="s">
        <v>58</v>
      </c>
      <c r="D69" s="90">
        <v>252</v>
      </c>
      <c r="E69" s="102" t="s">
        <v>121</v>
      </c>
      <c r="F69" s="98" t="s">
        <v>79</v>
      </c>
      <c r="G69" s="99">
        <v>300</v>
      </c>
      <c r="H69" s="100">
        <v>170</v>
      </c>
      <c r="I69" s="92">
        <f t="shared" si="1"/>
        <v>51000</v>
      </c>
    </row>
    <row r="70" spans="1:9" ht="25.5" x14ac:dyDescent="0.2">
      <c r="A70" s="66">
        <v>61</v>
      </c>
      <c r="B70" s="65"/>
      <c r="C70" s="67" t="s">
        <v>58</v>
      </c>
      <c r="D70" s="90">
        <v>252</v>
      </c>
      <c r="E70" s="101" t="s">
        <v>122</v>
      </c>
      <c r="F70" s="98" t="s">
        <v>77</v>
      </c>
      <c r="G70" s="99">
        <v>3000</v>
      </c>
      <c r="H70" s="100">
        <v>3.86</v>
      </c>
      <c r="I70" s="92">
        <f t="shared" si="1"/>
        <v>11580</v>
      </c>
    </row>
    <row r="71" spans="1:9" ht="25.5" x14ac:dyDescent="0.2">
      <c r="A71" s="66">
        <v>62</v>
      </c>
      <c r="B71" s="65"/>
      <c r="C71" s="67" t="s">
        <v>58</v>
      </c>
      <c r="D71" s="90">
        <v>252</v>
      </c>
      <c r="E71" s="105" t="s">
        <v>123</v>
      </c>
      <c r="F71" s="98" t="s">
        <v>76</v>
      </c>
      <c r="G71" s="99">
        <v>600</v>
      </c>
      <c r="H71" s="100">
        <v>859</v>
      </c>
      <c r="I71" s="92">
        <f t="shared" si="1"/>
        <v>515400</v>
      </c>
    </row>
    <row r="72" spans="1:9" ht="25.5" x14ac:dyDescent="0.2">
      <c r="A72" s="66">
        <v>63</v>
      </c>
      <c r="B72" s="65"/>
      <c r="C72" s="67" t="s">
        <v>58</v>
      </c>
      <c r="D72" s="90">
        <v>252</v>
      </c>
      <c r="E72" s="108" t="s">
        <v>137</v>
      </c>
      <c r="F72" s="110" t="s">
        <v>76</v>
      </c>
      <c r="G72" s="99">
        <v>1000</v>
      </c>
      <c r="H72" s="107">
        <v>42</v>
      </c>
      <c r="I72" s="92">
        <f t="shared" si="1"/>
        <v>42000</v>
      </c>
    </row>
    <row r="73" spans="1:9" ht="25.5" x14ac:dyDescent="0.2">
      <c r="A73" s="66">
        <v>64</v>
      </c>
      <c r="B73" s="65"/>
      <c r="C73" s="67" t="s">
        <v>58</v>
      </c>
      <c r="D73" s="90">
        <v>252</v>
      </c>
      <c r="E73" s="101" t="s">
        <v>71</v>
      </c>
      <c r="F73" s="98" t="s">
        <v>77</v>
      </c>
      <c r="G73" s="99">
        <v>500</v>
      </c>
      <c r="H73" s="107">
        <v>15.88</v>
      </c>
      <c r="I73" s="92">
        <f t="shared" si="1"/>
        <v>7940</v>
      </c>
    </row>
    <row r="74" spans="1:9" ht="25.5" x14ac:dyDescent="0.2">
      <c r="A74" s="66">
        <v>65</v>
      </c>
      <c r="B74" s="65"/>
      <c r="C74" s="67" t="s">
        <v>58</v>
      </c>
      <c r="D74" s="90">
        <v>252</v>
      </c>
      <c r="E74" s="101" t="s">
        <v>72</v>
      </c>
      <c r="F74" s="98" t="s">
        <v>77</v>
      </c>
      <c r="G74" s="99">
        <v>500</v>
      </c>
      <c r="H74" s="107">
        <v>3.65</v>
      </c>
      <c r="I74" s="92">
        <f t="shared" si="1"/>
        <v>1825</v>
      </c>
    </row>
    <row r="75" spans="1:9" ht="25.5" x14ac:dyDescent="0.2">
      <c r="A75" s="66">
        <v>66</v>
      </c>
      <c r="B75" s="65"/>
      <c r="C75" s="67" t="s">
        <v>58</v>
      </c>
      <c r="D75" s="90">
        <v>252</v>
      </c>
      <c r="E75" s="101" t="s">
        <v>73</v>
      </c>
      <c r="F75" s="98" t="s">
        <v>77</v>
      </c>
      <c r="G75" s="99">
        <v>500</v>
      </c>
      <c r="H75" s="107">
        <v>3.85</v>
      </c>
      <c r="I75" s="92">
        <f t="shared" si="1"/>
        <v>1925</v>
      </c>
    </row>
    <row r="76" spans="1:9" ht="25.5" x14ac:dyDescent="0.2">
      <c r="A76" s="66">
        <v>67</v>
      </c>
      <c r="B76" s="65"/>
      <c r="C76" s="67" t="s">
        <v>58</v>
      </c>
      <c r="D76" s="90">
        <v>252</v>
      </c>
      <c r="E76" s="102" t="s">
        <v>124</v>
      </c>
      <c r="F76" s="98" t="s">
        <v>80</v>
      </c>
      <c r="G76" s="99">
        <v>200</v>
      </c>
      <c r="H76" s="100">
        <v>55</v>
      </c>
      <c r="I76" s="92">
        <f t="shared" si="1"/>
        <v>11000</v>
      </c>
    </row>
    <row r="77" spans="1:9" ht="25.5" x14ac:dyDescent="0.2">
      <c r="A77" s="66">
        <v>68</v>
      </c>
      <c r="B77" s="65"/>
      <c r="C77" s="67" t="s">
        <v>58</v>
      </c>
      <c r="D77" s="90">
        <v>252</v>
      </c>
      <c r="E77" s="115" t="s">
        <v>140</v>
      </c>
      <c r="F77" s="113" t="s">
        <v>129</v>
      </c>
      <c r="G77" s="112">
        <v>100</v>
      </c>
      <c r="H77" s="114">
        <v>119</v>
      </c>
      <c r="I77" s="92">
        <f t="shared" si="1"/>
        <v>11900</v>
      </c>
    </row>
    <row r="78" spans="1:9" ht="25.5" x14ac:dyDescent="0.2">
      <c r="A78" s="66">
        <v>69</v>
      </c>
      <c r="B78" s="65"/>
      <c r="C78" s="67" t="s">
        <v>58</v>
      </c>
      <c r="D78" s="90">
        <v>252</v>
      </c>
      <c r="E78" s="112" t="s">
        <v>141</v>
      </c>
      <c r="F78" s="113" t="s">
        <v>129</v>
      </c>
      <c r="G78" s="112">
        <v>200</v>
      </c>
      <c r="H78" s="114">
        <v>179</v>
      </c>
      <c r="I78" s="92">
        <f t="shared" si="1"/>
        <v>35800</v>
      </c>
    </row>
    <row r="79" spans="1:9" ht="25.5" x14ac:dyDescent="0.2">
      <c r="A79" s="66">
        <v>70</v>
      </c>
      <c r="B79" s="65"/>
      <c r="C79" s="67" t="s">
        <v>58</v>
      </c>
      <c r="D79" s="90">
        <v>252</v>
      </c>
      <c r="E79" s="116" t="s">
        <v>142</v>
      </c>
      <c r="F79" s="113" t="s">
        <v>129</v>
      </c>
      <c r="G79" s="116">
        <v>3000</v>
      </c>
      <c r="H79" s="114">
        <v>36</v>
      </c>
      <c r="I79" s="92">
        <f t="shared" si="1"/>
        <v>108000</v>
      </c>
    </row>
    <row r="80" spans="1:9" ht="25.5" x14ac:dyDescent="0.2">
      <c r="A80" s="66">
        <v>71</v>
      </c>
      <c r="B80" s="65"/>
      <c r="C80" s="67" t="s">
        <v>58</v>
      </c>
      <c r="D80" s="90">
        <v>252</v>
      </c>
      <c r="E80" s="116" t="s">
        <v>143</v>
      </c>
      <c r="F80" s="113" t="s">
        <v>129</v>
      </c>
      <c r="G80" s="116">
        <v>100</v>
      </c>
      <c r="H80" s="114">
        <v>62</v>
      </c>
      <c r="I80" s="92">
        <f t="shared" si="1"/>
        <v>6200</v>
      </c>
    </row>
    <row r="81" spans="1:9" ht="25.5" x14ac:dyDescent="0.2">
      <c r="A81" s="66">
        <v>72</v>
      </c>
      <c r="B81" s="65"/>
      <c r="C81" s="67" t="s">
        <v>58</v>
      </c>
      <c r="D81" s="90">
        <v>252</v>
      </c>
      <c r="E81" s="116" t="s">
        <v>144</v>
      </c>
      <c r="F81" s="113" t="s">
        <v>129</v>
      </c>
      <c r="G81" s="116">
        <v>100</v>
      </c>
      <c r="H81" s="114">
        <v>35.799999999999997</v>
      </c>
      <c r="I81" s="92">
        <f t="shared" si="1"/>
        <v>3579.9999999999995</v>
      </c>
    </row>
    <row r="82" spans="1:9" ht="25.5" x14ac:dyDescent="0.2">
      <c r="A82" s="66">
        <v>73</v>
      </c>
      <c r="B82" s="65"/>
      <c r="C82" s="67" t="s">
        <v>58</v>
      </c>
      <c r="D82" s="90">
        <v>252</v>
      </c>
      <c r="E82" s="102" t="s">
        <v>150</v>
      </c>
      <c r="F82" s="98" t="s">
        <v>129</v>
      </c>
      <c r="G82" s="99">
        <v>100</v>
      </c>
      <c r="H82" s="107">
        <v>350</v>
      </c>
      <c r="I82" s="92">
        <f t="shared" si="1"/>
        <v>35000</v>
      </c>
    </row>
    <row r="83" spans="1:9" ht="25.5" x14ac:dyDescent="0.2">
      <c r="A83" s="66">
        <v>74</v>
      </c>
      <c r="B83" s="65"/>
      <c r="C83" s="67" t="s">
        <v>58</v>
      </c>
      <c r="D83" s="90">
        <v>252</v>
      </c>
      <c r="E83" s="105" t="s">
        <v>125</v>
      </c>
      <c r="F83" s="98" t="s">
        <v>76</v>
      </c>
      <c r="G83" s="99">
        <v>200</v>
      </c>
      <c r="H83" s="100">
        <v>55</v>
      </c>
      <c r="I83" s="92">
        <f t="shared" si="1"/>
        <v>11000</v>
      </c>
    </row>
    <row r="84" spans="1:9" ht="25.5" x14ac:dyDescent="0.2">
      <c r="A84" s="66">
        <v>75</v>
      </c>
      <c r="B84" s="65"/>
      <c r="C84" s="67" t="s">
        <v>58</v>
      </c>
      <c r="D84" s="90">
        <v>252</v>
      </c>
      <c r="E84" s="101" t="s">
        <v>65</v>
      </c>
      <c r="F84" s="98" t="s">
        <v>77</v>
      </c>
      <c r="G84" s="99">
        <v>100</v>
      </c>
      <c r="H84" s="107">
        <v>15.1</v>
      </c>
      <c r="I84" s="92">
        <f t="shared" si="1"/>
        <v>1510</v>
      </c>
    </row>
    <row r="85" spans="1:9" ht="25.5" x14ac:dyDescent="0.2">
      <c r="A85" s="66">
        <v>76</v>
      </c>
      <c r="B85" s="65"/>
      <c r="C85" s="67" t="s">
        <v>58</v>
      </c>
      <c r="D85" s="90">
        <v>252</v>
      </c>
      <c r="E85" s="101" t="s">
        <v>64</v>
      </c>
      <c r="F85" s="98" t="s">
        <v>79</v>
      </c>
      <c r="G85" s="99">
        <v>10</v>
      </c>
      <c r="H85" s="107">
        <v>380</v>
      </c>
      <c r="I85" s="92">
        <f t="shared" si="1"/>
        <v>3800</v>
      </c>
    </row>
    <row r="86" spans="1:9" ht="25.5" x14ac:dyDescent="0.2">
      <c r="A86" s="66">
        <v>77</v>
      </c>
      <c r="B86" s="65"/>
      <c r="C86" s="67" t="s">
        <v>58</v>
      </c>
      <c r="D86" s="90">
        <v>252</v>
      </c>
      <c r="E86" s="97" t="s">
        <v>126</v>
      </c>
      <c r="F86" s="98" t="s">
        <v>76</v>
      </c>
      <c r="G86" s="99">
        <v>700</v>
      </c>
      <c r="H86" s="100">
        <v>913</v>
      </c>
      <c r="I86" s="92">
        <f t="shared" si="1"/>
        <v>639100</v>
      </c>
    </row>
    <row r="87" spans="1:9" ht="25.5" x14ac:dyDescent="0.2">
      <c r="A87" s="66">
        <v>78</v>
      </c>
      <c r="B87" s="65"/>
      <c r="C87" s="67" t="s">
        <v>58</v>
      </c>
      <c r="D87" s="90">
        <v>252</v>
      </c>
      <c r="E87" s="102" t="s">
        <v>151</v>
      </c>
      <c r="F87" s="98" t="s">
        <v>129</v>
      </c>
      <c r="G87" s="99">
        <v>200</v>
      </c>
      <c r="H87" s="107">
        <v>35</v>
      </c>
      <c r="I87" s="92">
        <f t="shared" si="1"/>
        <v>7000</v>
      </c>
    </row>
    <row r="88" spans="1:9" ht="25.5" x14ac:dyDescent="0.2">
      <c r="A88" s="66">
        <v>79</v>
      </c>
      <c r="B88" s="65"/>
      <c r="C88" s="67" t="s">
        <v>58</v>
      </c>
      <c r="D88" s="90">
        <v>252</v>
      </c>
      <c r="E88" s="102" t="s">
        <v>152</v>
      </c>
      <c r="F88" s="98" t="s">
        <v>129</v>
      </c>
      <c r="G88" s="99">
        <v>200</v>
      </c>
      <c r="H88" s="107">
        <v>41</v>
      </c>
      <c r="I88" s="92">
        <f t="shared" si="1"/>
        <v>8200</v>
      </c>
    </row>
    <row r="89" spans="1:9" ht="13.5" thickBot="1" x14ac:dyDescent="0.25">
      <c r="I89" s="32"/>
    </row>
    <row r="90" spans="1:9" x14ac:dyDescent="0.2">
      <c r="B90" s="82" t="s">
        <v>87</v>
      </c>
      <c r="C90" s="29"/>
      <c r="D90" s="29"/>
      <c r="E90" s="30"/>
      <c r="I90" s="32"/>
    </row>
    <row r="91" spans="1:9" x14ac:dyDescent="0.2">
      <c r="B91" s="122" t="s">
        <v>88</v>
      </c>
      <c r="C91" s="123"/>
      <c r="D91" s="123"/>
      <c r="E91" s="124"/>
    </row>
    <row r="92" spans="1:9" ht="32.25" customHeight="1" x14ac:dyDescent="0.2">
      <c r="B92" s="122"/>
      <c r="C92" s="123"/>
      <c r="D92" s="123"/>
      <c r="E92" s="124"/>
      <c r="F92" s="31"/>
      <c r="G92" s="31"/>
    </row>
    <row r="93" spans="1:9" ht="15.75" customHeight="1" x14ac:dyDescent="0.2">
      <c r="B93" s="122" t="s">
        <v>153</v>
      </c>
      <c r="C93" s="123"/>
      <c r="D93" s="123"/>
      <c r="E93" s="124"/>
      <c r="F93" s="31"/>
      <c r="G93" s="31"/>
    </row>
    <row r="94" spans="1:9" ht="18.75" customHeight="1" thickBot="1" x14ac:dyDescent="0.25">
      <c r="B94" s="83" t="s">
        <v>89</v>
      </c>
      <c r="C94" s="84"/>
      <c r="D94" s="85"/>
      <c r="E94" s="86"/>
      <c r="F94" s="31"/>
      <c r="G94" s="31"/>
    </row>
    <row r="95" spans="1:9" s="53" customFormat="1" x14ac:dyDescent="0.2">
      <c r="B95" s="87"/>
      <c r="C95" s="118"/>
      <c r="D95" s="118"/>
      <c r="E95" s="118"/>
      <c r="F95" s="74"/>
      <c r="G95" s="74"/>
      <c r="H95" s="54"/>
    </row>
    <row r="96" spans="1:9" x14ac:dyDescent="0.2">
      <c r="B96" s="88"/>
      <c r="C96" s="31"/>
      <c r="D96" s="31"/>
      <c r="E96" s="31"/>
      <c r="F96" s="31"/>
      <c r="G96" s="31"/>
    </row>
    <row r="97" ht="12" customHeight="1" x14ac:dyDescent="0.2"/>
  </sheetData>
  <autoFilter ref="A9:I62"/>
  <sortState ref="C11:H88">
    <sortCondition ref="E11:E88"/>
  </sortState>
  <mergeCells count="10">
    <mergeCell ref="C95:E95"/>
    <mergeCell ref="A6:B6"/>
    <mergeCell ref="A7:B7"/>
    <mergeCell ref="B2:H2"/>
    <mergeCell ref="A4:B4"/>
    <mergeCell ref="C4:E4"/>
    <mergeCell ref="A5:B5"/>
    <mergeCell ref="C5:E5"/>
    <mergeCell ref="B91:E92"/>
    <mergeCell ref="B93:E93"/>
  </mergeCells>
  <printOptions horizontalCentered="1"/>
  <pageMargins left="0.11811023622047245" right="0.11811023622047245" top="0.35433070866141736" bottom="0.35433070866141736" header="0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1"/>
  <sheetViews>
    <sheetView topLeftCell="A82" zoomScale="80" zoomScaleNormal="80" workbookViewId="0">
      <selection activeCell="C90" sqref="C90:G90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26" t="s">
        <v>14</v>
      </c>
      <c r="B1" s="126"/>
      <c r="C1" s="126"/>
      <c r="D1" s="126"/>
      <c r="E1" s="126"/>
      <c r="F1" s="126"/>
      <c r="G1" s="126"/>
      <c r="H1" s="126"/>
      <c r="I1" s="126"/>
      <c r="J1" s="33" t="s">
        <v>15</v>
      </c>
      <c r="K1" s="34" t="s">
        <v>90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27" t="s">
        <v>48</v>
      </c>
      <c r="B3" s="127"/>
      <c r="C3" s="127"/>
      <c r="D3" s="128" t="str">
        <f>'Necesidades Trimestrales'!C4</f>
        <v>040 - Ministerio de Salud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29" t="s">
        <v>49</v>
      </c>
      <c r="B4" s="129"/>
      <c r="C4" s="129"/>
      <c r="D4" s="128" t="str">
        <f>'Necesidades Trimestrales'!C5</f>
        <v>024 - Hospital Interzonal de Niños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29" t="s">
        <v>27</v>
      </c>
      <c r="B5" s="129"/>
      <c r="C5" s="129"/>
      <c r="D5" s="128" t="s">
        <v>51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27" t="s">
        <v>50</v>
      </c>
      <c r="B6" s="127"/>
      <c r="C6" s="127"/>
      <c r="D6" s="128" t="s">
        <v>57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29" t="s">
        <v>16</v>
      </c>
      <c r="B7" s="129"/>
      <c r="C7" s="129"/>
      <c r="D7" s="128" t="s">
        <v>92</v>
      </c>
      <c r="E7" s="128"/>
      <c r="F7" s="128"/>
      <c r="G7" s="128"/>
      <c r="H7" s="128"/>
      <c r="I7" s="128"/>
      <c r="J7" s="128"/>
      <c r="K7" s="128"/>
    </row>
    <row r="8" spans="1:11" ht="16.5" customHeight="1" x14ac:dyDescent="0.2">
      <c r="A8" s="134" t="s">
        <v>17</v>
      </c>
      <c r="B8" s="134"/>
      <c r="C8" s="134"/>
      <c r="D8" s="130" t="s">
        <v>91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31" t="s">
        <v>18</v>
      </c>
      <c r="B10" s="132" t="s">
        <v>19</v>
      </c>
      <c r="C10" s="132" t="s">
        <v>20</v>
      </c>
      <c r="D10" s="132"/>
      <c r="E10" s="132"/>
      <c r="F10" s="132"/>
      <c r="G10" s="132"/>
      <c r="H10" s="132" t="s">
        <v>21</v>
      </c>
      <c r="I10" s="132" t="s">
        <v>22</v>
      </c>
      <c r="J10" s="132" t="s">
        <v>23</v>
      </c>
      <c r="K10" s="133" t="s">
        <v>24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7.75" customHeight="1" x14ac:dyDescent="0.2">
      <c r="A12" s="43">
        <v>1</v>
      </c>
      <c r="B12" s="44"/>
      <c r="C12" s="136" t="str">
        <f>'Necesidades Trimestrales'!E10</f>
        <v>ACIDO ACETIL SALICILICO 100 MG COMPRIMIDO</v>
      </c>
      <c r="D12" s="136"/>
      <c r="E12" s="136"/>
      <c r="F12" s="136"/>
      <c r="G12" s="136"/>
      <c r="H12" s="45" t="s">
        <v>54</v>
      </c>
      <c r="I12" s="46" t="str">
        <f>'Necesidades Trimestrales'!F10</f>
        <v>COMPRIMIDO</v>
      </c>
      <c r="J12" s="47">
        <f>'Necesidades Trimestrales'!H10</f>
        <v>2.5</v>
      </c>
      <c r="K12" s="48">
        <f>'Necesidades Trimestrales'!G10</f>
        <v>200</v>
      </c>
    </row>
    <row r="13" spans="1:11" ht="27.75" customHeight="1" x14ac:dyDescent="0.2">
      <c r="A13" s="68">
        <v>2</v>
      </c>
      <c r="B13" s="69"/>
      <c r="C13" s="137" t="str">
        <f>'Necesidades Trimestrales'!E11</f>
        <v>ACIDO POLIACRILICO 0,2% GEL x 10 GRS</v>
      </c>
      <c r="D13" s="137"/>
      <c r="E13" s="137"/>
      <c r="F13" s="137"/>
      <c r="G13" s="137"/>
      <c r="H13" s="72" t="s">
        <v>54</v>
      </c>
      <c r="I13" s="73" t="str">
        <f>'Necesidades Trimestrales'!F11</f>
        <v>ENVASE</v>
      </c>
      <c r="J13" s="71">
        <f>'Necesidades Trimestrales'!H11</f>
        <v>950</v>
      </c>
      <c r="K13" s="70">
        <f>'Necesidades Trimestrales'!G11</f>
        <v>100</v>
      </c>
    </row>
    <row r="14" spans="1:11" ht="27.75" customHeight="1" x14ac:dyDescent="0.2">
      <c r="A14" s="68">
        <v>3</v>
      </c>
      <c r="B14" s="69"/>
      <c r="C14" s="125" t="str">
        <f>'Necesidades Trimestrales'!E12</f>
        <v>ADRENALINA  1MG/ML AMPOLLA DE 1 ML</v>
      </c>
      <c r="D14" s="125"/>
      <c r="E14" s="125"/>
      <c r="F14" s="125"/>
      <c r="G14" s="125"/>
      <c r="H14" s="72" t="s">
        <v>54</v>
      </c>
      <c r="I14" s="73" t="str">
        <f>'Necesidades Trimestrales'!F12</f>
        <v>UNIDAD</v>
      </c>
      <c r="J14" s="71">
        <f>'Necesidades Trimestrales'!H12</f>
        <v>32</v>
      </c>
      <c r="K14" s="70">
        <f>'Necesidades Trimestrales'!G12</f>
        <v>1000</v>
      </c>
    </row>
    <row r="15" spans="1:11" ht="27.75" customHeight="1" x14ac:dyDescent="0.2">
      <c r="A15" s="68">
        <v>4</v>
      </c>
      <c r="B15" s="69"/>
      <c r="C15" s="125" t="str">
        <f>'Necesidades Trimestrales'!E13</f>
        <v>AGUA DESTILADA EN AMPOLLAS x 10 ml</v>
      </c>
      <c r="D15" s="125"/>
      <c r="E15" s="125"/>
      <c r="F15" s="125"/>
      <c r="G15" s="125"/>
      <c r="H15" s="72" t="s">
        <v>54</v>
      </c>
      <c r="I15" s="73" t="str">
        <f>'Necesidades Trimestrales'!F13</f>
        <v>UNIDAD</v>
      </c>
      <c r="J15" s="71">
        <f>'Necesidades Trimestrales'!H13</f>
        <v>34.5</v>
      </c>
      <c r="K15" s="70">
        <f>'Necesidades Trimestrales'!G13</f>
        <v>2000</v>
      </c>
    </row>
    <row r="16" spans="1:11" ht="27.75" customHeight="1" x14ac:dyDescent="0.2">
      <c r="A16" s="68">
        <v>5</v>
      </c>
      <c r="B16" s="69"/>
      <c r="C16" s="125" t="str">
        <f>'Necesidades Trimestrales'!E14</f>
        <v>AGUA DESTILADA EN SACHET X 500 ML</v>
      </c>
      <c r="D16" s="125"/>
      <c r="E16" s="125"/>
      <c r="F16" s="125"/>
      <c r="G16" s="125"/>
      <c r="H16" s="72" t="s">
        <v>54</v>
      </c>
      <c r="I16" s="73" t="str">
        <f>'Necesidades Trimestrales'!F14</f>
        <v>SACHET</v>
      </c>
      <c r="J16" s="71">
        <f>'Necesidades Trimestrales'!H14</f>
        <v>60.55</v>
      </c>
      <c r="K16" s="70">
        <f>'Necesidades Trimestrales'!G14</f>
        <v>1000</v>
      </c>
    </row>
    <row r="17" spans="1:11" ht="27.75" customHeight="1" x14ac:dyDescent="0.2">
      <c r="A17" s="68">
        <v>6</v>
      </c>
      <c r="B17" s="69"/>
      <c r="C17" s="125" t="str">
        <f>'Necesidades Trimestrales'!E15</f>
        <v>ALIMENTACION PARENTERAL  DE GRAN VOLUMEN TIPO OLI CLINOMEL/SMOFKABIVEN CENTRAL BOLSA X 1970 ML</v>
      </c>
      <c r="D17" s="125"/>
      <c r="E17" s="125"/>
      <c r="F17" s="125"/>
      <c r="G17" s="125"/>
      <c r="H17" s="72" t="s">
        <v>54</v>
      </c>
      <c r="I17" s="73" t="str">
        <f>'Necesidades Trimestrales'!F15</f>
        <v>ENVASE</v>
      </c>
      <c r="J17" s="71">
        <f>'Necesidades Trimestrales'!H15</f>
        <v>6218</v>
      </c>
      <c r="K17" s="70">
        <f>'Necesidades Trimestrales'!G15</f>
        <v>46</v>
      </c>
    </row>
    <row r="18" spans="1:11" ht="27.75" customHeight="1" x14ac:dyDescent="0.2">
      <c r="A18" s="68">
        <v>7</v>
      </c>
      <c r="B18" s="69"/>
      <c r="C18" s="125" t="str">
        <f>'Necesidades Trimestrales'!E16</f>
        <v>AMOXICILINA  400 MG + AC CLAULANICO 57 MG  SUSPENSIÓN  x 70 ml</v>
      </c>
      <c r="D18" s="125"/>
      <c r="E18" s="125"/>
      <c r="F18" s="125"/>
      <c r="G18" s="125"/>
      <c r="H18" s="72" t="s">
        <v>54</v>
      </c>
      <c r="I18" s="73" t="str">
        <f>'Necesidades Trimestrales'!F16</f>
        <v>FRASCO</v>
      </c>
      <c r="J18" s="71">
        <f>'Necesidades Trimestrales'!H16</f>
        <v>245</v>
      </c>
      <c r="K18" s="70">
        <f>'Necesidades Trimestrales'!G16</f>
        <v>100</v>
      </c>
    </row>
    <row r="19" spans="1:11" ht="27.75" customHeight="1" x14ac:dyDescent="0.2">
      <c r="A19" s="68">
        <v>8</v>
      </c>
      <c r="B19" s="69"/>
      <c r="C19" s="125" t="str">
        <f>'Necesidades Trimestrales'!E17</f>
        <v>AZITROMICINA 200 MG / 5 ML SUSPENSIÓN x 15 ml</v>
      </c>
      <c r="D19" s="125"/>
      <c r="E19" s="125"/>
      <c r="F19" s="125"/>
      <c r="G19" s="125"/>
      <c r="H19" s="72" t="s">
        <v>54</v>
      </c>
      <c r="I19" s="73" t="str">
        <f>'Necesidades Trimestrales'!F17</f>
        <v>FRASCO</v>
      </c>
      <c r="J19" s="71">
        <f>'Necesidades Trimestrales'!H17</f>
        <v>203</v>
      </c>
      <c r="K19" s="70">
        <f>'Necesidades Trimestrales'!G17</f>
        <v>210</v>
      </c>
    </row>
    <row r="20" spans="1:11" ht="27.75" customHeight="1" x14ac:dyDescent="0.2">
      <c r="A20" s="68">
        <v>9</v>
      </c>
      <c r="B20" s="69"/>
      <c r="C20" s="125" t="str">
        <f>'Necesidades Trimestrales'!E18</f>
        <v>BIPIRIDENO 2 MG COMPRIMIDO</v>
      </c>
      <c r="D20" s="125"/>
      <c r="E20" s="125"/>
      <c r="F20" s="125"/>
      <c r="G20" s="125"/>
      <c r="H20" s="72" t="s">
        <v>54</v>
      </c>
      <c r="I20" s="73" t="str">
        <f>'Necesidades Trimestrales'!F18</f>
        <v>COMPRIMIDO</v>
      </c>
      <c r="J20" s="71">
        <f>'Necesidades Trimestrales'!H18</f>
        <v>4</v>
      </c>
      <c r="K20" s="70">
        <f>'Necesidades Trimestrales'!G18</f>
        <v>50</v>
      </c>
    </row>
    <row r="21" spans="1:11" ht="27.75" customHeight="1" x14ac:dyDescent="0.2">
      <c r="A21" s="68">
        <v>10</v>
      </c>
      <c r="B21" s="69"/>
      <c r="C21" s="125" t="str">
        <f>'Necesidades Trimestrales'!E19</f>
        <v>CARBAMAZEPINA 200MG COMPRIMIDO</v>
      </c>
      <c r="D21" s="125"/>
      <c r="E21" s="125"/>
      <c r="F21" s="125"/>
      <c r="G21" s="125"/>
      <c r="H21" s="72" t="s">
        <v>54</v>
      </c>
      <c r="I21" s="73" t="str">
        <f>'Necesidades Trimestrales'!F19</f>
        <v>COMPRIMIDO</v>
      </c>
      <c r="J21" s="71">
        <f>'Necesidades Trimestrales'!H19</f>
        <v>8.6999999999999993</v>
      </c>
      <c r="K21" s="70">
        <f>'Necesidades Trimestrales'!G19</f>
        <v>200</v>
      </c>
    </row>
    <row r="22" spans="1:11" ht="27.75" customHeight="1" x14ac:dyDescent="0.2">
      <c r="A22" s="68">
        <v>11</v>
      </c>
      <c r="B22" s="69"/>
      <c r="C22" s="125" t="str">
        <f>'Necesidades Trimestrales'!E20</f>
        <v>CARBAMAZEPINA SUSPENSION ORAL 2%</v>
      </c>
      <c r="D22" s="125"/>
      <c r="E22" s="125"/>
      <c r="F22" s="125"/>
      <c r="G22" s="125"/>
      <c r="H22" s="72" t="s">
        <v>54</v>
      </c>
      <c r="I22" s="73" t="str">
        <f>'Necesidades Trimestrales'!F20</f>
        <v>FRASCO</v>
      </c>
      <c r="J22" s="71">
        <f>'Necesidades Trimestrales'!H20</f>
        <v>518</v>
      </c>
      <c r="K22" s="70">
        <f>'Necesidades Trimestrales'!G20</f>
        <v>20</v>
      </c>
    </row>
    <row r="23" spans="1:11" ht="27.75" customHeight="1" x14ac:dyDescent="0.2">
      <c r="A23" s="68">
        <v>12</v>
      </c>
      <c r="B23" s="69"/>
      <c r="C23" s="125" t="str">
        <f>'Necesidades Trimestrales'!E21</f>
        <v>CARBON ACTIVADO POLVO x 1kg</v>
      </c>
      <c r="D23" s="125"/>
      <c r="E23" s="125"/>
      <c r="F23" s="125"/>
      <c r="G23" s="125"/>
      <c r="H23" s="72" t="s">
        <v>54</v>
      </c>
      <c r="I23" s="73" t="str">
        <f>'Necesidades Trimestrales'!F21</f>
        <v>UNIDAD</v>
      </c>
      <c r="J23" s="71">
        <f>'Necesidades Trimestrales'!H21</f>
        <v>2700</v>
      </c>
      <c r="K23" s="70">
        <f>'Necesidades Trimestrales'!G21</f>
        <v>3</v>
      </c>
    </row>
    <row r="24" spans="1:11" ht="27.75" customHeight="1" x14ac:dyDescent="0.2">
      <c r="A24" s="68">
        <v>13</v>
      </c>
      <c r="B24" s="69"/>
      <c r="C24" s="125" t="str">
        <f>'Necesidades Trimestrales'!E22</f>
        <v xml:space="preserve">CEFTRIAXONA 1 GR FCO AMPOLLA </v>
      </c>
      <c r="D24" s="125"/>
      <c r="E24" s="125"/>
      <c r="F24" s="125"/>
      <c r="G24" s="125"/>
      <c r="H24" s="72" t="s">
        <v>54</v>
      </c>
      <c r="I24" s="73" t="str">
        <f>'Necesidades Trimestrales'!F22</f>
        <v>AMPOLLA</v>
      </c>
      <c r="J24" s="71">
        <f>'Necesidades Trimestrales'!H22</f>
        <v>120</v>
      </c>
      <c r="K24" s="70">
        <f>'Necesidades Trimestrales'!G22</f>
        <v>1000</v>
      </c>
    </row>
    <row r="25" spans="1:11" ht="27.75" customHeight="1" x14ac:dyDescent="0.2">
      <c r="A25" s="68">
        <v>14</v>
      </c>
      <c r="B25" s="69"/>
      <c r="C25" s="125" t="str">
        <f>'Necesidades Trimestrales'!E23</f>
        <v>CLONAZEPAM 2 MG COMPRIMIDOS</v>
      </c>
      <c r="D25" s="125"/>
      <c r="E25" s="125"/>
      <c r="F25" s="125"/>
      <c r="G25" s="125"/>
      <c r="H25" s="72" t="s">
        <v>54</v>
      </c>
      <c r="I25" s="73" t="str">
        <f>'Necesidades Trimestrales'!F23</f>
        <v>COMPRIMIDO</v>
      </c>
      <c r="J25" s="71">
        <f>'Necesidades Trimestrales'!H23</f>
        <v>3.5</v>
      </c>
      <c r="K25" s="70">
        <f>'Necesidades Trimestrales'!G23</f>
        <v>300</v>
      </c>
    </row>
    <row r="26" spans="1:11" ht="27.75" customHeight="1" x14ac:dyDescent="0.2">
      <c r="A26" s="68">
        <v>15</v>
      </c>
      <c r="B26" s="69"/>
      <c r="C26" s="125" t="str">
        <f>'Necesidades Trimestrales'!E24</f>
        <v>CLONDINA CLORHIDRATO 0,150 MG/ML AMPOLLA X 1 ML</v>
      </c>
      <c r="D26" s="125"/>
      <c r="E26" s="125"/>
      <c r="F26" s="125"/>
      <c r="G26" s="125"/>
      <c r="H26" s="72" t="s">
        <v>54</v>
      </c>
      <c r="I26" s="73" t="str">
        <f>'Necesidades Trimestrales'!F24</f>
        <v>AMPOLLA</v>
      </c>
      <c r="J26" s="71">
        <f>'Necesidades Trimestrales'!H24</f>
        <v>80</v>
      </c>
      <c r="K26" s="70">
        <f>'Necesidades Trimestrales'!G24</f>
        <v>100</v>
      </c>
    </row>
    <row r="27" spans="1:11" ht="27.75" customHeight="1" x14ac:dyDescent="0.2">
      <c r="A27" s="68">
        <v>16</v>
      </c>
      <c r="B27" s="69"/>
      <c r="C27" s="125" t="str">
        <f>'Necesidades Trimestrales'!E25</f>
        <v>CLORPROMAZINA 25MG  AMPOLLA IM</v>
      </c>
      <c r="D27" s="125"/>
      <c r="E27" s="125"/>
      <c r="F27" s="125"/>
      <c r="G27" s="125"/>
      <c r="H27" s="72" t="s">
        <v>54</v>
      </c>
      <c r="I27" s="73" t="str">
        <f>'Necesidades Trimestrales'!F25</f>
        <v>AMPOLLA</v>
      </c>
      <c r="J27" s="71">
        <f>'Necesidades Trimestrales'!H25</f>
        <v>130</v>
      </c>
      <c r="K27" s="70">
        <f>'Necesidades Trimestrales'!G25</f>
        <v>100</v>
      </c>
    </row>
    <row r="28" spans="1:11" ht="27.75" customHeight="1" x14ac:dyDescent="0.2">
      <c r="A28" s="68">
        <v>17</v>
      </c>
      <c r="B28" s="69"/>
      <c r="C28" s="125" t="str">
        <f>'Necesidades Trimestrales'!E26</f>
        <v>CLORURO DE POTASIO SACHET X 100ML</v>
      </c>
      <c r="D28" s="125"/>
      <c r="E28" s="125"/>
      <c r="F28" s="125"/>
      <c r="G28" s="125"/>
      <c r="H28" s="72" t="s">
        <v>54</v>
      </c>
      <c r="I28" s="73" t="str">
        <f>'Necesidades Trimestrales'!F26</f>
        <v>UNIDAD</v>
      </c>
      <c r="J28" s="71">
        <f>'Necesidades Trimestrales'!H26</f>
        <v>160</v>
      </c>
      <c r="K28" s="70">
        <f>'Necesidades Trimestrales'!G26</f>
        <v>1000</v>
      </c>
    </row>
    <row r="29" spans="1:11" ht="27.75" customHeight="1" x14ac:dyDescent="0.2">
      <c r="A29" s="68">
        <v>18</v>
      </c>
      <c r="B29" s="69"/>
      <c r="C29" s="125" t="str">
        <f>'Necesidades Trimestrales'!E27</f>
        <v>CLORURO DE SODIO AL 20% AMPOLLAS</v>
      </c>
      <c r="D29" s="125"/>
      <c r="E29" s="125"/>
      <c r="F29" s="125"/>
      <c r="G29" s="125"/>
      <c r="H29" s="72" t="s">
        <v>54</v>
      </c>
      <c r="I29" s="73" t="str">
        <f>'Necesidades Trimestrales'!F27</f>
        <v>AMPOLLA</v>
      </c>
      <c r="J29" s="71">
        <f>'Necesidades Trimestrales'!H27</f>
        <v>39</v>
      </c>
      <c r="K29" s="70">
        <f>'Necesidades Trimestrales'!G27</f>
        <v>5000</v>
      </c>
    </row>
    <row r="30" spans="1:11" ht="27.75" customHeight="1" x14ac:dyDescent="0.2">
      <c r="A30" s="68">
        <v>19</v>
      </c>
      <c r="B30" s="69"/>
      <c r="C30" s="125" t="str">
        <f>'Necesidades Trimestrales'!E28</f>
        <v>DEXAMETASONA 8 MG AMPOLLA</v>
      </c>
      <c r="D30" s="125"/>
      <c r="E30" s="125"/>
      <c r="F30" s="125"/>
      <c r="G30" s="125"/>
      <c r="H30" s="72" t="s">
        <v>54</v>
      </c>
      <c r="I30" s="73" t="str">
        <f>'Necesidades Trimestrales'!F28</f>
        <v>AMPOLLA</v>
      </c>
      <c r="J30" s="71">
        <f>'Necesidades Trimestrales'!H28</f>
        <v>32</v>
      </c>
      <c r="K30" s="70">
        <f>'Necesidades Trimestrales'!G28</f>
        <v>4000</v>
      </c>
    </row>
    <row r="31" spans="1:11" ht="27.75" customHeight="1" x14ac:dyDescent="0.2">
      <c r="A31" s="68">
        <v>20</v>
      </c>
      <c r="B31" s="69"/>
      <c r="C31" s="125" t="str">
        <f>'Necesidades Trimestrales'!E29</f>
        <v>DIFENHIDRAMINA 0,25% JARABE X 120 ML</v>
      </c>
      <c r="D31" s="125"/>
      <c r="E31" s="125"/>
      <c r="F31" s="125"/>
      <c r="G31" s="125"/>
      <c r="H31" s="72" t="s">
        <v>54</v>
      </c>
      <c r="I31" s="73" t="str">
        <f>'Necesidades Trimestrales'!F29</f>
        <v>FRASCO</v>
      </c>
      <c r="J31" s="71">
        <f>'Necesidades Trimestrales'!H29</f>
        <v>92</v>
      </c>
      <c r="K31" s="70">
        <f>'Necesidades Trimestrales'!G29</f>
        <v>2000</v>
      </c>
    </row>
    <row r="32" spans="1:11" ht="27.75" customHeight="1" x14ac:dyDescent="0.2">
      <c r="A32" s="68">
        <v>21</v>
      </c>
      <c r="B32" s="81"/>
      <c r="C32" s="125" t="str">
        <f>'Necesidades Trimestrales'!E30</f>
        <v>DIFENILHIDRAMINA 10MG AMPOLLAS</v>
      </c>
      <c r="D32" s="125"/>
      <c r="E32" s="125"/>
      <c r="F32" s="125"/>
      <c r="G32" s="125"/>
      <c r="H32" s="72" t="s">
        <v>54</v>
      </c>
      <c r="I32" s="73" t="str">
        <f>'Necesidades Trimestrales'!F30</f>
        <v>AMPOLLA</v>
      </c>
      <c r="J32" s="71">
        <f>'Necesidades Trimestrales'!H30</f>
        <v>42</v>
      </c>
      <c r="K32" s="70">
        <f>'Necesidades Trimestrales'!G30</f>
        <v>1500</v>
      </c>
    </row>
    <row r="33" spans="1:14" ht="27.75" customHeight="1" x14ac:dyDescent="0.2">
      <c r="A33" s="68">
        <v>22</v>
      </c>
      <c r="B33" s="81"/>
      <c r="C33" s="125" t="str">
        <f>'Necesidades Trimestrales'!E31</f>
        <v>DIVALPROATO DE SODIO 500MG COMPRIMIDO</v>
      </c>
      <c r="D33" s="125"/>
      <c r="E33" s="125"/>
      <c r="F33" s="125"/>
      <c r="G33" s="125"/>
      <c r="H33" s="72" t="s">
        <v>54</v>
      </c>
      <c r="I33" s="73" t="str">
        <f>'Necesidades Trimestrales'!F31</f>
        <v>COMPRIMIDO</v>
      </c>
      <c r="J33" s="71">
        <f>'Necesidades Trimestrales'!H31</f>
        <v>44.07</v>
      </c>
      <c r="K33" s="70">
        <f>'Necesidades Trimestrales'!G31</f>
        <v>100</v>
      </c>
    </row>
    <row r="34" spans="1:14" ht="27.75" customHeight="1" x14ac:dyDescent="0.2">
      <c r="A34" s="68">
        <v>23</v>
      </c>
      <c r="B34" s="81"/>
      <c r="C34" s="125" t="str">
        <f>'Necesidades Trimestrales'!E32</f>
        <v>DOMPERIDONA 1%  GOTAS x 20 ml</v>
      </c>
      <c r="D34" s="125"/>
      <c r="E34" s="125"/>
      <c r="F34" s="125"/>
      <c r="G34" s="125"/>
      <c r="H34" s="72" t="s">
        <v>54</v>
      </c>
      <c r="I34" s="73" t="str">
        <f>'Necesidades Trimestrales'!F32</f>
        <v>GOTERO</v>
      </c>
      <c r="J34" s="71">
        <f>'Necesidades Trimestrales'!H32</f>
        <v>350</v>
      </c>
      <c r="K34" s="70">
        <f>'Necesidades Trimestrales'!G32</f>
        <v>100</v>
      </c>
    </row>
    <row r="35" spans="1:14" ht="27.75" customHeight="1" x14ac:dyDescent="0.2">
      <c r="A35" s="68">
        <v>24</v>
      </c>
      <c r="B35" s="81"/>
      <c r="C35" s="125" t="str">
        <f>'Necesidades Trimestrales'!E33</f>
        <v>DOMPERIDONA 4MG AMPOLLAS X 3 ML</v>
      </c>
      <c r="D35" s="125"/>
      <c r="E35" s="125"/>
      <c r="F35" s="125"/>
      <c r="G35" s="125"/>
      <c r="H35" s="72" t="s">
        <v>54</v>
      </c>
      <c r="I35" s="73" t="str">
        <f>'Necesidades Trimestrales'!F33</f>
        <v>AMPOLLA</v>
      </c>
      <c r="J35" s="71">
        <f>'Necesidades Trimestrales'!H33</f>
        <v>88</v>
      </c>
      <c r="K35" s="70">
        <f>'Necesidades Trimestrales'!G33</f>
        <v>1000</v>
      </c>
    </row>
    <row r="36" spans="1:14" ht="27.75" customHeight="1" x14ac:dyDescent="0.2">
      <c r="A36" s="68">
        <v>25</v>
      </c>
      <c r="B36" s="81"/>
      <c r="C36" s="125" t="str">
        <f>'Necesidades Trimestrales'!E34</f>
        <v>DOPAMINA 200 MG  AMPOLLA X 5 ML</v>
      </c>
      <c r="D36" s="125"/>
      <c r="E36" s="125"/>
      <c r="F36" s="125"/>
      <c r="G36" s="125"/>
      <c r="H36" s="72" t="s">
        <v>54</v>
      </c>
      <c r="I36" s="73" t="str">
        <f>'Necesidades Trimestrales'!F34</f>
        <v>AMPOLLA</v>
      </c>
      <c r="J36" s="71">
        <f>'Necesidades Trimestrales'!H34</f>
        <v>280</v>
      </c>
      <c r="K36" s="70">
        <f>'Necesidades Trimestrales'!G34</f>
        <v>100</v>
      </c>
    </row>
    <row r="37" spans="1:14" ht="27.75" customHeight="1" x14ac:dyDescent="0.2">
      <c r="A37" s="68">
        <v>26</v>
      </c>
      <c r="B37" s="81"/>
      <c r="C37" s="125" t="str">
        <f>'Necesidades Trimestrales'!E35</f>
        <v xml:space="preserve">ERITROMICINA O,5 %UNGUENTO OFTALMICO </v>
      </c>
      <c r="D37" s="125"/>
      <c r="E37" s="125"/>
      <c r="F37" s="125"/>
      <c r="G37" s="125"/>
      <c r="H37" s="72" t="s">
        <v>54</v>
      </c>
      <c r="I37" s="73" t="str">
        <f>'Necesidades Trimestrales'!F35</f>
        <v>ENVASE</v>
      </c>
      <c r="J37" s="71">
        <f>'Necesidades Trimestrales'!H35</f>
        <v>1050</v>
      </c>
      <c r="K37" s="70">
        <f>'Necesidades Trimestrales'!G35</f>
        <v>20</v>
      </c>
    </row>
    <row r="38" spans="1:14" ht="27.75" customHeight="1" x14ac:dyDescent="0.2">
      <c r="A38" s="68">
        <v>27</v>
      </c>
      <c r="B38" s="81"/>
      <c r="C38" s="125" t="str">
        <f>'Necesidades Trimestrales'!E36</f>
        <v>ESMOLOL 100MG AMPOLLA X 10 ML</v>
      </c>
      <c r="D38" s="125"/>
      <c r="E38" s="125"/>
      <c r="F38" s="125"/>
      <c r="G38" s="125"/>
      <c r="H38" s="72" t="s">
        <v>54</v>
      </c>
      <c r="I38" s="73" t="str">
        <f>'Necesidades Trimestrales'!F36</f>
        <v>UNIDAD</v>
      </c>
      <c r="J38" s="71">
        <f>'Necesidades Trimestrales'!H36</f>
        <v>5082</v>
      </c>
      <c r="K38" s="70">
        <f>'Necesidades Trimestrales'!G36</f>
        <v>10</v>
      </c>
    </row>
    <row r="39" spans="1:14" ht="27.75" customHeight="1" x14ac:dyDescent="0.2">
      <c r="A39" s="68">
        <v>28</v>
      </c>
      <c r="B39" s="81"/>
      <c r="C39" s="125" t="str">
        <f>'Necesidades Trimestrales'!E37</f>
        <v>FENITOINA 100 MG  AMPOLLAS X 2 ML</v>
      </c>
      <c r="D39" s="125"/>
      <c r="E39" s="125"/>
      <c r="F39" s="125"/>
      <c r="G39" s="125"/>
      <c r="H39" s="72" t="s">
        <v>54</v>
      </c>
      <c r="I39" s="73" t="str">
        <f>'Necesidades Trimestrales'!F37</f>
        <v>AMPOLLA</v>
      </c>
      <c r="J39" s="71">
        <f>'Necesidades Trimestrales'!H37</f>
        <v>32</v>
      </c>
      <c r="K39" s="70">
        <f>'Necesidades Trimestrales'!G37</f>
        <v>200</v>
      </c>
    </row>
    <row r="40" spans="1:14" ht="27.75" customHeight="1" x14ac:dyDescent="0.2">
      <c r="A40" s="68">
        <v>29</v>
      </c>
      <c r="B40" s="81"/>
      <c r="C40" s="125" t="str">
        <f>'Necesidades Trimestrales'!E38</f>
        <v>FENITOINA SUSPENSION X 120ML</v>
      </c>
      <c r="D40" s="125"/>
      <c r="E40" s="125"/>
      <c r="F40" s="125"/>
      <c r="G40" s="125"/>
      <c r="H40" s="72" t="s">
        <v>54</v>
      </c>
      <c r="I40" s="73" t="str">
        <f>'Necesidades Trimestrales'!F38</f>
        <v>FRASCO</v>
      </c>
      <c r="J40" s="71">
        <f>'Necesidades Trimestrales'!H38</f>
        <v>985</v>
      </c>
      <c r="K40" s="70">
        <f>'Necesidades Trimestrales'!G38</f>
        <v>30</v>
      </c>
    </row>
    <row r="41" spans="1:14" ht="27.75" customHeight="1" x14ac:dyDescent="0.2">
      <c r="A41" s="68">
        <v>30</v>
      </c>
      <c r="B41" s="81"/>
      <c r="C41" s="125" t="str">
        <f>'Necesidades Trimestrales'!E39</f>
        <v>FENOBARBITAL 100MG COMPRIMIDO</v>
      </c>
      <c r="D41" s="125"/>
      <c r="E41" s="125"/>
      <c r="F41" s="125"/>
      <c r="G41" s="125"/>
      <c r="H41" s="72" t="s">
        <v>54</v>
      </c>
      <c r="I41" s="73" t="str">
        <f>'Necesidades Trimestrales'!F39</f>
        <v>COMPRIMIDO</v>
      </c>
      <c r="J41" s="71">
        <f>'Necesidades Trimestrales'!H39</f>
        <v>6.8</v>
      </c>
      <c r="K41" s="70">
        <f>'Necesidades Trimestrales'!G39</f>
        <v>400</v>
      </c>
    </row>
    <row r="42" spans="1:14" ht="27.75" customHeight="1" x14ac:dyDescent="0.2">
      <c r="A42" s="68">
        <v>31</v>
      </c>
      <c r="B42" s="81"/>
      <c r="C42" s="125" t="str">
        <f>'Necesidades Trimestrales'!E40</f>
        <v>FENOBARBITAL 200MG AMPOLLAS</v>
      </c>
      <c r="D42" s="125"/>
      <c r="E42" s="125"/>
      <c r="F42" s="125"/>
      <c r="G42" s="125"/>
      <c r="H42" s="72" t="s">
        <v>54</v>
      </c>
      <c r="I42" s="73" t="str">
        <f>'Necesidades Trimestrales'!F40</f>
        <v>AMPOLLA</v>
      </c>
      <c r="J42" s="71">
        <f>'Necesidades Trimestrales'!H40</f>
        <v>280</v>
      </c>
      <c r="K42" s="70">
        <f>'Necesidades Trimestrales'!G40</f>
        <v>600</v>
      </c>
    </row>
    <row r="43" spans="1:14" ht="27.75" customHeight="1" x14ac:dyDescent="0.2">
      <c r="A43" s="68">
        <v>32</v>
      </c>
      <c r="B43" s="81"/>
      <c r="C43" s="125" t="str">
        <f>'Necesidades Trimestrales'!E41</f>
        <v>FENTANILO 250 MCG INYECTABLE</v>
      </c>
      <c r="D43" s="125"/>
      <c r="E43" s="125"/>
      <c r="F43" s="125"/>
      <c r="G43" s="125"/>
      <c r="H43" s="72" t="s">
        <v>54</v>
      </c>
      <c r="I43" s="73" t="str">
        <f>'Necesidades Trimestrales'!F41</f>
        <v>AMPOLLA</v>
      </c>
      <c r="J43" s="71">
        <f>'Necesidades Trimestrales'!H41</f>
        <v>366</v>
      </c>
      <c r="K43" s="70">
        <f>'Necesidades Trimestrales'!G41</f>
        <v>4000</v>
      </c>
    </row>
    <row r="44" spans="1:14" ht="27.75" customHeight="1" x14ac:dyDescent="0.2">
      <c r="A44" s="68">
        <v>33</v>
      </c>
      <c r="B44" s="81"/>
      <c r="C44" s="125" t="str">
        <f>'Necesidades Trimestrales'!E42</f>
        <v>FILGRASTIN 300 MCG AMPOLLA</v>
      </c>
      <c r="D44" s="125"/>
      <c r="E44" s="125"/>
      <c r="F44" s="125"/>
      <c r="G44" s="125"/>
      <c r="H44" s="72" t="s">
        <v>54</v>
      </c>
      <c r="I44" s="73" t="str">
        <f>'Necesidades Trimestrales'!F42</f>
        <v>UNIDAD</v>
      </c>
      <c r="J44" s="71">
        <f>'Necesidades Trimestrales'!H42</f>
        <v>1500</v>
      </c>
      <c r="K44" s="70">
        <f>'Necesidades Trimestrales'!G42</f>
        <v>5</v>
      </c>
    </row>
    <row r="45" spans="1:14" ht="27.75" customHeight="1" x14ac:dyDescent="0.2">
      <c r="A45" s="68">
        <v>34</v>
      </c>
      <c r="B45" s="81"/>
      <c r="C45" s="125" t="str">
        <f>'Necesidades Trimestrales'!E43</f>
        <v>FUROSEMIDA 20 MG  AMPOLLAS X 2 ML</v>
      </c>
      <c r="D45" s="125"/>
      <c r="E45" s="125"/>
      <c r="F45" s="125"/>
      <c r="G45" s="125"/>
      <c r="H45" s="72" t="s">
        <v>54</v>
      </c>
      <c r="I45" s="73" t="str">
        <f>'Necesidades Trimestrales'!F43</f>
        <v>UNIDAD</v>
      </c>
      <c r="J45" s="71">
        <f>'Necesidades Trimestrales'!H43</f>
        <v>31</v>
      </c>
      <c r="K45" s="70">
        <f>'Necesidades Trimestrales'!G43</f>
        <v>300</v>
      </c>
    </row>
    <row r="46" spans="1:14" ht="27.75" customHeight="1" x14ac:dyDescent="0.2">
      <c r="A46" s="68">
        <v>35</v>
      </c>
      <c r="B46" s="81"/>
      <c r="C46" s="125" t="str">
        <f>'Necesidades Trimestrales'!E44</f>
        <v>HALOPERIDOL 5 MG AMPOLLA</v>
      </c>
      <c r="D46" s="125"/>
      <c r="E46" s="125"/>
      <c r="F46" s="125"/>
      <c r="G46" s="125"/>
      <c r="H46" s="72" t="s">
        <v>54</v>
      </c>
      <c r="I46" s="73" t="str">
        <f>'Necesidades Trimestrales'!F44</f>
        <v>AMPOLLA</v>
      </c>
      <c r="J46" s="71">
        <f>'Necesidades Trimestrales'!H44</f>
        <v>46</v>
      </c>
      <c r="K46" s="70">
        <f>'Necesidades Trimestrales'!G44</f>
        <v>100</v>
      </c>
    </row>
    <row r="47" spans="1:14" ht="27.75" customHeight="1" x14ac:dyDescent="0.2">
      <c r="A47" s="68">
        <v>36</v>
      </c>
      <c r="B47" s="81"/>
      <c r="C47" s="125" t="str">
        <f>'Necesidades Trimestrales'!E45</f>
        <v>HIDROCORTISONA 100 MG FCO AMPOLLA</v>
      </c>
      <c r="D47" s="125"/>
      <c r="E47" s="125"/>
      <c r="F47" s="125"/>
      <c r="G47" s="125"/>
      <c r="H47" s="72" t="s">
        <v>54</v>
      </c>
      <c r="I47" s="73" t="str">
        <f>'Necesidades Trimestrales'!F45</f>
        <v>AMPOLLA</v>
      </c>
      <c r="J47" s="71">
        <f>'Necesidades Trimestrales'!H45</f>
        <v>103</v>
      </c>
      <c r="K47" s="70">
        <f>'Necesidades Trimestrales'!G45</f>
        <v>500</v>
      </c>
      <c r="N47" s="35" t="s">
        <v>55</v>
      </c>
    </row>
    <row r="48" spans="1:14" ht="27.75" customHeight="1" x14ac:dyDescent="0.2">
      <c r="A48" s="68">
        <v>37</v>
      </c>
      <c r="B48" s="81"/>
      <c r="C48" s="125" t="str">
        <f>'Necesidades Trimestrales'!E46</f>
        <v>HIDROCORTISONA 500 MG FCO AMPOLLA</v>
      </c>
      <c r="D48" s="125"/>
      <c r="E48" s="125"/>
      <c r="F48" s="125"/>
      <c r="G48" s="125"/>
      <c r="H48" s="72" t="s">
        <v>54</v>
      </c>
      <c r="I48" s="73" t="str">
        <f>'Necesidades Trimestrales'!F46</f>
        <v>AMPOLLA</v>
      </c>
      <c r="J48" s="71">
        <f>'Necesidades Trimestrales'!H46</f>
        <v>205</v>
      </c>
      <c r="K48" s="70">
        <f>'Necesidades Trimestrales'!G46</f>
        <v>500</v>
      </c>
    </row>
    <row r="49" spans="1:11" ht="27.75" customHeight="1" x14ac:dyDescent="0.2">
      <c r="A49" s="68">
        <v>38</v>
      </c>
      <c r="B49" s="81"/>
      <c r="C49" s="125" t="str">
        <f>'Necesidades Trimestrales'!E47</f>
        <v>INSULINA NPH HUMANA 100 UI JERINGA PRELLENADA TIPO INSULATARD FLEX PEND X 5 AMPOLLAS</v>
      </c>
      <c r="D49" s="125"/>
      <c r="E49" s="125"/>
      <c r="F49" s="125"/>
      <c r="G49" s="125"/>
      <c r="H49" s="72" t="s">
        <v>54</v>
      </c>
      <c r="I49" s="73" t="str">
        <f>'Necesidades Trimestrales'!F47</f>
        <v>CAJA</v>
      </c>
      <c r="J49" s="71">
        <f>'Necesidades Trimestrales'!H47</f>
        <v>6215</v>
      </c>
      <c r="K49" s="70">
        <f>'Necesidades Trimestrales'!G47</f>
        <v>2</v>
      </c>
    </row>
    <row r="50" spans="1:11" ht="27.75" customHeight="1" x14ac:dyDescent="0.2">
      <c r="A50" s="68">
        <v>39</v>
      </c>
      <c r="B50" s="81"/>
      <c r="C50" s="125" t="str">
        <f>'Necesidades Trimestrales'!E48</f>
        <v>KETAMINA 50MG/ML FCO AMPOLLA</v>
      </c>
      <c r="D50" s="125"/>
      <c r="E50" s="125"/>
      <c r="F50" s="125"/>
      <c r="G50" s="125"/>
      <c r="H50" s="72" t="s">
        <v>54</v>
      </c>
      <c r="I50" s="73" t="str">
        <f>'Necesidades Trimestrales'!F48</f>
        <v>AMPOLLA</v>
      </c>
      <c r="J50" s="71">
        <f>'Necesidades Trimestrales'!H48</f>
        <v>1895</v>
      </c>
      <c r="K50" s="70">
        <f>'Necesidades Trimestrales'!G48</f>
        <v>100</v>
      </c>
    </row>
    <row r="51" spans="1:11" ht="27.75" customHeight="1" x14ac:dyDescent="0.2">
      <c r="A51" s="68">
        <v>40</v>
      </c>
      <c r="B51" s="81"/>
      <c r="C51" s="125" t="str">
        <f>'Necesidades Trimestrales'!E49</f>
        <v>LAMOTRIGINA 25 MG COMPRIMIDO</v>
      </c>
      <c r="D51" s="125"/>
      <c r="E51" s="125"/>
      <c r="F51" s="125"/>
      <c r="G51" s="125"/>
      <c r="H51" s="72" t="s">
        <v>54</v>
      </c>
      <c r="I51" s="73" t="str">
        <f>'Necesidades Trimestrales'!F49</f>
        <v>COMPRIMIDO</v>
      </c>
      <c r="J51" s="71">
        <f>'Necesidades Trimestrales'!H49</f>
        <v>6.5</v>
      </c>
      <c r="K51" s="70">
        <f>'Necesidades Trimestrales'!G49</f>
        <v>30</v>
      </c>
    </row>
    <row r="52" spans="1:11" ht="27.75" customHeight="1" x14ac:dyDescent="0.2">
      <c r="A52" s="68">
        <v>41</v>
      </c>
      <c r="B52" s="81"/>
      <c r="C52" s="125" t="str">
        <f>'Necesidades Trimestrales'!E50</f>
        <v>LEVETIRACETAM 500MG AMPOLLA x 10 UNIDADES</v>
      </c>
      <c r="D52" s="125"/>
      <c r="E52" s="125"/>
      <c r="F52" s="125"/>
      <c r="G52" s="125"/>
      <c r="H52" s="72" t="s">
        <v>54</v>
      </c>
      <c r="I52" s="73" t="str">
        <f>'Necesidades Trimestrales'!F50</f>
        <v>CAJA</v>
      </c>
      <c r="J52" s="71">
        <f>'Necesidades Trimestrales'!H50</f>
        <v>3478.75</v>
      </c>
      <c r="K52" s="70">
        <f>'Necesidades Trimestrales'!G50</f>
        <v>15</v>
      </c>
    </row>
    <row r="53" spans="1:11" ht="27.75" customHeight="1" x14ac:dyDescent="0.2">
      <c r="A53" s="68">
        <v>42</v>
      </c>
      <c r="B53" s="81"/>
      <c r="C53" s="125" t="str">
        <f>'Necesidades Trimestrales'!E51</f>
        <v>LEVOMEPROMAZINA 25 MG AMPOLLA</v>
      </c>
      <c r="D53" s="125"/>
      <c r="E53" s="125"/>
      <c r="F53" s="125"/>
      <c r="G53" s="125"/>
      <c r="H53" s="72" t="s">
        <v>54</v>
      </c>
      <c r="I53" s="73" t="str">
        <f>'Necesidades Trimestrales'!F51</f>
        <v>AMPOLLA</v>
      </c>
      <c r="J53" s="71">
        <f>'Necesidades Trimestrales'!H51</f>
        <v>420</v>
      </c>
      <c r="K53" s="70">
        <f>'Necesidades Trimestrales'!G51</f>
        <v>100</v>
      </c>
    </row>
    <row r="54" spans="1:11" ht="27.75" customHeight="1" x14ac:dyDescent="0.2">
      <c r="A54" s="68">
        <v>43</v>
      </c>
      <c r="B54" s="81"/>
      <c r="C54" s="125" t="str">
        <f>'Necesidades Trimestrales'!E52</f>
        <v>LORAZEPAM 1 MG COMPRIMIDO</v>
      </c>
      <c r="D54" s="125"/>
      <c r="E54" s="125"/>
      <c r="F54" s="125"/>
      <c r="G54" s="125"/>
      <c r="H54" s="72" t="s">
        <v>54</v>
      </c>
      <c r="I54" s="73" t="str">
        <f>'Necesidades Trimestrales'!F52</f>
        <v>COMPRIMIDO</v>
      </c>
      <c r="J54" s="71">
        <f>'Necesidades Trimestrales'!H52</f>
        <v>3.8</v>
      </c>
      <c r="K54" s="70">
        <f>'Necesidades Trimestrales'!G52</f>
        <v>100</v>
      </c>
    </row>
    <row r="55" spans="1:11" ht="27.75" customHeight="1" x14ac:dyDescent="0.2">
      <c r="A55" s="68">
        <v>44</v>
      </c>
      <c r="B55" s="81"/>
      <c r="C55" s="125" t="str">
        <f>'Necesidades Trimestrales'!E53</f>
        <v>LORAZEPAM 4 MG/2ML AMPOLLA</v>
      </c>
      <c r="D55" s="125"/>
      <c r="E55" s="125"/>
      <c r="F55" s="125"/>
      <c r="G55" s="125"/>
      <c r="H55" s="72" t="s">
        <v>54</v>
      </c>
      <c r="I55" s="73" t="str">
        <f>'Necesidades Trimestrales'!F53</f>
        <v>AMPOLLA</v>
      </c>
      <c r="J55" s="71">
        <f>'Necesidades Trimestrales'!H53</f>
        <v>560</v>
      </c>
      <c r="K55" s="70">
        <f>'Necesidades Trimestrales'!G53</f>
        <v>500</v>
      </c>
    </row>
    <row r="56" spans="1:11" ht="27.75" customHeight="1" x14ac:dyDescent="0.2">
      <c r="A56" s="68">
        <v>45</v>
      </c>
      <c r="B56" s="81"/>
      <c r="C56" s="125" t="str">
        <f>'Necesidades Trimestrales'!E54</f>
        <v>MEPREDNISONA 0,4 %  GOTAS</v>
      </c>
      <c r="D56" s="125"/>
      <c r="E56" s="125"/>
      <c r="F56" s="125"/>
      <c r="G56" s="125"/>
      <c r="H56" s="72" t="s">
        <v>54</v>
      </c>
      <c r="I56" s="73" t="str">
        <f>'Necesidades Trimestrales'!F54</f>
        <v>GOTERO</v>
      </c>
      <c r="J56" s="71">
        <f>'Necesidades Trimestrales'!H54</f>
        <v>320</v>
      </c>
      <c r="K56" s="70">
        <f>'Necesidades Trimestrales'!G54</f>
        <v>1000</v>
      </c>
    </row>
    <row r="57" spans="1:11" ht="27.75" customHeight="1" x14ac:dyDescent="0.2">
      <c r="A57" s="68">
        <v>46</v>
      </c>
      <c r="B57" s="81"/>
      <c r="C57" s="125" t="str">
        <f>'Necesidades Trimestrales'!E55</f>
        <v>MEPREDNISONA 40 MG COMPRIMIDO</v>
      </c>
      <c r="D57" s="125"/>
      <c r="E57" s="125"/>
      <c r="F57" s="125"/>
      <c r="G57" s="125"/>
      <c r="H57" s="72" t="s">
        <v>54</v>
      </c>
      <c r="I57" s="73" t="str">
        <f>'Necesidades Trimestrales'!F55</f>
        <v>COMPRIMIDO</v>
      </c>
      <c r="J57" s="71">
        <f>'Necesidades Trimestrales'!H55</f>
        <v>65</v>
      </c>
      <c r="K57" s="70">
        <f>'Necesidades Trimestrales'!G55</f>
        <v>200</v>
      </c>
    </row>
    <row r="58" spans="1:11" ht="27.75" customHeight="1" x14ac:dyDescent="0.2">
      <c r="A58" s="68">
        <v>47</v>
      </c>
      <c r="B58" s="81"/>
      <c r="C58" s="125" t="str">
        <f>'Necesidades Trimestrales'!E56</f>
        <v>MEPREDNISONA 8MG COMPRIMIDO</v>
      </c>
      <c r="D58" s="125"/>
      <c r="E58" s="125"/>
      <c r="F58" s="125"/>
      <c r="G58" s="125"/>
      <c r="H58" s="72" t="s">
        <v>54</v>
      </c>
      <c r="I58" s="73" t="str">
        <f>'Necesidades Trimestrales'!F56</f>
        <v>COMPRIMIDO</v>
      </c>
      <c r="J58" s="71">
        <f>'Necesidades Trimestrales'!H56</f>
        <v>40</v>
      </c>
      <c r="K58" s="70">
        <f>'Necesidades Trimestrales'!G56</f>
        <v>1000</v>
      </c>
    </row>
    <row r="59" spans="1:11" ht="27.75" customHeight="1" x14ac:dyDescent="0.2">
      <c r="A59" s="68">
        <v>48</v>
      </c>
      <c r="B59" s="81"/>
      <c r="C59" s="125" t="str">
        <f>'Necesidades Trimestrales'!E57</f>
        <v>MEROPENEM 1000MG FCO AMPOLLA</v>
      </c>
      <c r="D59" s="125"/>
      <c r="E59" s="125"/>
      <c r="F59" s="125"/>
      <c r="G59" s="125"/>
      <c r="H59" s="72" t="s">
        <v>54</v>
      </c>
      <c r="I59" s="73" t="str">
        <f>'Necesidades Trimestrales'!F57</f>
        <v>AMPOLLA</v>
      </c>
      <c r="J59" s="71">
        <f>'Necesidades Trimestrales'!H57</f>
        <v>580</v>
      </c>
      <c r="K59" s="70">
        <f>'Necesidades Trimestrales'!G57</f>
        <v>100</v>
      </c>
    </row>
    <row r="60" spans="1:11" ht="27.75" customHeight="1" x14ac:dyDescent="0.2">
      <c r="A60" s="68">
        <v>49</v>
      </c>
      <c r="B60" s="81"/>
      <c r="C60" s="125" t="str">
        <f>'Necesidades Trimestrales'!E58</f>
        <v>MEROPENEM 500MG FCO AMPOLLA</v>
      </c>
      <c r="D60" s="125"/>
      <c r="E60" s="125"/>
      <c r="F60" s="125"/>
      <c r="G60" s="125"/>
      <c r="H60" s="72" t="s">
        <v>54</v>
      </c>
      <c r="I60" s="73" t="str">
        <f>'Necesidades Trimestrales'!F58</f>
        <v>AMPOLLA</v>
      </c>
      <c r="J60" s="71">
        <f>'Necesidades Trimestrales'!H58</f>
        <v>276</v>
      </c>
      <c r="K60" s="70">
        <f>'Necesidades Trimestrales'!G58</f>
        <v>100</v>
      </c>
    </row>
    <row r="61" spans="1:11" ht="27.75" customHeight="1" x14ac:dyDescent="0.2">
      <c r="A61" s="68">
        <v>50</v>
      </c>
      <c r="B61" s="81"/>
      <c r="C61" s="125" t="str">
        <f>'Necesidades Trimestrales'!E59</f>
        <v>METOCLOPRAMIDA 0,2 % GOTAS x 20 ml</v>
      </c>
      <c r="D61" s="125"/>
      <c r="E61" s="125"/>
      <c r="F61" s="125"/>
      <c r="G61" s="125"/>
      <c r="H61" s="72" t="s">
        <v>54</v>
      </c>
      <c r="I61" s="73" t="str">
        <f>'Necesidades Trimestrales'!F59</f>
        <v>GOTERO</v>
      </c>
      <c r="J61" s="71">
        <f>'Necesidades Trimestrales'!H59</f>
        <v>155</v>
      </c>
      <c r="K61" s="70">
        <f>'Necesidades Trimestrales'!G59</f>
        <v>500</v>
      </c>
    </row>
    <row r="62" spans="1:11" ht="27.75" customHeight="1" x14ac:dyDescent="0.2">
      <c r="A62" s="68">
        <v>51</v>
      </c>
      <c r="B62" s="81"/>
      <c r="C62" s="125" t="str">
        <f>'Necesidades Trimestrales'!E60</f>
        <v>METOCLOPRAMIDA AMPOLLA 10 MG X 2 ML</v>
      </c>
      <c r="D62" s="125"/>
      <c r="E62" s="125"/>
      <c r="F62" s="125"/>
      <c r="G62" s="125"/>
      <c r="H62" s="72" t="s">
        <v>54</v>
      </c>
      <c r="I62" s="73" t="str">
        <f>'Necesidades Trimestrales'!F60</f>
        <v>AMPOLLA</v>
      </c>
      <c r="J62" s="71">
        <f>'Necesidades Trimestrales'!H60</f>
        <v>35</v>
      </c>
      <c r="K62" s="70">
        <f>'Necesidades Trimestrales'!G60</f>
        <v>2000</v>
      </c>
    </row>
    <row r="63" spans="1:11" ht="27.75" customHeight="1" x14ac:dyDescent="0.2">
      <c r="A63" s="68">
        <v>52</v>
      </c>
      <c r="B63" s="81"/>
      <c r="C63" s="125" t="str">
        <f>'Necesidades Trimestrales'!E61</f>
        <v>METRONIDAZOL 500 MG SACHET</v>
      </c>
      <c r="D63" s="125"/>
      <c r="E63" s="125"/>
      <c r="F63" s="125"/>
      <c r="G63" s="125"/>
      <c r="H63" s="72" t="s">
        <v>54</v>
      </c>
      <c r="I63" s="73" t="str">
        <f>'Necesidades Trimestrales'!F61</f>
        <v>ENVASE</v>
      </c>
      <c r="J63" s="71">
        <f>'Necesidades Trimestrales'!H61</f>
        <v>76</v>
      </c>
      <c r="K63" s="70">
        <f>'Necesidades Trimestrales'!G61</f>
        <v>500</v>
      </c>
    </row>
    <row r="64" spans="1:11" ht="27.75" customHeight="1" x14ac:dyDescent="0.2">
      <c r="A64" s="68">
        <v>53</v>
      </c>
      <c r="B64" s="81"/>
      <c r="C64" s="125" t="str">
        <f>'Necesidades Trimestrales'!E62</f>
        <v>MIDAZOLAM 15 MG AMPOLLA</v>
      </c>
      <c r="D64" s="125"/>
      <c r="E64" s="125"/>
      <c r="F64" s="125"/>
      <c r="G64" s="125"/>
      <c r="H64" s="72" t="s">
        <v>54</v>
      </c>
      <c r="I64" s="73" t="str">
        <f>'Necesidades Trimestrales'!F62</f>
        <v>AMPOLLA</v>
      </c>
      <c r="J64" s="71">
        <f>'Necesidades Trimestrales'!H62</f>
        <v>514</v>
      </c>
      <c r="K64" s="70">
        <f>'Necesidades Trimestrales'!G62</f>
        <v>1500</v>
      </c>
    </row>
    <row r="65" spans="1:11" ht="27.75" customHeight="1" x14ac:dyDescent="0.2">
      <c r="A65" s="68">
        <v>54</v>
      </c>
      <c r="B65" s="81"/>
      <c r="C65" s="125" t="str">
        <f>'Necesidades Trimestrales'!E63</f>
        <v>MILRINONA 10 G  FCO AMPOLLA</v>
      </c>
      <c r="D65" s="125"/>
      <c r="E65" s="125"/>
      <c r="F65" s="125"/>
      <c r="G65" s="125"/>
      <c r="H65" s="72" t="s">
        <v>54</v>
      </c>
      <c r="I65" s="73" t="str">
        <f>'Necesidades Trimestrales'!F63</f>
        <v>UNIDAD</v>
      </c>
      <c r="J65" s="71">
        <f>'Necesidades Trimestrales'!H63</f>
        <v>359</v>
      </c>
      <c r="K65" s="70">
        <f>'Necesidades Trimestrales'!G63</f>
        <v>200</v>
      </c>
    </row>
    <row r="66" spans="1:11" ht="27.75" customHeight="1" x14ac:dyDescent="0.2">
      <c r="A66" s="68">
        <v>55</v>
      </c>
      <c r="B66" s="81"/>
      <c r="C66" s="125" t="str">
        <f>'Necesidades Trimestrales'!E64</f>
        <v>MORFINA 10 MG AMPOLLA</v>
      </c>
      <c r="D66" s="125"/>
      <c r="E66" s="125"/>
      <c r="F66" s="125"/>
      <c r="G66" s="125"/>
      <c r="H66" s="72" t="s">
        <v>54</v>
      </c>
      <c r="I66" s="73" t="str">
        <f>'Necesidades Trimestrales'!F64</f>
        <v>AMPOLLA</v>
      </c>
      <c r="J66" s="71">
        <f>'Necesidades Trimestrales'!H64</f>
        <v>118</v>
      </c>
      <c r="K66" s="70">
        <f>'Necesidades Trimestrales'!G64</f>
        <v>1000</v>
      </c>
    </row>
    <row r="67" spans="1:11" ht="27.75" customHeight="1" x14ac:dyDescent="0.2">
      <c r="A67" s="68">
        <v>56</v>
      </c>
      <c r="B67" s="81"/>
      <c r="C67" s="125" t="str">
        <f>'Necesidades Trimestrales'!E65</f>
        <v>NITROPRUSIATO SODIO 50 MG VIAL</v>
      </c>
      <c r="D67" s="125"/>
      <c r="E67" s="125"/>
      <c r="F67" s="125"/>
      <c r="G67" s="125"/>
      <c r="H67" s="72" t="s">
        <v>54</v>
      </c>
      <c r="I67" s="73" t="str">
        <f>'Necesidades Trimestrales'!F65</f>
        <v>AMPOLLA</v>
      </c>
      <c r="J67" s="71">
        <f>'Necesidades Trimestrales'!H65</f>
        <v>780</v>
      </c>
      <c r="K67" s="70">
        <f>'Necesidades Trimestrales'!G65</f>
        <v>100</v>
      </c>
    </row>
    <row r="68" spans="1:11" ht="27.75" customHeight="1" x14ac:dyDescent="0.2">
      <c r="A68" s="68">
        <v>57</v>
      </c>
      <c r="B68" s="81"/>
      <c r="C68" s="125" t="str">
        <f>'Necesidades Trimestrales'!E66</f>
        <v>NORADRENALINA 4 mg AMPOLLA x 4 ml</v>
      </c>
      <c r="D68" s="125"/>
      <c r="E68" s="125"/>
      <c r="F68" s="125"/>
      <c r="G68" s="125"/>
      <c r="H68" s="72" t="s">
        <v>54</v>
      </c>
      <c r="I68" s="73" t="str">
        <f>'Necesidades Trimestrales'!F66</f>
        <v>AMPOLLA</v>
      </c>
      <c r="J68" s="71">
        <f>'Necesidades Trimestrales'!H66</f>
        <v>290</v>
      </c>
      <c r="K68" s="70">
        <f>'Necesidades Trimestrales'!G66</f>
        <v>200</v>
      </c>
    </row>
    <row r="69" spans="1:11" ht="27.75" customHeight="1" x14ac:dyDescent="0.2">
      <c r="A69" s="68">
        <v>58</v>
      </c>
      <c r="B69" s="81"/>
      <c r="C69" s="125" t="str">
        <f>'Necesidades Trimestrales'!E67</f>
        <v>OMEPRAZOL 20 MG CAPSULAS</v>
      </c>
      <c r="D69" s="125"/>
      <c r="E69" s="125"/>
      <c r="F69" s="125"/>
      <c r="G69" s="125"/>
      <c r="H69" s="72" t="s">
        <v>54</v>
      </c>
      <c r="I69" s="73" t="str">
        <f>'Necesidades Trimestrales'!F67</f>
        <v>CAPSULA</v>
      </c>
      <c r="J69" s="71">
        <f>'Necesidades Trimestrales'!H67</f>
        <v>2.39</v>
      </c>
      <c r="K69" s="70">
        <f>'Necesidades Trimestrales'!G67</f>
        <v>2000</v>
      </c>
    </row>
    <row r="70" spans="1:11" ht="27.75" customHeight="1" x14ac:dyDescent="0.2">
      <c r="A70" s="68">
        <v>59</v>
      </c>
      <c r="B70" s="81"/>
      <c r="C70" s="125" t="str">
        <f>'Necesidades Trimestrales'!E68</f>
        <v>OMEPRAZOL 40 MG FCO AMP ENDOVENOSO</v>
      </c>
      <c r="D70" s="125"/>
      <c r="E70" s="125"/>
      <c r="F70" s="125"/>
      <c r="G70" s="125"/>
      <c r="H70" s="72" t="s">
        <v>54</v>
      </c>
      <c r="I70" s="73" t="str">
        <f>'Necesidades Trimestrales'!F68</f>
        <v>AMPOLLA</v>
      </c>
      <c r="J70" s="71">
        <f>'Necesidades Trimestrales'!H68</f>
        <v>498</v>
      </c>
      <c r="K70" s="70">
        <f>'Necesidades Trimestrales'!G68</f>
        <v>400</v>
      </c>
    </row>
    <row r="71" spans="1:11" ht="27.75" customHeight="1" x14ac:dyDescent="0.2">
      <c r="A71" s="68">
        <v>60</v>
      </c>
      <c r="B71" s="81"/>
      <c r="C71" s="125" t="str">
        <f>'Necesidades Trimestrales'!E69</f>
        <v>PARACETAMOL 2% JARABE x 120 ml</v>
      </c>
      <c r="D71" s="125"/>
      <c r="E71" s="125"/>
      <c r="F71" s="125"/>
      <c r="G71" s="125"/>
      <c r="H71" s="72" t="s">
        <v>54</v>
      </c>
      <c r="I71" s="73" t="str">
        <f>'Necesidades Trimestrales'!F69</f>
        <v>FRASCO</v>
      </c>
      <c r="J71" s="71">
        <f>'Necesidades Trimestrales'!H69</f>
        <v>170</v>
      </c>
      <c r="K71" s="70">
        <f>'Necesidades Trimestrales'!G69</f>
        <v>300</v>
      </c>
    </row>
    <row r="72" spans="1:11" ht="27.75" customHeight="1" x14ac:dyDescent="0.2">
      <c r="A72" s="68">
        <v>61</v>
      </c>
      <c r="B72" s="81"/>
      <c r="C72" s="125" t="str">
        <f>'Necesidades Trimestrales'!E70</f>
        <v>PARACETAMOL 500 MG COMPRIMIDO</v>
      </c>
      <c r="D72" s="125"/>
      <c r="E72" s="125"/>
      <c r="F72" s="125"/>
      <c r="G72" s="125"/>
      <c r="H72" s="72" t="s">
        <v>54</v>
      </c>
      <c r="I72" s="73" t="str">
        <f>'Necesidades Trimestrales'!F70</f>
        <v>COMPRIMIDO</v>
      </c>
      <c r="J72" s="71">
        <f>'Necesidades Trimestrales'!H70</f>
        <v>3.86</v>
      </c>
      <c r="K72" s="70">
        <f>'Necesidades Trimestrales'!G70</f>
        <v>3000</v>
      </c>
    </row>
    <row r="73" spans="1:11" ht="27.75" customHeight="1" x14ac:dyDescent="0.2">
      <c r="A73" s="68">
        <v>62</v>
      </c>
      <c r="B73" s="81"/>
      <c r="C73" s="125" t="str">
        <f>'Necesidades Trimestrales'!E71</f>
        <v>PROPOFOL 1% AMPOLLAS X 20 ML</v>
      </c>
      <c r="D73" s="125"/>
      <c r="E73" s="125"/>
      <c r="F73" s="125"/>
      <c r="G73" s="125"/>
      <c r="H73" s="72" t="s">
        <v>54</v>
      </c>
      <c r="I73" s="73" t="str">
        <f>'Necesidades Trimestrales'!F71</f>
        <v>AMPOLLA</v>
      </c>
      <c r="J73" s="71">
        <f>'Necesidades Trimestrales'!H71</f>
        <v>859</v>
      </c>
      <c r="K73" s="70">
        <f>'Necesidades Trimestrales'!G71</f>
        <v>600</v>
      </c>
    </row>
    <row r="74" spans="1:11" ht="27.75" customHeight="1" x14ac:dyDescent="0.2">
      <c r="A74" s="68">
        <v>63</v>
      </c>
      <c r="B74" s="81"/>
      <c r="C74" s="125" t="str">
        <f>'Necesidades Trimestrales'!E72</f>
        <v>RANITIDINA 50 MG AMPOLLA</v>
      </c>
      <c r="D74" s="125"/>
      <c r="E74" s="125"/>
      <c r="F74" s="125"/>
      <c r="G74" s="125"/>
      <c r="H74" s="72" t="s">
        <v>54</v>
      </c>
      <c r="I74" s="73" t="str">
        <f>'Necesidades Trimestrales'!F72</f>
        <v>AMPOLLA</v>
      </c>
      <c r="J74" s="71">
        <f>'Necesidades Trimestrales'!H72</f>
        <v>42</v>
      </c>
      <c r="K74" s="70">
        <f>'Necesidades Trimestrales'!G72</f>
        <v>1000</v>
      </c>
    </row>
    <row r="75" spans="1:11" ht="27.75" customHeight="1" x14ac:dyDescent="0.2">
      <c r="A75" s="68">
        <v>64</v>
      </c>
      <c r="B75" s="81"/>
      <c r="C75" s="125" t="str">
        <f>'Necesidades Trimestrales'!E73</f>
        <v>RISPERIDONA 1MG COMPRIMIDO</v>
      </c>
      <c r="D75" s="125"/>
      <c r="E75" s="125"/>
      <c r="F75" s="125"/>
      <c r="G75" s="125"/>
      <c r="H75" s="72" t="s">
        <v>54</v>
      </c>
      <c r="I75" s="73" t="str">
        <f>'Necesidades Trimestrales'!F73</f>
        <v>COMPRIMIDO</v>
      </c>
      <c r="J75" s="71">
        <f>'Necesidades Trimestrales'!H73</f>
        <v>15.88</v>
      </c>
      <c r="K75" s="70">
        <f>'Necesidades Trimestrales'!G73</f>
        <v>500</v>
      </c>
    </row>
    <row r="76" spans="1:11" ht="27.75" customHeight="1" x14ac:dyDescent="0.2">
      <c r="A76" s="68">
        <v>65</v>
      </c>
      <c r="B76" s="81"/>
      <c r="C76" s="125" t="str">
        <f>'Necesidades Trimestrales'!E74</f>
        <v>RISPERIDONA 2 MG COMPRIMIDO</v>
      </c>
      <c r="D76" s="125"/>
      <c r="E76" s="125"/>
      <c r="F76" s="125"/>
      <c r="G76" s="125"/>
      <c r="H76" s="72" t="s">
        <v>54</v>
      </c>
      <c r="I76" s="73" t="str">
        <f>'Necesidades Trimestrales'!F74</f>
        <v>COMPRIMIDO</v>
      </c>
      <c r="J76" s="71">
        <f>'Necesidades Trimestrales'!H74</f>
        <v>3.65</v>
      </c>
      <c r="K76" s="70">
        <f>'Necesidades Trimestrales'!G74</f>
        <v>500</v>
      </c>
    </row>
    <row r="77" spans="1:11" ht="27.75" customHeight="1" x14ac:dyDescent="0.2">
      <c r="A77" s="68">
        <v>66</v>
      </c>
      <c r="B77" s="81"/>
      <c r="C77" s="125" t="str">
        <f>'Necesidades Trimestrales'!E75</f>
        <v>RISPERIDONA 3 MG COMPRIMIDO</v>
      </c>
      <c r="D77" s="125"/>
      <c r="E77" s="125"/>
      <c r="F77" s="125"/>
      <c r="G77" s="125"/>
      <c r="H77" s="72" t="s">
        <v>54</v>
      </c>
      <c r="I77" s="73" t="str">
        <f>'Necesidades Trimestrales'!F75</f>
        <v>COMPRIMIDO</v>
      </c>
      <c r="J77" s="71">
        <f>'Necesidades Trimestrales'!H75</f>
        <v>3.85</v>
      </c>
      <c r="K77" s="70">
        <f>'Necesidades Trimestrales'!G75</f>
        <v>500</v>
      </c>
    </row>
    <row r="78" spans="1:11" ht="27.75" customHeight="1" x14ac:dyDescent="0.2">
      <c r="A78" s="68">
        <v>67</v>
      </c>
      <c r="B78" s="81"/>
      <c r="C78" s="125" t="str">
        <f>'Necesidades Trimestrales'!E76</f>
        <v>SALBUTAMOL GOTAS x 10 ml</v>
      </c>
      <c r="D78" s="125"/>
      <c r="E78" s="125"/>
      <c r="F78" s="125"/>
      <c r="G78" s="125"/>
      <c r="H78" s="72" t="s">
        <v>54</v>
      </c>
      <c r="I78" s="73" t="str">
        <f>'Necesidades Trimestrales'!F76</f>
        <v>GOTERO</v>
      </c>
      <c r="J78" s="71">
        <f>'Necesidades Trimestrales'!H76</f>
        <v>55</v>
      </c>
      <c r="K78" s="70">
        <f>'Necesidades Trimestrales'!G76</f>
        <v>200</v>
      </c>
    </row>
    <row r="79" spans="1:11" ht="27.75" customHeight="1" x14ac:dyDescent="0.2">
      <c r="A79" s="68">
        <v>68</v>
      </c>
      <c r="B79" s="81"/>
      <c r="C79" s="125" t="str">
        <f>'Necesidades Trimestrales'!E77</f>
        <v>SOLUCION DEXTROSA AL 10% SACHET DE 500 ML</v>
      </c>
      <c r="D79" s="125"/>
      <c r="E79" s="125"/>
      <c r="F79" s="125"/>
      <c r="G79" s="125"/>
      <c r="H79" s="72" t="s">
        <v>54</v>
      </c>
      <c r="I79" s="73" t="str">
        <f>'Necesidades Trimestrales'!F77</f>
        <v>UNIDAD</v>
      </c>
      <c r="J79" s="71">
        <f>'Necesidades Trimestrales'!H77</f>
        <v>119</v>
      </c>
      <c r="K79" s="70">
        <f>'Necesidades Trimestrales'!G77</f>
        <v>100</v>
      </c>
    </row>
    <row r="80" spans="1:11" ht="27.75" customHeight="1" x14ac:dyDescent="0.2">
      <c r="A80" s="68">
        <v>69</v>
      </c>
      <c r="B80" s="81"/>
      <c r="C80" s="125" t="str">
        <f>'Necesidades Trimestrales'!E78</f>
        <v>SOLUCION DEXTROSA AL 25% SACHET DE 500 ML</v>
      </c>
      <c r="D80" s="125"/>
      <c r="E80" s="125"/>
      <c r="F80" s="125"/>
      <c r="G80" s="125"/>
      <c r="H80" s="72" t="s">
        <v>54</v>
      </c>
      <c r="I80" s="73" t="str">
        <f>'Necesidades Trimestrales'!F78</f>
        <v>UNIDAD</v>
      </c>
      <c r="J80" s="71">
        <f>'Necesidades Trimestrales'!H78</f>
        <v>179</v>
      </c>
      <c r="K80" s="70">
        <f>'Necesidades Trimestrales'!G78</f>
        <v>200</v>
      </c>
    </row>
    <row r="81" spans="1:14" ht="27.75" customHeight="1" x14ac:dyDescent="0.2">
      <c r="A81" s="68">
        <v>70</v>
      </c>
      <c r="B81" s="81"/>
      <c r="C81" s="125" t="str">
        <f>'Necesidades Trimestrales'!E79</f>
        <v>SOLUCION FISIOLOGICA EN AMPOLLAS x 10 ML</v>
      </c>
      <c r="D81" s="125"/>
      <c r="E81" s="125"/>
      <c r="F81" s="125"/>
      <c r="G81" s="125"/>
      <c r="H81" s="72" t="s">
        <v>54</v>
      </c>
      <c r="I81" s="73" t="str">
        <f>'Necesidades Trimestrales'!F79</f>
        <v>UNIDAD</v>
      </c>
      <c r="J81" s="71">
        <f>'Necesidades Trimestrales'!H79</f>
        <v>36</v>
      </c>
      <c r="K81" s="70">
        <f>'Necesidades Trimestrales'!G79</f>
        <v>3000</v>
      </c>
    </row>
    <row r="82" spans="1:14" ht="27.75" customHeight="1" x14ac:dyDescent="0.2">
      <c r="A82" s="68">
        <v>71</v>
      </c>
      <c r="B82" s="81"/>
      <c r="C82" s="125" t="str">
        <f>'Necesidades Trimestrales'!E80</f>
        <v>SOLUCION GLUCOSADA AL 25 % AMPOLLAS X 10 ML</v>
      </c>
      <c r="D82" s="125"/>
      <c r="E82" s="125"/>
      <c r="F82" s="125"/>
      <c r="G82" s="125"/>
      <c r="H82" s="72" t="s">
        <v>54</v>
      </c>
      <c r="I82" s="73" t="str">
        <f>'Necesidades Trimestrales'!F80</f>
        <v>UNIDAD</v>
      </c>
      <c r="J82" s="71">
        <f>'Necesidades Trimestrales'!H80</f>
        <v>62</v>
      </c>
      <c r="K82" s="70">
        <f>'Necesidades Trimestrales'!G80</f>
        <v>100</v>
      </c>
    </row>
    <row r="83" spans="1:14" ht="27.75" customHeight="1" x14ac:dyDescent="0.2">
      <c r="A83" s="68">
        <v>72</v>
      </c>
      <c r="B83" s="81"/>
      <c r="C83" s="125" t="str">
        <f>'Necesidades Trimestrales'!E81</f>
        <v>SULFATO DE MAGNESIO 25%  AMPOLLAS X 5 ML</v>
      </c>
      <c r="D83" s="125"/>
      <c r="E83" s="125"/>
      <c r="F83" s="125"/>
      <c r="G83" s="125"/>
      <c r="H83" s="72" t="s">
        <v>54</v>
      </c>
      <c r="I83" s="73" t="str">
        <f>'Necesidades Trimestrales'!F81</f>
        <v>UNIDAD</v>
      </c>
      <c r="J83" s="71">
        <f>'Necesidades Trimestrales'!H81</f>
        <v>35.799999999999997</v>
      </c>
      <c r="K83" s="70">
        <f>'Necesidades Trimestrales'!G81</f>
        <v>100</v>
      </c>
    </row>
    <row r="84" spans="1:14" ht="27.75" customHeight="1" x14ac:dyDescent="0.2">
      <c r="A84" s="68">
        <v>73</v>
      </c>
      <c r="B84" s="81"/>
      <c r="C84" s="125" t="str">
        <f>'Necesidades Trimestrales'!E82</f>
        <v>SULFATO FERROSO 125 MG/ ML GOTAS X 20 ML</v>
      </c>
      <c r="D84" s="125"/>
      <c r="E84" s="125"/>
      <c r="F84" s="125"/>
      <c r="G84" s="125"/>
      <c r="H84" s="72" t="s">
        <v>54</v>
      </c>
      <c r="I84" s="73" t="str">
        <f>'Necesidades Trimestrales'!F82</f>
        <v>UNIDAD</v>
      </c>
      <c r="J84" s="71">
        <f>'Necesidades Trimestrales'!H82</f>
        <v>350</v>
      </c>
      <c r="K84" s="70">
        <f>'Necesidades Trimestrales'!G82</f>
        <v>100</v>
      </c>
    </row>
    <row r="85" spans="1:14" ht="27.75" customHeight="1" x14ac:dyDescent="0.2">
      <c r="A85" s="68">
        <v>74</v>
      </c>
      <c r="B85" s="81"/>
      <c r="C85" s="125" t="str">
        <f>'Necesidades Trimestrales'!E83</f>
        <v>TRAMADOL 50 MG AMPOLLA</v>
      </c>
      <c r="D85" s="125"/>
      <c r="E85" s="125"/>
      <c r="F85" s="125"/>
      <c r="G85" s="125"/>
      <c r="H85" s="72" t="s">
        <v>54</v>
      </c>
      <c r="I85" s="73" t="str">
        <f>'Necesidades Trimestrales'!F83</f>
        <v>AMPOLLA</v>
      </c>
      <c r="J85" s="71">
        <f>'Necesidades Trimestrales'!H83</f>
        <v>55</v>
      </c>
      <c r="K85" s="70">
        <f>'Necesidades Trimestrales'!G83</f>
        <v>200</v>
      </c>
    </row>
    <row r="86" spans="1:14" ht="27.75" customHeight="1" x14ac:dyDescent="0.2">
      <c r="A86" s="68">
        <v>75</v>
      </c>
      <c r="B86" s="81"/>
      <c r="C86" s="125" t="str">
        <f>'Necesidades Trimestrales'!E84</f>
        <v>VALPROATO DE MAGNESIO 200MG COMPRIMIDO</v>
      </c>
      <c r="D86" s="125"/>
      <c r="E86" s="125"/>
      <c r="F86" s="125"/>
      <c r="G86" s="125"/>
      <c r="H86" s="72" t="s">
        <v>54</v>
      </c>
      <c r="I86" s="73" t="str">
        <f>'Necesidades Trimestrales'!F84</f>
        <v>COMPRIMIDO</v>
      </c>
      <c r="J86" s="71">
        <f>'Necesidades Trimestrales'!H84</f>
        <v>15.1</v>
      </c>
      <c r="K86" s="70">
        <f>'Necesidades Trimestrales'!G84</f>
        <v>100</v>
      </c>
    </row>
    <row r="87" spans="1:14" ht="27.75" customHeight="1" x14ac:dyDescent="0.2">
      <c r="A87" s="68">
        <v>76</v>
      </c>
      <c r="B87" s="81"/>
      <c r="C87" s="125" t="str">
        <f>'Necesidades Trimestrales'!E85</f>
        <v>VALPROATO DE SODIO 5GR X 120 ML</v>
      </c>
      <c r="D87" s="125"/>
      <c r="E87" s="125"/>
      <c r="F87" s="125"/>
      <c r="G87" s="125"/>
      <c r="H87" s="72" t="s">
        <v>54</v>
      </c>
      <c r="I87" s="73" t="str">
        <f>'Necesidades Trimestrales'!F85</f>
        <v>FRASCO</v>
      </c>
      <c r="J87" s="71">
        <f>'Necesidades Trimestrales'!H85</f>
        <v>380</v>
      </c>
      <c r="K87" s="70">
        <f>'Necesidades Trimestrales'!G85</f>
        <v>10</v>
      </c>
    </row>
    <row r="88" spans="1:14" ht="27.75" customHeight="1" x14ac:dyDescent="0.2">
      <c r="A88" s="68">
        <v>77</v>
      </c>
      <c r="B88" s="81"/>
      <c r="C88" s="125" t="str">
        <f>'Necesidades Trimestrales'!E86</f>
        <v>VECURONIO BROMURO 10 MG AMPOLLA</v>
      </c>
      <c r="D88" s="125"/>
      <c r="E88" s="125"/>
      <c r="F88" s="125"/>
      <c r="G88" s="125"/>
      <c r="H88" s="72" t="s">
        <v>54</v>
      </c>
      <c r="I88" s="73" t="str">
        <f>'Necesidades Trimestrales'!F86</f>
        <v>AMPOLLA</v>
      </c>
      <c r="J88" s="71">
        <f>'Necesidades Trimestrales'!H86</f>
        <v>913</v>
      </c>
      <c r="K88" s="70">
        <f>'Necesidades Trimestrales'!G86</f>
        <v>700</v>
      </c>
    </row>
    <row r="89" spans="1:14" ht="27.75" customHeight="1" x14ac:dyDescent="0.2">
      <c r="A89" s="68">
        <v>78</v>
      </c>
      <c r="B89" s="81"/>
      <c r="C89" s="125" t="str">
        <f>'Necesidades Trimestrales'!E87</f>
        <v>VITAMINA K 1 MG AMPOLLA</v>
      </c>
      <c r="D89" s="125"/>
      <c r="E89" s="125"/>
      <c r="F89" s="125"/>
      <c r="G89" s="125"/>
      <c r="H89" s="72" t="s">
        <v>54</v>
      </c>
      <c r="I89" s="73" t="str">
        <f>'Necesidades Trimestrales'!F87</f>
        <v>UNIDAD</v>
      </c>
      <c r="J89" s="71">
        <f>'Necesidades Trimestrales'!H87</f>
        <v>35</v>
      </c>
      <c r="K89" s="70">
        <f>'Necesidades Trimestrales'!G87</f>
        <v>200</v>
      </c>
    </row>
    <row r="90" spans="1:14" ht="27.75" customHeight="1" thickBot="1" x14ac:dyDescent="0.25">
      <c r="A90" s="68">
        <v>79</v>
      </c>
      <c r="B90" s="81"/>
      <c r="C90" s="125" t="str">
        <f>'Necesidades Trimestrales'!E88</f>
        <v>VITAMINA K 10 MG AMPOLLA</v>
      </c>
      <c r="D90" s="125"/>
      <c r="E90" s="125"/>
      <c r="F90" s="125"/>
      <c r="G90" s="125"/>
      <c r="H90" s="72" t="s">
        <v>54</v>
      </c>
      <c r="I90" s="73" t="str">
        <f>'Necesidades Trimestrales'!F88</f>
        <v>UNIDAD</v>
      </c>
      <c r="J90" s="71">
        <f>'Necesidades Trimestrales'!H88</f>
        <v>41</v>
      </c>
      <c r="K90" s="70">
        <f>'Necesidades Trimestrales'!G88</f>
        <v>200</v>
      </c>
    </row>
    <row r="91" spans="1:14" ht="20.25" customHeight="1" thickBot="1" x14ac:dyDescent="0.25">
      <c r="A91" s="128" t="s">
        <v>156</v>
      </c>
      <c r="B91" s="128"/>
      <c r="C91" s="128"/>
      <c r="D91" s="128"/>
      <c r="E91" s="128"/>
      <c r="F91" s="128"/>
      <c r="G91" s="128"/>
      <c r="H91" s="128"/>
      <c r="I91" s="128"/>
      <c r="J91" s="135">
        <f>SUMPRODUCT(J12:J90,K12:K90)</f>
        <v>7611281.25</v>
      </c>
      <c r="K91" s="135"/>
      <c r="N91" s="52"/>
    </row>
  </sheetData>
  <mergeCells count="101">
    <mergeCell ref="C79:G79"/>
    <mergeCell ref="C70:G70"/>
    <mergeCell ref="C71:G71"/>
    <mergeCell ref="C72:G72"/>
    <mergeCell ref="C73:G73"/>
    <mergeCell ref="C74:G74"/>
    <mergeCell ref="C90:G90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68:G68"/>
    <mergeCell ref="C69:G69"/>
    <mergeCell ref="C65:G65"/>
    <mergeCell ref="C66:G66"/>
    <mergeCell ref="C67:G67"/>
    <mergeCell ref="C75:G75"/>
    <mergeCell ref="C76:G76"/>
    <mergeCell ref="C77:G77"/>
    <mergeCell ref="C78:G78"/>
    <mergeCell ref="A91:I91"/>
    <mergeCell ref="J91:K9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46:G46"/>
    <mergeCell ref="C47:G47"/>
    <mergeCell ref="C41:G41"/>
    <mergeCell ref="C42:G42"/>
    <mergeCell ref="C43:G43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63:G63"/>
    <mergeCell ref="C64:G64"/>
    <mergeCell ref="C58:G58"/>
    <mergeCell ref="C59:G59"/>
    <mergeCell ref="C60:G60"/>
    <mergeCell ref="C61:G61"/>
    <mergeCell ref="C62:G62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8" t="s">
        <v>3</v>
      </c>
      <c r="B1" s="138"/>
      <c r="C1" s="138"/>
      <c r="D1" s="139">
        <f>'Necesidades Trimestrales'!C6</f>
        <v>2021</v>
      </c>
      <c r="E1" s="139"/>
      <c r="F1" s="3"/>
      <c r="G1" s="3"/>
      <c r="H1" s="4"/>
      <c r="I1" s="4"/>
      <c r="J1" s="4"/>
      <c r="K1" s="4"/>
      <c r="L1" s="4"/>
      <c r="M1" s="4"/>
      <c r="N1" s="4"/>
      <c r="P1" s="140" t="s">
        <v>25</v>
      </c>
      <c r="Q1" s="14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0"/>
      <c r="Q2" s="140"/>
    </row>
    <row r="4" spans="1:17" s="5" customFormat="1" ht="18" customHeight="1" thickBot="1" x14ac:dyDescent="0.25">
      <c r="A4" s="141" t="s">
        <v>26</v>
      </c>
      <c r="B4" s="141"/>
      <c r="C4" s="141"/>
      <c r="D4" s="141"/>
      <c r="E4" s="141"/>
      <c r="F4" s="141"/>
      <c r="G4" s="142" t="str">
        <f>' NotaPedido'!D3</f>
        <v>040 -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5" customFormat="1" ht="18" customHeight="1" thickBot="1" x14ac:dyDescent="0.25">
      <c r="A5" s="143" t="s">
        <v>49</v>
      </c>
      <c r="B5" s="144"/>
      <c r="C5" s="144"/>
      <c r="D5" s="144"/>
      <c r="E5" s="144"/>
      <c r="F5" s="145"/>
      <c r="G5" s="142" t="str">
        <f>' NotaPedido'!D4</f>
        <v>024 - Hospital Interzonal de Niños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5" customFormat="1" ht="18" customHeight="1" thickBot="1" x14ac:dyDescent="0.25">
      <c r="A6" s="143" t="s">
        <v>27</v>
      </c>
      <c r="B6" s="144"/>
      <c r="C6" s="144"/>
      <c r="D6" s="144"/>
      <c r="E6" s="144"/>
      <c r="F6" s="145"/>
      <c r="G6" s="142" t="str">
        <f>' NotaPedido'!D5</f>
        <v>024 - Hospital Interzonal de Niños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5" customFormat="1" ht="18" customHeight="1" thickBot="1" x14ac:dyDescent="0.25">
      <c r="A7" s="143" t="s">
        <v>50</v>
      </c>
      <c r="B7" s="144"/>
      <c r="C7" s="144"/>
      <c r="D7" s="144"/>
      <c r="E7" s="144"/>
      <c r="F7" s="145"/>
      <c r="G7" s="142" t="s">
        <v>57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6" t="s">
        <v>28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47" t="s">
        <v>29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6"/>
    </row>
    <row r="10" spans="1:17" ht="54.75" customHeight="1" x14ac:dyDescent="0.2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125/2021,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9" t="s">
        <v>30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thickBot="1" x14ac:dyDescent="0.25">
      <c r="A13" s="150" t="s">
        <v>31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32</v>
      </c>
      <c r="P13" s="153"/>
      <c r="Q13" s="156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54"/>
      <c r="P14" s="155"/>
      <c r="Q14" s="157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2</v>
      </c>
      <c r="L15" s="56"/>
      <c r="M15" s="57">
        <v>1</v>
      </c>
      <c r="N15" s="58" t="s">
        <v>53</v>
      </c>
      <c r="O15" s="158" t="s">
        <v>56</v>
      </c>
      <c r="P15" s="158"/>
      <c r="Q15" s="64">
        <v>7611281.25</v>
      </c>
    </row>
    <row r="16" spans="1:17" ht="26.25" customHeight="1" x14ac:dyDescent="0.2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7"/>
      <c r="N16" s="58"/>
      <c r="O16" s="158"/>
      <c r="P16" s="158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59"/>
      <c r="P17" s="159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9"/>
      <c r="P18" s="159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5"/>
      <c r="P19" s="165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6"/>
      <c r="P20" s="166"/>
      <c r="Q20" s="24"/>
    </row>
    <row r="21" spans="1:18" ht="29.25" customHeight="1" x14ac:dyDescent="0.2">
      <c r="A21" s="167" t="s">
        <v>155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25">
        <f>SUM(Q15:Q20)</f>
        <v>7611281.25</v>
      </c>
    </row>
    <row r="22" spans="1:18" ht="18" customHeight="1" thickBo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</row>
    <row r="23" spans="1:18" ht="17.25" customHeight="1" thickBot="1" x14ac:dyDescent="0.25">
      <c r="A23" s="160" t="s">
        <v>47</v>
      </c>
      <c r="B23" s="161"/>
      <c r="C23" s="161"/>
      <c r="D23" s="161"/>
      <c r="E23" s="161"/>
      <c r="F23" s="162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  <row r="24" spans="1:18" ht="18" customHeight="1" thickBot="1" x14ac:dyDescent="0.25">
      <c r="A24" s="164" t="s">
        <v>154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8" ht="26.25" customHeight="1" x14ac:dyDescent="0.2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2021-11-23T12:04:32Z</cp:lastPrinted>
  <dcterms:created xsi:type="dcterms:W3CDTF">2020-07-17T23:44:49Z</dcterms:created>
  <dcterms:modified xsi:type="dcterms:W3CDTF">2021-11-23T16:07:45Z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