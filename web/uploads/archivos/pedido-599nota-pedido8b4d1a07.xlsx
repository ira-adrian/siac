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HSJB\Medicamentos\Medic.Covid\"/>
    </mc:Choice>
  </mc:AlternateContent>
  <xr:revisionPtr revIDLastSave="0" documentId="13_ncr:1_{FCBED49C-F8F7-445F-9364-44A1005E6879}" xr6:coauthVersionLast="46" xr6:coauthVersionMax="46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NotaPedido" sheetId="2" r:id="rId2"/>
    <sheet name="Autor Gastar" sheetId="3" r:id="rId3"/>
  </sheets>
  <externalReferences>
    <externalReference r:id="rId4"/>
  </externalReferences>
  <definedNames>
    <definedName name="_xlnm.Print_Area" localSheetId="2">'Autor Gastar'!$A$1:$Q$26</definedName>
    <definedName name="_xlnm.Print_Area" localSheetId="1">NotaPedido!$A$1:$K$39</definedName>
  </definedNames>
  <calcPr calcId="181029"/>
</workbook>
</file>

<file path=xl/calcChain.xml><?xml version="1.0" encoding="utf-8"?>
<calcChain xmlns="http://schemas.openxmlformats.org/spreadsheetml/2006/main">
  <c r="N13" i="2" l="1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12" i="2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10" i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10" i="1"/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A25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J39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<sst xmlns="http://schemas.openxmlformats.org/spreadsheetml/2006/main" count="215" uniqueCount="109">
  <si>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</si>
  <si>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</si>
  <si>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</si>
  <si>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</si>
  <si>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</si>
  <si>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</si>
  <si>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</si>
  <si>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</si>
  <si>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</si>
  <si>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</si>
  <si>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</si>
  <si>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</si>
  <si>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</si>
  <si>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</si>
  <si>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</si>
  <si>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</si>
  <si>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</si>
  <si>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</si>
  <si>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</si>
  <si>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</si>
  <si>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</si>
  <si>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</si>
  <si>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</si>
  <si>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</si>
  <si>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</si>
  <si>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</si>
  <si>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</si>
  <si>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</si>
  <si>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</si>
  <si>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</si>
  <si>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</si>
  <si>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</si>
  <si>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</si>
  <si>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</si>
  <si>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</si>
  <si>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</si>
  <si>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</si>
  <si>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</si>
  <si>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</si>
  <si>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</si>
  <si>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</si>
  <si>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</si>
  <si>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</si>
  <si>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</si>
  <si>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</si>
  <si>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</si>
  <si>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</si>
  <si>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</si>
  <si>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</si>
  <si>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</si>
  <si>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</si>
  <si>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</si>
  <si>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</si>
  <si>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</si>
  <si>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</si>
  <si>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</si>
  <si>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</si>
  <si>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</si>
  <si>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</si>
  <si>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</si>
  <si>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</si>
  <si>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</si>
  <si>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</si>
  <si>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</si>
  <si>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</si>
  <si>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2.5.2</t>
  </si>
  <si>
    <t>ACIDO ACETIL SALICILICO 100 MG COMPRIMIDO</t>
  </si>
  <si>
    <t>ALBUMINA HUMANA 20% X 50 ML</t>
  </si>
  <si>
    <t>ALIMENTACION PARENTERAL  DE GRAN VOLUMEN TIPO OLI CLINOMEL/SMOFKABIVEN CENTRAL BOLSA X 1970 ML</t>
  </si>
  <si>
    <t>AMINIFILINA 200 MG AMPOLLA</t>
  </si>
  <si>
    <t>AMOXICILINA + CLAVULANICO 1 G COMPRIMIDO</t>
  </si>
  <si>
    <t xml:space="preserve">BETAMETASONA G 12 MG ( 6 MG ACETATO/6 MG FOSFATO ) AMPOLLA </t>
  </si>
  <si>
    <t>CLARITROMICINA 500 MG COMPRIMIDO</t>
  </si>
  <si>
    <t>COLISTINA 100 MG FCO AMPOLLA</t>
  </si>
  <si>
    <t>COMPLEJO B AMPOLLAS TIPO BECOZYM NF</t>
  </si>
  <si>
    <t>DIAZEPAM 10 MG AMPOLLA</t>
  </si>
  <si>
    <t>DOBUTAMINA 250 mg/ml FRASCO AMPOLLA X 20 ML</t>
  </si>
  <si>
    <t>DOPAMINA 200 MG  AMPOLLA X 5 ML</t>
  </si>
  <si>
    <t>FENOBARBITAL 200MG AMPOLLAS</t>
  </si>
  <si>
    <t>FLUCONAZOL 100 MG COMPRIMIDOS</t>
  </si>
  <si>
    <t>FLUCONAZOL 200 MG SACHET 100 ML</t>
  </si>
  <si>
    <t>GELATINA AL 4% SACHET X 500 ML</t>
  </si>
  <si>
    <t>GENTAMICINA 80 MG AMPOLLA</t>
  </si>
  <si>
    <t>HEPARINA SODICA 5000 UI FCO AMPOLLA X 5 ML</t>
  </si>
  <si>
    <t>ISOPROTERONOL 1 MG AMPOLLA</t>
  </si>
  <si>
    <t>NITROPRUSIATO SODIO 50 MG VIAL</t>
  </si>
  <si>
    <t>NORADRENALINA 4 mg AMPOLLA x 4 ml</t>
  </si>
  <si>
    <t>OMEPRAZOL 40 MG FCO AMP ENDOVENOSO</t>
  </si>
  <si>
    <t>PARACETAMOL 1GR ML FRASCO AMPOLLA</t>
  </si>
  <si>
    <t>PARACETAMOL 500 MG COMPRIMIDO</t>
  </si>
  <si>
    <t>PIPERACILINA 4 GRS + TAZOBACTAM 500 MG FCO AMPOLLA</t>
  </si>
  <si>
    <t>PROPOFOL 1% FCO AMPOLLAS VIAL X 50 ML</t>
  </si>
  <si>
    <t>COMPRIMIDO</t>
  </si>
  <si>
    <t>FRASCO</t>
  </si>
  <si>
    <t>ENVASE</t>
  </si>
  <si>
    <t>AMPOLLA</t>
  </si>
  <si>
    <t xml:space="preserve">PRODUC. FARMAC. Y MEDICINALES </t>
  </si>
  <si>
    <t>Especificidades Tecnicas:</t>
  </si>
  <si>
    <t xml:space="preserve">20 dias corridos - Servicio de Farmacia del HISJB - Avda. Illia y Mariano Moreno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</si>
  <si>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</si>
  <si>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 xml:space="preserve">PLAZO DE MANTENIMIENTO DE OFERTA: 45 DIAS HABILES </t>
  </si>
  <si>
    <t xml:space="preserve">PLAZO DE ENTREGA: 20 DIAS CORRIDOS EN EL SERVICIO DE FARMACIA - AVDA. ILLIA Y MARIANO MORENO </t>
  </si>
  <si>
    <t xml:space="preserve">Adquisición de Medicamentos COVID </t>
  </si>
  <si>
    <t>089 - 2021</t>
  </si>
  <si>
    <t>Costo total estimado: Trece millones ochenta y cuatro mil trescientos noventa con 00/100.-</t>
  </si>
  <si>
    <t>TOTAL DE PESOS: TRECE MILLONES OCHENTA Y CUATRO MIL TRESCIENTOS NOVENTA CON 00/100.--</t>
  </si>
  <si>
    <t>unidad medida</t>
  </si>
  <si>
    <t>CLONIDINA CLORHIDRATO 0,150 MG/ML AMPOLLA X 1 ML</t>
  </si>
  <si>
    <t>Po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</si>
</sst>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sz val="2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00B050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66" fontId="0" fillId="0" borderId="0" xfId="0" applyNumberFormat="1"/>
    <xf numFmtId="0" fontId="14" fillId="6" borderId="44" xfId="0" applyFont="1" applyFill="1" applyBorder="1" applyAlignment="1">
      <alignment horizontal="left"/>
    </xf>
    <xf numFmtId="0" fontId="14" fillId="6" borderId="44" xfId="0" applyFont="1" applyFill="1" applyBorder="1" applyAlignment="1">
      <alignment horizontal="left" vertical="center"/>
    </xf>
    <xf numFmtId="0" fontId="14" fillId="6" borderId="44" xfId="0" applyFont="1" applyFill="1" applyBorder="1" applyAlignment="1">
      <alignment horizontal="left" vertical="center" wrapText="1"/>
    </xf>
    <xf numFmtId="0" fontId="0" fillId="6" borderId="44" xfId="0" applyFont="1" applyFill="1" applyBorder="1" applyAlignment="1">
      <alignment horizontal="left" vertical="center" wrapText="1"/>
    </xf>
    <xf numFmtId="0" fontId="14" fillId="6" borderId="0" xfId="0" applyFont="1" applyFill="1" applyBorder="1" applyAlignment="1">
      <alignment vertical="center"/>
    </xf>
    <xf numFmtId="0" fontId="14" fillId="6" borderId="44" xfId="0" applyFont="1" applyFill="1" applyBorder="1"/>
    <xf numFmtId="0" fontId="14" fillId="0" borderId="44" xfId="0" applyFont="1" applyBorder="1" applyAlignment="1">
      <alignment horizontal="left" vertical="center" wrapText="1"/>
    </xf>
    <xf numFmtId="0" fontId="14" fillId="6" borderId="44" xfId="0" applyFont="1" applyFill="1" applyBorder="1" applyAlignment="1">
      <alignment horizontal="center" vertical="center"/>
    </xf>
    <xf numFmtId="3" fontId="14" fillId="6" borderId="44" xfId="0" applyNumberFormat="1" applyFont="1" applyFill="1" applyBorder="1" applyAlignment="1">
      <alignment horizontal="center" vertical="center"/>
    </xf>
    <xf numFmtId="169" fontId="14" fillId="6" borderId="44" xfId="0" applyNumberFormat="1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26" fillId="3" borderId="21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/>
    </xf>
    <xf numFmtId="0" fontId="15" fillId="7" borderId="45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167" fontId="7" fillId="0" borderId="1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0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22" xfId="0" applyBorder="1"/>
    <xf numFmtId="0" fontId="25" fillId="0" borderId="34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1" fillId="0" borderId="23" xfId="0" applyFont="1" applyBorder="1"/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7" fillId="7" borderId="15" xfId="0" applyFont="1" applyFill="1" applyBorder="1" applyAlignment="1">
      <alignment horizontal="left" vertical="center" wrapText="1"/>
    </xf>
    <xf numFmtId="0" fontId="6" fillId="7" borderId="14" xfId="0" applyFont="1" applyFill="1" applyBorder="1" applyAlignment="1">
      <alignment horizontal="left" vertical="center" wrapText="1" indent="1"/>
    </xf>
    <xf numFmtId="0" fontId="7" fillId="7" borderId="16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 wrapText="1" indent="1"/>
    </xf>
    <xf numFmtId="0" fontId="6" fillId="3" borderId="11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left" vertical="center" wrapText="1" indent="1"/>
    </xf>
    <xf numFmtId="0" fontId="11" fillId="3" borderId="40" xfId="0" applyFont="1" applyFill="1" applyBorder="1" applyAlignment="1">
      <alignment horizontal="left" vertical="center" wrapText="1" indent="1"/>
    </xf>
    <xf numFmtId="0" fontId="0" fillId="8" borderId="44" xfId="0" applyFont="1" applyFill="1" applyBorder="1" applyAlignment="1">
      <alignment horizontal="center" vertical="center" wrapText="1"/>
    </xf>
    <xf numFmtId="0" fontId="0" fillId="9" borderId="44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 wrapText="1"/>
    </xf>
    <xf numFmtId="166" fontId="4" fillId="7" borderId="19" xfId="1" applyNumberFormat="1" applyFont="1" applyFill="1" applyBorder="1" applyAlignment="1" applyProtection="1">
      <alignment horizontal="right" vertical="center" wrapText="1"/>
    </xf>
    <xf numFmtId="3" fontId="4" fillId="7" borderId="19" xfId="0" applyNumberFormat="1" applyFont="1" applyFill="1" applyBorder="1" applyAlignment="1">
      <alignment horizontal="center" vertical="center"/>
    </xf>
    <xf numFmtId="166" fontId="27" fillId="0" borderId="35" xfId="3" applyNumberFormat="1" applyFont="1" applyBorder="1" applyAlignment="1" applyProtection="1">
      <alignment horizontal="center" vertical="center"/>
    </xf>
    <xf numFmtId="0" fontId="0" fillId="7" borderId="46" xfId="0" applyFont="1" applyFill="1" applyBorder="1" applyAlignment="1">
      <alignment horizontal="center" vertical="center"/>
    </xf>
    <xf numFmtId="0" fontId="0" fillId="7" borderId="34" xfId="0" applyFont="1" applyFill="1" applyBorder="1" applyAlignment="1">
      <alignment horizontal="center" vertical="center"/>
    </xf>
    <xf numFmtId="0" fontId="14" fillId="7" borderId="34" xfId="0" applyFont="1" applyFill="1" applyBorder="1" applyAlignment="1">
      <alignment horizontal="center" vertical="center"/>
    </xf>
    <xf numFmtId="0" fontId="0" fillId="7" borderId="47" xfId="0" applyFont="1" applyFill="1" applyBorder="1" applyAlignment="1">
      <alignment horizontal="center" vertical="center"/>
    </xf>
    <xf numFmtId="0" fontId="0" fillId="7" borderId="20" xfId="0" applyFont="1" applyFill="1" applyBorder="1" applyAlignment="1">
      <alignment horizontal="center"/>
    </xf>
    <xf numFmtId="3" fontId="9" fillId="7" borderId="21" xfId="0" applyNumberFormat="1" applyFont="1" applyFill="1" applyBorder="1" applyAlignment="1">
      <alignment horizontal="center"/>
    </xf>
    <xf numFmtId="0" fontId="28" fillId="5" borderId="40" xfId="0" applyFont="1" applyFill="1" applyBorder="1" applyAlignment="1">
      <alignment horizontal="left" vertical="center" wrapText="1"/>
    </xf>
    <xf numFmtId="166" fontId="27" fillId="0" borderId="40" xfId="0" applyNumberFormat="1" applyFont="1" applyBorder="1" applyAlignment="1">
      <alignment horizontal="center"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COMPARTIDA/DIRECCION%20DE%20PLANIFICACION/VADEMECUM/PROGRAMACION%204TO%20TRIMESTRE/MEDICAMENTOS/Modelo%20Nec.%20Trim.,%20NP%20y%20APG.MEDICAMENTOS%20COVID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E10" t="str">
            <v>ACETILCISTEINA 600 MG COMPRIMIDO EFERVESCENTE x 10 UNIDADES</v>
          </cell>
          <cell r="F10" t="str">
            <v>CAJA</v>
          </cell>
          <cell r="H10">
            <v>520</v>
          </cell>
        </row>
        <row r="11">
          <cell r="E11" t="str">
            <v>ACICLOVIR 200 MG COMPRIMIDO</v>
          </cell>
          <cell r="F11" t="str">
            <v>COMPRIMIDO</v>
          </cell>
          <cell r="H11">
            <v>38</v>
          </cell>
        </row>
        <row r="12">
          <cell r="E12" t="str">
            <v>ACICLOVIR 400 MG COMPRIMIDO</v>
          </cell>
          <cell r="F12" t="str">
            <v>COMPRIMIDO</v>
          </cell>
          <cell r="H12">
            <v>55.26</v>
          </cell>
        </row>
        <row r="13">
          <cell r="E13" t="str">
            <v>ACICLOVIR 500 MG FCO AMPOLLA</v>
          </cell>
          <cell r="F13" t="str">
            <v>AMPOLLA</v>
          </cell>
          <cell r="H13">
            <v>495</v>
          </cell>
        </row>
        <row r="14">
          <cell r="E14" t="str">
            <v>ACICLOVIR 80 MG/ML SUSPENSIÓN X 200ML</v>
          </cell>
          <cell r="F14" t="str">
            <v>FRASCO</v>
          </cell>
          <cell r="H14">
            <v>1134</v>
          </cell>
        </row>
        <row r="15">
          <cell r="E15" t="str">
            <v>ACIDO ACETIL SALICILICO 100 MG COMPRIMIDO</v>
          </cell>
          <cell r="F15" t="str">
            <v>COMPRIMIDO</v>
          </cell>
          <cell r="H15">
            <v>2.5</v>
          </cell>
        </row>
        <row r="16">
          <cell r="E16" t="str">
            <v>ACIDO ACETIL SALICILICO 500 MG COMPRIMIDO</v>
          </cell>
          <cell r="F16" t="str">
            <v>COMPRIMIDO</v>
          </cell>
          <cell r="H16">
            <v>3.3</v>
          </cell>
        </row>
        <row r="17">
          <cell r="E17" t="str">
            <v>AGUA DESTILADA EN SACHET X 500 ML</v>
          </cell>
          <cell r="F17" t="str">
            <v>SACHET</v>
          </cell>
          <cell r="H17">
            <v>60.55</v>
          </cell>
        </row>
        <row r="18">
          <cell r="E18" t="str">
            <v>ALBUMINA HUMANA 20% X 50 ML</v>
          </cell>
          <cell r="F18" t="str">
            <v>FRASCO</v>
          </cell>
          <cell r="H18">
            <v>2800</v>
          </cell>
        </row>
        <row r="19">
          <cell r="E19" t="str">
            <v>ALIMENTACION ENTERAL FORTIFICADO CON FIBRAS X 1000 ML</v>
          </cell>
          <cell r="F19" t="str">
            <v>ENVASE</v>
          </cell>
          <cell r="H19">
            <v>825</v>
          </cell>
        </row>
        <row r="20">
          <cell r="E20" t="str">
            <v>ALIMENTACION ENTERAL X 1000 ML TIPO GLUCERNA</v>
          </cell>
          <cell r="F20" t="str">
            <v>ENVASE</v>
          </cell>
          <cell r="H20">
            <v>990</v>
          </cell>
        </row>
        <row r="21">
          <cell r="E21" t="str">
            <v>ALIMENTACION ENTERAL X 500 ML TIPO DIBEN</v>
          </cell>
          <cell r="F21" t="str">
            <v>ENVASE</v>
          </cell>
          <cell r="H21">
            <v>530</v>
          </cell>
        </row>
        <row r="22">
          <cell r="E22" t="str">
            <v>ALIMENTACION PARENTERAL  DE GRAN VOLUMEN TIPO OLI CLINOMEL/SMOFKABIVEN CENTRAL BOLSA X 1970 ML</v>
          </cell>
          <cell r="F22" t="str">
            <v>ENVASE</v>
          </cell>
          <cell r="H22">
            <v>6218</v>
          </cell>
        </row>
        <row r="23">
          <cell r="E23" t="str">
            <v>AMIKACINA 500 MG AMPOLLA</v>
          </cell>
          <cell r="F23" t="str">
            <v>COMPRIMIDO</v>
          </cell>
          <cell r="H23">
            <v>92</v>
          </cell>
        </row>
        <row r="24">
          <cell r="E24" t="str">
            <v>AMINIFILINA 200 MG AMPOLLA</v>
          </cell>
          <cell r="F24" t="str">
            <v>COMPRIMIDO</v>
          </cell>
          <cell r="H24">
            <v>68</v>
          </cell>
        </row>
        <row r="25">
          <cell r="E25" t="str">
            <v>AMOXICILINA  400 MG + AC CLAULANICO 57 MG  SUSPENSIÓN  x 70 ml</v>
          </cell>
          <cell r="F25" t="str">
            <v>FRASCO</v>
          </cell>
          <cell r="H25">
            <v>245</v>
          </cell>
        </row>
        <row r="26">
          <cell r="E26" t="str">
            <v>AMOXICILINA + CLAVULANICO 1 G COMPRIMIDO</v>
          </cell>
          <cell r="F26" t="str">
            <v>COMPRIMIDO</v>
          </cell>
          <cell r="H26">
            <v>28</v>
          </cell>
        </row>
        <row r="27">
          <cell r="E27" t="str">
            <v>AMPICILINA + SULBACTAM 1,5 MG FCO AMPOLLA</v>
          </cell>
          <cell r="F27" t="str">
            <v>AMPOLLA</v>
          </cell>
          <cell r="H27">
            <v>140</v>
          </cell>
        </row>
        <row r="28">
          <cell r="E28" t="str">
            <v>ANFOTERICINA B VIAL 50 MG</v>
          </cell>
          <cell r="F28" t="str">
            <v>AMPOLLA</v>
          </cell>
          <cell r="H28">
            <v>650</v>
          </cell>
        </row>
        <row r="29">
          <cell r="E29" t="str">
            <v>ATRACURIUM 50 MG AMPOLLA</v>
          </cell>
          <cell r="F29" t="str">
            <v>AMPOLLA</v>
          </cell>
          <cell r="H29">
            <v>711</v>
          </cell>
        </row>
        <row r="30">
          <cell r="E30" t="str">
            <v>AZITROMICINA 200 MG / 5 ML SUSPENSIÓN x 15 ml</v>
          </cell>
          <cell r="F30" t="str">
            <v>FRASCO</v>
          </cell>
          <cell r="H30">
            <v>203</v>
          </cell>
        </row>
        <row r="31">
          <cell r="E31" t="str">
            <v xml:space="preserve">AZITROMICINA 500 MG COMPRIMIDOS </v>
          </cell>
          <cell r="F31" t="str">
            <v>COMPRIMIDO</v>
          </cell>
          <cell r="H31">
            <v>29.7</v>
          </cell>
        </row>
        <row r="32">
          <cell r="E32" t="str">
            <v xml:space="preserve">BETAMETASONA G 12 MG ( 6 MG ACETATO/6 MG FOSFATO ) AMPOLLA </v>
          </cell>
          <cell r="F32" t="str">
            <v>AMPOLLA</v>
          </cell>
          <cell r="H32">
            <v>326</v>
          </cell>
        </row>
        <row r="33">
          <cell r="E33" t="str">
            <v>BUDESONIDE AEROSOL 200 MCG/PUFF (100 DOSIS)</v>
          </cell>
          <cell r="F33" t="str">
            <v>ENVASE</v>
          </cell>
          <cell r="H33">
            <v>985</v>
          </cell>
        </row>
        <row r="34">
          <cell r="E34" t="str">
            <v>BUDESONIDE SOLUCION PARA NEBULIZAR DE 20 ML</v>
          </cell>
          <cell r="F34" t="str">
            <v>FRASCO</v>
          </cell>
          <cell r="H34">
            <v>253</v>
          </cell>
        </row>
        <row r="35">
          <cell r="E35" t="str">
            <v>CEFTAZIDIMA 1G FCO AMPOLLA</v>
          </cell>
          <cell r="F35" t="str">
            <v>AMPOLLA</v>
          </cell>
          <cell r="H35">
            <v>130</v>
          </cell>
        </row>
        <row r="36">
          <cell r="E36" t="str">
            <v xml:space="preserve">CEFTRIAXONA 1 GR FCO AMPOLLA </v>
          </cell>
          <cell r="F36" t="str">
            <v>AMPOLLA</v>
          </cell>
          <cell r="H36">
            <v>120</v>
          </cell>
        </row>
        <row r="37">
          <cell r="E37" t="str">
            <v>CLARITROMICINA 250 MG SUSPENSIÓN X 90 ML</v>
          </cell>
          <cell r="F37" t="str">
            <v>FRASCO</v>
          </cell>
          <cell r="H37">
            <v>459</v>
          </cell>
        </row>
        <row r="38">
          <cell r="E38" t="str">
            <v>CLARITROMICINA 500 MG COMPRIMIDO</v>
          </cell>
          <cell r="F38" t="str">
            <v>COMPRIMIDO</v>
          </cell>
          <cell r="H38">
            <v>30.9</v>
          </cell>
        </row>
        <row r="39">
          <cell r="E39" t="str">
            <v>CLINDAMICINA 600 MG AMPOLLA</v>
          </cell>
          <cell r="F39" t="str">
            <v>AMPOLLA</v>
          </cell>
          <cell r="H39">
            <v>84</v>
          </cell>
        </row>
        <row r="40">
          <cell r="E40" t="str">
            <v>CLONIDINA CLORHIDRATO 0,150 MG/ML AMPOLLA X 1 ML</v>
          </cell>
          <cell r="F40" t="str">
            <v>AMPOLLA</v>
          </cell>
          <cell r="H40">
            <v>80</v>
          </cell>
        </row>
        <row r="41">
          <cell r="E41" t="str">
            <v>CLORURO DE POTASIO 223 MG/ML AMPOLLA</v>
          </cell>
          <cell r="F41" t="str">
            <v>AMPOLLA</v>
          </cell>
          <cell r="H41">
            <v>29</v>
          </cell>
        </row>
        <row r="42">
          <cell r="E42" t="str">
            <v>CLORURO DE SODIO AL 20% AMPOLLAS</v>
          </cell>
          <cell r="F42" t="str">
            <v>AMPOLLA</v>
          </cell>
          <cell r="H42">
            <v>39</v>
          </cell>
        </row>
        <row r="43">
          <cell r="E43" t="str">
            <v>COLISTINA 100 MG FCO AMPOLLA</v>
          </cell>
          <cell r="F43" t="str">
            <v>AMPOLLA</v>
          </cell>
          <cell r="H43">
            <v>895</v>
          </cell>
        </row>
        <row r="44">
          <cell r="E44" t="str">
            <v>COMPLEJO B AMPOLLAS TIPO BECOZYM NF</v>
          </cell>
          <cell r="F44" t="str">
            <v>AMPOLLA</v>
          </cell>
          <cell r="H44">
            <v>71</v>
          </cell>
        </row>
        <row r="45">
          <cell r="E45" t="str">
            <v>COMPLEJO B COMPRIMIDOS TIPO BECOZYM NF</v>
          </cell>
          <cell r="F45" t="str">
            <v>COMPRIMIDO</v>
          </cell>
          <cell r="H45">
            <v>17.899999999999999</v>
          </cell>
        </row>
        <row r="46">
          <cell r="E46" t="str">
            <v>COTRIMOXAZOL (TRIMETOPRINA +SULFAMETOXAZOL) 80MG/400MG AMPOLLA</v>
          </cell>
          <cell r="F46" t="str">
            <v>AMPOLLA</v>
          </cell>
          <cell r="H46">
            <v>233</v>
          </cell>
        </row>
        <row r="47">
          <cell r="E47" t="str">
            <v>COTRIMOXAZOL (TRIMETOPRINA +SULFAMETOXAZOL) COMPRIMIDOS 160MG/800MG</v>
          </cell>
          <cell r="F47" t="str">
            <v>COMPRIMIDO</v>
          </cell>
          <cell r="H47">
            <v>10.7</v>
          </cell>
        </row>
        <row r="48">
          <cell r="E48" t="str">
            <v>COTRIMOXAZOL (TRIMETOPRINA +SULFAMETOXAZOL) SUSPENSION 40MG/200MG/5ML x 60 ml</v>
          </cell>
          <cell r="F48" t="str">
            <v>FRASCO</v>
          </cell>
          <cell r="H48">
            <v>96</v>
          </cell>
        </row>
        <row r="49">
          <cell r="E49" t="str">
            <v>DEXAMETASONA 8 MG AMPOLLA</v>
          </cell>
          <cell r="F49" t="str">
            <v>AMPOLLA</v>
          </cell>
          <cell r="H49">
            <v>32</v>
          </cell>
        </row>
        <row r="50">
          <cell r="E50" t="str">
            <v>DEXAMETASONA 8 MG COMPRIMIDO</v>
          </cell>
          <cell r="F50" t="str">
            <v>COMPRIMIDO</v>
          </cell>
          <cell r="H50">
            <v>45</v>
          </cell>
        </row>
        <row r="51">
          <cell r="E51" t="str">
            <v>DEXMETOMIDINA 200MG x 2 ml AMPOLLA</v>
          </cell>
          <cell r="F51" t="str">
            <v>AMPOLLA</v>
          </cell>
          <cell r="H51">
            <v>460</v>
          </cell>
        </row>
        <row r="52">
          <cell r="E52" t="str">
            <v>DIAZEPAM 10 MG AMPOLLA</v>
          </cell>
          <cell r="F52" t="str">
            <v>AMPOLLA</v>
          </cell>
          <cell r="H52">
            <v>68</v>
          </cell>
        </row>
        <row r="53">
          <cell r="E53" t="str">
            <v>DOBUTAMINA 250 mg/ml FRASCO AMPOLLA X 20 ML</v>
          </cell>
          <cell r="F53" t="str">
            <v>AMPOLLA</v>
          </cell>
          <cell r="H53">
            <v>320</v>
          </cell>
        </row>
        <row r="54">
          <cell r="E54" t="str">
            <v>DOPAMINA 200 MG  AMPOLLA X 5 ML</v>
          </cell>
          <cell r="F54" t="str">
            <v>AMPOLLA</v>
          </cell>
          <cell r="H54">
            <v>280</v>
          </cell>
        </row>
        <row r="55">
          <cell r="E55" t="str">
            <v>ENOXAPARINA 40 MG AMPOLLA JERINGA PRELLENA</v>
          </cell>
          <cell r="F55" t="str">
            <v>ENVASE</v>
          </cell>
          <cell r="H55">
            <v>1300</v>
          </cell>
        </row>
        <row r="56">
          <cell r="E56" t="str">
            <v>ENOXAPARINA 60 MG AMPOLLA JERINGA PRELLENA</v>
          </cell>
          <cell r="F56" t="str">
            <v>ENVASE</v>
          </cell>
          <cell r="H56">
            <v>1550</v>
          </cell>
        </row>
        <row r="57">
          <cell r="E57" t="str">
            <v>ENOXAPARINA 80 MG AMPOLLA JERINGA PRELLENADA</v>
          </cell>
          <cell r="F57" t="str">
            <v>ENVASE</v>
          </cell>
          <cell r="H57">
            <v>1800</v>
          </cell>
        </row>
        <row r="58">
          <cell r="E58" t="str">
            <v>FENOBARBITAL 200MG AMPOLLAS</v>
          </cell>
          <cell r="F58" t="str">
            <v>AMPOLLA</v>
          </cell>
          <cell r="H58">
            <v>280</v>
          </cell>
        </row>
        <row r="59">
          <cell r="E59" t="str">
            <v>FENTANILO 250 MCG INYECTABLE</v>
          </cell>
          <cell r="F59" t="str">
            <v>AMPOLLA</v>
          </cell>
          <cell r="H59">
            <v>366</v>
          </cell>
        </row>
        <row r="60">
          <cell r="E60" t="str">
            <v>FLUCONAZOL 100 MG COMPRIMIDOS</v>
          </cell>
          <cell r="F60" t="str">
            <v>COMPRIMIDO</v>
          </cell>
          <cell r="H60">
            <v>48</v>
          </cell>
        </row>
        <row r="61">
          <cell r="E61" t="str">
            <v>FLUCONAZOL 200 MG SACHET 100 ML</v>
          </cell>
          <cell r="F61" t="str">
            <v>ENVASE</v>
          </cell>
          <cell r="H61">
            <v>645</v>
          </cell>
        </row>
        <row r="62">
          <cell r="E62" t="str">
            <v>FLUCONAZOL 50MG/5ML SUSPENSION X 35 ML</v>
          </cell>
          <cell r="F62" t="str">
            <v>FRASCO</v>
          </cell>
          <cell r="H62">
            <v>1275</v>
          </cell>
        </row>
        <row r="63">
          <cell r="E63" t="str">
            <v>GELATINA AL 4% SACHET X 500 ML</v>
          </cell>
          <cell r="F63" t="str">
            <v>ENVASE</v>
          </cell>
          <cell r="H63">
            <v>820</v>
          </cell>
        </row>
        <row r="64">
          <cell r="E64" t="str">
            <v>GENTAMICINA 80 MG AMPOLLA</v>
          </cell>
          <cell r="F64" t="str">
            <v>AMPOLLA</v>
          </cell>
          <cell r="H64">
            <v>40</v>
          </cell>
        </row>
        <row r="65">
          <cell r="E65" t="str">
            <v>GLUCONATO DE CALCIO 10 % AMPOLLA</v>
          </cell>
          <cell r="F65" t="str">
            <v>AMPOLLA</v>
          </cell>
          <cell r="H65">
            <v>65</v>
          </cell>
        </row>
        <row r="66">
          <cell r="E66" t="str">
            <v>HEPARINA SODICA 5000 UI FCO AMPOLLA X 5 ML</v>
          </cell>
          <cell r="F66" t="str">
            <v>AMPOLLA</v>
          </cell>
          <cell r="H66">
            <v>790</v>
          </cell>
        </row>
        <row r="67">
          <cell r="E67" t="str">
            <v>HIDROCORTISONA 100 MG FCO AMPOLLA</v>
          </cell>
          <cell r="F67" t="str">
            <v>AMPOLLA</v>
          </cell>
          <cell r="H67">
            <v>103</v>
          </cell>
        </row>
        <row r="68">
          <cell r="E68" t="str">
            <v>HIDROCORTISONA 500 MG FCO AMPOLLA</v>
          </cell>
          <cell r="F68" t="str">
            <v>AMPOLLA</v>
          </cell>
          <cell r="H68">
            <v>205</v>
          </cell>
        </row>
        <row r="69">
          <cell r="E69" t="str">
            <v>IBUPROFENO 2% SUSPENSIÓN X 90 ML</v>
          </cell>
          <cell r="F69" t="str">
            <v>FRASCO</v>
          </cell>
          <cell r="H69">
            <v>65</v>
          </cell>
        </row>
        <row r="70">
          <cell r="E70" t="str">
            <v>IBUPROFENO 400 MG COMPRIMIDO</v>
          </cell>
          <cell r="F70" t="str">
            <v>COMPRIMIDO</v>
          </cell>
          <cell r="H70">
            <v>3.88</v>
          </cell>
        </row>
        <row r="71">
          <cell r="E71" t="str">
            <v>IMIPENEM + CILASTATINA 500MG FCO AMPOLLA</v>
          </cell>
          <cell r="F71" t="str">
            <v>AMPOLLA</v>
          </cell>
          <cell r="H71">
            <v>580</v>
          </cell>
        </row>
        <row r="72">
          <cell r="E72" t="str">
            <v>IPRATROPIO BROMURO SOLUCION PARA NEBULIZAR 0,1% GOTAS X 20 ML</v>
          </cell>
          <cell r="F72" t="str">
            <v>FRASCO</v>
          </cell>
          <cell r="H72">
            <v>98.5</v>
          </cell>
        </row>
        <row r="73">
          <cell r="E73" t="str">
            <v>IPRATROPIO BROMURO  AEROSOL X 250 DOSIS</v>
          </cell>
          <cell r="F73" t="str">
            <v>ENVASE</v>
          </cell>
          <cell r="H73">
            <v>850</v>
          </cell>
        </row>
        <row r="74">
          <cell r="E74" t="str">
            <v>ISOPROTERONOL 1 MG AMPOLLA</v>
          </cell>
          <cell r="F74" t="str">
            <v>AMPOLLA</v>
          </cell>
          <cell r="H74">
            <v>298</v>
          </cell>
        </row>
        <row r="75">
          <cell r="E75" t="str">
            <v>ITRACONAZOL 100 MG COMPRIMIDO</v>
          </cell>
          <cell r="F75" t="str">
            <v>COMPRIMIDO</v>
          </cell>
          <cell r="H75">
            <v>55</v>
          </cell>
        </row>
        <row r="76">
          <cell r="E76" t="str">
            <v>KETAMINA 50MG/ML FCO AMPOLLA</v>
          </cell>
          <cell r="F76" t="str">
            <v>AMPOLLA</v>
          </cell>
          <cell r="H76">
            <v>1895</v>
          </cell>
        </row>
        <row r="77">
          <cell r="E77" t="str">
            <v>LABETALOL 20 MG AMPOLLA</v>
          </cell>
          <cell r="F77" t="str">
            <v>AMPOLLA</v>
          </cell>
          <cell r="H77">
            <v>156</v>
          </cell>
        </row>
        <row r="78">
          <cell r="E78" t="str">
            <v>LEVOFLOXACINA 500 MG COMPRIMIDO</v>
          </cell>
          <cell r="F78" t="str">
            <v>COMPRIMIDO</v>
          </cell>
          <cell r="H78">
            <v>36</v>
          </cell>
        </row>
        <row r="79">
          <cell r="E79" t="str">
            <v>LORAZEPAM 4 MG/2ML AMPOLLA</v>
          </cell>
          <cell r="F79" t="str">
            <v>AMPOLLA</v>
          </cell>
          <cell r="H79">
            <v>560</v>
          </cell>
        </row>
        <row r="80">
          <cell r="E80" t="str">
            <v>MEROPENEM 1000MG FCO AMPOLLA</v>
          </cell>
          <cell r="F80" t="str">
            <v>AMPOLLA</v>
          </cell>
          <cell r="H80">
            <v>580</v>
          </cell>
        </row>
        <row r="81">
          <cell r="E81" t="str">
            <v>MEROPENEM 500MG FCO AMPOLLA</v>
          </cell>
          <cell r="F81" t="str">
            <v>AMPOLLA</v>
          </cell>
          <cell r="H81">
            <v>276</v>
          </cell>
        </row>
        <row r="82">
          <cell r="E82" t="str">
            <v>METILPREDNISOLONA 500 MG FCO AMPOLLA</v>
          </cell>
          <cell r="F82" t="str">
            <v>AMPOLLA</v>
          </cell>
          <cell r="H82">
            <v>649</v>
          </cell>
        </row>
        <row r="83">
          <cell r="E83" t="str">
            <v>MEPREDNISONA 40 MG COMPRIMIDO</v>
          </cell>
          <cell r="F83" t="str">
            <v>COMPRIMIDO</v>
          </cell>
          <cell r="H83">
            <v>65</v>
          </cell>
        </row>
        <row r="84">
          <cell r="E84" t="str">
            <v>MEPREDNISONA 4MG COMPRIMIDO</v>
          </cell>
          <cell r="F84" t="str">
            <v>COMPRIMIDO</v>
          </cell>
          <cell r="H84">
            <v>35</v>
          </cell>
        </row>
        <row r="85">
          <cell r="E85" t="str">
            <v>MEPREDNISONA 0,4 %  GOTAS</v>
          </cell>
          <cell r="F85" t="str">
            <v>GOTERO</v>
          </cell>
          <cell r="H85">
            <v>320</v>
          </cell>
        </row>
        <row r="86">
          <cell r="E86" t="str">
            <v>MEPREDNISONA 8MG COMPRIMIDO</v>
          </cell>
          <cell r="F86" t="str">
            <v>COMPRIMIDO</v>
          </cell>
          <cell r="H86">
            <v>40</v>
          </cell>
        </row>
        <row r="87">
          <cell r="E87" t="str">
            <v>METRONIDAZOL 500 MG COMPRIMIDO</v>
          </cell>
          <cell r="F87" t="str">
            <v>COMPRIMIDO</v>
          </cell>
          <cell r="H87">
            <v>6.75</v>
          </cell>
        </row>
        <row r="88">
          <cell r="E88" t="str">
            <v>METRONIDAZOL 500 MG SACHET</v>
          </cell>
          <cell r="F88" t="str">
            <v>ENVASE</v>
          </cell>
          <cell r="H88">
            <v>76</v>
          </cell>
        </row>
        <row r="89">
          <cell r="E89" t="str">
            <v>MIDAZOLAM 15 MG AMPOLLA</v>
          </cell>
          <cell r="F89" t="str">
            <v>AMPOLLA</v>
          </cell>
          <cell r="H89">
            <v>514</v>
          </cell>
        </row>
        <row r="90">
          <cell r="E90" t="str">
            <v>MINOCICLINA 100 MG COMPRIMIDO</v>
          </cell>
          <cell r="F90" t="str">
            <v>COMPRIMIDO</v>
          </cell>
          <cell r="H90">
            <v>45.22</v>
          </cell>
        </row>
        <row r="91">
          <cell r="E91" t="str">
            <v>MORFINA 10 MG AMPOLLA</v>
          </cell>
          <cell r="F91" t="str">
            <v>AMPOLLA</v>
          </cell>
          <cell r="H91">
            <v>118</v>
          </cell>
        </row>
        <row r="92">
          <cell r="E92" t="str">
            <v>NITROGLICERINA 25 MG AMPOLLA</v>
          </cell>
          <cell r="F92" t="str">
            <v>AMPOLLA</v>
          </cell>
          <cell r="H92">
            <v>360</v>
          </cell>
        </row>
        <row r="93">
          <cell r="E93" t="str">
            <v>NITROPRUSIATO SODIO 50 MG VIAL</v>
          </cell>
          <cell r="F93" t="str">
            <v>AMPOLLA</v>
          </cell>
          <cell r="H93">
            <v>780</v>
          </cell>
        </row>
        <row r="94">
          <cell r="E94" t="str">
            <v>NORADRENALINA 4 mg AMPOLLA x 4 ml</v>
          </cell>
          <cell r="F94" t="str">
            <v>AMPOLLA</v>
          </cell>
          <cell r="H94">
            <v>290</v>
          </cell>
        </row>
        <row r="95">
          <cell r="E95" t="str">
            <v>OMEPRAZOL 40 MG FCO AMP ENDOVENOSO</v>
          </cell>
          <cell r="F95" t="str">
            <v>AMPOLLA</v>
          </cell>
          <cell r="H95">
            <v>498</v>
          </cell>
        </row>
        <row r="96">
          <cell r="E96" t="str">
            <v>PANCURONIO 4 MG/2ML</v>
          </cell>
          <cell r="F96" t="str">
            <v>AMPOLLA</v>
          </cell>
          <cell r="H96">
            <v>245</v>
          </cell>
        </row>
        <row r="97">
          <cell r="E97" t="str">
            <v>PARACETAMOL 1GR COMPRIMIDO</v>
          </cell>
          <cell r="F97" t="str">
            <v>COMPRIMIDO</v>
          </cell>
          <cell r="H97">
            <v>8.9499999999999993</v>
          </cell>
        </row>
        <row r="98">
          <cell r="E98" t="str">
            <v>PARACETAMOL 1GR ML FRASCO AMPOLLA</v>
          </cell>
          <cell r="F98" t="str">
            <v>AMPOLLA</v>
          </cell>
          <cell r="H98">
            <v>990</v>
          </cell>
        </row>
        <row r="99">
          <cell r="E99" t="str">
            <v>PARACETAMOL 2% JARABE x 120 ml</v>
          </cell>
          <cell r="F99" t="str">
            <v>FRASCO</v>
          </cell>
          <cell r="H99">
            <v>170</v>
          </cell>
        </row>
        <row r="100">
          <cell r="E100" t="str">
            <v>PARACETAMOL 500 MG COMPRIMIDO</v>
          </cell>
          <cell r="F100" t="str">
            <v>COMPRIMIDO</v>
          </cell>
          <cell r="H100">
            <v>3.86</v>
          </cell>
        </row>
        <row r="101">
          <cell r="E101" t="str">
            <v>PARACETAMOL 100 mgr/ ml GOTAS x 20 ml</v>
          </cell>
          <cell r="F101" t="str">
            <v>GOTERO</v>
          </cell>
          <cell r="H101">
            <v>160</v>
          </cell>
        </row>
        <row r="102">
          <cell r="E102" t="str">
            <v>PIPERACILINA 4 GRS + TAZOBACTAM 500 MG FCO AMPOLLA</v>
          </cell>
          <cell r="F102" t="str">
            <v>AMPOLLA</v>
          </cell>
          <cell r="H102">
            <v>440</v>
          </cell>
        </row>
        <row r="103">
          <cell r="E103" t="str">
            <v>PROPOFOL 1% AMPOLLAS X 20 ML</v>
          </cell>
          <cell r="F103" t="str">
            <v>AMPOLLA</v>
          </cell>
          <cell r="H103">
            <v>859</v>
          </cell>
        </row>
        <row r="104">
          <cell r="E104" t="str">
            <v>PROPOFOL 1% FCO AMPOLLAS VIAL X 50 ML</v>
          </cell>
          <cell r="F104" t="str">
            <v>AMPOLLA</v>
          </cell>
          <cell r="H104">
            <v>1098</v>
          </cell>
        </row>
        <row r="105">
          <cell r="E105" t="str">
            <v>REMIFENTANILO 5 MG FCO AMPOLLA</v>
          </cell>
          <cell r="F105" t="str">
            <v>AMPOLLA</v>
          </cell>
          <cell r="H105">
            <v>839</v>
          </cell>
        </row>
        <row r="106">
          <cell r="E106" t="str">
            <v xml:space="preserve">SALBUTAMOL AEROSOL CON  AEROCAMARA </v>
          </cell>
          <cell r="F106" t="str">
            <v>ENVASE</v>
          </cell>
          <cell r="H106">
            <v>390</v>
          </cell>
        </row>
        <row r="107">
          <cell r="E107" t="str">
            <v>SALBUTAMOL GOTAS x 10 ml</v>
          </cell>
          <cell r="F107" t="str">
            <v>GOTERO</v>
          </cell>
          <cell r="H107">
            <v>55</v>
          </cell>
        </row>
        <row r="108">
          <cell r="E108" t="str">
            <v>SUCCINILCOLINA 500 MG FCO AMP</v>
          </cell>
          <cell r="F108" t="str">
            <v>AMPOLLA</v>
          </cell>
          <cell r="H108">
            <v>587</v>
          </cell>
        </row>
        <row r="109">
          <cell r="E109" t="str">
            <v>SUCRALFATO SUSPENSIÓN 1GR/ML x 200 ml</v>
          </cell>
          <cell r="F109" t="str">
            <v>FRASCO</v>
          </cell>
          <cell r="H109">
            <v>520</v>
          </cell>
        </row>
        <row r="110">
          <cell r="E110" t="str">
            <v>TIOPENTAL SODICO 1GR FRASCO AMPOLLA</v>
          </cell>
          <cell r="F110" t="str">
            <v>AMPOLLA</v>
          </cell>
          <cell r="H110">
            <v>1250</v>
          </cell>
        </row>
        <row r="111">
          <cell r="E111" t="str">
            <v>TRAMADOL 50 MG AMPOLLA</v>
          </cell>
          <cell r="F111" t="str">
            <v>AMPOLLA</v>
          </cell>
          <cell r="H111">
            <v>55</v>
          </cell>
        </row>
        <row r="112">
          <cell r="E112" t="str">
            <v>VANCOMICINA 1000 MG FCO AMP</v>
          </cell>
          <cell r="F112" t="str">
            <v>AMPOLLA</v>
          </cell>
          <cell r="H112">
            <v>346</v>
          </cell>
        </row>
        <row r="113">
          <cell r="E113" t="str">
            <v>VANCOMICINA 500 MG FCO AMP</v>
          </cell>
          <cell r="F113" t="str">
            <v>AMPOLLA</v>
          </cell>
          <cell r="H113">
            <v>180</v>
          </cell>
        </row>
        <row r="114">
          <cell r="E114" t="str">
            <v>VECURONIO BROMURO 10 MG AMPOLLA</v>
          </cell>
          <cell r="F114" t="str">
            <v>AMPOLLA</v>
          </cell>
          <cell r="H114">
            <v>913</v>
          </cell>
        </row>
        <row r="115">
          <cell r="E115" t="str">
            <v>VITAMINA C  200 MG/ ML AMPOLLA</v>
          </cell>
          <cell r="F115" t="str">
            <v>AMPOLLA</v>
          </cell>
          <cell r="H115">
            <v>46</v>
          </cell>
        </row>
        <row r="116">
          <cell r="E116" t="str">
            <v>VITAMINA C 2 GR COMPRIMIDO EFERVESCENTES x 10</v>
          </cell>
          <cell r="F116" t="str">
            <v>CAJA</v>
          </cell>
          <cell r="H116">
            <v>617</v>
          </cell>
        </row>
        <row r="117">
          <cell r="E117" t="str">
            <v>VITAMINA D3 SOLUCION 200.000 UI GOTAS</v>
          </cell>
          <cell r="F117" t="str">
            <v>GOTERO</v>
          </cell>
          <cell r="H117">
            <v>630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6"/>
  <sheetViews>
    <sheetView topLeftCell="A22" zoomScale="85" zoomScaleNormal="85" workbookViewId="0">
      <selection activeCell="I26" sqref="I26"/>
    </sheetView>
  </sheetViews>
  <sheetFormatPr baseColWidth="10" defaultColWidth="11" defaultRowHeight="12.75" x14ac:dyDescent="0.2"/>
  <cols>
    <col min="1" max="1" width="4.5703125" style="37" customWidth="1"/>
    <col min="2" max="2" width="12.85546875" style="37" customWidth="1"/>
    <col min="3" max="3" width="32.42578125" style="37" customWidth="1"/>
    <col min="4" max="4" width="8.42578125" style="37" customWidth="1"/>
    <col min="5" max="5" width="79" style="37" customWidth="1"/>
    <col min="6" max="6" width="12.85546875" style="37" customWidth="1"/>
    <col min="7" max="7" width="12.7109375" style="37" customWidth="1"/>
    <col min="8" max="8" width="13.85546875" style="37" customWidth="1"/>
    <col min="9" max="9" width="18.5703125" style="37" customWidth="1"/>
    <col min="10" max="10" width="13.42578125" style="37" bestFit="1" customWidth="1"/>
    <col min="11" max="11" width="12.42578125" style="37" bestFit="1" customWidth="1"/>
    <col min="12" max="12" width="11" style="37"/>
    <col min="13" max="13" width="12.42578125" style="37" bestFit="1" customWidth="1"/>
    <col min="14" max="16384" width="11" style="37"/>
  </cols>
  <sheetData>
    <row r="2" spans="1:13" ht="27" x14ac:dyDescent="0.35">
      <c r="B2" s="85" t="s">
        <v>0</v>
      </c>
      <c r="C2" s="85"/>
      <c r="D2" s="85"/>
      <c r="E2" s="85"/>
      <c r="F2" s="85"/>
      <c r="G2" s="85"/>
      <c r="H2" s="85"/>
    </row>
    <row r="4" spans="1:13" ht="18" customHeight="1" x14ac:dyDescent="0.25">
      <c r="A4" s="77" t="s">
        <v>1</v>
      </c>
      <c r="B4" s="77"/>
      <c r="C4" s="86" t="s">
        <v>57</v>
      </c>
      <c r="D4" s="86"/>
      <c r="E4" s="86"/>
      <c r="F4" s="38"/>
      <c r="G4" s="39"/>
      <c r="H4" s="38"/>
    </row>
    <row r="5" spans="1:13" ht="18" customHeight="1" x14ac:dyDescent="0.25">
      <c r="A5" s="77" t="s">
        <v>2</v>
      </c>
      <c r="B5" s="77"/>
      <c r="C5" s="86" t="s">
        <v>58</v>
      </c>
      <c r="D5" s="86"/>
      <c r="E5" s="86"/>
      <c r="F5" s="38"/>
      <c r="G5" s="39"/>
      <c r="H5" s="38"/>
    </row>
    <row r="6" spans="1:13" ht="16.5" customHeight="1" x14ac:dyDescent="0.25">
      <c r="A6" s="77" t="s">
        <v>3</v>
      </c>
      <c r="B6" s="77"/>
      <c r="C6" s="58">
        <v>2021</v>
      </c>
      <c r="D6" s="59"/>
      <c r="E6" s="59"/>
      <c r="F6" s="38"/>
      <c r="G6" s="39"/>
      <c r="H6" s="38"/>
    </row>
    <row r="7" spans="1:13" ht="16.5" customHeight="1" x14ac:dyDescent="0.25">
      <c r="A7" s="77" t="s">
        <v>4</v>
      </c>
      <c r="B7" s="77"/>
      <c r="C7" s="58">
        <v>4</v>
      </c>
      <c r="D7" s="59"/>
      <c r="E7" s="59"/>
      <c r="F7" s="38"/>
      <c r="G7" s="39"/>
      <c r="H7" s="38"/>
    </row>
    <row r="8" spans="1:13" ht="13.5" thickBot="1" x14ac:dyDescent="0.25">
      <c r="B8" s="38"/>
      <c r="C8" s="39"/>
      <c r="D8" s="38"/>
      <c r="E8" s="38"/>
      <c r="F8" s="38"/>
      <c r="G8" s="39"/>
      <c r="H8" s="38"/>
    </row>
    <row r="9" spans="1:13" ht="39" thickBot="1" x14ac:dyDescent="0.25">
      <c r="A9" s="53" t="s">
        <v>5</v>
      </c>
      <c r="B9" s="53" t="s">
        <v>6</v>
      </c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37" t="s">
        <v>106</v>
      </c>
      <c r="L9" s="37" t="s">
        <v>108</v>
      </c>
    </row>
    <row r="10" spans="1:13" ht="31.9" customHeight="1" thickBot="1" x14ac:dyDescent="0.25">
      <c r="A10" s="54">
        <v>1</v>
      </c>
      <c r="B10" s="56"/>
      <c r="C10" s="55" t="s">
        <v>96</v>
      </c>
      <c r="D10" s="126" t="s">
        <v>65</v>
      </c>
      <c r="E10" s="64" t="s">
        <v>66</v>
      </c>
      <c r="F10" s="71" t="s">
        <v>92</v>
      </c>
      <c r="G10" s="72">
        <v>2000</v>
      </c>
      <c r="H10" s="73">
        <v>2.5</v>
      </c>
      <c r="I10" s="57">
        <f>+G10*H10</f>
        <v>5000</v>
      </c>
      <c r="J10" s="37" t="str">
        <f>+VLOOKUP(E10,'[1]Necesidades Trimestrales'!$E$10:$F$117,2,0)</f>
        <v>COMPRIMIDO</v>
      </c>
      <c r="K10" s="37" t="b">
        <f>F10=J10</f>
        <v>1</v>
      </c>
      <c r="L10" s="37">
        <f>+VLOOKUP(E10,'[1]Necesidades Trimestrales'!$E$10:$H$117,4,0)</f>
        <v>2.5</v>
      </c>
      <c r="M10" s="37" t="b">
        <f>H10=L10</f>
        <v>1</v>
      </c>
    </row>
    <row r="11" spans="1:13" ht="31.9" customHeight="1" thickBot="1" x14ac:dyDescent="0.25">
      <c r="A11" s="54">
        <v>2</v>
      </c>
      <c r="B11" s="56"/>
      <c r="C11" s="55" t="s">
        <v>96</v>
      </c>
      <c r="D11" s="126" t="s">
        <v>65</v>
      </c>
      <c r="E11" s="65" t="s">
        <v>67</v>
      </c>
      <c r="F11" s="71" t="s">
        <v>93</v>
      </c>
      <c r="G11" s="72">
        <v>200</v>
      </c>
      <c r="H11" s="73">
        <v>2800</v>
      </c>
      <c r="I11" s="57">
        <f t="shared" ref="I11:I36" si="0">+G11*H11</f>
        <v>560000</v>
      </c>
      <c r="J11" s="37" t="str">
        <f>+VLOOKUP(E11,'[1]Necesidades Trimestrales'!$E$10:$F$117,2,0)</f>
        <v>FRASCO</v>
      </c>
      <c r="K11" s="37" t="b">
        <f t="shared" ref="K11:K36" si="1">F11=J11</f>
        <v>1</v>
      </c>
      <c r="L11" s="37">
        <f>+VLOOKUP(E11,'[1]Necesidades Trimestrales'!$E$10:$H$117,4,0)</f>
        <v>2800</v>
      </c>
      <c r="M11" s="37" t="b">
        <f t="shared" ref="M11:M36" si="2">H11=L11</f>
        <v>1</v>
      </c>
    </row>
    <row r="12" spans="1:13" ht="31.9" customHeight="1" thickBot="1" x14ac:dyDescent="0.25">
      <c r="A12" s="54">
        <v>3</v>
      </c>
      <c r="B12" s="56"/>
      <c r="C12" s="55" t="s">
        <v>96</v>
      </c>
      <c r="D12" s="127" t="s">
        <v>65</v>
      </c>
      <c r="E12" s="66" t="s">
        <v>68</v>
      </c>
      <c r="F12" s="71" t="s">
        <v>94</v>
      </c>
      <c r="G12" s="72">
        <v>60</v>
      </c>
      <c r="H12" s="73">
        <v>6218</v>
      </c>
      <c r="I12" s="57">
        <f t="shared" si="0"/>
        <v>373080</v>
      </c>
      <c r="J12" s="37" t="str">
        <f>+VLOOKUP(E12,'[1]Necesidades Trimestrales'!$E$10:$F$117,2,0)</f>
        <v>ENVASE</v>
      </c>
      <c r="K12" s="37" t="b">
        <f t="shared" si="1"/>
        <v>1</v>
      </c>
      <c r="L12" s="37">
        <f>+VLOOKUP(E12,'[1]Necesidades Trimestrales'!$E$10:$H$117,4,0)</f>
        <v>6218</v>
      </c>
      <c r="M12" s="37" t="b">
        <f t="shared" si="2"/>
        <v>1</v>
      </c>
    </row>
    <row r="13" spans="1:13" ht="31.9" customHeight="1" thickBot="1" x14ac:dyDescent="0.25">
      <c r="A13" s="54">
        <v>4</v>
      </c>
      <c r="B13" s="56"/>
      <c r="C13" s="55" t="s">
        <v>96</v>
      </c>
      <c r="D13" s="126" t="s">
        <v>65</v>
      </c>
      <c r="E13" s="65" t="s">
        <v>69</v>
      </c>
      <c r="F13" s="71" t="s">
        <v>92</v>
      </c>
      <c r="G13" s="72">
        <v>100</v>
      </c>
      <c r="H13" s="73">
        <v>68</v>
      </c>
      <c r="I13" s="57">
        <f t="shared" si="0"/>
        <v>6800</v>
      </c>
      <c r="J13" s="37" t="str">
        <f>+VLOOKUP(E13,'[1]Necesidades Trimestrales'!$E$10:$F$117,2,0)</f>
        <v>COMPRIMIDO</v>
      </c>
      <c r="K13" s="37" t="b">
        <f t="shared" si="1"/>
        <v>1</v>
      </c>
      <c r="L13" s="37">
        <f>+VLOOKUP(E13,'[1]Necesidades Trimestrales'!$E$10:$H$117,4,0)</f>
        <v>68</v>
      </c>
      <c r="M13" s="37" t="b">
        <f t="shared" si="2"/>
        <v>1</v>
      </c>
    </row>
    <row r="14" spans="1:13" ht="31.9" customHeight="1" thickBot="1" x14ac:dyDescent="0.25">
      <c r="A14" s="54">
        <v>5</v>
      </c>
      <c r="B14" s="56"/>
      <c r="C14" s="55" t="s">
        <v>96</v>
      </c>
      <c r="D14" s="126" t="s">
        <v>65</v>
      </c>
      <c r="E14" s="67" t="s">
        <v>70</v>
      </c>
      <c r="F14" s="71" t="s">
        <v>92</v>
      </c>
      <c r="G14" s="72">
        <v>200</v>
      </c>
      <c r="H14" s="73">
        <v>28</v>
      </c>
      <c r="I14" s="57">
        <f t="shared" si="0"/>
        <v>5600</v>
      </c>
      <c r="J14" s="37" t="str">
        <f>+VLOOKUP(E14,'[1]Necesidades Trimestrales'!$E$10:$F$117,2,0)</f>
        <v>COMPRIMIDO</v>
      </c>
      <c r="K14" s="37" t="b">
        <f t="shared" si="1"/>
        <v>1</v>
      </c>
      <c r="L14" s="37">
        <f>+VLOOKUP(E14,'[1]Necesidades Trimestrales'!$E$10:$H$117,4,0)</f>
        <v>28</v>
      </c>
      <c r="M14" s="37" t="b">
        <f t="shared" si="2"/>
        <v>1</v>
      </c>
    </row>
    <row r="15" spans="1:13" ht="31.9" customHeight="1" thickBot="1" x14ac:dyDescent="0.25">
      <c r="A15" s="54">
        <v>6</v>
      </c>
      <c r="B15" s="56"/>
      <c r="C15" s="55" t="s">
        <v>96</v>
      </c>
      <c r="D15" s="126" t="s">
        <v>65</v>
      </c>
      <c r="E15" s="66" t="s">
        <v>71</v>
      </c>
      <c r="F15" s="71" t="s">
        <v>95</v>
      </c>
      <c r="G15" s="72">
        <v>100</v>
      </c>
      <c r="H15" s="73">
        <v>326</v>
      </c>
      <c r="I15" s="57">
        <f t="shared" si="0"/>
        <v>32600</v>
      </c>
      <c r="J15" s="37" t="str">
        <f>+VLOOKUP(E15,'[1]Necesidades Trimestrales'!$E$10:$F$117,2,0)</f>
        <v>AMPOLLA</v>
      </c>
      <c r="K15" s="37" t="b">
        <f t="shared" si="1"/>
        <v>1</v>
      </c>
      <c r="L15" s="37">
        <f>+VLOOKUP(E15,'[1]Necesidades Trimestrales'!$E$10:$H$117,4,0)</f>
        <v>326</v>
      </c>
      <c r="M15" s="37" t="b">
        <f t="shared" si="2"/>
        <v>1</v>
      </c>
    </row>
    <row r="16" spans="1:13" ht="31.9" customHeight="1" thickBot="1" x14ac:dyDescent="0.25">
      <c r="A16" s="54">
        <v>7</v>
      </c>
      <c r="B16" s="56"/>
      <c r="C16" s="55" t="s">
        <v>96</v>
      </c>
      <c r="D16" s="126" t="s">
        <v>65</v>
      </c>
      <c r="E16" s="65" t="s">
        <v>72</v>
      </c>
      <c r="F16" s="71" t="s">
        <v>92</v>
      </c>
      <c r="G16" s="72">
        <v>500</v>
      </c>
      <c r="H16" s="73">
        <v>30.9</v>
      </c>
      <c r="I16" s="57">
        <f t="shared" si="0"/>
        <v>15450</v>
      </c>
      <c r="J16" s="37" t="str">
        <f>+VLOOKUP(E16,'[1]Necesidades Trimestrales'!$E$10:$F$117,2,0)</f>
        <v>COMPRIMIDO</v>
      </c>
      <c r="K16" s="37" t="b">
        <f t="shared" si="1"/>
        <v>1</v>
      </c>
      <c r="L16" s="37">
        <f>+VLOOKUP(E16,'[1]Necesidades Trimestrales'!$E$10:$H$117,4,0)</f>
        <v>30.9</v>
      </c>
      <c r="M16" s="37" t="b">
        <f t="shared" si="2"/>
        <v>1</v>
      </c>
    </row>
    <row r="17" spans="1:13" ht="31.9" customHeight="1" thickBot="1" x14ac:dyDescent="0.25">
      <c r="A17" s="54">
        <v>8</v>
      </c>
      <c r="B17" s="56"/>
      <c r="C17" s="55" t="s">
        <v>96</v>
      </c>
      <c r="D17" s="126" t="s">
        <v>65</v>
      </c>
      <c r="E17" s="68" t="s">
        <v>107</v>
      </c>
      <c r="F17" s="71" t="s">
        <v>95</v>
      </c>
      <c r="G17" s="72">
        <v>500</v>
      </c>
      <c r="H17" s="73">
        <v>80</v>
      </c>
      <c r="I17" s="57">
        <f t="shared" si="0"/>
        <v>40000</v>
      </c>
      <c r="J17" s="37" t="str">
        <f>+VLOOKUP(E17,'[1]Necesidades Trimestrales'!$E$10:$F$117,2,0)</f>
        <v>AMPOLLA</v>
      </c>
      <c r="K17" s="37" t="b">
        <f t="shared" si="1"/>
        <v>1</v>
      </c>
      <c r="L17" s="37">
        <f>+VLOOKUP(E17,'[1]Necesidades Trimestrales'!$E$10:$H$117,4,0)</f>
        <v>80</v>
      </c>
      <c r="M17" s="37" t="b">
        <f t="shared" si="2"/>
        <v>1</v>
      </c>
    </row>
    <row r="18" spans="1:13" ht="31.9" customHeight="1" thickBot="1" x14ac:dyDescent="0.25">
      <c r="A18" s="54">
        <v>9</v>
      </c>
      <c r="B18" s="56"/>
      <c r="C18" s="55" t="s">
        <v>96</v>
      </c>
      <c r="D18" s="126" t="s">
        <v>65</v>
      </c>
      <c r="E18" s="69" t="s">
        <v>73</v>
      </c>
      <c r="F18" s="71" t="s">
        <v>95</v>
      </c>
      <c r="G18" s="72">
        <v>200</v>
      </c>
      <c r="H18" s="73">
        <v>895</v>
      </c>
      <c r="I18" s="57">
        <f t="shared" si="0"/>
        <v>179000</v>
      </c>
      <c r="J18" s="37" t="str">
        <f>+VLOOKUP(E18,'[1]Necesidades Trimestrales'!$E$10:$F$117,2,0)</f>
        <v>AMPOLLA</v>
      </c>
      <c r="K18" s="37" t="b">
        <f t="shared" si="1"/>
        <v>1</v>
      </c>
      <c r="L18" s="37">
        <f>+VLOOKUP(E18,'[1]Necesidades Trimestrales'!$E$10:$H$117,4,0)</f>
        <v>895</v>
      </c>
      <c r="M18" s="37" t="b">
        <f t="shared" si="2"/>
        <v>1</v>
      </c>
    </row>
    <row r="19" spans="1:13" ht="31.9" customHeight="1" thickBot="1" x14ac:dyDescent="0.25">
      <c r="A19" s="54">
        <v>10</v>
      </c>
      <c r="B19" s="56"/>
      <c r="C19" s="55" t="s">
        <v>96</v>
      </c>
      <c r="D19" s="126" t="s">
        <v>65</v>
      </c>
      <c r="E19" s="70" t="s">
        <v>74</v>
      </c>
      <c r="F19" s="71" t="s">
        <v>95</v>
      </c>
      <c r="G19" s="72">
        <v>2500</v>
      </c>
      <c r="H19" s="73">
        <v>71</v>
      </c>
      <c r="I19" s="57">
        <f t="shared" si="0"/>
        <v>177500</v>
      </c>
      <c r="J19" s="37" t="str">
        <f>+VLOOKUP(E19,'[1]Necesidades Trimestrales'!$E$10:$F$117,2,0)</f>
        <v>AMPOLLA</v>
      </c>
      <c r="K19" s="37" t="b">
        <f t="shared" si="1"/>
        <v>1</v>
      </c>
      <c r="L19" s="37">
        <f>+VLOOKUP(E19,'[1]Necesidades Trimestrales'!$E$10:$H$117,4,0)</f>
        <v>71</v>
      </c>
      <c r="M19" s="37" t="b">
        <f t="shared" si="2"/>
        <v>1</v>
      </c>
    </row>
    <row r="20" spans="1:13" ht="31.9" customHeight="1" thickBot="1" x14ac:dyDescent="0.25">
      <c r="A20" s="54">
        <v>11</v>
      </c>
      <c r="B20" s="56"/>
      <c r="C20" s="55" t="s">
        <v>96</v>
      </c>
      <c r="D20" s="126" t="s">
        <v>65</v>
      </c>
      <c r="E20" s="66" t="s">
        <v>75</v>
      </c>
      <c r="F20" s="71" t="s">
        <v>95</v>
      </c>
      <c r="G20" s="72">
        <v>1000</v>
      </c>
      <c r="H20" s="73">
        <v>68</v>
      </c>
      <c r="I20" s="57">
        <f t="shared" si="0"/>
        <v>68000</v>
      </c>
      <c r="J20" s="37" t="str">
        <f>+VLOOKUP(E20,'[1]Necesidades Trimestrales'!$E$10:$F$117,2,0)</f>
        <v>AMPOLLA</v>
      </c>
      <c r="K20" s="37" t="b">
        <f t="shared" si="1"/>
        <v>1</v>
      </c>
      <c r="L20" s="37">
        <f>+VLOOKUP(E20,'[1]Necesidades Trimestrales'!$E$10:$H$117,4,0)</f>
        <v>68</v>
      </c>
      <c r="M20" s="37" t="b">
        <f t="shared" si="2"/>
        <v>1</v>
      </c>
    </row>
    <row r="21" spans="1:13" ht="31.9" customHeight="1" thickBot="1" x14ac:dyDescent="0.25">
      <c r="A21" s="54">
        <v>12</v>
      </c>
      <c r="B21" s="56"/>
      <c r="C21" s="55" t="s">
        <v>96</v>
      </c>
      <c r="D21" s="126" t="s">
        <v>65</v>
      </c>
      <c r="E21" s="66" t="s">
        <v>76</v>
      </c>
      <c r="F21" s="71" t="s">
        <v>95</v>
      </c>
      <c r="G21" s="72">
        <v>200</v>
      </c>
      <c r="H21" s="73">
        <v>320</v>
      </c>
      <c r="I21" s="57">
        <f t="shared" si="0"/>
        <v>64000</v>
      </c>
      <c r="J21" s="37" t="str">
        <f>+VLOOKUP(E21,'[1]Necesidades Trimestrales'!$E$10:$F$117,2,0)</f>
        <v>AMPOLLA</v>
      </c>
      <c r="K21" s="37" t="b">
        <f t="shared" si="1"/>
        <v>1</v>
      </c>
      <c r="L21" s="37">
        <f>+VLOOKUP(E21,'[1]Necesidades Trimestrales'!$E$10:$H$117,4,0)</f>
        <v>320</v>
      </c>
      <c r="M21" s="37" t="b">
        <f t="shared" si="2"/>
        <v>1</v>
      </c>
    </row>
    <row r="22" spans="1:13" ht="31.9" customHeight="1" thickBot="1" x14ac:dyDescent="0.25">
      <c r="A22" s="54">
        <v>13</v>
      </c>
      <c r="B22" s="56"/>
      <c r="C22" s="55" t="s">
        <v>96</v>
      </c>
      <c r="D22" s="126" t="s">
        <v>65</v>
      </c>
      <c r="E22" s="66" t="s">
        <v>77</v>
      </c>
      <c r="F22" s="71" t="s">
        <v>95</v>
      </c>
      <c r="G22" s="72">
        <v>1000</v>
      </c>
      <c r="H22" s="73">
        <v>280</v>
      </c>
      <c r="I22" s="57">
        <f t="shared" si="0"/>
        <v>280000</v>
      </c>
      <c r="J22" s="37" t="str">
        <f>+VLOOKUP(E22,'[1]Necesidades Trimestrales'!$E$10:$F$117,2,0)</f>
        <v>AMPOLLA</v>
      </c>
      <c r="K22" s="37" t="b">
        <f t="shared" si="1"/>
        <v>1</v>
      </c>
      <c r="L22" s="37">
        <f>+VLOOKUP(E22,'[1]Necesidades Trimestrales'!$E$10:$H$117,4,0)</f>
        <v>280</v>
      </c>
      <c r="M22" s="37" t="b">
        <f t="shared" si="2"/>
        <v>1</v>
      </c>
    </row>
    <row r="23" spans="1:13" ht="31.9" customHeight="1" thickBot="1" x14ac:dyDescent="0.25">
      <c r="A23" s="54">
        <v>14</v>
      </c>
      <c r="B23" s="56"/>
      <c r="C23" s="55" t="s">
        <v>96</v>
      </c>
      <c r="D23" s="126" t="s">
        <v>65</v>
      </c>
      <c r="E23" s="66" t="s">
        <v>78</v>
      </c>
      <c r="F23" s="71" t="s">
        <v>95</v>
      </c>
      <c r="G23" s="72">
        <v>200</v>
      </c>
      <c r="H23" s="73">
        <v>280</v>
      </c>
      <c r="I23" s="57">
        <f t="shared" si="0"/>
        <v>56000</v>
      </c>
      <c r="J23" s="37" t="str">
        <f>+VLOOKUP(E23,'[1]Necesidades Trimestrales'!$E$10:$F$117,2,0)</f>
        <v>AMPOLLA</v>
      </c>
      <c r="K23" s="37" t="b">
        <f t="shared" si="1"/>
        <v>1</v>
      </c>
      <c r="L23" s="37">
        <f>+VLOOKUP(E23,'[1]Necesidades Trimestrales'!$E$10:$H$117,4,0)</f>
        <v>280</v>
      </c>
      <c r="M23" s="37" t="b">
        <f t="shared" si="2"/>
        <v>1</v>
      </c>
    </row>
    <row r="24" spans="1:13" ht="31.9" customHeight="1" thickBot="1" x14ac:dyDescent="0.25">
      <c r="A24" s="54">
        <v>15</v>
      </c>
      <c r="B24" s="56"/>
      <c r="C24" s="55" t="s">
        <v>96</v>
      </c>
      <c r="D24" s="126" t="s">
        <v>65</v>
      </c>
      <c r="E24" s="69" t="s">
        <v>79</v>
      </c>
      <c r="F24" s="71" t="s">
        <v>92</v>
      </c>
      <c r="G24" s="72">
        <v>300</v>
      </c>
      <c r="H24" s="73">
        <v>48</v>
      </c>
      <c r="I24" s="57">
        <f t="shared" si="0"/>
        <v>14400</v>
      </c>
      <c r="J24" s="37" t="str">
        <f>+VLOOKUP(E24,'[1]Necesidades Trimestrales'!$E$10:$F$117,2,0)</f>
        <v>COMPRIMIDO</v>
      </c>
      <c r="K24" s="37" t="b">
        <f t="shared" si="1"/>
        <v>1</v>
      </c>
      <c r="L24" s="37">
        <f>+VLOOKUP(E24,'[1]Necesidades Trimestrales'!$E$10:$H$117,4,0)</f>
        <v>48</v>
      </c>
      <c r="M24" s="37" t="b">
        <f t="shared" si="2"/>
        <v>1</v>
      </c>
    </row>
    <row r="25" spans="1:13" ht="31.9" customHeight="1" thickBot="1" x14ac:dyDescent="0.25">
      <c r="A25" s="54">
        <v>16</v>
      </c>
      <c r="B25" s="56"/>
      <c r="C25" s="55" t="s">
        <v>96</v>
      </c>
      <c r="D25" s="126" t="s">
        <v>65</v>
      </c>
      <c r="E25" s="69" t="s">
        <v>80</v>
      </c>
      <c r="F25" s="71" t="s">
        <v>94</v>
      </c>
      <c r="G25" s="72">
        <v>300</v>
      </c>
      <c r="H25" s="73">
        <v>645</v>
      </c>
      <c r="I25" s="57">
        <f t="shared" si="0"/>
        <v>193500</v>
      </c>
      <c r="J25" s="37" t="str">
        <f>+VLOOKUP(E25,'[1]Necesidades Trimestrales'!$E$10:$F$117,2,0)</f>
        <v>ENVASE</v>
      </c>
      <c r="K25" s="37" t="b">
        <f t="shared" si="1"/>
        <v>1</v>
      </c>
      <c r="L25" s="37">
        <f>+VLOOKUP(E25,'[1]Necesidades Trimestrales'!$E$10:$H$117,4,0)</f>
        <v>645</v>
      </c>
      <c r="M25" s="37" t="b">
        <f t="shared" si="2"/>
        <v>1</v>
      </c>
    </row>
    <row r="26" spans="1:13" ht="31.9" customHeight="1" thickBot="1" x14ac:dyDescent="0.25">
      <c r="A26" s="54">
        <v>17</v>
      </c>
      <c r="B26" s="56"/>
      <c r="C26" s="55" t="s">
        <v>96</v>
      </c>
      <c r="D26" s="126" t="s">
        <v>65</v>
      </c>
      <c r="E26" s="65" t="s">
        <v>81</v>
      </c>
      <c r="F26" s="71" t="s">
        <v>94</v>
      </c>
      <c r="G26" s="72">
        <v>100</v>
      </c>
      <c r="H26" s="73">
        <v>820</v>
      </c>
      <c r="I26" s="57">
        <f t="shared" si="0"/>
        <v>82000</v>
      </c>
      <c r="J26" s="37" t="str">
        <f>+VLOOKUP(E26,'[1]Necesidades Trimestrales'!$E$10:$F$117,2,0)</f>
        <v>ENVASE</v>
      </c>
      <c r="K26" s="37" t="b">
        <f t="shared" si="1"/>
        <v>1</v>
      </c>
      <c r="L26" s="37">
        <f>+VLOOKUP(E26,'[1]Necesidades Trimestrales'!$E$10:$H$117,4,0)</f>
        <v>820</v>
      </c>
      <c r="M26" s="37" t="b">
        <f t="shared" si="2"/>
        <v>1</v>
      </c>
    </row>
    <row r="27" spans="1:13" ht="31.9" customHeight="1" thickBot="1" x14ac:dyDescent="0.25">
      <c r="A27" s="54">
        <v>18</v>
      </c>
      <c r="B27" s="56"/>
      <c r="C27" s="55" t="s">
        <v>96</v>
      </c>
      <c r="D27" s="126" t="s">
        <v>65</v>
      </c>
      <c r="E27" s="65" t="s">
        <v>82</v>
      </c>
      <c r="F27" s="71" t="s">
        <v>95</v>
      </c>
      <c r="G27" s="72">
        <v>200</v>
      </c>
      <c r="H27" s="73">
        <v>40</v>
      </c>
      <c r="I27" s="57">
        <f t="shared" si="0"/>
        <v>8000</v>
      </c>
      <c r="J27" s="37" t="str">
        <f>+VLOOKUP(E27,'[1]Necesidades Trimestrales'!$E$10:$F$117,2,0)</f>
        <v>AMPOLLA</v>
      </c>
      <c r="K27" s="37" t="b">
        <f t="shared" si="1"/>
        <v>1</v>
      </c>
      <c r="L27" s="37">
        <f>+VLOOKUP(E27,'[1]Necesidades Trimestrales'!$E$10:$H$117,4,0)</f>
        <v>40</v>
      </c>
      <c r="M27" s="37" t="b">
        <f t="shared" si="2"/>
        <v>1</v>
      </c>
    </row>
    <row r="28" spans="1:13" ht="31.9" customHeight="1" thickBot="1" x14ac:dyDescent="0.25">
      <c r="A28" s="54">
        <v>19</v>
      </c>
      <c r="B28" s="56"/>
      <c r="C28" s="55" t="s">
        <v>96</v>
      </c>
      <c r="D28" s="126" t="s">
        <v>65</v>
      </c>
      <c r="E28" s="65" t="s">
        <v>83</v>
      </c>
      <c r="F28" s="71" t="s">
        <v>95</v>
      </c>
      <c r="G28" s="72">
        <v>5050</v>
      </c>
      <c r="H28" s="73">
        <v>790</v>
      </c>
      <c r="I28" s="57">
        <f t="shared" si="0"/>
        <v>3989500</v>
      </c>
      <c r="J28" s="37" t="str">
        <f>+VLOOKUP(E28,'[1]Necesidades Trimestrales'!$E$10:$F$117,2,0)</f>
        <v>AMPOLLA</v>
      </c>
      <c r="K28" s="37" t="b">
        <f t="shared" si="1"/>
        <v>1</v>
      </c>
      <c r="L28" s="37">
        <f>+VLOOKUP(E28,'[1]Necesidades Trimestrales'!$E$10:$H$117,4,0)</f>
        <v>790</v>
      </c>
      <c r="M28" s="37" t="b">
        <f t="shared" si="2"/>
        <v>1</v>
      </c>
    </row>
    <row r="29" spans="1:13" ht="31.9" customHeight="1" thickBot="1" x14ac:dyDescent="0.25">
      <c r="A29" s="54">
        <v>20</v>
      </c>
      <c r="B29" s="56"/>
      <c r="C29" s="55" t="s">
        <v>96</v>
      </c>
      <c r="D29" s="126" t="s">
        <v>65</v>
      </c>
      <c r="E29" s="66" t="s">
        <v>84</v>
      </c>
      <c r="F29" s="71" t="s">
        <v>95</v>
      </c>
      <c r="G29" s="72">
        <v>30</v>
      </c>
      <c r="H29" s="73">
        <v>298</v>
      </c>
      <c r="I29" s="57">
        <f t="shared" si="0"/>
        <v>8940</v>
      </c>
      <c r="J29" s="37" t="str">
        <f>+VLOOKUP(E29,'[1]Necesidades Trimestrales'!$E$10:$F$117,2,0)</f>
        <v>AMPOLLA</v>
      </c>
      <c r="K29" s="37" t="b">
        <f t="shared" si="1"/>
        <v>1</v>
      </c>
      <c r="L29" s="37">
        <f>+VLOOKUP(E29,'[1]Necesidades Trimestrales'!$E$10:$H$117,4,0)</f>
        <v>298</v>
      </c>
      <c r="M29" s="37" t="b">
        <f t="shared" si="2"/>
        <v>1</v>
      </c>
    </row>
    <row r="30" spans="1:13" ht="31.9" customHeight="1" thickBot="1" x14ac:dyDescent="0.25">
      <c r="A30" s="54">
        <v>21</v>
      </c>
      <c r="B30" s="56"/>
      <c r="C30" s="55" t="s">
        <v>96</v>
      </c>
      <c r="D30" s="126" t="s">
        <v>65</v>
      </c>
      <c r="E30" s="65" t="s">
        <v>85</v>
      </c>
      <c r="F30" s="71" t="s">
        <v>95</v>
      </c>
      <c r="G30" s="72">
        <v>20</v>
      </c>
      <c r="H30" s="73">
        <v>780</v>
      </c>
      <c r="I30" s="57">
        <f t="shared" si="0"/>
        <v>15600</v>
      </c>
      <c r="J30" s="37" t="str">
        <f>+VLOOKUP(E30,'[1]Necesidades Trimestrales'!$E$10:$F$117,2,0)</f>
        <v>AMPOLLA</v>
      </c>
      <c r="K30" s="37" t="b">
        <f t="shared" si="1"/>
        <v>1</v>
      </c>
      <c r="L30" s="37">
        <f>+VLOOKUP(E30,'[1]Necesidades Trimestrales'!$E$10:$H$117,4,0)</f>
        <v>780</v>
      </c>
      <c r="M30" s="37" t="b">
        <f t="shared" si="2"/>
        <v>1</v>
      </c>
    </row>
    <row r="31" spans="1:13" ht="31.9" customHeight="1" thickBot="1" x14ac:dyDescent="0.25">
      <c r="A31" s="54">
        <v>22</v>
      </c>
      <c r="B31" s="56"/>
      <c r="C31" s="55" t="s">
        <v>96</v>
      </c>
      <c r="D31" s="126" t="s">
        <v>65</v>
      </c>
      <c r="E31" s="66" t="s">
        <v>86</v>
      </c>
      <c r="F31" s="71" t="s">
        <v>95</v>
      </c>
      <c r="G31" s="72">
        <v>2000</v>
      </c>
      <c r="H31" s="73">
        <v>290</v>
      </c>
      <c r="I31" s="57">
        <f t="shared" si="0"/>
        <v>580000</v>
      </c>
      <c r="J31" s="37" t="str">
        <f>+VLOOKUP(E31,'[1]Necesidades Trimestrales'!$E$10:$F$117,2,0)</f>
        <v>AMPOLLA</v>
      </c>
      <c r="K31" s="37" t="b">
        <f t="shared" si="1"/>
        <v>1</v>
      </c>
      <c r="L31" s="37">
        <f>+VLOOKUP(E31,'[1]Necesidades Trimestrales'!$E$10:$H$117,4,0)</f>
        <v>290</v>
      </c>
      <c r="M31" s="37" t="b">
        <f t="shared" si="2"/>
        <v>1</v>
      </c>
    </row>
    <row r="32" spans="1:13" ht="31.9" customHeight="1" thickBot="1" x14ac:dyDescent="0.25">
      <c r="A32" s="54">
        <v>23</v>
      </c>
      <c r="B32" s="56"/>
      <c r="C32" s="55" t="s">
        <v>96</v>
      </c>
      <c r="D32" s="126" t="s">
        <v>65</v>
      </c>
      <c r="E32" s="65" t="s">
        <v>87</v>
      </c>
      <c r="F32" s="71" t="s">
        <v>95</v>
      </c>
      <c r="G32" s="72">
        <v>10000</v>
      </c>
      <c r="H32" s="73">
        <v>498</v>
      </c>
      <c r="I32" s="57">
        <f t="shared" si="0"/>
        <v>4980000</v>
      </c>
      <c r="J32" s="37" t="str">
        <f>+VLOOKUP(E32,'[1]Necesidades Trimestrales'!$E$10:$F$117,2,0)</f>
        <v>AMPOLLA</v>
      </c>
      <c r="K32" s="37" t="b">
        <f t="shared" si="1"/>
        <v>1</v>
      </c>
      <c r="L32" s="37">
        <f>+VLOOKUP(E32,'[1]Necesidades Trimestrales'!$E$10:$H$117,4,0)</f>
        <v>498</v>
      </c>
      <c r="M32" s="37" t="b">
        <f t="shared" si="2"/>
        <v>1</v>
      </c>
    </row>
    <row r="33" spans="1:13" ht="31.9" customHeight="1" thickBot="1" x14ac:dyDescent="0.25">
      <c r="A33" s="54">
        <v>24</v>
      </c>
      <c r="B33" s="56"/>
      <c r="C33" s="55" t="s">
        <v>96</v>
      </c>
      <c r="D33" s="126" t="s">
        <v>65</v>
      </c>
      <c r="E33" s="66" t="s">
        <v>88</v>
      </c>
      <c r="F33" s="71" t="s">
        <v>95</v>
      </c>
      <c r="G33" s="72">
        <v>300</v>
      </c>
      <c r="H33" s="73">
        <v>990</v>
      </c>
      <c r="I33" s="57">
        <f t="shared" si="0"/>
        <v>297000</v>
      </c>
      <c r="J33" s="37" t="str">
        <f>+VLOOKUP(E33,'[1]Necesidades Trimestrales'!$E$10:$F$117,2,0)</f>
        <v>AMPOLLA</v>
      </c>
      <c r="K33" s="37" t="b">
        <f t="shared" si="1"/>
        <v>1</v>
      </c>
      <c r="L33" s="37">
        <f>+VLOOKUP(E33,'[1]Necesidades Trimestrales'!$E$10:$H$117,4,0)</f>
        <v>990</v>
      </c>
      <c r="M33" s="37" t="b">
        <f t="shared" si="2"/>
        <v>1</v>
      </c>
    </row>
    <row r="34" spans="1:13" ht="31.9" customHeight="1" thickBot="1" x14ac:dyDescent="0.25">
      <c r="A34" s="54">
        <v>25</v>
      </c>
      <c r="B34" s="56"/>
      <c r="C34" s="55" t="s">
        <v>96</v>
      </c>
      <c r="D34" s="126" t="s">
        <v>65</v>
      </c>
      <c r="E34" s="66" t="s">
        <v>89</v>
      </c>
      <c r="F34" s="71" t="s">
        <v>92</v>
      </c>
      <c r="G34" s="72">
        <v>2000</v>
      </c>
      <c r="H34" s="73">
        <v>3.86</v>
      </c>
      <c r="I34" s="57">
        <f t="shared" si="0"/>
        <v>7720</v>
      </c>
      <c r="J34" s="37" t="str">
        <f>+VLOOKUP(E34,'[1]Necesidades Trimestrales'!$E$10:$F$117,2,0)</f>
        <v>COMPRIMIDO</v>
      </c>
      <c r="K34" s="37" t="b">
        <f t="shared" si="1"/>
        <v>1</v>
      </c>
      <c r="L34" s="37">
        <f>+VLOOKUP(E34,'[1]Necesidades Trimestrales'!$E$10:$H$117,4,0)</f>
        <v>3.86</v>
      </c>
      <c r="M34" s="37" t="b">
        <f t="shared" si="2"/>
        <v>1</v>
      </c>
    </row>
    <row r="35" spans="1:13" ht="31.9" customHeight="1" thickBot="1" x14ac:dyDescent="0.25">
      <c r="A35" s="54">
        <v>26</v>
      </c>
      <c r="B35" s="56"/>
      <c r="C35" s="55" t="s">
        <v>96</v>
      </c>
      <c r="D35" s="126" t="s">
        <v>65</v>
      </c>
      <c r="E35" s="65" t="s">
        <v>90</v>
      </c>
      <c r="F35" s="71" t="s">
        <v>95</v>
      </c>
      <c r="G35" s="72">
        <v>2000</v>
      </c>
      <c r="H35" s="73">
        <v>440</v>
      </c>
      <c r="I35" s="57">
        <f t="shared" si="0"/>
        <v>880000</v>
      </c>
      <c r="J35" s="37" t="str">
        <f>+VLOOKUP(E35,'[1]Necesidades Trimestrales'!$E$10:$F$117,2,0)</f>
        <v>AMPOLLA</v>
      </c>
      <c r="K35" s="37" t="b">
        <f t="shared" si="1"/>
        <v>1</v>
      </c>
      <c r="L35" s="37">
        <f>+VLOOKUP(E35,'[1]Necesidades Trimestrales'!$E$10:$H$117,4,0)</f>
        <v>440</v>
      </c>
      <c r="M35" s="37" t="b">
        <f t="shared" si="2"/>
        <v>1</v>
      </c>
    </row>
    <row r="36" spans="1:13" ht="31.9" customHeight="1" thickBot="1" x14ac:dyDescent="0.25">
      <c r="A36" s="54">
        <v>27</v>
      </c>
      <c r="B36" s="56"/>
      <c r="C36" s="55" t="s">
        <v>96</v>
      </c>
      <c r="D36" s="126" t="s">
        <v>65</v>
      </c>
      <c r="E36" s="64" t="s">
        <v>91</v>
      </c>
      <c r="F36" s="71" t="s">
        <v>95</v>
      </c>
      <c r="G36" s="72">
        <v>150</v>
      </c>
      <c r="H36" s="73">
        <v>1098</v>
      </c>
      <c r="I36" s="57">
        <f t="shared" si="0"/>
        <v>164700</v>
      </c>
      <c r="J36" s="37" t="str">
        <f>+VLOOKUP(E36,'[1]Necesidades Trimestrales'!$E$10:$F$117,2,0)</f>
        <v>AMPOLLA</v>
      </c>
      <c r="K36" s="37" t="b">
        <f t="shared" si="1"/>
        <v>1</v>
      </c>
      <c r="L36" s="37">
        <f>+VLOOKUP(E36,'[1]Necesidades Trimestrales'!$E$10:$H$117,4,0)</f>
        <v>1098</v>
      </c>
      <c r="M36" s="37" t="b">
        <f t="shared" si="2"/>
        <v>1</v>
      </c>
    </row>
    <row r="37" spans="1:13" ht="13.5" thickBot="1" x14ac:dyDescent="0.25"/>
    <row r="38" spans="1:13" ht="68.25" customHeight="1" thickBot="1" x14ac:dyDescent="0.25">
      <c r="C38" s="80" t="s">
        <v>99</v>
      </c>
      <c r="D38" s="81"/>
      <c r="E38" s="81"/>
    </row>
    <row r="39" spans="1:13" ht="21.75" customHeight="1" thickBot="1" x14ac:dyDescent="0.25">
      <c r="C39" s="82" t="s">
        <v>100</v>
      </c>
      <c r="D39" s="83"/>
      <c r="E39" s="84"/>
    </row>
    <row r="40" spans="1:13" ht="27" customHeight="1" thickBot="1" x14ac:dyDescent="0.25">
      <c r="C40" s="82" t="s">
        <v>101</v>
      </c>
      <c r="D40" s="83"/>
      <c r="E40" s="84"/>
    </row>
    <row r="42" spans="1:13" ht="13.5" thickBot="1" x14ac:dyDescent="0.25"/>
    <row r="43" spans="1:13" x14ac:dyDescent="0.2">
      <c r="B43" s="40" t="s">
        <v>97</v>
      </c>
      <c r="C43" s="41"/>
      <c r="D43" s="41"/>
      <c r="E43" s="42"/>
    </row>
    <row r="44" spans="1:13" ht="5.25" customHeight="1" x14ac:dyDescent="0.2">
      <c r="B44" s="43"/>
      <c r="C44" s="44"/>
      <c r="D44" s="44"/>
      <c r="E44" s="45"/>
    </row>
    <row r="45" spans="1:13" x14ac:dyDescent="0.2">
      <c r="B45" s="46" t="s">
        <v>14</v>
      </c>
      <c r="C45" s="44"/>
      <c r="D45" s="44"/>
      <c r="E45" s="45"/>
    </row>
    <row r="46" spans="1:13" ht="41.25" customHeight="1" x14ac:dyDescent="0.2">
      <c r="B46" s="46"/>
      <c r="C46" s="74"/>
      <c r="D46" s="74"/>
      <c r="E46" s="74"/>
    </row>
    <row r="47" spans="1:13" x14ac:dyDescent="0.2">
      <c r="B47" s="46" t="s">
        <v>15</v>
      </c>
      <c r="C47" s="44"/>
      <c r="D47" s="44"/>
      <c r="E47" s="45"/>
    </row>
    <row r="48" spans="1:13" x14ac:dyDescent="0.2">
      <c r="B48" s="47"/>
      <c r="C48" s="78" t="s">
        <v>98</v>
      </c>
      <c r="D48" s="78"/>
      <c r="E48" s="78"/>
    </row>
    <row r="49" spans="2:5" x14ac:dyDescent="0.2">
      <c r="B49" s="47"/>
      <c r="C49" s="79"/>
      <c r="D49" s="79"/>
      <c r="E49" s="79"/>
    </row>
    <row r="50" spans="2:5" x14ac:dyDescent="0.2">
      <c r="B50" s="46" t="s">
        <v>16</v>
      </c>
      <c r="C50" s="44"/>
      <c r="D50" s="44"/>
      <c r="E50" s="45"/>
    </row>
    <row r="51" spans="2:5" ht="26.25" customHeight="1" x14ac:dyDescent="0.2">
      <c r="B51" s="47"/>
      <c r="C51" s="74"/>
      <c r="D51" s="74"/>
      <c r="E51" s="74"/>
    </row>
    <row r="52" spans="2:5" x14ac:dyDescent="0.2">
      <c r="B52" s="46" t="s">
        <v>17</v>
      </c>
      <c r="C52" s="48"/>
      <c r="D52" s="48"/>
      <c r="E52" s="49"/>
    </row>
    <row r="53" spans="2:5" ht="26.25" customHeight="1" x14ac:dyDescent="0.2">
      <c r="B53" s="47"/>
      <c r="C53" s="75" t="s">
        <v>62</v>
      </c>
      <c r="D53" s="75"/>
      <c r="E53" s="75"/>
    </row>
    <row r="54" spans="2:5" x14ac:dyDescent="0.2">
      <c r="B54" s="46" t="s">
        <v>18</v>
      </c>
      <c r="C54" s="44"/>
      <c r="D54" s="44"/>
      <c r="E54" s="45"/>
    </row>
    <row r="55" spans="2:5" ht="23.25" customHeight="1" x14ac:dyDescent="0.2">
      <c r="B55" s="46"/>
      <c r="C55" s="76"/>
      <c r="D55" s="76"/>
      <c r="E55" s="76"/>
    </row>
    <row r="56" spans="2:5" ht="13.5" thickBot="1" x14ac:dyDescent="0.25">
      <c r="B56" s="50"/>
      <c r="C56" s="51"/>
      <c r="D56" s="51"/>
      <c r="E56" s="52"/>
    </row>
  </sheetData>
  <mergeCells count="16">
    <mergeCell ref="B2:H2"/>
    <mergeCell ref="A4:B4"/>
    <mergeCell ref="C4:E4"/>
    <mergeCell ref="A5:B5"/>
    <mergeCell ref="C5:E5"/>
    <mergeCell ref="C51:E51"/>
    <mergeCell ref="C53:E53"/>
    <mergeCell ref="C55:E55"/>
    <mergeCell ref="A6:B6"/>
    <mergeCell ref="A7:B7"/>
    <mergeCell ref="C46:E46"/>
    <mergeCell ref="C48:E48"/>
    <mergeCell ref="C49:E49"/>
    <mergeCell ref="C38:E38"/>
    <mergeCell ref="C39:E39"/>
    <mergeCell ref="C40:E4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9"/>
  <sheetViews>
    <sheetView tabSelected="1" zoomScale="85" zoomScaleNormal="85" workbookViewId="0">
      <selection activeCell="J39" sqref="J39:K3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3" width="12.7109375" style="2" bestFit="1" customWidth="1"/>
    <col min="14" max="14" width="5.85546875" style="2" customWidth="1"/>
    <col min="15" max="15" width="12.5703125" style="2" customWidth="1"/>
    <col min="16" max="1024" width="9.140625" style="2"/>
  </cols>
  <sheetData>
    <row r="1" spans="1:14" ht="18" customHeight="1" x14ac:dyDescent="0.2">
      <c r="A1" s="92" t="s">
        <v>19</v>
      </c>
      <c r="B1" s="92"/>
      <c r="C1" s="92"/>
      <c r="D1" s="92"/>
      <c r="E1" s="92"/>
      <c r="F1" s="92"/>
      <c r="G1" s="92"/>
      <c r="H1" s="92"/>
      <c r="I1" s="92"/>
      <c r="J1" s="3" t="s">
        <v>20</v>
      </c>
      <c r="K1" s="123" t="s">
        <v>103</v>
      </c>
    </row>
    <row r="2" spans="1:1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4" ht="18.75" customHeight="1" thickBot="1" x14ac:dyDescent="0.25">
      <c r="A3" s="93" t="s">
        <v>53</v>
      </c>
      <c r="B3" s="93"/>
      <c r="C3" s="93"/>
      <c r="D3" s="94" t="str">
        <f>'Necesidades Trimestrales'!C4</f>
        <v>40 - Ministerio de Salud</v>
      </c>
      <c r="E3" s="94"/>
      <c r="F3" s="94"/>
      <c r="G3" s="94"/>
      <c r="H3" s="94"/>
      <c r="I3" s="94"/>
      <c r="J3" s="94"/>
      <c r="K3" s="94"/>
    </row>
    <row r="4" spans="1:14" ht="18.75" customHeight="1" thickBot="1" x14ac:dyDescent="0.25">
      <c r="A4" s="119" t="s">
        <v>54</v>
      </c>
      <c r="B4" s="119"/>
      <c r="C4" s="119"/>
      <c r="D4" s="120" t="str">
        <f>'Necesidades Trimestrales'!C5</f>
        <v>23 - Hospital Interzonal San Juan Bautista</v>
      </c>
      <c r="E4" s="120"/>
      <c r="F4" s="120"/>
      <c r="G4" s="120"/>
      <c r="H4" s="120"/>
      <c r="I4" s="120"/>
      <c r="J4" s="120"/>
      <c r="K4" s="120"/>
    </row>
    <row r="5" spans="1:14" ht="18.75" customHeight="1" thickBot="1" x14ac:dyDescent="0.25">
      <c r="A5" s="95" t="s">
        <v>32</v>
      </c>
      <c r="B5" s="95"/>
      <c r="C5" s="95"/>
      <c r="D5" s="94" t="s">
        <v>59</v>
      </c>
      <c r="E5" s="94"/>
      <c r="F5" s="94"/>
      <c r="G5" s="94"/>
      <c r="H5" s="94"/>
      <c r="I5" s="94"/>
      <c r="J5" s="94"/>
      <c r="K5" s="94"/>
    </row>
    <row r="6" spans="1:14" ht="16.5" customHeight="1" thickBot="1" x14ac:dyDescent="0.25">
      <c r="A6" s="93" t="s">
        <v>55</v>
      </c>
      <c r="B6" s="93"/>
      <c r="C6" s="93"/>
      <c r="D6" s="94" t="s">
        <v>60</v>
      </c>
      <c r="E6" s="94"/>
      <c r="F6" s="94"/>
      <c r="G6" s="94"/>
      <c r="H6" s="94"/>
      <c r="I6" s="94"/>
      <c r="J6" s="94"/>
      <c r="K6" s="94"/>
    </row>
    <row r="7" spans="1:14" ht="16.5" customHeight="1" x14ac:dyDescent="0.2">
      <c r="A7" s="119" t="s">
        <v>21</v>
      </c>
      <c r="B7" s="119"/>
      <c r="C7" s="119"/>
      <c r="D7" s="120" t="str">
        <f>'Necesidades Trimestrales'!C7 &amp; "° Trimestre - Año " &amp; 'Necesidades Trimestrales'!C6</f>
        <v>4° Trimestre - Año 2021</v>
      </c>
      <c r="E7" s="120"/>
      <c r="F7" s="120"/>
      <c r="G7" s="120"/>
      <c r="H7" s="120"/>
      <c r="I7" s="120"/>
      <c r="J7" s="120"/>
      <c r="K7" s="120"/>
    </row>
    <row r="8" spans="1:14" ht="16.5" customHeight="1" x14ac:dyDescent="0.2">
      <c r="A8" s="121" t="s">
        <v>22</v>
      </c>
      <c r="B8" s="121"/>
      <c r="C8" s="121"/>
      <c r="D8" s="122" t="s">
        <v>102</v>
      </c>
      <c r="E8" s="122"/>
      <c r="F8" s="122"/>
      <c r="G8" s="122"/>
      <c r="H8" s="122"/>
      <c r="I8" s="122"/>
      <c r="J8" s="122"/>
      <c r="K8" s="122"/>
    </row>
    <row r="9" spans="1:1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4" ht="18.75" customHeight="1" x14ac:dyDescent="0.2">
      <c r="A10" s="88" t="s">
        <v>23</v>
      </c>
      <c r="B10" s="89" t="s">
        <v>24</v>
      </c>
      <c r="C10" s="89" t="s">
        <v>25</v>
      </c>
      <c r="D10" s="89"/>
      <c r="E10" s="89"/>
      <c r="F10" s="89"/>
      <c r="G10" s="89"/>
      <c r="H10" s="89" t="s">
        <v>26</v>
      </c>
      <c r="I10" s="89" t="s">
        <v>27</v>
      </c>
      <c r="J10" s="89" t="s">
        <v>28</v>
      </c>
      <c r="K10" s="90" t="s">
        <v>29</v>
      </c>
    </row>
    <row r="11" spans="1:14" ht="24" customHeight="1" thickBot="1" x14ac:dyDescent="0.25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90"/>
    </row>
    <row r="12" spans="1:14" ht="20.25" customHeight="1" thickBot="1" x14ac:dyDescent="0.25">
      <c r="A12" s="8">
        <v>1</v>
      </c>
      <c r="B12" s="60">
        <f>'Necesidades Trimestrales'!B10</f>
        <v>0</v>
      </c>
      <c r="C12" s="128" t="str">
        <f>'Necesidades Trimestrales'!E10</f>
        <v>ACIDO ACETIL SALICILICO 100 MG COMPRIMIDO</v>
      </c>
      <c r="D12" s="128"/>
      <c r="E12" s="128"/>
      <c r="F12" s="128"/>
      <c r="G12" s="128"/>
      <c r="H12" s="129" t="s">
        <v>56</v>
      </c>
      <c r="I12" s="130" t="str">
        <f>'Necesidades Trimestrales'!F10</f>
        <v>COMPRIMIDO</v>
      </c>
      <c r="J12" s="131">
        <f>'Necesidades Trimestrales'!H10</f>
        <v>2.5</v>
      </c>
      <c r="K12" s="132">
        <f>'Necesidades Trimestrales'!G10</f>
        <v>2000</v>
      </c>
      <c r="L12" s="2" t="b">
        <f>C12='Necesidades Trimestrales'!E10</f>
        <v>1</v>
      </c>
      <c r="M12" s="2" t="b">
        <f>I12='Necesidades Trimestrales'!F10</f>
        <v>1</v>
      </c>
      <c r="N12" s="2">
        <f>+J12*K12-'Necesidades Trimestrales'!I10</f>
        <v>0</v>
      </c>
    </row>
    <row r="13" spans="1:14" ht="20.25" customHeight="1" thickBot="1" x14ac:dyDescent="0.25">
      <c r="A13" s="8">
        <v>2</v>
      </c>
      <c r="B13" s="60">
        <f>'Necesidades Trimestrales'!B11</f>
        <v>0</v>
      </c>
      <c r="C13" s="128" t="str">
        <f>'Necesidades Trimestrales'!E11</f>
        <v>ALBUMINA HUMANA 20% X 50 ML</v>
      </c>
      <c r="D13" s="128"/>
      <c r="E13" s="128"/>
      <c r="F13" s="128"/>
      <c r="G13" s="128"/>
      <c r="H13" s="129" t="s">
        <v>56</v>
      </c>
      <c r="I13" s="130" t="str">
        <f>'Necesidades Trimestrales'!F11</f>
        <v>FRASCO</v>
      </c>
      <c r="J13" s="131">
        <f>'Necesidades Trimestrales'!H11</f>
        <v>2800</v>
      </c>
      <c r="K13" s="132">
        <f>'Necesidades Trimestrales'!G11</f>
        <v>200</v>
      </c>
      <c r="L13" s="2" t="b">
        <f>C13='Necesidades Trimestrales'!E11</f>
        <v>1</v>
      </c>
      <c r="M13" s="2" t="b">
        <f>I13='Necesidades Trimestrales'!F11</f>
        <v>1</v>
      </c>
      <c r="N13" s="2">
        <f>+J13*K13-'Necesidades Trimestrales'!I11</f>
        <v>0</v>
      </c>
    </row>
    <row r="14" spans="1:14" ht="33" customHeight="1" thickBot="1" x14ac:dyDescent="0.25">
      <c r="A14" s="8">
        <v>3</v>
      </c>
      <c r="B14" s="60">
        <f>'Necesidades Trimestrales'!B12</f>
        <v>0</v>
      </c>
      <c r="C14" s="128" t="str">
        <f>'Necesidades Trimestrales'!E12</f>
        <v>ALIMENTACION PARENTERAL  DE GRAN VOLUMEN TIPO OLI CLINOMEL/SMOFKABIVEN CENTRAL BOLSA X 1970 ML</v>
      </c>
      <c r="D14" s="128"/>
      <c r="E14" s="128"/>
      <c r="F14" s="128"/>
      <c r="G14" s="128"/>
      <c r="H14" s="129" t="s">
        <v>56</v>
      </c>
      <c r="I14" s="130" t="str">
        <f>'Necesidades Trimestrales'!F12</f>
        <v>ENVASE</v>
      </c>
      <c r="J14" s="131">
        <f>'Necesidades Trimestrales'!H12</f>
        <v>6218</v>
      </c>
      <c r="K14" s="132">
        <f>'Necesidades Trimestrales'!G12</f>
        <v>60</v>
      </c>
      <c r="L14" s="2" t="b">
        <f>C14='Necesidades Trimestrales'!E12</f>
        <v>1</v>
      </c>
      <c r="M14" s="2" t="b">
        <f>I14='Necesidades Trimestrales'!F12</f>
        <v>1</v>
      </c>
      <c r="N14" s="2">
        <f>+J14*K14-'Necesidades Trimestrales'!I12</f>
        <v>0</v>
      </c>
    </row>
    <row r="15" spans="1:14" ht="27.75" customHeight="1" thickBot="1" x14ac:dyDescent="0.25">
      <c r="A15" s="8">
        <v>4</v>
      </c>
      <c r="B15" s="60">
        <f>'Necesidades Trimestrales'!B13</f>
        <v>0</v>
      </c>
      <c r="C15" s="128" t="str">
        <f>'Necesidades Trimestrales'!E13</f>
        <v>AMINIFILINA 200 MG AMPOLLA</v>
      </c>
      <c r="D15" s="128"/>
      <c r="E15" s="128"/>
      <c r="F15" s="128"/>
      <c r="G15" s="128"/>
      <c r="H15" s="129" t="s">
        <v>56</v>
      </c>
      <c r="I15" s="130" t="str">
        <f>'Necesidades Trimestrales'!F13</f>
        <v>COMPRIMIDO</v>
      </c>
      <c r="J15" s="131">
        <f>'Necesidades Trimestrales'!H13</f>
        <v>68</v>
      </c>
      <c r="K15" s="132">
        <f>'Necesidades Trimestrales'!G13</f>
        <v>100</v>
      </c>
      <c r="L15" s="2" t="b">
        <f>C15='Necesidades Trimestrales'!E13</f>
        <v>1</v>
      </c>
      <c r="M15" s="2" t="b">
        <f>I15='Necesidades Trimestrales'!F13</f>
        <v>1</v>
      </c>
      <c r="N15" s="2">
        <f>+J15*K15-'Necesidades Trimestrales'!I13</f>
        <v>0</v>
      </c>
    </row>
    <row r="16" spans="1:14" ht="20.25" customHeight="1" thickBot="1" x14ac:dyDescent="0.25">
      <c r="A16" s="8">
        <v>5</v>
      </c>
      <c r="B16" s="60">
        <f>'Necesidades Trimestrales'!B14</f>
        <v>0</v>
      </c>
      <c r="C16" s="128" t="str">
        <f>'Necesidades Trimestrales'!E14</f>
        <v>AMOXICILINA + CLAVULANICO 1 G COMPRIMIDO</v>
      </c>
      <c r="D16" s="128"/>
      <c r="E16" s="128"/>
      <c r="F16" s="128"/>
      <c r="G16" s="128"/>
      <c r="H16" s="129" t="s">
        <v>56</v>
      </c>
      <c r="I16" s="130" t="str">
        <f>'Necesidades Trimestrales'!F14</f>
        <v>COMPRIMIDO</v>
      </c>
      <c r="J16" s="131">
        <f>'Necesidades Trimestrales'!H14</f>
        <v>28</v>
      </c>
      <c r="K16" s="132">
        <f>'Necesidades Trimestrales'!G14</f>
        <v>200</v>
      </c>
      <c r="L16" s="2" t="b">
        <f>C16='Necesidades Trimestrales'!E14</f>
        <v>1</v>
      </c>
      <c r="M16" s="2" t="b">
        <f>I16='Necesidades Trimestrales'!F14</f>
        <v>1</v>
      </c>
      <c r="N16" s="2">
        <f>+J16*K16-'Necesidades Trimestrales'!I14</f>
        <v>0</v>
      </c>
    </row>
    <row r="17" spans="1:14" ht="20.25" customHeight="1" thickBot="1" x14ac:dyDescent="0.25">
      <c r="A17" s="8">
        <v>6</v>
      </c>
      <c r="B17" s="60">
        <f>'Necesidades Trimestrales'!B15</f>
        <v>0</v>
      </c>
      <c r="C17" s="128" t="str">
        <f>'Necesidades Trimestrales'!E15</f>
        <v xml:space="preserve">BETAMETASONA G 12 MG ( 6 MG ACETATO/6 MG FOSFATO ) AMPOLLA </v>
      </c>
      <c r="D17" s="128"/>
      <c r="E17" s="128"/>
      <c r="F17" s="128"/>
      <c r="G17" s="128"/>
      <c r="H17" s="129" t="s">
        <v>56</v>
      </c>
      <c r="I17" s="130" t="str">
        <f>'Necesidades Trimestrales'!F15</f>
        <v>AMPOLLA</v>
      </c>
      <c r="J17" s="131">
        <f>'Necesidades Trimestrales'!H15</f>
        <v>326</v>
      </c>
      <c r="K17" s="132">
        <f>'Necesidades Trimestrales'!G15</f>
        <v>100</v>
      </c>
      <c r="L17" s="2" t="b">
        <f>C17='Necesidades Trimestrales'!E15</f>
        <v>1</v>
      </c>
      <c r="M17" s="2" t="b">
        <f>I17='Necesidades Trimestrales'!F15</f>
        <v>1</v>
      </c>
      <c r="N17" s="2">
        <f>+J17*K17-'Necesidades Trimestrales'!I15</f>
        <v>0</v>
      </c>
    </row>
    <row r="18" spans="1:14" ht="20.25" customHeight="1" thickBot="1" x14ac:dyDescent="0.25">
      <c r="A18" s="8">
        <v>7</v>
      </c>
      <c r="B18" s="60">
        <f>'Necesidades Trimestrales'!B16</f>
        <v>0</v>
      </c>
      <c r="C18" s="128" t="str">
        <f>'Necesidades Trimestrales'!E16</f>
        <v>CLARITROMICINA 500 MG COMPRIMIDO</v>
      </c>
      <c r="D18" s="128"/>
      <c r="E18" s="128"/>
      <c r="F18" s="128"/>
      <c r="G18" s="128"/>
      <c r="H18" s="129" t="s">
        <v>56</v>
      </c>
      <c r="I18" s="130" t="str">
        <f>'Necesidades Trimestrales'!F16</f>
        <v>COMPRIMIDO</v>
      </c>
      <c r="J18" s="131">
        <f>'Necesidades Trimestrales'!H16</f>
        <v>30.9</v>
      </c>
      <c r="K18" s="132">
        <f>'Necesidades Trimestrales'!G16</f>
        <v>500</v>
      </c>
      <c r="L18" s="2" t="b">
        <f>C18='Necesidades Trimestrales'!E16</f>
        <v>1</v>
      </c>
      <c r="M18" s="2" t="b">
        <f>I18='Necesidades Trimestrales'!F16</f>
        <v>1</v>
      </c>
      <c r="N18" s="2">
        <f>+J18*K18-'Necesidades Trimestrales'!I16</f>
        <v>0</v>
      </c>
    </row>
    <row r="19" spans="1:14" ht="20.25" customHeight="1" thickBot="1" x14ac:dyDescent="0.25">
      <c r="A19" s="8">
        <v>8</v>
      </c>
      <c r="B19" s="60">
        <f>'Necesidades Trimestrales'!B17</f>
        <v>0</v>
      </c>
      <c r="C19" s="128" t="str">
        <f>'Necesidades Trimestrales'!E17</f>
        <v>CLONIDINA CLORHIDRATO 0,150 MG/ML AMPOLLA X 1 ML</v>
      </c>
      <c r="D19" s="128"/>
      <c r="E19" s="128"/>
      <c r="F19" s="128"/>
      <c r="G19" s="128"/>
      <c r="H19" s="129" t="s">
        <v>56</v>
      </c>
      <c r="I19" s="130" t="str">
        <f>'Necesidades Trimestrales'!F17</f>
        <v>AMPOLLA</v>
      </c>
      <c r="J19" s="131">
        <f>'Necesidades Trimestrales'!H17</f>
        <v>80</v>
      </c>
      <c r="K19" s="132">
        <f>'Necesidades Trimestrales'!G17</f>
        <v>500</v>
      </c>
      <c r="L19" s="2" t="b">
        <f>C19='Necesidades Trimestrales'!E17</f>
        <v>1</v>
      </c>
      <c r="M19" s="2" t="b">
        <f>I19='Necesidades Trimestrales'!F17</f>
        <v>1</v>
      </c>
      <c r="N19" s="2">
        <f>+J19*K19-'Necesidades Trimestrales'!I17</f>
        <v>0</v>
      </c>
    </row>
    <row r="20" spans="1:14" ht="20.25" customHeight="1" thickBot="1" x14ac:dyDescent="0.25">
      <c r="A20" s="8">
        <v>9</v>
      </c>
      <c r="B20" s="60">
        <f>'Necesidades Trimestrales'!B18</f>
        <v>0</v>
      </c>
      <c r="C20" s="128" t="str">
        <f>'Necesidades Trimestrales'!E18</f>
        <v>COLISTINA 100 MG FCO AMPOLLA</v>
      </c>
      <c r="D20" s="128"/>
      <c r="E20" s="128"/>
      <c r="F20" s="128"/>
      <c r="G20" s="128"/>
      <c r="H20" s="129" t="s">
        <v>56</v>
      </c>
      <c r="I20" s="130" t="str">
        <f>'Necesidades Trimestrales'!F18</f>
        <v>AMPOLLA</v>
      </c>
      <c r="J20" s="131">
        <f>'Necesidades Trimestrales'!H18</f>
        <v>895</v>
      </c>
      <c r="K20" s="132">
        <f>'Necesidades Trimestrales'!G18</f>
        <v>200</v>
      </c>
      <c r="L20" s="2" t="b">
        <f>C20='Necesidades Trimestrales'!E18</f>
        <v>1</v>
      </c>
      <c r="M20" s="2" t="b">
        <f>I20='Necesidades Trimestrales'!F18</f>
        <v>1</v>
      </c>
      <c r="N20" s="2">
        <f>+J20*K20-'Necesidades Trimestrales'!I18</f>
        <v>0</v>
      </c>
    </row>
    <row r="21" spans="1:14" ht="20.25" customHeight="1" thickBot="1" x14ac:dyDescent="0.25">
      <c r="A21" s="8">
        <v>10</v>
      </c>
      <c r="B21" s="60">
        <f>'Necesidades Trimestrales'!B19</f>
        <v>0</v>
      </c>
      <c r="C21" s="128" t="str">
        <f>'Necesidades Trimestrales'!E19</f>
        <v>COMPLEJO B AMPOLLAS TIPO BECOZYM NF</v>
      </c>
      <c r="D21" s="128"/>
      <c r="E21" s="128"/>
      <c r="F21" s="128"/>
      <c r="G21" s="128"/>
      <c r="H21" s="129" t="s">
        <v>56</v>
      </c>
      <c r="I21" s="130" t="str">
        <f>'Necesidades Trimestrales'!F19</f>
        <v>AMPOLLA</v>
      </c>
      <c r="J21" s="131">
        <f>'Necesidades Trimestrales'!H19</f>
        <v>71</v>
      </c>
      <c r="K21" s="132">
        <f>'Necesidades Trimestrales'!G19</f>
        <v>2500</v>
      </c>
      <c r="L21" s="2" t="b">
        <f>C21='Necesidades Trimestrales'!E19</f>
        <v>1</v>
      </c>
      <c r="M21" s="2" t="b">
        <f>I21='Necesidades Trimestrales'!F19</f>
        <v>1</v>
      </c>
      <c r="N21" s="2">
        <f>+J21*K21-'Necesidades Trimestrales'!I19</f>
        <v>0</v>
      </c>
    </row>
    <row r="22" spans="1:14" ht="20.25" customHeight="1" thickBot="1" x14ac:dyDescent="0.25">
      <c r="A22" s="8">
        <v>11</v>
      </c>
      <c r="B22" s="60">
        <f>'Necesidades Trimestrales'!B20</f>
        <v>0</v>
      </c>
      <c r="C22" s="128" t="str">
        <f>'Necesidades Trimestrales'!E20</f>
        <v>DIAZEPAM 10 MG AMPOLLA</v>
      </c>
      <c r="D22" s="128"/>
      <c r="E22" s="128"/>
      <c r="F22" s="128"/>
      <c r="G22" s="128"/>
      <c r="H22" s="129" t="s">
        <v>56</v>
      </c>
      <c r="I22" s="130" t="str">
        <f>'Necesidades Trimestrales'!F20</f>
        <v>AMPOLLA</v>
      </c>
      <c r="J22" s="131">
        <f>'Necesidades Trimestrales'!H20</f>
        <v>68</v>
      </c>
      <c r="K22" s="132">
        <f>'Necesidades Trimestrales'!G20</f>
        <v>1000</v>
      </c>
      <c r="L22" s="2" t="b">
        <f>C22='Necesidades Trimestrales'!E20</f>
        <v>1</v>
      </c>
      <c r="M22" s="2" t="b">
        <f>I22='Necesidades Trimestrales'!F20</f>
        <v>1</v>
      </c>
      <c r="N22" s="2">
        <f>+J22*K22-'Necesidades Trimestrales'!I20</f>
        <v>0</v>
      </c>
    </row>
    <row r="23" spans="1:14" ht="20.25" customHeight="1" thickBot="1" x14ac:dyDescent="0.25">
      <c r="A23" s="8">
        <v>12</v>
      </c>
      <c r="B23" s="60">
        <f>'Necesidades Trimestrales'!B21</f>
        <v>0</v>
      </c>
      <c r="C23" s="128" t="str">
        <f>'Necesidades Trimestrales'!E21</f>
        <v>DOBUTAMINA 250 mg/ml FRASCO AMPOLLA X 20 ML</v>
      </c>
      <c r="D23" s="128"/>
      <c r="E23" s="128"/>
      <c r="F23" s="128"/>
      <c r="G23" s="128"/>
      <c r="H23" s="129" t="s">
        <v>56</v>
      </c>
      <c r="I23" s="130" t="str">
        <f>'Necesidades Trimestrales'!F21</f>
        <v>AMPOLLA</v>
      </c>
      <c r="J23" s="131">
        <f>'Necesidades Trimestrales'!H21</f>
        <v>320</v>
      </c>
      <c r="K23" s="132">
        <f>'Necesidades Trimestrales'!G21</f>
        <v>200</v>
      </c>
      <c r="L23" s="2" t="b">
        <f>C23='Necesidades Trimestrales'!E21</f>
        <v>1</v>
      </c>
      <c r="M23" s="2" t="b">
        <f>I23='Necesidades Trimestrales'!F21</f>
        <v>1</v>
      </c>
      <c r="N23" s="2">
        <f>+J23*K23-'Necesidades Trimestrales'!I21</f>
        <v>0</v>
      </c>
    </row>
    <row r="24" spans="1:14" ht="20.25" customHeight="1" thickBot="1" x14ac:dyDescent="0.25">
      <c r="A24" s="8">
        <v>13</v>
      </c>
      <c r="B24" s="60">
        <f>'Necesidades Trimestrales'!B22</f>
        <v>0</v>
      </c>
      <c r="C24" s="128" t="str">
        <f>'Necesidades Trimestrales'!E22</f>
        <v>DOPAMINA 200 MG  AMPOLLA X 5 ML</v>
      </c>
      <c r="D24" s="128"/>
      <c r="E24" s="128"/>
      <c r="F24" s="128"/>
      <c r="G24" s="128"/>
      <c r="H24" s="129" t="s">
        <v>56</v>
      </c>
      <c r="I24" s="130" t="str">
        <f>'Necesidades Trimestrales'!F22</f>
        <v>AMPOLLA</v>
      </c>
      <c r="J24" s="131">
        <f>'Necesidades Trimestrales'!H22</f>
        <v>280</v>
      </c>
      <c r="K24" s="132">
        <f>'Necesidades Trimestrales'!G22</f>
        <v>1000</v>
      </c>
      <c r="L24" s="2" t="b">
        <f>C24='Necesidades Trimestrales'!E22</f>
        <v>1</v>
      </c>
      <c r="M24" s="2" t="b">
        <f>I24='Necesidades Trimestrales'!F22</f>
        <v>1</v>
      </c>
      <c r="N24" s="2">
        <f>+J24*K24-'Necesidades Trimestrales'!I22</f>
        <v>0</v>
      </c>
    </row>
    <row r="25" spans="1:14" ht="20.25" customHeight="1" thickBot="1" x14ac:dyDescent="0.25">
      <c r="A25" s="8">
        <v>14</v>
      </c>
      <c r="B25" s="60">
        <f>'Necesidades Trimestrales'!B23</f>
        <v>0</v>
      </c>
      <c r="C25" s="128" t="str">
        <f>'Necesidades Trimestrales'!E23</f>
        <v>FENOBARBITAL 200MG AMPOLLAS</v>
      </c>
      <c r="D25" s="128"/>
      <c r="E25" s="128"/>
      <c r="F25" s="128"/>
      <c r="G25" s="128"/>
      <c r="H25" s="129" t="s">
        <v>56</v>
      </c>
      <c r="I25" s="130" t="str">
        <f>'Necesidades Trimestrales'!F23</f>
        <v>AMPOLLA</v>
      </c>
      <c r="J25" s="131">
        <f>'Necesidades Trimestrales'!H23</f>
        <v>280</v>
      </c>
      <c r="K25" s="132">
        <f>'Necesidades Trimestrales'!G23</f>
        <v>200</v>
      </c>
      <c r="L25" s="2" t="b">
        <f>C25='Necesidades Trimestrales'!E23</f>
        <v>1</v>
      </c>
      <c r="M25" s="2" t="b">
        <f>I25='Necesidades Trimestrales'!F23</f>
        <v>1</v>
      </c>
      <c r="N25" s="2">
        <f>+J25*K25-'Necesidades Trimestrales'!I23</f>
        <v>0</v>
      </c>
    </row>
    <row r="26" spans="1:14" ht="20.25" customHeight="1" thickBot="1" x14ac:dyDescent="0.25">
      <c r="A26" s="8">
        <v>15</v>
      </c>
      <c r="B26" s="60">
        <f>'Necesidades Trimestrales'!B24</f>
        <v>0</v>
      </c>
      <c r="C26" s="128" t="str">
        <f>'Necesidades Trimestrales'!E24</f>
        <v>FLUCONAZOL 100 MG COMPRIMIDOS</v>
      </c>
      <c r="D26" s="128"/>
      <c r="E26" s="128"/>
      <c r="F26" s="128"/>
      <c r="G26" s="128"/>
      <c r="H26" s="129" t="s">
        <v>56</v>
      </c>
      <c r="I26" s="130" t="str">
        <f>'Necesidades Trimestrales'!F24</f>
        <v>COMPRIMIDO</v>
      </c>
      <c r="J26" s="131">
        <f>'Necesidades Trimestrales'!H24</f>
        <v>48</v>
      </c>
      <c r="K26" s="132">
        <f>'Necesidades Trimestrales'!G24</f>
        <v>300</v>
      </c>
      <c r="L26" s="2" t="b">
        <f>C26='Necesidades Trimestrales'!E24</f>
        <v>1</v>
      </c>
      <c r="M26" s="2" t="b">
        <f>I26='Necesidades Trimestrales'!F24</f>
        <v>1</v>
      </c>
      <c r="N26" s="2">
        <f>+J26*K26-'Necesidades Trimestrales'!I24</f>
        <v>0</v>
      </c>
    </row>
    <row r="27" spans="1:14" ht="20.25" customHeight="1" thickBot="1" x14ac:dyDescent="0.25">
      <c r="A27" s="8">
        <v>16</v>
      </c>
      <c r="B27" s="60">
        <f>'Necesidades Trimestrales'!B25</f>
        <v>0</v>
      </c>
      <c r="C27" s="128" t="str">
        <f>'Necesidades Trimestrales'!E25</f>
        <v>FLUCONAZOL 200 MG SACHET 100 ML</v>
      </c>
      <c r="D27" s="128"/>
      <c r="E27" s="128"/>
      <c r="F27" s="128"/>
      <c r="G27" s="128"/>
      <c r="H27" s="129" t="s">
        <v>56</v>
      </c>
      <c r="I27" s="130" t="str">
        <f>'Necesidades Trimestrales'!F25</f>
        <v>ENVASE</v>
      </c>
      <c r="J27" s="131">
        <f>'Necesidades Trimestrales'!H25</f>
        <v>645</v>
      </c>
      <c r="K27" s="132">
        <f>'Necesidades Trimestrales'!G25</f>
        <v>300</v>
      </c>
      <c r="L27" s="2" t="b">
        <f>C27='Necesidades Trimestrales'!E25</f>
        <v>1</v>
      </c>
      <c r="M27" s="2" t="b">
        <f>I27='Necesidades Trimestrales'!F25</f>
        <v>1</v>
      </c>
      <c r="N27" s="2">
        <f>+J27*K27-'Necesidades Trimestrales'!I25</f>
        <v>0</v>
      </c>
    </row>
    <row r="28" spans="1:14" ht="20.25" customHeight="1" thickBot="1" x14ac:dyDescent="0.25">
      <c r="A28" s="8">
        <v>17</v>
      </c>
      <c r="B28" s="60">
        <f>'Necesidades Trimestrales'!B26</f>
        <v>0</v>
      </c>
      <c r="C28" s="128" t="str">
        <f>'Necesidades Trimestrales'!E26</f>
        <v>GELATINA AL 4% SACHET X 500 ML</v>
      </c>
      <c r="D28" s="128"/>
      <c r="E28" s="128"/>
      <c r="F28" s="128"/>
      <c r="G28" s="128"/>
      <c r="H28" s="129" t="s">
        <v>56</v>
      </c>
      <c r="I28" s="130" t="str">
        <f>'Necesidades Trimestrales'!F26</f>
        <v>ENVASE</v>
      </c>
      <c r="J28" s="131">
        <f>'Necesidades Trimestrales'!H26</f>
        <v>820</v>
      </c>
      <c r="K28" s="132">
        <f>'Necesidades Trimestrales'!G26</f>
        <v>100</v>
      </c>
      <c r="L28" s="2" t="b">
        <f>C28='Necesidades Trimestrales'!E26</f>
        <v>1</v>
      </c>
      <c r="M28" s="2" t="b">
        <f>I28='Necesidades Trimestrales'!F26</f>
        <v>1</v>
      </c>
      <c r="N28" s="2">
        <f>+J28*K28-'Necesidades Trimestrales'!I26</f>
        <v>0</v>
      </c>
    </row>
    <row r="29" spans="1:14" ht="20.25" customHeight="1" thickBot="1" x14ac:dyDescent="0.25">
      <c r="A29" s="8">
        <v>18</v>
      </c>
      <c r="B29" s="60">
        <f>'Necesidades Trimestrales'!B27</f>
        <v>0</v>
      </c>
      <c r="C29" s="128" t="str">
        <f>'Necesidades Trimestrales'!E27</f>
        <v>GENTAMICINA 80 MG AMPOLLA</v>
      </c>
      <c r="D29" s="128"/>
      <c r="E29" s="128"/>
      <c r="F29" s="128"/>
      <c r="G29" s="128"/>
      <c r="H29" s="129" t="s">
        <v>56</v>
      </c>
      <c r="I29" s="130" t="str">
        <f>'Necesidades Trimestrales'!F27</f>
        <v>AMPOLLA</v>
      </c>
      <c r="J29" s="131">
        <f>'Necesidades Trimestrales'!H27</f>
        <v>40</v>
      </c>
      <c r="K29" s="132">
        <f>'Necesidades Trimestrales'!G27</f>
        <v>200</v>
      </c>
      <c r="L29" s="2" t="b">
        <f>C29='Necesidades Trimestrales'!E27</f>
        <v>1</v>
      </c>
      <c r="M29" s="2" t="b">
        <f>I29='Necesidades Trimestrales'!F27</f>
        <v>1</v>
      </c>
      <c r="N29" s="2">
        <f>+J29*K29-'Necesidades Trimestrales'!I27</f>
        <v>0</v>
      </c>
    </row>
    <row r="30" spans="1:14" ht="20.25" customHeight="1" thickBot="1" x14ac:dyDescent="0.25">
      <c r="A30" s="8">
        <v>19</v>
      </c>
      <c r="B30" s="60">
        <f>'Necesidades Trimestrales'!B28</f>
        <v>0</v>
      </c>
      <c r="C30" s="128" t="str">
        <f>'Necesidades Trimestrales'!E28</f>
        <v>HEPARINA SODICA 5000 UI FCO AMPOLLA X 5 ML</v>
      </c>
      <c r="D30" s="128"/>
      <c r="E30" s="128"/>
      <c r="F30" s="128"/>
      <c r="G30" s="128"/>
      <c r="H30" s="129" t="s">
        <v>56</v>
      </c>
      <c r="I30" s="130" t="str">
        <f>'Necesidades Trimestrales'!F28</f>
        <v>AMPOLLA</v>
      </c>
      <c r="J30" s="131">
        <f>'Necesidades Trimestrales'!H28</f>
        <v>790</v>
      </c>
      <c r="K30" s="132">
        <f>'Necesidades Trimestrales'!G28</f>
        <v>5050</v>
      </c>
      <c r="L30" s="2" t="b">
        <f>C30='Necesidades Trimestrales'!E28</f>
        <v>1</v>
      </c>
      <c r="M30" s="2" t="b">
        <f>I30='Necesidades Trimestrales'!F28</f>
        <v>1</v>
      </c>
      <c r="N30" s="2">
        <f>+J30*K30-'Necesidades Trimestrales'!I28</f>
        <v>0</v>
      </c>
    </row>
    <row r="31" spans="1:14" ht="20.25" customHeight="1" thickBot="1" x14ac:dyDescent="0.25">
      <c r="A31" s="8">
        <v>20</v>
      </c>
      <c r="B31" s="60">
        <f>'Necesidades Trimestrales'!B29</f>
        <v>0</v>
      </c>
      <c r="C31" s="128" t="str">
        <f>'Necesidades Trimestrales'!E29</f>
        <v>ISOPROTERONOL 1 MG AMPOLLA</v>
      </c>
      <c r="D31" s="128"/>
      <c r="E31" s="128"/>
      <c r="F31" s="128"/>
      <c r="G31" s="128"/>
      <c r="H31" s="129" t="s">
        <v>56</v>
      </c>
      <c r="I31" s="130" t="str">
        <f>'Necesidades Trimestrales'!F29</f>
        <v>AMPOLLA</v>
      </c>
      <c r="J31" s="131">
        <f>'Necesidades Trimestrales'!H29</f>
        <v>298</v>
      </c>
      <c r="K31" s="132">
        <f>'Necesidades Trimestrales'!G29</f>
        <v>30</v>
      </c>
      <c r="L31" s="2" t="b">
        <f>C31='Necesidades Trimestrales'!E29</f>
        <v>1</v>
      </c>
      <c r="M31" s="2" t="b">
        <f>I31='Necesidades Trimestrales'!F29</f>
        <v>1</v>
      </c>
      <c r="N31" s="2">
        <f>+J31*K31-'Necesidades Trimestrales'!I29</f>
        <v>0</v>
      </c>
    </row>
    <row r="32" spans="1:14" ht="20.25" customHeight="1" thickBot="1" x14ac:dyDescent="0.25">
      <c r="A32" s="8">
        <v>21</v>
      </c>
      <c r="B32" s="60">
        <f>'Necesidades Trimestrales'!B30</f>
        <v>0</v>
      </c>
      <c r="C32" s="128" t="str">
        <f>'Necesidades Trimestrales'!E30</f>
        <v>NITROPRUSIATO SODIO 50 MG VIAL</v>
      </c>
      <c r="D32" s="128"/>
      <c r="E32" s="128"/>
      <c r="F32" s="128"/>
      <c r="G32" s="128"/>
      <c r="H32" s="129" t="s">
        <v>56</v>
      </c>
      <c r="I32" s="130" t="str">
        <f>'Necesidades Trimestrales'!F30</f>
        <v>AMPOLLA</v>
      </c>
      <c r="J32" s="131">
        <f>'Necesidades Trimestrales'!H30</f>
        <v>780</v>
      </c>
      <c r="K32" s="132">
        <f>'Necesidades Trimestrales'!G30</f>
        <v>20</v>
      </c>
      <c r="L32" s="2" t="b">
        <f>C32='Necesidades Trimestrales'!E30</f>
        <v>1</v>
      </c>
      <c r="M32" s="2" t="b">
        <f>I32='Necesidades Trimestrales'!F30</f>
        <v>1</v>
      </c>
      <c r="N32" s="2">
        <f>+J32*K32-'Necesidades Trimestrales'!I30</f>
        <v>0</v>
      </c>
    </row>
    <row r="33" spans="1:1024" ht="20.25" customHeight="1" thickBot="1" x14ac:dyDescent="0.25">
      <c r="A33" s="8">
        <v>22</v>
      </c>
      <c r="B33" s="60">
        <f>'Necesidades Trimestrales'!B31</f>
        <v>0</v>
      </c>
      <c r="C33" s="128" t="str">
        <f>'Necesidades Trimestrales'!E31</f>
        <v>NORADRENALINA 4 mg AMPOLLA x 4 ml</v>
      </c>
      <c r="D33" s="128"/>
      <c r="E33" s="128"/>
      <c r="F33" s="128"/>
      <c r="G33" s="128"/>
      <c r="H33" s="129" t="s">
        <v>56</v>
      </c>
      <c r="I33" s="130" t="str">
        <f>'Necesidades Trimestrales'!F31</f>
        <v>AMPOLLA</v>
      </c>
      <c r="J33" s="131">
        <f>'Necesidades Trimestrales'!H31</f>
        <v>290</v>
      </c>
      <c r="K33" s="132">
        <f>'Necesidades Trimestrales'!G31</f>
        <v>2000</v>
      </c>
      <c r="L33" s="2" t="b">
        <f>C33='Necesidades Trimestrales'!E31</f>
        <v>1</v>
      </c>
      <c r="M33" s="2" t="b">
        <f>I33='Necesidades Trimestrales'!F31</f>
        <v>1</v>
      </c>
      <c r="N33" s="2">
        <f>+J33*K33-'Necesidades Trimestrales'!I31</f>
        <v>0</v>
      </c>
    </row>
    <row r="34" spans="1:1024" ht="20.25" customHeight="1" thickBot="1" x14ac:dyDescent="0.25">
      <c r="A34" s="8">
        <v>23</v>
      </c>
      <c r="B34" s="60">
        <f>'Necesidades Trimestrales'!B32</f>
        <v>0</v>
      </c>
      <c r="C34" s="128" t="str">
        <f>'Necesidades Trimestrales'!E32</f>
        <v>OMEPRAZOL 40 MG FCO AMP ENDOVENOSO</v>
      </c>
      <c r="D34" s="128"/>
      <c r="E34" s="128"/>
      <c r="F34" s="128"/>
      <c r="G34" s="128"/>
      <c r="H34" s="129" t="s">
        <v>56</v>
      </c>
      <c r="I34" s="130" t="str">
        <f>'Necesidades Trimestrales'!F32</f>
        <v>AMPOLLA</v>
      </c>
      <c r="J34" s="131">
        <f>'Necesidades Trimestrales'!H32</f>
        <v>498</v>
      </c>
      <c r="K34" s="132">
        <f>'Necesidades Trimestrales'!G32</f>
        <v>10000</v>
      </c>
      <c r="L34" s="2" t="b">
        <f>C34='Necesidades Trimestrales'!E32</f>
        <v>1</v>
      </c>
      <c r="M34" s="2" t="b">
        <f>I34='Necesidades Trimestrales'!F32</f>
        <v>1</v>
      </c>
      <c r="N34" s="2">
        <f>+J34*K34-'Necesidades Trimestrales'!I32</f>
        <v>0</v>
      </c>
    </row>
    <row r="35" spans="1:1024" ht="20.25" customHeight="1" thickBot="1" x14ac:dyDescent="0.25">
      <c r="A35" s="8">
        <v>24</v>
      </c>
      <c r="B35" s="60">
        <f>'Necesidades Trimestrales'!B33</f>
        <v>0</v>
      </c>
      <c r="C35" s="128" t="str">
        <f>'Necesidades Trimestrales'!E33</f>
        <v>PARACETAMOL 1GR ML FRASCO AMPOLLA</v>
      </c>
      <c r="D35" s="128"/>
      <c r="E35" s="128"/>
      <c r="F35" s="128"/>
      <c r="G35" s="128"/>
      <c r="H35" s="129" t="s">
        <v>56</v>
      </c>
      <c r="I35" s="130" t="str">
        <f>'Necesidades Trimestrales'!F33</f>
        <v>AMPOLLA</v>
      </c>
      <c r="J35" s="131">
        <f>'Necesidades Trimestrales'!H33</f>
        <v>990</v>
      </c>
      <c r="K35" s="132">
        <f>'Necesidades Trimestrales'!G33</f>
        <v>300</v>
      </c>
      <c r="L35" s="2" t="b">
        <f>C35='Necesidades Trimestrales'!E33</f>
        <v>1</v>
      </c>
      <c r="M35" s="2" t="b">
        <f>I35='Necesidades Trimestrales'!F33</f>
        <v>1</v>
      </c>
      <c r="N35" s="2">
        <f>+J35*K35-'Necesidades Trimestrales'!I33</f>
        <v>0</v>
      </c>
    </row>
    <row r="36" spans="1:1024" ht="20.25" customHeight="1" thickBot="1" x14ac:dyDescent="0.25">
      <c r="A36" s="8">
        <v>25</v>
      </c>
      <c r="B36" s="60">
        <f>'Necesidades Trimestrales'!B34</f>
        <v>0</v>
      </c>
      <c r="C36" s="128" t="str">
        <f>'Necesidades Trimestrales'!E34</f>
        <v>PARACETAMOL 500 MG COMPRIMIDO</v>
      </c>
      <c r="D36" s="128"/>
      <c r="E36" s="128"/>
      <c r="F36" s="128"/>
      <c r="G36" s="128"/>
      <c r="H36" s="129" t="s">
        <v>56</v>
      </c>
      <c r="I36" s="130" t="str">
        <f>'Necesidades Trimestrales'!F34</f>
        <v>COMPRIMIDO</v>
      </c>
      <c r="J36" s="131">
        <f>'Necesidades Trimestrales'!H34</f>
        <v>3.86</v>
      </c>
      <c r="K36" s="132">
        <f>'Necesidades Trimestrales'!G34</f>
        <v>2000</v>
      </c>
      <c r="L36" s="2" t="b">
        <f>C36='Necesidades Trimestrales'!E34</f>
        <v>1</v>
      </c>
      <c r="M36" s="2" t="b">
        <f>I36='Necesidades Trimestrales'!F34</f>
        <v>1</v>
      </c>
      <c r="N36" s="2">
        <f>+J36*K36-'Necesidades Trimestrales'!I34</f>
        <v>0</v>
      </c>
    </row>
    <row r="37" spans="1:1024" ht="20.25" customHeight="1" thickBot="1" x14ac:dyDescent="0.25">
      <c r="A37" s="8">
        <v>26</v>
      </c>
      <c r="B37" s="60">
        <f>'Necesidades Trimestrales'!B35</f>
        <v>0</v>
      </c>
      <c r="C37" s="128" t="str">
        <f>'Necesidades Trimestrales'!E35</f>
        <v>PIPERACILINA 4 GRS + TAZOBACTAM 500 MG FCO AMPOLLA</v>
      </c>
      <c r="D37" s="128"/>
      <c r="E37" s="128"/>
      <c r="F37" s="128"/>
      <c r="G37" s="128"/>
      <c r="H37" s="129" t="s">
        <v>56</v>
      </c>
      <c r="I37" s="130" t="str">
        <f>'Necesidades Trimestrales'!F35</f>
        <v>AMPOLLA</v>
      </c>
      <c r="J37" s="131">
        <f>'Necesidades Trimestrales'!H35</f>
        <v>440</v>
      </c>
      <c r="K37" s="132">
        <f>'Necesidades Trimestrales'!G35</f>
        <v>2000</v>
      </c>
      <c r="L37" s="2" t="b">
        <f>C37='Necesidades Trimestrales'!E35</f>
        <v>1</v>
      </c>
      <c r="M37" s="2" t="b">
        <f>I37='Necesidades Trimestrales'!F35</f>
        <v>1</v>
      </c>
      <c r="N37" s="2">
        <f>+J37*K37-'Necesidades Trimestrales'!I35</f>
        <v>0</v>
      </c>
    </row>
    <row r="38" spans="1:1024" ht="20.25" customHeight="1" thickBot="1" x14ac:dyDescent="0.25">
      <c r="A38" s="8">
        <v>27</v>
      </c>
      <c r="B38" s="60">
        <f>'Necesidades Trimestrales'!B36</f>
        <v>0</v>
      </c>
      <c r="C38" s="128" t="str">
        <f>'Necesidades Trimestrales'!E36</f>
        <v>PROPOFOL 1% FCO AMPOLLAS VIAL X 50 ML</v>
      </c>
      <c r="D38" s="128"/>
      <c r="E38" s="128"/>
      <c r="F38" s="128"/>
      <c r="G38" s="128"/>
      <c r="H38" s="129" t="s">
        <v>56</v>
      </c>
      <c r="I38" s="130" t="str">
        <f>'Necesidades Trimestrales'!F36</f>
        <v>AMPOLLA</v>
      </c>
      <c r="J38" s="131">
        <f>'Necesidades Trimestrales'!H36</f>
        <v>1098</v>
      </c>
      <c r="K38" s="132">
        <f>'Necesidades Trimestrales'!G36</f>
        <v>150</v>
      </c>
      <c r="L38" s="2" t="b">
        <f>C38='Necesidades Trimestrales'!E36</f>
        <v>1</v>
      </c>
      <c r="M38" s="2" t="b">
        <f>I38='Necesidades Trimestrales'!F36</f>
        <v>1</v>
      </c>
      <c r="N38" s="2">
        <f>+J38*K38-'Necesidades Trimestrales'!I36</f>
        <v>0</v>
      </c>
    </row>
    <row r="39" spans="1:1024" ht="20.25" customHeight="1" thickBot="1" x14ac:dyDescent="0.25">
      <c r="A39" s="91" t="s">
        <v>104</v>
      </c>
      <c r="B39" s="91"/>
      <c r="C39" s="91"/>
      <c r="D39" s="91"/>
      <c r="E39" s="91"/>
      <c r="F39" s="91"/>
      <c r="G39" s="91"/>
      <c r="H39" s="91"/>
      <c r="I39" s="91"/>
      <c r="J39" s="87">
        <f>SUMPRODUCT(J12:J38,K12:K38)</f>
        <v>13084390</v>
      </c>
      <c r="K39" s="87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</sheetData>
  <mergeCells count="49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39:K3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39:I39"/>
    <mergeCell ref="C12:G12"/>
    <mergeCell ref="C13:G13"/>
    <mergeCell ref="C14:G14"/>
    <mergeCell ref="C15:G15"/>
    <mergeCell ref="C16:G16"/>
    <mergeCell ref="C35:G35"/>
    <mergeCell ref="C34:G34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4" zoomScale="130" zoomScaleNormal="130" workbookViewId="0">
      <selection activeCell="A22" sqref="A22:Q2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38" t="s">
        <v>3</v>
      </c>
      <c r="B1" s="138"/>
      <c r="C1" s="138"/>
      <c r="D1" s="139">
        <f>'Necesidades Trimestrales'!C6</f>
        <v>2021</v>
      </c>
      <c r="E1" s="139"/>
      <c r="F1" s="10"/>
      <c r="G1" s="10"/>
      <c r="H1" s="11"/>
      <c r="I1" s="11"/>
      <c r="J1" s="11"/>
      <c r="K1" s="11"/>
      <c r="L1" s="11"/>
      <c r="M1" s="11"/>
      <c r="N1" s="11"/>
      <c r="P1" s="117" t="s">
        <v>30</v>
      </c>
      <c r="Q1" s="117"/>
    </row>
    <row r="2" spans="1:19" ht="15.75" customHeight="1" x14ac:dyDescent="0.2">
      <c r="H2" s="11"/>
      <c r="I2" s="11"/>
      <c r="J2" s="11"/>
      <c r="K2" s="11"/>
      <c r="L2" s="11"/>
      <c r="M2" s="11"/>
      <c r="N2" s="11"/>
      <c r="P2" s="117"/>
      <c r="Q2" s="117"/>
    </row>
    <row r="4" spans="1:19" s="12" customFormat="1" ht="18" customHeight="1" thickBot="1" x14ac:dyDescent="0.25">
      <c r="A4" s="118" t="s">
        <v>31</v>
      </c>
      <c r="B4" s="118"/>
      <c r="C4" s="118"/>
      <c r="D4" s="118"/>
      <c r="E4" s="118"/>
      <c r="F4" s="118"/>
      <c r="G4" s="115" t="str">
        <f>NotaPedido!D3</f>
        <v>40 - Ministerio de Salud</v>
      </c>
      <c r="H4" s="115"/>
      <c r="I4" s="115"/>
      <c r="J4" s="115"/>
      <c r="K4" s="115"/>
      <c r="L4" s="115"/>
      <c r="M4" s="115"/>
      <c r="N4" s="115"/>
      <c r="O4" s="115"/>
      <c r="P4" s="115"/>
      <c r="Q4" s="115"/>
    </row>
    <row r="5" spans="1:19" s="12" customFormat="1" ht="18" customHeight="1" thickBot="1" x14ac:dyDescent="0.25">
      <c r="A5" s="112" t="s">
        <v>54</v>
      </c>
      <c r="B5" s="113"/>
      <c r="C5" s="113"/>
      <c r="D5" s="113"/>
      <c r="E5" s="113"/>
      <c r="F5" s="114"/>
      <c r="G5" s="115" t="str">
        <f>NotaPedido!D4</f>
        <v>23 - Hospital Interzonal San Juan Bautista</v>
      </c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1:19" s="12" customFormat="1" ht="18" customHeight="1" thickBot="1" x14ac:dyDescent="0.25">
      <c r="A6" s="112" t="s">
        <v>32</v>
      </c>
      <c r="B6" s="113"/>
      <c r="C6" s="113"/>
      <c r="D6" s="113"/>
      <c r="E6" s="113"/>
      <c r="F6" s="114"/>
      <c r="G6" s="115" t="str">
        <f>NotaPedido!D5</f>
        <v>168 - Direccion Asistencial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</row>
    <row r="7" spans="1:19" s="12" customFormat="1" ht="18" customHeight="1" thickBot="1" x14ac:dyDescent="0.25">
      <c r="A7" s="112" t="s">
        <v>55</v>
      </c>
      <c r="B7" s="113"/>
      <c r="C7" s="113"/>
      <c r="D7" s="113"/>
      <c r="E7" s="113"/>
      <c r="F7" s="114"/>
      <c r="G7" s="115" t="str">
        <f>NotaPedido!D6</f>
        <v>Servicio de Farmacia</v>
      </c>
      <c r="H7" s="115"/>
      <c r="I7" s="115"/>
      <c r="J7" s="115"/>
      <c r="K7" s="115"/>
      <c r="L7" s="115"/>
      <c r="M7" s="115"/>
      <c r="N7" s="115"/>
      <c r="O7" s="115"/>
      <c r="P7" s="115"/>
      <c r="Q7" s="115"/>
    </row>
    <row r="8" spans="1:19" ht="18" customHeight="1" thickBot="1" x14ac:dyDescent="0.25">
      <c r="A8" s="116" t="s">
        <v>33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</row>
    <row r="9" spans="1:19" ht="18" customHeight="1" x14ac:dyDescent="0.2">
      <c r="A9" s="107" t="s">
        <v>34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"/>
      <c r="P9" s="1"/>
      <c r="Q9" s="13"/>
    </row>
    <row r="10" spans="1:19" ht="54.75" customHeight="1" x14ac:dyDescent="0.2">
      <c r="A10" s="12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089 - 2021,  afectando la erogación resultante a los créditos presupuestarios aprobados a favor de esta Unidad Ejecutora, conforme al siguiente detalle: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19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x14ac:dyDescent="0.2">
      <c r="A12" s="108" t="s">
        <v>35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</row>
    <row r="13" spans="1:19" ht="15.75" customHeight="1" x14ac:dyDescent="0.2">
      <c r="A13" s="109" t="s">
        <v>36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10" t="s">
        <v>37</v>
      </c>
      <c r="P13" s="110"/>
      <c r="Q13" s="111" t="s">
        <v>38</v>
      </c>
    </row>
    <row r="14" spans="1:19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0"/>
      <c r="P14" s="110"/>
      <c r="Q14" s="111"/>
    </row>
    <row r="15" spans="1:19" ht="17.25" customHeight="1" x14ac:dyDescent="0.2">
      <c r="A15" s="134">
        <v>33</v>
      </c>
      <c r="B15" s="135"/>
      <c r="C15" s="135"/>
      <c r="D15" s="135">
        <v>2</v>
      </c>
      <c r="E15" s="135"/>
      <c r="F15" s="135">
        <v>4901</v>
      </c>
      <c r="G15" s="135">
        <v>3</v>
      </c>
      <c r="H15" s="136" t="s">
        <v>63</v>
      </c>
      <c r="I15" s="135">
        <v>2</v>
      </c>
      <c r="J15" s="135">
        <v>5</v>
      </c>
      <c r="K15" s="135">
        <v>2</v>
      </c>
      <c r="L15" s="135"/>
      <c r="M15" s="137">
        <v>1</v>
      </c>
      <c r="N15" s="62" t="s">
        <v>64</v>
      </c>
      <c r="O15" s="104" t="s">
        <v>61</v>
      </c>
      <c r="P15" s="104"/>
      <c r="Q15" s="133">
        <v>13084390</v>
      </c>
    </row>
    <row r="16" spans="1:19" ht="17.25" customHeight="1" x14ac:dyDescent="0.2">
      <c r="A16" s="23"/>
      <c r="B16" s="24"/>
      <c r="C16" s="24"/>
      <c r="D16" s="24"/>
      <c r="E16" s="24"/>
      <c r="F16" s="26"/>
      <c r="G16" s="24"/>
      <c r="H16" s="61"/>
      <c r="I16" s="24"/>
      <c r="J16" s="24"/>
      <c r="K16" s="24"/>
      <c r="L16" s="24"/>
      <c r="M16" s="25"/>
      <c r="N16" s="62"/>
      <c r="O16" s="105"/>
      <c r="P16" s="105"/>
      <c r="Q16" s="27"/>
      <c r="S16" s="63"/>
    </row>
    <row r="17" spans="1:18" ht="17.25" customHeight="1" x14ac:dyDescent="0.2">
      <c r="A17" s="23"/>
      <c r="B17" s="24"/>
      <c r="C17" s="24"/>
      <c r="D17" s="24"/>
      <c r="E17" s="24"/>
      <c r="F17" s="24"/>
      <c r="G17" s="24"/>
      <c r="H17" s="61"/>
      <c r="I17" s="24"/>
      <c r="J17" s="24"/>
      <c r="K17" s="24"/>
      <c r="L17" s="24"/>
      <c r="M17" s="25"/>
      <c r="N17" s="62"/>
      <c r="O17" s="106"/>
      <c r="P17" s="100"/>
      <c r="Q17" s="27"/>
    </row>
    <row r="18" spans="1:18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00"/>
      <c r="P18" s="100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00"/>
      <c r="P19" s="100"/>
      <c r="Q19" s="27"/>
    </row>
    <row r="20" spans="1:18" ht="17.25" customHeight="1" x14ac:dyDescent="0.2">
      <c r="A20" s="28"/>
      <c r="B20" s="29"/>
      <c r="C20" s="29"/>
      <c r="D20" s="29"/>
      <c r="E20" s="29"/>
      <c r="F20" s="30"/>
      <c r="G20" s="29"/>
      <c r="H20" s="29"/>
      <c r="I20" s="29"/>
      <c r="J20" s="29"/>
      <c r="K20" s="29"/>
      <c r="L20" s="29"/>
      <c r="M20" s="31"/>
      <c r="N20" s="32"/>
      <c r="O20" s="101"/>
      <c r="P20" s="101"/>
      <c r="Q20" s="27"/>
      <c r="R20" s="1"/>
    </row>
    <row r="21" spans="1:18" ht="17.25" customHeight="1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102"/>
      <c r="P21" s="102"/>
      <c r="Q21" s="36"/>
    </row>
    <row r="22" spans="1:18" ht="20.25" customHeight="1" x14ac:dyDescent="0.2">
      <c r="A22" s="140" t="s">
        <v>105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1">
        <f>SUM(Q15:Q21)</f>
        <v>13084390</v>
      </c>
    </row>
    <row r="23" spans="1:18" ht="18" customHeight="1" thickBot="1" x14ac:dyDescent="0.25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</row>
    <row r="24" spans="1:18" ht="17.25" customHeight="1" thickBot="1" x14ac:dyDescent="0.25">
      <c r="A24" s="96" t="s">
        <v>52</v>
      </c>
      <c r="B24" s="97"/>
      <c r="C24" s="97"/>
      <c r="D24" s="97"/>
      <c r="E24" s="97"/>
      <c r="F24" s="98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</row>
    <row r="25" spans="1:18" ht="18" customHeight="1" thickBot="1" x14ac:dyDescent="0.25">
      <c r="A25" s="125" t="str">
        <f>"Para la "&amp; NotaPedido!D8 &amp;" para ser destinados al " &amp; NotaPedido!D6 &amp;"  del HISJB del Ministerio de Salud."</f>
        <v>Para la Adquisición de Medicamentos COVID  para ser destinados al Servicio de Farmacia  del HISJB del Ministerio de Salud.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8" ht="15" customHeight="1" x14ac:dyDescent="0.2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2021-11-03T13:55:13Z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