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Serv. Penitenciario\AÑO 2022\Adq.Alimentos No Perecederos\NOTA 3\Adjuntos\"/>
    </mc:Choice>
  </mc:AlternateContent>
  <xr:revisionPtr revIDLastSave="0" documentId="8_{3C05F723-28ED-4199-9958-73609BB102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</sheets>
  <definedNames>
    <definedName name="_xlnm.Print_Area" localSheetId="0">'Necesidades Trimestrales'!$A$2:$I$52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8" i="1" l="1"/>
</calcChain>
</file>

<file path=xl/sharedStrings.xml><?xml version="1.0" encoding="utf-8"?>
<sst xmlns="http://schemas.openxmlformats.org/spreadsheetml/2006/main" count="168" uniqueCount="92">
  <si>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</si>
  <si>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</si>
  <si>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</si>
  <si>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</si>
  <si>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</si>
  <si>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</si>
  <si>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</si>
  <si>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</si>
  <si>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</si>
  <si>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</si>
  <si>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</si>
  <si>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</si>
  <si>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</si>
  <si>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</si>
  <si>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</si>
  <si>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</si>
  <si>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2.1.1-439.65</t>
  </si>
  <si>
    <t>ALIMENTOS</t>
  </si>
  <si>
    <t>2.1.1</t>
  </si>
  <si>
    <t>ACEITES COMESTIBLES; TIPO: GIRASOL, PRESENTACION: ENVASE X 1,5 L, MATERIAL ENVASE: PLASTICO 1 (PET), ELEM. TRANSPORTE: SIN, MATERIAL ELEM. TRANSPORTE : SIN, LIBRE DE GLUTEN: NO</t>
  </si>
  <si>
    <t>BOTELLA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</si>
  <si>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</si>
  <si>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</si>
  <si>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PAQUETE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</si>
  <si>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</si>
  <si>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</si>
  <si>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</si>
  <si>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2.1.1-595.2</t>
  </si>
  <si>
    <t>EDULCORANTES; PRESENTACION: LIQUIDO, ENVASE: BOTELLA PLASTICA, CONTENIDO: 500 CM3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</si>
  <si>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</si>
  <si>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</si>
  <si>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</si>
  <si>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</si>
  <si>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2.1.1-705.105</t>
  </si>
  <si>
    <t>CAJA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</si>
  <si>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</si>
  <si>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</si>
  <si>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2.1.1-669.25</t>
  </si>
  <si>
    <t>PANES; TIPO: RALLADO, PRESENTACION: BOLSA DE 1000 GR</t>
  </si>
  <si>
    <t>BOLSA</t>
  </si>
  <si>
    <t>2.1.1-509.10</t>
  </si>
  <si>
    <t>PURE; TIPO: DE TOMATE, ENVASE: CAJA DE CARTON, PESO: 530 GR</t>
  </si>
  <si>
    <t>2.1.1-514.2</t>
  </si>
  <si>
    <t>SAL DE MESA; CONSISTENCIA: FINA, PESO: 500 GR, TIPO: SIN VALOR, ENVASE: PAQUETE</t>
  </si>
  <si>
    <t>2.1.1-514.30</t>
  </si>
  <si>
    <t>SAL DE MESA; CONSISTENCIA: GRUESA, ENVASE: CAJA DE CARTON, PESO: 1 Kg, TIPO: COMUN</t>
  </si>
  <si>
    <t>2.1.1-454.28</t>
  </si>
  <si>
    <t>YERBAS; PALO: SIN, PESO: 1 Kg, MATERIAL ENVASE : PAPEL, CERTIFICADO FORESTAL (GFS): CON, ELEM. TRANSPORTE: SIN, MATERIAL ELEM. TRANSPORTE: SIN, LIBRE DE GLUTEN: SI</t>
  </si>
  <si>
    <t>2.1.1-489.67</t>
  </si>
  <si>
    <t>ESPECIAS; TIPO: PIMENTON, PRESENTACION: BOLSA DE 1 Kg</t>
  </si>
  <si>
    <t>2.1.1-489.109</t>
  </si>
  <si>
    <t>ESPECIAS; TIPO: PROVENZAL, PRESENTACION: PAQUETE X 1 Kg</t>
  </si>
  <si>
    <t>2.1.1-6547.70</t>
  </si>
  <si>
    <t>LEGUMBRES: VARIEDAD; LENTEJA, ESTADO: SECO, PRESENTACION: BOLSA, PESO: 1 KG.</t>
  </si>
  <si>
    <t>2.1.1-489.66</t>
  </si>
  <si>
    <t>ESPECIAS: TIPO: OREGANO, PRESENTACION: BOLSA DE 1 KG.</t>
  </si>
  <si>
    <t>2.1.1-5917.8</t>
  </si>
  <si>
    <t>CEREALES; TIPO: TRIGO BURGOL, PRESENTACION: ENVASE X 1 Kg</t>
  </si>
  <si>
    <t>2.1.1-2616.10</t>
  </si>
  <si>
    <t>MAIZ; TIPO: BLANCO, PRESENTACION: ENVASE X 1 Kg, FORMA DE PRESENTACION: GRANULADO</t>
  </si>
  <si>
    <t>2.1.1-510.3</t>
  </si>
  <si>
    <t>GELATINAS; TIPO: BAJAS CALORIAS, ENVASE: CAJA DE CARTON, PESO: 30 GR, SABOR: CEREZA</t>
  </si>
  <si>
    <t>2.1.1-708.19</t>
  </si>
  <si>
    <t>CONSERVAS PESCADO Y FRUTOS MAR; ESPECIE: CABALLA, ESTADO: EN ACEITE, PESO: 380 GR, ENVASE: LATA, TIPO: CABALLA</t>
  </si>
  <si>
    <t>2.1.1-482.87</t>
  </si>
  <si>
    <t>HARINAS; TIPO: DE TRIGO 000, PRESENTACION: ENVASE X 25 Kg, MATERIAL ENVASE: PAPEL, CERTICADO FORESTAL (GFS): SIN, ELEM. TRANSPORTE: SIN, MATERIAL ELEM. TRANSPORTE: SIN, LIBRE DE GLUTEN: NO</t>
  </si>
  <si>
    <t>2.1.1-2175.1</t>
  </si>
  <si>
    <t>GRASAS COMESTIBLES: TIPO: VACUNA, PRESENTACION: BOLSA X 1 KG. ESTADO: NORMAL, FORMA DE PRESENTACION: NORMAL</t>
  </si>
  <si>
    <t>KG.</t>
  </si>
  <si>
    <t>2.1.1-514.12</t>
  </si>
  <si>
    <t>SAL DE MESA; ENVASE: BOLSA, PESO: 50 Kg, CONSISTENCIA: ENTREFINA, TIPO: SIN VALOR</t>
  </si>
  <si>
    <t>2.1.1-2127.1</t>
  </si>
  <si>
    <t>MEJORADOR DE PANIFICACION: ESTADO: NATURAL, PESO: 10 KG. PRESENTACION: BOLSA</t>
  </si>
  <si>
    <t>COSTO TOTAL ESTIMADO ALIMENTOS NO PERECEDEROS</t>
  </si>
  <si>
    <t>Especificidades Item N° 1-28:</t>
  </si>
  <si>
    <t>Descripción técnica</t>
  </si>
  <si>
    <t>Plazo de Entrega</t>
  </si>
  <si>
    <t>La entrega debe realizarse dentro de los 10 días de la Notificación de la Orden de Compra.</t>
  </si>
  <si>
    <t>Lugar de Enttrega</t>
  </si>
  <si>
    <t>Servicio Penitenciario Provincial, Ruta Nacional 38, km 558 Colonia del Valle, Capayan</t>
  </si>
  <si>
    <t>Calidad Minima esperada</t>
  </si>
  <si>
    <t>Los productos deben ser de 1° calidad, según condiciones establecidas en nota</t>
  </si>
  <si>
    <t>Mantenimiento</t>
  </si>
  <si>
    <t>45 días</t>
  </si>
  <si>
    <t>Garantia</t>
  </si>
  <si>
    <t>ESPECIAS; TIPO: COMINO, PRESENTACION: BOLSA X 1 Kg</t>
  </si>
  <si>
    <t>2.1.1-489.119</t>
  </si>
  <si>
    <t>2.1.1-481.38</t>
  </si>
  <si>
    <t>AZUCARES; TIPO: "A" COMUN, ESTADO: MOLIDA, PESO: 1 Kg, MATERIAL ENVASE: PLASTICO, CERTIFICADO FORESTAL (GFS): SIN, ELEM. TRANSPORTE: SIN, MATERIAL ELEM. TRANSPORTE: SIN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</si>
  <si>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</si>
  <si>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2.1.1-482.69</t>
  </si>
  <si>
    <t>HARINAS; TIPO: MAIZ, PRESENTACION: ENVASE X 1 Kg, MATERIAL ENVASE: PAPEL, CERTICADO FORESTAL (GFS): SIN, ELEM. TRANSPORTE: SIN, MATERIAL ELEM. TRANSPORTE: SIN, LIBRE DE GLUTEN: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</si>
</sst>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_-[$$-2C0A]\ * #,##0.00_-;\-[$$-2C0A]\ * #,##0.00_-;_-[$$-2C0A]\ * &quot;-&quot;??_-;_-@_-"/>
  </numFmts>
  <fonts count="15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name val="Arial"/>
      <family val="2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7" fillId="0" borderId="0" applyBorder="0" applyProtection="0"/>
    <xf numFmtId="0" fontId="7" fillId="0" borderId="0"/>
  </cellStyleXfs>
  <cellXfs count="51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center" wrapText="1"/>
    </xf>
    <xf numFmtId="165" fontId="8" fillId="0" borderId="2" xfId="1" applyNumberFormat="1" applyFont="1" applyBorder="1" applyAlignment="1" applyProtection="1">
      <alignment vertical="center"/>
    </xf>
    <xf numFmtId="165" fontId="8" fillId="0" borderId="2" xfId="1" applyNumberFormat="1" applyFont="1" applyBorder="1" applyAlignment="1" applyProtection="1">
      <alignment horizontal="right" vertical="center" wrapText="1"/>
    </xf>
    <xf numFmtId="165" fontId="8" fillId="0" borderId="2" xfId="1" applyNumberFormat="1" applyFont="1" applyBorder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165" fontId="13" fillId="4" borderId="2" xfId="2" applyNumberFormat="1" applyFont="1" applyFill="1" applyBorder="1" applyAlignment="1">
      <alignment horizontal="center" vertical="center"/>
    </xf>
    <xf numFmtId="0" fontId="1" fillId="0" borderId="0" xfId="2" applyFont="1"/>
    <xf numFmtId="0" fontId="11" fillId="0" borderId="2" xfId="2" applyFont="1" applyBorder="1" applyAlignment="1">
      <alignment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2" fillId="4" borderId="4" xfId="2" applyFont="1" applyFill="1" applyBorder="1" applyAlignment="1">
      <alignment horizontal="center" vertical="center"/>
    </xf>
    <xf numFmtId="0" fontId="12" fillId="4" borderId="5" xfId="2" applyFont="1" applyFill="1" applyBorder="1" applyAlignment="1">
      <alignment horizontal="center" vertical="center"/>
    </xf>
    <xf numFmtId="0" fontId="12" fillId="4" borderId="6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wrapText="1" indent="1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9"/>
  <sheetViews>
    <sheetView tabSelected="1" topLeftCell="C25" zoomScale="90" zoomScaleNormal="90" workbookViewId="0">
      <selection activeCell="E32" sqref="E32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49" t="s">
        <v>0</v>
      </c>
      <c r="C2" s="49"/>
      <c r="D2" s="49"/>
      <c r="E2" s="49"/>
      <c r="F2" s="49"/>
      <c r="G2" s="49"/>
      <c r="H2" s="49"/>
    </row>
    <row r="4" spans="1:9" ht="18" customHeight="1" x14ac:dyDescent="0.25">
      <c r="A4" s="45" t="s">
        <v>1</v>
      </c>
      <c r="B4" s="45"/>
      <c r="C4" s="50" t="s">
        <v>2</v>
      </c>
      <c r="D4" s="50"/>
      <c r="E4" s="50"/>
      <c r="F4" s="2"/>
      <c r="G4" s="3"/>
      <c r="H4" s="2"/>
    </row>
    <row r="5" spans="1:9" ht="18" customHeight="1" x14ac:dyDescent="0.25">
      <c r="A5" s="45" t="s">
        <v>3</v>
      </c>
      <c r="B5" s="45"/>
      <c r="C5" s="50" t="s">
        <v>4</v>
      </c>
      <c r="D5" s="50"/>
      <c r="E5" s="50"/>
      <c r="F5" s="2"/>
      <c r="G5" s="3"/>
      <c r="H5" s="2"/>
    </row>
    <row r="6" spans="1:9" ht="16.5" customHeight="1" x14ac:dyDescent="0.25">
      <c r="A6" s="45" t="s">
        <v>5</v>
      </c>
      <c r="B6" s="45"/>
      <c r="C6" s="4">
        <v>2022</v>
      </c>
      <c r="D6" s="5"/>
      <c r="E6" s="5"/>
      <c r="F6" s="2"/>
      <c r="G6" s="3"/>
      <c r="H6" s="2"/>
    </row>
    <row r="7" spans="1:9" ht="16.5" customHeight="1" x14ac:dyDescent="0.25">
      <c r="A7" s="45" t="s">
        <v>6</v>
      </c>
      <c r="B7" s="45"/>
      <c r="C7" s="4">
        <v>1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36.75" thickBot="1" x14ac:dyDescent="0.25">
      <c r="A10" s="7">
        <v>1</v>
      </c>
      <c r="B10" s="8" t="s">
        <v>16</v>
      </c>
      <c r="C10" s="9" t="s">
        <v>17</v>
      </c>
      <c r="D10" s="8" t="s">
        <v>18</v>
      </c>
      <c r="E10" s="9" t="s">
        <v>19</v>
      </c>
      <c r="F10" s="8" t="s">
        <v>20</v>
      </c>
      <c r="G10" s="8">
        <v>2000</v>
      </c>
      <c r="H10" s="10">
        <v>560</v>
      </c>
      <c r="I10" s="11">
        <f>H10*G10</f>
        <v>1120000</v>
      </c>
    </row>
    <row r="11" spans="1:9" ht="48.75" thickBot="1" x14ac:dyDescent="0.25">
      <c r="A11" s="7">
        <v>2</v>
      </c>
      <c r="B11" s="8" t="s">
        <v>21</v>
      </c>
      <c r="C11" s="9" t="s">
        <v>17</v>
      </c>
      <c r="D11" s="8" t="s">
        <v>18</v>
      </c>
      <c r="E11" s="9" t="s">
        <v>22</v>
      </c>
      <c r="F11" s="8" t="s">
        <v>23</v>
      </c>
      <c r="G11" s="8">
        <v>4000</v>
      </c>
      <c r="H11" s="12">
        <v>130</v>
      </c>
      <c r="I11" s="11">
        <f t="shared" ref="I11:I37" si="0">H11*G11</f>
        <v>520000</v>
      </c>
    </row>
    <row r="12" spans="1:9" ht="36.75" thickBot="1" x14ac:dyDescent="0.25">
      <c r="A12" s="7">
        <v>3</v>
      </c>
      <c r="B12" s="8" t="s">
        <v>24</v>
      </c>
      <c r="C12" s="9" t="s">
        <v>17</v>
      </c>
      <c r="D12" s="8" t="s">
        <v>18</v>
      </c>
      <c r="E12" s="9" t="s">
        <v>25</v>
      </c>
      <c r="F12" s="8" t="s">
        <v>26</v>
      </c>
      <c r="G12" s="8">
        <v>500</v>
      </c>
      <c r="H12" s="12">
        <v>60</v>
      </c>
      <c r="I12" s="11">
        <f t="shared" si="0"/>
        <v>30000</v>
      </c>
    </row>
    <row r="13" spans="1:9" ht="36.75" thickBot="1" x14ac:dyDescent="0.25">
      <c r="A13" s="7">
        <v>4</v>
      </c>
      <c r="B13" s="8" t="s">
        <v>87</v>
      </c>
      <c r="C13" s="9" t="s">
        <v>17</v>
      </c>
      <c r="D13" s="8" t="s">
        <v>18</v>
      </c>
      <c r="E13" s="26" t="s">
        <v>88</v>
      </c>
      <c r="F13" s="8" t="s">
        <v>23</v>
      </c>
      <c r="G13" s="8">
        <v>3000</v>
      </c>
      <c r="H13" s="12">
        <v>130</v>
      </c>
      <c r="I13" s="11">
        <f t="shared" si="0"/>
        <v>390000</v>
      </c>
    </row>
    <row r="14" spans="1:9" ht="24.75" thickBot="1" x14ac:dyDescent="0.25">
      <c r="A14" s="7">
        <v>5</v>
      </c>
      <c r="B14" s="8" t="s">
        <v>27</v>
      </c>
      <c r="C14" s="9" t="s">
        <v>17</v>
      </c>
      <c r="D14" s="8" t="s">
        <v>18</v>
      </c>
      <c r="E14" s="9" t="s">
        <v>28</v>
      </c>
      <c r="F14" s="8" t="s">
        <v>20</v>
      </c>
      <c r="G14" s="8">
        <v>200</v>
      </c>
      <c r="H14" s="12">
        <v>300</v>
      </c>
      <c r="I14" s="11">
        <f t="shared" si="0"/>
        <v>60000</v>
      </c>
    </row>
    <row r="15" spans="1:9" ht="36.75" thickBot="1" x14ac:dyDescent="0.25">
      <c r="A15" s="7">
        <v>6</v>
      </c>
      <c r="B15" s="8" t="s">
        <v>29</v>
      </c>
      <c r="C15" s="9" t="s">
        <v>17</v>
      </c>
      <c r="D15" s="8" t="s">
        <v>18</v>
      </c>
      <c r="E15" s="9" t="s">
        <v>30</v>
      </c>
      <c r="F15" s="8" t="s">
        <v>23</v>
      </c>
      <c r="G15" s="8">
        <v>3000</v>
      </c>
      <c r="H15" s="12">
        <v>70</v>
      </c>
      <c r="I15" s="11">
        <f t="shared" si="0"/>
        <v>210000</v>
      </c>
    </row>
    <row r="16" spans="1:9" ht="36.75" thickBot="1" x14ac:dyDescent="0.25">
      <c r="A16" s="7">
        <v>7</v>
      </c>
      <c r="B16" s="13" t="s">
        <v>31</v>
      </c>
      <c r="C16" s="14" t="s">
        <v>17</v>
      </c>
      <c r="D16" s="15" t="s">
        <v>18</v>
      </c>
      <c r="E16" s="9" t="s">
        <v>32</v>
      </c>
      <c r="F16" s="16" t="s">
        <v>23</v>
      </c>
      <c r="G16" s="8">
        <v>4000</v>
      </c>
      <c r="H16" s="12">
        <v>70</v>
      </c>
      <c r="I16" s="11">
        <f t="shared" si="0"/>
        <v>280000</v>
      </c>
    </row>
    <row r="17" spans="1:9" ht="48.75" thickBot="1" x14ac:dyDescent="0.25">
      <c r="A17" s="7">
        <v>8</v>
      </c>
      <c r="B17" s="8" t="s">
        <v>33</v>
      </c>
      <c r="C17" s="9" t="s">
        <v>17</v>
      </c>
      <c r="D17" s="8" t="s">
        <v>18</v>
      </c>
      <c r="E17" s="9" t="s">
        <v>89</v>
      </c>
      <c r="F17" s="8" t="s">
        <v>34</v>
      </c>
      <c r="G17" s="8">
        <v>500</v>
      </c>
      <c r="H17" s="12">
        <v>150</v>
      </c>
      <c r="I17" s="11">
        <f t="shared" si="0"/>
        <v>75000</v>
      </c>
    </row>
    <row r="18" spans="1:9" ht="48.75" thickBot="1" x14ac:dyDescent="0.25">
      <c r="A18" s="7">
        <v>9</v>
      </c>
      <c r="B18" s="8" t="s">
        <v>35</v>
      </c>
      <c r="C18" s="9" t="s">
        <v>17</v>
      </c>
      <c r="D18" s="8" t="s">
        <v>18</v>
      </c>
      <c r="E18" s="9" t="s">
        <v>36</v>
      </c>
      <c r="F18" s="16" t="s">
        <v>34</v>
      </c>
      <c r="G18" s="8">
        <v>400</v>
      </c>
      <c r="H18" s="12">
        <v>900</v>
      </c>
      <c r="I18" s="11">
        <f t="shared" si="0"/>
        <v>360000</v>
      </c>
    </row>
    <row r="19" spans="1:9" ht="13.5" thickBot="1" x14ac:dyDescent="0.25">
      <c r="A19" s="7">
        <v>10</v>
      </c>
      <c r="B19" s="8" t="s">
        <v>37</v>
      </c>
      <c r="C19" s="9" t="s">
        <v>17</v>
      </c>
      <c r="D19" s="8" t="s">
        <v>18</v>
      </c>
      <c r="E19" s="9" t="s">
        <v>38</v>
      </c>
      <c r="F19" s="8" t="s">
        <v>39</v>
      </c>
      <c r="G19" s="8">
        <v>200</v>
      </c>
      <c r="H19" s="12">
        <v>300</v>
      </c>
      <c r="I19" s="11">
        <f t="shared" si="0"/>
        <v>60000</v>
      </c>
    </row>
    <row r="20" spans="1:9" ht="13.5" thickBot="1" x14ac:dyDescent="0.25">
      <c r="A20" s="7">
        <v>11</v>
      </c>
      <c r="B20" s="8" t="s">
        <v>40</v>
      </c>
      <c r="C20" s="9" t="s">
        <v>17</v>
      </c>
      <c r="D20" s="8" t="s">
        <v>18</v>
      </c>
      <c r="E20" s="9" t="s">
        <v>41</v>
      </c>
      <c r="F20" s="8" t="s">
        <v>34</v>
      </c>
      <c r="G20" s="8">
        <v>2500</v>
      </c>
      <c r="H20" s="12">
        <v>80</v>
      </c>
      <c r="I20" s="11">
        <f t="shared" si="0"/>
        <v>200000</v>
      </c>
    </row>
    <row r="21" spans="1:9" ht="13.5" thickBot="1" x14ac:dyDescent="0.25">
      <c r="A21" s="7">
        <v>12</v>
      </c>
      <c r="B21" s="8" t="s">
        <v>42</v>
      </c>
      <c r="C21" s="9" t="s">
        <v>17</v>
      </c>
      <c r="D21" s="8" t="s">
        <v>18</v>
      </c>
      <c r="E21" s="9" t="s">
        <v>43</v>
      </c>
      <c r="F21" s="8" t="s">
        <v>23</v>
      </c>
      <c r="G21" s="8">
        <v>600</v>
      </c>
      <c r="H21" s="12">
        <v>60</v>
      </c>
      <c r="I21" s="11">
        <f t="shared" si="0"/>
        <v>36000</v>
      </c>
    </row>
    <row r="22" spans="1:9" ht="24.75" thickBot="1" x14ac:dyDescent="0.25">
      <c r="A22" s="7">
        <v>13</v>
      </c>
      <c r="B22" s="8" t="s">
        <v>44</v>
      </c>
      <c r="C22" s="9" t="s">
        <v>17</v>
      </c>
      <c r="D22" s="8" t="s">
        <v>18</v>
      </c>
      <c r="E22" s="9" t="s">
        <v>45</v>
      </c>
      <c r="F22" s="8" t="s">
        <v>23</v>
      </c>
      <c r="G22" s="8">
        <v>600</v>
      </c>
      <c r="H22" s="12">
        <v>80</v>
      </c>
      <c r="I22" s="11">
        <f t="shared" si="0"/>
        <v>48000</v>
      </c>
    </row>
    <row r="23" spans="1:9" ht="24.75" thickBot="1" x14ac:dyDescent="0.25">
      <c r="A23" s="7">
        <v>14</v>
      </c>
      <c r="B23" s="8" t="s">
        <v>46</v>
      </c>
      <c r="C23" s="9" t="s">
        <v>17</v>
      </c>
      <c r="D23" s="8" t="s">
        <v>18</v>
      </c>
      <c r="E23" s="9" t="s">
        <v>47</v>
      </c>
      <c r="F23" s="8" t="s">
        <v>23</v>
      </c>
      <c r="G23" s="8">
        <v>800</v>
      </c>
      <c r="H23" s="12">
        <v>800</v>
      </c>
      <c r="I23" s="11">
        <f t="shared" si="0"/>
        <v>640000</v>
      </c>
    </row>
    <row r="24" spans="1:9" ht="13.5" thickBot="1" x14ac:dyDescent="0.25">
      <c r="A24" s="7">
        <v>15</v>
      </c>
      <c r="B24" s="8" t="s">
        <v>48</v>
      </c>
      <c r="C24" s="9" t="s">
        <v>17</v>
      </c>
      <c r="D24" s="8" t="s">
        <v>18</v>
      </c>
      <c r="E24" s="9" t="s">
        <v>49</v>
      </c>
      <c r="F24" s="8" t="s">
        <v>39</v>
      </c>
      <c r="G24" s="8">
        <v>200</v>
      </c>
      <c r="H24" s="12">
        <v>1200</v>
      </c>
      <c r="I24" s="11">
        <f t="shared" si="0"/>
        <v>240000</v>
      </c>
    </row>
    <row r="25" spans="1:9" ht="13.5" thickBot="1" x14ac:dyDescent="0.25">
      <c r="A25" s="7">
        <v>16</v>
      </c>
      <c r="B25" s="8" t="s">
        <v>50</v>
      </c>
      <c r="C25" s="9" t="s">
        <v>17</v>
      </c>
      <c r="D25" s="8" t="s">
        <v>18</v>
      </c>
      <c r="E25" s="9" t="s">
        <v>51</v>
      </c>
      <c r="F25" s="8" t="s">
        <v>39</v>
      </c>
      <c r="G25" s="8">
        <v>150</v>
      </c>
      <c r="H25" s="12">
        <v>1200</v>
      </c>
      <c r="I25" s="11">
        <f t="shared" si="0"/>
        <v>180000</v>
      </c>
    </row>
    <row r="26" spans="1:9" ht="13.5" thickBot="1" x14ac:dyDescent="0.25">
      <c r="A26" s="7">
        <v>17</v>
      </c>
      <c r="B26" s="8" t="s">
        <v>52</v>
      </c>
      <c r="C26" s="9" t="s">
        <v>17</v>
      </c>
      <c r="D26" s="8" t="s">
        <v>18</v>
      </c>
      <c r="E26" s="9" t="s">
        <v>53</v>
      </c>
      <c r="F26" s="8" t="s">
        <v>39</v>
      </c>
      <c r="G26" s="8">
        <v>200</v>
      </c>
      <c r="H26" s="12">
        <v>350</v>
      </c>
      <c r="I26" s="11">
        <f t="shared" si="0"/>
        <v>70000</v>
      </c>
    </row>
    <row r="27" spans="1:9" ht="13.5" thickBot="1" x14ac:dyDescent="0.25">
      <c r="A27" s="7">
        <v>18</v>
      </c>
      <c r="B27" s="25" t="s">
        <v>86</v>
      </c>
      <c r="C27" s="9" t="s">
        <v>17</v>
      </c>
      <c r="D27" s="8" t="s">
        <v>18</v>
      </c>
      <c r="E27" s="26" t="s">
        <v>85</v>
      </c>
      <c r="F27" s="8" t="s">
        <v>39</v>
      </c>
      <c r="G27" s="8">
        <v>100</v>
      </c>
      <c r="H27" s="12">
        <v>1200</v>
      </c>
      <c r="I27" s="11">
        <f t="shared" si="0"/>
        <v>120000</v>
      </c>
    </row>
    <row r="28" spans="1:9" ht="13.5" thickBot="1" x14ac:dyDescent="0.25">
      <c r="A28" s="7">
        <v>19</v>
      </c>
      <c r="B28" s="8" t="s">
        <v>54</v>
      </c>
      <c r="C28" s="9" t="s">
        <v>17</v>
      </c>
      <c r="D28" s="8" t="s">
        <v>18</v>
      </c>
      <c r="E28" s="9" t="s">
        <v>55</v>
      </c>
      <c r="F28" s="8" t="s">
        <v>39</v>
      </c>
      <c r="G28" s="8">
        <v>40</v>
      </c>
      <c r="H28" s="12">
        <v>1200</v>
      </c>
      <c r="I28" s="11">
        <f t="shared" si="0"/>
        <v>48000</v>
      </c>
    </row>
    <row r="29" spans="1:9" ht="13.5" thickBot="1" x14ac:dyDescent="0.25">
      <c r="A29" s="7">
        <v>20</v>
      </c>
      <c r="B29" s="17" t="s">
        <v>56</v>
      </c>
      <c r="C29" s="9" t="s">
        <v>17</v>
      </c>
      <c r="D29" s="8" t="s">
        <v>18</v>
      </c>
      <c r="E29" s="24" t="s">
        <v>57</v>
      </c>
      <c r="F29" s="8" t="s">
        <v>39</v>
      </c>
      <c r="G29" s="8">
        <v>300</v>
      </c>
      <c r="H29" s="12">
        <v>350</v>
      </c>
      <c r="I29" s="11">
        <f t="shared" si="0"/>
        <v>105000</v>
      </c>
    </row>
    <row r="30" spans="1:9" ht="36.75" thickBot="1" x14ac:dyDescent="0.25">
      <c r="A30" s="7">
        <v>21</v>
      </c>
      <c r="B30" s="17" t="s">
        <v>90</v>
      </c>
      <c r="C30" s="9" t="s">
        <v>17</v>
      </c>
      <c r="D30" s="8" t="s">
        <v>18</v>
      </c>
      <c r="E30" s="26" t="s">
        <v>91</v>
      </c>
      <c r="F30" s="8" t="s">
        <v>39</v>
      </c>
      <c r="G30" s="8">
        <v>200</v>
      </c>
      <c r="H30" s="12">
        <v>159.99</v>
      </c>
      <c r="I30" s="11">
        <f t="shared" si="0"/>
        <v>31998</v>
      </c>
    </row>
    <row r="31" spans="1:9" ht="24.75" thickBot="1" x14ac:dyDescent="0.25">
      <c r="A31" s="7">
        <v>22</v>
      </c>
      <c r="B31" s="8" t="s">
        <v>58</v>
      </c>
      <c r="C31" s="9" t="s">
        <v>17</v>
      </c>
      <c r="D31" s="8" t="s">
        <v>18</v>
      </c>
      <c r="E31" s="9" t="s">
        <v>59</v>
      </c>
      <c r="F31" s="8" t="s">
        <v>39</v>
      </c>
      <c r="G31" s="8">
        <v>200</v>
      </c>
      <c r="H31" s="12">
        <v>350</v>
      </c>
      <c r="I31" s="11">
        <f t="shared" si="0"/>
        <v>70000</v>
      </c>
    </row>
    <row r="32" spans="1:9" ht="24.75" thickBot="1" x14ac:dyDescent="0.25">
      <c r="A32" s="7">
        <v>23</v>
      </c>
      <c r="B32" s="8" t="s">
        <v>60</v>
      </c>
      <c r="C32" s="9" t="s">
        <v>17</v>
      </c>
      <c r="D32" s="8" t="s">
        <v>18</v>
      </c>
      <c r="E32" s="9" t="s">
        <v>61</v>
      </c>
      <c r="F32" s="8" t="s">
        <v>23</v>
      </c>
      <c r="G32" s="8">
        <v>300</v>
      </c>
      <c r="H32" s="12">
        <v>120</v>
      </c>
      <c r="I32" s="11">
        <f t="shared" si="0"/>
        <v>36000</v>
      </c>
    </row>
    <row r="33" spans="1:9" ht="24.75" thickBot="1" x14ac:dyDescent="0.25">
      <c r="A33" s="7">
        <v>24</v>
      </c>
      <c r="B33" s="8" t="s">
        <v>62</v>
      </c>
      <c r="C33" s="9" t="s">
        <v>17</v>
      </c>
      <c r="D33" s="8" t="s">
        <v>18</v>
      </c>
      <c r="E33" s="9" t="s">
        <v>63</v>
      </c>
      <c r="F33" s="8" t="s">
        <v>26</v>
      </c>
      <c r="G33" s="8">
        <v>400</v>
      </c>
      <c r="H33" s="12">
        <v>450</v>
      </c>
      <c r="I33" s="11">
        <f t="shared" si="0"/>
        <v>180000</v>
      </c>
    </row>
    <row r="34" spans="1:9" ht="36.75" thickBot="1" x14ac:dyDescent="0.25">
      <c r="A34" s="7">
        <v>25</v>
      </c>
      <c r="B34" s="18" t="s">
        <v>64</v>
      </c>
      <c r="C34" s="19" t="s">
        <v>17</v>
      </c>
      <c r="D34" s="18" t="s">
        <v>18</v>
      </c>
      <c r="E34" s="19" t="s">
        <v>65</v>
      </c>
      <c r="F34" s="20" t="s">
        <v>39</v>
      </c>
      <c r="G34" s="20">
        <v>1440</v>
      </c>
      <c r="H34" s="10">
        <v>2000</v>
      </c>
      <c r="I34" s="11">
        <f t="shared" si="0"/>
        <v>2880000</v>
      </c>
    </row>
    <row r="35" spans="1:9" ht="24.75" thickBot="1" x14ac:dyDescent="0.25">
      <c r="A35" s="7">
        <v>26</v>
      </c>
      <c r="B35" s="20" t="s">
        <v>66</v>
      </c>
      <c r="C35" s="21" t="s">
        <v>17</v>
      </c>
      <c r="D35" s="20" t="s">
        <v>18</v>
      </c>
      <c r="E35" s="19" t="s">
        <v>67</v>
      </c>
      <c r="F35" s="18" t="s">
        <v>68</v>
      </c>
      <c r="G35" s="18">
        <v>2700</v>
      </c>
      <c r="H35" s="10">
        <v>350</v>
      </c>
      <c r="I35" s="11">
        <f t="shared" si="0"/>
        <v>945000</v>
      </c>
    </row>
    <row r="36" spans="1:9" ht="31.5" customHeight="1" thickBot="1" x14ac:dyDescent="0.25">
      <c r="A36" s="7">
        <v>27</v>
      </c>
      <c r="B36" s="20" t="s">
        <v>69</v>
      </c>
      <c r="C36" s="21" t="s">
        <v>17</v>
      </c>
      <c r="D36" s="20" t="s">
        <v>18</v>
      </c>
      <c r="E36" s="19" t="s">
        <v>70</v>
      </c>
      <c r="F36" s="18" t="s">
        <v>39</v>
      </c>
      <c r="G36" s="18">
        <v>45</v>
      </c>
      <c r="H36" s="10">
        <v>3000</v>
      </c>
      <c r="I36" s="11">
        <f t="shared" si="0"/>
        <v>135000</v>
      </c>
    </row>
    <row r="37" spans="1:9" ht="13.5" thickBot="1" x14ac:dyDescent="0.25">
      <c r="A37" s="7">
        <v>28</v>
      </c>
      <c r="B37" s="18" t="s">
        <v>71</v>
      </c>
      <c r="C37" s="19" t="s">
        <v>17</v>
      </c>
      <c r="D37" s="18" t="s">
        <v>18</v>
      </c>
      <c r="E37" s="19" t="s">
        <v>72</v>
      </c>
      <c r="F37" s="18" t="s">
        <v>39</v>
      </c>
      <c r="G37" s="18">
        <v>45</v>
      </c>
      <c r="H37" s="10">
        <v>5000</v>
      </c>
      <c r="I37" s="11">
        <f t="shared" si="0"/>
        <v>225000</v>
      </c>
    </row>
    <row r="38" spans="1:9" s="23" customFormat="1" ht="13.5" thickBot="1" x14ac:dyDescent="0.25">
      <c r="A38" s="46" t="s">
        <v>73</v>
      </c>
      <c r="B38" s="47"/>
      <c r="C38" s="47"/>
      <c r="D38" s="47"/>
      <c r="E38" s="47"/>
      <c r="F38" s="47"/>
      <c r="G38" s="47"/>
      <c r="H38" s="48"/>
      <c r="I38" s="22">
        <f>SUM(I10:I37)</f>
        <v>9294998</v>
      </c>
    </row>
    <row r="39" spans="1:9" s="23" customFormat="1" ht="13.5" thickBot="1" x14ac:dyDescent="0.25"/>
    <row r="40" spans="1:9" s="23" customFormat="1" x14ac:dyDescent="0.2">
      <c r="C40" s="38" t="s">
        <v>74</v>
      </c>
      <c r="D40" s="39"/>
      <c r="E40" s="39"/>
      <c r="F40" s="40"/>
    </row>
    <row r="41" spans="1:9" s="23" customFormat="1" x14ac:dyDescent="0.2">
      <c r="C41" s="27"/>
      <c r="D41" s="41"/>
      <c r="E41" s="41"/>
      <c r="F41" s="42"/>
    </row>
    <row r="42" spans="1:9" s="23" customFormat="1" x14ac:dyDescent="0.2">
      <c r="C42" s="27" t="s">
        <v>75</v>
      </c>
      <c r="D42" s="43"/>
      <c r="E42" s="43"/>
      <c r="F42" s="44"/>
    </row>
    <row r="43" spans="1:9" s="23" customFormat="1" x14ac:dyDescent="0.2">
      <c r="C43" s="27"/>
      <c r="D43" s="43"/>
      <c r="E43" s="43"/>
      <c r="F43" s="44"/>
    </row>
    <row r="44" spans="1:9" s="23" customFormat="1" x14ac:dyDescent="0.2">
      <c r="C44" s="33" t="s">
        <v>76</v>
      </c>
      <c r="D44" s="34" t="s">
        <v>77</v>
      </c>
      <c r="E44" s="34"/>
      <c r="F44" s="35"/>
    </row>
    <row r="45" spans="1:9" s="23" customFormat="1" ht="12.75" customHeight="1" x14ac:dyDescent="0.2">
      <c r="C45" s="33"/>
      <c r="D45" s="34"/>
      <c r="E45" s="34"/>
      <c r="F45" s="35"/>
    </row>
    <row r="46" spans="1:9" s="23" customFormat="1" x14ac:dyDescent="0.2">
      <c r="C46" s="33"/>
      <c r="D46" s="34"/>
      <c r="E46" s="34"/>
      <c r="F46" s="35"/>
    </row>
    <row r="47" spans="1:9" s="23" customFormat="1" x14ac:dyDescent="0.2">
      <c r="C47" s="33"/>
      <c r="D47" s="34"/>
      <c r="E47" s="34"/>
      <c r="F47" s="35"/>
    </row>
    <row r="48" spans="1:9" s="23" customFormat="1" x14ac:dyDescent="0.2">
      <c r="C48" s="33"/>
      <c r="D48" s="34"/>
      <c r="E48" s="34"/>
      <c r="F48" s="35"/>
    </row>
    <row r="49" spans="3:6" s="23" customFormat="1" x14ac:dyDescent="0.2">
      <c r="C49" s="33"/>
      <c r="D49" s="34"/>
      <c r="E49" s="34"/>
      <c r="F49" s="35"/>
    </row>
    <row r="50" spans="3:6" s="23" customFormat="1" x14ac:dyDescent="0.2">
      <c r="C50" s="33"/>
      <c r="D50" s="34"/>
      <c r="E50" s="34"/>
      <c r="F50" s="35"/>
    </row>
    <row r="51" spans="3:6" s="23" customFormat="1" x14ac:dyDescent="0.2">
      <c r="C51" s="33"/>
      <c r="D51" s="34"/>
      <c r="E51" s="34"/>
      <c r="F51" s="35"/>
    </row>
    <row r="52" spans="3:6" x14ac:dyDescent="0.2">
      <c r="C52" s="33" t="s">
        <v>78</v>
      </c>
      <c r="D52" s="36" t="s">
        <v>79</v>
      </c>
      <c r="E52" s="36"/>
      <c r="F52" s="37"/>
    </row>
    <row r="53" spans="3:6" x14ac:dyDescent="0.2">
      <c r="C53" s="33"/>
      <c r="D53" s="36"/>
      <c r="E53" s="36"/>
      <c r="F53" s="37"/>
    </row>
    <row r="54" spans="3:6" x14ac:dyDescent="0.2">
      <c r="C54" s="27" t="s">
        <v>80</v>
      </c>
      <c r="D54" s="29" t="s">
        <v>81</v>
      </c>
      <c r="E54" s="29"/>
      <c r="F54" s="30"/>
    </row>
    <row r="55" spans="3:6" x14ac:dyDescent="0.2">
      <c r="C55" s="27"/>
      <c r="D55" s="29"/>
      <c r="E55" s="29"/>
      <c r="F55" s="30"/>
    </row>
    <row r="56" spans="3:6" x14ac:dyDescent="0.2">
      <c r="C56" s="27" t="s">
        <v>82</v>
      </c>
      <c r="D56" s="34" t="s">
        <v>83</v>
      </c>
      <c r="E56" s="34"/>
      <c r="F56" s="35"/>
    </row>
    <row r="57" spans="3:6" x14ac:dyDescent="0.2">
      <c r="C57" s="27"/>
      <c r="D57" s="34"/>
      <c r="E57" s="34"/>
      <c r="F57" s="35"/>
    </row>
    <row r="58" spans="3:6" x14ac:dyDescent="0.2">
      <c r="C58" s="27" t="s">
        <v>84</v>
      </c>
      <c r="D58" s="29"/>
      <c r="E58" s="29"/>
      <c r="F58" s="30"/>
    </row>
    <row r="59" spans="3:6" ht="13.5" thickBot="1" x14ac:dyDescent="0.25">
      <c r="C59" s="28"/>
      <c r="D59" s="31"/>
      <c r="E59" s="31"/>
      <c r="F59" s="32"/>
    </row>
  </sheetData>
  <mergeCells count="22">
    <mergeCell ref="A7:B7"/>
    <mergeCell ref="A38:H38"/>
    <mergeCell ref="A6:B6"/>
    <mergeCell ref="B2:H2"/>
    <mergeCell ref="A4:B4"/>
    <mergeCell ref="C4:E4"/>
    <mergeCell ref="A5:B5"/>
    <mergeCell ref="C5:E5"/>
    <mergeCell ref="C40:C41"/>
    <mergeCell ref="D40:F41"/>
    <mergeCell ref="C42:C43"/>
    <mergeCell ref="D42:F43"/>
    <mergeCell ref="D56:F57"/>
    <mergeCell ref="C58:C59"/>
    <mergeCell ref="D58:F59"/>
    <mergeCell ref="C44:C51"/>
    <mergeCell ref="D44:F51"/>
    <mergeCell ref="C52:C53"/>
    <mergeCell ref="D52:F53"/>
    <mergeCell ref="C54:C55"/>
    <mergeCell ref="D54:F55"/>
    <mergeCell ref="C56:C57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soy_gisuarez@hotmail.com</dc:creator>
  <cp:keywords/>
  <dc:description/>
  <cp:lastModifiedBy>USUARIO</cp:lastModifiedBy>
  <cp:revision/>
  <dcterms:created xsi:type="dcterms:W3CDTF">2021-09-14T12:32:57Z</dcterms:created>
  <dcterms:modified xsi:type="dcterms:W3CDTF">2022-03-07T12:03:33Z</dcterms:modified>
  <cp:category/>
  <cp:contentStatus/>
</cp:coreProperties>
</file>