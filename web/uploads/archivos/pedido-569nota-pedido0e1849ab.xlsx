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f\Dropbox\compartida PATRIMONIO-ASESORIA CONTABLE\pedidos 2022\88 - CHALECOS ANTIBALAS - 4TO TRIME - LISTO\"/>
    </mc:Choice>
  </mc:AlternateContent>
  <xr:revisionPtr revIDLastSave="0" documentId="13_ncr:1_{1AB7A8C2-C7A9-44D4-B641-C7E62C67CCAB}" xr6:coauthVersionLast="47" xr6:coauthVersionMax="47" xr10:uidLastSave="{00000000-0000-0000-0000-000000000000}"/>
  <bookViews>
    <workbookView xWindow="0" yWindow="0" windowWidth="19200" windowHeight="1020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E17" i="3"/>
  <c r="I12" i="1" l="1"/>
  <c r="A19" i="3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Q15" i="3" l="1"/>
  <c r="Q16" i="3" s="1"/>
  <c r="J30" i="2"/>
</calcChain>
</file>

<file path=xl/sharedStrings.xml><?xml version="1.0" encoding="utf-8"?>
<sst xmlns="http://schemas.openxmlformats.org/spreadsheetml/2006/main" count="127" uniqueCount="82">
  <si>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</si>
  <si>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</si>
  <si>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</si>
  <si>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</si>
  <si>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</si>
  <si>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</si>
  <si>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</si>
  <si>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</si>
  <si>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</si>
  <si>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</si>
  <si>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</si>
  <si>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</si>
  <si>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</si>
  <si>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</si>
  <si>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</si>
  <si>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</si>
  <si>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4.4.0</t>
  </si>
  <si>
    <t>UNIDAD</t>
  </si>
  <si>
    <t>Plazos y lugares de entrega</t>
  </si>
  <si>
    <t>Que Cumpla con lo Solicitado de Forma Integra.</t>
  </si>
  <si>
    <t>Mantenimiento</t>
  </si>
  <si>
    <t>30 (treinta)  días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</si>
  <si>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</si>
  <si>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</si>
  <si>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</si>
  <si>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</si>
  <si>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</si>
  <si>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</si>
  <si>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</si>
  <si>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</si>
  <si>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</si>
  <si>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</si>
  <si>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</si>
  <si>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</si>
  <si>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</si>
  <si>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</si>
  <si>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</si>
  <si>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</si>
  <si>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</si>
  <si>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</si>
  <si>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</si>
  <si>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</si>
  <si>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</si>
  <si>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</si>
  <si>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</si>
  <si>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</si>
  <si>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</si>
  <si>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</si>
  <si>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</si>
  <si>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</si>
  <si>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</si>
  <si>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</si>
  <si>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</si>
  <si>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</si>
  <si>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</si>
  <si>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</si>
  <si>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</si>
  <si>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</si>
  <si>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</si>
  <si>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</si>
  <si>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</si>
  <si>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</si>
  <si>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</si>
  <si>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</si>
  <si>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</si>
  <si>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</si>
  <si>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</si>
  <si>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</si>
  <si>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</si>
  <si>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>EQUIPO MILITAR Y DE SEGURIDAD</t>
  </si>
  <si>
    <t>CHALECOS ANTIBALA; PROTECCION: PECHO, ESPALDA Y COSTADOS, NIVEL: RB3, TALLE: SIN VALOR</t>
  </si>
  <si>
    <t>4.4.0-1735.13</t>
  </si>
  <si>
    <r>
      <t xml:space="preserve">Garantía de fábrica de </t>
    </r>
    <r>
      <rPr>
        <b/>
        <sz val="10"/>
        <rFont val="Century Gothic"/>
        <family val="2"/>
      </rPr>
      <t>por lo menos 5 años</t>
    </r>
    <r>
      <rPr>
        <sz val="10"/>
        <rFont val="Century Gothic"/>
        <family val="2"/>
      </rPr>
      <t xml:space="preserve">, comenzando a correr dicha garantía desde que es recibida y aceptada. La antigüedad en la fabricación no podrá ser superior al año inmediato anterior al de la entrega. </t>
    </r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</si>
  <si>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Dpto.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Quince</t>
    </r>
    <r>
      <rPr>
        <b/>
        <sz val="10"/>
        <color rgb="FFFF0000"/>
        <rFont val="Century Gothic"/>
        <family val="2"/>
      </rPr>
      <t xml:space="preserve"> </t>
    </r>
    <r>
      <rPr>
        <b/>
        <sz val="10"/>
        <rFont val="Century Gothic"/>
        <family val="2"/>
      </rPr>
      <t>(15) días hábiles</t>
    </r>
    <r>
      <rPr>
        <sz val="10"/>
        <rFont val="Century Gothic"/>
        <family val="2"/>
      </rPr>
      <t>, contados a partir de la recepción de la comunicación prevista en el Artículo 80° de del Reglamento Parcial N° 2 de la ley 4938.</t>
    </r>
  </si>
  <si>
    <t>Especificidades Ítem</t>
  </si>
  <si>
    <t>Descripción técnica ítem 1</t>
  </si>
  <si>
    <t>Descripción técnica ítem 2</t>
  </si>
  <si>
    <t>Calidad Mínima esperada</t>
  </si>
  <si>
    <t>Garantía</t>
  </si>
  <si>
    <r>
      <t xml:space="preserve">CHALECO ANTIBALAS  - NIVEL RB3 - PROYECTILES CALIBRE .44 MG Y 9 MM DE ALTA VELOCIDAD CON COBERTURA 360° PROTECCION: PANEL PECHO, ESPALDA Y COSTADOS,  Las prendas balísticas deberán ser nuevas, sin uso y deberá poseer una Garantía de fábrica de por lo menos 5 años.  </t>
    </r>
    <r>
      <rPr>
        <b/>
        <sz val="10"/>
        <rFont val="Century Gothic"/>
        <family val="2"/>
      </rPr>
      <t>100 (Cien) Chalecos para uso Masculino TALLES “L”;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100 (Cien) Chalecos para uso Masculino TALLES “XL” -Ver anexo de especificaciones.</t>
    </r>
  </si>
  <si>
    <r>
      <t xml:space="preserve">CHALECO ANTIBALAS  - NIVEL RB3 , PROYECTILES CALIBRE .44 MG Y 9 MM DE ALTA VELOCIDAD CON COBERTURA 360° ; PROTECCION: PANEL PECHO, ESPALDA Y COSTADOS, , TALLE: SIN VALOR; Las prendas balísticas deberán ser nuevas, sin uso y deberá poseer una Garantía de fábrica de por lo menos 5 años.  </t>
    </r>
    <r>
      <rPr>
        <b/>
        <sz val="10"/>
        <rFont val="Century Gothic"/>
        <family val="2"/>
      </rPr>
      <t>50 (Cincuenta) Chalecos para uso Femenino TALLES “L”</t>
    </r>
    <r>
      <rPr>
        <sz val="10"/>
        <rFont val="Century Gothic"/>
        <family val="2"/>
      </rPr>
      <t>;</t>
    </r>
    <r>
      <rPr>
        <b/>
        <sz val="10"/>
        <rFont val="Century Gothic"/>
        <family val="2"/>
      </rPr>
      <t xml:space="preserve"> 50 (Cincuenta) Chalecos para uso Femenino TALLES “XL”. Ver anexo de especificaciones.</t>
    </r>
  </si>
  <si>
    <t>**Ademas se solicita que en la factura se consigne como destinatario de los mismos a la Policia de la Provincia de Catamarca N° de leg. Usuario Colectivo: 4-9162000.-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</si>
</sst>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0"/>
      <color rgb="FFFF0000"/>
      <name val="Century Gothic"/>
      <family val="2"/>
    </font>
    <font>
      <sz val="11"/>
      <color theme="1"/>
      <name val="Calibri"/>
      <family val="2"/>
    </font>
    <font>
      <b/>
      <sz val="10"/>
      <color rgb="FFFF0000"/>
      <name val="Century Gothic"/>
      <family val="2"/>
    </font>
    <font>
      <b/>
      <sz val="11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6" fontId="7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63">
    <xf numFmtId="0" fontId="0" fillId="0" borderId="0" xfId="0"/>
    <xf numFmtId="0" fontId="8" fillId="4" borderId="0" xfId="0" applyFont="1" applyFill="1"/>
    <xf numFmtId="0" fontId="9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left" wrapText="1"/>
    </xf>
    <xf numFmtId="0" fontId="0" fillId="4" borderId="0" xfId="0" applyFill="1"/>
    <xf numFmtId="0" fontId="0" fillId="4" borderId="0" xfId="0" applyFill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6" fillId="3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left" vertical="center"/>
    </xf>
    <xf numFmtId="0" fontId="8" fillId="3" borderId="35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17" fillId="4" borderId="5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8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 wrapText="1" indent="1"/>
    </xf>
    <xf numFmtId="0" fontId="8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164" fontId="8" fillId="5" borderId="2" xfId="1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 wrapText="1"/>
    </xf>
    <xf numFmtId="164" fontId="8" fillId="5" borderId="35" xfId="1" applyNumberFormat="1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3" fontId="15" fillId="5" borderId="0" xfId="0" applyNumberFormat="1" applyFont="1" applyFill="1"/>
    <xf numFmtId="169" fontId="8" fillId="5" borderId="0" xfId="0" applyNumberFormat="1" applyFont="1" applyFill="1" applyAlignment="1">
      <alignment horizontal="left"/>
    </xf>
    <xf numFmtId="0" fontId="8" fillId="5" borderId="0" xfId="0" applyFont="1" applyFill="1"/>
    <xf numFmtId="0" fontId="8" fillId="5" borderId="0" xfId="0" applyFont="1" applyFill="1" applyAlignment="1">
      <alignment horizontal="left"/>
    </xf>
    <xf numFmtId="0" fontId="2" fillId="4" borderId="0" xfId="0" applyFont="1" applyFill="1"/>
    <xf numFmtId="0" fontId="8" fillId="5" borderId="3" xfId="0" applyFont="1" applyFill="1" applyBorder="1"/>
    <xf numFmtId="0" fontId="8" fillId="5" borderId="17" xfId="0" applyFont="1" applyFill="1" applyBorder="1"/>
    <xf numFmtId="0" fontId="8" fillId="5" borderId="5" xfId="0" applyFont="1" applyFill="1" applyBorder="1"/>
    <xf numFmtId="0" fontId="8" fillId="5" borderId="5" xfId="0" applyFont="1" applyFill="1" applyBorder="1" applyAlignment="1">
      <alignment horizontal="left"/>
    </xf>
    <xf numFmtId="0" fontId="8" fillId="5" borderId="18" xfId="0" applyFont="1" applyFill="1" applyBorder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167" fontId="8" fillId="5" borderId="26" xfId="3" applyNumberFormat="1" applyFont="1" applyFill="1" applyBorder="1" applyAlignment="1" applyProtection="1">
      <alignment horizontal="center" vertical="center"/>
    </xf>
    <xf numFmtId="0" fontId="8" fillId="5" borderId="15" xfId="0" applyFont="1" applyFill="1" applyBorder="1"/>
    <xf numFmtId="0" fontId="8" fillId="5" borderId="19" xfId="0" applyFont="1" applyFill="1" applyBorder="1"/>
    <xf numFmtId="0" fontId="10" fillId="4" borderId="39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20" fillId="4" borderId="0" xfId="0" applyFont="1" applyFill="1"/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3" fontId="8" fillId="4" borderId="0" xfId="0" applyNumberFormat="1" applyFont="1" applyFill="1" applyAlignment="1">
      <alignment horizontal="center" vertical="center"/>
    </xf>
    <xf numFmtId="170" fontId="8" fillId="4" borderId="0" xfId="1" applyNumberFormat="1" applyFont="1" applyFill="1" applyBorder="1" applyAlignment="1" applyProtection="1">
      <alignment horizontal="center" vertical="center"/>
    </xf>
    <xf numFmtId="170" fontId="12" fillId="4" borderId="44" xfId="0" applyNumberFormat="1" applyFont="1" applyFill="1" applyBorder="1" applyAlignment="1">
      <alignment horizontal="center" vertical="center" wrapText="1"/>
    </xf>
    <xf numFmtId="0" fontId="14" fillId="4" borderId="45" xfId="0" applyFont="1" applyFill="1" applyBorder="1"/>
    <xf numFmtId="0" fontId="8" fillId="4" borderId="46" xfId="0" applyFont="1" applyFill="1" applyBorder="1"/>
    <xf numFmtId="0" fontId="8" fillId="4" borderId="42" xfId="0" applyFont="1" applyFill="1" applyBorder="1"/>
    <xf numFmtId="0" fontId="8" fillId="4" borderId="47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left"/>
    </xf>
    <xf numFmtId="170" fontId="8" fillId="4" borderId="0" xfId="0" applyNumberFormat="1" applyFont="1" applyFill="1" applyAlignment="1">
      <alignment horizontal="center" vertical="center"/>
    </xf>
    <xf numFmtId="0" fontId="11" fillId="4" borderId="47" xfId="0" applyFont="1" applyFill="1" applyBorder="1" applyAlignment="1">
      <alignment horizontal="left" indent="3"/>
    </xf>
    <xf numFmtId="0" fontId="11" fillId="4" borderId="4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left" indent="3"/>
    </xf>
    <xf numFmtId="0" fontId="8" fillId="4" borderId="49" xfId="0" applyFont="1" applyFill="1" applyBorder="1" applyAlignment="1">
      <alignment horizontal="left" indent="3"/>
    </xf>
    <xf numFmtId="0" fontId="8" fillId="4" borderId="50" xfId="0" applyFont="1" applyFill="1" applyBorder="1" applyAlignment="1">
      <alignment horizontal="left"/>
    </xf>
    <xf numFmtId="0" fontId="8" fillId="4" borderId="51" xfId="0" applyFont="1" applyFill="1" applyBorder="1" applyAlignment="1">
      <alignment horizontal="left"/>
    </xf>
    <xf numFmtId="0" fontId="8" fillId="4" borderId="0" xfId="0" applyFont="1" applyFill="1" applyAlignment="1">
      <alignment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52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 wrapText="1"/>
    </xf>
    <xf numFmtId="0" fontId="21" fillId="0" borderId="54" xfId="0" applyFont="1" applyBorder="1" applyAlignment="1">
      <alignment vertical="center" wrapText="1"/>
    </xf>
    <xf numFmtId="0" fontId="8" fillId="4" borderId="54" xfId="0" applyFont="1" applyFill="1" applyBorder="1" applyAlignment="1">
      <alignment horizontal="center" vertical="center" wrapText="1"/>
    </xf>
    <xf numFmtId="3" fontId="8" fillId="4" borderId="54" xfId="0" applyNumberFormat="1" applyFont="1" applyFill="1" applyBorder="1" applyAlignment="1">
      <alignment horizontal="center" vertical="center"/>
    </xf>
    <xf numFmtId="170" fontId="8" fillId="4" borderId="54" xfId="1" applyNumberFormat="1" applyFont="1" applyFill="1" applyBorder="1" applyAlignment="1" applyProtection="1">
      <alignment horizontal="center" vertical="center"/>
    </xf>
    <xf numFmtId="170" fontId="8" fillId="4" borderId="55" xfId="0" applyNumberFormat="1" applyFont="1" applyFill="1" applyBorder="1" applyAlignment="1">
      <alignment wrapText="1"/>
    </xf>
    <xf numFmtId="0" fontId="8" fillId="4" borderId="56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vertical="center" wrapText="1"/>
    </xf>
    <xf numFmtId="0" fontId="8" fillId="4" borderId="57" xfId="0" applyFont="1" applyFill="1" applyBorder="1" applyAlignment="1">
      <alignment horizontal="center" vertical="center" wrapText="1"/>
    </xf>
    <xf numFmtId="3" fontId="8" fillId="4" borderId="57" xfId="0" applyNumberFormat="1" applyFont="1" applyFill="1" applyBorder="1" applyAlignment="1">
      <alignment horizontal="center" vertical="center"/>
    </xf>
    <xf numFmtId="170" fontId="8" fillId="4" borderId="57" xfId="1" applyNumberFormat="1" applyFont="1" applyFill="1" applyBorder="1" applyAlignment="1" applyProtection="1">
      <alignment horizontal="center" vertical="center"/>
    </xf>
    <xf numFmtId="170" fontId="8" fillId="4" borderId="59" xfId="0" applyNumberFormat="1" applyFont="1" applyFill="1" applyBorder="1" applyAlignment="1">
      <alignment wrapText="1"/>
    </xf>
    <xf numFmtId="0" fontId="23" fillId="4" borderId="0" xfId="0" applyFont="1" applyFill="1" applyAlignment="1">
      <alignment horizontal="left"/>
    </xf>
    <xf numFmtId="0" fontId="8" fillId="4" borderId="54" xfId="0" applyFont="1" applyFill="1" applyBorder="1" applyAlignment="1">
      <alignment vertical="center"/>
    </xf>
    <xf numFmtId="0" fontId="8" fillId="4" borderId="57" xfId="0" applyFont="1" applyFill="1" applyBorder="1" applyAlignment="1">
      <alignment vertical="center"/>
    </xf>
    <xf numFmtId="0" fontId="8" fillId="0" borderId="0" xfId="0" applyFont="1"/>
    <xf numFmtId="0" fontId="11" fillId="0" borderId="47" xfId="0" applyFont="1" applyBorder="1" applyAlignment="1">
      <alignment horizontal="left" indent="3"/>
    </xf>
    <xf numFmtId="0" fontId="8" fillId="4" borderId="48" xfId="0" applyFont="1" applyFill="1" applyBorder="1" applyAlignment="1">
      <alignment horizontal="left" vertical="center"/>
    </xf>
    <xf numFmtId="0" fontId="8" fillId="4" borderId="48" xfId="0" applyFont="1" applyFill="1" applyBorder="1" applyAlignment="1">
      <alignment vertical="center"/>
    </xf>
    <xf numFmtId="0" fontId="8" fillId="4" borderId="48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48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wrapText="1"/>
    </xf>
    <xf numFmtId="0" fontId="17" fillId="4" borderId="0" xfId="0" applyFont="1" applyFill="1" applyAlignment="1">
      <alignment horizontal="center" vertical="center"/>
    </xf>
    <xf numFmtId="0" fontId="18" fillId="4" borderId="6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left" vertical="center" wrapText="1" indent="1"/>
    </xf>
    <xf numFmtId="0" fontId="18" fillId="4" borderId="8" xfId="0" applyFont="1" applyFill="1" applyBorder="1" applyAlignment="1">
      <alignment horizontal="left" vertical="center" wrapText="1"/>
    </xf>
    <xf numFmtId="0" fontId="18" fillId="4" borderId="9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 wrapText="1" indent="1"/>
    </xf>
    <xf numFmtId="0" fontId="15" fillId="4" borderId="9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left" vertical="center" wrapText="1"/>
    </xf>
    <xf numFmtId="168" fontId="18" fillId="4" borderId="7" xfId="0" applyNumberFormat="1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right" vertical="center" wrapText="1"/>
    </xf>
    <xf numFmtId="0" fontId="16" fillId="4" borderId="31" xfId="0" applyFont="1" applyFill="1" applyBorder="1" applyAlignment="1">
      <alignment horizontal="right" vertical="center" wrapText="1"/>
    </xf>
    <xf numFmtId="0" fontId="16" fillId="4" borderId="31" xfId="0" applyFont="1" applyFill="1" applyBorder="1" applyAlignment="1">
      <alignment horizontal="left" vertical="center" wrapText="1"/>
    </xf>
    <xf numFmtId="0" fontId="16" fillId="4" borderId="13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/>
    </xf>
    <xf numFmtId="3" fontId="15" fillId="5" borderId="13" xfId="0" applyNumberFormat="1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/>
    <xf numFmtId="0" fontId="13" fillId="5" borderId="6" xfId="0" applyFont="1" applyFill="1" applyBorder="1" applyAlignment="1">
      <alignment horizontal="left" indent="1"/>
    </xf>
    <xf numFmtId="0" fontId="13" fillId="5" borderId="29" xfId="0" applyFont="1" applyFill="1" applyBorder="1" applyAlignment="1">
      <alignment horizontal="left" indent="1"/>
    </xf>
    <xf numFmtId="0" fontId="13" fillId="5" borderId="30" xfId="0" applyFont="1" applyFill="1" applyBorder="1" applyAlignment="1">
      <alignment horizontal="left" indent="1"/>
    </xf>
    <xf numFmtId="0" fontId="8" fillId="5" borderId="6" xfId="0" applyFont="1" applyFill="1" applyBorder="1" applyAlignment="1">
      <alignment horizontal="left" vertical="center" wrapText="1"/>
    </xf>
    <xf numFmtId="0" fontId="8" fillId="5" borderId="29" xfId="0" applyFont="1" applyFill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left"/>
    </xf>
    <xf numFmtId="0" fontId="13" fillId="5" borderId="15" xfId="0" applyFont="1" applyFill="1" applyBorder="1"/>
    <xf numFmtId="0" fontId="13" fillId="5" borderId="16" xfId="0" applyFont="1" applyFill="1" applyBorder="1" applyAlignment="1">
      <alignment horizontal="left" vertical="center" wrapText="1" indent="1"/>
    </xf>
    <xf numFmtId="0" fontId="12" fillId="5" borderId="1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left" vertical="center" wrapText="1" indent="1"/>
    </xf>
    <xf numFmtId="0" fontId="8" fillId="5" borderId="24" xfId="0" applyFont="1" applyFill="1" applyBorder="1" applyAlignment="1">
      <alignment horizontal="left" vertical="center" wrapText="1"/>
    </xf>
    <xf numFmtId="0" fontId="15" fillId="5" borderId="36" xfId="0" applyFont="1" applyFill="1" applyBorder="1" applyAlignment="1">
      <alignment horizontal="left" wrapText="1"/>
    </xf>
    <xf numFmtId="0" fontId="15" fillId="5" borderId="37" xfId="0" applyFont="1" applyFill="1" applyBorder="1" applyAlignment="1">
      <alignment horizontal="left" wrapText="1"/>
    </xf>
    <xf numFmtId="0" fontId="15" fillId="5" borderId="38" xfId="0" applyFont="1" applyFill="1" applyBorder="1" applyAlignment="1">
      <alignment horizontal="left" wrapText="1"/>
    </xf>
    <xf numFmtId="0" fontId="15" fillId="5" borderId="12" xfId="0" applyFont="1" applyFill="1" applyBorder="1" applyAlignment="1">
      <alignment vertical="center" wrapText="1"/>
    </xf>
    <xf numFmtId="0" fontId="15" fillId="5" borderId="28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vertical="center" wrapText="1"/>
    </xf>
    <xf numFmtId="0" fontId="13" fillId="5" borderId="19" xfId="0" applyFont="1" applyFill="1" applyBorder="1" applyAlignment="1">
      <alignment vertical="center" wrapText="1"/>
    </xf>
    <xf numFmtId="0" fontId="8" fillId="5" borderId="0" xfId="0" applyFont="1" applyFill="1" applyAlignment="1">
      <alignment horizontal="left" vertical="top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9"/>
  <sheetViews>
    <sheetView tabSelected="1" topLeftCell="A17" zoomScale="80" zoomScaleNormal="80" zoomScaleSheetLayoutView="85" workbookViewId="0">
      <selection activeCell="C19" sqref="C19:E19"/>
    </sheetView>
  </sheetViews>
  <sheetFormatPr baseColWidth="10" defaultColWidth="11" defaultRowHeight="12.5" x14ac:dyDescent="0.25"/>
  <cols>
    <col min="1" max="1" width="4.54296875" style="1" customWidth="1"/>
    <col min="2" max="2" width="14.453125" style="1" customWidth="1"/>
    <col min="3" max="3" width="37.7265625" style="1" customWidth="1"/>
    <col min="4" max="4" width="10.26953125" style="1" customWidth="1"/>
    <col min="5" max="5" width="80.7265625" style="1" customWidth="1"/>
    <col min="6" max="6" width="11" style="1"/>
    <col min="7" max="7" width="12.7265625" style="1" customWidth="1"/>
    <col min="8" max="8" width="13.81640625" style="1" customWidth="1"/>
    <col min="9" max="9" width="18.54296875" style="1" customWidth="1"/>
    <col min="10" max="10" width="12.81640625" style="1" bestFit="1" customWidth="1"/>
    <col min="11" max="16384" width="11" style="1"/>
  </cols>
  <sheetData>
    <row r="2" spans="1:16" x14ac:dyDescent="0.25">
      <c r="B2" s="114" t="s">
        <v>0</v>
      </c>
      <c r="C2" s="114"/>
      <c r="D2" s="114"/>
      <c r="E2" s="114"/>
      <c r="F2" s="114"/>
      <c r="G2" s="114"/>
      <c r="H2" s="114"/>
    </row>
    <row r="4" spans="1:16" ht="18" customHeight="1" x14ac:dyDescent="0.25">
      <c r="A4" s="115" t="s">
        <v>1</v>
      </c>
      <c r="B4" s="115"/>
      <c r="C4" s="116" t="s">
        <v>2</v>
      </c>
      <c r="D4" s="116"/>
      <c r="E4" s="116"/>
      <c r="F4" s="2"/>
      <c r="G4" s="3"/>
      <c r="H4" s="2"/>
    </row>
    <row r="5" spans="1:16" ht="18" customHeight="1" x14ac:dyDescent="0.25">
      <c r="A5" s="115" t="s">
        <v>3</v>
      </c>
      <c r="B5" s="115"/>
      <c r="C5" s="116" t="s">
        <v>4</v>
      </c>
      <c r="D5" s="116"/>
      <c r="E5" s="116"/>
      <c r="F5" s="2"/>
      <c r="G5" s="3"/>
      <c r="H5" s="2"/>
    </row>
    <row r="6" spans="1:16" ht="16.5" customHeight="1" x14ac:dyDescent="0.25">
      <c r="A6" s="115" t="s">
        <v>5</v>
      </c>
      <c r="B6" s="115"/>
      <c r="C6" s="4">
        <v>2022</v>
      </c>
      <c r="D6" s="4"/>
      <c r="E6" s="4"/>
      <c r="F6" s="2"/>
      <c r="G6" s="3"/>
      <c r="H6" s="2"/>
    </row>
    <row r="7" spans="1:16" ht="16.5" customHeight="1" x14ac:dyDescent="0.3">
      <c r="A7" s="115" t="s">
        <v>6</v>
      </c>
      <c r="B7" s="115"/>
      <c r="C7" s="4">
        <v>4</v>
      </c>
      <c r="D7" s="4"/>
      <c r="E7" s="4"/>
      <c r="F7" s="98"/>
      <c r="G7" s="3"/>
      <c r="H7" s="2"/>
    </row>
    <row r="8" spans="1:16" ht="13" thickBot="1" x14ac:dyDescent="0.3">
      <c r="B8" s="2"/>
      <c r="C8" s="3"/>
      <c r="D8" s="2"/>
      <c r="E8" s="2"/>
      <c r="F8" s="2"/>
      <c r="G8" s="3"/>
      <c r="H8" s="2"/>
    </row>
    <row r="9" spans="1:16" ht="39" customHeight="1" thickBot="1" x14ac:dyDescent="0.3">
      <c r="A9" s="56" t="s">
        <v>7</v>
      </c>
      <c r="B9" s="57" t="s">
        <v>8</v>
      </c>
      <c r="C9" s="58" t="s">
        <v>9</v>
      </c>
      <c r="D9" s="81" t="s">
        <v>10</v>
      </c>
      <c r="E9" s="82" t="s">
        <v>11</v>
      </c>
      <c r="F9" s="59" t="s">
        <v>12</v>
      </c>
      <c r="G9" s="60" t="s">
        <v>13</v>
      </c>
      <c r="H9" s="57" t="s">
        <v>14</v>
      </c>
      <c r="I9" s="58" t="s">
        <v>15</v>
      </c>
      <c r="J9" s="61"/>
      <c r="K9" s="61"/>
      <c r="L9" s="61"/>
      <c r="M9" s="61"/>
      <c r="N9" s="61"/>
      <c r="O9" s="61"/>
      <c r="P9" s="61"/>
    </row>
    <row r="10" spans="1:16" ht="32.25" customHeight="1" x14ac:dyDescent="0.25">
      <c r="A10" s="83">
        <v>1</v>
      </c>
      <c r="B10" s="99" t="s">
        <v>71</v>
      </c>
      <c r="C10" s="86" t="s">
        <v>69</v>
      </c>
      <c r="D10" s="84" t="s">
        <v>16</v>
      </c>
      <c r="E10" s="85" t="s">
        <v>70</v>
      </c>
      <c r="F10" s="86" t="s">
        <v>17</v>
      </c>
      <c r="G10" s="87">
        <v>200</v>
      </c>
      <c r="H10" s="88">
        <v>155900</v>
      </c>
      <c r="I10" s="89">
        <f>+H10*G10</f>
        <v>31180000</v>
      </c>
      <c r="J10" s="61"/>
      <c r="K10" s="61"/>
      <c r="L10" s="61"/>
      <c r="M10" s="61"/>
      <c r="N10" s="61"/>
      <c r="O10" s="61"/>
      <c r="P10" s="61"/>
    </row>
    <row r="11" spans="1:16" ht="32.25" customHeight="1" thickBot="1" x14ac:dyDescent="0.3">
      <c r="A11" s="90">
        <v>2</v>
      </c>
      <c r="B11" s="100" t="s">
        <v>71</v>
      </c>
      <c r="C11" s="91" t="s">
        <v>69</v>
      </c>
      <c r="D11" s="92" t="s">
        <v>16</v>
      </c>
      <c r="E11" s="93" t="s">
        <v>70</v>
      </c>
      <c r="F11" s="94" t="s">
        <v>17</v>
      </c>
      <c r="G11" s="95">
        <v>100</v>
      </c>
      <c r="H11" s="96">
        <v>198500</v>
      </c>
      <c r="I11" s="97">
        <f>+H11*G11</f>
        <v>19850000</v>
      </c>
      <c r="J11" s="61"/>
      <c r="K11" s="61"/>
      <c r="L11" s="61"/>
      <c r="M11" s="61"/>
      <c r="N11" s="61"/>
      <c r="O11" s="61"/>
      <c r="P11" s="61"/>
    </row>
    <row r="12" spans="1:16" ht="18.75" customHeight="1" thickBot="1" x14ac:dyDescent="0.3">
      <c r="A12" s="62"/>
      <c r="B12" s="21"/>
      <c r="C12" s="21"/>
      <c r="D12" s="63"/>
      <c r="E12" s="80"/>
      <c r="F12" s="64"/>
      <c r="G12" s="65"/>
      <c r="H12" s="66"/>
      <c r="I12" s="67">
        <f>+I11+I10</f>
        <v>51030000</v>
      </c>
      <c r="J12" s="61"/>
      <c r="K12" s="61"/>
      <c r="L12" s="61"/>
      <c r="M12" s="61"/>
      <c r="N12" s="61"/>
      <c r="O12" s="61"/>
      <c r="P12" s="61"/>
    </row>
    <row r="13" spans="1:16" x14ac:dyDescent="0.25">
      <c r="B13" s="68" t="s">
        <v>74</v>
      </c>
      <c r="C13" s="69"/>
      <c r="D13" s="69"/>
      <c r="E13" s="70"/>
      <c r="J13" s="61"/>
      <c r="K13" s="61"/>
      <c r="L13" s="61"/>
      <c r="M13" s="61"/>
      <c r="N13" s="61"/>
      <c r="O13" s="61"/>
      <c r="P13" s="61"/>
    </row>
    <row r="14" spans="1:16" x14ac:dyDescent="0.25">
      <c r="A14" s="62"/>
      <c r="B14" s="71"/>
      <c r="C14" s="62"/>
      <c r="E14" s="72"/>
      <c r="F14" s="62"/>
      <c r="G14" s="62"/>
      <c r="H14" s="62"/>
      <c r="I14" s="73"/>
    </row>
    <row r="15" spans="1:16" x14ac:dyDescent="0.25">
      <c r="A15" s="62"/>
      <c r="B15" s="74" t="s">
        <v>75</v>
      </c>
      <c r="C15" s="62"/>
      <c r="E15" s="72"/>
      <c r="F15" s="62"/>
      <c r="G15" s="62"/>
      <c r="H15" s="62"/>
      <c r="I15" s="73"/>
    </row>
    <row r="16" spans="1:16" ht="51.75" customHeight="1" x14ac:dyDescent="0.25">
      <c r="A16" s="62"/>
      <c r="B16" s="75"/>
      <c r="C16" s="110" t="s">
        <v>79</v>
      </c>
      <c r="D16" s="110"/>
      <c r="E16" s="111"/>
    </row>
    <row r="17" spans="1:5" ht="21" customHeight="1" x14ac:dyDescent="0.25">
      <c r="A17" s="62"/>
      <c r="B17" s="74" t="s">
        <v>76</v>
      </c>
      <c r="C17" s="62"/>
      <c r="D17" s="21"/>
      <c r="E17" s="103"/>
    </row>
    <row r="18" spans="1:5" ht="81" customHeight="1" x14ac:dyDescent="0.25">
      <c r="A18" s="62"/>
      <c r="B18" s="75"/>
      <c r="C18" s="110" t="s">
        <v>80</v>
      </c>
      <c r="D18" s="110"/>
      <c r="E18" s="111"/>
    </row>
    <row r="19" spans="1:5" ht="61" customHeight="1" x14ac:dyDescent="0.25">
      <c r="A19" s="62"/>
      <c r="B19" s="75"/>
      <c r="C19" s="110" t="s">
        <v>81</v>
      </c>
      <c r="D19" s="110"/>
      <c r="E19" s="111"/>
    </row>
    <row r="20" spans="1:5" x14ac:dyDescent="0.25">
      <c r="B20" s="74" t="s">
        <v>18</v>
      </c>
      <c r="C20" s="21"/>
      <c r="D20" s="21"/>
      <c r="E20" s="104"/>
    </row>
    <row r="21" spans="1:5" ht="100.5" customHeight="1" x14ac:dyDescent="0.25">
      <c r="B21" s="76"/>
      <c r="C21" s="110" t="s">
        <v>73</v>
      </c>
      <c r="D21" s="110"/>
      <c r="E21" s="111"/>
    </row>
    <row r="22" spans="1:5" ht="13.5" customHeight="1" x14ac:dyDescent="0.25">
      <c r="B22" s="76"/>
      <c r="C22" s="112"/>
      <c r="D22" s="112"/>
      <c r="E22" s="113"/>
    </row>
    <row r="23" spans="1:5" ht="13.5" customHeight="1" x14ac:dyDescent="0.25">
      <c r="B23" s="74" t="s">
        <v>77</v>
      </c>
      <c r="C23" s="21"/>
      <c r="D23" s="21"/>
      <c r="E23" s="104"/>
    </row>
    <row r="24" spans="1:5" ht="13.5" customHeight="1" x14ac:dyDescent="0.25">
      <c r="B24" s="76"/>
      <c r="C24" s="110" t="s">
        <v>19</v>
      </c>
      <c r="D24" s="110"/>
      <c r="E24" s="111"/>
    </row>
    <row r="25" spans="1:5" x14ac:dyDescent="0.25">
      <c r="B25" s="74" t="s">
        <v>20</v>
      </c>
      <c r="C25" s="64"/>
      <c r="D25" s="64"/>
      <c r="E25" s="105"/>
    </row>
    <row r="26" spans="1:5" x14ac:dyDescent="0.25">
      <c r="B26" s="76"/>
      <c r="C26" s="110" t="s">
        <v>21</v>
      </c>
      <c r="D26" s="110"/>
      <c r="E26" s="111"/>
    </row>
    <row r="27" spans="1:5" s="101" customFormat="1" x14ac:dyDescent="0.25">
      <c r="B27" s="102" t="s">
        <v>78</v>
      </c>
      <c r="C27" s="106"/>
      <c r="D27" s="106"/>
      <c r="E27" s="107"/>
    </row>
    <row r="28" spans="1:5" s="101" customFormat="1" ht="37.5" customHeight="1" x14ac:dyDescent="0.25">
      <c r="B28" s="102"/>
      <c r="C28" s="108" t="s">
        <v>72</v>
      </c>
      <c r="D28" s="108"/>
      <c r="E28" s="109"/>
    </row>
    <row r="29" spans="1:5" ht="13" thickBot="1" x14ac:dyDescent="0.3">
      <c r="B29" s="77"/>
      <c r="C29" s="78"/>
      <c r="D29" s="78"/>
      <c r="E29" s="79"/>
    </row>
  </sheetData>
  <mergeCells count="15">
    <mergeCell ref="A6:B6"/>
    <mergeCell ref="A7:B7"/>
    <mergeCell ref="C18:E18"/>
    <mergeCell ref="C16:E16"/>
    <mergeCell ref="C19:E19"/>
    <mergeCell ref="B2:H2"/>
    <mergeCell ref="A4:B4"/>
    <mergeCell ref="C4:E4"/>
    <mergeCell ref="A5:B5"/>
    <mergeCell ref="C5:E5"/>
    <mergeCell ref="C28:E28"/>
    <mergeCell ref="C21:E21"/>
    <mergeCell ref="C22:E22"/>
    <mergeCell ref="C24:E24"/>
    <mergeCell ref="C26:E26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1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796875" defaultRowHeight="12.5" x14ac:dyDescent="0.25"/>
  <cols>
    <col min="1" max="1" width="5.54296875" style="21" customWidth="1"/>
    <col min="2" max="2" width="15.1796875" style="21" customWidth="1"/>
    <col min="3" max="3" width="14.1796875" style="21" customWidth="1"/>
    <col min="4" max="4" width="26" style="21" customWidth="1"/>
    <col min="5" max="5" width="8" style="21" customWidth="1"/>
    <col min="6" max="6" width="7.81640625" style="21" customWidth="1"/>
    <col min="7" max="7" width="45.7265625" style="21" customWidth="1"/>
    <col min="8" max="8" width="9.26953125" style="21" customWidth="1"/>
    <col min="9" max="9" width="15.54296875" style="21" customWidth="1"/>
    <col min="10" max="10" width="14.7265625" style="21" customWidth="1"/>
    <col min="11" max="11" width="15.54296875" style="21" customWidth="1"/>
    <col min="12" max="14" width="5.81640625" style="21" customWidth="1"/>
    <col min="15" max="15" width="12.54296875" style="21" customWidth="1"/>
    <col min="16" max="1024" width="9.1796875" style="21"/>
    <col min="1025" max="16384" width="9.1796875" style="1"/>
  </cols>
  <sheetData>
    <row r="1" spans="1:11" ht="18" customHeight="1" x14ac:dyDescent="0.25">
      <c r="A1" s="117" t="s">
        <v>22</v>
      </c>
      <c r="B1" s="117"/>
      <c r="C1" s="117"/>
      <c r="D1" s="117"/>
      <c r="E1" s="117"/>
      <c r="F1" s="117"/>
      <c r="G1" s="117"/>
      <c r="H1" s="117"/>
      <c r="I1" s="117"/>
      <c r="J1" s="20" t="s">
        <v>23</v>
      </c>
      <c r="K1" s="15" t="s">
        <v>24</v>
      </c>
    </row>
    <row r="2" spans="1:11" ht="18.75" customHeight="1" thickBot="1" x14ac:dyDescent="0.3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</row>
    <row r="3" spans="1:11" ht="18.75" customHeight="1" thickBot="1" x14ac:dyDescent="0.3">
      <c r="A3" s="118" t="s">
        <v>25</v>
      </c>
      <c r="B3" s="118"/>
      <c r="C3" s="118"/>
      <c r="D3" s="119" t="str">
        <f>'Necesidades Trimestrales'!C4</f>
        <v>90 - Ministerio de Seguridad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3">
      <c r="A4" s="120" t="s">
        <v>26</v>
      </c>
      <c r="B4" s="120"/>
      <c r="C4" s="120"/>
      <c r="D4" s="119" t="str">
        <f>'Necesidades Trimestrales'!C5</f>
        <v>7 - Direccion Provincial de Administracion de la Policia de Catamarca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3">
      <c r="A5" s="120" t="s">
        <v>27</v>
      </c>
      <c r="B5" s="120"/>
      <c r="C5" s="120"/>
      <c r="D5" s="119" t="s">
        <v>28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3">
      <c r="A6" s="118" t="s">
        <v>29</v>
      </c>
      <c r="B6" s="118"/>
      <c r="C6" s="118"/>
      <c r="D6" s="119" t="s">
        <v>30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5">
      <c r="A7" s="120" t="s">
        <v>31</v>
      </c>
      <c r="B7" s="120"/>
      <c r="C7" s="120"/>
      <c r="D7" s="119" t="str">
        <f>'Necesidades Trimestrales'!C7 &amp; "° Trimestre - Año " &amp; 'Necesidades Trimestrales'!C6</f>
        <v>4° Trimestre - Año 2022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5">
      <c r="A8" s="121" t="s">
        <v>32</v>
      </c>
      <c r="B8" s="121"/>
      <c r="C8" s="121"/>
      <c r="D8" s="122" t="s">
        <v>33</v>
      </c>
      <c r="E8" s="122"/>
      <c r="F8" s="122"/>
      <c r="G8" s="122"/>
      <c r="H8" s="122"/>
      <c r="I8" s="122"/>
      <c r="J8" s="122"/>
      <c r="K8" s="122"/>
    </row>
    <row r="9" spans="1:11" ht="16" x14ac:dyDescent="0.25">
      <c r="A9" s="24"/>
      <c r="B9" s="24"/>
      <c r="C9" s="24"/>
      <c r="D9" s="25"/>
      <c r="E9" s="25"/>
      <c r="F9" s="25"/>
      <c r="G9" s="25"/>
      <c r="H9" s="25"/>
      <c r="I9" s="25"/>
      <c r="J9" s="25"/>
      <c r="K9" s="25"/>
    </row>
    <row r="10" spans="1:11" ht="18.75" customHeight="1" thickBot="1" x14ac:dyDescent="0.3">
      <c r="A10" s="123" t="s">
        <v>34</v>
      </c>
      <c r="B10" s="125" t="s">
        <v>35</v>
      </c>
      <c r="C10" s="125" t="s">
        <v>36</v>
      </c>
      <c r="D10" s="125"/>
      <c r="E10" s="125"/>
      <c r="F10" s="125"/>
      <c r="G10" s="125"/>
      <c r="H10" s="125" t="s">
        <v>37</v>
      </c>
      <c r="I10" s="125" t="s">
        <v>38</v>
      </c>
      <c r="J10" s="125" t="s">
        <v>39</v>
      </c>
      <c r="K10" s="127" t="s">
        <v>40</v>
      </c>
    </row>
    <row r="11" spans="1:11" ht="24" customHeight="1" x14ac:dyDescent="0.25">
      <c r="A11" s="124"/>
      <c r="B11" s="126"/>
      <c r="C11" s="126"/>
      <c r="D11" s="126"/>
      <c r="E11" s="126"/>
      <c r="F11" s="126"/>
      <c r="G11" s="126"/>
      <c r="H11" s="126"/>
      <c r="I11" s="126"/>
      <c r="J11" s="126"/>
      <c r="K11" s="128"/>
    </row>
    <row r="12" spans="1:11" ht="20.25" customHeight="1" x14ac:dyDescent="0.25">
      <c r="A12" s="26">
        <v>1</v>
      </c>
      <c r="B12" s="16" t="str">
        <f>'Necesidades Trimestrales'!B11</f>
        <v>4.4.0-1735.13</v>
      </c>
      <c r="C12" s="129" t="str">
        <f>'Necesidades Trimestrales'!E11</f>
        <v>CHALECOS ANTIBALA; PROTECCION: PECHO, ESPALDA Y COSTADOS, NIVEL: RB3, TALLE: SIN VALOR</v>
      </c>
      <c r="D12" s="129"/>
      <c r="E12" s="129"/>
      <c r="F12" s="129"/>
      <c r="G12" s="129"/>
      <c r="H12" s="17" t="s">
        <v>41</v>
      </c>
      <c r="I12" s="27" t="s">
        <v>17</v>
      </c>
      <c r="J12" s="28">
        <f>'Necesidades Trimestrales'!H11</f>
        <v>198500</v>
      </c>
      <c r="K12" s="29">
        <f>'Necesidades Trimestrales'!G11</f>
        <v>100</v>
      </c>
    </row>
    <row r="13" spans="1:11" ht="20.25" customHeight="1" x14ac:dyDescent="0.25">
      <c r="A13" s="26">
        <v>2</v>
      </c>
      <c r="B13" s="16" t="e">
        <f>'Necesidades Trimestrales'!#REF!</f>
        <v>#REF!</v>
      </c>
      <c r="C13" s="129" t="e">
        <f>'Necesidades Trimestrales'!#REF!</f>
        <v>#REF!</v>
      </c>
      <c r="D13" s="129"/>
      <c r="E13" s="129"/>
      <c r="F13" s="129"/>
      <c r="G13" s="129"/>
      <c r="H13" s="17" t="s">
        <v>41</v>
      </c>
      <c r="I13" s="27" t="s">
        <v>17</v>
      </c>
      <c r="J13" s="28" t="e">
        <f>'Necesidades Trimestrales'!#REF!</f>
        <v>#REF!</v>
      </c>
      <c r="K13" s="29" t="e">
        <f>'Necesidades Trimestrales'!#REF!</f>
        <v>#REF!</v>
      </c>
    </row>
    <row r="14" spans="1:11" ht="20.25" customHeight="1" x14ac:dyDescent="0.25">
      <c r="A14" s="26">
        <v>3</v>
      </c>
      <c r="B14" s="16" t="e">
        <f>'Necesidades Trimestrales'!#REF!</f>
        <v>#REF!</v>
      </c>
      <c r="C14" s="129" t="e">
        <f>'Necesidades Trimestrales'!#REF!</f>
        <v>#REF!</v>
      </c>
      <c r="D14" s="129"/>
      <c r="E14" s="129"/>
      <c r="F14" s="129"/>
      <c r="G14" s="129"/>
      <c r="H14" s="17" t="s">
        <v>41</v>
      </c>
      <c r="I14" s="27" t="s">
        <v>17</v>
      </c>
      <c r="J14" s="28" t="e">
        <f>'Necesidades Trimestrales'!#REF!</f>
        <v>#REF!</v>
      </c>
      <c r="K14" s="29" t="e">
        <f>'Necesidades Trimestrales'!#REF!</f>
        <v>#REF!</v>
      </c>
    </row>
    <row r="15" spans="1:11" ht="32.25" customHeight="1" x14ac:dyDescent="0.25">
      <c r="A15" s="26">
        <v>4</v>
      </c>
      <c r="B15" s="16" t="e">
        <f>'Necesidades Trimestrales'!#REF!</f>
        <v>#REF!</v>
      </c>
      <c r="C15" s="129" t="e">
        <f>'Necesidades Trimestrales'!#REF!</f>
        <v>#REF!</v>
      </c>
      <c r="D15" s="129"/>
      <c r="E15" s="129"/>
      <c r="F15" s="129"/>
      <c r="G15" s="129"/>
      <c r="H15" s="17" t="s">
        <v>41</v>
      </c>
      <c r="I15" s="27" t="s">
        <v>17</v>
      </c>
      <c r="J15" s="28" t="e">
        <f>'Necesidades Trimestrales'!#REF!</f>
        <v>#REF!</v>
      </c>
      <c r="K15" s="30" t="e">
        <f>'Necesidades Trimestrales'!#REF!</f>
        <v>#REF!</v>
      </c>
    </row>
    <row r="16" spans="1:11" ht="19.5" customHeight="1" x14ac:dyDescent="0.25">
      <c r="A16" s="26">
        <v>5</v>
      </c>
      <c r="B16" s="16" t="e">
        <f>'Necesidades Trimestrales'!#REF!</f>
        <v>#REF!</v>
      </c>
      <c r="C16" s="129" t="e">
        <f>'Necesidades Trimestrales'!#REF!</f>
        <v>#REF!</v>
      </c>
      <c r="D16" s="129"/>
      <c r="E16" s="129"/>
      <c r="F16" s="129"/>
      <c r="G16" s="129"/>
      <c r="H16" s="17" t="s">
        <v>41</v>
      </c>
      <c r="I16" s="27" t="s">
        <v>17</v>
      </c>
      <c r="J16" s="28" t="e">
        <f>'Necesidades Trimestrales'!#REF!</f>
        <v>#REF!</v>
      </c>
      <c r="K16" s="30" t="e">
        <f>'Necesidades Trimestrales'!#REF!</f>
        <v>#REF!</v>
      </c>
    </row>
    <row r="17" spans="1:11" ht="32.25" customHeight="1" x14ac:dyDescent="0.25">
      <c r="A17" s="26">
        <v>6</v>
      </c>
      <c r="B17" s="16" t="e">
        <f>'Necesidades Trimestrales'!#REF!</f>
        <v>#REF!</v>
      </c>
      <c r="C17" s="129" t="e">
        <f>'Necesidades Trimestrales'!#REF!</f>
        <v>#REF!</v>
      </c>
      <c r="D17" s="129"/>
      <c r="E17" s="129"/>
      <c r="F17" s="129"/>
      <c r="G17" s="129"/>
      <c r="H17" s="17" t="s">
        <v>41</v>
      </c>
      <c r="I17" s="27" t="s">
        <v>17</v>
      </c>
      <c r="J17" s="28" t="e">
        <f>'Necesidades Trimestrales'!#REF!</f>
        <v>#REF!</v>
      </c>
      <c r="K17" s="29" t="e">
        <f>'Necesidades Trimestrales'!#REF!</f>
        <v>#REF!</v>
      </c>
    </row>
    <row r="18" spans="1:11" ht="32.25" customHeight="1" x14ac:dyDescent="0.25">
      <c r="A18" s="26">
        <v>7</v>
      </c>
      <c r="B18" s="16" t="e">
        <f>'Necesidades Trimestrales'!#REF!</f>
        <v>#REF!</v>
      </c>
      <c r="C18" s="129" t="e">
        <f>'Necesidades Trimestrales'!#REF!</f>
        <v>#REF!</v>
      </c>
      <c r="D18" s="129"/>
      <c r="E18" s="129"/>
      <c r="F18" s="129"/>
      <c r="G18" s="129"/>
      <c r="H18" s="17" t="s">
        <v>41</v>
      </c>
      <c r="I18" s="27" t="s">
        <v>17</v>
      </c>
      <c r="J18" s="28" t="e">
        <f>'Necesidades Trimestrales'!#REF!</f>
        <v>#REF!</v>
      </c>
      <c r="K18" s="29" t="e">
        <f>'Necesidades Trimestrales'!#REF!</f>
        <v>#REF!</v>
      </c>
    </row>
    <row r="19" spans="1:11" ht="20.25" customHeight="1" x14ac:dyDescent="0.25">
      <c r="A19" s="26">
        <v>8</v>
      </c>
      <c r="B19" s="16" t="e">
        <f>'Necesidades Trimestrales'!#REF!</f>
        <v>#REF!</v>
      </c>
      <c r="C19" s="129" t="e">
        <f>'Necesidades Trimestrales'!#REF!</f>
        <v>#REF!</v>
      </c>
      <c r="D19" s="129"/>
      <c r="E19" s="129"/>
      <c r="F19" s="129"/>
      <c r="G19" s="129"/>
      <c r="H19" s="17" t="s">
        <v>41</v>
      </c>
      <c r="I19" s="27" t="s">
        <v>17</v>
      </c>
      <c r="J19" s="28" t="e">
        <f>'Necesidades Trimestrales'!#REF!</f>
        <v>#REF!</v>
      </c>
      <c r="K19" s="29" t="e">
        <f>'Necesidades Trimestrales'!#REF!</f>
        <v>#REF!</v>
      </c>
    </row>
    <row r="20" spans="1:11" ht="20.25" customHeight="1" x14ac:dyDescent="0.25">
      <c r="A20" s="26">
        <v>9</v>
      </c>
      <c r="B20" s="16" t="e">
        <f>'Necesidades Trimestrales'!#REF!</f>
        <v>#REF!</v>
      </c>
      <c r="C20" s="129" t="e">
        <f>'Necesidades Trimestrales'!#REF!</f>
        <v>#REF!</v>
      </c>
      <c r="D20" s="129"/>
      <c r="E20" s="129"/>
      <c r="F20" s="129"/>
      <c r="G20" s="129"/>
      <c r="H20" s="17" t="s">
        <v>41</v>
      </c>
      <c r="I20" s="27" t="s">
        <v>17</v>
      </c>
      <c r="J20" s="28" t="e">
        <f>'Necesidades Trimestrales'!#REF!</f>
        <v>#REF!</v>
      </c>
      <c r="K20" s="29" t="e">
        <f>'Necesidades Trimestrales'!#REF!</f>
        <v>#REF!</v>
      </c>
    </row>
    <row r="21" spans="1:11" ht="20.25" customHeight="1" x14ac:dyDescent="0.25">
      <c r="A21" s="26">
        <v>10</v>
      </c>
      <c r="B21" s="16" t="e">
        <f>'Necesidades Trimestrales'!#REF!</f>
        <v>#REF!</v>
      </c>
      <c r="C21" s="129" t="e">
        <f>'Necesidades Trimestrales'!#REF!</f>
        <v>#REF!</v>
      </c>
      <c r="D21" s="129"/>
      <c r="E21" s="129"/>
      <c r="F21" s="129"/>
      <c r="G21" s="129"/>
      <c r="H21" s="17" t="s">
        <v>41</v>
      </c>
      <c r="I21" s="27" t="s">
        <v>17</v>
      </c>
      <c r="J21" s="28" t="e">
        <f>'Necesidades Trimestrales'!#REF!</f>
        <v>#REF!</v>
      </c>
      <c r="K21" s="29" t="e">
        <f>'Necesidades Trimestrales'!#REF!</f>
        <v>#REF!</v>
      </c>
    </row>
    <row r="22" spans="1:11" ht="20.25" customHeight="1" x14ac:dyDescent="0.25">
      <c r="A22" s="26">
        <v>11</v>
      </c>
      <c r="B22" s="16" t="e">
        <f>'Necesidades Trimestrales'!#REF!</f>
        <v>#REF!</v>
      </c>
      <c r="C22" s="129" t="e">
        <f>'Necesidades Trimestrales'!#REF!</f>
        <v>#REF!</v>
      </c>
      <c r="D22" s="129"/>
      <c r="E22" s="129"/>
      <c r="F22" s="129"/>
      <c r="G22" s="129"/>
      <c r="H22" s="17" t="s">
        <v>41</v>
      </c>
      <c r="I22" s="27" t="s">
        <v>17</v>
      </c>
      <c r="J22" s="28" t="e">
        <f>'Necesidades Trimestrales'!#REF!</f>
        <v>#REF!</v>
      </c>
      <c r="K22" s="29" t="e">
        <f>'Necesidades Trimestrales'!#REF!</f>
        <v>#REF!</v>
      </c>
    </row>
    <row r="23" spans="1:11" ht="20.25" customHeight="1" x14ac:dyDescent="0.25">
      <c r="A23" s="26">
        <v>12</v>
      </c>
      <c r="B23" s="16" t="e">
        <f>'Necesidades Trimestrales'!#REF!</f>
        <v>#REF!</v>
      </c>
      <c r="C23" s="129" t="e">
        <f>'Necesidades Trimestrales'!#REF!</f>
        <v>#REF!</v>
      </c>
      <c r="D23" s="129"/>
      <c r="E23" s="129"/>
      <c r="F23" s="129"/>
      <c r="G23" s="129"/>
      <c r="H23" s="17" t="s">
        <v>41</v>
      </c>
      <c r="I23" s="27" t="s">
        <v>17</v>
      </c>
      <c r="J23" s="28" t="e">
        <f>'Necesidades Trimestrales'!#REF!</f>
        <v>#REF!</v>
      </c>
      <c r="K23" s="29" t="e">
        <f>'Necesidades Trimestrales'!#REF!</f>
        <v>#REF!</v>
      </c>
    </row>
    <row r="24" spans="1:11" ht="20.25" customHeight="1" x14ac:dyDescent="0.25">
      <c r="A24" s="26">
        <v>13</v>
      </c>
      <c r="B24" s="16" t="e">
        <f>'Necesidades Trimestrales'!#REF!</f>
        <v>#REF!</v>
      </c>
      <c r="C24" s="129" t="e">
        <f>'Necesidades Trimestrales'!#REF!</f>
        <v>#REF!</v>
      </c>
      <c r="D24" s="129"/>
      <c r="E24" s="129"/>
      <c r="F24" s="129"/>
      <c r="G24" s="129"/>
      <c r="H24" s="17" t="s">
        <v>41</v>
      </c>
      <c r="I24" s="27" t="s">
        <v>17</v>
      </c>
      <c r="J24" s="28" t="e">
        <f>'Necesidades Trimestrales'!#REF!</f>
        <v>#REF!</v>
      </c>
      <c r="K24" s="29" t="e">
        <f>'Necesidades Trimestrales'!#REF!</f>
        <v>#REF!</v>
      </c>
    </row>
    <row r="25" spans="1:11" ht="20.25" customHeight="1" x14ac:dyDescent="0.25">
      <c r="A25" s="26">
        <v>14</v>
      </c>
      <c r="B25" s="16" t="e">
        <f>'Necesidades Trimestrales'!#REF!</f>
        <v>#REF!</v>
      </c>
      <c r="C25" s="129" t="e">
        <f>'Necesidades Trimestrales'!#REF!</f>
        <v>#REF!</v>
      </c>
      <c r="D25" s="129"/>
      <c r="E25" s="129"/>
      <c r="F25" s="129"/>
      <c r="G25" s="129"/>
      <c r="H25" s="17" t="s">
        <v>41</v>
      </c>
      <c r="I25" s="27" t="s">
        <v>17</v>
      </c>
      <c r="J25" s="28" t="e">
        <f>'Necesidades Trimestrales'!#REF!</f>
        <v>#REF!</v>
      </c>
      <c r="K25" s="29" t="e">
        <f>'Necesidades Trimestrales'!#REF!</f>
        <v>#REF!</v>
      </c>
    </row>
    <row r="26" spans="1:11" ht="20.25" customHeight="1" x14ac:dyDescent="0.25">
      <c r="A26" s="26">
        <v>15</v>
      </c>
      <c r="B26" s="16" t="e">
        <f>'Necesidades Trimestrales'!#REF!</f>
        <v>#REF!</v>
      </c>
      <c r="C26" s="129" t="e">
        <f>'Necesidades Trimestrales'!#REF!</f>
        <v>#REF!</v>
      </c>
      <c r="D26" s="129"/>
      <c r="E26" s="129"/>
      <c r="F26" s="129"/>
      <c r="G26" s="129"/>
      <c r="H26" s="17" t="s">
        <v>41</v>
      </c>
      <c r="I26" s="27" t="s">
        <v>17</v>
      </c>
      <c r="J26" s="28" t="e">
        <f>'Necesidades Trimestrales'!#REF!</f>
        <v>#REF!</v>
      </c>
      <c r="K26" s="29" t="e">
        <f>'Necesidades Trimestrales'!#REF!</f>
        <v>#REF!</v>
      </c>
    </row>
    <row r="27" spans="1:11" ht="20.25" customHeight="1" x14ac:dyDescent="0.25">
      <c r="A27" s="26">
        <v>16</v>
      </c>
      <c r="B27" s="16" t="e">
        <f>'Necesidades Trimestrales'!#REF!</f>
        <v>#REF!</v>
      </c>
      <c r="C27" s="129" t="e">
        <f>'Necesidades Trimestrales'!#REF!</f>
        <v>#REF!</v>
      </c>
      <c r="D27" s="129"/>
      <c r="E27" s="129"/>
      <c r="F27" s="129"/>
      <c r="G27" s="129"/>
      <c r="H27" s="17" t="s">
        <v>41</v>
      </c>
      <c r="I27" s="27" t="s">
        <v>17</v>
      </c>
      <c r="J27" s="28" t="e">
        <f>'Necesidades Trimestrales'!#REF!</f>
        <v>#REF!</v>
      </c>
      <c r="K27" s="29" t="e">
        <f>'Necesidades Trimestrales'!#REF!</f>
        <v>#REF!</v>
      </c>
    </row>
    <row r="28" spans="1:11" ht="20.25" customHeight="1" x14ac:dyDescent="0.25">
      <c r="A28" s="26">
        <v>17</v>
      </c>
      <c r="B28" s="16" t="e">
        <f>'Necesidades Trimestrales'!#REF!</f>
        <v>#REF!</v>
      </c>
      <c r="C28" s="129" t="e">
        <f>'Necesidades Trimestrales'!#REF!</f>
        <v>#REF!</v>
      </c>
      <c r="D28" s="129"/>
      <c r="E28" s="129"/>
      <c r="F28" s="129"/>
      <c r="G28" s="129"/>
      <c r="H28" s="17" t="s">
        <v>41</v>
      </c>
      <c r="I28" s="27" t="s">
        <v>17</v>
      </c>
      <c r="J28" s="28" t="e">
        <f>'Necesidades Trimestrales'!#REF!</f>
        <v>#REF!</v>
      </c>
      <c r="K28" s="30" t="e">
        <f>'Necesidades Trimestrales'!#REF!</f>
        <v>#REF!</v>
      </c>
    </row>
    <row r="29" spans="1:11" ht="20.25" customHeight="1" thickBot="1" x14ac:dyDescent="0.3">
      <c r="A29" s="31">
        <v>18</v>
      </c>
      <c r="B29" s="18" t="e">
        <f>'Necesidades Trimestrales'!#REF!</f>
        <v>#REF!</v>
      </c>
      <c r="C29" s="130" t="e">
        <f>'Necesidades Trimestrales'!#REF!</f>
        <v>#REF!</v>
      </c>
      <c r="D29" s="130"/>
      <c r="E29" s="130"/>
      <c r="F29" s="130"/>
      <c r="G29" s="130"/>
      <c r="H29" s="19" t="s">
        <v>41</v>
      </c>
      <c r="I29" s="32" t="s">
        <v>17</v>
      </c>
      <c r="J29" s="33" t="e">
        <f>'Necesidades Trimestrales'!#REF!</f>
        <v>#REF!</v>
      </c>
      <c r="K29" s="34" t="e">
        <f>'Necesidades Trimestrales'!#REF!</f>
        <v>#REF!</v>
      </c>
    </row>
    <row r="30" spans="1:11" ht="20.25" customHeight="1" thickBot="1" x14ac:dyDescent="0.3">
      <c r="A30" s="132" t="s">
        <v>42</v>
      </c>
      <c r="B30" s="133"/>
      <c r="C30" s="133"/>
      <c r="D30" s="134" t="s">
        <v>43</v>
      </c>
      <c r="E30" s="134"/>
      <c r="F30" s="134"/>
      <c r="G30" s="134"/>
      <c r="H30" s="134"/>
      <c r="I30" s="135"/>
      <c r="J30" s="131" t="e">
        <f>SUMPRODUCT(J12:J29,K12:K29)</f>
        <v>#REF!</v>
      </c>
      <c r="K30" s="131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7" zoomScale="106" zoomScaleNormal="106" workbookViewId="0">
      <selection activeCell="A16" sqref="A16:P16"/>
    </sheetView>
  </sheetViews>
  <sheetFormatPr baseColWidth="10" defaultColWidth="11" defaultRowHeight="12.5" x14ac:dyDescent="0.25"/>
  <cols>
    <col min="1" max="6" width="4.453125" style="5" customWidth="1"/>
    <col min="7" max="7" width="4.453125" style="6" customWidth="1"/>
    <col min="8" max="14" width="4.453125" style="5" customWidth="1"/>
    <col min="15" max="16" width="14.81640625" style="5" customWidth="1"/>
    <col min="17" max="17" width="14.7265625" style="5" customWidth="1"/>
    <col min="18" max="16384" width="11" style="5"/>
  </cols>
  <sheetData>
    <row r="1" spans="1:17" ht="15.75" customHeight="1" thickBot="1" x14ac:dyDescent="0.35">
      <c r="A1" s="136" t="s">
        <v>5</v>
      </c>
      <c r="B1" s="136"/>
      <c r="C1" s="136"/>
      <c r="D1" s="137">
        <f>'[1]Necesidades Trimestrales'!C6</f>
        <v>2021</v>
      </c>
      <c r="E1" s="137"/>
      <c r="F1" s="35"/>
      <c r="G1" s="35"/>
      <c r="H1" s="36"/>
      <c r="I1" s="36"/>
      <c r="J1" s="36"/>
      <c r="K1" s="36"/>
      <c r="L1" s="36"/>
      <c r="M1" s="36"/>
      <c r="N1" s="36"/>
      <c r="O1" s="37"/>
      <c r="P1" s="138" t="s">
        <v>44</v>
      </c>
      <c r="Q1" s="138"/>
    </row>
    <row r="2" spans="1:17" ht="15.75" customHeight="1" thickBot="1" x14ac:dyDescent="0.3">
      <c r="A2" s="37"/>
      <c r="B2" s="37"/>
      <c r="C2" s="37"/>
      <c r="D2" s="37"/>
      <c r="E2" s="37"/>
      <c r="F2" s="37"/>
      <c r="G2" s="38"/>
      <c r="H2" s="36"/>
      <c r="I2" s="36"/>
      <c r="J2" s="36"/>
      <c r="K2" s="36"/>
      <c r="L2" s="36"/>
      <c r="M2" s="36"/>
      <c r="N2" s="36"/>
      <c r="O2" s="37"/>
      <c r="P2" s="138"/>
      <c r="Q2" s="138"/>
    </row>
    <row r="3" spans="1:17" ht="13" thickBot="1" x14ac:dyDescent="0.3">
      <c r="A3" s="37"/>
      <c r="B3" s="37"/>
      <c r="C3" s="37"/>
      <c r="D3" s="37"/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s="39" customFormat="1" ht="18" customHeight="1" thickBot="1" x14ac:dyDescent="0.3">
      <c r="A4" s="139" t="s">
        <v>45</v>
      </c>
      <c r="B4" s="139"/>
      <c r="C4" s="139"/>
      <c r="D4" s="139"/>
      <c r="E4" s="139"/>
      <c r="F4" s="139"/>
      <c r="G4" s="140" t="str">
        <f>' NotaPedido'!D3</f>
        <v>90 - Ministerio de Seguridad</v>
      </c>
      <c r="H4" s="141"/>
      <c r="I4" s="141"/>
      <c r="J4" s="141"/>
      <c r="K4" s="141"/>
      <c r="L4" s="141"/>
      <c r="M4" s="141"/>
      <c r="N4" s="141"/>
      <c r="O4" s="141"/>
      <c r="P4" s="141"/>
      <c r="Q4" s="142"/>
    </row>
    <row r="5" spans="1:17" s="39" customFormat="1" ht="18" customHeight="1" thickBot="1" x14ac:dyDescent="0.3">
      <c r="A5" s="143" t="s">
        <v>26</v>
      </c>
      <c r="B5" s="144"/>
      <c r="C5" s="144"/>
      <c r="D5" s="144"/>
      <c r="E5" s="144"/>
      <c r="F5" s="145"/>
      <c r="G5" s="140" t="str">
        <f>' NotaPedido'!D4</f>
        <v>7 - Direccion Provincial de Administracion de la Policia de Catamarca</v>
      </c>
      <c r="H5" s="141"/>
      <c r="I5" s="141"/>
      <c r="J5" s="141"/>
      <c r="K5" s="141"/>
      <c r="L5" s="141"/>
      <c r="M5" s="141"/>
      <c r="N5" s="141"/>
      <c r="O5" s="141"/>
      <c r="P5" s="141"/>
      <c r="Q5" s="142"/>
    </row>
    <row r="6" spans="1:17" s="39" customFormat="1" ht="18" customHeight="1" thickBot="1" x14ac:dyDescent="0.3">
      <c r="A6" s="143" t="s">
        <v>27</v>
      </c>
      <c r="B6" s="144"/>
      <c r="C6" s="144"/>
      <c r="D6" s="144"/>
      <c r="E6" s="144"/>
      <c r="F6" s="145"/>
      <c r="G6" s="140" t="str">
        <f>' NotaPedido'!D5</f>
        <v>Jefatura de Policía de la Provincia de Catamarca</v>
      </c>
      <c r="H6" s="141"/>
      <c r="I6" s="141"/>
      <c r="J6" s="141"/>
      <c r="K6" s="141"/>
      <c r="L6" s="141"/>
      <c r="M6" s="141"/>
      <c r="N6" s="141"/>
      <c r="O6" s="141"/>
      <c r="P6" s="141"/>
      <c r="Q6" s="142"/>
    </row>
    <row r="7" spans="1:17" s="39" customFormat="1" ht="24.75" customHeight="1" thickBot="1" x14ac:dyDescent="0.3">
      <c r="A7" s="143" t="s">
        <v>29</v>
      </c>
      <c r="B7" s="144"/>
      <c r="C7" s="144"/>
      <c r="D7" s="144"/>
      <c r="E7" s="144"/>
      <c r="F7" s="145"/>
      <c r="G7" s="140" t="str">
        <f>' NotaPedido'!D6</f>
        <v>División Transporte- Dpto. Logistica (D-4)</v>
      </c>
      <c r="H7" s="141"/>
      <c r="I7" s="141"/>
      <c r="J7" s="141"/>
      <c r="K7" s="141"/>
      <c r="L7" s="141"/>
      <c r="M7" s="141"/>
      <c r="N7" s="141"/>
      <c r="O7" s="141"/>
      <c r="P7" s="141"/>
      <c r="Q7" s="142"/>
    </row>
    <row r="8" spans="1:17" ht="18" customHeight="1" thickBot="1" x14ac:dyDescent="0.3">
      <c r="A8" s="146" t="s">
        <v>46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5">
      <c r="A9" s="147" t="s">
        <v>47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37"/>
      <c r="P9" s="37"/>
      <c r="Q9" s="40"/>
    </row>
    <row r="10" spans="1:17" ht="66.75" customHeight="1" x14ac:dyDescent="0.25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thickBot="1" x14ac:dyDescent="0.3">
      <c r="A11" s="41"/>
      <c r="B11" s="42"/>
      <c r="C11" s="42"/>
      <c r="D11" s="42"/>
      <c r="E11" s="42"/>
      <c r="F11" s="42"/>
      <c r="G11" s="43"/>
      <c r="H11" s="42"/>
      <c r="I11" s="42"/>
      <c r="J11" s="42"/>
      <c r="K11" s="42"/>
      <c r="L11" s="42"/>
      <c r="M11" s="42"/>
      <c r="N11" s="42"/>
      <c r="O11" s="42"/>
      <c r="P11" s="42"/>
      <c r="Q11" s="44"/>
    </row>
    <row r="12" spans="1:17" ht="15.75" customHeight="1" thickBot="1" x14ac:dyDescent="0.3">
      <c r="A12" s="149" t="s">
        <v>48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thickBot="1" x14ac:dyDescent="0.3">
      <c r="A13" s="150" t="s">
        <v>49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50</v>
      </c>
      <c r="P13" s="151"/>
      <c r="Q13" s="152" t="s">
        <v>51</v>
      </c>
    </row>
    <row r="14" spans="1:17" ht="15.75" customHeight="1" thickBot="1" x14ac:dyDescent="0.3">
      <c r="A14" s="45" t="s">
        <v>52</v>
      </c>
      <c r="B14" s="46" t="s">
        <v>53</v>
      </c>
      <c r="C14" s="46" t="s">
        <v>54</v>
      </c>
      <c r="D14" s="46" t="s">
        <v>55</v>
      </c>
      <c r="E14" s="46" t="s">
        <v>56</v>
      </c>
      <c r="F14" s="46" t="s">
        <v>57</v>
      </c>
      <c r="G14" s="47" t="s">
        <v>58</v>
      </c>
      <c r="H14" s="46" t="s">
        <v>59</v>
      </c>
      <c r="I14" s="46" t="s">
        <v>60</v>
      </c>
      <c r="J14" s="46" t="s">
        <v>61</v>
      </c>
      <c r="K14" s="46" t="s">
        <v>61</v>
      </c>
      <c r="L14" s="46" t="s">
        <v>62</v>
      </c>
      <c r="M14" s="48" t="s">
        <v>63</v>
      </c>
      <c r="N14" s="49" t="s">
        <v>64</v>
      </c>
      <c r="O14" s="151"/>
      <c r="P14" s="151"/>
      <c r="Q14" s="152"/>
    </row>
    <row r="15" spans="1:17" ht="17.25" customHeight="1" thickBot="1" x14ac:dyDescent="0.3">
      <c r="A15" s="50">
        <v>16</v>
      </c>
      <c r="B15" s="51">
        <v>0</v>
      </c>
      <c r="C15" s="51">
        <v>0</v>
      </c>
      <c r="D15" s="51">
        <v>1</v>
      </c>
      <c r="E15" s="51">
        <v>0</v>
      </c>
      <c r="F15" s="51">
        <v>10</v>
      </c>
      <c r="G15" s="51">
        <v>2</v>
      </c>
      <c r="H15" s="51">
        <v>1</v>
      </c>
      <c r="I15" s="51">
        <v>2</v>
      </c>
      <c r="J15" s="51">
        <v>4</v>
      </c>
      <c r="K15" s="51">
        <v>4</v>
      </c>
      <c r="L15" s="51">
        <v>0</v>
      </c>
      <c r="M15" s="52">
        <v>1</v>
      </c>
      <c r="N15" s="51" t="s">
        <v>65</v>
      </c>
      <c r="O15" s="154" t="s">
        <v>66</v>
      </c>
      <c r="P15" s="154"/>
      <c r="Q15" s="53" t="e">
        <f>'Necesidades Trimestrales'!#REF!</f>
        <v>#REF!</v>
      </c>
    </row>
    <row r="16" spans="1:17" ht="23.25" customHeight="1" thickBot="1" x14ac:dyDescent="0.35">
      <c r="A16" s="155" t="s">
        <v>67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7"/>
      <c r="Q16" s="53" t="e">
        <f>+Q15</f>
        <v>#REF!</v>
      </c>
    </row>
    <row r="17" spans="1:17" ht="21.75" customHeight="1" thickBot="1" x14ac:dyDescent="0.3">
      <c r="A17" s="54"/>
      <c r="B17" s="37"/>
      <c r="C17" s="37"/>
      <c r="D17" s="37"/>
      <c r="E17" s="162" t="str">
        <f>' NotaPedido'!D30</f>
        <v>Trece Millones Quinientos Cuatro Mil Doscientos Cuatro con 00/100.</v>
      </c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55"/>
    </row>
    <row r="18" spans="1:17" ht="17.25" customHeight="1" thickBot="1" x14ac:dyDescent="0.3">
      <c r="A18" s="158" t="s">
        <v>68</v>
      </c>
      <c r="B18" s="159"/>
      <c r="C18" s="159"/>
      <c r="D18" s="159"/>
      <c r="E18" s="159"/>
      <c r="F18" s="160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</row>
    <row r="19" spans="1:17" ht="17.25" customHeight="1" thickBot="1" x14ac:dyDescent="0.3">
      <c r="A19" s="153" t="str">
        <f>' NotaPedido'!D8</f>
        <v>Adquisición de CUBIERTAS destinadas a las Unidades Moviles de la Policia de Catamarca.-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</row>
    <row r="20" spans="1:17" ht="17.25" customHeight="1" thickBot="1" x14ac:dyDescent="0.3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</row>
    <row r="21" spans="1:17" ht="17.25" customHeight="1" x14ac:dyDescent="0.25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12"/>
      <c r="P21" s="12"/>
      <c r="Q21" s="7"/>
    </row>
    <row r="22" spans="1:17" ht="17.2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2"/>
      <c r="P22" s="12"/>
      <c r="Q22" s="7"/>
    </row>
    <row r="23" spans="1:17" ht="20.2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0"/>
    </row>
    <row r="24" spans="1:17" ht="18" customHeight="1" x14ac:dyDescent="0.25">
      <c r="G24" s="5"/>
    </row>
    <row r="25" spans="1:17" ht="17.25" customHeight="1" x14ac:dyDescent="0.25">
      <c r="A25" s="13"/>
      <c r="B25" s="13"/>
      <c r="C25" s="13"/>
      <c r="D25" s="13"/>
      <c r="E25" s="13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18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1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agusf</cp:lastModifiedBy>
  <cp:revision>2</cp:revision>
  <dcterms:created xsi:type="dcterms:W3CDTF">2020-07-17T23:44:49Z</dcterms:created>
  <dcterms:modified xsi:type="dcterms:W3CDTF">2022-10-20T16:44:59Z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