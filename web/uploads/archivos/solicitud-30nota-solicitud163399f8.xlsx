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Trimestrales'!$A$9:$I$40</definedName>
    <definedName name="_xlnm.Print_Area" localSheetId="1">' NotaPedido'!$A$1:$K$48</definedName>
    <definedName name="_xlnm.Print_Area" localSheetId="2">'Autor Gastar'!$A$1:$Q$25</definedName>
    <definedName name="_xlnm.Print_Area" localSheetId="0">'Necesidades Trimestrales'!$E$9:$E$19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8" i="2" l="1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13" i="2"/>
  <c r="B12" i="2"/>
  <c r="K47" i="2" l="1"/>
  <c r="J47" i="2"/>
  <c r="I47" i="2"/>
  <c r="C47" i="2"/>
  <c r="K46" i="2"/>
  <c r="J46" i="2"/>
  <c r="I46" i="2"/>
  <c r="C46" i="2"/>
  <c r="K45" i="2"/>
  <c r="J45" i="2"/>
  <c r="I45" i="2"/>
  <c r="C45" i="2"/>
  <c r="K44" i="2"/>
  <c r="J44" i="2"/>
  <c r="I44" i="2"/>
  <c r="C44" i="2"/>
  <c r="K43" i="2"/>
  <c r="J43" i="2"/>
  <c r="I43" i="2"/>
  <c r="C43" i="2"/>
  <c r="I45" i="1"/>
  <c r="I44" i="1"/>
  <c r="I43" i="1"/>
  <c r="I42" i="1"/>
  <c r="I41" i="1"/>
  <c r="G10" i="1"/>
  <c r="F10" i="1"/>
  <c r="E10" i="1"/>
  <c r="B10" i="1"/>
  <c r="K22" i="2" l="1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40" i="2"/>
  <c r="I41" i="2"/>
  <c r="I42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9" i="2"/>
  <c r="I38" i="2"/>
  <c r="I10" i="1" l="1"/>
  <c r="C12" i="2"/>
  <c r="K12" i="2"/>
  <c r="J12" i="2"/>
  <c r="I12" i="2"/>
  <c r="C14" i="2" l="1"/>
  <c r="C15" i="2" l="1"/>
  <c r="C16" i="2"/>
  <c r="C17" i="2"/>
  <c r="C18" i="2"/>
  <c r="C19" i="2"/>
  <c r="C20" i="2"/>
  <c r="C21" i="2"/>
  <c r="I14" i="2"/>
  <c r="I15" i="2"/>
  <c r="I16" i="2"/>
  <c r="I17" i="2"/>
  <c r="I18" i="2"/>
  <c r="I19" i="2"/>
  <c r="I20" i="2"/>
  <c r="I21" i="2"/>
  <c r="K14" i="2"/>
  <c r="K15" i="2"/>
  <c r="K16" i="2"/>
  <c r="K17" i="2"/>
  <c r="K18" i="2"/>
  <c r="K19" i="2"/>
  <c r="K20" i="2"/>
  <c r="K21" i="2"/>
  <c r="J14" i="2"/>
  <c r="J15" i="2"/>
  <c r="J16" i="2"/>
  <c r="J17" i="2"/>
  <c r="J18" i="2"/>
  <c r="J19" i="2"/>
  <c r="J20" i="2"/>
  <c r="J21" i="2"/>
  <c r="I12" i="1"/>
  <c r="I13" i="1"/>
  <c r="I14" i="1"/>
  <c r="I15" i="1"/>
  <c r="I16" i="1"/>
  <c r="I17" i="1"/>
  <c r="I18" i="1"/>
  <c r="I19" i="1"/>
  <c r="I11" i="1"/>
  <c r="A10" i="3" l="1"/>
  <c r="G6" i="3" l="1"/>
  <c r="D3" i="2"/>
  <c r="G4" i="3" s="1"/>
  <c r="D4" i="2"/>
  <c r="G5" i="3" s="1"/>
  <c r="D1" i="3" l="1"/>
  <c r="K13" i="2"/>
  <c r="J13" i="2"/>
  <c r="I13" i="2"/>
  <c r="C13" i="2"/>
  <c r="Q21" i="3" l="1"/>
</calcChain>
</file>

<file path=xl/sharedStrings.xml><?xml version="1.0" encoding="utf-8"?>
<sst xmlns="http://schemas.openxmlformats.org/spreadsheetml/2006/main" count="292" uniqueCount="150">
  <si>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</si>
  <si>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</si>
  <si>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</si>
  <si>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</si>
  <si>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</si>
  <si>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</si>
  <si>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</si>
  <si>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</si>
  <si>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</si>
  <si>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</si>
  <si>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</si>
  <si>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</si>
  <si>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</si>
  <si>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</si>
  <si>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</si>
  <si>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</si>
  <si>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</si>
  <si>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</si>
  <si>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</si>
  <si>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</si>
  <si>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</si>
  <si>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</si>
  <si>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</si>
  <si>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</si>
  <si>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</si>
  <si>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</si>
  <si>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</si>
  <si>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</si>
  <si>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</si>
  <si>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</si>
  <si>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</si>
  <si>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</si>
  <si>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</si>
  <si>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</si>
  <si>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</si>
  <si>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</si>
  <si>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</si>
  <si>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</si>
  <si>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</si>
  <si>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</si>
  <si>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</si>
  <si>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</si>
  <si>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</si>
  <si>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</si>
  <si>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</si>
  <si>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</si>
  <si>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</si>
  <si>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</si>
  <si>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</si>
  <si>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</si>
  <si>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</si>
  <si>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</si>
  <si>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</si>
  <si>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</si>
  <si>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</si>
  <si>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</si>
  <si>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</si>
  <si>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MEDICO/FARMACEUTICOS/LAB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</si>
  <si>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</si>
  <si>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</si>
  <si>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</si>
  <si>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 de Oferta</t>
    </r>
    <r>
      <rPr>
        <sz val="10"/>
        <rFont val="Times New Roman"/>
        <family val="1"/>
      </rPr>
      <t xml:space="preserve">: 45 dias habiles </t>
    </r>
  </si>
  <si>
    <t>Cuatrimestral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</si>
  <si>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</si>
  <si>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2.9.5-441.471</t>
  </si>
  <si>
    <t xml:space="preserve">2.9.5-441.472 </t>
  </si>
  <si>
    <t>2.9.5-441.92</t>
  </si>
  <si>
    <t>2.9.5-441.356</t>
  </si>
  <si>
    <t>2.9.5-441.51</t>
  </si>
  <si>
    <t>2.9.5-441.245</t>
  </si>
  <si>
    <t xml:space="preserve">2.9.5-428.21 </t>
  </si>
  <si>
    <t>2.9.5-428.36</t>
  </si>
  <si>
    <t xml:space="preserve">2.9.5-4198.9 </t>
  </si>
  <si>
    <t xml:space="preserve">2.5.1-9004.1319 </t>
  </si>
  <si>
    <t>2.9.5-8239.1</t>
  </si>
  <si>
    <t>2.2.2-915.15</t>
  </si>
  <si>
    <t>2.9.5-2505.24</t>
  </si>
  <si>
    <t>2.9.5-2225.87</t>
  </si>
  <si>
    <t>2.9.5-1909.135</t>
  </si>
  <si>
    <t>2.9.5-1909.203</t>
  </si>
  <si>
    <t>2.9.5-1909.172</t>
  </si>
  <si>
    <t>2.9.5-1909.174</t>
  </si>
  <si>
    <t>2.9.5-1909.173</t>
  </si>
  <si>
    <t>2.9.5-1909.169</t>
  </si>
  <si>
    <t>2.9.5-1909.168</t>
  </si>
  <si>
    <t>2.9.5-4198.171</t>
  </si>
  <si>
    <t>2.9.5-6535.3</t>
  </si>
  <si>
    <t>2.9.5-461.78</t>
  </si>
  <si>
    <t>2.9.9-2504.21</t>
  </si>
  <si>
    <t>2.9.9-2504.11</t>
  </si>
  <si>
    <t>2.9.5-931.36</t>
  </si>
  <si>
    <t>2.9.5-931.47</t>
  </si>
  <si>
    <t>2.9.5-931.48</t>
  </si>
  <si>
    <t>2.9.5-931.9</t>
  </si>
  <si>
    <t>2.9.5-6526.58</t>
  </si>
  <si>
    <t>2.9.5-2569.45</t>
  </si>
  <si>
    <t>2.9.5-2569.4</t>
  </si>
  <si>
    <t>2.9.5-2569.111</t>
  </si>
  <si>
    <t>2.9.5-6527.36</t>
  </si>
  <si>
    <t>AGUJAS QUIRURGICAS; TIPO: TERUMO 25GX5/8", ESPECIFICACION: 16/5, UNIDAD VENTA: CAJA X 100, PRESENTACION: CAJA X 100</t>
  </si>
  <si>
    <t>AGUJAS QUIRURGICAS; TIPO: 25GX5/8", ESPECIFICACION: 16/5, UNIDAD VENTA: CAJA X 100 UN, PRESENTACION: CAJA X 100 UN</t>
  </si>
  <si>
    <t>AGUJAS QUIRURGICAS; TIPO: DESCARTABLE, ESPECIFICACION: 25 X 0,8, UNIDAD VENTA: CAJA X 100, PRESENTACION: CAJA X 100</t>
  </si>
  <si>
    <t>AGUJAS QUIRURGICAS; TIPO: DESCARTABLE, ESPECIFICACION: 40/12, PRESENTACION: ENVASE X 100 UN</t>
  </si>
  <si>
    <t>AGUJAS QUIRURGICAS; TIPO: DESCARTABLE, UNIDAD VENTA: 100, ESPECIFICACION: 40/8, PRESENTACION: 100</t>
  </si>
  <si>
    <t>AGUJAS QUIRURGICAS; TIPO: ESTERIL, ESPECIFICACION: 50/8, UNIDAD VENTA: CAJA X 100 UN, PRESENTACION: CAJA X 100 UN</t>
  </si>
  <si>
    <t>BARBIJOS; TIPO: 3 CAPAS</t>
  </si>
  <si>
    <t>BARBIJOS; TIPO: COPA N95 SIN VALVULA, MATERIAL: NO TEJIDO, CANTIDAD DE CAPAS: DOS, DESCARTABLE: SI, PRESENTACION: UNIDAD</t>
  </si>
  <si>
    <t>ELEMENTOS DESC. P/CIRUGIAS; TIPO: BOTA CAÑA ALTA CON TIRAS, CANTIDAD: 1, PRESENTACION: 1</t>
  </si>
  <si>
    <t>SALES; COMPUESTO QUIMICO: CAL SODADA, ESTADO: GRANULADO, CALIDAD: MEDICA, PRESENTACION: ENVASE X 1 KG</t>
  </si>
  <si>
    <t>CHATAS; MATERIAL: PVC</t>
  </si>
  <si>
    <t>ROPA DESCARTABLE; ELEMENTO: COFIA, VARIEDAD: CON ELASTICO, ESPECIFICACION: CON ELASTICO</t>
  </si>
  <si>
    <t>BOLSAS COLECTORAS; TIPO: DE ORINA, USO: PEDIATRICO, CAPACIDAD: 100 CM3</t>
  </si>
  <si>
    <t>ELECTRODOS P/MEDICINA; TIPO: ECG, USO: MONITORIZACION, PIN: SIN, AGUJA: SIN, DESCARTABLE: SI</t>
  </si>
  <si>
    <t>GUANTES USO MEDICINAL; TIPO: ESTERIL, TAMAÑO: 6 1/2 CAÑA LARGA, MATERIAL: LATEX, PRESENTACION: PAR, ESTERIL: SI, TALCO: SIN, DESCARTABLE: SI</t>
  </si>
  <si>
    <t>GUANTES USO MEDICINAL; TIPO: ESTERIL, TAMAÑO: 7 CAÑA LARGA, MATERIAL: LATEX, PRESENTACION: PAR, ESTERIL: SI, TALCO: SIN, DESCARTABLE: SI</t>
  </si>
  <si>
    <t>GUANTES USO MEDICINAL; TIPO: EXAMINACION, TAMAÑO: S 6/7, MATERIAL: NITRILO, PRESENTACION: ENVASE X 100 UN, ESTERIL: NO, TALCO: SIN, DESCARTABLE: SI</t>
  </si>
  <si>
    <t>GUANTES USO MEDICINAL; TIPO: EXAMINACION, TAMAÑO: L 8/9, MATERIAL: NITRILO, PRESENTACION: ENVASE X 100 UN, ESTERIL: NO, TALCO: SIN, DESCARTABLE: SI</t>
  </si>
  <si>
    <t>GUANTES USO MEDICINAL; TIPO: EXAMINACION, TAMAÑO: M 7/8, MATERIAL: NITRILO, PRESENTACION: ENVASE X 100 UN, ESTERIL: NO, TALCO: SIN, DESCARTABLE: SI</t>
  </si>
  <si>
    <t>GUANTES USO MEDICINAL; TIPO: EXAMINACION, TAMAÑO: L 8/9, MATERIAL: VINILO, PRESENTACION: ENVASE X 100 UN, ESTERIL: NO, TALCO: SIN, DESCARTABLE: SI</t>
  </si>
  <si>
    <t>GUANTES USO MEDICINAL; TIPO: EXAMINACION, TAMAÑO: M 7/8, MATERIAL: VINILO, PRESENTACION: ENVASE X 100 UN, ESTERIL: NO, TALCO: SIN, DESCARTABLE: SI</t>
  </si>
  <si>
    <t>ELEMENTOS DESC. P/CIRUGIAS; TIPO: KIT DE CAMISOLIN 50 GRS CON PUÑO DE ALGODON + COFIA + BOTAS PAR, PRESENTACION: INDIVIDUAL, ESTERIL: NO</t>
  </si>
  <si>
    <t>MAMADERAS; MATERIAL: VIDRIO BOROSILICATO, TIPO: PYREX, TAPA: CON, VOLUMEN: 250 mL</t>
  </si>
  <si>
    <t>VENDAS USO MEDICO; TIPO: OVATA, MEDIDA: 10 Cm</t>
  </si>
  <si>
    <t>PAÑALES; USO: ADULTO, TIPO: DESCARTABLE XG</t>
  </si>
  <si>
    <t>PAÑALES; TIPO: DESCARTABLE, USO: NIÑOS EXTRAGRANDE 12 A 15 Kg</t>
  </si>
  <si>
    <t>TELAS ADHESIVAS; ANCHO: 5 Cm, LONG.DE CUERPO: 9 M, TIPO: IMPERMEABLE</t>
  </si>
  <si>
    <t>TELAS ADHESIVAS; ANCHO: 2,5 Cm, LONG.DE CUERPO: 9 M, TIPO: HIPOALERGICA MICROPOROSA</t>
  </si>
  <si>
    <t>TELAS ADHESIVAS; ANCHO: 2,5 CM, LONG.DE CUERPO: 9 M, TIPO: HIPOALERGENICA MACROPOROSA TRANSPARENTE</t>
  </si>
  <si>
    <t>TELAS ADHESIVAS; LONG.DE CUERPO: 9 M, ANCHO: 5.00 CM, TIPO: HIPOALERGENICA MACROPOROSA TRANSPARENTE</t>
  </si>
  <si>
    <t>TUBOS P/MEDICINA; TIPO: DE LATEX, USO: P/DRENAJE, PRESENTACION: 1 M, DIMENSION: 3 X 5 MM</t>
  </si>
  <si>
    <t>TUBOS TRAQUEALES; TIPO: ENDOTRAQUEAL C/BALON, NUMERO: 2,5 MM</t>
  </si>
  <si>
    <t>TUBOS TRAQUEALES; TIPO: ENDOTRAQUEAL C/BALON, NUMERO: 8 MM</t>
  </si>
  <si>
    <t>TUBOS TRAQUEALES; TIPO: ENDOTRAQUEAL C/ BALON, NUMERO: 8,5 MM</t>
  </si>
  <si>
    <t>TUBULADURAS; TIPO: TRANSPARENTE DE PVC, USO: MEDICO, MEDIDAS: 6 MM X 9 MM, PRESENTACION: 50 M</t>
  </si>
  <si>
    <t>CAJA</t>
  </si>
  <si>
    <t xml:space="preserve">UNIDAD </t>
  </si>
  <si>
    <t>PAR</t>
  </si>
  <si>
    <t>ROLLO</t>
  </si>
  <si>
    <t>METRO</t>
  </si>
  <si>
    <t>2.9.5</t>
  </si>
  <si>
    <t>Insumos Comun</t>
  </si>
  <si>
    <t>046/2022</t>
  </si>
  <si>
    <t>TOTAL DE PESOS: UN MILLON TRESCIENTOS TREINTA Y OCHO MIL QUINIENTOS SETENTA Y CINCO CON 15/100.</t>
  </si>
  <si>
    <t>Para la adquisición de Insumos Comunes destinados al Servicio de Farmacia del Hospital Interzonal de Niños Eva Peron, para el normal funcionamiento del organismo.</t>
  </si>
  <si>
    <t>UTILES MENORES MEDICO, QUIRURGICO Y DE LABORATORIO</t>
  </si>
  <si>
    <t>2.5.1</t>
  </si>
  <si>
    <t>2.9.9</t>
  </si>
  <si>
    <t>Costo total estimado: Un Millon Trescientos Treinta y Ocho Mil Quinientos Setenta y Cinco Con 15/100.</t>
  </si>
  <si>
    <t>COMPUESTOS QUIMICOS</t>
  </si>
  <si>
    <t>OTROS NO ESPECIFICADOS PRECEDENTEMENTE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</si>
</sst>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_-"/>
    <numFmt numFmtId="171" formatCode="[$$-2C0A]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33333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166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69" fontId="21" fillId="0" borderId="0" xfId="0" applyNumberFormat="1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66" fontId="21" fillId="4" borderId="58" xfId="1" applyNumberFormat="1" applyFont="1" applyFill="1" applyBorder="1" applyAlignment="1" applyProtection="1">
      <alignment horizontal="right" vertical="center" wrapText="1"/>
    </xf>
    <xf numFmtId="0" fontId="5" fillId="3" borderId="57" xfId="0" applyFont="1" applyFill="1" applyBorder="1" applyAlignment="1">
      <alignment horizontal="center" vertical="center"/>
    </xf>
    <xf numFmtId="3" fontId="5" fillId="3" borderId="58" xfId="0" applyNumberFormat="1" applyFont="1" applyFill="1" applyBorder="1" applyAlignment="1">
      <alignment horizontal="center" vertical="center"/>
    </xf>
    <xf numFmtId="166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69" fontId="25" fillId="0" borderId="16" xfId="0" applyNumberFormat="1" applyFont="1" applyBorder="1" applyAlignment="1">
      <alignment horizontal="center" vertical="center" wrapText="1"/>
    </xf>
    <xf numFmtId="166" fontId="14" fillId="3" borderId="38" xfId="0" applyNumberFormat="1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/>
    </xf>
    <xf numFmtId="0" fontId="5" fillId="4" borderId="6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 wrapText="1"/>
    </xf>
    <xf numFmtId="166" fontId="5" fillId="3" borderId="60" xfId="1" applyNumberFormat="1" applyFont="1" applyFill="1" applyBorder="1" applyAlignment="1" applyProtection="1">
      <alignment horizontal="right" vertical="center" wrapText="1"/>
    </xf>
    <xf numFmtId="3" fontId="5" fillId="3" borderId="62" xfId="0" applyNumberFormat="1" applyFont="1" applyFill="1" applyBorder="1" applyAlignment="1">
      <alignment horizontal="center" vertical="center"/>
    </xf>
    <xf numFmtId="0" fontId="27" fillId="0" borderId="56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16" fillId="0" borderId="7" xfId="0" applyFont="1" applyFill="1" applyBorder="1"/>
    <xf numFmtId="0" fontId="23" fillId="0" borderId="9" xfId="0" applyFont="1" applyBorder="1" applyAlignment="1"/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5" fillId="3" borderId="56" xfId="0" applyFont="1" applyFill="1" applyBorder="1" applyAlignment="1">
      <alignment horizontal="left" wrapText="1"/>
    </xf>
    <xf numFmtId="0" fontId="15" fillId="3" borderId="56" xfId="0" applyFont="1" applyFill="1" applyBorder="1" applyAlignment="1">
      <alignment horizontal="center" vertical="center"/>
    </xf>
    <xf numFmtId="3" fontId="15" fillId="3" borderId="56" xfId="0" applyNumberFormat="1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166" fontId="21" fillId="4" borderId="3" xfId="1" applyNumberFormat="1" applyFont="1" applyFill="1" applyBorder="1" applyAlignment="1" applyProtection="1">
      <alignment horizontal="right" vertical="center" wrapText="1"/>
    </xf>
    <xf numFmtId="0" fontId="21" fillId="0" borderId="57" xfId="0" applyFont="1" applyFill="1" applyBorder="1" applyAlignment="1">
      <alignment horizontal="center" vertical="center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21" fillId="0" borderId="63" xfId="0" applyFont="1" applyFill="1" applyBorder="1" applyAlignment="1">
      <alignment horizontal="center" vertical="center"/>
    </xf>
    <xf numFmtId="166" fontId="21" fillId="0" borderId="65" xfId="1" applyNumberFormat="1" applyFont="1" applyFill="1" applyBorder="1" applyAlignment="1" applyProtection="1">
      <alignment horizontal="right" vertical="center" wrapText="1"/>
    </xf>
    <xf numFmtId="0" fontId="19" fillId="0" borderId="2" xfId="0" applyFont="1" applyBorder="1" applyAlignment="1">
      <alignment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wrapText="1"/>
    </xf>
    <xf numFmtId="0" fontId="15" fillId="3" borderId="2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0" fontId="19" fillId="0" borderId="56" xfId="0" applyFont="1" applyBorder="1" applyAlignment="1">
      <alignment vertical="center" wrapText="1"/>
    </xf>
    <xf numFmtId="0" fontId="19" fillId="0" borderId="64" xfId="0" applyFont="1" applyBorder="1" applyAlignment="1">
      <alignment vertical="center" wrapText="1"/>
    </xf>
    <xf numFmtId="0" fontId="27" fillId="0" borderId="64" xfId="0" applyFont="1" applyFill="1" applyBorder="1" applyAlignment="1">
      <alignment horizontal="center" vertical="center" wrapText="1"/>
    </xf>
    <xf numFmtId="0" fontId="15" fillId="3" borderId="64" xfId="0" applyFont="1" applyFill="1" applyBorder="1" applyAlignment="1">
      <alignment horizontal="left" wrapText="1"/>
    </xf>
    <xf numFmtId="0" fontId="15" fillId="3" borderId="64" xfId="0" applyFont="1" applyFill="1" applyBorder="1" applyAlignment="1">
      <alignment horizontal="center" vertical="center"/>
    </xf>
    <xf numFmtId="3" fontId="15" fillId="3" borderId="6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170" fontId="15" fillId="3" borderId="2" xfId="1" applyNumberFormat="1" applyFont="1" applyFill="1" applyBorder="1" applyAlignment="1">
      <alignment horizontal="center" vertical="center"/>
    </xf>
    <xf numFmtId="170" fontId="15" fillId="3" borderId="56" xfId="1" applyNumberFormat="1" applyFont="1" applyFill="1" applyBorder="1" applyAlignment="1">
      <alignment horizontal="center" vertical="center"/>
    </xf>
    <xf numFmtId="170" fontId="15" fillId="0" borderId="56" xfId="1" applyNumberFormat="1" applyFont="1" applyFill="1" applyBorder="1" applyAlignment="1">
      <alignment horizontal="center" vertical="center"/>
    </xf>
    <xf numFmtId="170" fontId="15" fillId="0" borderId="56" xfId="1" applyNumberFormat="1" applyFont="1" applyFill="1" applyBorder="1" applyAlignment="1">
      <alignment horizontal="right" vertical="center"/>
    </xf>
    <xf numFmtId="170" fontId="15" fillId="0" borderId="64" xfId="1" applyNumberFormat="1" applyFont="1" applyFill="1" applyBorder="1" applyAlignment="1">
      <alignment horizontal="right" vertical="center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6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171" fontId="16" fillId="0" borderId="0" xfId="0" applyNumberFormat="1" applyFont="1"/>
    <xf numFmtId="0" fontId="15" fillId="0" borderId="66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 wrapText="1"/>
    </xf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INSUMOS%20MEDICOS%20COMUNES%20-prov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7">
          <cell r="C7" t="str">
            <v>2.9.5-441.470</v>
          </cell>
          <cell r="D7" t="str">
            <v>AGUJAS QUIRURGICAS; TIPO: TERUMO 21GX1", ESPECIFICACION: 25/8, UNIDAD VENTA: CAJA X 100, PRESENTACION: CAJA X 100</v>
          </cell>
          <cell r="E7" t="str">
            <v>CAJA</v>
          </cell>
          <cell r="F7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5"/>
  <sheetViews>
    <sheetView tabSelected="1" zoomScale="93" zoomScaleNormal="93" workbookViewId="0">
      <selection activeCell="I47" sqref="I47"/>
    </sheetView>
  </sheetViews>
  <sheetFormatPr baseColWidth="10" defaultColWidth="11" defaultRowHeight="12.75" x14ac:dyDescent="0.2"/>
  <cols>
    <col min="1" max="1" width="8.42578125" style="25" customWidth="1"/>
    <col min="2" max="2" width="16.85546875" style="25" customWidth="1"/>
    <col min="3" max="3" width="30.140625" style="25" customWidth="1"/>
    <col min="4" max="4" width="8.42578125" style="25" customWidth="1"/>
    <col min="5" max="5" width="57.7109375" style="25" customWidth="1"/>
    <col min="6" max="6" width="14.42578125" style="25" customWidth="1"/>
    <col min="7" max="7" width="10.85546875" style="25" customWidth="1"/>
    <col min="8" max="8" width="15.7109375" style="50" customWidth="1"/>
    <col min="9" max="9" width="18.5703125" style="25" customWidth="1"/>
    <col min="10" max="10" width="11" style="25"/>
    <col min="11" max="11" width="13.140625" style="25" customWidth="1"/>
    <col min="12" max="16384" width="11" style="25"/>
  </cols>
  <sheetData>
    <row r="2" spans="1:10" ht="27" x14ac:dyDescent="0.35">
      <c r="B2" s="122" t="s">
        <v>0</v>
      </c>
      <c r="C2" s="122"/>
      <c r="D2" s="122"/>
      <c r="E2" s="122"/>
      <c r="F2" s="122"/>
      <c r="G2" s="122"/>
      <c r="H2" s="122"/>
    </row>
    <row r="3" spans="1:10" ht="12" customHeight="1" x14ac:dyDescent="0.2"/>
    <row r="4" spans="1:10" ht="18" customHeight="1" x14ac:dyDescent="0.25">
      <c r="A4" s="121" t="s">
        <v>1</v>
      </c>
      <c r="B4" s="121"/>
      <c r="C4" s="123" t="s">
        <v>52</v>
      </c>
      <c r="D4" s="123"/>
      <c r="E4" s="123"/>
      <c r="F4" s="26"/>
      <c r="G4" s="27"/>
      <c r="H4" s="51"/>
    </row>
    <row r="5" spans="1:10" ht="18" customHeight="1" x14ac:dyDescent="0.25">
      <c r="A5" s="121" t="s">
        <v>2</v>
      </c>
      <c r="B5" s="121"/>
      <c r="C5" s="123" t="s">
        <v>51</v>
      </c>
      <c r="D5" s="123"/>
      <c r="E5" s="123"/>
      <c r="F5" s="26"/>
      <c r="G5" s="27" t="s">
        <v>55</v>
      </c>
      <c r="H5" s="51"/>
    </row>
    <row r="6" spans="1:10" ht="16.5" customHeight="1" x14ac:dyDescent="0.25">
      <c r="A6" s="121" t="s">
        <v>3</v>
      </c>
      <c r="B6" s="121"/>
      <c r="C6" s="41">
        <v>2022</v>
      </c>
      <c r="D6" s="42"/>
      <c r="E6" s="42"/>
      <c r="F6" s="26"/>
      <c r="G6" s="27"/>
      <c r="H6" s="51"/>
    </row>
    <row r="7" spans="1:10" ht="16.5" customHeight="1" x14ac:dyDescent="0.25">
      <c r="A7" s="121" t="s">
        <v>4</v>
      </c>
      <c r="B7" s="121"/>
      <c r="C7" s="41">
        <v>1</v>
      </c>
      <c r="D7" s="42"/>
      <c r="E7" s="42"/>
      <c r="F7" s="26"/>
      <c r="G7" s="27"/>
      <c r="H7" s="51"/>
    </row>
    <row r="8" spans="1:10" ht="13.5" thickBot="1" x14ac:dyDescent="0.25">
      <c r="B8" s="26"/>
      <c r="C8" s="27"/>
      <c r="D8" s="26"/>
      <c r="E8" s="26"/>
      <c r="F8" s="26"/>
      <c r="G8" s="27"/>
      <c r="H8" s="51"/>
      <c r="J8" s="49"/>
    </row>
    <row r="9" spans="1:10" ht="36.75" thickBot="1" x14ac:dyDescent="0.25">
      <c r="A9" s="73" t="s">
        <v>5</v>
      </c>
      <c r="B9" s="73" t="s">
        <v>6</v>
      </c>
      <c r="C9" s="73" t="s">
        <v>7</v>
      </c>
      <c r="D9" s="73" t="s">
        <v>8</v>
      </c>
      <c r="E9" s="73" t="s">
        <v>9</v>
      </c>
      <c r="F9" s="73" t="s">
        <v>10</v>
      </c>
      <c r="G9" s="73" t="s">
        <v>11</v>
      </c>
      <c r="H9" s="74" t="s">
        <v>12</v>
      </c>
      <c r="I9" s="73" t="s">
        <v>13</v>
      </c>
    </row>
    <row r="10" spans="1:10" ht="38.25" x14ac:dyDescent="0.2">
      <c r="A10" s="93">
        <v>1</v>
      </c>
      <c r="B10" s="110" t="str">
        <f>+[1]Hoja1!$C$7</f>
        <v>2.9.5-441.470</v>
      </c>
      <c r="C10" s="99" t="s">
        <v>57</v>
      </c>
      <c r="D10" s="100" t="s">
        <v>139</v>
      </c>
      <c r="E10" s="101" t="str">
        <f>+[1]Hoja1!$D$7</f>
        <v>AGUJAS QUIRURGICAS; TIPO: TERUMO 21GX1", ESPECIFICACION: 25/8, UNIDAD VENTA: CAJA X 100, PRESENTACION: CAJA X 100</v>
      </c>
      <c r="F10" s="102" t="str">
        <f>+[1]Hoja1!$E$7</f>
        <v>CAJA</v>
      </c>
      <c r="G10" s="103">
        <f>+[1]Hoja1!$F$7</f>
        <v>50</v>
      </c>
      <c r="H10" s="113">
        <v>1888</v>
      </c>
      <c r="I10" s="94">
        <f>+G10*H10</f>
        <v>94400</v>
      </c>
    </row>
    <row r="11" spans="1:10" ht="38.25" x14ac:dyDescent="0.2">
      <c r="A11" s="66">
        <v>2</v>
      </c>
      <c r="B11" s="111" t="s">
        <v>64</v>
      </c>
      <c r="C11" s="104" t="s">
        <v>57</v>
      </c>
      <c r="D11" s="82" t="s">
        <v>139</v>
      </c>
      <c r="E11" s="90" t="s">
        <v>99</v>
      </c>
      <c r="F11" s="91" t="s">
        <v>134</v>
      </c>
      <c r="G11" s="92">
        <v>25</v>
      </c>
      <c r="H11" s="114">
        <v>1441</v>
      </c>
      <c r="I11" s="67">
        <f>+G11*H11</f>
        <v>36025</v>
      </c>
    </row>
    <row r="12" spans="1:10" ht="38.25" x14ac:dyDescent="0.2">
      <c r="A12" s="66">
        <v>3</v>
      </c>
      <c r="B12" s="111" t="s">
        <v>65</v>
      </c>
      <c r="C12" s="104" t="s">
        <v>57</v>
      </c>
      <c r="D12" s="82" t="s">
        <v>139</v>
      </c>
      <c r="E12" s="90" t="s">
        <v>100</v>
      </c>
      <c r="F12" s="91" t="s">
        <v>134</v>
      </c>
      <c r="G12" s="92">
        <v>50</v>
      </c>
      <c r="H12" s="114">
        <v>159.46</v>
      </c>
      <c r="I12" s="67">
        <f t="shared" ref="I12:I40" si="0">+G12*H12</f>
        <v>7973</v>
      </c>
    </row>
    <row r="13" spans="1:10" ht="38.25" x14ac:dyDescent="0.2">
      <c r="A13" s="95">
        <v>4</v>
      </c>
      <c r="B13" s="111" t="s">
        <v>66</v>
      </c>
      <c r="C13" s="104" t="s">
        <v>57</v>
      </c>
      <c r="D13" s="82" t="s">
        <v>139</v>
      </c>
      <c r="E13" s="90" t="s">
        <v>101</v>
      </c>
      <c r="F13" s="91" t="s">
        <v>134</v>
      </c>
      <c r="G13" s="92">
        <v>100</v>
      </c>
      <c r="H13" s="115">
        <v>209</v>
      </c>
      <c r="I13" s="96">
        <f t="shared" si="0"/>
        <v>20900</v>
      </c>
    </row>
    <row r="14" spans="1:10" ht="25.5" x14ac:dyDescent="0.2">
      <c r="A14" s="95">
        <v>5</v>
      </c>
      <c r="B14" s="111" t="s">
        <v>67</v>
      </c>
      <c r="C14" s="104" t="s">
        <v>57</v>
      </c>
      <c r="D14" s="82" t="s">
        <v>139</v>
      </c>
      <c r="E14" s="90" t="s">
        <v>102</v>
      </c>
      <c r="F14" s="91" t="s">
        <v>134</v>
      </c>
      <c r="G14" s="92">
        <v>50</v>
      </c>
      <c r="H14" s="115">
        <v>197.67</v>
      </c>
      <c r="I14" s="96">
        <f t="shared" si="0"/>
        <v>9883.5</v>
      </c>
    </row>
    <row r="15" spans="1:10" ht="25.5" x14ac:dyDescent="0.2">
      <c r="A15" s="95">
        <v>6</v>
      </c>
      <c r="B15" s="111" t="s">
        <v>68</v>
      </c>
      <c r="C15" s="104" t="s">
        <v>57</v>
      </c>
      <c r="D15" s="82" t="s">
        <v>139</v>
      </c>
      <c r="E15" s="90" t="s">
        <v>103</v>
      </c>
      <c r="F15" s="91" t="s">
        <v>134</v>
      </c>
      <c r="G15" s="92">
        <v>100</v>
      </c>
      <c r="H15" s="115">
        <v>164.45</v>
      </c>
      <c r="I15" s="96">
        <f t="shared" si="0"/>
        <v>16445</v>
      </c>
    </row>
    <row r="16" spans="1:10" ht="38.25" x14ac:dyDescent="0.2">
      <c r="A16" s="95">
        <v>7</v>
      </c>
      <c r="B16" s="111" t="s">
        <v>69</v>
      </c>
      <c r="C16" s="104" t="s">
        <v>57</v>
      </c>
      <c r="D16" s="82" t="s">
        <v>139</v>
      </c>
      <c r="E16" s="90" t="s">
        <v>104</v>
      </c>
      <c r="F16" s="91" t="s">
        <v>134</v>
      </c>
      <c r="G16" s="92">
        <v>50</v>
      </c>
      <c r="H16" s="115">
        <v>221.76</v>
      </c>
      <c r="I16" s="96">
        <f t="shared" si="0"/>
        <v>11088</v>
      </c>
    </row>
    <row r="17" spans="1:9" ht="25.5" x14ac:dyDescent="0.2">
      <c r="A17" s="95">
        <v>8</v>
      </c>
      <c r="B17" s="111" t="s">
        <v>70</v>
      </c>
      <c r="C17" s="104" t="s">
        <v>57</v>
      </c>
      <c r="D17" s="82" t="s">
        <v>139</v>
      </c>
      <c r="E17" s="90" t="s">
        <v>105</v>
      </c>
      <c r="F17" s="91" t="s">
        <v>58</v>
      </c>
      <c r="G17" s="92">
        <v>12000</v>
      </c>
      <c r="H17" s="115">
        <v>4.2300000000000004</v>
      </c>
      <c r="I17" s="96">
        <f t="shared" si="0"/>
        <v>50760.000000000007</v>
      </c>
    </row>
    <row r="18" spans="1:9" ht="38.25" x14ac:dyDescent="0.2">
      <c r="A18" s="95">
        <v>9</v>
      </c>
      <c r="B18" s="111" t="s">
        <v>71</v>
      </c>
      <c r="C18" s="104" t="s">
        <v>57</v>
      </c>
      <c r="D18" s="82" t="s">
        <v>139</v>
      </c>
      <c r="E18" s="90" t="s">
        <v>106</v>
      </c>
      <c r="F18" s="91" t="s">
        <v>58</v>
      </c>
      <c r="G18" s="92">
        <v>1500</v>
      </c>
      <c r="H18" s="115">
        <v>37.479999999999997</v>
      </c>
      <c r="I18" s="96">
        <f t="shared" si="0"/>
        <v>56219.999999999993</v>
      </c>
    </row>
    <row r="19" spans="1:9" ht="25.5" x14ac:dyDescent="0.2">
      <c r="A19" s="95">
        <v>10</v>
      </c>
      <c r="B19" s="111" t="s">
        <v>72</v>
      </c>
      <c r="C19" s="104" t="s">
        <v>57</v>
      </c>
      <c r="D19" s="82" t="s">
        <v>139</v>
      </c>
      <c r="E19" s="90" t="s">
        <v>107</v>
      </c>
      <c r="F19" s="91" t="s">
        <v>58</v>
      </c>
      <c r="G19" s="92">
        <v>1000</v>
      </c>
      <c r="H19" s="115">
        <v>12.89</v>
      </c>
      <c r="I19" s="96">
        <f t="shared" si="0"/>
        <v>12890</v>
      </c>
    </row>
    <row r="20" spans="1:9" ht="38.25" x14ac:dyDescent="0.2">
      <c r="A20" s="95">
        <v>11</v>
      </c>
      <c r="B20" s="111" t="s">
        <v>73</v>
      </c>
      <c r="C20" s="104" t="s">
        <v>57</v>
      </c>
      <c r="D20" s="82" t="s">
        <v>145</v>
      </c>
      <c r="E20" s="90" t="s">
        <v>108</v>
      </c>
      <c r="F20" s="91" t="s">
        <v>58</v>
      </c>
      <c r="G20" s="92">
        <v>5</v>
      </c>
      <c r="H20" s="115">
        <v>697.69</v>
      </c>
      <c r="I20" s="96">
        <f t="shared" si="0"/>
        <v>3488.4500000000003</v>
      </c>
    </row>
    <row r="21" spans="1:9" ht="25.5" x14ac:dyDescent="0.2">
      <c r="A21" s="95">
        <v>12</v>
      </c>
      <c r="B21" s="111" t="s">
        <v>74</v>
      </c>
      <c r="C21" s="104" t="s">
        <v>57</v>
      </c>
      <c r="D21" s="82" t="s">
        <v>139</v>
      </c>
      <c r="E21" s="90" t="s">
        <v>109</v>
      </c>
      <c r="F21" s="91" t="s">
        <v>58</v>
      </c>
      <c r="G21" s="92">
        <v>5</v>
      </c>
      <c r="H21" s="115">
        <v>394</v>
      </c>
      <c r="I21" s="96">
        <f t="shared" si="0"/>
        <v>1970</v>
      </c>
    </row>
    <row r="22" spans="1:9" ht="25.5" x14ac:dyDescent="0.2">
      <c r="A22" s="95">
        <v>13</v>
      </c>
      <c r="B22" s="111" t="s">
        <v>75</v>
      </c>
      <c r="C22" s="104" t="s">
        <v>57</v>
      </c>
      <c r="D22" s="82" t="s">
        <v>139</v>
      </c>
      <c r="E22" s="90" t="s">
        <v>110</v>
      </c>
      <c r="F22" s="91" t="s">
        <v>58</v>
      </c>
      <c r="G22" s="92">
        <v>5000</v>
      </c>
      <c r="H22" s="115">
        <v>4.0599999999999996</v>
      </c>
      <c r="I22" s="96">
        <f t="shared" si="0"/>
        <v>20299.999999999996</v>
      </c>
    </row>
    <row r="23" spans="1:9" ht="25.5" x14ac:dyDescent="0.2">
      <c r="A23" s="95">
        <v>14</v>
      </c>
      <c r="B23" s="111" t="s">
        <v>76</v>
      </c>
      <c r="C23" s="104" t="s">
        <v>57</v>
      </c>
      <c r="D23" s="82" t="s">
        <v>139</v>
      </c>
      <c r="E23" s="90" t="s">
        <v>111</v>
      </c>
      <c r="F23" s="91" t="s">
        <v>58</v>
      </c>
      <c r="G23" s="92">
        <v>500</v>
      </c>
      <c r="H23" s="115">
        <v>12.4</v>
      </c>
      <c r="I23" s="96">
        <f t="shared" si="0"/>
        <v>6200</v>
      </c>
    </row>
    <row r="24" spans="1:9" ht="25.5" x14ac:dyDescent="0.2">
      <c r="A24" s="95">
        <v>15</v>
      </c>
      <c r="B24" s="111" t="s">
        <v>77</v>
      </c>
      <c r="C24" s="104" t="s">
        <v>57</v>
      </c>
      <c r="D24" s="82" t="s">
        <v>139</v>
      </c>
      <c r="E24" s="90" t="s">
        <v>112</v>
      </c>
      <c r="F24" s="91" t="s">
        <v>135</v>
      </c>
      <c r="G24" s="92">
        <v>3000</v>
      </c>
      <c r="H24" s="115">
        <v>21.77</v>
      </c>
      <c r="I24" s="96">
        <f t="shared" si="0"/>
        <v>65310</v>
      </c>
    </row>
    <row r="25" spans="1:9" ht="38.25" x14ac:dyDescent="0.2">
      <c r="A25" s="95">
        <v>16</v>
      </c>
      <c r="B25" s="111" t="s">
        <v>78</v>
      </c>
      <c r="C25" s="104" t="s">
        <v>57</v>
      </c>
      <c r="D25" s="82" t="s">
        <v>139</v>
      </c>
      <c r="E25" s="90" t="s">
        <v>113</v>
      </c>
      <c r="F25" s="91" t="s">
        <v>136</v>
      </c>
      <c r="G25" s="92">
        <v>1500</v>
      </c>
      <c r="H25" s="115">
        <v>38</v>
      </c>
      <c r="I25" s="96">
        <f t="shared" si="0"/>
        <v>57000</v>
      </c>
    </row>
    <row r="26" spans="1:9" ht="38.25" x14ac:dyDescent="0.2">
      <c r="A26" s="95">
        <v>17</v>
      </c>
      <c r="B26" s="111" t="s">
        <v>79</v>
      </c>
      <c r="C26" s="104" t="s">
        <v>57</v>
      </c>
      <c r="D26" s="82" t="s">
        <v>139</v>
      </c>
      <c r="E26" s="90" t="s">
        <v>114</v>
      </c>
      <c r="F26" s="91" t="s">
        <v>136</v>
      </c>
      <c r="G26" s="92">
        <v>3000</v>
      </c>
      <c r="H26" s="115">
        <v>38</v>
      </c>
      <c r="I26" s="96">
        <f t="shared" si="0"/>
        <v>114000</v>
      </c>
    </row>
    <row r="27" spans="1:9" ht="38.25" x14ac:dyDescent="0.2">
      <c r="A27" s="95">
        <v>18</v>
      </c>
      <c r="B27" s="111" t="s">
        <v>80</v>
      </c>
      <c r="C27" s="104" t="s">
        <v>57</v>
      </c>
      <c r="D27" s="82" t="s">
        <v>139</v>
      </c>
      <c r="E27" s="90" t="s">
        <v>115</v>
      </c>
      <c r="F27" s="91" t="s">
        <v>134</v>
      </c>
      <c r="G27" s="92">
        <v>10</v>
      </c>
      <c r="H27" s="115">
        <v>670.66</v>
      </c>
      <c r="I27" s="96">
        <f t="shared" si="0"/>
        <v>6706.5999999999995</v>
      </c>
    </row>
    <row r="28" spans="1:9" ht="38.25" x14ac:dyDescent="0.2">
      <c r="A28" s="95">
        <v>19</v>
      </c>
      <c r="B28" s="111" t="s">
        <v>81</v>
      </c>
      <c r="C28" s="104" t="s">
        <v>57</v>
      </c>
      <c r="D28" s="82" t="s">
        <v>139</v>
      </c>
      <c r="E28" s="90" t="s">
        <v>116</v>
      </c>
      <c r="F28" s="91" t="s">
        <v>134</v>
      </c>
      <c r="G28" s="92">
        <v>10</v>
      </c>
      <c r="H28" s="115">
        <v>670.66</v>
      </c>
      <c r="I28" s="96">
        <f t="shared" si="0"/>
        <v>6706.5999999999995</v>
      </c>
    </row>
    <row r="29" spans="1:9" ht="38.25" x14ac:dyDescent="0.2">
      <c r="A29" s="95">
        <v>20</v>
      </c>
      <c r="B29" s="111" t="s">
        <v>82</v>
      </c>
      <c r="C29" s="104" t="s">
        <v>57</v>
      </c>
      <c r="D29" s="82" t="s">
        <v>139</v>
      </c>
      <c r="E29" s="90" t="s">
        <v>117</v>
      </c>
      <c r="F29" s="91" t="s">
        <v>134</v>
      </c>
      <c r="G29" s="92">
        <v>10</v>
      </c>
      <c r="H29" s="115">
        <v>670.66</v>
      </c>
      <c r="I29" s="96">
        <f t="shared" si="0"/>
        <v>6706.5999999999995</v>
      </c>
    </row>
    <row r="30" spans="1:9" ht="38.25" x14ac:dyDescent="0.2">
      <c r="A30" s="95">
        <v>21</v>
      </c>
      <c r="B30" s="111" t="s">
        <v>83</v>
      </c>
      <c r="C30" s="104" t="s">
        <v>57</v>
      </c>
      <c r="D30" s="82" t="s">
        <v>139</v>
      </c>
      <c r="E30" s="90" t="s">
        <v>118</v>
      </c>
      <c r="F30" s="91" t="s">
        <v>134</v>
      </c>
      <c r="G30" s="92">
        <v>10</v>
      </c>
      <c r="H30" s="115">
        <v>745.08</v>
      </c>
      <c r="I30" s="96">
        <f t="shared" si="0"/>
        <v>7450.8</v>
      </c>
    </row>
    <row r="31" spans="1:9" ht="38.25" x14ac:dyDescent="0.2">
      <c r="A31" s="95">
        <v>22</v>
      </c>
      <c r="B31" s="111" t="s">
        <v>84</v>
      </c>
      <c r="C31" s="104" t="s">
        <v>57</v>
      </c>
      <c r="D31" s="82" t="s">
        <v>139</v>
      </c>
      <c r="E31" s="90" t="s">
        <v>119</v>
      </c>
      <c r="F31" s="91" t="s">
        <v>134</v>
      </c>
      <c r="G31" s="92">
        <v>10</v>
      </c>
      <c r="H31" s="115">
        <v>745.08</v>
      </c>
      <c r="I31" s="96">
        <f t="shared" si="0"/>
        <v>7450.8</v>
      </c>
    </row>
    <row r="32" spans="1:9" ht="38.25" x14ac:dyDescent="0.2">
      <c r="A32" s="95">
        <v>23</v>
      </c>
      <c r="B32" s="111" t="s">
        <v>85</v>
      </c>
      <c r="C32" s="104" t="s">
        <v>57</v>
      </c>
      <c r="D32" s="82" t="s">
        <v>139</v>
      </c>
      <c r="E32" s="90" t="s">
        <v>120</v>
      </c>
      <c r="F32" s="91" t="s">
        <v>58</v>
      </c>
      <c r="G32" s="92">
        <v>2000</v>
      </c>
      <c r="H32" s="116">
        <v>166</v>
      </c>
      <c r="I32" s="96">
        <f t="shared" si="0"/>
        <v>332000</v>
      </c>
    </row>
    <row r="33" spans="1:9" ht="25.5" x14ac:dyDescent="0.2">
      <c r="A33" s="95">
        <v>24</v>
      </c>
      <c r="B33" s="111" t="s">
        <v>86</v>
      </c>
      <c r="C33" s="104" t="s">
        <v>57</v>
      </c>
      <c r="D33" s="82" t="s">
        <v>139</v>
      </c>
      <c r="E33" s="90" t="s">
        <v>121</v>
      </c>
      <c r="F33" s="91" t="s">
        <v>58</v>
      </c>
      <c r="G33" s="92">
        <v>240</v>
      </c>
      <c r="H33" s="116">
        <v>159.88</v>
      </c>
      <c r="I33" s="96">
        <f t="shared" si="0"/>
        <v>38371.199999999997</v>
      </c>
    </row>
    <row r="34" spans="1:9" ht="25.5" x14ac:dyDescent="0.2">
      <c r="A34" s="95">
        <v>25</v>
      </c>
      <c r="B34" s="111" t="s">
        <v>87</v>
      </c>
      <c r="C34" s="104" t="s">
        <v>57</v>
      </c>
      <c r="D34" s="82" t="s">
        <v>139</v>
      </c>
      <c r="E34" s="90" t="s">
        <v>122</v>
      </c>
      <c r="F34" s="91" t="s">
        <v>58</v>
      </c>
      <c r="G34" s="92">
        <v>100</v>
      </c>
      <c r="H34" s="116">
        <v>49.24</v>
      </c>
      <c r="I34" s="96">
        <f t="shared" si="0"/>
        <v>4924</v>
      </c>
    </row>
    <row r="35" spans="1:9" ht="25.5" x14ac:dyDescent="0.2">
      <c r="A35" s="95">
        <v>26</v>
      </c>
      <c r="B35" s="111" t="s">
        <v>88</v>
      </c>
      <c r="C35" s="104" t="s">
        <v>57</v>
      </c>
      <c r="D35" s="82" t="s">
        <v>146</v>
      </c>
      <c r="E35" s="90" t="s">
        <v>123</v>
      </c>
      <c r="F35" s="91" t="s">
        <v>58</v>
      </c>
      <c r="G35" s="92">
        <v>200</v>
      </c>
      <c r="H35" s="116">
        <v>27.65</v>
      </c>
      <c r="I35" s="96">
        <f t="shared" si="0"/>
        <v>5530</v>
      </c>
    </row>
    <row r="36" spans="1:9" ht="25.5" x14ac:dyDescent="0.2">
      <c r="A36" s="95">
        <v>27</v>
      </c>
      <c r="B36" s="111" t="s">
        <v>89</v>
      </c>
      <c r="C36" s="104" t="s">
        <v>57</v>
      </c>
      <c r="D36" s="82" t="s">
        <v>146</v>
      </c>
      <c r="E36" s="90" t="s">
        <v>124</v>
      </c>
      <c r="F36" s="91" t="s">
        <v>58</v>
      </c>
      <c r="G36" s="92">
        <v>300</v>
      </c>
      <c r="H36" s="116">
        <v>22.5</v>
      </c>
      <c r="I36" s="96">
        <f t="shared" si="0"/>
        <v>6750</v>
      </c>
    </row>
    <row r="37" spans="1:9" ht="25.5" x14ac:dyDescent="0.2">
      <c r="A37" s="95">
        <v>28</v>
      </c>
      <c r="B37" s="111" t="s">
        <v>90</v>
      </c>
      <c r="C37" s="104" t="s">
        <v>57</v>
      </c>
      <c r="D37" s="82" t="s">
        <v>139</v>
      </c>
      <c r="E37" s="90" t="s">
        <v>125</v>
      </c>
      <c r="F37" s="91" t="s">
        <v>137</v>
      </c>
      <c r="G37" s="92">
        <v>1000</v>
      </c>
      <c r="H37" s="116">
        <v>184.31</v>
      </c>
      <c r="I37" s="96">
        <f t="shared" si="0"/>
        <v>184310</v>
      </c>
    </row>
    <row r="38" spans="1:9" ht="25.5" x14ac:dyDescent="0.2">
      <c r="A38" s="95">
        <v>29</v>
      </c>
      <c r="B38" s="111" t="s">
        <v>91</v>
      </c>
      <c r="C38" s="104" t="s">
        <v>57</v>
      </c>
      <c r="D38" s="82" t="s">
        <v>139</v>
      </c>
      <c r="E38" s="90" t="s">
        <v>126</v>
      </c>
      <c r="F38" s="91" t="s">
        <v>137</v>
      </c>
      <c r="G38" s="92">
        <v>300</v>
      </c>
      <c r="H38" s="116">
        <v>87.25</v>
      </c>
      <c r="I38" s="96">
        <f t="shared" si="0"/>
        <v>26175</v>
      </c>
    </row>
    <row r="39" spans="1:9" ht="25.5" x14ac:dyDescent="0.2">
      <c r="A39" s="95">
        <v>30</v>
      </c>
      <c r="B39" s="111" t="s">
        <v>92</v>
      </c>
      <c r="C39" s="104" t="s">
        <v>57</v>
      </c>
      <c r="D39" s="82" t="s">
        <v>139</v>
      </c>
      <c r="E39" s="90" t="s">
        <v>127</v>
      </c>
      <c r="F39" s="91" t="s">
        <v>137</v>
      </c>
      <c r="G39" s="92">
        <v>300</v>
      </c>
      <c r="H39" s="116">
        <v>87.25</v>
      </c>
      <c r="I39" s="96">
        <f t="shared" si="0"/>
        <v>26175</v>
      </c>
    </row>
    <row r="40" spans="1:9" ht="33.75" customHeight="1" x14ac:dyDescent="0.2">
      <c r="A40" s="95">
        <v>31</v>
      </c>
      <c r="B40" s="111" t="s">
        <v>93</v>
      </c>
      <c r="C40" s="104" t="s">
        <v>57</v>
      </c>
      <c r="D40" s="82" t="s">
        <v>139</v>
      </c>
      <c r="E40" s="90" t="s">
        <v>128</v>
      </c>
      <c r="F40" s="91" t="s">
        <v>137</v>
      </c>
      <c r="G40" s="92">
        <v>300</v>
      </c>
      <c r="H40" s="116">
        <v>174.51</v>
      </c>
      <c r="I40" s="96">
        <f t="shared" si="0"/>
        <v>52353</v>
      </c>
    </row>
    <row r="41" spans="1:9" ht="25.5" x14ac:dyDescent="0.2">
      <c r="A41" s="95">
        <v>32</v>
      </c>
      <c r="B41" s="111" t="s">
        <v>94</v>
      </c>
      <c r="C41" s="104" t="s">
        <v>57</v>
      </c>
      <c r="D41" s="82" t="s">
        <v>139</v>
      </c>
      <c r="E41" s="90" t="s">
        <v>129</v>
      </c>
      <c r="F41" s="91" t="s">
        <v>138</v>
      </c>
      <c r="G41" s="92">
        <v>30</v>
      </c>
      <c r="H41" s="116">
        <v>83</v>
      </c>
      <c r="I41" s="96">
        <f t="shared" ref="I41:I45" si="1">+G41*H41</f>
        <v>2490</v>
      </c>
    </row>
    <row r="42" spans="1:9" ht="25.5" x14ac:dyDescent="0.2">
      <c r="A42" s="95">
        <v>33</v>
      </c>
      <c r="B42" s="111" t="s">
        <v>95</v>
      </c>
      <c r="C42" s="104" t="s">
        <v>57</v>
      </c>
      <c r="D42" s="82" t="s">
        <v>139</v>
      </c>
      <c r="E42" s="90" t="s">
        <v>130</v>
      </c>
      <c r="F42" s="91" t="s">
        <v>58</v>
      </c>
      <c r="G42" s="92">
        <v>20</v>
      </c>
      <c r="H42" s="116">
        <v>89.91</v>
      </c>
      <c r="I42" s="96">
        <f t="shared" si="1"/>
        <v>1798.1999999999998</v>
      </c>
    </row>
    <row r="43" spans="1:9" ht="25.5" x14ac:dyDescent="0.2">
      <c r="A43" s="95">
        <v>34</v>
      </c>
      <c r="B43" s="111" t="s">
        <v>96</v>
      </c>
      <c r="C43" s="104" t="s">
        <v>57</v>
      </c>
      <c r="D43" s="82" t="s">
        <v>139</v>
      </c>
      <c r="E43" s="90" t="s">
        <v>131</v>
      </c>
      <c r="F43" s="91" t="s">
        <v>58</v>
      </c>
      <c r="G43" s="92">
        <v>20</v>
      </c>
      <c r="H43" s="116">
        <v>89.36</v>
      </c>
      <c r="I43" s="96">
        <f t="shared" si="1"/>
        <v>1787.2</v>
      </c>
    </row>
    <row r="44" spans="1:9" ht="25.5" x14ac:dyDescent="0.2">
      <c r="A44" s="95">
        <v>35</v>
      </c>
      <c r="B44" s="111" t="s">
        <v>97</v>
      </c>
      <c r="C44" s="104" t="s">
        <v>57</v>
      </c>
      <c r="D44" s="82" t="s">
        <v>139</v>
      </c>
      <c r="E44" s="90" t="s">
        <v>132</v>
      </c>
      <c r="F44" s="91" t="s">
        <v>58</v>
      </c>
      <c r="G44" s="92">
        <v>20</v>
      </c>
      <c r="H44" s="116">
        <v>89.36</v>
      </c>
      <c r="I44" s="96">
        <f t="shared" si="1"/>
        <v>1787.2</v>
      </c>
    </row>
    <row r="45" spans="1:9" ht="26.25" thickBot="1" x14ac:dyDescent="0.25">
      <c r="A45" s="97">
        <v>36</v>
      </c>
      <c r="B45" s="112" t="s">
        <v>98</v>
      </c>
      <c r="C45" s="105" t="s">
        <v>57</v>
      </c>
      <c r="D45" s="106" t="s">
        <v>139</v>
      </c>
      <c r="E45" s="107" t="s">
        <v>133</v>
      </c>
      <c r="F45" s="108" t="s">
        <v>137</v>
      </c>
      <c r="G45" s="109">
        <v>5</v>
      </c>
      <c r="H45" s="117">
        <v>6850</v>
      </c>
      <c r="I45" s="98">
        <f t="shared" si="1"/>
        <v>34250</v>
      </c>
    </row>
    <row r="46" spans="1:9" ht="13.5" thickBot="1" x14ac:dyDescent="0.25">
      <c r="I46" s="32"/>
    </row>
    <row r="47" spans="1:9" x14ac:dyDescent="0.2">
      <c r="C47" s="83" t="s">
        <v>59</v>
      </c>
      <c r="D47" s="28"/>
      <c r="E47" s="28"/>
      <c r="F47" s="29"/>
      <c r="I47" s="169"/>
    </row>
    <row r="48" spans="1:9" ht="12" customHeight="1" x14ac:dyDescent="0.2">
      <c r="C48" s="118" t="s">
        <v>60</v>
      </c>
      <c r="D48" s="119"/>
      <c r="E48" s="119"/>
      <c r="F48" s="120"/>
      <c r="G48" s="30"/>
    </row>
    <row r="49" spans="2:8" ht="29.25" customHeight="1" x14ac:dyDescent="0.2">
      <c r="C49" s="118"/>
      <c r="D49" s="119"/>
      <c r="E49" s="119"/>
      <c r="F49" s="120"/>
      <c r="G49" s="30"/>
    </row>
    <row r="50" spans="2:8" x14ac:dyDescent="0.2">
      <c r="C50" s="118" t="s">
        <v>63</v>
      </c>
      <c r="D50" s="119"/>
      <c r="E50" s="119"/>
      <c r="F50" s="120"/>
      <c r="G50" s="30"/>
    </row>
    <row r="51" spans="2:8" s="53" customFormat="1" ht="13.5" thickBot="1" x14ac:dyDescent="0.25">
      <c r="B51" s="25"/>
      <c r="C51" s="86" t="s">
        <v>61</v>
      </c>
      <c r="D51" s="87"/>
      <c r="E51" s="88"/>
      <c r="F51" s="89"/>
      <c r="G51" s="85"/>
      <c r="H51" s="54"/>
    </row>
    <row r="52" spans="2:8" x14ac:dyDescent="0.2">
      <c r="B52" s="84"/>
      <c r="C52" s="31"/>
      <c r="D52" s="31"/>
      <c r="E52" s="31"/>
      <c r="F52" s="31"/>
      <c r="G52" s="31"/>
    </row>
    <row r="53" spans="2:8" ht="12" customHeight="1" x14ac:dyDescent="0.2"/>
    <row r="55" spans="2:8" x14ac:dyDescent="0.2">
      <c r="E55" s="25" t="s">
        <v>55</v>
      </c>
    </row>
  </sheetData>
  <autoFilter ref="A9:I40"/>
  <mergeCells count="9">
    <mergeCell ref="C48:F49"/>
    <mergeCell ref="C50:F50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8"/>
  <sheetViews>
    <sheetView zoomScale="80" zoomScaleNormal="80" workbookViewId="0">
      <selection activeCell="A49" sqref="A49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34" t="s">
        <v>14</v>
      </c>
      <c r="B1" s="134"/>
      <c r="C1" s="134"/>
      <c r="D1" s="134"/>
      <c r="E1" s="134"/>
      <c r="F1" s="134"/>
      <c r="G1" s="134"/>
      <c r="H1" s="134"/>
      <c r="I1" s="134"/>
      <c r="J1" s="33" t="s">
        <v>15</v>
      </c>
      <c r="K1" s="34" t="s">
        <v>141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35" t="s">
        <v>48</v>
      </c>
      <c r="B3" s="135"/>
      <c r="C3" s="135"/>
      <c r="D3" s="125" t="str">
        <f>'Necesidades Trimestrales'!C4</f>
        <v>040 - Ministerio de Salud</v>
      </c>
      <c r="E3" s="125"/>
      <c r="F3" s="125"/>
      <c r="G3" s="125"/>
      <c r="H3" s="125"/>
      <c r="I3" s="125"/>
      <c r="J3" s="125"/>
      <c r="K3" s="125"/>
    </row>
    <row r="4" spans="1:11" ht="18.75" customHeight="1" thickBot="1" x14ac:dyDescent="0.25">
      <c r="A4" s="136" t="s">
        <v>49</v>
      </c>
      <c r="B4" s="136"/>
      <c r="C4" s="136"/>
      <c r="D4" s="125" t="str">
        <f>'Necesidades Trimestrales'!C5</f>
        <v>024 - Hospital Interzonal de Niños</v>
      </c>
      <c r="E4" s="125"/>
      <c r="F4" s="125"/>
      <c r="G4" s="125"/>
      <c r="H4" s="125"/>
      <c r="I4" s="125"/>
      <c r="J4" s="125"/>
      <c r="K4" s="125"/>
    </row>
    <row r="5" spans="1:11" ht="18.75" customHeight="1" thickBot="1" x14ac:dyDescent="0.25">
      <c r="A5" s="136" t="s">
        <v>27</v>
      </c>
      <c r="B5" s="136"/>
      <c r="C5" s="136"/>
      <c r="D5" s="125" t="s">
        <v>51</v>
      </c>
      <c r="E5" s="125"/>
      <c r="F5" s="125"/>
      <c r="G5" s="125"/>
      <c r="H5" s="125"/>
      <c r="I5" s="125"/>
      <c r="J5" s="125"/>
      <c r="K5" s="125"/>
    </row>
    <row r="6" spans="1:11" ht="16.5" customHeight="1" thickBot="1" x14ac:dyDescent="0.25">
      <c r="A6" s="135" t="s">
        <v>50</v>
      </c>
      <c r="B6" s="135"/>
      <c r="C6" s="135"/>
      <c r="D6" s="125" t="s">
        <v>56</v>
      </c>
      <c r="E6" s="125"/>
      <c r="F6" s="125"/>
      <c r="G6" s="125"/>
      <c r="H6" s="125"/>
      <c r="I6" s="125"/>
      <c r="J6" s="125"/>
      <c r="K6" s="125"/>
    </row>
    <row r="7" spans="1:11" ht="16.5" customHeight="1" x14ac:dyDescent="0.2">
      <c r="A7" s="136" t="s">
        <v>16</v>
      </c>
      <c r="B7" s="136"/>
      <c r="C7" s="136"/>
      <c r="D7" s="125" t="s">
        <v>62</v>
      </c>
      <c r="E7" s="125"/>
      <c r="F7" s="125"/>
      <c r="G7" s="125"/>
      <c r="H7" s="125"/>
      <c r="I7" s="125"/>
      <c r="J7" s="125"/>
      <c r="K7" s="125"/>
    </row>
    <row r="8" spans="1:11" ht="16.5" customHeight="1" x14ac:dyDescent="0.2">
      <c r="A8" s="129" t="s">
        <v>17</v>
      </c>
      <c r="B8" s="129"/>
      <c r="C8" s="129"/>
      <c r="D8" s="130" t="s">
        <v>140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31" t="s">
        <v>18</v>
      </c>
      <c r="B10" s="132" t="s">
        <v>19</v>
      </c>
      <c r="C10" s="132" t="s">
        <v>20</v>
      </c>
      <c r="D10" s="132"/>
      <c r="E10" s="132"/>
      <c r="F10" s="132"/>
      <c r="G10" s="132"/>
      <c r="H10" s="132" t="s">
        <v>21</v>
      </c>
      <c r="I10" s="132" t="s">
        <v>22</v>
      </c>
      <c r="J10" s="132" t="s">
        <v>23</v>
      </c>
      <c r="K10" s="137" t="s">
        <v>24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7"/>
    </row>
    <row r="12" spans="1:11" ht="24" customHeight="1" x14ac:dyDescent="0.2">
      <c r="A12" s="43">
        <v>1</v>
      </c>
      <c r="B12" s="44" t="str">
        <f>'Necesidades Trimestrales'!B10</f>
        <v>2.9.5-441.470</v>
      </c>
      <c r="C12" s="133" t="str">
        <f>'Necesidades Trimestrales'!E10</f>
        <v>AGUJAS QUIRURGICAS; TIPO: TERUMO 21GX1", ESPECIFICACION: 25/8, UNIDAD VENTA: CAJA X 100, PRESENTACION: CAJA X 100</v>
      </c>
      <c r="D12" s="133"/>
      <c r="E12" s="133"/>
      <c r="F12" s="133"/>
      <c r="G12" s="133"/>
      <c r="H12" s="45" t="s">
        <v>54</v>
      </c>
      <c r="I12" s="46" t="str">
        <f>'Necesidades Trimestrales'!F10</f>
        <v>CAJA</v>
      </c>
      <c r="J12" s="47">
        <f>'Necesidades Trimestrales'!H10</f>
        <v>1888</v>
      </c>
      <c r="K12" s="48">
        <f>'Necesidades Trimestrales'!G10</f>
        <v>50</v>
      </c>
    </row>
    <row r="13" spans="1:11" ht="27.75" customHeight="1" x14ac:dyDescent="0.2">
      <c r="A13" s="76">
        <v>2</v>
      </c>
      <c r="B13" s="77" t="str">
        <f>'Necesidades Trimestrales'!B11</f>
        <v>2.9.5-441.471</v>
      </c>
      <c r="C13" s="127" t="str">
        <f>'Necesidades Trimestrales'!E11</f>
        <v>AGUJAS QUIRURGICAS; TIPO: TERUMO 25GX5/8", ESPECIFICACION: 16/5, UNIDAD VENTA: CAJA X 100, PRESENTACION: CAJA X 100</v>
      </c>
      <c r="D13" s="127"/>
      <c r="E13" s="127"/>
      <c r="F13" s="127"/>
      <c r="G13" s="127"/>
      <c r="H13" s="78" t="s">
        <v>54</v>
      </c>
      <c r="I13" s="79" t="str">
        <f>'Necesidades Trimestrales'!F11</f>
        <v>CAJA</v>
      </c>
      <c r="J13" s="80">
        <f>'Necesidades Trimestrales'!H11</f>
        <v>1441</v>
      </c>
      <c r="K13" s="81">
        <f>'Necesidades Trimestrales'!G11</f>
        <v>25</v>
      </c>
    </row>
    <row r="14" spans="1:11" ht="27.75" customHeight="1" x14ac:dyDescent="0.2">
      <c r="A14" s="68">
        <v>3</v>
      </c>
      <c r="B14" s="77" t="str">
        <f>'Necesidades Trimestrales'!B12</f>
        <v xml:space="preserve">2.9.5-441.472 </v>
      </c>
      <c r="C14" s="128" t="str">
        <f>'Necesidades Trimestrales'!E12</f>
        <v>AGUJAS QUIRURGICAS; TIPO: 25GX5/8", ESPECIFICACION: 16/5, UNIDAD VENTA: CAJA X 100 UN, PRESENTACION: CAJA X 100 UN</v>
      </c>
      <c r="D14" s="128"/>
      <c r="E14" s="128"/>
      <c r="F14" s="128"/>
      <c r="G14" s="128"/>
      <c r="H14" s="71" t="s">
        <v>54</v>
      </c>
      <c r="I14" s="72" t="str">
        <f>'Necesidades Trimestrales'!F12</f>
        <v>CAJA</v>
      </c>
      <c r="J14" s="70">
        <f>'Necesidades Trimestrales'!H12</f>
        <v>159.46</v>
      </c>
      <c r="K14" s="69">
        <f>'Necesidades Trimestrales'!G12</f>
        <v>50</v>
      </c>
    </row>
    <row r="15" spans="1:11" ht="27.75" customHeight="1" x14ac:dyDescent="0.2">
      <c r="A15" s="76">
        <v>4</v>
      </c>
      <c r="B15" s="77" t="str">
        <f>'Necesidades Trimestrales'!B13</f>
        <v>2.9.5-441.92</v>
      </c>
      <c r="C15" s="124" t="str">
        <f>'Necesidades Trimestrales'!E13</f>
        <v>AGUJAS QUIRURGICAS; TIPO: DESCARTABLE, ESPECIFICACION: 25 X 0,8, UNIDAD VENTA: CAJA X 100, PRESENTACION: CAJA X 100</v>
      </c>
      <c r="D15" s="124"/>
      <c r="E15" s="124"/>
      <c r="F15" s="124"/>
      <c r="G15" s="124"/>
      <c r="H15" s="71" t="s">
        <v>54</v>
      </c>
      <c r="I15" s="72" t="str">
        <f>'Necesidades Trimestrales'!F13</f>
        <v>CAJA</v>
      </c>
      <c r="J15" s="70">
        <f>'Necesidades Trimestrales'!H13</f>
        <v>209</v>
      </c>
      <c r="K15" s="69">
        <f>'Necesidades Trimestrales'!G13</f>
        <v>100</v>
      </c>
    </row>
    <row r="16" spans="1:11" ht="27.75" customHeight="1" x14ac:dyDescent="0.2">
      <c r="A16" s="68">
        <v>5</v>
      </c>
      <c r="B16" s="77" t="str">
        <f>'Necesidades Trimestrales'!B14</f>
        <v>2.9.5-441.356</v>
      </c>
      <c r="C16" s="124" t="str">
        <f>'Necesidades Trimestrales'!E14</f>
        <v>AGUJAS QUIRURGICAS; TIPO: DESCARTABLE, ESPECIFICACION: 40/12, PRESENTACION: ENVASE X 100 UN</v>
      </c>
      <c r="D16" s="124"/>
      <c r="E16" s="124"/>
      <c r="F16" s="124"/>
      <c r="G16" s="124"/>
      <c r="H16" s="71" t="s">
        <v>54</v>
      </c>
      <c r="I16" s="72" t="str">
        <f>'Necesidades Trimestrales'!F14</f>
        <v>CAJA</v>
      </c>
      <c r="J16" s="70">
        <f>'Necesidades Trimestrales'!H14</f>
        <v>197.67</v>
      </c>
      <c r="K16" s="69">
        <f>'Necesidades Trimestrales'!G14</f>
        <v>50</v>
      </c>
    </row>
    <row r="17" spans="1:11" ht="27.75" customHeight="1" x14ac:dyDescent="0.2">
      <c r="A17" s="76">
        <v>6</v>
      </c>
      <c r="B17" s="77" t="str">
        <f>'Necesidades Trimestrales'!B15</f>
        <v>2.9.5-441.51</v>
      </c>
      <c r="C17" s="124" t="str">
        <f>'Necesidades Trimestrales'!E15</f>
        <v>AGUJAS QUIRURGICAS; TIPO: DESCARTABLE, UNIDAD VENTA: 100, ESPECIFICACION: 40/8, PRESENTACION: 100</v>
      </c>
      <c r="D17" s="124"/>
      <c r="E17" s="124"/>
      <c r="F17" s="124"/>
      <c r="G17" s="124"/>
      <c r="H17" s="71" t="s">
        <v>54</v>
      </c>
      <c r="I17" s="72" t="str">
        <f>'Necesidades Trimestrales'!F15</f>
        <v>CAJA</v>
      </c>
      <c r="J17" s="70">
        <f>'Necesidades Trimestrales'!H15</f>
        <v>164.45</v>
      </c>
      <c r="K17" s="69">
        <f>'Necesidades Trimestrales'!G15</f>
        <v>100</v>
      </c>
    </row>
    <row r="18" spans="1:11" ht="27.75" customHeight="1" x14ac:dyDescent="0.2">
      <c r="A18" s="68">
        <v>7</v>
      </c>
      <c r="B18" s="77" t="str">
        <f>'Necesidades Trimestrales'!B16</f>
        <v>2.9.5-441.245</v>
      </c>
      <c r="C18" s="124" t="str">
        <f>'Necesidades Trimestrales'!E16</f>
        <v>AGUJAS QUIRURGICAS; TIPO: ESTERIL, ESPECIFICACION: 50/8, UNIDAD VENTA: CAJA X 100 UN, PRESENTACION: CAJA X 100 UN</v>
      </c>
      <c r="D18" s="124"/>
      <c r="E18" s="124"/>
      <c r="F18" s="124"/>
      <c r="G18" s="124"/>
      <c r="H18" s="71" t="s">
        <v>54</v>
      </c>
      <c r="I18" s="72" t="str">
        <f>'Necesidades Trimestrales'!F16</f>
        <v>CAJA</v>
      </c>
      <c r="J18" s="70">
        <f>'Necesidades Trimestrales'!H16</f>
        <v>221.76</v>
      </c>
      <c r="K18" s="69">
        <f>'Necesidades Trimestrales'!G16</f>
        <v>50</v>
      </c>
    </row>
    <row r="19" spans="1:11" ht="27.75" customHeight="1" x14ac:dyDescent="0.2">
      <c r="A19" s="76">
        <v>8</v>
      </c>
      <c r="B19" s="77" t="str">
        <f>'Necesidades Trimestrales'!B17</f>
        <v xml:space="preserve">2.9.5-428.21 </v>
      </c>
      <c r="C19" s="124" t="str">
        <f>'Necesidades Trimestrales'!E17</f>
        <v>BARBIJOS; TIPO: 3 CAPAS</v>
      </c>
      <c r="D19" s="124"/>
      <c r="E19" s="124"/>
      <c r="F19" s="124"/>
      <c r="G19" s="124"/>
      <c r="H19" s="71" t="s">
        <v>54</v>
      </c>
      <c r="I19" s="72" t="str">
        <f>'Necesidades Trimestrales'!F17</f>
        <v>UNIDAD</v>
      </c>
      <c r="J19" s="70">
        <f>'Necesidades Trimestrales'!H17</f>
        <v>4.2300000000000004</v>
      </c>
      <c r="K19" s="69">
        <f>'Necesidades Trimestrales'!G17</f>
        <v>12000</v>
      </c>
    </row>
    <row r="20" spans="1:11" ht="27.75" customHeight="1" x14ac:dyDescent="0.2">
      <c r="A20" s="68">
        <v>9</v>
      </c>
      <c r="B20" s="77" t="str">
        <f>'Necesidades Trimestrales'!B18</f>
        <v>2.9.5-428.36</v>
      </c>
      <c r="C20" s="124" t="str">
        <f>'Necesidades Trimestrales'!E18</f>
        <v>BARBIJOS; TIPO: COPA N95 SIN VALVULA, MATERIAL: NO TEJIDO, CANTIDAD DE CAPAS: DOS, DESCARTABLE: SI, PRESENTACION: UNIDAD</v>
      </c>
      <c r="D20" s="124"/>
      <c r="E20" s="124"/>
      <c r="F20" s="124"/>
      <c r="G20" s="124"/>
      <c r="H20" s="71" t="s">
        <v>54</v>
      </c>
      <c r="I20" s="72" t="str">
        <f>'Necesidades Trimestrales'!F18</f>
        <v>UNIDAD</v>
      </c>
      <c r="J20" s="70">
        <f>'Necesidades Trimestrales'!H18</f>
        <v>37.479999999999997</v>
      </c>
      <c r="K20" s="69">
        <f>'Necesidades Trimestrales'!G18</f>
        <v>1500</v>
      </c>
    </row>
    <row r="21" spans="1:11" ht="27.75" customHeight="1" x14ac:dyDescent="0.2">
      <c r="A21" s="76">
        <v>10</v>
      </c>
      <c r="B21" s="77" t="str">
        <f>'Necesidades Trimestrales'!B19</f>
        <v xml:space="preserve">2.9.5-4198.9 </v>
      </c>
      <c r="C21" s="124" t="str">
        <f>'Necesidades Trimestrales'!E19</f>
        <v>ELEMENTOS DESC. P/CIRUGIAS; TIPO: BOTA CAÑA ALTA CON TIRAS, CANTIDAD: 1, PRESENTACION: 1</v>
      </c>
      <c r="D21" s="124"/>
      <c r="E21" s="124"/>
      <c r="F21" s="124"/>
      <c r="G21" s="124"/>
      <c r="H21" s="71" t="s">
        <v>54</v>
      </c>
      <c r="I21" s="72" t="str">
        <f>'Necesidades Trimestrales'!F19</f>
        <v>UNIDAD</v>
      </c>
      <c r="J21" s="70">
        <f>'Necesidades Trimestrales'!H19</f>
        <v>12.89</v>
      </c>
      <c r="K21" s="69">
        <f>'Necesidades Trimestrales'!G19</f>
        <v>1000</v>
      </c>
    </row>
    <row r="22" spans="1:11" ht="27.75" customHeight="1" x14ac:dyDescent="0.2">
      <c r="A22" s="68">
        <v>11</v>
      </c>
      <c r="B22" s="77" t="str">
        <f>'Necesidades Trimestrales'!B20</f>
        <v xml:space="preserve">2.5.1-9004.1319 </v>
      </c>
      <c r="C22" s="124" t="str">
        <f>'Necesidades Trimestrales'!E20</f>
        <v>SALES; COMPUESTO QUIMICO: CAL SODADA, ESTADO: GRANULADO, CALIDAD: MEDICA, PRESENTACION: ENVASE X 1 KG</v>
      </c>
      <c r="D22" s="124"/>
      <c r="E22" s="124"/>
      <c r="F22" s="124"/>
      <c r="G22" s="124"/>
      <c r="H22" s="71" t="s">
        <v>54</v>
      </c>
      <c r="I22" s="72" t="str">
        <f>'Necesidades Trimestrales'!F20</f>
        <v>UNIDAD</v>
      </c>
      <c r="J22" s="70">
        <f>'Necesidades Trimestrales'!H20</f>
        <v>697.69</v>
      </c>
      <c r="K22" s="69">
        <f>'Necesidades Trimestrales'!G20</f>
        <v>5</v>
      </c>
    </row>
    <row r="23" spans="1:11" ht="27.75" customHeight="1" x14ac:dyDescent="0.2">
      <c r="A23" s="76">
        <v>12</v>
      </c>
      <c r="B23" s="77" t="str">
        <f>'Necesidades Trimestrales'!B21</f>
        <v>2.9.5-8239.1</v>
      </c>
      <c r="C23" s="124" t="str">
        <f>'Necesidades Trimestrales'!E21</f>
        <v>CHATAS; MATERIAL: PVC</v>
      </c>
      <c r="D23" s="124"/>
      <c r="E23" s="124"/>
      <c r="F23" s="124"/>
      <c r="G23" s="124"/>
      <c r="H23" s="71" t="s">
        <v>54</v>
      </c>
      <c r="I23" s="72" t="str">
        <f>'Necesidades Trimestrales'!F21</f>
        <v>UNIDAD</v>
      </c>
      <c r="J23" s="70">
        <f>'Necesidades Trimestrales'!H21</f>
        <v>394</v>
      </c>
      <c r="K23" s="69">
        <f>'Necesidades Trimestrales'!G21</f>
        <v>5</v>
      </c>
    </row>
    <row r="24" spans="1:11" ht="27.75" customHeight="1" x14ac:dyDescent="0.2">
      <c r="A24" s="68">
        <v>13</v>
      </c>
      <c r="B24" s="77" t="str">
        <f>'Necesidades Trimestrales'!B22</f>
        <v>2.2.2-915.15</v>
      </c>
      <c r="C24" s="124" t="str">
        <f>'Necesidades Trimestrales'!E22</f>
        <v>ROPA DESCARTABLE; ELEMENTO: COFIA, VARIEDAD: CON ELASTICO, ESPECIFICACION: CON ELASTICO</v>
      </c>
      <c r="D24" s="124"/>
      <c r="E24" s="124"/>
      <c r="F24" s="124"/>
      <c r="G24" s="124"/>
      <c r="H24" s="71" t="s">
        <v>54</v>
      </c>
      <c r="I24" s="72" t="str">
        <f>'Necesidades Trimestrales'!F22</f>
        <v>UNIDAD</v>
      </c>
      <c r="J24" s="70">
        <f>'Necesidades Trimestrales'!H22</f>
        <v>4.0599999999999996</v>
      </c>
      <c r="K24" s="69">
        <f>'Necesidades Trimestrales'!G22</f>
        <v>5000</v>
      </c>
    </row>
    <row r="25" spans="1:11" ht="27.75" customHeight="1" x14ac:dyDescent="0.2">
      <c r="A25" s="76">
        <v>14</v>
      </c>
      <c r="B25" s="77" t="str">
        <f>'Necesidades Trimestrales'!B23</f>
        <v>2.9.5-2505.24</v>
      </c>
      <c r="C25" s="124" t="str">
        <f>'Necesidades Trimestrales'!E23</f>
        <v>BOLSAS COLECTORAS; TIPO: DE ORINA, USO: PEDIATRICO, CAPACIDAD: 100 CM3</v>
      </c>
      <c r="D25" s="124"/>
      <c r="E25" s="124"/>
      <c r="F25" s="124"/>
      <c r="G25" s="124"/>
      <c r="H25" s="71" t="s">
        <v>54</v>
      </c>
      <c r="I25" s="72" t="str">
        <f>'Necesidades Trimestrales'!F23</f>
        <v>UNIDAD</v>
      </c>
      <c r="J25" s="70">
        <f>'Necesidades Trimestrales'!H23</f>
        <v>12.4</v>
      </c>
      <c r="K25" s="69">
        <f>'Necesidades Trimestrales'!G23</f>
        <v>500</v>
      </c>
    </row>
    <row r="26" spans="1:11" ht="27.75" customHeight="1" x14ac:dyDescent="0.2">
      <c r="A26" s="68">
        <v>15</v>
      </c>
      <c r="B26" s="77" t="str">
        <f>'Necesidades Trimestrales'!B24</f>
        <v>2.9.5-2225.87</v>
      </c>
      <c r="C26" s="124" t="str">
        <f>'Necesidades Trimestrales'!E24</f>
        <v>ELECTRODOS P/MEDICINA; TIPO: ECG, USO: MONITORIZACION, PIN: SIN, AGUJA: SIN, DESCARTABLE: SI</v>
      </c>
      <c r="D26" s="124"/>
      <c r="E26" s="124"/>
      <c r="F26" s="124"/>
      <c r="G26" s="124"/>
      <c r="H26" s="71" t="s">
        <v>54</v>
      </c>
      <c r="I26" s="72" t="str">
        <f>'Necesidades Trimestrales'!F24</f>
        <v xml:space="preserve">UNIDAD </v>
      </c>
      <c r="J26" s="70">
        <f>'Necesidades Trimestrales'!H24</f>
        <v>21.77</v>
      </c>
      <c r="K26" s="69">
        <f>'Necesidades Trimestrales'!G24</f>
        <v>3000</v>
      </c>
    </row>
    <row r="27" spans="1:11" ht="27.75" customHeight="1" x14ac:dyDescent="0.2">
      <c r="A27" s="76">
        <v>16</v>
      </c>
      <c r="B27" s="77" t="str">
        <f>'Necesidades Trimestrales'!B25</f>
        <v>2.9.5-1909.135</v>
      </c>
      <c r="C27" s="124" t="str">
        <f>'Necesidades Trimestrales'!E25</f>
        <v>GUANTES USO MEDICINAL; TIPO: ESTERIL, TAMAÑO: 6 1/2 CAÑA LARGA, MATERIAL: LATEX, PRESENTACION: PAR, ESTERIL: SI, TALCO: SIN, DESCARTABLE: SI</v>
      </c>
      <c r="D27" s="124"/>
      <c r="E27" s="124"/>
      <c r="F27" s="124"/>
      <c r="G27" s="124"/>
      <c r="H27" s="71" t="s">
        <v>54</v>
      </c>
      <c r="I27" s="72" t="str">
        <f>'Necesidades Trimestrales'!F25</f>
        <v>PAR</v>
      </c>
      <c r="J27" s="70">
        <f>'Necesidades Trimestrales'!H25</f>
        <v>38</v>
      </c>
      <c r="K27" s="69">
        <f>'Necesidades Trimestrales'!G25</f>
        <v>1500</v>
      </c>
    </row>
    <row r="28" spans="1:11" ht="27.75" customHeight="1" x14ac:dyDescent="0.2">
      <c r="A28" s="68">
        <v>17</v>
      </c>
      <c r="B28" s="77" t="str">
        <f>'Necesidades Trimestrales'!B26</f>
        <v>2.9.5-1909.203</v>
      </c>
      <c r="C28" s="124" t="str">
        <f>'Necesidades Trimestrales'!E26</f>
        <v>GUANTES USO MEDICINAL; TIPO: ESTERIL, TAMAÑO: 7 CAÑA LARGA, MATERIAL: LATEX, PRESENTACION: PAR, ESTERIL: SI, TALCO: SIN, DESCARTABLE: SI</v>
      </c>
      <c r="D28" s="124"/>
      <c r="E28" s="124"/>
      <c r="F28" s="124"/>
      <c r="G28" s="124"/>
      <c r="H28" s="71" t="s">
        <v>54</v>
      </c>
      <c r="I28" s="72" t="str">
        <f>'Necesidades Trimestrales'!F26</f>
        <v>PAR</v>
      </c>
      <c r="J28" s="70">
        <f>'Necesidades Trimestrales'!H26</f>
        <v>38</v>
      </c>
      <c r="K28" s="69">
        <f>'Necesidades Trimestrales'!G26</f>
        <v>3000</v>
      </c>
    </row>
    <row r="29" spans="1:11" ht="27.75" customHeight="1" x14ac:dyDescent="0.2">
      <c r="A29" s="76">
        <v>18</v>
      </c>
      <c r="B29" s="77" t="str">
        <f>'Necesidades Trimestrales'!B27</f>
        <v>2.9.5-1909.172</v>
      </c>
      <c r="C29" s="124" t="str">
        <f>'Necesidades Trimestrales'!E27</f>
        <v>GUANTES USO MEDICINAL; TIPO: EXAMINACION, TAMAÑO: S 6/7, MATERIAL: NITRILO, PRESENTACION: ENVASE X 100 UN, ESTERIL: NO, TALCO: SIN, DESCARTABLE: SI</v>
      </c>
      <c r="D29" s="124"/>
      <c r="E29" s="124"/>
      <c r="F29" s="124"/>
      <c r="G29" s="124"/>
      <c r="H29" s="71" t="s">
        <v>54</v>
      </c>
      <c r="I29" s="72" t="str">
        <f>'Necesidades Trimestrales'!F27</f>
        <v>CAJA</v>
      </c>
      <c r="J29" s="70">
        <f>'Necesidades Trimestrales'!H27</f>
        <v>670.66</v>
      </c>
      <c r="K29" s="69">
        <f>'Necesidades Trimestrales'!G27</f>
        <v>10</v>
      </c>
    </row>
    <row r="30" spans="1:11" ht="27.75" customHeight="1" x14ac:dyDescent="0.2">
      <c r="A30" s="68">
        <v>19</v>
      </c>
      <c r="B30" s="77" t="str">
        <f>'Necesidades Trimestrales'!B28</f>
        <v>2.9.5-1909.174</v>
      </c>
      <c r="C30" s="124" t="str">
        <f>'Necesidades Trimestrales'!E28</f>
        <v>GUANTES USO MEDICINAL; TIPO: EXAMINACION, TAMAÑO: L 8/9, MATERIAL: NITRILO, PRESENTACION: ENVASE X 100 UN, ESTERIL: NO, TALCO: SIN, DESCARTABLE: SI</v>
      </c>
      <c r="D30" s="124"/>
      <c r="E30" s="124"/>
      <c r="F30" s="124"/>
      <c r="G30" s="124"/>
      <c r="H30" s="71" t="s">
        <v>54</v>
      </c>
      <c r="I30" s="72" t="str">
        <f>'Necesidades Trimestrales'!F28</f>
        <v>CAJA</v>
      </c>
      <c r="J30" s="70">
        <f>'Necesidades Trimestrales'!H28</f>
        <v>670.66</v>
      </c>
      <c r="K30" s="69">
        <f>'Necesidades Trimestrales'!G28</f>
        <v>10</v>
      </c>
    </row>
    <row r="31" spans="1:11" ht="27.75" customHeight="1" x14ac:dyDescent="0.2">
      <c r="A31" s="76">
        <v>20</v>
      </c>
      <c r="B31" s="77" t="str">
        <f>'Necesidades Trimestrales'!B29</f>
        <v>2.9.5-1909.173</v>
      </c>
      <c r="C31" s="124" t="str">
        <f>'Necesidades Trimestrales'!E29</f>
        <v>GUANTES USO MEDICINAL; TIPO: EXAMINACION, TAMAÑO: M 7/8, MATERIAL: NITRILO, PRESENTACION: ENVASE X 100 UN, ESTERIL: NO, TALCO: SIN, DESCARTABLE: SI</v>
      </c>
      <c r="D31" s="124"/>
      <c r="E31" s="124"/>
      <c r="F31" s="124"/>
      <c r="G31" s="124"/>
      <c r="H31" s="71" t="s">
        <v>54</v>
      </c>
      <c r="I31" s="72" t="str">
        <f>'Necesidades Trimestrales'!F29</f>
        <v>CAJA</v>
      </c>
      <c r="J31" s="70">
        <f>'Necesidades Trimestrales'!H29</f>
        <v>670.66</v>
      </c>
      <c r="K31" s="69">
        <f>'Necesidades Trimestrales'!G29</f>
        <v>10</v>
      </c>
    </row>
    <row r="32" spans="1:11" ht="27.75" customHeight="1" x14ac:dyDescent="0.2">
      <c r="A32" s="68">
        <v>21</v>
      </c>
      <c r="B32" s="77" t="str">
        <f>'Necesidades Trimestrales'!B30</f>
        <v>2.9.5-1909.169</v>
      </c>
      <c r="C32" s="124" t="str">
        <f>'Necesidades Trimestrales'!E30</f>
        <v>GUANTES USO MEDICINAL; TIPO: EXAMINACION, TAMAÑO: L 8/9, MATERIAL: VINILO, PRESENTACION: ENVASE X 100 UN, ESTERIL: NO, TALCO: SIN, DESCARTABLE: SI</v>
      </c>
      <c r="D32" s="124"/>
      <c r="E32" s="124"/>
      <c r="F32" s="124"/>
      <c r="G32" s="124"/>
      <c r="H32" s="71" t="s">
        <v>54</v>
      </c>
      <c r="I32" s="72" t="str">
        <f>'Necesidades Trimestrales'!F30</f>
        <v>CAJA</v>
      </c>
      <c r="J32" s="70">
        <f>'Necesidades Trimestrales'!H30</f>
        <v>745.08</v>
      </c>
      <c r="K32" s="69">
        <f>'Necesidades Trimestrales'!G30</f>
        <v>10</v>
      </c>
    </row>
    <row r="33" spans="1:14" ht="27.75" customHeight="1" x14ac:dyDescent="0.2">
      <c r="A33" s="76">
        <v>22</v>
      </c>
      <c r="B33" s="77" t="str">
        <f>'Necesidades Trimestrales'!B31</f>
        <v>2.9.5-1909.168</v>
      </c>
      <c r="C33" s="124" t="str">
        <f>'Necesidades Trimestrales'!E31</f>
        <v>GUANTES USO MEDICINAL; TIPO: EXAMINACION, TAMAÑO: M 7/8, MATERIAL: VINILO, PRESENTACION: ENVASE X 100 UN, ESTERIL: NO, TALCO: SIN, DESCARTABLE: SI</v>
      </c>
      <c r="D33" s="124"/>
      <c r="E33" s="124"/>
      <c r="F33" s="124"/>
      <c r="G33" s="124"/>
      <c r="H33" s="71" t="s">
        <v>54</v>
      </c>
      <c r="I33" s="72" t="str">
        <f>'Necesidades Trimestrales'!F31</f>
        <v>CAJA</v>
      </c>
      <c r="J33" s="70">
        <f>'Necesidades Trimestrales'!H31</f>
        <v>745.08</v>
      </c>
      <c r="K33" s="69">
        <f>'Necesidades Trimestrales'!G31</f>
        <v>10</v>
      </c>
    </row>
    <row r="34" spans="1:14" ht="27.75" customHeight="1" x14ac:dyDescent="0.2">
      <c r="A34" s="68">
        <v>23</v>
      </c>
      <c r="B34" s="77" t="str">
        <f>'Necesidades Trimestrales'!B32</f>
        <v>2.9.5-4198.171</v>
      </c>
      <c r="C34" s="124" t="str">
        <f>'Necesidades Trimestrales'!E32</f>
        <v>ELEMENTOS DESC. P/CIRUGIAS; TIPO: KIT DE CAMISOLIN 50 GRS CON PUÑO DE ALGODON + COFIA + BOTAS PAR, PRESENTACION: INDIVIDUAL, ESTERIL: NO</v>
      </c>
      <c r="D34" s="124"/>
      <c r="E34" s="124"/>
      <c r="F34" s="124"/>
      <c r="G34" s="124"/>
      <c r="H34" s="71" t="s">
        <v>54</v>
      </c>
      <c r="I34" s="72" t="str">
        <f>'Necesidades Trimestrales'!F32</f>
        <v>UNIDAD</v>
      </c>
      <c r="J34" s="70">
        <f>'Necesidades Trimestrales'!H32</f>
        <v>166</v>
      </c>
      <c r="K34" s="69">
        <f>'Necesidades Trimestrales'!G32</f>
        <v>2000</v>
      </c>
    </row>
    <row r="35" spans="1:14" ht="27.75" customHeight="1" x14ac:dyDescent="0.2">
      <c r="A35" s="76">
        <v>24</v>
      </c>
      <c r="B35" s="77" t="str">
        <f>'Necesidades Trimestrales'!B33</f>
        <v>2.9.5-6535.3</v>
      </c>
      <c r="C35" s="124" t="str">
        <f>'Necesidades Trimestrales'!E33</f>
        <v>MAMADERAS; MATERIAL: VIDRIO BOROSILICATO, TIPO: PYREX, TAPA: CON, VOLUMEN: 250 mL</v>
      </c>
      <c r="D35" s="124"/>
      <c r="E35" s="124"/>
      <c r="F35" s="124"/>
      <c r="G35" s="124"/>
      <c r="H35" s="71" t="s">
        <v>54</v>
      </c>
      <c r="I35" s="72" t="str">
        <f>'Necesidades Trimestrales'!F33</f>
        <v>UNIDAD</v>
      </c>
      <c r="J35" s="70">
        <f>'Necesidades Trimestrales'!H33</f>
        <v>159.88</v>
      </c>
      <c r="K35" s="69">
        <f>'Necesidades Trimestrales'!G33</f>
        <v>240</v>
      </c>
    </row>
    <row r="36" spans="1:14" ht="27.75" customHeight="1" x14ac:dyDescent="0.2">
      <c r="A36" s="68">
        <v>25</v>
      </c>
      <c r="B36" s="77" t="str">
        <f>'Necesidades Trimestrales'!B34</f>
        <v>2.9.5-461.78</v>
      </c>
      <c r="C36" s="124" t="str">
        <f>'Necesidades Trimestrales'!E34</f>
        <v>VENDAS USO MEDICO; TIPO: OVATA, MEDIDA: 10 Cm</v>
      </c>
      <c r="D36" s="124"/>
      <c r="E36" s="124"/>
      <c r="F36" s="124"/>
      <c r="G36" s="124"/>
      <c r="H36" s="71" t="s">
        <v>54</v>
      </c>
      <c r="I36" s="72" t="str">
        <f>'Necesidades Trimestrales'!F34</f>
        <v>UNIDAD</v>
      </c>
      <c r="J36" s="70">
        <f>'Necesidades Trimestrales'!H34</f>
        <v>49.24</v>
      </c>
      <c r="K36" s="69">
        <f>'Necesidades Trimestrales'!G34</f>
        <v>100</v>
      </c>
    </row>
    <row r="37" spans="1:14" ht="27.75" customHeight="1" x14ac:dyDescent="0.2">
      <c r="A37" s="76">
        <v>26</v>
      </c>
      <c r="B37" s="77" t="str">
        <f>'Necesidades Trimestrales'!B35</f>
        <v>2.9.9-2504.21</v>
      </c>
      <c r="C37" s="124" t="str">
        <f>'Necesidades Trimestrales'!E35</f>
        <v>PAÑALES; USO: ADULTO, TIPO: DESCARTABLE XG</v>
      </c>
      <c r="D37" s="124"/>
      <c r="E37" s="124"/>
      <c r="F37" s="124"/>
      <c r="G37" s="124"/>
      <c r="H37" s="71" t="s">
        <v>54</v>
      </c>
      <c r="I37" s="72" t="str">
        <f>'Necesidades Trimestrales'!F35</f>
        <v>UNIDAD</v>
      </c>
      <c r="J37" s="70">
        <f>'Necesidades Trimestrales'!H35</f>
        <v>27.65</v>
      </c>
      <c r="K37" s="69">
        <f>'Necesidades Trimestrales'!G35</f>
        <v>200</v>
      </c>
    </row>
    <row r="38" spans="1:14" ht="27.75" customHeight="1" x14ac:dyDescent="0.2">
      <c r="A38" s="68">
        <v>27</v>
      </c>
      <c r="B38" s="77" t="str">
        <f>'Necesidades Trimestrales'!B36</f>
        <v>2.9.9-2504.11</v>
      </c>
      <c r="C38" s="124" t="str">
        <f>'Necesidades Trimestrales'!E36</f>
        <v>PAÑALES; TIPO: DESCARTABLE, USO: NIÑOS EXTRAGRANDE 12 A 15 Kg</v>
      </c>
      <c r="D38" s="124"/>
      <c r="E38" s="124"/>
      <c r="F38" s="124"/>
      <c r="G38" s="124"/>
      <c r="H38" s="71" t="s">
        <v>54</v>
      </c>
      <c r="I38" s="72" t="str">
        <f>'Necesidades Trimestrales'!F36</f>
        <v>UNIDAD</v>
      </c>
      <c r="J38" s="70">
        <f>'Necesidades Trimestrales'!H36</f>
        <v>22.5</v>
      </c>
      <c r="K38" s="69">
        <f>'Necesidades Trimestrales'!G36</f>
        <v>300</v>
      </c>
    </row>
    <row r="39" spans="1:14" ht="27.75" customHeight="1" x14ac:dyDescent="0.2">
      <c r="A39" s="76">
        <v>28</v>
      </c>
      <c r="B39" s="77" t="str">
        <f>'Necesidades Trimestrales'!B37</f>
        <v>2.9.5-931.36</v>
      </c>
      <c r="C39" s="124" t="str">
        <f>'Necesidades Trimestrales'!E37</f>
        <v>TELAS ADHESIVAS; ANCHO: 5 Cm, LONG.DE CUERPO: 9 M, TIPO: IMPERMEABLE</v>
      </c>
      <c r="D39" s="124"/>
      <c r="E39" s="124"/>
      <c r="F39" s="124"/>
      <c r="G39" s="124"/>
      <c r="H39" s="71" t="s">
        <v>54</v>
      </c>
      <c r="I39" s="72" t="str">
        <f>'Necesidades Trimestrales'!F37</f>
        <v>ROLLO</v>
      </c>
      <c r="J39" s="70">
        <f>'Necesidades Trimestrales'!H37</f>
        <v>184.31</v>
      </c>
      <c r="K39" s="69">
        <f>'Necesidades Trimestrales'!G37</f>
        <v>1000</v>
      </c>
    </row>
    <row r="40" spans="1:14" ht="27.75" customHeight="1" x14ac:dyDescent="0.2">
      <c r="A40" s="68">
        <v>29</v>
      </c>
      <c r="B40" s="77" t="str">
        <f>'Necesidades Trimestrales'!B38</f>
        <v>2.9.5-931.47</v>
      </c>
      <c r="C40" s="124" t="str">
        <f>'Necesidades Trimestrales'!E38</f>
        <v>TELAS ADHESIVAS; ANCHO: 2,5 Cm, LONG.DE CUERPO: 9 M, TIPO: HIPOALERGICA MICROPOROSA</v>
      </c>
      <c r="D40" s="124"/>
      <c r="E40" s="124"/>
      <c r="F40" s="124"/>
      <c r="G40" s="124"/>
      <c r="H40" s="71" t="s">
        <v>54</v>
      </c>
      <c r="I40" s="72" t="str">
        <f>'Necesidades Trimestrales'!F38</f>
        <v>ROLLO</v>
      </c>
      <c r="J40" s="70">
        <f>'Necesidades Trimestrales'!H38</f>
        <v>87.25</v>
      </c>
      <c r="K40" s="69">
        <f>'Necesidades Trimestrales'!G38</f>
        <v>300</v>
      </c>
    </row>
    <row r="41" spans="1:14" ht="27.75" customHeight="1" x14ac:dyDescent="0.2">
      <c r="A41" s="76">
        <v>30</v>
      </c>
      <c r="B41" s="77" t="str">
        <f>'Necesidades Trimestrales'!B39</f>
        <v>2.9.5-931.48</v>
      </c>
      <c r="C41" s="124" t="str">
        <f>'Necesidades Trimestrales'!E39</f>
        <v>TELAS ADHESIVAS; ANCHO: 2,5 CM, LONG.DE CUERPO: 9 M, TIPO: HIPOALERGENICA MACROPOROSA TRANSPARENTE</v>
      </c>
      <c r="D41" s="124"/>
      <c r="E41" s="124"/>
      <c r="F41" s="124"/>
      <c r="G41" s="124"/>
      <c r="H41" s="71" t="s">
        <v>54</v>
      </c>
      <c r="I41" s="72" t="str">
        <f>'Necesidades Trimestrales'!F39</f>
        <v>ROLLO</v>
      </c>
      <c r="J41" s="70">
        <f>'Necesidades Trimestrales'!H39</f>
        <v>87.25</v>
      </c>
      <c r="K41" s="69">
        <f>'Necesidades Trimestrales'!G39</f>
        <v>300</v>
      </c>
    </row>
    <row r="42" spans="1:14" ht="27.75" customHeight="1" x14ac:dyDescent="0.2">
      <c r="A42" s="68">
        <v>31</v>
      </c>
      <c r="B42" s="77" t="str">
        <f>'Necesidades Trimestrales'!B40</f>
        <v>2.9.5-931.9</v>
      </c>
      <c r="C42" s="124" t="str">
        <f>'Necesidades Trimestrales'!E40</f>
        <v>TELAS ADHESIVAS; LONG.DE CUERPO: 9 M, ANCHO: 5.00 CM, TIPO: HIPOALERGENICA MACROPOROSA TRANSPARENTE</v>
      </c>
      <c r="D42" s="124"/>
      <c r="E42" s="124"/>
      <c r="F42" s="124"/>
      <c r="G42" s="124"/>
      <c r="H42" s="71" t="s">
        <v>54</v>
      </c>
      <c r="I42" s="72" t="str">
        <f>'Necesidades Trimestrales'!F40</f>
        <v>ROLLO</v>
      </c>
      <c r="J42" s="70">
        <f>'Necesidades Trimestrales'!H40</f>
        <v>174.51</v>
      </c>
      <c r="K42" s="69">
        <f>'Necesidades Trimestrales'!G40</f>
        <v>300</v>
      </c>
    </row>
    <row r="43" spans="1:14" ht="27.75" customHeight="1" x14ac:dyDescent="0.2">
      <c r="A43" s="68">
        <v>32</v>
      </c>
      <c r="B43" s="77" t="str">
        <f>'Necesidades Trimestrales'!B41</f>
        <v>2.9.5-6526.58</v>
      </c>
      <c r="C43" s="124" t="str">
        <f>'Necesidades Trimestrales'!E41</f>
        <v>TUBOS P/MEDICINA; TIPO: DE LATEX, USO: P/DRENAJE, PRESENTACION: 1 M, DIMENSION: 3 X 5 MM</v>
      </c>
      <c r="D43" s="124"/>
      <c r="E43" s="124"/>
      <c r="F43" s="124"/>
      <c r="G43" s="124"/>
      <c r="H43" s="71" t="s">
        <v>54</v>
      </c>
      <c r="I43" s="72" t="str">
        <f>'Necesidades Trimestrales'!F41</f>
        <v>METRO</v>
      </c>
      <c r="J43" s="70">
        <f>'Necesidades Trimestrales'!H41</f>
        <v>83</v>
      </c>
      <c r="K43" s="69">
        <f>'Necesidades Trimestrales'!G41</f>
        <v>30</v>
      </c>
    </row>
    <row r="44" spans="1:14" ht="27.75" customHeight="1" x14ac:dyDescent="0.2">
      <c r="A44" s="68">
        <v>33</v>
      </c>
      <c r="B44" s="77" t="str">
        <f>'Necesidades Trimestrales'!B42</f>
        <v>2.9.5-2569.45</v>
      </c>
      <c r="C44" s="124" t="str">
        <f>'Necesidades Trimestrales'!E42</f>
        <v>TUBOS TRAQUEALES; TIPO: ENDOTRAQUEAL C/BALON, NUMERO: 2,5 MM</v>
      </c>
      <c r="D44" s="124"/>
      <c r="E44" s="124"/>
      <c r="F44" s="124"/>
      <c r="G44" s="124"/>
      <c r="H44" s="71" t="s">
        <v>54</v>
      </c>
      <c r="I44" s="72" t="str">
        <f>'Necesidades Trimestrales'!F42</f>
        <v>UNIDAD</v>
      </c>
      <c r="J44" s="70">
        <f>'Necesidades Trimestrales'!H42</f>
        <v>89.91</v>
      </c>
      <c r="K44" s="69">
        <f>'Necesidades Trimestrales'!G42</f>
        <v>20</v>
      </c>
    </row>
    <row r="45" spans="1:14" ht="27.75" customHeight="1" x14ac:dyDescent="0.2">
      <c r="A45" s="68">
        <v>34</v>
      </c>
      <c r="B45" s="77" t="str">
        <f>'Necesidades Trimestrales'!B43</f>
        <v>2.9.5-2569.4</v>
      </c>
      <c r="C45" s="124" t="str">
        <f>'Necesidades Trimestrales'!E43</f>
        <v>TUBOS TRAQUEALES; TIPO: ENDOTRAQUEAL C/BALON, NUMERO: 8 MM</v>
      </c>
      <c r="D45" s="124"/>
      <c r="E45" s="124"/>
      <c r="F45" s="124"/>
      <c r="G45" s="124"/>
      <c r="H45" s="71" t="s">
        <v>54</v>
      </c>
      <c r="I45" s="72" t="str">
        <f>'Necesidades Trimestrales'!F43</f>
        <v>UNIDAD</v>
      </c>
      <c r="J45" s="70">
        <f>'Necesidades Trimestrales'!H43</f>
        <v>89.36</v>
      </c>
      <c r="K45" s="69">
        <f>'Necesidades Trimestrales'!G43</f>
        <v>20</v>
      </c>
    </row>
    <row r="46" spans="1:14" ht="27.75" customHeight="1" x14ac:dyDescent="0.2">
      <c r="A46" s="68">
        <v>35</v>
      </c>
      <c r="B46" s="77" t="str">
        <f>'Necesidades Trimestrales'!B44</f>
        <v>2.9.5-2569.111</v>
      </c>
      <c r="C46" s="124" t="str">
        <f>'Necesidades Trimestrales'!E44</f>
        <v>TUBOS TRAQUEALES; TIPO: ENDOTRAQUEAL C/ BALON, NUMERO: 8,5 MM</v>
      </c>
      <c r="D46" s="124"/>
      <c r="E46" s="124"/>
      <c r="F46" s="124"/>
      <c r="G46" s="124"/>
      <c r="H46" s="71" t="s">
        <v>54</v>
      </c>
      <c r="I46" s="72" t="str">
        <f>'Necesidades Trimestrales'!F44</f>
        <v>UNIDAD</v>
      </c>
      <c r="J46" s="70">
        <f>'Necesidades Trimestrales'!H44</f>
        <v>89.36</v>
      </c>
      <c r="K46" s="69">
        <f>'Necesidades Trimestrales'!G44</f>
        <v>20</v>
      </c>
    </row>
    <row r="47" spans="1:14" ht="27.75" customHeight="1" thickBot="1" x14ac:dyDescent="0.25">
      <c r="A47" s="68">
        <v>36</v>
      </c>
      <c r="B47" s="77" t="str">
        <f>'Necesidades Trimestrales'!B45</f>
        <v>2.9.5-6527.36</v>
      </c>
      <c r="C47" s="124" t="str">
        <f>'Necesidades Trimestrales'!E45</f>
        <v>TUBULADURAS; TIPO: TRANSPARENTE DE PVC, USO: MEDICO, MEDIDAS: 6 MM X 9 MM, PRESENTACION: 50 M</v>
      </c>
      <c r="D47" s="124"/>
      <c r="E47" s="124"/>
      <c r="F47" s="124"/>
      <c r="G47" s="124"/>
      <c r="H47" s="71" t="s">
        <v>54</v>
      </c>
      <c r="I47" s="72" t="str">
        <f>'Necesidades Trimestrales'!F45</f>
        <v>ROLLO</v>
      </c>
      <c r="J47" s="70">
        <f>'Necesidades Trimestrales'!H45</f>
        <v>6850</v>
      </c>
      <c r="K47" s="69">
        <f>'Necesidades Trimestrales'!G45</f>
        <v>5</v>
      </c>
    </row>
    <row r="48" spans="1:14" ht="20.25" customHeight="1" thickBot="1" x14ac:dyDescent="0.25">
      <c r="A48" s="125" t="s">
        <v>147</v>
      </c>
      <c r="B48" s="125"/>
      <c r="C48" s="125"/>
      <c r="D48" s="125"/>
      <c r="E48" s="125"/>
      <c r="F48" s="125"/>
      <c r="G48" s="125"/>
      <c r="H48" s="125"/>
      <c r="I48" s="125"/>
      <c r="J48" s="126">
        <f>SUMPRODUCT(J12:J47,K12:K47)</f>
        <v>1338575.1499999997</v>
      </c>
      <c r="K48" s="126"/>
      <c r="N48" s="52"/>
    </row>
  </sheetData>
  <mergeCells count="58">
    <mergeCell ref="C42:G42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H10:H11"/>
    <mergeCell ref="I10:I11"/>
    <mergeCell ref="J10:J11"/>
    <mergeCell ref="K10:K11"/>
    <mergeCell ref="A8:C8"/>
    <mergeCell ref="D8:K8"/>
    <mergeCell ref="A10:A11"/>
    <mergeCell ref="B10:B11"/>
    <mergeCell ref="C10:G11"/>
    <mergeCell ref="A48:I48"/>
    <mergeCell ref="J48:K48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43:G43"/>
    <mergeCell ref="C44:G44"/>
    <mergeCell ref="C45:G45"/>
    <mergeCell ref="C46:G46"/>
    <mergeCell ref="C47:G4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K16" sqref="K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5" width="14.85546875" customWidth="1"/>
    <col min="16" max="16" width="15.5703125" customWidth="1"/>
    <col min="17" max="17" width="14.7109375" customWidth="1"/>
  </cols>
  <sheetData>
    <row r="1" spans="1:17" ht="15.75" customHeight="1" x14ac:dyDescent="0.25">
      <c r="A1" s="165" t="s">
        <v>3</v>
      </c>
      <c r="B1" s="165"/>
      <c r="C1" s="165"/>
      <c r="D1" s="166">
        <f>'Necesidades Trimestrales'!C6</f>
        <v>2022</v>
      </c>
      <c r="E1" s="166"/>
      <c r="F1" s="3"/>
      <c r="G1" s="3"/>
      <c r="H1" s="4"/>
      <c r="I1" s="4"/>
      <c r="J1" s="4"/>
      <c r="K1" s="4"/>
      <c r="L1" s="4"/>
      <c r="M1" s="4"/>
      <c r="N1" s="4"/>
      <c r="P1" s="167" t="s">
        <v>25</v>
      </c>
      <c r="Q1" s="167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7"/>
      <c r="Q2" s="167"/>
    </row>
    <row r="4" spans="1:17" s="5" customFormat="1" ht="18" customHeight="1" thickBot="1" x14ac:dyDescent="0.25">
      <c r="A4" s="168" t="s">
        <v>26</v>
      </c>
      <c r="B4" s="168"/>
      <c r="C4" s="168"/>
      <c r="D4" s="168"/>
      <c r="E4" s="168"/>
      <c r="F4" s="168"/>
      <c r="G4" s="163" t="str">
        <f>' NotaPedido'!D3</f>
        <v>040 - 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s="5" customFormat="1" ht="18" customHeight="1" thickBot="1" x14ac:dyDescent="0.25">
      <c r="A5" s="160" t="s">
        <v>49</v>
      </c>
      <c r="B5" s="161"/>
      <c r="C5" s="161"/>
      <c r="D5" s="161"/>
      <c r="E5" s="161"/>
      <c r="F5" s="162"/>
      <c r="G5" s="163" t="str">
        <f>' NotaPedido'!D4</f>
        <v>024 - Hospital Interzonal de Niños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s="5" customFormat="1" ht="18" customHeight="1" thickBot="1" x14ac:dyDescent="0.25">
      <c r="A6" s="160" t="s">
        <v>27</v>
      </c>
      <c r="B6" s="161"/>
      <c r="C6" s="161"/>
      <c r="D6" s="161"/>
      <c r="E6" s="161"/>
      <c r="F6" s="162"/>
      <c r="G6" s="163" t="str">
        <f>' NotaPedido'!D5</f>
        <v>024 - Hospital Interzonal de Niños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s="5" customFormat="1" ht="18" customHeight="1" thickBot="1" x14ac:dyDescent="0.25">
      <c r="A7" s="160" t="s">
        <v>50</v>
      </c>
      <c r="B7" s="161"/>
      <c r="C7" s="161"/>
      <c r="D7" s="161"/>
      <c r="E7" s="161"/>
      <c r="F7" s="162"/>
      <c r="G7" s="163" t="s">
        <v>56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8" customHeight="1" thickBot="1" x14ac:dyDescent="0.25">
      <c r="A8" s="164" t="s">
        <v>28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</row>
    <row r="9" spans="1:17" ht="18" customHeight="1" x14ac:dyDescent="0.2">
      <c r="A9" s="149" t="s">
        <v>29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"/>
      <c r="P9" s="1"/>
      <c r="Q9" s="6"/>
    </row>
    <row r="10" spans="1:17" ht="54.75" customHeight="1" x14ac:dyDescent="0.2">
      <c r="A10" s="15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046/2022,  afectando la erogación resultante a los créditos presupuestarios aprobados a favor de esta Unidad Ejecutora, conforme al siguiente detalle: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1" t="s">
        <v>30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</row>
    <row r="13" spans="1:17" ht="15.75" customHeight="1" thickBot="1" x14ac:dyDescent="0.25">
      <c r="A13" s="152" t="s">
        <v>31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32</v>
      </c>
      <c r="P13" s="155"/>
      <c r="Q13" s="158" t="s">
        <v>33</v>
      </c>
    </row>
    <row r="14" spans="1:17" ht="15.75" customHeight="1" thickBot="1" x14ac:dyDescent="0.25">
      <c r="A14" s="59" t="s">
        <v>34</v>
      </c>
      <c r="B14" s="60" t="s">
        <v>35</v>
      </c>
      <c r="C14" s="60" t="s">
        <v>36</v>
      </c>
      <c r="D14" s="60" t="s">
        <v>37</v>
      </c>
      <c r="E14" s="60" t="s">
        <v>38</v>
      </c>
      <c r="F14" s="60" t="s">
        <v>39</v>
      </c>
      <c r="G14" s="61" t="s">
        <v>40</v>
      </c>
      <c r="H14" s="60" t="s">
        <v>41</v>
      </c>
      <c r="I14" s="60" t="s">
        <v>42</v>
      </c>
      <c r="J14" s="60" t="s">
        <v>43</v>
      </c>
      <c r="K14" s="60" t="s">
        <v>43</v>
      </c>
      <c r="L14" s="60" t="s">
        <v>44</v>
      </c>
      <c r="M14" s="62" t="s">
        <v>45</v>
      </c>
      <c r="N14" s="63" t="s">
        <v>46</v>
      </c>
      <c r="O14" s="156"/>
      <c r="P14" s="157"/>
      <c r="Q14" s="159"/>
    </row>
    <row r="15" spans="1:17" ht="26.25" customHeight="1" x14ac:dyDescent="0.2">
      <c r="A15" s="55">
        <v>36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310</v>
      </c>
      <c r="I15" s="56">
        <v>2</v>
      </c>
      <c r="J15" s="56">
        <v>5</v>
      </c>
      <c r="K15" s="56">
        <v>1</v>
      </c>
      <c r="L15" s="56"/>
      <c r="M15" s="57">
        <v>1</v>
      </c>
      <c r="N15" s="58" t="s">
        <v>53</v>
      </c>
      <c r="O15" s="144" t="s">
        <v>148</v>
      </c>
      <c r="P15" s="144"/>
      <c r="Q15" s="64">
        <v>3488.45</v>
      </c>
    </row>
    <row r="16" spans="1:17" ht="36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12">
        <v>2</v>
      </c>
      <c r="J16" s="12">
        <v>9</v>
      </c>
      <c r="K16" s="12">
        <v>5</v>
      </c>
      <c r="L16" s="12"/>
      <c r="M16" s="13">
        <v>1</v>
      </c>
      <c r="N16" s="65" t="s">
        <v>53</v>
      </c>
      <c r="O16" s="170" t="s">
        <v>144</v>
      </c>
      <c r="P16" s="171"/>
      <c r="Q16" s="15">
        <v>1322806.7</v>
      </c>
    </row>
    <row r="17" spans="1:18" ht="27.75" customHeight="1" x14ac:dyDescent="0.2">
      <c r="A17" s="11">
        <v>36</v>
      </c>
      <c r="B17" s="12"/>
      <c r="C17" s="12"/>
      <c r="D17" s="12">
        <v>1</v>
      </c>
      <c r="E17" s="12"/>
      <c r="F17" s="14">
        <v>4901</v>
      </c>
      <c r="G17" s="12">
        <v>3</v>
      </c>
      <c r="H17" s="12">
        <v>310</v>
      </c>
      <c r="I17" s="12">
        <v>2</v>
      </c>
      <c r="J17" s="12">
        <v>9</v>
      </c>
      <c r="K17" s="12">
        <v>9</v>
      </c>
      <c r="L17" s="12"/>
      <c r="M17" s="13">
        <v>1</v>
      </c>
      <c r="N17" s="14" t="s">
        <v>53</v>
      </c>
      <c r="O17" s="170" t="s">
        <v>149</v>
      </c>
      <c r="P17" s="171"/>
      <c r="Q17" s="15">
        <v>12280</v>
      </c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39"/>
      <c r="P18" s="139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0"/>
      <c r="P19" s="140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1"/>
      <c r="P20" s="141"/>
      <c r="Q20" s="24"/>
    </row>
    <row r="21" spans="1:18" ht="29.25" customHeight="1" x14ac:dyDescent="0.2">
      <c r="A21" s="142" t="s">
        <v>142</v>
      </c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75">
        <f>SUM(Q15:Q20)</f>
        <v>1338575.1499999999</v>
      </c>
    </row>
    <row r="22" spans="1:18" ht="18" customHeight="1" thickBot="1" x14ac:dyDescent="0.25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8" ht="17.25" customHeight="1" thickBot="1" x14ac:dyDescent="0.25">
      <c r="A23" s="145" t="s">
        <v>47</v>
      </c>
      <c r="B23" s="146"/>
      <c r="C23" s="146"/>
      <c r="D23" s="146"/>
      <c r="E23" s="146"/>
      <c r="F23" s="147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</row>
    <row r="24" spans="1:18" ht="18" customHeight="1" thickBot="1" x14ac:dyDescent="0.25">
      <c r="A24" s="138" t="s">
        <v>143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26.25" customHeight="1" x14ac:dyDescent="0.2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2022-04-27T11:16:48Z</cp:lastPrinted>
  <dcterms:created xsi:type="dcterms:W3CDTF">2020-07-17T23:44:49Z</dcterms:created>
  <dcterms:modified xsi:type="dcterms:W3CDTF">2022-04-27T11:17:02Z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