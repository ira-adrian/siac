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codeName="ThisWorkbook"/>
  <mc:AlternateContent xmlns:mc="http://schemas.openxmlformats.org/markup-compatibility/2006">
    <mc:Choice Requires="x15">
      <x15ac:absPath xmlns:x15ac="http://schemas.microsoft.com/office/spreadsheetml/2010/11/ac" url="G:\Mi unidad\COMPARTIDA\HJO\31. Centro de Datos de Contingencia - SME - MEC\3. Analisis\"/>
    </mc:Choice>
  </mc:AlternateContent>
  <xr:revisionPtr revIDLastSave="0" documentId="13_ncr:1_{F26DA921-5462-433C-9998-2D72D01C4E17}" xr6:coauthVersionLast="47" xr6:coauthVersionMax="47" xr10:uidLastSave="{00000000-0000-0000-0000-000000000000}"/>
  <bookViews>
    <workbookView xWindow="345" yWindow="2340" windowWidth="14400" windowHeight="10890" xr2:uid="{00000000-000D-0000-FFFF-FFFF00000000}"/>
  </bookViews>
  <sheets>
    <sheet name="Cuadro comparativo" sheetId="2" r:id="rId1"/>
  </sheets>
  <definedNames>
    <definedName name="Datos">'Cuadro comparativo'!$E$1:$E$5</definedName>
    <definedName name="DatosTitulos">'Cuadro comparativo'!$D$1:$D$5</definedName>
    <definedName name="PROVEEDOR">'Cuadro comparativo'!$G$8:$J$8,'Cuadro comparativo'!$K$8:$N$8,'Cuadro comparativo'!$O$8:$R$8</definedName>
    <definedName name="Titles">'Cuadro comparativo'!$A$8:$F$8</definedName>
  </definedNames>
  <calcPr calcId="18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I13" i="2" l="1"/>
  <c r="M13" i="2"/>
  <c r="Q13" i="2"/>
</calcChain>
</file>

<file path=xl/sharedStrings.xml><?xml version="1.0" encoding="utf-8"?>
<sst xmlns="http://schemas.openxmlformats.org/spreadsheetml/2006/main" count="53" uniqueCount="35">
  <si>
    <t>Número expediente:</t>
  </si>
  <si>
    <t>EX-2022-01248238-   -CAT-SCA#MEC</t>
  </si>
  <si>
    <t>Número proceso de compra:</t>
  </si>
  <si>
    <t>100-0045-CPR22</t>
  </si>
  <si>
    <t>Nombre descriptivo proceso de compra:</t>
  </si>
  <si>
    <t>Adquisición e implementación de Centro de Datos de contingencia requerido por la Secretaría de Moder</t>
  </si>
  <si>
    <t>Unidad Operativa de Compras:</t>
  </si>
  <si>
    <t>Secretaria de Compras y Abastecimiento</t>
  </si>
  <si>
    <t>Fecha de Apertura:</t>
  </si>
  <si>
    <t>01/08/2022</t>
  </si>
  <si>
    <t>Renglón</t>
  </si>
  <si>
    <t>TRANS INDUSTRIAS ELECTRONICAS S.A.</t>
  </si>
  <si>
    <t>Datastar Argentina S.A.</t>
  </si>
  <si>
    <t>Cotech SAS</t>
  </si>
  <si>
    <t>Alternativa</t>
  </si>
  <si>
    <t>Código</t>
  </si>
  <si>
    <t>Descripción</t>
  </si>
  <si>
    <t>Cantidad solicitada</t>
  </si>
  <si>
    <t>Unidad de medida</t>
  </si>
  <si>
    <t>Precio unitario</t>
  </si>
  <si>
    <t>Cantidad ofertada</t>
  </si>
  <si>
    <t>Total por renglón</t>
  </si>
  <si>
    <t>Especificacion técnica</t>
  </si>
  <si>
    <t xml:space="preserve">1 </t>
  </si>
  <si>
    <t xml:space="preserve">4.3.6-9996.1 </t>
  </si>
  <si>
    <t xml:space="preserve">CENTRO DE DATOS; TIPO: LLAVE EN MANO, ESPECIFICACIONES: SEGUN PLIEGO 
</t>
  </si>
  <si>
    <t xml:space="preserve">UNIDAD </t>
  </si>
  <si>
    <t xml:space="preserve">La moneda de cotización es el Dólar Estadounidense, conforme Artículos 
11, 12 y 32 del pliego.  El plazo de 
entrega es de cien días corridos, que corresponden aproximadamente a 
71 días hábiles, siendo este último número el que corresponde 
aplicar para el cómputo de la ponderación de la oferta. 
 Se adjunta archivo GA222339 SUBSECTICATA Datacenter Secundario - 40.Tec.1 
Propuesta Técnica.pdf  Se adjunta también el archivo de OFERTA 
COMERCIAL que datalla todos los valores con su correspondiente alícuota 
de IVA para que sea considerado. </t>
  </si>
  <si>
    <t xml:space="preserve">Ver propuesta técnica </t>
  </si>
  <si>
    <t xml:space="preserve">Con respecto al ITEM N. 1 se incluyen 4 nodos 
convergentes marca Cisco modelo HyperFlex HX240c M6, cada uno con 
su correpondiente software Cisco HyperFlex Data Platform Datacenter Premier. Se 
incluyen también 4 switches convergentes Cisco UCS Fabric Interconnect 6454. 
Se incluyen 8 licencias de software de administración centralizada Cisco 
Intersight SaaS Advantage. Se incluye una UPS marca APC modelo 
Smart-UPS SRT 10000 VA. Se incluye un rack marca APC 
modelo NetShelter SX 42U.  Con respecto al ITEM N. 
2 se incluyen 2 switches para nodos de interconexión Cisco 
Nexus 9300-FX con 4 ópticas Cisco 100GBASE LR QSFP.  
Con respecto al ITEM N. 3 se incluyen 16 licencias 
de virtualización VMware VSphere Enterprise Plus. Se incluye una licencia 
de administración centralizada de hipervisores VMware vCenter Server Standard. Se 
incluyen 16 licencias de backup Veeam Backup  Replication.  
Con respecto al ITEM N. 4 se incluyen los servicios 
de control de funcionamiento y puesta en marcha de la 
solución, el soporte operacional y el mantenimiento integral. </t>
  </si>
  <si>
    <t xml:space="preserve">2 </t>
  </si>
  <si>
    <t xml:space="preserve">Con respecto al ITEM N. 1 se incluyen 4 nodos 
convergentes marca Cisco modelo HyperFlex HX240c M6, cada uno con 
su correpondiente software Cisco HyperFlex Data Platform Datacenter Premier. Se 
incluyen también 4 switches convergentes Cisco UCS Fabric Interconnect 6454. 
Se incluyen 8 licencias de software de administración centralizada Cisco 
Intersight SaaS Advantage. Se incluye una UPS marca APC modelo 
Smart-UPS SRT 10000 VA. Se incluye un rack marca APC 
modelo NetShelter SX 42U.  Con respecto al ITEM N. 
2 se incluyen 2 switches para nodos de interconexión Cisco 
Nexus 9300-FX con 4 ópticas Cisco 100GBASE LR QSFP.  
Con respecto al ITEM N. 3 se incluyen 16 licencias 
de virtualización VMware VSphere Enterprise Plus. Se incluye una licencia 
de administración centralizada de hipervisores VMware vCenter Server Standard. Se 
incluyen 16 licencias de backup Veeam Backup  Replication.  
Con respecto al ITEM N. 4 se incluyen los servicios 
de control de funcionamiento y puesta en marcha de la 
solución, el soporte operacional y el mantenimiento integral.  Con 
respecto al ITEM N. 5 se incluye la instalación de 
fibra óptica monomodo entre el pabellón 21 de CAPE y 
las instalaciones del 911. Se incluye la colocación de bandejas 
y fusionados con todos los accesorios y el etiquetado en 
rack y rotulado de fibra óptica. </t>
  </si>
  <si>
    <t xml:space="preserve">3 </t>
  </si>
  <si>
    <t xml:space="preserve">Con respecto al ITEM N. 1 se incluyen 8 nodos 
convergentes marca Nutanix modelo NX-8155-G8, cada uno con su correpondiente 
software Nutanix Cloud Infrastructure (NCI) Pro y NCI Advanced Replication. 
Se incluyen también 2 switches convergentes Cisco Nexus 9300-FX. Se 
incluyen 4 licencias de software de administración centralizada Cisco Intersight 
SaaS Advantage. Se incluye una UPS marca APC modelo Smart-UPS 
SRT 10000 VA. Se incluye un rack marca APC modelo 
NetShelter SX 42U.  Con respecto al ITEM N. 2 
se incluyen 2 switches para nodos de interconexión Cisco Nexus 
9300-FX con 4 ópticas Cisco 100GBASE LR QSFP.  Con 
respecto al ITEM N. 3 se incluyen 8 licencias de 
virtualización VMware VSphere Enterprise Plus. Se incluye una licencia de 
administración centralizada de hipervisores VMware vCenter Server Standard. Se incluyen 
24 licencias de backup Veeam Backup  Replication.  Con 
respecto al ITEM N. 4 se incluyen los servicios de 
control de funcionamiento y puesta en marcha de la solución, 
el soporte operacional y el mantenimiento integral.  Con respecto 
al ITEM N. 5 se incluye la instalación de fibra 
óptica monomodo entre el pabellón 21 de CAPE y las 
instalaciones del 911. Se incluye la colocación de bandejas y 
fusionados con todos los accesorios y el etiquetado en rack 
y rotulado de fibra óptica. </t>
  </si>
  <si>
    <t xml:space="preserve">Total: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</si>
</sst>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 #,##0.00"/>
    <numFmt numFmtId="165" formatCode="\$\ #,##0.00"/>
  </numFmts>
  <fonts count="2" x14ac:knownFonts="1">
    <font>
      <sz val="11"/>
      <color rgb="FF000000"/>
      <name val="Calibri"/>
      <family val="2"/>
    </font>
    <font>
      <b/>
      <sz val="11"/>
      <color rgb="FF000000"/>
      <name val="Calibri"/>
      <family val="2"/>
    </font>
  </fonts>
  <fills count="3">
    <fill>
      <patternFill patternType="none"/>
    </fill>
    <fill>
      <patternFill patternType="gray125"/>
    </fill>
    <fill>
      <patternFill patternType="solid">
        <fgColor rgb="FFA2ADD0"/>
        <bgColor rgb="FFA2ADD0"/>
      </patternFill>
    </fill>
  </fills>
  <borders count="1">
    <border>
      <left/>
      <right/>
      <top/>
      <bottom/>
      <diagonal/>
    </border>
  </borders>
  <cellStyleXfs count="1">
    <xf numFmtId="0" fontId="0" fillId="0" borderId="0" applyBorder="0"/>
  </cellStyleXfs>
  <cellXfs count="6">
    <xf numFmtId="0" fontId="0" fillId="0" borderId="0" xfId="0" applyNumberFormat="1" applyFill="1" applyAlignment="1" applyProtection="1"/>
    <xf numFmtId="0" fontId="1" fillId="2" borderId="0" xfId="0" applyNumberFormat="1" applyFont="1" applyFill="1" applyAlignment="1" applyProtection="1">
      <alignment horizontal="center"/>
    </xf>
    <xf numFmtId="0" fontId="1" fillId="2" borderId="0" xfId="0" applyNumberFormat="1" applyFont="1" applyFill="1" applyAlignment="1" applyProtection="1">
      <alignment horizontal="left"/>
    </xf>
    <xf numFmtId="164" fontId="0" fillId="0" borderId="0" xfId="0" applyNumberFormat="1" applyFill="1" applyAlignment="1" applyProtection="1"/>
    <xf numFmtId="0" fontId="0" fillId="0" borderId="0" xfId="0" applyNumberFormat="1" applyFill="1" applyAlignment="1" applyProtection="1">
      <alignment wrapText="1"/>
    </xf>
    <xf numFmtId="165" fontId="0" fillId="0" borderId="0" xfId="0" applyNumberFormat="1" applyFill="1" applyAlignment="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9:F13" totalsRowCount="1">
  <tableColumns count="6">
    <tableColumn id="1" xr3:uid="{00000000-0010-0000-0000-000001000000}" name="Renglón"/>
    <tableColumn id="2" xr3:uid="{00000000-0010-0000-0000-000002000000}" name="Alternativa"/>
    <tableColumn id="3" xr3:uid="{00000000-0010-0000-0000-000003000000}" name="Código" totalsRowLabel="Total: "/>
    <tableColumn id="4" xr3:uid="{00000000-0010-0000-0000-000004000000}" name="Descripción"/>
    <tableColumn id="5" xr3:uid="{00000000-0010-0000-0000-000005000000}" name="Cantidad solicitada"/>
    <tableColumn id="6" xr3:uid="{00000000-0010-0000-0000-000006000000}" name="Unidad de medida"/>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G9:J13" totalsRowCount="1">
  <tableColumns count="4">
    <tableColumn id="1" xr3:uid="{00000000-0010-0000-0100-000001000000}" name="Precio unitario"/>
    <tableColumn id="2" xr3:uid="{00000000-0010-0000-0100-000002000000}" name="Cantidad ofertada"/>
    <tableColumn id="3" xr3:uid="{00000000-0010-0000-0100-000003000000}" name="Total por renglón" totalsRowFunction="sum"/>
    <tableColumn id="4" xr3:uid="{00000000-0010-0000-0100-000004000000}" name="Especificacion técnica"/>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K9:N13" totalsRowCount="1">
  <tableColumns count="4">
    <tableColumn id="1" xr3:uid="{00000000-0010-0000-0200-000001000000}" name="Precio unitario"/>
    <tableColumn id="2" xr3:uid="{00000000-0010-0000-0200-000002000000}" name="Cantidad ofertada"/>
    <tableColumn id="3" xr3:uid="{00000000-0010-0000-0200-000003000000}" name="Total por renglón" totalsRowFunction="sum"/>
    <tableColumn id="4" xr3:uid="{00000000-0010-0000-0200-000004000000}" name="Especificacion técnica"/>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4" displayName="Table4" ref="O9:R13" totalsRowCount="1">
  <tableColumns count="4">
    <tableColumn id="1" xr3:uid="{00000000-0010-0000-0300-000001000000}" name="Precio unitario"/>
    <tableColumn id="2" xr3:uid="{00000000-0010-0000-0300-000002000000}" name="Cantidad ofertada"/>
    <tableColumn id="3" xr3:uid="{00000000-0010-0000-0300-000003000000}" name="Total por renglón" totalsRowFunction="sum"/>
    <tableColumn id="4" xr3:uid="{00000000-0010-0000-0300-000004000000}" name="Especificacion técnica"/>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3"/>
  <sheetViews>
    <sheetView tabSelected="1" workbookViewId="0">
      <pane xSplit="3" ySplit="9" topLeftCell="D10" activePane="bottomRight" state="frozenSplit"/>
      <selection pane="topRight"/>
      <selection pane="bottomLeft"/>
      <selection pane="bottomRight" activeCell="D10" sqref="D10"/>
    </sheetView>
  </sheetViews>
  <sheetFormatPr baseColWidth="10" defaultColWidth="9.140625" defaultRowHeight="15" x14ac:dyDescent="0.25"/>
  <cols>
    <col min="1" max="1" width="8.85546875" customWidth="1"/>
    <col min="2" max="2" width="11.28515625" customWidth="1"/>
    <col min="3" max="3" width="12.5703125" customWidth="1"/>
    <col min="4" max="4" width="69" customWidth="1"/>
    <col min="5" max="5" width="92.42578125" customWidth="1"/>
    <col min="6" max="6" width="17.42578125" customWidth="1"/>
    <col min="7" max="7" width="14.28515625" customWidth="1"/>
    <col min="8" max="8" width="17.28515625" customWidth="1"/>
    <col min="9" max="9" width="16.5703125" customWidth="1"/>
    <col min="10" max="10" width="69.28515625" customWidth="1"/>
    <col min="11" max="11" width="14.28515625" customWidth="1"/>
    <col min="12" max="12" width="17.28515625" customWidth="1"/>
    <col min="13" max="13" width="16.5703125" customWidth="1"/>
    <col min="14" max="14" width="20.28515625" customWidth="1"/>
    <col min="15" max="15" width="14.28515625" customWidth="1"/>
    <col min="16" max="16" width="17.28515625" customWidth="1"/>
    <col min="17" max="17" width="16.5703125" customWidth="1"/>
    <col min="18" max="18" width="78.42578125" customWidth="1"/>
  </cols>
  <sheetData>
    <row r="1" spans="1:18" x14ac:dyDescent="0.25">
      <c r="D1" s="2" t="s">
        <v>0</v>
      </c>
      <c r="E1" s="2" t="s">
        <v>1</v>
      </c>
    </row>
    <row r="2" spans="1:18" x14ac:dyDescent="0.25">
      <c r="D2" s="2" t="s">
        <v>2</v>
      </c>
      <c r="E2" s="2" t="s">
        <v>3</v>
      </c>
    </row>
    <row r="3" spans="1:18" x14ac:dyDescent="0.25">
      <c r="D3" s="2" t="s">
        <v>4</v>
      </c>
      <c r="E3" s="2" t="s">
        <v>5</v>
      </c>
    </row>
    <row r="4" spans="1:18" x14ac:dyDescent="0.25">
      <c r="D4" s="2" t="s">
        <v>6</v>
      </c>
      <c r="E4" s="2" t="s">
        <v>7</v>
      </c>
    </row>
    <row r="5" spans="1:18" x14ac:dyDescent="0.25">
      <c r="D5" s="2" t="s">
        <v>8</v>
      </c>
      <c r="E5" s="2" t="s">
        <v>9</v>
      </c>
    </row>
    <row r="8" spans="1:18" x14ac:dyDescent="0.25">
      <c r="A8" s="1" t="s">
        <v>10</v>
      </c>
      <c r="B8" s="1"/>
      <c r="C8" s="1"/>
      <c r="D8" s="1"/>
      <c r="E8" s="1"/>
      <c r="F8" s="1"/>
      <c r="G8" s="1" t="s">
        <v>11</v>
      </c>
      <c r="H8" s="1"/>
      <c r="I8" s="1"/>
      <c r="J8" s="1"/>
      <c r="K8" s="1" t="s">
        <v>12</v>
      </c>
      <c r="L8" s="1"/>
      <c r="M8" s="1"/>
      <c r="N8" s="1"/>
      <c r="O8" s="1" t="s">
        <v>13</v>
      </c>
      <c r="P8" s="1"/>
      <c r="Q8" s="1"/>
      <c r="R8" s="1"/>
    </row>
    <row r="9" spans="1:18" x14ac:dyDescent="0.25">
      <c r="A9" t="s">
        <v>10</v>
      </c>
      <c r="B9" t="s">
        <v>14</v>
      </c>
      <c r="C9" t="s">
        <v>15</v>
      </c>
      <c r="D9" t="s">
        <v>16</v>
      </c>
      <c r="E9" t="s">
        <v>17</v>
      </c>
      <c r="F9" t="s">
        <v>18</v>
      </c>
      <c r="G9" s="3" t="s">
        <v>19</v>
      </c>
      <c r="H9" s="3" t="s">
        <v>20</v>
      </c>
      <c r="I9" t="s">
        <v>21</v>
      </c>
      <c r="J9" t="s">
        <v>22</v>
      </c>
      <c r="K9" s="3" t="s">
        <v>19</v>
      </c>
      <c r="L9" s="3" t="s">
        <v>20</v>
      </c>
      <c r="M9" t="s">
        <v>21</v>
      </c>
      <c r="N9" t="s">
        <v>22</v>
      </c>
      <c r="O9" s="3" t="s">
        <v>19</v>
      </c>
      <c r="P9" s="3" t="s">
        <v>20</v>
      </c>
      <c r="Q9" t="s">
        <v>21</v>
      </c>
      <c r="R9" t="s">
        <v>22</v>
      </c>
    </row>
    <row r="10" spans="1:18" ht="255" x14ac:dyDescent="0.25">
      <c r="A10" t="s">
        <v>23</v>
      </c>
      <c r="B10" t="s">
        <v>23</v>
      </c>
      <c r="C10" t="s">
        <v>24</v>
      </c>
      <c r="D10" s="4" t="s">
        <v>25</v>
      </c>
      <c r="E10">
        <v>1</v>
      </c>
      <c r="F10" t="s">
        <v>26</v>
      </c>
      <c r="G10" s="3">
        <v>920637</v>
      </c>
      <c r="H10" s="3">
        <v>1</v>
      </c>
      <c r="I10" s="5">
        <v>920637</v>
      </c>
      <c r="J10" s="4" t="s">
        <v>27</v>
      </c>
      <c r="K10" s="3">
        <v>1081000</v>
      </c>
      <c r="L10" s="3">
        <v>1</v>
      </c>
      <c r="M10" s="5">
        <v>1081000</v>
      </c>
      <c r="N10" t="s">
        <v>28</v>
      </c>
      <c r="O10" s="3">
        <v>813722.81</v>
      </c>
      <c r="P10" s="3">
        <v>1</v>
      </c>
      <c r="Q10" s="5">
        <v>813722.81</v>
      </c>
      <c r="R10" s="4" t="s">
        <v>29</v>
      </c>
    </row>
    <row r="11" spans="1:18" ht="330" x14ac:dyDescent="0.25">
      <c r="A11" t="s">
        <v>23</v>
      </c>
      <c r="B11" t="s">
        <v>30</v>
      </c>
      <c r="C11" t="s">
        <v>24</v>
      </c>
      <c r="D11" s="4" t="s">
        <v>25</v>
      </c>
      <c r="E11">
        <v>1</v>
      </c>
      <c r="F11" t="s">
        <v>26</v>
      </c>
      <c r="G11" s="3"/>
      <c r="H11" s="3"/>
      <c r="I11" s="5"/>
      <c r="K11" s="3"/>
      <c r="L11" s="3"/>
      <c r="M11" s="5"/>
      <c r="O11" s="3">
        <v>868839.96</v>
      </c>
      <c r="P11" s="3">
        <v>1</v>
      </c>
      <c r="Q11" s="5">
        <v>868839.96</v>
      </c>
      <c r="R11" s="4" t="s">
        <v>31</v>
      </c>
    </row>
    <row r="12" spans="1:18" ht="345" x14ac:dyDescent="0.25">
      <c r="A12" t="s">
        <v>23</v>
      </c>
      <c r="B12" t="s">
        <v>32</v>
      </c>
      <c r="C12" t="s">
        <v>24</v>
      </c>
      <c r="D12" s="4" t="s">
        <v>25</v>
      </c>
      <c r="E12">
        <v>1</v>
      </c>
      <c r="F12" t="s">
        <v>26</v>
      </c>
      <c r="G12" s="3"/>
      <c r="H12" s="3"/>
      <c r="I12" s="5"/>
      <c r="K12" s="3"/>
      <c r="L12" s="3"/>
      <c r="M12" s="5"/>
      <c r="O12" s="3">
        <v>1199987.48</v>
      </c>
      <c r="P12" s="3">
        <v>1</v>
      </c>
      <c r="Q12" s="5">
        <v>1199987.48</v>
      </c>
      <c r="R12" s="4" t="s">
        <v>33</v>
      </c>
    </row>
    <row r="13" spans="1:18" x14ac:dyDescent="0.25">
      <c r="C13" t="s">
        <v>34</v>
      </c>
      <c r="D13" s="4"/>
      <c r="G13" s="3"/>
      <c r="H13" s="3"/>
      <c r="I13" s="5">
        <f>SUBTOTAL(109,Table2[Total por renglón])</f>
        <v>920637</v>
      </c>
      <c r="K13" s="3"/>
      <c r="L13" s="3"/>
      <c r="M13" s="5">
        <f>SUBTOTAL(109,Table3[Total por renglón])</f>
        <v>1081000</v>
      </c>
      <c r="O13" s="3"/>
      <c r="P13" s="3"/>
      <c r="Q13" s="5">
        <f>SUBTOTAL(109,Table4[Total por renglón])</f>
        <v>2882550.25</v>
      </c>
      <c r="R13" s="4"/>
    </row>
  </sheetData>
  <mergeCells count="4">
    <mergeCell ref="G8:J8"/>
    <mergeCell ref="K8:N8"/>
    <mergeCell ref="O8:R8"/>
    <mergeCell ref="A8:F8"/>
  </mergeCells>
  <pageMargins left="0.75" right="0.75" top="0.75" bottom="0.5" header="0.5" footer="0.75"/>
  <tableParts count="4">
    <tablePart r:id="rId1"/>
    <tablePart r:id="rId2"/>
    <tablePart r:id="rId3"/>
    <tablePart r:id="rId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4</vt:i4>
      </vt:variant>
    </vt:vector>
  </HeadingPairs>
  <TitlesOfParts>
    <vt:vector size="5" baseType="lpstr">
      <vt:lpstr>Cuadro comparativo</vt:lpstr>
      <vt:lpstr>Datos</vt:lpstr>
      <vt:lpstr>DatosTitulos</vt:lpstr>
      <vt:lpstr>PROVEEDOR</vt:lpstr>
      <vt:lpstr>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HERNAN OLIMA</cp:lastModifiedBy>
  <dcterms:created xsi:type="dcterms:W3CDTF">2022-08-04T18:56:54Z</dcterms:created>
  <dcterms:modified xsi:type="dcterms:W3CDTF">2022-08-04T18:57:14Z</dcterms:modified>
</cp:coreProperties>
</file>