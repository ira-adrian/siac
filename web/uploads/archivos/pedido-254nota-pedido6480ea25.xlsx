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7F2DBE58-A15E-41A9-A694-2BD9E6619A6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_FilterDatabase" localSheetId="0" hidden="1">'Necesidades Trimestrales'!$A$9:$I$22</definedName>
    <definedName name="_xlnm.Print_Area" localSheetId="1">' NotaPedido'!$A$1:$G$22</definedName>
    <definedName name="_xlnm.Print_Area" localSheetId="2">'Autor Gastar'!$A$1:$Q$26</definedName>
    <definedName name="_xlnm.Print_Area" localSheetId="0">'Necesidades Trimestrales'!$E$9:$E$22</definedName>
  </definedNames>
  <calcPr calcId="181029"/>
</workbook>
</file>

<file path=xl/calcChain.xml><?xml version="1.0" encoding="utf-8"?>
<calcChain xmlns="http://schemas.openxmlformats.org/spreadsheetml/2006/main">
  <c r="E22" i="2" l="1"/>
  <c r="Q22" i="3" l="1"/>
  <c r="G13" i="2" l="1"/>
  <c r="G14" i="2"/>
  <c r="G15" i="2"/>
  <c r="G16" i="2"/>
  <c r="G17" i="2"/>
  <c r="G18" i="2"/>
  <c r="G19" i="2"/>
  <c r="G20" i="2"/>
  <c r="G21" i="2"/>
  <c r="G22" i="2"/>
  <c r="G23" i="2"/>
  <c r="G24" i="2"/>
  <c r="F13" i="2"/>
  <c r="F14" i="2"/>
  <c r="F15" i="2"/>
  <c r="F16" i="2"/>
  <c r="F17" i="2"/>
  <c r="F18" i="2"/>
  <c r="F19" i="2"/>
  <c r="F20" i="2"/>
  <c r="F21" i="2"/>
  <c r="F22" i="2"/>
  <c r="F23" i="2"/>
  <c r="F24" i="2"/>
  <c r="E24" i="2"/>
  <c r="C13" i="2"/>
  <c r="C14" i="2"/>
  <c r="C15" i="2"/>
  <c r="C16" i="2"/>
  <c r="C17" i="2"/>
  <c r="C18" i="2"/>
  <c r="C19" i="2"/>
  <c r="C20" i="2"/>
  <c r="C21" i="2"/>
  <c r="C22" i="2"/>
  <c r="C23" i="2"/>
  <c r="C24" i="2"/>
  <c r="E23" i="2"/>
  <c r="I22" i="1" l="1"/>
  <c r="I21" i="1"/>
  <c r="I20" i="1"/>
  <c r="I10" i="1" l="1"/>
  <c r="G12" i="2" l="1"/>
  <c r="F12" i="2"/>
  <c r="I19" i="1"/>
  <c r="I18" i="1"/>
  <c r="I17" i="1"/>
  <c r="I16" i="1"/>
  <c r="I15" i="1"/>
  <c r="I14" i="1"/>
  <c r="I13" i="1"/>
  <c r="F25" i="2" l="1"/>
  <c r="D4" i="2"/>
  <c r="D3" i="2"/>
  <c r="A10" i="3" l="1"/>
  <c r="E14" i="2" l="1"/>
  <c r="E15" i="2"/>
  <c r="E16" i="2"/>
  <c r="E17" i="2"/>
  <c r="E18" i="2"/>
  <c r="E19" i="2"/>
  <c r="E20" i="2"/>
  <c r="E21" i="2"/>
  <c r="E13" i="2"/>
  <c r="I12" i="1" l="1"/>
  <c r="I11" i="1"/>
  <c r="D1" i="3" l="1"/>
  <c r="E12" i="2"/>
  <c r="C12" i="2"/>
</calcChain>
</file>

<file path=xl/sharedStrings.xml><?xml version="1.0" encoding="utf-8"?>
<sst xmlns="http://schemas.openxmlformats.org/spreadsheetml/2006/main" count="130" uniqueCount="85">
  <si>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</si>
  <si>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</si>
  <si>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</si>
  <si>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</si>
  <si>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</si>
  <si>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</si>
  <si>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</si>
  <si>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</si>
  <si>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</si>
  <si>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</si>
  <si>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</si>
  <si>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</si>
  <si>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</si>
  <si>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</si>
  <si>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</si>
  <si>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</si>
  <si>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</si>
  <si>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</si>
  <si>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</si>
  <si>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</si>
  <si>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</si>
  <si>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</si>
  <si>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</si>
  <si>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</si>
  <si>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</si>
  <si>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</si>
  <si>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</si>
  <si>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</si>
  <si>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</si>
  <si>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</si>
  <si>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</si>
  <si>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</si>
  <si>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</si>
  <si>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</si>
  <si>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</si>
  <si>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</si>
  <si>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</si>
  <si>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</si>
  <si>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</si>
  <si>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</si>
  <si>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</si>
  <si>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</si>
  <si>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</si>
  <si>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</si>
  <si>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</si>
  <si>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</si>
  <si>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</si>
  <si>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</si>
  <si>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</si>
  <si>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</si>
  <si>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</si>
  <si>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</si>
  <si>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</si>
  <si>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</si>
  <si>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</si>
  <si>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>PROD. MEDICO/FARMACEUTICOS/LAB</t>
  </si>
  <si>
    <t>COSTO TOTAL ESTIMADO</t>
  </si>
  <si>
    <t>Servicio de Farmacia</t>
  </si>
  <si>
    <t xml:space="preserve">Adquisición de Medicamentos </t>
  </si>
  <si>
    <t>Productos Farmaceuticos y Medicinales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</si>
  <si>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</si>
  <si>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</si>
  <si>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7 días de notificada la Orden de Compra</t>
    </r>
  </si>
  <si>
    <t xml:space="preserve">45 dias habiles </t>
  </si>
  <si>
    <t>Servicio De Farmacia</t>
  </si>
  <si>
    <t>Mantenimiento de Oferta:</t>
  </si>
  <si>
    <t>1er TRIMESTRE - 2021</t>
  </si>
  <si>
    <r>
      <rPr>
        <u/>
        <sz val="10"/>
        <rFont val="Times New Roman"/>
        <family val="1"/>
      </rPr>
      <t>Plazo de vencimiento de los bienes ofrecidos:</t>
    </r>
    <r>
      <rPr>
        <sz val="10"/>
        <rFont val="Times New Roman"/>
        <family val="1"/>
      </rPr>
      <t xml:space="preserve"> No podrán ser inferior a los 18 meses.</t>
    </r>
  </si>
  <si>
    <t>BARBIJOS TRICAPA C/PLIEG.RECT Y ELST.X 1</t>
  </si>
  <si>
    <t>GORRO P/CIRUJANO S/FRONTO EST.X 1  T/COFIA C/ ELAST.</t>
  </si>
  <si>
    <t>GUANTES DE NITRILO TALLE S X 100 UNID.</t>
  </si>
  <si>
    <t>GUANTES DE POLIET.(MANOPLAS) X 100 UNID.</t>
  </si>
  <si>
    <t>OVATA DE ALGODON 10 CM X 3 MTS. X 1</t>
  </si>
  <si>
    <t>TELA ADHE.HIPOALERG.TRANS.5CM X 9MT ROLLO X 1</t>
  </si>
  <si>
    <t>VENDA CAMBRIC  5 CM.X 1</t>
  </si>
  <si>
    <t>VENDA CAMBRIC  7 CM.X 1</t>
  </si>
  <si>
    <t>VENDA CAMBRIC 10 CM.X 1</t>
  </si>
  <si>
    <t>VENDA COBAN 10CM T/3M</t>
  </si>
  <si>
    <t>VENDA DE SMARCH X 10 CM.</t>
  </si>
  <si>
    <t>VENDA ELASTICA 10 CM.ROLLO X 25MTS.</t>
  </si>
  <si>
    <t>VENDA YESO F/RAPIDO 20X4 MT.ROLLO X 1 T/FAVE</t>
  </si>
  <si>
    <t>TOTAL DE PESOS: Un millon cuatrocientos noventa y tres mil ciento nueve CON 20/100.</t>
  </si>
  <si>
    <t>Para la adquisición de Materiales de Curación destinados al servico de Farmacia del Hospital Interzonal de Niños Eva Peron, para el normal funcionamiento del organismo.</t>
  </si>
  <si>
    <t>022/2021</t>
  </si>
  <si>
    <t>IPP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</si>
</sst>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</numFmts>
  <fonts count="25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Arial"/>
      <family val="2"/>
    </font>
    <font>
      <u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45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5" xfId="0" applyBorder="1"/>
    <xf numFmtId="0" fontId="0" fillId="0" borderId="20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1" xfId="0" applyBorder="1"/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0" applyFont="1" applyBorder="1" applyAlignment="1">
      <alignment horizontal="left" vertical="center"/>
    </xf>
    <xf numFmtId="0" fontId="13" fillId="0" borderId="25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66" fontId="0" fillId="0" borderId="29" xfId="3" applyNumberFormat="1" applyFont="1" applyBorder="1" applyAlignment="1" applyProtection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38" xfId="3" applyNumberFormat="1" applyFont="1" applyBorder="1" applyAlignment="1" applyProtection="1">
      <alignment horizontal="center" vertical="center"/>
    </xf>
    <xf numFmtId="166" fontId="13" fillId="0" borderId="39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0" fontId="0" fillId="0" borderId="48" xfId="0" applyBorder="1"/>
    <xf numFmtId="0" fontId="5" fillId="3" borderId="5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7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49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left" vertical="center"/>
    </xf>
    <xf numFmtId="0" fontId="4" fillId="4" borderId="49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center" vertical="center" wrapText="1"/>
    </xf>
    <xf numFmtId="166" fontId="4" fillId="3" borderId="49" xfId="1" applyNumberFormat="1" applyFont="1" applyFill="1" applyBorder="1" applyAlignment="1" applyProtection="1">
      <alignment horizontal="right" vertical="center" wrapText="1"/>
    </xf>
    <xf numFmtId="3" fontId="4" fillId="3" borderId="49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left" vertical="center"/>
    </xf>
    <xf numFmtId="0" fontId="4" fillId="4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166" fontId="20" fillId="4" borderId="4" xfId="1" applyNumberFormat="1" applyFont="1" applyFill="1" applyBorder="1" applyAlignment="1" applyProtection="1">
      <alignment horizontal="right" vertical="center" wrapText="1"/>
    </xf>
    <xf numFmtId="166" fontId="20" fillId="4" borderId="45" xfId="1" applyNumberFormat="1" applyFont="1" applyFill="1" applyBorder="1" applyAlignment="1" applyProtection="1">
      <alignment horizontal="right" vertical="center" wrapText="1"/>
    </xf>
    <xf numFmtId="0" fontId="0" fillId="4" borderId="26" xfId="0" applyFont="1" applyFill="1" applyBorder="1" applyAlignment="1">
      <alignment horizontal="center" vertical="center"/>
    </xf>
    <xf numFmtId="0" fontId="0" fillId="4" borderId="27" xfId="0" applyFont="1" applyFill="1" applyBorder="1" applyAlignment="1">
      <alignment horizontal="center" vertical="center"/>
    </xf>
    <xf numFmtId="0" fontId="0" fillId="3" borderId="27" xfId="0" applyFont="1" applyFill="1" applyBorder="1" applyAlignment="1">
      <alignment horizontal="center" vertical="center"/>
    </xf>
    <xf numFmtId="0" fontId="0" fillId="4" borderId="28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 vertical="center"/>
    </xf>
    <xf numFmtId="0" fontId="21" fillId="4" borderId="48" xfId="0" applyFont="1" applyFill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4" fillId="0" borderId="52" xfId="0" applyFont="1" applyBorder="1" applyAlignment="1">
      <alignment horizontal="left" indent="3"/>
    </xf>
    <xf numFmtId="0" fontId="15" fillId="0" borderId="53" xfId="0" applyFont="1" applyBorder="1"/>
    <xf numFmtId="0" fontId="15" fillId="0" borderId="54" xfId="0" applyFont="1" applyBorder="1"/>
    <xf numFmtId="0" fontId="24" fillId="0" borderId="55" xfId="0" applyFont="1" applyBorder="1" applyAlignment="1"/>
    <xf numFmtId="0" fontId="15" fillId="0" borderId="0" xfId="0" applyFont="1" applyBorder="1" applyAlignment="1">
      <alignment horizont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56" xfId="0" applyFont="1" applyBorder="1" applyAlignment="1">
      <alignment horizontal="center" wrapText="1"/>
    </xf>
    <xf numFmtId="0" fontId="15" fillId="0" borderId="55" xfId="0" applyFont="1" applyBorder="1" applyAlignment="1">
      <alignment horizontal="left" indent="3"/>
    </xf>
    <xf numFmtId="0" fontId="15" fillId="0" borderId="57" xfId="0" applyFont="1" applyBorder="1" applyAlignment="1">
      <alignment horizontal="left" indent="3"/>
    </xf>
    <xf numFmtId="0" fontId="15" fillId="0" borderId="58" xfId="0" applyFont="1" applyBorder="1"/>
    <xf numFmtId="0" fontId="15" fillId="0" borderId="59" xfId="0" applyFont="1" applyBorder="1"/>
    <xf numFmtId="169" fontId="14" fillId="0" borderId="0" xfId="1" applyNumberFormat="1" applyFill="1"/>
    <xf numFmtId="169" fontId="14" fillId="0" borderId="2" xfId="1" applyNumberFormat="1" applyFill="1" applyBorder="1"/>
    <xf numFmtId="169" fontId="14" fillId="0" borderId="3" xfId="1" applyNumberFormat="1" applyFill="1" applyBorder="1" applyProtection="1"/>
    <xf numFmtId="169" fontId="14" fillId="0" borderId="44" xfId="1" applyNumberFormat="1" applyFill="1" applyBorder="1" applyProtection="1"/>
    <xf numFmtId="0" fontId="15" fillId="0" borderId="0" xfId="0" applyFont="1" applyFill="1"/>
    <xf numFmtId="167" fontId="2" fillId="3" borderId="0" xfId="0" applyNumberFormat="1" applyFont="1" applyFill="1" applyBorder="1" applyAlignment="1">
      <alignment vertical="center"/>
    </xf>
    <xf numFmtId="166" fontId="0" fillId="0" borderId="0" xfId="0" applyNumberFormat="1"/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21" fillId="4" borderId="44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6" fillId="0" borderId="6" xfId="0" applyFont="1" applyFill="1" applyBorder="1" applyAlignment="1">
      <alignment horizontal="center" vertical="center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2" fillId="4" borderId="0" xfId="0" applyFont="1" applyFill="1" applyBorder="1" applyAlignment="1">
      <alignment horizontal="left" wrapText="1" indent="1"/>
    </xf>
    <xf numFmtId="0" fontId="15" fillId="4" borderId="55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56" xfId="5" applyFont="1" applyFill="1" applyBorder="1" applyAlignment="1">
      <alignment horizontal="left" wrapText="1"/>
    </xf>
    <xf numFmtId="0" fontId="15" fillId="4" borderId="56" xfId="0" applyFont="1" applyFill="1" applyBorder="1" applyAlignment="1">
      <alignment horizontal="left" wrapText="1"/>
    </xf>
    <xf numFmtId="0" fontId="5" fillId="3" borderId="0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horizontal="left" vertical="center" wrapText="1"/>
    </xf>
    <xf numFmtId="0" fontId="6" fillId="3" borderId="51" xfId="0" applyFont="1" applyFill="1" applyBorder="1" applyAlignment="1">
      <alignment horizontal="left" vertical="center" wrapText="1"/>
    </xf>
    <xf numFmtId="0" fontId="6" fillId="3" borderId="16" xfId="0" applyFont="1" applyFill="1" applyBorder="1" applyAlignment="1">
      <alignment horizontal="left" vertical="center" wrapText="1"/>
    </xf>
    <xf numFmtId="0" fontId="23" fillId="3" borderId="15" xfId="0" applyFont="1" applyFill="1" applyBorder="1" applyAlignment="1">
      <alignment horizontal="left" vertical="center"/>
    </xf>
    <xf numFmtId="0" fontId="23" fillId="3" borderId="51" xfId="0" applyFont="1" applyFill="1" applyBorder="1" applyAlignment="1">
      <alignment horizontal="left" vertical="center"/>
    </xf>
    <xf numFmtId="167" fontId="7" fillId="3" borderId="9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left" vertical="center" wrapText="1" indent="1"/>
    </xf>
    <xf numFmtId="0" fontId="6" fillId="4" borderId="12" xfId="0" applyFont="1" applyFill="1" applyBorder="1" applyAlignment="1">
      <alignment horizontal="left" vertical="center" wrapText="1" indent="1"/>
    </xf>
    <xf numFmtId="0" fontId="7" fillId="3" borderId="11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9" fillId="0" borderId="40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1" fillId="4" borderId="39" xfId="0" applyFont="1" applyFill="1" applyBorder="1" applyAlignment="1">
      <alignment horizontal="left" vertical="center" wrapText="1" indent="1"/>
    </xf>
    <xf numFmtId="0" fontId="0" fillId="0" borderId="33" xfId="0" applyFont="1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9" fillId="0" borderId="39" xfId="0" applyFont="1" applyBorder="1" applyAlignment="1">
      <alignment horizontal="left" vertical="center" wrapText="1"/>
    </xf>
    <xf numFmtId="0" fontId="0" fillId="0" borderId="17" xfId="0" applyBorder="1"/>
    <xf numFmtId="0" fontId="14" fillId="0" borderId="27" xfId="0" applyFont="1" applyBorder="1" applyAlignment="1">
      <alignment horizontal="left" vertical="center" wrapText="1"/>
    </xf>
    <xf numFmtId="0" fontId="0" fillId="0" borderId="27" xfId="0" applyFont="1" applyBorder="1" applyAlignment="1">
      <alignment horizontal="left" vertical="center" wrapText="1"/>
    </xf>
    <xf numFmtId="0" fontId="11" fillId="0" borderId="18" xfId="0" applyFont="1" applyBorder="1"/>
    <xf numFmtId="0" fontId="11" fillId="0" borderId="19" xfId="0" applyFont="1" applyBorder="1" applyAlignment="1">
      <alignment horizontal="left" vertical="center" wrapText="1" indent="1"/>
    </xf>
    <xf numFmtId="0" fontId="13" fillId="0" borderId="1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indent="1"/>
    </xf>
    <xf numFmtId="0" fontId="12" fillId="0" borderId="6" xfId="0" applyFont="1" applyBorder="1" applyAlignment="1">
      <alignment horizontal="left"/>
    </xf>
    <xf numFmtId="0" fontId="0" fillId="0" borderId="15" xfId="0" applyFont="1" applyBorder="1" applyAlignment="1">
      <alignment horizontal="center"/>
    </xf>
    <xf numFmtId="3" fontId="9" fillId="0" borderId="16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2" fillId="0" borderId="6" xfId="0" applyFont="1" applyBorder="1"/>
    <xf numFmtId="0" fontId="24" fillId="0" borderId="53" xfId="0" applyFont="1" applyBorder="1" applyAlignment="1">
      <alignment horizontal="left" indent="3"/>
    </xf>
    <xf numFmtId="0" fontId="24" fillId="0" borderId="0" xfId="0" applyFont="1" applyBorder="1" applyAlignment="1"/>
    <xf numFmtId="0" fontId="15" fillId="0" borderId="0" xfId="0" applyFont="1" applyBorder="1" applyAlignment="1">
      <alignment horizontal="left" indent="3"/>
    </xf>
    <xf numFmtId="0" fontId="15" fillId="0" borderId="58" xfId="0" applyFont="1" applyBorder="1" applyAlignment="1">
      <alignment horizontal="left" indent="3"/>
    </xf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uario\descargas\pedido\PEDIDO%20medicamentos%20caidos%20-%20SAF%2024%20-%203&#186;%20TRIMEST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4">
          <cell r="C4" t="str">
            <v>040 - Ministerio de Salud</v>
          </cell>
        </row>
        <row r="5">
          <cell r="C5" t="str">
            <v>024 - Hospital Interzonal de Niños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33"/>
  <sheetViews>
    <sheetView tabSelected="1" zoomScaleNormal="100" workbookViewId="0">
      <selection activeCell="B10" sqref="B10"/>
    </sheetView>
  </sheetViews>
  <sheetFormatPr baseColWidth="10" defaultColWidth="11" defaultRowHeight="12.75" x14ac:dyDescent="0.2"/>
  <cols>
    <col min="1" max="1" width="4.5703125" style="32" customWidth="1"/>
    <col min="2" max="3" width="14" style="32" customWidth="1"/>
    <col min="4" max="4" width="13.28515625" style="32" customWidth="1"/>
    <col min="5" max="5" width="52.5703125" style="32" customWidth="1"/>
    <col min="6" max="6" width="11" style="32" customWidth="1"/>
    <col min="7" max="7" width="10.42578125" style="85" bestFit="1" customWidth="1"/>
    <col min="8" max="8" width="13.85546875" style="78" customWidth="1"/>
    <col min="9" max="9" width="18.5703125" style="32" customWidth="1"/>
    <col min="10" max="16384" width="11" style="32"/>
  </cols>
  <sheetData>
    <row r="2" spans="1:9" ht="27" x14ac:dyDescent="0.35">
      <c r="B2" s="92" t="s">
        <v>0</v>
      </c>
      <c r="C2" s="92"/>
      <c r="D2" s="92"/>
      <c r="E2" s="92"/>
      <c r="F2" s="92"/>
      <c r="G2" s="92"/>
      <c r="H2" s="92"/>
    </row>
    <row r="3" spans="1:9" ht="12" customHeight="1" x14ac:dyDescent="0.2"/>
    <row r="4" spans="1:9" ht="18" customHeight="1" x14ac:dyDescent="0.25">
      <c r="A4" s="93" t="s">
        <v>1</v>
      </c>
      <c r="B4" s="93"/>
      <c r="C4" s="91"/>
      <c r="D4" s="94" t="s">
        <v>52</v>
      </c>
      <c r="E4" s="94"/>
      <c r="F4" s="33"/>
      <c r="G4" s="86"/>
    </row>
    <row r="5" spans="1:9" ht="18" customHeight="1" x14ac:dyDescent="0.25">
      <c r="A5" s="93" t="s">
        <v>2</v>
      </c>
      <c r="B5" s="93"/>
      <c r="C5" s="91"/>
      <c r="D5" s="94" t="s">
        <v>51</v>
      </c>
      <c r="E5" s="94"/>
      <c r="F5" s="33"/>
      <c r="G5" s="86"/>
    </row>
    <row r="6" spans="1:9" ht="16.5" customHeight="1" x14ac:dyDescent="0.25">
      <c r="A6" s="93" t="s">
        <v>3</v>
      </c>
      <c r="B6" s="93"/>
      <c r="C6" s="91"/>
      <c r="D6" s="56">
        <v>2021</v>
      </c>
      <c r="E6" s="57"/>
      <c r="F6" s="33"/>
      <c r="G6" s="86"/>
    </row>
    <row r="7" spans="1:9" ht="16.5" customHeight="1" x14ac:dyDescent="0.25">
      <c r="A7" s="93" t="s">
        <v>4</v>
      </c>
      <c r="B7" s="93"/>
      <c r="C7" s="91"/>
      <c r="D7" s="56">
        <v>1</v>
      </c>
      <c r="E7" s="57"/>
      <c r="F7" s="33"/>
      <c r="G7" s="86"/>
    </row>
    <row r="8" spans="1:9" ht="13.5" thickBot="1" x14ac:dyDescent="0.25">
      <c r="B8" s="33"/>
      <c r="C8" s="33"/>
      <c r="D8" s="34"/>
      <c r="E8" s="33"/>
      <c r="F8" s="33"/>
      <c r="G8" s="86"/>
    </row>
    <row r="9" spans="1:9" ht="27" thickTop="1" thickBot="1" x14ac:dyDescent="0.25">
      <c r="A9" s="37" t="s">
        <v>5</v>
      </c>
      <c r="B9" s="35" t="s">
        <v>84</v>
      </c>
      <c r="C9" s="35" t="s">
        <v>6</v>
      </c>
      <c r="D9" s="35" t="s">
        <v>7</v>
      </c>
      <c r="E9" s="66" t="s">
        <v>8</v>
      </c>
      <c r="F9" s="38" t="s">
        <v>9</v>
      </c>
      <c r="G9" s="35" t="s">
        <v>10</v>
      </c>
      <c r="H9" s="79" t="s">
        <v>11</v>
      </c>
      <c r="I9" s="35" t="s">
        <v>12</v>
      </c>
    </row>
    <row r="10" spans="1:9" ht="13.5" thickTop="1" x14ac:dyDescent="0.2">
      <c r="A10" s="36">
        <v>1</v>
      </c>
      <c r="B10" s="39">
        <v>295</v>
      </c>
      <c r="C10" s="39"/>
      <c r="D10" s="39" t="s">
        <v>55</v>
      </c>
      <c r="E10" s="39" t="s">
        <v>68</v>
      </c>
      <c r="F10" s="65" t="s">
        <v>13</v>
      </c>
      <c r="G10" s="87">
        <v>10000</v>
      </c>
      <c r="H10" s="80">
        <v>14.98</v>
      </c>
      <c r="I10" s="58">
        <f>+G10*H10</f>
        <v>149800</v>
      </c>
    </row>
    <row r="11" spans="1:9" x14ac:dyDescent="0.2">
      <c r="A11" s="36">
        <v>2</v>
      </c>
      <c r="B11" s="39">
        <v>295</v>
      </c>
      <c r="C11" s="39"/>
      <c r="D11" s="39" t="s">
        <v>55</v>
      </c>
      <c r="E11" s="39" t="s">
        <v>69</v>
      </c>
      <c r="F11" s="65" t="s">
        <v>13</v>
      </c>
      <c r="G11" s="88">
        <v>8000</v>
      </c>
      <c r="H11" s="81">
        <v>5.8</v>
      </c>
      <c r="I11" s="59">
        <f>G11*H11</f>
        <v>46400</v>
      </c>
    </row>
    <row r="12" spans="1:9" ht="13.5" thickBot="1" x14ac:dyDescent="0.25">
      <c r="A12" s="36">
        <v>3</v>
      </c>
      <c r="B12" s="39">
        <v>295</v>
      </c>
      <c r="C12" s="39"/>
      <c r="D12" s="39" t="s">
        <v>55</v>
      </c>
      <c r="E12" s="39" t="s">
        <v>70</v>
      </c>
      <c r="F12" s="65" t="s">
        <v>13</v>
      </c>
      <c r="G12" s="88">
        <v>10</v>
      </c>
      <c r="H12" s="81">
        <v>1490</v>
      </c>
      <c r="I12" s="59">
        <f t="shared" ref="I12" si="0">G12*H12</f>
        <v>14900</v>
      </c>
    </row>
    <row r="13" spans="1:9" ht="13.5" thickBot="1" x14ac:dyDescent="0.25">
      <c r="A13" s="36">
        <v>4</v>
      </c>
      <c r="B13" s="39">
        <v>295</v>
      </c>
      <c r="C13" s="39"/>
      <c r="D13" s="39" t="s">
        <v>55</v>
      </c>
      <c r="E13" s="39" t="s">
        <v>71</v>
      </c>
      <c r="F13" s="65" t="s">
        <v>13</v>
      </c>
      <c r="G13" s="88">
        <v>300</v>
      </c>
      <c r="H13" s="81">
        <v>194.95</v>
      </c>
      <c r="I13" s="58">
        <f t="shared" ref="I13:I19" si="1">+G13*H13</f>
        <v>58485</v>
      </c>
    </row>
    <row r="14" spans="1:9" ht="13.5" thickBot="1" x14ac:dyDescent="0.25">
      <c r="A14" s="36">
        <v>5</v>
      </c>
      <c r="B14" s="39">
        <v>295</v>
      </c>
      <c r="C14" s="39"/>
      <c r="D14" s="39" t="s">
        <v>55</v>
      </c>
      <c r="E14" s="39" t="s">
        <v>72</v>
      </c>
      <c r="F14" s="65" t="s">
        <v>13</v>
      </c>
      <c r="G14" s="88">
        <v>5000</v>
      </c>
      <c r="H14" s="81">
        <v>106.29</v>
      </c>
      <c r="I14" s="58">
        <f t="shared" si="1"/>
        <v>531450</v>
      </c>
    </row>
    <row r="15" spans="1:9" ht="13.5" thickBot="1" x14ac:dyDescent="0.25">
      <c r="A15" s="36">
        <v>6</v>
      </c>
      <c r="B15" s="39">
        <v>295</v>
      </c>
      <c r="C15" s="39"/>
      <c r="D15" s="39" t="s">
        <v>55</v>
      </c>
      <c r="E15" s="39" t="s">
        <v>73</v>
      </c>
      <c r="F15" s="65" t="s">
        <v>13</v>
      </c>
      <c r="G15" s="88">
        <v>1500</v>
      </c>
      <c r="H15" s="81">
        <v>268.39999999999998</v>
      </c>
      <c r="I15" s="58">
        <f t="shared" si="1"/>
        <v>402599.99999999994</v>
      </c>
    </row>
    <row r="16" spans="1:9" ht="13.5" thickBot="1" x14ac:dyDescent="0.25">
      <c r="A16" s="36">
        <v>7</v>
      </c>
      <c r="B16" s="39">
        <v>295</v>
      </c>
      <c r="C16" s="39"/>
      <c r="D16" s="39" t="s">
        <v>55</v>
      </c>
      <c r="E16" s="39" t="s">
        <v>74</v>
      </c>
      <c r="F16" s="65" t="s">
        <v>13</v>
      </c>
      <c r="G16" s="88">
        <v>1000</v>
      </c>
      <c r="H16" s="81">
        <v>36.590000000000003</v>
      </c>
      <c r="I16" s="58">
        <f t="shared" si="1"/>
        <v>36590</v>
      </c>
    </row>
    <row r="17" spans="1:9" ht="13.5" thickBot="1" x14ac:dyDescent="0.25">
      <c r="A17" s="36">
        <v>8</v>
      </c>
      <c r="B17" s="39">
        <v>295</v>
      </c>
      <c r="C17" s="39"/>
      <c r="D17" s="39" t="s">
        <v>55</v>
      </c>
      <c r="E17" s="39" t="s">
        <v>75</v>
      </c>
      <c r="F17" s="65" t="s">
        <v>13</v>
      </c>
      <c r="G17" s="88">
        <v>1000</v>
      </c>
      <c r="H17" s="81">
        <v>48.48</v>
      </c>
      <c r="I17" s="58">
        <f t="shared" si="1"/>
        <v>48480</v>
      </c>
    </row>
    <row r="18" spans="1:9" ht="13.5" thickBot="1" x14ac:dyDescent="0.25">
      <c r="A18" s="36">
        <v>9</v>
      </c>
      <c r="B18" s="39">
        <v>295</v>
      </c>
      <c r="C18" s="39"/>
      <c r="D18" s="39" t="s">
        <v>55</v>
      </c>
      <c r="E18" s="39" t="s">
        <v>76</v>
      </c>
      <c r="F18" s="65" t="s">
        <v>13</v>
      </c>
      <c r="G18" s="88">
        <v>1000</v>
      </c>
      <c r="H18" s="81">
        <v>74.599999999999994</v>
      </c>
      <c r="I18" s="58">
        <f t="shared" si="1"/>
        <v>74600</v>
      </c>
    </row>
    <row r="19" spans="1:9" ht="13.5" thickBot="1" x14ac:dyDescent="0.25">
      <c r="A19" s="36">
        <v>10</v>
      </c>
      <c r="B19" s="39">
        <v>295</v>
      </c>
      <c r="C19" s="39"/>
      <c r="D19" s="39" t="s">
        <v>55</v>
      </c>
      <c r="E19" s="39" t="s">
        <v>77</v>
      </c>
      <c r="F19" s="65" t="s">
        <v>13</v>
      </c>
      <c r="G19" s="88">
        <v>20</v>
      </c>
      <c r="H19" s="81">
        <v>425.55</v>
      </c>
      <c r="I19" s="58">
        <f t="shared" si="1"/>
        <v>8511</v>
      </c>
    </row>
    <row r="20" spans="1:9" ht="13.5" thickBot="1" x14ac:dyDescent="0.25">
      <c r="A20" s="36">
        <v>11</v>
      </c>
      <c r="B20" s="39">
        <v>295</v>
      </c>
      <c r="C20" s="39"/>
      <c r="D20" s="39" t="s">
        <v>55</v>
      </c>
      <c r="E20" s="39" t="s">
        <v>78</v>
      </c>
      <c r="F20" s="65" t="s">
        <v>13</v>
      </c>
      <c r="G20" s="88">
        <v>20</v>
      </c>
      <c r="H20" s="81">
        <v>720.01</v>
      </c>
      <c r="I20" s="58">
        <f t="shared" ref="I20:I22" si="2">+G20*H20</f>
        <v>14400.2</v>
      </c>
    </row>
    <row r="21" spans="1:9" ht="13.5" thickBot="1" x14ac:dyDescent="0.25">
      <c r="A21" s="36">
        <v>12</v>
      </c>
      <c r="B21" s="39">
        <v>295</v>
      </c>
      <c r="C21" s="39"/>
      <c r="D21" s="39" t="s">
        <v>55</v>
      </c>
      <c r="E21" s="39" t="s">
        <v>79</v>
      </c>
      <c r="F21" s="65" t="s">
        <v>13</v>
      </c>
      <c r="G21" s="88">
        <v>3</v>
      </c>
      <c r="H21" s="81">
        <v>1540</v>
      </c>
      <c r="I21" s="58">
        <f t="shared" si="2"/>
        <v>4620</v>
      </c>
    </row>
    <row r="22" spans="1:9" x14ac:dyDescent="0.2">
      <c r="A22" s="36">
        <v>13</v>
      </c>
      <c r="B22" s="39">
        <v>295</v>
      </c>
      <c r="C22" s="39"/>
      <c r="D22" s="39" t="s">
        <v>55</v>
      </c>
      <c r="E22" s="39" t="s">
        <v>80</v>
      </c>
      <c r="F22" s="65" t="s">
        <v>13</v>
      </c>
      <c r="G22" s="88">
        <v>300</v>
      </c>
      <c r="H22" s="81">
        <v>340.91</v>
      </c>
      <c r="I22" s="58">
        <f t="shared" si="2"/>
        <v>102273.00000000001</v>
      </c>
    </row>
    <row r="24" spans="1:9" ht="13.5" thickBot="1" x14ac:dyDescent="0.25"/>
    <row r="25" spans="1:9" x14ac:dyDescent="0.2">
      <c r="B25" s="67" t="s">
        <v>60</v>
      </c>
      <c r="C25" s="141"/>
      <c r="D25" s="68"/>
      <c r="E25" s="68"/>
      <c r="F25" s="69"/>
      <c r="G25" s="89"/>
      <c r="H25" s="82"/>
    </row>
    <row r="26" spans="1:9" ht="12.75" customHeight="1" x14ac:dyDescent="0.2">
      <c r="B26" s="95" t="s">
        <v>61</v>
      </c>
      <c r="C26" s="96"/>
      <c r="D26" s="96"/>
      <c r="E26" s="96"/>
      <c r="F26" s="97"/>
      <c r="G26" s="89"/>
      <c r="H26" s="82"/>
    </row>
    <row r="27" spans="1:9" ht="26.25" customHeight="1" x14ac:dyDescent="0.2">
      <c r="B27" s="95"/>
      <c r="C27" s="96"/>
      <c r="D27" s="96"/>
      <c r="E27" s="96"/>
      <c r="F27" s="97"/>
      <c r="G27" s="89"/>
      <c r="H27" s="82"/>
    </row>
    <row r="28" spans="1:9" ht="26.25" customHeight="1" x14ac:dyDescent="0.2">
      <c r="B28" s="95" t="s">
        <v>67</v>
      </c>
      <c r="C28" s="96"/>
      <c r="D28" s="96"/>
      <c r="E28" s="96"/>
      <c r="F28" s="97"/>
      <c r="G28" s="89"/>
      <c r="H28" s="82"/>
    </row>
    <row r="29" spans="1:9" ht="26.25" customHeight="1" x14ac:dyDescent="0.2">
      <c r="B29" s="95" t="s">
        <v>62</v>
      </c>
      <c r="C29" s="96"/>
      <c r="D29" s="96"/>
      <c r="E29" s="96"/>
      <c r="F29" s="97"/>
      <c r="G29" s="89"/>
      <c r="H29" s="82"/>
    </row>
    <row r="30" spans="1:9" x14ac:dyDescent="0.2">
      <c r="B30" s="70" t="s">
        <v>65</v>
      </c>
      <c r="C30" s="142"/>
      <c r="D30" s="71"/>
      <c r="E30" s="72"/>
      <c r="F30" s="73"/>
      <c r="G30" s="89"/>
      <c r="H30" s="82"/>
    </row>
    <row r="31" spans="1:9" ht="26.25" customHeight="1" x14ac:dyDescent="0.2">
      <c r="B31" s="74"/>
      <c r="C31" s="143"/>
      <c r="D31" s="98" t="s">
        <v>63</v>
      </c>
      <c r="E31" s="98"/>
      <c r="F31" s="98"/>
      <c r="G31" s="89"/>
      <c r="H31" s="82"/>
    </row>
    <row r="32" spans="1:9" ht="13.5" thickBot="1" x14ac:dyDescent="0.25">
      <c r="B32" s="75"/>
      <c r="C32" s="144"/>
      <c r="D32" s="76"/>
      <c r="E32" s="76"/>
      <c r="F32" s="77"/>
      <c r="G32" s="89"/>
      <c r="H32" s="82"/>
    </row>
    <row r="33" spans="7:8" x14ac:dyDescent="0.2">
      <c r="G33" s="89"/>
      <c r="H33" s="82"/>
    </row>
  </sheetData>
  <autoFilter ref="A9:I22" xr:uid="{00000000-0009-0000-0000-000000000000}"/>
  <sortState xmlns:xlrd2="http://schemas.microsoft.com/office/spreadsheetml/2017/richdata2" ref="E454:I576">
    <sortCondition ref="I576"/>
  </sortState>
  <mergeCells count="11">
    <mergeCell ref="B26:F27"/>
    <mergeCell ref="B29:F29"/>
    <mergeCell ref="D31:F31"/>
    <mergeCell ref="A6:B6"/>
    <mergeCell ref="A7:B7"/>
    <mergeCell ref="B28:F28"/>
    <mergeCell ref="B2:H2"/>
    <mergeCell ref="A4:B4"/>
    <mergeCell ref="D4:E4"/>
    <mergeCell ref="A5:B5"/>
    <mergeCell ref="D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B25"/>
  <sheetViews>
    <sheetView zoomScaleNormal="100" workbookViewId="0">
      <selection activeCell="C14" sqref="C14"/>
    </sheetView>
  </sheetViews>
  <sheetFormatPr baseColWidth="10" defaultColWidth="9.140625" defaultRowHeight="12.75" x14ac:dyDescent="0.2"/>
  <cols>
    <col min="1" max="1" width="5.5703125" style="41" customWidth="1"/>
    <col min="2" max="2" width="15.140625" style="41" customWidth="1"/>
    <col min="3" max="3" width="54.5703125" style="41" customWidth="1"/>
    <col min="4" max="4" width="9.28515625" style="41" customWidth="1"/>
    <col min="5" max="5" width="15.5703125" style="41" customWidth="1"/>
    <col min="6" max="6" width="14.7109375" style="41" customWidth="1"/>
    <col min="7" max="7" width="15.5703125" style="41" customWidth="1"/>
    <col min="8" max="8" width="9.140625" style="41"/>
    <col min="9" max="9" width="13.85546875" style="41" bestFit="1" customWidth="1"/>
    <col min="10" max="1016" width="9.140625" style="41"/>
    <col min="1017" max="16384" width="9.140625" style="42"/>
  </cols>
  <sheetData>
    <row r="1" spans="1:7" ht="18" customHeight="1" thickBot="1" x14ac:dyDescent="0.25">
      <c r="A1" s="99" t="s">
        <v>14</v>
      </c>
      <c r="B1" s="99"/>
      <c r="C1" s="99"/>
      <c r="D1" s="99"/>
      <c r="E1" s="99"/>
      <c r="F1" s="40" t="s">
        <v>15</v>
      </c>
      <c r="G1" s="90" t="s">
        <v>83</v>
      </c>
    </row>
    <row r="2" spans="1:7" ht="18.75" customHeight="1" thickBot="1" x14ac:dyDescent="0.25">
      <c r="A2" s="43"/>
      <c r="B2" s="43"/>
      <c r="C2" s="43"/>
      <c r="D2" s="44"/>
      <c r="E2" s="44"/>
      <c r="F2" s="44"/>
      <c r="G2" s="44"/>
    </row>
    <row r="3" spans="1:7" ht="18.75" customHeight="1" thickBot="1" x14ac:dyDescent="0.25">
      <c r="A3" s="100" t="s">
        <v>48</v>
      </c>
      <c r="B3" s="100"/>
      <c r="C3" s="100"/>
      <c r="D3" s="102" t="str">
        <f>'[1]Necesidades Trimestrales'!C4</f>
        <v>040 - Ministerio de Salud</v>
      </c>
      <c r="E3" s="103"/>
      <c r="F3" s="103"/>
      <c r="G3" s="104"/>
    </row>
    <row r="4" spans="1:7" ht="18.75" customHeight="1" thickBot="1" x14ac:dyDescent="0.25">
      <c r="A4" s="101" t="s">
        <v>49</v>
      </c>
      <c r="B4" s="101"/>
      <c r="C4" s="101"/>
      <c r="D4" s="108" t="str">
        <f>'[1]Necesidades Trimestrales'!C5</f>
        <v>024 - Hospital Interzonal de Niños</v>
      </c>
      <c r="E4" s="108"/>
      <c r="F4" s="108"/>
      <c r="G4" s="108"/>
    </row>
    <row r="5" spans="1:7" ht="18.75" customHeight="1" thickBot="1" x14ac:dyDescent="0.25">
      <c r="A5" s="101" t="s">
        <v>27</v>
      </c>
      <c r="B5" s="101"/>
      <c r="C5" s="101"/>
      <c r="D5" s="108" t="s">
        <v>51</v>
      </c>
      <c r="E5" s="108"/>
      <c r="F5" s="108"/>
      <c r="G5" s="108"/>
    </row>
    <row r="6" spans="1:7" ht="16.5" customHeight="1" thickBot="1" x14ac:dyDescent="0.25">
      <c r="A6" s="100" t="s">
        <v>50</v>
      </c>
      <c r="B6" s="100"/>
      <c r="C6" s="100"/>
      <c r="D6" s="108" t="s">
        <v>57</v>
      </c>
      <c r="E6" s="108"/>
      <c r="F6" s="108"/>
      <c r="G6" s="108"/>
    </row>
    <row r="7" spans="1:7" ht="16.5" customHeight="1" thickBot="1" x14ac:dyDescent="0.25">
      <c r="A7" s="101" t="s">
        <v>16</v>
      </c>
      <c r="B7" s="101"/>
      <c r="C7" s="101"/>
      <c r="D7" s="108" t="s">
        <v>66</v>
      </c>
      <c r="E7" s="108"/>
      <c r="F7" s="108"/>
      <c r="G7" s="108"/>
    </row>
    <row r="8" spans="1:7" ht="16.5" customHeight="1" thickBot="1" x14ac:dyDescent="0.25">
      <c r="A8" s="110" t="s">
        <v>17</v>
      </c>
      <c r="B8" s="110"/>
      <c r="C8" s="110"/>
      <c r="D8" s="109" t="s">
        <v>58</v>
      </c>
      <c r="E8" s="109"/>
      <c r="F8" s="109"/>
      <c r="G8" s="109"/>
    </row>
    <row r="9" spans="1:7" ht="16.5" thickBot="1" x14ac:dyDescent="0.25">
      <c r="A9" s="45"/>
      <c r="B9" s="45"/>
      <c r="C9" s="45"/>
      <c r="D9" s="46"/>
      <c r="E9" s="46"/>
      <c r="F9" s="46"/>
      <c r="G9" s="46"/>
    </row>
    <row r="10" spans="1:7" ht="18.75" customHeight="1" thickBot="1" x14ac:dyDescent="0.25">
      <c r="A10" s="111" t="s">
        <v>18</v>
      </c>
      <c r="B10" s="112" t="s">
        <v>19</v>
      </c>
      <c r="C10" s="112" t="s">
        <v>20</v>
      </c>
      <c r="D10" s="112" t="s">
        <v>21</v>
      </c>
      <c r="E10" s="112" t="s">
        <v>22</v>
      </c>
      <c r="F10" s="112" t="s">
        <v>23</v>
      </c>
      <c r="G10" s="113" t="s">
        <v>24</v>
      </c>
    </row>
    <row r="11" spans="1:7" ht="24" customHeight="1" thickBot="1" x14ac:dyDescent="0.25">
      <c r="A11" s="111"/>
      <c r="B11" s="112"/>
      <c r="C11" s="112"/>
      <c r="D11" s="112"/>
      <c r="E11" s="112"/>
      <c r="F11" s="112"/>
      <c r="G11" s="113"/>
    </row>
    <row r="12" spans="1:7" ht="27.75" customHeight="1" thickBot="1" x14ac:dyDescent="0.25">
      <c r="A12" s="47">
        <v>1</v>
      </c>
      <c r="B12" s="48"/>
      <c r="C12" s="48" t="str">
        <f>'Necesidades Trimestrales'!E10</f>
        <v>BARBIJOS TRICAPA C/PLIEG.RECT Y ELST.X 1</v>
      </c>
      <c r="D12" s="49" t="s">
        <v>54</v>
      </c>
      <c r="E12" s="50" t="str">
        <f>'Necesidades Trimestrales'!F10</f>
        <v>UNIDAD</v>
      </c>
      <c r="F12" s="51">
        <f>+'Necesidades Trimestrales'!H10</f>
        <v>14.98</v>
      </c>
      <c r="G12" s="52">
        <f>+'Necesidades Trimestrales'!G10</f>
        <v>10000</v>
      </c>
    </row>
    <row r="13" spans="1:7" ht="20.25" customHeight="1" thickBot="1" x14ac:dyDescent="0.25">
      <c r="A13" s="47">
        <v>2</v>
      </c>
      <c r="B13" s="53"/>
      <c r="C13" s="48" t="str">
        <f>'Necesidades Trimestrales'!E11</f>
        <v>GORRO P/CIRUJANO S/FRONTO EST.X 1  T/COFIA C/ ELAST.</v>
      </c>
      <c r="D13" s="54" t="s">
        <v>54</v>
      </c>
      <c r="E13" s="55" t="str">
        <f>'Necesidades Trimestrales'!F11</f>
        <v>UNIDAD</v>
      </c>
      <c r="F13" s="51">
        <f>+'Necesidades Trimestrales'!H11</f>
        <v>5.8</v>
      </c>
      <c r="G13" s="52">
        <f>+'Necesidades Trimestrales'!G11</f>
        <v>8000</v>
      </c>
    </row>
    <row r="14" spans="1:7" ht="20.25" customHeight="1" thickBot="1" x14ac:dyDescent="0.25">
      <c r="A14" s="47">
        <v>3</v>
      </c>
      <c r="B14" s="53"/>
      <c r="C14" s="48" t="str">
        <f>'Necesidades Trimestrales'!E12</f>
        <v>GUANTES DE NITRILO TALLE S X 100 UNID.</v>
      </c>
      <c r="D14" s="54" t="s">
        <v>54</v>
      </c>
      <c r="E14" s="55" t="str">
        <f>'Necesidades Trimestrales'!F12</f>
        <v>UNIDAD</v>
      </c>
      <c r="F14" s="51">
        <f>+'Necesidades Trimestrales'!H12</f>
        <v>1490</v>
      </c>
      <c r="G14" s="52">
        <f>+'Necesidades Trimestrales'!G12</f>
        <v>10</v>
      </c>
    </row>
    <row r="15" spans="1:7" ht="20.25" customHeight="1" thickBot="1" x14ac:dyDescent="0.25">
      <c r="A15" s="47">
        <v>4</v>
      </c>
      <c r="B15" s="53"/>
      <c r="C15" s="48" t="str">
        <f>'Necesidades Trimestrales'!E13</f>
        <v>GUANTES DE POLIET.(MANOPLAS) X 100 UNID.</v>
      </c>
      <c r="D15" s="54" t="s">
        <v>54</v>
      </c>
      <c r="E15" s="55" t="str">
        <f>'Necesidades Trimestrales'!F13</f>
        <v>UNIDAD</v>
      </c>
      <c r="F15" s="51">
        <f>+'Necesidades Trimestrales'!H13</f>
        <v>194.95</v>
      </c>
      <c r="G15" s="52">
        <f>+'Necesidades Trimestrales'!G13</f>
        <v>300</v>
      </c>
    </row>
    <row r="16" spans="1:7" ht="20.25" customHeight="1" thickBot="1" x14ac:dyDescent="0.25">
      <c r="A16" s="47">
        <v>5</v>
      </c>
      <c r="B16" s="53"/>
      <c r="C16" s="48" t="str">
        <f>'Necesidades Trimestrales'!E14</f>
        <v>OVATA DE ALGODON 10 CM X 3 MTS. X 1</v>
      </c>
      <c r="D16" s="54" t="s">
        <v>54</v>
      </c>
      <c r="E16" s="55" t="str">
        <f>'Necesidades Trimestrales'!F14</f>
        <v>UNIDAD</v>
      </c>
      <c r="F16" s="51">
        <f>+'Necesidades Trimestrales'!H14</f>
        <v>106.29</v>
      </c>
      <c r="G16" s="52">
        <f>+'Necesidades Trimestrales'!G14</f>
        <v>5000</v>
      </c>
    </row>
    <row r="17" spans="1:9" ht="20.25" customHeight="1" thickBot="1" x14ac:dyDescent="0.25">
      <c r="A17" s="47">
        <v>6</v>
      </c>
      <c r="B17" s="53"/>
      <c r="C17" s="48" t="str">
        <f>'Necesidades Trimestrales'!E15</f>
        <v>TELA ADHE.HIPOALERG.TRANS.5CM X 9MT ROLLO X 1</v>
      </c>
      <c r="D17" s="54" t="s">
        <v>54</v>
      </c>
      <c r="E17" s="55" t="str">
        <f>'Necesidades Trimestrales'!F15</f>
        <v>UNIDAD</v>
      </c>
      <c r="F17" s="51">
        <f>+'Necesidades Trimestrales'!H15</f>
        <v>268.39999999999998</v>
      </c>
      <c r="G17" s="52">
        <f>+'Necesidades Trimestrales'!G15</f>
        <v>1500</v>
      </c>
    </row>
    <row r="18" spans="1:9" ht="20.25" customHeight="1" thickBot="1" x14ac:dyDescent="0.25">
      <c r="A18" s="47">
        <v>7</v>
      </c>
      <c r="B18" s="53"/>
      <c r="C18" s="48" t="str">
        <f>'Necesidades Trimestrales'!E16</f>
        <v>VENDA CAMBRIC  5 CM.X 1</v>
      </c>
      <c r="D18" s="54" t="s">
        <v>54</v>
      </c>
      <c r="E18" s="55" t="str">
        <f>'Necesidades Trimestrales'!F16</f>
        <v>UNIDAD</v>
      </c>
      <c r="F18" s="51">
        <f>+'Necesidades Trimestrales'!H16</f>
        <v>36.590000000000003</v>
      </c>
      <c r="G18" s="52">
        <f>+'Necesidades Trimestrales'!G16</f>
        <v>1000</v>
      </c>
    </row>
    <row r="19" spans="1:9" ht="20.25" customHeight="1" thickBot="1" x14ac:dyDescent="0.25">
      <c r="A19" s="47">
        <v>8</v>
      </c>
      <c r="B19" s="53"/>
      <c r="C19" s="48" t="str">
        <f>'Necesidades Trimestrales'!E17</f>
        <v>VENDA CAMBRIC  7 CM.X 1</v>
      </c>
      <c r="D19" s="54" t="s">
        <v>54</v>
      </c>
      <c r="E19" s="55" t="str">
        <f>'Necesidades Trimestrales'!F17</f>
        <v>UNIDAD</v>
      </c>
      <c r="F19" s="51">
        <f>+'Necesidades Trimestrales'!H17</f>
        <v>48.48</v>
      </c>
      <c r="G19" s="52">
        <f>+'Necesidades Trimestrales'!G17</f>
        <v>1000</v>
      </c>
    </row>
    <row r="20" spans="1:9" ht="20.25" customHeight="1" thickBot="1" x14ac:dyDescent="0.25">
      <c r="A20" s="47">
        <v>9</v>
      </c>
      <c r="B20" s="53"/>
      <c r="C20" s="48" t="str">
        <f>'Necesidades Trimestrales'!E18</f>
        <v>VENDA CAMBRIC 10 CM.X 1</v>
      </c>
      <c r="D20" s="54" t="s">
        <v>54</v>
      </c>
      <c r="E20" s="55" t="str">
        <f>'Necesidades Trimestrales'!F18</f>
        <v>UNIDAD</v>
      </c>
      <c r="F20" s="51">
        <f>+'Necesidades Trimestrales'!H18</f>
        <v>74.599999999999994</v>
      </c>
      <c r="G20" s="52">
        <f>+'Necesidades Trimestrales'!G18</f>
        <v>1000</v>
      </c>
    </row>
    <row r="21" spans="1:9" ht="20.25" customHeight="1" thickBot="1" x14ac:dyDescent="0.25">
      <c r="A21" s="47">
        <v>10</v>
      </c>
      <c r="B21" s="53"/>
      <c r="C21" s="48" t="str">
        <f>'Necesidades Trimestrales'!E19</f>
        <v>VENDA COBAN 10CM T/3M</v>
      </c>
      <c r="D21" s="54" t="s">
        <v>54</v>
      </c>
      <c r="E21" s="55" t="str">
        <f>'Necesidades Trimestrales'!F19</f>
        <v>UNIDAD</v>
      </c>
      <c r="F21" s="51">
        <f>+'Necesidades Trimestrales'!H19</f>
        <v>425.55</v>
      </c>
      <c r="G21" s="52">
        <f>+'Necesidades Trimestrales'!G19</f>
        <v>20</v>
      </c>
    </row>
    <row r="22" spans="1:9" ht="20.25" customHeight="1" thickBot="1" x14ac:dyDescent="0.25">
      <c r="A22" s="47">
        <v>11</v>
      </c>
      <c r="B22" s="53"/>
      <c r="C22" s="48" t="str">
        <f>'Necesidades Trimestrales'!E20</f>
        <v>VENDA DE SMARCH X 10 CM.</v>
      </c>
      <c r="D22" s="54" t="s">
        <v>54</v>
      </c>
      <c r="E22" s="55" t="str">
        <f>'Necesidades Trimestrales'!F20</f>
        <v>UNIDAD</v>
      </c>
      <c r="F22" s="51">
        <f>+'Necesidades Trimestrales'!H20</f>
        <v>720.01</v>
      </c>
      <c r="G22" s="52">
        <f>+'Necesidades Trimestrales'!G20</f>
        <v>20</v>
      </c>
    </row>
    <row r="23" spans="1:9" ht="20.25" customHeight="1" thickBot="1" x14ac:dyDescent="0.25">
      <c r="A23" s="47">
        <v>12</v>
      </c>
      <c r="B23" s="53"/>
      <c r="C23" s="48" t="str">
        <f>'Necesidades Trimestrales'!E21</f>
        <v>VENDA ELASTICA 10 CM.ROLLO X 25MTS.</v>
      </c>
      <c r="D23" s="54" t="s">
        <v>54</v>
      </c>
      <c r="E23" s="55" t="str">
        <f>'Necesidades Trimestrales'!F21</f>
        <v>UNIDAD</v>
      </c>
      <c r="F23" s="51">
        <f>+'Necesidades Trimestrales'!H21</f>
        <v>1540</v>
      </c>
      <c r="G23" s="52">
        <f>+'Necesidades Trimestrales'!G21</f>
        <v>3</v>
      </c>
    </row>
    <row r="24" spans="1:9" ht="20.25" customHeight="1" thickBot="1" x14ac:dyDescent="0.25">
      <c r="A24" s="47">
        <v>13</v>
      </c>
      <c r="B24" s="53"/>
      <c r="C24" s="48" t="str">
        <f>'Necesidades Trimestrales'!E22</f>
        <v>VENDA YESO F/RAPIDO 20X4 MT.ROLLO X 1 T/FAVE</v>
      </c>
      <c r="D24" s="54" t="s">
        <v>54</v>
      </c>
      <c r="E24" s="55" t="str">
        <f>'Necesidades Trimestrales'!F22</f>
        <v>UNIDAD</v>
      </c>
      <c r="F24" s="51">
        <f>+'Necesidades Trimestrales'!H22</f>
        <v>340.91</v>
      </c>
      <c r="G24" s="52">
        <f>+'Necesidades Trimestrales'!G22</f>
        <v>300</v>
      </c>
    </row>
    <row r="25" spans="1:9" ht="25.5" customHeight="1" thickBot="1" x14ac:dyDescent="0.25">
      <c r="A25" s="105" t="s">
        <v>56</v>
      </c>
      <c r="B25" s="106"/>
      <c r="C25" s="106"/>
      <c r="D25" s="106"/>
      <c r="E25" s="106"/>
      <c r="F25" s="107">
        <f>SUMPRODUCT(F12:F24,G12:G24)</f>
        <v>1493109.2</v>
      </c>
      <c r="G25" s="107"/>
      <c r="I25" s="83"/>
    </row>
  </sheetData>
  <mergeCells count="22">
    <mergeCell ref="A25:E25"/>
    <mergeCell ref="F25:G25"/>
    <mergeCell ref="D4:G4"/>
    <mergeCell ref="D5:G5"/>
    <mergeCell ref="D6:G6"/>
    <mergeCell ref="D7:G7"/>
    <mergeCell ref="D8:G8"/>
    <mergeCell ref="A8:C8"/>
    <mergeCell ref="A10:A11"/>
    <mergeCell ref="B10:B11"/>
    <mergeCell ref="C10:C11"/>
    <mergeCell ref="D10:D11"/>
    <mergeCell ref="E10:E11"/>
    <mergeCell ref="F10:F11"/>
    <mergeCell ref="G10:G11"/>
    <mergeCell ref="A1:E1"/>
    <mergeCell ref="A6:C6"/>
    <mergeCell ref="A7:C7"/>
    <mergeCell ref="A3:C3"/>
    <mergeCell ref="D3:G3"/>
    <mergeCell ref="A4:C4"/>
    <mergeCell ref="A5:C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topLeftCell="A4" zoomScale="130" zoomScaleNormal="130" workbookViewId="0">
      <selection activeCell="O20" sqref="O20:P20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9" ht="15.75" customHeight="1" x14ac:dyDescent="0.25">
      <c r="A1" s="137" t="s">
        <v>3</v>
      </c>
      <c r="B1" s="137"/>
      <c r="C1" s="137"/>
      <c r="D1" s="138">
        <f>'Necesidades Trimestrales'!D6</f>
        <v>2021</v>
      </c>
      <c r="E1" s="138"/>
      <c r="F1" s="3"/>
      <c r="G1" s="3"/>
      <c r="H1" s="4"/>
      <c r="I1" s="4"/>
      <c r="J1" s="4"/>
      <c r="K1" s="4"/>
      <c r="L1" s="4"/>
      <c r="M1" s="4"/>
      <c r="N1" s="4"/>
      <c r="P1" s="139" t="s">
        <v>25</v>
      </c>
      <c r="Q1" s="139"/>
    </row>
    <row r="2" spans="1:19" ht="15.75" customHeight="1" x14ac:dyDescent="0.2">
      <c r="H2" s="4"/>
      <c r="I2" s="4"/>
      <c r="J2" s="4"/>
      <c r="K2" s="4"/>
      <c r="L2" s="4"/>
      <c r="M2" s="4"/>
      <c r="N2" s="4"/>
      <c r="P2" s="139"/>
      <c r="Q2" s="139"/>
    </row>
    <row r="4" spans="1:19" s="5" customFormat="1" ht="18" customHeight="1" thickBot="1" x14ac:dyDescent="0.25">
      <c r="A4" s="140" t="s">
        <v>26</v>
      </c>
      <c r="B4" s="140"/>
      <c r="C4" s="140"/>
      <c r="D4" s="140"/>
      <c r="E4" s="140"/>
      <c r="F4" s="140"/>
      <c r="G4" s="135" t="s">
        <v>52</v>
      </c>
      <c r="H4" s="135"/>
      <c r="I4" s="135"/>
      <c r="J4" s="135"/>
      <c r="K4" s="135"/>
      <c r="L4" s="135"/>
      <c r="M4" s="135"/>
      <c r="N4" s="135"/>
      <c r="O4" s="135"/>
      <c r="P4" s="135"/>
      <c r="Q4" s="135"/>
    </row>
    <row r="5" spans="1:19" s="5" customFormat="1" ht="18" customHeight="1" thickBot="1" x14ac:dyDescent="0.25">
      <c r="A5" s="132" t="s">
        <v>49</v>
      </c>
      <c r="B5" s="133"/>
      <c r="C5" s="133"/>
      <c r="D5" s="133"/>
      <c r="E5" s="133"/>
      <c r="F5" s="134"/>
      <c r="G5" s="135" t="s">
        <v>51</v>
      </c>
      <c r="H5" s="135"/>
      <c r="I5" s="135"/>
      <c r="J5" s="135"/>
      <c r="K5" s="135"/>
      <c r="L5" s="135"/>
      <c r="M5" s="135"/>
      <c r="N5" s="135"/>
      <c r="O5" s="135"/>
      <c r="P5" s="135"/>
      <c r="Q5" s="135"/>
    </row>
    <row r="6" spans="1:19" s="5" customFormat="1" ht="18" customHeight="1" thickBot="1" x14ac:dyDescent="0.25">
      <c r="A6" s="132" t="s">
        <v>27</v>
      </c>
      <c r="B6" s="133"/>
      <c r="C6" s="133"/>
      <c r="D6" s="133"/>
      <c r="E6" s="133"/>
      <c r="F6" s="134"/>
      <c r="G6" s="135" t="s">
        <v>51</v>
      </c>
      <c r="H6" s="135"/>
      <c r="I6" s="135"/>
      <c r="J6" s="135"/>
      <c r="K6" s="135"/>
      <c r="L6" s="135"/>
      <c r="M6" s="135"/>
      <c r="N6" s="135"/>
      <c r="O6" s="135"/>
      <c r="P6" s="135"/>
      <c r="Q6" s="135"/>
    </row>
    <row r="7" spans="1:19" s="5" customFormat="1" ht="18" customHeight="1" thickBot="1" x14ac:dyDescent="0.25">
      <c r="A7" s="132" t="s">
        <v>50</v>
      </c>
      <c r="B7" s="133"/>
      <c r="C7" s="133"/>
      <c r="D7" s="133"/>
      <c r="E7" s="133"/>
      <c r="F7" s="134"/>
      <c r="G7" s="135" t="s">
        <v>64</v>
      </c>
      <c r="H7" s="135"/>
      <c r="I7" s="135"/>
      <c r="J7" s="135"/>
      <c r="K7" s="135"/>
      <c r="L7" s="135"/>
      <c r="M7" s="135"/>
      <c r="N7" s="135"/>
      <c r="O7" s="135"/>
      <c r="P7" s="135"/>
      <c r="Q7" s="135"/>
    </row>
    <row r="8" spans="1:19" ht="18" customHeight="1" thickBot="1" x14ac:dyDescent="0.25">
      <c r="A8" s="136" t="s">
        <v>28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</row>
    <row r="9" spans="1:19" ht="18" customHeight="1" x14ac:dyDescent="0.2">
      <c r="A9" s="126" t="s">
        <v>29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"/>
      <c r="P9" s="1"/>
      <c r="Q9" s="6"/>
    </row>
    <row r="10" spans="1:19" ht="54.75" customHeight="1" x14ac:dyDescent="0.2">
      <c r="A10" s="127" t="str">
        <f>"Autorizo la realización de los  trámites correspondientes, a fin de proveer a  este Organismo los bienes y/o servicios que se detallan en Nota  de Pedido N° " &amp; ' NotaPedido'!G1&amp;",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022/2021,  afectando la erogación resultante a los créditos presupuestarios aprobados a favor de esta Unidad Ejecutora, conforme al siguiente detalle:</v>
      </c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</row>
    <row r="11" spans="1:19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9" ht="15.75" customHeight="1" x14ac:dyDescent="0.2">
      <c r="A12" s="128" t="s">
        <v>30</v>
      </c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</row>
    <row r="13" spans="1:19" ht="15.75" customHeight="1" x14ac:dyDescent="0.2">
      <c r="A13" s="129" t="s">
        <v>31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30" t="s">
        <v>32</v>
      </c>
      <c r="P13" s="130"/>
      <c r="Q13" s="131" t="s">
        <v>33</v>
      </c>
    </row>
    <row r="14" spans="1:19" ht="15.75" customHeight="1" x14ac:dyDescent="0.2">
      <c r="A14" s="11" t="s">
        <v>34</v>
      </c>
      <c r="B14" s="12" t="s">
        <v>35</v>
      </c>
      <c r="C14" s="12" t="s">
        <v>36</v>
      </c>
      <c r="D14" s="12" t="s">
        <v>37</v>
      </c>
      <c r="E14" s="12" t="s">
        <v>38</v>
      </c>
      <c r="F14" s="12" t="s">
        <v>39</v>
      </c>
      <c r="G14" s="13" t="s">
        <v>40</v>
      </c>
      <c r="H14" s="12" t="s">
        <v>41</v>
      </c>
      <c r="I14" s="12" t="s">
        <v>42</v>
      </c>
      <c r="J14" s="12" t="s">
        <v>43</v>
      </c>
      <c r="K14" s="12" t="s">
        <v>43</v>
      </c>
      <c r="L14" s="12" t="s">
        <v>44</v>
      </c>
      <c r="M14" s="14" t="s">
        <v>45</v>
      </c>
      <c r="N14" s="15" t="s">
        <v>46</v>
      </c>
      <c r="O14" s="130"/>
      <c r="P14" s="130"/>
      <c r="Q14" s="131"/>
    </row>
    <row r="15" spans="1:19" ht="27.75" customHeight="1" x14ac:dyDescent="0.2">
      <c r="A15" s="60">
        <v>36</v>
      </c>
      <c r="B15" s="61"/>
      <c r="C15" s="61"/>
      <c r="D15" s="61">
        <v>1</v>
      </c>
      <c r="E15" s="61"/>
      <c r="F15" s="61">
        <v>4901</v>
      </c>
      <c r="G15" s="61">
        <v>3</v>
      </c>
      <c r="H15" s="61">
        <v>310</v>
      </c>
      <c r="I15" s="62">
        <v>2</v>
      </c>
      <c r="J15" s="62">
        <v>9</v>
      </c>
      <c r="K15" s="62">
        <v>5</v>
      </c>
      <c r="L15" s="61"/>
      <c r="M15" s="63">
        <v>1</v>
      </c>
      <c r="N15" s="64" t="s">
        <v>53</v>
      </c>
      <c r="O15" s="124" t="s">
        <v>59</v>
      </c>
      <c r="P15" s="125"/>
      <c r="Q15" s="16">
        <v>1493109.2</v>
      </c>
      <c r="S15" s="84"/>
    </row>
    <row r="16" spans="1:19" ht="17.25" customHeight="1" x14ac:dyDescent="0.2">
      <c r="A16" s="17"/>
      <c r="B16" s="18"/>
      <c r="C16" s="18"/>
      <c r="D16" s="18"/>
      <c r="E16" s="18"/>
      <c r="F16" s="20"/>
      <c r="G16" s="18"/>
      <c r="H16" s="18"/>
      <c r="I16" s="18"/>
      <c r="J16" s="18"/>
      <c r="K16" s="18"/>
      <c r="L16" s="18"/>
      <c r="M16" s="19"/>
      <c r="N16" s="20"/>
      <c r="O16" s="119"/>
      <c r="P16" s="119"/>
      <c r="Q16" s="21"/>
    </row>
    <row r="17" spans="1:18" ht="17.25" customHeight="1" x14ac:dyDescent="0.2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/>
      <c r="N17" s="20"/>
      <c r="O17" s="119"/>
      <c r="P17" s="119"/>
      <c r="Q17" s="21"/>
    </row>
    <row r="18" spans="1:18" ht="17.25" customHeight="1" x14ac:dyDescent="0.2">
      <c r="A18" s="17"/>
      <c r="B18" s="18"/>
      <c r="C18" s="18"/>
      <c r="D18" s="18"/>
      <c r="E18" s="18"/>
      <c r="F18" s="20"/>
      <c r="G18" s="18"/>
      <c r="H18" s="18"/>
      <c r="I18" s="18"/>
      <c r="J18" s="18"/>
      <c r="K18" s="18"/>
      <c r="L18" s="18"/>
      <c r="M18" s="19"/>
      <c r="N18" s="20"/>
      <c r="O18" s="119"/>
      <c r="P18" s="119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19"/>
      <c r="P19" s="119"/>
      <c r="Q19" s="21"/>
    </row>
    <row r="20" spans="1:18" ht="17.25" customHeight="1" x14ac:dyDescent="0.2">
      <c r="A20" s="22"/>
      <c r="B20" s="23"/>
      <c r="C20" s="23"/>
      <c r="D20" s="23"/>
      <c r="E20" s="23"/>
      <c r="F20" s="24"/>
      <c r="G20" s="23"/>
      <c r="H20" s="23"/>
      <c r="I20" s="23"/>
      <c r="J20" s="23"/>
      <c r="K20" s="23"/>
      <c r="L20" s="23"/>
      <c r="M20" s="25"/>
      <c r="N20" s="26"/>
      <c r="O20" s="120"/>
      <c r="P20" s="120"/>
      <c r="Q20" s="21"/>
      <c r="R20" s="1"/>
    </row>
    <row r="21" spans="1:18" ht="17.25" customHeight="1" x14ac:dyDescent="0.2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9"/>
      <c r="N21" s="28"/>
      <c r="O21" s="121"/>
      <c r="P21" s="121"/>
      <c r="Q21" s="30"/>
    </row>
    <row r="22" spans="1:18" ht="29.25" customHeight="1" x14ac:dyDescent="0.2">
      <c r="A22" s="122" t="s">
        <v>81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31">
        <f>SUM(Q15:Q21)</f>
        <v>1493109.2</v>
      </c>
    </row>
    <row r="23" spans="1:18" ht="18" customHeight="1" thickBot="1" x14ac:dyDescent="0.25">
      <c r="A23" s="123"/>
      <c r="B23" s="123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</row>
    <row r="24" spans="1:18" ht="17.25" customHeight="1" thickBot="1" x14ac:dyDescent="0.25">
      <c r="A24" s="114" t="s">
        <v>47</v>
      </c>
      <c r="B24" s="115"/>
      <c r="C24" s="115"/>
      <c r="D24" s="115"/>
      <c r="E24" s="115"/>
      <c r="F24" s="116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</row>
    <row r="25" spans="1:18" ht="18" customHeight="1" thickBot="1" x14ac:dyDescent="0.25">
      <c r="A25" s="118" t="s">
        <v>82</v>
      </c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</row>
    <row r="26" spans="1:18" ht="15" customHeight="1" x14ac:dyDescent="0.2">
      <c r="A26" s="118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cp:revision>2</cp:revision>
  <cp:lastPrinted>2020-07-23T13:47:13Z</cp:lastPrinted>
  <dcterms:created xsi:type="dcterms:W3CDTF">2020-07-17T23:44:49Z</dcterms:created>
  <dcterms:modified xsi:type="dcterms:W3CDTF">2021-08-13T12:40:46Z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