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8_{421E0623-5E78-460B-96DA-C73887A92F07}" xr6:coauthVersionLast="46" xr6:coauthVersionMax="46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Trimestrales'!$A$9:$I$11</definedName>
    <definedName name="_xlnm.Print_Area" localSheetId="1">' NotaPedido'!$A$1:$K$14</definedName>
    <definedName name="_xlnm.Print_Area" localSheetId="2">'Autor Gastar'!$A$1:$Q$25</definedName>
  </definedNames>
  <calcPr calcId="181029"/>
</workbook>
</file>

<file path=xl/calcChain.xml><?xml version="1.0" encoding="utf-8"?>
<calcChain xmlns="http://schemas.openxmlformats.org/spreadsheetml/2006/main">
  <c r="A12" i="2" l="1"/>
  <c r="A13" i="2"/>
  <c r="B12" i="2"/>
  <c r="B13" i="2"/>
  <c r="J12" i="2"/>
  <c r="J13" i="2"/>
  <c r="C12" i="2"/>
  <c r="C13" i="2"/>
  <c r="Q21" i="3"/>
  <c r="K12" i="2" l="1"/>
  <c r="K13" i="2"/>
  <c r="J14" i="2" l="1"/>
  <c r="I13" i="2" l="1"/>
  <c r="I12" i="2" l="1"/>
  <c r="I10" i="1" l="1"/>
  <c r="I11" i="1"/>
  <c r="G6" i="3" l="1"/>
  <c r="G7" i="3"/>
  <c r="G4" i="3"/>
  <c r="G5" i="3"/>
</calcChain>
</file>

<file path=xl/sharedStrings.xml><?xml version="1.0" encoding="utf-8"?>
<sst xmlns="http://schemas.openxmlformats.org/spreadsheetml/2006/main" count="94" uniqueCount="84">
  <si>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</si>
  <si>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</si>
  <si>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</si>
  <si>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</si>
  <si>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</si>
  <si>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</si>
  <si>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</si>
  <si>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</si>
  <si>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</si>
  <si>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</si>
  <si>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</si>
  <si>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</si>
  <si>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</si>
  <si>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NOTA DE PEDIDO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</si>
  <si>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</si>
  <si>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</si>
  <si>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</si>
  <si>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</si>
  <si>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</si>
  <si>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</si>
  <si>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</si>
  <si>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</si>
  <si>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</si>
  <si>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</si>
  <si>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</si>
  <si>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</si>
  <si>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</si>
  <si>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</si>
  <si>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</si>
  <si>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</si>
  <si>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</si>
  <si>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</si>
  <si>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</si>
  <si>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</si>
  <si>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</si>
  <si>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</si>
  <si>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</si>
  <si>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</si>
  <si>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</si>
  <si>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</si>
  <si>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</si>
  <si>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</si>
  <si>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</si>
  <si>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</si>
  <si>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</si>
  <si>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</si>
  <si>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</si>
  <si>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</si>
  <si>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</si>
  <si>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JUSTIFICACIÓN:</t>
  </si>
  <si>
    <t xml:space="preserve">169- Direccion Asistencial </t>
  </si>
  <si>
    <t>Productos Farmacéuticos y Medicinales</t>
  </si>
  <si>
    <t>RUBRO DE COMPRA</t>
  </si>
  <si>
    <t xml:space="preserve">I.P.P. </t>
  </si>
  <si>
    <t>PROD. MEDICO/FARMACEUTICOS/LAB</t>
  </si>
  <si>
    <t>28- Maternidad Provincial 25 de Mayo</t>
  </si>
  <si>
    <t>Descripción técnica</t>
  </si>
  <si>
    <t>Calidad Minima esperada</t>
  </si>
  <si>
    <t>Mantenimiento</t>
  </si>
  <si>
    <t>Garantia</t>
  </si>
  <si>
    <t>40-Ministerio de Salud</t>
  </si>
  <si>
    <t>40- Ministerio de Salud</t>
  </si>
  <si>
    <t>Plazos de entrega:</t>
  </si>
  <si>
    <t>Lugar de entrega:</t>
  </si>
  <si>
    <t>Servio de Farmacia - MATERNIDAD PROVINCIAL 25 DE MAYO- HERNANDO. DE PEDRAZA 1650</t>
  </si>
  <si>
    <t>SI</t>
  </si>
  <si>
    <t>30 dias corridos</t>
  </si>
  <si>
    <t>INSULINA NPH HUMANA 100 UI FCO AMP 10 ML</t>
  </si>
  <si>
    <t>INSULINA CORRIENTE HUMANA 100 UI FCO AMP 10 ML</t>
  </si>
  <si>
    <t>2.5.2</t>
  </si>
  <si>
    <t xml:space="preserve">Especificidades Item N° : 1 y 2 </t>
  </si>
  <si>
    <t xml:space="preserve">Servicio de Farmcia </t>
  </si>
  <si>
    <t>Para la adquisición de Adquisición Productos Medicos anti-diabeticos e insulinas , para ser destinados Servicio de Farmacia, de  la Maternidad Provincial 25 de Mayo.-</t>
  </si>
  <si>
    <t>3° trimestre</t>
  </si>
  <si>
    <t>20 dias corridos desde la firma del instrumento contractual</t>
  </si>
  <si>
    <t>3 TRIMESTRE- AÑO 2021</t>
  </si>
  <si>
    <t>Hora de Entrega:</t>
  </si>
  <si>
    <t>8 a 12 Hs</t>
  </si>
  <si>
    <t xml:space="preserve">Adquisición Productos Medicos anti-diabeticos e insulinas </t>
  </si>
  <si>
    <t xml:space="preserve">1-Para oferentes de la Provincia de Catamarca deberán presentar Habilitación Provincial para comercializar el producto que cotizan. 
2-Para el resto de oferentes deberán presentar Certificado de Inscripción de ANMAT vigente al momento de la oferta, el mismo deberá ser correspondiente al objeto de la contratación y de encontrarse vencido adjuntar la solicitud de renovación. 
3-No se aceptarán ofertas de productos no registrados y autorizada su venta por ANMAT. Se deberá especificar en cada ítem de la propuesta, marca y número de certificado otorgado por dicho ente regulador. 
4-Los productos deberán tener un vencimiento posterior a doce (12) meses a partir de la fecha de su recepción.
</t>
  </si>
  <si>
    <t>N°91/2021</t>
  </si>
  <si>
    <t>"Autorizo la realización de los  trámites correspondientes, a fin de proveer a  este Organismo los bienes y/o servicios que se detallan en Nota  de Pedido N° 91/2021 ,  afectando la erogación resultante a los créditos presupuestarios aprobados a favor de esta Unidad Ejecutora, conforme al siguiente detalle:"</t>
  </si>
  <si>
    <t>Costo total estimado: NOVENTA Y SIETE MIL VEINTE CON 00/100</t>
  </si>
  <si>
    <t>TOTAL DE PESOS: NOVENTA Y SIETE MIL VEINTE CON 00/100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</si>
</sst>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\$* #,##0.00_);_(\$* \(#,##0.00\);_(\$* \-??_);_(@_)"/>
    <numFmt numFmtId="165" formatCode="[$$-2C0A]\ #,##0.00;[$$-2C0A]&quot; -&quot;#,##0.00"/>
    <numFmt numFmtId="166" formatCode="[$$-2C0A]\ #,##0.00"/>
    <numFmt numFmtId="167" formatCode="dd\-mm\-yy;@"/>
    <numFmt numFmtId="168" formatCode="&quot;$&quot;\ #,##0.00"/>
    <numFmt numFmtId="169" formatCode="[$$-2C0A]\ #,##0.00;[Red][$$-2C0A]\ #,##0.00"/>
    <numFmt numFmtId="170" formatCode="[$$-2C0A]\ #,##0;[Red][$$-2C0A]\ #,##0"/>
  </numFmts>
  <fonts count="43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Arial"/>
      <family val="2"/>
    </font>
    <font>
      <b/>
      <sz val="2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Arial"/>
      <family val="2"/>
    </font>
    <font>
      <b/>
      <sz val="10"/>
      <name val="Arial"/>
      <family val="2"/>
    </font>
    <font>
      <u/>
      <sz val="10"/>
      <name val="Times New Roman"/>
      <family val="1"/>
    </font>
    <font>
      <sz val="11"/>
      <name val="Calibri"/>
      <family val="2"/>
      <scheme val="minor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2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b/>
      <sz val="8"/>
      <name val="Arial"/>
      <family val="2"/>
      <charset val="1"/>
    </font>
    <font>
      <b/>
      <u/>
      <sz val="1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8" tint="0.79998168889431442"/>
        <bgColor indexed="65"/>
      </patternFill>
    </fill>
  </fills>
  <borders count="63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3D3D3D"/>
      </left>
      <right/>
      <top style="thin">
        <color rgb="FF3D3D3D"/>
      </top>
      <bottom style="thin">
        <color auto="1"/>
      </bottom>
      <diagonal/>
    </border>
    <border>
      <left/>
      <right style="thin">
        <color auto="1"/>
      </right>
      <top style="thin">
        <color rgb="FF3D3D3D"/>
      </top>
      <bottom style="thin">
        <color auto="1"/>
      </bottom>
      <diagonal/>
    </border>
  </borders>
  <cellStyleXfs count="9">
    <xf numFmtId="0" fontId="0" fillId="0" borderId="0"/>
    <xf numFmtId="0" fontId="7" fillId="0" borderId="1" applyProtection="0"/>
    <xf numFmtId="164" fontId="8" fillId="0" borderId="0" applyBorder="0" applyProtection="0"/>
    <xf numFmtId="0" fontId="9" fillId="2" borderId="0" applyBorder="0" applyProtection="0"/>
    <xf numFmtId="165" fontId="16" fillId="0" borderId="0" applyBorder="0" applyProtection="0"/>
    <xf numFmtId="0" fontId="18" fillId="4" borderId="0" applyNumberFormat="0" applyBorder="0" applyAlignment="0" applyProtection="0"/>
    <xf numFmtId="0" fontId="19" fillId="5" borderId="0" applyNumberFormat="0" applyBorder="0" applyAlignment="0" applyProtection="0"/>
    <xf numFmtId="0" fontId="6" fillId="6" borderId="0" applyNumberFormat="0" applyBorder="0" applyAlignment="0" applyProtection="0"/>
    <xf numFmtId="0" fontId="3" fillId="7" borderId="0" applyNumberFormat="0" applyBorder="0" applyAlignment="0" applyProtection="0"/>
  </cellStyleXfs>
  <cellXfs count="169">
    <xf numFmtId="0" fontId="0" fillId="0" borderId="0" xfId="0"/>
    <xf numFmtId="0" fontId="0" fillId="0" borderId="0" xfId="0" applyBorder="1"/>
    <xf numFmtId="0" fontId="8" fillId="0" borderId="0" xfId="0" applyFont="1" applyBorder="1" applyAlignment="1">
      <alignment vertical="center"/>
    </xf>
    <xf numFmtId="0" fontId="0" fillId="0" borderId="0" xfId="0" applyAlignment="1">
      <alignment horizontal="left"/>
    </xf>
    <xf numFmtId="3" fontId="11" fillId="0" borderId="0" xfId="0" applyNumberFormat="1" applyFont="1" applyBorder="1" applyAlignment="1"/>
    <xf numFmtId="167" fontId="0" fillId="0" borderId="0" xfId="0" applyNumberFormat="1" applyAlignment="1">
      <alignment horizontal="left"/>
    </xf>
    <xf numFmtId="0" fontId="8" fillId="0" borderId="0" xfId="0" applyFont="1"/>
    <xf numFmtId="0" fontId="0" fillId="0" borderId="5" xfId="0" applyBorder="1"/>
    <xf numFmtId="0" fontId="0" fillId="0" borderId="19" xfId="0" applyBorder="1"/>
    <xf numFmtId="0" fontId="0" fillId="0" borderId="7" xfId="0" applyBorder="1"/>
    <xf numFmtId="0" fontId="0" fillId="0" borderId="7" xfId="0" applyBorder="1" applyAlignment="1">
      <alignment horizontal="left"/>
    </xf>
    <xf numFmtId="0" fontId="0" fillId="0" borderId="20" xfId="0" applyBorder="1"/>
    <xf numFmtId="0" fontId="15" fillId="0" borderId="22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23" xfId="0" applyFont="1" applyBorder="1" applyAlignment="1">
      <alignment horizontal="left" vertical="center"/>
    </xf>
    <xf numFmtId="0" fontId="15" fillId="0" borderId="24" xfId="0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165" fontId="15" fillId="0" borderId="25" xfId="0" applyNumberFormat="1" applyFont="1" applyBorder="1" applyAlignment="1">
      <alignment horizontal="center" vertical="center"/>
    </xf>
    <xf numFmtId="0" fontId="17" fillId="0" borderId="0" xfId="0" applyFont="1"/>
    <xf numFmtId="0" fontId="0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0" fillId="0" borderId="4" xfId="2" applyNumberFormat="1" applyFont="1" applyBorder="1" applyAlignment="1" applyProtection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165" fontId="0" fillId="0" borderId="37" xfId="2" applyNumberFormat="1" applyFont="1" applyBorder="1" applyAlignment="1" applyProtection="1">
      <alignment horizontal="center" vertical="center"/>
    </xf>
    <xf numFmtId="165" fontId="0" fillId="0" borderId="3" xfId="2" applyNumberFormat="1" applyFont="1" applyBorder="1" applyAlignment="1" applyProtection="1">
      <alignment horizontal="center" vertical="center"/>
    </xf>
    <xf numFmtId="0" fontId="20" fillId="3" borderId="0" xfId="0" applyFont="1" applyFill="1"/>
    <xf numFmtId="0" fontId="20" fillId="3" borderId="0" xfId="0" applyFont="1" applyFill="1" applyAlignment="1">
      <alignment horizontal="left" wrapText="1"/>
    </xf>
    <xf numFmtId="0" fontId="20" fillId="3" borderId="0" xfId="0" applyFont="1" applyFill="1" applyAlignment="1">
      <alignment horizontal="center" wrapText="1"/>
    </xf>
    <xf numFmtId="0" fontId="5" fillId="3" borderId="3" xfId="7" applyFont="1" applyFill="1" applyBorder="1" applyAlignment="1">
      <alignment horizontal="center" vertical="center" wrapText="1"/>
    </xf>
    <xf numFmtId="0" fontId="20" fillId="3" borderId="0" xfId="0" applyFont="1" applyFill="1" applyAlignment="1">
      <alignment horizontal="center"/>
    </xf>
    <xf numFmtId="0" fontId="4" fillId="3" borderId="3" xfId="7" applyFont="1" applyFill="1" applyBorder="1" applyAlignment="1">
      <alignment horizontal="center" vertical="center" wrapText="1"/>
    </xf>
    <xf numFmtId="0" fontId="21" fillId="3" borderId="0" xfId="0" applyFont="1" applyFill="1" applyAlignment="1">
      <alignment horizontal="left" wrapText="1" indent="1"/>
    </xf>
    <xf numFmtId="0" fontId="25" fillId="3" borderId="0" xfId="0" applyFont="1" applyFill="1" applyAlignment="1">
      <alignment horizontal="left" wrapText="1"/>
    </xf>
    <xf numFmtId="0" fontId="23" fillId="3" borderId="0" xfId="0" applyFont="1" applyFill="1" applyAlignment="1"/>
    <xf numFmtId="0" fontId="17" fillId="0" borderId="0" xfId="0" applyFont="1" applyAlignment="1">
      <alignment horizontal="center" wrapText="1"/>
    </xf>
    <xf numFmtId="0" fontId="17" fillId="0" borderId="53" xfId="0" applyFont="1" applyBorder="1"/>
    <xf numFmtId="0" fontId="17" fillId="0" borderId="0" xfId="0" applyFont="1" applyAlignment="1">
      <alignment horizontal="center" vertical="center" wrapText="1"/>
    </xf>
    <xf numFmtId="0" fontId="17" fillId="0" borderId="51" xfId="0" applyFont="1" applyBorder="1" applyAlignment="1">
      <alignment horizontal="center" vertical="center" wrapText="1"/>
    </xf>
    <xf numFmtId="0" fontId="0" fillId="0" borderId="53" xfId="0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47" xfId="0" applyFont="1" applyBorder="1" applyAlignment="1">
      <alignment horizontal="center" vertical="center"/>
    </xf>
    <xf numFmtId="0" fontId="17" fillId="0" borderId="51" xfId="0" applyFont="1" applyBorder="1" applyAlignment="1">
      <alignment vertical="center"/>
    </xf>
    <xf numFmtId="0" fontId="28" fillId="0" borderId="47" xfId="0" applyFont="1" applyBorder="1" applyAlignment="1">
      <alignment horizontal="center" vertical="center"/>
    </xf>
    <xf numFmtId="0" fontId="28" fillId="0" borderId="34" xfId="0" applyFont="1" applyBorder="1" applyAlignment="1">
      <alignment horizontal="center" vertical="center"/>
    </xf>
    <xf numFmtId="0" fontId="17" fillId="0" borderId="52" xfId="0" applyFont="1" applyBorder="1" applyAlignment="1">
      <alignment horizontal="center" vertical="center"/>
    </xf>
    <xf numFmtId="0" fontId="17" fillId="0" borderId="54" xfId="0" applyFont="1" applyBorder="1" applyAlignment="1">
      <alignment vertical="center"/>
    </xf>
    <xf numFmtId="0" fontId="17" fillId="0" borderId="0" xfId="0" applyFont="1" applyAlignment="1"/>
    <xf numFmtId="0" fontId="17" fillId="0" borderId="51" xfId="0" applyFont="1" applyBorder="1" applyAlignment="1"/>
    <xf numFmtId="0" fontId="17" fillId="0" borderId="0" xfId="0" applyFont="1" applyAlignment="1">
      <alignment wrapText="1"/>
    </xf>
    <xf numFmtId="0" fontId="17" fillId="0" borderId="51" xfId="0" applyFont="1" applyBorder="1" applyAlignment="1">
      <alignment wrapText="1"/>
    </xf>
    <xf numFmtId="0" fontId="30" fillId="3" borderId="5" xfId="0" applyFont="1" applyFill="1" applyBorder="1" applyAlignment="1">
      <alignment horizontal="right" vertical="center"/>
    </xf>
    <xf numFmtId="0" fontId="30" fillId="3" borderId="7" xfId="0" applyFont="1" applyFill="1" applyBorder="1" applyAlignment="1">
      <alignment vertical="center"/>
    </xf>
    <xf numFmtId="0" fontId="30" fillId="3" borderId="0" xfId="0" applyFont="1" applyFill="1" applyBorder="1" applyAlignment="1">
      <alignment vertical="center"/>
    </xf>
    <xf numFmtId="0" fontId="32" fillId="3" borderId="0" xfId="0" applyFont="1" applyFill="1" applyBorder="1" applyAlignment="1">
      <alignment horizontal="left" vertical="center"/>
    </xf>
    <xf numFmtId="0" fontId="31" fillId="3" borderId="0" xfId="0" applyFont="1" applyFill="1" applyBorder="1" applyAlignment="1">
      <alignment horizontal="left" vertical="center" wrapText="1" indent="1"/>
    </xf>
    <xf numFmtId="0" fontId="29" fillId="3" borderId="2" xfId="5" applyFont="1" applyFill="1" applyBorder="1" applyAlignment="1">
      <alignment horizontal="center" vertical="center"/>
    </xf>
    <xf numFmtId="0" fontId="29" fillId="3" borderId="3" xfId="5" applyFont="1" applyFill="1" applyBorder="1" applyAlignment="1">
      <alignment horizontal="center" vertical="center"/>
    </xf>
    <xf numFmtId="0" fontId="29" fillId="3" borderId="3" xfId="5" applyFont="1" applyFill="1" applyBorder="1" applyAlignment="1">
      <alignment horizontal="center" wrapText="1"/>
    </xf>
    <xf numFmtId="0" fontId="29" fillId="3" borderId="33" xfId="5" applyFont="1" applyFill="1" applyBorder="1" applyAlignment="1">
      <alignment horizontal="center" vertical="center" wrapText="1"/>
    </xf>
    <xf numFmtId="0" fontId="8" fillId="3" borderId="0" xfId="0" applyFont="1" applyFill="1" applyBorder="1" applyAlignment="1">
      <alignment vertical="center"/>
    </xf>
    <xf numFmtId="0" fontId="35" fillId="3" borderId="0" xfId="0" applyFont="1" applyFill="1" applyBorder="1" applyAlignment="1">
      <alignment vertical="center"/>
    </xf>
    <xf numFmtId="0" fontId="36" fillId="3" borderId="0" xfId="0" applyFont="1" applyFill="1" applyBorder="1" applyAlignment="1">
      <alignment vertical="center"/>
    </xf>
    <xf numFmtId="166" fontId="29" fillId="3" borderId="3" xfId="6" applyNumberFormat="1" applyFont="1" applyFill="1" applyBorder="1" applyAlignment="1" applyProtection="1">
      <alignment horizontal="center" vertical="center" wrapText="1"/>
    </xf>
    <xf numFmtId="1" fontId="30" fillId="3" borderId="0" xfId="0" applyNumberFormat="1" applyFont="1" applyFill="1" applyBorder="1" applyAlignment="1">
      <alignment vertical="center"/>
    </xf>
    <xf numFmtId="1" fontId="31" fillId="3" borderId="0" xfId="0" applyNumberFormat="1" applyFont="1" applyFill="1" applyBorder="1" applyAlignment="1">
      <alignment horizontal="left" vertical="center" wrapText="1" indent="1"/>
    </xf>
    <xf numFmtId="1" fontId="29" fillId="3" borderId="4" xfId="5" applyNumberFormat="1" applyFont="1" applyFill="1" applyBorder="1" applyAlignment="1">
      <alignment horizontal="center" vertical="center"/>
    </xf>
    <xf numFmtId="1" fontId="8" fillId="3" borderId="0" xfId="0" applyNumberFormat="1" applyFont="1" applyFill="1" applyBorder="1" applyAlignment="1">
      <alignment vertical="center"/>
    </xf>
    <xf numFmtId="0" fontId="25" fillId="3" borderId="56" xfId="0" applyFont="1" applyFill="1" applyBorder="1" applyAlignment="1">
      <alignment horizontal="center" vertical="center" wrapText="1"/>
    </xf>
    <xf numFmtId="0" fontId="25" fillId="3" borderId="57" xfId="0" applyFont="1" applyFill="1" applyBorder="1" applyAlignment="1">
      <alignment horizontal="center" vertical="center" wrapText="1"/>
    </xf>
    <xf numFmtId="0" fontId="25" fillId="3" borderId="58" xfId="0" applyFont="1" applyFill="1" applyBorder="1" applyAlignment="1">
      <alignment horizontal="center" vertical="center" wrapText="1"/>
    </xf>
    <xf numFmtId="169" fontId="25" fillId="3" borderId="15" xfId="0" applyNumberFormat="1" applyFont="1" applyFill="1" applyBorder="1" applyAlignment="1">
      <alignment horizontal="center" vertical="center" wrapText="1"/>
    </xf>
    <xf numFmtId="170" fontId="0" fillId="0" borderId="0" xfId="0" applyNumberFormat="1" applyBorder="1" applyAlignment="1">
      <alignment horizontal="center" vertical="center"/>
    </xf>
    <xf numFmtId="0" fontId="38" fillId="3" borderId="0" xfId="0" applyFont="1" applyFill="1"/>
    <xf numFmtId="169" fontId="5" fillId="3" borderId="38" xfId="7" applyNumberFormat="1" applyFont="1" applyFill="1" applyBorder="1" applyAlignment="1">
      <alignment horizontal="center" vertical="center" wrapText="1"/>
    </xf>
    <xf numFmtId="170" fontId="27" fillId="0" borderId="60" xfId="0" applyNumberFormat="1" applyFont="1" applyBorder="1" applyAlignment="1">
      <alignment horizontal="center" vertical="center" wrapText="1"/>
    </xf>
    <xf numFmtId="0" fontId="17" fillId="0" borderId="0" xfId="0" applyFont="1" applyBorder="1" applyAlignment="1">
      <alignment horizontal="center" vertical="center"/>
    </xf>
    <xf numFmtId="0" fontId="23" fillId="3" borderId="0" xfId="0" applyFont="1" applyFill="1" applyAlignment="1">
      <alignment vertical="center"/>
    </xf>
    <xf numFmtId="0" fontId="25" fillId="3" borderId="0" xfId="0" applyFont="1" applyFill="1" applyAlignment="1">
      <alignment horizontal="center" vertical="center" wrapText="1"/>
    </xf>
    <xf numFmtId="0" fontId="20" fillId="3" borderId="0" xfId="0" applyFont="1" applyFill="1" applyAlignment="1">
      <alignment horizontal="center" vertical="center" wrapText="1"/>
    </xf>
    <xf numFmtId="1" fontId="29" fillId="3" borderId="44" xfId="5" applyNumberFormat="1" applyFont="1" applyFill="1" applyBorder="1" applyAlignment="1">
      <alignment horizontal="center" vertical="center" wrapText="1"/>
    </xf>
    <xf numFmtId="0" fontId="20" fillId="3" borderId="0" xfId="0" applyFont="1" applyFill="1" applyAlignment="1">
      <alignment vertical="center"/>
    </xf>
    <xf numFmtId="0" fontId="26" fillId="3" borderId="55" xfId="0" applyFont="1" applyFill="1" applyBorder="1" applyAlignment="1">
      <alignment horizontal="center" vertical="center"/>
    </xf>
    <xf numFmtId="0" fontId="26" fillId="3" borderId="2" xfId="0" applyFont="1" applyFill="1" applyBorder="1" applyAlignment="1">
      <alignment horizontal="center" vertical="center"/>
    </xf>
    <xf numFmtId="169" fontId="23" fillId="3" borderId="0" xfId="0" applyNumberFormat="1" applyFont="1" applyFill="1" applyAlignment="1">
      <alignment horizontal="center"/>
    </xf>
    <xf numFmtId="169" fontId="20" fillId="3" borderId="0" xfId="0" applyNumberFormat="1" applyFont="1" applyFill="1" applyAlignment="1">
      <alignment horizontal="center"/>
    </xf>
    <xf numFmtId="169" fontId="17" fillId="0" borderId="0" xfId="0" applyNumberFormat="1" applyFont="1" applyAlignment="1">
      <alignment horizontal="center"/>
    </xf>
    <xf numFmtId="0" fontId="20" fillId="3" borderId="0" xfId="0" applyFont="1" applyFill="1" applyAlignment="1">
      <alignment wrapText="1"/>
    </xf>
    <xf numFmtId="0" fontId="0" fillId="0" borderId="53" xfId="0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17" fillId="0" borderId="53" xfId="0" applyFont="1" applyBorder="1" applyAlignment="1">
      <alignment vertical="center" wrapText="1"/>
    </xf>
    <xf numFmtId="0" fontId="17" fillId="0" borderId="0" xfId="0" applyFont="1" applyBorder="1" applyAlignment="1">
      <alignment vertical="center" wrapText="1"/>
    </xf>
    <xf numFmtId="0" fontId="17" fillId="0" borderId="0" xfId="0" applyFont="1" applyBorder="1"/>
    <xf numFmtId="0" fontId="17" fillId="0" borderId="0" xfId="0" applyFont="1" applyBorder="1" applyAlignment="1">
      <alignment vertical="center"/>
    </xf>
    <xf numFmtId="168" fontId="0" fillId="0" borderId="3" xfId="0" applyNumberFormat="1" applyBorder="1" applyAlignment="1">
      <alignment horizontal="center" vertical="center"/>
    </xf>
    <xf numFmtId="0" fontId="2" fillId="3" borderId="33" xfId="6" applyFont="1" applyFill="1" applyBorder="1" applyAlignment="1">
      <alignment horizontal="center" vertical="center" wrapText="1"/>
    </xf>
    <xf numFmtId="0" fontId="5" fillId="0" borderId="3" xfId="7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168" fontId="1" fillId="3" borderId="3" xfId="6" applyNumberFormat="1" applyFont="1" applyFill="1" applyBorder="1" applyAlignment="1">
      <alignment horizontal="center" vertical="center"/>
    </xf>
    <xf numFmtId="0" fontId="17" fillId="0" borderId="0" xfId="0" applyFont="1" applyBorder="1" applyAlignment="1">
      <alignment horizontal="center" vertical="center" wrapText="1"/>
    </xf>
    <xf numFmtId="0" fontId="31" fillId="0" borderId="59" xfId="0" applyFont="1" applyFill="1" applyBorder="1" applyAlignment="1">
      <alignment horizontal="right" vertical="center"/>
    </xf>
    <xf numFmtId="0" fontId="17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top" wrapText="1"/>
    </xf>
    <xf numFmtId="0" fontId="17" fillId="0" borderId="51" xfId="0" applyFont="1" applyBorder="1" applyAlignment="1">
      <alignment horizontal="center" vertical="top" wrapText="1"/>
    </xf>
    <xf numFmtId="0" fontId="39" fillId="3" borderId="0" xfId="8" applyFont="1" applyFill="1" applyAlignment="1">
      <alignment horizontal="center" vertical="center"/>
    </xf>
    <xf numFmtId="0" fontId="17" fillId="0" borderId="51" xfId="0" applyFont="1" applyBorder="1" applyAlignment="1">
      <alignment horizontal="center" vertical="center" wrapText="1"/>
    </xf>
    <xf numFmtId="0" fontId="17" fillId="0" borderId="0" xfId="0" applyFont="1" applyAlignment="1">
      <alignment horizontal="center"/>
    </xf>
    <xf numFmtId="0" fontId="42" fillId="0" borderId="48" xfId="0" applyFont="1" applyBorder="1" applyAlignment="1">
      <alignment horizontal="center" vertical="center"/>
    </xf>
    <xf numFmtId="0" fontId="42" fillId="0" borderId="49" xfId="0" applyFont="1" applyBorder="1" applyAlignment="1">
      <alignment horizontal="center" vertical="center"/>
    </xf>
    <xf numFmtId="0" fontId="42" fillId="0" borderId="50" xfId="0" applyFont="1" applyBorder="1" applyAlignment="1">
      <alignment horizontal="center" vertical="center"/>
    </xf>
    <xf numFmtId="0" fontId="24" fillId="3" borderId="0" xfId="0" applyFont="1" applyFill="1" applyBorder="1" applyAlignment="1">
      <alignment horizontal="left" vertical="center" wrapText="1"/>
    </xf>
    <xf numFmtId="0" fontId="21" fillId="3" borderId="0" xfId="0" applyFont="1" applyFill="1" applyAlignment="1">
      <alignment horizontal="left" wrapText="1" indent="1"/>
    </xf>
    <xf numFmtId="0" fontId="30" fillId="3" borderId="0" xfId="0" applyFont="1" applyFill="1" applyBorder="1" applyAlignment="1">
      <alignment horizontal="center" vertical="center"/>
    </xf>
    <xf numFmtId="0" fontId="32" fillId="3" borderId="8" xfId="0" applyFont="1" applyFill="1" applyBorder="1" applyAlignment="1">
      <alignment horizontal="left" vertical="center" wrapText="1"/>
    </xf>
    <xf numFmtId="0" fontId="31" fillId="3" borderId="9" xfId="0" applyFont="1" applyFill="1" applyBorder="1" applyAlignment="1">
      <alignment horizontal="left" vertical="center" wrapText="1" indent="1"/>
    </xf>
    <xf numFmtId="0" fontId="32" fillId="3" borderId="10" xfId="0" applyFont="1" applyFill="1" applyBorder="1" applyAlignment="1">
      <alignment horizontal="left" vertical="center" wrapText="1"/>
    </xf>
    <xf numFmtId="0" fontId="32" fillId="3" borderId="11" xfId="0" applyFont="1" applyFill="1" applyBorder="1" applyAlignment="1">
      <alignment horizontal="left" vertical="center"/>
    </xf>
    <xf numFmtId="0" fontId="31" fillId="3" borderId="12" xfId="0" applyFont="1" applyFill="1" applyBorder="1" applyAlignment="1">
      <alignment horizontal="left" vertical="center" wrapText="1" indent="1"/>
    </xf>
    <xf numFmtId="0" fontId="33" fillId="3" borderId="11" xfId="0" applyFont="1" applyFill="1" applyBorder="1" applyAlignment="1">
      <alignment horizontal="center" vertical="center"/>
    </xf>
    <xf numFmtId="0" fontId="33" fillId="3" borderId="29" xfId="0" applyFont="1" applyFill="1" applyBorder="1" applyAlignment="1">
      <alignment horizontal="center" vertical="center"/>
    </xf>
    <xf numFmtId="0" fontId="33" fillId="3" borderId="13" xfId="0" applyFont="1" applyFill="1" applyBorder="1" applyAlignment="1">
      <alignment horizontal="center" vertical="center" wrapText="1"/>
    </xf>
    <xf numFmtId="0" fontId="33" fillId="3" borderId="30" xfId="0" applyFont="1" applyFill="1" applyBorder="1" applyAlignment="1">
      <alignment horizontal="center" vertical="center" wrapText="1"/>
    </xf>
    <xf numFmtId="1" fontId="33" fillId="3" borderId="12" xfId="0" applyNumberFormat="1" applyFont="1" applyFill="1" applyBorder="1" applyAlignment="1">
      <alignment horizontal="center" vertical="center" wrapText="1"/>
    </xf>
    <xf numFmtId="1" fontId="33" fillId="3" borderId="31" xfId="0" applyNumberFormat="1" applyFont="1" applyFill="1" applyBorder="1" applyAlignment="1">
      <alignment horizontal="center" vertical="center" wrapText="1"/>
    </xf>
    <xf numFmtId="0" fontId="29" fillId="3" borderId="3" xfId="5" applyFont="1" applyFill="1" applyBorder="1" applyAlignment="1">
      <alignment horizontal="center" vertical="center" wrapText="1"/>
    </xf>
    <xf numFmtId="165" fontId="8" fillId="3" borderId="0" xfId="0" applyNumberFormat="1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center" vertical="center"/>
    </xf>
    <xf numFmtId="0" fontId="31" fillId="3" borderId="32" xfId="0" applyFont="1" applyFill="1" applyBorder="1" applyAlignment="1">
      <alignment horizontal="left" vertical="center" wrapText="1" indent="1"/>
    </xf>
    <xf numFmtId="0" fontId="31" fillId="3" borderId="52" xfId="0" applyFont="1" applyFill="1" applyBorder="1" applyAlignment="1">
      <alignment horizontal="left" vertical="center" wrapText="1" indent="1"/>
    </xf>
    <xf numFmtId="166" fontId="34" fillId="3" borderId="45" xfId="0" applyNumberFormat="1" applyFont="1" applyFill="1" applyBorder="1" applyAlignment="1">
      <alignment horizontal="center" vertical="center"/>
    </xf>
    <xf numFmtId="0" fontId="13" fillId="0" borderId="17" xfId="0" applyFont="1" applyBorder="1" applyAlignment="1"/>
    <xf numFmtId="0" fontId="13" fillId="0" borderId="18" xfId="0" applyFont="1" applyBorder="1" applyAlignment="1">
      <alignment horizontal="left" vertical="center" wrapText="1" indent="1"/>
    </xf>
    <xf numFmtId="0" fontId="15" fillId="0" borderId="16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10" fillId="0" borderId="27" xfId="0" applyFont="1" applyBorder="1" applyAlignment="1">
      <alignment horizontal="left" vertical="center" wrapText="1"/>
    </xf>
    <xf numFmtId="0" fontId="10" fillId="0" borderId="28" xfId="0" applyFont="1" applyBorder="1" applyAlignment="1">
      <alignment horizontal="left" vertical="center" wrapText="1"/>
    </xf>
    <xf numFmtId="0" fontId="13" fillId="0" borderId="6" xfId="0" applyFont="1" applyBorder="1" applyAlignment="1">
      <alignment horizontal="left" indent="1"/>
    </xf>
    <xf numFmtId="0" fontId="14" fillId="0" borderId="6" xfId="0" applyFont="1" applyBorder="1" applyAlignment="1">
      <alignment horizontal="left"/>
    </xf>
    <xf numFmtId="0" fontId="0" fillId="0" borderId="14" xfId="0" applyFont="1" applyBorder="1" applyAlignment="1">
      <alignment horizontal="center"/>
    </xf>
    <xf numFmtId="3" fontId="11" fillId="0" borderId="15" xfId="0" applyNumberFormat="1" applyFont="1" applyBorder="1" applyAlignment="1">
      <alignment horizontal="center"/>
    </xf>
    <xf numFmtId="0" fontId="12" fillId="0" borderId="6" xfId="0" applyFont="1" applyBorder="1" applyAlignment="1">
      <alignment horizontal="center" vertical="center" wrapText="1"/>
    </xf>
    <xf numFmtId="0" fontId="8" fillId="0" borderId="6" xfId="0" applyFont="1" applyBorder="1" applyAlignment="1"/>
    <xf numFmtId="0" fontId="15" fillId="0" borderId="6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 wrapText="1"/>
    </xf>
    <xf numFmtId="0" fontId="15" fillId="0" borderId="21" xfId="0" applyFont="1" applyBorder="1" applyAlignment="1">
      <alignment horizontal="center" vertical="center"/>
    </xf>
    <xf numFmtId="0" fontId="16" fillId="0" borderId="44" xfId="0" applyFont="1" applyBorder="1" applyAlignment="1">
      <alignment horizontal="center" vertical="center" wrapText="1"/>
    </xf>
    <xf numFmtId="0" fontId="16" fillId="0" borderId="43" xfId="0" applyFont="1" applyBorder="1" applyAlignment="1">
      <alignment horizontal="center" vertical="center" wrapText="1"/>
    </xf>
    <xf numFmtId="0" fontId="13" fillId="0" borderId="25" xfId="0" applyFont="1" applyFill="1" applyBorder="1" applyAlignment="1">
      <alignment horizontal="left" vertical="center" wrapText="1" indent="1"/>
    </xf>
    <xf numFmtId="0" fontId="41" fillId="0" borderId="25" xfId="0" applyFont="1" applyBorder="1" applyAlignment="1">
      <alignment horizontal="left" vertical="center" wrapText="1"/>
    </xf>
    <xf numFmtId="0" fontId="16" fillId="0" borderId="16" xfId="0" applyFont="1" applyBorder="1" applyAlignment="1"/>
    <xf numFmtId="0" fontId="0" fillId="0" borderId="16" xfId="0" applyBorder="1" applyAlignment="1"/>
    <xf numFmtId="0" fontId="16" fillId="0" borderId="39" xfId="0" applyFont="1" applyBorder="1" applyAlignment="1">
      <alignment horizontal="left" vertical="center" wrapText="1"/>
    </xf>
    <xf numFmtId="0" fontId="0" fillId="0" borderId="46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3" xfId="0" applyFont="1" applyBorder="1" applyAlignment="1">
      <alignment horizontal="left" vertical="center" wrapText="1"/>
    </xf>
    <xf numFmtId="0" fontId="16" fillId="0" borderId="36" xfId="0" applyFont="1" applyBorder="1" applyAlignment="1">
      <alignment horizontal="left" vertical="center" wrapText="1"/>
    </xf>
    <xf numFmtId="0" fontId="0" fillId="0" borderId="36" xfId="0" applyFont="1" applyBorder="1" applyAlignment="1">
      <alignment horizontal="left" vertical="center" wrapText="1"/>
    </xf>
    <xf numFmtId="0" fontId="11" fillId="0" borderId="14" xfId="0" applyFont="1" applyBorder="1" applyAlignment="1">
      <alignment vertical="center" wrapText="1"/>
    </xf>
    <xf numFmtId="0" fontId="11" fillId="0" borderId="26" xfId="0" applyFont="1" applyBorder="1" applyAlignment="1">
      <alignment vertical="center" wrapText="1"/>
    </xf>
    <xf numFmtId="0" fontId="11" fillId="0" borderId="12" xfId="0" applyFont="1" applyBorder="1" applyAlignment="1">
      <alignment vertical="center" wrapText="1"/>
    </xf>
    <xf numFmtId="0" fontId="13" fillId="0" borderId="21" xfId="0" applyFont="1" applyBorder="1" applyAlignment="1">
      <alignment vertical="center" wrapText="1"/>
    </xf>
    <xf numFmtId="0" fontId="16" fillId="0" borderId="61" xfId="0" applyFont="1" applyBorder="1" applyAlignment="1">
      <alignment horizontal="center" vertical="center" wrapText="1"/>
    </xf>
    <xf numFmtId="0" fontId="16" fillId="0" borderId="62" xfId="0" applyFont="1" applyBorder="1" applyAlignment="1">
      <alignment horizontal="center" vertical="center" wrapText="1"/>
    </xf>
  </cellXfs>
  <cellStyles count="9">
    <cellStyle name="20% - Énfasis2" xfId="7" builtinId="34"/>
    <cellStyle name="20% - Énfasis5" xfId="8" builtinId="46"/>
    <cellStyle name="Bueno" xfId="5" builtinId="26"/>
    <cellStyle name="Encabezado 1" xfId="1" xr:uid="{00000000-0005-0000-0000-000003000000}"/>
    <cellStyle name="Incorrecto" xfId="6" builtinId="27"/>
    <cellStyle name="Moneda 2" xfId="4" xr:uid="{00000000-0005-0000-0000-000005000000}"/>
    <cellStyle name="Moneda_AUTORIZACION Y NOTA DE PEDIDO" xfId="2" xr:uid="{00000000-0005-0000-0000-000006000000}"/>
    <cellStyle name="Neutral 1" xfId="3" xr:uid="{00000000-0005-0000-0000-000007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66CC"/>
      <color rgb="FFFF99CC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154"/>
  <sheetViews>
    <sheetView tabSelected="1" zoomScale="80" zoomScaleNormal="80" workbookViewId="0">
      <selection activeCell="E22" sqref="E22"/>
    </sheetView>
  </sheetViews>
  <sheetFormatPr baseColWidth="10" defaultColWidth="11" defaultRowHeight="12.75" x14ac:dyDescent="0.2"/>
  <cols>
    <col min="1" max="1" width="7" style="87" customWidth="1"/>
    <col min="2" max="2" width="16.85546875" style="32" customWidth="1"/>
    <col min="3" max="3" width="23.5703125" style="93" customWidth="1"/>
    <col min="4" max="4" width="12.140625" style="32" customWidth="1"/>
    <col min="5" max="5" width="79" style="36" customWidth="1"/>
    <col min="6" max="6" width="11" style="32"/>
    <col min="7" max="7" width="12.7109375" style="87" customWidth="1"/>
    <col min="8" max="8" width="13.85546875" style="78" customWidth="1"/>
    <col min="9" max="9" width="27" style="91" customWidth="1"/>
    <col min="10" max="16384" width="11" style="18"/>
  </cols>
  <sheetData>
    <row r="2" spans="1:9" ht="27" x14ac:dyDescent="0.35">
      <c r="E2" s="40" t="s">
        <v>0</v>
      </c>
      <c r="F2" s="40"/>
      <c r="G2" s="83"/>
      <c r="I2" s="90"/>
    </row>
    <row r="4" spans="1:9" ht="18" customHeight="1" x14ac:dyDescent="0.25">
      <c r="A4" s="116" t="s">
        <v>1</v>
      </c>
      <c r="B4" s="116"/>
      <c r="C4" s="116"/>
      <c r="D4" s="116"/>
      <c r="E4" s="117" t="s">
        <v>60</v>
      </c>
      <c r="F4" s="117"/>
      <c r="G4" s="117"/>
    </row>
    <row r="5" spans="1:9" ht="18" customHeight="1" x14ac:dyDescent="0.25">
      <c r="A5" s="116" t="s">
        <v>2</v>
      </c>
      <c r="B5" s="116"/>
      <c r="C5" s="116"/>
      <c r="D5" s="116"/>
      <c r="E5" s="117" t="s">
        <v>55</v>
      </c>
      <c r="F5" s="117"/>
      <c r="G5" s="117"/>
    </row>
    <row r="6" spans="1:9" ht="16.5" customHeight="1" x14ac:dyDescent="0.25">
      <c r="A6" s="116" t="s">
        <v>3</v>
      </c>
      <c r="B6" s="116"/>
      <c r="C6" s="116"/>
      <c r="D6" s="116"/>
      <c r="E6" s="38">
        <v>2021</v>
      </c>
      <c r="F6" s="39"/>
      <c r="G6" s="84"/>
    </row>
    <row r="7" spans="1:9" ht="16.5" customHeight="1" x14ac:dyDescent="0.25">
      <c r="A7" s="116" t="s">
        <v>4</v>
      </c>
      <c r="B7" s="116"/>
      <c r="C7" s="116"/>
      <c r="D7" s="116"/>
      <c r="E7" s="38" t="s">
        <v>73</v>
      </c>
      <c r="F7" s="39"/>
      <c r="G7" s="84"/>
    </row>
    <row r="8" spans="1:9" ht="13.5" thickBot="1" x14ac:dyDescent="0.25">
      <c r="E8" s="34"/>
      <c r="F8" s="33"/>
      <c r="G8" s="85"/>
    </row>
    <row r="9" spans="1:9" ht="39" thickBot="1" x14ac:dyDescent="0.25">
      <c r="A9" s="74" t="s">
        <v>5</v>
      </c>
      <c r="B9" s="75" t="s">
        <v>6</v>
      </c>
      <c r="C9" s="75" t="s">
        <v>52</v>
      </c>
      <c r="D9" s="75" t="s">
        <v>53</v>
      </c>
      <c r="E9" s="75" t="s">
        <v>7</v>
      </c>
      <c r="F9" s="75" t="s">
        <v>8</v>
      </c>
      <c r="G9" s="76" t="s">
        <v>9</v>
      </c>
      <c r="H9" s="81" t="s">
        <v>10</v>
      </c>
      <c r="I9" s="77" t="s">
        <v>11</v>
      </c>
    </row>
    <row r="10" spans="1:9" ht="42" customHeight="1" thickBot="1" x14ac:dyDescent="0.25">
      <c r="A10" s="88">
        <v>1</v>
      </c>
      <c r="B10" s="35"/>
      <c r="C10" s="37" t="s">
        <v>54</v>
      </c>
      <c r="D10" s="101" t="s">
        <v>69</v>
      </c>
      <c r="E10" s="102" t="s">
        <v>67</v>
      </c>
      <c r="F10" s="35" t="s">
        <v>12</v>
      </c>
      <c r="G10" s="86">
        <v>30</v>
      </c>
      <c r="H10" s="104">
        <v>1010</v>
      </c>
      <c r="I10" s="80">
        <f t="shared" ref="I10:I11" si="0">G10*H10</f>
        <v>30300</v>
      </c>
    </row>
    <row r="11" spans="1:9" ht="42" customHeight="1" x14ac:dyDescent="0.2">
      <c r="A11" s="89">
        <v>2</v>
      </c>
      <c r="B11" s="35"/>
      <c r="C11" s="37" t="s">
        <v>54</v>
      </c>
      <c r="D11" s="101" t="s">
        <v>69</v>
      </c>
      <c r="E11" s="102" t="s">
        <v>68</v>
      </c>
      <c r="F11" s="35" t="s">
        <v>12</v>
      </c>
      <c r="G11" s="86">
        <v>40</v>
      </c>
      <c r="H11" s="100">
        <v>1668</v>
      </c>
      <c r="I11" s="80">
        <f t="shared" si="0"/>
        <v>66720</v>
      </c>
    </row>
    <row r="12" spans="1:9" ht="15.75" x14ac:dyDescent="0.25">
      <c r="A12" s="46"/>
      <c r="B12" s="79"/>
      <c r="E12" s="32"/>
      <c r="I12" s="92"/>
    </row>
    <row r="13" spans="1:9" x14ac:dyDescent="0.2">
      <c r="A13" s="46"/>
      <c r="B13" s="18"/>
      <c r="D13" s="18"/>
      <c r="E13" s="18"/>
      <c r="F13" s="18"/>
      <c r="I13" s="92"/>
    </row>
    <row r="14" spans="1:9" ht="13.5" customHeight="1" thickBot="1" x14ac:dyDescent="0.25">
      <c r="A14" s="46"/>
      <c r="B14" s="82"/>
      <c r="C14" s="94"/>
      <c r="D14" s="45"/>
      <c r="E14"/>
      <c r="F14" s="18"/>
      <c r="G14" s="110"/>
      <c r="H14" s="18"/>
      <c r="I14" s="18"/>
    </row>
    <row r="15" spans="1:9" ht="15" customHeight="1" x14ac:dyDescent="0.2">
      <c r="A15" s="46"/>
      <c r="B15" s="113" t="s">
        <v>70</v>
      </c>
      <c r="C15" s="114"/>
      <c r="D15" s="114"/>
      <c r="E15" s="115"/>
      <c r="F15" s="18"/>
      <c r="G15" s="110"/>
      <c r="H15" s="18"/>
      <c r="I15" s="18"/>
    </row>
    <row r="16" spans="1:9" ht="15" customHeight="1" x14ac:dyDescent="0.2">
      <c r="A16" s="46"/>
      <c r="B16" s="47"/>
      <c r="C16" s="95"/>
      <c r="D16" s="18"/>
      <c r="E16" s="48"/>
      <c r="F16" s="18"/>
      <c r="G16" s="110"/>
      <c r="H16" s="18"/>
      <c r="I16" s="18"/>
    </row>
    <row r="17" spans="1:9" ht="15" customHeight="1" x14ac:dyDescent="0.2">
      <c r="A17" s="46"/>
      <c r="B17" s="49" t="s">
        <v>56</v>
      </c>
      <c r="C17" s="95"/>
      <c r="D17" s="18"/>
      <c r="E17" s="48"/>
      <c r="F17" s="18"/>
      <c r="G17" s="110"/>
      <c r="H17" s="18"/>
      <c r="I17" s="18"/>
    </row>
    <row r="18" spans="1:9" ht="98.25" customHeight="1" x14ac:dyDescent="0.2">
      <c r="A18" s="46"/>
      <c r="B18" s="49"/>
      <c r="C18" s="108" t="s">
        <v>79</v>
      </c>
      <c r="D18" s="108"/>
      <c r="E18" s="109"/>
      <c r="F18" s="18"/>
      <c r="G18" s="110"/>
      <c r="H18" s="18"/>
      <c r="I18" s="18"/>
    </row>
    <row r="19" spans="1:9" ht="15" customHeight="1" x14ac:dyDescent="0.2">
      <c r="A19" s="46"/>
      <c r="B19" s="50" t="s">
        <v>62</v>
      </c>
      <c r="C19" s="107" t="s">
        <v>74</v>
      </c>
      <c r="D19" s="107"/>
      <c r="E19" s="107"/>
      <c r="F19" s="18"/>
      <c r="G19" s="110"/>
      <c r="H19" s="18"/>
      <c r="I19" s="18"/>
    </row>
    <row r="20" spans="1:9" ht="15" customHeight="1" x14ac:dyDescent="0.2">
      <c r="A20" s="46"/>
      <c r="B20" s="112"/>
      <c r="C20" s="112"/>
      <c r="D20" s="112"/>
      <c r="E20" s="112"/>
      <c r="F20" s="18"/>
      <c r="G20" s="110"/>
      <c r="H20" s="18"/>
      <c r="I20" s="18"/>
    </row>
    <row r="21" spans="1:9" ht="24.75" customHeight="1" x14ac:dyDescent="0.2">
      <c r="A21" s="46"/>
      <c r="B21" s="47" t="s">
        <v>63</v>
      </c>
      <c r="C21" s="107" t="s">
        <v>64</v>
      </c>
      <c r="D21" s="107"/>
      <c r="E21" s="111"/>
      <c r="F21" s="18"/>
      <c r="G21" s="110"/>
      <c r="H21" s="18"/>
      <c r="I21" s="18"/>
    </row>
    <row r="22" spans="1:9" ht="24.75" customHeight="1" x14ac:dyDescent="0.2">
      <c r="A22" s="46"/>
      <c r="B22" s="47"/>
      <c r="C22" s="55"/>
      <c r="D22" s="53"/>
      <c r="E22" s="54"/>
      <c r="F22" s="18"/>
      <c r="G22" s="110"/>
      <c r="H22" s="18"/>
      <c r="I22" s="18"/>
    </row>
    <row r="23" spans="1:9" ht="15" customHeight="1" x14ac:dyDescent="0.2">
      <c r="A23" s="46"/>
      <c r="B23" s="47" t="s">
        <v>76</v>
      </c>
      <c r="C23" s="107" t="s">
        <v>77</v>
      </c>
      <c r="D23" s="107"/>
      <c r="E23" s="111"/>
      <c r="F23" s="18"/>
      <c r="G23" s="110"/>
      <c r="H23" s="18"/>
      <c r="I23" s="18"/>
    </row>
    <row r="24" spans="1:9" ht="15" customHeight="1" x14ac:dyDescent="0.2">
      <c r="A24" s="46"/>
      <c r="B24" s="47"/>
      <c r="C24" s="103"/>
      <c r="D24" s="103"/>
      <c r="E24" s="105"/>
      <c r="F24" s="18"/>
      <c r="G24" s="110"/>
      <c r="H24" s="18"/>
      <c r="I24" s="18"/>
    </row>
    <row r="25" spans="1:9" ht="12.75" customHeight="1" x14ac:dyDescent="0.2">
      <c r="A25" s="46"/>
      <c r="B25" s="49" t="s">
        <v>57</v>
      </c>
      <c r="C25" s="18"/>
      <c r="D25" s="18"/>
      <c r="E25" s="18"/>
      <c r="F25" s="18"/>
      <c r="G25" s="110"/>
      <c r="H25" s="18"/>
      <c r="I25" s="18"/>
    </row>
    <row r="26" spans="1:9" ht="12.75" customHeight="1" x14ac:dyDescent="0.2">
      <c r="A26" s="46"/>
      <c r="B26" s="47"/>
      <c r="C26" s="55"/>
      <c r="D26" s="55"/>
      <c r="E26" s="56"/>
      <c r="F26" s="18"/>
      <c r="G26" s="110"/>
      <c r="H26" s="18"/>
      <c r="I26" s="18"/>
    </row>
    <row r="27" spans="1:9" ht="15" customHeight="1" x14ac:dyDescent="0.2">
      <c r="A27" s="46"/>
      <c r="B27" s="49" t="s">
        <v>58</v>
      </c>
      <c r="C27" s="43"/>
      <c r="D27" s="41"/>
      <c r="E27" s="44"/>
      <c r="F27" s="18"/>
      <c r="G27" s="110"/>
      <c r="H27" s="18"/>
      <c r="I27" s="18"/>
    </row>
    <row r="28" spans="1:9" ht="15" customHeight="1" x14ac:dyDescent="0.2">
      <c r="A28" s="46"/>
      <c r="B28" s="47"/>
      <c r="C28" s="55"/>
      <c r="D28" s="55"/>
      <c r="E28" s="56" t="s">
        <v>66</v>
      </c>
      <c r="F28" s="18"/>
      <c r="G28" s="110"/>
      <c r="H28" s="18"/>
      <c r="I28" s="18"/>
    </row>
    <row r="29" spans="1:9" ht="15" customHeight="1" x14ac:dyDescent="0.2">
      <c r="A29" s="46"/>
      <c r="B29" s="49" t="s">
        <v>59</v>
      </c>
      <c r="C29" s="95"/>
      <c r="D29" s="18"/>
      <c r="E29" s="48"/>
      <c r="F29" s="18"/>
      <c r="G29" s="110"/>
      <c r="H29" s="18"/>
      <c r="I29" s="18"/>
    </row>
    <row r="30" spans="1:9" ht="15" customHeight="1" x14ac:dyDescent="0.2">
      <c r="A30" s="46"/>
      <c r="B30" s="49"/>
      <c r="C30" s="55"/>
      <c r="D30" s="53"/>
      <c r="E30" s="54"/>
      <c r="F30" s="18"/>
      <c r="G30" s="110"/>
      <c r="H30" s="18"/>
      <c r="I30" s="18"/>
    </row>
    <row r="31" spans="1:9" ht="12.75" customHeight="1" thickBot="1" x14ac:dyDescent="0.25">
      <c r="A31" s="46"/>
      <c r="B31" s="51"/>
      <c r="C31" s="96"/>
      <c r="D31" s="42"/>
      <c r="E31" s="52"/>
      <c r="F31" s="18"/>
      <c r="G31" s="110"/>
      <c r="H31" s="18"/>
      <c r="I31" s="18"/>
    </row>
    <row r="32" spans="1:9" ht="12.75" customHeight="1" x14ac:dyDescent="0.2">
      <c r="A32" s="46"/>
      <c r="B32" s="82"/>
      <c r="C32" s="97"/>
      <c r="D32" s="98"/>
      <c r="E32" s="99"/>
      <c r="F32" s="18"/>
      <c r="G32" s="110"/>
      <c r="H32" s="18"/>
      <c r="I32" s="18"/>
    </row>
    <row r="33" spans="9:9" x14ac:dyDescent="0.2">
      <c r="I33" s="92"/>
    </row>
    <row r="34" spans="9:9" x14ac:dyDescent="0.2">
      <c r="I34" s="92"/>
    </row>
    <row r="35" spans="9:9" x14ac:dyDescent="0.2">
      <c r="I35" s="92"/>
    </row>
    <row r="36" spans="9:9" x14ac:dyDescent="0.2">
      <c r="I36" s="92"/>
    </row>
    <row r="37" spans="9:9" x14ac:dyDescent="0.2">
      <c r="I37" s="92"/>
    </row>
    <row r="38" spans="9:9" ht="27" customHeight="1" x14ac:dyDescent="0.2">
      <c r="I38" s="92"/>
    </row>
    <row r="39" spans="9:9" x14ac:dyDescent="0.2">
      <c r="I39" s="92"/>
    </row>
    <row r="40" spans="9:9" x14ac:dyDescent="0.2">
      <c r="I40" s="92"/>
    </row>
    <row r="41" spans="9:9" x14ac:dyDescent="0.2">
      <c r="I41" s="92"/>
    </row>
    <row r="42" spans="9:9" x14ac:dyDescent="0.2">
      <c r="I42" s="92"/>
    </row>
    <row r="43" spans="9:9" x14ac:dyDescent="0.2">
      <c r="I43" s="92"/>
    </row>
    <row r="44" spans="9:9" x14ac:dyDescent="0.2">
      <c r="I44" s="92"/>
    </row>
    <row r="45" spans="9:9" x14ac:dyDescent="0.2">
      <c r="I45" s="92"/>
    </row>
    <row r="46" spans="9:9" x14ac:dyDescent="0.2">
      <c r="I46" s="92"/>
    </row>
    <row r="47" spans="9:9" x14ac:dyDescent="0.2">
      <c r="I47" s="92"/>
    </row>
    <row r="48" spans="9:9" x14ac:dyDescent="0.2">
      <c r="I48" s="92"/>
    </row>
    <row r="49" spans="9:9" x14ac:dyDescent="0.2">
      <c r="I49" s="92"/>
    </row>
    <row r="50" spans="9:9" x14ac:dyDescent="0.2">
      <c r="I50" s="92"/>
    </row>
    <row r="51" spans="9:9" x14ac:dyDescent="0.2">
      <c r="I51" s="92"/>
    </row>
    <row r="52" spans="9:9" x14ac:dyDescent="0.2">
      <c r="I52" s="92"/>
    </row>
    <row r="53" spans="9:9" x14ac:dyDescent="0.2">
      <c r="I53" s="92"/>
    </row>
    <row r="54" spans="9:9" x14ac:dyDescent="0.2">
      <c r="I54" s="92"/>
    </row>
    <row r="55" spans="9:9" x14ac:dyDescent="0.2">
      <c r="I55" s="92"/>
    </row>
    <row r="56" spans="9:9" x14ac:dyDescent="0.2">
      <c r="I56" s="92"/>
    </row>
    <row r="57" spans="9:9" x14ac:dyDescent="0.2">
      <c r="I57" s="92"/>
    </row>
    <row r="58" spans="9:9" x14ac:dyDescent="0.2">
      <c r="I58" s="92"/>
    </row>
    <row r="59" spans="9:9" x14ac:dyDescent="0.2">
      <c r="I59" s="92"/>
    </row>
    <row r="60" spans="9:9" x14ac:dyDescent="0.2">
      <c r="I60" s="92"/>
    </row>
    <row r="61" spans="9:9" x14ac:dyDescent="0.2">
      <c r="I61" s="92"/>
    </row>
    <row r="62" spans="9:9" x14ac:dyDescent="0.2">
      <c r="I62" s="92"/>
    </row>
    <row r="63" spans="9:9" x14ac:dyDescent="0.2">
      <c r="I63" s="92"/>
    </row>
    <row r="64" spans="9:9" x14ac:dyDescent="0.2">
      <c r="I64" s="92"/>
    </row>
    <row r="65" spans="9:9" x14ac:dyDescent="0.2">
      <c r="I65" s="92"/>
    </row>
    <row r="66" spans="9:9" x14ac:dyDescent="0.2">
      <c r="I66" s="92"/>
    </row>
    <row r="67" spans="9:9" x14ac:dyDescent="0.2">
      <c r="I67" s="92"/>
    </row>
    <row r="68" spans="9:9" x14ac:dyDescent="0.2">
      <c r="I68" s="92"/>
    </row>
    <row r="69" spans="9:9" x14ac:dyDescent="0.2">
      <c r="I69" s="92"/>
    </row>
    <row r="70" spans="9:9" x14ac:dyDescent="0.2">
      <c r="I70" s="92"/>
    </row>
    <row r="71" spans="9:9" x14ac:dyDescent="0.2">
      <c r="I71" s="92"/>
    </row>
    <row r="72" spans="9:9" x14ac:dyDescent="0.2">
      <c r="I72" s="92"/>
    </row>
    <row r="73" spans="9:9" x14ac:dyDescent="0.2">
      <c r="I73" s="92"/>
    </row>
    <row r="74" spans="9:9" x14ac:dyDescent="0.2">
      <c r="I74" s="92"/>
    </row>
    <row r="75" spans="9:9" x14ac:dyDescent="0.2">
      <c r="I75" s="92"/>
    </row>
    <row r="76" spans="9:9" x14ac:dyDescent="0.2">
      <c r="I76" s="92"/>
    </row>
    <row r="77" spans="9:9" x14ac:dyDescent="0.2">
      <c r="I77" s="92"/>
    </row>
    <row r="78" spans="9:9" x14ac:dyDescent="0.2">
      <c r="I78" s="92"/>
    </row>
    <row r="79" spans="9:9" x14ac:dyDescent="0.2">
      <c r="I79" s="92"/>
    </row>
    <row r="80" spans="9:9" x14ac:dyDescent="0.2">
      <c r="I80" s="92"/>
    </row>
    <row r="81" spans="9:9" x14ac:dyDescent="0.2">
      <c r="I81" s="92"/>
    </row>
    <row r="82" spans="9:9" x14ac:dyDescent="0.2">
      <c r="I82" s="92"/>
    </row>
    <row r="83" spans="9:9" x14ac:dyDescent="0.2">
      <c r="I83" s="92"/>
    </row>
    <row r="84" spans="9:9" x14ac:dyDescent="0.2">
      <c r="I84" s="92"/>
    </row>
    <row r="85" spans="9:9" x14ac:dyDescent="0.2">
      <c r="I85" s="92"/>
    </row>
    <row r="86" spans="9:9" x14ac:dyDescent="0.2">
      <c r="I86" s="92"/>
    </row>
    <row r="87" spans="9:9" x14ac:dyDescent="0.2">
      <c r="I87" s="92"/>
    </row>
    <row r="88" spans="9:9" x14ac:dyDescent="0.2">
      <c r="I88" s="92"/>
    </row>
    <row r="89" spans="9:9" x14ac:dyDescent="0.2">
      <c r="I89" s="92"/>
    </row>
    <row r="90" spans="9:9" x14ac:dyDescent="0.2">
      <c r="I90" s="92"/>
    </row>
    <row r="91" spans="9:9" x14ac:dyDescent="0.2">
      <c r="I91" s="92"/>
    </row>
    <row r="92" spans="9:9" x14ac:dyDescent="0.2">
      <c r="I92" s="92"/>
    </row>
    <row r="93" spans="9:9" x14ac:dyDescent="0.2">
      <c r="I93" s="92"/>
    </row>
    <row r="94" spans="9:9" x14ac:dyDescent="0.2">
      <c r="I94" s="92"/>
    </row>
    <row r="95" spans="9:9" x14ac:dyDescent="0.2">
      <c r="I95" s="92"/>
    </row>
    <row r="96" spans="9:9" x14ac:dyDescent="0.2">
      <c r="I96" s="92"/>
    </row>
    <row r="97" spans="9:9" x14ac:dyDescent="0.2">
      <c r="I97" s="92"/>
    </row>
    <row r="98" spans="9:9" x14ac:dyDescent="0.2">
      <c r="I98" s="92"/>
    </row>
    <row r="99" spans="9:9" x14ac:dyDescent="0.2">
      <c r="I99" s="92"/>
    </row>
    <row r="100" spans="9:9" x14ac:dyDescent="0.2">
      <c r="I100" s="92"/>
    </row>
    <row r="101" spans="9:9" x14ac:dyDescent="0.2">
      <c r="I101" s="92"/>
    </row>
    <row r="102" spans="9:9" x14ac:dyDescent="0.2">
      <c r="I102" s="92"/>
    </row>
    <row r="103" spans="9:9" x14ac:dyDescent="0.2">
      <c r="I103" s="92"/>
    </row>
    <row r="104" spans="9:9" x14ac:dyDescent="0.2">
      <c r="I104" s="92"/>
    </row>
    <row r="105" spans="9:9" x14ac:dyDescent="0.2">
      <c r="I105" s="92"/>
    </row>
    <row r="106" spans="9:9" x14ac:dyDescent="0.2">
      <c r="I106" s="92"/>
    </row>
    <row r="107" spans="9:9" x14ac:dyDescent="0.2">
      <c r="I107" s="92"/>
    </row>
    <row r="108" spans="9:9" x14ac:dyDescent="0.2">
      <c r="I108" s="92"/>
    </row>
    <row r="109" spans="9:9" x14ac:dyDescent="0.2">
      <c r="I109" s="92"/>
    </row>
    <row r="110" spans="9:9" x14ac:dyDescent="0.2">
      <c r="I110" s="92"/>
    </row>
    <row r="111" spans="9:9" x14ac:dyDescent="0.2">
      <c r="I111" s="92"/>
    </row>
    <row r="112" spans="9:9" x14ac:dyDescent="0.2">
      <c r="I112" s="92"/>
    </row>
    <row r="113" spans="9:9" x14ac:dyDescent="0.2">
      <c r="I113" s="92"/>
    </row>
    <row r="114" spans="9:9" x14ac:dyDescent="0.2">
      <c r="I114" s="92"/>
    </row>
    <row r="115" spans="9:9" x14ac:dyDescent="0.2">
      <c r="I115" s="92"/>
    </row>
    <row r="116" spans="9:9" x14ac:dyDescent="0.2">
      <c r="I116" s="92"/>
    </row>
    <row r="117" spans="9:9" x14ac:dyDescent="0.2">
      <c r="I117" s="92"/>
    </row>
    <row r="118" spans="9:9" x14ac:dyDescent="0.2">
      <c r="I118" s="92"/>
    </row>
    <row r="119" spans="9:9" x14ac:dyDescent="0.2">
      <c r="I119" s="92"/>
    </row>
    <row r="120" spans="9:9" x14ac:dyDescent="0.2">
      <c r="I120" s="92"/>
    </row>
    <row r="121" spans="9:9" x14ac:dyDescent="0.2">
      <c r="I121" s="92"/>
    </row>
    <row r="122" spans="9:9" x14ac:dyDescent="0.2">
      <c r="I122" s="92"/>
    </row>
    <row r="123" spans="9:9" x14ac:dyDescent="0.2">
      <c r="I123" s="92"/>
    </row>
    <row r="124" spans="9:9" x14ac:dyDescent="0.2">
      <c r="I124" s="92"/>
    </row>
    <row r="125" spans="9:9" x14ac:dyDescent="0.2">
      <c r="I125" s="92"/>
    </row>
    <row r="126" spans="9:9" x14ac:dyDescent="0.2">
      <c r="I126" s="92"/>
    </row>
    <row r="127" spans="9:9" x14ac:dyDescent="0.2">
      <c r="I127" s="92"/>
    </row>
    <row r="128" spans="9:9" x14ac:dyDescent="0.2">
      <c r="I128" s="92"/>
    </row>
    <row r="129" spans="9:9" x14ac:dyDescent="0.2">
      <c r="I129" s="92"/>
    </row>
    <row r="130" spans="9:9" x14ac:dyDescent="0.2">
      <c r="I130" s="92"/>
    </row>
    <row r="131" spans="9:9" x14ac:dyDescent="0.2">
      <c r="I131" s="92"/>
    </row>
    <row r="132" spans="9:9" x14ac:dyDescent="0.2">
      <c r="I132" s="92"/>
    </row>
    <row r="133" spans="9:9" x14ac:dyDescent="0.2">
      <c r="I133" s="92"/>
    </row>
    <row r="134" spans="9:9" x14ac:dyDescent="0.2">
      <c r="I134" s="92"/>
    </row>
    <row r="135" spans="9:9" x14ac:dyDescent="0.2">
      <c r="I135" s="92"/>
    </row>
    <row r="136" spans="9:9" x14ac:dyDescent="0.2">
      <c r="I136" s="92"/>
    </row>
    <row r="137" spans="9:9" x14ac:dyDescent="0.2">
      <c r="I137" s="92"/>
    </row>
    <row r="138" spans="9:9" x14ac:dyDescent="0.2">
      <c r="I138" s="92"/>
    </row>
    <row r="139" spans="9:9" x14ac:dyDescent="0.2">
      <c r="I139" s="92"/>
    </row>
    <row r="140" spans="9:9" x14ac:dyDescent="0.2">
      <c r="I140" s="92"/>
    </row>
    <row r="141" spans="9:9" x14ac:dyDescent="0.2">
      <c r="I141" s="92"/>
    </row>
    <row r="142" spans="9:9" x14ac:dyDescent="0.2">
      <c r="I142" s="92"/>
    </row>
    <row r="143" spans="9:9" x14ac:dyDescent="0.2">
      <c r="I143" s="92"/>
    </row>
    <row r="144" spans="9:9" x14ac:dyDescent="0.2">
      <c r="I144" s="92"/>
    </row>
    <row r="145" spans="9:9" x14ac:dyDescent="0.2">
      <c r="I145" s="92"/>
    </row>
    <row r="146" spans="9:9" x14ac:dyDescent="0.2">
      <c r="I146" s="92"/>
    </row>
    <row r="147" spans="9:9" x14ac:dyDescent="0.2">
      <c r="I147" s="92"/>
    </row>
    <row r="148" spans="9:9" x14ac:dyDescent="0.2">
      <c r="I148" s="92"/>
    </row>
    <row r="149" spans="9:9" x14ac:dyDescent="0.2">
      <c r="I149" s="92"/>
    </row>
    <row r="150" spans="9:9" x14ac:dyDescent="0.2">
      <c r="I150" s="92"/>
    </row>
    <row r="151" spans="9:9" x14ac:dyDescent="0.2">
      <c r="I151" s="92"/>
    </row>
    <row r="152" spans="9:9" x14ac:dyDescent="0.2">
      <c r="I152" s="92"/>
    </row>
    <row r="153" spans="9:9" x14ac:dyDescent="0.2">
      <c r="I153" s="92"/>
    </row>
    <row r="154" spans="9:9" x14ac:dyDescent="0.2">
      <c r="I154" s="92"/>
    </row>
  </sheetData>
  <mergeCells count="13">
    <mergeCell ref="A4:D4"/>
    <mergeCell ref="A5:D5"/>
    <mergeCell ref="A6:D6"/>
    <mergeCell ref="A7:D7"/>
    <mergeCell ref="E4:G4"/>
    <mergeCell ref="E5:G5"/>
    <mergeCell ref="C19:E19"/>
    <mergeCell ref="C18:E18"/>
    <mergeCell ref="G14:G32"/>
    <mergeCell ref="C21:E21"/>
    <mergeCell ref="B20:E20"/>
    <mergeCell ref="C23:E23"/>
    <mergeCell ref="B15:E15"/>
  </mergeCells>
  <phoneticPr fontId="22" type="noConversion"/>
  <pageMargins left="0.7" right="0.7" top="0.75" bottom="0.75" header="0.51180555555555496" footer="0.51180555555555496"/>
  <pageSetup paperSize="5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Y21"/>
  <sheetViews>
    <sheetView zoomScale="68" zoomScaleNormal="68" workbookViewId="0">
      <selection activeCell="J14" sqref="J14:K14"/>
    </sheetView>
  </sheetViews>
  <sheetFormatPr baseColWidth="10" defaultColWidth="9.140625" defaultRowHeight="12.75" x14ac:dyDescent="0.2"/>
  <cols>
    <col min="1" max="1" width="13.140625" style="66" customWidth="1"/>
    <col min="2" max="2" width="19.5703125" style="66" customWidth="1"/>
    <col min="3" max="3" width="14.140625" style="66" customWidth="1"/>
    <col min="4" max="4" width="26" style="66" customWidth="1"/>
    <col min="5" max="5" width="8" style="66" customWidth="1"/>
    <col min="6" max="6" width="7.85546875" style="66" customWidth="1"/>
    <col min="7" max="7" width="42" style="66" customWidth="1"/>
    <col min="8" max="8" width="9.28515625" style="66" customWidth="1"/>
    <col min="9" max="9" width="15.5703125" style="66" customWidth="1"/>
    <col min="10" max="10" width="20.42578125" style="66" customWidth="1"/>
    <col min="11" max="11" width="30.42578125" style="73" customWidth="1"/>
    <col min="12" max="1013" width="9.140625" style="2"/>
  </cols>
  <sheetData>
    <row r="1" spans="1:1013" ht="18" customHeight="1" x14ac:dyDescent="0.2">
      <c r="A1" s="118" t="s">
        <v>13</v>
      </c>
      <c r="B1" s="118"/>
      <c r="C1" s="118"/>
      <c r="D1" s="118"/>
      <c r="E1" s="118"/>
      <c r="F1" s="118"/>
      <c r="G1" s="118"/>
      <c r="H1" s="118"/>
      <c r="I1" s="118"/>
      <c r="J1" s="57"/>
      <c r="K1" s="106" t="s">
        <v>80</v>
      </c>
    </row>
    <row r="2" spans="1:1013" ht="18.75" customHeight="1" thickBot="1" x14ac:dyDescent="0.25">
      <c r="A2" s="58"/>
      <c r="B2" s="58"/>
      <c r="C2" s="58"/>
      <c r="D2" s="59"/>
      <c r="E2" s="59"/>
      <c r="F2" s="59"/>
      <c r="G2" s="59"/>
      <c r="H2" s="59"/>
      <c r="I2" s="59"/>
      <c r="J2" s="59"/>
      <c r="K2" s="70"/>
    </row>
    <row r="3" spans="1:1013" ht="18.75" customHeight="1" thickBot="1" x14ac:dyDescent="0.25">
      <c r="A3" s="119" t="s">
        <v>14</v>
      </c>
      <c r="B3" s="119"/>
      <c r="C3" s="119"/>
      <c r="D3" s="120" t="s">
        <v>61</v>
      </c>
      <c r="E3" s="120"/>
      <c r="F3" s="120"/>
      <c r="G3" s="120"/>
      <c r="H3" s="120"/>
      <c r="I3" s="120"/>
      <c r="J3" s="120"/>
      <c r="K3" s="120"/>
    </row>
    <row r="4" spans="1:1013" ht="18.75" customHeight="1" thickBot="1" x14ac:dyDescent="0.25">
      <c r="A4" s="121" t="s">
        <v>15</v>
      </c>
      <c r="B4" s="121"/>
      <c r="C4" s="121"/>
      <c r="D4" s="120" t="s">
        <v>55</v>
      </c>
      <c r="E4" s="120"/>
      <c r="F4" s="120"/>
      <c r="G4" s="120"/>
      <c r="H4" s="120"/>
      <c r="I4" s="120"/>
      <c r="J4" s="120"/>
      <c r="K4" s="120"/>
    </row>
    <row r="5" spans="1:1013" ht="18.75" customHeight="1" thickBot="1" x14ac:dyDescent="0.25">
      <c r="A5" s="121" t="s">
        <v>16</v>
      </c>
      <c r="B5" s="121"/>
      <c r="C5" s="121"/>
      <c r="D5" s="120" t="s">
        <v>50</v>
      </c>
      <c r="E5" s="120"/>
      <c r="F5" s="120"/>
      <c r="G5" s="120"/>
      <c r="H5" s="120"/>
      <c r="I5" s="120"/>
      <c r="J5" s="120"/>
      <c r="K5" s="120"/>
    </row>
    <row r="6" spans="1:1013" ht="16.5" customHeight="1" thickBot="1" x14ac:dyDescent="0.25">
      <c r="A6" s="119" t="s">
        <v>17</v>
      </c>
      <c r="B6" s="119"/>
      <c r="C6" s="119"/>
      <c r="D6" s="120" t="s">
        <v>71</v>
      </c>
      <c r="E6" s="120"/>
      <c r="F6" s="120"/>
      <c r="G6" s="120"/>
      <c r="H6" s="120"/>
      <c r="I6" s="120"/>
      <c r="J6" s="120"/>
      <c r="K6" s="120"/>
    </row>
    <row r="7" spans="1:1013" ht="16.5" customHeight="1" thickBot="1" x14ac:dyDescent="0.25">
      <c r="A7" s="121" t="s">
        <v>18</v>
      </c>
      <c r="B7" s="121"/>
      <c r="C7" s="121"/>
      <c r="D7" s="120" t="s">
        <v>75</v>
      </c>
      <c r="E7" s="120"/>
      <c r="F7" s="120"/>
      <c r="G7" s="120"/>
      <c r="H7" s="120"/>
      <c r="I7" s="120"/>
      <c r="J7" s="120"/>
      <c r="K7" s="120"/>
    </row>
    <row r="8" spans="1:1013" ht="16.5" customHeight="1" thickBot="1" x14ac:dyDescent="0.25">
      <c r="A8" s="122" t="s">
        <v>19</v>
      </c>
      <c r="B8" s="122"/>
      <c r="C8" s="122"/>
      <c r="D8" s="123" t="s">
        <v>78</v>
      </c>
      <c r="E8" s="123"/>
      <c r="F8" s="123"/>
      <c r="G8" s="123"/>
      <c r="H8" s="123"/>
      <c r="I8" s="123"/>
      <c r="J8" s="123"/>
      <c r="K8" s="123"/>
    </row>
    <row r="9" spans="1:1013" ht="16.5" thickBot="1" x14ac:dyDescent="0.25">
      <c r="A9" s="60"/>
      <c r="B9" s="60"/>
      <c r="C9" s="60"/>
      <c r="D9" s="61"/>
      <c r="E9" s="61"/>
      <c r="F9" s="61"/>
      <c r="G9" s="61"/>
      <c r="H9" s="61"/>
      <c r="I9" s="61"/>
      <c r="J9" s="61"/>
      <c r="K9" s="71"/>
    </row>
    <row r="10" spans="1:1013" ht="18.75" customHeight="1" thickBot="1" x14ac:dyDescent="0.25">
      <c r="A10" s="124" t="s">
        <v>20</v>
      </c>
      <c r="B10" s="126" t="s">
        <v>21</v>
      </c>
      <c r="C10" s="126" t="s">
        <v>22</v>
      </c>
      <c r="D10" s="126"/>
      <c r="E10" s="126"/>
      <c r="F10" s="126"/>
      <c r="G10" s="126"/>
      <c r="H10" s="126" t="s">
        <v>23</v>
      </c>
      <c r="I10" s="126" t="s">
        <v>24</v>
      </c>
      <c r="J10" s="126" t="s">
        <v>25</v>
      </c>
      <c r="K10" s="128" t="s">
        <v>26</v>
      </c>
    </row>
    <row r="11" spans="1:1013" ht="24" customHeight="1" thickBot="1" x14ac:dyDescent="0.25">
      <c r="A11" s="125"/>
      <c r="B11" s="127"/>
      <c r="C11" s="127"/>
      <c r="D11" s="127"/>
      <c r="E11" s="127"/>
      <c r="F11" s="127"/>
      <c r="G11" s="127"/>
      <c r="H11" s="127"/>
      <c r="I11" s="127"/>
      <c r="J11" s="127"/>
      <c r="K11" s="129"/>
      <c r="ALW11"/>
      <c r="ALX11"/>
      <c r="ALY11"/>
    </row>
    <row r="12" spans="1:1013" ht="43.5" customHeight="1" thickBot="1" x14ac:dyDescent="0.3">
      <c r="A12" s="62">
        <f>'Necesidades Trimestrales'!A10</f>
        <v>1</v>
      </c>
      <c r="B12" s="65">
        <f>'Necesidades Trimestrales'!B10</f>
        <v>0</v>
      </c>
      <c r="C12" s="130" t="str">
        <f>'Necesidades Trimestrales'!E10</f>
        <v>INSULINA NPH HUMANA 100 UI FCO AMP 10 ML</v>
      </c>
      <c r="D12" s="130"/>
      <c r="E12" s="130"/>
      <c r="F12" s="130"/>
      <c r="G12" s="130"/>
      <c r="H12" s="63" t="s">
        <v>65</v>
      </c>
      <c r="I12" s="64" t="str">
        <f>'Necesidades Trimestrales'!F10</f>
        <v>UNIDAD</v>
      </c>
      <c r="J12" s="69">
        <f>'Necesidades Trimestrales'!H10</f>
        <v>1010</v>
      </c>
      <c r="K12" s="72">
        <f>'Necesidades Trimestrales'!G10</f>
        <v>30</v>
      </c>
    </row>
    <row r="13" spans="1:1013" ht="43.5" customHeight="1" x14ac:dyDescent="0.25">
      <c r="A13" s="62">
        <f>'Necesidades Trimestrales'!A11</f>
        <v>2</v>
      </c>
      <c r="B13" s="65">
        <f>'Necesidades Trimestrales'!B11</f>
        <v>0</v>
      </c>
      <c r="C13" s="130" t="str">
        <f>'Necesidades Trimestrales'!E11</f>
        <v>INSULINA CORRIENTE HUMANA 100 UI FCO AMP 10 ML</v>
      </c>
      <c r="D13" s="130"/>
      <c r="E13" s="130"/>
      <c r="F13" s="130"/>
      <c r="G13" s="130"/>
      <c r="H13" s="63" t="s">
        <v>65</v>
      </c>
      <c r="I13" s="64" t="str">
        <f>'Necesidades Trimestrales'!F11</f>
        <v>UNIDAD</v>
      </c>
      <c r="J13" s="69">
        <f>'Necesidades Trimestrales'!H11</f>
        <v>1668</v>
      </c>
      <c r="K13" s="72">
        <f>'Necesidades Trimestrales'!G11</f>
        <v>40</v>
      </c>
    </row>
    <row r="14" spans="1:1013" ht="41.25" customHeight="1" thickBot="1" x14ac:dyDescent="0.25">
      <c r="A14" s="133" t="s">
        <v>82</v>
      </c>
      <c r="B14" s="133"/>
      <c r="C14" s="133"/>
      <c r="D14" s="133"/>
      <c r="E14" s="133"/>
      <c r="F14" s="133"/>
      <c r="G14" s="133"/>
      <c r="H14" s="133"/>
      <c r="I14" s="134"/>
      <c r="J14" s="135">
        <f>SUMPRODUCT(J12:J13*K12:K13)</f>
        <v>97020</v>
      </c>
      <c r="K14" s="135"/>
    </row>
    <row r="17" spans="4:11" x14ac:dyDescent="0.2">
      <c r="J17" s="131"/>
      <c r="K17" s="132"/>
    </row>
    <row r="18" spans="4:11" ht="15" x14ac:dyDescent="0.2">
      <c r="D18" s="67"/>
      <c r="E18" s="67"/>
      <c r="F18" s="67"/>
      <c r="G18" s="67"/>
      <c r="H18" s="67"/>
      <c r="I18" s="67"/>
    </row>
    <row r="19" spans="4:11" ht="15" x14ac:dyDescent="0.2">
      <c r="D19" s="67"/>
      <c r="E19" s="67"/>
      <c r="F19" s="67"/>
      <c r="G19" s="67"/>
      <c r="H19" s="67"/>
      <c r="I19" s="67"/>
    </row>
    <row r="20" spans="4:11" ht="15" x14ac:dyDescent="0.2">
      <c r="D20" s="67"/>
      <c r="E20" s="67"/>
      <c r="F20" s="67"/>
      <c r="G20" s="67"/>
      <c r="H20" s="67"/>
      <c r="I20" s="67"/>
    </row>
    <row r="21" spans="4:11" ht="15.75" x14ac:dyDescent="0.2">
      <c r="D21" s="68"/>
      <c r="E21" s="67"/>
      <c r="F21" s="67"/>
      <c r="G21" s="67"/>
      <c r="H21" s="67"/>
      <c r="I21" s="67"/>
    </row>
  </sheetData>
  <mergeCells count="25">
    <mergeCell ref="C12:G12"/>
    <mergeCell ref="C13:G13"/>
    <mergeCell ref="J17:K17"/>
    <mergeCell ref="A14:I14"/>
    <mergeCell ref="J14:K14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honeticPr fontId="37" type="noConversion"/>
  <printOptions horizontalCentered="1"/>
  <pageMargins left="0.196527777777778" right="0.196527777777778" top="0.98402777777777795" bottom="0.98402777777777795" header="0.51180555555555496" footer="0.51180555555555496"/>
  <pageSetup paperSize="5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5"/>
  <sheetViews>
    <sheetView workbookViewId="0">
      <selection activeCell="Q21" sqref="Q21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3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thickBot="1" x14ac:dyDescent="0.3">
      <c r="A1" s="144" t="s">
        <v>3</v>
      </c>
      <c r="B1" s="144"/>
      <c r="C1" s="144"/>
      <c r="D1" s="145">
        <v>2021</v>
      </c>
      <c r="E1" s="145"/>
      <c r="F1" s="4"/>
      <c r="G1" s="4"/>
      <c r="H1" s="5"/>
      <c r="I1" s="5"/>
      <c r="J1" s="5"/>
      <c r="K1" s="5"/>
      <c r="L1" s="5"/>
      <c r="M1" s="5"/>
      <c r="N1" s="5"/>
      <c r="P1" s="146" t="s">
        <v>27</v>
      </c>
      <c r="Q1" s="146"/>
    </row>
    <row r="2" spans="1:17" ht="15.75" customHeight="1" thickBot="1" x14ac:dyDescent="0.25">
      <c r="H2" s="5"/>
      <c r="I2" s="5"/>
      <c r="J2" s="5"/>
      <c r="K2" s="5"/>
      <c r="L2" s="5"/>
      <c r="M2" s="5"/>
      <c r="N2" s="5"/>
      <c r="P2" s="146"/>
      <c r="Q2" s="146"/>
    </row>
    <row r="4" spans="1:17" s="6" customFormat="1" ht="18" customHeight="1" thickBot="1" x14ac:dyDescent="0.25">
      <c r="A4" s="147" t="s">
        <v>28</v>
      </c>
      <c r="B4" s="147"/>
      <c r="C4" s="147"/>
      <c r="D4" s="147"/>
      <c r="E4" s="147"/>
      <c r="F4" s="147"/>
      <c r="G4" s="142" t="str">
        <f>' NotaPedido'!D3</f>
        <v>40- Ministerio de Salud</v>
      </c>
      <c r="H4" s="142"/>
      <c r="I4" s="142"/>
      <c r="J4" s="142"/>
      <c r="K4" s="142"/>
      <c r="L4" s="142"/>
      <c r="M4" s="142"/>
      <c r="N4" s="142"/>
      <c r="O4" s="142"/>
      <c r="P4" s="142"/>
      <c r="Q4" s="142"/>
    </row>
    <row r="5" spans="1:17" s="6" customFormat="1" ht="18" customHeight="1" thickBot="1" x14ac:dyDescent="0.25">
      <c r="A5" s="139" t="s">
        <v>15</v>
      </c>
      <c r="B5" s="140"/>
      <c r="C5" s="140"/>
      <c r="D5" s="140"/>
      <c r="E5" s="140"/>
      <c r="F5" s="141"/>
      <c r="G5" s="142" t="str">
        <f>' NotaPedido'!D4</f>
        <v>28- Maternidad Provincial 25 de Mayo</v>
      </c>
      <c r="H5" s="142"/>
      <c r="I5" s="142"/>
      <c r="J5" s="142"/>
      <c r="K5" s="142"/>
      <c r="L5" s="142"/>
      <c r="M5" s="142"/>
      <c r="N5" s="142"/>
      <c r="O5" s="142"/>
      <c r="P5" s="142"/>
      <c r="Q5" s="142"/>
    </row>
    <row r="6" spans="1:17" s="6" customFormat="1" ht="18" customHeight="1" thickBot="1" x14ac:dyDescent="0.25">
      <c r="A6" s="139" t="s">
        <v>16</v>
      </c>
      <c r="B6" s="140"/>
      <c r="C6" s="140"/>
      <c r="D6" s="140"/>
      <c r="E6" s="140"/>
      <c r="F6" s="141"/>
      <c r="G6" s="142" t="str">
        <f>' NotaPedido'!D5</f>
        <v xml:space="preserve">169- Direccion Asistencial </v>
      </c>
      <c r="H6" s="142"/>
      <c r="I6" s="142"/>
      <c r="J6" s="142"/>
      <c r="K6" s="142"/>
      <c r="L6" s="142"/>
      <c r="M6" s="142"/>
      <c r="N6" s="142"/>
      <c r="O6" s="142"/>
      <c r="P6" s="142"/>
      <c r="Q6" s="142"/>
    </row>
    <row r="7" spans="1:17" s="6" customFormat="1" ht="18" customHeight="1" thickBot="1" x14ac:dyDescent="0.25">
      <c r="A7" s="139" t="s">
        <v>17</v>
      </c>
      <c r="B7" s="140"/>
      <c r="C7" s="140"/>
      <c r="D7" s="140"/>
      <c r="E7" s="140"/>
      <c r="F7" s="141"/>
      <c r="G7" s="142" t="str">
        <f>' NotaPedido'!D6</f>
        <v xml:space="preserve">Servicio de Farmcia </v>
      </c>
      <c r="H7" s="142"/>
      <c r="I7" s="142"/>
      <c r="J7" s="142"/>
      <c r="K7" s="142"/>
      <c r="L7" s="142"/>
      <c r="M7" s="142"/>
      <c r="N7" s="142"/>
      <c r="O7" s="142"/>
      <c r="P7" s="142"/>
      <c r="Q7" s="142"/>
    </row>
    <row r="8" spans="1:17" ht="18" customHeight="1" thickBot="1" x14ac:dyDescent="0.25">
      <c r="A8" s="143" t="s">
        <v>29</v>
      </c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143"/>
      <c r="N8" s="143"/>
      <c r="O8" s="143"/>
      <c r="P8" s="143"/>
      <c r="Q8" s="143"/>
    </row>
    <row r="9" spans="1:17" ht="18" customHeight="1" x14ac:dyDescent="0.2">
      <c r="A9" s="136" t="s">
        <v>30</v>
      </c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"/>
      <c r="P9" s="1"/>
      <c r="Q9" s="7"/>
    </row>
    <row r="10" spans="1:17" ht="54.75" customHeight="1" x14ac:dyDescent="0.2">
      <c r="A10" s="137" t="s">
        <v>81</v>
      </c>
      <c r="B10" s="137"/>
      <c r="C10" s="137"/>
      <c r="D10" s="137"/>
      <c r="E10" s="137"/>
      <c r="F10" s="137"/>
      <c r="G10" s="137"/>
      <c r="H10" s="137"/>
      <c r="I10" s="137"/>
      <c r="J10" s="137"/>
      <c r="K10" s="137"/>
      <c r="L10" s="137"/>
      <c r="M10" s="137"/>
      <c r="N10" s="137"/>
      <c r="O10" s="137"/>
      <c r="P10" s="137"/>
      <c r="Q10" s="137"/>
    </row>
    <row r="11" spans="1:17" ht="9" customHeight="1" thickBot="1" x14ac:dyDescent="0.25">
      <c r="A11" s="8"/>
      <c r="B11" s="9"/>
      <c r="C11" s="9"/>
      <c r="D11" s="9"/>
      <c r="E11" s="9"/>
      <c r="F11" s="9"/>
      <c r="G11" s="10"/>
      <c r="H11" s="9"/>
      <c r="I11" s="9"/>
      <c r="J11" s="9"/>
      <c r="K11" s="9"/>
      <c r="L11" s="9"/>
      <c r="M11" s="9"/>
      <c r="N11" s="9"/>
      <c r="O11" s="9"/>
      <c r="P11" s="9"/>
      <c r="Q11" s="11"/>
    </row>
    <row r="12" spans="1:17" ht="15.75" customHeight="1" thickBot="1" x14ac:dyDescent="0.25">
      <c r="A12" s="138" t="s">
        <v>31</v>
      </c>
      <c r="B12" s="138"/>
      <c r="C12" s="138"/>
      <c r="D12" s="138"/>
      <c r="E12" s="138"/>
      <c r="F12" s="138"/>
      <c r="G12" s="138"/>
      <c r="H12" s="138"/>
      <c r="I12" s="138"/>
      <c r="J12" s="138"/>
      <c r="K12" s="138"/>
      <c r="L12" s="138"/>
      <c r="M12" s="138"/>
      <c r="N12" s="138"/>
      <c r="O12" s="138"/>
      <c r="P12" s="138"/>
      <c r="Q12" s="138"/>
    </row>
    <row r="13" spans="1:17" ht="15.75" customHeight="1" thickBot="1" x14ac:dyDescent="0.25">
      <c r="A13" s="148" t="s">
        <v>32</v>
      </c>
      <c r="B13" s="148"/>
      <c r="C13" s="148"/>
      <c r="D13" s="148"/>
      <c r="E13" s="148"/>
      <c r="F13" s="148"/>
      <c r="G13" s="148"/>
      <c r="H13" s="148"/>
      <c r="I13" s="148"/>
      <c r="J13" s="148"/>
      <c r="K13" s="148"/>
      <c r="L13" s="148"/>
      <c r="M13" s="148"/>
      <c r="N13" s="148"/>
      <c r="O13" s="149" t="s">
        <v>33</v>
      </c>
      <c r="P13" s="149"/>
      <c r="Q13" s="150" t="s">
        <v>34</v>
      </c>
    </row>
    <row r="14" spans="1:17" ht="15.75" customHeight="1" thickBot="1" x14ac:dyDescent="0.25">
      <c r="A14" s="12" t="s">
        <v>35</v>
      </c>
      <c r="B14" s="13" t="s">
        <v>36</v>
      </c>
      <c r="C14" s="13" t="s">
        <v>37</v>
      </c>
      <c r="D14" s="13" t="s">
        <v>38</v>
      </c>
      <c r="E14" s="13" t="s">
        <v>39</v>
      </c>
      <c r="F14" s="13" t="s">
        <v>40</v>
      </c>
      <c r="G14" s="14" t="s">
        <v>41</v>
      </c>
      <c r="H14" s="13" t="s">
        <v>42</v>
      </c>
      <c r="I14" s="13" t="s">
        <v>43</v>
      </c>
      <c r="J14" s="13" t="s">
        <v>44</v>
      </c>
      <c r="K14" s="13" t="s">
        <v>44</v>
      </c>
      <c r="L14" s="13" t="s">
        <v>45</v>
      </c>
      <c r="M14" s="15" t="s">
        <v>46</v>
      </c>
      <c r="N14" s="16" t="s">
        <v>47</v>
      </c>
      <c r="O14" s="149"/>
      <c r="P14" s="149"/>
      <c r="Q14" s="150"/>
    </row>
    <row r="15" spans="1:17" ht="27" customHeight="1" x14ac:dyDescent="0.2">
      <c r="A15" s="24">
        <v>42</v>
      </c>
      <c r="B15" s="25"/>
      <c r="C15" s="25"/>
      <c r="D15" s="25">
        <v>2</v>
      </c>
      <c r="E15" s="25"/>
      <c r="F15" s="25">
        <v>4901</v>
      </c>
      <c r="G15" s="25">
        <v>3</v>
      </c>
      <c r="H15" s="25">
        <v>1</v>
      </c>
      <c r="I15" s="25">
        <v>2</v>
      </c>
      <c r="J15" s="25">
        <v>5</v>
      </c>
      <c r="K15" s="25">
        <v>2</v>
      </c>
      <c r="L15" s="25"/>
      <c r="M15" s="26">
        <v>1</v>
      </c>
      <c r="N15" s="25" t="s">
        <v>48</v>
      </c>
      <c r="O15" s="157" t="s">
        <v>51</v>
      </c>
      <c r="P15" s="158"/>
      <c r="Q15" s="31">
        <v>97020</v>
      </c>
    </row>
    <row r="16" spans="1:17" ht="27" customHeight="1" x14ac:dyDescent="0.2">
      <c r="A16" s="24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6"/>
      <c r="N16" s="25"/>
      <c r="O16" s="167"/>
      <c r="P16" s="168"/>
      <c r="Q16" s="31"/>
    </row>
    <row r="17" spans="1:17" ht="27" customHeight="1" x14ac:dyDescent="0.2">
      <c r="A17" s="24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6"/>
      <c r="N17" s="25"/>
      <c r="O17" s="167"/>
      <c r="P17" s="168"/>
      <c r="Q17" s="31"/>
    </row>
    <row r="18" spans="1:17" ht="28.5" customHeight="1" x14ac:dyDescent="0.2">
      <c r="A18" s="22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20"/>
      <c r="O18" s="159"/>
      <c r="P18" s="160"/>
      <c r="Q18" s="21"/>
    </row>
    <row r="19" spans="1:17" ht="28.5" customHeight="1" x14ac:dyDescent="0.2">
      <c r="A19" s="27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9"/>
      <c r="O19" s="161"/>
      <c r="P19" s="162"/>
      <c r="Q19" s="30"/>
    </row>
    <row r="20" spans="1:17" ht="28.5" customHeight="1" x14ac:dyDescent="0.2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23"/>
      <c r="O20" s="151"/>
      <c r="P20" s="152"/>
      <c r="Q20" s="31"/>
    </row>
    <row r="21" spans="1:17" ht="31.5" customHeight="1" thickBot="1" x14ac:dyDescent="0.25">
      <c r="A21" s="154" t="s">
        <v>83</v>
      </c>
      <c r="B21" s="154"/>
      <c r="C21" s="154"/>
      <c r="D21" s="154"/>
      <c r="E21" s="154"/>
      <c r="F21" s="154"/>
      <c r="G21" s="154"/>
      <c r="H21" s="154"/>
      <c r="I21" s="154"/>
      <c r="J21" s="154"/>
      <c r="K21" s="154"/>
      <c r="L21" s="154"/>
      <c r="M21" s="154"/>
      <c r="N21" s="154"/>
      <c r="O21" s="154"/>
      <c r="P21" s="154"/>
      <c r="Q21" s="17">
        <f>SUM(Q15:Q19)</f>
        <v>97020</v>
      </c>
    </row>
    <row r="22" spans="1:17" ht="18" customHeight="1" thickBot="1" x14ac:dyDescent="0.25">
      <c r="A22" s="155"/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</row>
    <row r="23" spans="1:17" ht="17.25" customHeight="1" thickBot="1" x14ac:dyDescent="0.25">
      <c r="A23" s="163" t="s">
        <v>49</v>
      </c>
      <c r="B23" s="164"/>
      <c r="C23" s="164"/>
      <c r="D23" s="164"/>
      <c r="E23" s="164"/>
      <c r="F23" s="165"/>
      <c r="G23" s="166"/>
      <c r="H23" s="166"/>
      <c r="I23" s="166"/>
      <c r="J23" s="166"/>
      <c r="K23" s="166"/>
      <c r="L23" s="166"/>
      <c r="M23" s="166"/>
      <c r="N23" s="166"/>
      <c r="O23" s="166"/>
      <c r="P23" s="166"/>
      <c r="Q23" s="166"/>
    </row>
    <row r="24" spans="1:17" ht="18" customHeight="1" thickBot="1" x14ac:dyDescent="0.25">
      <c r="A24" s="153" t="s">
        <v>72</v>
      </c>
      <c r="B24" s="153"/>
      <c r="C24" s="153"/>
      <c r="D24" s="153"/>
      <c r="E24" s="153"/>
      <c r="F24" s="153"/>
      <c r="G24" s="153"/>
      <c r="H24" s="153"/>
      <c r="I24" s="153"/>
      <c r="J24" s="153"/>
      <c r="K24" s="153"/>
      <c r="L24" s="153"/>
      <c r="M24" s="153"/>
      <c r="N24" s="153"/>
      <c r="O24" s="153"/>
      <c r="P24" s="153"/>
      <c r="Q24" s="153"/>
    </row>
    <row r="25" spans="1:17" ht="26.25" customHeight="1" thickBot="1" x14ac:dyDescent="0.25">
      <c r="A25" s="153"/>
      <c r="B25" s="153"/>
      <c r="C25" s="153"/>
      <c r="D25" s="153"/>
      <c r="E25" s="153"/>
      <c r="F25" s="153"/>
      <c r="G25" s="153"/>
      <c r="H25" s="153"/>
      <c r="I25" s="153"/>
      <c r="J25" s="153"/>
      <c r="K25" s="153"/>
      <c r="L25" s="153"/>
      <c r="M25" s="153"/>
      <c r="N25" s="153"/>
      <c r="O25" s="153"/>
      <c r="P25" s="153"/>
      <c r="Q25" s="153"/>
    </row>
  </sheetData>
  <mergeCells count="29">
    <mergeCell ref="A13:N13"/>
    <mergeCell ref="O13:P14"/>
    <mergeCell ref="Q13:Q14"/>
    <mergeCell ref="O20:P20"/>
    <mergeCell ref="A24:Q25"/>
    <mergeCell ref="A21:P21"/>
    <mergeCell ref="A22:Q22"/>
    <mergeCell ref="O15:P15"/>
    <mergeCell ref="O18:P18"/>
    <mergeCell ref="O19:P19"/>
    <mergeCell ref="A23:F23"/>
    <mergeCell ref="G23:Q23"/>
    <mergeCell ref="O16:P16"/>
    <mergeCell ref="O17:P17"/>
    <mergeCell ref="A1:C1"/>
    <mergeCell ref="D1:E1"/>
    <mergeCell ref="P1:Q2"/>
    <mergeCell ref="A4:F4"/>
    <mergeCell ref="G4:Q4"/>
    <mergeCell ref="A9:N9"/>
    <mergeCell ref="A10:Q10"/>
    <mergeCell ref="A12:Q12"/>
    <mergeCell ref="A5:F5"/>
    <mergeCell ref="G5:Q5"/>
    <mergeCell ref="A8:Q8"/>
    <mergeCell ref="A6:F6"/>
    <mergeCell ref="G6:Q6"/>
    <mergeCell ref="A7:F7"/>
    <mergeCell ref="G7:Q7"/>
  </mergeCells>
  <phoneticPr fontId="40" type="noConversion"/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</dc:creator>
  <cp:lastModifiedBy>COMPRAS</cp:lastModifiedBy>
  <cp:revision>2</cp:revision>
  <cp:lastPrinted>2021-02-26T14:25:47Z</cp:lastPrinted>
  <dcterms:created xsi:type="dcterms:W3CDTF">2020-07-17T23:44:49Z</dcterms:created>
  <dcterms:modified xsi:type="dcterms:W3CDTF">2021-08-12T16:46:49Z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