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35785950-3F98-4415-A282-6D49DEBC7A8A}" xr6:coauthVersionLast="47" xr6:coauthVersionMax="47" xr10:uidLastSave="{00000000-0000-0000-0000-000000000000}"/>
  <bookViews>
    <workbookView xWindow="-120" yWindow="-120" windowWidth="29040" windowHeight="15840" tabRatio="500" xr2:uid="{00000000-000D-0000-FFFF-FFFF00000000}"/>
  </bookViews>
  <sheets>
    <sheet name="Necesidades Trimestrales (2)" sheetId="4" r:id="rId1"/>
    <sheet name=" NotaPedido" sheetId="2" r:id="rId2"/>
    <sheet name="Autor Gastar" sheetId="3" r:id="rId3"/>
    <sheet name="Nota de Pedido" sheetId="5" r:id="rId4"/>
    <sheet name="Autor Gastar " sheetId="8" r:id="rId5"/>
  </sheets>
  <definedNames>
    <definedName name="_xlnm.Print_Area" localSheetId="1">' NotaPedido'!$A$1:$K$31</definedName>
    <definedName name="_xlnm.Print_Area" localSheetId="2">'Autor Gastar'!$A$1:$Q$29</definedName>
    <definedName name="_xlnm.Print_Area" localSheetId="4">'Autor Gastar '!$A$1:$Q$27</definedName>
    <definedName name="_xlnm.Print_Area" localSheetId="0">'Necesidades Trimestrales (2)'!$A$1:$L$37</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Q20" i="8" l="1"/>
  <c r="R22" i="2" l="1"/>
  <c r="P18" i="2"/>
  <c r="J19" i="5"/>
  <c r="K20" i="2"/>
  <c r="K21" i="2"/>
  <c r="K22" i="2"/>
  <c r="K23" i="2"/>
  <c r="P23" i="2" s="1"/>
  <c r="K24" i="2"/>
  <c r="K25" i="2"/>
  <c r="K26" i="2"/>
  <c r="K19" i="2"/>
  <c r="J30" i="2"/>
  <c r="P30" i="2" s="1"/>
  <c r="J20" i="2"/>
  <c r="J21" i="2"/>
  <c r="J22" i="2"/>
  <c r="J23" i="2"/>
  <c r="J24" i="2"/>
  <c r="J25" i="2"/>
  <c r="J26" i="2"/>
  <c r="J27" i="2"/>
  <c r="P27" i="2" s="1"/>
  <c r="J28" i="2"/>
  <c r="P28" i="2" s="1"/>
  <c r="J29" i="2"/>
  <c r="P29" i="2" s="1"/>
  <c r="J19" i="2"/>
  <c r="C30" i="2"/>
  <c r="C20" i="2"/>
  <c r="C21" i="2"/>
  <c r="C22" i="2"/>
  <c r="C23" i="2"/>
  <c r="C24" i="2"/>
  <c r="C25" i="2"/>
  <c r="C26" i="2"/>
  <c r="C27" i="2"/>
  <c r="C28" i="2"/>
  <c r="C29" i="2"/>
  <c r="C19" i="2"/>
  <c r="B30" i="2"/>
  <c r="B29" i="2"/>
  <c r="B28" i="2"/>
  <c r="B27" i="2"/>
  <c r="B20" i="2"/>
  <c r="B21" i="2"/>
  <c r="B22" i="2"/>
  <c r="B23" i="2"/>
  <c r="B24" i="2"/>
  <c r="B25" i="2"/>
  <c r="B26" i="2"/>
  <c r="B19" i="2"/>
  <c r="I34" i="4"/>
  <c r="D34" i="4"/>
  <c r="I33" i="4"/>
  <c r="D33" i="4"/>
  <c r="I32" i="4"/>
  <c r="D32" i="4"/>
  <c r="I31" i="4"/>
  <c r="D31" i="4"/>
  <c r="I30" i="4"/>
  <c r="D30" i="4"/>
  <c r="I29" i="4"/>
  <c r="D29" i="4"/>
  <c r="I28" i="4"/>
  <c r="D28" i="4"/>
  <c r="I27" i="4"/>
  <c r="D27" i="4"/>
  <c r="I26" i="4"/>
  <c r="D26" i="4"/>
  <c r="I25" i="4"/>
  <c r="D25" i="4"/>
  <c r="I24" i="4"/>
  <c r="L14" i="4" s="1"/>
  <c r="D24" i="4"/>
  <c r="I23" i="4"/>
  <c r="L13" i="4" s="1"/>
  <c r="D23" i="4"/>
  <c r="I22" i="4"/>
  <c r="D22" i="4"/>
  <c r="I21" i="4"/>
  <c r="D21" i="4"/>
  <c r="I35" i="4" l="1"/>
  <c r="P20" i="2"/>
  <c r="P22" i="2"/>
  <c r="R24" i="2" s="1"/>
  <c r="P21" i="2"/>
  <c r="R25" i="2" s="1"/>
  <c r="P26" i="2"/>
  <c r="P19" i="2"/>
  <c r="P25" i="2"/>
  <c r="P24" i="2"/>
  <c r="J17" i="2"/>
  <c r="P17" i="2" s="1"/>
  <c r="I15" i="4"/>
  <c r="D15" i="4"/>
  <c r="J13" i="2" l="1"/>
  <c r="P13" i="2" s="1"/>
  <c r="J14" i="2"/>
  <c r="P14" i="2" s="1"/>
  <c r="J15" i="2"/>
  <c r="P15" i="2" s="1"/>
  <c r="J16" i="2"/>
  <c r="P16" i="2" s="1"/>
  <c r="J12" i="2"/>
  <c r="J31" i="2" l="1"/>
  <c r="P12" i="2"/>
  <c r="R23" i="2" s="1"/>
  <c r="R26" i="2" s="1"/>
  <c r="N18" i="4"/>
  <c r="G7" i="8"/>
  <c r="G5" i="8"/>
  <c r="G4" i="8"/>
  <c r="I10" i="4" l="1"/>
  <c r="L11" i="4" s="1"/>
  <c r="I11" i="4"/>
  <c r="I12" i="4"/>
  <c r="I13" i="4"/>
  <c r="I14" i="4"/>
  <c r="D10" i="4"/>
  <c r="D11" i="4"/>
  <c r="D12" i="4"/>
  <c r="D13" i="4"/>
  <c r="D14" i="4"/>
  <c r="L15" i="4" l="1"/>
  <c r="I16" i="4"/>
  <c r="I18" i="4"/>
  <c r="L12" i="4" s="1"/>
  <c r="D18" i="4"/>
  <c r="I37" i="4" l="1"/>
  <c r="I19" i="4"/>
  <c r="Q22" i="3" l="1"/>
  <c r="G4" i="3" l="1"/>
  <c r="G6" i="3" l="1"/>
  <c r="G7" i="3"/>
  <c r="G5" i="3"/>
  <c r="A10" i="3" l="1"/>
</calcChain>
</file>

<file path=xl/sharedStrings.xml><?xml version="1.0" encoding="utf-8"?>
<sst xmlns="http://schemas.openxmlformats.org/spreadsheetml/2006/main" count="553" uniqueCount="168">
  <si>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</si>
  <si>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</si>
  <si>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</si>
  <si>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</si>
  <si>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</si>
  <si>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</si>
  <si>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</si>
  <si>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</si>
  <si>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</si>
  <si>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</si>
  <si>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</si>
  <si>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</si>
  <si>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</si>
  <si>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</si>
  <si>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</si>
  <si>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</si>
  <si>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</si>
  <si>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</si>
  <si>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</si>
  <si>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</si>
  <si>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</si>
  <si>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</si>
  <si>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</si>
  <si>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</si>
  <si>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</si>
  <si>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</si>
  <si>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</si>
  <si>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</si>
  <si>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</si>
  <si>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</si>
  <si>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</si>
  <si>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</si>
  <si>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</si>
  <si>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</si>
  <si>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</si>
  <si>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</si>
  <si>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</si>
  <si>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</si>
  <si>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</si>
  <si>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</si>
  <si>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</si>
  <si>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</si>
  <si>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</si>
  <si>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</si>
  <si>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</si>
  <si>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</si>
  <si>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</si>
  <si>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</si>
  <si>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</si>
  <si>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</si>
  <si>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</si>
  <si>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</si>
  <si>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</si>
  <si>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</si>
  <si>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</si>
  <si>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</si>
  <si>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</si>
  <si>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</si>
  <si>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</si>
  <si>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</si>
  <si>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</si>
  <si>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</si>
  <si>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Equipo Educacional y Recreativo</t>
  </si>
  <si>
    <t>4.3.5-9163.90</t>
  </si>
  <si>
    <t>DIRECCION PROVINCIAL DE GESTION ADMINISTRATIVA RECURSOS HUMANOS</t>
  </si>
  <si>
    <t>Especificidades Item N° 3:</t>
  </si>
  <si>
    <t>Especificidades Item N° 4:</t>
  </si>
  <si>
    <t>Especificidades Item N° 5:</t>
  </si>
  <si>
    <t>Especificidades Item N° 6:</t>
  </si>
  <si>
    <t>Especificidades Item N° 7:</t>
  </si>
  <si>
    <t>Garantía del fabricante minima de un (1) año.</t>
  </si>
  <si>
    <t>Garantía del fabricante minima de de un (1) año.</t>
  </si>
  <si>
    <t>4.3.5-9163.80</t>
  </si>
  <si>
    <t>EQUIPOS DIDACTICOS TECNICOS; NOMBRE: LENTES, TIPO: REALIDAD VIRTUAL</t>
  </si>
  <si>
    <t>EQUIPOS DIDACTICOS TECNICOS; NOMBRE: KIT EXPERIMENTAL , TIPO: SEGÚN PLIEGO</t>
  </si>
  <si>
    <t>4.3.5-9138.2</t>
  </si>
  <si>
    <t>PIZARRAS INTERACTIVAS; DIMENSION: 170 X 120 X 12 Cm, SOFTWARE: SMART BOARD, RESOLUCION: 6000 X 6000</t>
  </si>
  <si>
    <t>TRANSPORTE Y DEPOSITO</t>
  </si>
  <si>
    <t>4.3.2-8803.25</t>
  </si>
  <si>
    <t>AERONAVES; TIPO: NO TRIPULADA, ENVERGADURA: 80 Cm, POTENCIA: SIN, VELOCIDAD MAXIMA: 50 Km/h</t>
  </si>
  <si>
    <t>4.3.5-9163.64</t>
  </si>
  <si>
    <t>EQUIPOS DIDACTICOS TECNICOS; NOMBRE: SISTEMA DE SONIDO, TIPO: ESTEREO</t>
  </si>
  <si>
    <t xml:space="preserve"> SECRETARIA DE INNOVACION TECNOLOGICA</t>
  </si>
  <si>
    <t>Equipo de Transporte, Tracción y Elevación</t>
  </si>
  <si>
    <t>Lentes ajustables OLED de 1.600 x 1.400 píxeles.  Debe contar con sensores externos de movimiento. Tasa de refresco de 60Hz. Dimensiones  Aproximadas: 190x105x115mm. Peso: 468 gramos. Sonido integrado en correas de ajuste.  Conexiones: micro-USB y minijack para auriculares externos. Sistema operativo basado en Android. Bluetooth integrado.</t>
  </si>
  <si>
    <t>Súper Kit de la robótica educativa.
•	800 componentes estructurales y de movimiento.
•	4 motores inteligentes, 7 sensores (2 de contacto, 1 de distancia, 1 giroscopio, 1 de color, 2 touch LED).
•	1 cerebro del robot, control remoto y baterías incluidas.
•	Caja contenedora y bandeja de almacenamiento incluidas para el almacenamiento organizado de todas las piezas.</t>
  </si>
  <si>
    <t>Kit áulico + competencia
•	Kit de robot Clawbot con 4 motores.
•	Paquete de sistema VEXnet.
•	Motor adicional de 2 hilos 393.
•	Batería de robot NiMH 3000mAh.
•	Baterías de control remoto (joystick) y cargadores.</t>
  </si>
  <si>
    <t>1) 1 Núcleo basado en Arduino Nano con Pantalla incorporada al núcleo. 2) 8 puertos de entrada / salida con conectores RJ11. 3) Conexión vía: USB / Bluetooth / Infrarrojo. 4) 17 sensores, actuadores y motores. 5) 2 motorreductores. 6) 1 motor  7) 1 LED bicolor. 8) 1 Sensor pulsador.  9) 1 Servomotor. 10) 1 Sensor ultrasónico. 11) 2 Sensores de velocidad encoder. 12) 1 Sensor de gas.  13) 1 Sensor de luz.  14) 1 Sensor de humedad del suelo.  15) 1 Sensor barrera infrarroja.  16) 1 Sensor de temperatura y humedad.  17) 1 Sensor de sonido. ○ 2 Sensores seguidores de lineas.  18) 485 Bloques, engranajes y accesorios.  19) 2 Pilas recargables tipo 18650 incluidas. 20) Carga por puerto microUSB estándar.  21) Cargador 220v. incluido. 22)- Software de Programación. 23)- APP para celulares y tablets</t>
  </si>
  <si>
    <t>Equipo de sonido completo con: *2 BAFLES 4757 BOCINA Y BALA. *1 CONSOLA 12 CANALES MOON MC 12. *1 POTENCIA MOON PM 600. *1 AURICULAR. *2 MICRÓFONOS.* CABLES PARA SU CONEXIÓN.</t>
  </si>
  <si>
    <t xml:space="preserve">Drones Profesional, Resolución máxima de la cámara 4K.  Tiempo máximo de vuelo 31 m. Cantidad de baterías 3.  </t>
  </si>
  <si>
    <t>Pizarras interactivas multitáctil 78”. Lápiz telescópico incluido. Método de Entrada Sistema de sensor de imagen por infrarrojos. Interfaz al ordenador USB 1.1, USB 2.1. Especificaciones de operatividad +5 - +35°C, 20-80% de humedad sin conden. Cable USB (5.0 m), Software StarBoard v.9.41 o posterior, guía de inicio rápido para hardware y software, brazos para montaje en pared, lápiz telescópico.</t>
  </si>
  <si>
    <t>EQUIPO</t>
  </si>
  <si>
    <t>Costo total estimado:EQUIPOS</t>
  </si>
  <si>
    <t>Costo total estimado: TRANSPORTE Y DEPOSITO</t>
  </si>
  <si>
    <t xml:space="preserve"> SECRETARIA DE CIENCIA Y TECNOLOGIA</t>
  </si>
  <si>
    <t xml:space="preserve">ADQUISICIÓN DE  DIVERSOS EQUIPOS DESTINADO  A LA SECRETARIA SECRETARIA DE CIENCIA Y TECNOLOGIA DEPENDIENTE DEL MINISTERIO DE CIENCIA E INNOVACIÓN TECNOLOGICA.- </t>
  </si>
  <si>
    <t>4.3.5-8922.8</t>
  </si>
  <si>
    <t>ARTICULOS DEL HOGAR</t>
  </si>
  <si>
    <t xml:space="preserve">JUEGOS DE SALON; TIPO: CONSOLA DE VIDEOJUEGOS </t>
  </si>
  <si>
    <t>EQUIPOS</t>
  </si>
  <si>
    <t xml:space="preserve">EQUIPOS DIDACTICOS TECNICOS; NOMBRE: SISTEMA DE SONIDO, TIPO: ESTEREO  </t>
  </si>
  <si>
    <t>4.3.7-46.128</t>
  </si>
  <si>
    <t>EQUIPO DE OFICINA Y MUEBLES</t>
  </si>
  <si>
    <t xml:space="preserve">SILLONES EJECUTIVOS; TAPIZADO: ECOCUERO, ALTURA: REGULABLE, GIRATORIO: SI, MATERIAL: ACERO Y PLASTICO </t>
  </si>
  <si>
    <t>4.3.6-9707.20</t>
  </si>
  <si>
    <t xml:space="preserve">IMPRESORA 3D; TIPO: FDM, DIMENSION: 220 X 220 X 260 MM, RESOLUCION: SEGÚN PLIEGO, PRECISION: SEGÚN PLIEGO, ESPESOR CAPA: SEGÚN PLIEGO </t>
  </si>
  <si>
    <t>4.3.7-45.517</t>
  </si>
  <si>
    <t>SILLAS; MATERIAL ESTRUCTURA: METAL, TAPIZADO: SIN, ALTURA: 77 Cm, GIRATORIA: NO</t>
  </si>
  <si>
    <t>4.3.7-1362.52</t>
  </si>
  <si>
    <t xml:space="preserve">MESAS CURVAS; CURVA: CIRCULAR, DIMENSION: DIAMETRO 120 Cm, MATERIAL: METAL, TERMINACION: FIBRA DE VIDRIO </t>
  </si>
  <si>
    <t>4.3.5-241.105</t>
  </si>
  <si>
    <t>TELEVISORES; PANTALLA: SMART LED FULL HD 60 pulg, NORMA: MULTINORMA, CANTIDAD DE CANALES: INDEFINIDO, APAGADO: CON, VISION MULTICANAL: CON</t>
  </si>
  <si>
    <t>4.3.7-56.26</t>
  </si>
  <si>
    <t>MESAS P/TELEVISORES; MATERIAL: AGLOMERADO, TAMAÑO: 110 X 110 X 60 Cm, PATAS: CON RUEDAS, ESTANTE: 2</t>
  </si>
  <si>
    <t xml:space="preserve">EQUIPOS DIDACTICOS TECNICOS; NOMBRE: KIT EXPERIMENTAL , TIPO: SEGÚN PLIEGO   </t>
  </si>
  <si>
    <t>4.3.5-9163.76</t>
  </si>
  <si>
    <t xml:space="preserve">EQUIPOS DIDACTICOS TECNICOS; NOMBRE: ROBOT DIDACTICO, TIPO: 4 EJES   </t>
  </si>
  <si>
    <t xml:space="preserve">EQUIPOS DIDACTICOS TECNICOS; NOMBRE: KIT EXPERIMENTAL , TIPO: SEGÚN PLIEGO  </t>
  </si>
  <si>
    <t>Costo total estimado: PROYECTO LABORATORIO DE ROBOTICA</t>
  </si>
  <si>
    <t>Consola tipo Microsoft Xbox Series X 1TB Standard</t>
  </si>
  <si>
    <t>Mantenimiento</t>
  </si>
  <si>
    <t>mínima de Un (1) año</t>
  </si>
  <si>
    <t>Asistente virtual tipo alexa pantalla Parlante  inteligente integrada de 2,5" black</t>
  </si>
  <si>
    <t>Sillon de escritorio Tipo  Ideon Extreme Hunter Pro gamer ergonómica negra y azul con tapizado de cuero sintético</t>
  </si>
  <si>
    <t>Impresora 3 d  tipo Creality Ender 3 V2. Tecnología de Impresión 3D: FDM. Cantidad de extrusores: 2. Apta para filamentos ABS, PLA y Nylon. Largo de la zona de impresión: 220mm. Ancho de la zona de impresión: 220mm. Altura de la zona de impresión: 260mm. Resolución mínima y máxima de la capa: 390um – 100um. Temperatura máxima de la cama caliente: 110°C</t>
  </si>
  <si>
    <t>Sillas metalica  con apoya brazos Tipo Master Decototale</t>
  </si>
  <si>
    <t>Mesa  redonda 1,2m  de diamentro Tipo Eamer Decototale</t>
  </si>
  <si>
    <t>Smart Tv 60". Resolucion FHD 1920x1080. Entradas HDMI y puertos USB disponibles. Sintonizador digital incorporado con funcion PVR y Timeshift para grabar tus programas favoritos. Wi-fi. Netflix, Youtube y Vewd (ex Opera store).</t>
  </si>
  <si>
    <t>Especificidades Item N° 8</t>
  </si>
  <si>
    <t>Mesa Con Ruedas Auxiliar Armada para Objetos  como Smart Tv Led Audio</t>
  </si>
  <si>
    <t>Especificidades Item N° 9</t>
  </si>
  <si>
    <t xml:space="preserve">El Kit incluye: Arduino UNO SMD con chipset CH340
 20 Cables de Conexion para Protoboard MACHO-HEMBRA 10cm de longitud
 Protoboard de 400 puntos
 18 Diodo LEDS de 5MM DIFUSO ( 6 AMARILLOS, 6 VERDES y 6 ROJOS )
 30 Resistencias de 1/4 WATT ( 10 de 1k, 10 de 10k y 10 de 220 )
 2 Fotorresistores LDR
 6 Pulsadores SWITCH Arduino con protectores
 Adaptador para Bateria de 9v 
</t>
  </si>
  <si>
    <t>Especificidades Item N° 10</t>
  </si>
  <si>
    <t xml:space="preserve">1)- Arduino Uno SMD compatible Chipset de comunicación usb CH340 o FT232R . 2)- Integrado 74HC595N. 3)- Buzzer. 4)- Sensor infrarrojo. 5)- Receptor Sensor Infrarrojo 1838B.
6)- Ball switch. 7)- Juegos de cables macho-macho. 8)- Sensor de temperatura LM35. 9)- Protectores para pulsadores. 10)- Pulsadores. 11)- Modulo Joystick. 12)- Fotoresistores. 13)- Protoboard de 830 puntos. 14)- Control remoto de 21 botones. 15)- Modulo RTC. 16).Motor paso a paso 28BYJ-48. 17)- Cables de protoboard macho-hembra (paquete de 20 unidades, 20cm de longitud por cable). 18)- Modulo Relay rele de 1 canal con entrada TTL. 19)-Cable USB A/B. 20)- Display de 1 digito, 8 segmentos. 21)- Display de 4 digitos, 8 segmentos. 22)- Modulo controlador de motores paso a paso SBT0811. 23)- Matriz led 8x8. 24)- Matriz de pulsadores 4x4. 25)- Juego de resistencias 1K / 10K / 220R. 26)- kit con lector RFID-RC522, llavero, tarjeta y juego de pines. 27)- Adaptador de bateria de 9V a pin de carga. 28)- Modulo sensor microfono KY-037. 29)- Modulo RGB KY-016. 30)- Servo sg90. 31)- Sensor de Nivel de agua. 32)- Display LCD 16*2 fondo azul. 33)- Juego de Leds. 34)- Modulo dht11 de temperatura y humedad.
35)- Potenciometro B10k
</t>
  </si>
  <si>
    <t>Especificidades Item N° 11</t>
  </si>
  <si>
    <t xml:space="preserve"># 1 x 4DOF Robot Kit de brazo
# 4 x Mg90s Servo
# 1 x Joystick botón controlador
# 1x Arduino UNO SMD
# 1x Cable Arduino USB A/B
# 1 x adaptador de corriente USB Cable Plug
# 1 x Fuente alimentacion USB 5v 2a
</t>
  </si>
  <si>
    <t>Especificidades Item N° 12</t>
  </si>
  <si>
    <t>Kit didactico Tipo LEGO® Education SPIKE ™ Prime.  Dispositivo con forma de ladrillo, con 6 puertos de entrada / salida, matriz de luz 5x5, conectividad Bluetooth, un altavoz, un giroscopio de 6 ejes y una batería recargable. Motores y sensores de alta precisión que permiten a los estudiantes diseñar y construir divertidos robots, dispositivos dinámicos y otros modelos interactivos.  Incluye sensores y motores de gran precisión que, junto con una amplia variedad de elementos de construcción LEGO de colores</t>
  </si>
  <si>
    <t>Especificidades Item N° 13</t>
  </si>
  <si>
    <t># 1 Núcleo Rasti basado en Arduino Nano: Pantalla incorporada al núcleo. # 8 puertos de entrada / salida con conectores RJ11. # Conexión vía: USB / Bluetooth / Infrarrojo. # 17 sensores, actuadores y motores: • 2 motoreductores. • 1 motor Rasti. • 1 LED bicolor. • 1 Sensor pulsador. • 1 Servomotor. • 1 Sensor ultrasónico. • 2 Sensores de velocidad encoder. • 1 Sensor de gas. • 1 Sensor de luz. • 1 Sensor de humedad del suelo. • 1 Sensor barrera infrarroja. • 1 Sensor de temperatura y humedad. • 1 Sensor de sonido. • 2 Sensores siguelíneas. #  485 Bloques, engranajes y accesorios Rasti. # 2 Pilas recargables tipo 18650 incluidas. # Carga por puerto microUSB estándar. # Cargador 220v. incluido. #  Software de Programación RastiBlock: Open Source (código abierto), gratuito y libre. Basado en Scratch para programar en bloques.. # APP para celulares y tablets con sistema Android para controlar por ejemplo un vehículo. Mas Valija.</t>
  </si>
  <si>
    <t>Especificidades Item N° 14</t>
  </si>
  <si>
    <t xml:space="preserve"> kit Auto Robot Inteligente 4wd Bluetooth:
# Arduino uno con cable (no original) # Sensor Shield Para Arduino Uno # SR04 sensor ultrasónico # Servomotor SG90 #  Bluetooth HC05 Maestro-Esclavo #  Puente H L298 #  Control Remoto #  Modulo IR #  3 Modulos seguidor de lineas TCRT5000 #  Kit cables Macho-Macho x 20 unidades #  Kit cables para soldar(4 pares de cables negros-rojos) # Chasis acrilico transparente # 4 motores con motoreductor # 4 Ruedas de plastico con goma # 4 Ruedas para encoder # Porta Pilas # Armazon Plastico para montaje de sensor SR04 con servo #kit de tornillos, separadores y tuercas para armado.
</t>
  </si>
  <si>
    <t>Especificidades Item N° 15</t>
  </si>
  <si>
    <t>Especificidades Item N° 16</t>
  </si>
  <si>
    <t>Especificidades Item N° 17</t>
  </si>
  <si>
    <t>Especificidades Item N° 18</t>
  </si>
  <si>
    <t>Especificidades Item N° 19</t>
  </si>
  <si>
    <t>Especificidades Item N° 20</t>
  </si>
  <si>
    <t>Especificidades Item N° 21</t>
  </si>
  <si>
    <t>4° TRIMESTRE 2021</t>
  </si>
  <si>
    <t xml:space="preserve">EQUIPOS DIDACTICOS TECNICOS; NOMBRE: LENTES, TIPO: REALIDAD VIRTUAL  </t>
  </si>
  <si>
    <t xml:space="preserve">PIZARRAS INTERACTIVAS; DIMENSION: 170 X 120 X 12 Cm, SOFTWARE: SMART BOARD, RESOLUCION: 6000 X 6000 </t>
  </si>
  <si>
    <t>Equipos para Computación</t>
  </si>
  <si>
    <t>Equipos de Oficina y Muebles</t>
  </si>
  <si>
    <t>PESOS: DOCE MILLONES CUATROCIENTOS MIL SEISCIENTOS VEINTIUNO CON 21/100.-</t>
  </si>
  <si>
    <t>Costo total estimado:  PESOS DOCE MILLONES CUATROCIENTOS MIL SEISCIENTOS VEINTIUNO CON 21/100.-</t>
  </si>
  <si>
    <t>Costo total estimado:  PESOS CINCO MILLONES CUATROCIENTOS SETENTA Y UN  MIL TRESCIENTOS VEINTIDOS CON 42/100.-</t>
  </si>
  <si>
    <t>PESOS: CINCO MILLONES CUATROCIENTOS SETENTA Y UN  MIL TRESCIENTOS VEINTIDOS CON 42/100.-</t>
  </si>
  <si>
    <t xml:space="preserve">ADQUISICIÓN DE  DIVERSOS EQUIPOS DESTINADO A LA SECRETARIA INNOVACIÓN TECNOLOGICA Y AL LABORATORIO DE ROBOTICA DEPENDIENTE DEL MINISTERIO DE CIENCIA E INNOVACIÓN TECNOLOGICA.- </t>
  </si>
  <si>
    <t xml:space="preserve">ADQUISICIÓN DE DIVERSOS EQUIPOS  DESTINADO A LA SECRETARIA DE CIENCIA Y TECNNOLOGIA  Y AL LABORATORIO DE ROBOTICA DEPENDIENTE DEL MINISTERIO DE CIENCIA E INNOVACIÓN TECNOLOGICA.- </t>
  </si>
  <si>
    <t>047/2021</t>
  </si>
  <si>
    <t>048/2021</t>
  </si>
  <si>
    <t>Autorizo la realización de los  trámites correspondientes, a fin de proveer a  este Organismo los bienes y/o servicios que se detallan en Nota  de Pedido N° 048/2021,  afectando la erogación resultante a los créditos presupuestarios aprobados a favor de esta Unidad Ejecutora, conforme al siguiente detalle:</t>
  </si>
  <si>
    <t xml:space="preserve">AERONAVES; TIPO: NO TRIPULADA, ENVERGADURA: 80 Cm, POTENCIA: SIN, VELOCIDAD MAXIMA: 50 Km/h </t>
  </si>
  <si>
    <t xml:space="preserve">Mantenimiento: </t>
  </si>
  <si>
    <t>Cuarenta y Cinco (45) dias habiles</t>
  </si>
  <si>
    <t>Mantenimiento:</t>
  </si>
  <si>
    <t>El plazo de entrega  no podrá ser superior a los quince (15)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</si>
</sst>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3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Arial"/>
      <family val="2"/>
    </font>
    <font>
      <b/>
      <sz val="11"/>
      <name val="Times New Roman"/>
      <family val="1"/>
    </font>
    <font>
      <b/>
      <sz val="12"/>
      <color rgb="FFFF0000"/>
      <name val="Times New Roman"/>
      <family val="1"/>
    </font>
    <font>
      <sz val="10"/>
      <color rgb="FF333333"/>
      <name val="Arial"/>
      <family val="2"/>
    </font>
    <font>
      <b/>
      <sz val="14"/>
      <color rgb="FF333333"/>
      <name val="Arial"/>
      <family val="2"/>
    </font>
    <font>
      <b/>
      <sz val="9"/>
      <name val="Times New Roman"/>
      <family val="1"/>
      <charset val="1"/>
    </font>
    <font>
      <b/>
      <sz val="8"/>
      <name val="Times New Roman"/>
      <family val="1"/>
      <charset val="1"/>
    </font>
    <font>
      <sz val="11"/>
      <color rgb="FF000000"/>
      <name val="Arial"/>
      <family val="2"/>
    </font>
    <font>
      <u/>
      <sz val="11"/>
      <name val="Arial"/>
      <family val="2"/>
    </font>
    <font>
      <b/>
      <u/>
      <sz val="11"/>
      <name val="Arial"/>
      <family val="2"/>
    </font>
    <font>
      <sz val="10"/>
      <color theme="0"/>
      <name val="Times New Roman"/>
      <family val="1"/>
    </font>
    <font>
      <sz val="11"/>
      <color theme="0"/>
      <name val="Arial"/>
      <family val="2"/>
    </font>
    <font>
      <sz val="10"/>
      <color theme="0"/>
      <name val="Arial"/>
      <family val="2"/>
      <charset val="1"/>
    </font>
  </fonts>
  <fills count="11">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0C0C0"/>
      </patternFill>
    </fill>
    <fill>
      <patternFill patternType="solid">
        <fgColor theme="0" tint="-0.249977111117893"/>
        <bgColor indexed="64"/>
      </patternFill>
    </fill>
    <fill>
      <patternFill patternType="solid">
        <fgColor theme="0" tint="-0.249977111117893"/>
        <bgColor rgb="FFFFFF00"/>
      </patternFill>
    </fill>
    <fill>
      <patternFill patternType="solid">
        <fgColor theme="0" tint="-0.249977111117893"/>
        <bgColor rgb="FFC0C0C0"/>
      </patternFill>
    </fill>
  </fills>
  <borders count="57">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279">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0" xfId="0" applyBorder="1" applyAlignment="1">
      <alignment horizontal="center" vertical="center"/>
    </xf>
    <xf numFmtId="0" fontId="12" fillId="0" borderId="30" xfId="0" applyFont="1" applyBorder="1" applyAlignment="1">
      <alignment horizontal="center" vertical="center"/>
    </xf>
    <xf numFmtId="0" fontId="16" fillId="0" borderId="0" xfId="0" applyFont="1"/>
    <xf numFmtId="0" fontId="6" fillId="4" borderId="11"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1" xfId="0" applyNumberFormat="1" applyFont="1" applyFill="1" applyBorder="1" applyAlignment="1">
      <alignment horizontal="center" vertical="center"/>
    </xf>
    <xf numFmtId="0" fontId="0" fillId="4" borderId="30" xfId="0" applyFont="1" applyFill="1" applyBorder="1" applyAlignment="1">
      <alignment horizontal="center" vertical="center"/>
    </xf>
    <xf numFmtId="166" fontId="0" fillId="0" borderId="30" xfId="3" applyNumberFormat="1" applyFont="1" applyBorder="1" applyAlignment="1" applyProtection="1">
      <alignment horizontal="center" vertical="center"/>
    </xf>
    <xf numFmtId="169" fontId="0" fillId="0" borderId="30" xfId="3" applyNumberFormat="1" applyFont="1" applyBorder="1" applyAlignment="1" applyProtection="1">
      <alignment horizontal="center" vertical="center"/>
    </xf>
    <xf numFmtId="0" fontId="16" fillId="0" borderId="0" xfId="0" applyFont="1" applyAlignment="1">
      <alignment horizontal="center" vertical="center"/>
    </xf>
    <xf numFmtId="0" fontId="16" fillId="0" borderId="0" xfId="0" applyFont="1" applyAlignment="1">
      <alignment horizontal="center"/>
    </xf>
    <xf numFmtId="0" fontId="18" fillId="0" borderId="0" xfId="0" applyFont="1" applyAlignment="1">
      <alignment horizontal="left" vertical="top"/>
    </xf>
    <xf numFmtId="170" fontId="16" fillId="0" borderId="0" xfId="0" applyNumberFormat="1" applyFont="1" applyAlignment="1">
      <alignment horizontal="center"/>
    </xf>
    <xf numFmtId="0" fontId="20" fillId="0" borderId="0" xfId="0" applyFont="1" applyAlignment="1">
      <alignment horizontal="left" wrapText="1"/>
    </xf>
    <xf numFmtId="0" fontId="20" fillId="0" borderId="0" xfId="0" applyFont="1" applyAlignment="1">
      <alignment horizontal="center" wrapText="1"/>
    </xf>
    <xf numFmtId="170" fontId="20" fillId="0" borderId="0" xfId="0" applyNumberFormat="1" applyFont="1" applyAlignment="1">
      <alignment horizontal="center" wrapText="1"/>
    </xf>
    <xf numFmtId="0" fontId="21" fillId="0" borderId="0" xfId="0" applyFont="1"/>
    <xf numFmtId="0" fontId="19" fillId="5" borderId="0" xfId="0" applyFont="1" applyFill="1" applyBorder="1" applyAlignment="1">
      <alignment horizontal="left" wrapText="1"/>
    </xf>
    <xf numFmtId="0" fontId="19" fillId="5" borderId="0" xfId="0" applyFont="1" applyFill="1" applyBorder="1" applyAlignment="1">
      <alignment horizontal="left" vertical="top" wrapText="1"/>
    </xf>
    <xf numFmtId="0" fontId="20" fillId="0" borderId="0" xfId="0" applyFont="1" applyAlignment="1">
      <alignment horizontal="center" vertical="center" wrapText="1"/>
    </xf>
    <xf numFmtId="0" fontId="20" fillId="0" borderId="0" xfId="0" applyFont="1" applyAlignment="1">
      <alignment horizontal="left" vertical="top" wrapText="1"/>
    </xf>
    <xf numFmtId="0" fontId="19" fillId="6" borderId="35" xfId="0" applyFont="1" applyFill="1" applyBorder="1" applyAlignment="1">
      <alignment horizontal="center" vertical="center" wrapText="1"/>
    </xf>
    <xf numFmtId="0" fontId="22" fillId="6" borderId="35" xfId="0" applyFont="1" applyFill="1" applyBorder="1" applyAlignment="1">
      <alignment horizontal="center" vertical="center" wrapText="1"/>
    </xf>
    <xf numFmtId="170" fontId="19" fillId="6" borderId="35" xfId="0" applyNumberFormat="1" applyFont="1" applyFill="1" applyBorder="1" applyAlignment="1">
      <alignment horizontal="center" vertical="center" wrapText="1"/>
    </xf>
    <xf numFmtId="0" fontId="21" fillId="6" borderId="37" xfId="0" applyFont="1" applyFill="1" applyBorder="1" applyAlignment="1">
      <alignment vertical="center" wrapText="1"/>
    </xf>
    <xf numFmtId="0" fontId="23" fillId="6" borderId="38" xfId="0" applyFont="1" applyFill="1" applyBorder="1" applyAlignment="1">
      <alignment horizontal="center" vertical="center" wrapText="1"/>
    </xf>
    <xf numFmtId="0" fontId="21" fillId="6" borderId="39" xfId="0" applyFont="1" applyFill="1" applyBorder="1" applyAlignment="1">
      <alignment vertical="center" wrapText="1"/>
    </xf>
    <xf numFmtId="171" fontId="23" fillId="6" borderId="36" xfId="0" applyNumberFormat="1" applyFont="1" applyFill="1" applyBorder="1"/>
    <xf numFmtId="167" fontId="16" fillId="0" borderId="0" xfId="0" applyNumberFormat="1" applyFont="1" applyAlignment="1">
      <alignment horizontal="center" vertical="center"/>
    </xf>
    <xf numFmtId="0" fontId="21" fillId="0" borderId="0" xfId="0" applyFont="1" applyAlignment="1">
      <alignment horizontal="left" vertical="top"/>
    </xf>
    <xf numFmtId="170" fontId="21" fillId="0" borderId="0" xfId="0" applyNumberFormat="1" applyFont="1" applyAlignment="1">
      <alignment horizontal="center"/>
    </xf>
    <xf numFmtId="171" fontId="21" fillId="0" borderId="0" xfId="0" applyNumberFormat="1" applyFont="1"/>
    <xf numFmtId="0" fontId="18" fillId="0" borderId="37" xfId="0" applyFont="1" applyBorder="1" applyAlignment="1">
      <alignment vertical="center"/>
    </xf>
    <xf numFmtId="0" fontId="18" fillId="0" borderId="37" xfId="0" applyFont="1" applyBorder="1" applyAlignment="1">
      <alignment horizontal="center" vertical="center"/>
    </xf>
    <xf numFmtId="0" fontId="18" fillId="0" borderId="37" xfId="0" applyFont="1" applyBorder="1" applyAlignment="1">
      <alignment horizontal="left" vertical="center"/>
    </xf>
    <xf numFmtId="170" fontId="18" fillId="0" borderId="37" xfId="0" applyNumberFormat="1" applyFont="1" applyBorder="1" applyAlignment="1">
      <alignment horizontal="center" vertical="center"/>
    </xf>
    <xf numFmtId="171" fontId="18" fillId="0" borderId="37" xfId="0" applyNumberFormat="1" applyFont="1" applyBorder="1" applyAlignment="1">
      <alignment vertical="center"/>
    </xf>
    <xf numFmtId="169" fontId="16" fillId="0" borderId="0" xfId="0" applyNumberFormat="1" applyFont="1"/>
    <xf numFmtId="0" fontId="20" fillId="7" borderId="36" xfId="0" applyFont="1" applyFill="1" applyBorder="1" applyAlignment="1">
      <alignment horizontal="center" vertical="center" wrapText="1"/>
    </xf>
    <xf numFmtId="0" fontId="25" fillId="4" borderId="11" xfId="0" applyFont="1" applyFill="1" applyBorder="1" applyAlignment="1">
      <alignment horizontal="center" vertical="center"/>
    </xf>
    <xf numFmtId="0" fontId="21" fillId="6" borderId="37" xfId="0" applyFont="1" applyFill="1" applyBorder="1" applyAlignment="1">
      <alignment horizontal="left" vertical="center" wrapText="1"/>
    </xf>
    <xf numFmtId="0" fontId="20" fillId="7" borderId="36" xfId="0" applyFont="1" applyFill="1" applyBorder="1" applyAlignment="1">
      <alignment horizontal="left" vertical="center" wrapText="1"/>
    </xf>
    <xf numFmtId="0" fontId="21" fillId="0" borderId="0" xfId="0" applyFont="1" applyAlignment="1">
      <alignment horizontal="left"/>
    </xf>
    <xf numFmtId="0" fontId="20" fillId="7" borderId="36" xfId="0" applyFont="1" applyFill="1" applyBorder="1" applyAlignment="1">
      <alignment vertical="center" wrapText="1"/>
    </xf>
    <xf numFmtId="0" fontId="21" fillId="0" borderId="0" xfId="0" applyFont="1" applyAlignment="1">
      <alignment vertical="center"/>
    </xf>
    <xf numFmtId="169" fontId="0" fillId="0" borderId="0" xfId="0" applyNumberFormat="1"/>
    <xf numFmtId="169" fontId="15" fillId="0" borderId="0" xfId="1" applyNumberFormat="1"/>
    <xf numFmtId="169" fontId="15" fillId="0" borderId="0" xfId="1" applyNumberFormat="1" applyBorder="1"/>
    <xf numFmtId="0" fontId="14" fillId="0" borderId="0" xfId="0" applyFont="1" applyFill="1" applyBorder="1" applyAlignment="1">
      <alignment horizontal="center" vertical="center"/>
    </xf>
    <xf numFmtId="169" fontId="0" fillId="0" borderId="0" xfId="0" applyNumberFormat="1" applyBorder="1"/>
    <xf numFmtId="0" fontId="21" fillId="3" borderId="36" xfId="0" applyFont="1" applyFill="1" applyBorder="1" applyAlignment="1">
      <alignment horizontal="center" vertical="center"/>
    </xf>
    <xf numFmtId="0" fontId="26" fillId="7" borderId="36" xfId="0" applyFont="1" applyFill="1" applyBorder="1" applyAlignment="1">
      <alignment horizontal="left" vertical="center" wrapText="1"/>
    </xf>
    <xf numFmtId="170" fontId="20" fillId="7" borderId="36" xfId="0" applyNumberFormat="1" applyFont="1" applyFill="1" applyBorder="1" applyAlignment="1">
      <alignment horizontal="center" vertical="center" wrapText="1"/>
    </xf>
    <xf numFmtId="171" fontId="21" fillId="3" borderId="36" xfId="0" applyNumberFormat="1" applyFont="1" applyFill="1" applyBorder="1" applyAlignment="1">
      <alignment vertical="center"/>
    </xf>
    <xf numFmtId="0" fontId="21" fillId="6" borderId="44" xfId="0" applyFont="1" applyFill="1" applyBorder="1" applyAlignment="1">
      <alignment vertical="center"/>
    </xf>
    <xf numFmtId="169" fontId="20" fillId="7" borderId="36" xfId="0" applyNumberFormat="1" applyFont="1" applyFill="1" applyBorder="1" applyAlignment="1">
      <alignment horizontal="center" vertical="center" wrapText="1"/>
    </xf>
    <xf numFmtId="0" fontId="9" fillId="3" borderId="14" xfId="0" applyFont="1" applyFill="1" applyBorder="1" applyAlignment="1">
      <alignment horizontal="center" vertical="center"/>
    </xf>
    <xf numFmtId="0" fontId="9" fillId="3" borderId="14" xfId="0" applyFont="1" applyFill="1" applyBorder="1" applyAlignment="1">
      <alignment horizontal="left" vertical="center"/>
    </xf>
    <xf numFmtId="0" fontId="4" fillId="3" borderId="20" xfId="0" applyFont="1" applyFill="1" applyBorder="1" applyAlignment="1">
      <alignment horizontal="left" vertical="center" wrapText="1"/>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7" fontId="0" fillId="0" borderId="0" xfId="0" applyNumberFormat="1"/>
    <xf numFmtId="169" fontId="15" fillId="0" borderId="29" xfId="1" applyNumberFormat="1" applyBorder="1"/>
    <xf numFmtId="169" fontId="0" fillId="4" borderId="29" xfId="0" applyNumberFormat="1" applyFont="1" applyFill="1" applyBorder="1" applyAlignment="1">
      <alignment horizontal="center" vertical="center"/>
    </xf>
    <xf numFmtId="0" fontId="20" fillId="7" borderId="38" xfId="0" applyFont="1" applyFill="1" applyBorder="1" applyAlignment="1">
      <alignment horizontal="center" vertical="center" wrapText="1"/>
    </xf>
    <xf numFmtId="171" fontId="21" fillId="3" borderId="0" xfId="0" applyNumberFormat="1" applyFont="1" applyFill="1" applyBorder="1" applyAlignment="1">
      <alignment vertical="center"/>
    </xf>
    <xf numFmtId="0" fontId="21" fillId="4" borderId="36" xfId="0" applyFont="1" applyFill="1" applyBorder="1" applyAlignment="1">
      <alignment horizontal="center" vertical="center"/>
    </xf>
    <xf numFmtId="0" fontId="21" fillId="7" borderId="36" xfId="0" applyFont="1" applyFill="1" applyBorder="1" applyAlignment="1">
      <alignment horizontal="left" vertical="center"/>
    </xf>
    <xf numFmtId="0" fontId="21" fillId="7" borderId="36" xfId="0" applyFont="1" applyFill="1" applyBorder="1" applyAlignment="1">
      <alignment horizontal="center" vertical="center"/>
    </xf>
    <xf numFmtId="0" fontId="21" fillId="7" borderId="36" xfId="0" applyFont="1" applyFill="1" applyBorder="1" applyAlignment="1">
      <alignment horizontal="left" vertical="center" wrapText="1"/>
    </xf>
    <xf numFmtId="0" fontId="21" fillId="0" borderId="36" xfId="0" applyFont="1" applyBorder="1" applyAlignment="1">
      <alignment horizontal="center" vertical="center"/>
    </xf>
    <xf numFmtId="0" fontId="30" fillId="0" borderId="45" xfId="0" applyFont="1" applyBorder="1" applyAlignment="1">
      <alignment horizontal="center" vertical="center"/>
    </xf>
    <xf numFmtId="170" fontId="30" fillId="0" borderId="45" xfId="0" applyNumberFormat="1" applyFont="1" applyBorder="1" applyAlignment="1">
      <alignment horizontal="center" vertical="center"/>
    </xf>
    <xf numFmtId="171" fontId="21" fillId="0" borderId="36" xfId="0" applyNumberFormat="1" applyFont="1" applyBorder="1" applyAlignment="1">
      <alignment vertical="center"/>
    </xf>
    <xf numFmtId="171" fontId="23" fillId="6" borderId="48" xfId="0" applyNumberFormat="1" applyFont="1" applyFill="1" applyBorder="1" applyAlignment="1">
      <alignment vertical="center"/>
    </xf>
    <xf numFmtId="0" fontId="21" fillId="4" borderId="36" xfId="0" applyFont="1" applyFill="1" applyBorder="1" applyAlignment="1">
      <alignment horizontal="left" vertical="center"/>
    </xf>
    <xf numFmtId="0" fontId="31" fillId="0" borderId="52" xfId="0" applyFont="1" applyBorder="1" applyAlignment="1">
      <alignment horizontal="left"/>
    </xf>
    <xf numFmtId="0" fontId="21" fillId="0" borderId="53" xfId="0" applyFont="1" applyBorder="1"/>
    <xf numFmtId="0" fontId="31" fillId="0" borderId="52" xfId="0" applyFont="1" applyBorder="1" applyAlignment="1">
      <alignment horizontal="left" vertical="center"/>
    </xf>
    <xf numFmtId="0" fontId="21" fillId="0" borderId="52" xfId="0" applyFont="1" applyBorder="1" applyAlignment="1">
      <alignment horizontal="left"/>
    </xf>
    <xf numFmtId="0" fontId="21" fillId="5" borderId="0" xfId="0" applyFont="1" applyFill="1"/>
    <xf numFmtId="0" fontId="21" fillId="5" borderId="53" xfId="0" applyFont="1" applyFill="1" applyBorder="1"/>
    <xf numFmtId="0" fontId="21" fillId="5" borderId="0" xfId="0" applyFont="1" applyFill="1" applyAlignment="1">
      <alignment horizontal="center" wrapText="1"/>
    </xf>
    <xf numFmtId="0" fontId="21" fillId="5" borderId="53" xfId="0" applyFont="1" applyFill="1" applyBorder="1" applyAlignment="1">
      <alignment horizontal="center" wrapText="1"/>
    </xf>
    <xf numFmtId="0" fontId="21" fillId="0" borderId="54" xfId="0" applyFont="1" applyBorder="1" applyAlignment="1">
      <alignment horizontal="left"/>
    </xf>
    <xf numFmtId="0" fontId="21" fillId="0" borderId="55" xfId="0" applyFont="1" applyBorder="1"/>
    <xf numFmtId="0" fontId="21" fillId="0" borderId="56" xfId="0" applyFont="1" applyBorder="1"/>
    <xf numFmtId="0" fontId="21" fillId="0" borderId="53" xfId="0" applyFont="1" applyBorder="1" applyAlignment="1">
      <alignment vertical="center"/>
    </xf>
    <xf numFmtId="0" fontId="21" fillId="0" borderId="52" xfId="0" applyFont="1" applyBorder="1" applyAlignment="1">
      <alignment horizontal="left" vertical="center"/>
    </xf>
    <xf numFmtId="0" fontId="21" fillId="5" borderId="0" xfId="0" applyFont="1" applyFill="1" applyAlignment="1">
      <alignment vertical="center"/>
    </xf>
    <xf numFmtId="0" fontId="21" fillId="5" borderId="53" xfId="0" applyFont="1" applyFill="1" applyBorder="1" applyAlignment="1">
      <alignment vertical="center"/>
    </xf>
    <xf numFmtId="0" fontId="21" fillId="5" borderId="0" xfId="0" applyFont="1" applyFill="1" applyAlignment="1">
      <alignment horizontal="center" vertical="center" wrapText="1"/>
    </xf>
    <xf numFmtId="0" fontId="21" fillId="5" borderId="53" xfId="0" applyFont="1" applyFill="1" applyBorder="1" applyAlignment="1">
      <alignment horizontal="center" vertical="center" wrapText="1"/>
    </xf>
    <xf numFmtId="0" fontId="21" fillId="0" borderId="54" xfId="0" applyFont="1" applyBorder="1" applyAlignment="1">
      <alignment horizontal="left" vertical="center"/>
    </xf>
    <xf numFmtId="0" fontId="21" fillId="0" borderId="55" xfId="0" applyFont="1" applyBorder="1" applyAlignment="1">
      <alignment vertical="center"/>
    </xf>
    <xf numFmtId="0" fontId="21" fillId="0" borderId="56" xfId="0" applyFont="1" applyBorder="1" applyAlignment="1">
      <alignment vertical="center"/>
    </xf>
    <xf numFmtId="0" fontId="31" fillId="0" borderId="5" xfId="0" applyFont="1" applyBorder="1" applyAlignment="1">
      <alignment horizontal="left" vertical="center"/>
    </xf>
    <xf numFmtId="0" fontId="21" fillId="0" borderId="0" xfId="0" applyFont="1" applyBorder="1" applyAlignment="1">
      <alignment vertical="center"/>
    </xf>
    <xf numFmtId="0" fontId="21" fillId="0" borderId="6" xfId="0" applyFont="1" applyBorder="1" applyAlignment="1">
      <alignment vertical="center"/>
    </xf>
    <xf numFmtId="0" fontId="21" fillId="0" borderId="5" xfId="0" applyFont="1" applyBorder="1" applyAlignment="1">
      <alignment horizontal="left" vertical="center"/>
    </xf>
    <xf numFmtId="0" fontId="21" fillId="0" borderId="7" xfId="0" applyFont="1" applyBorder="1" applyAlignment="1">
      <alignment horizontal="left" vertical="center"/>
    </xf>
    <xf numFmtId="0" fontId="21" fillId="0" borderId="8" xfId="0" applyFont="1" applyBorder="1" applyAlignment="1">
      <alignment vertical="center"/>
    </xf>
    <xf numFmtId="0" fontId="21" fillId="0" borderId="9" xfId="0" applyFont="1" applyBorder="1" applyAlignment="1">
      <alignment vertical="center"/>
    </xf>
    <xf numFmtId="0" fontId="21" fillId="0" borderId="7" xfId="0" applyFont="1" applyBorder="1" applyAlignment="1">
      <alignment horizontal="left" indent="3"/>
    </xf>
    <xf numFmtId="0" fontId="21" fillId="0" borderId="8" xfId="0" applyFont="1" applyBorder="1"/>
    <xf numFmtId="0" fontId="21" fillId="0" borderId="9" xfId="0" applyFont="1" applyBorder="1"/>
    <xf numFmtId="0" fontId="31" fillId="0" borderId="5" xfId="0" applyFont="1" applyBorder="1" applyAlignment="1">
      <alignment horizontal="left" indent="3"/>
    </xf>
    <xf numFmtId="0" fontId="21" fillId="0" borderId="0" xfId="0" applyFont="1" applyBorder="1"/>
    <xf numFmtId="0" fontId="21" fillId="0" borderId="6" xfId="0" applyFont="1" applyBorder="1"/>
    <xf numFmtId="0" fontId="21" fillId="0" borderId="5" xfId="0" applyFont="1" applyBorder="1" applyAlignment="1">
      <alignment horizontal="left" indent="3"/>
    </xf>
    <xf numFmtId="0" fontId="32" fillId="8" borderId="2" xfId="0" applyFont="1" applyFill="1" applyBorder="1"/>
    <xf numFmtId="0" fontId="21" fillId="8" borderId="3" xfId="0" applyFont="1" applyFill="1" applyBorder="1"/>
    <xf numFmtId="0" fontId="21" fillId="8" borderId="4" xfId="0" applyFont="1" applyFill="1" applyBorder="1"/>
    <xf numFmtId="0" fontId="21" fillId="8" borderId="0" xfId="0" applyFont="1" applyFill="1" applyBorder="1" applyAlignment="1">
      <alignment horizontal="center" wrapText="1"/>
    </xf>
    <xf numFmtId="0" fontId="21" fillId="8" borderId="6" xfId="0" applyFont="1" applyFill="1" applyBorder="1" applyAlignment="1">
      <alignment horizontal="center" wrapText="1"/>
    </xf>
    <xf numFmtId="0" fontId="21" fillId="8" borderId="0" xfId="0" applyFont="1" applyFill="1" applyBorder="1"/>
    <xf numFmtId="0" fontId="21" fillId="8" borderId="6" xfId="0" applyFont="1" applyFill="1" applyBorder="1"/>
    <xf numFmtId="0" fontId="32" fillId="8" borderId="2" xfId="0" applyFont="1" applyFill="1" applyBorder="1" applyAlignment="1">
      <alignment vertical="top"/>
    </xf>
    <xf numFmtId="0" fontId="21" fillId="8" borderId="3" xfId="0" applyFont="1" applyFill="1" applyBorder="1" applyAlignment="1">
      <alignment vertical="top"/>
    </xf>
    <xf numFmtId="0" fontId="21" fillId="8" borderId="4" xfId="0" applyFont="1" applyFill="1" applyBorder="1" applyAlignment="1">
      <alignment vertical="top"/>
    </xf>
    <xf numFmtId="0" fontId="31" fillId="0" borderId="5" xfId="0" applyFont="1" applyBorder="1" applyAlignment="1">
      <alignment horizontal="left" vertical="top"/>
    </xf>
    <xf numFmtId="0" fontId="21" fillId="0" borderId="0" xfId="0" applyFont="1" applyBorder="1" applyAlignment="1">
      <alignment vertical="top"/>
    </xf>
    <xf numFmtId="0" fontId="21" fillId="0" borderId="6" xfId="0" applyFont="1" applyBorder="1" applyAlignment="1">
      <alignment vertical="top"/>
    </xf>
    <xf numFmtId="0" fontId="21" fillId="0" borderId="5" xfId="0" applyFont="1" applyBorder="1" applyAlignment="1">
      <alignment horizontal="left" vertical="top"/>
    </xf>
    <xf numFmtId="0" fontId="21" fillId="8" borderId="0" xfId="0" applyFont="1" applyFill="1" applyBorder="1" applyAlignment="1">
      <alignment horizontal="center" vertical="top" wrapText="1"/>
    </xf>
    <xf numFmtId="0" fontId="21" fillId="8" borderId="6" xfId="0" applyFont="1" applyFill="1" applyBorder="1" applyAlignment="1">
      <alignment horizontal="center" vertical="top" wrapText="1"/>
    </xf>
    <xf numFmtId="0" fontId="21" fillId="8" borderId="0" xfId="0" applyFont="1" applyFill="1" applyBorder="1" applyAlignment="1">
      <alignment vertical="top"/>
    </xf>
    <xf numFmtId="0" fontId="21" fillId="8" borderId="6" xfId="0" applyFont="1" applyFill="1" applyBorder="1" applyAlignment="1">
      <alignment vertical="top"/>
    </xf>
    <xf numFmtId="0" fontId="21" fillId="0" borderId="7" xfId="0" applyFont="1" applyBorder="1" applyAlignment="1">
      <alignment horizontal="left" vertical="top"/>
    </xf>
    <xf numFmtId="0" fontId="21" fillId="0" borderId="8" xfId="0" applyFont="1" applyBorder="1" applyAlignment="1">
      <alignment vertical="top"/>
    </xf>
    <xf numFmtId="0" fontId="21" fillId="0" borderId="9" xfId="0" applyFont="1" applyBorder="1" applyAlignment="1">
      <alignment vertical="top"/>
    </xf>
    <xf numFmtId="0" fontId="32" fillId="8" borderId="2" xfId="0" applyFont="1" applyFill="1" applyBorder="1" applyAlignment="1">
      <alignment vertical="center"/>
    </xf>
    <xf numFmtId="0" fontId="21" fillId="8" borderId="3" xfId="0" applyFont="1" applyFill="1" applyBorder="1" applyAlignment="1">
      <alignment vertical="center"/>
    </xf>
    <xf numFmtId="0" fontId="21" fillId="8" borderId="4" xfId="0" applyFont="1" applyFill="1" applyBorder="1" applyAlignment="1">
      <alignment vertical="center"/>
    </xf>
    <xf numFmtId="0" fontId="21" fillId="8" borderId="0" xfId="0" applyFont="1" applyFill="1" applyBorder="1" applyAlignment="1">
      <alignment horizontal="center" vertical="center" wrapText="1"/>
    </xf>
    <xf numFmtId="0" fontId="21" fillId="8" borderId="6" xfId="0" applyFont="1" applyFill="1" applyBorder="1" applyAlignment="1">
      <alignment horizontal="center" vertical="center" wrapText="1"/>
    </xf>
    <xf numFmtId="0" fontId="21" fillId="8" borderId="0" xfId="0" applyFont="1" applyFill="1" applyBorder="1" applyAlignment="1">
      <alignment vertical="center"/>
    </xf>
    <xf numFmtId="0" fontId="21" fillId="8" borderId="6" xfId="0" applyFont="1" applyFill="1" applyBorder="1" applyAlignment="1">
      <alignment vertical="center"/>
    </xf>
    <xf numFmtId="0" fontId="0" fillId="4" borderId="30" xfId="0" applyFill="1" applyBorder="1" applyAlignment="1">
      <alignment horizontal="center" vertical="center"/>
    </xf>
    <xf numFmtId="0" fontId="33" fillId="0" borderId="0" xfId="0" applyFont="1"/>
    <xf numFmtId="169" fontId="33" fillId="0" borderId="0" xfId="0" applyNumberFormat="1" applyFont="1"/>
    <xf numFmtId="171" fontId="33" fillId="0" borderId="0" xfId="0" applyNumberFormat="1" applyFont="1"/>
    <xf numFmtId="0" fontId="34" fillId="7" borderId="0" xfId="0" applyFont="1" applyFill="1" applyBorder="1" applyAlignment="1">
      <alignment horizontal="center" vertical="center" wrapText="1"/>
    </xf>
    <xf numFmtId="170" fontId="34" fillId="7" borderId="0" xfId="0" applyNumberFormat="1" applyFont="1" applyFill="1" applyBorder="1" applyAlignment="1">
      <alignment horizontal="center" vertical="center" wrapText="1"/>
    </xf>
    <xf numFmtId="0" fontId="33" fillId="3" borderId="0" xfId="0" applyFont="1" applyFill="1"/>
    <xf numFmtId="0" fontId="16" fillId="3" borderId="0" xfId="0" applyFont="1" applyFill="1"/>
    <xf numFmtId="167" fontId="35" fillId="3" borderId="0" xfId="0" applyNumberFormat="1" applyFont="1" applyFill="1" applyBorder="1" applyAlignment="1">
      <alignment vertical="center"/>
    </xf>
    <xf numFmtId="0" fontId="35" fillId="3" borderId="0" xfId="0" applyFont="1" applyFill="1" applyBorder="1" applyAlignment="1">
      <alignment vertical="center"/>
    </xf>
    <xf numFmtId="0" fontId="21" fillId="5" borderId="0" xfId="0" applyFont="1" applyFill="1" applyAlignment="1">
      <alignment horizontal="center" vertical="center" wrapText="1"/>
    </xf>
    <xf numFmtId="0" fontId="21" fillId="8" borderId="0" xfId="0" applyFont="1" applyFill="1" applyBorder="1" applyAlignment="1">
      <alignment horizontal="center" vertical="center"/>
    </xf>
    <xf numFmtId="0" fontId="21" fillId="8" borderId="0" xfId="0" applyFont="1" applyFill="1" applyBorder="1" applyAlignment="1">
      <alignment horizontal="left" wrapText="1"/>
    </xf>
    <xf numFmtId="0" fontId="21" fillId="8" borderId="0" xfId="0" applyFont="1" applyFill="1" applyBorder="1" applyAlignment="1">
      <alignment horizontal="center"/>
    </xf>
    <xf numFmtId="0" fontId="16" fillId="0" borderId="0" xfId="0" applyFont="1" applyAlignment="1">
      <alignment vertical="center"/>
    </xf>
    <xf numFmtId="0" fontId="21" fillId="0" borderId="0" xfId="0" applyFont="1" applyAlignment="1"/>
    <xf numFmtId="0" fontId="31" fillId="0" borderId="5" xfId="0" applyFont="1" applyBorder="1" applyAlignment="1">
      <alignment horizontal="left" vertical="center" indent="3"/>
    </xf>
    <xf numFmtId="0" fontId="21" fillId="5" borderId="0" xfId="0" applyFont="1" applyFill="1" applyAlignment="1">
      <alignment horizontal="left" vertical="center"/>
    </xf>
    <xf numFmtId="0" fontId="15" fillId="0" borderId="0" xfId="0" applyFont="1" applyAlignment="1">
      <alignment horizontal="left" vertical="center"/>
    </xf>
    <xf numFmtId="0" fontId="15" fillId="0" borderId="53" xfId="0" applyFont="1" applyBorder="1" applyAlignment="1">
      <alignment horizontal="left" vertical="center"/>
    </xf>
    <xf numFmtId="0" fontId="23" fillId="8" borderId="49" xfId="0" applyFont="1" applyFill="1" applyBorder="1" applyAlignment="1">
      <alignment horizontal="left" vertical="center" wrapText="1"/>
    </xf>
    <xf numFmtId="0" fontId="15" fillId="8" borderId="50" xfId="0" applyFont="1" applyFill="1" applyBorder="1"/>
    <xf numFmtId="0" fontId="15" fillId="8" borderId="51" xfId="0" applyFont="1" applyFill="1" applyBorder="1"/>
    <xf numFmtId="0" fontId="21" fillId="5" borderId="0" xfId="0" applyFont="1" applyFill="1" applyAlignment="1">
      <alignment horizontal="left" vertical="center" wrapText="1"/>
    </xf>
    <xf numFmtId="0" fontId="15" fillId="0" borderId="0" xfId="0" applyFont="1" applyAlignment="1">
      <alignment vertical="center"/>
    </xf>
    <xf numFmtId="0" fontId="15" fillId="0" borderId="53" xfId="0" applyFont="1" applyBorder="1" applyAlignment="1">
      <alignment vertical="center"/>
    </xf>
    <xf numFmtId="0" fontId="21" fillId="5" borderId="0" xfId="0" applyFont="1" applyFill="1" applyAlignment="1">
      <alignment horizontal="center" vertical="center" wrapText="1"/>
    </xf>
    <xf numFmtId="0" fontId="21" fillId="5" borderId="0" xfId="0" applyFont="1" applyFill="1" applyAlignment="1">
      <alignment horizontal="left" vertical="top" wrapText="1"/>
    </xf>
    <xf numFmtId="0" fontId="15" fillId="0" borderId="0" xfId="0" applyFont="1" applyAlignment="1">
      <alignment vertical="top"/>
    </xf>
    <xf numFmtId="0" fontId="15" fillId="0" borderId="53" xfId="0" applyFont="1" applyBorder="1" applyAlignment="1">
      <alignment vertical="top"/>
    </xf>
    <xf numFmtId="0" fontId="21" fillId="5" borderId="53" xfId="0" applyFont="1" applyFill="1" applyBorder="1" applyAlignment="1">
      <alignment horizontal="left" vertical="center" wrapText="1"/>
    </xf>
    <xf numFmtId="0" fontId="21" fillId="5" borderId="0" xfId="0" applyFont="1" applyFill="1" applyAlignment="1">
      <alignment horizontal="center" wrapText="1"/>
    </xf>
    <xf numFmtId="0" fontId="21" fillId="5" borderId="53" xfId="0" applyFont="1" applyFill="1" applyBorder="1" applyAlignment="1">
      <alignment horizontal="center" wrapText="1"/>
    </xf>
    <xf numFmtId="0" fontId="21" fillId="5" borderId="53" xfId="0" applyFont="1" applyFill="1" applyBorder="1" applyAlignment="1">
      <alignment horizontal="left" vertical="center"/>
    </xf>
    <xf numFmtId="0" fontId="23" fillId="8" borderId="50" xfId="0" applyFont="1" applyFill="1" applyBorder="1" applyAlignment="1">
      <alignment horizontal="left" vertical="center" wrapText="1"/>
    </xf>
    <xf numFmtId="0" fontId="23" fillId="8" borderId="51" xfId="0" applyFont="1" applyFill="1" applyBorder="1" applyAlignment="1">
      <alignment horizontal="left" vertical="center" wrapText="1"/>
    </xf>
    <xf numFmtId="0" fontId="21" fillId="10" borderId="0" xfId="0" applyFont="1" applyFill="1" applyAlignment="1">
      <alignment horizontal="left" vertical="center" wrapText="1"/>
    </xf>
    <xf numFmtId="0" fontId="21" fillId="10" borderId="53" xfId="0" applyFont="1" applyFill="1" applyBorder="1" applyAlignment="1">
      <alignment horizontal="left" vertical="center" wrapText="1"/>
    </xf>
    <xf numFmtId="0" fontId="15" fillId="8" borderId="50" xfId="0" applyFont="1" applyFill="1" applyBorder="1" applyAlignment="1">
      <alignment vertical="center"/>
    </xf>
    <xf numFmtId="0" fontId="15" fillId="8" borderId="51" xfId="0" applyFont="1" applyFill="1" applyBorder="1" applyAlignment="1">
      <alignment vertical="center"/>
    </xf>
    <xf numFmtId="0" fontId="15" fillId="0" borderId="0" xfId="0" applyFont="1"/>
    <xf numFmtId="0" fontId="15" fillId="0" borderId="53" xfId="0" applyFont="1" applyBorder="1"/>
    <xf numFmtId="0" fontId="21" fillId="9" borderId="0" xfId="0" applyFont="1" applyFill="1" applyBorder="1" applyAlignment="1">
      <alignment horizontal="left" vertical="center" wrapText="1"/>
    </xf>
    <xf numFmtId="0" fontId="21" fillId="9" borderId="6" xfId="0" applyFont="1" applyFill="1" applyBorder="1" applyAlignment="1">
      <alignment horizontal="left" vertical="center" wrapText="1"/>
    </xf>
    <xf numFmtId="0" fontId="21" fillId="4" borderId="0"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27" fillId="0" borderId="0" xfId="0" applyFont="1" applyAlignment="1">
      <alignment horizontal="center"/>
    </xf>
    <xf numFmtId="0" fontId="19" fillId="0" borderId="0" xfId="0" applyFont="1" applyAlignment="1">
      <alignment horizontal="left" vertical="center" wrapText="1"/>
    </xf>
    <xf numFmtId="0" fontId="0" fillId="0" borderId="0" xfId="0" applyFont="1" applyAlignment="1"/>
    <xf numFmtId="0" fontId="21" fillId="9" borderId="0" xfId="0" applyFont="1" applyFill="1" applyBorder="1" applyAlignment="1">
      <alignment horizontal="left" vertical="top" wrapText="1"/>
    </xf>
    <xf numFmtId="0" fontId="21" fillId="9" borderId="6" xfId="0" applyFont="1" applyFill="1" applyBorder="1" applyAlignment="1">
      <alignment horizontal="left" vertical="top" wrapText="1"/>
    </xf>
    <xf numFmtId="0" fontId="21" fillId="9" borderId="0" xfId="0" applyFont="1" applyFill="1" applyBorder="1" applyAlignment="1">
      <alignment horizontal="left" wrapText="1"/>
    </xf>
    <xf numFmtId="0" fontId="21" fillId="9" borderId="6" xfId="0" applyFont="1" applyFill="1" applyBorder="1" applyAlignment="1">
      <alignment horizontal="left" wrapText="1"/>
    </xf>
    <xf numFmtId="0" fontId="21" fillId="4" borderId="0" xfId="0" applyFont="1" applyFill="1" applyBorder="1" applyAlignment="1">
      <alignment horizontal="left" wrapText="1"/>
    </xf>
    <xf numFmtId="0" fontId="21" fillId="4" borderId="6" xfId="0" applyFont="1" applyFill="1" applyBorder="1" applyAlignment="1">
      <alignment horizontal="left" wrapText="1"/>
    </xf>
    <xf numFmtId="0" fontId="21" fillId="8" borderId="0" xfId="0" applyFont="1" applyFill="1" applyBorder="1" applyAlignment="1">
      <alignment horizontal="left" vertical="top" wrapText="1"/>
    </xf>
    <xf numFmtId="0" fontId="21" fillId="8" borderId="6" xfId="0" applyFont="1" applyFill="1" applyBorder="1" applyAlignment="1">
      <alignment horizontal="left" vertical="top" wrapText="1"/>
    </xf>
    <xf numFmtId="0" fontId="17" fillId="0" borderId="0" xfId="0" applyFont="1" applyAlignment="1">
      <alignment horizontal="center"/>
    </xf>
    <xf numFmtId="0" fontId="19" fillId="5" borderId="0" xfId="0" applyFont="1" applyFill="1" applyBorder="1" applyAlignment="1">
      <alignment horizontal="left" wrapText="1"/>
    </xf>
    <xf numFmtId="0" fontId="15" fillId="0" borderId="0" xfId="0" applyFont="1" applyBorder="1"/>
    <xf numFmtId="0" fontId="24" fillId="6" borderId="40" xfId="0" applyFont="1" applyFill="1" applyBorder="1" applyAlignment="1">
      <alignment horizontal="center" vertical="center" wrapText="1"/>
    </xf>
    <xf numFmtId="0" fontId="15" fillId="0" borderId="41" xfId="0" applyFont="1" applyBorder="1" applyAlignment="1">
      <alignment vertical="center"/>
    </xf>
    <xf numFmtId="0" fontId="15" fillId="0" borderId="42" xfId="0" applyFont="1" applyBorder="1" applyAlignment="1">
      <alignment vertical="center"/>
    </xf>
    <xf numFmtId="0" fontId="23" fillId="6" borderId="46" xfId="0" applyFont="1" applyFill="1" applyBorder="1" applyAlignment="1">
      <alignment horizontal="center" vertical="center" wrapText="1"/>
    </xf>
    <xf numFmtId="0" fontId="15" fillId="0" borderId="44" xfId="0" applyFont="1" applyBorder="1"/>
    <xf numFmtId="0" fontId="15" fillId="0" borderId="47" xfId="0" applyFont="1" applyBorder="1"/>
    <xf numFmtId="0" fontId="21" fillId="8" borderId="0" xfId="0" applyFont="1" applyFill="1" applyBorder="1" applyAlignment="1">
      <alignment horizontal="left" vertical="center" wrapText="1"/>
    </xf>
    <xf numFmtId="0" fontId="21" fillId="8" borderId="6"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43"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0" fillId="0" borderId="30" xfId="0" applyBorder="1" applyAlignment="1">
      <alignment horizontal="left" vertical="center" wrapTex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33" xfId="0" applyFont="1" applyBorder="1" applyAlignment="1">
      <alignment horizontal="left" vertical="center" wrapText="1"/>
    </xf>
    <xf numFmtId="0" fontId="4" fillId="0" borderId="34" xfId="0" applyFont="1" applyBorder="1" applyAlignment="1">
      <alignment horizontal="left" vertical="center" wrapText="1"/>
    </xf>
    <xf numFmtId="0" fontId="13" fillId="0" borderId="11" xfId="0" applyFont="1" applyBorder="1" applyAlignment="1">
      <alignment horizontal="left"/>
    </xf>
    <xf numFmtId="0" fontId="2" fillId="0" borderId="11" xfId="0" applyFont="1" applyBorder="1" applyAlignment="1">
      <alignment horizontal="left" indent="1"/>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10" fillId="0" borderId="19" xfId="0" applyFont="1" applyBorder="1" applyAlignment="1">
      <alignment vertical="center" wrapText="1"/>
    </xf>
    <xf numFmtId="0" fontId="10" fillId="0" borderId="32"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xf numFmtId="0" fontId="15" fillId="4" borderId="31" xfId="0" applyFont="1" applyFill="1" applyBorder="1" applyAlignment="1">
      <alignment horizontal="left" vertical="center" wrapText="1" indent="1"/>
    </xf>
    <xf numFmtId="0" fontId="2" fillId="4" borderId="31" xfId="0" applyFont="1" applyFill="1" applyBorder="1" applyAlignment="1">
      <alignment horizontal="left" vertical="center" wrapText="1" indent="1"/>
    </xf>
    <xf numFmtId="0" fontId="0" fillId="0" borderId="30" xfId="0" applyFont="1" applyBorder="1" applyAlignment="1">
      <alignment horizontal="left" vertical="center"/>
    </xf>
    <xf numFmtId="0" fontId="0" fillId="0" borderId="30" xfId="0" applyBorder="1" applyAlignment="1">
      <alignment horizontal="left" vertical="center"/>
    </xf>
    <xf numFmtId="0" fontId="10" fillId="3" borderId="31" xfId="0" applyFont="1" applyFill="1" applyBorder="1" applyAlignment="1">
      <alignment horizontal="left" vertical="center" wrapText="1"/>
    </xf>
    <xf numFmtId="0" fontId="0" fillId="0" borderId="21" xfId="0" applyBorder="1"/>
    <xf numFmtId="0" fontId="4" fillId="3" borderId="14" xfId="0" applyFont="1" applyFill="1" applyBorder="1" applyAlignment="1">
      <alignment horizontal="left" vertical="center" wrapText="1"/>
    </xf>
    <xf numFmtId="0" fontId="28" fillId="0" borderId="18" xfId="0" applyFont="1" applyBorder="1" applyAlignment="1">
      <alignment horizontal="center" vertical="center" wrapText="1"/>
    </xf>
    <xf numFmtId="0" fontId="29" fillId="0" borderId="18" xfId="0" applyFont="1" applyBorder="1" applyAlignment="1">
      <alignment horizontal="center" vertical="center" wrapText="1"/>
    </xf>
    <xf numFmtId="0" fontId="15" fillId="0" borderId="30" xfId="0" applyFont="1" applyBorder="1" applyAlignment="1">
      <alignment horizontal="left" vertical="center"/>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400-000002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400-000003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400-000004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400-000005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17"/>
  <sheetViews>
    <sheetView tabSelected="1" zoomScale="96" zoomScaleNormal="96" workbookViewId="0">
      <selection activeCell="D105" sqref="D105"/>
    </sheetView>
  </sheetViews>
  <sheetFormatPr baseColWidth="10" defaultColWidth="11" defaultRowHeight="12.75" x14ac:dyDescent="0.2"/>
  <cols>
    <col min="1" max="1" width="4.5703125" style="25" customWidth="1"/>
    <col min="2" max="2" width="15.7109375" style="25" customWidth="1"/>
    <col min="3" max="3" width="33" style="25" customWidth="1"/>
    <col min="4" max="4" width="7.140625" style="25" customWidth="1"/>
    <col min="5" max="5" width="59.42578125" style="25" customWidth="1"/>
    <col min="6" max="6" width="11" style="25"/>
    <col min="7" max="7" width="11.42578125" style="25" customWidth="1"/>
    <col min="8" max="8" width="17" style="25" customWidth="1"/>
    <col min="9" max="9" width="18.140625" style="25" customWidth="1"/>
    <col min="10" max="10" width="0" style="25" hidden="1" customWidth="1"/>
    <col min="11" max="11" width="6.85546875" style="25" customWidth="1"/>
    <col min="12" max="12" width="16.7109375" style="25" customWidth="1"/>
    <col min="13" max="16384" width="11" style="25"/>
  </cols>
  <sheetData>
    <row r="2" spans="1:13" ht="27" x14ac:dyDescent="0.35">
      <c r="B2" s="221" t="s">
        <v>0</v>
      </c>
      <c r="C2" s="212"/>
      <c r="D2" s="212"/>
      <c r="E2" s="212"/>
      <c r="F2" s="212"/>
      <c r="G2" s="212"/>
      <c r="H2" s="212"/>
    </row>
    <row r="3" spans="1:13" ht="8.25" customHeight="1" x14ac:dyDescent="0.2">
      <c r="B3" s="33"/>
      <c r="C3" s="34"/>
      <c r="E3" s="35"/>
      <c r="H3" s="36"/>
    </row>
    <row r="4" spans="1:13" ht="27.75" customHeight="1" x14ac:dyDescent="0.25">
      <c r="A4" s="211" t="s">
        <v>1</v>
      </c>
      <c r="B4" s="212"/>
      <c r="C4" s="222" t="s">
        <v>59</v>
      </c>
      <c r="D4" s="223"/>
      <c r="E4" s="223"/>
      <c r="F4" s="210"/>
      <c r="G4" s="210"/>
      <c r="H4" s="210"/>
      <c r="I4" s="210"/>
    </row>
    <row r="5" spans="1:13" ht="18" customHeight="1" x14ac:dyDescent="0.25">
      <c r="A5" s="211" t="s">
        <v>2</v>
      </c>
      <c r="B5" s="212"/>
      <c r="C5" s="222" t="s">
        <v>60</v>
      </c>
      <c r="D5" s="223"/>
      <c r="E5" s="223"/>
      <c r="F5" s="37"/>
      <c r="G5" s="38"/>
      <c r="H5" s="39"/>
      <c r="I5" s="40"/>
    </row>
    <row r="6" spans="1:13" ht="16.5" customHeight="1" x14ac:dyDescent="0.25">
      <c r="A6" s="211" t="s">
        <v>3</v>
      </c>
      <c r="B6" s="212"/>
      <c r="C6" s="41">
        <v>2021</v>
      </c>
      <c r="D6" s="41"/>
      <c r="E6" s="42"/>
      <c r="F6" s="37"/>
      <c r="G6" s="38"/>
      <c r="H6" s="39"/>
      <c r="I6" s="40"/>
    </row>
    <row r="7" spans="1:13" ht="16.5" customHeight="1" x14ac:dyDescent="0.25">
      <c r="A7" s="211" t="s">
        <v>4</v>
      </c>
      <c r="B7" s="212"/>
      <c r="C7" s="41">
        <v>4</v>
      </c>
      <c r="D7" s="41"/>
      <c r="E7" s="42"/>
      <c r="F7" s="37"/>
      <c r="G7" s="38"/>
      <c r="H7" s="39"/>
      <c r="I7" s="40"/>
    </row>
    <row r="8" spans="1:13" ht="15" thickBot="1" x14ac:dyDescent="0.25">
      <c r="A8" s="40"/>
      <c r="B8" s="43"/>
      <c r="C8" s="38"/>
      <c r="D8" s="37"/>
      <c r="E8" s="44"/>
      <c r="F8" s="37"/>
      <c r="G8" s="38"/>
      <c r="H8" s="39"/>
      <c r="I8" s="40"/>
    </row>
    <row r="9" spans="1:13" ht="45.75" thickTop="1" x14ac:dyDescent="0.2">
      <c r="A9" s="45" t="s">
        <v>5</v>
      </c>
      <c r="B9" s="45" t="s">
        <v>6</v>
      </c>
      <c r="C9" s="45" t="s">
        <v>7</v>
      </c>
      <c r="D9" s="45" t="s">
        <v>8</v>
      </c>
      <c r="E9" s="45" t="s">
        <v>9</v>
      </c>
      <c r="F9" s="46" t="s">
        <v>10</v>
      </c>
      <c r="G9" s="45" t="s">
        <v>11</v>
      </c>
      <c r="H9" s="47" t="s">
        <v>12</v>
      </c>
      <c r="I9" s="45" t="s">
        <v>13</v>
      </c>
    </row>
    <row r="10" spans="1:13" ht="45" customHeight="1" x14ac:dyDescent="0.2">
      <c r="A10" s="74">
        <v>1</v>
      </c>
      <c r="B10" s="67" t="s">
        <v>72</v>
      </c>
      <c r="C10" s="65" t="s">
        <v>91</v>
      </c>
      <c r="D10" s="62" t="str">
        <f t="shared" ref="D10:D15" si="0">LEFT(B10,5)</f>
        <v>4.3.5</v>
      </c>
      <c r="E10" s="75" t="s">
        <v>150</v>
      </c>
      <c r="F10" s="62" t="s">
        <v>14</v>
      </c>
      <c r="G10" s="62">
        <v>10</v>
      </c>
      <c r="H10" s="79">
        <v>185000</v>
      </c>
      <c r="I10" s="77">
        <f t="shared" ref="I10:I15" si="1">H10*G10</f>
        <v>1850000</v>
      </c>
    </row>
    <row r="11" spans="1:13" ht="45" customHeight="1" x14ac:dyDescent="0.2">
      <c r="A11" s="74">
        <v>2</v>
      </c>
      <c r="B11" s="67" t="s">
        <v>63</v>
      </c>
      <c r="C11" s="65" t="s">
        <v>91</v>
      </c>
      <c r="D11" s="62" t="str">
        <f t="shared" si="0"/>
        <v>4.3.5</v>
      </c>
      <c r="E11" s="75" t="s">
        <v>117</v>
      </c>
      <c r="F11" s="62" t="s">
        <v>14</v>
      </c>
      <c r="G11" s="62">
        <v>10</v>
      </c>
      <c r="H11" s="79">
        <v>214326</v>
      </c>
      <c r="I11" s="77">
        <f t="shared" si="1"/>
        <v>2143260</v>
      </c>
      <c r="K11" s="165">
        <v>435</v>
      </c>
      <c r="L11" s="166">
        <f>I10+I11+I12+I13+I14+I15+I21+I22+I27+I29+I30+I31+I32+I33+I34</f>
        <v>14487943.629999999</v>
      </c>
    </row>
    <row r="12" spans="1:13" ht="45" customHeight="1" x14ac:dyDescent="0.2">
      <c r="A12" s="74">
        <v>3</v>
      </c>
      <c r="B12" s="67" t="s">
        <v>63</v>
      </c>
      <c r="C12" s="65" t="s">
        <v>91</v>
      </c>
      <c r="D12" s="62" t="str">
        <f t="shared" si="0"/>
        <v>4.3.5</v>
      </c>
      <c r="E12" s="75" t="s">
        <v>117</v>
      </c>
      <c r="F12" s="62" t="s">
        <v>14</v>
      </c>
      <c r="G12" s="62">
        <v>4</v>
      </c>
      <c r="H12" s="79">
        <v>268000</v>
      </c>
      <c r="I12" s="77">
        <f t="shared" si="1"/>
        <v>1072000</v>
      </c>
      <c r="K12" s="165">
        <v>432</v>
      </c>
      <c r="L12" s="167">
        <f>I18</f>
        <v>320000</v>
      </c>
    </row>
    <row r="13" spans="1:13" ht="45" customHeight="1" x14ac:dyDescent="0.2">
      <c r="A13" s="74">
        <v>4</v>
      </c>
      <c r="B13" s="67" t="s">
        <v>63</v>
      </c>
      <c r="C13" s="65" t="s">
        <v>91</v>
      </c>
      <c r="D13" s="62" t="str">
        <f t="shared" si="0"/>
        <v>4.3.5</v>
      </c>
      <c r="E13" s="75" t="s">
        <v>74</v>
      </c>
      <c r="F13" s="62" t="s">
        <v>14</v>
      </c>
      <c r="G13" s="62">
        <v>40</v>
      </c>
      <c r="H13" s="79">
        <v>2020</v>
      </c>
      <c r="I13" s="77">
        <f t="shared" si="1"/>
        <v>80800</v>
      </c>
      <c r="K13" s="165">
        <v>437</v>
      </c>
      <c r="L13" s="167">
        <f>I23+I25+I26+I28</f>
        <v>2034000</v>
      </c>
    </row>
    <row r="14" spans="1:13" ht="45" customHeight="1" x14ac:dyDescent="0.2">
      <c r="A14" s="74">
        <v>5</v>
      </c>
      <c r="B14" s="67" t="s">
        <v>80</v>
      </c>
      <c r="C14" s="65" t="s">
        <v>91</v>
      </c>
      <c r="D14" s="62" t="str">
        <f t="shared" si="0"/>
        <v>4.3.5</v>
      </c>
      <c r="E14" s="75" t="s">
        <v>100</v>
      </c>
      <c r="F14" s="62" t="s">
        <v>14</v>
      </c>
      <c r="G14" s="62">
        <v>5</v>
      </c>
      <c r="H14" s="79">
        <v>65000</v>
      </c>
      <c r="I14" s="77">
        <f t="shared" si="1"/>
        <v>325000</v>
      </c>
      <c r="K14" s="165">
        <v>436</v>
      </c>
      <c r="L14" s="167">
        <f>I24</f>
        <v>1040000</v>
      </c>
    </row>
    <row r="15" spans="1:13" ht="45" customHeight="1" x14ac:dyDescent="0.2">
      <c r="A15" s="74">
        <v>6</v>
      </c>
      <c r="B15" s="67" t="s">
        <v>75</v>
      </c>
      <c r="C15" s="65" t="s">
        <v>91</v>
      </c>
      <c r="D15" s="62" t="str">
        <f t="shared" si="0"/>
        <v>4.3.5</v>
      </c>
      <c r="E15" s="75" t="s">
        <v>151</v>
      </c>
      <c r="F15" s="62" t="s">
        <v>14</v>
      </c>
      <c r="G15" s="62">
        <v>3</v>
      </c>
      <c r="H15" s="79">
        <v>1391961.21</v>
      </c>
      <c r="I15" s="77">
        <f t="shared" si="1"/>
        <v>4175883.63</v>
      </c>
      <c r="J15" s="90"/>
      <c r="K15" s="168"/>
      <c r="L15" s="169">
        <f>SUM(L11:L14)</f>
        <v>17881943.629999999</v>
      </c>
      <c r="M15" s="91"/>
    </row>
    <row r="16" spans="1:13" ht="24.75" customHeight="1" x14ac:dyDescent="0.25">
      <c r="A16" s="78"/>
      <c r="B16" s="48"/>
      <c r="C16" s="64"/>
      <c r="D16" s="48"/>
      <c r="E16" s="49" t="s">
        <v>92</v>
      </c>
      <c r="F16" s="48"/>
      <c r="G16" s="48"/>
      <c r="H16" s="50"/>
      <c r="I16" s="51">
        <f>SUM(I10:I15)</f>
        <v>9646943.629999999</v>
      </c>
      <c r="J16" s="52"/>
    </row>
    <row r="17" spans="1:14" ht="9.75" customHeight="1" x14ac:dyDescent="0.2">
      <c r="A17" s="68"/>
      <c r="B17" s="68"/>
      <c r="C17" s="66"/>
      <c r="D17" s="40"/>
      <c r="E17" s="53"/>
      <c r="F17" s="40"/>
      <c r="G17" s="40"/>
      <c r="H17" s="54"/>
      <c r="I17" s="55"/>
    </row>
    <row r="18" spans="1:14" ht="48" customHeight="1" x14ac:dyDescent="0.2">
      <c r="A18" s="74">
        <v>7</v>
      </c>
      <c r="B18" s="67" t="s">
        <v>78</v>
      </c>
      <c r="C18" s="65" t="s">
        <v>77</v>
      </c>
      <c r="D18" s="62" t="str">
        <f t="shared" ref="D18" si="2">LEFT(B18,5)</f>
        <v>4.3.2</v>
      </c>
      <c r="E18" s="75" t="s">
        <v>163</v>
      </c>
      <c r="F18" s="62" t="s">
        <v>14</v>
      </c>
      <c r="G18" s="62">
        <v>1</v>
      </c>
      <c r="H18" s="76">
        <v>320000</v>
      </c>
      <c r="I18" s="77">
        <f>H18*G18</f>
        <v>320000</v>
      </c>
      <c r="N18" s="25">
        <f>SUM(N10:N17)</f>
        <v>0</v>
      </c>
    </row>
    <row r="19" spans="1:14" ht="30" customHeight="1" x14ac:dyDescent="0.25">
      <c r="A19" s="224" t="s">
        <v>93</v>
      </c>
      <c r="B19" s="225"/>
      <c r="C19" s="225"/>
      <c r="D19" s="225"/>
      <c r="E19" s="225"/>
      <c r="F19" s="225"/>
      <c r="G19" s="225"/>
      <c r="H19" s="226"/>
      <c r="I19" s="51">
        <f>SUM(I18:I18)</f>
        <v>320000</v>
      </c>
    </row>
    <row r="20" spans="1:14" ht="15" x14ac:dyDescent="0.2">
      <c r="A20" s="56"/>
      <c r="B20" s="57"/>
      <c r="C20" s="57"/>
      <c r="D20" s="56"/>
      <c r="E20" s="58"/>
      <c r="F20" s="56"/>
      <c r="G20" s="56"/>
      <c r="H20" s="59"/>
      <c r="I20" s="60"/>
    </row>
    <row r="21" spans="1:14" ht="48" customHeight="1" x14ac:dyDescent="0.2">
      <c r="A21" s="92">
        <v>8</v>
      </c>
      <c r="B21" s="92" t="s">
        <v>96</v>
      </c>
      <c r="C21" s="93" t="s">
        <v>97</v>
      </c>
      <c r="D21" s="94" t="str">
        <f t="shared" ref="D21:D34" si="3">LEFT(B21,5)</f>
        <v>4.3.5</v>
      </c>
      <c r="E21" s="95" t="s">
        <v>98</v>
      </c>
      <c r="F21" s="96" t="s">
        <v>14</v>
      </c>
      <c r="G21" s="97">
        <v>3</v>
      </c>
      <c r="H21" s="98">
        <v>255000</v>
      </c>
      <c r="I21" s="99">
        <f>H21*G21</f>
        <v>765000</v>
      </c>
    </row>
    <row r="22" spans="1:14" ht="48" customHeight="1" x14ac:dyDescent="0.2">
      <c r="A22" s="92">
        <v>9</v>
      </c>
      <c r="B22" s="92" t="s">
        <v>80</v>
      </c>
      <c r="C22" s="93" t="s">
        <v>99</v>
      </c>
      <c r="D22" s="94" t="str">
        <f t="shared" si="3"/>
        <v>4.3.5</v>
      </c>
      <c r="E22" s="95" t="s">
        <v>100</v>
      </c>
      <c r="F22" s="96" t="s">
        <v>14</v>
      </c>
      <c r="G22" s="97">
        <v>4</v>
      </c>
      <c r="H22" s="98">
        <v>17000</v>
      </c>
      <c r="I22" s="99">
        <f t="shared" ref="I22:I34" si="4">G22*H22</f>
        <v>68000</v>
      </c>
    </row>
    <row r="23" spans="1:14" ht="48" customHeight="1" x14ac:dyDescent="0.2">
      <c r="A23" s="92">
        <v>10</v>
      </c>
      <c r="B23" s="92" t="s">
        <v>101</v>
      </c>
      <c r="C23" s="93" t="s">
        <v>102</v>
      </c>
      <c r="D23" s="94" t="str">
        <f t="shared" si="3"/>
        <v>4.3.7</v>
      </c>
      <c r="E23" s="95" t="s">
        <v>103</v>
      </c>
      <c r="F23" s="96" t="s">
        <v>14</v>
      </c>
      <c r="G23" s="97">
        <v>6</v>
      </c>
      <c r="H23" s="98">
        <v>45000</v>
      </c>
      <c r="I23" s="99">
        <f t="shared" si="4"/>
        <v>270000</v>
      </c>
    </row>
    <row r="24" spans="1:14" ht="48" customHeight="1" x14ac:dyDescent="0.2">
      <c r="A24" s="92">
        <v>11</v>
      </c>
      <c r="B24" s="92" t="s">
        <v>104</v>
      </c>
      <c r="C24" s="93" t="s">
        <v>99</v>
      </c>
      <c r="D24" s="94" t="str">
        <f t="shared" si="3"/>
        <v>4.3.6</v>
      </c>
      <c r="E24" s="95" t="s">
        <v>105</v>
      </c>
      <c r="F24" s="96" t="s">
        <v>14</v>
      </c>
      <c r="G24" s="97">
        <v>16</v>
      </c>
      <c r="H24" s="98">
        <v>65000</v>
      </c>
      <c r="I24" s="99">
        <f t="shared" si="4"/>
        <v>1040000</v>
      </c>
    </row>
    <row r="25" spans="1:14" ht="48" customHeight="1" x14ac:dyDescent="0.2">
      <c r="A25" s="92">
        <v>12</v>
      </c>
      <c r="B25" s="101" t="s">
        <v>106</v>
      </c>
      <c r="C25" s="93" t="s">
        <v>102</v>
      </c>
      <c r="D25" s="94" t="str">
        <f t="shared" si="3"/>
        <v>4.3.7</v>
      </c>
      <c r="E25" s="95" t="s">
        <v>107</v>
      </c>
      <c r="F25" s="96" t="s">
        <v>14</v>
      </c>
      <c r="G25" s="97">
        <v>80</v>
      </c>
      <c r="H25" s="98">
        <v>14500</v>
      </c>
      <c r="I25" s="99">
        <f t="shared" si="4"/>
        <v>1160000</v>
      </c>
    </row>
    <row r="26" spans="1:14" ht="48" customHeight="1" x14ac:dyDescent="0.2">
      <c r="A26" s="92">
        <v>13</v>
      </c>
      <c r="B26" s="101" t="s">
        <v>108</v>
      </c>
      <c r="C26" s="93" t="s">
        <v>102</v>
      </c>
      <c r="D26" s="94" t="str">
        <f t="shared" si="3"/>
        <v>4.3.7</v>
      </c>
      <c r="E26" s="95" t="s">
        <v>109</v>
      </c>
      <c r="F26" s="96" t="s">
        <v>14</v>
      </c>
      <c r="G26" s="97">
        <v>16</v>
      </c>
      <c r="H26" s="98">
        <v>34500</v>
      </c>
      <c r="I26" s="77">
        <f t="shared" si="4"/>
        <v>552000</v>
      </c>
    </row>
    <row r="27" spans="1:14" ht="48" customHeight="1" x14ac:dyDescent="0.2">
      <c r="A27" s="92">
        <v>14</v>
      </c>
      <c r="B27" s="101" t="s">
        <v>110</v>
      </c>
      <c r="C27" s="93" t="s">
        <v>97</v>
      </c>
      <c r="D27" s="94" t="str">
        <f t="shared" si="3"/>
        <v>4.3.5</v>
      </c>
      <c r="E27" s="95" t="s">
        <v>111</v>
      </c>
      <c r="F27" s="96" t="s">
        <v>14</v>
      </c>
      <c r="G27" s="97">
        <v>4</v>
      </c>
      <c r="H27" s="98">
        <v>110000</v>
      </c>
      <c r="I27" s="99">
        <f t="shared" si="4"/>
        <v>440000</v>
      </c>
    </row>
    <row r="28" spans="1:14" ht="48" customHeight="1" x14ac:dyDescent="0.2">
      <c r="A28" s="92">
        <v>15</v>
      </c>
      <c r="B28" s="101" t="s">
        <v>112</v>
      </c>
      <c r="C28" s="93" t="s">
        <v>102</v>
      </c>
      <c r="D28" s="94" t="str">
        <f t="shared" si="3"/>
        <v>4.3.7</v>
      </c>
      <c r="E28" s="95" t="s">
        <v>113</v>
      </c>
      <c r="F28" s="96" t="s">
        <v>14</v>
      </c>
      <c r="G28" s="97">
        <v>4</v>
      </c>
      <c r="H28" s="98">
        <v>13000</v>
      </c>
      <c r="I28" s="99">
        <f t="shared" si="4"/>
        <v>52000</v>
      </c>
    </row>
    <row r="29" spans="1:14" ht="48" customHeight="1" x14ac:dyDescent="0.2">
      <c r="A29" s="92">
        <v>16</v>
      </c>
      <c r="B29" s="101" t="s">
        <v>63</v>
      </c>
      <c r="C29" s="93" t="s">
        <v>99</v>
      </c>
      <c r="D29" s="94" t="str">
        <f t="shared" si="3"/>
        <v>4.3.5</v>
      </c>
      <c r="E29" s="95" t="s">
        <v>114</v>
      </c>
      <c r="F29" s="96" t="s">
        <v>14</v>
      </c>
      <c r="G29" s="97">
        <v>80</v>
      </c>
      <c r="H29" s="98">
        <v>2600</v>
      </c>
      <c r="I29" s="99">
        <f t="shared" si="4"/>
        <v>208000</v>
      </c>
    </row>
    <row r="30" spans="1:14" ht="48" customHeight="1" x14ac:dyDescent="0.2">
      <c r="A30" s="92">
        <v>17</v>
      </c>
      <c r="B30" s="101" t="s">
        <v>63</v>
      </c>
      <c r="C30" s="93" t="s">
        <v>99</v>
      </c>
      <c r="D30" s="94" t="str">
        <f t="shared" si="3"/>
        <v>4.3.5</v>
      </c>
      <c r="E30" s="95" t="s">
        <v>114</v>
      </c>
      <c r="F30" s="96" t="s">
        <v>14</v>
      </c>
      <c r="G30" s="97">
        <v>80</v>
      </c>
      <c r="H30" s="98">
        <v>20000</v>
      </c>
      <c r="I30" s="99">
        <f t="shared" si="4"/>
        <v>1600000</v>
      </c>
      <c r="K30" s="170">
        <v>2</v>
      </c>
    </row>
    <row r="31" spans="1:14" ht="48" customHeight="1" x14ac:dyDescent="0.2">
      <c r="A31" s="92">
        <v>18</v>
      </c>
      <c r="B31" s="101" t="s">
        <v>115</v>
      </c>
      <c r="C31" s="93" t="s">
        <v>99</v>
      </c>
      <c r="D31" s="94" t="str">
        <f t="shared" si="3"/>
        <v>4.3.5</v>
      </c>
      <c r="E31" s="95" t="s">
        <v>116</v>
      </c>
      <c r="F31" s="96" t="s">
        <v>14</v>
      </c>
      <c r="G31" s="97">
        <v>8</v>
      </c>
      <c r="H31" s="98">
        <v>16000</v>
      </c>
      <c r="I31" s="99">
        <f t="shared" si="4"/>
        <v>128000</v>
      </c>
      <c r="K31" s="171"/>
    </row>
    <row r="32" spans="1:14" ht="48" customHeight="1" x14ac:dyDescent="0.2">
      <c r="A32" s="92">
        <v>19</v>
      </c>
      <c r="B32" s="101" t="s">
        <v>63</v>
      </c>
      <c r="C32" s="93" t="s">
        <v>99</v>
      </c>
      <c r="D32" s="94" t="str">
        <f t="shared" si="3"/>
        <v>4.3.5</v>
      </c>
      <c r="E32" s="95" t="s">
        <v>117</v>
      </c>
      <c r="F32" s="96" t="s">
        <v>14</v>
      </c>
      <c r="G32" s="97">
        <v>8</v>
      </c>
      <c r="H32" s="98">
        <v>125000</v>
      </c>
      <c r="I32" s="77">
        <f t="shared" si="4"/>
        <v>1000000</v>
      </c>
      <c r="K32" s="171"/>
    </row>
    <row r="33" spans="1:11" ht="48" customHeight="1" x14ac:dyDescent="0.2">
      <c r="A33" s="92">
        <v>20</v>
      </c>
      <c r="B33" s="101" t="s">
        <v>63</v>
      </c>
      <c r="C33" s="93" t="s">
        <v>99</v>
      </c>
      <c r="D33" s="94" t="str">
        <f t="shared" si="3"/>
        <v>4.3.5</v>
      </c>
      <c r="E33" s="95" t="s">
        <v>117</v>
      </c>
      <c r="F33" s="96" t="s">
        <v>14</v>
      </c>
      <c r="G33" s="97">
        <v>8</v>
      </c>
      <c r="H33" s="98">
        <v>69000</v>
      </c>
      <c r="I33" s="99">
        <f t="shared" si="4"/>
        <v>552000</v>
      </c>
      <c r="K33" s="171"/>
    </row>
    <row r="34" spans="1:11" ht="48" customHeight="1" x14ac:dyDescent="0.2">
      <c r="A34" s="92">
        <v>21</v>
      </c>
      <c r="B34" s="101" t="s">
        <v>63</v>
      </c>
      <c r="C34" s="93" t="s">
        <v>99</v>
      </c>
      <c r="D34" s="94" t="str">
        <f t="shared" si="3"/>
        <v>4.3.5</v>
      </c>
      <c r="E34" s="95" t="s">
        <v>117</v>
      </c>
      <c r="F34" s="96" t="s">
        <v>14</v>
      </c>
      <c r="G34" s="97">
        <v>8</v>
      </c>
      <c r="H34" s="98">
        <v>10000</v>
      </c>
      <c r="I34" s="99">
        <f t="shared" si="4"/>
        <v>80000</v>
      </c>
    </row>
    <row r="35" spans="1:11" ht="21" customHeight="1" x14ac:dyDescent="0.2">
      <c r="A35" s="227" t="s">
        <v>118</v>
      </c>
      <c r="B35" s="228"/>
      <c r="C35" s="228"/>
      <c r="D35" s="228"/>
      <c r="E35" s="228"/>
      <c r="F35" s="228"/>
      <c r="G35" s="228"/>
      <c r="H35" s="229"/>
      <c r="I35" s="100">
        <f>SUM(I21:I34)</f>
        <v>7915000</v>
      </c>
    </row>
    <row r="37" spans="1:11" ht="17.25" customHeight="1" x14ac:dyDescent="0.2">
      <c r="I37" s="61">
        <f>I16+I19+I35</f>
        <v>17881943.629999999</v>
      </c>
    </row>
    <row r="38" spans="1:11" ht="12.75" customHeight="1" thickBot="1" x14ac:dyDescent="0.25"/>
    <row r="39" spans="1:11" ht="15" customHeight="1" x14ac:dyDescent="0.2">
      <c r="B39" s="157" t="s">
        <v>15</v>
      </c>
      <c r="C39" s="158"/>
      <c r="D39" s="158"/>
      <c r="E39" s="159"/>
    </row>
    <row r="40" spans="1:11" ht="20.25" customHeight="1" x14ac:dyDescent="0.2">
      <c r="B40" s="122" t="s">
        <v>16</v>
      </c>
      <c r="C40" s="123"/>
      <c r="D40" s="123"/>
      <c r="E40" s="124"/>
    </row>
    <row r="41" spans="1:11" ht="64.5" customHeight="1" x14ac:dyDescent="0.2">
      <c r="B41" s="122"/>
      <c r="C41" s="206" t="s">
        <v>84</v>
      </c>
      <c r="D41" s="206"/>
      <c r="E41" s="207"/>
    </row>
    <row r="42" spans="1:11" ht="17.25" customHeight="1" x14ac:dyDescent="0.2">
      <c r="B42" s="122" t="s">
        <v>17</v>
      </c>
      <c r="C42" s="123"/>
      <c r="D42" s="123"/>
      <c r="E42" s="124"/>
    </row>
    <row r="43" spans="1:11" ht="12.75" customHeight="1" x14ac:dyDescent="0.2">
      <c r="B43" s="125"/>
      <c r="C43" s="206" t="s">
        <v>167</v>
      </c>
      <c r="D43" s="206"/>
      <c r="E43" s="207"/>
    </row>
    <row r="44" spans="1:11" ht="87" customHeight="1" x14ac:dyDescent="0.2">
      <c r="B44" s="125"/>
      <c r="C44" s="206"/>
      <c r="D44" s="206"/>
      <c r="E44" s="207"/>
    </row>
    <row r="45" spans="1:11" ht="15" customHeight="1" x14ac:dyDescent="0.2">
      <c r="B45" s="122" t="s">
        <v>18</v>
      </c>
      <c r="C45" s="123"/>
      <c r="D45" s="123"/>
      <c r="E45" s="124"/>
    </row>
    <row r="46" spans="1:11" ht="10.5" customHeight="1" x14ac:dyDescent="0.2">
      <c r="B46" s="125"/>
      <c r="C46" s="208"/>
      <c r="D46" s="208"/>
      <c r="E46" s="209"/>
    </row>
    <row r="47" spans="1:11" ht="18.75" customHeight="1" x14ac:dyDescent="0.2">
      <c r="B47" s="122" t="s">
        <v>164</v>
      </c>
      <c r="C47" s="230"/>
      <c r="D47" s="230"/>
      <c r="E47" s="231"/>
    </row>
    <row r="48" spans="1:11" ht="12" customHeight="1" x14ac:dyDescent="0.2">
      <c r="B48" s="125"/>
      <c r="C48" s="206" t="s">
        <v>165</v>
      </c>
      <c r="D48" s="206"/>
      <c r="E48" s="207"/>
    </row>
    <row r="49" spans="2:5" ht="12.75" customHeight="1" x14ac:dyDescent="0.2">
      <c r="B49" s="122" t="s">
        <v>19</v>
      </c>
      <c r="C49" s="162"/>
      <c r="D49" s="162"/>
      <c r="E49" s="163"/>
    </row>
    <row r="50" spans="2:5" ht="12.75" customHeight="1" x14ac:dyDescent="0.2">
      <c r="B50" s="122"/>
      <c r="C50" s="206" t="s">
        <v>70</v>
      </c>
      <c r="D50" s="206"/>
      <c r="E50" s="207"/>
    </row>
    <row r="51" spans="2:5" ht="12.75" customHeight="1" thickBot="1" x14ac:dyDescent="0.25">
      <c r="B51" s="126"/>
      <c r="C51" s="127"/>
      <c r="D51" s="127"/>
      <c r="E51" s="128"/>
    </row>
    <row r="52" spans="2:5" ht="15" thickBot="1" x14ac:dyDescent="0.25">
      <c r="B52" s="40"/>
      <c r="C52" s="40"/>
      <c r="D52" s="40"/>
      <c r="E52" s="40"/>
    </row>
    <row r="53" spans="2:5" ht="15" customHeight="1" x14ac:dyDescent="0.2">
      <c r="B53" s="157" t="s">
        <v>20</v>
      </c>
      <c r="C53" s="158"/>
      <c r="D53" s="158"/>
      <c r="E53" s="159"/>
    </row>
    <row r="54" spans="2:5" ht="16.5" customHeight="1" x14ac:dyDescent="0.2">
      <c r="B54" s="122" t="s">
        <v>16</v>
      </c>
      <c r="C54" s="123"/>
      <c r="D54" s="123"/>
      <c r="E54" s="124"/>
    </row>
    <row r="55" spans="2:5" ht="99.75" customHeight="1" x14ac:dyDescent="0.2">
      <c r="B55" s="122"/>
      <c r="C55" s="206" t="s">
        <v>85</v>
      </c>
      <c r="D55" s="206"/>
      <c r="E55" s="207"/>
    </row>
    <row r="56" spans="2:5" ht="16.5" customHeight="1" x14ac:dyDescent="0.2">
      <c r="B56" s="122" t="s">
        <v>17</v>
      </c>
      <c r="C56" s="123"/>
      <c r="D56" s="123"/>
      <c r="E56" s="124"/>
    </row>
    <row r="57" spans="2:5" ht="12.75" customHeight="1" x14ac:dyDescent="0.2">
      <c r="B57" s="125"/>
      <c r="C57" s="206" t="s">
        <v>167</v>
      </c>
      <c r="D57" s="206"/>
      <c r="E57" s="207"/>
    </row>
    <row r="58" spans="2:5" ht="82.5" customHeight="1" x14ac:dyDescent="0.2">
      <c r="B58" s="125"/>
      <c r="C58" s="206"/>
      <c r="D58" s="206"/>
      <c r="E58" s="207"/>
    </row>
    <row r="59" spans="2:5" ht="13.5" customHeight="1" x14ac:dyDescent="0.2">
      <c r="B59" s="122" t="s">
        <v>18</v>
      </c>
      <c r="C59" s="123"/>
      <c r="D59" s="123"/>
      <c r="E59" s="124"/>
    </row>
    <row r="60" spans="2:5" ht="7.5" customHeight="1" x14ac:dyDescent="0.2">
      <c r="B60" s="125"/>
      <c r="C60" s="208"/>
      <c r="D60" s="208"/>
      <c r="E60" s="209"/>
    </row>
    <row r="61" spans="2:5" ht="14.25" x14ac:dyDescent="0.2">
      <c r="B61" s="122" t="s">
        <v>164</v>
      </c>
      <c r="C61" s="175"/>
      <c r="D61" s="160"/>
      <c r="E61" s="161"/>
    </row>
    <row r="62" spans="2:5" ht="14.25" x14ac:dyDescent="0.2">
      <c r="B62" s="122"/>
      <c r="C62" s="175" t="s">
        <v>165</v>
      </c>
      <c r="D62" s="160"/>
      <c r="E62" s="161"/>
    </row>
    <row r="63" spans="2:5" ht="11.25" customHeight="1" x14ac:dyDescent="0.2">
      <c r="B63" s="122" t="s">
        <v>19</v>
      </c>
      <c r="C63" s="162"/>
      <c r="D63" s="162"/>
      <c r="E63" s="163"/>
    </row>
    <row r="64" spans="2:5" ht="12.75" customHeight="1" x14ac:dyDescent="0.2">
      <c r="B64" s="122"/>
      <c r="C64" s="206" t="s">
        <v>70</v>
      </c>
      <c r="D64" s="206"/>
      <c r="E64" s="207"/>
    </row>
    <row r="65" spans="2:5" ht="12.75" customHeight="1" thickBot="1" x14ac:dyDescent="0.25">
      <c r="B65" s="129"/>
      <c r="C65" s="130"/>
      <c r="D65" s="130"/>
      <c r="E65" s="131"/>
    </row>
    <row r="66" spans="2:5" ht="15" thickBot="1" x14ac:dyDescent="0.25">
      <c r="B66" s="40"/>
      <c r="C66" s="40"/>
      <c r="D66" s="40"/>
      <c r="E66" s="40"/>
    </row>
    <row r="67" spans="2:5" ht="15" x14ac:dyDescent="0.2">
      <c r="B67" s="157" t="s">
        <v>65</v>
      </c>
      <c r="C67" s="158"/>
      <c r="D67" s="158"/>
      <c r="E67" s="159"/>
    </row>
    <row r="68" spans="2:5" ht="12.75" customHeight="1" x14ac:dyDescent="0.2">
      <c r="B68" s="122" t="s">
        <v>16</v>
      </c>
      <c r="C68" s="123"/>
      <c r="D68" s="123"/>
      <c r="E68" s="124"/>
    </row>
    <row r="69" spans="2:5" ht="101.25" customHeight="1" x14ac:dyDescent="0.2">
      <c r="B69" s="122"/>
      <c r="C69" s="206" t="s">
        <v>86</v>
      </c>
      <c r="D69" s="206"/>
      <c r="E69" s="207"/>
    </row>
    <row r="70" spans="2:5" ht="20.25" customHeight="1" x14ac:dyDescent="0.2">
      <c r="B70" s="122" t="s">
        <v>17</v>
      </c>
      <c r="C70" s="123"/>
      <c r="D70" s="123"/>
      <c r="E70" s="124"/>
    </row>
    <row r="71" spans="2:5" ht="12.75" customHeight="1" x14ac:dyDescent="0.2">
      <c r="B71" s="125"/>
      <c r="C71" s="206" t="s">
        <v>167</v>
      </c>
      <c r="D71" s="206"/>
      <c r="E71" s="207"/>
    </row>
    <row r="72" spans="2:5" ht="83.25" customHeight="1" x14ac:dyDescent="0.2">
      <c r="B72" s="125"/>
      <c r="C72" s="206"/>
      <c r="D72" s="206"/>
      <c r="E72" s="207"/>
    </row>
    <row r="73" spans="2:5" ht="0.75" hidden="1" customHeight="1" x14ac:dyDescent="0.2">
      <c r="B73" s="122" t="s">
        <v>18</v>
      </c>
      <c r="C73" s="123"/>
      <c r="D73" s="123"/>
      <c r="E73" s="124"/>
    </row>
    <row r="74" spans="2:5" ht="12.75" hidden="1" customHeight="1" x14ac:dyDescent="0.2">
      <c r="B74" s="125"/>
      <c r="C74" s="208"/>
      <c r="D74" s="208"/>
      <c r="E74" s="209"/>
    </row>
    <row r="75" spans="2:5" ht="15" customHeight="1" x14ac:dyDescent="0.2">
      <c r="B75" s="122" t="s">
        <v>164</v>
      </c>
      <c r="C75" s="175"/>
      <c r="D75" s="160"/>
      <c r="E75" s="161"/>
    </row>
    <row r="76" spans="2:5" ht="15" customHeight="1" x14ac:dyDescent="0.2">
      <c r="B76" s="122"/>
      <c r="C76" s="175" t="s">
        <v>165</v>
      </c>
      <c r="D76" s="160"/>
      <c r="E76" s="161"/>
    </row>
    <row r="77" spans="2:5" ht="12.75" customHeight="1" x14ac:dyDescent="0.2">
      <c r="B77" s="122" t="s">
        <v>19</v>
      </c>
      <c r="C77" s="162"/>
      <c r="D77" s="162"/>
      <c r="E77" s="163"/>
    </row>
    <row r="78" spans="2:5" ht="12.75" customHeight="1" x14ac:dyDescent="0.2">
      <c r="B78" s="122"/>
      <c r="C78" s="206" t="s">
        <v>71</v>
      </c>
      <c r="D78" s="206"/>
      <c r="E78" s="207"/>
    </row>
    <row r="79" spans="2:5" ht="12.75" customHeight="1" thickBot="1" x14ac:dyDescent="0.25">
      <c r="B79" s="126"/>
      <c r="C79" s="127"/>
      <c r="D79" s="127"/>
      <c r="E79" s="128"/>
    </row>
    <row r="80" spans="2:5" ht="16.5" customHeight="1" thickBot="1" x14ac:dyDescent="0.25">
      <c r="B80" s="40"/>
      <c r="C80" s="40"/>
      <c r="D80" s="40"/>
      <c r="E80" s="40"/>
    </row>
    <row r="81" spans="2:5" ht="19.5" customHeight="1" x14ac:dyDescent="0.25">
      <c r="B81" s="136" t="s">
        <v>66</v>
      </c>
      <c r="C81" s="137"/>
      <c r="D81" s="137"/>
      <c r="E81" s="138"/>
    </row>
    <row r="82" spans="2:5" ht="16.5" customHeight="1" x14ac:dyDescent="0.2">
      <c r="B82" s="132" t="s">
        <v>16</v>
      </c>
      <c r="C82" s="133"/>
      <c r="D82" s="133"/>
      <c r="E82" s="134"/>
    </row>
    <row r="83" spans="2:5" ht="139.5" customHeight="1" x14ac:dyDescent="0.2">
      <c r="B83" s="132"/>
      <c r="C83" s="206" t="s">
        <v>87</v>
      </c>
      <c r="D83" s="206"/>
      <c r="E83" s="207"/>
    </row>
    <row r="84" spans="2:5" ht="16.5" customHeight="1" x14ac:dyDescent="0.2">
      <c r="B84" s="180" t="s">
        <v>17</v>
      </c>
      <c r="C84" s="133"/>
      <c r="D84" s="133"/>
      <c r="E84" s="134"/>
    </row>
    <row r="85" spans="2:5" ht="12.75" customHeight="1" x14ac:dyDescent="0.2">
      <c r="B85" s="135"/>
      <c r="C85" s="206" t="s">
        <v>167</v>
      </c>
      <c r="D85" s="206"/>
      <c r="E85" s="207"/>
    </row>
    <row r="86" spans="2:5" ht="84" customHeight="1" x14ac:dyDescent="0.2">
      <c r="B86" s="135"/>
      <c r="C86" s="206"/>
      <c r="D86" s="206"/>
      <c r="E86" s="207"/>
    </row>
    <row r="87" spans="2:5" ht="14.25" customHeight="1" x14ac:dyDescent="0.2">
      <c r="B87" s="132" t="s">
        <v>18</v>
      </c>
      <c r="C87" s="133"/>
      <c r="D87" s="133"/>
      <c r="E87" s="134"/>
    </row>
    <row r="88" spans="2:5" ht="9" customHeight="1" x14ac:dyDescent="0.2">
      <c r="B88" s="135"/>
      <c r="C88" s="217"/>
      <c r="D88" s="217"/>
      <c r="E88" s="218"/>
    </row>
    <row r="89" spans="2:5" ht="13.5" customHeight="1" x14ac:dyDescent="0.2">
      <c r="B89" s="132" t="s">
        <v>164</v>
      </c>
      <c r="C89" s="176"/>
      <c r="D89" s="139"/>
      <c r="E89" s="140"/>
    </row>
    <row r="90" spans="2:5" ht="18" customHeight="1" x14ac:dyDescent="0.2">
      <c r="B90" s="135"/>
      <c r="C90" s="215" t="s">
        <v>165</v>
      </c>
      <c r="D90" s="215"/>
      <c r="E90" s="216"/>
    </row>
    <row r="91" spans="2:5" ht="14.25" x14ac:dyDescent="0.2">
      <c r="B91" s="132" t="s">
        <v>19</v>
      </c>
      <c r="C91" s="141"/>
      <c r="D91" s="141"/>
      <c r="E91" s="142"/>
    </row>
    <row r="92" spans="2:5" ht="12.75" customHeight="1" x14ac:dyDescent="0.2">
      <c r="B92" s="132"/>
      <c r="C92" s="215" t="s">
        <v>71</v>
      </c>
      <c r="D92" s="215"/>
      <c r="E92" s="216"/>
    </row>
    <row r="93" spans="2:5" ht="15" thickBot="1" x14ac:dyDescent="0.25">
      <c r="B93" s="129"/>
      <c r="C93" s="130"/>
      <c r="D93" s="130"/>
      <c r="E93" s="131"/>
    </row>
    <row r="94" spans="2:5" ht="16.5" customHeight="1" thickBot="1" x14ac:dyDescent="0.25">
      <c r="B94" s="40"/>
      <c r="C94" s="40"/>
      <c r="D94" s="40"/>
      <c r="E94" s="40"/>
    </row>
    <row r="95" spans="2:5" ht="15" x14ac:dyDescent="0.2">
      <c r="B95" s="157" t="s">
        <v>67</v>
      </c>
      <c r="C95" s="158"/>
      <c r="D95" s="158"/>
      <c r="E95" s="159"/>
    </row>
    <row r="96" spans="2:5" ht="20.25" customHeight="1" x14ac:dyDescent="0.2">
      <c r="B96" s="122" t="s">
        <v>16</v>
      </c>
      <c r="C96" s="123"/>
      <c r="D96" s="123"/>
      <c r="E96" s="124"/>
    </row>
    <row r="97" spans="2:5" ht="67.5" customHeight="1" x14ac:dyDescent="0.2">
      <c r="B97" s="122"/>
      <c r="C97" s="206" t="s">
        <v>88</v>
      </c>
      <c r="D97" s="206"/>
      <c r="E97" s="207"/>
    </row>
    <row r="98" spans="2:5" ht="21" customHeight="1" x14ac:dyDescent="0.2">
      <c r="B98" s="122" t="s">
        <v>17</v>
      </c>
      <c r="C98" s="123"/>
      <c r="D98" s="123"/>
      <c r="E98" s="124"/>
    </row>
    <row r="99" spans="2:5" ht="12.75" customHeight="1" x14ac:dyDescent="0.2">
      <c r="B99" s="125"/>
      <c r="C99" s="206" t="s">
        <v>167</v>
      </c>
      <c r="D99" s="206"/>
      <c r="E99" s="207"/>
    </row>
    <row r="100" spans="2:5" ht="78.75" customHeight="1" x14ac:dyDescent="0.2">
      <c r="B100" s="125"/>
      <c r="C100" s="206"/>
      <c r="D100" s="206"/>
      <c r="E100" s="207"/>
    </row>
    <row r="101" spans="2:5" ht="13.5" customHeight="1" x14ac:dyDescent="0.2">
      <c r="B101" s="122" t="s">
        <v>18</v>
      </c>
      <c r="C101" s="123"/>
      <c r="D101" s="123"/>
      <c r="E101" s="124"/>
    </row>
    <row r="102" spans="2:5" ht="12.75" customHeight="1" x14ac:dyDescent="0.2">
      <c r="B102" s="125"/>
      <c r="C102" s="208"/>
      <c r="D102" s="208"/>
      <c r="E102" s="209"/>
    </row>
    <row r="103" spans="2:5" ht="14.25" x14ac:dyDescent="0.2">
      <c r="B103" s="122" t="s">
        <v>164</v>
      </c>
      <c r="C103" s="160"/>
      <c r="D103" s="160"/>
      <c r="E103" s="161"/>
    </row>
    <row r="104" spans="2:5" ht="14.25" x14ac:dyDescent="0.2">
      <c r="B104" s="122"/>
      <c r="C104" s="175" t="s">
        <v>165</v>
      </c>
      <c r="D104" s="160"/>
      <c r="E104" s="161"/>
    </row>
    <row r="105" spans="2:5" ht="14.25" x14ac:dyDescent="0.2">
      <c r="B105" s="122" t="s">
        <v>19</v>
      </c>
      <c r="C105" s="162"/>
      <c r="D105" s="162"/>
      <c r="E105" s="163"/>
    </row>
    <row r="106" spans="2:5" ht="12.75" customHeight="1" x14ac:dyDescent="0.2">
      <c r="B106" s="122"/>
      <c r="C106" s="206" t="s">
        <v>70</v>
      </c>
      <c r="D106" s="206"/>
      <c r="E106" s="207"/>
    </row>
    <row r="107" spans="2:5" ht="15" thickBot="1" x14ac:dyDescent="0.25">
      <c r="B107" s="126"/>
      <c r="C107" s="127"/>
      <c r="D107" s="127"/>
      <c r="E107" s="128"/>
    </row>
    <row r="108" spans="2:5" ht="15" customHeight="1" thickBot="1" x14ac:dyDescent="0.25">
      <c r="B108" s="27"/>
      <c r="C108" s="27"/>
      <c r="D108" s="27"/>
      <c r="E108" s="27"/>
    </row>
    <row r="109" spans="2:5" ht="15" x14ac:dyDescent="0.25">
      <c r="B109" s="136" t="s">
        <v>68</v>
      </c>
      <c r="C109" s="137"/>
      <c r="D109" s="137"/>
      <c r="E109" s="138"/>
    </row>
    <row r="110" spans="2:5" ht="18.75" customHeight="1" x14ac:dyDescent="0.2">
      <c r="B110" s="132" t="s">
        <v>16</v>
      </c>
      <c r="C110" s="133"/>
      <c r="D110" s="133"/>
      <c r="E110" s="134"/>
    </row>
    <row r="111" spans="2:5" ht="73.5" customHeight="1" x14ac:dyDescent="0.2">
      <c r="B111" s="132"/>
      <c r="C111" s="206" t="s">
        <v>90</v>
      </c>
      <c r="D111" s="206"/>
      <c r="E111" s="207"/>
    </row>
    <row r="112" spans="2:5" ht="24.75" customHeight="1" x14ac:dyDescent="0.2">
      <c r="B112" s="180" t="s">
        <v>17</v>
      </c>
      <c r="C112" s="133"/>
      <c r="D112" s="133"/>
      <c r="E112" s="134"/>
    </row>
    <row r="113" spans="2:5" ht="12.75" customHeight="1" x14ac:dyDescent="0.2">
      <c r="B113" s="135"/>
      <c r="C113" s="206" t="s">
        <v>167</v>
      </c>
      <c r="D113" s="206"/>
      <c r="E113" s="207"/>
    </row>
    <row r="114" spans="2:5" ht="75.75" customHeight="1" x14ac:dyDescent="0.2">
      <c r="B114" s="135"/>
      <c r="C114" s="206"/>
      <c r="D114" s="206"/>
      <c r="E114" s="207"/>
    </row>
    <row r="115" spans="2:5" ht="14.25" x14ac:dyDescent="0.2">
      <c r="B115" s="132" t="s">
        <v>18</v>
      </c>
      <c r="C115" s="133"/>
      <c r="D115" s="133"/>
      <c r="E115" s="134"/>
    </row>
    <row r="116" spans="2:5" ht="12.75" customHeight="1" x14ac:dyDescent="0.2">
      <c r="B116" s="135"/>
      <c r="C116" s="217"/>
      <c r="D116" s="217"/>
      <c r="E116" s="218"/>
    </row>
    <row r="117" spans="2:5" ht="14.25" x14ac:dyDescent="0.2">
      <c r="B117" s="132" t="s">
        <v>164</v>
      </c>
      <c r="C117" s="139"/>
      <c r="D117" s="139"/>
      <c r="E117" s="140"/>
    </row>
    <row r="118" spans="2:5" ht="14.25" x14ac:dyDescent="0.2">
      <c r="B118" s="132"/>
      <c r="C118" s="177" t="s">
        <v>165</v>
      </c>
      <c r="D118" s="139"/>
      <c r="E118" s="140"/>
    </row>
    <row r="119" spans="2:5" ht="14.25" customHeight="1" x14ac:dyDescent="0.2">
      <c r="B119" s="132" t="s">
        <v>19</v>
      </c>
      <c r="C119" s="141"/>
      <c r="D119" s="141"/>
      <c r="E119" s="142"/>
    </row>
    <row r="120" spans="2:5" ht="12.75" customHeight="1" x14ac:dyDescent="0.2">
      <c r="B120" s="132"/>
      <c r="C120" s="215" t="s">
        <v>70</v>
      </c>
      <c r="D120" s="215"/>
      <c r="E120" s="216"/>
    </row>
    <row r="121" spans="2:5" ht="15" thickBot="1" x14ac:dyDescent="0.25">
      <c r="B121" s="129"/>
      <c r="C121" s="130"/>
      <c r="D121" s="130"/>
      <c r="E121" s="131"/>
    </row>
    <row r="122" spans="2:5" ht="15" thickBot="1" x14ac:dyDescent="0.25">
      <c r="B122" s="40"/>
      <c r="C122" s="40"/>
      <c r="D122" s="40"/>
      <c r="E122" s="40"/>
    </row>
    <row r="123" spans="2:5" ht="12.75" customHeight="1" x14ac:dyDescent="0.2">
      <c r="B123" s="143" t="s">
        <v>69</v>
      </c>
      <c r="C123" s="144"/>
      <c r="D123" s="144"/>
      <c r="E123" s="145"/>
    </row>
    <row r="124" spans="2:5" ht="19.5" customHeight="1" x14ac:dyDescent="0.2">
      <c r="B124" s="122" t="s">
        <v>16</v>
      </c>
      <c r="C124" s="147"/>
      <c r="D124" s="147"/>
      <c r="E124" s="148"/>
    </row>
    <row r="125" spans="2:5" ht="45.75" customHeight="1" x14ac:dyDescent="0.2">
      <c r="B125" s="146"/>
      <c r="C125" s="206" t="s">
        <v>89</v>
      </c>
      <c r="D125" s="206"/>
      <c r="E125" s="207"/>
    </row>
    <row r="126" spans="2:5" ht="24.75" customHeight="1" x14ac:dyDescent="0.2">
      <c r="B126" s="122" t="s">
        <v>17</v>
      </c>
      <c r="C126" s="147"/>
      <c r="D126" s="147"/>
      <c r="E126" s="148"/>
    </row>
    <row r="127" spans="2:5" ht="12.75" customHeight="1" x14ac:dyDescent="0.2">
      <c r="B127" s="149"/>
      <c r="C127" s="213" t="s">
        <v>167</v>
      </c>
      <c r="D127" s="213"/>
      <c r="E127" s="214"/>
    </row>
    <row r="128" spans="2:5" ht="84" customHeight="1" x14ac:dyDescent="0.2">
      <c r="B128" s="149"/>
      <c r="C128" s="213"/>
      <c r="D128" s="213"/>
      <c r="E128" s="214"/>
    </row>
    <row r="129" spans="2:5" ht="12.75" customHeight="1" x14ac:dyDescent="0.2">
      <c r="B129" s="146" t="s">
        <v>18</v>
      </c>
      <c r="C129" s="147"/>
      <c r="D129" s="147"/>
      <c r="E129" s="148"/>
    </row>
    <row r="130" spans="2:5" ht="12.75" customHeight="1" x14ac:dyDescent="0.2">
      <c r="B130" s="146"/>
      <c r="C130" s="147"/>
      <c r="D130" s="147"/>
      <c r="E130" s="148"/>
    </row>
    <row r="131" spans="2:5" ht="15.75" customHeight="1" x14ac:dyDescent="0.2">
      <c r="B131" s="146" t="s">
        <v>166</v>
      </c>
      <c r="C131" s="150"/>
      <c r="D131" s="150"/>
      <c r="E131" s="151"/>
    </row>
    <row r="132" spans="2:5" ht="15.75" customHeight="1" x14ac:dyDescent="0.2">
      <c r="B132" s="146"/>
      <c r="C132" s="219" t="s">
        <v>165</v>
      </c>
      <c r="D132" s="219"/>
      <c r="E132" s="220"/>
    </row>
    <row r="133" spans="2:5" ht="21.75" customHeight="1" x14ac:dyDescent="0.2">
      <c r="B133" s="146" t="s">
        <v>19</v>
      </c>
      <c r="C133" s="152"/>
      <c r="D133" s="152"/>
      <c r="E133" s="153"/>
    </row>
    <row r="134" spans="2:5" ht="12.75" customHeight="1" x14ac:dyDescent="0.2">
      <c r="B134" s="146"/>
      <c r="C134" s="213" t="s">
        <v>70</v>
      </c>
      <c r="D134" s="213"/>
      <c r="E134" s="214"/>
    </row>
    <row r="135" spans="2:5" ht="12.75" customHeight="1" thickBot="1" x14ac:dyDescent="0.25">
      <c r="B135" s="154"/>
      <c r="C135" s="155"/>
      <c r="D135" s="155"/>
      <c r="E135" s="156"/>
    </row>
    <row r="136" spans="2:5" ht="22.5" customHeight="1" thickBot="1" x14ac:dyDescent="0.25">
      <c r="B136" s="27"/>
      <c r="C136" s="27"/>
      <c r="D136" s="27"/>
      <c r="E136" s="27"/>
    </row>
    <row r="137" spans="2:5" ht="13.5" customHeight="1" thickBot="1" x14ac:dyDescent="0.25">
      <c r="B137" s="184" t="s">
        <v>128</v>
      </c>
      <c r="C137" s="185"/>
      <c r="D137" s="185"/>
      <c r="E137" s="186"/>
    </row>
    <row r="138" spans="2:5" ht="14.25" x14ac:dyDescent="0.2">
      <c r="B138" s="102" t="s">
        <v>16</v>
      </c>
      <c r="C138" s="40"/>
      <c r="D138" s="40"/>
      <c r="E138" s="103"/>
    </row>
    <row r="139" spans="2:5" ht="14.25" customHeight="1" x14ac:dyDescent="0.2">
      <c r="B139" s="102"/>
      <c r="C139" s="187" t="s">
        <v>119</v>
      </c>
      <c r="D139" s="188"/>
      <c r="E139" s="189"/>
    </row>
    <row r="140" spans="2:5" ht="14.25" x14ac:dyDescent="0.2">
      <c r="B140" s="104" t="s">
        <v>17</v>
      </c>
      <c r="C140" s="40"/>
      <c r="D140" s="40"/>
      <c r="E140" s="103"/>
    </row>
    <row r="141" spans="2:5" ht="99.75" customHeight="1" x14ac:dyDescent="0.2">
      <c r="B141" s="105"/>
      <c r="C141" s="187" t="s">
        <v>167</v>
      </c>
      <c r="D141" s="188"/>
      <c r="E141" s="189"/>
    </row>
    <row r="142" spans="2:5" ht="14.25" x14ac:dyDescent="0.2">
      <c r="B142" s="102" t="s">
        <v>18</v>
      </c>
      <c r="C142" s="106"/>
      <c r="D142" s="106"/>
      <c r="E142" s="107"/>
    </row>
    <row r="143" spans="2:5" ht="14.25" x14ac:dyDescent="0.2">
      <c r="B143" s="105"/>
      <c r="C143" s="195"/>
      <c r="D143" s="204"/>
      <c r="E143" s="205"/>
    </row>
    <row r="144" spans="2:5" ht="14.25" x14ac:dyDescent="0.2">
      <c r="B144" s="102" t="s">
        <v>120</v>
      </c>
      <c r="C144" s="108"/>
      <c r="D144" s="108"/>
      <c r="E144" s="109"/>
    </row>
    <row r="145" spans="2:5" ht="14.25" x14ac:dyDescent="0.2">
      <c r="B145" s="105"/>
      <c r="C145" s="187" t="s">
        <v>165</v>
      </c>
      <c r="D145" s="182"/>
      <c r="E145" s="183"/>
    </row>
    <row r="146" spans="2:5" ht="14.25" x14ac:dyDescent="0.2">
      <c r="B146" s="102" t="s">
        <v>19</v>
      </c>
      <c r="C146" s="106"/>
      <c r="D146" s="106"/>
      <c r="E146" s="107"/>
    </row>
    <row r="147" spans="2:5" ht="14.25" x14ac:dyDescent="0.2">
      <c r="B147" s="102"/>
      <c r="C147" s="181" t="s">
        <v>121</v>
      </c>
      <c r="D147" s="182"/>
      <c r="E147" s="183"/>
    </row>
    <row r="148" spans="2:5" ht="15" thickBot="1" x14ac:dyDescent="0.25">
      <c r="B148" s="110"/>
      <c r="C148" s="111"/>
      <c r="D148" s="111"/>
      <c r="E148" s="112"/>
    </row>
    <row r="149" spans="2:5" ht="13.5" thickBot="1" x14ac:dyDescent="0.25">
      <c r="B149"/>
      <c r="C149"/>
      <c r="D149"/>
      <c r="E149"/>
    </row>
    <row r="150" spans="2:5" ht="13.5" customHeight="1" thickBot="1" x14ac:dyDescent="0.25">
      <c r="B150" s="184" t="s">
        <v>130</v>
      </c>
      <c r="C150" s="185"/>
      <c r="D150" s="185"/>
      <c r="E150" s="186"/>
    </row>
    <row r="151" spans="2:5" ht="14.25" x14ac:dyDescent="0.2">
      <c r="B151" s="104" t="s">
        <v>16</v>
      </c>
      <c r="C151" s="40"/>
      <c r="D151" s="40"/>
      <c r="E151" s="103"/>
    </row>
    <row r="152" spans="2:5" ht="18" customHeight="1" x14ac:dyDescent="0.2">
      <c r="B152" s="102"/>
      <c r="C152" s="187" t="s">
        <v>122</v>
      </c>
      <c r="D152" s="188"/>
      <c r="E152" s="189"/>
    </row>
    <row r="153" spans="2:5" ht="20.25" customHeight="1" x14ac:dyDescent="0.2">
      <c r="B153" s="104" t="s">
        <v>17</v>
      </c>
      <c r="C153" s="40"/>
      <c r="D153" s="40"/>
      <c r="E153" s="103"/>
    </row>
    <row r="154" spans="2:5" ht="106.5" customHeight="1" x14ac:dyDescent="0.2">
      <c r="B154" s="105"/>
      <c r="C154" s="187" t="s">
        <v>167</v>
      </c>
      <c r="D154" s="188"/>
      <c r="E154" s="189"/>
    </row>
    <row r="155" spans="2:5" ht="14.25" x14ac:dyDescent="0.2">
      <c r="B155" s="104" t="s">
        <v>18</v>
      </c>
      <c r="C155" s="106"/>
      <c r="D155" s="106"/>
      <c r="E155" s="107"/>
    </row>
    <row r="156" spans="2:5" ht="14.25" x14ac:dyDescent="0.2">
      <c r="B156" s="105"/>
      <c r="C156" s="195"/>
      <c r="D156" s="204"/>
      <c r="E156" s="205"/>
    </row>
    <row r="157" spans="2:5" ht="14.25" x14ac:dyDescent="0.2">
      <c r="B157" s="104" t="s">
        <v>120</v>
      </c>
      <c r="C157" s="108"/>
      <c r="D157" s="108"/>
      <c r="E157" s="109"/>
    </row>
    <row r="158" spans="2:5" ht="14.25" x14ac:dyDescent="0.2">
      <c r="B158" s="105"/>
      <c r="C158" s="187" t="s">
        <v>165</v>
      </c>
      <c r="D158" s="182"/>
      <c r="E158" s="183"/>
    </row>
    <row r="159" spans="2:5" ht="14.25" x14ac:dyDescent="0.2">
      <c r="B159" s="104" t="s">
        <v>19</v>
      </c>
      <c r="C159" s="106"/>
      <c r="D159" s="106"/>
      <c r="E159" s="107"/>
    </row>
    <row r="160" spans="2:5" ht="14.25" x14ac:dyDescent="0.2">
      <c r="B160" s="102"/>
      <c r="C160" s="181" t="s">
        <v>121</v>
      </c>
      <c r="D160" s="182"/>
      <c r="E160" s="183"/>
    </row>
    <row r="161" spans="2:5" ht="15" thickBot="1" x14ac:dyDescent="0.25">
      <c r="B161" s="110"/>
      <c r="C161" s="111"/>
      <c r="D161" s="111"/>
      <c r="E161" s="112"/>
    </row>
    <row r="162" spans="2:5" ht="13.5" thickBot="1" x14ac:dyDescent="0.25">
      <c r="B162"/>
      <c r="C162"/>
      <c r="D162"/>
      <c r="E162"/>
    </row>
    <row r="163" spans="2:5" ht="13.5" customHeight="1" thickBot="1" x14ac:dyDescent="0.25">
      <c r="B163" s="184" t="s">
        <v>132</v>
      </c>
      <c r="C163" s="185"/>
      <c r="D163" s="185"/>
      <c r="E163" s="186"/>
    </row>
    <row r="164" spans="2:5" ht="14.25" x14ac:dyDescent="0.2">
      <c r="B164" s="104" t="s">
        <v>16</v>
      </c>
      <c r="C164" s="68"/>
      <c r="D164" s="68"/>
      <c r="E164" s="113"/>
    </row>
    <row r="165" spans="2:5" ht="45" customHeight="1" x14ac:dyDescent="0.2">
      <c r="B165" s="104"/>
      <c r="C165" s="187" t="s">
        <v>123</v>
      </c>
      <c r="D165" s="188"/>
      <c r="E165" s="189"/>
    </row>
    <row r="166" spans="2:5" ht="24.75" customHeight="1" x14ac:dyDescent="0.2">
      <c r="B166" s="104" t="s">
        <v>17</v>
      </c>
      <c r="C166" s="68"/>
      <c r="D166" s="68"/>
      <c r="E166" s="113"/>
    </row>
    <row r="167" spans="2:5" ht="99" customHeight="1" x14ac:dyDescent="0.2">
      <c r="B167" s="114"/>
      <c r="C167" s="187" t="s">
        <v>167</v>
      </c>
      <c r="D167" s="188"/>
      <c r="E167" s="189"/>
    </row>
    <row r="168" spans="2:5" ht="14.25" x14ac:dyDescent="0.2">
      <c r="B168" s="104" t="s">
        <v>18</v>
      </c>
      <c r="C168" s="115"/>
      <c r="D168" s="115"/>
      <c r="E168" s="116"/>
    </row>
    <row r="169" spans="2:5" ht="14.25" x14ac:dyDescent="0.2">
      <c r="B169" s="114"/>
      <c r="C169" s="190"/>
      <c r="D169" s="188"/>
      <c r="E169" s="189"/>
    </row>
    <row r="170" spans="2:5" ht="14.25" x14ac:dyDescent="0.2">
      <c r="B170" s="104" t="s">
        <v>120</v>
      </c>
      <c r="C170" s="117"/>
      <c r="D170" s="117"/>
      <c r="E170" s="118"/>
    </row>
    <row r="171" spans="2:5" ht="14.25" x14ac:dyDescent="0.2">
      <c r="B171" s="114"/>
      <c r="C171" s="187" t="s">
        <v>165</v>
      </c>
      <c r="D171" s="182"/>
      <c r="E171" s="183"/>
    </row>
    <row r="172" spans="2:5" ht="14.25" x14ac:dyDescent="0.2">
      <c r="B172" s="104" t="s">
        <v>19</v>
      </c>
      <c r="C172" s="115"/>
      <c r="D172" s="115"/>
      <c r="E172" s="116"/>
    </row>
    <row r="173" spans="2:5" ht="14.25" x14ac:dyDescent="0.2">
      <c r="B173" s="104"/>
      <c r="C173" s="181" t="s">
        <v>121</v>
      </c>
      <c r="D173" s="182"/>
      <c r="E173" s="183"/>
    </row>
    <row r="174" spans="2:5" ht="15" thickBot="1" x14ac:dyDescent="0.25">
      <c r="B174" s="119"/>
      <c r="C174" s="120"/>
      <c r="D174" s="120"/>
      <c r="E174" s="121"/>
    </row>
    <row r="175" spans="2:5" ht="13.5" thickBot="1" x14ac:dyDescent="0.25">
      <c r="B175"/>
      <c r="C175"/>
      <c r="D175"/>
      <c r="E175"/>
    </row>
    <row r="176" spans="2:5" ht="13.5" customHeight="1" thickBot="1" x14ac:dyDescent="0.25">
      <c r="B176" s="184" t="s">
        <v>134</v>
      </c>
      <c r="C176" s="202"/>
      <c r="D176" s="202"/>
      <c r="E176" s="203"/>
    </row>
    <row r="177" spans="2:5" ht="14.25" x14ac:dyDescent="0.2">
      <c r="B177" s="104" t="s">
        <v>16</v>
      </c>
      <c r="C177" s="68"/>
      <c r="D177" s="68"/>
      <c r="E177" s="113"/>
    </row>
    <row r="178" spans="2:5" ht="73.5" customHeight="1" x14ac:dyDescent="0.2">
      <c r="B178" s="104"/>
      <c r="C178" s="187" t="s">
        <v>124</v>
      </c>
      <c r="D178" s="188"/>
      <c r="E178" s="189"/>
    </row>
    <row r="179" spans="2:5" ht="21.75" customHeight="1" x14ac:dyDescent="0.2">
      <c r="B179" s="104" t="s">
        <v>17</v>
      </c>
      <c r="C179" s="68"/>
      <c r="D179" s="68"/>
      <c r="E179" s="113"/>
    </row>
    <row r="180" spans="2:5" ht="91.5" customHeight="1" x14ac:dyDescent="0.2">
      <c r="B180" s="114"/>
      <c r="C180" s="187" t="s">
        <v>167</v>
      </c>
      <c r="D180" s="188"/>
      <c r="E180" s="189"/>
    </row>
    <row r="181" spans="2:5" ht="14.25" x14ac:dyDescent="0.2">
      <c r="B181" s="104" t="s">
        <v>18</v>
      </c>
      <c r="C181" s="115"/>
      <c r="D181" s="115"/>
      <c r="E181" s="116"/>
    </row>
    <row r="182" spans="2:5" ht="14.25" x14ac:dyDescent="0.2">
      <c r="B182" s="114"/>
      <c r="C182" s="190"/>
      <c r="D182" s="188"/>
      <c r="E182" s="189"/>
    </row>
    <row r="183" spans="2:5" ht="14.25" x14ac:dyDescent="0.2">
      <c r="B183" s="104" t="s">
        <v>120</v>
      </c>
      <c r="C183" s="117"/>
      <c r="D183" s="117"/>
      <c r="E183" s="118"/>
    </row>
    <row r="184" spans="2:5" ht="14.25" x14ac:dyDescent="0.2">
      <c r="B184" s="114"/>
      <c r="C184" s="187" t="s">
        <v>165</v>
      </c>
      <c r="D184" s="182"/>
      <c r="E184" s="183"/>
    </row>
    <row r="185" spans="2:5" ht="14.25" x14ac:dyDescent="0.2">
      <c r="B185" s="104" t="s">
        <v>19</v>
      </c>
      <c r="C185" s="115"/>
      <c r="D185" s="115"/>
      <c r="E185" s="116"/>
    </row>
    <row r="186" spans="2:5" ht="14.25" x14ac:dyDescent="0.2">
      <c r="B186" s="104"/>
      <c r="C186" s="181" t="s">
        <v>121</v>
      </c>
      <c r="D186" s="182"/>
      <c r="E186" s="183"/>
    </row>
    <row r="187" spans="2:5" ht="15" thickBot="1" x14ac:dyDescent="0.25">
      <c r="B187" s="119"/>
      <c r="C187" s="120"/>
      <c r="D187" s="120"/>
      <c r="E187" s="121"/>
    </row>
    <row r="188" spans="2:5" ht="13.5" thickBot="1" x14ac:dyDescent="0.25">
      <c r="B188"/>
      <c r="C188"/>
      <c r="D188"/>
      <c r="E188"/>
    </row>
    <row r="189" spans="2:5" ht="13.5" customHeight="1" thickBot="1" x14ac:dyDescent="0.25">
      <c r="B189" s="184" t="s">
        <v>136</v>
      </c>
      <c r="C189" s="185"/>
      <c r="D189" s="185"/>
      <c r="E189" s="186"/>
    </row>
    <row r="190" spans="2:5" ht="18" customHeight="1" x14ac:dyDescent="0.2">
      <c r="B190" s="104" t="s">
        <v>16</v>
      </c>
      <c r="C190" s="40"/>
      <c r="D190" s="40"/>
      <c r="E190" s="103"/>
    </row>
    <row r="191" spans="2:5" ht="49.5" customHeight="1" x14ac:dyDescent="0.2">
      <c r="B191" s="102"/>
      <c r="C191" s="187" t="s">
        <v>125</v>
      </c>
      <c r="D191" s="188"/>
      <c r="E191" s="189"/>
    </row>
    <row r="192" spans="2:5" ht="25.5" customHeight="1" x14ac:dyDescent="0.2">
      <c r="B192" s="104" t="s">
        <v>17</v>
      </c>
      <c r="C192" s="40"/>
      <c r="D192" s="40"/>
      <c r="E192" s="103"/>
    </row>
    <row r="193" spans="2:5" ht="108" customHeight="1" x14ac:dyDescent="0.2">
      <c r="B193" s="105"/>
      <c r="C193" s="187" t="s">
        <v>167</v>
      </c>
      <c r="D193" s="188"/>
      <c r="E193" s="189"/>
    </row>
    <row r="194" spans="2:5" ht="14.25" x14ac:dyDescent="0.2">
      <c r="B194" s="102" t="s">
        <v>18</v>
      </c>
      <c r="C194" s="106"/>
      <c r="D194" s="106"/>
      <c r="E194" s="107"/>
    </row>
    <row r="195" spans="2:5" ht="14.25" x14ac:dyDescent="0.2">
      <c r="B195" s="105"/>
      <c r="C195" s="195"/>
      <c r="D195" s="204"/>
      <c r="E195" s="205"/>
    </row>
    <row r="196" spans="2:5" ht="14.25" x14ac:dyDescent="0.2">
      <c r="B196" s="102" t="s">
        <v>120</v>
      </c>
      <c r="C196" s="108"/>
      <c r="D196" s="108"/>
      <c r="E196" s="109"/>
    </row>
    <row r="197" spans="2:5" ht="14.25" x14ac:dyDescent="0.2">
      <c r="B197" s="105"/>
      <c r="C197" s="187" t="s">
        <v>165</v>
      </c>
      <c r="D197" s="182"/>
      <c r="E197" s="183"/>
    </row>
    <row r="198" spans="2:5" ht="14.25" x14ac:dyDescent="0.2">
      <c r="B198" s="102" t="s">
        <v>19</v>
      </c>
      <c r="C198" s="106"/>
      <c r="D198" s="106"/>
      <c r="E198" s="107"/>
    </row>
    <row r="199" spans="2:5" ht="14.25" x14ac:dyDescent="0.2">
      <c r="B199" s="102"/>
      <c r="C199" s="181" t="s">
        <v>121</v>
      </c>
      <c r="D199" s="182"/>
      <c r="E199" s="183"/>
    </row>
    <row r="200" spans="2:5" ht="15" thickBot="1" x14ac:dyDescent="0.25">
      <c r="B200" s="110"/>
      <c r="C200" s="111"/>
      <c r="D200" s="111"/>
      <c r="E200" s="112"/>
    </row>
    <row r="201" spans="2:5" ht="15" thickBot="1" x14ac:dyDescent="0.25">
      <c r="B201" s="66"/>
      <c r="C201" s="40"/>
      <c r="D201" s="40"/>
      <c r="E201" s="40"/>
    </row>
    <row r="202" spans="2:5" ht="13.5" customHeight="1" thickBot="1" x14ac:dyDescent="0.25">
      <c r="B202" s="184" t="s">
        <v>138</v>
      </c>
      <c r="C202" s="202"/>
      <c r="D202" s="202"/>
      <c r="E202" s="203"/>
    </row>
    <row r="203" spans="2:5" ht="14.25" x14ac:dyDescent="0.2">
      <c r="B203" s="104" t="s">
        <v>16</v>
      </c>
      <c r="C203" s="68"/>
      <c r="D203" s="68"/>
      <c r="E203" s="113"/>
    </row>
    <row r="204" spans="2:5" ht="27.75" customHeight="1" x14ac:dyDescent="0.2">
      <c r="B204" s="104"/>
      <c r="C204" s="187" t="s">
        <v>126</v>
      </c>
      <c r="D204" s="188"/>
      <c r="E204" s="189"/>
    </row>
    <row r="205" spans="2:5" ht="25.5" customHeight="1" x14ac:dyDescent="0.2">
      <c r="B205" s="104" t="s">
        <v>17</v>
      </c>
      <c r="C205" s="68"/>
      <c r="D205" s="68"/>
      <c r="E205" s="113"/>
    </row>
    <row r="206" spans="2:5" ht="100.5" customHeight="1" x14ac:dyDescent="0.2">
      <c r="B206" s="114"/>
      <c r="C206" s="187" t="s">
        <v>167</v>
      </c>
      <c r="D206" s="188"/>
      <c r="E206" s="189"/>
    </row>
    <row r="207" spans="2:5" ht="14.25" x14ac:dyDescent="0.2">
      <c r="B207" s="104" t="s">
        <v>18</v>
      </c>
      <c r="C207" s="115"/>
      <c r="D207" s="115"/>
      <c r="E207" s="116"/>
    </row>
    <row r="208" spans="2:5" ht="7.5" customHeight="1" x14ac:dyDescent="0.2">
      <c r="B208" s="114"/>
      <c r="C208" s="190"/>
      <c r="D208" s="188"/>
      <c r="E208" s="189"/>
    </row>
    <row r="209" spans="2:5" ht="14.25" x14ac:dyDescent="0.2">
      <c r="B209" s="104" t="s">
        <v>120</v>
      </c>
      <c r="C209" s="174"/>
      <c r="D209" s="174"/>
      <c r="E209" s="118"/>
    </row>
    <row r="210" spans="2:5" ht="14.25" x14ac:dyDescent="0.2">
      <c r="B210" s="114"/>
      <c r="C210" s="187" t="s">
        <v>165</v>
      </c>
      <c r="D210" s="182"/>
      <c r="E210" s="183"/>
    </row>
    <row r="211" spans="2:5" ht="14.25" x14ac:dyDescent="0.2">
      <c r="B211" s="104" t="s">
        <v>19</v>
      </c>
      <c r="C211" s="115"/>
      <c r="D211" s="115"/>
      <c r="E211" s="116"/>
    </row>
    <row r="212" spans="2:5" ht="14.25" x14ac:dyDescent="0.2">
      <c r="B212" s="104"/>
      <c r="C212" s="181" t="s">
        <v>121</v>
      </c>
      <c r="D212" s="182"/>
      <c r="E212" s="183"/>
    </row>
    <row r="213" spans="2:5" ht="15" thickBot="1" x14ac:dyDescent="0.25">
      <c r="B213" s="119"/>
      <c r="C213" s="120"/>
      <c r="D213" s="120"/>
      <c r="E213" s="121"/>
    </row>
    <row r="214" spans="2:5" ht="13.5" thickBot="1" x14ac:dyDescent="0.25">
      <c r="B214"/>
      <c r="C214"/>
      <c r="D214"/>
      <c r="E214"/>
    </row>
    <row r="215" spans="2:5" ht="15.75" customHeight="1" thickBot="1" x14ac:dyDescent="0.25">
      <c r="B215" s="184" t="s">
        <v>140</v>
      </c>
      <c r="C215" s="198"/>
      <c r="D215" s="198"/>
      <c r="E215" s="199"/>
    </row>
    <row r="216" spans="2:5" ht="14.25" x14ac:dyDescent="0.2">
      <c r="B216" s="102" t="s">
        <v>16</v>
      </c>
      <c r="C216" s="40"/>
      <c r="D216" s="40"/>
      <c r="E216" s="103"/>
    </row>
    <row r="217" spans="2:5" ht="57" customHeight="1" x14ac:dyDescent="0.2">
      <c r="B217" s="102"/>
      <c r="C217" s="200" t="s">
        <v>127</v>
      </c>
      <c r="D217" s="200"/>
      <c r="E217" s="201"/>
    </row>
    <row r="218" spans="2:5" s="178" customFormat="1" ht="24" customHeight="1" x14ac:dyDescent="0.2">
      <c r="B218" s="104" t="s">
        <v>17</v>
      </c>
      <c r="C218" s="68"/>
      <c r="D218" s="68"/>
      <c r="E218" s="113"/>
    </row>
    <row r="219" spans="2:5" ht="96" customHeight="1" x14ac:dyDescent="0.2">
      <c r="B219" s="105"/>
      <c r="C219" s="187" t="s">
        <v>167</v>
      </c>
      <c r="D219" s="187"/>
      <c r="E219" s="194"/>
    </row>
    <row r="220" spans="2:5" ht="14.25" x14ac:dyDescent="0.2">
      <c r="B220" s="102" t="s">
        <v>18</v>
      </c>
      <c r="C220" s="106"/>
      <c r="D220" s="106"/>
      <c r="E220" s="107"/>
    </row>
    <row r="221" spans="2:5" ht="14.25" x14ac:dyDescent="0.2">
      <c r="B221" s="105"/>
      <c r="C221" s="195"/>
      <c r="D221" s="195"/>
      <c r="E221" s="196"/>
    </row>
    <row r="222" spans="2:5" ht="14.25" x14ac:dyDescent="0.2">
      <c r="B222" s="102" t="s">
        <v>120</v>
      </c>
      <c r="C222" s="108"/>
      <c r="D222" s="108"/>
      <c r="E222" s="109"/>
    </row>
    <row r="223" spans="2:5" ht="14.25" x14ac:dyDescent="0.2">
      <c r="B223" s="105"/>
      <c r="C223" s="187" t="s">
        <v>165</v>
      </c>
      <c r="D223" s="187"/>
      <c r="E223" s="194"/>
    </row>
    <row r="224" spans="2:5" ht="14.25" x14ac:dyDescent="0.2">
      <c r="B224" s="102" t="s">
        <v>19</v>
      </c>
      <c r="C224" s="106"/>
      <c r="D224" s="106"/>
      <c r="E224" s="107"/>
    </row>
    <row r="225" spans="2:5" ht="14.25" x14ac:dyDescent="0.2">
      <c r="B225" s="102"/>
      <c r="C225" s="181" t="s">
        <v>121</v>
      </c>
      <c r="D225" s="181"/>
      <c r="E225" s="197"/>
    </row>
    <row r="226" spans="2:5" ht="15" thickBot="1" x14ac:dyDescent="0.25">
      <c r="B226" s="110"/>
      <c r="C226" s="111"/>
      <c r="D226" s="111"/>
      <c r="E226" s="112"/>
    </row>
    <row r="227" spans="2:5" ht="13.5" thickBot="1" x14ac:dyDescent="0.25">
      <c r="B227"/>
      <c r="C227"/>
      <c r="D227"/>
      <c r="E227"/>
    </row>
    <row r="228" spans="2:5" ht="13.5" customHeight="1" thickBot="1" x14ac:dyDescent="0.25">
      <c r="B228" s="184" t="s">
        <v>142</v>
      </c>
      <c r="C228" s="185"/>
      <c r="D228" s="185"/>
      <c r="E228" s="186"/>
    </row>
    <row r="229" spans="2:5" ht="14.25" x14ac:dyDescent="0.2">
      <c r="B229" s="104" t="s">
        <v>16</v>
      </c>
      <c r="C229" s="68"/>
      <c r="D229" s="68"/>
      <c r="E229" s="113"/>
    </row>
    <row r="230" spans="2:5" ht="61.5" customHeight="1" x14ac:dyDescent="0.2">
      <c r="B230" s="104"/>
      <c r="C230" s="187" t="s">
        <v>129</v>
      </c>
      <c r="D230" s="188"/>
      <c r="E230" s="189"/>
    </row>
    <row r="231" spans="2:5" ht="24.75" customHeight="1" x14ac:dyDescent="0.2">
      <c r="B231" s="104" t="s">
        <v>17</v>
      </c>
      <c r="C231" s="68"/>
      <c r="D231" s="68"/>
      <c r="E231" s="113"/>
    </row>
    <row r="232" spans="2:5" ht="93" customHeight="1" x14ac:dyDescent="0.2">
      <c r="B232" s="114"/>
      <c r="C232" s="187" t="s">
        <v>167</v>
      </c>
      <c r="D232" s="188"/>
      <c r="E232" s="189"/>
    </row>
    <row r="233" spans="2:5" ht="14.25" x14ac:dyDescent="0.2">
      <c r="B233" s="104" t="s">
        <v>18</v>
      </c>
      <c r="C233" s="115"/>
      <c r="D233" s="115"/>
      <c r="E233" s="116"/>
    </row>
    <row r="234" spans="2:5" ht="11.25" customHeight="1" x14ac:dyDescent="0.2">
      <c r="B234" s="114"/>
      <c r="C234" s="190"/>
      <c r="D234" s="188"/>
      <c r="E234" s="189"/>
    </row>
    <row r="235" spans="2:5" ht="14.25" x14ac:dyDescent="0.2">
      <c r="B235" s="104" t="s">
        <v>120</v>
      </c>
      <c r="C235" s="117"/>
      <c r="D235" s="117"/>
      <c r="E235" s="118"/>
    </row>
    <row r="236" spans="2:5" ht="14.25" x14ac:dyDescent="0.2">
      <c r="B236" s="114"/>
      <c r="C236" s="187" t="s">
        <v>165</v>
      </c>
      <c r="D236" s="182"/>
      <c r="E236" s="183"/>
    </row>
    <row r="237" spans="2:5" ht="14.25" x14ac:dyDescent="0.2">
      <c r="B237" s="104" t="s">
        <v>19</v>
      </c>
      <c r="C237" s="115"/>
      <c r="D237" s="115"/>
      <c r="E237" s="116"/>
    </row>
    <row r="238" spans="2:5" ht="14.25" x14ac:dyDescent="0.2">
      <c r="B238" s="104"/>
      <c r="C238" s="181" t="s">
        <v>121</v>
      </c>
      <c r="D238" s="182"/>
      <c r="E238" s="183"/>
    </row>
    <row r="239" spans="2:5" ht="15" thickBot="1" x14ac:dyDescent="0.25">
      <c r="B239" s="119"/>
      <c r="C239" s="120"/>
      <c r="D239" s="120"/>
      <c r="E239" s="121"/>
    </row>
    <row r="240" spans="2:5" ht="13.5" thickBot="1" x14ac:dyDescent="0.25">
      <c r="B240"/>
      <c r="C240"/>
      <c r="D240"/>
      <c r="E240"/>
    </row>
    <row r="241" spans="2:5" ht="13.5" customHeight="1" thickBot="1" x14ac:dyDescent="0.25">
      <c r="B241" s="184" t="s">
        <v>143</v>
      </c>
      <c r="C241" s="185"/>
      <c r="D241" s="185"/>
      <c r="E241" s="186"/>
    </row>
    <row r="242" spans="2:5" ht="14.25" x14ac:dyDescent="0.2">
      <c r="B242" s="104" t="s">
        <v>16</v>
      </c>
      <c r="C242" s="68"/>
      <c r="D242" s="68"/>
      <c r="E242" s="113"/>
    </row>
    <row r="243" spans="2:5" ht="117.75" customHeight="1" x14ac:dyDescent="0.2">
      <c r="B243" s="104"/>
      <c r="C243" s="191" t="s">
        <v>131</v>
      </c>
      <c r="D243" s="192"/>
      <c r="E243" s="193"/>
    </row>
    <row r="244" spans="2:5" ht="24.75" customHeight="1" x14ac:dyDescent="0.2">
      <c r="B244" s="104" t="s">
        <v>17</v>
      </c>
      <c r="C244" s="179"/>
      <c r="D244" s="68"/>
      <c r="E244" s="113"/>
    </row>
    <row r="245" spans="2:5" ht="95.25" customHeight="1" x14ac:dyDescent="0.2">
      <c r="B245" s="114"/>
      <c r="C245" s="187" t="s">
        <v>167</v>
      </c>
      <c r="D245" s="188"/>
      <c r="E245" s="189"/>
    </row>
    <row r="246" spans="2:5" ht="14.25" x14ac:dyDescent="0.2">
      <c r="B246" s="104" t="s">
        <v>18</v>
      </c>
      <c r="C246" s="115"/>
      <c r="D246" s="115"/>
      <c r="E246" s="116"/>
    </row>
    <row r="247" spans="2:5" ht="14.25" x14ac:dyDescent="0.2">
      <c r="B247" s="114"/>
      <c r="C247" s="190"/>
      <c r="D247" s="188"/>
      <c r="E247" s="189"/>
    </row>
    <row r="248" spans="2:5" ht="14.25" x14ac:dyDescent="0.2">
      <c r="B248" s="104" t="s">
        <v>120</v>
      </c>
      <c r="C248" s="117"/>
      <c r="D248" s="117"/>
      <c r="E248" s="118"/>
    </row>
    <row r="249" spans="2:5" ht="14.25" x14ac:dyDescent="0.2">
      <c r="B249" s="114"/>
      <c r="C249" s="187" t="s">
        <v>165</v>
      </c>
      <c r="D249" s="182"/>
      <c r="E249" s="183"/>
    </row>
    <row r="250" spans="2:5" ht="14.25" x14ac:dyDescent="0.2">
      <c r="B250" s="104" t="s">
        <v>19</v>
      </c>
      <c r="C250" s="115"/>
      <c r="D250" s="115"/>
      <c r="E250" s="116"/>
    </row>
    <row r="251" spans="2:5" ht="14.25" x14ac:dyDescent="0.2">
      <c r="B251" s="104"/>
      <c r="C251" s="181" t="s">
        <v>121</v>
      </c>
      <c r="D251" s="182"/>
      <c r="E251" s="183"/>
    </row>
    <row r="252" spans="2:5" ht="15" thickBot="1" x14ac:dyDescent="0.25">
      <c r="B252" s="119"/>
      <c r="C252" s="120"/>
      <c r="D252" s="120"/>
      <c r="E252" s="121"/>
    </row>
    <row r="253" spans="2:5" ht="13.5" thickBot="1" x14ac:dyDescent="0.25">
      <c r="B253"/>
      <c r="C253"/>
      <c r="D253"/>
      <c r="E253"/>
    </row>
    <row r="254" spans="2:5" ht="13.5" customHeight="1" thickBot="1" x14ac:dyDescent="0.25">
      <c r="B254" s="184" t="s">
        <v>144</v>
      </c>
      <c r="C254" s="185"/>
      <c r="D254" s="185"/>
      <c r="E254" s="186"/>
    </row>
    <row r="255" spans="2:5" ht="14.25" x14ac:dyDescent="0.2">
      <c r="B255" s="104" t="s">
        <v>16</v>
      </c>
      <c r="C255" s="68"/>
      <c r="D255" s="68"/>
      <c r="E255" s="113"/>
    </row>
    <row r="256" spans="2:5" ht="229.5" customHeight="1" x14ac:dyDescent="0.2">
      <c r="B256" s="104"/>
      <c r="C256" s="187" t="s">
        <v>133</v>
      </c>
      <c r="D256" s="188"/>
      <c r="E256" s="189"/>
    </row>
    <row r="257" spans="2:5" ht="26.25" customHeight="1" x14ac:dyDescent="0.2">
      <c r="B257" s="104" t="s">
        <v>17</v>
      </c>
      <c r="C257" s="68"/>
      <c r="D257" s="68"/>
      <c r="E257" s="113"/>
    </row>
    <row r="258" spans="2:5" ht="111.75" customHeight="1" x14ac:dyDescent="0.2">
      <c r="B258" s="114"/>
      <c r="C258" s="187" t="s">
        <v>167</v>
      </c>
      <c r="D258" s="188"/>
      <c r="E258" s="189"/>
    </row>
    <row r="259" spans="2:5" ht="14.25" x14ac:dyDescent="0.2">
      <c r="B259" s="104" t="s">
        <v>18</v>
      </c>
      <c r="C259" s="115"/>
      <c r="D259" s="115"/>
      <c r="E259" s="116"/>
    </row>
    <row r="260" spans="2:5" ht="14.25" x14ac:dyDescent="0.2">
      <c r="B260" s="114"/>
      <c r="C260" s="190"/>
      <c r="D260" s="188"/>
      <c r="E260" s="189"/>
    </row>
    <row r="261" spans="2:5" ht="14.25" x14ac:dyDescent="0.2">
      <c r="B261" s="104" t="s">
        <v>120</v>
      </c>
      <c r="C261" s="117"/>
      <c r="D261" s="117"/>
      <c r="E261" s="118"/>
    </row>
    <row r="262" spans="2:5" ht="14.25" x14ac:dyDescent="0.2">
      <c r="B262" s="114"/>
      <c r="C262" s="187" t="s">
        <v>165</v>
      </c>
      <c r="D262" s="182"/>
      <c r="E262" s="183"/>
    </row>
    <row r="263" spans="2:5" ht="14.25" x14ac:dyDescent="0.2">
      <c r="B263" s="104" t="s">
        <v>19</v>
      </c>
      <c r="C263" s="115"/>
      <c r="D263" s="115"/>
      <c r="E263" s="116"/>
    </row>
    <row r="264" spans="2:5" ht="14.25" x14ac:dyDescent="0.2">
      <c r="B264" s="104"/>
      <c r="C264" s="181" t="s">
        <v>121</v>
      </c>
      <c r="D264" s="182"/>
      <c r="E264" s="183"/>
    </row>
    <row r="265" spans="2:5" ht="15" thickBot="1" x14ac:dyDescent="0.25">
      <c r="B265" s="119"/>
      <c r="C265" s="120"/>
      <c r="D265" s="120"/>
      <c r="E265" s="121"/>
    </row>
    <row r="266" spans="2:5" ht="13.5" thickBot="1" x14ac:dyDescent="0.25">
      <c r="B266"/>
      <c r="C266"/>
      <c r="D266"/>
      <c r="E266"/>
    </row>
    <row r="267" spans="2:5" ht="13.5" customHeight="1" thickBot="1" x14ac:dyDescent="0.25">
      <c r="B267" s="184" t="s">
        <v>145</v>
      </c>
      <c r="C267" s="185"/>
      <c r="D267" s="185"/>
      <c r="E267" s="186"/>
    </row>
    <row r="268" spans="2:5" ht="21" customHeight="1" x14ac:dyDescent="0.2">
      <c r="B268" s="104" t="s">
        <v>16</v>
      </c>
      <c r="C268" s="68"/>
      <c r="D268" s="68"/>
      <c r="E268" s="113"/>
    </row>
    <row r="269" spans="2:5" ht="132" customHeight="1" x14ac:dyDescent="0.2">
      <c r="B269" s="104"/>
      <c r="C269" s="187" t="s">
        <v>135</v>
      </c>
      <c r="D269" s="188"/>
      <c r="E269" s="189"/>
    </row>
    <row r="270" spans="2:5" ht="20.25" customHeight="1" x14ac:dyDescent="0.2">
      <c r="B270" s="104" t="s">
        <v>17</v>
      </c>
      <c r="C270" s="68"/>
      <c r="D270" s="68"/>
      <c r="E270" s="113"/>
    </row>
    <row r="271" spans="2:5" ht="106.5" customHeight="1" x14ac:dyDescent="0.2">
      <c r="B271" s="114"/>
      <c r="C271" s="187" t="s">
        <v>167</v>
      </c>
      <c r="D271" s="188"/>
      <c r="E271" s="189"/>
    </row>
    <row r="272" spans="2:5" ht="14.25" x14ac:dyDescent="0.2">
      <c r="B272" s="104" t="s">
        <v>18</v>
      </c>
      <c r="C272" s="115"/>
      <c r="D272" s="115"/>
      <c r="E272" s="116"/>
    </row>
    <row r="273" spans="2:5" ht="14.25" x14ac:dyDescent="0.2">
      <c r="B273" s="114"/>
      <c r="C273" s="190"/>
      <c r="D273" s="188"/>
      <c r="E273" s="189"/>
    </row>
    <row r="274" spans="2:5" ht="14.25" x14ac:dyDescent="0.2">
      <c r="B274" s="104" t="s">
        <v>120</v>
      </c>
      <c r="C274" s="117"/>
      <c r="D274" s="117"/>
      <c r="E274" s="118"/>
    </row>
    <row r="275" spans="2:5" ht="14.25" x14ac:dyDescent="0.2">
      <c r="B275" s="114"/>
      <c r="C275" s="187" t="s">
        <v>165</v>
      </c>
      <c r="D275" s="182"/>
      <c r="E275" s="183"/>
    </row>
    <row r="276" spans="2:5" ht="14.25" x14ac:dyDescent="0.2">
      <c r="B276" s="104" t="s">
        <v>19</v>
      </c>
      <c r="C276" s="115"/>
      <c r="D276" s="115"/>
      <c r="E276" s="116"/>
    </row>
    <row r="277" spans="2:5" ht="14.25" x14ac:dyDescent="0.2">
      <c r="B277" s="104"/>
      <c r="C277" s="181" t="s">
        <v>121</v>
      </c>
      <c r="D277" s="182"/>
      <c r="E277" s="183"/>
    </row>
    <row r="278" spans="2:5" ht="15" thickBot="1" x14ac:dyDescent="0.25">
      <c r="B278" s="119"/>
      <c r="C278" s="120"/>
      <c r="D278" s="120"/>
      <c r="E278" s="121"/>
    </row>
    <row r="279" spans="2:5" ht="13.5" thickBot="1" x14ac:dyDescent="0.25">
      <c r="B279"/>
      <c r="C279"/>
      <c r="D279"/>
      <c r="E279"/>
    </row>
    <row r="280" spans="2:5" ht="13.5" customHeight="1" thickBot="1" x14ac:dyDescent="0.25">
      <c r="B280" s="184" t="s">
        <v>146</v>
      </c>
      <c r="C280" s="185"/>
      <c r="D280" s="185"/>
      <c r="E280" s="186"/>
    </row>
    <row r="281" spans="2:5" ht="14.25" x14ac:dyDescent="0.2">
      <c r="B281" s="104" t="s">
        <v>16</v>
      </c>
      <c r="C281" s="68"/>
      <c r="D281" s="68"/>
      <c r="E281" s="113"/>
    </row>
    <row r="282" spans="2:5" ht="96.75" customHeight="1" x14ac:dyDescent="0.2">
      <c r="B282" s="104"/>
      <c r="C282" s="187" t="s">
        <v>137</v>
      </c>
      <c r="D282" s="188"/>
      <c r="E282" s="189"/>
    </row>
    <row r="283" spans="2:5" ht="25.5" customHeight="1" x14ac:dyDescent="0.2">
      <c r="B283" s="104" t="s">
        <v>17</v>
      </c>
      <c r="C283" s="68"/>
      <c r="D283" s="68"/>
      <c r="E283" s="113"/>
    </row>
    <row r="284" spans="2:5" ht="93" customHeight="1" x14ac:dyDescent="0.2">
      <c r="B284" s="114"/>
      <c r="C284" s="187" t="s">
        <v>167</v>
      </c>
      <c r="D284" s="188"/>
      <c r="E284" s="189"/>
    </row>
    <row r="285" spans="2:5" ht="14.25" x14ac:dyDescent="0.2">
      <c r="B285" s="104" t="s">
        <v>18</v>
      </c>
      <c r="C285" s="115"/>
      <c r="D285" s="115"/>
      <c r="E285" s="116"/>
    </row>
    <row r="286" spans="2:5" ht="14.25" x14ac:dyDescent="0.2">
      <c r="B286" s="114"/>
      <c r="C286" s="190"/>
      <c r="D286" s="188"/>
      <c r="E286" s="189"/>
    </row>
    <row r="287" spans="2:5" ht="14.25" x14ac:dyDescent="0.2">
      <c r="B287" s="104" t="s">
        <v>120</v>
      </c>
      <c r="C287" s="117"/>
      <c r="D287" s="117"/>
      <c r="E287" s="118"/>
    </row>
    <row r="288" spans="2:5" ht="14.25" x14ac:dyDescent="0.2">
      <c r="B288" s="114"/>
      <c r="C288" s="187" t="s">
        <v>165</v>
      </c>
      <c r="D288" s="182"/>
      <c r="E288" s="183"/>
    </row>
    <row r="289" spans="2:5" ht="14.25" x14ac:dyDescent="0.2">
      <c r="B289" s="104" t="s">
        <v>19</v>
      </c>
      <c r="C289" s="115"/>
      <c r="D289" s="115"/>
      <c r="E289" s="116"/>
    </row>
    <row r="290" spans="2:5" ht="14.25" x14ac:dyDescent="0.2">
      <c r="B290" s="104"/>
      <c r="C290" s="181" t="s">
        <v>121</v>
      </c>
      <c r="D290" s="182"/>
      <c r="E290" s="183"/>
    </row>
    <row r="291" spans="2:5" ht="15" thickBot="1" x14ac:dyDescent="0.25">
      <c r="B291" s="119"/>
      <c r="C291" s="120"/>
      <c r="D291" s="120"/>
      <c r="E291" s="121"/>
    </row>
    <row r="292" spans="2:5" ht="13.5" thickBot="1" x14ac:dyDescent="0.25">
      <c r="B292"/>
      <c r="C292"/>
      <c r="D292"/>
      <c r="E292"/>
    </row>
    <row r="293" spans="2:5" ht="13.5" customHeight="1" thickBot="1" x14ac:dyDescent="0.25">
      <c r="B293" s="184" t="s">
        <v>147</v>
      </c>
      <c r="C293" s="185"/>
      <c r="D293" s="185"/>
      <c r="E293" s="186"/>
    </row>
    <row r="294" spans="2:5" ht="14.25" x14ac:dyDescent="0.2">
      <c r="B294" s="104" t="s">
        <v>16</v>
      </c>
      <c r="C294" s="68"/>
      <c r="D294" s="68"/>
      <c r="E294" s="113"/>
    </row>
    <row r="295" spans="2:5" ht="165.75" customHeight="1" x14ac:dyDescent="0.2">
      <c r="B295" s="104"/>
      <c r="C295" s="187" t="s">
        <v>139</v>
      </c>
      <c r="D295" s="188"/>
      <c r="E295" s="189"/>
    </row>
    <row r="296" spans="2:5" ht="14.25" x14ac:dyDescent="0.2">
      <c r="B296" s="104" t="s">
        <v>17</v>
      </c>
      <c r="C296" s="68"/>
      <c r="D296" s="68"/>
      <c r="E296" s="113"/>
    </row>
    <row r="297" spans="2:5" ht="111.75" customHeight="1" x14ac:dyDescent="0.2">
      <c r="B297" s="114"/>
      <c r="C297" s="187" t="s">
        <v>167</v>
      </c>
      <c r="D297" s="188"/>
      <c r="E297" s="189"/>
    </row>
    <row r="298" spans="2:5" ht="14.25" x14ac:dyDescent="0.2">
      <c r="B298" s="104" t="s">
        <v>18</v>
      </c>
      <c r="C298" s="115"/>
      <c r="D298" s="115"/>
      <c r="E298" s="116"/>
    </row>
    <row r="299" spans="2:5" ht="14.25" x14ac:dyDescent="0.2">
      <c r="B299" s="114"/>
      <c r="C299" s="190"/>
      <c r="D299" s="188"/>
      <c r="E299" s="189"/>
    </row>
    <row r="300" spans="2:5" ht="14.25" x14ac:dyDescent="0.2">
      <c r="B300" s="104" t="s">
        <v>120</v>
      </c>
      <c r="C300" s="117"/>
      <c r="D300" s="117"/>
      <c r="E300" s="118"/>
    </row>
    <row r="301" spans="2:5" ht="14.25" x14ac:dyDescent="0.2">
      <c r="B301" s="114"/>
      <c r="C301" s="187" t="s">
        <v>165</v>
      </c>
      <c r="D301" s="182"/>
      <c r="E301" s="183"/>
    </row>
    <row r="302" spans="2:5" ht="14.25" x14ac:dyDescent="0.2">
      <c r="B302" s="104" t="s">
        <v>19</v>
      </c>
      <c r="C302" s="115"/>
      <c r="D302" s="115"/>
      <c r="E302" s="116"/>
    </row>
    <row r="303" spans="2:5" ht="14.25" x14ac:dyDescent="0.2">
      <c r="B303" s="104"/>
      <c r="C303" s="181" t="s">
        <v>121</v>
      </c>
      <c r="D303" s="182"/>
      <c r="E303" s="183"/>
    </row>
    <row r="304" spans="2:5" ht="15" thickBot="1" x14ac:dyDescent="0.25">
      <c r="B304" s="110"/>
      <c r="C304" s="111"/>
      <c r="D304" s="111"/>
      <c r="E304" s="112"/>
    </row>
    <row r="305" spans="2:5" ht="13.5" thickBot="1" x14ac:dyDescent="0.25">
      <c r="B305"/>
      <c r="C305"/>
      <c r="D305"/>
      <c r="E305"/>
    </row>
    <row r="306" spans="2:5" ht="13.5" customHeight="1" thickBot="1" x14ac:dyDescent="0.25">
      <c r="B306" s="184" t="s">
        <v>148</v>
      </c>
      <c r="C306" s="185"/>
      <c r="D306" s="185"/>
      <c r="E306" s="186"/>
    </row>
    <row r="307" spans="2:5" ht="14.25" x14ac:dyDescent="0.2">
      <c r="B307" s="104" t="s">
        <v>16</v>
      </c>
      <c r="C307" s="68"/>
      <c r="D307" s="68"/>
      <c r="E307" s="113"/>
    </row>
    <row r="308" spans="2:5" ht="132" customHeight="1" x14ac:dyDescent="0.2">
      <c r="B308" s="104"/>
      <c r="C308" s="187" t="s">
        <v>141</v>
      </c>
      <c r="D308" s="188"/>
      <c r="E308" s="189"/>
    </row>
    <row r="309" spans="2:5" ht="14.25" x14ac:dyDescent="0.2">
      <c r="B309" s="104" t="s">
        <v>17</v>
      </c>
      <c r="C309" s="68"/>
      <c r="D309" s="68"/>
      <c r="E309" s="113"/>
    </row>
    <row r="310" spans="2:5" ht="116.25" customHeight="1" x14ac:dyDescent="0.2">
      <c r="B310" s="114"/>
      <c r="C310" s="187" t="s">
        <v>167</v>
      </c>
      <c r="D310" s="188"/>
      <c r="E310" s="189"/>
    </row>
    <row r="311" spans="2:5" ht="14.25" x14ac:dyDescent="0.2">
      <c r="B311" s="104" t="s">
        <v>18</v>
      </c>
      <c r="C311" s="115"/>
      <c r="D311" s="115"/>
      <c r="E311" s="116"/>
    </row>
    <row r="312" spans="2:5" ht="14.25" x14ac:dyDescent="0.2">
      <c r="B312" s="114"/>
      <c r="C312" s="190"/>
      <c r="D312" s="188"/>
      <c r="E312" s="189"/>
    </row>
    <row r="313" spans="2:5" ht="14.25" x14ac:dyDescent="0.2">
      <c r="B313" s="104" t="s">
        <v>120</v>
      </c>
      <c r="C313" s="117"/>
      <c r="D313" s="117"/>
      <c r="E313" s="118"/>
    </row>
    <row r="314" spans="2:5" ht="14.25" x14ac:dyDescent="0.2">
      <c r="B314" s="114"/>
      <c r="C314" s="187" t="s">
        <v>165</v>
      </c>
      <c r="D314" s="182"/>
      <c r="E314" s="183"/>
    </row>
    <row r="315" spans="2:5" ht="14.25" x14ac:dyDescent="0.2">
      <c r="B315" s="104" t="s">
        <v>19</v>
      </c>
      <c r="C315" s="115"/>
      <c r="D315" s="115"/>
      <c r="E315" s="116"/>
    </row>
    <row r="316" spans="2:5" ht="14.25" x14ac:dyDescent="0.2">
      <c r="B316" s="104"/>
      <c r="C316" s="181" t="s">
        <v>121</v>
      </c>
      <c r="D316" s="182"/>
      <c r="E316" s="183"/>
    </row>
    <row r="317" spans="2:5" ht="3.75" customHeight="1" thickBot="1" x14ac:dyDescent="0.25">
      <c r="B317" s="110"/>
      <c r="C317" s="111"/>
      <c r="D317" s="111"/>
      <c r="E317" s="112"/>
    </row>
  </sheetData>
  <mergeCells count="125">
    <mergeCell ref="B2:H2"/>
    <mergeCell ref="A4:B4"/>
    <mergeCell ref="C4:E4"/>
    <mergeCell ref="A5:B5"/>
    <mergeCell ref="C5:E5"/>
    <mergeCell ref="A6:B6"/>
    <mergeCell ref="A19:H19"/>
    <mergeCell ref="C106:E106"/>
    <mergeCell ref="C111:E111"/>
    <mergeCell ref="C78:E78"/>
    <mergeCell ref="C83:E83"/>
    <mergeCell ref="C85:E86"/>
    <mergeCell ref="C92:E92"/>
    <mergeCell ref="C97:E97"/>
    <mergeCell ref="C99:E100"/>
    <mergeCell ref="C102:E102"/>
    <mergeCell ref="C88:E88"/>
    <mergeCell ref="C90:E90"/>
    <mergeCell ref="A35:H35"/>
    <mergeCell ref="C47:E47"/>
    <mergeCell ref="B137:E137"/>
    <mergeCell ref="C139:E139"/>
    <mergeCell ref="C141:E141"/>
    <mergeCell ref="C64:E64"/>
    <mergeCell ref="C69:E69"/>
    <mergeCell ref="C71:E72"/>
    <mergeCell ref="C74:E74"/>
    <mergeCell ref="F4:I4"/>
    <mergeCell ref="C46:E46"/>
    <mergeCell ref="C41:E41"/>
    <mergeCell ref="C43:E44"/>
    <mergeCell ref="C50:E50"/>
    <mergeCell ref="C55:E55"/>
    <mergeCell ref="C57:E58"/>
    <mergeCell ref="C48:E48"/>
    <mergeCell ref="C60:E60"/>
    <mergeCell ref="A7:B7"/>
    <mergeCell ref="C134:E134"/>
    <mergeCell ref="C125:E125"/>
    <mergeCell ref="C127:E128"/>
    <mergeCell ref="C120:E120"/>
    <mergeCell ref="C113:E114"/>
    <mergeCell ref="C116:E116"/>
    <mergeCell ref="C132:E132"/>
    <mergeCell ref="C154:E154"/>
    <mergeCell ref="C156:E156"/>
    <mergeCell ref="C158:E158"/>
    <mergeCell ref="C160:E160"/>
    <mergeCell ref="B163:E163"/>
    <mergeCell ref="C143:E143"/>
    <mergeCell ref="C145:E145"/>
    <mergeCell ref="C147:E147"/>
    <mergeCell ref="B150:E150"/>
    <mergeCell ref="C152:E152"/>
    <mergeCell ref="B176:E176"/>
    <mergeCell ref="C178:E178"/>
    <mergeCell ref="C180:E180"/>
    <mergeCell ref="C182:E182"/>
    <mergeCell ref="C184:E184"/>
    <mergeCell ref="C165:E165"/>
    <mergeCell ref="C167:E167"/>
    <mergeCell ref="C169:E169"/>
    <mergeCell ref="C171:E171"/>
    <mergeCell ref="C173:E173"/>
    <mergeCell ref="C197:E197"/>
    <mergeCell ref="C199:E199"/>
    <mergeCell ref="B202:E202"/>
    <mergeCell ref="C204:E204"/>
    <mergeCell ref="C206:E206"/>
    <mergeCell ref="C186:E186"/>
    <mergeCell ref="B189:E189"/>
    <mergeCell ref="C191:E191"/>
    <mergeCell ref="C193:E193"/>
    <mergeCell ref="C195:E195"/>
    <mergeCell ref="C219:E219"/>
    <mergeCell ref="C221:E221"/>
    <mergeCell ref="C223:E223"/>
    <mergeCell ref="C225:E225"/>
    <mergeCell ref="B228:E228"/>
    <mergeCell ref="C208:E208"/>
    <mergeCell ref="C210:E210"/>
    <mergeCell ref="C212:E212"/>
    <mergeCell ref="B215:E215"/>
    <mergeCell ref="C217:E217"/>
    <mergeCell ref="B241:E241"/>
    <mergeCell ref="C243:E243"/>
    <mergeCell ref="C245:E245"/>
    <mergeCell ref="C247:E247"/>
    <mergeCell ref="C249:E249"/>
    <mergeCell ref="C230:E230"/>
    <mergeCell ref="C232:E232"/>
    <mergeCell ref="C234:E234"/>
    <mergeCell ref="C236:E236"/>
    <mergeCell ref="C238:E238"/>
    <mergeCell ref="C262:E262"/>
    <mergeCell ref="C264:E264"/>
    <mergeCell ref="B267:E267"/>
    <mergeCell ref="C269:E269"/>
    <mergeCell ref="C271:E271"/>
    <mergeCell ref="C251:E251"/>
    <mergeCell ref="B254:E254"/>
    <mergeCell ref="C256:E256"/>
    <mergeCell ref="C258:E258"/>
    <mergeCell ref="C260:E260"/>
    <mergeCell ref="C284:E284"/>
    <mergeCell ref="C286:E286"/>
    <mergeCell ref="C288:E288"/>
    <mergeCell ref="C290:E290"/>
    <mergeCell ref="B293:E293"/>
    <mergeCell ref="C273:E273"/>
    <mergeCell ref="C275:E275"/>
    <mergeCell ref="C277:E277"/>
    <mergeCell ref="B280:E280"/>
    <mergeCell ref="C282:E282"/>
    <mergeCell ref="C316:E316"/>
    <mergeCell ref="B306:E306"/>
    <mergeCell ref="C308:E308"/>
    <mergeCell ref="C310:E310"/>
    <mergeCell ref="C312:E312"/>
    <mergeCell ref="C314:E314"/>
    <mergeCell ref="C295:E295"/>
    <mergeCell ref="C297:E297"/>
    <mergeCell ref="C299:E299"/>
    <mergeCell ref="C301:E301"/>
    <mergeCell ref="C303:E303"/>
  </mergeCells>
  <pageMargins left="0.25" right="0.25" top="0.75" bottom="0.75" header="0.3" footer="0.3"/>
  <pageSetup paperSize="5" scale="89" firstPageNumber="0" fitToHeight="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31"/>
  <sheetViews>
    <sheetView topLeftCell="A26" zoomScale="80" zoomScaleNormal="80" workbookViewId="0">
      <selection activeCell="A30" sqref="A3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28.42578125" style="2" customWidth="1"/>
    <col min="7" max="7" width="10.5703125" style="2" hidden="1"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6" width="15.28515625" style="2" customWidth="1"/>
    <col min="17" max="17" width="19" style="2" customWidth="1"/>
    <col min="18" max="18" width="22.5703125" style="2" customWidth="1"/>
    <col min="19" max="19" width="18.28515625" style="2" customWidth="1"/>
    <col min="20" max="1024" width="9.140625" style="2"/>
  </cols>
  <sheetData>
    <row r="1" spans="1:16" ht="18" customHeight="1" x14ac:dyDescent="0.2">
      <c r="A1" s="235" t="s">
        <v>21</v>
      </c>
      <c r="B1" s="235"/>
      <c r="C1" s="235"/>
      <c r="D1" s="235"/>
      <c r="E1" s="235"/>
      <c r="F1" s="235"/>
      <c r="G1" s="235"/>
      <c r="H1" s="235"/>
      <c r="I1" s="235"/>
      <c r="J1" s="3" t="s">
        <v>22</v>
      </c>
      <c r="K1" s="26" t="s">
        <v>160</v>
      </c>
    </row>
    <row r="2" spans="1:16" ht="18.75" customHeight="1" thickBot="1" x14ac:dyDescent="0.25">
      <c r="A2" s="4"/>
      <c r="B2" s="4"/>
      <c r="C2" s="4"/>
      <c r="D2" s="5"/>
      <c r="E2" s="5"/>
      <c r="F2" s="5"/>
      <c r="G2" s="5"/>
      <c r="H2" s="5"/>
      <c r="I2" s="5"/>
      <c r="J2" s="5"/>
      <c r="K2" s="5"/>
    </row>
    <row r="3" spans="1:16" ht="18.75" customHeight="1" thickBot="1" x14ac:dyDescent="0.25">
      <c r="A3" s="236" t="s">
        <v>56</v>
      </c>
      <c r="B3" s="236"/>
      <c r="C3" s="236"/>
      <c r="D3" s="237" t="s">
        <v>59</v>
      </c>
      <c r="E3" s="237"/>
      <c r="F3" s="237"/>
      <c r="G3" s="237"/>
      <c r="H3" s="237"/>
      <c r="I3" s="237"/>
      <c r="J3" s="237"/>
      <c r="K3" s="237"/>
    </row>
    <row r="4" spans="1:16" ht="18.75" customHeight="1" thickBot="1" x14ac:dyDescent="0.25">
      <c r="A4" s="238" t="s">
        <v>57</v>
      </c>
      <c r="B4" s="238"/>
      <c r="C4" s="238"/>
      <c r="D4" s="237" t="s">
        <v>60</v>
      </c>
      <c r="E4" s="237"/>
      <c r="F4" s="237"/>
      <c r="G4" s="237"/>
      <c r="H4" s="237"/>
      <c r="I4" s="237"/>
      <c r="J4" s="237"/>
      <c r="K4" s="237"/>
    </row>
    <row r="5" spans="1:16" ht="18.75" customHeight="1" thickBot="1" x14ac:dyDescent="0.25">
      <c r="A5" s="238" t="s">
        <v>35</v>
      </c>
      <c r="B5" s="238"/>
      <c r="C5" s="238"/>
      <c r="D5" s="237" t="s">
        <v>82</v>
      </c>
      <c r="E5" s="237"/>
      <c r="F5" s="237"/>
      <c r="G5" s="237"/>
      <c r="H5" s="237"/>
      <c r="I5" s="237"/>
      <c r="J5" s="237"/>
      <c r="K5" s="237"/>
    </row>
    <row r="6" spans="1:16" ht="17.25" customHeight="1" thickBot="1" x14ac:dyDescent="0.25">
      <c r="A6" s="236" t="s">
        <v>58</v>
      </c>
      <c r="B6" s="236"/>
      <c r="C6" s="236"/>
      <c r="D6" s="237" t="s">
        <v>64</v>
      </c>
      <c r="E6" s="237"/>
      <c r="F6" s="237"/>
      <c r="G6" s="237"/>
      <c r="H6" s="237"/>
      <c r="I6" s="237"/>
      <c r="J6" s="237"/>
      <c r="K6" s="237"/>
    </row>
    <row r="7" spans="1:16" ht="20.25" customHeight="1" x14ac:dyDescent="0.2">
      <c r="A7" s="238" t="s">
        <v>23</v>
      </c>
      <c r="B7" s="238"/>
      <c r="C7" s="238"/>
      <c r="D7" s="237" t="s">
        <v>149</v>
      </c>
      <c r="E7" s="237"/>
      <c r="F7" s="237"/>
      <c r="G7" s="237"/>
      <c r="H7" s="237"/>
      <c r="I7" s="237"/>
      <c r="J7" s="237"/>
      <c r="K7" s="237"/>
    </row>
    <row r="8" spans="1:16" ht="40.5" customHeight="1" x14ac:dyDescent="0.2">
      <c r="A8" s="241" t="s">
        <v>24</v>
      </c>
      <c r="B8" s="241"/>
      <c r="C8" s="241"/>
      <c r="D8" s="242" t="s">
        <v>158</v>
      </c>
      <c r="E8" s="242"/>
      <c r="F8" s="242"/>
      <c r="G8" s="242"/>
      <c r="H8" s="242"/>
      <c r="I8" s="242"/>
      <c r="J8" s="242"/>
      <c r="K8" s="242"/>
    </row>
    <row r="9" spans="1:16" ht="15.75" x14ac:dyDescent="0.2">
      <c r="A9" s="6"/>
      <c r="B9" s="6"/>
      <c r="C9" s="6"/>
      <c r="D9" s="7"/>
      <c r="E9" s="7"/>
      <c r="F9" s="7"/>
      <c r="G9" s="7"/>
      <c r="H9" s="7"/>
      <c r="I9" s="7"/>
      <c r="J9" s="7"/>
      <c r="K9" s="7"/>
    </row>
    <row r="10" spans="1:16" ht="18.75" customHeight="1" x14ac:dyDescent="0.2">
      <c r="A10" s="243" t="s">
        <v>25</v>
      </c>
      <c r="B10" s="244" t="s">
        <v>26</v>
      </c>
      <c r="C10" s="244" t="s">
        <v>27</v>
      </c>
      <c r="D10" s="244"/>
      <c r="E10" s="244"/>
      <c r="F10" s="244"/>
      <c r="G10" s="244"/>
      <c r="H10" s="244" t="s">
        <v>28</v>
      </c>
      <c r="I10" s="244" t="s">
        <v>29</v>
      </c>
      <c r="J10" s="244" t="s">
        <v>30</v>
      </c>
      <c r="K10" s="245" t="s">
        <v>31</v>
      </c>
    </row>
    <row r="11" spans="1:16" ht="24" customHeight="1" thickBot="1" x14ac:dyDescent="0.25">
      <c r="A11" s="243"/>
      <c r="B11" s="244"/>
      <c r="C11" s="244"/>
      <c r="D11" s="244"/>
      <c r="E11" s="244"/>
      <c r="F11" s="244"/>
      <c r="G11" s="244"/>
      <c r="H11" s="244"/>
      <c r="I11" s="244"/>
      <c r="J11" s="244"/>
      <c r="K11" s="245"/>
    </row>
    <row r="12" spans="1:16" ht="49.5" customHeight="1" thickBot="1" x14ac:dyDescent="0.25">
      <c r="A12" s="80">
        <v>1</v>
      </c>
      <c r="B12" s="81" t="s">
        <v>72</v>
      </c>
      <c r="C12" s="232" t="s">
        <v>73</v>
      </c>
      <c r="D12" s="233" t="s">
        <v>73</v>
      </c>
      <c r="E12" s="233" t="s">
        <v>73</v>
      </c>
      <c r="F12" s="233" t="s">
        <v>73</v>
      </c>
      <c r="G12" s="234" t="s">
        <v>73</v>
      </c>
      <c r="H12" s="83" t="s">
        <v>32</v>
      </c>
      <c r="I12" s="84" t="s">
        <v>14</v>
      </c>
      <c r="J12" s="85">
        <f>'Necesidades Trimestrales (2)'!H10</f>
        <v>185000</v>
      </c>
      <c r="K12" s="86">
        <v>5</v>
      </c>
      <c r="L12" s="28"/>
      <c r="P12" s="172">
        <f>K12*J12</f>
        <v>925000</v>
      </c>
    </row>
    <row r="13" spans="1:16" ht="49.5" customHeight="1" thickBot="1" x14ac:dyDescent="0.25">
      <c r="A13" s="80">
        <v>2</v>
      </c>
      <c r="B13" s="81" t="s">
        <v>63</v>
      </c>
      <c r="C13" s="232" t="s">
        <v>74</v>
      </c>
      <c r="D13" s="233" t="s">
        <v>74</v>
      </c>
      <c r="E13" s="233" t="s">
        <v>74</v>
      </c>
      <c r="F13" s="233" t="s">
        <v>74</v>
      </c>
      <c r="G13" s="234" t="s">
        <v>74</v>
      </c>
      <c r="H13" s="83" t="s">
        <v>32</v>
      </c>
      <c r="I13" s="84" t="s">
        <v>14</v>
      </c>
      <c r="J13" s="85">
        <f>'Necesidades Trimestrales (2)'!H11</f>
        <v>214326</v>
      </c>
      <c r="K13" s="86">
        <v>10</v>
      </c>
      <c r="L13" s="28"/>
      <c r="P13" s="172">
        <f t="shared" ref="P13:P30" si="0">K13*J13</f>
        <v>2143260</v>
      </c>
    </row>
    <row r="14" spans="1:16" ht="49.5" customHeight="1" thickBot="1" x14ac:dyDescent="0.25">
      <c r="A14" s="80">
        <v>3</v>
      </c>
      <c r="B14" s="81" t="s">
        <v>63</v>
      </c>
      <c r="C14" s="232" t="s">
        <v>74</v>
      </c>
      <c r="D14" s="233" t="s">
        <v>74</v>
      </c>
      <c r="E14" s="233" t="s">
        <v>74</v>
      </c>
      <c r="F14" s="233" t="s">
        <v>74</v>
      </c>
      <c r="G14" s="234" t="s">
        <v>74</v>
      </c>
      <c r="H14" s="83" t="s">
        <v>32</v>
      </c>
      <c r="I14" s="84" t="s">
        <v>14</v>
      </c>
      <c r="J14" s="85">
        <f>'Necesidades Trimestrales (2)'!H12</f>
        <v>268000</v>
      </c>
      <c r="K14" s="86">
        <v>4</v>
      </c>
      <c r="L14" s="28"/>
      <c r="P14" s="172">
        <f t="shared" si="0"/>
        <v>1072000</v>
      </c>
    </row>
    <row r="15" spans="1:16" ht="49.5" customHeight="1" thickBot="1" x14ac:dyDescent="0.25">
      <c r="A15" s="80">
        <v>4</v>
      </c>
      <c r="B15" s="81" t="s">
        <v>63</v>
      </c>
      <c r="C15" s="232" t="s">
        <v>74</v>
      </c>
      <c r="D15" s="233" t="s">
        <v>74</v>
      </c>
      <c r="E15" s="233" t="s">
        <v>74</v>
      </c>
      <c r="F15" s="233" t="s">
        <v>74</v>
      </c>
      <c r="G15" s="234" t="s">
        <v>74</v>
      </c>
      <c r="H15" s="83" t="s">
        <v>32</v>
      </c>
      <c r="I15" s="84" t="s">
        <v>14</v>
      </c>
      <c r="J15" s="85">
        <f>'Necesidades Trimestrales (2)'!H13</f>
        <v>2020</v>
      </c>
      <c r="K15" s="86">
        <v>20</v>
      </c>
      <c r="L15" s="28"/>
      <c r="P15" s="172">
        <f t="shared" si="0"/>
        <v>40400</v>
      </c>
    </row>
    <row r="16" spans="1:16" ht="49.5" customHeight="1" thickBot="1" x14ac:dyDescent="0.25">
      <c r="A16" s="80">
        <v>5</v>
      </c>
      <c r="B16" s="81" t="s">
        <v>80</v>
      </c>
      <c r="C16" s="232" t="s">
        <v>81</v>
      </c>
      <c r="D16" s="233" t="s">
        <v>81</v>
      </c>
      <c r="E16" s="233" t="s">
        <v>81</v>
      </c>
      <c r="F16" s="233" t="s">
        <v>81</v>
      </c>
      <c r="G16" s="234" t="s">
        <v>81</v>
      </c>
      <c r="H16" s="83" t="s">
        <v>32</v>
      </c>
      <c r="I16" s="84" t="s">
        <v>14</v>
      </c>
      <c r="J16" s="85">
        <f>'Necesidades Trimestrales (2)'!H14</f>
        <v>65000</v>
      </c>
      <c r="K16" s="86">
        <v>3</v>
      </c>
      <c r="L16" s="28"/>
      <c r="P16" s="172">
        <f t="shared" si="0"/>
        <v>195000</v>
      </c>
    </row>
    <row r="17" spans="1:18" ht="49.5" customHeight="1" thickBot="1" x14ac:dyDescent="0.25">
      <c r="A17" s="80">
        <v>6</v>
      </c>
      <c r="B17" s="81" t="s">
        <v>75</v>
      </c>
      <c r="C17" s="232" t="s">
        <v>76</v>
      </c>
      <c r="D17" s="233" t="s">
        <v>76</v>
      </c>
      <c r="E17" s="233" t="s">
        <v>76</v>
      </c>
      <c r="F17" s="233" t="s">
        <v>76</v>
      </c>
      <c r="G17" s="234" t="s">
        <v>76</v>
      </c>
      <c r="H17" s="83" t="s">
        <v>32</v>
      </c>
      <c r="I17" s="84" t="s">
        <v>14</v>
      </c>
      <c r="J17" s="85">
        <f>'Necesidades Trimestrales (2)'!H15</f>
        <v>1391961.21</v>
      </c>
      <c r="K17" s="86">
        <v>1</v>
      </c>
      <c r="L17" s="28"/>
      <c r="P17" s="172">
        <f t="shared" si="0"/>
        <v>1391961.21</v>
      </c>
    </row>
    <row r="18" spans="1:18" ht="49.5" customHeight="1" thickBot="1" x14ac:dyDescent="0.25">
      <c r="A18" s="80">
        <v>7</v>
      </c>
      <c r="B18" s="81" t="s">
        <v>78</v>
      </c>
      <c r="C18" s="232" t="s">
        <v>79</v>
      </c>
      <c r="D18" s="233" t="s">
        <v>79</v>
      </c>
      <c r="E18" s="233" t="s">
        <v>79</v>
      </c>
      <c r="F18" s="233" t="s">
        <v>79</v>
      </c>
      <c r="G18" s="234" t="s">
        <v>79</v>
      </c>
      <c r="H18" s="83" t="s">
        <v>32</v>
      </c>
      <c r="I18" s="84" t="s">
        <v>14</v>
      </c>
      <c r="J18" s="85">
        <v>320000</v>
      </c>
      <c r="K18" s="86">
        <v>1</v>
      </c>
      <c r="L18" s="28"/>
      <c r="P18" s="172">
        <f t="shared" si="0"/>
        <v>320000</v>
      </c>
    </row>
    <row r="19" spans="1:18" ht="49.5" customHeight="1" thickBot="1" x14ac:dyDescent="0.25">
      <c r="A19" s="80">
        <v>8</v>
      </c>
      <c r="B19" s="81" t="str">
        <f>'Necesidades Trimestrales (2)'!B21</f>
        <v>4.3.5-8922.8</v>
      </c>
      <c r="C19" s="232" t="str">
        <f>'Necesidades Trimestrales (2)'!E21</f>
        <v xml:space="preserve">JUEGOS DE SALON; TIPO: CONSOLA DE VIDEOJUEGOS </v>
      </c>
      <c r="D19" s="233"/>
      <c r="E19" s="233"/>
      <c r="F19" s="233"/>
      <c r="G19" s="82"/>
      <c r="H19" s="83" t="s">
        <v>32</v>
      </c>
      <c r="I19" s="84" t="s">
        <v>14</v>
      </c>
      <c r="J19" s="85">
        <f>'Necesidades Trimestrales (2)'!H21</f>
        <v>255000</v>
      </c>
      <c r="K19" s="86">
        <f>'Necesidades Trimestrales (2)'!G21</f>
        <v>3</v>
      </c>
      <c r="L19" s="28"/>
      <c r="P19" s="172">
        <f t="shared" si="0"/>
        <v>765000</v>
      </c>
    </row>
    <row r="20" spans="1:18" ht="49.5" customHeight="1" thickBot="1" x14ac:dyDescent="0.25">
      <c r="A20" s="80">
        <v>9</v>
      </c>
      <c r="B20" s="81" t="str">
        <f>'Necesidades Trimestrales (2)'!B22</f>
        <v>4.3.5-9163.64</v>
      </c>
      <c r="C20" s="232" t="str">
        <f>'Necesidades Trimestrales (2)'!E22</f>
        <v xml:space="preserve">EQUIPOS DIDACTICOS TECNICOS; NOMBRE: SISTEMA DE SONIDO, TIPO: ESTEREO  </v>
      </c>
      <c r="D20" s="233"/>
      <c r="E20" s="233"/>
      <c r="F20" s="233"/>
      <c r="G20" s="82"/>
      <c r="H20" s="83" t="s">
        <v>32</v>
      </c>
      <c r="I20" s="84" t="s">
        <v>14</v>
      </c>
      <c r="J20" s="85">
        <f>'Necesidades Trimestrales (2)'!H22</f>
        <v>17000</v>
      </c>
      <c r="K20" s="86">
        <f>'Necesidades Trimestrales (2)'!G22</f>
        <v>4</v>
      </c>
      <c r="L20" s="28"/>
      <c r="P20" s="172">
        <f t="shared" si="0"/>
        <v>68000</v>
      </c>
    </row>
    <row r="21" spans="1:18" ht="49.5" customHeight="1" thickBot="1" x14ac:dyDescent="0.25">
      <c r="A21" s="80">
        <v>10</v>
      </c>
      <c r="B21" s="81" t="str">
        <f>'Necesidades Trimestrales (2)'!B23</f>
        <v>4.3.7-46.128</v>
      </c>
      <c r="C21" s="232" t="str">
        <f>'Necesidades Trimestrales (2)'!E23</f>
        <v xml:space="preserve">SILLONES EJECUTIVOS; TAPIZADO: ECOCUERO, ALTURA: REGULABLE, GIRATORIO: SI, MATERIAL: ACERO Y PLASTICO </v>
      </c>
      <c r="D21" s="233"/>
      <c r="E21" s="233"/>
      <c r="F21" s="233"/>
      <c r="G21" s="82"/>
      <c r="H21" s="83" t="s">
        <v>32</v>
      </c>
      <c r="I21" s="84" t="s">
        <v>14</v>
      </c>
      <c r="J21" s="85">
        <f>'Necesidades Trimestrales (2)'!H23</f>
        <v>45000</v>
      </c>
      <c r="K21" s="86">
        <f>'Necesidades Trimestrales (2)'!G23</f>
        <v>6</v>
      </c>
      <c r="L21" s="28"/>
      <c r="P21" s="172">
        <f t="shared" si="0"/>
        <v>270000</v>
      </c>
    </row>
    <row r="22" spans="1:18" ht="49.5" customHeight="1" thickBot="1" x14ac:dyDescent="0.25">
      <c r="A22" s="80">
        <v>11</v>
      </c>
      <c r="B22" s="81" t="str">
        <f>'Necesidades Trimestrales (2)'!B24</f>
        <v>4.3.6-9707.20</v>
      </c>
      <c r="C22" s="232" t="str">
        <f>'Necesidades Trimestrales (2)'!E24</f>
        <v xml:space="preserve">IMPRESORA 3D; TIPO: FDM, DIMENSION: 220 X 220 X 260 MM, RESOLUCION: SEGÚN PLIEGO, PRECISION: SEGÚN PLIEGO, ESPESOR CAPA: SEGÚN PLIEGO </v>
      </c>
      <c r="D22" s="233"/>
      <c r="E22" s="233"/>
      <c r="F22" s="233"/>
      <c r="G22" s="82"/>
      <c r="H22" s="83" t="s">
        <v>32</v>
      </c>
      <c r="I22" s="84" t="s">
        <v>14</v>
      </c>
      <c r="J22" s="85">
        <f>'Necesidades Trimestrales (2)'!H24</f>
        <v>65000</v>
      </c>
      <c r="K22" s="86">
        <f>'Necesidades Trimestrales (2)'!G24</f>
        <v>16</v>
      </c>
      <c r="L22" s="28"/>
      <c r="P22" s="172">
        <f t="shared" si="0"/>
        <v>1040000</v>
      </c>
      <c r="Q22" s="173">
        <v>432</v>
      </c>
      <c r="R22" s="172">
        <f>P18</f>
        <v>320000</v>
      </c>
    </row>
    <row r="23" spans="1:18" ht="49.5" customHeight="1" thickBot="1" x14ac:dyDescent="0.25">
      <c r="A23" s="80">
        <v>12</v>
      </c>
      <c r="B23" s="81" t="str">
        <f>'Necesidades Trimestrales (2)'!B25</f>
        <v>4.3.7-45.517</v>
      </c>
      <c r="C23" s="232" t="str">
        <f>'Necesidades Trimestrales (2)'!E25</f>
        <v>SILLAS; MATERIAL ESTRUCTURA: METAL, TAPIZADO: SIN, ALTURA: 77 Cm, GIRATORIA: NO</v>
      </c>
      <c r="D23" s="233"/>
      <c r="E23" s="233"/>
      <c r="F23" s="233"/>
      <c r="G23" s="82"/>
      <c r="H23" s="83" t="s">
        <v>32</v>
      </c>
      <c r="I23" s="84" t="s">
        <v>14</v>
      </c>
      <c r="J23" s="85">
        <f>'Necesidades Trimestrales (2)'!H25</f>
        <v>14500</v>
      </c>
      <c r="K23" s="86">
        <f>'Necesidades Trimestrales (2)'!G25</f>
        <v>80</v>
      </c>
      <c r="L23" s="28"/>
      <c r="P23" s="172">
        <f t="shared" si="0"/>
        <v>1160000</v>
      </c>
      <c r="Q23" s="173">
        <v>435</v>
      </c>
      <c r="R23" s="172">
        <f>P12+P13+P14+P15+P16+P17+P19+P20+P25+P27+P28+P29+P30</f>
        <v>9016621.2100000009</v>
      </c>
    </row>
    <row r="24" spans="1:18" ht="49.5" customHeight="1" thickBot="1" x14ac:dyDescent="0.25">
      <c r="A24" s="80">
        <v>13</v>
      </c>
      <c r="B24" s="81" t="str">
        <f>'Necesidades Trimestrales (2)'!B26</f>
        <v>4.3.7-1362.52</v>
      </c>
      <c r="C24" s="232" t="str">
        <f>'Necesidades Trimestrales (2)'!E26</f>
        <v xml:space="preserve">MESAS CURVAS; CURVA: CIRCULAR, DIMENSION: DIAMETRO 120 Cm, MATERIAL: METAL, TERMINACION: FIBRA DE VIDRIO </v>
      </c>
      <c r="D24" s="233"/>
      <c r="E24" s="233"/>
      <c r="F24" s="233"/>
      <c r="G24" s="82"/>
      <c r="H24" s="83" t="s">
        <v>32</v>
      </c>
      <c r="I24" s="84" t="s">
        <v>14</v>
      </c>
      <c r="J24" s="85">
        <f>'Necesidades Trimestrales (2)'!H26</f>
        <v>34500</v>
      </c>
      <c r="K24" s="86">
        <f>'Necesidades Trimestrales (2)'!G26</f>
        <v>16</v>
      </c>
      <c r="L24" s="28"/>
      <c r="P24" s="172">
        <f t="shared" si="0"/>
        <v>552000</v>
      </c>
      <c r="Q24" s="173">
        <v>436</v>
      </c>
      <c r="R24" s="172">
        <f>P22</f>
        <v>1040000</v>
      </c>
    </row>
    <row r="25" spans="1:18" ht="49.5" customHeight="1" thickBot="1" x14ac:dyDescent="0.25">
      <c r="A25" s="80">
        <v>14</v>
      </c>
      <c r="B25" s="81" t="str">
        <f>'Necesidades Trimestrales (2)'!B27</f>
        <v>4.3.5-241.105</v>
      </c>
      <c r="C25" s="232" t="str">
        <f>'Necesidades Trimestrales (2)'!E27</f>
        <v>TELEVISORES; PANTALLA: SMART LED FULL HD 60 pulg, NORMA: MULTINORMA, CANTIDAD DE CANALES: INDEFINIDO, APAGADO: CON, VISION MULTICANAL: CON</v>
      </c>
      <c r="D25" s="233"/>
      <c r="E25" s="233"/>
      <c r="F25" s="233"/>
      <c r="G25" s="82"/>
      <c r="H25" s="83" t="s">
        <v>32</v>
      </c>
      <c r="I25" s="84" t="s">
        <v>14</v>
      </c>
      <c r="J25" s="85">
        <f>'Necesidades Trimestrales (2)'!H27</f>
        <v>110000</v>
      </c>
      <c r="K25" s="86">
        <f>'Necesidades Trimestrales (2)'!G27</f>
        <v>4</v>
      </c>
      <c r="L25" s="28"/>
      <c r="P25" s="172">
        <f t="shared" si="0"/>
        <v>440000</v>
      </c>
      <c r="Q25" s="173">
        <v>437</v>
      </c>
      <c r="R25" s="172">
        <f>P21+P23+P24+P26</f>
        <v>2034000</v>
      </c>
    </row>
    <row r="26" spans="1:18" ht="49.5" customHeight="1" thickBot="1" x14ac:dyDescent="0.25">
      <c r="A26" s="80">
        <v>15</v>
      </c>
      <c r="B26" s="81" t="str">
        <f>'Necesidades Trimestrales (2)'!B28</f>
        <v>4.3.7-56.26</v>
      </c>
      <c r="C26" s="232" t="str">
        <f>'Necesidades Trimestrales (2)'!E28</f>
        <v>MESAS P/TELEVISORES; MATERIAL: AGLOMERADO, TAMAÑO: 110 X 110 X 60 Cm, PATAS: CON RUEDAS, ESTANTE: 2</v>
      </c>
      <c r="D26" s="233"/>
      <c r="E26" s="233"/>
      <c r="F26" s="233"/>
      <c r="G26" s="82"/>
      <c r="H26" s="83" t="s">
        <v>32</v>
      </c>
      <c r="I26" s="84" t="s">
        <v>14</v>
      </c>
      <c r="J26" s="85">
        <f>'Necesidades Trimestrales (2)'!H28</f>
        <v>13000</v>
      </c>
      <c r="K26" s="86">
        <f>'Necesidades Trimestrales (2)'!G28</f>
        <v>4</v>
      </c>
      <c r="L26" s="28"/>
      <c r="P26" s="172">
        <f t="shared" si="0"/>
        <v>52000</v>
      </c>
      <c r="Q26" s="173"/>
      <c r="R26" s="172">
        <f>SUM(R22:R25)</f>
        <v>12410621.210000001</v>
      </c>
    </row>
    <row r="27" spans="1:18" ht="49.5" customHeight="1" thickBot="1" x14ac:dyDescent="0.25">
      <c r="A27" s="80">
        <v>16</v>
      </c>
      <c r="B27" s="81" t="str">
        <f>'Necesidades Trimestrales (2)'!B29</f>
        <v>4.3.5-9163.90</v>
      </c>
      <c r="C27" s="232" t="str">
        <f>'Necesidades Trimestrales (2)'!E29</f>
        <v xml:space="preserve">EQUIPOS DIDACTICOS TECNICOS; NOMBRE: KIT EXPERIMENTAL , TIPO: SEGÚN PLIEGO   </v>
      </c>
      <c r="D27" s="233"/>
      <c r="E27" s="233"/>
      <c r="F27" s="233"/>
      <c r="G27" s="82"/>
      <c r="H27" s="83" t="s">
        <v>32</v>
      </c>
      <c r="I27" s="84" t="s">
        <v>14</v>
      </c>
      <c r="J27" s="85">
        <f>'Necesidades Trimestrales (2)'!H29</f>
        <v>2600</v>
      </c>
      <c r="K27" s="86">
        <v>80</v>
      </c>
      <c r="L27" s="28"/>
      <c r="P27" s="172">
        <f t="shared" si="0"/>
        <v>208000</v>
      </c>
    </row>
    <row r="28" spans="1:18" ht="49.5" customHeight="1" thickBot="1" x14ac:dyDescent="0.25">
      <c r="A28" s="80">
        <v>17</v>
      </c>
      <c r="B28" s="81" t="str">
        <f>'Necesidades Trimestrales (2)'!B30</f>
        <v>4.3.5-9163.90</v>
      </c>
      <c r="C28" s="232" t="str">
        <f>'Necesidades Trimestrales (2)'!E30</f>
        <v xml:space="preserve">EQUIPOS DIDACTICOS TECNICOS; NOMBRE: KIT EXPERIMENTAL , TIPO: SEGÚN PLIEGO   </v>
      </c>
      <c r="D28" s="233"/>
      <c r="E28" s="233"/>
      <c r="F28" s="233"/>
      <c r="G28" s="82"/>
      <c r="H28" s="83" t="s">
        <v>32</v>
      </c>
      <c r="I28" s="84" t="s">
        <v>14</v>
      </c>
      <c r="J28" s="85">
        <f>'Necesidades Trimestrales (2)'!H30</f>
        <v>20000</v>
      </c>
      <c r="K28" s="86">
        <v>78</v>
      </c>
      <c r="L28" s="28"/>
      <c r="P28" s="172">
        <f t="shared" si="0"/>
        <v>1560000</v>
      </c>
    </row>
    <row r="29" spans="1:18" ht="49.5" customHeight="1" thickBot="1" x14ac:dyDescent="0.25">
      <c r="A29" s="80">
        <v>18</v>
      </c>
      <c r="B29" s="81" t="str">
        <f>'Necesidades Trimestrales (2)'!B31</f>
        <v>4.3.5-9163.76</v>
      </c>
      <c r="C29" s="232" t="str">
        <f>'Necesidades Trimestrales (2)'!E31</f>
        <v xml:space="preserve">EQUIPOS DIDACTICOS TECNICOS; NOMBRE: ROBOT DIDACTICO, TIPO: 4 EJES   </v>
      </c>
      <c r="D29" s="233"/>
      <c r="E29" s="233"/>
      <c r="F29" s="233"/>
      <c r="G29" s="82"/>
      <c r="H29" s="83" t="s">
        <v>32</v>
      </c>
      <c r="I29" s="84" t="s">
        <v>14</v>
      </c>
      <c r="J29" s="85">
        <f>'Necesidades Trimestrales (2)'!H31</f>
        <v>16000</v>
      </c>
      <c r="K29" s="86">
        <v>8</v>
      </c>
      <c r="L29" s="28"/>
      <c r="P29" s="172">
        <f t="shared" si="0"/>
        <v>128000</v>
      </c>
    </row>
    <row r="30" spans="1:18" ht="49.5" customHeight="1" thickBot="1" x14ac:dyDescent="0.25">
      <c r="A30" s="80">
        <v>19</v>
      </c>
      <c r="B30" s="81" t="str">
        <f>'Necesidades Trimestrales (2)'!B34</f>
        <v>4.3.5-9163.90</v>
      </c>
      <c r="C30" s="232" t="str">
        <f>'Necesidades Trimestrales (2)'!E34</f>
        <v xml:space="preserve">EQUIPOS DIDACTICOS TECNICOS; NOMBRE: KIT EXPERIMENTAL , TIPO: SEGÚN PLIEGO  </v>
      </c>
      <c r="D30" s="233"/>
      <c r="E30" s="233"/>
      <c r="F30" s="233"/>
      <c r="G30" s="82"/>
      <c r="H30" s="83" t="s">
        <v>32</v>
      </c>
      <c r="I30" s="84" t="s">
        <v>14</v>
      </c>
      <c r="J30" s="85">
        <f>'Necesidades Trimestrales (2)'!H34</f>
        <v>10000</v>
      </c>
      <c r="K30" s="86">
        <v>8</v>
      </c>
      <c r="L30" s="28"/>
      <c r="P30" s="172">
        <f t="shared" si="0"/>
        <v>80000</v>
      </c>
    </row>
    <row r="31" spans="1:18" ht="38.25" customHeight="1" thickBot="1" x14ac:dyDescent="0.25">
      <c r="A31" s="239" t="s">
        <v>155</v>
      </c>
      <c r="B31" s="239"/>
      <c r="C31" s="239"/>
      <c r="D31" s="239"/>
      <c r="E31" s="239"/>
      <c r="F31" s="239"/>
      <c r="G31" s="239"/>
      <c r="H31" s="239"/>
      <c r="I31" s="239"/>
      <c r="J31" s="240">
        <f>SUMPRODUCT(J12:J30,K12:K30)</f>
        <v>12410621.210000001</v>
      </c>
      <c r="K31" s="240"/>
      <c r="L31" s="28"/>
      <c r="P31" s="28"/>
    </row>
  </sheetData>
  <mergeCells count="41">
    <mergeCell ref="A31:I31"/>
    <mergeCell ref="J31:K31"/>
    <mergeCell ref="A8:C8"/>
    <mergeCell ref="D8:K8"/>
    <mergeCell ref="A10:A11"/>
    <mergeCell ref="B10:B11"/>
    <mergeCell ref="C10:G11"/>
    <mergeCell ref="H10:H11"/>
    <mergeCell ref="I10:I11"/>
    <mergeCell ref="J10:J11"/>
    <mergeCell ref="K10:K11"/>
    <mergeCell ref="C18:G18"/>
    <mergeCell ref="C15:G15"/>
    <mergeCell ref="C17:G17"/>
    <mergeCell ref="C16:G16"/>
    <mergeCell ref="C12:G12"/>
    <mergeCell ref="A1:I1"/>
    <mergeCell ref="A6:C6"/>
    <mergeCell ref="D6:K6"/>
    <mergeCell ref="A7:C7"/>
    <mergeCell ref="D7:K7"/>
    <mergeCell ref="A3:C3"/>
    <mergeCell ref="D3:K3"/>
    <mergeCell ref="A4:C4"/>
    <mergeCell ref="D4:K4"/>
    <mergeCell ref="A5:C5"/>
    <mergeCell ref="D5:K5"/>
    <mergeCell ref="C13:G13"/>
    <mergeCell ref="C14:G14"/>
    <mergeCell ref="C19:F19"/>
    <mergeCell ref="C20:F20"/>
    <mergeCell ref="C21:F21"/>
    <mergeCell ref="C27:F27"/>
    <mergeCell ref="C28:F28"/>
    <mergeCell ref="C29:F29"/>
    <mergeCell ref="C30:F30"/>
    <mergeCell ref="C22:F22"/>
    <mergeCell ref="C23:F23"/>
    <mergeCell ref="C24:F24"/>
    <mergeCell ref="C25:F25"/>
    <mergeCell ref="C26:F26"/>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9"/>
  <sheetViews>
    <sheetView topLeftCell="A9" zoomScale="130" zoomScaleNormal="130" workbookViewId="0">
      <selection activeCell="O18" sqref="O18:P18"/>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 min="18" max="18" width="14.42578125" bestFit="1" customWidth="1"/>
    <col min="19" max="19" width="15.140625" customWidth="1"/>
  </cols>
  <sheetData>
    <row r="1" spans="1:19" ht="15.75" customHeight="1" x14ac:dyDescent="0.25">
      <c r="A1" s="249" t="s">
        <v>3</v>
      </c>
      <c r="B1" s="249"/>
      <c r="C1" s="249"/>
      <c r="D1" s="250">
        <v>2021</v>
      </c>
      <c r="E1" s="250"/>
      <c r="F1" s="9"/>
      <c r="G1" s="9"/>
      <c r="H1" s="10"/>
      <c r="I1" s="10"/>
      <c r="J1" s="10"/>
      <c r="K1" s="10"/>
      <c r="L1" s="10"/>
      <c r="M1" s="10"/>
      <c r="N1" s="10"/>
      <c r="P1" s="251" t="s">
        <v>33</v>
      </c>
      <c r="Q1" s="251"/>
    </row>
    <row r="2" spans="1:19" ht="15.75" customHeight="1" x14ac:dyDescent="0.2">
      <c r="H2" s="10"/>
      <c r="I2" s="10"/>
      <c r="J2" s="10"/>
      <c r="K2" s="10"/>
      <c r="L2" s="10"/>
      <c r="M2" s="10"/>
      <c r="N2" s="10"/>
      <c r="P2" s="251"/>
      <c r="Q2" s="251"/>
    </row>
    <row r="4" spans="1:19" s="11" customFormat="1" ht="18" customHeight="1" thickBot="1" x14ac:dyDescent="0.25">
      <c r="A4" s="252" t="s">
        <v>34</v>
      </c>
      <c r="B4" s="252"/>
      <c r="C4" s="252"/>
      <c r="D4" s="252"/>
      <c r="E4" s="252"/>
      <c r="F4" s="252"/>
      <c r="G4" s="253" t="str">
        <f>' NotaPedido'!D3</f>
        <v>70 - MINISTERIO DE CIENCIA E INNOVACION TECNOLOGICA</v>
      </c>
      <c r="H4" s="253"/>
      <c r="I4" s="253"/>
      <c r="J4" s="253"/>
      <c r="K4" s="253"/>
      <c r="L4" s="253"/>
      <c r="M4" s="253"/>
      <c r="N4" s="253"/>
      <c r="O4" s="253"/>
      <c r="P4" s="253"/>
      <c r="Q4" s="253"/>
    </row>
    <row r="5" spans="1:19" s="11" customFormat="1" ht="18" customHeight="1" thickBot="1" x14ac:dyDescent="0.25">
      <c r="A5" s="254" t="s">
        <v>57</v>
      </c>
      <c r="B5" s="255"/>
      <c r="C5" s="255"/>
      <c r="D5" s="255"/>
      <c r="E5" s="255"/>
      <c r="F5" s="256"/>
      <c r="G5" s="253" t="str">
        <f>' NotaPedido'!D4</f>
        <v>20 - MINISTERIO DE CIENCIA E INNOVACION TECNOLOGICA</v>
      </c>
      <c r="H5" s="253"/>
      <c r="I5" s="253"/>
      <c r="J5" s="253"/>
      <c r="K5" s="253"/>
      <c r="L5" s="253"/>
      <c r="M5" s="253"/>
      <c r="N5" s="253"/>
      <c r="O5" s="253"/>
      <c r="P5" s="253"/>
      <c r="Q5" s="253"/>
    </row>
    <row r="6" spans="1:19" s="11" customFormat="1" ht="18" customHeight="1" thickBot="1" x14ac:dyDescent="0.25">
      <c r="A6" s="254" t="s">
        <v>35</v>
      </c>
      <c r="B6" s="255"/>
      <c r="C6" s="255"/>
      <c r="D6" s="255"/>
      <c r="E6" s="255"/>
      <c r="F6" s="256"/>
      <c r="G6" s="253" t="str">
        <f>' NotaPedido'!D5</f>
        <v xml:space="preserve"> SECRETARIA DE INNOVACION TECNOLOGICA</v>
      </c>
      <c r="H6" s="253"/>
      <c r="I6" s="253"/>
      <c r="J6" s="253"/>
      <c r="K6" s="253"/>
      <c r="L6" s="253"/>
      <c r="M6" s="253"/>
      <c r="N6" s="253"/>
      <c r="O6" s="253"/>
      <c r="P6" s="253"/>
      <c r="Q6" s="253"/>
    </row>
    <row r="7" spans="1:19" s="11" customFormat="1" ht="18" customHeight="1" thickBot="1" x14ac:dyDescent="0.25">
      <c r="A7" s="254" t="s">
        <v>58</v>
      </c>
      <c r="B7" s="255"/>
      <c r="C7" s="255"/>
      <c r="D7" s="255"/>
      <c r="E7" s="255"/>
      <c r="F7" s="256"/>
      <c r="G7" s="258" t="str">
        <f>' NotaPedido'!D6</f>
        <v>DIRECCION PROVINCIAL DE GESTION ADMINISTRATIVA RECURSOS HUMANOS</v>
      </c>
      <c r="H7" s="258"/>
      <c r="I7" s="258"/>
      <c r="J7" s="258"/>
      <c r="K7" s="258"/>
      <c r="L7" s="258"/>
      <c r="M7" s="258"/>
      <c r="N7" s="258"/>
      <c r="O7" s="258"/>
      <c r="P7" s="258"/>
      <c r="Q7" s="258"/>
    </row>
    <row r="8" spans="1:19" ht="18" customHeight="1" thickBot="1" x14ac:dyDescent="0.25">
      <c r="A8" s="257" t="s">
        <v>36</v>
      </c>
      <c r="B8" s="257"/>
      <c r="C8" s="257"/>
      <c r="D8" s="257"/>
      <c r="E8" s="257"/>
      <c r="F8" s="257"/>
      <c r="G8" s="257"/>
      <c r="H8" s="257"/>
      <c r="I8" s="257"/>
      <c r="J8" s="257"/>
      <c r="K8" s="257"/>
      <c r="L8" s="257"/>
      <c r="M8" s="257"/>
      <c r="N8" s="257"/>
      <c r="O8" s="257"/>
      <c r="P8" s="257"/>
      <c r="Q8" s="257"/>
    </row>
    <row r="9" spans="1:19" ht="18" customHeight="1" x14ac:dyDescent="0.2">
      <c r="A9" s="259" t="s">
        <v>37</v>
      </c>
      <c r="B9" s="259"/>
      <c r="C9" s="259"/>
      <c r="D9" s="259"/>
      <c r="E9" s="259"/>
      <c r="F9" s="259"/>
      <c r="G9" s="259"/>
      <c r="H9" s="259"/>
      <c r="I9" s="259"/>
      <c r="J9" s="259"/>
      <c r="K9" s="259"/>
      <c r="L9" s="259"/>
      <c r="M9" s="259"/>
      <c r="N9" s="259"/>
      <c r="O9" s="1"/>
      <c r="P9" s="1"/>
      <c r="Q9" s="12"/>
    </row>
    <row r="10" spans="1:19" ht="54.75" customHeight="1" x14ac:dyDescent="0.2">
      <c r="A10" s="26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047/2021,  afectando la erogación resultante a los créditos presupuestarios aprobados a favor de esta Unidad Ejecutora, conforme al siguiente detalle:</v>
      </c>
      <c r="B10" s="260"/>
      <c r="C10" s="260"/>
      <c r="D10" s="260"/>
      <c r="E10" s="260"/>
      <c r="F10" s="260"/>
      <c r="G10" s="260"/>
      <c r="H10" s="260"/>
      <c r="I10" s="260"/>
      <c r="J10" s="260"/>
      <c r="K10" s="260"/>
      <c r="L10" s="260"/>
      <c r="M10" s="260"/>
      <c r="N10" s="260"/>
      <c r="O10" s="260"/>
      <c r="P10" s="260"/>
      <c r="Q10" s="260"/>
    </row>
    <row r="11" spans="1:19" ht="9" customHeight="1" x14ac:dyDescent="0.2">
      <c r="A11" s="13"/>
      <c r="B11" s="14"/>
      <c r="C11" s="14"/>
      <c r="D11" s="14"/>
      <c r="E11" s="14"/>
      <c r="F11" s="14"/>
      <c r="G11" s="15"/>
      <c r="H11" s="14"/>
      <c r="I11" s="14"/>
      <c r="J11" s="14"/>
      <c r="K11" s="14"/>
      <c r="L11" s="14"/>
      <c r="M11" s="14"/>
      <c r="N11" s="14"/>
      <c r="O11" s="14"/>
      <c r="P11" s="14"/>
      <c r="Q11" s="16"/>
    </row>
    <row r="12" spans="1:19" ht="15.75" customHeight="1" x14ac:dyDescent="0.2">
      <c r="A12" s="261" t="s">
        <v>38</v>
      </c>
      <c r="B12" s="261"/>
      <c r="C12" s="261"/>
      <c r="D12" s="261"/>
      <c r="E12" s="261"/>
      <c r="F12" s="261"/>
      <c r="G12" s="261"/>
      <c r="H12" s="261"/>
      <c r="I12" s="261"/>
      <c r="J12" s="261"/>
      <c r="K12" s="261"/>
      <c r="L12" s="261"/>
      <c r="M12" s="261"/>
      <c r="N12" s="261"/>
      <c r="O12" s="261"/>
      <c r="P12" s="261"/>
      <c r="Q12" s="261"/>
    </row>
    <row r="13" spans="1:19" ht="15.75" customHeight="1" x14ac:dyDescent="0.2">
      <c r="A13" s="262" t="s">
        <v>39</v>
      </c>
      <c r="B13" s="262"/>
      <c r="C13" s="262"/>
      <c r="D13" s="262"/>
      <c r="E13" s="262"/>
      <c r="F13" s="262"/>
      <c r="G13" s="262"/>
      <c r="H13" s="262"/>
      <c r="I13" s="262"/>
      <c r="J13" s="262"/>
      <c r="K13" s="262"/>
      <c r="L13" s="262"/>
      <c r="M13" s="262"/>
      <c r="N13" s="262"/>
      <c r="O13" s="263" t="s">
        <v>40</v>
      </c>
      <c r="P13" s="263"/>
      <c r="Q13" s="264" t="s">
        <v>41</v>
      </c>
    </row>
    <row r="14" spans="1:19" ht="15.75" customHeight="1" x14ac:dyDescent="0.2">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263"/>
      <c r="P14" s="263"/>
      <c r="Q14" s="264"/>
      <c r="R14" s="72"/>
      <c r="S14" s="72"/>
    </row>
    <row r="15" spans="1:19" ht="28.5" customHeight="1" x14ac:dyDescent="0.2">
      <c r="A15" s="30">
        <v>3</v>
      </c>
      <c r="B15" s="30">
        <v>0</v>
      </c>
      <c r="C15" s="30">
        <v>0</v>
      </c>
      <c r="D15" s="30">
        <v>1</v>
      </c>
      <c r="E15" s="30">
        <v>0</v>
      </c>
      <c r="F15" s="30">
        <v>4901</v>
      </c>
      <c r="G15" s="30">
        <v>3</v>
      </c>
      <c r="H15" s="30">
        <v>5</v>
      </c>
      <c r="I15" s="22">
        <v>4</v>
      </c>
      <c r="J15" s="22">
        <v>3</v>
      </c>
      <c r="K15" s="22">
        <v>2</v>
      </c>
      <c r="L15" s="30">
        <v>0</v>
      </c>
      <c r="M15" s="30">
        <v>1</v>
      </c>
      <c r="N15" s="30" t="s">
        <v>61</v>
      </c>
      <c r="O15" s="246" t="s">
        <v>83</v>
      </c>
      <c r="P15" s="247"/>
      <c r="Q15" s="32">
        <v>320000</v>
      </c>
      <c r="R15" s="88"/>
      <c r="S15" s="73"/>
    </row>
    <row r="16" spans="1:19" ht="24.75" customHeight="1" x14ac:dyDescent="0.2">
      <c r="A16" s="30">
        <v>3</v>
      </c>
      <c r="B16" s="30">
        <v>0</v>
      </c>
      <c r="C16" s="30">
        <v>0</v>
      </c>
      <c r="D16" s="30">
        <v>1</v>
      </c>
      <c r="E16" s="30">
        <v>0</v>
      </c>
      <c r="F16" s="30">
        <v>4901</v>
      </c>
      <c r="G16" s="30">
        <v>3</v>
      </c>
      <c r="H16" s="30">
        <v>5</v>
      </c>
      <c r="I16" s="22">
        <v>4</v>
      </c>
      <c r="J16" s="22">
        <v>3</v>
      </c>
      <c r="K16" s="22">
        <v>5</v>
      </c>
      <c r="L16" s="30">
        <v>0</v>
      </c>
      <c r="M16" s="30">
        <v>1</v>
      </c>
      <c r="N16" s="30" t="s">
        <v>61</v>
      </c>
      <c r="O16" s="246" t="s">
        <v>62</v>
      </c>
      <c r="P16" s="247"/>
      <c r="Q16" s="32">
        <v>9016621.2100000009</v>
      </c>
      <c r="R16" s="88"/>
      <c r="S16" s="73"/>
    </row>
    <row r="17" spans="1:19" ht="24.75" customHeight="1" x14ac:dyDescent="0.2">
      <c r="A17" s="30">
        <v>3</v>
      </c>
      <c r="B17" s="30">
        <v>0</v>
      </c>
      <c r="C17" s="30">
        <v>0</v>
      </c>
      <c r="D17" s="30">
        <v>1</v>
      </c>
      <c r="E17" s="30">
        <v>0</v>
      </c>
      <c r="F17" s="30">
        <v>4901</v>
      </c>
      <c r="G17" s="30">
        <v>3</v>
      </c>
      <c r="H17" s="30">
        <v>5</v>
      </c>
      <c r="I17" s="22">
        <v>4</v>
      </c>
      <c r="J17" s="22">
        <v>3</v>
      </c>
      <c r="K17" s="22">
        <v>6</v>
      </c>
      <c r="L17" s="30">
        <v>0</v>
      </c>
      <c r="M17" s="30">
        <v>1</v>
      </c>
      <c r="N17" s="30" t="s">
        <v>61</v>
      </c>
      <c r="O17" s="246" t="s">
        <v>152</v>
      </c>
      <c r="P17" s="247"/>
      <c r="Q17" s="32">
        <v>1040000</v>
      </c>
      <c r="R17" s="71"/>
      <c r="S17" s="73"/>
    </row>
    <row r="18" spans="1:19" ht="24.75" customHeight="1" x14ac:dyDescent="0.2">
      <c r="A18" s="164">
        <v>3</v>
      </c>
      <c r="B18" s="164">
        <v>0</v>
      </c>
      <c r="C18" s="164">
        <v>0</v>
      </c>
      <c r="D18" s="164">
        <v>1</v>
      </c>
      <c r="E18" s="164">
        <v>0</v>
      </c>
      <c r="F18" s="164">
        <v>4901</v>
      </c>
      <c r="G18" s="164">
        <v>3</v>
      </c>
      <c r="H18" s="164">
        <v>5</v>
      </c>
      <c r="I18" s="23">
        <v>4</v>
      </c>
      <c r="J18" s="23">
        <v>3</v>
      </c>
      <c r="K18" s="23">
        <v>7</v>
      </c>
      <c r="L18" s="164">
        <v>0</v>
      </c>
      <c r="M18" s="164">
        <v>1</v>
      </c>
      <c r="N18" s="164" t="s">
        <v>61</v>
      </c>
      <c r="O18" s="246" t="s">
        <v>153</v>
      </c>
      <c r="P18" s="248"/>
      <c r="Q18" s="32">
        <v>2034000</v>
      </c>
      <c r="R18" s="71"/>
      <c r="S18" s="73"/>
    </row>
    <row r="19" spans="1:19" ht="17.25" customHeight="1" x14ac:dyDescent="0.2">
      <c r="A19" s="22"/>
      <c r="B19" s="22"/>
      <c r="C19" s="22"/>
      <c r="D19" s="22"/>
      <c r="E19" s="22"/>
      <c r="F19" s="22"/>
      <c r="G19" s="22"/>
      <c r="H19" s="22"/>
      <c r="I19" s="22"/>
      <c r="J19" s="22"/>
      <c r="K19" s="22"/>
      <c r="L19" s="22"/>
      <c r="M19" s="22"/>
      <c r="N19" s="22"/>
      <c r="O19" s="271"/>
      <c r="P19" s="271"/>
      <c r="Q19" s="31"/>
      <c r="R19" s="70"/>
    </row>
    <row r="20" spans="1:19" ht="8.25" customHeight="1" x14ac:dyDescent="0.2">
      <c r="A20" s="24"/>
      <c r="B20" s="24"/>
      <c r="C20" s="24"/>
      <c r="D20" s="24"/>
      <c r="E20" s="24"/>
      <c r="F20" s="23"/>
      <c r="G20" s="24"/>
      <c r="H20" s="24"/>
      <c r="I20" s="24"/>
      <c r="J20" s="24"/>
      <c r="K20" s="24"/>
      <c r="L20" s="24"/>
      <c r="M20" s="24"/>
      <c r="N20" s="24"/>
      <c r="O20" s="272"/>
      <c r="P20" s="272"/>
      <c r="Q20" s="31"/>
      <c r="R20" s="71"/>
    </row>
    <row r="21" spans="1:19" ht="17.25" customHeight="1" x14ac:dyDescent="0.2">
      <c r="A21" s="23"/>
      <c r="B21" s="23"/>
      <c r="C21" s="23"/>
      <c r="D21" s="23"/>
      <c r="E21" s="23"/>
      <c r="F21" s="23"/>
      <c r="G21" s="23"/>
      <c r="H21" s="23"/>
      <c r="I21" s="23"/>
      <c r="J21" s="23"/>
      <c r="K21" s="23"/>
      <c r="L21" s="23"/>
      <c r="M21" s="23"/>
      <c r="N21" s="23"/>
      <c r="O21" s="272"/>
      <c r="P21" s="272"/>
      <c r="Q21" s="31"/>
      <c r="R21" s="70"/>
    </row>
    <row r="22" spans="1:19" ht="32.25" customHeight="1" thickBot="1" x14ac:dyDescent="0.25">
      <c r="A22" s="273" t="s">
        <v>154</v>
      </c>
      <c r="B22" s="273"/>
      <c r="C22" s="273"/>
      <c r="D22" s="273"/>
      <c r="E22" s="273"/>
      <c r="F22" s="273"/>
      <c r="G22" s="273"/>
      <c r="H22" s="273"/>
      <c r="I22" s="273"/>
      <c r="J22" s="273"/>
      <c r="K22" s="273"/>
      <c r="L22" s="273"/>
      <c r="M22" s="273"/>
      <c r="N22" s="273"/>
      <c r="O22" s="273"/>
      <c r="P22" s="273"/>
      <c r="Q22" s="29">
        <f>SUM(Q15:Q21)</f>
        <v>12410621.210000001</v>
      </c>
      <c r="R22" s="70"/>
      <c r="S22" s="69"/>
    </row>
    <row r="23" spans="1:19" ht="18" customHeight="1" thickBot="1" x14ac:dyDescent="0.25">
      <c r="A23" s="274"/>
      <c r="B23" s="274"/>
      <c r="C23" s="274"/>
      <c r="D23" s="274"/>
      <c r="E23" s="274"/>
      <c r="F23" s="274"/>
      <c r="G23" s="274"/>
      <c r="H23" s="274"/>
      <c r="I23" s="274"/>
      <c r="J23" s="274"/>
      <c r="K23" s="274"/>
      <c r="L23" s="274"/>
      <c r="M23" s="274"/>
      <c r="N23" s="274"/>
      <c r="O23" s="274"/>
      <c r="P23" s="274"/>
      <c r="Q23" s="274"/>
    </row>
    <row r="24" spans="1:19" ht="17.25" customHeight="1" thickBot="1" x14ac:dyDescent="0.25">
      <c r="A24" s="265" t="s">
        <v>55</v>
      </c>
      <c r="B24" s="266"/>
      <c r="C24" s="266"/>
      <c r="D24" s="266"/>
      <c r="E24" s="266"/>
      <c r="F24" s="267"/>
      <c r="G24" s="268"/>
      <c r="H24" s="268"/>
      <c r="I24" s="268"/>
      <c r="J24" s="268"/>
      <c r="K24" s="268"/>
      <c r="L24" s="268"/>
      <c r="M24" s="268"/>
      <c r="N24" s="268"/>
      <c r="O24" s="268"/>
      <c r="P24" s="268"/>
      <c r="Q24" s="268"/>
    </row>
    <row r="25" spans="1:19" ht="18" customHeight="1" thickBot="1" x14ac:dyDescent="0.25">
      <c r="A25" s="269" t="s">
        <v>158</v>
      </c>
      <c r="B25" s="270"/>
      <c r="C25" s="270"/>
      <c r="D25" s="270"/>
      <c r="E25" s="270"/>
      <c r="F25" s="270"/>
      <c r="G25" s="270"/>
      <c r="H25" s="270"/>
      <c r="I25" s="270"/>
      <c r="J25" s="270"/>
      <c r="K25" s="270"/>
      <c r="L25" s="270"/>
      <c r="M25" s="270"/>
      <c r="N25" s="270"/>
      <c r="O25" s="270"/>
      <c r="P25" s="270"/>
      <c r="Q25" s="270"/>
    </row>
    <row r="26" spans="1:19" ht="21.75" customHeight="1" x14ac:dyDescent="0.2">
      <c r="A26" s="270"/>
      <c r="B26" s="270"/>
      <c r="C26" s="270"/>
      <c r="D26" s="270"/>
      <c r="E26" s="270"/>
      <c r="F26" s="270"/>
      <c r="G26" s="270"/>
      <c r="H26" s="270"/>
      <c r="I26" s="270"/>
      <c r="J26" s="270"/>
      <c r="K26" s="270"/>
      <c r="L26" s="270"/>
      <c r="M26" s="270"/>
      <c r="N26" s="270"/>
      <c r="O26" s="270"/>
      <c r="P26" s="270"/>
      <c r="Q26" s="270"/>
    </row>
    <row r="29" spans="1:19" x14ac:dyDescent="0.2">
      <c r="A29" s="27"/>
    </row>
  </sheetData>
  <mergeCells count="30">
    <mergeCell ref="A24:F24"/>
    <mergeCell ref="G24:Q24"/>
    <mergeCell ref="A25:Q26"/>
    <mergeCell ref="O19:P19"/>
    <mergeCell ref="O20:P20"/>
    <mergeCell ref="O21:P21"/>
    <mergeCell ref="A22:P22"/>
    <mergeCell ref="A23:Q23"/>
    <mergeCell ref="A9:N9"/>
    <mergeCell ref="A10:Q10"/>
    <mergeCell ref="A12:Q12"/>
    <mergeCell ref="A13:N13"/>
    <mergeCell ref="O13:P14"/>
    <mergeCell ref="Q13:Q14"/>
    <mergeCell ref="O17:P17"/>
    <mergeCell ref="O18:P18"/>
    <mergeCell ref="A1:C1"/>
    <mergeCell ref="D1:E1"/>
    <mergeCell ref="P1:Q2"/>
    <mergeCell ref="A4:F4"/>
    <mergeCell ref="G4:Q4"/>
    <mergeCell ref="A5:F5"/>
    <mergeCell ref="G5:Q5"/>
    <mergeCell ref="A8:Q8"/>
    <mergeCell ref="A6:F6"/>
    <mergeCell ref="G6:Q6"/>
    <mergeCell ref="A7:F7"/>
    <mergeCell ref="G7:Q7"/>
    <mergeCell ref="O15:P15"/>
    <mergeCell ref="O16:P16"/>
  </mergeCells>
  <printOptions horizontalCentered="1"/>
  <pageMargins left="0.39374999999999999" right="0.39374999999999999" top="0.98402777777777795" bottom="0.98402777777777795" header="0.51180555555555496" footer="0.51180555555555496"/>
  <pageSetup paperSize="5" scale="73" firstPageNumber="0"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9"/>
  <sheetViews>
    <sheetView topLeftCell="A13" workbookViewId="0">
      <selection activeCell="C12" sqref="C12:G12"/>
    </sheetView>
  </sheetViews>
  <sheetFormatPr baseColWidth="10" defaultRowHeight="12.75" x14ac:dyDescent="0.2"/>
  <cols>
    <col min="2" max="2" width="14.42578125" customWidth="1"/>
    <col min="7" max="7" width="17.5703125" customWidth="1"/>
    <col min="10" max="10" width="14.42578125" customWidth="1"/>
    <col min="11" max="11" width="12.85546875" customWidth="1"/>
    <col min="12" max="12" width="4.7109375" customWidth="1"/>
    <col min="13" max="13" width="11.7109375" bestFit="1" customWidth="1"/>
  </cols>
  <sheetData>
    <row r="1" spans="1:13" ht="16.5" thickBot="1" x14ac:dyDescent="0.25">
      <c r="A1" s="235" t="s">
        <v>21</v>
      </c>
      <c r="B1" s="235"/>
      <c r="C1" s="235"/>
      <c r="D1" s="235"/>
      <c r="E1" s="235"/>
      <c r="F1" s="235"/>
      <c r="G1" s="235"/>
      <c r="H1" s="235"/>
      <c r="I1" s="235"/>
      <c r="J1" s="3" t="s">
        <v>22</v>
      </c>
      <c r="K1" s="63" t="s">
        <v>161</v>
      </c>
    </row>
    <row r="2" spans="1:13" ht="16.5" thickBot="1" x14ac:dyDescent="0.25">
      <c r="A2" s="4"/>
      <c r="B2" s="4"/>
      <c r="C2" s="4"/>
      <c r="D2" s="5"/>
      <c r="E2" s="5"/>
      <c r="F2" s="5"/>
      <c r="G2" s="5"/>
      <c r="H2" s="5"/>
      <c r="I2" s="5"/>
      <c r="J2" s="5"/>
      <c r="K2" s="5"/>
    </row>
    <row r="3" spans="1:13" ht="16.5" thickBot="1" x14ac:dyDescent="0.25">
      <c r="A3" s="236" t="s">
        <v>56</v>
      </c>
      <c r="B3" s="236"/>
      <c r="C3" s="236"/>
      <c r="D3" s="237" t="s">
        <v>59</v>
      </c>
      <c r="E3" s="237"/>
      <c r="F3" s="237"/>
      <c r="G3" s="237"/>
      <c r="H3" s="237"/>
      <c r="I3" s="237"/>
      <c r="J3" s="237"/>
      <c r="K3" s="237"/>
    </row>
    <row r="4" spans="1:13" ht="16.5" thickBot="1" x14ac:dyDescent="0.25">
      <c r="A4" s="238" t="s">
        <v>57</v>
      </c>
      <c r="B4" s="238"/>
      <c r="C4" s="238"/>
      <c r="D4" s="237" t="s">
        <v>60</v>
      </c>
      <c r="E4" s="237"/>
      <c r="F4" s="237"/>
      <c r="G4" s="237"/>
      <c r="H4" s="237"/>
      <c r="I4" s="237"/>
      <c r="J4" s="237"/>
      <c r="K4" s="237"/>
    </row>
    <row r="5" spans="1:13" ht="16.5" thickBot="1" x14ac:dyDescent="0.25">
      <c r="A5" s="238" t="s">
        <v>35</v>
      </c>
      <c r="B5" s="238"/>
      <c r="C5" s="238"/>
      <c r="D5" s="237" t="s">
        <v>94</v>
      </c>
      <c r="E5" s="237"/>
      <c r="F5" s="237"/>
      <c r="G5" s="237"/>
      <c r="H5" s="237"/>
      <c r="I5" s="237"/>
      <c r="J5" s="237"/>
      <c r="K5" s="237"/>
    </row>
    <row r="6" spans="1:13" ht="16.5" thickBot="1" x14ac:dyDescent="0.25">
      <c r="A6" s="236" t="s">
        <v>58</v>
      </c>
      <c r="B6" s="236"/>
      <c r="C6" s="236"/>
      <c r="D6" s="237" t="s">
        <v>64</v>
      </c>
      <c r="E6" s="237"/>
      <c r="F6" s="237"/>
      <c r="G6" s="237"/>
      <c r="H6" s="237"/>
      <c r="I6" s="237"/>
      <c r="J6" s="237"/>
      <c r="K6" s="237"/>
    </row>
    <row r="7" spans="1:13" ht="16.5" thickBot="1" x14ac:dyDescent="0.25">
      <c r="A7" s="238" t="s">
        <v>23</v>
      </c>
      <c r="B7" s="238"/>
      <c r="C7" s="238"/>
      <c r="D7" s="237" t="s">
        <v>149</v>
      </c>
      <c r="E7" s="237"/>
      <c r="F7" s="237"/>
      <c r="G7" s="237"/>
      <c r="H7" s="237"/>
      <c r="I7" s="237"/>
      <c r="J7" s="237"/>
      <c r="K7" s="237"/>
    </row>
    <row r="8" spans="1:13" ht="35.25" customHeight="1" thickBot="1" x14ac:dyDescent="0.25">
      <c r="A8" s="241" t="s">
        <v>24</v>
      </c>
      <c r="B8" s="241"/>
      <c r="C8" s="241"/>
      <c r="D8" s="242" t="s">
        <v>159</v>
      </c>
      <c r="E8" s="242"/>
      <c r="F8" s="242"/>
      <c r="G8" s="242"/>
      <c r="H8" s="242"/>
      <c r="I8" s="242"/>
      <c r="J8" s="242"/>
      <c r="K8" s="242"/>
    </row>
    <row r="9" spans="1:13" ht="16.5" thickBot="1" x14ac:dyDescent="0.25">
      <c r="A9" s="6"/>
      <c r="B9" s="6"/>
      <c r="C9" s="6"/>
      <c r="D9" s="7"/>
      <c r="E9" s="7"/>
      <c r="F9" s="7"/>
      <c r="G9" s="7"/>
      <c r="H9" s="7"/>
      <c r="I9" s="7"/>
      <c r="J9" s="7"/>
      <c r="K9" s="7"/>
    </row>
    <row r="10" spans="1:13" ht="13.5" thickBot="1" x14ac:dyDescent="0.25">
      <c r="A10" s="243" t="s">
        <v>25</v>
      </c>
      <c r="B10" s="244" t="s">
        <v>26</v>
      </c>
      <c r="C10" s="244" t="s">
        <v>27</v>
      </c>
      <c r="D10" s="244"/>
      <c r="E10" s="244"/>
      <c r="F10" s="244"/>
      <c r="G10" s="244"/>
      <c r="H10" s="277" t="s">
        <v>28</v>
      </c>
      <c r="I10" s="244" t="s">
        <v>29</v>
      </c>
      <c r="J10" s="276" t="s">
        <v>30</v>
      </c>
      <c r="K10" s="245" t="s">
        <v>31</v>
      </c>
    </row>
    <row r="11" spans="1:13" ht="17.25" customHeight="1" thickBot="1" x14ac:dyDescent="0.25">
      <c r="A11" s="243"/>
      <c r="B11" s="244"/>
      <c r="C11" s="244"/>
      <c r="D11" s="244"/>
      <c r="E11" s="244"/>
      <c r="F11" s="244"/>
      <c r="G11" s="244"/>
      <c r="H11" s="277"/>
      <c r="I11" s="244"/>
      <c r="J11" s="276"/>
      <c r="K11" s="245"/>
    </row>
    <row r="12" spans="1:13" ht="28.7" customHeight="1" thickBot="1" x14ac:dyDescent="0.25">
      <c r="A12" s="80">
        <v>1</v>
      </c>
      <c r="B12" s="81" t="s">
        <v>72</v>
      </c>
      <c r="C12" s="275" t="s">
        <v>73</v>
      </c>
      <c r="D12" s="275" t="s">
        <v>73</v>
      </c>
      <c r="E12" s="275" t="s">
        <v>73</v>
      </c>
      <c r="F12" s="275" t="s">
        <v>73</v>
      </c>
      <c r="G12" s="275" t="s">
        <v>73</v>
      </c>
      <c r="H12" s="83" t="s">
        <v>32</v>
      </c>
      <c r="I12" s="84" t="s">
        <v>14</v>
      </c>
      <c r="J12" s="85">
        <v>185000</v>
      </c>
      <c r="K12" s="86">
        <v>5</v>
      </c>
      <c r="M12" s="87"/>
    </row>
    <row r="13" spans="1:13" ht="28.7" customHeight="1" thickBot="1" x14ac:dyDescent="0.25">
      <c r="A13" s="80">
        <v>2</v>
      </c>
      <c r="B13" s="81" t="s">
        <v>63</v>
      </c>
      <c r="C13" s="275" t="s">
        <v>74</v>
      </c>
      <c r="D13" s="275" t="s">
        <v>74</v>
      </c>
      <c r="E13" s="275" t="s">
        <v>74</v>
      </c>
      <c r="F13" s="275" t="s">
        <v>74</v>
      </c>
      <c r="G13" s="275" t="s">
        <v>74</v>
      </c>
      <c r="H13" s="83" t="s">
        <v>32</v>
      </c>
      <c r="I13" s="84" t="s">
        <v>14</v>
      </c>
      <c r="J13" s="85">
        <v>2020</v>
      </c>
      <c r="K13" s="86">
        <v>20</v>
      </c>
      <c r="M13" s="87"/>
    </row>
    <row r="14" spans="1:13" ht="28.7" customHeight="1" thickBot="1" x14ac:dyDescent="0.25">
      <c r="A14" s="80">
        <v>3</v>
      </c>
      <c r="B14" s="81" t="s">
        <v>80</v>
      </c>
      <c r="C14" s="275" t="s">
        <v>81</v>
      </c>
      <c r="D14" s="275" t="s">
        <v>81</v>
      </c>
      <c r="E14" s="275" t="s">
        <v>81</v>
      </c>
      <c r="F14" s="275" t="s">
        <v>81</v>
      </c>
      <c r="G14" s="275" t="s">
        <v>81</v>
      </c>
      <c r="H14" s="83" t="s">
        <v>32</v>
      </c>
      <c r="I14" s="84" t="s">
        <v>14</v>
      </c>
      <c r="J14" s="85">
        <v>65000</v>
      </c>
      <c r="K14" s="86">
        <v>2</v>
      </c>
      <c r="M14" s="87"/>
    </row>
    <row r="15" spans="1:13" ht="28.7" customHeight="1" thickBot="1" x14ac:dyDescent="0.25">
      <c r="A15" s="80">
        <v>4</v>
      </c>
      <c r="B15" s="81" t="s">
        <v>75</v>
      </c>
      <c r="C15" s="275" t="s">
        <v>76</v>
      </c>
      <c r="D15" s="275" t="s">
        <v>76</v>
      </c>
      <c r="E15" s="275" t="s">
        <v>76</v>
      </c>
      <c r="F15" s="275" t="s">
        <v>76</v>
      </c>
      <c r="G15" s="275" t="s">
        <v>76</v>
      </c>
      <c r="H15" s="83" t="s">
        <v>32</v>
      </c>
      <c r="I15" s="84" t="s">
        <v>14</v>
      </c>
      <c r="J15" s="85">
        <v>1391961.21</v>
      </c>
      <c r="K15" s="86">
        <v>2</v>
      </c>
      <c r="M15" s="87"/>
    </row>
    <row r="16" spans="1:13" ht="29.25" customHeight="1" thickBot="1" x14ac:dyDescent="0.25">
      <c r="A16" s="80">
        <v>5</v>
      </c>
      <c r="B16" s="81" t="s">
        <v>63</v>
      </c>
      <c r="C16" s="275" t="s">
        <v>114</v>
      </c>
      <c r="D16" s="275"/>
      <c r="E16" s="275"/>
      <c r="F16" s="275"/>
      <c r="G16" s="275"/>
      <c r="H16" s="83" t="s">
        <v>32</v>
      </c>
      <c r="I16" s="84" t="s">
        <v>14</v>
      </c>
      <c r="J16" s="85">
        <v>20000</v>
      </c>
      <c r="K16" s="86">
        <v>2</v>
      </c>
      <c r="M16" s="87"/>
    </row>
    <row r="17" spans="1:13" ht="30.75" customHeight="1" thickBot="1" x14ac:dyDescent="0.25">
      <c r="A17" s="80">
        <v>6</v>
      </c>
      <c r="B17" s="81" t="s">
        <v>63</v>
      </c>
      <c r="C17" s="275" t="s">
        <v>117</v>
      </c>
      <c r="D17" s="275"/>
      <c r="E17" s="275"/>
      <c r="F17" s="275"/>
      <c r="G17" s="275"/>
      <c r="H17" s="83" t="s">
        <v>32</v>
      </c>
      <c r="I17" s="84" t="s">
        <v>14</v>
      </c>
      <c r="J17" s="85">
        <v>125000</v>
      </c>
      <c r="K17" s="86">
        <v>8</v>
      </c>
      <c r="M17" s="87"/>
    </row>
    <row r="18" spans="1:13" ht="28.7" customHeight="1" thickBot="1" x14ac:dyDescent="0.25">
      <c r="A18" s="80">
        <v>7</v>
      </c>
      <c r="B18" s="81" t="s">
        <v>63</v>
      </c>
      <c r="C18" s="275" t="s">
        <v>114</v>
      </c>
      <c r="D18" s="275"/>
      <c r="E18" s="275"/>
      <c r="F18" s="275"/>
      <c r="G18" s="275"/>
      <c r="H18" s="83" t="s">
        <v>32</v>
      </c>
      <c r="I18" s="84" t="s">
        <v>14</v>
      </c>
      <c r="J18" s="85">
        <v>69000</v>
      </c>
      <c r="K18" s="86">
        <v>8</v>
      </c>
      <c r="M18" s="87"/>
    </row>
    <row r="19" spans="1:13" ht="33" customHeight="1" thickBot="1" x14ac:dyDescent="0.25">
      <c r="A19" s="239" t="s">
        <v>156</v>
      </c>
      <c r="B19" s="239"/>
      <c r="C19" s="239"/>
      <c r="D19" s="239"/>
      <c r="E19" s="239"/>
      <c r="F19" s="239"/>
      <c r="G19" s="239"/>
      <c r="H19" s="239"/>
      <c r="I19" s="239"/>
      <c r="J19" s="240">
        <f>SUMPRODUCT(J12:J18,K12:K18)</f>
        <v>5471322.4199999999</v>
      </c>
      <c r="K19" s="240"/>
    </row>
  </sheetData>
  <mergeCells count="29">
    <mergeCell ref="C12:G12"/>
    <mergeCell ref="I10:I11"/>
    <mergeCell ref="J10:J11"/>
    <mergeCell ref="A19:I19"/>
    <mergeCell ref="J19:K19"/>
    <mergeCell ref="C13:G13"/>
    <mergeCell ref="C14:G14"/>
    <mergeCell ref="C15:G15"/>
    <mergeCell ref="A10:A11"/>
    <mergeCell ref="B10:B11"/>
    <mergeCell ref="C10:G11"/>
    <mergeCell ref="H10:H11"/>
    <mergeCell ref="K10:K11"/>
    <mergeCell ref="C16:G16"/>
    <mergeCell ref="C17:G17"/>
    <mergeCell ref="C18:G18"/>
    <mergeCell ref="A6:C6"/>
    <mergeCell ref="D6:K6"/>
    <mergeCell ref="A7:C7"/>
    <mergeCell ref="D7:K7"/>
    <mergeCell ref="A8:C8"/>
    <mergeCell ref="D8:K8"/>
    <mergeCell ref="A5:C5"/>
    <mergeCell ref="D5:K5"/>
    <mergeCell ref="A1:I1"/>
    <mergeCell ref="A3:C3"/>
    <mergeCell ref="D3:K3"/>
    <mergeCell ref="A4:C4"/>
    <mergeCell ref="D4:K4"/>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7"/>
  <sheetViews>
    <sheetView topLeftCell="A4" zoomScale="130" zoomScaleNormal="130" workbookViewId="0">
      <selection activeCell="Q18" sqref="Q18"/>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 min="18" max="18" width="14.42578125" bestFit="1" customWidth="1"/>
    <col min="19" max="19" width="15" customWidth="1"/>
  </cols>
  <sheetData>
    <row r="1" spans="1:19" ht="15.75" customHeight="1" thickBot="1" x14ac:dyDescent="0.3">
      <c r="A1" s="249" t="s">
        <v>3</v>
      </c>
      <c r="B1" s="249"/>
      <c r="C1" s="249"/>
      <c r="D1" s="250">
        <v>2021</v>
      </c>
      <c r="E1" s="250"/>
      <c r="F1" s="9"/>
      <c r="G1" s="9"/>
      <c r="H1" s="10"/>
      <c r="I1" s="10"/>
      <c r="J1" s="10"/>
      <c r="K1" s="10"/>
      <c r="L1" s="10"/>
      <c r="M1" s="10"/>
      <c r="N1" s="10"/>
      <c r="P1" s="251" t="s">
        <v>33</v>
      </c>
      <c r="Q1" s="251"/>
    </row>
    <row r="2" spans="1:19" ht="15.75" customHeight="1" thickBot="1" x14ac:dyDescent="0.25">
      <c r="H2" s="10"/>
      <c r="I2" s="10"/>
      <c r="J2" s="10"/>
      <c r="K2" s="10"/>
      <c r="L2" s="10"/>
      <c r="M2" s="10"/>
      <c r="N2" s="10"/>
      <c r="P2" s="251"/>
      <c r="Q2" s="251"/>
    </row>
    <row r="4" spans="1:19" s="11" customFormat="1" ht="18" customHeight="1" thickBot="1" x14ac:dyDescent="0.25">
      <c r="A4" s="252" t="s">
        <v>34</v>
      </c>
      <c r="B4" s="252"/>
      <c r="C4" s="252"/>
      <c r="D4" s="252"/>
      <c r="E4" s="252"/>
      <c r="F4" s="252"/>
      <c r="G4" s="253" t="str">
        <f>' NotaPedido'!D3</f>
        <v>70 - MINISTERIO DE CIENCIA E INNOVACION TECNOLOGICA</v>
      </c>
      <c r="H4" s="253"/>
      <c r="I4" s="253"/>
      <c r="J4" s="253"/>
      <c r="K4" s="253"/>
      <c r="L4" s="253"/>
      <c r="M4" s="253"/>
      <c r="N4" s="253"/>
      <c r="O4" s="253"/>
      <c r="P4" s="253"/>
      <c r="Q4" s="253"/>
    </row>
    <row r="5" spans="1:19" s="11" customFormat="1" ht="18" customHeight="1" thickBot="1" x14ac:dyDescent="0.25">
      <c r="A5" s="254" t="s">
        <v>57</v>
      </c>
      <c r="B5" s="255"/>
      <c r="C5" s="255"/>
      <c r="D5" s="255"/>
      <c r="E5" s="255"/>
      <c r="F5" s="256"/>
      <c r="G5" s="253" t="str">
        <f>' NotaPedido'!D4</f>
        <v>20 - MINISTERIO DE CIENCIA E INNOVACION TECNOLOGICA</v>
      </c>
      <c r="H5" s="253"/>
      <c r="I5" s="253"/>
      <c r="J5" s="253"/>
      <c r="K5" s="253"/>
      <c r="L5" s="253"/>
      <c r="M5" s="253"/>
      <c r="N5" s="253"/>
      <c r="O5" s="253"/>
      <c r="P5" s="253"/>
      <c r="Q5" s="253"/>
    </row>
    <row r="6" spans="1:19" s="11" customFormat="1" ht="18" customHeight="1" thickBot="1" x14ac:dyDescent="0.25">
      <c r="A6" s="254" t="s">
        <v>35</v>
      </c>
      <c r="B6" s="255"/>
      <c r="C6" s="255"/>
      <c r="D6" s="255"/>
      <c r="E6" s="255"/>
      <c r="F6" s="256"/>
      <c r="G6" s="253" t="s">
        <v>94</v>
      </c>
      <c r="H6" s="253"/>
      <c r="I6" s="253"/>
      <c r="J6" s="253"/>
      <c r="K6" s="253"/>
      <c r="L6" s="253"/>
      <c r="M6" s="253"/>
      <c r="N6" s="253"/>
      <c r="O6" s="253"/>
      <c r="P6" s="253"/>
      <c r="Q6" s="253"/>
    </row>
    <row r="7" spans="1:19" s="11" customFormat="1" ht="18" customHeight="1" thickBot="1" x14ac:dyDescent="0.25">
      <c r="A7" s="254" t="s">
        <v>58</v>
      </c>
      <c r="B7" s="255"/>
      <c r="C7" s="255"/>
      <c r="D7" s="255"/>
      <c r="E7" s="255"/>
      <c r="F7" s="256"/>
      <c r="G7" s="258" t="str">
        <f>' NotaPedido'!D6</f>
        <v>DIRECCION PROVINCIAL DE GESTION ADMINISTRATIVA RECURSOS HUMANOS</v>
      </c>
      <c r="H7" s="258"/>
      <c r="I7" s="258"/>
      <c r="J7" s="258"/>
      <c r="K7" s="258"/>
      <c r="L7" s="258"/>
      <c r="M7" s="258"/>
      <c r="N7" s="258"/>
      <c r="O7" s="258"/>
      <c r="P7" s="258"/>
      <c r="Q7" s="258"/>
    </row>
    <row r="8" spans="1:19" ht="18" customHeight="1" thickBot="1" x14ac:dyDescent="0.25">
      <c r="A8" s="257" t="s">
        <v>36</v>
      </c>
      <c r="B8" s="257"/>
      <c r="C8" s="257"/>
      <c r="D8" s="257"/>
      <c r="E8" s="257"/>
      <c r="F8" s="257"/>
      <c r="G8" s="257"/>
      <c r="H8" s="257"/>
      <c r="I8" s="257"/>
      <c r="J8" s="257"/>
      <c r="K8" s="257"/>
      <c r="L8" s="257"/>
      <c r="M8" s="257"/>
      <c r="N8" s="257"/>
      <c r="O8" s="257"/>
      <c r="P8" s="257"/>
      <c r="Q8" s="257"/>
    </row>
    <row r="9" spans="1:19" ht="18" customHeight="1" x14ac:dyDescent="0.2">
      <c r="A9" s="259" t="s">
        <v>37</v>
      </c>
      <c r="B9" s="259"/>
      <c r="C9" s="259"/>
      <c r="D9" s="259"/>
      <c r="E9" s="259"/>
      <c r="F9" s="259"/>
      <c r="G9" s="259"/>
      <c r="H9" s="259"/>
      <c r="I9" s="259"/>
      <c r="J9" s="259"/>
      <c r="K9" s="259"/>
      <c r="L9" s="259"/>
      <c r="M9" s="259"/>
      <c r="N9" s="259"/>
      <c r="O9" s="1"/>
      <c r="P9" s="1"/>
      <c r="Q9" s="12"/>
    </row>
    <row r="10" spans="1:19" ht="54.75" customHeight="1" x14ac:dyDescent="0.2">
      <c r="A10" s="260" t="s">
        <v>162</v>
      </c>
      <c r="B10" s="260"/>
      <c r="C10" s="260"/>
      <c r="D10" s="260"/>
      <c r="E10" s="260"/>
      <c r="F10" s="260"/>
      <c r="G10" s="260"/>
      <c r="H10" s="260"/>
      <c r="I10" s="260"/>
      <c r="J10" s="260"/>
      <c r="K10" s="260"/>
      <c r="L10" s="260"/>
      <c r="M10" s="260"/>
      <c r="N10" s="260"/>
      <c r="O10" s="260"/>
      <c r="P10" s="260"/>
      <c r="Q10" s="260"/>
    </row>
    <row r="11" spans="1:19" ht="9" customHeight="1" thickBot="1" x14ac:dyDescent="0.25">
      <c r="A11" s="13"/>
      <c r="B11" s="14"/>
      <c r="C11" s="14"/>
      <c r="D11" s="14"/>
      <c r="E11" s="14"/>
      <c r="F11" s="14"/>
      <c r="G11" s="15"/>
      <c r="H11" s="14"/>
      <c r="I11" s="14"/>
      <c r="J11" s="14"/>
      <c r="K11" s="14"/>
      <c r="L11" s="14"/>
      <c r="M11" s="14"/>
      <c r="N11" s="14"/>
      <c r="O11" s="14"/>
      <c r="P11" s="14"/>
      <c r="Q11" s="16"/>
    </row>
    <row r="12" spans="1:19" ht="15.75" customHeight="1" thickBot="1" x14ac:dyDescent="0.25">
      <c r="A12" s="261" t="s">
        <v>38</v>
      </c>
      <c r="B12" s="261"/>
      <c r="C12" s="261"/>
      <c r="D12" s="261"/>
      <c r="E12" s="261"/>
      <c r="F12" s="261"/>
      <c r="G12" s="261"/>
      <c r="H12" s="261"/>
      <c r="I12" s="261"/>
      <c r="J12" s="261"/>
      <c r="K12" s="261"/>
      <c r="L12" s="261"/>
      <c r="M12" s="261"/>
      <c r="N12" s="261"/>
      <c r="O12" s="261"/>
      <c r="P12" s="261"/>
      <c r="Q12" s="261"/>
    </row>
    <row r="13" spans="1:19" ht="15.75" customHeight="1" thickBot="1" x14ac:dyDescent="0.25">
      <c r="A13" s="262" t="s">
        <v>39</v>
      </c>
      <c r="B13" s="262"/>
      <c r="C13" s="262"/>
      <c r="D13" s="262"/>
      <c r="E13" s="262"/>
      <c r="F13" s="262"/>
      <c r="G13" s="262"/>
      <c r="H13" s="262"/>
      <c r="I13" s="262"/>
      <c r="J13" s="262"/>
      <c r="K13" s="262"/>
      <c r="L13" s="262"/>
      <c r="M13" s="262"/>
      <c r="N13" s="262"/>
      <c r="O13" s="263" t="s">
        <v>40</v>
      </c>
      <c r="P13" s="263"/>
      <c r="Q13" s="264" t="s">
        <v>41</v>
      </c>
    </row>
    <row r="14" spans="1:19" ht="15.75" customHeight="1" x14ac:dyDescent="0.2">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263"/>
      <c r="P14" s="263"/>
      <c r="Q14" s="264"/>
    </row>
    <row r="15" spans="1:19" ht="24.75" customHeight="1" x14ac:dyDescent="0.2">
      <c r="A15" s="30">
        <v>2</v>
      </c>
      <c r="B15" s="30">
        <v>0</v>
      </c>
      <c r="C15" s="30">
        <v>0</v>
      </c>
      <c r="D15" s="30">
        <v>1</v>
      </c>
      <c r="E15" s="30">
        <v>0</v>
      </c>
      <c r="F15" s="30">
        <v>4901</v>
      </c>
      <c r="G15" s="30">
        <v>3</v>
      </c>
      <c r="H15" s="30">
        <v>5</v>
      </c>
      <c r="I15" s="22">
        <v>4</v>
      </c>
      <c r="J15" s="22">
        <v>3</v>
      </c>
      <c r="K15" s="22">
        <v>5</v>
      </c>
      <c r="L15" s="30">
        <v>0</v>
      </c>
      <c r="M15" s="30">
        <v>1</v>
      </c>
      <c r="N15" s="30" t="s">
        <v>61</v>
      </c>
      <c r="O15" s="246" t="s">
        <v>62</v>
      </c>
      <c r="P15" s="247"/>
      <c r="Q15" s="32">
        <v>5471322.4199999999</v>
      </c>
      <c r="R15" s="89"/>
      <c r="S15" s="73"/>
    </row>
    <row r="16" spans="1:19" ht="26.25" customHeight="1" x14ac:dyDescent="0.2">
      <c r="A16" s="30"/>
      <c r="B16" s="30"/>
      <c r="C16" s="30"/>
      <c r="D16" s="30"/>
      <c r="E16" s="30"/>
      <c r="F16" s="30"/>
      <c r="G16" s="30"/>
      <c r="H16" s="30"/>
      <c r="I16" s="22"/>
      <c r="J16" s="22"/>
      <c r="K16" s="22"/>
      <c r="L16" s="30"/>
      <c r="M16" s="30"/>
      <c r="N16" s="30"/>
      <c r="O16" s="278"/>
      <c r="P16" s="271"/>
      <c r="Q16" s="32"/>
      <c r="R16" s="69"/>
      <c r="S16" s="69"/>
    </row>
    <row r="17" spans="1:19" ht="23.25" customHeight="1" x14ac:dyDescent="0.2">
      <c r="A17" s="22"/>
      <c r="B17" s="22"/>
      <c r="C17" s="22"/>
      <c r="D17" s="22"/>
      <c r="E17" s="22"/>
      <c r="F17" s="22"/>
      <c r="G17" s="22"/>
      <c r="H17" s="22"/>
      <c r="I17" s="22"/>
      <c r="J17" s="22"/>
      <c r="K17" s="22"/>
      <c r="L17" s="22"/>
      <c r="M17" s="22"/>
      <c r="N17" s="22"/>
      <c r="O17" s="271"/>
      <c r="P17" s="271"/>
      <c r="Q17" s="31"/>
      <c r="R17" s="69"/>
    </row>
    <row r="18" spans="1:19" ht="23.25" customHeight="1" x14ac:dyDescent="0.2">
      <c r="A18" s="24"/>
      <c r="B18" s="24"/>
      <c r="C18" s="24"/>
      <c r="D18" s="24"/>
      <c r="E18" s="24"/>
      <c r="F18" s="23"/>
      <c r="G18" s="24"/>
      <c r="H18" s="24"/>
      <c r="I18" s="24"/>
      <c r="J18" s="24"/>
      <c r="K18" s="24"/>
      <c r="L18" s="24"/>
      <c r="M18" s="24"/>
      <c r="N18" s="24"/>
      <c r="O18" s="272"/>
      <c r="P18" s="272"/>
      <c r="Q18" s="31"/>
      <c r="R18" s="73"/>
    </row>
    <row r="19" spans="1:19" ht="21" customHeight="1" x14ac:dyDescent="0.2">
      <c r="A19" s="23"/>
      <c r="B19" s="23"/>
      <c r="C19" s="23"/>
      <c r="D19" s="23"/>
      <c r="E19" s="23"/>
      <c r="F19" s="23"/>
      <c r="G19" s="23"/>
      <c r="H19" s="23"/>
      <c r="I19" s="23"/>
      <c r="J19" s="23"/>
      <c r="K19" s="23"/>
      <c r="L19" s="23"/>
      <c r="M19" s="23"/>
      <c r="N19" s="23"/>
      <c r="O19" s="272"/>
      <c r="P19" s="272"/>
      <c r="Q19" s="31"/>
      <c r="R19" s="69"/>
    </row>
    <row r="20" spans="1:19" ht="36" customHeight="1" thickBot="1" x14ac:dyDescent="0.25">
      <c r="A20" s="273" t="s">
        <v>157</v>
      </c>
      <c r="B20" s="273"/>
      <c r="C20" s="273"/>
      <c r="D20" s="273"/>
      <c r="E20" s="273"/>
      <c r="F20" s="273"/>
      <c r="G20" s="273"/>
      <c r="H20" s="273"/>
      <c r="I20" s="273"/>
      <c r="J20" s="273"/>
      <c r="K20" s="273"/>
      <c r="L20" s="273"/>
      <c r="M20" s="273"/>
      <c r="N20" s="273"/>
      <c r="O20" s="273"/>
      <c r="P20" s="273"/>
      <c r="Q20" s="29">
        <f>SUM(Q15:Q19)</f>
        <v>5471322.4199999999</v>
      </c>
      <c r="R20" s="69"/>
      <c r="S20" s="69"/>
    </row>
    <row r="21" spans="1:19" ht="18" customHeight="1" thickBot="1" x14ac:dyDescent="0.25">
      <c r="A21" s="274"/>
      <c r="B21" s="274"/>
      <c r="C21" s="274"/>
      <c r="D21" s="274"/>
      <c r="E21" s="274"/>
      <c r="F21" s="274"/>
      <c r="G21" s="274"/>
      <c r="H21" s="274"/>
      <c r="I21" s="274"/>
      <c r="J21" s="274"/>
      <c r="K21" s="274"/>
      <c r="L21" s="274"/>
      <c r="M21" s="274"/>
      <c r="N21" s="274"/>
      <c r="O21" s="274"/>
      <c r="P21" s="274"/>
      <c r="Q21" s="274"/>
    </row>
    <row r="22" spans="1:19" ht="17.25" customHeight="1" thickBot="1" x14ac:dyDescent="0.25">
      <c r="A22" s="265" t="s">
        <v>55</v>
      </c>
      <c r="B22" s="266"/>
      <c r="C22" s="266"/>
      <c r="D22" s="266"/>
      <c r="E22" s="266"/>
      <c r="F22" s="267"/>
      <c r="G22" s="268"/>
      <c r="H22" s="268"/>
      <c r="I22" s="268"/>
      <c r="J22" s="268"/>
      <c r="K22" s="268"/>
      <c r="L22" s="268"/>
      <c r="M22" s="268"/>
      <c r="N22" s="268"/>
      <c r="O22" s="268"/>
      <c r="P22" s="268"/>
      <c r="Q22" s="268"/>
    </row>
    <row r="23" spans="1:19" ht="18" customHeight="1" thickBot="1" x14ac:dyDescent="0.25">
      <c r="A23" s="269" t="s">
        <v>95</v>
      </c>
      <c r="B23" s="270"/>
      <c r="C23" s="270"/>
      <c r="D23" s="270"/>
      <c r="E23" s="270"/>
      <c r="F23" s="270"/>
      <c r="G23" s="270"/>
      <c r="H23" s="270"/>
      <c r="I23" s="270"/>
      <c r="J23" s="270"/>
      <c r="K23" s="270"/>
      <c r="L23" s="270"/>
      <c r="M23" s="270"/>
      <c r="N23" s="270"/>
      <c r="O23" s="270"/>
      <c r="P23" s="270"/>
      <c r="Q23" s="270"/>
    </row>
    <row r="24" spans="1:19" ht="21.75" customHeight="1" thickBot="1" x14ac:dyDescent="0.25">
      <c r="A24" s="270"/>
      <c r="B24" s="270"/>
      <c r="C24" s="270"/>
      <c r="D24" s="270"/>
      <c r="E24" s="270"/>
      <c r="F24" s="270"/>
      <c r="G24" s="270"/>
      <c r="H24" s="270"/>
      <c r="I24" s="270"/>
      <c r="J24" s="270"/>
      <c r="K24" s="270"/>
      <c r="L24" s="270"/>
      <c r="M24" s="270"/>
      <c r="N24" s="270"/>
      <c r="O24" s="270"/>
      <c r="P24" s="270"/>
      <c r="Q24" s="270"/>
    </row>
    <row r="27" spans="1:19" x14ac:dyDescent="0.2">
      <c r="A27" s="27"/>
    </row>
  </sheetData>
  <mergeCells count="28">
    <mergeCell ref="A23:Q24"/>
    <mergeCell ref="O15:P15"/>
    <mergeCell ref="O16:P16"/>
    <mergeCell ref="O17:P17"/>
    <mergeCell ref="O18:P18"/>
    <mergeCell ref="O19:P19"/>
    <mergeCell ref="A20:P20"/>
    <mergeCell ref="A21:Q21"/>
    <mergeCell ref="A22:F22"/>
    <mergeCell ref="G22:Q22"/>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73"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Necesidades Trimestrales (2)</vt:lpstr>
      <vt:lpstr> NotaPedido</vt:lpstr>
      <vt:lpstr>Autor Gastar</vt:lpstr>
      <vt:lpstr>Nota de Pedido</vt:lpstr>
      <vt:lpstr>Autor Gastar </vt:lpstr>
      <vt:lpstr>' NotaPedido'!Área_de_impresión</vt:lpstr>
      <vt:lpstr>'Autor Gastar'!Área_de_impresión</vt:lpstr>
      <vt:lpstr>'Autor Gastar '!Área_de_impresión</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2021-10-20T10:37:12Z</cp:lastPrinted>
  <dcterms:created xsi:type="dcterms:W3CDTF">2020-07-17T23:44:49Z</dcterms:created>
  <dcterms:modified xsi:type="dcterms:W3CDTF">2021-10-25T11:41:16Z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