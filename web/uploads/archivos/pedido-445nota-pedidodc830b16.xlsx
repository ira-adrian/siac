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9A74C25-1BEE-4AC3-9042-3F971B5C4E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ORM NECESIDADES" sheetId="7" r:id="rId1"/>
    <sheet name="Autor Gastar" sheetId="2" r:id="rId2"/>
    <sheet name=" NotaPedido" sheetId="1" r:id="rId3"/>
  </sheets>
  <definedNames>
    <definedName name="_xlnm.Print_Area" localSheetId="2">' NotaPedido'!$A$1:$K$22</definedName>
    <definedName name="_xlnm.Print_Area" localSheetId="1">'Autor Gastar'!$A$1:$Q$42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7" l="1"/>
  <c r="I19" i="7"/>
  <c r="I18" i="7"/>
  <c r="I17" i="7"/>
  <c r="I16" i="7"/>
  <c r="I15" i="7"/>
  <c r="I14" i="7"/>
  <c r="I13" i="7"/>
  <c r="I12" i="7"/>
  <c r="I11" i="7"/>
  <c r="I10" i="7"/>
  <c r="I21" i="7" l="1"/>
  <c r="I22" i="7" s="1"/>
  <c r="Q38" i="2"/>
</calcChain>
</file>

<file path=xl/sharedStrings.xml><?xml version="1.0" encoding="utf-8"?>
<sst xmlns="http://schemas.openxmlformats.org/spreadsheetml/2006/main" count="178" uniqueCount="107">
  <si>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</si>
  <si>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</si>
  <si>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</si>
  <si>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</si>
  <si>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</si>
  <si>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</si>
  <si>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</si>
  <si>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</si>
  <si>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</si>
  <si>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</si>
  <si>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</si>
  <si>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</si>
  <si>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</si>
  <si>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</si>
  <si>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</si>
  <si>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</si>
  <si>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</si>
  <si>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</si>
  <si>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</si>
  <si>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</si>
  <si>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</si>
  <si>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</si>
  <si>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</si>
  <si>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</si>
  <si>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</si>
  <si>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</si>
  <si>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</si>
  <si>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</si>
  <si>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</si>
  <si>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</si>
  <si>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</si>
  <si>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</si>
  <si>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</si>
  <si>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</si>
  <si>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</si>
  <si>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</si>
  <si>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</si>
  <si>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Pedido de Necesidades Trimestrales</t>
  </si>
  <si>
    <t>JURISDICCION:</t>
  </si>
  <si>
    <t>TRIMESTRE:</t>
  </si>
  <si>
    <t>RUBRO DE COMPRA</t>
  </si>
  <si>
    <t>DESCRIPCION</t>
  </si>
  <si>
    <t>UNIDAD DE MEDIDA</t>
  </si>
  <si>
    <t>PRECIO UNITARIO ESTIMADO</t>
  </si>
  <si>
    <t>IMPORTE TOTAL ESTIMADO</t>
  </si>
  <si>
    <t>040 MINISTERIO DE SALUD</t>
  </si>
  <si>
    <t>011 D.P.A. - MINISTERIO DE SALUD</t>
  </si>
  <si>
    <t>254- SISTEMA DE ATENCION MEDICA DE EMERGENCIA</t>
  </si>
  <si>
    <t>1.1</t>
  </si>
  <si>
    <t>DIRECCION PROVINCIAL DE SISTEMA DE ATENCION MEDICA DE EMERG.</t>
  </si>
  <si>
    <t>Autorizo la realización de los  trámites correspondientes, a fin de proveer a  este Organismo los bienes que se detallan en Nota  de Pedido N° 20/2020 afectando la erogación resultante a los créditos presupuestarios aprobados a favor de esta Unidad Ejecutora, conforme al siguiente detalle:</t>
  </si>
  <si>
    <t>UTILES MENORES MEDIC. QUIR.</t>
  </si>
  <si>
    <t>TRES (3) MESES</t>
  </si>
  <si>
    <t>ADQUISICION DE PRODUCTOS FARMACEUTICOS Y MEDICINALES Y GUANTES DE EXAMEN</t>
  </si>
  <si>
    <t>2.9.5-1909.78</t>
  </si>
  <si>
    <t>GUANTES USO MEDICINAL; TIPO: EXAMINACION , TAMAÑO: GRANDE, MATERIAL: LATEX, PRESENTACION: ENVASE X 100 UN</t>
  </si>
  <si>
    <t>UNIDAD</t>
  </si>
  <si>
    <t>2.9.5-1909.79</t>
  </si>
  <si>
    <t>GUANTES USO MEDICINAL; TIPO: EXAMINACION , TAMAÑO: MEDIANO, MATERIAL: LATEX, PRESENTACION: ENVASE X 100 UN</t>
  </si>
  <si>
    <t>ANTIINFLAMATORIOS NO ESTEROIDE; TIPO: MONODROGA, FORMA FARMACEUTICA: COMPRIMIDO, PRESENTACION: 75 mGr, DROGA GENERICA: DICLOFENAC SODICO</t>
  </si>
  <si>
    <t>2.5.2-4817.1</t>
  </si>
  <si>
    <t>ANTIHIPERTENSIVOS; TIPO: MONODROGA, FORMA FARMACEUTICA: COMPRIMIDOS, PRESENTACION: ENVASE X 50, DROGA GENERICA: ENALAPRIL 10 mGr</t>
  </si>
  <si>
    <t>2.5.2-2476.45</t>
  </si>
  <si>
    <t>ANTIALERGICOS-ANTIHISTAMINICOS; TIPO: MONODROGA, DROGA GENERICA: DEXAMETASONA, FORMA FARMACEUTICA: AMPOLLA, PRESENTACION: 2 mL</t>
  </si>
  <si>
    <t>2.5.2-2476.23</t>
  </si>
  <si>
    <t>ANTIALERGICOS-ANTIHISTAMINICOS; TIPO: MONODROGA, DROGA GENERICA: DIFENHIDRAMINA, FORMA FARMACEUTICA: AMPOLLA, PRESENTACION: AMPOLLA X 1 mL</t>
  </si>
  <si>
    <t>2.5.2-6910.6</t>
  </si>
  <si>
    <t>ANTIEMETICOS; TIPO: MONODROGA, DROGA GENERICA: METOCLOPRAMIDA, FORMA FARMACEUTICA: AMPOLLA, PRESENTACION: 2 mL</t>
  </si>
  <si>
    <t>2.5.2-1725.1</t>
  </si>
  <si>
    <t>ANTIINFLAMATORIOS NO ESTEROIDE; TIPO: MONODROGA, DROGA GENERICA: DICLOFENACO SODICO, PRESENTACION: 75 mGr, FORMA FARMACEUTICA: AMPOLLA</t>
  </si>
  <si>
    <t>2.5.2-1835.9</t>
  </si>
  <si>
    <t>DIURETICOS; TIPO: MONODROGA, DROGA GENERICA: FUROSEMIDA, FORMA FARMACEUTICA: AMPOLLA, PRESENTACION: CAJA X 10 UN</t>
  </si>
  <si>
    <t>2.5.2-710.4</t>
  </si>
  <si>
    <t>AGUA OXIGENADA; CAPACIDAD: 1000 CM3, VOLUMEN: 10, PRESENTACION: ENVASE X 1000 CM3</t>
  </si>
  <si>
    <t>2.5.2-1843.4</t>
  </si>
  <si>
    <t>ANTIESPASMODICOS; TIPO: MONODROGA, DROGA GENERICA: HIOSCINA N-BUTILBROMURO, FORMA FARMACEUTICA: AMPOLLA, PRESENTACION: 5 mL</t>
  </si>
  <si>
    <t>20/2020</t>
  </si>
  <si>
    <t>PRODUCTOS FARMAC. Y MEDIC.</t>
  </si>
  <si>
    <t>Costo total estimado: SEISCIENTOS CUARENTA Y NUEVE MIL CIENTO QUINCE CON 00/100.-</t>
  </si>
  <si>
    <t>TOTAL DE PESOS: SEISCIENTOS CUARENA Y NUEVE MIL CIENTO QUINCE CON 00/100.-</t>
  </si>
  <si>
    <r>
      <t>JUSTIFICACIÓN:</t>
    </r>
    <r>
      <rPr>
        <sz val="11"/>
        <rFont val="Arial"/>
        <family val="2"/>
      </rPr>
      <t>Adqusicion de Productos Farmaceuticos y Medicianales y Guantes descartables para la Direccion de Sistema de Atencion Medica de Emergencia.</t>
    </r>
  </si>
  <si>
    <t>40 - MINISTERIO DE SALUD</t>
  </si>
  <si>
    <t xml:space="preserve">SAF N°: </t>
  </si>
  <si>
    <t>011 - Direccion Provincial de Administración - Ministerio de Salud</t>
  </si>
  <si>
    <t>4to Trimestre</t>
  </si>
  <si>
    <t>ID</t>
  </si>
  <si>
    <t>CODIGO DE ITEM</t>
  </si>
  <si>
    <t>I.P.P.</t>
  </si>
  <si>
    <t xml:space="preserve">CANTIDAD </t>
  </si>
  <si>
    <t>PROD. MEDICO/FARMACEUTICOS/LAB</t>
  </si>
  <si>
    <t>UNIDADES</t>
  </si>
  <si>
    <t>Descripción técnica</t>
  </si>
  <si>
    <t>Plazos y lugares de entrega</t>
  </si>
  <si>
    <t>Plazo de entrega 10 dias</t>
  </si>
  <si>
    <t>S.A.M.E.</t>
  </si>
  <si>
    <t>Contacto de referencia: CPN Walter Andrada - Tel: 3834596317</t>
  </si>
  <si>
    <t>Calidad Minima esperada</t>
  </si>
  <si>
    <t>Mantenimiento</t>
  </si>
  <si>
    <t>Garantia</t>
  </si>
  <si>
    <t>TOTAL DEL RUBRO</t>
  </si>
  <si>
    <t>TOTAL</t>
  </si>
  <si>
    <t>Caseros N° 864</t>
  </si>
  <si>
    <t>45 dias</t>
  </si>
  <si>
    <t>NO</t>
  </si>
  <si>
    <t>2.5.2-1725.9</t>
  </si>
  <si>
    <t>DIRECCION PROVINICIAL DE SISTEMA DE ATENCION MEDICA DE EMERGENCIA - MINISTERIO DE SALUD</t>
  </si>
  <si>
    <t>Especificidades Item N° 1 al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</si>
</sst>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"/>
    <numFmt numFmtId="169" formatCode="_-[$$-2C0A]\ * #,##0.00_-;\-[$$-2C0A]\ * #,##0.00_-;_-[$$-2C0A]\ * &quot;-&quot;??_-;_-@_-"/>
    <numFmt numFmtId="170" formatCode="_-* #,##0.00&quot; €&quot;_-;\-* #,##0.00&quot; €&quot;_-;_-* \-??&quot; €&quot;_-;_-@_-"/>
  </numFmts>
  <fonts count="3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sz val="9"/>
      <name val="Times New Roman"/>
      <family val="1"/>
    </font>
    <font>
      <u/>
      <sz val="9"/>
      <name val="Times New Roman"/>
      <family val="1"/>
    </font>
    <font>
      <b/>
      <sz val="14"/>
      <name val="Arial"/>
      <family val="2"/>
    </font>
    <font>
      <b/>
      <sz val="14"/>
      <name val="Calibri Light"/>
      <family val="2"/>
      <scheme val="major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6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170" fontId="18" fillId="0" borderId="0" applyBorder="0" applyProtection="0"/>
    <xf numFmtId="0" fontId="18" fillId="0" borderId="0"/>
  </cellStyleXfs>
  <cellXfs count="176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6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2" xfId="0" applyBorder="1"/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7" fontId="0" fillId="0" borderId="47" xfId="2" applyNumberFormat="1" applyFont="1" applyBorder="1" applyAlignment="1" applyProtection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7" fontId="0" fillId="0" borderId="51" xfId="2" applyNumberFormat="1" applyFont="1" applyBorder="1" applyAlignment="1" applyProtection="1">
      <alignment horizontal="center" vertical="center"/>
    </xf>
    <xf numFmtId="167" fontId="16" fillId="0" borderId="5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21" fillId="0" borderId="0" xfId="0" applyFont="1"/>
    <xf numFmtId="169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169" fontId="18" fillId="0" borderId="0" xfId="4" applyNumberFormat="1" applyAlignment="1">
      <alignment horizontal="right" vertical="center"/>
    </xf>
    <xf numFmtId="0" fontId="24" fillId="0" borderId="0" xfId="0" applyFont="1" applyFill="1" applyAlignment="1">
      <alignment horizontal="left" vertical="center" wrapText="1"/>
    </xf>
    <xf numFmtId="0" fontId="26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8" fillId="0" borderId="66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168" fontId="0" fillId="0" borderId="9" xfId="0" applyNumberFormat="1" applyFill="1" applyBorder="1" applyAlignment="1">
      <alignment horizontal="right" vertical="center"/>
    </xf>
    <xf numFmtId="0" fontId="0" fillId="0" borderId="9" xfId="0" applyFill="1" applyBorder="1" applyAlignment="1">
      <alignment vertical="center" wrapText="1"/>
    </xf>
    <xf numFmtId="3" fontId="10" fillId="0" borderId="0" xfId="5" applyNumberFormat="1" applyFont="1" applyBorder="1" applyAlignment="1">
      <alignment horizontal="center" vertical="center"/>
    </xf>
    <xf numFmtId="170" fontId="10" fillId="0" borderId="0" xfId="4" applyFont="1" applyBorder="1" applyAlignment="1">
      <alignment horizontal="center" vertical="center" wrapText="1"/>
    </xf>
    <xf numFmtId="170" fontId="18" fillId="0" borderId="0" xfId="4" applyFont="1" applyBorder="1" applyAlignment="1">
      <alignment horizontal="center" vertical="center"/>
    </xf>
    <xf numFmtId="168" fontId="17" fillId="0" borderId="9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21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/>
    </xf>
    <xf numFmtId="0" fontId="21" fillId="0" borderId="67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/>
    </xf>
    <xf numFmtId="0" fontId="21" fillId="0" borderId="7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9" fillId="0" borderId="54" xfId="0" applyFont="1" applyBorder="1" applyAlignment="1">
      <alignment horizontal="left" vertical="center" wrapText="1"/>
    </xf>
    <xf numFmtId="169" fontId="32" fillId="0" borderId="73" xfId="0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54" xfId="0" applyFont="1" applyBorder="1" applyAlignment="1">
      <alignment horizontal="left" vertical="top" wrapText="1"/>
    </xf>
    <xf numFmtId="0" fontId="12" fillId="0" borderId="55" xfId="0" applyFont="1" applyBorder="1" applyAlignment="1">
      <alignment horizontal="left" vertical="top" wrapText="1"/>
    </xf>
    <xf numFmtId="0" fontId="12" fillId="0" borderId="56" xfId="0" applyFont="1" applyBorder="1" applyAlignment="1">
      <alignment horizontal="left" vertical="top" wrapText="1"/>
    </xf>
    <xf numFmtId="0" fontId="0" fillId="0" borderId="46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2" fillId="0" borderId="52" xfId="0" applyFont="1" applyBorder="1" applyAlignment="1">
      <alignment horizontal="left" vertical="center" wrapText="1"/>
    </xf>
    <xf numFmtId="0" fontId="0" fillId="0" borderId="30" xfId="0" applyBorder="1"/>
    <xf numFmtId="0" fontId="0" fillId="0" borderId="40" xfId="0" applyFont="1" applyBorder="1" applyAlignment="1">
      <alignment horizontal="left" vertical="center" wrapText="1"/>
    </xf>
    <xf numFmtId="0" fontId="0" fillId="0" borderId="46" xfId="0" applyBorder="1" applyAlignment="1">
      <alignment horizontal="center"/>
    </xf>
    <xf numFmtId="0" fontId="15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49" fontId="14" fillId="0" borderId="31" xfId="0" applyNumberFormat="1" applyFont="1" applyBorder="1" applyAlignment="1">
      <alignment horizontal="justify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0" fillId="0" borderId="63" xfId="0" applyFill="1" applyBorder="1" applyAlignment="1">
      <alignment horizontal="left" vertical="center" wrapText="1"/>
    </xf>
    <xf numFmtId="0" fontId="0" fillId="0" borderId="64" xfId="0" applyFill="1" applyBorder="1" applyAlignment="1">
      <alignment horizontal="left" vertical="center" wrapText="1"/>
    </xf>
    <xf numFmtId="0" fontId="0" fillId="0" borderId="65" xfId="0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6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62" xfId="0" applyFill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 indent="1"/>
    </xf>
    <xf numFmtId="165" fontId="33" fillId="0" borderId="2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/>
    </xf>
    <xf numFmtId="0" fontId="14" fillId="0" borderId="58" xfId="0" applyFont="1" applyBorder="1" applyAlignment="1">
      <alignment horizontal="left"/>
    </xf>
    <xf numFmtId="0" fontId="14" fillId="0" borderId="59" xfId="0" applyFont="1" applyBorder="1" applyAlignment="1">
      <alignment horizontal="left"/>
    </xf>
    <xf numFmtId="0" fontId="7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center" wrapText="1"/>
    </xf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31" fillId="0" borderId="72" xfId="0" applyFont="1" applyBorder="1" applyAlignment="1">
      <alignment horizontal="center"/>
    </xf>
    <xf numFmtId="0" fontId="21" fillId="0" borderId="0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horizontal="left" vertical="center"/>
    </xf>
    <xf numFmtId="0" fontId="21" fillId="0" borderId="0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0" xfId="0" applyFont="1" applyFill="1" applyBorder="1" applyAlignment="1">
      <alignment horizontal="center" wrapText="1"/>
    </xf>
    <xf numFmtId="0" fontId="21" fillId="0" borderId="7" xfId="0" applyFont="1" applyFill="1" applyBorder="1" applyAlignment="1">
      <alignment horizontal="center" wrapText="1"/>
    </xf>
    <xf numFmtId="0" fontId="21" fillId="0" borderId="0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7" xfId="0" applyFont="1" applyFill="1" applyBorder="1" applyAlignment="1">
      <alignment horizontal="center"/>
    </xf>
    <xf numFmtId="0" fontId="21" fillId="0" borderId="55" xfId="0" applyFont="1" applyFill="1" applyBorder="1" applyAlignment="1">
      <alignment horizontal="center"/>
    </xf>
    <xf numFmtId="0" fontId="21" fillId="0" borderId="56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left" wrapText="1"/>
    </xf>
    <xf numFmtId="0" fontId="21" fillId="0" borderId="7" xfId="0" applyFont="1" applyFill="1" applyBorder="1" applyAlignment="1">
      <alignment horizontal="left" wrapText="1"/>
    </xf>
    <xf numFmtId="0" fontId="21" fillId="0" borderId="0" xfId="0" applyFont="1" applyAlignment="1">
      <alignment horizontal="center"/>
    </xf>
  </cellXfs>
  <cellStyles count="6">
    <cellStyle name="Encabezado 1" xfId="1" xr:uid="{00000000-0005-0000-0000-000000000000}"/>
    <cellStyle name="Moneda 2" xfId="4" xr:uid="{00000000-0005-0000-0000-000001000000}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1"/>
  <sheetViews>
    <sheetView tabSelected="1" topLeftCell="A17" workbookViewId="0">
      <selection activeCell="E28" sqref="E28"/>
    </sheetView>
  </sheetViews>
  <sheetFormatPr baseColWidth="10" defaultColWidth="11" defaultRowHeight="12.75" x14ac:dyDescent="0.2"/>
  <cols>
    <col min="1" max="1" width="8.42578125" style="60" customWidth="1"/>
    <col min="2" max="2" width="17.5703125" style="81" customWidth="1"/>
    <col min="3" max="3" width="37" style="82" bestFit="1" customWidth="1"/>
    <col min="4" max="4" width="8.42578125" style="83" customWidth="1"/>
    <col min="5" max="5" width="79" style="82" customWidth="1"/>
    <col min="6" max="6" width="11" style="83"/>
    <col min="7" max="7" width="13.42578125" style="84" customWidth="1"/>
    <col min="8" max="8" width="16.42578125" style="64" customWidth="1"/>
    <col min="9" max="9" width="24.28515625" style="61" bestFit="1" customWidth="1"/>
    <col min="10" max="10" width="11" style="60"/>
    <col min="11" max="11" width="14.7109375" style="60" customWidth="1"/>
    <col min="12" max="12" width="13.7109375" style="60" customWidth="1"/>
    <col min="13" max="16384" width="11" style="60"/>
  </cols>
  <sheetData>
    <row r="2" spans="1:9" ht="27" x14ac:dyDescent="0.35">
      <c r="B2" s="151" t="s">
        <v>37</v>
      </c>
      <c r="C2" s="151"/>
      <c r="D2" s="151"/>
      <c r="E2" s="151"/>
      <c r="F2" s="151"/>
      <c r="G2" s="152"/>
      <c r="H2" s="153"/>
    </row>
    <row r="3" spans="1:9" ht="15.75" x14ac:dyDescent="0.25">
      <c r="A3" s="148"/>
      <c r="B3" s="148"/>
      <c r="C3" s="149"/>
      <c r="D3" s="150"/>
      <c r="E3" s="149"/>
      <c r="F3" s="62"/>
      <c r="G3" s="63"/>
    </row>
    <row r="4" spans="1:9" ht="15.75" x14ac:dyDescent="0.25">
      <c r="A4" s="148" t="s">
        <v>38</v>
      </c>
      <c r="B4" s="148"/>
      <c r="C4" s="149" t="s">
        <v>81</v>
      </c>
      <c r="D4" s="150"/>
      <c r="E4" s="149"/>
      <c r="F4" s="62"/>
      <c r="G4" s="63"/>
    </row>
    <row r="5" spans="1:9" ht="15.75" x14ac:dyDescent="0.25">
      <c r="A5" s="148" t="s">
        <v>82</v>
      </c>
      <c r="B5" s="148"/>
      <c r="C5" s="149" t="s">
        <v>83</v>
      </c>
      <c r="D5" s="150"/>
      <c r="E5" s="149"/>
      <c r="F5" s="62"/>
      <c r="G5" s="63"/>
    </row>
    <row r="6" spans="1:9" ht="15.75" x14ac:dyDescent="0.2">
      <c r="A6" s="148" t="s">
        <v>15</v>
      </c>
      <c r="B6" s="148"/>
      <c r="C6" s="65">
        <v>2020</v>
      </c>
      <c r="D6" s="66"/>
      <c r="E6" s="67"/>
      <c r="F6" s="62"/>
      <c r="G6" s="63"/>
    </row>
    <row r="7" spans="1:9" ht="15.75" x14ac:dyDescent="0.2">
      <c r="A7" s="148" t="s">
        <v>39</v>
      </c>
      <c r="B7" s="148"/>
      <c r="C7" s="65" t="s">
        <v>84</v>
      </c>
      <c r="D7" s="66"/>
      <c r="E7" s="67"/>
      <c r="F7" s="62"/>
      <c r="G7" s="63"/>
    </row>
    <row r="8" spans="1:9" ht="13.5" thickBot="1" x14ac:dyDescent="0.25">
      <c r="B8" s="68"/>
      <c r="C8" s="69"/>
      <c r="D8" s="62"/>
      <c r="E8" s="69"/>
      <c r="F8" s="62"/>
      <c r="G8" s="63"/>
    </row>
    <row r="9" spans="1:9" ht="45.75" thickBot="1" x14ac:dyDescent="0.25">
      <c r="A9" s="70" t="s">
        <v>85</v>
      </c>
      <c r="B9" s="71" t="s">
        <v>86</v>
      </c>
      <c r="C9" s="71" t="s">
        <v>40</v>
      </c>
      <c r="D9" s="71" t="s">
        <v>87</v>
      </c>
      <c r="E9" s="71" t="s">
        <v>41</v>
      </c>
      <c r="F9" s="71" t="s">
        <v>42</v>
      </c>
      <c r="G9" s="71" t="s">
        <v>88</v>
      </c>
      <c r="H9" s="71" t="s">
        <v>43</v>
      </c>
      <c r="I9" s="71" t="s">
        <v>44</v>
      </c>
    </row>
    <row r="10" spans="1:9" ht="26.25" thickBot="1" x14ac:dyDescent="0.25">
      <c r="A10" s="97">
        <v>1</v>
      </c>
      <c r="B10" s="72" t="s">
        <v>54</v>
      </c>
      <c r="C10" s="72" t="s">
        <v>89</v>
      </c>
      <c r="D10" s="73">
        <v>295</v>
      </c>
      <c r="E10" s="74" t="s">
        <v>55</v>
      </c>
      <c r="F10" s="73" t="s">
        <v>90</v>
      </c>
      <c r="G10" s="73">
        <v>150</v>
      </c>
      <c r="H10" s="75">
        <v>1110</v>
      </c>
      <c r="I10" s="75">
        <f>+H10*G10</f>
        <v>166500</v>
      </c>
    </row>
    <row r="11" spans="1:9" ht="26.25" thickBot="1" x14ac:dyDescent="0.25">
      <c r="A11" s="97">
        <v>2</v>
      </c>
      <c r="B11" s="72" t="s">
        <v>57</v>
      </c>
      <c r="C11" s="72" t="s">
        <v>89</v>
      </c>
      <c r="D11" s="73">
        <v>295</v>
      </c>
      <c r="E11" s="76" t="s">
        <v>58</v>
      </c>
      <c r="F11" s="73" t="s">
        <v>90</v>
      </c>
      <c r="G11" s="73">
        <v>150</v>
      </c>
      <c r="H11" s="75">
        <v>1110</v>
      </c>
      <c r="I11" s="75">
        <f>+H11*G11</f>
        <v>166500</v>
      </c>
    </row>
    <row r="12" spans="1:9" ht="26.25" thickBot="1" x14ac:dyDescent="0.25">
      <c r="A12" s="97">
        <v>3</v>
      </c>
      <c r="B12" s="72" t="s">
        <v>104</v>
      </c>
      <c r="C12" s="72" t="s">
        <v>89</v>
      </c>
      <c r="D12" s="73">
        <v>252</v>
      </c>
      <c r="E12" s="76" t="s">
        <v>59</v>
      </c>
      <c r="F12" s="73" t="s">
        <v>90</v>
      </c>
      <c r="G12" s="73">
        <v>1000</v>
      </c>
      <c r="H12" s="75">
        <v>3.9</v>
      </c>
      <c r="I12" s="75">
        <f t="shared" ref="I12:I20" si="0">+H12*G12</f>
        <v>3900</v>
      </c>
    </row>
    <row r="13" spans="1:9" ht="26.25" thickBot="1" x14ac:dyDescent="0.25">
      <c r="A13" s="97">
        <v>4</v>
      </c>
      <c r="B13" s="72" t="s">
        <v>60</v>
      </c>
      <c r="C13" s="72" t="s">
        <v>89</v>
      </c>
      <c r="D13" s="73">
        <v>252</v>
      </c>
      <c r="E13" s="76" t="s">
        <v>61</v>
      </c>
      <c r="F13" s="73" t="s">
        <v>90</v>
      </c>
      <c r="G13" s="73">
        <v>20</v>
      </c>
      <c r="H13" s="75">
        <v>250</v>
      </c>
      <c r="I13" s="75">
        <f t="shared" si="0"/>
        <v>5000</v>
      </c>
    </row>
    <row r="14" spans="1:9" ht="26.25" thickBot="1" x14ac:dyDescent="0.25">
      <c r="A14" s="97">
        <v>5</v>
      </c>
      <c r="B14" s="72" t="s">
        <v>62</v>
      </c>
      <c r="C14" s="72" t="s">
        <v>89</v>
      </c>
      <c r="D14" s="73">
        <v>252</v>
      </c>
      <c r="E14" s="76" t="s">
        <v>63</v>
      </c>
      <c r="F14" s="73" t="s">
        <v>90</v>
      </c>
      <c r="G14" s="73">
        <v>1000</v>
      </c>
      <c r="H14" s="75">
        <v>39.6</v>
      </c>
      <c r="I14" s="75">
        <f t="shared" si="0"/>
        <v>39600</v>
      </c>
    </row>
    <row r="15" spans="1:9" ht="39" thickBot="1" x14ac:dyDescent="0.25">
      <c r="A15" s="97">
        <v>6</v>
      </c>
      <c r="B15" s="72" t="s">
        <v>64</v>
      </c>
      <c r="C15" s="72" t="s">
        <v>89</v>
      </c>
      <c r="D15" s="73">
        <v>252</v>
      </c>
      <c r="E15" s="76" t="s">
        <v>65</v>
      </c>
      <c r="F15" s="73" t="s">
        <v>90</v>
      </c>
      <c r="G15" s="73">
        <v>500</v>
      </c>
      <c r="H15" s="75">
        <v>38.200000000000003</v>
      </c>
      <c r="I15" s="75">
        <f t="shared" si="0"/>
        <v>19100</v>
      </c>
    </row>
    <row r="16" spans="1:9" ht="26.25" thickBot="1" x14ac:dyDescent="0.25">
      <c r="A16" s="97">
        <v>7</v>
      </c>
      <c r="B16" s="72" t="s">
        <v>66</v>
      </c>
      <c r="C16" s="72" t="s">
        <v>89</v>
      </c>
      <c r="D16" s="73">
        <v>252</v>
      </c>
      <c r="E16" s="76" t="s">
        <v>67</v>
      </c>
      <c r="F16" s="73" t="s">
        <v>90</v>
      </c>
      <c r="G16" s="73">
        <v>1000</v>
      </c>
      <c r="H16" s="75">
        <v>39.6</v>
      </c>
      <c r="I16" s="75">
        <f t="shared" si="0"/>
        <v>39600</v>
      </c>
    </row>
    <row r="17" spans="1:12" ht="39" thickBot="1" x14ac:dyDescent="0.25">
      <c r="A17" s="97">
        <v>8</v>
      </c>
      <c r="B17" s="72" t="s">
        <v>68</v>
      </c>
      <c r="C17" s="72" t="s">
        <v>89</v>
      </c>
      <c r="D17" s="73">
        <v>252</v>
      </c>
      <c r="E17" s="76" t="s">
        <v>69</v>
      </c>
      <c r="F17" s="73" t="s">
        <v>90</v>
      </c>
      <c r="G17" s="73">
        <v>700</v>
      </c>
      <c r="H17" s="75">
        <v>30.45</v>
      </c>
      <c r="I17" s="75">
        <f t="shared" si="0"/>
        <v>21315</v>
      </c>
      <c r="J17" s="77"/>
      <c r="K17" s="78"/>
      <c r="L17" s="79"/>
    </row>
    <row r="18" spans="1:12" ht="26.25" thickBot="1" x14ac:dyDescent="0.25">
      <c r="A18" s="97">
        <v>9</v>
      </c>
      <c r="B18" s="72" t="s">
        <v>70</v>
      </c>
      <c r="C18" s="72" t="s">
        <v>89</v>
      </c>
      <c r="D18" s="73">
        <v>252</v>
      </c>
      <c r="E18" s="76" t="s">
        <v>71</v>
      </c>
      <c r="F18" s="73" t="s">
        <v>90</v>
      </c>
      <c r="G18" s="73">
        <v>50</v>
      </c>
      <c r="H18" s="75">
        <v>396</v>
      </c>
      <c r="I18" s="75">
        <f t="shared" si="0"/>
        <v>19800</v>
      </c>
      <c r="J18" s="77"/>
      <c r="K18" s="78"/>
      <c r="L18" s="79"/>
    </row>
    <row r="19" spans="1:12" ht="26.25" thickBot="1" x14ac:dyDescent="0.25">
      <c r="A19" s="97">
        <v>10</v>
      </c>
      <c r="B19" s="72" t="s">
        <v>72</v>
      </c>
      <c r="C19" s="72" t="s">
        <v>89</v>
      </c>
      <c r="D19" s="73">
        <v>252</v>
      </c>
      <c r="E19" s="76" t="s">
        <v>73</v>
      </c>
      <c r="F19" s="73" t="s">
        <v>90</v>
      </c>
      <c r="G19" s="73">
        <v>100</v>
      </c>
      <c r="H19" s="75">
        <v>118</v>
      </c>
      <c r="I19" s="75">
        <f t="shared" si="0"/>
        <v>11800</v>
      </c>
      <c r="J19" s="77"/>
      <c r="K19" s="78"/>
      <c r="L19" s="79"/>
    </row>
    <row r="20" spans="1:12" ht="26.25" thickBot="1" x14ac:dyDescent="0.25">
      <c r="A20" s="97">
        <v>11</v>
      </c>
      <c r="B20" s="72" t="s">
        <v>74</v>
      </c>
      <c r="C20" s="72" t="s">
        <v>89</v>
      </c>
      <c r="D20" s="73">
        <v>252</v>
      </c>
      <c r="E20" s="76" t="s">
        <v>75</v>
      </c>
      <c r="F20" s="73" t="s">
        <v>90</v>
      </c>
      <c r="G20" s="73">
        <v>2000</v>
      </c>
      <c r="H20" s="75">
        <v>78</v>
      </c>
      <c r="I20" s="75">
        <f t="shared" si="0"/>
        <v>156000</v>
      </c>
      <c r="J20" s="77"/>
      <c r="K20" s="78"/>
      <c r="L20" s="79"/>
    </row>
    <row r="21" spans="1:12" ht="16.5" customHeight="1" thickBot="1" x14ac:dyDescent="0.25">
      <c r="A21" s="154"/>
      <c r="B21" s="155"/>
      <c r="C21" s="155"/>
      <c r="D21" s="156"/>
      <c r="E21" s="157" t="s">
        <v>99</v>
      </c>
      <c r="F21" s="158"/>
      <c r="G21" s="158"/>
      <c r="H21" s="159"/>
      <c r="I21" s="80">
        <f>SUM(I10:I20)</f>
        <v>649115</v>
      </c>
    </row>
    <row r="22" spans="1:12" ht="19.5" thickBot="1" x14ac:dyDescent="0.3">
      <c r="D22" s="94"/>
      <c r="E22" s="160" t="s">
        <v>100</v>
      </c>
      <c r="F22" s="160"/>
      <c r="G22" s="160"/>
      <c r="H22" s="160"/>
      <c r="I22" s="96">
        <f>+I21</f>
        <v>649115</v>
      </c>
    </row>
    <row r="23" spans="1:12" ht="13.5" thickTop="1" x14ac:dyDescent="0.2"/>
    <row r="25" spans="1:12" ht="13.5" thickBot="1" x14ac:dyDescent="0.25">
      <c r="J25" s="77"/>
      <c r="K25" s="78"/>
      <c r="L25" s="79"/>
    </row>
    <row r="26" spans="1:12" ht="36" x14ac:dyDescent="0.2">
      <c r="A26" s="85" t="s">
        <v>106</v>
      </c>
      <c r="B26" s="86"/>
      <c r="C26" s="87"/>
      <c r="D26" s="88"/>
    </row>
    <row r="27" spans="1:12" x14ac:dyDescent="0.2">
      <c r="A27" s="89"/>
      <c r="B27" s="90"/>
      <c r="C27" s="91"/>
      <c r="D27" s="92"/>
    </row>
    <row r="28" spans="1:12" ht="24" x14ac:dyDescent="0.2">
      <c r="A28" s="93" t="s">
        <v>91</v>
      </c>
      <c r="B28" s="163"/>
      <c r="C28" s="163"/>
      <c r="D28" s="164"/>
    </row>
    <row r="29" spans="1:12" x14ac:dyDescent="0.2">
      <c r="A29" s="93"/>
      <c r="B29" s="165"/>
      <c r="C29" s="165"/>
      <c r="D29" s="166"/>
    </row>
    <row r="30" spans="1:12" ht="36" x14ac:dyDescent="0.2">
      <c r="A30" s="93" t="s">
        <v>92</v>
      </c>
      <c r="B30" s="167" t="s">
        <v>93</v>
      </c>
      <c r="C30" s="167"/>
      <c r="D30" s="168"/>
    </row>
    <row r="31" spans="1:12" x14ac:dyDescent="0.2">
      <c r="A31" s="93"/>
      <c r="B31" s="167" t="s">
        <v>94</v>
      </c>
      <c r="C31" s="167"/>
      <c r="D31" s="168"/>
    </row>
    <row r="32" spans="1:12" x14ac:dyDescent="0.2">
      <c r="A32" s="93"/>
      <c r="B32" s="167" t="s">
        <v>101</v>
      </c>
      <c r="C32" s="167"/>
      <c r="D32" s="168"/>
    </row>
    <row r="33" spans="1:4" x14ac:dyDescent="0.2">
      <c r="A33" s="89"/>
      <c r="B33" s="161" t="s">
        <v>95</v>
      </c>
      <c r="C33" s="161"/>
      <c r="D33" s="162"/>
    </row>
    <row r="34" spans="1:4" x14ac:dyDescent="0.2">
      <c r="A34" s="89"/>
      <c r="B34" s="172"/>
      <c r="C34" s="172"/>
      <c r="D34" s="169"/>
    </row>
    <row r="35" spans="1:4" ht="36" x14ac:dyDescent="0.2">
      <c r="A35" s="93" t="s">
        <v>96</v>
      </c>
      <c r="B35" s="172"/>
      <c r="C35" s="172"/>
      <c r="D35" s="169"/>
    </row>
    <row r="36" spans="1:4" x14ac:dyDescent="0.2">
      <c r="A36" s="89"/>
      <c r="B36" s="166"/>
      <c r="C36" s="166"/>
      <c r="D36" s="166"/>
    </row>
    <row r="37" spans="1:4" ht="24" x14ac:dyDescent="0.2">
      <c r="A37" s="93" t="s">
        <v>97</v>
      </c>
      <c r="B37" s="173" t="s">
        <v>102</v>
      </c>
      <c r="C37" s="173"/>
      <c r="D37" s="174"/>
    </row>
    <row r="38" spans="1:4" x14ac:dyDescent="0.2">
      <c r="A38" s="89"/>
      <c r="B38" s="166"/>
      <c r="C38" s="166"/>
      <c r="D38" s="166"/>
    </row>
    <row r="39" spans="1:4" x14ac:dyDescent="0.2">
      <c r="A39" s="93" t="s">
        <v>98</v>
      </c>
      <c r="B39" s="175"/>
      <c r="C39" s="175"/>
      <c r="D39" s="164"/>
    </row>
    <row r="40" spans="1:4" x14ac:dyDescent="0.2">
      <c r="A40" s="93"/>
      <c r="B40" s="169"/>
      <c r="C40" s="169"/>
      <c r="D40" s="169"/>
    </row>
    <row r="41" spans="1:4" ht="13.5" thickBot="1" x14ac:dyDescent="0.25">
      <c r="A41" s="95"/>
      <c r="B41" s="170"/>
      <c r="C41" s="170"/>
      <c r="D41" s="171"/>
    </row>
  </sheetData>
  <mergeCells count="26">
    <mergeCell ref="B40:D40"/>
    <mergeCell ref="B41:D41"/>
    <mergeCell ref="B34:D34"/>
    <mergeCell ref="B35:D35"/>
    <mergeCell ref="B36:D36"/>
    <mergeCell ref="B37:D37"/>
    <mergeCell ref="B38:D38"/>
    <mergeCell ref="B39:D39"/>
    <mergeCell ref="B33:D33"/>
    <mergeCell ref="B28:D28"/>
    <mergeCell ref="B29:D29"/>
    <mergeCell ref="B30:D30"/>
    <mergeCell ref="B31:D31"/>
    <mergeCell ref="B32:D32"/>
    <mergeCell ref="A21:D21"/>
    <mergeCell ref="E21:H21"/>
    <mergeCell ref="E22:H22"/>
    <mergeCell ref="A6:B6"/>
    <mergeCell ref="A7:B7"/>
    <mergeCell ref="A5:B5"/>
    <mergeCell ref="C5:E5"/>
    <mergeCell ref="B2:H2"/>
    <mergeCell ref="A3:B3"/>
    <mergeCell ref="C3:E3"/>
    <mergeCell ref="A4:B4"/>
    <mergeCell ref="C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zoomScale="130" zoomScaleNormal="130" workbookViewId="0">
      <selection activeCell="S7" sqref="S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15</v>
      </c>
      <c r="B1" s="121"/>
      <c r="C1" s="121"/>
      <c r="D1" s="122">
        <v>2020</v>
      </c>
      <c r="E1" s="122"/>
      <c r="F1" s="22"/>
      <c r="G1" s="22"/>
      <c r="H1" s="23"/>
      <c r="I1" s="23"/>
      <c r="J1" s="23"/>
      <c r="K1" s="23"/>
      <c r="L1" s="23"/>
      <c r="M1" s="23"/>
      <c r="N1" s="23"/>
      <c r="O1" s="24"/>
      <c r="P1" s="123" t="s">
        <v>16</v>
      </c>
      <c r="Q1" s="123"/>
    </row>
    <row r="2" spans="1:17" ht="15.75" customHeight="1" x14ac:dyDescent="0.2">
      <c r="A2" s="25"/>
      <c r="B2" s="26"/>
      <c r="C2" s="26"/>
      <c r="D2" s="26"/>
      <c r="E2" s="26"/>
      <c r="F2" s="26"/>
      <c r="G2" s="27"/>
      <c r="H2" s="28"/>
      <c r="I2" s="28"/>
      <c r="J2" s="28"/>
      <c r="K2" s="28"/>
      <c r="L2" s="28"/>
      <c r="M2" s="28"/>
      <c r="N2" s="28"/>
      <c r="O2" s="26"/>
      <c r="P2" s="123"/>
      <c r="Q2" s="123"/>
    </row>
    <row r="3" spans="1:17" x14ac:dyDescent="0.2">
      <c r="A3" s="25"/>
      <c r="B3" s="26"/>
      <c r="C3" s="26"/>
      <c r="D3" s="26"/>
      <c r="E3" s="26"/>
      <c r="F3" s="26"/>
      <c r="G3" s="27"/>
      <c r="H3" s="26"/>
      <c r="I3" s="26"/>
      <c r="J3" s="26"/>
      <c r="K3" s="26"/>
      <c r="L3" s="26"/>
      <c r="M3" s="26"/>
      <c r="N3" s="26"/>
      <c r="O3" s="26"/>
      <c r="P3" s="26"/>
      <c r="Q3" s="29"/>
    </row>
    <row r="4" spans="1:17" s="30" customFormat="1" ht="18" customHeight="1" x14ac:dyDescent="0.2">
      <c r="A4" s="124" t="s">
        <v>17</v>
      </c>
      <c r="B4" s="124"/>
      <c r="C4" s="124"/>
      <c r="D4" s="124"/>
      <c r="E4" s="124"/>
      <c r="F4" s="124"/>
      <c r="G4" s="120" t="s">
        <v>45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30" customFormat="1" ht="18" customHeight="1" x14ac:dyDescent="0.2">
      <c r="A5" s="119" t="s">
        <v>3</v>
      </c>
      <c r="B5" s="119"/>
      <c r="C5" s="119"/>
      <c r="D5" s="119"/>
      <c r="E5" s="119"/>
      <c r="F5" s="119"/>
      <c r="G5" s="120" t="s">
        <v>46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30" customFormat="1" ht="18" customHeight="1" x14ac:dyDescent="0.2">
      <c r="A6" s="119" t="s">
        <v>4</v>
      </c>
      <c r="B6" s="119"/>
      <c r="C6" s="119"/>
      <c r="D6" s="119"/>
      <c r="E6" s="119"/>
      <c r="F6" s="119"/>
      <c r="G6" s="120" t="s">
        <v>47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30" customFormat="1" ht="18" customHeight="1" x14ac:dyDescent="0.2">
      <c r="A7" s="119" t="s">
        <v>5</v>
      </c>
      <c r="B7" s="119"/>
      <c r="C7" s="119"/>
      <c r="D7" s="119"/>
      <c r="E7" s="119"/>
      <c r="F7" s="119"/>
      <c r="G7" s="120" t="s">
        <v>49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x14ac:dyDescent="0.2">
      <c r="A8" s="112" t="s">
        <v>18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19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</row>
    <row r="10" spans="1:17" ht="66" customHeight="1" x14ac:dyDescent="0.2">
      <c r="A10" s="114" t="s">
        <v>50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31"/>
      <c r="B11" s="32"/>
      <c r="C11" s="32"/>
      <c r="D11" s="32"/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2"/>
      <c r="P11" s="32"/>
      <c r="Q11" s="34"/>
    </row>
    <row r="12" spans="1:17" ht="15.75" customHeight="1" x14ac:dyDescent="0.2">
      <c r="A12" s="115" t="s">
        <v>20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21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22</v>
      </c>
      <c r="P13" s="117"/>
      <c r="Q13" s="118" t="s">
        <v>23</v>
      </c>
    </row>
    <row r="14" spans="1:17" ht="15.75" customHeight="1" x14ac:dyDescent="0.2">
      <c r="A14" s="35" t="s">
        <v>24</v>
      </c>
      <c r="B14" s="36" t="s">
        <v>25</v>
      </c>
      <c r="C14" s="36" t="s">
        <v>26</v>
      </c>
      <c r="D14" s="36" t="s">
        <v>27</v>
      </c>
      <c r="E14" s="36" t="s">
        <v>28</v>
      </c>
      <c r="F14" s="36" t="s">
        <v>29</v>
      </c>
      <c r="G14" s="37" t="s">
        <v>30</v>
      </c>
      <c r="H14" s="36" t="s">
        <v>31</v>
      </c>
      <c r="I14" s="36" t="s">
        <v>32</v>
      </c>
      <c r="J14" s="36" t="s">
        <v>33</v>
      </c>
      <c r="K14" s="36" t="s">
        <v>33</v>
      </c>
      <c r="L14" s="36" t="s">
        <v>34</v>
      </c>
      <c r="M14" s="38" t="s">
        <v>35</v>
      </c>
      <c r="N14" s="39" t="s">
        <v>36</v>
      </c>
      <c r="O14" s="117"/>
      <c r="P14" s="117"/>
      <c r="Q14" s="118"/>
    </row>
    <row r="15" spans="1:17" ht="17.25" customHeight="1" x14ac:dyDescent="0.2">
      <c r="A15" s="40">
        <v>31</v>
      </c>
      <c r="B15" s="41">
        <v>0</v>
      </c>
      <c r="C15" s="41">
        <v>0</v>
      </c>
      <c r="D15" s="41">
        <v>1</v>
      </c>
      <c r="E15" s="41"/>
      <c r="F15" s="41">
        <v>4901</v>
      </c>
      <c r="G15" s="41">
        <v>3</v>
      </c>
      <c r="H15" s="41">
        <v>1</v>
      </c>
      <c r="I15" s="41">
        <v>2</v>
      </c>
      <c r="J15" s="41">
        <v>5</v>
      </c>
      <c r="K15" s="41">
        <v>2</v>
      </c>
      <c r="L15" s="41"/>
      <c r="M15" s="42">
        <v>1</v>
      </c>
      <c r="N15" s="41" t="s">
        <v>48</v>
      </c>
      <c r="O15" s="110" t="s">
        <v>77</v>
      </c>
      <c r="P15" s="110"/>
      <c r="Q15" s="43">
        <v>316115</v>
      </c>
    </row>
    <row r="16" spans="1:17" ht="17.25" customHeight="1" x14ac:dyDescent="0.2">
      <c r="A16" s="44">
        <v>31</v>
      </c>
      <c r="B16" s="45">
        <v>0</v>
      </c>
      <c r="C16" s="45">
        <v>0</v>
      </c>
      <c r="D16" s="45">
        <v>1</v>
      </c>
      <c r="E16" s="45"/>
      <c r="F16" s="45">
        <v>4901</v>
      </c>
      <c r="G16" s="45">
        <v>3</v>
      </c>
      <c r="H16" s="45">
        <v>1</v>
      </c>
      <c r="I16" s="45">
        <v>2</v>
      </c>
      <c r="J16" s="45">
        <v>9</v>
      </c>
      <c r="K16" s="45">
        <v>5</v>
      </c>
      <c r="L16" s="45"/>
      <c r="M16" s="46">
        <v>1</v>
      </c>
      <c r="N16" s="47" t="s">
        <v>48</v>
      </c>
      <c r="O16" s="105" t="s">
        <v>51</v>
      </c>
      <c r="P16" s="105"/>
      <c r="Q16" s="48">
        <v>333000</v>
      </c>
    </row>
    <row r="17" spans="1:17" ht="17.25" customHeight="1" x14ac:dyDescent="0.2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7"/>
      <c r="O17" s="111"/>
      <c r="P17" s="111"/>
      <c r="Q17" s="48"/>
    </row>
    <row r="18" spans="1:17" ht="17.25" customHeight="1" x14ac:dyDescent="0.2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104"/>
      <c r="P18" s="104"/>
      <c r="Q18" s="48"/>
    </row>
    <row r="19" spans="1:17" ht="17.25" customHeight="1" x14ac:dyDescent="0.2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7"/>
      <c r="O19" s="104"/>
      <c r="P19" s="104"/>
      <c r="Q19" s="48"/>
    </row>
    <row r="20" spans="1:17" ht="17.25" customHeight="1" x14ac:dyDescent="0.2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7"/>
      <c r="O20" s="104"/>
      <c r="P20" s="104"/>
      <c r="Q20" s="48"/>
    </row>
    <row r="21" spans="1:17" ht="17.25" customHeight="1" x14ac:dyDescent="0.2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7"/>
      <c r="O21" s="104"/>
      <c r="P21" s="104"/>
      <c r="Q21" s="48"/>
    </row>
    <row r="22" spans="1:17" ht="17.25" customHeight="1" x14ac:dyDescent="0.2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7"/>
      <c r="O22" s="104"/>
      <c r="P22" s="104"/>
      <c r="Q22" s="48"/>
    </row>
    <row r="23" spans="1:17" ht="17.25" customHeight="1" x14ac:dyDescent="0.2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7"/>
      <c r="O23" s="104"/>
      <c r="P23" s="104"/>
      <c r="Q23" s="48"/>
    </row>
    <row r="24" spans="1:17" ht="17.25" customHeight="1" x14ac:dyDescent="0.2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7"/>
      <c r="O24" s="104"/>
      <c r="P24" s="104"/>
      <c r="Q24" s="48"/>
    </row>
    <row r="25" spans="1:17" ht="17.25" customHeight="1" x14ac:dyDescent="0.2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7"/>
      <c r="O25" s="104"/>
      <c r="P25" s="104"/>
      <c r="Q25" s="48"/>
    </row>
    <row r="26" spans="1:17" ht="17.25" customHeight="1" x14ac:dyDescent="0.2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7"/>
      <c r="O26" s="104"/>
      <c r="P26" s="104"/>
      <c r="Q26" s="48"/>
    </row>
    <row r="27" spans="1:17" ht="17.25" customHeight="1" x14ac:dyDescent="0.2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7"/>
      <c r="O27" s="104"/>
      <c r="P27" s="104"/>
      <c r="Q27" s="48"/>
    </row>
    <row r="28" spans="1:17" ht="17.25" customHeight="1" x14ac:dyDescent="0.2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7"/>
      <c r="O28" s="104"/>
      <c r="P28" s="104"/>
      <c r="Q28" s="48"/>
    </row>
    <row r="29" spans="1:17" ht="17.25" customHeight="1" x14ac:dyDescent="0.2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7"/>
      <c r="O29" s="104"/>
      <c r="P29" s="104"/>
      <c r="Q29" s="48"/>
    </row>
    <row r="30" spans="1:17" ht="17.25" customHeight="1" x14ac:dyDescent="0.2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7"/>
      <c r="O30" s="104"/>
      <c r="P30" s="104"/>
      <c r="Q30" s="48"/>
    </row>
    <row r="31" spans="1:17" ht="17.25" customHeight="1" x14ac:dyDescent="0.2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7"/>
      <c r="O31" s="104"/>
      <c r="P31" s="104"/>
      <c r="Q31" s="48"/>
    </row>
    <row r="32" spans="1:17" ht="17.25" customHeight="1" x14ac:dyDescent="0.2">
      <c r="A32" s="44"/>
      <c r="B32" s="45"/>
      <c r="C32" s="45"/>
      <c r="D32" s="45"/>
      <c r="E32" s="45"/>
      <c r="F32" s="47"/>
      <c r="G32" s="45"/>
      <c r="H32" s="45"/>
      <c r="I32" s="45"/>
      <c r="J32" s="45"/>
      <c r="K32" s="45"/>
      <c r="L32" s="45"/>
      <c r="M32" s="46"/>
      <c r="N32" s="47"/>
      <c r="O32" s="105"/>
      <c r="P32" s="105"/>
      <c r="Q32" s="48"/>
    </row>
    <row r="33" spans="1:18" ht="17.25" customHeight="1" x14ac:dyDescent="0.2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7"/>
      <c r="O33" s="105"/>
      <c r="P33" s="105"/>
      <c r="Q33" s="48"/>
    </row>
    <row r="34" spans="1:18" ht="17.25" customHeight="1" x14ac:dyDescent="0.2">
      <c r="A34" s="44"/>
      <c r="B34" s="45"/>
      <c r="C34" s="45"/>
      <c r="D34" s="45"/>
      <c r="E34" s="45"/>
      <c r="F34" s="47"/>
      <c r="G34" s="45"/>
      <c r="H34" s="45"/>
      <c r="I34" s="45"/>
      <c r="J34" s="45"/>
      <c r="K34" s="45"/>
      <c r="L34" s="45"/>
      <c r="M34" s="46"/>
      <c r="N34" s="47"/>
      <c r="O34" s="105"/>
      <c r="P34" s="105"/>
      <c r="Q34" s="48"/>
    </row>
    <row r="35" spans="1:18" ht="17.25" customHeight="1" x14ac:dyDescent="0.2">
      <c r="A35" s="44"/>
      <c r="B35" s="45"/>
      <c r="C35" s="45"/>
      <c r="D35" s="45"/>
      <c r="E35" s="45"/>
      <c r="F35" s="47"/>
      <c r="G35" s="45"/>
      <c r="H35" s="45"/>
      <c r="I35" s="45"/>
      <c r="J35" s="45"/>
      <c r="K35" s="45"/>
      <c r="L35" s="45"/>
      <c r="M35" s="46"/>
      <c r="N35" s="47"/>
      <c r="O35" s="105"/>
      <c r="P35" s="105"/>
      <c r="Q35" s="48"/>
    </row>
    <row r="36" spans="1:18" ht="17.25" customHeight="1" x14ac:dyDescent="0.2">
      <c r="A36" s="49"/>
      <c r="B36" s="50"/>
      <c r="C36" s="50"/>
      <c r="D36" s="50"/>
      <c r="E36" s="50"/>
      <c r="F36" s="51"/>
      <c r="G36" s="50"/>
      <c r="H36" s="50"/>
      <c r="I36" s="50"/>
      <c r="J36" s="50"/>
      <c r="K36" s="50"/>
      <c r="L36" s="50"/>
      <c r="M36" s="52"/>
      <c r="N36" s="53"/>
      <c r="O36" s="106"/>
      <c r="P36" s="106"/>
      <c r="Q36" s="48"/>
      <c r="R36" s="26"/>
    </row>
    <row r="37" spans="1:18" ht="17.25" customHeight="1" x14ac:dyDescent="0.2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  <c r="N37" s="55"/>
      <c r="O37" s="107"/>
      <c r="P37" s="107"/>
      <c r="Q37" s="57"/>
    </row>
    <row r="38" spans="1:18" ht="20.25" customHeight="1" x14ac:dyDescent="0.2">
      <c r="A38" s="108" t="s">
        <v>79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58">
        <f>SUM(Q15:Q37)</f>
        <v>649115</v>
      </c>
    </row>
    <row r="39" spans="1:18" ht="18" customHeight="1" x14ac:dyDescent="0.2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</row>
    <row r="40" spans="1:18" ht="17.25" customHeight="1" x14ac:dyDescent="0.2">
      <c r="A40" s="98" t="s">
        <v>80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100"/>
    </row>
    <row r="41" spans="1:18" ht="18" customHeight="1" x14ac:dyDescent="0.2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100"/>
    </row>
    <row r="42" spans="1:18" ht="63.75" customHeight="1" thickBot="1" x14ac:dyDescent="0.25">
      <c r="A42" s="101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</row>
  </sheetData>
  <mergeCells count="44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A40:Q42"/>
    <mergeCell ref="O30:P30"/>
    <mergeCell ref="O31:P31"/>
    <mergeCell ref="O32:P32"/>
    <mergeCell ref="O33:P33"/>
    <mergeCell ref="O34:P34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23"/>
  <sheetViews>
    <sheetView zoomScale="115" zoomScaleNormal="115" workbookViewId="0">
      <selection activeCell="C10" sqref="C10:G11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2.5703125" style="1" customWidth="1"/>
    <col min="13" max="1021" width="9.140625" style="1"/>
  </cols>
  <sheetData>
    <row r="1" spans="1:11" ht="30.75" thickBot="1" x14ac:dyDescent="0.25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2" t="s">
        <v>1</v>
      </c>
      <c r="K1" s="59" t="s">
        <v>76</v>
      </c>
    </row>
    <row r="2" spans="1:11" ht="16.5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6.5" thickBot="1" x14ac:dyDescent="0.25">
      <c r="A3" s="137" t="s">
        <v>2</v>
      </c>
      <c r="B3" s="137"/>
      <c r="C3" s="137"/>
      <c r="D3" s="138" t="s">
        <v>45</v>
      </c>
      <c r="E3" s="139"/>
      <c r="F3" s="139"/>
      <c r="G3" s="139"/>
      <c r="H3" s="139"/>
      <c r="I3" s="139"/>
      <c r="J3" s="139"/>
      <c r="K3" s="140"/>
    </row>
    <row r="4" spans="1:11" ht="16.5" thickBot="1" x14ac:dyDescent="0.25">
      <c r="A4" s="141" t="s">
        <v>3</v>
      </c>
      <c r="B4" s="141"/>
      <c r="C4" s="141"/>
      <c r="D4" s="138" t="s">
        <v>46</v>
      </c>
      <c r="E4" s="139"/>
      <c r="F4" s="139"/>
      <c r="G4" s="139"/>
      <c r="H4" s="139"/>
      <c r="I4" s="139"/>
      <c r="J4" s="139"/>
      <c r="K4" s="140"/>
    </row>
    <row r="5" spans="1:11" ht="16.5" thickBot="1" x14ac:dyDescent="0.25">
      <c r="A5" s="141" t="s">
        <v>4</v>
      </c>
      <c r="B5" s="141"/>
      <c r="C5" s="141"/>
      <c r="D5" s="138" t="s">
        <v>47</v>
      </c>
      <c r="E5" s="139"/>
      <c r="F5" s="139"/>
      <c r="G5" s="139"/>
      <c r="H5" s="139"/>
      <c r="I5" s="139"/>
      <c r="J5" s="139"/>
      <c r="K5" s="140"/>
    </row>
    <row r="6" spans="1:11" ht="16.5" thickBot="1" x14ac:dyDescent="0.25">
      <c r="A6" s="137" t="s">
        <v>5</v>
      </c>
      <c r="B6" s="137"/>
      <c r="C6" s="137"/>
      <c r="D6" s="138" t="s">
        <v>105</v>
      </c>
      <c r="E6" s="139"/>
      <c r="F6" s="139"/>
      <c r="G6" s="139"/>
      <c r="H6" s="139"/>
      <c r="I6" s="139"/>
      <c r="J6" s="139"/>
      <c r="K6" s="140"/>
    </row>
    <row r="7" spans="1:11" ht="16.5" thickBot="1" x14ac:dyDescent="0.25">
      <c r="A7" s="141" t="s">
        <v>6</v>
      </c>
      <c r="B7" s="141"/>
      <c r="C7" s="141"/>
      <c r="D7" s="142" t="s">
        <v>52</v>
      </c>
      <c r="E7" s="143"/>
      <c r="F7" s="143"/>
      <c r="G7" s="143"/>
      <c r="H7" s="143"/>
      <c r="I7" s="143"/>
      <c r="J7" s="143"/>
      <c r="K7" s="143"/>
    </row>
    <row r="8" spans="1:11" ht="16.5" thickBot="1" x14ac:dyDescent="0.25">
      <c r="A8" s="144" t="s">
        <v>7</v>
      </c>
      <c r="B8" s="144"/>
      <c r="C8" s="144"/>
      <c r="D8" s="145" t="s">
        <v>53</v>
      </c>
      <c r="E8" s="146"/>
      <c r="F8" s="146"/>
      <c r="G8" s="146"/>
      <c r="H8" s="146"/>
      <c r="I8" s="146"/>
      <c r="J8" s="146"/>
      <c r="K8" s="146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21.75" customHeight="1" thickBot="1" x14ac:dyDescent="0.25">
      <c r="A10" s="147" t="s">
        <v>8</v>
      </c>
      <c r="B10" s="132" t="s">
        <v>9</v>
      </c>
      <c r="C10" s="132" t="s">
        <v>10</v>
      </c>
      <c r="D10" s="132"/>
      <c r="E10" s="132"/>
      <c r="F10" s="132"/>
      <c r="G10" s="132"/>
      <c r="H10" s="132" t="s">
        <v>11</v>
      </c>
      <c r="I10" s="132" t="s">
        <v>12</v>
      </c>
      <c r="J10" s="132" t="s">
        <v>13</v>
      </c>
      <c r="K10" s="128" t="s">
        <v>14</v>
      </c>
    </row>
    <row r="11" spans="1:11" ht="20.25" customHeight="1" thickBot="1" x14ac:dyDescent="0.25">
      <c r="A11" s="147"/>
      <c r="B11" s="132"/>
      <c r="C11" s="133"/>
      <c r="D11" s="133"/>
      <c r="E11" s="133"/>
      <c r="F11" s="133"/>
      <c r="G11" s="133"/>
      <c r="H11" s="132"/>
      <c r="I11" s="132"/>
      <c r="J11" s="132"/>
      <c r="K11" s="128"/>
    </row>
    <row r="12" spans="1:11" ht="29.25" customHeight="1" x14ac:dyDescent="0.2">
      <c r="A12" s="11">
        <v>1</v>
      </c>
      <c r="B12" s="12" t="s">
        <v>54</v>
      </c>
      <c r="C12" s="129" t="s">
        <v>55</v>
      </c>
      <c r="D12" s="130"/>
      <c r="E12" s="130"/>
      <c r="F12" s="130"/>
      <c r="G12" s="131"/>
      <c r="H12" s="13" t="s">
        <v>103</v>
      </c>
      <c r="I12" s="14" t="s">
        <v>56</v>
      </c>
      <c r="J12" s="14">
        <v>1110</v>
      </c>
      <c r="K12" s="15">
        <v>150</v>
      </c>
    </row>
    <row r="13" spans="1:11" ht="29.25" customHeight="1" x14ac:dyDescent="0.2">
      <c r="A13" s="16">
        <v>2</v>
      </c>
      <c r="B13" s="17" t="s">
        <v>57</v>
      </c>
      <c r="C13" s="125" t="s">
        <v>58</v>
      </c>
      <c r="D13" s="126"/>
      <c r="E13" s="126"/>
      <c r="F13" s="126"/>
      <c r="G13" s="127"/>
      <c r="H13" s="18" t="s">
        <v>103</v>
      </c>
      <c r="I13" s="19" t="s">
        <v>56</v>
      </c>
      <c r="J13" s="19">
        <v>1110</v>
      </c>
      <c r="K13" s="20">
        <v>150</v>
      </c>
    </row>
    <row r="14" spans="1:11" ht="29.25" customHeight="1" x14ac:dyDescent="0.2">
      <c r="A14" s="16">
        <v>3</v>
      </c>
      <c r="B14" s="17" t="s">
        <v>104</v>
      </c>
      <c r="C14" s="125" t="s">
        <v>59</v>
      </c>
      <c r="D14" s="126"/>
      <c r="E14" s="126"/>
      <c r="F14" s="126"/>
      <c r="G14" s="127"/>
      <c r="H14" s="18" t="s">
        <v>103</v>
      </c>
      <c r="I14" s="19" t="s">
        <v>56</v>
      </c>
      <c r="J14" s="19">
        <v>3.9</v>
      </c>
      <c r="K14" s="20">
        <v>1000</v>
      </c>
    </row>
    <row r="15" spans="1:11" ht="29.25" customHeight="1" x14ac:dyDescent="0.2">
      <c r="A15" s="16">
        <v>4</v>
      </c>
      <c r="B15" s="17" t="s">
        <v>60</v>
      </c>
      <c r="C15" s="125" t="s">
        <v>61</v>
      </c>
      <c r="D15" s="126"/>
      <c r="E15" s="126"/>
      <c r="F15" s="126"/>
      <c r="G15" s="127"/>
      <c r="H15" s="18" t="s">
        <v>103</v>
      </c>
      <c r="I15" s="19" t="s">
        <v>56</v>
      </c>
      <c r="J15" s="19">
        <v>250</v>
      </c>
      <c r="K15" s="20">
        <v>20</v>
      </c>
    </row>
    <row r="16" spans="1:11" ht="29.25" customHeight="1" x14ac:dyDescent="0.2">
      <c r="A16" s="16">
        <v>5</v>
      </c>
      <c r="B16" s="17" t="s">
        <v>62</v>
      </c>
      <c r="C16" s="125" t="s">
        <v>63</v>
      </c>
      <c r="D16" s="126"/>
      <c r="E16" s="126"/>
      <c r="F16" s="126"/>
      <c r="G16" s="127"/>
      <c r="H16" s="18" t="s">
        <v>103</v>
      </c>
      <c r="I16" s="19" t="s">
        <v>56</v>
      </c>
      <c r="J16" s="19">
        <v>39.6</v>
      </c>
      <c r="K16" s="20">
        <v>1000</v>
      </c>
    </row>
    <row r="17" spans="1:11" ht="29.25" customHeight="1" x14ac:dyDescent="0.2">
      <c r="A17" s="16">
        <v>6</v>
      </c>
      <c r="B17" s="17" t="s">
        <v>64</v>
      </c>
      <c r="C17" s="125" t="s">
        <v>65</v>
      </c>
      <c r="D17" s="126"/>
      <c r="E17" s="126"/>
      <c r="F17" s="126"/>
      <c r="G17" s="127"/>
      <c r="H17" s="18" t="s">
        <v>103</v>
      </c>
      <c r="I17" s="19" t="s">
        <v>56</v>
      </c>
      <c r="J17" s="19">
        <v>38.200000000000003</v>
      </c>
      <c r="K17" s="20">
        <v>500</v>
      </c>
    </row>
    <row r="18" spans="1:11" ht="29.25" customHeight="1" x14ac:dyDescent="0.2">
      <c r="A18" s="16">
        <v>7</v>
      </c>
      <c r="B18" s="17" t="s">
        <v>66</v>
      </c>
      <c r="C18" s="125" t="s">
        <v>67</v>
      </c>
      <c r="D18" s="126"/>
      <c r="E18" s="126"/>
      <c r="F18" s="126"/>
      <c r="G18" s="127"/>
      <c r="H18" s="18" t="s">
        <v>103</v>
      </c>
      <c r="I18" s="19" t="s">
        <v>56</v>
      </c>
      <c r="J18" s="19">
        <v>39.6</v>
      </c>
      <c r="K18" s="20">
        <v>1000</v>
      </c>
    </row>
    <row r="19" spans="1:11" ht="29.25" customHeight="1" x14ac:dyDescent="0.2">
      <c r="A19" s="16">
        <v>8</v>
      </c>
      <c r="B19" s="17" t="s">
        <v>68</v>
      </c>
      <c r="C19" s="125" t="s">
        <v>69</v>
      </c>
      <c r="D19" s="126"/>
      <c r="E19" s="126"/>
      <c r="F19" s="126"/>
      <c r="G19" s="127"/>
      <c r="H19" s="18" t="s">
        <v>103</v>
      </c>
      <c r="I19" s="19" t="s">
        <v>56</v>
      </c>
      <c r="J19" s="19">
        <v>30.45</v>
      </c>
      <c r="K19" s="20">
        <v>700</v>
      </c>
    </row>
    <row r="20" spans="1:11" ht="29.25" customHeight="1" x14ac:dyDescent="0.2">
      <c r="A20" s="16">
        <v>9</v>
      </c>
      <c r="B20" s="17" t="s">
        <v>70</v>
      </c>
      <c r="C20" s="125" t="s">
        <v>71</v>
      </c>
      <c r="D20" s="126"/>
      <c r="E20" s="126"/>
      <c r="F20" s="126"/>
      <c r="G20" s="127"/>
      <c r="H20" s="18" t="s">
        <v>103</v>
      </c>
      <c r="I20" s="19" t="s">
        <v>56</v>
      </c>
      <c r="J20" s="19">
        <v>396</v>
      </c>
      <c r="K20" s="20">
        <v>50</v>
      </c>
    </row>
    <row r="21" spans="1:11" ht="29.25" customHeight="1" x14ac:dyDescent="0.2">
      <c r="A21" s="16">
        <v>10</v>
      </c>
      <c r="B21" s="17" t="s">
        <v>72</v>
      </c>
      <c r="C21" s="125" t="s">
        <v>73</v>
      </c>
      <c r="D21" s="126"/>
      <c r="E21" s="126"/>
      <c r="F21" s="126"/>
      <c r="G21" s="127"/>
      <c r="H21" s="18" t="s">
        <v>103</v>
      </c>
      <c r="I21" s="19" t="s">
        <v>56</v>
      </c>
      <c r="J21" s="19">
        <v>118</v>
      </c>
      <c r="K21" s="20">
        <v>100</v>
      </c>
    </row>
    <row r="22" spans="1:11" ht="29.25" customHeight="1" x14ac:dyDescent="0.2">
      <c r="A22" s="16">
        <v>11</v>
      </c>
      <c r="B22" s="17" t="s">
        <v>74</v>
      </c>
      <c r="C22" s="125" t="s">
        <v>75</v>
      </c>
      <c r="D22" s="126"/>
      <c r="E22" s="126"/>
      <c r="F22" s="126"/>
      <c r="G22" s="127"/>
      <c r="H22" s="18" t="s">
        <v>103</v>
      </c>
      <c r="I22" s="19" t="s">
        <v>56</v>
      </c>
      <c r="J22" s="19">
        <v>78</v>
      </c>
      <c r="K22" s="20">
        <v>2000</v>
      </c>
    </row>
    <row r="23" spans="1:11" ht="19.5" thickBot="1" x14ac:dyDescent="0.25">
      <c r="A23" s="134" t="s">
        <v>78</v>
      </c>
      <c r="B23" s="134"/>
      <c r="C23" s="134"/>
      <c r="D23" s="134"/>
      <c r="E23" s="134"/>
      <c r="F23" s="134"/>
      <c r="G23" s="134"/>
      <c r="H23" s="134"/>
      <c r="I23" s="134"/>
      <c r="J23" s="135">
        <v>649115</v>
      </c>
      <c r="K23" s="135"/>
    </row>
  </sheetData>
  <mergeCells count="33">
    <mergeCell ref="A23:I23"/>
    <mergeCell ref="J23:K23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22:G22"/>
    <mergeCell ref="C16:G16"/>
    <mergeCell ref="C21:G21"/>
    <mergeCell ref="C17:G17"/>
    <mergeCell ref="C18:G18"/>
    <mergeCell ref="C19:G19"/>
    <mergeCell ref="C20:G2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 NECESIDADES</vt:lpstr>
      <vt:lpstr>Autor Gastar</vt:lpstr>
      <vt:lpstr> NotaPedido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farce</dc:creator>
  <dc:description/>
  <cp:lastModifiedBy>USUARIO</cp:lastModifiedBy>
  <cp:revision>3</cp:revision>
  <cp:lastPrinted>2020-07-21T14:18:42Z</cp:lastPrinted>
  <dcterms:created xsi:type="dcterms:W3CDTF">2020-07-17T23:44:49Z</dcterms:created>
  <dcterms:modified xsi:type="dcterms:W3CDTF">2021-08-17T15:23:04Z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