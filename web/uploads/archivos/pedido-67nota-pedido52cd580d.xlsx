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827"/>
  <workbookPr defaultThemeVersion="124226"/>
  <mc:AlternateContent xmlns:mc="http://schemas.openxmlformats.org/markup-compatibility/2006">
    <mc:Choice Requires="x15">
      <x15ac:absPath xmlns:x15ac="http://schemas.microsoft.com/office/spreadsheetml/2010/11/ac" url="C:\Users\ELIAS QUINTAR\Downloads\"/>
    </mc:Choice>
  </mc:AlternateContent>
  <xr:revisionPtr revIDLastSave="0" documentId="8_{6E2F566C-F17D-4071-BFD1-CDB7F9AF660F}" xr6:coauthVersionLast="47" xr6:coauthVersionMax="47" xr10:uidLastSave="{00000000-0000-0000-0000-000000000000}"/>
  <bookViews>
    <workbookView xWindow="-120" yWindow="-120" windowWidth="29040" windowHeight="15840" tabRatio="500" xr2:uid="{00000000-000D-0000-FFFF-FFFF00000000}"/>
  </bookViews>
  <sheets>
    <sheet name="Necesidades Trimestrales" sheetId="1" r:id="rId1"/>
    <sheet name=" NotaPedido" sheetId="2" r:id="rId2"/>
    <sheet name="Autor Gastar" sheetId="3" r:id="rId3"/>
  </sheets>
  <definedNames>
    <definedName name="_xlnm.Print_Area" localSheetId="1">' NotaPedido'!$A$1:$K$14</definedName>
    <definedName name="_xlnm.Print_Area" localSheetId="2">'Autor Gastar'!$A$1:$Q$23</definedName>
  </definedNames>
  <calcPr calcId="181029"/>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J14" i="2" l="1"/>
  <c r="I12" i="2"/>
  <c r="C12" i="2"/>
  <c r="B12" i="2"/>
  <c r="I10" i="1"/>
  <c r="Q19" i="3" l="1"/>
  <c r="D7" i="2" l="1"/>
  <c r="D3" i="2"/>
  <c r="G4" i="3" s="1"/>
  <c r="D4" i="2"/>
  <c r="G5" i="3" s="1"/>
  <c r="A10" i="3" l="1"/>
  <c r="D1" i="3"/>
</calcChain>
</file>

<file path=xl/sharedStrings.xml><?xml version="1.0" encoding="utf-8"?>
<sst xmlns="http://schemas.openxmlformats.org/spreadsheetml/2006/main" count="85" uniqueCount="78">
  <si>
    <t>Pedido de Necesidades Trimestrales</t>
  </si>
  <si>
    <t>JURISDICCION:</t>
  </si>
  <si>
    <t xml:space="preserve">SAF N°: </t>
  </si>
  <si>
    <t>EJERCICIO:</t>
  </si>
  <si>
    <t>TRIMESTRE:</t>
  </si>
  <si>
    <t>ID</t>
  </si>
  <si>
    <t>CODIGO ITEM</t>
  </si>
  <si>
    <t>RUBRO DE COMPRA</t>
  </si>
  <si>
    <t xml:space="preserve">I.P.P. </t>
  </si>
  <si>
    <t>DESCRIPCION</t>
  </si>
  <si>
    <t>UNIDAD DE MEDIDA</t>
  </si>
  <si>
    <t>CANTIDAD</t>
  </si>
  <si>
    <t>PRECIO UNITARIO ESTIMADO</t>
  </si>
  <si>
    <t xml:space="preserve">IMPORTE TOTAL ESTIMADO </t>
  </si>
  <si>
    <t>Especificidades Item N° 1:</t>
  </si>
  <si>
    <t>Descripción técnica</t>
  </si>
  <si>
    <t>Plazos y lugares de entrega</t>
  </si>
  <si>
    <t>Calidad Minima esperada</t>
  </si>
  <si>
    <t>Mantenimiento</t>
  </si>
  <si>
    <t>Garantia</t>
  </si>
  <si>
    <t>NOTA DE PEDIDO</t>
  </si>
  <si>
    <t>N°</t>
  </si>
  <si>
    <t>PERIODO UTILIZACIÓN:</t>
  </si>
  <si>
    <t>OBJETO:</t>
  </si>
  <si>
    <t>Ítem</t>
  </si>
  <si>
    <t>Codigo Item</t>
  </si>
  <si>
    <t>DESCRIPCIÓN</t>
  </si>
  <si>
    <t>Adjunta Detalle Técnico</t>
  </si>
  <si>
    <t>Unidad Medida</t>
  </si>
  <si>
    <t>Precio Unitario Estimado</t>
  </si>
  <si>
    <t>Cantidad Solicitada</t>
  </si>
  <si>
    <t>AUTORIZACION PARA GASTAR</t>
  </si>
  <si>
    <t>JURISDICCIÓN:</t>
  </si>
  <si>
    <t>UNIDAD EJECUTORA:</t>
  </si>
  <si>
    <r>
      <rPr>
        <b/>
        <u/>
        <sz val="10"/>
        <rFont val="Arial"/>
        <family val="2"/>
        <charset val="1"/>
      </rPr>
      <t>AUTORIZACIÓN</t>
    </r>
    <r>
      <rPr>
        <b/>
        <sz val="10"/>
        <rFont val="Arial"/>
        <family val="2"/>
        <charset val="1"/>
      </rPr>
      <t>:</t>
    </r>
  </si>
  <si>
    <t>Señor Jefe de Servicio Administrativo Financiero:</t>
  </si>
  <si>
    <t>IMPUTACIÓN PRESUPUESTARIA</t>
  </si>
  <si>
    <t>CÓDIGO</t>
  </si>
  <si>
    <t xml:space="preserve"> DENOMINACIÓN DE LA PARTIDA PRESUPUESTARIA</t>
  </si>
  <si>
    <t>IMPORTE</t>
  </si>
  <si>
    <t>PR</t>
  </si>
  <si>
    <t>SB</t>
  </si>
  <si>
    <t>PY</t>
  </si>
  <si>
    <t>AC</t>
  </si>
  <si>
    <t>OB</t>
  </si>
  <si>
    <t>UG</t>
  </si>
  <si>
    <t>FIN</t>
  </si>
  <si>
    <t>FUN</t>
  </si>
  <si>
    <t>I</t>
  </si>
  <si>
    <t>P</t>
  </si>
  <si>
    <t>SubP</t>
  </si>
  <si>
    <t>M</t>
  </si>
  <si>
    <t>FF</t>
  </si>
  <si>
    <t>JUSTIFICACIÓN:</t>
  </si>
  <si>
    <t xml:space="preserve">JURISDICCIÓN: </t>
  </si>
  <si>
    <t>SAF:</t>
  </si>
  <si>
    <t xml:space="preserve">DEPENDENCIA SOLICITANTE: </t>
  </si>
  <si>
    <t>25- Direccion Provincial de Gestion Administrativa y RRHH</t>
  </si>
  <si>
    <t>Media</t>
  </si>
  <si>
    <t>Plazo de Mantinimiento 30 dias</t>
  </si>
  <si>
    <t>UNIDADES</t>
  </si>
  <si>
    <t>SI</t>
  </si>
  <si>
    <t>02- Programa Vivir Mejor (PRO.VI.ME)</t>
  </si>
  <si>
    <t>2.5.8-3977.121</t>
  </si>
  <si>
    <t>FERRETERIA</t>
  </si>
  <si>
    <t>BOLSAS DE POLIETILENO; TAMAÑO: 50 X 70 Cm, ESPESOR: 70 Mn, PRESENTACION: UNIDAD</t>
  </si>
  <si>
    <t>2.5.8</t>
  </si>
  <si>
    <t>Productos de Material Plastico</t>
  </si>
  <si>
    <t>45- Ministerio de Desarrollo Social</t>
  </si>
  <si>
    <r>
      <rPr>
        <u/>
        <sz val="10"/>
        <rFont val="Times New Roman"/>
        <family val="1"/>
      </rPr>
      <t>Lugar y Forma de Entrega:</t>
    </r>
    <r>
      <rPr>
        <sz val="10"/>
        <rFont val="Times New Roman"/>
        <family val="1"/>
      </rPr>
      <t xml:space="preserve"> La entrega de los bienes se deberá realizar en el Depósito perteneciente al Ministerio de Desarrollo Social, sitio Área Industrial "El Pantanillo" de la Ciudad de San Fernando del Valle de Catamarca.</t>
    </r>
  </si>
  <si>
    <t>1.1</t>
  </si>
  <si>
    <t>Adquisición de  bolsas para el Armado de Modulos Alimentarios - Ministerio de Desarrollo Social.</t>
  </si>
  <si>
    <t>16- Direccion Provinvial de Accion Social Directa</t>
  </si>
  <si>
    <t>Adquisición de bolsas para el Armado de Modulos Alimentarios- Ministerio de Desarrollo Social.</t>
  </si>
  <si>
    <r>
      <rPr>
        <u/>
        <sz val="10"/>
        <rFont val="Times New Roman"/>
        <family val="1"/>
      </rPr>
      <t xml:space="preserve">Plazo de Entrega: </t>
    </r>
    <r>
      <rPr>
        <sz val="10"/>
        <rFont val="Times New Roman"/>
        <family val="1"/>
      </rPr>
      <t>Dentro de los 05 (cinco) dias habiles de Notificada la Orden de Compra.</t>
    </r>
  </si>
  <si>
    <t>Costo total estimado: CUATRO MILLONES SETECIENTOS CINCUENTA MIL CON 00/100.-</t>
  </si>
  <si>
    <t>TOTAL DE PESOS:  CUATRO MILLONES SETECIENTOS CINCUENTA MIL CON 00/100.-</t>
  </si>
  <si>
    <t>023/2022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</si>
</sst>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_);_(@_)"/>
    <numFmt numFmtId="165" formatCode="_-* #,##0.00&quot; €&quot;_-;\-* #,##0.00&quot; €&quot;_-;_-* \-??&quot; €&quot;_-;_-@_-"/>
    <numFmt numFmtId="166" formatCode="[$$-2C0A]\ #,##0.00;[$$-2C0A]&quot; -&quot;#,##0.00"/>
    <numFmt numFmtId="167" formatCode="[$$-2C0A]\ #,##0.00"/>
    <numFmt numFmtId="168" formatCode="dd\-mm\-yy;@"/>
  </numFmts>
  <fonts count="27" x14ac:knownFonts="1">
    <font>
      <sz val="10"/>
      <name val="Arial"/>
      <charset val="1"/>
    </font>
    <font>
      <b/>
      <sz val="15"/>
      <color rgb="FF666699"/>
      <name val="Calibri"/>
      <family val="2"/>
      <charset val="1"/>
    </font>
    <font>
      <sz val="10"/>
      <name val="Arial"/>
      <family val="2"/>
      <charset val="1"/>
    </font>
    <font>
      <sz val="11"/>
      <color rgb="FF993300"/>
      <name val="Calibri"/>
      <family val="2"/>
      <charset val="1"/>
    </font>
    <font>
      <sz val="10"/>
      <name val="Times New Roman"/>
      <family val="1"/>
      <charset val="1"/>
    </font>
    <font>
      <b/>
      <u/>
      <sz val="12"/>
      <name val="Times New Roman"/>
      <family val="1"/>
      <charset val="1"/>
    </font>
    <font>
      <b/>
      <sz val="12"/>
      <name val="Times New Roman"/>
      <family val="1"/>
      <charset val="1"/>
    </font>
    <font>
      <sz val="12"/>
      <name val="Times New Roman"/>
      <family val="1"/>
      <charset val="1"/>
    </font>
    <font>
      <b/>
      <sz val="11"/>
      <name val="Times New Roman"/>
      <family val="1"/>
      <charset val="1"/>
    </font>
    <font>
      <sz val="11"/>
      <name val="Times New Roman"/>
      <family val="1"/>
      <charset val="1"/>
    </font>
    <font>
      <b/>
      <sz val="11"/>
      <name val="Arial"/>
      <family val="2"/>
      <charset val="1"/>
    </font>
    <font>
      <b/>
      <sz val="12"/>
      <name val="Arial"/>
      <family val="2"/>
      <charset val="1"/>
    </font>
    <font>
      <sz val="11"/>
      <name val="Arial"/>
      <family val="2"/>
      <charset val="1"/>
    </font>
    <font>
      <b/>
      <u/>
      <sz val="10"/>
      <name val="Arial"/>
      <family val="2"/>
      <charset val="1"/>
    </font>
    <font>
      <b/>
      <sz val="10"/>
      <name val="Arial"/>
      <family val="2"/>
      <charset val="1"/>
    </font>
    <font>
      <sz val="10"/>
      <name val="Arial"/>
      <family val="2"/>
    </font>
    <font>
      <sz val="10"/>
      <name val="Times New Roman"/>
      <family val="1"/>
    </font>
    <font>
      <b/>
      <sz val="22"/>
      <name val="Times New Roman"/>
      <family val="1"/>
    </font>
    <font>
      <b/>
      <sz val="11"/>
      <color rgb="FF000000"/>
      <name val="Times New Roman"/>
      <family val="1"/>
    </font>
    <font>
      <sz val="10"/>
      <color rgb="FF000000"/>
      <name val="Times New Roman"/>
      <family val="1"/>
    </font>
    <font>
      <b/>
      <sz val="10"/>
      <color rgb="FF000000"/>
      <name val="Times New Roman"/>
      <family val="1"/>
    </font>
    <font>
      <sz val="9"/>
      <name val="Times New Roman"/>
      <family val="1"/>
    </font>
    <font>
      <sz val="9"/>
      <color rgb="FF000000"/>
      <name val="Times New Roman"/>
      <family val="1"/>
    </font>
    <font>
      <u/>
      <sz val="10"/>
      <name val="Times New Roman"/>
      <family val="1"/>
    </font>
    <font>
      <b/>
      <sz val="12"/>
      <color rgb="FF000000"/>
      <name val="Times New Roman"/>
      <family val="1"/>
    </font>
    <font>
      <b/>
      <sz val="12"/>
      <name val="Times New Roman"/>
      <family val="1"/>
    </font>
    <font>
      <sz val="10"/>
      <name val="Arial"/>
      <family val="2"/>
    </font>
  </fonts>
  <fills count="3">
    <fill>
      <patternFill patternType="none"/>
    </fill>
    <fill>
      <patternFill patternType="gray125"/>
    </fill>
    <fill>
      <patternFill patternType="solid">
        <fgColor rgb="FFFFFF99"/>
        <bgColor rgb="FFFFFFCC"/>
      </patternFill>
    </fill>
  </fills>
  <borders count="55">
    <border>
      <left/>
      <right/>
      <top/>
      <bottom/>
      <diagonal/>
    </border>
    <border>
      <left/>
      <right/>
      <top/>
      <bottom style="thick">
        <color rgb="FF33CCCC"/>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medium">
        <color rgb="FF3D3D3D"/>
      </right>
      <top/>
      <bottom/>
      <diagonal/>
    </border>
    <border>
      <left style="medium">
        <color rgb="FF3D3D3D"/>
      </left>
      <right style="medium">
        <color rgb="FF3D3D3D"/>
      </right>
      <top style="medium">
        <color rgb="FF3D3D3D"/>
      </top>
      <bottom style="medium">
        <color rgb="FF3D3D3D"/>
      </bottom>
      <diagonal/>
    </border>
    <border>
      <left/>
      <right/>
      <top/>
      <bottom style="medium">
        <color rgb="FF3D3D3D"/>
      </bottom>
      <diagonal/>
    </border>
    <border>
      <left style="medium">
        <color rgb="FF3D3D3D"/>
      </left>
      <right/>
      <top style="medium">
        <color rgb="FF3D3D3D"/>
      </top>
      <bottom style="medium">
        <color rgb="FF3D3D3D"/>
      </bottom>
      <diagonal/>
    </border>
    <border>
      <left style="medium">
        <color auto="1"/>
      </left>
      <right style="medium">
        <color auto="1"/>
      </right>
      <top style="medium">
        <color auto="1"/>
      </top>
      <bottom style="medium">
        <color auto="1"/>
      </bottom>
      <diagonal/>
    </border>
    <border>
      <left style="medium">
        <color rgb="FF3D3D3D"/>
      </left>
      <right/>
      <top style="medium">
        <color rgb="FF3D3D3D"/>
      </top>
      <bottom/>
      <diagonal/>
    </border>
    <border>
      <left style="medium">
        <color auto="1"/>
      </left>
      <right style="medium">
        <color rgb="FF3D3D3D"/>
      </right>
      <top style="medium">
        <color auto="1"/>
      </top>
      <bottom style="medium">
        <color auto="1"/>
      </bottom>
      <diagonal/>
    </border>
    <border>
      <left style="medium">
        <color rgb="FF3D3D3D"/>
      </left>
      <right style="medium">
        <color auto="1"/>
      </right>
      <top style="medium">
        <color auto="1"/>
      </top>
      <bottom style="medium">
        <color auto="1"/>
      </bottom>
      <diagonal/>
    </border>
    <border>
      <left style="medium">
        <color rgb="FF3D3D3D"/>
      </left>
      <right style="medium">
        <color rgb="FF3D3D3D"/>
      </right>
      <top style="medium">
        <color auto="1"/>
      </top>
      <bottom style="medium">
        <color auto="1"/>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rgb="FF3D3D3D"/>
      </left>
      <right style="medium">
        <color rgb="FF3D3D3D"/>
      </right>
      <top style="medium">
        <color rgb="FF3D3D3D"/>
      </top>
      <bottom/>
      <diagonal/>
    </border>
    <border>
      <left style="medium">
        <color rgb="FF3D3D3D"/>
      </left>
      <right/>
      <top/>
      <bottom/>
      <diagonal/>
    </border>
    <border>
      <left style="medium">
        <color rgb="FF3D3D3D"/>
      </left>
      <right style="medium">
        <color rgb="FF3D3D3D"/>
      </right>
      <top/>
      <bottom/>
      <diagonal/>
    </border>
    <border>
      <left style="medium">
        <color rgb="FF3D3D3D"/>
      </left>
      <right/>
      <top/>
      <bottom style="medium">
        <color rgb="FF3D3D3D"/>
      </bottom>
      <diagonal/>
    </border>
    <border>
      <left/>
      <right style="medium">
        <color rgb="FF3D3D3D"/>
      </right>
      <top/>
      <bottom style="medium">
        <color rgb="FF3D3D3D"/>
      </bottom>
      <diagonal/>
    </border>
    <border>
      <left/>
      <right style="medium">
        <color rgb="FF3D3D3D"/>
      </right>
      <top style="medium">
        <color rgb="FF3D3D3D"/>
      </top>
      <bottom/>
      <diagonal/>
    </border>
    <border>
      <left style="medium">
        <color rgb="FF3D3D3D"/>
      </left>
      <right style="thin">
        <color rgb="FF3D3D3D"/>
      </right>
      <top/>
      <bottom/>
      <diagonal/>
    </border>
    <border>
      <left style="thin">
        <color rgb="FF3D3D3D"/>
      </left>
      <right style="thin">
        <color rgb="FF3D3D3D"/>
      </right>
      <top/>
      <bottom/>
      <diagonal/>
    </border>
    <border>
      <left style="thin">
        <color rgb="FF3D3D3D"/>
      </left>
      <right/>
      <top/>
      <bottom/>
      <diagonal/>
    </border>
    <border>
      <left style="thin">
        <color rgb="FF3D3D3D"/>
      </left>
      <right style="medium">
        <color rgb="FF3D3D3D"/>
      </right>
      <top style="medium">
        <color rgb="FF3D3D3D"/>
      </top>
      <bottom style="thin">
        <color rgb="FF3D3D3D"/>
      </bottom>
      <diagonal/>
    </border>
    <border>
      <left style="medium">
        <color rgb="FF3D3D3D"/>
      </left>
      <right style="thin">
        <color rgb="FF3D3D3D"/>
      </right>
      <top/>
      <bottom style="thin">
        <color rgb="FF3D3D3D"/>
      </bottom>
      <diagonal/>
    </border>
    <border>
      <left style="thin">
        <color rgb="FF3D3D3D"/>
      </left>
      <right style="thin">
        <color rgb="FF3D3D3D"/>
      </right>
      <top/>
      <bottom style="thin">
        <color rgb="FF3D3D3D"/>
      </bottom>
      <diagonal/>
    </border>
    <border>
      <left style="thin">
        <color rgb="FF3D3D3D"/>
      </left>
      <right/>
      <top/>
      <bottom style="thin">
        <color rgb="FF3D3D3D"/>
      </bottom>
      <diagonal/>
    </border>
    <border>
      <left style="thin">
        <color rgb="FF3D3D3D"/>
      </left>
      <right style="thin">
        <color rgb="FF3D3D3D"/>
      </right>
      <top style="thin">
        <color rgb="FF3D3D3D"/>
      </top>
      <bottom style="thin">
        <color rgb="FF3D3D3D"/>
      </bottom>
      <diagonal/>
    </border>
    <border>
      <left style="thin">
        <color rgb="FF3D3D3D"/>
      </left>
      <right style="medium">
        <color rgb="FF3D3D3D"/>
      </right>
      <top style="thin">
        <color rgb="FF3D3D3D"/>
      </top>
      <bottom style="thin">
        <color rgb="FF3D3D3D"/>
      </bottom>
      <diagonal/>
    </border>
    <border>
      <left style="thin">
        <color rgb="FF3D3D3D"/>
      </left>
      <right style="medium">
        <color rgb="FF3D3D3D"/>
      </right>
      <top style="thin">
        <color rgb="FF3D3D3D"/>
      </top>
      <bottom style="medium">
        <color rgb="FF3D3D3D"/>
      </bottom>
      <diagonal/>
    </border>
    <border>
      <left style="medium">
        <color rgb="FF3D3D3D"/>
      </left>
      <right style="medium">
        <color rgb="FF3D3D3D"/>
      </right>
      <top/>
      <bottom style="medium">
        <color rgb="FF3D3D3D"/>
      </bottom>
      <diagonal/>
    </border>
    <border>
      <left style="medium">
        <color rgb="FF3D3D3D"/>
      </left>
      <right/>
      <top style="medium">
        <color indexed="64"/>
      </top>
      <bottom style="medium">
        <color indexed="64"/>
      </bottom>
      <diagonal/>
    </border>
    <border>
      <left/>
      <right/>
      <top style="medium">
        <color rgb="FF3D3D3D"/>
      </top>
      <bottom style="medium">
        <color rgb="FF3D3D3D"/>
      </bottom>
      <diagonal/>
    </border>
    <border>
      <left/>
      <right style="medium">
        <color rgb="FF3D3D3D"/>
      </right>
      <top style="medium">
        <color rgb="FF3D3D3D"/>
      </top>
      <bottom style="medium">
        <color rgb="FF3D3D3D"/>
      </bottom>
      <diagonal/>
    </border>
    <border>
      <left style="medium">
        <color rgb="FF3D3D3D"/>
      </left>
      <right style="thin">
        <color rgb="FF3D3D3D"/>
      </right>
      <top style="medium">
        <color rgb="FF3D3D3D"/>
      </top>
      <bottom/>
      <diagonal/>
    </border>
    <border>
      <left style="thin">
        <color rgb="FF3D3D3D"/>
      </left>
      <right style="thin">
        <color rgb="FF3D3D3D"/>
      </right>
      <top style="medium">
        <color rgb="FF3D3D3D"/>
      </top>
      <bottom/>
      <diagonal/>
    </border>
    <border>
      <left style="thin">
        <color rgb="FF3D3D3D"/>
      </left>
      <right/>
      <top style="medium">
        <color rgb="FF3D3D3D"/>
      </top>
      <bottom/>
      <diagonal/>
    </border>
    <border>
      <left style="thin">
        <color rgb="FF3D3D3D"/>
      </left>
      <right style="thin">
        <color rgb="FF3D3D3D"/>
      </right>
      <top style="thin">
        <color indexed="64"/>
      </top>
      <bottom style="thin">
        <color rgb="FF3D3D3D"/>
      </bottom>
      <diagonal/>
    </border>
    <border>
      <left style="thin">
        <color rgb="FF3D3D3D"/>
      </left>
      <right/>
      <top style="thin">
        <color indexed="64"/>
      </top>
      <bottom style="thin">
        <color rgb="FF3D3D3D"/>
      </bottom>
      <diagonal/>
    </border>
    <border>
      <left/>
      <right/>
      <top style="medium">
        <color indexed="64"/>
      </top>
      <bottom style="medium">
        <color indexed="64"/>
      </bottom>
      <diagonal/>
    </border>
    <border>
      <left/>
      <right style="thick">
        <color auto="1"/>
      </right>
      <top style="medium">
        <color indexed="64"/>
      </top>
      <bottom style="medium">
        <color indexed="64"/>
      </bottom>
      <diagonal/>
    </border>
    <border>
      <left style="thick">
        <color auto="1"/>
      </left>
      <right style="thick">
        <color auto="1"/>
      </right>
      <top style="medium">
        <color indexed="64"/>
      </top>
      <bottom style="medium">
        <color indexed="64"/>
      </bottom>
      <diagonal/>
    </border>
    <border>
      <left style="thick">
        <color auto="1"/>
      </left>
      <right style="medium">
        <color indexed="64"/>
      </right>
      <top style="medium">
        <color indexed="64"/>
      </top>
      <bottom style="medium">
        <color indexed="64"/>
      </bottom>
      <diagonal/>
    </border>
  </borders>
  <cellStyleXfs count="5">
    <xf numFmtId="0" fontId="0" fillId="0" borderId="0"/>
    <xf numFmtId="165" fontId="15" fillId="0" borderId="0" applyBorder="0" applyProtection="0"/>
    <xf numFmtId="0" fontId="1" fillId="0" borderId="1" applyProtection="0"/>
    <xf numFmtId="164" fontId="2" fillId="0" borderId="0" applyBorder="0" applyProtection="0"/>
    <xf numFmtId="0" fontId="3" fillId="2" borderId="0" applyBorder="0" applyProtection="0"/>
  </cellStyleXfs>
  <cellXfs count="122">
    <xf numFmtId="0" fontId="0" fillId="0" borderId="0" xfId="0"/>
    <xf numFmtId="0" fontId="0" fillId="0" borderId="0" xfId="0" applyBorder="1"/>
    <xf numFmtId="0" fontId="2" fillId="0" borderId="0" xfId="0" applyFont="1" applyBorder="1" applyAlignment="1">
      <alignment vertical="center"/>
    </xf>
    <xf numFmtId="0" fontId="0" fillId="0" borderId="0" xfId="0" applyAlignment="1">
      <alignment horizontal="left"/>
    </xf>
    <xf numFmtId="3" fontId="10" fillId="0" borderId="0" xfId="0" applyNumberFormat="1" applyFont="1" applyBorder="1" applyAlignment="1"/>
    <xf numFmtId="168" fontId="0" fillId="0" borderId="0" xfId="0" applyNumberFormat="1" applyAlignment="1">
      <alignment horizontal="left"/>
    </xf>
    <xf numFmtId="0" fontId="2" fillId="0" borderId="0" xfId="0" applyFont="1"/>
    <xf numFmtId="0" fontId="0" fillId="0" borderId="13" xfId="0" applyBorder="1"/>
    <xf numFmtId="0" fontId="0" fillId="0" borderId="29" xfId="0" applyBorder="1"/>
    <xf numFmtId="0" fontId="0" fillId="0" borderId="15" xfId="0" applyBorder="1"/>
    <xf numFmtId="0" fontId="0" fillId="0" borderId="15" xfId="0" applyBorder="1" applyAlignment="1">
      <alignment horizontal="left"/>
    </xf>
    <xf numFmtId="0" fontId="0" fillId="0" borderId="30" xfId="0" applyBorder="1"/>
    <xf numFmtId="0" fontId="14" fillId="0" borderId="32" xfId="0" applyFont="1" applyBorder="1" applyAlignment="1">
      <alignment horizontal="center" vertical="center"/>
    </xf>
    <xf numFmtId="0" fontId="14" fillId="0" borderId="33" xfId="0" applyFont="1" applyBorder="1" applyAlignment="1">
      <alignment horizontal="center" vertical="center"/>
    </xf>
    <xf numFmtId="0" fontId="14" fillId="0" borderId="33" xfId="0" applyFont="1" applyBorder="1" applyAlignment="1">
      <alignment horizontal="left" vertical="center"/>
    </xf>
    <xf numFmtId="0" fontId="14" fillId="0" borderId="34" xfId="0" applyFont="1" applyBorder="1" applyAlignment="1">
      <alignment horizontal="center" vertical="center"/>
    </xf>
    <xf numFmtId="0" fontId="14" fillId="0" borderId="28" xfId="0" applyFont="1" applyBorder="1" applyAlignment="1">
      <alignment horizontal="center" vertical="center"/>
    </xf>
    <xf numFmtId="166" fontId="0" fillId="0" borderId="35" xfId="3" applyNumberFormat="1" applyFont="1" applyBorder="1" applyAlignment="1" applyProtection="1">
      <alignment horizontal="center" vertical="center"/>
    </xf>
    <xf numFmtId="0" fontId="0" fillId="0" borderId="36" xfId="0" applyFont="1" applyBorder="1" applyAlignment="1">
      <alignment horizontal="center" vertical="center"/>
    </xf>
    <xf numFmtId="0" fontId="0" fillId="0" borderId="37" xfId="0" applyFont="1" applyBorder="1" applyAlignment="1">
      <alignment horizontal="center" vertical="center"/>
    </xf>
    <xf numFmtId="0" fontId="0" fillId="0" borderId="38" xfId="0" applyFont="1" applyBorder="1" applyAlignment="1">
      <alignment horizontal="center" vertical="center"/>
    </xf>
    <xf numFmtId="0" fontId="0" fillId="0" borderId="39" xfId="0" applyFont="1" applyBorder="1" applyAlignment="1">
      <alignment horizontal="center" vertical="center"/>
    </xf>
    <xf numFmtId="166" fontId="0" fillId="0" borderId="40" xfId="3" applyNumberFormat="1" applyFont="1" applyBorder="1" applyAlignment="1" applyProtection="1">
      <alignment horizontal="center" vertical="center"/>
    </xf>
    <xf numFmtId="166" fontId="0" fillId="0" borderId="41" xfId="3" applyNumberFormat="1" applyFont="1" applyBorder="1" applyAlignment="1" applyProtection="1">
      <alignment horizontal="center" vertical="center"/>
    </xf>
    <xf numFmtId="166" fontId="14" fillId="0" borderId="42" xfId="0" applyNumberFormat="1" applyFont="1" applyBorder="1" applyAlignment="1">
      <alignment horizontal="center" vertical="center"/>
    </xf>
    <xf numFmtId="0" fontId="16" fillId="0" borderId="0" xfId="0" applyFont="1"/>
    <xf numFmtId="167" fontId="0" fillId="0" borderId="0" xfId="0" applyNumberFormat="1"/>
    <xf numFmtId="0" fontId="0" fillId="0" borderId="46" xfId="0" applyFont="1" applyFill="1" applyBorder="1" applyAlignment="1">
      <alignment horizontal="center" vertical="center"/>
    </xf>
    <xf numFmtId="0" fontId="0" fillId="0" borderId="47" xfId="0" applyFont="1" applyFill="1" applyBorder="1" applyAlignment="1">
      <alignment horizontal="center" vertical="center"/>
    </xf>
    <xf numFmtId="0" fontId="0" fillId="0" borderId="48" xfId="0" applyFont="1" applyFill="1" applyBorder="1" applyAlignment="1">
      <alignment horizontal="center" vertical="center"/>
    </xf>
    <xf numFmtId="0" fontId="0" fillId="0" borderId="49" xfId="0" applyFont="1" applyFill="1" applyBorder="1" applyAlignment="1">
      <alignment horizontal="center" vertical="center"/>
    </xf>
    <xf numFmtId="0" fontId="0" fillId="0" borderId="50" xfId="0" applyFont="1" applyFill="1" applyBorder="1" applyAlignment="1">
      <alignment horizontal="center" vertical="center"/>
    </xf>
    <xf numFmtId="0" fontId="4" fillId="0" borderId="22" xfId="0" applyFont="1" applyFill="1" applyBorder="1" applyAlignment="1">
      <alignment horizontal="left" vertical="center"/>
    </xf>
    <xf numFmtId="0" fontId="4" fillId="0" borderId="22" xfId="0" applyFont="1" applyFill="1" applyBorder="1" applyAlignment="1">
      <alignment horizontal="center" vertical="center"/>
    </xf>
    <xf numFmtId="0" fontId="4" fillId="0" borderId="22" xfId="0" applyFont="1" applyFill="1" applyBorder="1" applyAlignment="1">
      <alignment horizontal="center" vertical="center" wrapText="1"/>
    </xf>
    <xf numFmtId="166" fontId="4" fillId="0" borderId="22" xfId="1" applyNumberFormat="1" applyFont="1" applyFill="1" applyBorder="1" applyAlignment="1" applyProtection="1">
      <alignment horizontal="right" vertical="center" wrapText="1"/>
    </xf>
    <xf numFmtId="3" fontId="4" fillId="0" borderId="22" xfId="0" applyNumberFormat="1" applyFont="1" applyFill="1" applyBorder="1" applyAlignment="1">
      <alignment horizontal="center" vertical="center"/>
    </xf>
    <xf numFmtId="0" fontId="20" fillId="0" borderId="54" xfId="0" applyFont="1" applyBorder="1" applyAlignment="1">
      <alignment horizontal="center" vertical="center" wrapText="1"/>
    </xf>
    <xf numFmtId="0" fontId="21" fillId="0" borderId="2" xfId="0" applyFont="1" applyFill="1" applyBorder="1" applyAlignment="1">
      <alignment horizontal="center" vertical="center"/>
    </xf>
    <xf numFmtId="0" fontId="0" fillId="0" borderId="3" xfId="0" applyFill="1" applyBorder="1"/>
    <xf numFmtId="0" fontId="0" fillId="0" borderId="3" xfId="0" applyFill="1" applyBorder="1" applyAlignment="1">
      <alignment horizontal="center"/>
    </xf>
    <xf numFmtId="0" fontId="22" fillId="0" borderId="3" xfId="0" applyFont="1" applyFill="1" applyBorder="1" applyAlignment="1">
      <alignment horizontal="center" vertical="center" wrapText="1"/>
    </xf>
    <xf numFmtId="166" fontId="21" fillId="0" borderId="3" xfId="1" applyNumberFormat="1" applyFont="1" applyFill="1" applyBorder="1" applyAlignment="1" applyProtection="1">
      <alignment horizontal="right" vertical="center" wrapText="1"/>
    </xf>
    <xf numFmtId="166" fontId="21" fillId="0" borderId="4" xfId="1" applyNumberFormat="1" applyFont="1" applyFill="1" applyBorder="1" applyAlignment="1" applyProtection="1">
      <alignment horizontal="right" vertical="center" wrapText="1"/>
    </xf>
    <xf numFmtId="0" fontId="16" fillId="0" borderId="0" xfId="0" applyFont="1" applyFill="1"/>
    <xf numFmtId="0" fontId="19" fillId="0" borderId="0" xfId="0" applyFont="1" applyFill="1" applyAlignment="1">
      <alignment horizontal="left" wrapText="1"/>
    </xf>
    <xf numFmtId="0" fontId="19" fillId="0" borderId="0" xfId="0" applyFont="1" applyFill="1" applyAlignment="1">
      <alignment horizontal="center" wrapText="1"/>
    </xf>
    <xf numFmtId="0" fontId="24" fillId="0" borderId="0" xfId="0" applyFont="1" applyFill="1" applyAlignment="1">
      <alignment horizontal="left" wrapText="1" indent="1"/>
    </xf>
    <xf numFmtId="0" fontId="20" fillId="0" borderId="0" xfId="0" applyFont="1" applyFill="1" applyAlignment="1">
      <alignment horizontal="left" wrapText="1"/>
    </xf>
    <xf numFmtId="0" fontId="20" fillId="0" borderId="24" xfId="0" applyFont="1" applyFill="1" applyBorder="1" applyAlignment="1">
      <alignment horizontal="center" vertical="center" wrapText="1"/>
    </xf>
    <xf numFmtId="0" fontId="20" fillId="0" borderId="17" xfId="0" applyFont="1" applyFill="1" applyBorder="1" applyAlignment="1">
      <alignment horizontal="center" vertical="center" wrapText="1"/>
    </xf>
    <xf numFmtId="0" fontId="20" fillId="0" borderId="51" xfId="0" applyFont="1" applyFill="1" applyBorder="1" applyAlignment="1">
      <alignment horizontal="center" vertical="center" wrapText="1"/>
    </xf>
    <xf numFmtId="0" fontId="20" fillId="0" borderId="52" xfId="0" applyFont="1" applyFill="1" applyBorder="1" applyAlignment="1">
      <alignment horizontal="center" vertical="center" wrapText="1"/>
    </xf>
    <xf numFmtId="0" fontId="20" fillId="0" borderId="53" xfId="0" applyFont="1" applyFill="1" applyBorder="1" applyAlignment="1">
      <alignment horizontal="center" vertical="center" wrapText="1"/>
    </xf>
    <xf numFmtId="0" fontId="23" fillId="0" borderId="5" xfId="0" applyFont="1" applyFill="1" applyBorder="1"/>
    <xf numFmtId="0" fontId="16" fillId="0" borderId="6" xfId="0" applyFont="1" applyFill="1" applyBorder="1"/>
    <xf numFmtId="0" fontId="16" fillId="0" borderId="7" xfId="0" applyFont="1" applyFill="1" applyBorder="1"/>
    <xf numFmtId="0" fontId="16" fillId="0" borderId="8" xfId="0" applyFont="1" applyFill="1" applyBorder="1"/>
    <xf numFmtId="0" fontId="16" fillId="0" borderId="0" xfId="0" applyFont="1" applyFill="1" applyBorder="1"/>
    <xf numFmtId="0" fontId="16" fillId="0" borderId="9" xfId="0" applyFont="1" applyFill="1" applyBorder="1"/>
    <xf numFmtId="0" fontId="23" fillId="0" borderId="8" xfId="0" applyFont="1" applyFill="1" applyBorder="1" applyAlignment="1">
      <alignment horizontal="left" indent="3"/>
    </xf>
    <xf numFmtId="0" fontId="16" fillId="0" borderId="8" xfId="0" applyFont="1" applyFill="1" applyBorder="1" applyAlignment="1">
      <alignment horizontal="left" indent="3"/>
    </xf>
    <xf numFmtId="0" fontId="16" fillId="0" borderId="0" xfId="0" applyFont="1" applyFill="1" applyBorder="1" applyAlignment="1">
      <alignment horizontal="center" wrapText="1"/>
    </xf>
    <xf numFmtId="0" fontId="16" fillId="0" borderId="9" xfId="0" applyFont="1" applyFill="1" applyBorder="1" applyAlignment="1">
      <alignment horizontal="center" wrapText="1"/>
    </xf>
    <xf numFmtId="0" fontId="16" fillId="0" borderId="10" xfId="0" applyFont="1" applyFill="1" applyBorder="1" applyAlignment="1">
      <alignment horizontal="left" indent="3"/>
    </xf>
    <xf numFmtId="0" fontId="16" fillId="0" borderId="11" xfId="0" applyFont="1" applyFill="1" applyBorder="1"/>
    <xf numFmtId="0" fontId="16" fillId="0" borderId="12" xfId="0" applyFont="1" applyFill="1" applyBorder="1"/>
    <xf numFmtId="0" fontId="5" fillId="0" borderId="13" xfId="0" applyFont="1" applyFill="1" applyBorder="1" applyAlignment="1">
      <alignment horizontal="right" vertical="center"/>
    </xf>
    <xf numFmtId="0" fontId="6" fillId="0" borderId="14" xfId="0" applyFont="1" applyFill="1" applyBorder="1" applyAlignment="1">
      <alignment horizontal="center" vertical="center"/>
    </xf>
    <xf numFmtId="0" fontId="5" fillId="0" borderId="15" xfId="0" applyFont="1" applyFill="1" applyBorder="1" applyAlignment="1">
      <alignment vertical="center"/>
    </xf>
    <xf numFmtId="0" fontId="5" fillId="0" borderId="0" xfId="0" applyFont="1" applyFill="1" applyBorder="1" applyAlignment="1">
      <alignment vertical="center"/>
    </xf>
    <xf numFmtId="0" fontId="7" fillId="0" borderId="0" xfId="0" applyFont="1" applyFill="1" applyBorder="1" applyAlignment="1">
      <alignment horizontal="left" vertical="center"/>
    </xf>
    <xf numFmtId="0" fontId="6" fillId="0" borderId="0" xfId="0" applyFont="1" applyFill="1" applyBorder="1" applyAlignment="1">
      <alignment horizontal="left" vertical="center" wrapText="1" indent="1"/>
    </xf>
    <xf numFmtId="0" fontId="9" fillId="0" borderId="23" xfId="0" applyFont="1" applyFill="1" applyBorder="1" applyAlignment="1">
      <alignment horizontal="center" vertical="center"/>
    </xf>
    <xf numFmtId="0" fontId="15" fillId="0" borderId="47" xfId="0" applyFont="1" applyFill="1" applyBorder="1" applyAlignment="1">
      <alignment horizontal="center" vertical="center"/>
    </xf>
    <xf numFmtId="0" fontId="16" fillId="0" borderId="9" xfId="0" applyFont="1" applyFill="1" applyBorder="1" applyAlignment="1">
      <alignment horizontal="center" wrapText="1"/>
    </xf>
    <xf numFmtId="0" fontId="16" fillId="0" borderId="9" xfId="0" applyFont="1" applyFill="1" applyBorder="1" applyAlignment="1">
      <alignment horizontal="center"/>
    </xf>
    <xf numFmtId="0" fontId="18" fillId="0" borderId="0" xfId="0" applyFont="1" applyFill="1" applyBorder="1" applyAlignment="1">
      <alignment horizontal="left" vertical="center" wrapText="1"/>
    </xf>
    <xf numFmtId="0" fontId="16" fillId="0" borderId="0" xfId="0" applyFont="1" applyFill="1" applyBorder="1" applyAlignment="1">
      <alignment horizontal="left"/>
    </xf>
    <xf numFmtId="0" fontId="16" fillId="0" borderId="9" xfId="0" applyFont="1" applyFill="1" applyBorder="1" applyAlignment="1">
      <alignment horizontal="left"/>
    </xf>
    <xf numFmtId="0" fontId="16" fillId="0" borderId="0" xfId="0" applyFont="1" applyFill="1" applyBorder="1" applyAlignment="1">
      <alignment horizontal="left" vertical="center" wrapText="1"/>
    </xf>
    <xf numFmtId="0" fontId="16" fillId="0" borderId="9" xfId="0" applyFont="1" applyFill="1" applyBorder="1" applyAlignment="1">
      <alignment horizontal="left" vertical="center" wrapText="1"/>
    </xf>
    <xf numFmtId="0" fontId="17" fillId="0" borderId="0" xfId="0" applyFont="1" applyFill="1" applyBorder="1" applyAlignment="1">
      <alignment horizontal="center"/>
    </xf>
    <xf numFmtId="0" fontId="24" fillId="0" borderId="0" xfId="0" applyFont="1" applyFill="1" applyBorder="1" applyAlignment="1">
      <alignment horizontal="left" wrapText="1" indent="1"/>
    </xf>
    <xf numFmtId="0" fontId="6" fillId="0" borderId="17" xfId="0" applyFont="1" applyFill="1" applyBorder="1" applyAlignment="1">
      <alignment horizontal="left" vertical="center" wrapText="1" indent="1"/>
    </xf>
    <xf numFmtId="167" fontId="25" fillId="0" borderId="17" xfId="0" applyNumberFormat="1" applyFont="1" applyFill="1" applyBorder="1" applyAlignment="1">
      <alignment horizontal="center" vertical="center"/>
    </xf>
    <xf numFmtId="0" fontId="4" fillId="0" borderId="22" xfId="0" applyFont="1" applyFill="1" applyBorder="1" applyAlignment="1">
      <alignment horizontal="left" vertical="center" wrapText="1"/>
    </xf>
    <xf numFmtId="0" fontId="7" fillId="0" borderId="19" xfId="0" applyFont="1" applyFill="1" applyBorder="1" applyAlignment="1">
      <alignment horizontal="left" vertical="center"/>
    </xf>
    <xf numFmtId="0" fontId="6" fillId="0" borderId="20" xfId="0" applyFont="1" applyFill="1" applyBorder="1" applyAlignment="1">
      <alignment horizontal="left" vertical="center" wrapText="1" indent="1"/>
    </xf>
    <xf numFmtId="0" fontId="8" fillId="0" borderId="19" xfId="0" applyFont="1" applyFill="1" applyBorder="1" applyAlignment="1">
      <alignment horizontal="center" vertical="center"/>
    </xf>
    <xf numFmtId="0" fontId="8" fillId="0" borderId="21" xfId="0" applyFont="1" applyFill="1" applyBorder="1" applyAlignment="1">
      <alignment horizontal="center" vertical="center" wrapText="1"/>
    </xf>
    <xf numFmtId="0" fontId="8" fillId="0" borderId="20" xfId="0" applyFont="1" applyFill="1" applyBorder="1" applyAlignment="1">
      <alignment horizontal="center" vertical="center" wrapText="1"/>
    </xf>
    <xf numFmtId="0" fontId="5" fillId="0" borderId="0" xfId="0" applyFont="1" applyFill="1" applyBorder="1" applyAlignment="1">
      <alignment horizontal="center" vertical="center"/>
    </xf>
    <xf numFmtId="0" fontId="7" fillId="0" borderId="16" xfId="0" applyFont="1" applyFill="1" applyBorder="1" applyAlignment="1">
      <alignment horizontal="left" vertical="center" wrapText="1"/>
    </xf>
    <xf numFmtId="0" fontId="7" fillId="0" borderId="18" xfId="0" applyFont="1" applyFill="1" applyBorder="1" applyAlignment="1">
      <alignment horizontal="left" vertical="center" wrapText="1"/>
    </xf>
    <xf numFmtId="0" fontId="10" fillId="0" borderId="24" xfId="0" applyFont="1" applyBorder="1" applyAlignment="1">
      <alignment vertical="center" wrapText="1"/>
    </xf>
    <xf numFmtId="0" fontId="10" fillId="0" borderId="43" xfId="0" applyFont="1" applyBorder="1" applyAlignment="1">
      <alignment vertical="center" wrapText="1"/>
    </xf>
    <xf numFmtId="0" fontId="10" fillId="0" borderId="20" xfId="0" applyFont="1" applyBorder="1" applyAlignment="1">
      <alignment vertical="center" wrapText="1"/>
    </xf>
    <xf numFmtId="0" fontId="12" fillId="0" borderId="31" xfId="0" applyFont="1" applyBorder="1" applyAlignment="1">
      <alignment vertical="center" wrapText="1"/>
    </xf>
    <xf numFmtId="0" fontId="12" fillId="0" borderId="42" xfId="0" applyFont="1" applyFill="1" applyBorder="1" applyAlignment="1">
      <alignment horizontal="left" vertical="center" wrapText="1" indent="1"/>
    </xf>
    <xf numFmtId="0" fontId="0" fillId="0" borderId="39" xfId="0" applyFont="1" applyBorder="1" applyAlignment="1">
      <alignment horizontal="left" vertical="center"/>
    </xf>
    <xf numFmtId="0" fontId="10" fillId="0" borderId="42" xfId="0" applyFont="1" applyBorder="1" applyAlignment="1">
      <alignment horizontal="left" vertical="center" wrapText="1"/>
    </xf>
    <xf numFmtId="0" fontId="0" fillId="0" borderId="26" xfId="0" applyBorder="1"/>
    <xf numFmtId="0" fontId="15" fillId="0" borderId="47" xfId="0" applyFont="1" applyBorder="1" applyAlignment="1">
      <alignment horizontal="left" vertical="center" wrapText="1"/>
    </xf>
    <xf numFmtId="0" fontId="0" fillId="0" borderId="47" xfId="0" applyFont="1" applyBorder="1" applyAlignment="1">
      <alignment horizontal="left" vertical="center" wrapText="1"/>
    </xf>
    <xf numFmtId="0" fontId="26" fillId="0" borderId="49" xfId="0" applyFont="1" applyBorder="1" applyAlignment="1">
      <alignment horizontal="left" vertical="center" wrapText="1"/>
    </xf>
    <xf numFmtId="0" fontId="0" fillId="0" borderId="49" xfId="0" applyFont="1" applyBorder="1" applyAlignment="1">
      <alignment horizontal="left" vertical="center" wrapText="1"/>
    </xf>
    <xf numFmtId="0" fontId="12" fillId="0" borderId="27" xfId="0" applyFont="1" applyBorder="1"/>
    <xf numFmtId="0" fontId="12" fillId="0" borderId="28" xfId="0" applyFont="1" applyBorder="1" applyAlignment="1">
      <alignment horizontal="left" vertical="center" wrapText="1" indent="1"/>
    </xf>
    <xf numFmtId="0" fontId="14" fillId="0" borderId="26" xfId="0" applyFont="1" applyBorder="1" applyAlignment="1">
      <alignment horizontal="center" vertical="center"/>
    </xf>
    <xf numFmtId="0" fontId="14" fillId="0" borderId="14" xfId="0" applyFont="1" applyBorder="1" applyAlignment="1">
      <alignment horizontal="center" vertical="center"/>
    </xf>
    <xf numFmtId="0" fontId="14" fillId="0" borderId="26" xfId="0" applyFont="1" applyBorder="1" applyAlignment="1">
      <alignment horizontal="center" vertical="center" wrapText="1"/>
    </xf>
    <xf numFmtId="0" fontId="14" fillId="0" borderId="31" xfId="0" applyFont="1" applyBorder="1" applyAlignment="1">
      <alignment horizontal="center" vertical="center"/>
    </xf>
    <xf numFmtId="0" fontId="4" fillId="0" borderId="16" xfId="0" applyFont="1" applyBorder="1" applyAlignment="1">
      <alignment horizontal="left" vertical="center" wrapText="1"/>
    </xf>
    <xf numFmtId="0" fontId="4" fillId="0" borderId="44" xfId="0" applyFont="1" applyBorder="1" applyAlignment="1">
      <alignment horizontal="left" vertical="center" wrapText="1"/>
    </xf>
    <xf numFmtId="0" fontId="4" fillId="0" borderId="45" xfId="0" applyFont="1" applyBorder="1" applyAlignment="1">
      <alignment horizontal="left" vertical="center" wrapText="1"/>
    </xf>
    <xf numFmtId="0" fontId="12" fillId="0" borderId="14" xfId="0" applyFont="1" applyBorder="1" applyAlignment="1">
      <alignment horizontal="left" indent="1"/>
    </xf>
    <xf numFmtId="0" fontId="13" fillId="0" borderId="14" xfId="0" applyFont="1" applyBorder="1" applyAlignment="1">
      <alignment horizontal="left"/>
    </xf>
    <xf numFmtId="0" fontId="0" fillId="0" borderId="24" xfId="0" applyFont="1" applyBorder="1" applyAlignment="1">
      <alignment horizontal="center"/>
    </xf>
    <xf numFmtId="3" fontId="10" fillId="0" borderId="25" xfId="0" applyNumberFormat="1" applyFont="1" applyBorder="1" applyAlignment="1">
      <alignment horizontal="center"/>
    </xf>
    <xf numFmtId="0" fontId="11" fillId="0" borderId="14" xfId="0" applyFont="1" applyBorder="1" applyAlignment="1">
      <alignment horizontal="center" vertical="center" wrapText="1"/>
    </xf>
    <xf numFmtId="0" fontId="2" fillId="0" borderId="14" xfId="0" applyFont="1" applyBorder="1"/>
  </cellXfs>
  <cellStyles count="5">
    <cellStyle name="Encabezado 1" xfId="2" xr:uid="{00000000-0005-0000-0000-000000000000}"/>
    <cellStyle name="Moneda" xfId="1" builtinId="4"/>
    <cellStyle name="Moneda_AUTORIZACION Y NOTA DE PEDIDO" xfId="3" xr:uid="{00000000-0005-0000-0000-000002000000}"/>
    <cellStyle name="Neutral 1" xfId="4" xr:uid="{00000000-0005-0000-0000-000003000000}"/>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D3D3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733320</xdr:colOff>
      <xdr:row>0</xdr:row>
      <xdr:rowOff>0</xdr:rowOff>
    </xdr:to>
    <xdr:sp macro="" textlink="">
      <xdr:nvSpPr>
        <xdr:cNvPr id="2" name="Freeform 1">
          <a:extLst>
            <a:ext uri="{FF2B5EF4-FFF2-40B4-BE49-F238E27FC236}">
              <a16:creationId xmlns:a16="http://schemas.microsoft.com/office/drawing/2014/main" id="{00000000-0008-0000-0200-000002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3" name="Freeform 1">
          <a:extLst>
            <a:ext uri="{FF2B5EF4-FFF2-40B4-BE49-F238E27FC236}">
              <a16:creationId xmlns:a16="http://schemas.microsoft.com/office/drawing/2014/main" id="{00000000-0008-0000-0200-000003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4" name="Freeform 1">
          <a:extLst>
            <a:ext uri="{FF2B5EF4-FFF2-40B4-BE49-F238E27FC236}">
              <a16:creationId xmlns:a16="http://schemas.microsoft.com/office/drawing/2014/main" id="{00000000-0008-0000-0200-000004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5" name="Freeform 1">
          <a:extLst>
            <a:ext uri="{FF2B5EF4-FFF2-40B4-BE49-F238E27FC236}">
              <a16:creationId xmlns:a16="http://schemas.microsoft.com/office/drawing/2014/main" id="{00000000-0008-0000-0200-000005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I27"/>
  <sheetViews>
    <sheetView tabSelected="1" zoomScaleNormal="100" workbookViewId="0">
      <selection activeCell="C21" sqref="C21:E21"/>
    </sheetView>
  </sheetViews>
  <sheetFormatPr baseColWidth="10" defaultColWidth="11" defaultRowHeight="12.75" x14ac:dyDescent="0.2"/>
  <cols>
    <col min="1" max="1" width="4.5703125" style="25" customWidth="1"/>
    <col min="2" max="2" width="21.7109375" style="25" customWidth="1"/>
    <col min="3" max="3" width="32.42578125" style="25" customWidth="1"/>
    <col min="4" max="4" width="8.42578125" style="25" customWidth="1"/>
    <col min="5" max="5" width="109.42578125" style="25" customWidth="1"/>
    <col min="6" max="6" width="11" style="25"/>
    <col min="7" max="8" width="10.42578125" style="25" bestFit="1" customWidth="1"/>
    <col min="9" max="9" width="15.7109375" style="25" bestFit="1" customWidth="1"/>
    <col min="10" max="16384" width="11" style="25"/>
  </cols>
  <sheetData>
    <row r="2" spans="1:9" ht="27" x14ac:dyDescent="0.35">
      <c r="A2" s="44"/>
      <c r="B2" s="82" t="s">
        <v>0</v>
      </c>
      <c r="C2" s="82"/>
      <c r="D2" s="82"/>
      <c r="E2" s="82"/>
      <c r="F2" s="82"/>
      <c r="G2" s="82"/>
      <c r="H2" s="82"/>
    </row>
    <row r="3" spans="1:9" x14ac:dyDescent="0.2">
      <c r="A3" s="44"/>
      <c r="B3" s="44"/>
      <c r="C3" s="44"/>
      <c r="D3" s="44"/>
      <c r="E3" s="44"/>
      <c r="F3" s="44"/>
      <c r="G3" s="44"/>
      <c r="H3" s="44"/>
    </row>
    <row r="4" spans="1:9" ht="18" customHeight="1" x14ac:dyDescent="0.25">
      <c r="A4" s="77" t="s">
        <v>1</v>
      </c>
      <c r="B4" s="77"/>
      <c r="C4" s="83" t="s">
        <v>68</v>
      </c>
      <c r="D4" s="83"/>
      <c r="E4" s="83"/>
      <c r="F4" s="45"/>
      <c r="G4" s="46"/>
      <c r="H4" s="45"/>
    </row>
    <row r="5" spans="1:9" ht="18" customHeight="1" x14ac:dyDescent="0.25">
      <c r="A5" s="77" t="s">
        <v>2</v>
      </c>
      <c r="B5" s="77"/>
      <c r="C5" s="83" t="s">
        <v>57</v>
      </c>
      <c r="D5" s="83"/>
      <c r="E5" s="83"/>
      <c r="F5" s="45"/>
      <c r="G5" s="46"/>
      <c r="H5" s="45"/>
    </row>
    <row r="6" spans="1:9" ht="16.5" customHeight="1" x14ac:dyDescent="0.25">
      <c r="A6" s="77" t="s">
        <v>3</v>
      </c>
      <c r="B6" s="77"/>
      <c r="C6" s="47">
        <v>2022</v>
      </c>
      <c r="D6" s="48"/>
      <c r="E6" s="48"/>
      <c r="F6" s="45"/>
      <c r="G6" s="46"/>
      <c r="H6" s="45"/>
    </row>
    <row r="7" spans="1:9" ht="16.5" customHeight="1" x14ac:dyDescent="0.25">
      <c r="A7" s="77" t="s">
        <v>4</v>
      </c>
      <c r="B7" s="77"/>
      <c r="C7" s="47">
        <v>1</v>
      </c>
      <c r="D7" s="48"/>
      <c r="E7" s="48"/>
      <c r="F7" s="45"/>
      <c r="G7" s="46"/>
      <c r="H7" s="45"/>
    </row>
    <row r="8" spans="1:9" ht="13.5" thickBot="1" x14ac:dyDescent="0.25">
      <c r="A8" s="44"/>
      <c r="B8" s="45"/>
      <c r="C8" s="46"/>
      <c r="D8" s="45"/>
      <c r="E8" s="45"/>
      <c r="F8" s="45"/>
      <c r="G8" s="46"/>
      <c r="H8" s="45"/>
    </row>
    <row r="9" spans="1:9" ht="39" thickBot="1" x14ac:dyDescent="0.25">
      <c r="A9" s="49" t="s">
        <v>5</v>
      </c>
      <c r="B9" s="50" t="s">
        <v>6</v>
      </c>
      <c r="C9" s="50" t="s">
        <v>7</v>
      </c>
      <c r="D9" s="51" t="s">
        <v>8</v>
      </c>
      <c r="E9" s="50" t="s">
        <v>9</v>
      </c>
      <c r="F9" s="52" t="s">
        <v>10</v>
      </c>
      <c r="G9" s="53" t="s">
        <v>11</v>
      </c>
      <c r="H9" s="53" t="s">
        <v>12</v>
      </c>
      <c r="I9" s="37" t="s">
        <v>13</v>
      </c>
    </row>
    <row r="10" spans="1:9" x14ac:dyDescent="0.2">
      <c r="A10" s="38">
        <v>1</v>
      </c>
      <c r="B10" s="39" t="s">
        <v>63</v>
      </c>
      <c r="C10" s="39" t="s">
        <v>64</v>
      </c>
      <c r="D10" s="40" t="s">
        <v>66</v>
      </c>
      <c r="E10" s="39" t="s">
        <v>65</v>
      </c>
      <c r="F10" s="41" t="s">
        <v>60</v>
      </c>
      <c r="G10" s="41">
        <v>50000</v>
      </c>
      <c r="H10" s="42">
        <v>95</v>
      </c>
      <c r="I10" s="43">
        <f t="shared" ref="I10" si="0">+H10*G10</f>
        <v>4750000</v>
      </c>
    </row>
    <row r="11" spans="1:9" x14ac:dyDescent="0.2">
      <c r="A11" s="44"/>
      <c r="B11" s="44"/>
      <c r="C11" s="44"/>
      <c r="D11" s="44"/>
      <c r="E11" s="44"/>
      <c r="F11" s="44"/>
      <c r="G11" s="44"/>
      <c r="H11" s="44"/>
    </row>
    <row r="12" spans="1:9" x14ac:dyDescent="0.2">
      <c r="A12" s="44"/>
      <c r="B12" s="44"/>
      <c r="C12" s="44"/>
      <c r="D12" s="44"/>
      <c r="E12" s="44"/>
      <c r="F12" s="44"/>
      <c r="G12" s="44"/>
      <c r="H12" s="44"/>
    </row>
    <row r="13" spans="1:9" x14ac:dyDescent="0.2">
      <c r="A13" s="44"/>
      <c r="B13" s="54" t="s">
        <v>14</v>
      </c>
      <c r="C13" s="55"/>
      <c r="D13" s="55"/>
      <c r="E13" s="56"/>
      <c r="F13" s="44"/>
      <c r="G13" s="44"/>
      <c r="H13" s="44"/>
    </row>
    <row r="14" spans="1:9" ht="5.25" customHeight="1" x14ac:dyDescent="0.2">
      <c r="A14" s="44"/>
      <c r="B14" s="57"/>
      <c r="C14" s="58"/>
      <c r="D14" s="58"/>
      <c r="E14" s="59"/>
      <c r="F14" s="44"/>
      <c r="G14" s="44"/>
      <c r="H14" s="44"/>
    </row>
    <row r="15" spans="1:9" x14ac:dyDescent="0.2">
      <c r="A15" s="44"/>
      <c r="B15" s="60" t="s">
        <v>15</v>
      </c>
      <c r="C15" s="58"/>
      <c r="D15" s="58"/>
      <c r="E15" s="59"/>
      <c r="F15" s="44"/>
      <c r="G15" s="44"/>
      <c r="H15" s="44"/>
    </row>
    <row r="16" spans="1:9" ht="41.25" customHeight="1" x14ac:dyDescent="0.2">
      <c r="A16" s="44"/>
      <c r="B16" s="60"/>
      <c r="C16" s="75"/>
      <c r="D16" s="75"/>
      <c r="E16" s="75"/>
      <c r="F16" s="44"/>
      <c r="G16" s="44"/>
      <c r="H16" s="44"/>
    </row>
    <row r="17" spans="1:8" x14ac:dyDescent="0.2">
      <c r="A17" s="44"/>
      <c r="B17" s="60" t="s">
        <v>16</v>
      </c>
      <c r="C17" s="58"/>
      <c r="D17" s="58"/>
      <c r="E17" s="59"/>
      <c r="F17" s="44"/>
      <c r="G17" s="44"/>
      <c r="H17" s="44"/>
    </row>
    <row r="18" spans="1:8" x14ac:dyDescent="0.2">
      <c r="A18" s="44"/>
      <c r="B18" s="61"/>
      <c r="C18" s="78" t="s">
        <v>74</v>
      </c>
      <c r="D18" s="78"/>
      <c r="E18" s="79"/>
      <c r="F18" s="44"/>
      <c r="G18" s="44"/>
      <c r="H18" s="44"/>
    </row>
    <row r="19" spans="1:8" ht="50.25" customHeight="1" x14ac:dyDescent="0.2">
      <c r="A19" s="44"/>
      <c r="B19" s="61"/>
      <c r="C19" s="80" t="s">
        <v>69</v>
      </c>
      <c r="D19" s="80"/>
      <c r="E19" s="81"/>
      <c r="F19" s="44"/>
      <c r="G19" s="44"/>
      <c r="H19" s="44"/>
    </row>
    <row r="20" spans="1:8" x14ac:dyDescent="0.2">
      <c r="A20" s="44"/>
      <c r="B20" s="60" t="s">
        <v>17</v>
      </c>
      <c r="C20" s="58"/>
      <c r="D20" s="58"/>
      <c r="E20" s="59"/>
      <c r="F20" s="44"/>
      <c r="G20" s="44"/>
      <c r="H20" s="44"/>
    </row>
    <row r="21" spans="1:8" ht="26.25" customHeight="1" x14ac:dyDescent="0.2">
      <c r="A21" s="44"/>
      <c r="B21" s="61"/>
      <c r="C21" s="75" t="s">
        <v>58</v>
      </c>
      <c r="D21" s="75"/>
      <c r="E21" s="75"/>
      <c r="F21" s="44"/>
      <c r="G21" s="44"/>
      <c r="H21" s="44"/>
    </row>
    <row r="22" spans="1:8" x14ac:dyDescent="0.2">
      <c r="A22" s="44"/>
      <c r="B22" s="60" t="s">
        <v>18</v>
      </c>
      <c r="C22" s="62"/>
      <c r="D22" s="62"/>
      <c r="E22" s="63"/>
      <c r="F22" s="44"/>
      <c r="G22" s="44"/>
      <c r="H22" s="44"/>
    </row>
    <row r="23" spans="1:8" ht="26.25" customHeight="1" x14ac:dyDescent="0.2">
      <c r="A23" s="44"/>
      <c r="B23" s="61"/>
      <c r="C23" s="75" t="s">
        <v>59</v>
      </c>
      <c r="D23" s="75"/>
      <c r="E23" s="75"/>
      <c r="F23" s="44"/>
      <c r="G23" s="44"/>
      <c r="H23" s="44"/>
    </row>
    <row r="24" spans="1:8" x14ac:dyDescent="0.2">
      <c r="A24" s="44"/>
      <c r="B24" s="60" t="s">
        <v>19</v>
      </c>
      <c r="C24" s="58"/>
      <c r="D24" s="58"/>
      <c r="E24" s="59"/>
      <c r="F24" s="44"/>
      <c r="G24" s="44"/>
      <c r="H24" s="44"/>
    </row>
    <row r="25" spans="1:8" ht="23.25" customHeight="1" x14ac:dyDescent="0.2">
      <c r="A25" s="44"/>
      <c r="B25" s="60"/>
      <c r="C25" s="76"/>
      <c r="D25" s="76"/>
      <c r="E25" s="76"/>
      <c r="F25" s="44"/>
      <c r="G25" s="44"/>
      <c r="H25" s="44"/>
    </row>
    <row r="26" spans="1:8" x14ac:dyDescent="0.2">
      <c r="A26" s="44"/>
      <c r="B26" s="64"/>
      <c r="C26" s="65"/>
      <c r="D26" s="65"/>
      <c r="E26" s="66"/>
      <c r="F26" s="44"/>
      <c r="G26" s="44"/>
      <c r="H26" s="44"/>
    </row>
    <row r="27" spans="1:8" x14ac:dyDescent="0.2">
      <c r="A27" s="44"/>
      <c r="B27" s="44"/>
      <c r="C27" s="44"/>
      <c r="D27" s="44"/>
      <c r="E27" s="44"/>
      <c r="F27" s="44"/>
      <c r="G27" s="44"/>
      <c r="H27" s="44"/>
    </row>
  </sheetData>
  <mergeCells count="13">
    <mergeCell ref="B2:H2"/>
    <mergeCell ref="A4:B4"/>
    <mergeCell ref="C4:E4"/>
    <mergeCell ref="A5:B5"/>
    <mergeCell ref="C5:E5"/>
    <mergeCell ref="C21:E21"/>
    <mergeCell ref="C23:E23"/>
    <mergeCell ref="C25:E25"/>
    <mergeCell ref="A6:B6"/>
    <mergeCell ref="A7:B7"/>
    <mergeCell ref="C16:E16"/>
    <mergeCell ref="C18:E18"/>
    <mergeCell ref="C19:E19"/>
  </mergeCells>
  <pageMargins left="0" right="0" top="0.74803149606299213" bottom="0" header="0.51181102362204722" footer="0.51181102362204722"/>
  <pageSetup paperSize="5" scale="79" firstPageNumber="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MJ14"/>
  <sheetViews>
    <sheetView zoomScale="110" zoomScaleNormal="110" workbookViewId="0">
      <selection activeCell="D27" sqref="D27"/>
    </sheetView>
  </sheetViews>
  <sheetFormatPr baseColWidth="10" defaultColWidth="9.140625" defaultRowHeight="12.75" x14ac:dyDescent="0.2"/>
  <cols>
    <col min="1" max="1" width="5.5703125" style="2" customWidth="1"/>
    <col min="2" max="2" width="15.140625" style="2" customWidth="1"/>
    <col min="3" max="3" width="14.140625" style="2" customWidth="1"/>
    <col min="4" max="4" width="26" style="2" customWidth="1"/>
    <col min="5" max="5" width="8" style="2" customWidth="1"/>
    <col min="6" max="6" width="7.85546875" style="2" customWidth="1"/>
    <col min="7" max="7" width="42" style="2" customWidth="1"/>
    <col min="8" max="8" width="9.28515625" style="2" customWidth="1"/>
    <col min="9" max="9" width="15.5703125" style="2" customWidth="1"/>
    <col min="10" max="10" width="14.7109375" style="2" customWidth="1"/>
    <col min="11" max="11" width="15.5703125" style="2" customWidth="1"/>
    <col min="12" max="14" width="5.85546875" style="2" customWidth="1"/>
    <col min="15" max="15" width="12.5703125" style="2" customWidth="1"/>
    <col min="16" max="1024" width="9.140625" style="2"/>
  </cols>
  <sheetData>
    <row r="1" spans="1:11" ht="18" customHeight="1" x14ac:dyDescent="0.2">
      <c r="A1" s="92" t="s">
        <v>20</v>
      </c>
      <c r="B1" s="92"/>
      <c r="C1" s="92"/>
      <c r="D1" s="92"/>
      <c r="E1" s="92"/>
      <c r="F1" s="92"/>
      <c r="G1" s="92"/>
      <c r="H1" s="92"/>
      <c r="I1" s="92"/>
      <c r="J1" s="67" t="s">
        <v>21</v>
      </c>
      <c r="K1" s="68" t="s">
        <v>77</v>
      </c>
    </row>
    <row r="2" spans="1:11" ht="18.75" customHeight="1" thickBot="1" x14ac:dyDescent="0.25">
      <c r="A2" s="69"/>
      <c r="B2" s="69"/>
      <c r="C2" s="69"/>
      <c r="D2" s="70"/>
      <c r="E2" s="70"/>
      <c r="F2" s="70"/>
      <c r="G2" s="70"/>
      <c r="H2" s="70"/>
      <c r="I2" s="70"/>
      <c r="J2" s="70"/>
      <c r="K2" s="70"/>
    </row>
    <row r="3" spans="1:11" ht="18.75" customHeight="1" thickBot="1" x14ac:dyDescent="0.25">
      <c r="A3" s="93" t="s">
        <v>54</v>
      </c>
      <c r="B3" s="93"/>
      <c r="C3" s="93"/>
      <c r="D3" s="84" t="str">
        <f>'Necesidades Trimestrales'!C4</f>
        <v>45- Ministerio de Desarrollo Social</v>
      </c>
      <c r="E3" s="84"/>
      <c r="F3" s="84"/>
      <c r="G3" s="84"/>
      <c r="H3" s="84"/>
      <c r="I3" s="84"/>
      <c r="J3" s="84"/>
      <c r="K3" s="84"/>
    </row>
    <row r="4" spans="1:11" ht="18.75" customHeight="1" thickBot="1" x14ac:dyDescent="0.25">
      <c r="A4" s="94" t="s">
        <v>55</v>
      </c>
      <c r="B4" s="94"/>
      <c r="C4" s="94"/>
      <c r="D4" s="84" t="str">
        <f>'Necesidades Trimestrales'!C5</f>
        <v>25- Direccion Provincial de Gestion Administrativa y RRHH</v>
      </c>
      <c r="E4" s="84"/>
      <c r="F4" s="84"/>
      <c r="G4" s="84"/>
      <c r="H4" s="84"/>
      <c r="I4" s="84"/>
      <c r="J4" s="84"/>
      <c r="K4" s="84"/>
    </row>
    <row r="5" spans="1:11" ht="18.75" customHeight="1" thickBot="1" x14ac:dyDescent="0.25">
      <c r="A5" s="94" t="s">
        <v>33</v>
      </c>
      <c r="B5" s="94"/>
      <c r="C5" s="94"/>
      <c r="D5" s="84" t="s">
        <v>72</v>
      </c>
      <c r="E5" s="84"/>
      <c r="F5" s="84"/>
      <c r="G5" s="84"/>
      <c r="H5" s="84"/>
      <c r="I5" s="84"/>
      <c r="J5" s="84"/>
      <c r="K5" s="84"/>
    </row>
    <row r="6" spans="1:11" ht="16.5" customHeight="1" thickBot="1" x14ac:dyDescent="0.25">
      <c r="A6" s="93" t="s">
        <v>56</v>
      </c>
      <c r="B6" s="93"/>
      <c r="C6" s="93"/>
      <c r="D6" s="84" t="s">
        <v>62</v>
      </c>
      <c r="E6" s="84"/>
      <c r="F6" s="84"/>
      <c r="G6" s="84"/>
      <c r="H6" s="84"/>
      <c r="I6" s="84"/>
      <c r="J6" s="84"/>
      <c r="K6" s="84"/>
    </row>
    <row r="7" spans="1:11" ht="16.5" customHeight="1" x14ac:dyDescent="0.2">
      <c r="A7" s="94" t="s">
        <v>22</v>
      </c>
      <c r="B7" s="94"/>
      <c r="C7" s="94"/>
      <c r="D7" s="84" t="str">
        <f>'Necesidades Trimestrales'!C7 &amp; "° Trimestre - Año " &amp; 'Necesidades Trimestrales'!C6</f>
        <v>1° Trimestre - Año 2022</v>
      </c>
      <c r="E7" s="84"/>
      <c r="F7" s="84"/>
      <c r="G7" s="84"/>
      <c r="H7" s="84"/>
      <c r="I7" s="84"/>
      <c r="J7" s="84"/>
      <c r="K7" s="84"/>
    </row>
    <row r="8" spans="1:11" ht="35.25" customHeight="1" x14ac:dyDescent="0.2">
      <c r="A8" s="87" t="s">
        <v>23</v>
      </c>
      <c r="B8" s="87"/>
      <c r="C8" s="87"/>
      <c r="D8" s="88" t="s">
        <v>73</v>
      </c>
      <c r="E8" s="88"/>
      <c r="F8" s="88"/>
      <c r="G8" s="88"/>
      <c r="H8" s="88"/>
      <c r="I8" s="88"/>
      <c r="J8" s="88"/>
      <c r="K8" s="88"/>
    </row>
    <row r="9" spans="1:11" ht="15.75" x14ac:dyDescent="0.2">
      <c r="A9" s="71"/>
      <c r="B9" s="71"/>
      <c r="C9" s="71"/>
      <c r="D9" s="72"/>
      <c r="E9" s="72"/>
      <c r="F9" s="72"/>
      <c r="G9" s="72"/>
      <c r="H9" s="72"/>
      <c r="I9" s="72"/>
      <c r="J9" s="72"/>
      <c r="K9" s="72"/>
    </row>
    <row r="10" spans="1:11" ht="18.75" customHeight="1" x14ac:dyDescent="0.2">
      <c r="A10" s="89" t="s">
        <v>24</v>
      </c>
      <c r="B10" s="90" t="s">
        <v>25</v>
      </c>
      <c r="C10" s="90" t="s">
        <v>26</v>
      </c>
      <c r="D10" s="90"/>
      <c r="E10" s="90"/>
      <c r="F10" s="90"/>
      <c r="G10" s="90"/>
      <c r="H10" s="90" t="s">
        <v>27</v>
      </c>
      <c r="I10" s="90" t="s">
        <v>28</v>
      </c>
      <c r="J10" s="90" t="s">
        <v>29</v>
      </c>
      <c r="K10" s="91" t="s">
        <v>30</v>
      </c>
    </row>
    <row r="11" spans="1:11" ht="24" customHeight="1" thickBot="1" x14ac:dyDescent="0.25">
      <c r="A11" s="89"/>
      <c r="B11" s="90"/>
      <c r="C11" s="90"/>
      <c r="D11" s="90"/>
      <c r="E11" s="90"/>
      <c r="F11" s="90"/>
      <c r="G11" s="90"/>
      <c r="H11" s="90"/>
      <c r="I11" s="90"/>
      <c r="J11" s="90"/>
      <c r="K11" s="91"/>
    </row>
    <row r="12" spans="1:11" ht="45" customHeight="1" thickBot="1" x14ac:dyDescent="0.25">
      <c r="A12" s="73">
        <v>1</v>
      </c>
      <c r="B12" s="32" t="str">
        <f>'Necesidades Trimestrales'!B10</f>
        <v>2.5.8-3977.121</v>
      </c>
      <c r="C12" s="86" t="str">
        <f>'Necesidades Trimestrales'!E10</f>
        <v>BOLSAS DE POLIETILENO; TAMAÑO: 50 X 70 Cm, ESPESOR: 70 Mn, PRESENTACION: UNIDAD</v>
      </c>
      <c r="D12" s="86"/>
      <c r="E12" s="86"/>
      <c r="F12" s="86"/>
      <c r="G12" s="86"/>
      <c r="H12" s="33" t="s">
        <v>61</v>
      </c>
      <c r="I12" s="34" t="str">
        <f>'Necesidades Trimestrales'!F10</f>
        <v>UNIDADES</v>
      </c>
      <c r="J12" s="35">
        <v>95</v>
      </c>
      <c r="K12" s="36">
        <v>50000</v>
      </c>
    </row>
    <row r="13" spans="1:11" ht="27.75" customHeight="1" thickBot="1" x14ac:dyDescent="0.25">
      <c r="A13" s="73"/>
      <c r="B13" s="32"/>
      <c r="C13" s="86"/>
      <c r="D13" s="86"/>
      <c r="E13" s="86"/>
      <c r="F13" s="86"/>
      <c r="G13" s="86"/>
      <c r="H13" s="33"/>
      <c r="I13" s="34"/>
      <c r="J13" s="35"/>
      <c r="K13" s="36"/>
    </row>
    <row r="14" spans="1:11" ht="26.25" customHeight="1" thickBot="1" x14ac:dyDescent="0.25">
      <c r="A14" s="84" t="s">
        <v>75</v>
      </c>
      <c r="B14" s="84"/>
      <c r="C14" s="84"/>
      <c r="D14" s="84"/>
      <c r="E14" s="84"/>
      <c r="F14" s="84"/>
      <c r="G14" s="84"/>
      <c r="H14" s="84"/>
      <c r="I14" s="84"/>
      <c r="J14" s="85">
        <f>+J12*K12</f>
        <v>4750000</v>
      </c>
      <c r="K14" s="85"/>
    </row>
  </sheetData>
  <mergeCells count="24">
    <mergeCell ref="A1:I1"/>
    <mergeCell ref="A6:C6"/>
    <mergeCell ref="D6:K6"/>
    <mergeCell ref="A7:C7"/>
    <mergeCell ref="D7:K7"/>
    <mergeCell ref="A3:C3"/>
    <mergeCell ref="D3:K3"/>
    <mergeCell ref="A4:C4"/>
    <mergeCell ref="D4:K4"/>
    <mergeCell ref="A5:C5"/>
    <mergeCell ref="D5:K5"/>
    <mergeCell ref="A14:I14"/>
    <mergeCell ref="J14:K14"/>
    <mergeCell ref="C12:G12"/>
    <mergeCell ref="C13:G13"/>
    <mergeCell ref="A8:C8"/>
    <mergeCell ref="D8:K8"/>
    <mergeCell ref="A10:A11"/>
    <mergeCell ref="B10:B11"/>
    <mergeCell ref="C10:G11"/>
    <mergeCell ref="H10:H11"/>
    <mergeCell ref="I10:I11"/>
    <mergeCell ref="J10:J11"/>
    <mergeCell ref="K10:K11"/>
  </mergeCells>
  <printOptions horizontalCentered="1"/>
  <pageMargins left="0.19685039370078741" right="0.19685039370078741" top="0.98425196850393704" bottom="0.98425196850393704" header="0.51181102362204722" footer="0.51181102362204722"/>
  <pageSetup paperSize="5" scale="90" firstPageNumber="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23"/>
  <sheetViews>
    <sheetView topLeftCell="A11" zoomScale="130" zoomScaleNormal="130" workbookViewId="0">
      <selection activeCell="N17" sqref="N17"/>
    </sheetView>
  </sheetViews>
  <sheetFormatPr baseColWidth="10" defaultColWidth="11" defaultRowHeight="12.75" x14ac:dyDescent="0.2"/>
  <cols>
    <col min="1" max="4" width="4.42578125" customWidth="1"/>
    <col min="5" max="5" width="3.7109375" bestFit="1" customWidth="1"/>
    <col min="6" max="6" width="5" bestFit="1" customWidth="1"/>
    <col min="7" max="7" width="4.42578125" style="3" customWidth="1"/>
    <col min="8" max="11" width="4.42578125" customWidth="1"/>
    <col min="12" max="12" width="5.85546875" bestFit="1" customWidth="1"/>
    <col min="13" max="14" width="4.42578125" customWidth="1"/>
    <col min="15" max="16" width="14.85546875" customWidth="1"/>
    <col min="17" max="17" width="13.28515625" bestFit="1" customWidth="1"/>
  </cols>
  <sheetData>
    <row r="1" spans="1:18" ht="15.75" customHeight="1" x14ac:dyDescent="0.25">
      <c r="A1" s="118" t="s">
        <v>3</v>
      </c>
      <c r="B1" s="118"/>
      <c r="C1" s="118"/>
      <c r="D1" s="119">
        <f>'Necesidades Trimestrales'!C6</f>
        <v>2022</v>
      </c>
      <c r="E1" s="119"/>
      <c r="F1" s="4"/>
      <c r="G1" s="4"/>
      <c r="H1" s="5"/>
      <c r="I1" s="5"/>
      <c r="J1" s="5"/>
      <c r="K1" s="5"/>
      <c r="L1" s="5"/>
      <c r="M1" s="5"/>
      <c r="N1" s="5"/>
      <c r="P1" s="120" t="s">
        <v>31</v>
      </c>
      <c r="Q1" s="120"/>
    </row>
    <row r="2" spans="1:18" ht="15.75" customHeight="1" x14ac:dyDescent="0.2">
      <c r="H2" s="5"/>
      <c r="I2" s="5"/>
      <c r="J2" s="5"/>
      <c r="K2" s="5"/>
      <c r="L2" s="5"/>
      <c r="M2" s="5"/>
      <c r="N2" s="5"/>
      <c r="P2" s="120"/>
      <c r="Q2" s="120"/>
    </row>
    <row r="4" spans="1:18" s="6" customFormat="1" ht="18" customHeight="1" thickBot="1" x14ac:dyDescent="0.25">
      <c r="A4" s="121" t="s">
        <v>32</v>
      </c>
      <c r="B4" s="121"/>
      <c r="C4" s="121"/>
      <c r="D4" s="121"/>
      <c r="E4" s="121"/>
      <c r="F4" s="121"/>
      <c r="G4" s="116" t="str">
        <f>' NotaPedido'!D3</f>
        <v>45- Ministerio de Desarrollo Social</v>
      </c>
      <c r="H4" s="116"/>
      <c r="I4" s="116"/>
      <c r="J4" s="116"/>
      <c r="K4" s="116"/>
      <c r="L4" s="116"/>
      <c r="M4" s="116"/>
      <c r="N4" s="116"/>
      <c r="O4" s="116"/>
      <c r="P4" s="116"/>
      <c r="Q4" s="116"/>
    </row>
    <row r="5" spans="1:18" s="6" customFormat="1" ht="18" customHeight="1" thickBot="1" x14ac:dyDescent="0.25">
      <c r="A5" s="113" t="s">
        <v>55</v>
      </c>
      <c r="B5" s="114"/>
      <c r="C5" s="114"/>
      <c r="D5" s="114"/>
      <c r="E5" s="114"/>
      <c r="F5" s="115"/>
      <c r="G5" s="116" t="str">
        <f>' NotaPedido'!D4</f>
        <v>25- Direccion Provincial de Gestion Administrativa y RRHH</v>
      </c>
      <c r="H5" s="116"/>
      <c r="I5" s="116"/>
      <c r="J5" s="116"/>
      <c r="K5" s="116"/>
      <c r="L5" s="116"/>
      <c r="M5" s="116"/>
      <c r="N5" s="116"/>
      <c r="O5" s="116"/>
      <c r="P5" s="116"/>
      <c r="Q5" s="116"/>
    </row>
    <row r="6" spans="1:18" s="6" customFormat="1" ht="18" customHeight="1" thickBot="1" x14ac:dyDescent="0.25">
      <c r="A6" s="113" t="s">
        <v>33</v>
      </c>
      <c r="B6" s="114"/>
      <c r="C6" s="114"/>
      <c r="D6" s="114"/>
      <c r="E6" s="114"/>
      <c r="F6" s="115"/>
      <c r="G6" s="116" t="s">
        <v>72</v>
      </c>
      <c r="H6" s="116"/>
      <c r="I6" s="116"/>
      <c r="J6" s="116"/>
      <c r="K6" s="116"/>
      <c r="L6" s="116"/>
      <c r="M6" s="116"/>
      <c r="N6" s="116"/>
      <c r="O6" s="116"/>
      <c r="P6" s="116"/>
      <c r="Q6" s="116"/>
    </row>
    <row r="7" spans="1:18" s="6" customFormat="1" ht="18" customHeight="1" thickBot="1" x14ac:dyDescent="0.25">
      <c r="A7" s="113" t="s">
        <v>56</v>
      </c>
      <c r="B7" s="114"/>
      <c r="C7" s="114"/>
      <c r="D7" s="114"/>
      <c r="E7" s="114"/>
      <c r="F7" s="115"/>
      <c r="G7" s="116" t="s">
        <v>62</v>
      </c>
      <c r="H7" s="116"/>
      <c r="I7" s="116"/>
      <c r="J7" s="116"/>
      <c r="K7" s="116"/>
      <c r="L7" s="116"/>
      <c r="M7" s="116"/>
      <c r="N7" s="116"/>
      <c r="O7" s="116"/>
      <c r="P7" s="116"/>
      <c r="Q7" s="116"/>
    </row>
    <row r="8" spans="1:18" ht="18" customHeight="1" thickBot="1" x14ac:dyDescent="0.25">
      <c r="A8" s="117" t="s">
        <v>34</v>
      </c>
      <c r="B8" s="117"/>
      <c r="C8" s="117"/>
      <c r="D8" s="117"/>
      <c r="E8" s="117"/>
      <c r="F8" s="117"/>
      <c r="G8" s="117"/>
      <c r="H8" s="117"/>
      <c r="I8" s="117"/>
      <c r="J8" s="117"/>
      <c r="K8" s="117"/>
      <c r="L8" s="117"/>
      <c r="M8" s="117"/>
      <c r="N8" s="117"/>
      <c r="O8" s="117"/>
      <c r="P8" s="117"/>
      <c r="Q8" s="117"/>
    </row>
    <row r="9" spans="1:18" ht="18" customHeight="1" x14ac:dyDescent="0.2">
      <c r="A9" s="107" t="s">
        <v>35</v>
      </c>
      <c r="B9" s="107"/>
      <c r="C9" s="107"/>
      <c r="D9" s="107"/>
      <c r="E9" s="107"/>
      <c r="F9" s="107"/>
      <c r="G9" s="107"/>
      <c r="H9" s="107"/>
      <c r="I9" s="107"/>
      <c r="J9" s="107"/>
      <c r="K9" s="107"/>
      <c r="L9" s="107"/>
      <c r="M9" s="107"/>
      <c r="N9" s="107"/>
      <c r="O9" s="1"/>
      <c r="P9" s="1"/>
      <c r="Q9" s="7"/>
    </row>
    <row r="10" spans="1:18" ht="54.75" customHeight="1" x14ac:dyDescent="0.2">
      <c r="A10" s="108" t="str">
        <f>"Autorizo la realización de los  trámites correspondientes, a fin de proveer a  este Organismo los bienes y/o servicios que se detallan en Nota  de Pedido N° " &amp; ' NotaPedido'!K1&amp;",  afectando la erogación resultante a los créditos presupuestarios aprobados a favor de esta Unidad Ejecutora, conforme al siguiente detalle:"</f>
        <v>Autorizo la realización de los  trámites correspondientes, a fin de proveer a  este Organismo los bienes y/o servicios que se detallan en Nota  de Pedido N° 023/2022,  afectando la erogación resultante a los créditos presupuestarios aprobados a favor de esta Unidad Ejecutora, conforme al siguiente detalle:</v>
      </c>
      <c r="B10" s="108"/>
      <c r="C10" s="108"/>
      <c r="D10" s="108"/>
      <c r="E10" s="108"/>
      <c r="F10" s="108"/>
      <c r="G10" s="108"/>
      <c r="H10" s="108"/>
      <c r="I10" s="108"/>
      <c r="J10" s="108"/>
      <c r="K10" s="108"/>
      <c r="L10" s="108"/>
      <c r="M10" s="108"/>
      <c r="N10" s="108"/>
      <c r="O10" s="108"/>
      <c r="P10" s="108"/>
      <c r="Q10" s="108"/>
    </row>
    <row r="11" spans="1:18" ht="9" customHeight="1" x14ac:dyDescent="0.2">
      <c r="A11" s="8"/>
      <c r="B11" s="9"/>
      <c r="C11" s="9"/>
      <c r="D11" s="9"/>
      <c r="E11" s="9"/>
      <c r="F11" s="9"/>
      <c r="G11" s="10"/>
      <c r="H11" s="9"/>
      <c r="I11" s="9"/>
      <c r="J11" s="9"/>
      <c r="K11" s="9"/>
      <c r="L11" s="9"/>
      <c r="M11" s="9"/>
      <c r="N11" s="9"/>
      <c r="O11" s="9"/>
      <c r="P11" s="9"/>
      <c r="Q11" s="11"/>
    </row>
    <row r="12" spans="1:18" ht="15.75" customHeight="1" x14ac:dyDescent="0.2">
      <c r="A12" s="109" t="s">
        <v>36</v>
      </c>
      <c r="B12" s="109"/>
      <c r="C12" s="109"/>
      <c r="D12" s="109"/>
      <c r="E12" s="109"/>
      <c r="F12" s="109"/>
      <c r="G12" s="109"/>
      <c r="H12" s="109"/>
      <c r="I12" s="109"/>
      <c r="J12" s="109"/>
      <c r="K12" s="109"/>
      <c r="L12" s="109"/>
      <c r="M12" s="109"/>
      <c r="N12" s="109"/>
      <c r="O12" s="109"/>
      <c r="P12" s="109"/>
      <c r="Q12" s="109"/>
    </row>
    <row r="13" spans="1:18" ht="15.75" customHeight="1" x14ac:dyDescent="0.2">
      <c r="A13" s="110" t="s">
        <v>37</v>
      </c>
      <c r="B13" s="110"/>
      <c r="C13" s="110"/>
      <c r="D13" s="110"/>
      <c r="E13" s="110"/>
      <c r="F13" s="110"/>
      <c r="G13" s="110"/>
      <c r="H13" s="110"/>
      <c r="I13" s="110"/>
      <c r="J13" s="110"/>
      <c r="K13" s="110"/>
      <c r="L13" s="110"/>
      <c r="M13" s="110"/>
      <c r="N13" s="110"/>
      <c r="O13" s="111" t="s">
        <v>38</v>
      </c>
      <c r="P13" s="111"/>
      <c r="Q13" s="112" t="s">
        <v>39</v>
      </c>
    </row>
    <row r="14" spans="1:18" ht="15.75" customHeight="1" x14ac:dyDescent="0.2">
      <c r="A14" s="12" t="s">
        <v>40</v>
      </c>
      <c r="B14" s="13" t="s">
        <v>41</v>
      </c>
      <c r="C14" s="13" t="s">
        <v>42</v>
      </c>
      <c r="D14" s="13" t="s">
        <v>43</v>
      </c>
      <c r="E14" s="13" t="s">
        <v>44</v>
      </c>
      <c r="F14" s="13" t="s">
        <v>45</v>
      </c>
      <c r="G14" s="14" t="s">
        <v>46</v>
      </c>
      <c r="H14" s="13" t="s">
        <v>47</v>
      </c>
      <c r="I14" s="13" t="s">
        <v>48</v>
      </c>
      <c r="J14" s="13" t="s">
        <v>49</v>
      </c>
      <c r="K14" s="13" t="s">
        <v>49</v>
      </c>
      <c r="L14" s="13" t="s">
        <v>50</v>
      </c>
      <c r="M14" s="15" t="s">
        <v>51</v>
      </c>
      <c r="N14" s="16" t="s">
        <v>52</v>
      </c>
      <c r="O14" s="111"/>
      <c r="P14" s="111"/>
      <c r="Q14" s="112"/>
    </row>
    <row r="15" spans="1:18" ht="17.25" customHeight="1" x14ac:dyDescent="0.2">
      <c r="A15" s="27">
        <v>16</v>
      </c>
      <c r="B15" s="28"/>
      <c r="C15" s="28"/>
      <c r="D15" s="28">
        <v>2</v>
      </c>
      <c r="E15" s="28"/>
      <c r="F15" s="28">
        <v>4901</v>
      </c>
      <c r="G15" s="74">
        <v>3</v>
      </c>
      <c r="H15" s="74">
        <v>2</v>
      </c>
      <c r="I15" s="28">
        <v>2</v>
      </c>
      <c r="J15" s="28">
        <v>5</v>
      </c>
      <c r="K15" s="28">
        <v>8</v>
      </c>
      <c r="L15" s="28"/>
      <c r="M15" s="29">
        <v>1</v>
      </c>
      <c r="N15" s="28" t="s">
        <v>70</v>
      </c>
      <c r="O15" s="103" t="s">
        <v>67</v>
      </c>
      <c r="P15" s="104"/>
      <c r="Q15" s="17">
        <v>4750000</v>
      </c>
      <c r="R15" s="26"/>
    </row>
    <row r="16" spans="1:18" ht="17.25" customHeight="1" x14ac:dyDescent="0.2">
      <c r="A16" s="18"/>
      <c r="B16" s="19"/>
      <c r="C16" s="19"/>
      <c r="D16" s="19"/>
      <c r="E16" s="19"/>
      <c r="F16" s="19"/>
      <c r="G16" s="19"/>
      <c r="H16" s="19"/>
      <c r="I16" s="19"/>
      <c r="J16" s="19"/>
      <c r="K16" s="19"/>
      <c r="L16" s="19"/>
      <c r="M16" s="20"/>
      <c r="N16" s="19"/>
      <c r="O16" s="105"/>
      <c r="P16" s="106"/>
      <c r="Q16" s="22"/>
    </row>
    <row r="17" spans="1:17" ht="17.25" customHeight="1" x14ac:dyDescent="0.2">
      <c r="A17" s="18"/>
      <c r="B17" s="19"/>
      <c r="C17" s="19"/>
      <c r="D17" s="19"/>
      <c r="E17" s="19"/>
      <c r="F17" s="30"/>
      <c r="G17" s="30"/>
      <c r="H17" s="30"/>
      <c r="I17" s="30"/>
      <c r="J17" s="30"/>
      <c r="K17" s="30"/>
      <c r="L17" s="19"/>
      <c r="M17" s="31"/>
      <c r="N17" s="30"/>
      <c r="O17" s="105"/>
      <c r="P17" s="106"/>
      <c r="Q17" s="22"/>
    </row>
    <row r="18" spans="1:17" ht="17.25" customHeight="1" thickBot="1" x14ac:dyDescent="0.25">
      <c r="A18" s="18"/>
      <c r="B18" s="19"/>
      <c r="C18" s="19"/>
      <c r="D18" s="19"/>
      <c r="E18" s="19"/>
      <c r="F18" s="21"/>
      <c r="G18" s="19"/>
      <c r="H18" s="19"/>
      <c r="I18" s="19"/>
      <c r="J18" s="19"/>
      <c r="K18" s="19"/>
      <c r="L18" s="19"/>
      <c r="M18" s="20"/>
      <c r="N18" s="21"/>
      <c r="O18" s="100"/>
      <c r="P18" s="100"/>
      <c r="Q18" s="23"/>
    </row>
    <row r="19" spans="1:17" ht="30" customHeight="1" thickBot="1" x14ac:dyDescent="0.25">
      <c r="A19" s="101" t="s">
        <v>76</v>
      </c>
      <c r="B19" s="101"/>
      <c r="C19" s="101"/>
      <c r="D19" s="101"/>
      <c r="E19" s="101"/>
      <c r="F19" s="101"/>
      <c r="G19" s="101"/>
      <c r="H19" s="101"/>
      <c r="I19" s="101"/>
      <c r="J19" s="101"/>
      <c r="K19" s="101"/>
      <c r="L19" s="101"/>
      <c r="M19" s="101"/>
      <c r="N19" s="101"/>
      <c r="O19" s="101"/>
      <c r="P19" s="101"/>
      <c r="Q19" s="24">
        <f>SUM(Q15:Q18)</f>
        <v>4750000</v>
      </c>
    </row>
    <row r="20" spans="1:17" ht="18" customHeight="1" thickBot="1" x14ac:dyDescent="0.25">
      <c r="A20" s="102"/>
      <c r="B20" s="102"/>
      <c r="C20" s="102"/>
      <c r="D20" s="102"/>
      <c r="E20" s="102"/>
      <c r="F20" s="102"/>
      <c r="G20" s="102"/>
      <c r="H20" s="102"/>
      <c r="I20" s="102"/>
      <c r="J20" s="102"/>
      <c r="K20" s="102"/>
      <c r="L20" s="102"/>
      <c r="M20" s="102"/>
      <c r="N20" s="102"/>
      <c r="O20" s="102"/>
      <c r="P20" s="102"/>
      <c r="Q20" s="102"/>
    </row>
    <row r="21" spans="1:17" ht="17.25" customHeight="1" thickBot="1" x14ac:dyDescent="0.25">
      <c r="A21" s="95" t="s">
        <v>53</v>
      </c>
      <c r="B21" s="96"/>
      <c r="C21" s="96"/>
      <c r="D21" s="96"/>
      <c r="E21" s="96"/>
      <c r="F21" s="97"/>
      <c r="G21" s="98"/>
      <c r="H21" s="98"/>
      <c r="I21" s="98"/>
      <c r="J21" s="98"/>
      <c r="K21" s="98"/>
      <c r="L21" s="98"/>
      <c r="M21" s="98"/>
      <c r="N21" s="98"/>
      <c r="O21" s="98"/>
      <c r="P21" s="98"/>
      <c r="Q21" s="98"/>
    </row>
    <row r="22" spans="1:17" ht="18" customHeight="1" thickBot="1" x14ac:dyDescent="0.25">
      <c r="A22" s="99" t="s">
        <v>71</v>
      </c>
      <c r="B22" s="99"/>
      <c r="C22" s="99"/>
      <c r="D22" s="99"/>
      <c r="E22" s="99"/>
      <c r="F22" s="99"/>
      <c r="G22" s="99"/>
      <c r="H22" s="99"/>
      <c r="I22" s="99"/>
      <c r="J22" s="99"/>
      <c r="K22" s="99"/>
      <c r="L22" s="99"/>
      <c r="M22" s="99"/>
      <c r="N22" s="99"/>
      <c r="O22" s="99"/>
      <c r="P22" s="99"/>
      <c r="Q22" s="99"/>
    </row>
    <row r="23" spans="1:17" ht="15" customHeight="1" x14ac:dyDescent="0.2">
      <c r="A23" s="99"/>
      <c r="B23" s="99"/>
      <c r="C23" s="99"/>
      <c r="D23" s="99"/>
      <c r="E23" s="99"/>
      <c r="F23" s="99"/>
      <c r="G23" s="99"/>
      <c r="H23" s="99"/>
      <c r="I23" s="99"/>
      <c r="J23" s="99"/>
      <c r="K23" s="99"/>
      <c r="L23" s="99"/>
      <c r="M23" s="99"/>
      <c r="N23" s="99"/>
      <c r="O23" s="99"/>
      <c r="P23" s="99"/>
      <c r="Q23" s="99"/>
    </row>
  </sheetData>
  <mergeCells count="27">
    <mergeCell ref="A1:C1"/>
    <mergeCell ref="D1:E1"/>
    <mergeCell ref="P1:Q2"/>
    <mergeCell ref="A4:F4"/>
    <mergeCell ref="G4:Q4"/>
    <mergeCell ref="A5:F5"/>
    <mergeCell ref="G5:Q5"/>
    <mergeCell ref="A8:Q8"/>
    <mergeCell ref="A6:F6"/>
    <mergeCell ref="G6:Q6"/>
    <mergeCell ref="A7:F7"/>
    <mergeCell ref="G7:Q7"/>
    <mergeCell ref="O15:P15"/>
    <mergeCell ref="O16:P16"/>
    <mergeCell ref="O17:P17"/>
    <mergeCell ref="A9:N9"/>
    <mergeCell ref="A10:Q10"/>
    <mergeCell ref="A12:Q12"/>
    <mergeCell ref="A13:N13"/>
    <mergeCell ref="O13:P14"/>
    <mergeCell ref="Q13:Q14"/>
    <mergeCell ref="A21:F21"/>
    <mergeCell ref="G21:Q21"/>
    <mergeCell ref="A22:Q23"/>
    <mergeCell ref="O18:P18"/>
    <mergeCell ref="A19:P19"/>
    <mergeCell ref="A20:Q20"/>
  </mergeCells>
  <printOptions horizontalCentered="1"/>
  <pageMargins left="0.39370078740157483" right="0.39370078740157483" top="0.98425196850393704" bottom="0.98425196850393704" header="0.51181102362204722" footer="0.51181102362204722"/>
  <pageSetup paperSize="5" scale="90" firstPageNumber="0" orientation="portrait" r:id="rId1"/>
  <drawing r:id="rId2"/>
</worksheet>
</file>

<file path=docProps/app.xml><?xml version="1.0" encoding="utf-8"?>
<Properties xmlns="http://schemas.openxmlformats.org/officeDocument/2006/extended-properties" xmlns:vt="http://schemas.openxmlformats.org/officeDocument/2006/docPropsVTypes">
  <Template/>
  <TotalTime>4</TotalTime>
  <Application>Microsoft Excel</Application>
  <DocSecurity>0</DocSecurity>
  <ScaleCrop>false</ScaleCrop>
  <HeadingPairs>
    <vt:vector size="4" baseType="variant">
      <vt:variant>
        <vt:lpstr>Hojas de cálculo</vt:lpstr>
      </vt:variant>
      <vt:variant>
        <vt:i4>3</vt:i4>
      </vt:variant>
      <vt:variant>
        <vt:lpstr>Rangos con nombre</vt:lpstr>
      </vt:variant>
      <vt:variant>
        <vt:i4>2</vt:i4>
      </vt:variant>
    </vt:vector>
  </HeadingPairs>
  <TitlesOfParts>
    <vt:vector size="5" baseType="lpstr">
      <vt:lpstr>Necesidades Trimestrales</vt:lpstr>
      <vt:lpstr> NotaPedido</vt:lpstr>
      <vt:lpstr>Autor Gastar</vt:lpstr>
      <vt:lpstr>' NotaPedido'!Área_de_impresión</vt:lpstr>
      <vt:lpstr>'Autor Gastar'!Área_de_impresión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Jessi</dc:creator>
  <cp:lastModifiedBy>ELIAS QUINTAR</cp:lastModifiedBy>
  <cp:revision>2</cp:revision>
  <cp:lastPrinted>2022-01-24T10:45:39Z</cp:lastPrinted>
  <dcterms:created xsi:type="dcterms:W3CDTF">2020-07-17T23:44:49Z</dcterms:created>
  <dcterms:modified xsi:type="dcterms:W3CDTF">2022-02-14T12:02:10Z</dcterms:modified>
  <dc:language>es-AR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