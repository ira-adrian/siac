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TO TRIMESTRE 2022\Nueva carpeta\COMBUSTIBLE\NUEVO\"/>
    </mc:Choice>
  </mc:AlternateContent>
  <bookViews>
    <workbookView xWindow="-12" yWindow="6396" windowWidth="28836" windowHeight="6432" activeTab="3"/>
  </bookViews>
  <sheets>
    <sheet name="SAF 011" sheetId="1" r:id="rId1"/>
    <sheet name="ANEXO" sheetId="2" r:id="rId2"/>
    <sheet name="NP" sheetId="3" r:id="rId3"/>
    <sheet name="APG" sheetId="4" r:id="rId4"/>
  </sheets>
  <definedNames>
    <definedName name="_xlnm._FilterDatabase" localSheetId="0" hidden="1">'SAF 011'!$A$9:$BA$10</definedName>
  </definedNames>
  <calcPr calcId="152511"/>
</workbook>
</file>

<file path=xl/calcChain.xml><?xml version="1.0" encoding="utf-8"?>
<calcChain xmlns="http://schemas.openxmlformats.org/spreadsheetml/2006/main">
  <c r="C187" i="2" l="1"/>
  <c r="C186" i="2"/>
  <c r="C185" i="2"/>
  <c r="C184" i="2"/>
  <c r="AV10" i="1"/>
  <c r="J12" i="3"/>
  <c r="C193" i="2" l="1"/>
  <c r="C192" i="2"/>
  <c r="C191" i="2"/>
  <c r="C190" i="2"/>
  <c r="C189" i="2"/>
  <c r="C188" i="2"/>
  <c r="C194" i="2" l="1"/>
  <c r="A41" i="4"/>
  <c r="G6" i="4"/>
  <c r="G7" i="4"/>
  <c r="I12" i="3"/>
  <c r="C12" i="3"/>
  <c r="B12" i="3"/>
  <c r="D4" i="3"/>
  <c r="G5" i="4" s="1"/>
  <c r="D3" i="3"/>
  <c r="G4" i="4" s="1"/>
  <c r="J10" i="1" l="1"/>
  <c r="AY10" i="1" l="1"/>
  <c r="K12" i="3" s="1"/>
  <c r="J14" i="3" s="1"/>
  <c r="Q15" i="4" s="1"/>
  <c r="Q38" i="4" s="1"/>
  <c r="AX10" i="1" l="1"/>
  <c r="AR10" i="1" l="1"/>
  <c r="AP10" i="1" l="1"/>
  <c r="AL10" i="1" l="1"/>
  <c r="AN10" i="1" l="1"/>
  <c r="AT10" i="1" l="1"/>
  <c r="AJ10" i="1"/>
  <c r="P10" i="1"/>
  <c r="AD10" i="1" l="1"/>
  <c r="X10" i="1" l="1"/>
  <c r="N10" i="1"/>
  <c r="AH10" i="1"/>
  <c r="R10" i="1"/>
  <c r="AB10" i="1"/>
  <c r="AF10" i="1" l="1"/>
  <c r="P11" i="1" l="1"/>
  <c r="BA10" i="1"/>
  <c r="BA11" i="1" s="1"/>
  <c r="V10" i="1"/>
</calcChain>
</file>

<file path=xl/sharedStrings.xml><?xml version="1.0" encoding="utf-8"?>
<sst xmlns="http://schemas.openxmlformats.org/spreadsheetml/2006/main" count="970" uniqueCount="748">
  <si>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</si>
  <si>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</si>
  <si>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</si>
  <si>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</si>
  <si>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</si>
  <si>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</si>
  <si>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</si>
  <si>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</si>
  <si>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</si>
  <si>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</si>
  <si>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</si>
  <si>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</si>
  <si>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</si>
  <si>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</si>
  <si>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</si>
  <si>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</si>
  <si>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</si>
  <si>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</si>
  <si>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</si>
  <si>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</si>
  <si>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</si>
  <si>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</si>
  <si>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</si>
  <si>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</si>
  <si>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</si>
  <si>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</si>
  <si>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</si>
  <si>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</si>
  <si>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</si>
  <si>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</si>
  <si>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</si>
  <si>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</si>
  <si>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</si>
  <si>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</si>
  <si>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</si>
  <si>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</si>
  <si>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</si>
  <si>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</si>
  <si>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</si>
  <si>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</si>
  <si>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</si>
  <si>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</si>
  <si>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</si>
  <si>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</si>
  <si>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</si>
  <si>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</si>
  <si>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</si>
  <si>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</si>
  <si>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COMBUSTIBLES Y LUBRICANTES</t>
  </si>
  <si>
    <t>2.5.6</t>
  </si>
  <si>
    <t>2.5.6-793.31</t>
  </si>
  <si>
    <t>GAS OIL; PRESENTACION: POR LITRO, USO: MOTORES DIESEL,COMERCIALIZACION: GRADO 3, DESTINO: DPTO. S.F.V. DE CATAMARCA</t>
  </si>
  <si>
    <t>LITROS</t>
  </si>
  <si>
    <t>TOTAL RUBRO COMBUSTIBLES</t>
  </si>
  <si>
    <t>TOTAL SAME</t>
  </si>
  <si>
    <t>EPIDEMIOLOGIA</t>
  </si>
  <si>
    <t>TOTAL EPIDEMIOLOGIA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</si>
  <si>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</si>
  <si>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MS</t>
  </si>
  <si>
    <t>TOTAL MS</t>
  </si>
  <si>
    <t>DISCAPACIDAD</t>
  </si>
  <si>
    <t>TOTAL DISCAPACIDAD</t>
  </si>
  <si>
    <t>REG Y CONTROL EN SALUD</t>
  </si>
  <si>
    <t>TOTAL REG Y CONTROL EN SALUD</t>
  </si>
  <si>
    <t>UAI</t>
  </si>
  <si>
    <t>TOTAL UAI</t>
  </si>
  <si>
    <t>ITEM 1</t>
  </si>
  <si>
    <t>DETALLE TECNICO Y ESPECIFICACIONES</t>
  </si>
  <si>
    <t>Plazos de entrega</t>
  </si>
  <si>
    <t>cinco (5) dias habiles</t>
  </si>
  <si>
    <t>Lugar de Entrega:</t>
  </si>
  <si>
    <t>SECRETARIA DE ADMINISTRACION - MS - CHACABUCO N° 169 - en el horario de 8:00hs a 12:00hs de lunes a viernes</t>
  </si>
  <si>
    <t>Calidad Minima esperada</t>
  </si>
  <si>
    <t>Mantenimiento</t>
  </si>
  <si>
    <t>cuarenta y cinco (45) días</t>
  </si>
  <si>
    <t>Vehiculo</t>
  </si>
  <si>
    <t>Dominio</t>
  </si>
  <si>
    <t>Nº de Motor</t>
  </si>
  <si>
    <t>Año</t>
  </si>
  <si>
    <t>TOYOTA HYLUX 4x4 CABINA DOBLE SR3.0 TDI. Camioneta.-</t>
  </si>
  <si>
    <t xml:space="preserve">OMA-771 </t>
  </si>
  <si>
    <t>1KDA586508</t>
  </si>
  <si>
    <t>8AJFZZ263F5027841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</si>
  <si>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</si>
  <si>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</si>
  <si>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</si>
  <si>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</si>
  <si>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</si>
  <si>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</si>
  <si>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</si>
  <si>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</si>
  <si>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</si>
  <si>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</si>
  <si>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</si>
  <si>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</si>
  <si>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</si>
  <si>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</si>
  <si>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</si>
  <si>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</si>
  <si>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</si>
  <si>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</si>
  <si>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</si>
  <si>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</si>
  <si>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</si>
  <si>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</si>
  <si>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</si>
  <si>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</si>
  <si>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</si>
  <si>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GWJ-742</t>
  </si>
  <si>
    <t>M1A304122</t>
  </si>
  <si>
    <t>9BG124AJ08C11312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</si>
  <si>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</si>
  <si>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</si>
  <si>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</si>
  <si>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</si>
  <si>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</si>
  <si>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</si>
  <si>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</si>
  <si>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</si>
  <si>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</si>
  <si>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</si>
  <si>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</si>
  <si>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</si>
  <si>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</si>
  <si>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</si>
  <si>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</si>
  <si>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</si>
  <si>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</si>
  <si>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</si>
  <si>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</si>
  <si>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</si>
  <si>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</si>
  <si>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</si>
  <si>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</si>
  <si>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</si>
  <si>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</si>
  <si>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</si>
  <si>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</si>
  <si>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</si>
  <si>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</si>
  <si>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</si>
  <si>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</si>
  <si>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</si>
  <si>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</si>
  <si>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</si>
  <si>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</si>
  <si>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</si>
  <si>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</si>
  <si>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</si>
  <si>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</si>
  <si>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</si>
  <si>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</si>
  <si>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</si>
  <si>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</si>
  <si>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</si>
  <si>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</si>
  <si>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</si>
  <si>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</si>
  <si>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</si>
  <si>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</si>
  <si>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</si>
  <si>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</si>
  <si>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</si>
  <si>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</si>
  <si>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</si>
  <si>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</si>
  <si>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</si>
  <si>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</si>
  <si>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</si>
  <si>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</si>
  <si>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</si>
  <si>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</si>
  <si>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</si>
  <si>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</si>
  <si>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</si>
  <si>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</si>
  <si>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DCA-097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</si>
  <si>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</si>
  <si>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</si>
  <si>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</si>
  <si>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</si>
  <si>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</si>
  <si>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</si>
  <si>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</si>
  <si>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</si>
  <si>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</si>
  <si>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</si>
  <si>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</si>
  <si>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</si>
  <si>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</si>
  <si>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</si>
  <si>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</si>
  <si>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</si>
  <si>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</si>
  <si>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Fiat Ducato Ambulancia.-</t>
  </si>
  <si>
    <t>NHW-649</t>
  </si>
  <si>
    <t>93W245G84D2109862</t>
  </si>
  <si>
    <t>Toyota Hilux. Ambulancia.-</t>
  </si>
  <si>
    <t>AA-793-NF</t>
  </si>
  <si>
    <t>2GD-0106033</t>
  </si>
  <si>
    <t>8AJFB8CB2H1550532</t>
  </si>
  <si>
    <t>AA-842-EM</t>
  </si>
  <si>
    <t>93W245G84H2160779</t>
  </si>
  <si>
    <t>QAC-895</t>
  </si>
  <si>
    <t>93ZC4980158319325</t>
  </si>
  <si>
    <t>Chevrolet S10  - Ambulancia.-</t>
  </si>
  <si>
    <t>ESH-452</t>
  </si>
  <si>
    <t>9BG124AC05C410604</t>
  </si>
  <si>
    <t>AE-677-LJ</t>
  </si>
  <si>
    <t>2GD0875349</t>
  </si>
  <si>
    <t>8SJDB3CB2M5542069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</si>
  <si>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</si>
  <si>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</si>
  <si>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</si>
  <si>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</si>
  <si>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</si>
  <si>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</si>
  <si>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</si>
  <si>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</si>
  <si>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AE-454-BB</t>
  </si>
  <si>
    <t>2GD-0753775</t>
  </si>
  <si>
    <t>8AJFB8CB9L1560130</t>
  </si>
  <si>
    <t>AE-454-BA</t>
  </si>
  <si>
    <t>2GD-0756654</t>
  </si>
  <si>
    <t>8AJFB8CB2L1560177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</si>
  <si>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</si>
  <si>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</si>
  <si>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</si>
  <si>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</si>
  <si>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</si>
  <si>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</si>
  <si>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</si>
  <si>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</si>
  <si>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</si>
  <si>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93W245G84D1209434</t>
  </si>
  <si>
    <t>Renault Master 2,5 DCI - Ambulancia.-</t>
  </si>
  <si>
    <t>GUO-331</t>
  </si>
  <si>
    <t>G9UA724C035717</t>
  </si>
  <si>
    <t>93YADCUE58J896363</t>
  </si>
  <si>
    <t>Fiat Ducato Maxi Cargo 2,3 JPA- Ambulancia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</si>
  <si>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</si>
  <si>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</si>
  <si>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</si>
  <si>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</si>
  <si>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</si>
  <si>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</si>
  <si>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</si>
  <si>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</si>
  <si>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</si>
  <si>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</si>
  <si>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10TRJN3381337</t>
  </si>
  <si>
    <t>VF3YDTMFBM2P20555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</si>
  <si>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</si>
  <si>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</si>
  <si>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</si>
  <si>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</si>
  <si>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</si>
  <si>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</si>
  <si>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</si>
  <si>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</si>
  <si>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</si>
  <si>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</si>
  <si>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</si>
  <si>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</si>
  <si>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96W245G84H2160826</t>
  </si>
  <si>
    <t>Fiat Ducato Maxicargo L4H2. Ambulancia</t>
  </si>
  <si>
    <t>AD-964-PG</t>
  </si>
  <si>
    <t>F1AE3481D7279698</t>
  </si>
  <si>
    <t>3C6DFVDK9KE510986</t>
  </si>
  <si>
    <t>Ford Ranger CS 4x4 XL PLUS 2,8L D- Ambulancia.-</t>
  </si>
  <si>
    <t>FKA-420</t>
  </si>
  <si>
    <t>C35191571</t>
  </si>
  <si>
    <t>8AFER11H86J457138</t>
  </si>
  <si>
    <t>Fiat Ducato  - Ambulancia.-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</si>
  <si>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</si>
  <si>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</si>
  <si>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</si>
  <si>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</si>
  <si>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</si>
  <si>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</si>
  <si>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</si>
  <si>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</si>
  <si>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</si>
  <si>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</si>
  <si>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</si>
  <si>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</si>
  <si>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</si>
  <si>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</si>
  <si>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</si>
  <si>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</si>
  <si>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</si>
  <si>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</si>
  <si>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</si>
  <si>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</si>
  <si>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8AJFB8CB2L1560244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</si>
  <si>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</si>
  <si>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</si>
  <si>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</si>
  <si>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</si>
  <si>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</si>
  <si>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</si>
  <si>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</si>
  <si>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</si>
  <si>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</si>
  <si>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</si>
  <si>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</si>
  <si>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Ford F-100  - Ambulancia.-</t>
  </si>
  <si>
    <t>5KAR20702</t>
  </si>
  <si>
    <t>8AFETNL23SJ001415</t>
  </si>
  <si>
    <t>Ford Ranger - Camioneta.-</t>
  </si>
  <si>
    <t>8AFER13P97J066070</t>
  </si>
  <si>
    <t>AE-041-BC</t>
  </si>
  <si>
    <t>M9TB870C262203</t>
  </si>
  <si>
    <t>93YMAFESCLJ213466</t>
  </si>
  <si>
    <t>Toyota Hilux 4x4. Ambulancia.-</t>
  </si>
  <si>
    <t>ONU-072</t>
  </si>
  <si>
    <t>2KDA538356</t>
  </si>
  <si>
    <t>8AJDR22G7F4020209</t>
  </si>
  <si>
    <t>Mercedez Benz Sprin 313/CDI3550 - Ambulancia.-</t>
  </si>
  <si>
    <t>HQV-792</t>
  </si>
  <si>
    <t>8AC9036629E010752</t>
  </si>
  <si>
    <t>Renault Master 120 T - Ambulancia.-</t>
  </si>
  <si>
    <t>GUO-326</t>
  </si>
  <si>
    <t>G9UA724C0353</t>
  </si>
  <si>
    <t>93YADCUE58J896346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</si>
  <si>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</si>
  <si>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</si>
  <si>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</si>
  <si>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</si>
  <si>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</si>
  <si>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</si>
  <si>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</si>
  <si>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</si>
  <si>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</si>
  <si>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K-018492</t>
  </si>
  <si>
    <t>GOAB12965</t>
  </si>
  <si>
    <t>KBIJGM04184</t>
  </si>
  <si>
    <t>8AFER11H06J457151</t>
  </si>
  <si>
    <t>AA-842-EN</t>
  </si>
  <si>
    <t>93W245G84H2160775</t>
  </si>
  <si>
    <t>4D56JB4848</t>
  </si>
  <si>
    <t>JMYJNK340WP003216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</si>
  <si>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</si>
  <si>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</si>
  <si>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</si>
  <si>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</si>
  <si>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</si>
  <si>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</si>
  <si>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</si>
  <si>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</si>
  <si>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</si>
  <si>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</si>
  <si>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</si>
  <si>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</si>
  <si>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</si>
  <si>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</si>
  <si>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</si>
  <si>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</si>
  <si>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</si>
  <si>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</si>
  <si>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</si>
  <si>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F. Ranger DC 4x4 XL PLUS 3,0 - Camioneta.-</t>
  </si>
  <si>
    <t>JRW-547</t>
  </si>
  <si>
    <t>L1A008728</t>
  </si>
  <si>
    <t>8AFER13P3BJ390161</t>
  </si>
  <si>
    <t>93W244F74D2107660</t>
  </si>
  <si>
    <t>Fiat Ducato Maxi cargo 2,3 JTD. Ambulancia.-</t>
  </si>
  <si>
    <t>ODK-341</t>
  </si>
  <si>
    <t>93W245G84E2119762</t>
  </si>
  <si>
    <t>Peugeot Boxer 350 MH 2,3 HDI Confort. Ambulancia.-</t>
  </si>
  <si>
    <t>OGC-878</t>
  </si>
  <si>
    <t>936ZCXMNBE2126896</t>
  </si>
  <si>
    <t>AA-842-EA</t>
  </si>
  <si>
    <t>93W245G84H2160841</t>
  </si>
  <si>
    <t>AE-236-MM</t>
  </si>
  <si>
    <t>2GD-G153814</t>
  </si>
  <si>
    <t>8AJDB3CD7L1302720</t>
  </si>
  <si>
    <t>AE-258-XT</t>
  </si>
  <si>
    <t>F1AE3481D7288562</t>
  </si>
  <si>
    <t>3C6DFVDK1LE129957</t>
  </si>
  <si>
    <t>AE-414-KX</t>
  </si>
  <si>
    <t>2GD-0756084</t>
  </si>
  <si>
    <t>8AJFB8CB5L1560173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</si>
  <si>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</si>
  <si>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</si>
  <si>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</si>
  <si>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</si>
  <si>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</si>
  <si>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</si>
  <si>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</si>
  <si>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</si>
  <si>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</si>
  <si>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</si>
  <si>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</si>
  <si>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</si>
  <si>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</si>
  <si>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</si>
  <si>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</si>
  <si>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</si>
  <si>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</si>
  <si>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</si>
  <si>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</si>
  <si>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</si>
  <si>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</si>
  <si>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</si>
  <si>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</si>
  <si>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</si>
  <si>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</si>
  <si>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Nº de Chasis</t>
  </si>
  <si>
    <t>Ford Ranger 3,0 TDI SC 4x2 Plus. Camioneta-</t>
  </si>
  <si>
    <t>INA-475</t>
  </si>
  <si>
    <t>Chevrolet  S10 2,8 TDI 4x2 D/C  DLX EL. Camioneta.-</t>
  </si>
  <si>
    <t>FSI-818</t>
  </si>
  <si>
    <t>9BG138AC06C417378</t>
  </si>
  <si>
    <t>Crysler RAM laramie 1500 pick up 4x4 doble cabina. Camioneta.-</t>
  </si>
  <si>
    <t>AD-189-SN</t>
  </si>
  <si>
    <t>3C6RRBET7HG94960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</si>
  <si>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</si>
  <si>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</si>
  <si>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</si>
  <si>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</si>
  <si>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</si>
  <si>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</si>
  <si>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</si>
  <si>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</si>
  <si>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</si>
  <si>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</si>
  <si>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</si>
  <si>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</si>
  <si>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</si>
  <si>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</si>
  <si>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</si>
  <si>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</si>
  <si>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</si>
  <si>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</si>
  <si>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</si>
  <si>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</si>
  <si>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</si>
  <si>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</si>
  <si>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</si>
  <si>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</si>
  <si>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</si>
  <si>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</si>
  <si>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</si>
  <si>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</si>
  <si>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</si>
  <si>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</si>
  <si>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</si>
  <si>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IPE-916</t>
  </si>
  <si>
    <t>D56290126</t>
  </si>
  <si>
    <t>8AFER10P7AJ299795</t>
  </si>
  <si>
    <t>Renault trafic. Furgon.-</t>
  </si>
  <si>
    <t>DNR-926</t>
  </si>
  <si>
    <t>FSQJ606C012115</t>
  </si>
  <si>
    <t>8A1T31JZZYL086918</t>
  </si>
  <si>
    <t>Ford Ranger XL 2,3 DC 4x2 Plus L/10. Camioneta.-</t>
  </si>
  <si>
    <t>INA-469</t>
  </si>
  <si>
    <t>8AFDR12P5AJ284799</t>
  </si>
  <si>
    <t>Ford Ranger XL T 3,0 TDI D/C 4x2 PLUS L. Camioneta.-</t>
  </si>
  <si>
    <t>IPE-910</t>
  </si>
  <si>
    <t>8AFER10P6AJ299528</t>
  </si>
  <si>
    <t>Chevrolet  S10 2,8 TDI 4x2 D/C Plus cabina doble. Camioneta.-</t>
  </si>
  <si>
    <t>FHF-893</t>
  </si>
  <si>
    <t>9BG138AC05C437033</t>
  </si>
  <si>
    <t>GUV-911</t>
  </si>
  <si>
    <t>9GB138AJ08C406146</t>
  </si>
  <si>
    <t>M. Benz K-1318. Camion.-</t>
  </si>
  <si>
    <t>HND-463</t>
  </si>
  <si>
    <t>9BM6490429B609643</t>
  </si>
  <si>
    <t>AC-091-RR</t>
  </si>
  <si>
    <t>HRUF171781023</t>
  </si>
  <si>
    <t>9BG148CK0JC414811</t>
  </si>
  <si>
    <t>FXH-094</t>
  </si>
  <si>
    <t>M1A275990</t>
  </si>
  <si>
    <t>9BG116BJ07C406216</t>
  </si>
  <si>
    <t>Fiat Qubo 1,4 Active.-</t>
  </si>
  <si>
    <t>OJM-554</t>
  </si>
  <si>
    <t>10FSX16615615</t>
  </si>
  <si>
    <t>ZFA225000E6813590</t>
  </si>
  <si>
    <t>Fiat Ducato Maxi Carga Multijet JTD Furgon. Ambulancia.-</t>
  </si>
  <si>
    <t>NUB-239</t>
  </si>
  <si>
    <t>93W245G74D2109186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</si>
  <si>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</si>
  <si>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</si>
  <si>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</si>
  <si>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</si>
  <si>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</si>
  <si>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</si>
  <si>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</si>
  <si>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</si>
  <si>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</si>
  <si>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</si>
  <si>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AB-518-CS</t>
  </si>
  <si>
    <t>93W245G84H2165048</t>
  </si>
  <si>
    <t>AB-518-CT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</si>
  <si>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</si>
  <si>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</si>
  <si>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</si>
  <si>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</si>
  <si>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</si>
  <si>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</si>
  <si>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</si>
  <si>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</si>
  <si>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</si>
  <si>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</si>
  <si>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</si>
  <si>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</si>
  <si>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</si>
  <si>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</si>
  <si>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</si>
  <si>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HQV-791</t>
  </si>
  <si>
    <t>8AC9036629E010749</t>
  </si>
  <si>
    <t>Frod Ranger XL 3,0 TDI DC 4x4 Plus L. Camioneta.-</t>
  </si>
  <si>
    <t>JRJ-105</t>
  </si>
  <si>
    <t>L1A008818</t>
  </si>
  <si>
    <t>8AFER13P48J398152</t>
  </si>
  <si>
    <t>Mercedez Benz 1114 Camion.-</t>
  </si>
  <si>
    <t>K-0022935</t>
  </si>
  <si>
    <t>AE-677-KB</t>
  </si>
  <si>
    <t>10TRJN3091034</t>
  </si>
  <si>
    <t>VF7YDTMFBM2P34153</t>
  </si>
  <si>
    <t>AE-677-LH</t>
  </si>
  <si>
    <t>2GD0880326</t>
  </si>
  <si>
    <t>8AJDB3CB9M5542084</t>
  </si>
  <si>
    <t>JRJ-107</t>
  </si>
  <si>
    <t>L1A008610</t>
  </si>
  <si>
    <t>8AFER13P6BJ398167</t>
  </si>
  <si>
    <t>M. Benz Sprinter 313D Combi 3350 15+.-</t>
  </si>
  <si>
    <t>HLD-939</t>
  </si>
  <si>
    <t>AC9036629E000891</t>
  </si>
  <si>
    <t>Renault Kangoo 1,5 FDI PH3 confort.-</t>
  </si>
  <si>
    <t>PIQ-518</t>
  </si>
  <si>
    <t>K9KV714D274629</t>
  </si>
  <si>
    <t>8A1FC1E15GL128692</t>
  </si>
  <si>
    <t>Toyota hylux AK-SW4-4x4 SRX 2,8 TDI. Camioneta.-</t>
  </si>
  <si>
    <t>AD-125-XL</t>
  </si>
  <si>
    <t>1GD-4378200</t>
  </si>
  <si>
    <t>8AJBA3FS8J0250098</t>
  </si>
  <si>
    <t>INA-464</t>
  </si>
  <si>
    <t>D56285406</t>
  </si>
  <si>
    <t>8FDR12P0AJ285844</t>
  </si>
  <si>
    <t>Ford Ranger DC 4X4 L 2.2L. Camioneta.-</t>
  </si>
  <si>
    <t>AD-398-KY</t>
  </si>
  <si>
    <t>QJ2RKJ113446</t>
  </si>
  <si>
    <t>8AFAR23KXKJ113446</t>
  </si>
  <si>
    <t>M. Benz Sprinter.-</t>
  </si>
  <si>
    <t>GUV-910</t>
  </si>
  <si>
    <t>8AC9046638A983668</t>
  </si>
  <si>
    <t>Ford Ranger 2,2 TDI DC 4x4 FDI PH3 confort. Camioneta.-</t>
  </si>
  <si>
    <t>AD-644-GA</t>
  </si>
  <si>
    <t>QJ2RKJ140722</t>
  </si>
  <si>
    <t>8AFAR23K0KJ40722</t>
  </si>
  <si>
    <t>Chevrolet  S10 2,8 TDI 4x2 D/C DLX EL. Camioneta.-</t>
  </si>
  <si>
    <t>GAJ-557</t>
  </si>
  <si>
    <t>M1T241375</t>
  </si>
  <si>
    <t>9BG138AC06C426943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</si>
  <si>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</si>
  <si>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</si>
  <si>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</si>
  <si>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</si>
  <si>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</si>
  <si>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</si>
  <si>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</si>
  <si>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</si>
  <si>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</si>
  <si>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</si>
  <si>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</si>
  <si>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</si>
  <si>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</si>
  <si>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</si>
  <si>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</si>
  <si>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</si>
  <si>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</si>
  <si>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</si>
  <si>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</si>
  <si>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</si>
  <si>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</si>
  <si>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</si>
  <si>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</si>
  <si>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</si>
  <si>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</si>
  <si>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</si>
  <si>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</si>
  <si>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</si>
  <si>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</si>
  <si>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</si>
  <si>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</si>
  <si>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</si>
  <si>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</si>
  <si>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</si>
  <si>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</si>
  <si>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</si>
  <si>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</si>
  <si>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XX/2022</t>
  </si>
  <si>
    <t>1.1</t>
  </si>
  <si>
    <t>Autorizo la realización de los  trámites correspondientes, a fin de proveer a  este Organismo los bienes que se detallan en Nota  de Pedido N° XX/2022 , afectando la erogación resultante a los créditos presupuestarios aprobados a favor de esta Unidad Ejecutora, conforme al siguiente detalle:</t>
  </si>
  <si>
    <t>SI</t>
  </si>
  <si>
    <t xml:space="preserve">SE ADJUNTA ANEXO CON LOS DOMINIOS Y MATRICULA DE LOS VEHICULOS PARA LOS QUE SE SOLICITA EL COMBUSTIBLE </t>
  </si>
  <si>
    <t>DEPENDENCIA</t>
  </si>
  <si>
    <t>CANT. LITROS</t>
  </si>
  <si>
    <t>DIR. PROV. SAME</t>
  </si>
  <si>
    <t>SEC. DE ASISTENCIA EN SALUD PUBLICA</t>
  </si>
  <si>
    <t>DIR. PROV. DE SALUD Y MEDIO AMBIENTE</t>
  </si>
  <si>
    <t>DIR. CONTROL DE VECTORES Y ZOONOSIS</t>
  </si>
  <si>
    <t>DIR. PROV. DE ATENCION INTEGRAL A PERS. CON DISCAP.</t>
  </si>
  <si>
    <t>DIR. PROV. DE ASIST. SANITARIA Y AREAS PROGR.</t>
  </si>
  <si>
    <t>SEC. PRIV. MINISTERIO DE SALUD</t>
  </si>
  <si>
    <t>TOTAL MINISTERIO DE SALUD</t>
  </si>
  <si>
    <t>TOTAL DE PESOS: VEINTIUN MILLONES NOVECIENTOS NOVENTA Y NUEVE MIL DOSCIENTOS VEINTIDOS CON 00/100.-</t>
  </si>
  <si>
    <t>352 - MINISTERIO DE SALUD</t>
  </si>
  <si>
    <t>ADQ. DEL RUBRO COMBUSTIBLE (GAS OIL) PARA LAS DEPENDENCIAS DEL MINISTERIO DE SALUD</t>
  </si>
  <si>
    <t>CUARTO</t>
  </si>
  <si>
    <t>4° TRIMESTRE 2022</t>
  </si>
  <si>
    <t>SIRM</t>
  </si>
  <si>
    <t>TOTAL SIRM</t>
  </si>
  <si>
    <t>ANEXO VEHICULOS MINISTERIO DE SALUD</t>
  </si>
  <si>
    <t xml:space="preserve">USO </t>
  </si>
  <si>
    <t xml:space="preserve">AMBULANCIA </t>
  </si>
  <si>
    <t>93W245G84H2165113</t>
  </si>
  <si>
    <t>Mercedez Benz Sprinter 313, combi 3550 9+1. Combi.-</t>
  </si>
  <si>
    <t xml:space="preserve">OFICIAL </t>
  </si>
  <si>
    <t>transp.combustible</t>
  </si>
  <si>
    <t>Tanqueta Grosspal, chasis EGT2895,.-</t>
  </si>
  <si>
    <t>101-JRJ105</t>
  </si>
  <si>
    <t>Ford Rnger XL 3,0 TDI D/C 4x4 Plus Camioneta..-</t>
  </si>
  <si>
    <t>FPU-504</t>
  </si>
  <si>
    <t>C34197293</t>
  </si>
  <si>
    <t>8SAFDR13P56J473958</t>
  </si>
  <si>
    <t>Chevrolet Meriva GL 1,7 DTI. Sedan.-</t>
  </si>
  <si>
    <t>EQN-369</t>
  </si>
  <si>
    <t>Y17DT0881965</t>
  </si>
  <si>
    <t>9BGXF75804C217860</t>
  </si>
  <si>
    <t>Iveco Turbo Daily 49,12 Chasis. Furgon.-</t>
  </si>
  <si>
    <t>GEG-132</t>
  </si>
  <si>
    <t>93ZC4980168323467</t>
  </si>
  <si>
    <t>serv.especiales</t>
  </si>
  <si>
    <t>Renault Master 2,3 DC I Furgon.-</t>
  </si>
  <si>
    <t>PIQ-472</t>
  </si>
  <si>
    <t>M9TA876C029626</t>
  </si>
  <si>
    <t>93YMAIECATGJ94529</t>
  </si>
  <si>
    <t>D56285125</t>
  </si>
  <si>
    <t>8AFDR12P4AJ285846</t>
  </si>
  <si>
    <t>M1T253871</t>
  </si>
  <si>
    <t>TNXE6209711768</t>
  </si>
  <si>
    <t>Chevrolet S10 2,8 TED 4X2 LS Pick up . Camioneta.-</t>
  </si>
  <si>
    <t>Ford Rnger XL 3,0 TDI D/C 4x2. Camioneta.-</t>
  </si>
  <si>
    <t>Fiat Ducato Maxicargo minibus.-</t>
  </si>
  <si>
    <t>AD-339-IQ</t>
  </si>
  <si>
    <t>93W245G84H2164918</t>
  </si>
  <si>
    <t>Fiat Ducato.-</t>
  </si>
  <si>
    <t>PBP-725</t>
  </si>
  <si>
    <t>93W245G84E2124180</t>
  </si>
  <si>
    <t>M. Benz Sprinter 413D Chasis 4025</t>
  </si>
  <si>
    <t>GUV-912</t>
  </si>
  <si>
    <t>8AC9046638A980886</t>
  </si>
  <si>
    <t>Iveco Daily.-</t>
  </si>
  <si>
    <t>CFD-686</t>
  </si>
  <si>
    <t>2CFC497010512985</t>
  </si>
  <si>
    <t>Chevrolet  S10 2,8 TDI 4x2 D/C Plus. Camioneta.-</t>
  </si>
  <si>
    <t>FEC-345</t>
  </si>
  <si>
    <t>M1T228818</t>
  </si>
  <si>
    <t>9BG138AC05C437482</t>
  </si>
  <si>
    <t>Ford Ranger CS 4x2 XL Plus 2,3 LN. Camioneta.-</t>
  </si>
  <si>
    <t>LFK-381</t>
  </si>
  <si>
    <t>L1A029160</t>
  </si>
  <si>
    <t>8AFER11P9CJ489714</t>
  </si>
  <si>
    <t>D56284588</t>
  </si>
  <si>
    <t>D56288879</t>
  </si>
  <si>
    <t>M1T227437</t>
  </si>
  <si>
    <t>M1A299771</t>
  </si>
  <si>
    <t>904976U0788672</t>
  </si>
  <si>
    <t>transp.bs</t>
  </si>
  <si>
    <t>FZN-762</t>
  </si>
  <si>
    <t>T253705</t>
  </si>
  <si>
    <t>9BG138AC06C417344</t>
  </si>
  <si>
    <t>Ford Ranger Power DC 4x4  3,0 TDI XL. Camioneta.-</t>
  </si>
  <si>
    <t>JRJ-097</t>
  </si>
  <si>
    <t>L1A008849</t>
  </si>
  <si>
    <t>8AFER13P3BJ398174</t>
  </si>
  <si>
    <t>Chevrolet  S10 2,8 TDI STD 4x2 D/C Plus. Camioneta.-</t>
  </si>
  <si>
    <t>FEG-604</t>
  </si>
  <si>
    <t>M1T228932</t>
  </si>
  <si>
    <t>9BG138AC05C437427</t>
  </si>
  <si>
    <t>Renault Kangoo RL 1,6 2PLC.-</t>
  </si>
  <si>
    <t>FEG-608</t>
  </si>
  <si>
    <t>F8QP632UA57905</t>
  </si>
  <si>
    <t>8A1KCOJ156L655989</t>
  </si>
  <si>
    <t>93YADC1E6J140233</t>
  </si>
  <si>
    <t>Chevrolet  S-10.-</t>
  </si>
  <si>
    <t>Chevrolet Zafira.-</t>
  </si>
  <si>
    <t>8AC690311YA537340</t>
  </si>
  <si>
    <t>Renault Ambulancia.-</t>
  </si>
  <si>
    <t>Iveco Daily - Ambulancia, Camion 3,5 Tn Modelo 4912-3300.-</t>
  </si>
  <si>
    <t>Master Diesel DCI 120 - Ambulancia.-</t>
  </si>
  <si>
    <t>GEU-278</t>
  </si>
  <si>
    <t>G9UA724C030420</t>
  </si>
  <si>
    <t>93YADCUE57J787245</t>
  </si>
  <si>
    <t>Fiat Ducato Maxicargo 2,3 JTD.-</t>
  </si>
  <si>
    <t>NYf-581</t>
  </si>
  <si>
    <t>Chevrolet S10.-</t>
  </si>
  <si>
    <t>GDD-910</t>
  </si>
  <si>
    <t>M1A282808</t>
  </si>
  <si>
    <t>9BG138AJ07C412832</t>
  </si>
  <si>
    <t>Fiat Ducato Maxi 2,8- Ambulancia.-</t>
  </si>
  <si>
    <t>LRW-049</t>
  </si>
  <si>
    <t>93W245G74E2120809</t>
  </si>
  <si>
    <t>8AC906633GE118977</t>
  </si>
  <si>
    <t>GJP-883</t>
  </si>
  <si>
    <t>C34224023</t>
  </si>
  <si>
    <t>Renault Kangoo Express confort - Ambulancia.-</t>
  </si>
  <si>
    <t>AC-885-QD</t>
  </si>
  <si>
    <t>MVI-344</t>
  </si>
  <si>
    <t>Fiat Ducato Maxi Cargo L4H2.-</t>
  </si>
  <si>
    <t>TOYOTA HILUX 4X4 PICK-UP.-</t>
  </si>
  <si>
    <t>AE-677-KC</t>
  </si>
  <si>
    <t>CITROEN JUMPER 2.2 HDI FUR L2H2- FURGON</t>
  </si>
  <si>
    <t>RENAULT KANGOO II EXPRESS CONFORT 1.6 SCE</t>
  </si>
  <si>
    <t>8A18SRD04LL342980</t>
  </si>
  <si>
    <t>Mercedes Benz 310/D. Ambulancia.-</t>
  </si>
  <si>
    <t>CKQ-193</t>
  </si>
  <si>
    <t>8AC6990330VA512920</t>
  </si>
  <si>
    <t>2GD0711512</t>
  </si>
  <si>
    <t>Fiat Qubo 1,4 8V active sedan 5 puertas</t>
  </si>
  <si>
    <t>MQC-888</t>
  </si>
  <si>
    <t>10FSX16559345</t>
  </si>
  <si>
    <t>ZFA225000D0323934</t>
  </si>
  <si>
    <t>Toyota Hilux 4x4 C/S DX 2,4 TDI 6MT. Ambulancia.-</t>
  </si>
  <si>
    <t>Ford F-100- Ambulancia.-</t>
  </si>
  <si>
    <t>K009976</t>
  </si>
  <si>
    <t>Ford Ranger DC 4x4 XLT AT 3,2 D Pick Up. Camioneta.-</t>
  </si>
  <si>
    <t>AE-947-WZ</t>
  </si>
  <si>
    <t>SA2S-NJ251452</t>
  </si>
  <si>
    <t>8AFAR23W5NJ251452</t>
  </si>
  <si>
    <t>Toyota Hilyx 4x4 C/S DX 2,4 TDI 6 M/T</t>
  </si>
  <si>
    <t>AE-212-GE</t>
  </si>
  <si>
    <t>2GD-G108393</t>
  </si>
  <si>
    <t>8AJFB8CBXK1558448</t>
  </si>
  <si>
    <t>MITSUBISHI  L 200 4X2</t>
  </si>
  <si>
    <t>Ford Transit 2,2 L 350 M TE</t>
  </si>
  <si>
    <t>AF-050-JP</t>
  </si>
  <si>
    <t>CYR5MTM38344</t>
  </si>
  <si>
    <t>WF0AXKTTGMTM38344</t>
  </si>
  <si>
    <t>Fiat Ducato Maxi Carga Multijet JTD Furgon.-</t>
  </si>
  <si>
    <t>AA-358-FO</t>
  </si>
  <si>
    <t>93W245G74H2161151</t>
  </si>
  <si>
    <t>DIR. PROV. ATENCION PRIMARIA DE LA SALUD</t>
  </si>
  <si>
    <t>SEC. DE INTERRALACION MUNICIPAL</t>
  </si>
  <si>
    <t>Costo total estimado: PESOS VEINTE MILLONES CIENTO TREINTA Y OCHO MIL DOSCIENTOS OCHENTA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</si>
</sst>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  <numFmt numFmtId="168" formatCode="dd\-mm\-yy;@"/>
    <numFmt numFmtId="169" formatCode="_(\$* #,##0.00_);_(\$* \(#,##0.00\);_(\$* \-??_);_(@_)"/>
    <numFmt numFmtId="170" formatCode="[$$-2C0A]\ #,##0.00;[$$-2C0A]&quot; -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69" fontId="24" fillId="0" borderId="0" applyBorder="0" applyProtection="0"/>
  </cellStyleXfs>
  <cellXfs count="222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/>
    <xf numFmtId="166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5" xfId="0" applyFont="1" applyBorder="1"/>
    <xf numFmtId="0" fontId="10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Fill="1" applyBorder="1" applyAlignment="1">
      <alignment horizontal="center" vertical="center"/>
    </xf>
    <xf numFmtId="166" fontId="10" fillId="2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8" fillId="0" borderId="0" xfId="0" applyFont="1"/>
    <xf numFmtId="44" fontId="0" fillId="0" borderId="0" xfId="1" applyFont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0" fillId="0" borderId="1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" fillId="0" borderId="13" xfId="5" applyFont="1" applyFill="1" applyBorder="1" applyAlignment="1">
      <alignment vertical="center"/>
    </xf>
    <xf numFmtId="0" fontId="20" fillId="0" borderId="12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13" xfId="5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 wrapText="1" indent="1"/>
    </xf>
    <xf numFmtId="0" fontId="27" fillId="0" borderId="13" xfId="0" applyFont="1" applyBorder="1" applyAlignment="1">
      <alignment horizontal="left" vertical="center" wrapText="1" indent="1"/>
    </xf>
    <xf numFmtId="0" fontId="30" fillId="0" borderId="24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 wrapText="1"/>
    </xf>
    <xf numFmtId="3" fontId="31" fillId="0" borderId="26" xfId="0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3" fontId="31" fillId="0" borderId="28" xfId="0" applyNumberFormat="1" applyFont="1" applyBorder="1" applyAlignment="1">
      <alignment horizontal="center" vertical="center"/>
    </xf>
    <xf numFmtId="3" fontId="33" fillId="0" borderId="10" xfId="0" applyNumberFormat="1" applyFont="1" applyBorder="1" applyAlignment="1"/>
    <xf numFmtId="168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3" xfId="0" applyBorder="1"/>
    <xf numFmtId="0" fontId="0" fillId="0" borderId="33" xfId="0" applyBorder="1"/>
    <xf numFmtId="0" fontId="0" fillId="0" borderId="34" xfId="0" applyBorder="1"/>
    <xf numFmtId="0" fontId="0" fillId="0" borderId="34" xfId="0" applyBorder="1" applyAlignment="1">
      <alignment horizontal="left"/>
    </xf>
    <xf numFmtId="0" fontId="0" fillId="0" borderId="46" xfId="0" applyBorder="1"/>
    <xf numFmtId="0" fontId="37" fillId="0" borderId="49" xfId="0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7" fillId="0" borderId="50" xfId="0" applyFont="1" applyBorder="1" applyAlignment="1">
      <alignment horizontal="left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70" fontId="0" fillId="0" borderId="56" xfId="33" applyNumberFormat="1" applyFont="1" applyBorder="1" applyAlignment="1" applyProtection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170" fontId="0" fillId="0" borderId="61" xfId="33" applyNumberFormat="1" applyFont="1" applyBorder="1" applyAlignment="1" applyProtection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0" fontId="0" fillId="0" borderId="65" xfId="33" applyNumberFormat="1" applyFont="1" applyBorder="1" applyAlignment="1" applyProtection="1">
      <alignment horizontal="center" vertical="center"/>
    </xf>
    <xf numFmtId="170" fontId="37" fillId="0" borderId="67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66" fontId="26" fillId="0" borderId="31" xfId="0" applyNumberFormat="1" applyFont="1" applyBorder="1" applyAlignment="1">
      <alignment horizontal="right" vertical="center"/>
    </xf>
    <xf numFmtId="166" fontId="26" fillId="0" borderId="0" xfId="0" applyNumberFormat="1" applyFont="1" applyBorder="1" applyAlignment="1">
      <alignment vertical="center"/>
    </xf>
    <xf numFmtId="166" fontId="27" fillId="0" borderId="0" xfId="0" applyNumberFormat="1" applyFont="1" applyBorder="1" applyAlignment="1">
      <alignment horizontal="left" vertical="center" wrapText="1" indent="1"/>
    </xf>
    <xf numFmtId="166" fontId="31" fillId="0" borderId="25" xfId="0" applyNumberFormat="1" applyFont="1" applyBorder="1" applyAlignment="1">
      <alignment horizontal="center" vertical="center" wrapText="1"/>
    </xf>
    <xf numFmtId="166" fontId="31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vertical="center"/>
    </xf>
    <xf numFmtId="0" fontId="22" fillId="0" borderId="0" xfId="0" applyFont="1" applyFill="1" applyBorder="1" applyAlignment="1">
      <alignment vertical="center"/>
    </xf>
    <xf numFmtId="3" fontId="0" fillId="0" borderId="28" xfId="0" applyNumberFormat="1" applyBorder="1" applyAlignment="1">
      <alignment vertical="center"/>
    </xf>
    <xf numFmtId="3" fontId="0" fillId="0" borderId="69" xfId="0" applyNumberForma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3" fontId="0" fillId="0" borderId="3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38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21" fillId="0" borderId="12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3" xfId="5" applyFont="1" applyFill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3" xfId="5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0" fillId="0" borderId="2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8" fillId="0" borderId="36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 indent="1"/>
    </xf>
    <xf numFmtId="0" fontId="25" fillId="0" borderId="9" xfId="0" applyFont="1" applyBorder="1" applyAlignment="1">
      <alignment horizontal="center" vertical="center"/>
    </xf>
    <xf numFmtId="0" fontId="28" fillId="0" borderId="35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/>
    </xf>
    <xf numFmtId="0" fontId="27" fillId="0" borderId="38" xfId="0" applyFont="1" applyBorder="1" applyAlignment="1">
      <alignment horizontal="left" vertical="center" wrapText="1" indent="1"/>
    </xf>
    <xf numFmtId="0" fontId="32" fillId="0" borderId="23" xfId="0" applyFont="1" applyBorder="1" applyAlignment="1">
      <alignment horizontal="left" vertical="center" wrapText="1" indent="1"/>
    </xf>
    <xf numFmtId="166" fontId="28" fillId="0" borderId="21" xfId="0" applyNumberFormat="1" applyFont="1" applyBorder="1" applyAlignment="1">
      <alignment horizontal="center" vertical="center"/>
    </xf>
    <xf numFmtId="166" fontId="28" fillId="0" borderId="22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166" fontId="29" fillId="0" borderId="40" xfId="0" applyNumberFormat="1" applyFont="1" applyBorder="1" applyAlignment="1">
      <alignment horizontal="center" vertical="center" wrapText="1"/>
    </xf>
    <xf numFmtId="0" fontId="35" fillId="0" borderId="45" xfId="0" applyFont="1" applyBorder="1" applyAlignment="1">
      <alignment horizontal="left"/>
    </xf>
    <xf numFmtId="0" fontId="0" fillId="0" borderId="17" xfId="0" applyFont="1" applyBorder="1" applyAlignment="1">
      <alignment horizontal="center"/>
    </xf>
    <xf numFmtId="3" fontId="33" fillId="0" borderId="18" xfId="0" applyNumberFormat="1" applyFont="1" applyBorder="1" applyAlignment="1">
      <alignment horizontal="center"/>
    </xf>
    <xf numFmtId="0" fontId="34" fillId="0" borderId="32" xfId="0" applyFont="1" applyBorder="1" applyAlignment="1">
      <alignment horizontal="center" vertical="center" wrapText="1"/>
    </xf>
    <xf numFmtId="0" fontId="24" fillId="0" borderId="42" xfId="0" applyFont="1" applyBorder="1"/>
    <xf numFmtId="0" fontId="35" fillId="0" borderId="43" xfId="0" applyFont="1" applyBorder="1" applyAlignment="1">
      <alignment horizontal="left" indent="1"/>
    </xf>
    <xf numFmtId="0" fontId="31" fillId="0" borderId="42" xfId="0" applyFont="1" applyBorder="1" applyAlignment="1">
      <alignment horizontal="left" vertical="center" wrapText="1"/>
    </xf>
    <xf numFmtId="0" fontId="36" fillId="0" borderId="44" xfId="0" applyFont="1" applyBorder="1" applyAlignment="1">
      <alignment horizontal="left"/>
    </xf>
    <xf numFmtId="0" fontId="0" fillId="0" borderId="60" xfId="0" applyFont="1" applyBorder="1" applyAlignment="1">
      <alignment horizontal="center" vertical="center"/>
    </xf>
    <xf numFmtId="49" fontId="35" fillId="0" borderId="20" xfId="0" applyNumberFormat="1" applyFont="1" applyBorder="1" applyAlignment="1">
      <alignment horizontal="justify" vertical="center" wrapText="1"/>
    </xf>
    <xf numFmtId="0" fontId="37" fillId="0" borderId="45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7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/>
    </xf>
    <xf numFmtId="0" fontId="0" fillId="0" borderId="54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left" vertical="center"/>
    </xf>
    <xf numFmtId="0" fontId="0" fillId="0" borderId="60" xfId="0" applyBorder="1" applyAlignment="1">
      <alignment horizontal="center"/>
    </xf>
    <xf numFmtId="0" fontId="33" fillId="0" borderId="19" xfId="0" applyFont="1" applyBorder="1" applyAlignment="1">
      <alignment vertical="center" wrapText="1"/>
    </xf>
    <xf numFmtId="0" fontId="35" fillId="0" borderId="48" xfId="0" applyFont="1" applyBorder="1" applyAlignment="1">
      <alignment vertical="center" wrapText="1"/>
    </xf>
    <xf numFmtId="0" fontId="35" fillId="0" borderId="23" xfId="0" applyFont="1" applyBorder="1" applyAlignment="1">
      <alignment horizontal="left" vertical="center" wrapText="1" indent="1"/>
    </xf>
    <xf numFmtId="0" fontId="0" fillId="0" borderId="60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33" fillId="0" borderId="66" xfId="0" applyFont="1" applyBorder="1" applyAlignment="1">
      <alignment horizontal="left" vertical="center" wrapText="1"/>
    </xf>
    <xf numFmtId="0" fontId="0" fillId="0" borderId="45" xfId="0" applyBorder="1"/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6"/>
  <sheetViews>
    <sheetView zoomScale="90" zoomScaleNormal="90" workbookViewId="0">
      <selection activeCell="C5" sqref="C5"/>
    </sheetView>
  </sheetViews>
  <sheetFormatPr baseColWidth="10" defaultRowHeight="14.4" x14ac:dyDescent="0.3"/>
  <cols>
    <col min="1" max="1" width="5.44140625" style="20" bestFit="1" customWidth="1"/>
    <col min="2" max="2" width="13.88671875" style="20" bestFit="1" customWidth="1"/>
    <col min="3" max="3" width="37" style="20" customWidth="1"/>
    <col min="4" max="4" width="5.5546875" style="20" customWidth="1"/>
    <col min="5" max="5" width="89.88671875" style="21" customWidth="1"/>
    <col min="6" max="6" width="15.5546875" style="20" bestFit="1" customWidth="1"/>
    <col min="7" max="7" width="17.109375" style="20" hidden="1" customWidth="1"/>
    <col min="8" max="8" width="10.88671875" style="20" hidden="1" customWidth="1"/>
    <col min="9" max="9" width="8" style="20" hidden="1" customWidth="1"/>
    <col min="10" max="10" width="14.5546875" style="43" hidden="1" customWidth="1"/>
    <col min="11" max="11" width="12.44140625" style="20" hidden="1" customWidth="1"/>
    <col min="12" max="12" width="15.88671875" style="20" hidden="1" customWidth="1"/>
    <col min="13" max="13" width="8.33203125" style="20" hidden="1" customWidth="1"/>
    <col min="14" max="14" width="14.109375" style="20" hidden="1" customWidth="1"/>
    <col min="15" max="15" width="5.44140625" style="20" hidden="1" customWidth="1"/>
    <col min="16" max="16" width="12.44140625" style="20" hidden="1" customWidth="1"/>
    <col min="17" max="17" width="14.6640625" style="20" hidden="1" customWidth="1"/>
    <col min="18" max="18" width="14.44140625" style="20" hidden="1" customWidth="1"/>
    <col min="19" max="19" width="10.5546875" style="22" hidden="1" customWidth="1"/>
    <col min="20" max="20" width="13.88671875" style="43" hidden="1" customWidth="1"/>
    <col min="21" max="21" width="14.6640625" style="20" hidden="1" customWidth="1"/>
    <col min="22" max="22" width="13.88671875" style="20" hidden="1" customWidth="1"/>
    <col min="23" max="23" width="6.6640625" style="20" hidden="1" customWidth="1"/>
    <col min="24" max="24" width="15.44140625" style="43" hidden="1" customWidth="1"/>
    <col min="25" max="25" width="10.109375" style="20" hidden="1" customWidth="1"/>
    <col min="26" max="26" width="13.88671875" style="20" hidden="1" customWidth="1"/>
    <col min="27" max="27" width="14.44140625" style="20" hidden="1" customWidth="1"/>
    <col min="28" max="28" width="15.5546875" style="43" hidden="1" customWidth="1"/>
    <col min="29" max="29" width="6.44140625" style="20" hidden="1" customWidth="1"/>
    <col min="30" max="30" width="15.44140625" style="20" hidden="1" customWidth="1"/>
    <col min="31" max="31" width="10.109375" style="20" hidden="1" customWidth="1"/>
    <col min="32" max="32" width="13.5546875" style="43" hidden="1" customWidth="1"/>
    <col min="33" max="33" width="12.109375" style="20" hidden="1" customWidth="1"/>
    <col min="34" max="34" width="14.109375" style="20" hidden="1" customWidth="1"/>
    <col min="35" max="35" width="10.5546875" style="20" hidden="1" customWidth="1"/>
    <col min="36" max="36" width="13.88671875" style="43" hidden="1" customWidth="1"/>
    <col min="37" max="37" width="7.6640625" style="20" hidden="1" customWidth="1"/>
    <col min="38" max="38" width="14.88671875" style="20" hidden="1" customWidth="1"/>
    <col min="39" max="39" width="6.5546875" style="20" hidden="1" customWidth="1"/>
    <col min="40" max="40" width="14.88671875" style="43" hidden="1" customWidth="1"/>
    <col min="41" max="41" width="14.88671875" style="20" hidden="1" customWidth="1"/>
    <col min="42" max="42" width="13.5546875" style="20" hidden="1" customWidth="1"/>
    <col min="43" max="43" width="13.88671875" style="20" hidden="1" customWidth="1"/>
    <col min="44" max="44" width="16.44140625" style="43" hidden="1" customWidth="1"/>
    <col min="45" max="45" width="15.33203125" style="28" hidden="1" customWidth="1"/>
    <col min="46" max="46" width="15.33203125" style="43" hidden="1" customWidth="1"/>
    <col min="47" max="47" width="7.33203125" style="28" hidden="1" customWidth="1"/>
    <col min="48" max="48" width="14.88671875" style="43" hidden="1" customWidth="1"/>
    <col min="49" max="49" width="13.88671875" style="28" hidden="1" customWidth="1"/>
    <col min="50" max="50" width="13.88671875" style="31" hidden="1" customWidth="1"/>
    <col min="51" max="51" width="11.33203125" style="22" bestFit="1" customWidth="1"/>
    <col min="52" max="52" width="13.88671875" style="43" customWidth="1"/>
    <col min="53" max="53" width="16.33203125" style="23" bestFit="1" customWidth="1"/>
    <col min="54" max="54" width="62" customWidth="1"/>
  </cols>
  <sheetData>
    <row r="1" spans="1:57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0"/>
      <c r="AT1" s="9"/>
      <c r="AU1" s="30"/>
      <c r="AV1" s="9"/>
      <c r="AW1" s="30"/>
      <c r="AX1" s="3"/>
      <c r="AY1" s="7"/>
      <c r="AZ1" s="8"/>
      <c r="BA1" s="9"/>
    </row>
    <row r="2" spans="1:57" s="53" customFormat="1" ht="18" x14ac:dyDescent="0.35">
      <c r="A2" s="51"/>
      <c r="B2" s="163" t="s">
        <v>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52"/>
    </row>
    <row r="3" spans="1:57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0"/>
      <c r="AT3" s="9"/>
      <c r="AU3" s="30"/>
      <c r="AV3" s="9"/>
      <c r="AW3" s="30"/>
      <c r="AX3" s="3"/>
      <c r="AY3" s="7"/>
      <c r="AZ3" s="8"/>
      <c r="BA3" s="9"/>
    </row>
    <row r="4" spans="1:57" x14ac:dyDescent="0.3">
      <c r="A4" s="162" t="s">
        <v>1</v>
      </c>
      <c r="B4" s="162"/>
      <c r="C4" s="140" t="s">
        <v>2</v>
      </c>
      <c r="D4" s="140"/>
      <c r="E4" s="140"/>
      <c r="F4" s="10"/>
      <c r="G4" s="10"/>
      <c r="H4" s="10"/>
      <c r="I4" s="10"/>
      <c r="J4" s="42"/>
      <c r="K4" s="10"/>
      <c r="L4" s="10"/>
      <c r="M4" s="11"/>
      <c r="N4" s="12"/>
      <c r="O4" s="13"/>
      <c r="P4" s="10"/>
      <c r="Q4" s="11"/>
      <c r="R4" s="10"/>
      <c r="S4" s="13"/>
      <c r="T4" s="42"/>
      <c r="U4" s="11"/>
      <c r="V4" s="10"/>
      <c r="W4" s="13"/>
      <c r="X4" s="42"/>
      <c r="Y4" s="13"/>
      <c r="Z4" s="10"/>
      <c r="AA4" s="13"/>
      <c r="AB4" s="42"/>
      <c r="AC4" s="13"/>
      <c r="AD4" s="10"/>
      <c r="AE4" s="13"/>
      <c r="AF4" s="42"/>
      <c r="AG4" s="13"/>
      <c r="AH4" s="10"/>
      <c r="AI4" s="13"/>
      <c r="AJ4" s="42"/>
      <c r="AK4" s="13"/>
      <c r="AL4" s="10"/>
      <c r="AM4" s="13"/>
      <c r="AN4" s="42"/>
      <c r="AO4" s="13"/>
      <c r="AP4" s="10"/>
      <c r="AQ4" s="13"/>
      <c r="AR4" s="42"/>
      <c r="AS4" s="26"/>
      <c r="AT4" s="42"/>
      <c r="AU4" s="26"/>
      <c r="AV4" s="42"/>
      <c r="AW4" s="26"/>
      <c r="AX4" s="10"/>
      <c r="AY4" s="13"/>
      <c r="AZ4" s="8"/>
      <c r="BA4" s="9"/>
    </row>
    <row r="5" spans="1:57" ht="15" customHeight="1" x14ac:dyDescent="0.3">
      <c r="A5" s="162" t="s">
        <v>3</v>
      </c>
      <c r="B5" s="162"/>
      <c r="C5" s="140" t="s">
        <v>4</v>
      </c>
      <c r="D5" s="140"/>
      <c r="E5" s="140"/>
      <c r="F5" s="10"/>
      <c r="G5" s="10"/>
      <c r="H5" s="10"/>
      <c r="I5" s="10"/>
      <c r="J5" s="42"/>
      <c r="K5" s="10"/>
      <c r="L5" s="10"/>
      <c r="M5" s="11"/>
      <c r="N5" s="12"/>
      <c r="O5" s="13"/>
      <c r="P5" s="10"/>
      <c r="Q5" s="11"/>
      <c r="R5" s="10"/>
      <c r="S5" s="13"/>
      <c r="T5" s="42"/>
      <c r="U5" s="11"/>
      <c r="V5" s="10"/>
      <c r="W5" s="13"/>
      <c r="X5" s="42"/>
      <c r="Y5" s="13"/>
      <c r="Z5" s="10"/>
      <c r="AA5" s="13"/>
      <c r="AB5" s="42"/>
      <c r="AC5" s="13"/>
      <c r="AD5" s="10"/>
      <c r="AE5" s="13"/>
      <c r="AF5" s="42"/>
      <c r="AG5" s="13"/>
      <c r="AH5" s="10"/>
      <c r="AI5" s="13"/>
      <c r="AJ5" s="42"/>
      <c r="AK5" s="13"/>
      <c r="AL5" s="10"/>
      <c r="AM5" s="13"/>
      <c r="AN5" s="42"/>
      <c r="AO5" s="13"/>
      <c r="AP5" s="10"/>
      <c r="AQ5" s="13"/>
      <c r="AR5" s="42"/>
      <c r="AS5" s="26"/>
      <c r="AT5" s="42"/>
      <c r="AU5" s="26"/>
      <c r="AV5" s="42"/>
      <c r="AW5" s="26"/>
      <c r="AX5" s="10"/>
      <c r="AY5" s="13"/>
      <c r="AZ5" s="8"/>
      <c r="BA5" s="9"/>
    </row>
    <row r="6" spans="1:57" x14ac:dyDescent="0.3">
      <c r="A6" s="162" t="s">
        <v>5</v>
      </c>
      <c r="B6" s="162"/>
      <c r="C6" s="141">
        <v>2022</v>
      </c>
      <c r="D6" s="142"/>
      <c r="E6" s="141"/>
      <c r="F6" s="10"/>
      <c r="G6" s="10"/>
      <c r="H6" s="10"/>
      <c r="I6" s="10"/>
      <c r="J6" s="42"/>
      <c r="K6" s="10"/>
      <c r="L6" s="10"/>
      <c r="M6" s="11"/>
      <c r="N6" s="12"/>
      <c r="O6" s="13"/>
      <c r="P6" s="10"/>
      <c r="Q6" s="11"/>
      <c r="R6" s="10"/>
      <c r="S6" s="13"/>
      <c r="T6" s="42"/>
      <c r="U6" s="11"/>
      <c r="V6" s="10"/>
      <c r="W6" s="13"/>
      <c r="X6" s="42"/>
      <c r="Y6" s="13"/>
      <c r="Z6" s="10"/>
      <c r="AA6" s="13"/>
      <c r="AB6" s="42"/>
      <c r="AC6" s="13"/>
      <c r="AD6" s="10"/>
      <c r="AE6" s="13"/>
      <c r="AF6" s="42"/>
      <c r="AG6" s="13"/>
      <c r="AH6" s="10"/>
      <c r="AI6" s="13"/>
      <c r="AJ6" s="42"/>
      <c r="AK6" s="13"/>
      <c r="AL6" s="10"/>
      <c r="AM6" s="13"/>
      <c r="AN6" s="42"/>
      <c r="AO6" s="13"/>
      <c r="AP6" s="10"/>
      <c r="AQ6" s="13"/>
      <c r="AR6" s="42"/>
      <c r="AS6" s="26"/>
      <c r="AT6" s="42"/>
      <c r="AU6" s="26"/>
      <c r="AV6" s="42"/>
      <c r="AW6" s="26"/>
      <c r="AX6" s="10"/>
      <c r="AY6" s="13"/>
      <c r="AZ6" s="8"/>
      <c r="BA6" s="9"/>
    </row>
    <row r="7" spans="1:57" x14ac:dyDescent="0.3">
      <c r="A7" s="162" t="s">
        <v>6</v>
      </c>
      <c r="B7" s="162"/>
      <c r="C7" s="141" t="s">
        <v>611</v>
      </c>
      <c r="D7" s="142"/>
      <c r="E7" s="141"/>
      <c r="F7" s="10"/>
      <c r="G7" s="10"/>
      <c r="H7" s="10"/>
      <c r="I7" s="10"/>
      <c r="J7" s="42"/>
      <c r="K7" s="10"/>
      <c r="L7" s="10"/>
      <c r="M7" s="11"/>
      <c r="N7" s="12"/>
      <c r="O7" s="13"/>
      <c r="P7" s="10"/>
      <c r="Q7" s="11"/>
      <c r="R7" s="10"/>
      <c r="S7" s="13"/>
      <c r="T7" s="42"/>
      <c r="U7" s="11"/>
      <c r="V7" s="10"/>
      <c r="W7" s="13"/>
      <c r="X7" s="42"/>
      <c r="Y7" s="13"/>
      <c r="Z7" s="10"/>
      <c r="AA7" s="13"/>
      <c r="AB7" s="42"/>
      <c r="AC7" s="13"/>
      <c r="AD7" s="10"/>
      <c r="AE7" s="13"/>
      <c r="AF7" s="42"/>
      <c r="AG7" s="13"/>
      <c r="AH7" s="10"/>
      <c r="AI7" s="13"/>
      <c r="AJ7" s="42"/>
      <c r="AK7" s="13"/>
      <c r="AL7" s="10"/>
      <c r="AM7" s="13"/>
      <c r="AN7" s="42"/>
      <c r="AO7" s="13"/>
      <c r="AP7" s="10"/>
      <c r="AQ7" s="13"/>
      <c r="AR7" s="42"/>
      <c r="AS7" s="26"/>
      <c r="AT7" s="42"/>
      <c r="AU7" s="26"/>
      <c r="AV7" s="42"/>
      <c r="AW7" s="26"/>
      <c r="AX7" s="10"/>
      <c r="AY7" s="13"/>
      <c r="AZ7" s="8"/>
      <c r="BA7" s="9"/>
    </row>
    <row r="8" spans="1:57" ht="15" thickBot="1" x14ac:dyDescent="0.35">
      <c r="A8" s="3"/>
      <c r="B8" s="10"/>
      <c r="C8" s="10"/>
      <c r="D8" s="10"/>
      <c r="E8" s="14"/>
      <c r="F8" s="10"/>
      <c r="G8" s="10"/>
      <c r="H8" s="10"/>
      <c r="I8" s="10"/>
      <c r="J8" s="42"/>
      <c r="K8" s="10"/>
      <c r="L8" s="10"/>
      <c r="M8" s="11"/>
      <c r="N8" s="12"/>
      <c r="O8" s="13"/>
      <c r="P8" s="10"/>
      <c r="Q8" s="11"/>
      <c r="R8" s="10"/>
      <c r="S8" s="13"/>
      <c r="T8" s="42"/>
      <c r="U8" s="11"/>
      <c r="V8" s="10"/>
      <c r="W8" s="13"/>
      <c r="X8" s="42"/>
      <c r="Y8" s="13"/>
      <c r="Z8" s="10"/>
      <c r="AA8" s="13"/>
      <c r="AB8" s="42"/>
      <c r="AC8" s="13"/>
      <c r="AD8" s="10"/>
      <c r="AE8" s="13"/>
      <c r="AF8" s="42"/>
      <c r="AG8" s="13"/>
      <c r="AH8" s="10"/>
      <c r="AI8" s="13"/>
      <c r="AJ8" s="42"/>
      <c r="AK8" s="13"/>
      <c r="AL8" s="10"/>
      <c r="AM8" s="13"/>
      <c r="AN8" s="42"/>
      <c r="AO8" s="13"/>
      <c r="AP8" s="10"/>
      <c r="AQ8" s="13"/>
      <c r="AR8" s="42"/>
      <c r="AS8" s="26"/>
      <c r="AT8" s="42"/>
      <c r="AU8" s="26"/>
      <c r="AV8" s="42"/>
      <c r="AW8" s="26"/>
      <c r="AX8" s="10"/>
      <c r="AY8" s="13"/>
      <c r="AZ8" s="8"/>
      <c r="BA8" s="9"/>
    </row>
    <row r="9" spans="1:57" ht="53.4" thickBot="1" x14ac:dyDescent="0.35">
      <c r="A9" s="58" t="s">
        <v>7</v>
      </c>
      <c r="B9" s="59" t="s">
        <v>8</v>
      </c>
      <c r="C9" s="60" t="s">
        <v>9</v>
      </c>
      <c r="D9" s="59" t="s">
        <v>10</v>
      </c>
      <c r="E9" s="61" t="s">
        <v>11</v>
      </c>
      <c r="F9" s="60" t="s">
        <v>12</v>
      </c>
      <c r="G9" s="60" t="s">
        <v>13</v>
      </c>
      <c r="H9" s="60" t="s">
        <v>14</v>
      </c>
      <c r="I9" s="62" t="s">
        <v>15</v>
      </c>
      <c r="J9" s="63" t="s">
        <v>16</v>
      </c>
      <c r="K9" s="60" t="s">
        <v>17</v>
      </c>
      <c r="L9" s="60" t="s">
        <v>18</v>
      </c>
      <c r="M9" s="64" t="s">
        <v>19</v>
      </c>
      <c r="N9" s="65" t="s">
        <v>20</v>
      </c>
      <c r="O9" s="66" t="s">
        <v>21</v>
      </c>
      <c r="P9" s="60" t="s">
        <v>22</v>
      </c>
      <c r="Q9" s="64" t="s">
        <v>23</v>
      </c>
      <c r="R9" s="60" t="s">
        <v>24</v>
      </c>
      <c r="S9" s="66" t="s">
        <v>25</v>
      </c>
      <c r="T9" s="63" t="s">
        <v>26</v>
      </c>
      <c r="U9" s="64" t="s">
        <v>27</v>
      </c>
      <c r="V9" s="60" t="s">
        <v>28</v>
      </c>
      <c r="W9" s="66" t="s">
        <v>29</v>
      </c>
      <c r="X9" s="63" t="s">
        <v>54</v>
      </c>
      <c r="Y9" s="66" t="s">
        <v>64</v>
      </c>
      <c r="Z9" s="60" t="s">
        <v>65</v>
      </c>
      <c r="AA9" s="66" t="s">
        <v>30</v>
      </c>
      <c r="AB9" s="63" t="s">
        <v>31</v>
      </c>
      <c r="AC9" s="67" t="s">
        <v>32</v>
      </c>
      <c r="AD9" s="60" t="s">
        <v>33</v>
      </c>
      <c r="AE9" s="66" t="s">
        <v>34</v>
      </c>
      <c r="AF9" s="63" t="s">
        <v>35</v>
      </c>
      <c r="AG9" s="66" t="s">
        <v>36</v>
      </c>
      <c r="AH9" s="60" t="s">
        <v>37</v>
      </c>
      <c r="AI9" s="66" t="s">
        <v>60</v>
      </c>
      <c r="AJ9" s="63" t="s">
        <v>61</v>
      </c>
      <c r="AK9" s="66" t="s">
        <v>62</v>
      </c>
      <c r="AL9" s="60" t="s">
        <v>63</v>
      </c>
      <c r="AM9" s="67" t="s">
        <v>38</v>
      </c>
      <c r="AN9" s="63" t="s">
        <v>39</v>
      </c>
      <c r="AO9" s="67" t="s">
        <v>40</v>
      </c>
      <c r="AP9" s="60" t="s">
        <v>41</v>
      </c>
      <c r="AQ9" s="66" t="s">
        <v>42</v>
      </c>
      <c r="AR9" s="63" t="s">
        <v>43</v>
      </c>
      <c r="AS9" s="68" t="s">
        <v>55</v>
      </c>
      <c r="AT9" s="63" t="s">
        <v>56</v>
      </c>
      <c r="AU9" s="68" t="s">
        <v>58</v>
      </c>
      <c r="AV9" s="63" t="s">
        <v>59</v>
      </c>
      <c r="AW9" s="68" t="s">
        <v>613</v>
      </c>
      <c r="AX9" s="60" t="s">
        <v>614</v>
      </c>
      <c r="AY9" s="66" t="s">
        <v>44</v>
      </c>
      <c r="AZ9" s="69" t="s">
        <v>45</v>
      </c>
      <c r="BA9" s="63" t="s">
        <v>46</v>
      </c>
      <c r="BB9" s="70" t="s">
        <v>47</v>
      </c>
      <c r="BC9" s="24"/>
    </row>
    <row r="10" spans="1:57" s="19" customFormat="1" ht="55.8" thickBot="1" x14ac:dyDescent="0.35">
      <c r="A10" s="44">
        <v>1</v>
      </c>
      <c r="B10" s="15" t="s">
        <v>50</v>
      </c>
      <c r="C10" s="15" t="s">
        <v>48</v>
      </c>
      <c r="D10" s="15" t="s">
        <v>49</v>
      </c>
      <c r="E10" s="45" t="s">
        <v>51</v>
      </c>
      <c r="F10" s="44" t="s">
        <v>52</v>
      </c>
      <c r="G10" s="34">
        <v>700</v>
      </c>
      <c r="H10" s="34"/>
      <c r="I10" s="34">
        <v>0</v>
      </c>
      <c r="J10" s="36">
        <f>+I10*AZ10</f>
        <v>0</v>
      </c>
      <c r="K10" s="36"/>
      <c r="L10" s="34"/>
      <c r="M10" s="34">
        <v>0</v>
      </c>
      <c r="N10" s="36">
        <f>+M10*AZ10</f>
        <v>0</v>
      </c>
      <c r="O10" s="34">
        <v>250</v>
      </c>
      <c r="P10" s="36">
        <f>+O10*AZ10</f>
        <v>59300</v>
      </c>
      <c r="Q10" s="34"/>
      <c r="R10" s="36">
        <f>+Q10*AZ10</f>
        <v>0</v>
      </c>
      <c r="S10" s="50"/>
      <c r="T10" s="36"/>
      <c r="U10" s="44">
        <v>0</v>
      </c>
      <c r="V10" s="46">
        <f>+U10*AZ10</f>
        <v>0</v>
      </c>
      <c r="W10" s="34">
        <v>21000</v>
      </c>
      <c r="X10" s="36">
        <f>+W10*AZ10</f>
        <v>4981200</v>
      </c>
      <c r="Y10" s="34"/>
      <c r="Z10" s="34"/>
      <c r="AA10" s="34">
        <v>0</v>
      </c>
      <c r="AB10" s="36">
        <f>+AA10*AZ10</f>
        <v>0</v>
      </c>
      <c r="AC10" s="34">
        <v>16000</v>
      </c>
      <c r="AD10" s="36">
        <f>+AC10*AZ10</f>
        <v>3795200</v>
      </c>
      <c r="AE10" s="34">
        <v>1500</v>
      </c>
      <c r="AF10" s="36">
        <f>+AE10*AZ10</f>
        <v>355800</v>
      </c>
      <c r="AG10" s="34">
        <v>700</v>
      </c>
      <c r="AH10" s="36">
        <f>+AG10*AZ10</f>
        <v>166040</v>
      </c>
      <c r="AI10" s="34">
        <v>550</v>
      </c>
      <c r="AJ10" s="36">
        <f>+AI10*AZ10</f>
        <v>130460</v>
      </c>
      <c r="AK10" s="34"/>
      <c r="AL10" s="36">
        <f>+AK10*AZ10</f>
        <v>0</v>
      </c>
      <c r="AM10" s="34">
        <v>0</v>
      </c>
      <c r="AN10" s="36">
        <f>+AM10*AZ10</f>
        <v>0</v>
      </c>
      <c r="AO10" s="34">
        <v>0</v>
      </c>
      <c r="AP10" s="36">
        <f>+AO10*AZ10</f>
        <v>0</v>
      </c>
      <c r="AQ10" s="34">
        <v>31500</v>
      </c>
      <c r="AR10" s="36">
        <f>+AQ10*AZ10</f>
        <v>7471800</v>
      </c>
      <c r="AS10" s="35">
        <v>0</v>
      </c>
      <c r="AT10" s="36">
        <f>+AS10*AZ10</f>
        <v>0</v>
      </c>
      <c r="AU10" s="35">
        <v>1700</v>
      </c>
      <c r="AV10" s="36">
        <f>+AU10*AZ10</f>
        <v>403240</v>
      </c>
      <c r="AW10" s="55">
        <v>11000</v>
      </c>
      <c r="AX10" s="56">
        <f>+AW10*AZ10</f>
        <v>2609200</v>
      </c>
      <c r="AY10" s="29">
        <f t="shared" ref="AY10" si="0">+AQ10+AO10+AM10+AK10+AI10+AG10+AE10+AC10+AA10+Y10+W10+U10+S10+Q10+O10+M10+K10+I10+AS10+G10+AU10+AW10</f>
        <v>84900</v>
      </c>
      <c r="AZ10" s="47">
        <v>237.2</v>
      </c>
      <c r="BA10" s="25">
        <f>+AY10*AZ10</f>
        <v>20138280</v>
      </c>
      <c r="BB10" s="57" t="s">
        <v>57</v>
      </c>
      <c r="BC10" s="39"/>
      <c r="BD10" s="39"/>
      <c r="BE10" s="39"/>
    </row>
    <row r="11" spans="1:57" s="41" customFormat="1" thickBot="1" x14ac:dyDescent="0.35">
      <c r="A11" s="37"/>
      <c r="B11" s="49"/>
      <c r="C11" s="17"/>
      <c r="D11" s="17"/>
      <c r="E11" s="16" t="s">
        <v>53</v>
      </c>
      <c r="F11" s="17"/>
      <c r="G11" s="17"/>
      <c r="H11" s="17"/>
      <c r="I11" s="17"/>
      <c r="J11" s="38"/>
      <c r="K11" s="17"/>
      <c r="L11" s="17"/>
      <c r="M11" s="17"/>
      <c r="N11" s="17"/>
      <c r="O11" s="17"/>
      <c r="P11" s="38">
        <f t="shared" ref="P11" si="1">+O11*AZ11</f>
        <v>0</v>
      </c>
      <c r="Q11" s="17"/>
      <c r="R11" s="17"/>
      <c r="S11" s="18"/>
      <c r="T11" s="38"/>
      <c r="U11" s="17"/>
      <c r="V11" s="17"/>
      <c r="W11" s="17"/>
      <c r="X11" s="38"/>
      <c r="Y11" s="17"/>
      <c r="Z11" s="17"/>
      <c r="AA11" s="17"/>
      <c r="AB11" s="38"/>
      <c r="AC11" s="17"/>
      <c r="AD11" s="17"/>
      <c r="AE11" s="17"/>
      <c r="AF11" s="38"/>
      <c r="AG11" s="17"/>
      <c r="AH11" s="17"/>
      <c r="AI11" s="17"/>
      <c r="AJ11" s="38"/>
      <c r="AK11" s="17"/>
      <c r="AL11" s="17"/>
      <c r="AM11" s="17"/>
      <c r="AN11" s="38"/>
      <c r="AO11" s="17"/>
      <c r="AP11" s="17"/>
      <c r="AQ11" s="17"/>
      <c r="AR11" s="38"/>
      <c r="AS11" s="27"/>
      <c r="AT11" s="38"/>
      <c r="AU11" s="27"/>
      <c r="AV11" s="38"/>
      <c r="AW11" s="33"/>
      <c r="AX11" s="32"/>
      <c r="AY11" s="29"/>
      <c r="AZ11" s="38"/>
      <c r="BA11" s="48">
        <f>+SUM(BA10:BA10)</f>
        <v>20138280</v>
      </c>
      <c r="BB11" s="40"/>
    </row>
    <row r="13" spans="1:57" ht="15" thickBot="1" x14ac:dyDescent="0.35">
      <c r="N13" s="43"/>
      <c r="V13" s="43"/>
      <c r="AD13" s="54"/>
      <c r="AH13" s="43"/>
      <c r="AP13" s="54"/>
      <c r="AX13" s="54"/>
    </row>
    <row r="14" spans="1:57" ht="18" x14ac:dyDescent="0.3">
      <c r="C14" s="164" t="s">
        <v>66</v>
      </c>
      <c r="D14" s="165"/>
      <c r="E14" s="166"/>
    </row>
    <row r="15" spans="1:57" ht="67.5" customHeight="1" x14ac:dyDescent="0.3">
      <c r="C15" s="71" t="s">
        <v>67</v>
      </c>
      <c r="D15" s="167" t="s">
        <v>57</v>
      </c>
      <c r="E15" s="168"/>
    </row>
    <row r="16" spans="1:57" x14ac:dyDescent="0.3">
      <c r="C16" s="71"/>
      <c r="D16" s="72"/>
      <c r="E16" s="73"/>
    </row>
    <row r="17" spans="3:5" x14ac:dyDescent="0.3">
      <c r="C17" s="169" t="s">
        <v>597</v>
      </c>
      <c r="D17" s="170"/>
      <c r="E17" s="171"/>
    </row>
    <row r="18" spans="3:5" x14ac:dyDescent="0.3">
      <c r="C18" s="71"/>
      <c r="D18" s="72"/>
      <c r="E18" s="73"/>
    </row>
    <row r="19" spans="3:5" x14ac:dyDescent="0.3">
      <c r="C19" s="71" t="s">
        <v>68</v>
      </c>
      <c r="D19" s="74" t="s">
        <v>69</v>
      </c>
      <c r="E19" s="75"/>
    </row>
    <row r="20" spans="3:5" x14ac:dyDescent="0.3">
      <c r="C20" s="71"/>
      <c r="D20" s="76"/>
      <c r="E20" s="75"/>
    </row>
    <row r="21" spans="3:5" ht="44.25" customHeight="1" x14ac:dyDescent="0.3">
      <c r="C21" s="71" t="s">
        <v>70</v>
      </c>
      <c r="D21" s="167" t="s">
        <v>71</v>
      </c>
      <c r="E21" s="168"/>
    </row>
    <row r="22" spans="3:5" x14ac:dyDescent="0.3">
      <c r="C22" s="71"/>
      <c r="D22" s="77"/>
      <c r="E22" s="78"/>
    </row>
    <row r="23" spans="3:5" x14ac:dyDescent="0.3">
      <c r="C23" s="79" t="s">
        <v>72</v>
      </c>
      <c r="D23" s="80"/>
      <c r="E23" s="81"/>
    </row>
    <row r="24" spans="3:5" x14ac:dyDescent="0.3">
      <c r="C24" s="79"/>
      <c r="D24" s="80"/>
      <c r="E24" s="81"/>
    </row>
    <row r="25" spans="3:5" x14ac:dyDescent="0.3">
      <c r="C25" s="79" t="s">
        <v>73</v>
      </c>
      <c r="D25" s="172" t="s">
        <v>74</v>
      </c>
      <c r="E25" s="173"/>
    </row>
    <row r="26" spans="3:5" ht="15" thickBot="1" x14ac:dyDescent="0.35">
      <c r="C26" s="82"/>
      <c r="D26" s="83"/>
      <c r="E26" s="84"/>
    </row>
  </sheetData>
  <mergeCells count="10">
    <mergeCell ref="C14:E14"/>
    <mergeCell ref="D15:E15"/>
    <mergeCell ref="C17:E17"/>
    <mergeCell ref="D21:E21"/>
    <mergeCell ref="D25:E25"/>
    <mergeCell ref="A7:B7"/>
    <mergeCell ref="B2:AZ2"/>
    <mergeCell ref="A4:B4"/>
    <mergeCell ref="A5:B5"/>
    <mergeCell ref="A6:B6"/>
  </mergeCells>
  <conditionalFormatting sqref="B11">
    <cfRule type="duplicateValues" dxfId="13" priority="208"/>
  </conditionalFormatting>
  <conditionalFormatting sqref="E11">
    <cfRule type="duplicateValues" dxfId="12" priority="209"/>
  </conditionalFormatting>
  <conditionalFormatting sqref="E11">
    <cfRule type="duplicateValues" dxfId="11" priority="210"/>
    <cfRule type="duplicateValues" dxfId="10" priority="211"/>
  </conditionalFormatting>
  <conditionalFormatting sqref="E11 B11">
    <cfRule type="duplicateValues" dxfId="9" priority="212"/>
  </conditionalFormatting>
  <conditionalFormatting sqref="E11">
    <cfRule type="duplicateValues" dxfId="8" priority="213"/>
  </conditionalFormatting>
  <conditionalFormatting sqref="B1:B9 E1:E9">
    <cfRule type="duplicateValues" dxfId="7" priority="239"/>
  </conditionalFormatting>
  <conditionalFormatting sqref="E1:E9 B1:B9">
    <cfRule type="duplicateValues" dxfId="6" priority="240"/>
  </conditionalFormatting>
  <conditionalFormatting sqref="B1:B9">
    <cfRule type="duplicateValues" dxfId="5" priority="578"/>
  </conditionalFormatting>
  <conditionalFormatting sqref="E1:E9">
    <cfRule type="duplicateValues" dxfId="4" priority="579"/>
  </conditionalFormatting>
  <conditionalFormatting sqref="E1:E9">
    <cfRule type="duplicateValues" dxfId="3" priority="580"/>
    <cfRule type="duplicateValues" dxfId="2" priority="581"/>
  </conditionalFormatting>
  <conditionalFormatting sqref="C15:C25">
    <cfRule type="duplicateValues" dxfId="1" priority="1"/>
  </conditionalFormatting>
  <conditionalFormatting sqref="C15:C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opLeftCell="A143" workbookViewId="0">
      <selection activeCell="A176" sqref="A176:XFD176"/>
    </sheetView>
  </sheetViews>
  <sheetFormatPr baseColWidth="10" defaultColWidth="11.44140625" defaultRowHeight="14.4" x14ac:dyDescent="0.3"/>
  <cols>
    <col min="1" max="1" width="4" style="150" bestFit="1" customWidth="1"/>
    <col min="2" max="2" width="66.109375" style="150" bestFit="1" customWidth="1"/>
    <col min="3" max="3" width="12.88671875" style="150" customWidth="1"/>
    <col min="4" max="4" width="19.6640625" style="150" bestFit="1" customWidth="1"/>
    <col min="5" max="5" width="21.44140625" style="150" bestFit="1" customWidth="1"/>
    <col min="6" max="6" width="5" style="150" bestFit="1" customWidth="1"/>
    <col min="7" max="7" width="18.33203125" style="150" bestFit="1" customWidth="1"/>
    <col min="8" max="16384" width="11.44140625" style="150"/>
  </cols>
  <sheetData>
    <row r="1" spans="1:10" ht="18" x14ac:dyDescent="0.35">
      <c r="A1" s="180" t="s">
        <v>615</v>
      </c>
      <c r="B1" s="180"/>
      <c r="C1" s="180"/>
      <c r="D1" s="180"/>
      <c r="E1" s="180"/>
      <c r="F1" s="180"/>
      <c r="G1" s="180"/>
      <c r="H1" s="151"/>
      <c r="I1" s="85"/>
      <c r="J1" s="85"/>
    </row>
    <row r="2" spans="1:10" ht="18" x14ac:dyDescent="0.3">
      <c r="A2" s="24"/>
      <c r="B2" s="24"/>
      <c r="C2" s="157"/>
      <c r="D2" s="157"/>
      <c r="E2" s="157"/>
      <c r="F2" s="157"/>
      <c r="G2" s="157"/>
      <c r="H2" s="151"/>
      <c r="I2" s="85"/>
      <c r="J2" s="85"/>
    </row>
    <row r="3" spans="1:10" ht="15.6" x14ac:dyDescent="0.3">
      <c r="A3" s="158"/>
      <c r="B3" s="158" t="s">
        <v>75</v>
      </c>
      <c r="C3" s="158" t="s">
        <v>76</v>
      </c>
      <c r="D3" s="158" t="s">
        <v>77</v>
      </c>
      <c r="E3" s="158" t="s">
        <v>408</v>
      </c>
      <c r="F3" s="158" t="s">
        <v>78</v>
      </c>
      <c r="G3" s="158" t="s">
        <v>616</v>
      </c>
      <c r="H3" s="85"/>
      <c r="I3" s="85"/>
      <c r="J3" s="85"/>
    </row>
    <row r="4" spans="1:10" x14ac:dyDescent="0.3">
      <c r="A4" s="159">
        <v>1</v>
      </c>
      <c r="B4" s="159" t="s">
        <v>479</v>
      </c>
      <c r="C4" s="160" t="s">
        <v>480</v>
      </c>
      <c r="D4" s="160">
        <v>7166186</v>
      </c>
      <c r="E4" s="160" t="s">
        <v>481</v>
      </c>
      <c r="F4" s="160">
        <v>2014</v>
      </c>
      <c r="G4" s="160" t="s">
        <v>617</v>
      </c>
      <c r="H4" s="85"/>
      <c r="I4" s="85"/>
      <c r="J4" s="85"/>
    </row>
    <row r="5" spans="1:10" x14ac:dyDescent="0.3">
      <c r="A5" s="159">
        <v>2</v>
      </c>
      <c r="B5" s="159" t="s">
        <v>479</v>
      </c>
      <c r="C5" s="160" t="s">
        <v>482</v>
      </c>
      <c r="D5" s="160">
        <v>7167174</v>
      </c>
      <c r="E5" s="160" t="s">
        <v>483</v>
      </c>
      <c r="F5" s="160">
        <v>2014</v>
      </c>
      <c r="G5" s="160" t="s">
        <v>617</v>
      </c>
      <c r="H5" s="85"/>
      <c r="I5" s="85"/>
      <c r="J5" s="85"/>
    </row>
    <row r="6" spans="1:10" x14ac:dyDescent="0.3">
      <c r="A6" s="159">
        <v>3</v>
      </c>
      <c r="B6" s="159" t="s">
        <v>479</v>
      </c>
      <c r="C6" s="160" t="s">
        <v>484</v>
      </c>
      <c r="D6" s="160">
        <v>7188314</v>
      </c>
      <c r="E6" s="160" t="s">
        <v>485</v>
      </c>
      <c r="F6" s="160">
        <v>2014</v>
      </c>
      <c r="G6" s="160" t="s">
        <v>617</v>
      </c>
      <c r="H6" s="85"/>
      <c r="I6" s="85"/>
      <c r="J6" s="85"/>
    </row>
    <row r="7" spans="1:10" x14ac:dyDescent="0.3">
      <c r="A7" s="159">
        <v>4</v>
      </c>
      <c r="B7" s="159" t="s">
        <v>479</v>
      </c>
      <c r="C7" s="160" t="s">
        <v>486</v>
      </c>
      <c r="D7" s="160">
        <v>72497599</v>
      </c>
      <c r="E7" s="160" t="s">
        <v>487</v>
      </c>
      <c r="F7" s="160">
        <v>2017</v>
      </c>
      <c r="G7" s="160" t="s">
        <v>617</v>
      </c>
      <c r="H7" s="85"/>
      <c r="I7" s="85"/>
      <c r="J7" s="85"/>
    </row>
    <row r="8" spans="1:10" x14ac:dyDescent="0.3">
      <c r="A8" s="159">
        <v>5</v>
      </c>
      <c r="B8" s="159" t="s">
        <v>488</v>
      </c>
      <c r="C8" s="160" t="s">
        <v>489</v>
      </c>
      <c r="D8" s="160">
        <v>72497500</v>
      </c>
      <c r="E8" s="160" t="s">
        <v>490</v>
      </c>
      <c r="F8" s="160">
        <v>2017</v>
      </c>
      <c r="G8" s="160" t="s">
        <v>617</v>
      </c>
      <c r="H8" s="85"/>
      <c r="I8" s="85"/>
      <c r="J8" s="85"/>
    </row>
    <row r="9" spans="1:10" x14ac:dyDescent="0.3">
      <c r="A9" s="159">
        <v>6</v>
      </c>
      <c r="B9" s="159" t="s">
        <v>479</v>
      </c>
      <c r="C9" s="160" t="s">
        <v>491</v>
      </c>
      <c r="D9" s="160">
        <v>7155140</v>
      </c>
      <c r="E9" s="160" t="s">
        <v>277</v>
      </c>
      <c r="F9" s="160">
        <v>2013</v>
      </c>
      <c r="G9" s="160" t="s">
        <v>617</v>
      </c>
      <c r="H9" s="85"/>
      <c r="I9" s="85"/>
      <c r="J9" s="85"/>
    </row>
    <row r="10" spans="1:10" x14ac:dyDescent="0.3">
      <c r="A10" s="159">
        <v>7</v>
      </c>
      <c r="B10" s="159" t="s">
        <v>479</v>
      </c>
      <c r="C10" s="160" t="s">
        <v>492</v>
      </c>
      <c r="D10" s="160">
        <v>7257521</v>
      </c>
      <c r="E10" s="160" t="s">
        <v>493</v>
      </c>
      <c r="F10" s="160">
        <v>2017</v>
      </c>
      <c r="G10" s="160" t="s">
        <v>617</v>
      </c>
      <c r="H10" s="85"/>
      <c r="I10" s="85"/>
      <c r="J10" s="85"/>
    </row>
    <row r="11" spans="1:10" x14ac:dyDescent="0.3">
      <c r="A11" s="159">
        <v>8</v>
      </c>
      <c r="B11" s="159" t="s">
        <v>479</v>
      </c>
      <c r="C11" s="160" t="s">
        <v>494</v>
      </c>
      <c r="D11" s="160">
        <v>7257618</v>
      </c>
      <c r="E11" s="160" t="s">
        <v>618</v>
      </c>
      <c r="F11" s="160">
        <v>2017</v>
      </c>
      <c r="G11" s="160" t="s">
        <v>617</v>
      </c>
      <c r="H11" s="85"/>
      <c r="I11" s="85"/>
      <c r="J11" s="85"/>
    </row>
    <row r="12" spans="1:10" x14ac:dyDescent="0.3">
      <c r="A12" s="159">
        <v>9</v>
      </c>
      <c r="B12" s="159" t="s">
        <v>495</v>
      </c>
      <c r="C12" s="160" t="s">
        <v>496</v>
      </c>
      <c r="D12" s="160" t="s">
        <v>497</v>
      </c>
      <c r="E12" s="160" t="s">
        <v>498</v>
      </c>
      <c r="F12" s="160">
        <v>2019</v>
      </c>
      <c r="G12" s="160" t="s">
        <v>617</v>
      </c>
      <c r="H12" s="85"/>
      <c r="I12" s="85"/>
      <c r="J12" s="85"/>
    </row>
    <row r="13" spans="1:10" x14ac:dyDescent="0.3">
      <c r="A13" s="159">
        <v>10</v>
      </c>
      <c r="B13" s="159" t="s">
        <v>495</v>
      </c>
      <c r="C13" s="160" t="s">
        <v>499</v>
      </c>
      <c r="D13" s="160" t="s">
        <v>500</v>
      </c>
      <c r="E13" s="160" t="s">
        <v>501</v>
      </c>
      <c r="F13" s="160">
        <v>2019</v>
      </c>
      <c r="G13" s="160" t="s">
        <v>617</v>
      </c>
      <c r="H13" s="85"/>
      <c r="I13" s="85"/>
      <c r="J13" s="85"/>
    </row>
    <row r="14" spans="1:10" x14ac:dyDescent="0.3">
      <c r="A14" s="159">
        <v>11</v>
      </c>
      <c r="B14" s="159" t="s">
        <v>502</v>
      </c>
      <c r="C14" s="160" t="s">
        <v>503</v>
      </c>
      <c r="D14" s="160" t="s">
        <v>504</v>
      </c>
      <c r="E14" s="160" t="s">
        <v>505</v>
      </c>
      <c r="F14" s="160">
        <v>2013</v>
      </c>
      <c r="G14" s="160" t="s">
        <v>617</v>
      </c>
      <c r="H14" s="85"/>
      <c r="I14" s="85"/>
      <c r="J14" s="85"/>
    </row>
    <row r="15" spans="1:10" x14ac:dyDescent="0.3">
      <c r="A15" s="159">
        <v>12</v>
      </c>
      <c r="B15" s="159" t="s">
        <v>506</v>
      </c>
      <c r="C15" s="160" t="s">
        <v>507</v>
      </c>
      <c r="D15" s="160" t="s">
        <v>508</v>
      </c>
      <c r="E15" s="160" t="s">
        <v>509</v>
      </c>
      <c r="F15" s="160">
        <v>2013</v>
      </c>
      <c r="G15" s="160" t="s">
        <v>617</v>
      </c>
      <c r="H15" s="85"/>
      <c r="I15" s="85"/>
      <c r="J15" s="85"/>
    </row>
    <row r="16" spans="1:10" x14ac:dyDescent="0.3">
      <c r="A16" s="159">
        <v>13</v>
      </c>
      <c r="B16" s="159" t="s">
        <v>619</v>
      </c>
      <c r="C16" s="160" t="s">
        <v>510</v>
      </c>
      <c r="D16" s="161">
        <v>61198170090932</v>
      </c>
      <c r="E16" s="160" t="s">
        <v>511</v>
      </c>
      <c r="F16" s="160">
        <v>2008</v>
      </c>
      <c r="G16" s="160" t="s">
        <v>620</v>
      </c>
      <c r="H16" s="85"/>
      <c r="I16" s="85"/>
      <c r="J16" s="85"/>
    </row>
    <row r="17" spans="1:10" x14ac:dyDescent="0.3">
      <c r="A17" s="159">
        <v>14</v>
      </c>
      <c r="B17" s="159" t="s">
        <v>512</v>
      </c>
      <c r="C17" s="160" t="s">
        <v>513</v>
      </c>
      <c r="D17" s="160" t="s">
        <v>514</v>
      </c>
      <c r="E17" s="160" t="s">
        <v>515</v>
      </c>
      <c r="F17" s="160">
        <v>2011</v>
      </c>
      <c r="G17" s="160" t="s">
        <v>621</v>
      </c>
      <c r="H17" s="85"/>
      <c r="I17" s="85"/>
      <c r="J17" s="85"/>
    </row>
    <row r="18" spans="1:10" x14ac:dyDescent="0.3">
      <c r="A18" s="159">
        <v>15</v>
      </c>
      <c r="B18" s="159" t="s">
        <v>516</v>
      </c>
      <c r="C18" s="160" t="s">
        <v>517</v>
      </c>
      <c r="D18" s="161">
        <v>37290710141314</v>
      </c>
      <c r="E18" s="161">
        <v>38400712097854</v>
      </c>
      <c r="F18" s="160">
        <v>1993</v>
      </c>
      <c r="G18" s="160" t="s">
        <v>620</v>
      </c>
      <c r="H18" s="85"/>
      <c r="I18" s="85"/>
      <c r="J18" s="85"/>
    </row>
    <row r="19" spans="1:10" x14ac:dyDescent="0.3">
      <c r="A19" s="159">
        <v>16</v>
      </c>
      <c r="B19" s="159" t="s">
        <v>622</v>
      </c>
      <c r="C19" s="160" t="s">
        <v>623</v>
      </c>
      <c r="D19" s="160"/>
      <c r="E19" s="160"/>
      <c r="F19" s="160"/>
      <c r="G19" s="160" t="s">
        <v>621</v>
      </c>
      <c r="H19" s="85"/>
      <c r="I19" s="85"/>
      <c r="J19" s="85"/>
    </row>
    <row r="20" spans="1:10" x14ac:dyDescent="0.3">
      <c r="A20" s="159">
        <v>17</v>
      </c>
      <c r="B20" s="159" t="s">
        <v>541</v>
      </c>
      <c r="C20" s="160" t="s">
        <v>542</v>
      </c>
      <c r="D20" s="160" t="s">
        <v>543</v>
      </c>
      <c r="E20" s="160" t="s">
        <v>544</v>
      </c>
      <c r="F20" s="160">
        <v>2018</v>
      </c>
      <c r="G20" s="160" t="s">
        <v>620</v>
      </c>
      <c r="H20" s="85"/>
      <c r="I20" s="85"/>
      <c r="J20" s="85"/>
    </row>
    <row r="21" spans="1:10" x14ac:dyDescent="0.3">
      <c r="A21" s="159">
        <v>18</v>
      </c>
      <c r="B21" s="159" t="s">
        <v>624</v>
      </c>
      <c r="C21" s="160" t="s">
        <v>625</v>
      </c>
      <c r="D21" s="160" t="s">
        <v>626</v>
      </c>
      <c r="E21" s="160" t="s">
        <v>627</v>
      </c>
      <c r="F21" s="160">
        <v>2008</v>
      </c>
      <c r="G21" s="160" t="s">
        <v>620</v>
      </c>
      <c r="H21" s="85"/>
      <c r="I21" s="85"/>
      <c r="J21" s="85"/>
    </row>
    <row r="22" spans="1:10" x14ac:dyDescent="0.3">
      <c r="A22" s="159">
        <v>19</v>
      </c>
      <c r="B22" s="159" t="s">
        <v>417</v>
      </c>
      <c r="C22" s="160" t="s">
        <v>418</v>
      </c>
      <c r="D22" s="160" t="s">
        <v>419</v>
      </c>
      <c r="E22" s="160" t="s">
        <v>420</v>
      </c>
      <c r="F22" s="160">
        <v>2018</v>
      </c>
      <c r="G22" s="160" t="s">
        <v>620</v>
      </c>
      <c r="H22" s="85"/>
      <c r="I22" s="85"/>
      <c r="J22" s="85"/>
    </row>
    <row r="23" spans="1:10" x14ac:dyDescent="0.3">
      <c r="A23" s="159">
        <v>20</v>
      </c>
      <c r="B23" s="159" t="s">
        <v>421</v>
      </c>
      <c r="C23" s="160" t="s">
        <v>422</v>
      </c>
      <c r="D23" s="160" t="s">
        <v>423</v>
      </c>
      <c r="E23" s="160" t="s">
        <v>424</v>
      </c>
      <c r="F23" s="160">
        <v>2007</v>
      </c>
      <c r="G23" s="160" t="s">
        <v>620</v>
      </c>
      <c r="H23" s="85"/>
      <c r="I23" s="85"/>
      <c r="J23" s="85"/>
    </row>
    <row r="24" spans="1:10" x14ac:dyDescent="0.3">
      <c r="A24" s="159">
        <v>21</v>
      </c>
      <c r="B24" s="159" t="s">
        <v>628</v>
      </c>
      <c r="C24" s="160" t="s">
        <v>629</v>
      </c>
      <c r="D24" s="160" t="s">
        <v>630</v>
      </c>
      <c r="E24" s="160" t="s">
        <v>631</v>
      </c>
      <c r="F24" s="160">
        <v>2006</v>
      </c>
      <c r="G24" s="160" t="s">
        <v>620</v>
      </c>
      <c r="H24" s="85"/>
      <c r="I24" s="85"/>
      <c r="J24" s="85"/>
    </row>
    <row r="25" spans="1:10" x14ac:dyDescent="0.3">
      <c r="A25" s="159">
        <v>22</v>
      </c>
      <c r="B25" s="159" t="s">
        <v>632</v>
      </c>
      <c r="C25" s="160" t="s">
        <v>633</v>
      </c>
      <c r="D25" s="160">
        <v>36214211157</v>
      </c>
      <c r="E25" s="160" t="s">
        <v>634</v>
      </c>
      <c r="F25" s="160">
        <v>2007</v>
      </c>
      <c r="G25" s="160" t="s">
        <v>635</v>
      </c>
      <c r="H25" s="85"/>
      <c r="I25" s="85"/>
      <c r="J25" s="85"/>
    </row>
    <row r="26" spans="1:10" x14ac:dyDescent="0.3">
      <c r="A26" s="159">
        <v>23</v>
      </c>
      <c r="B26" s="159" t="s">
        <v>636</v>
      </c>
      <c r="C26" s="160" t="s">
        <v>637</v>
      </c>
      <c r="D26" s="160" t="s">
        <v>638</v>
      </c>
      <c r="E26" s="160" t="s">
        <v>639</v>
      </c>
      <c r="F26" s="160">
        <v>2015</v>
      </c>
      <c r="G26" s="160" t="s">
        <v>635</v>
      </c>
      <c r="H26" s="85"/>
      <c r="I26" s="85"/>
      <c r="J26" s="85"/>
    </row>
    <row r="27" spans="1:10" x14ac:dyDescent="0.3">
      <c r="A27" s="159">
        <v>24</v>
      </c>
      <c r="B27" s="159" t="s">
        <v>79</v>
      </c>
      <c r="C27" s="160" t="s">
        <v>80</v>
      </c>
      <c r="D27" s="160" t="s">
        <v>81</v>
      </c>
      <c r="E27" s="160" t="s">
        <v>82</v>
      </c>
      <c r="F27" s="160">
        <v>2015</v>
      </c>
      <c r="G27" s="160" t="s">
        <v>620</v>
      </c>
      <c r="H27" s="85"/>
      <c r="I27" s="85"/>
      <c r="J27" s="85"/>
    </row>
    <row r="28" spans="1:10" x14ac:dyDescent="0.3">
      <c r="A28" s="159">
        <v>25</v>
      </c>
      <c r="B28" s="159" t="s">
        <v>409</v>
      </c>
      <c r="C28" s="160" t="s">
        <v>410</v>
      </c>
      <c r="D28" s="160" t="s">
        <v>640</v>
      </c>
      <c r="E28" s="160" t="s">
        <v>641</v>
      </c>
      <c r="F28" s="160">
        <v>2009</v>
      </c>
      <c r="G28" s="160" t="s">
        <v>620</v>
      </c>
      <c r="H28" s="85"/>
      <c r="I28" s="85"/>
      <c r="J28" s="85"/>
    </row>
    <row r="29" spans="1:10" x14ac:dyDescent="0.3">
      <c r="A29" s="159">
        <v>26</v>
      </c>
      <c r="B29" s="159" t="s">
        <v>411</v>
      </c>
      <c r="C29" s="160" t="s">
        <v>412</v>
      </c>
      <c r="D29" s="160" t="s">
        <v>642</v>
      </c>
      <c r="E29" s="160" t="s">
        <v>413</v>
      </c>
      <c r="F29" s="160">
        <v>2005</v>
      </c>
      <c r="G29" s="160" t="s">
        <v>620</v>
      </c>
      <c r="H29" s="85"/>
      <c r="I29" s="85"/>
      <c r="J29" s="85"/>
    </row>
    <row r="30" spans="1:10" x14ac:dyDescent="0.3">
      <c r="A30" s="159">
        <v>27</v>
      </c>
      <c r="B30" s="159" t="s">
        <v>414</v>
      </c>
      <c r="C30" s="160" t="s">
        <v>415</v>
      </c>
      <c r="D30" s="160" t="s">
        <v>643</v>
      </c>
      <c r="E30" s="160" t="s">
        <v>416</v>
      </c>
      <c r="F30" s="160">
        <v>2017</v>
      </c>
      <c r="G30" s="160" t="s">
        <v>620</v>
      </c>
      <c r="H30" s="85"/>
      <c r="I30" s="85"/>
      <c r="J30" s="85"/>
    </row>
    <row r="31" spans="1:10" x14ac:dyDescent="0.3">
      <c r="A31" s="159">
        <v>28</v>
      </c>
      <c r="B31" s="159" t="s">
        <v>552</v>
      </c>
      <c r="C31" s="160" t="s">
        <v>553</v>
      </c>
      <c r="D31" s="160" t="s">
        <v>554</v>
      </c>
      <c r="E31" s="160" t="s">
        <v>555</v>
      </c>
      <c r="F31" s="160">
        <v>2007</v>
      </c>
      <c r="G31" s="160" t="s">
        <v>620</v>
      </c>
      <c r="H31" s="85"/>
      <c r="I31" s="85"/>
      <c r="J31" s="85"/>
    </row>
    <row r="32" spans="1:10" x14ac:dyDescent="0.3">
      <c r="A32" s="159">
        <v>29</v>
      </c>
      <c r="B32" s="159" t="s">
        <v>425</v>
      </c>
      <c r="C32" s="160" t="s">
        <v>426</v>
      </c>
      <c r="D32" s="160" t="s">
        <v>427</v>
      </c>
      <c r="E32" s="160" t="s">
        <v>428</v>
      </c>
      <c r="F32" s="160">
        <v>2000</v>
      </c>
      <c r="G32" s="160" t="s">
        <v>620</v>
      </c>
      <c r="H32" s="85"/>
      <c r="I32" s="85"/>
      <c r="J32" s="85"/>
    </row>
    <row r="33" spans="1:10" x14ac:dyDescent="0.3">
      <c r="A33" s="159">
        <v>30</v>
      </c>
      <c r="B33" s="159" t="s">
        <v>429</v>
      </c>
      <c r="C33" s="160" t="s">
        <v>430</v>
      </c>
      <c r="D33" s="160" t="s">
        <v>431</v>
      </c>
      <c r="E33" s="160" t="s">
        <v>432</v>
      </c>
      <c r="F33" s="160">
        <v>2007</v>
      </c>
      <c r="G33" s="160" t="s">
        <v>620</v>
      </c>
      <c r="H33" s="85"/>
      <c r="I33" s="85"/>
      <c r="J33" s="85"/>
    </row>
    <row r="34" spans="1:10" x14ac:dyDescent="0.3">
      <c r="A34" s="159">
        <v>31</v>
      </c>
      <c r="B34" s="159" t="s">
        <v>433</v>
      </c>
      <c r="C34" s="160" t="s">
        <v>434</v>
      </c>
      <c r="D34" s="160" t="s">
        <v>435</v>
      </c>
      <c r="E34" s="160" t="s">
        <v>436</v>
      </c>
      <c r="F34" s="160">
        <v>2007</v>
      </c>
      <c r="G34" s="160" t="s">
        <v>620</v>
      </c>
      <c r="H34" s="85"/>
      <c r="I34" s="85"/>
      <c r="J34" s="85"/>
    </row>
    <row r="35" spans="1:10" x14ac:dyDescent="0.3">
      <c r="A35" s="159">
        <v>32</v>
      </c>
      <c r="B35" s="159" t="s">
        <v>437</v>
      </c>
      <c r="C35" s="160" t="s">
        <v>438</v>
      </c>
      <c r="D35" s="160" t="s">
        <v>439</v>
      </c>
      <c r="E35" s="160" t="s">
        <v>440</v>
      </c>
      <c r="F35" s="160">
        <v>2010</v>
      </c>
      <c r="G35" s="160" t="s">
        <v>620</v>
      </c>
      <c r="H35" s="85"/>
      <c r="I35" s="85"/>
      <c r="J35" s="85"/>
    </row>
    <row r="36" spans="1:10" x14ac:dyDescent="0.3">
      <c r="A36" s="159">
        <v>33</v>
      </c>
      <c r="B36" s="159" t="s">
        <v>441</v>
      </c>
      <c r="C36" s="160" t="s">
        <v>442</v>
      </c>
      <c r="D36" s="160" t="s">
        <v>443</v>
      </c>
      <c r="E36" s="160" t="s">
        <v>444</v>
      </c>
      <c r="F36" s="160">
        <v>2012</v>
      </c>
      <c r="G36" s="160" t="s">
        <v>620</v>
      </c>
      <c r="H36" s="85"/>
      <c r="I36" s="85"/>
      <c r="J36" s="85"/>
    </row>
    <row r="37" spans="1:10" x14ac:dyDescent="0.3">
      <c r="A37" s="159">
        <v>34</v>
      </c>
      <c r="B37" s="159" t="s">
        <v>445</v>
      </c>
      <c r="C37" s="160" t="s">
        <v>446</v>
      </c>
      <c r="D37" s="160">
        <v>7253701</v>
      </c>
      <c r="E37" s="160" t="s">
        <v>447</v>
      </c>
      <c r="F37" s="160">
        <v>2017</v>
      </c>
      <c r="G37" s="160" t="s">
        <v>635</v>
      </c>
      <c r="H37" s="85"/>
      <c r="I37" s="85"/>
      <c r="J37" s="85"/>
    </row>
    <row r="38" spans="1:10" x14ac:dyDescent="0.3">
      <c r="A38" s="159">
        <v>35</v>
      </c>
      <c r="B38" s="159" t="s">
        <v>451</v>
      </c>
      <c r="C38" s="160" t="s">
        <v>452</v>
      </c>
      <c r="D38" s="160" t="s">
        <v>453</v>
      </c>
      <c r="E38" s="160" t="s">
        <v>454</v>
      </c>
      <c r="F38" s="160">
        <v>1999</v>
      </c>
      <c r="G38" s="160" t="s">
        <v>620</v>
      </c>
      <c r="H38" s="85"/>
      <c r="I38" s="85"/>
      <c r="J38" s="85"/>
    </row>
    <row r="39" spans="1:10" x14ac:dyDescent="0.3">
      <c r="A39" s="159">
        <v>36</v>
      </c>
      <c r="B39" s="159" t="s">
        <v>644</v>
      </c>
      <c r="C39" s="160" t="s">
        <v>469</v>
      </c>
      <c r="D39" s="160" t="s">
        <v>470</v>
      </c>
      <c r="E39" s="160" t="s">
        <v>471</v>
      </c>
      <c r="F39" s="160">
        <v>2017</v>
      </c>
      <c r="G39" s="160" t="s">
        <v>620</v>
      </c>
      <c r="H39" s="85"/>
      <c r="I39" s="85"/>
      <c r="J39" s="85"/>
    </row>
    <row r="40" spans="1:10" x14ac:dyDescent="0.3">
      <c r="A40" s="159">
        <v>37</v>
      </c>
      <c r="B40" s="159" t="s">
        <v>645</v>
      </c>
      <c r="C40" s="160" t="s">
        <v>448</v>
      </c>
      <c r="D40" s="160" t="s">
        <v>449</v>
      </c>
      <c r="E40" s="160" t="s">
        <v>450</v>
      </c>
      <c r="F40" s="160">
        <v>2010</v>
      </c>
      <c r="G40" s="160" t="s">
        <v>620</v>
      </c>
      <c r="H40" s="85"/>
      <c r="I40" s="85"/>
      <c r="J40" s="85"/>
    </row>
    <row r="41" spans="1:10" x14ac:dyDescent="0.3">
      <c r="A41" s="159">
        <v>38</v>
      </c>
      <c r="B41" s="159" t="s">
        <v>534</v>
      </c>
      <c r="C41" s="160" t="s">
        <v>535</v>
      </c>
      <c r="D41" s="160" t="s">
        <v>536</v>
      </c>
      <c r="E41" s="160" t="s">
        <v>537</v>
      </c>
      <c r="F41" s="160">
        <v>2018</v>
      </c>
      <c r="G41" s="160" t="s">
        <v>620</v>
      </c>
      <c r="H41" s="85"/>
      <c r="I41" s="85"/>
      <c r="J41" s="85"/>
    </row>
    <row r="42" spans="1:10" x14ac:dyDescent="0.3">
      <c r="A42" s="159">
        <v>39</v>
      </c>
      <c r="B42" s="159" t="s">
        <v>530</v>
      </c>
      <c r="C42" s="160" t="s">
        <v>531</v>
      </c>
      <c r="D42" s="160" t="s">
        <v>532</v>
      </c>
      <c r="E42" s="160" t="s">
        <v>533</v>
      </c>
      <c r="F42" s="160">
        <v>2015</v>
      </c>
      <c r="G42" s="160" t="s">
        <v>620</v>
      </c>
      <c r="H42" s="85"/>
      <c r="I42" s="85"/>
      <c r="J42" s="85"/>
    </row>
    <row r="43" spans="1:10" x14ac:dyDescent="0.3">
      <c r="A43" s="159">
        <v>40</v>
      </c>
      <c r="B43" s="159" t="s">
        <v>646</v>
      </c>
      <c r="C43" s="160" t="s">
        <v>647</v>
      </c>
      <c r="D43" s="160">
        <v>7257339</v>
      </c>
      <c r="E43" s="160" t="s">
        <v>648</v>
      </c>
      <c r="F43" s="160">
        <v>2018</v>
      </c>
      <c r="G43" s="160" t="s">
        <v>635</v>
      </c>
      <c r="H43" s="85"/>
      <c r="I43" s="85"/>
      <c r="J43" s="85"/>
    </row>
    <row r="44" spans="1:10" x14ac:dyDescent="0.3">
      <c r="A44" s="159">
        <v>41</v>
      </c>
      <c r="B44" s="159" t="s">
        <v>548</v>
      </c>
      <c r="C44" s="160" t="s">
        <v>549</v>
      </c>
      <c r="D44" s="160" t="s">
        <v>550</v>
      </c>
      <c r="E44" s="160" t="s">
        <v>551</v>
      </c>
      <c r="F44" s="160">
        <v>2019</v>
      </c>
      <c r="G44" s="160" t="s">
        <v>620</v>
      </c>
      <c r="H44" s="85"/>
      <c r="I44" s="85"/>
      <c r="J44" s="85"/>
    </row>
    <row r="45" spans="1:10" x14ac:dyDescent="0.3">
      <c r="A45" s="159">
        <v>42</v>
      </c>
      <c r="B45" s="159" t="s">
        <v>649</v>
      </c>
      <c r="C45" s="160" t="s">
        <v>650</v>
      </c>
      <c r="D45" s="160">
        <v>7191895</v>
      </c>
      <c r="E45" s="160" t="s">
        <v>651</v>
      </c>
      <c r="F45" s="160">
        <v>2014</v>
      </c>
      <c r="G45" s="160" t="s">
        <v>620</v>
      </c>
      <c r="H45" s="85"/>
      <c r="I45" s="85"/>
      <c r="J45" s="85"/>
    </row>
    <row r="46" spans="1:10" x14ac:dyDescent="0.3">
      <c r="A46" s="159">
        <v>43</v>
      </c>
      <c r="B46" s="159" t="s">
        <v>652</v>
      </c>
      <c r="C46" s="160" t="s">
        <v>653</v>
      </c>
      <c r="D46" s="161">
        <v>61198170071973</v>
      </c>
      <c r="E46" s="160" t="s">
        <v>654</v>
      </c>
      <c r="F46" s="160">
        <v>2008</v>
      </c>
      <c r="G46" s="160" t="s">
        <v>620</v>
      </c>
      <c r="H46" s="85"/>
      <c r="I46" s="85"/>
      <c r="J46" s="85"/>
    </row>
    <row r="47" spans="1:10" x14ac:dyDescent="0.3">
      <c r="A47" s="159">
        <v>44</v>
      </c>
      <c r="B47" s="159" t="s">
        <v>545</v>
      </c>
      <c r="C47" s="160" t="s">
        <v>546</v>
      </c>
      <c r="D47" s="161">
        <v>61198170074409</v>
      </c>
      <c r="E47" s="160" t="s">
        <v>547</v>
      </c>
      <c r="F47" s="160">
        <v>2008</v>
      </c>
      <c r="G47" s="160" t="s">
        <v>620</v>
      </c>
      <c r="H47" s="85"/>
      <c r="I47" s="85"/>
      <c r="J47" s="85"/>
    </row>
    <row r="48" spans="1:10" x14ac:dyDescent="0.3">
      <c r="A48" s="159">
        <v>45</v>
      </c>
      <c r="B48" s="159" t="s">
        <v>655</v>
      </c>
      <c r="C48" s="160" t="s">
        <v>656</v>
      </c>
      <c r="D48" s="160">
        <v>37112506669</v>
      </c>
      <c r="E48" s="160" t="s">
        <v>657</v>
      </c>
      <c r="F48" s="160">
        <v>1997</v>
      </c>
      <c r="G48" s="160" t="s">
        <v>620</v>
      </c>
      <c r="H48" s="85"/>
      <c r="I48" s="85"/>
      <c r="J48" s="85"/>
    </row>
    <row r="49" spans="1:10" x14ac:dyDescent="0.3">
      <c r="A49" s="159">
        <v>46</v>
      </c>
      <c r="B49" s="159" t="s">
        <v>512</v>
      </c>
      <c r="C49" s="160" t="s">
        <v>524</v>
      </c>
      <c r="D49" s="160" t="s">
        <v>525</v>
      </c>
      <c r="E49" s="160" t="s">
        <v>526</v>
      </c>
      <c r="F49" s="160">
        <v>2011</v>
      </c>
      <c r="G49" s="160" t="s">
        <v>620</v>
      </c>
      <c r="H49" s="85"/>
      <c r="I49" s="85"/>
      <c r="J49" s="85"/>
    </row>
    <row r="50" spans="1:10" x14ac:dyDescent="0.3">
      <c r="A50" s="159">
        <v>47</v>
      </c>
      <c r="B50" s="159" t="s">
        <v>658</v>
      </c>
      <c r="C50" s="160" t="s">
        <v>659</v>
      </c>
      <c r="D50" s="160" t="s">
        <v>660</v>
      </c>
      <c r="E50" s="160" t="s">
        <v>661</v>
      </c>
      <c r="F50" s="160">
        <v>2006</v>
      </c>
      <c r="G50" s="160" t="s">
        <v>620</v>
      </c>
      <c r="H50" s="85"/>
      <c r="I50" s="85"/>
      <c r="J50" s="85"/>
    </row>
    <row r="51" spans="1:10" x14ac:dyDescent="0.3">
      <c r="A51" s="159">
        <v>48</v>
      </c>
      <c r="B51" s="159" t="s">
        <v>662</v>
      </c>
      <c r="C51" s="160" t="s">
        <v>663</v>
      </c>
      <c r="D51" s="160" t="s">
        <v>664</v>
      </c>
      <c r="E51" s="160" t="s">
        <v>665</v>
      </c>
      <c r="F51" s="160">
        <v>2013</v>
      </c>
      <c r="G51" s="160" t="s">
        <v>620</v>
      </c>
      <c r="H51" s="85"/>
      <c r="I51" s="85"/>
      <c r="J51" s="85"/>
    </row>
    <row r="52" spans="1:10" x14ac:dyDescent="0.3">
      <c r="A52" s="159">
        <v>49</v>
      </c>
      <c r="B52" s="159" t="s">
        <v>437</v>
      </c>
      <c r="C52" s="160" t="s">
        <v>538</v>
      </c>
      <c r="D52" s="160" t="s">
        <v>539</v>
      </c>
      <c r="E52" s="160" t="s">
        <v>540</v>
      </c>
      <c r="F52" s="160">
        <v>2009</v>
      </c>
      <c r="G52" s="160" t="s">
        <v>620</v>
      </c>
      <c r="H52" s="85"/>
      <c r="I52" s="85"/>
      <c r="J52" s="85"/>
    </row>
    <row r="53" spans="1:10" x14ac:dyDescent="0.3">
      <c r="A53" s="159">
        <v>50</v>
      </c>
      <c r="B53" s="159" t="s">
        <v>455</v>
      </c>
      <c r="C53" s="160" t="s">
        <v>456</v>
      </c>
      <c r="D53" s="160" t="s">
        <v>666</v>
      </c>
      <c r="E53" s="160" t="s">
        <v>457</v>
      </c>
      <c r="F53" s="160">
        <v>2010</v>
      </c>
      <c r="G53" s="160" t="s">
        <v>620</v>
      </c>
      <c r="H53" s="85"/>
      <c r="I53" s="85"/>
      <c r="J53" s="85"/>
    </row>
    <row r="54" spans="1:10" x14ac:dyDescent="0.3">
      <c r="A54" s="159">
        <v>51</v>
      </c>
      <c r="B54" s="159" t="s">
        <v>458</v>
      </c>
      <c r="C54" s="160" t="s">
        <v>459</v>
      </c>
      <c r="D54" s="160" t="s">
        <v>667</v>
      </c>
      <c r="E54" s="160" t="s">
        <v>460</v>
      </c>
      <c r="F54" s="160">
        <v>2010</v>
      </c>
      <c r="G54" s="160" t="s">
        <v>620</v>
      </c>
      <c r="H54" s="85"/>
      <c r="I54" s="85"/>
      <c r="J54" s="85"/>
    </row>
    <row r="55" spans="1:10" x14ac:dyDescent="0.3">
      <c r="A55" s="159">
        <v>52</v>
      </c>
      <c r="B55" s="159" t="s">
        <v>461</v>
      </c>
      <c r="C55" s="160" t="s">
        <v>462</v>
      </c>
      <c r="D55" s="160" t="s">
        <v>668</v>
      </c>
      <c r="E55" s="160" t="s">
        <v>463</v>
      </c>
      <c r="F55" s="160">
        <v>2005</v>
      </c>
      <c r="G55" s="160" t="s">
        <v>620</v>
      </c>
      <c r="H55" s="85"/>
      <c r="I55" s="85"/>
      <c r="J55" s="85"/>
    </row>
    <row r="56" spans="1:10" x14ac:dyDescent="0.3">
      <c r="A56" s="159">
        <v>53</v>
      </c>
      <c r="B56" s="159" t="s">
        <v>461</v>
      </c>
      <c r="C56" s="160" t="s">
        <v>464</v>
      </c>
      <c r="D56" s="160" t="s">
        <v>669</v>
      </c>
      <c r="E56" s="160" t="s">
        <v>465</v>
      </c>
      <c r="F56" s="160">
        <v>2007</v>
      </c>
      <c r="G56" s="160" t="s">
        <v>620</v>
      </c>
      <c r="H56" s="85"/>
      <c r="I56" s="85"/>
      <c r="J56" s="85"/>
    </row>
    <row r="57" spans="1:10" x14ac:dyDescent="0.3">
      <c r="A57" s="159">
        <v>54</v>
      </c>
      <c r="B57" s="159" t="s">
        <v>466</v>
      </c>
      <c r="C57" s="160" t="s">
        <v>467</v>
      </c>
      <c r="D57" s="160" t="s">
        <v>670</v>
      </c>
      <c r="E57" s="160" t="s">
        <v>468</v>
      </c>
      <c r="F57" s="160">
        <v>2008</v>
      </c>
      <c r="G57" s="160" t="s">
        <v>671</v>
      </c>
      <c r="H57" s="85"/>
      <c r="I57" s="85"/>
      <c r="J57" s="85"/>
    </row>
    <row r="58" spans="1:10" x14ac:dyDescent="0.3">
      <c r="A58" s="159">
        <v>55</v>
      </c>
      <c r="B58" s="159" t="s">
        <v>527</v>
      </c>
      <c r="C58" s="160" t="s">
        <v>528</v>
      </c>
      <c r="D58" s="161">
        <v>61198170084869</v>
      </c>
      <c r="E58" s="160" t="s">
        <v>529</v>
      </c>
      <c r="F58" s="160">
        <v>2006</v>
      </c>
      <c r="G58" s="160" t="s">
        <v>635</v>
      </c>
      <c r="H58" s="85"/>
      <c r="I58" s="85"/>
      <c r="J58" s="85"/>
    </row>
    <row r="59" spans="1:10" x14ac:dyDescent="0.3">
      <c r="A59" s="159">
        <v>56</v>
      </c>
      <c r="B59" s="159" t="s">
        <v>552</v>
      </c>
      <c r="C59" s="160" t="s">
        <v>672</v>
      </c>
      <c r="D59" s="160" t="s">
        <v>673</v>
      </c>
      <c r="E59" s="160" t="s">
        <v>674</v>
      </c>
      <c r="F59" s="160">
        <v>2006</v>
      </c>
      <c r="G59" s="160" t="s">
        <v>620</v>
      </c>
      <c r="H59" s="85"/>
      <c r="I59" s="85"/>
      <c r="J59" s="85"/>
    </row>
    <row r="60" spans="1:10" x14ac:dyDescent="0.3">
      <c r="A60" s="159">
        <v>57</v>
      </c>
      <c r="B60" s="159" t="s">
        <v>475</v>
      </c>
      <c r="C60" s="160" t="s">
        <v>476</v>
      </c>
      <c r="D60" s="160" t="s">
        <v>477</v>
      </c>
      <c r="E60" s="160" t="s">
        <v>478</v>
      </c>
      <c r="F60" s="160">
        <v>2014</v>
      </c>
      <c r="G60" s="160" t="s">
        <v>620</v>
      </c>
      <c r="H60" s="85"/>
      <c r="I60" s="85"/>
      <c r="J60" s="85"/>
    </row>
    <row r="61" spans="1:10" x14ac:dyDescent="0.3">
      <c r="A61" s="159">
        <v>58</v>
      </c>
      <c r="B61" s="159" t="s">
        <v>675</v>
      </c>
      <c r="C61" s="160" t="s">
        <v>676</v>
      </c>
      <c r="D61" s="160" t="s">
        <v>677</v>
      </c>
      <c r="E61" s="160" t="s">
        <v>678</v>
      </c>
      <c r="F61" s="160">
        <v>2010</v>
      </c>
      <c r="G61" s="160" t="s">
        <v>620</v>
      </c>
      <c r="H61" s="85"/>
      <c r="I61" s="85"/>
      <c r="J61" s="85"/>
    </row>
    <row r="62" spans="1:10" x14ac:dyDescent="0.3">
      <c r="A62" s="159">
        <v>59</v>
      </c>
      <c r="B62" s="159" t="s">
        <v>679</v>
      </c>
      <c r="C62" s="160" t="s">
        <v>680</v>
      </c>
      <c r="D62" s="160" t="s">
        <v>681</v>
      </c>
      <c r="E62" s="160" t="s">
        <v>682</v>
      </c>
      <c r="F62" s="160">
        <v>2005</v>
      </c>
      <c r="G62" s="160" t="s">
        <v>620</v>
      </c>
      <c r="H62" s="85"/>
      <c r="I62" s="85"/>
      <c r="J62" s="85"/>
    </row>
    <row r="63" spans="1:10" x14ac:dyDescent="0.3">
      <c r="A63" s="159">
        <v>60</v>
      </c>
      <c r="B63" s="159" t="s">
        <v>683</v>
      </c>
      <c r="C63" s="160" t="s">
        <v>684</v>
      </c>
      <c r="D63" s="160" t="s">
        <v>685</v>
      </c>
      <c r="E63" s="160" t="s">
        <v>686</v>
      </c>
      <c r="F63" s="160">
        <v>2005</v>
      </c>
      <c r="G63" s="160" t="s">
        <v>620</v>
      </c>
      <c r="H63" s="85"/>
      <c r="I63" s="85"/>
      <c r="J63" s="85"/>
    </row>
    <row r="64" spans="1:10" x14ac:dyDescent="0.3">
      <c r="A64" s="159">
        <v>61</v>
      </c>
      <c r="B64" s="159" t="s">
        <v>83</v>
      </c>
      <c r="C64" s="160" t="s">
        <v>84</v>
      </c>
      <c r="D64" s="160" t="s">
        <v>85</v>
      </c>
      <c r="E64" s="160" t="s">
        <v>86</v>
      </c>
      <c r="F64" s="160">
        <v>2007</v>
      </c>
      <c r="G64" s="160" t="s">
        <v>617</v>
      </c>
      <c r="H64" s="85"/>
      <c r="I64" s="85"/>
      <c r="J64" s="85"/>
    </row>
    <row r="65" spans="1:10" x14ac:dyDescent="0.3">
      <c r="A65" s="159">
        <v>62</v>
      </c>
      <c r="B65" s="159" t="s">
        <v>87</v>
      </c>
      <c r="C65" s="160" t="s">
        <v>88</v>
      </c>
      <c r="D65" s="160" t="s">
        <v>89</v>
      </c>
      <c r="E65" s="160" t="s">
        <v>90</v>
      </c>
      <c r="F65" s="160">
        <v>2008</v>
      </c>
      <c r="G65" s="160" t="s">
        <v>617</v>
      </c>
      <c r="H65" s="85"/>
      <c r="I65" s="85"/>
      <c r="J65" s="85"/>
    </row>
    <row r="66" spans="1:10" x14ac:dyDescent="0.3">
      <c r="A66" s="159">
        <v>63</v>
      </c>
      <c r="B66" s="159" t="s">
        <v>91</v>
      </c>
      <c r="C66" s="160" t="s">
        <v>92</v>
      </c>
      <c r="D66" s="160" t="s">
        <v>93</v>
      </c>
      <c r="E66" s="160" t="s">
        <v>94</v>
      </c>
      <c r="F66" s="160">
        <v>2011</v>
      </c>
      <c r="G66" s="160" t="s">
        <v>617</v>
      </c>
      <c r="H66" s="85"/>
      <c r="I66" s="85"/>
      <c r="J66" s="85"/>
    </row>
    <row r="67" spans="1:10" x14ac:dyDescent="0.3">
      <c r="A67" s="159">
        <v>64</v>
      </c>
      <c r="B67" s="159" t="s">
        <v>95</v>
      </c>
      <c r="C67" s="160" t="s">
        <v>96</v>
      </c>
      <c r="D67" s="160">
        <v>36071580</v>
      </c>
      <c r="E67" s="160" t="s">
        <v>97</v>
      </c>
      <c r="F67" s="160">
        <v>2010</v>
      </c>
      <c r="G67" s="160" t="s">
        <v>617</v>
      </c>
      <c r="H67" s="85"/>
      <c r="I67" s="85"/>
      <c r="J67" s="85"/>
    </row>
    <row r="68" spans="1:10" x14ac:dyDescent="0.3">
      <c r="A68" s="159">
        <v>65</v>
      </c>
      <c r="B68" s="159" t="s">
        <v>98</v>
      </c>
      <c r="C68" s="160" t="s">
        <v>99</v>
      </c>
      <c r="D68" s="160" t="s">
        <v>100</v>
      </c>
      <c r="E68" s="160" t="s">
        <v>101</v>
      </c>
      <c r="F68" s="160">
        <v>2012</v>
      </c>
      <c r="G68" s="160" t="s">
        <v>617</v>
      </c>
      <c r="H68" s="85"/>
      <c r="I68" s="85"/>
      <c r="J68" s="85"/>
    </row>
    <row r="69" spans="1:10" x14ac:dyDescent="0.3">
      <c r="A69" s="159">
        <v>66</v>
      </c>
      <c r="B69" s="159" t="s">
        <v>102</v>
      </c>
      <c r="C69" s="160" t="s">
        <v>103</v>
      </c>
      <c r="D69" s="161">
        <v>61198170074458</v>
      </c>
      <c r="E69" s="160" t="s">
        <v>104</v>
      </c>
      <c r="F69" s="160">
        <v>2008</v>
      </c>
      <c r="G69" s="160" t="s">
        <v>620</v>
      </c>
      <c r="H69" s="85"/>
      <c r="I69" s="85"/>
      <c r="J69" s="85"/>
    </row>
    <row r="70" spans="1:10" x14ac:dyDescent="0.3">
      <c r="A70" s="159">
        <v>67</v>
      </c>
      <c r="B70" s="159" t="s">
        <v>105</v>
      </c>
      <c r="C70" s="160" t="s">
        <v>106</v>
      </c>
      <c r="D70" s="160" t="s">
        <v>107</v>
      </c>
      <c r="E70" s="160" t="s">
        <v>687</v>
      </c>
      <c r="F70" s="160">
        <v>2012</v>
      </c>
      <c r="G70" s="160" t="s">
        <v>617</v>
      </c>
      <c r="H70" s="85"/>
      <c r="I70" s="85"/>
      <c r="J70" s="85"/>
    </row>
    <row r="71" spans="1:10" x14ac:dyDescent="0.3">
      <c r="A71" s="159">
        <v>68</v>
      </c>
      <c r="B71" s="159" t="s">
        <v>688</v>
      </c>
      <c r="C71" s="160" t="s">
        <v>108</v>
      </c>
      <c r="D71" s="160" t="s">
        <v>109</v>
      </c>
      <c r="E71" s="160" t="s">
        <v>110</v>
      </c>
      <c r="F71" s="160">
        <v>2008</v>
      </c>
      <c r="G71" s="160" t="s">
        <v>620</v>
      </c>
      <c r="H71" s="85"/>
      <c r="I71" s="85"/>
      <c r="J71" s="85"/>
    </row>
    <row r="72" spans="1:10" x14ac:dyDescent="0.3">
      <c r="A72" s="159">
        <v>69</v>
      </c>
      <c r="B72" s="159" t="s">
        <v>689</v>
      </c>
      <c r="C72" s="160" t="s">
        <v>111</v>
      </c>
      <c r="D72" s="160" t="s">
        <v>112</v>
      </c>
      <c r="E72" s="160" t="s">
        <v>113</v>
      </c>
      <c r="F72" s="160">
        <v>2008</v>
      </c>
      <c r="G72" s="160" t="s">
        <v>620</v>
      </c>
      <c r="H72" s="85"/>
      <c r="I72" s="85"/>
      <c r="J72" s="85"/>
    </row>
    <row r="73" spans="1:10" x14ac:dyDescent="0.3">
      <c r="A73" s="159">
        <v>70</v>
      </c>
      <c r="B73" s="159" t="s">
        <v>114</v>
      </c>
      <c r="C73" s="160" t="s">
        <v>115</v>
      </c>
      <c r="D73" s="160">
        <v>7250765</v>
      </c>
      <c r="E73" s="160" t="s">
        <v>116</v>
      </c>
      <c r="F73" s="160">
        <v>2016</v>
      </c>
      <c r="G73" s="160" t="s">
        <v>617</v>
      </c>
      <c r="H73" s="85"/>
      <c r="I73" s="85"/>
      <c r="J73" s="85"/>
    </row>
    <row r="74" spans="1:10" x14ac:dyDescent="0.3">
      <c r="A74" s="159">
        <v>71</v>
      </c>
      <c r="B74" s="159" t="s">
        <v>114</v>
      </c>
      <c r="C74" s="160" t="s">
        <v>117</v>
      </c>
      <c r="D74" s="160">
        <v>7250728</v>
      </c>
      <c r="E74" s="160" t="s">
        <v>118</v>
      </c>
      <c r="F74" s="160">
        <v>2016</v>
      </c>
      <c r="G74" s="160" t="s">
        <v>617</v>
      </c>
      <c r="H74" s="85"/>
      <c r="I74" s="85"/>
      <c r="J74" s="85"/>
    </row>
    <row r="75" spans="1:10" x14ac:dyDescent="0.3">
      <c r="A75" s="159">
        <v>72</v>
      </c>
      <c r="B75" s="159" t="s">
        <v>119</v>
      </c>
      <c r="C75" s="160" t="s">
        <v>120</v>
      </c>
      <c r="D75" s="160" t="s">
        <v>121</v>
      </c>
      <c r="E75" s="160" t="s">
        <v>122</v>
      </c>
      <c r="F75" s="160">
        <v>2017</v>
      </c>
      <c r="G75" s="160" t="s">
        <v>617</v>
      </c>
      <c r="H75" s="85"/>
      <c r="I75" s="85"/>
      <c r="J75" s="85"/>
    </row>
    <row r="76" spans="1:10" x14ac:dyDescent="0.3">
      <c r="A76" s="159">
        <v>73</v>
      </c>
      <c r="B76" s="159" t="s">
        <v>87</v>
      </c>
      <c r="C76" s="160" t="s">
        <v>123</v>
      </c>
      <c r="D76" s="160" t="s">
        <v>124</v>
      </c>
      <c r="E76" s="160" t="s">
        <v>125</v>
      </c>
      <c r="F76" s="160">
        <v>2020</v>
      </c>
      <c r="G76" s="160" t="s">
        <v>617</v>
      </c>
      <c r="H76" s="85"/>
      <c r="I76" s="85"/>
      <c r="J76" s="85"/>
    </row>
    <row r="77" spans="1:10" x14ac:dyDescent="0.3">
      <c r="A77" s="159">
        <v>74</v>
      </c>
      <c r="B77" s="159" t="s">
        <v>126</v>
      </c>
      <c r="C77" s="160" t="s">
        <v>127</v>
      </c>
      <c r="D77" s="160">
        <v>7250726</v>
      </c>
      <c r="E77" s="160" t="s">
        <v>128</v>
      </c>
      <c r="F77" s="160">
        <v>2016</v>
      </c>
      <c r="G77" s="160" t="s">
        <v>617</v>
      </c>
      <c r="H77" s="85"/>
      <c r="I77" s="85"/>
      <c r="J77" s="85"/>
    </row>
    <row r="78" spans="1:10" x14ac:dyDescent="0.3">
      <c r="A78" s="159">
        <v>75</v>
      </c>
      <c r="B78" s="159" t="s">
        <v>126</v>
      </c>
      <c r="C78" s="160" t="s">
        <v>129</v>
      </c>
      <c r="D78" s="160">
        <v>7250640</v>
      </c>
      <c r="E78" s="160" t="s">
        <v>130</v>
      </c>
      <c r="F78" s="160">
        <v>2016</v>
      </c>
      <c r="G78" s="160" t="s">
        <v>617</v>
      </c>
      <c r="H78" s="85"/>
      <c r="I78" s="85"/>
      <c r="J78" s="85"/>
    </row>
    <row r="79" spans="1:10" x14ac:dyDescent="0.3">
      <c r="A79" s="159">
        <v>76</v>
      </c>
      <c r="B79" s="159" t="s">
        <v>131</v>
      </c>
      <c r="C79" s="160" t="s">
        <v>132</v>
      </c>
      <c r="D79" s="160">
        <v>7166125</v>
      </c>
      <c r="E79" s="160" t="s">
        <v>133</v>
      </c>
      <c r="F79" s="160">
        <v>2014</v>
      </c>
      <c r="G79" s="160" t="s">
        <v>617</v>
      </c>
      <c r="H79" s="85"/>
      <c r="I79" s="85"/>
      <c r="J79" s="85"/>
    </row>
    <row r="80" spans="1:10" x14ac:dyDescent="0.3">
      <c r="A80" s="159">
        <v>77</v>
      </c>
      <c r="B80" s="159" t="s">
        <v>134</v>
      </c>
      <c r="C80" s="160" t="s">
        <v>135</v>
      </c>
      <c r="D80" s="160" t="s">
        <v>136</v>
      </c>
      <c r="E80" s="160" t="s">
        <v>137</v>
      </c>
      <c r="F80" s="160">
        <v>2007</v>
      </c>
      <c r="G80" s="160" t="s">
        <v>617</v>
      </c>
      <c r="H80" s="85"/>
      <c r="I80" s="85"/>
      <c r="J80" s="85"/>
    </row>
    <row r="81" spans="1:10" x14ac:dyDescent="0.3">
      <c r="A81" s="159">
        <v>78</v>
      </c>
      <c r="B81" s="159" t="s">
        <v>138</v>
      </c>
      <c r="C81" s="160" t="s">
        <v>139</v>
      </c>
      <c r="D81" s="160" t="s">
        <v>140</v>
      </c>
      <c r="E81" s="160" t="s">
        <v>141</v>
      </c>
      <c r="F81" s="160">
        <v>2007</v>
      </c>
      <c r="G81" s="160" t="s">
        <v>617</v>
      </c>
      <c r="H81" s="85"/>
      <c r="I81" s="85"/>
      <c r="J81" s="85"/>
    </row>
    <row r="82" spans="1:10" x14ac:dyDescent="0.3">
      <c r="A82" s="159">
        <v>79</v>
      </c>
      <c r="B82" s="159" t="s">
        <v>142</v>
      </c>
      <c r="C82" s="160" t="s">
        <v>143</v>
      </c>
      <c r="D82" s="160">
        <v>37344067044</v>
      </c>
      <c r="E82" s="160" t="s">
        <v>144</v>
      </c>
      <c r="F82" s="160">
        <v>2005</v>
      </c>
      <c r="G82" s="160" t="s">
        <v>617</v>
      </c>
      <c r="H82" s="85"/>
      <c r="I82" s="85"/>
      <c r="J82" s="85"/>
    </row>
    <row r="83" spans="1:10" x14ac:dyDescent="0.3">
      <c r="A83" s="159">
        <v>80</v>
      </c>
      <c r="B83" s="159" t="s">
        <v>145</v>
      </c>
      <c r="C83" s="160" t="s">
        <v>146</v>
      </c>
      <c r="D83" s="160" t="s">
        <v>147</v>
      </c>
      <c r="E83" s="160" t="s">
        <v>148</v>
      </c>
      <c r="F83" s="160">
        <v>2007</v>
      </c>
      <c r="G83" s="160" t="s">
        <v>620</v>
      </c>
      <c r="H83" s="85"/>
      <c r="I83" s="85"/>
      <c r="J83" s="85"/>
    </row>
    <row r="84" spans="1:10" x14ac:dyDescent="0.3">
      <c r="A84" s="159">
        <v>81</v>
      </c>
      <c r="B84" s="159" t="s">
        <v>149</v>
      </c>
      <c r="C84" s="160" t="s">
        <v>150</v>
      </c>
      <c r="D84" s="160" t="s">
        <v>151</v>
      </c>
      <c r="E84" s="160" t="s">
        <v>152</v>
      </c>
      <c r="F84" s="160">
        <v>2007</v>
      </c>
      <c r="G84" s="160" t="s">
        <v>620</v>
      </c>
      <c r="H84" s="85"/>
      <c r="I84" s="85"/>
      <c r="J84" s="85"/>
    </row>
    <row r="85" spans="1:10" x14ac:dyDescent="0.3">
      <c r="A85" s="159">
        <v>82</v>
      </c>
      <c r="B85" s="159" t="s">
        <v>153</v>
      </c>
      <c r="C85" s="160" t="s">
        <v>154</v>
      </c>
      <c r="D85" s="160" t="s">
        <v>155</v>
      </c>
      <c r="E85" s="160" t="s">
        <v>156</v>
      </c>
      <c r="F85" s="160">
        <v>2007</v>
      </c>
      <c r="G85" s="160" t="s">
        <v>617</v>
      </c>
      <c r="H85" s="85"/>
      <c r="I85" s="85"/>
      <c r="J85" s="85"/>
    </row>
    <row r="86" spans="1:10" x14ac:dyDescent="0.3">
      <c r="A86" s="159">
        <v>83</v>
      </c>
      <c r="B86" s="159" t="s">
        <v>157</v>
      </c>
      <c r="C86" s="160" t="s">
        <v>158</v>
      </c>
      <c r="D86" s="160">
        <v>7251288</v>
      </c>
      <c r="E86" s="160" t="s">
        <v>159</v>
      </c>
      <c r="F86" s="160">
        <v>2016</v>
      </c>
      <c r="G86" s="160" t="s">
        <v>617</v>
      </c>
      <c r="H86" s="85"/>
      <c r="I86" s="85"/>
      <c r="J86" s="85"/>
    </row>
    <row r="87" spans="1:10" x14ac:dyDescent="0.3">
      <c r="A87" s="159">
        <v>84</v>
      </c>
      <c r="B87" s="159" t="s">
        <v>160</v>
      </c>
      <c r="C87" s="160" t="s">
        <v>161</v>
      </c>
      <c r="D87" s="160" t="s">
        <v>162</v>
      </c>
      <c r="E87" s="160" t="s">
        <v>163</v>
      </c>
      <c r="F87" s="160">
        <v>2013</v>
      </c>
      <c r="G87" s="160" t="s">
        <v>617</v>
      </c>
      <c r="H87" s="85"/>
      <c r="I87" s="85"/>
      <c r="J87" s="85"/>
    </row>
    <row r="88" spans="1:10" x14ac:dyDescent="0.3">
      <c r="A88" s="159">
        <v>85</v>
      </c>
      <c r="B88" s="159" t="s">
        <v>165</v>
      </c>
      <c r="C88" s="160" t="s">
        <v>166</v>
      </c>
      <c r="D88" s="160">
        <v>40704192268</v>
      </c>
      <c r="E88" s="160" t="s">
        <v>167</v>
      </c>
      <c r="F88" s="160">
        <v>2014</v>
      </c>
      <c r="G88" s="160" t="s">
        <v>617</v>
      </c>
      <c r="H88" s="85"/>
      <c r="I88" s="85"/>
      <c r="J88" s="85"/>
    </row>
    <row r="89" spans="1:10" x14ac:dyDescent="0.3">
      <c r="A89" s="159">
        <v>86</v>
      </c>
      <c r="B89" s="159" t="s">
        <v>168</v>
      </c>
      <c r="C89" s="160" t="s">
        <v>169</v>
      </c>
      <c r="D89" s="160" t="s">
        <v>170</v>
      </c>
      <c r="E89" s="160" t="s">
        <v>171</v>
      </c>
      <c r="F89" s="160">
        <v>2007</v>
      </c>
      <c r="G89" s="160" t="s">
        <v>617</v>
      </c>
      <c r="H89" s="85"/>
      <c r="I89" s="85"/>
      <c r="J89" s="85"/>
    </row>
    <row r="90" spans="1:10" x14ac:dyDescent="0.3">
      <c r="A90" s="159">
        <v>87</v>
      </c>
      <c r="B90" s="159" t="s">
        <v>172</v>
      </c>
      <c r="C90" s="160" t="s">
        <v>173</v>
      </c>
      <c r="D90" s="160" t="s">
        <v>174</v>
      </c>
      <c r="E90" s="160" t="s">
        <v>175</v>
      </c>
      <c r="F90" s="160">
        <v>2007</v>
      </c>
      <c r="G90" s="160" t="s">
        <v>617</v>
      </c>
      <c r="H90" s="85"/>
      <c r="I90" s="85"/>
      <c r="J90" s="85"/>
    </row>
    <row r="91" spans="1:10" x14ac:dyDescent="0.3">
      <c r="A91" s="159">
        <v>88</v>
      </c>
      <c r="B91" s="159" t="s">
        <v>164</v>
      </c>
      <c r="C91" s="160" t="s">
        <v>176</v>
      </c>
      <c r="D91" s="161">
        <v>632999105118976</v>
      </c>
      <c r="E91" s="160" t="s">
        <v>690</v>
      </c>
      <c r="F91" s="160">
        <v>2000</v>
      </c>
      <c r="G91" s="160" t="s">
        <v>617</v>
      </c>
      <c r="H91" s="85"/>
      <c r="I91" s="85"/>
      <c r="J91" s="85"/>
    </row>
    <row r="92" spans="1:10" x14ac:dyDescent="0.3">
      <c r="A92" s="159">
        <v>89</v>
      </c>
      <c r="B92" s="159" t="s">
        <v>177</v>
      </c>
      <c r="C92" s="160" t="s">
        <v>178</v>
      </c>
      <c r="D92" s="160" t="s">
        <v>179</v>
      </c>
      <c r="E92" s="160" t="s">
        <v>180</v>
      </c>
      <c r="F92" s="160">
        <v>2013</v>
      </c>
      <c r="G92" s="160" t="s">
        <v>617</v>
      </c>
      <c r="H92" s="85"/>
      <c r="I92" s="85"/>
      <c r="J92" s="85"/>
    </row>
    <row r="93" spans="1:10" x14ac:dyDescent="0.3">
      <c r="A93" s="159">
        <v>90</v>
      </c>
      <c r="B93" s="159" t="s">
        <v>181</v>
      </c>
      <c r="C93" s="160" t="s">
        <v>182</v>
      </c>
      <c r="D93" s="160">
        <v>7250638</v>
      </c>
      <c r="E93" s="160" t="s">
        <v>183</v>
      </c>
      <c r="F93" s="160">
        <v>2016</v>
      </c>
      <c r="G93" s="160" t="s">
        <v>617</v>
      </c>
      <c r="H93" s="85"/>
      <c r="I93" s="85"/>
      <c r="J93" s="85"/>
    </row>
    <row r="94" spans="1:10" x14ac:dyDescent="0.3">
      <c r="A94" s="159">
        <v>91</v>
      </c>
      <c r="B94" s="159" t="s">
        <v>691</v>
      </c>
      <c r="C94" s="160" t="s">
        <v>184</v>
      </c>
      <c r="D94" s="160" t="s">
        <v>185</v>
      </c>
      <c r="E94" s="160" t="s">
        <v>186</v>
      </c>
      <c r="F94" s="160">
        <v>2018</v>
      </c>
      <c r="G94" s="160" t="s">
        <v>617</v>
      </c>
      <c r="H94" s="85"/>
      <c r="I94" s="85"/>
      <c r="J94" s="85"/>
    </row>
    <row r="95" spans="1:10" x14ac:dyDescent="0.3">
      <c r="A95" s="159">
        <v>92</v>
      </c>
      <c r="B95" s="159" t="s">
        <v>691</v>
      </c>
      <c r="C95" s="160" t="s">
        <v>187</v>
      </c>
      <c r="D95" s="160" t="s">
        <v>188</v>
      </c>
      <c r="E95" s="160" t="s">
        <v>189</v>
      </c>
      <c r="F95" s="160">
        <v>2018</v>
      </c>
      <c r="G95" s="160" t="s">
        <v>617</v>
      </c>
      <c r="H95" s="85"/>
      <c r="I95" s="85"/>
      <c r="J95" s="85"/>
    </row>
    <row r="96" spans="1:10" x14ac:dyDescent="0.3">
      <c r="A96" s="159">
        <v>93</v>
      </c>
      <c r="B96" s="159" t="s">
        <v>194</v>
      </c>
      <c r="C96" s="160" t="s">
        <v>195</v>
      </c>
      <c r="D96" s="160">
        <v>7167190</v>
      </c>
      <c r="E96" s="160" t="s">
        <v>196</v>
      </c>
      <c r="F96" s="160">
        <v>2013</v>
      </c>
      <c r="G96" s="160" t="s">
        <v>617</v>
      </c>
      <c r="H96" s="85"/>
      <c r="I96" s="85"/>
      <c r="J96" s="85"/>
    </row>
    <row r="97" spans="1:10" x14ac:dyDescent="0.3">
      <c r="A97" s="159">
        <v>94</v>
      </c>
      <c r="B97" s="159" t="s">
        <v>197</v>
      </c>
      <c r="C97" s="160" t="s">
        <v>198</v>
      </c>
      <c r="D97" s="160" t="s">
        <v>199</v>
      </c>
      <c r="E97" s="160" t="s">
        <v>200</v>
      </c>
      <c r="F97" s="160">
        <v>2016</v>
      </c>
      <c r="G97" s="160" t="s">
        <v>617</v>
      </c>
      <c r="H97" s="85"/>
      <c r="I97" s="85"/>
      <c r="J97" s="85"/>
    </row>
    <row r="98" spans="1:10" x14ac:dyDescent="0.3">
      <c r="A98" s="159">
        <v>95</v>
      </c>
      <c r="B98" s="159" t="s">
        <v>194</v>
      </c>
      <c r="C98" s="160" t="s">
        <v>201</v>
      </c>
      <c r="D98" s="160">
        <v>7250657</v>
      </c>
      <c r="E98" s="160" t="s">
        <v>202</v>
      </c>
      <c r="F98" s="160">
        <v>2016</v>
      </c>
      <c r="G98" s="160" t="s">
        <v>617</v>
      </c>
      <c r="H98" s="85"/>
      <c r="I98" s="85"/>
      <c r="J98" s="85"/>
    </row>
    <row r="99" spans="1:10" x14ac:dyDescent="0.3">
      <c r="A99" s="159">
        <v>96</v>
      </c>
      <c r="B99" s="159" t="s">
        <v>692</v>
      </c>
      <c r="C99" s="160" t="s">
        <v>203</v>
      </c>
      <c r="D99" s="160">
        <v>37344093481</v>
      </c>
      <c r="E99" s="160" t="s">
        <v>204</v>
      </c>
      <c r="F99" s="160">
        <v>2006</v>
      </c>
      <c r="G99" s="160" t="s">
        <v>635</v>
      </c>
      <c r="H99" s="85"/>
      <c r="I99" s="85"/>
      <c r="J99" s="85"/>
    </row>
    <row r="100" spans="1:10" x14ac:dyDescent="0.3">
      <c r="A100" s="159">
        <v>97</v>
      </c>
      <c r="B100" s="159" t="s">
        <v>205</v>
      </c>
      <c r="C100" s="160" t="s">
        <v>206</v>
      </c>
      <c r="D100" s="160">
        <v>40704192455</v>
      </c>
      <c r="E100" s="160" t="s">
        <v>207</v>
      </c>
      <c r="F100" s="160">
        <v>2004</v>
      </c>
      <c r="G100" s="160" t="s">
        <v>617</v>
      </c>
      <c r="H100" s="85"/>
      <c r="I100" s="85"/>
      <c r="J100" s="85"/>
    </row>
    <row r="101" spans="1:10" x14ac:dyDescent="0.3">
      <c r="A101" s="159">
        <v>98</v>
      </c>
      <c r="B101" s="159" t="s">
        <v>693</v>
      </c>
      <c r="C101" s="160" t="s">
        <v>694</v>
      </c>
      <c r="D101" s="160" t="s">
        <v>695</v>
      </c>
      <c r="E101" s="160" t="s">
        <v>696</v>
      </c>
      <c r="F101" s="160">
        <v>2008</v>
      </c>
      <c r="G101" s="160" t="s">
        <v>617</v>
      </c>
      <c r="H101" s="85"/>
      <c r="I101" s="85"/>
      <c r="J101" s="85"/>
    </row>
    <row r="102" spans="1:10" x14ac:dyDescent="0.3">
      <c r="A102" s="159">
        <v>99</v>
      </c>
      <c r="B102" s="159" t="s">
        <v>697</v>
      </c>
      <c r="C102" s="160" t="s">
        <v>215</v>
      </c>
      <c r="D102" s="160">
        <v>7250764</v>
      </c>
      <c r="E102" s="160" t="s">
        <v>216</v>
      </c>
      <c r="F102" s="160">
        <v>2016</v>
      </c>
      <c r="G102" s="160" t="s">
        <v>620</v>
      </c>
      <c r="H102" s="85"/>
      <c r="I102" s="85"/>
      <c r="J102" s="85"/>
    </row>
    <row r="103" spans="1:10" x14ac:dyDescent="0.3">
      <c r="A103" s="159">
        <v>100</v>
      </c>
      <c r="B103" s="159" t="s">
        <v>697</v>
      </c>
      <c r="C103" s="160" t="s">
        <v>217</v>
      </c>
      <c r="D103" s="160">
        <v>7250709</v>
      </c>
      <c r="E103" s="160" t="s">
        <v>218</v>
      </c>
      <c r="F103" s="160">
        <v>2016</v>
      </c>
      <c r="G103" s="160" t="s">
        <v>617</v>
      </c>
      <c r="H103" s="85"/>
      <c r="I103" s="85"/>
      <c r="J103" s="85"/>
    </row>
    <row r="104" spans="1:10" x14ac:dyDescent="0.3">
      <c r="A104" s="159">
        <v>101</v>
      </c>
      <c r="B104" s="159" t="s">
        <v>211</v>
      </c>
      <c r="C104" s="160" t="s">
        <v>212</v>
      </c>
      <c r="D104" s="160" t="s">
        <v>213</v>
      </c>
      <c r="E104" s="160" t="s">
        <v>214</v>
      </c>
      <c r="F104" s="160">
        <v>2012</v>
      </c>
      <c r="G104" s="160" t="s">
        <v>617</v>
      </c>
      <c r="H104" s="85"/>
      <c r="I104" s="85"/>
      <c r="J104" s="85"/>
    </row>
    <row r="105" spans="1:10" x14ac:dyDescent="0.3">
      <c r="A105" s="159">
        <v>102</v>
      </c>
      <c r="B105" s="159" t="s">
        <v>225</v>
      </c>
      <c r="C105" s="160" t="s">
        <v>143</v>
      </c>
      <c r="D105" s="160" t="s">
        <v>226</v>
      </c>
      <c r="E105" s="160" t="s">
        <v>227</v>
      </c>
      <c r="F105" s="160">
        <v>1997</v>
      </c>
      <c r="G105" s="160" t="s">
        <v>617</v>
      </c>
      <c r="H105" s="85"/>
      <c r="I105" s="85"/>
      <c r="J105" s="85"/>
    </row>
    <row r="106" spans="1:10" x14ac:dyDescent="0.3">
      <c r="A106" s="159">
        <v>103</v>
      </c>
      <c r="B106" s="159" t="s">
        <v>228</v>
      </c>
      <c r="C106" s="160" t="s">
        <v>229</v>
      </c>
      <c r="D106" s="160" t="s">
        <v>230</v>
      </c>
      <c r="E106" s="160" t="s">
        <v>231</v>
      </c>
      <c r="F106" s="160">
        <v>2013</v>
      </c>
      <c r="G106" s="160" t="s">
        <v>617</v>
      </c>
      <c r="H106" s="85"/>
      <c r="I106" s="85"/>
      <c r="J106" s="85"/>
    </row>
    <row r="107" spans="1:10" x14ac:dyDescent="0.3">
      <c r="A107" s="159">
        <v>104</v>
      </c>
      <c r="B107" s="159" t="s">
        <v>232</v>
      </c>
      <c r="C107" s="160" t="s">
        <v>233</v>
      </c>
      <c r="D107" s="160">
        <v>7167101</v>
      </c>
      <c r="E107" s="160" t="s">
        <v>234</v>
      </c>
      <c r="F107" s="160">
        <v>2013</v>
      </c>
      <c r="G107" s="160" t="s">
        <v>617</v>
      </c>
      <c r="H107" s="85"/>
      <c r="I107" s="85"/>
      <c r="J107" s="85"/>
    </row>
    <row r="108" spans="1:10" x14ac:dyDescent="0.3">
      <c r="A108" s="159">
        <v>105</v>
      </c>
      <c r="B108" s="159" t="s">
        <v>235</v>
      </c>
      <c r="C108" s="160" t="s">
        <v>236</v>
      </c>
      <c r="D108" s="160" t="s">
        <v>237</v>
      </c>
      <c r="E108" s="160" t="s">
        <v>238</v>
      </c>
      <c r="F108" s="160">
        <v>2007</v>
      </c>
      <c r="G108" s="160" t="s">
        <v>617</v>
      </c>
      <c r="H108" s="85"/>
      <c r="I108" s="85"/>
      <c r="J108" s="85"/>
    </row>
    <row r="109" spans="1:10" x14ac:dyDescent="0.3">
      <c r="A109" s="159">
        <v>106</v>
      </c>
      <c r="B109" s="159" t="s">
        <v>239</v>
      </c>
      <c r="C109" s="160" t="s">
        <v>698</v>
      </c>
      <c r="D109" s="160">
        <v>7187302</v>
      </c>
      <c r="E109" s="160" t="s">
        <v>240</v>
      </c>
      <c r="F109" s="160">
        <v>2014</v>
      </c>
      <c r="G109" s="160" t="s">
        <v>617</v>
      </c>
      <c r="H109" s="85"/>
      <c r="I109" s="85"/>
      <c r="J109" s="85"/>
    </row>
    <row r="110" spans="1:10" x14ac:dyDescent="0.3">
      <c r="A110" s="159">
        <v>107</v>
      </c>
      <c r="B110" s="159" t="s">
        <v>241</v>
      </c>
      <c r="C110" s="160" t="s">
        <v>242</v>
      </c>
      <c r="D110" s="160">
        <v>7250706</v>
      </c>
      <c r="E110" s="160" t="s">
        <v>243</v>
      </c>
      <c r="F110" s="160">
        <v>2016</v>
      </c>
      <c r="G110" s="160" t="s">
        <v>617</v>
      </c>
      <c r="H110" s="85"/>
      <c r="I110" s="85"/>
      <c r="J110" s="85"/>
    </row>
    <row r="111" spans="1:10" x14ac:dyDescent="0.3">
      <c r="A111" s="159">
        <v>108</v>
      </c>
      <c r="B111" s="159" t="s">
        <v>241</v>
      </c>
      <c r="C111" s="160" t="s">
        <v>244</v>
      </c>
      <c r="D111" s="160">
        <v>7250703</v>
      </c>
      <c r="E111" s="160" t="s">
        <v>245</v>
      </c>
      <c r="F111" s="160">
        <v>2016</v>
      </c>
      <c r="G111" s="160" t="s">
        <v>617</v>
      </c>
      <c r="H111" s="85"/>
      <c r="I111" s="85"/>
      <c r="J111" s="85"/>
    </row>
    <row r="112" spans="1:10" x14ac:dyDescent="0.3">
      <c r="A112" s="159">
        <v>109</v>
      </c>
      <c r="B112" s="159" t="s">
        <v>252</v>
      </c>
      <c r="C112" s="160" t="s">
        <v>253</v>
      </c>
      <c r="D112" s="160">
        <v>7167125</v>
      </c>
      <c r="E112" s="160" t="s">
        <v>254</v>
      </c>
      <c r="F112" s="160">
        <v>2014</v>
      </c>
      <c r="G112" s="160" t="s">
        <v>617</v>
      </c>
      <c r="H112" s="85"/>
      <c r="I112" s="85"/>
      <c r="J112" s="85"/>
    </row>
    <row r="113" spans="1:10" x14ac:dyDescent="0.3">
      <c r="A113" s="159">
        <v>110</v>
      </c>
      <c r="B113" s="159" t="s">
        <v>255</v>
      </c>
      <c r="C113" s="160" t="s">
        <v>256</v>
      </c>
      <c r="D113" s="160" t="s">
        <v>257</v>
      </c>
      <c r="E113" s="160" t="s">
        <v>258</v>
      </c>
      <c r="F113" s="160">
        <v>2014</v>
      </c>
      <c r="G113" s="160" t="s">
        <v>617</v>
      </c>
      <c r="H113" s="85"/>
      <c r="I113" s="85"/>
      <c r="J113" s="85"/>
    </row>
    <row r="114" spans="1:10" x14ac:dyDescent="0.3">
      <c r="A114" s="159">
        <v>111</v>
      </c>
      <c r="B114" s="159" t="s">
        <v>259</v>
      </c>
      <c r="C114" s="160" t="s">
        <v>260</v>
      </c>
      <c r="D114" s="160" t="s">
        <v>261</v>
      </c>
      <c r="E114" s="160" t="s">
        <v>262</v>
      </c>
      <c r="F114" s="160">
        <v>2015</v>
      </c>
      <c r="G114" s="160" t="s">
        <v>620</v>
      </c>
      <c r="H114" s="85"/>
      <c r="I114" s="85"/>
      <c r="J114" s="85"/>
    </row>
    <row r="115" spans="1:10" x14ac:dyDescent="0.3">
      <c r="A115" s="159">
        <v>112</v>
      </c>
      <c r="B115" s="159" t="s">
        <v>252</v>
      </c>
      <c r="C115" s="160" t="s">
        <v>263</v>
      </c>
      <c r="D115" s="160">
        <v>7250752</v>
      </c>
      <c r="E115" s="160" t="s">
        <v>264</v>
      </c>
      <c r="F115" s="160">
        <v>2016</v>
      </c>
      <c r="G115" s="160" t="s">
        <v>617</v>
      </c>
      <c r="H115" s="85"/>
      <c r="I115" s="85"/>
      <c r="J115" s="85"/>
    </row>
    <row r="116" spans="1:10" x14ac:dyDescent="0.3">
      <c r="A116" s="159">
        <v>113</v>
      </c>
      <c r="B116" s="159" t="s">
        <v>265</v>
      </c>
      <c r="C116" s="160" t="s">
        <v>266</v>
      </c>
      <c r="D116" s="160" t="s">
        <v>267</v>
      </c>
      <c r="E116" s="160" t="s">
        <v>268</v>
      </c>
      <c r="F116" s="160">
        <v>2019</v>
      </c>
      <c r="G116" s="160" t="s">
        <v>617</v>
      </c>
      <c r="H116" s="85"/>
      <c r="I116" s="85"/>
      <c r="J116" s="85"/>
    </row>
    <row r="117" spans="1:10" x14ac:dyDescent="0.3">
      <c r="A117" s="159">
        <v>114</v>
      </c>
      <c r="B117" s="159" t="s">
        <v>269</v>
      </c>
      <c r="C117" s="160" t="s">
        <v>270</v>
      </c>
      <c r="D117" s="160" t="s">
        <v>271</v>
      </c>
      <c r="E117" s="160" t="s">
        <v>272</v>
      </c>
      <c r="F117" s="160">
        <v>2007</v>
      </c>
      <c r="G117" s="160" t="s">
        <v>617</v>
      </c>
      <c r="H117" s="85"/>
      <c r="I117" s="85"/>
      <c r="J117" s="85"/>
    </row>
    <row r="118" spans="1:10" x14ac:dyDescent="0.3">
      <c r="A118" s="159">
        <v>115</v>
      </c>
      <c r="B118" s="159" t="s">
        <v>699</v>
      </c>
      <c r="C118" s="160" t="s">
        <v>700</v>
      </c>
      <c r="D118" s="160" t="s">
        <v>701</v>
      </c>
      <c r="E118" s="160" t="s">
        <v>702</v>
      </c>
      <c r="F118" s="160">
        <v>2007</v>
      </c>
      <c r="G118" s="160" t="s">
        <v>620</v>
      </c>
      <c r="H118" s="85"/>
      <c r="I118" s="85"/>
      <c r="J118" s="85"/>
    </row>
    <row r="119" spans="1:10" x14ac:dyDescent="0.3">
      <c r="A119" s="159">
        <v>116</v>
      </c>
      <c r="B119" s="159" t="s">
        <v>273</v>
      </c>
      <c r="C119" s="160" t="s">
        <v>143</v>
      </c>
      <c r="D119" s="160">
        <v>7450514</v>
      </c>
      <c r="E119" s="160" t="s">
        <v>274</v>
      </c>
      <c r="F119" s="160">
        <v>2003</v>
      </c>
      <c r="G119" s="160" t="s">
        <v>617</v>
      </c>
      <c r="H119" s="85"/>
      <c r="I119" s="85"/>
      <c r="J119" s="85"/>
    </row>
    <row r="120" spans="1:10" x14ac:dyDescent="0.3">
      <c r="A120" s="159">
        <v>117</v>
      </c>
      <c r="B120" s="159" t="s">
        <v>275</v>
      </c>
      <c r="C120" s="160" t="s">
        <v>276</v>
      </c>
      <c r="D120" s="160">
        <v>7155140</v>
      </c>
      <c r="E120" s="160" t="s">
        <v>277</v>
      </c>
      <c r="F120" s="160">
        <v>2013</v>
      </c>
      <c r="G120" s="160" t="s">
        <v>617</v>
      </c>
      <c r="H120" s="85"/>
      <c r="I120" s="85"/>
      <c r="J120" s="85"/>
    </row>
    <row r="121" spans="1:10" x14ac:dyDescent="0.3">
      <c r="A121" s="159">
        <v>118</v>
      </c>
      <c r="B121" s="159" t="s">
        <v>278</v>
      </c>
      <c r="C121" s="160" t="s">
        <v>279</v>
      </c>
      <c r="D121" s="160" t="s">
        <v>280</v>
      </c>
      <c r="E121" s="160" t="s">
        <v>281</v>
      </c>
      <c r="F121" s="160">
        <v>2016</v>
      </c>
      <c r="G121" s="160" t="s">
        <v>617</v>
      </c>
      <c r="H121" s="85"/>
      <c r="I121" s="85"/>
      <c r="J121" s="85"/>
    </row>
    <row r="122" spans="1:10" x14ac:dyDescent="0.3">
      <c r="A122" s="159">
        <v>119</v>
      </c>
      <c r="B122" s="159" t="s">
        <v>282</v>
      </c>
      <c r="C122" s="160" t="s">
        <v>283</v>
      </c>
      <c r="D122" s="160" t="s">
        <v>284</v>
      </c>
      <c r="E122" s="160" t="s">
        <v>285</v>
      </c>
      <c r="F122" s="160">
        <v>2006</v>
      </c>
      <c r="G122" s="160" t="s">
        <v>617</v>
      </c>
      <c r="H122" s="85"/>
      <c r="I122" s="85"/>
      <c r="J122" s="85"/>
    </row>
    <row r="123" spans="1:10" x14ac:dyDescent="0.3">
      <c r="A123" s="159">
        <v>120</v>
      </c>
      <c r="B123" s="159" t="s">
        <v>286</v>
      </c>
      <c r="C123" s="160" t="s">
        <v>287</v>
      </c>
      <c r="D123" s="160" t="s">
        <v>288</v>
      </c>
      <c r="E123" s="160" t="s">
        <v>289</v>
      </c>
      <c r="F123" s="160">
        <v>2017</v>
      </c>
      <c r="G123" s="160" t="s">
        <v>617</v>
      </c>
      <c r="H123" s="85"/>
      <c r="I123" s="85"/>
      <c r="J123" s="85"/>
    </row>
    <row r="124" spans="1:10" x14ac:dyDescent="0.3">
      <c r="A124" s="159">
        <v>121</v>
      </c>
      <c r="B124" s="159" t="s">
        <v>295</v>
      </c>
      <c r="C124" s="160" t="s">
        <v>296</v>
      </c>
      <c r="D124" s="160" t="s">
        <v>297</v>
      </c>
      <c r="E124" s="160" t="s">
        <v>298</v>
      </c>
      <c r="F124" s="160">
        <v>2013</v>
      </c>
      <c r="G124" s="160" t="s">
        <v>617</v>
      </c>
      <c r="H124" s="85"/>
      <c r="I124" s="85"/>
      <c r="J124" s="85"/>
    </row>
    <row r="125" spans="1:10" x14ac:dyDescent="0.3">
      <c r="A125" s="159">
        <v>122</v>
      </c>
      <c r="B125" s="159" t="s">
        <v>703</v>
      </c>
      <c r="C125" s="160" t="s">
        <v>704</v>
      </c>
      <c r="D125" s="160">
        <v>7187332</v>
      </c>
      <c r="E125" s="160" t="s">
        <v>705</v>
      </c>
      <c r="F125" s="160">
        <v>2014</v>
      </c>
      <c r="G125" s="160" t="s">
        <v>617</v>
      </c>
      <c r="H125" s="85"/>
      <c r="I125" s="85"/>
      <c r="J125" s="85"/>
    </row>
    <row r="126" spans="1:10" x14ac:dyDescent="0.3">
      <c r="A126" s="159">
        <v>123</v>
      </c>
      <c r="B126" s="159" t="s">
        <v>303</v>
      </c>
      <c r="C126" s="160" t="s">
        <v>304</v>
      </c>
      <c r="D126" s="160" t="s">
        <v>305</v>
      </c>
      <c r="E126" s="160" t="s">
        <v>706</v>
      </c>
      <c r="F126" s="160">
        <v>2016</v>
      </c>
      <c r="G126" s="160" t="s">
        <v>617</v>
      </c>
      <c r="H126" s="85"/>
      <c r="I126" s="85"/>
      <c r="J126" s="85"/>
    </row>
    <row r="127" spans="1:10" x14ac:dyDescent="0.3">
      <c r="A127" s="159">
        <v>124</v>
      </c>
      <c r="B127" s="159" t="s">
        <v>306</v>
      </c>
      <c r="C127" s="160" t="s">
        <v>143</v>
      </c>
      <c r="D127" s="160" t="s">
        <v>307</v>
      </c>
      <c r="E127" s="160" t="s">
        <v>308</v>
      </c>
      <c r="F127" s="160">
        <v>1995</v>
      </c>
      <c r="G127" s="160" t="s">
        <v>617</v>
      </c>
      <c r="H127" s="85"/>
      <c r="I127" s="85"/>
      <c r="J127" s="85"/>
    </row>
    <row r="128" spans="1:10" x14ac:dyDescent="0.3">
      <c r="A128" s="159">
        <v>125</v>
      </c>
      <c r="B128" s="159" t="s">
        <v>309</v>
      </c>
      <c r="C128" s="160" t="s">
        <v>707</v>
      </c>
      <c r="D128" s="160" t="s">
        <v>708</v>
      </c>
      <c r="E128" s="160" t="s">
        <v>310</v>
      </c>
      <c r="F128" s="160">
        <v>2007</v>
      </c>
      <c r="G128" s="160" t="s">
        <v>620</v>
      </c>
      <c r="H128" s="85"/>
      <c r="I128" s="85"/>
      <c r="J128" s="85"/>
    </row>
    <row r="129" spans="1:10" x14ac:dyDescent="0.3">
      <c r="A129" s="159">
        <v>126</v>
      </c>
      <c r="B129" s="159" t="s">
        <v>87</v>
      </c>
      <c r="C129" s="160" t="s">
        <v>311</v>
      </c>
      <c r="D129" s="160" t="s">
        <v>312</v>
      </c>
      <c r="E129" s="160" t="s">
        <v>313</v>
      </c>
      <c r="F129" s="160">
        <v>2020</v>
      </c>
      <c r="G129" s="160" t="s">
        <v>617</v>
      </c>
      <c r="H129" s="85"/>
      <c r="I129" s="85"/>
      <c r="J129" s="85"/>
    </row>
    <row r="130" spans="1:10" x14ac:dyDescent="0.3">
      <c r="A130" s="159">
        <v>127</v>
      </c>
      <c r="B130" s="159" t="s">
        <v>314</v>
      </c>
      <c r="C130" s="160" t="s">
        <v>315</v>
      </c>
      <c r="D130" s="160" t="s">
        <v>316</v>
      </c>
      <c r="E130" s="160" t="s">
        <v>317</v>
      </c>
      <c r="F130" s="160">
        <v>2015</v>
      </c>
      <c r="G130" s="160" t="s">
        <v>617</v>
      </c>
      <c r="H130" s="85"/>
      <c r="I130" s="85"/>
      <c r="J130" s="85"/>
    </row>
    <row r="131" spans="1:10" x14ac:dyDescent="0.3">
      <c r="A131" s="159">
        <v>128</v>
      </c>
      <c r="B131" s="159" t="s">
        <v>321</v>
      </c>
      <c r="C131" s="160" t="s">
        <v>322</v>
      </c>
      <c r="D131" s="160" t="s">
        <v>323</v>
      </c>
      <c r="E131" s="160" t="s">
        <v>324</v>
      </c>
      <c r="F131" s="160">
        <v>2008</v>
      </c>
      <c r="G131" s="160" t="s">
        <v>617</v>
      </c>
      <c r="H131" s="85"/>
      <c r="I131" s="85"/>
      <c r="J131" s="85"/>
    </row>
    <row r="132" spans="1:10" x14ac:dyDescent="0.3">
      <c r="A132" s="159">
        <v>129</v>
      </c>
      <c r="B132" s="159" t="s">
        <v>327</v>
      </c>
      <c r="C132" s="160" t="s">
        <v>328</v>
      </c>
      <c r="D132" s="160" t="s">
        <v>329</v>
      </c>
      <c r="E132" s="160" t="s">
        <v>330</v>
      </c>
      <c r="F132" s="160">
        <v>2005</v>
      </c>
      <c r="G132" s="160" t="s">
        <v>617</v>
      </c>
      <c r="H132" s="85"/>
      <c r="I132" s="85"/>
      <c r="J132" s="85"/>
    </row>
    <row r="133" spans="1:10" x14ac:dyDescent="0.3">
      <c r="A133" s="159">
        <v>130</v>
      </c>
      <c r="B133" s="159" t="s">
        <v>327</v>
      </c>
      <c r="C133" s="160" t="s">
        <v>331</v>
      </c>
      <c r="D133" s="160" t="s">
        <v>332</v>
      </c>
      <c r="E133" s="160" t="s">
        <v>333</v>
      </c>
      <c r="F133" s="160">
        <v>2005</v>
      </c>
      <c r="G133" s="160" t="s">
        <v>617</v>
      </c>
      <c r="H133" s="85"/>
      <c r="I133" s="85"/>
      <c r="J133" s="85"/>
    </row>
    <row r="134" spans="1:10" x14ac:dyDescent="0.3">
      <c r="A134" s="159">
        <v>131</v>
      </c>
      <c r="B134" s="159" t="s">
        <v>252</v>
      </c>
      <c r="C134" s="160" t="s">
        <v>338</v>
      </c>
      <c r="D134" s="160">
        <v>7250622</v>
      </c>
      <c r="E134" s="160" t="s">
        <v>339</v>
      </c>
      <c r="F134" s="160">
        <v>2016</v>
      </c>
      <c r="G134" s="160" t="s">
        <v>617</v>
      </c>
      <c r="H134" s="85"/>
      <c r="I134" s="85"/>
      <c r="J134" s="85"/>
    </row>
    <row r="135" spans="1:10" x14ac:dyDescent="0.3">
      <c r="A135" s="159">
        <v>132</v>
      </c>
      <c r="B135" s="159" t="s">
        <v>709</v>
      </c>
      <c r="C135" s="160" t="s">
        <v>710</v>
      </c>
      <c r="D135" s="160" t="s">
        <v>342</v>
      </c>
      <c r="E135" s="160" t="s">
        <v>343</v>
      </c>
      <c r="F135" s="160">
        <v>2017</v>
      </c>
      <c r="G135" s="160" t="s">
        <v>617</v>
      </c>
      <c r="H135" s="85"/>
      <c r="I135" s="85"/>
      <c r="J135" s="85"/>
    </row>
    <row r="136" spans="1:10" x14ac:dyDescent="0.3">
      <c r="A136" s="159">
        <v>133</v>
      </c>
      <c r="B136" s="159" t="s">
        <v>353</v>
      </c>
      <c r="C136" s="160" t="s">
        <v>354</v>
      </c>
      <c r="D136" s="160" t="s">
        <v>355</v>
      </c>
      <c r="E136" s="160" t="s">
        <v>356</v>
      </c>
      <c r="F136" s="160">
        <v>2006</v>
      </c>
      <c r="G136" s="160" t="s">
        <v>617</v>
      </c>
      <c r="H136" s="85"/>
      <c r="I136" s="85"/>
      <c r="J136" s="85"/>
    </row>
    <row r="137" spans="1:10" x14ac:dyDescent="0.3">
      <c r="A137" s="159">
        <v>134</v>
      </c>
      <c r="B137" s="159" t="s">
        <v>357</v>
      </c>
      <c r="C137" s="160" t="s">
        <v>358</v>
      </c>
      <c r="D137" s="160" t="s">
        <v>359</v>
      </c>
      <c r="E137" s="160" t="s">
        <v>360</v>
      </c>
      <c r="F137" s="160">
        <v>2006</v>
      </c>
      <c r="G137" s="160" t="s">
        <v>617</v>
      </c>
      <c r="H137" s="85"/>
      <c r="I137" s="85"/>
      <c r="J137" s="85"/>
    </row>
    <row r="138" spans="1:10" x14ac:dyDescent="0.3">
      <c r="A138" s="159">
        <v>135</v>
      </c>
      <c r="B138" s="159" t="s">
        <v>361</v>
      </c>
      <c r="C138" s="160" t="s">
        <v>362</v>
      </c>
      <c r="D138" s="160" t="s">
        <v>363</v>
      </c>
      <c r="E138" s="160" t="s">
        <v>364</v>
      </c>
      <c r="F138" s="160">
        <v>2011</v>
      </c>
      <c r="G138" s="160" t="s">
        <v>620</v>
      </c>
      <c r="H138" s="85"/>
      <c r="I138" s="85"/>
      <c r="J138" s="85"/>
    </row>
    <row r="139" spans="1:10" x14ac:dyDescent="0.3">
      <c r="A139" s="159">
        <v>136</v>
      </c>
      <c r="B139" s="159" t="s">
        <v>131</v>
      </c>
      <c r="C139" s="160" t="s">
        <v>711</v>
      </c>
      <c r="D139" s="160">
        <v>7163588</v>
      </c>
      <c r="E139" s="160" t="s">
        <v>365</v>
      </c>
      <c r="F139" s="160">
        <v>2013</v>
      </c>
      <c r="G139" s="160" t="s">
        <v>617</v>
      </c>
      <c r="H139" s="85"/>
      <c r="I139" s="85"/>
      <c r="J139" s="85"/>
    </row>
    <row r="140" spans="1:10" x14ac:dyDescent="0.3">
      <c r="A140" s="159">
        <v>137</v>
      </c>
      <c r="B140" s="159" t="s">
        <v>366</v>
      </c>
      <c r="C140" s="160" t="s">
        <v>367</v>
      </c>
      <c r="D140" s="160">
        <v>7185078</v>
      </c>
      <c r="E140" s="160" t="s">
        <v>368</v>
      </c>
      <c r="F140" s="160">
        <v>2014</v>
      </c>
      <c r="G140" s="160" t="s">
        <v>617</v>
      </c>
      <c r="H140" s="85"/>
      <c r="I140" s="85"/>
      <c r="J140" s="85"/>
    </row>
    <row r="141" spans="1:10" x14ac:dyDescent="0.3">
      <c r="A141" s="159">
        <v>138</v>
      </c>
      <c r="B141" s="159" t="s">
        <v>369</v>
      </c>
      <c r="C141" s="160" t="s">
        <v>370</v>
      </c>
      <c r="D141" s="160">
        <v>7196131</v>
      </c>
      <c r="E141" s="160" t="s">
        <v>371</v>
      </c>
      <c r="F141" s="160">
        <v>2014</v>
      </c>
      <c r="G141" s="160" t="s">
        <v>617</v>
      </c>
      <c r="H141" s="85"/>
      <c r="I141" s="85"/>
      <c r="J141" s="85"/>
    </row>
    <row r="142" spans="1:10" x14ac:dyDescent="0.3">
      <c r="A142" s="159">
        <v>139</v>
      </c>
      <c r="B142" s="159" t="s">
        <v>252</v>
      </c>
      <c r="C142" s="160" t="s">
        <v>372</v>
      </c>
      <c r="D142" s="160">
        <v>7252679</v>
      </c>
      <c r="E142" s="160" t="s">
        <v>373</v>
      </c>
      <c r="F142" s="160">
        <v>2016</v>
      </c>
      <c r="G142" s="160" t="s">
        <v>617</v>
      </c>
      <c r="H142" s="85"/>
      <c r="I142" s="85"/>
      <c r="J142" s="85"/>
    </row>
    <row r="143" spans="1:10" x14ac:dyDescent="0.3">
      <c r="A143" s="159">
        <v>140</v>
      </c>
      <c r="B143" s="159" t="s">
        <v>349</v>
      </c>
      <c r="C143" s="160" t="s">
        <v>350</v>
      </c>
      <c r="D143" s="160" t="s">
        <v>351</v>
      </c>
      <c r="E143" s="160" t="s">
        <v>352</v>
      </c>
      <c r="F143" s="160">
        <v>2000</v>
      </c>
      <c r="G143" s="160" t="s">
        <v>617</v>
      </c>
      <c r="H143" s="85"/>
      <c r="I143" s="85"/>
      <c r="J143" s="85"/>
    </row>
    <row r="144" spans="1:10" x14ac:dyDescent="0.3">
      <c r="A144" s="159">
        <v>141</v>
      </c>
      <c r="B144" s="159" t="s">
        <v>712</v>
      </c>
      <c r="C144" s="160" t="s">
        <v>377</v>
      </c>
      <c r="D144" s="160" t="s">
        <v>378</v>
      </c>
      <c r="E144" s="160" t="s">
        <v>379</v>
      </c>
      <c r="F144" s="160">
        <v>2020</v>
      </c>
      <c r="G144" s="160" t="s">
        <v>620</v>
      </c>
      <c r="H144" s="85"/>
      <c r="I144" s="85"/>
      <c r="J144" s="85"/>
    </row>
    <row r="145" spans="1:10" x14ac:dyDescent="0.3">
      <c r="A145" s="159">
        <v>142</v>
      </c>
      <c r="B145" s="159" t="s">
        <v>713</v>
      </c>
      <c r="C145" s="160" t="s">
        <v>219</v>
      </c>
      <c r="D145" s="160" t="s">
        <v>220</v>
      </c>
      <c r="E145" s="160" t="s">
        <v>221</v>
      </c>
      <c r="F145" s="160">
        <v>2020</v>
      </c>
      <c r="G145" s="160" t="s">
        <v>617</v>
      </c>
      <c r="H145" s="85"/>
      <c r="I145" s="85"/>
      <c r="J145" s="85"/>
    </row>
    <row r="146" spans="1:10" x14ac:dyDescent="0.3">
      <c r="A146" s="159">
        <v>143</v>
      </c>
      <c r="B146" s="159" t="s">
        <v>383</v>
      </c>
      <c r="C146" s="160" t="s">
        <v>143</v>
      </c>
      <c r="D146" s="160" t="s">
        <v>384</v>
      </c>
      <c r="E146" s="160" t="s">
        <v>385</v>
      </c>
      <c r="F146" s="160">
        <v>1995</v>
      </c>
      <c r="G146" s="160" t="s">
        <v>617</v>
      </c>
      <c r="H146" s="85"/>
      <c r="I146" s="85"/>
      <c r="J146" s="85"/>
    </row>
    <row r="147" spans="1:10" x14ac:dyDescent="0.3">
      <c r="A147" s="159">
        <v>144</v>
      </c>
      <c r="B147" s="159" t="s">
        <v>386</v>
      </c>
      <c r="C147" s="160" t="s">
        <v>387</v>
      </c>
      <c r="D147" s="160" t="s">
        <v>388</v>
      </c>
      <c r="E147" s="160" t="s">
        <v>389</v>
      </c>
      <c r="F147" s="160">
        <v>2005</v>
      </c>
      <c r="G147" s="160" t="s">
        <v>617</v>
      </c>
      <c r="H147" s="85"/>
      <c r="I147" s="85"/>
      <c r="J147" s="85"/>
    </row>
    <row r="148" spans="1:10" x14ac:dyDescent="0.3">
      <c r="A148" s="159">
        <v>145</v>
      </c>
      <c r="B148" s="159" t="s">
        <v>390</v>
      </c>
      <c r="C148" s="160" t="s">
        <v>391</v>
      </c>
      <c r="D148" s="160">
        <v>7167242</v>
      </c>
      <c r="E148" s="160" t="s">
        <v>392</v>
      </c>
      <c r="F148" s="160">
        <v>2013</v>
      </c>
      <c r="G148" s="160" t="s">
        <v>617</v>
      </c>
      <c r="H148" s="85"/>
      <c r="I148" s="85"/>
      <c r="J148" s="85"/>
    </row>
    <row r="149" spans="1:10" x14ac:dyDescent="0.3">
      <c r="A149" s="159">
        <v>146</v>
      </c>
      <c r="B149" s="159" t="s">
        <v>390</v>
      </c>
      <c r="C149" s="160" t="s">
        <v>393</v>
      </c>
      <c r="D149" s="160">
        <v>7250753</v>
      </c>
      <c r="E149" s="160" t="s">
        <v>394</v>
      </c>
      <c r="F149" s="160">
        <v>2016</v>
      </c>
      <c r="G149" s="160" t="s">
        <v>617</v>
      </c>
      <c r="H149" s="85"/>
      <c r="I149" s="85"/>
      <c r="J149" s="85"/>
    </row>
    <row r="150" spans="1:10" x14ac:dyDescent="0.3">
      <c r="A150" s="159">
        <v>147</v>
      </c>
      <c r="B150" s="159" t="s">
        <v>327</v>
      </c>
      <c r="C150" s="160" t="s">
        <v>395</v>
      </c>
      <c r="D150" s="160" t="s">
        <v>396</v>
      </c>
      <c r="E150" s="160" t="s">
        <v>337</v>
      </c>
      <c r="F150" s="160">
        <v>2006</v>
      </c>
      <c r="G150" s="160" t="s">
        <v>617</v>
      </c>
      <c r="H150" s="85"/>
      <c r="I150" s="85"/>
      <c r="J150" s="85"/>
    </row>
    <row r="151" spans="1:10" x14ac:dyDescent="0.3">
      <c r="A151" s="159">
        <v>148</v>
      </c>
      <c r="B151" s="159" t="s">
        <v>397</v>
      </c>
      <c r="C151" s="160" t="s">
        <v>398</v>
      </c>
      <c r="D151" s="160" t="s">
        <v>399</v>
      </c>
      <c r="E151" s="160" t="s">
        <v>400</v>
      </c>
      <c r="F151" s="160">
        <v>2016</v>
      </c>
      <c r="G151" s="160" t="s">
        <v>617</v>
      </c>
      <c r="H151" s="85"/>
      <c r="I151" s="85"/>
      <c r="J151" s="85"/>
    </row>
    <row r="152" spans="1:10" x14ac:dyDescent="0.3">
      <c r="A152" s="159">
        <v>149</v>
      </c>
      <c r="B152" s="159" t="s">
        <v>401</v>
      </c>
      <c r="C152" s="160" t="s">
        <v>402</v>
      </c>
      <c r="D152" s="160" t="s">
        <v>403</v>
      </c>
      <c r="E152" s="160" t="s">
        <v>404</v>
      </c>
      <c r="F152" s="160">
        <v>2012</v>
      </c>
      <c r="G152" s="160" t="s">
        <v>617</v>
      </c>
      <c r="H152" s="85"/>
      <c r="I152" s="85"/>
      <c r="J152" s="85"/>
    </row>
    <row r="153" spans="1:10" x14ac:dyDescent="0.3">
      <c r="A153" s="159">
        <v>150</v>
      </c>
      <c r="B153" s="159" t="s">
        <v>421</v>
      </c>
      <c r="C153" s="160" t="s">
        <v>472</v>
      </c>
      <c r="D153" s="160" t="s">
        <v>473</v>
      </c>
      <c r="E153" s="160" t="s">
        <v>474</v>
      </c>
      <c r="F153" s="160">
        <v>2007</v>
      </c>
      <c r="G153" s="160" t="s">
        <v>620</v>
      </c>
      <c r="H153" s="85"/>
      <c r="I153" s="85"/>
      <c r="J153" s="85"/>
    </row>
    <row r="154" spans="1:10" x14ac:dyDescent="0.3">
      <c r="A154" s="159">
        <v>151</v>
      </c>
      <c r="B154" s="159" t="s">
        <v>249</v>
      </c>
      <c r="C154" s="160" t="s">
        <v>714</v>
      </c>
      <c r="D154" s="160" t="s">
        <v>250</v>
      </c>
      <c r="E154" s="160" t="s">
        <v>251</v>
      </c>
      <c r="F154" s="160">
        <v>2020</v>
      </c>
      <c r="G154" s="160" t="s">
        <v>617</v>
      </c>
      <c r="H154" s="85"/>
      <c r="I154" s="85"/>
      <c r="J154" s="85"/>
    </row>
    <row r="155" spans="1:10" x14ac:dyDescent="0.3">
      <c r="A155" s="159">
        <v>152</v>
      </c>
      <c r="B155" s="159" t="s">
        <v>715</v>
      </c>
      <c r="C155" s="160" t="s">
        <v>518</v>
      </c>
      <c r="D155" s="160" t="s">
        <v>519</v>
      </c>
      <c r="E155" s="160" t="s">
        <v>520</v>
      </c>
      <c r="F155" s="160">
        <v>2020</v>
      </c>
      <c r="G155" s="160" t="s">
        <v>617</v>
      </c>
      <c r="H155" s="85"/>
      <c r="I155" s="85"/>
      <c r="J155" s="85"/>
    </row>
    <row r="156" spans="1:10" x14ac:dyDescent="0.3">
      <c r="A156" s="159">
        <v>153</v>
      </c>
      <c r="B156" s="159" t="s">
        <v>249</v>
      </c>
      <c r="C156" s="160" t="s">
        <v>344</v>
      </c>
      <c r="D156" s="160" t="s">
        <v>345</v>
      </c>
      <c r="E156" s="160" t="s">
        <v>346</v>
      </c>
      <c r="F156" s="160">
        <v>2021</v>
      </c>
      <c r="G156" s="160" t="s">
        <v>620</v>
      </c>
      <c r="H156" s="85"/>
      <c r="I156" s="85"/>
      <c r="J156" s="85"/>
    </row>
    <row r="157" spans="1:10" x14ac:dyDescent="0.3">
      <c r="A157" s="159">
        <v>154</v>
      </c>
      <c r="B157" s="159" t="s">
        <v>716</v>
      </c>
      <c r="C157" s="160" t="s">
        <v>347</v>
      </c>
      <c r="D157" s="160" t="s">
        <v>348</v>
      </c>
      <c r="E157" s="160" t="s">
        <v>717</v>
      </c>
      <c r="F157" s="160">
        <v>2020</v>
      </c>
      <c r="G157" s="160" t="s">
        <v>617</v>
      </c>
      <c r="H157" s="85"/>
      <c r="I157" s="85"/>
      <c r="J157" s="85"/>
    </row>
    <row r="158" spans="1:10" x14ac:dyDescent="0.3">
      <c r="A158" s="159">
        <v>155</v>
      </c>
      <c r="B158" s="159" t="s">
        <v>306</v>
      </c>
      <c r="C158" s="160" t="s">
        <v>334</v>
      </c>
      <c r="D158" s="160" t="s">
        <v>335</v>
      </c>
      <c r="E158" s="160" t="s">
        <v>336</v>
      </c>
      <c r="F158" s="160">
        <v>1985</v>
      </c>
      <c r="G158" s="160" t="s">
        <v>617</v>
      </c>
      <c r="H158" s="85"/>
      <c r="I158" s="85"/>
      <c r="J158" s="85"/>
    </row>
    <row r="159" spans="1:10" x14ac:dyDescent="0.3">
      <c r="A159" s="159">
        <v>156</v>
      </c>
      <c r="B159" s="159" t="s">
        <v>190</v>
      </c>
      <c r="C159" s="160" t="s">
        <v>290</v>
      </c>
      <c r="D159" s="160" t="s">
        <v>291</v>
      </c>
      <c r="E159" s="160" t="s">
        <v>292</v>
      </c>
      <c r="F159" s="160">
        <v>2021</v>
      </c>
      <c r="G159" s="160" t="s">
        <v>617</v>
      </c>
      <c r="H159" s="85"/>
      <c r="I159" s="85"/>
      <c r="J159" s="85"/>
    </row>
    <row r="160" spans="1:10" x14ac:dyDescent="0.3">
      <c r="A160" s="159">
        <v>157</v>
      </c>
      <c r="B160" s="159" t="s">
        <v>190</v>
      </c>
      <c r="C160" s="160" t="s">
        <v>521</v>
      </c>
      <c r="D160" s="160" t="s">
        <v>522</v>
      </c>
      <c r="E160" s="160" t="s">
        <v>523</v>
      </c>
      <c r="F160" s="160">
        <v>2021</v>
      </c>
      <c r="G160" s="160" t="s">
        <v>617</v>
      </c>
      <c r="H160" s="85"/>
      <c r="I160" s="85"/>
      <c r="J160" s="85"/>
    </row>
    <row r="161" spans="1:10" x14ac:dyDescent="0.3">
      <c r="A161" s="159">
        <v>158</v>
      </c>
      <c r="B161" s="159" t="s">
        <v>718</v>
      </c>
      <c r="C161" s="160" t="s">
        <v>719</v>
      </c>
      <c r="D161" s="161">
        <v>632999910061336</v>
      </c>
      <c r="E161" s="160" t="s">
        <v>720</v>
      </c>
      <c r="F161" s="160">
        <v>1998</v>
      </c>
      <c r="G161" s="160" t="s">
        <v>617</v>
      </c>
      <c r="H161" s="85"/>
      <c r="I161" s="85"/>
      <c r="J161" s="85"/>
    </row>
    <row r="162" spans="1:10" x14ac:dyDescent="0.3">
      <c r="A162" s="159">
        <v>159</v>
      </c>
      <c r="B162" s="159" t="s">
        <v>190</v>
      </c>
      <c r="C162" s="160" t="s">
        <v>191</v>
      </c>
      <c r="D162" s="160" t="s">
        <v>192</v>
      </c>
      <c r="E162" s="160" t="s">
        <v>193</v>
      </c>
      <c r="F162" s="160">
        <v>2021</v>
      </c>
      <c r="G162" s="160" t="s">
        <v>617</v>
      </c>
      <c r="H162" s="85"/>
      <c r="I162" s="85"/>
      <c r="J162" s="85"/>
    </row>
    <row r="163" spans="1:10" x14ac:dyDescent="0.3">
      <c r="A163" s="159">
        <v>160</v>
      </c>
      <c r="B163" s="159" t="s">
        <v>190</v>
      </c>
      <c r="C163" s="160" t="s">
        <v>293</v>
      </c>
      <c r="D163" s="160" t="s">
        <v>721</v>
      </c>
      <c r="E163" s="160" t="s">
        <v>294</v>
      </c>
      <c r="F163" s="160">
        <v>2020</v>
      </c>
      <c r="G163" s="160" t="s">
        <v>617</v>
      </c>
      <c r="H163" s="85"/>
      <c r="I163" s="85"/>
      <c r="J163" s="85"/>
    </row>
    <row r="164" spans="1:10" x14ac:dyDescent="0.3">
      <c r="A164" s="159">
        <v>161</v>
      </c>
      <c r="B164" s="159" t="s">
        <v>722</v>
      </c>
      <c r="C164" s="160" t="s">
        <v>723</v>
      </c>
      <c r="D164" s="160" t="s">
        <v>724</v>
      </c>
      <c r="E164" s="160" t="s">
        <v>725</v>
      </c>
      <c r="F164" s="160">
        <v>2013</v>
      </c>
      <c r="G164" s="160" t="s">
        <v>620</v>
      </c>
      <c r="H164" s="85"/>
      <c r="I164" s="85"/>
      <c r="J164" s="85"/>
    </row>
    <row r="165" spans="1:10" x14ac:dyDescent="0.3">
      <c r="A165" s="159">
        <v>162</v>
      </c>
      <c r="B165" s="159" t="s">
        <v>190</v>
      </c>
      <c r="C165" s="160" t="s">
        <v>208</v>
      </c>
      <c r="D165" s="160" t="s">
        <v>209</v>
      </c>
      <c r="E165" s="160" t="s">
        <v>210</v>
      </c>
      <c r="F165" s="160">
        <v>2021</v>
      </c>
      <c r="G165" s="160" t="s">
        <v>617</v>
      </c>
      <c r="H165" s="85"/>
      <c r="I165" s="85"/>
      <c r="J165" s="85"/>
    </row>
    <row r="166" spans="1:10" x14ac:dyDescent="0.3">
      <c r="A166" s="159">
        <v>163</v>
      </c>
      <c r="B166" s="159" t="s">
        <v>726</v>
      </c>
      <c r="C166" s="160" t="s">
        <v>374</v>
      </c>
      <c r="D166" s="160" t="s">
        <v>375</v>
      </c>
      <c r="E166" s="160" t="s">
        <v>376</v>
      </c>
      <c r="F166" s="160">
        <v>2020</v>
      </c>
      <c r="G166" s="160" t="s">
        <v>617</v>
      </c>
      <c r="H166" s="85"/>
      <c r="I166" s="85"/>
      <c r="J166" s="85"/>
    </row>
    <row r="167" spans="1:10" x14ac:dyDescent="0.3">
      <c r="A167" s="159">
        <v>164</v>
      </c>
      <c r="B167" s="159" t="s">
        <v>318</v>
      </c>
      <c r="C167" s="160" t="s">
        <v>319</v>
      </c>
      <c r="D167" s="161">
        <v>6119817009030</v>
      </c>
      <c r="E167" s="160" t="s">
        <v>320</v>
      </c>
      <c r="F167" s="160">
        <v>2008</v>
      </c>
      <c r="G167" s="160" t="s">
        <v>617</v>
      </c>
      <c r="H167" s="85"/>
      <c r="I167" s="85"/>
      <c r="J167" s="85"/>
    </row>
    <row r="168" spans="1:10" x14ac:dyDescent="0.3">
      <c r="A168" s="159">
        <v>165</v>
      </c>
      <c r="B168" s="159" t="s">
        <v>713</v>
      </c>
      <c r="C168" s="160" t="s">
        <v>405</v>
      </c>
      <c r="D168" s="160" t="s">
        <v>406</v>
      </c>
      <c r="E168" s="160" t="s">
        <v>407</v>
      </c>
      <c r="F168" s="160">
        <v>2020</v>
      </c>
      <c r="G168" s="160" t="s">
        <v>617</v>
      </c>
      <c r="H168" s="85"/>
      <c r="I168" s="85"/>
      <c r="J168" s="85"/>
    </row>
    <row r="169" spans="1:10" x14ac:dyDescent="0.3">
      <c r="A169" s="159">
        <v>166</v>
      </c>
      <c r="B169" s="159" t="s">
        <v>713</v>
      </c>
      <c r="C169" s="160" t="s">
        <v>222</v>
      </c>
      <c r="D169" s="160" t="s">
        <v>223</v>
      </c>
      <c r="E169" s="160" t="s">
        <v>224</v>
      </c>
      <c r="F169" s="160">
        <v>2020</v>
      </c>
      <c r="G169" s="160" t="s">
        <v>617</v>
      </c>
      <c r="H169" s="85"/>
      <c r="I169" s="85"/>
      <c r="J169" s="85"/>
    </row>
    <row r="170" spans="1:10" x14ac:dyDescent="0.3">
      <c r="A170" s="159">
        <v>167</v>
      </c>
      <c r="B170" s="159" t="s">
        <v>713</v>
      </c>
      <c r="C170" s="160" t="s">
        <v>246</v>
      </c>
      <c r="D170" s="160" t="s">
        <v>247</v>
      </c>
      <c r="E170" s="160" t="s">
        <v>248</v>
      </c>
      <c r="F170" s="160">
        <v>2020</v>
      </c>
      <c r="G170" s="160" t="s">
        <v>617</v>
      </c>
      <c r="H170" s="85"/>
      <c r="I170" s="85"/>
      <c r="J170" s="85"/>
    </row>
    <row r="171" spans="1:10" x14ac:dyDescent="0.3">
      <c r="A171" s="159">
        <v>168</v>
      </c>
      <c r="B171" s="159" t="s">
        <v>713</v>
      </c>
      <c r="C171" s="160" t="s">
        <v>380</v>
      </c>
      <c r="D171" s="160" t="s">
        <v>381</v>
      </c>
      <c r="E171" s="160" t="s">
        <v>382</v>
      </c>
      <c r="F171" s="160">
        <v>2020</v>
      </c>
      <c r="G171" s="160" t="s">
        <v>617</v>
      </c>
      <c r="H171" s="85"/>
      <c r="I171" s="85"/>
      <c r="J171" s="85"/>
    </row>
    <row r="172" spans="1:10" x14ac:dyDescent="0.3">
      <c r="A172" s="159">
        <v>169</v>
      </c>
      <c r="B172" s="159" t="s">
        <v>727</v>
      </c>
      <c r="C172" s="160" t="s">
        <v>728</v>
      </c>
      <c r="D172" s="160" t="s">
        <v>325</v>
      </c>
      <c r="E172" s="160" t="s">
        <v>326</v>
      </c>
      <c r="F172" s="160">
        <v>1990</v>
      </c>
      <c r="G172" s="160" t="s">
        <v>617</v>
      </c>
      <c r="H172" s="85"/>
      <c r="I172" s="85"/>
      <c r="J172" s="85"/>
    </row>
    <row r="173" spans="1:10" x14ac:dyDescent="0.3">
      <c r="A173" s="159">
        <v>170</v>
      </c>
      <c r="B173" s="159" t="s">
        <v>299</v>
      </c>
      <c r="C173" s="160" t="s">
        <v>300</v>
      </c>
      <c r="D173" s="160" t="s">
        <v>301</v>
      </c>
      <c r="E173" s="160" t="s">
        <v>302</v>
      </c>
      <c r="F173" s="160">
        <v>2013</v>
      </c>
      <c r="G173" s="160" t="s">
        <v>617</v>
      </c>
      <c r="H173" s="85"/>
      <c r="I173" s="85"/>
      <c r="J173" s="85"/>
    </row>
    <row r="174" spans="1:10" x14ac:dyDescent="0.3">
      <c r="A174" s="159">
        <v>171</v>
      </c>
      <c r="B174" s="159" t="s">
        <v>729</v>
      </c>
      <c r="C174" s="160" t="s">
        <v>730</v>
      </c>
      <c r="D174" s="160" t="s">
        <v>731</v>
      </c>
      <c r="E174" s="160" t="s">
        <v>732</v>
      </c>
      <c r="F174" s="160">
        <v>2021</v>
      </c>
      <c r="G174" s="160" t="s">
        <v>620</v>
      </c>
      <c r="H174" s="85"/>
      <c r="I174" s="85"/>
      <c r="J174" s="85"/>
    </row>
    <row r="175" spans="1:10" x14ac:dyDescent="0.3">
      <c r="A175" s="159">
        <v>172</v>
      </c>
      <c r="B175" s="159" t="s">
        <v>733</v>
      </c>
      <c r="C175" s="160" t="s">
        <v>734</v>
      </c>
      <c r="D175" s="160" t="s">
        <v>735</v>
      </c>
      <c r="E175" s="160" t="s">
        <v>736</v>
      </c>
      <c r="F175" s="160">
        <v>2020</v>
      </c>
      <c r="G175" s="160" t="s">
        <v>617</v>
      </c>
      <c r="H175" s="85"/>
      <c r="I175" s="85"/>
      <c r="J175" s="85"/>
    </row>
    <row r="176" spans="1:10" x14ac:dyDescent="0.3">
      <c r="A176" s="159">
        <v>173</v>
      </c>
      <c r="B176" s="159" t="s">
        <v>737</v>
      </c>
      <c r="C176" s="160" t="s">
        <v>143</v>
      </c>
      <c r="D176" s="160" t="s">
        <v>340</v>
      </c>
      <c r="E176" s="160" t="s">
        <v>341</v>
      </c>
      <c r="F176" s="160">
        <v>1998</v>
      </c>
      <c r="G176" s="160" t="s">
        <v>620</v>
      </c>
      <c r="H176" s="85"/>
      <c r="I176" s="85"/>
      <c r="J176" s="85"/>
    </row>
    <row r="177" spans="1:10" x14ac:dyDescent="0.3">
      <c r="A177" s="159">
        <v>174</v>
      </c>
      <c r="B177" s="159" t="s">
        <v>738</v>
      </c>
      <c r="C177" s="160" t="s">
        <v>739</v>
      </c>
      <c r="D177" s="160" t="s">
        <v>740</v>
      </c>
      <c r="E177" s="160" t="s">
        <v>741</v>
      </c>
      <c r="F177" s="160">
        <v>2021</v>
      </c>
      <c r="G177" s="160" t="s">
        <v>617</v>
      </c>
      <c r="H177" s="85"/>
      <c r="I177" s="85"/>
      <c r="J177" s="85"/>
    </row>
    <row r="178" spans="1:10" x14ac:dyDescent="0.3">
      <c r="A178" s="159">
        <v>175</v>
      </c>
      <c r="B178" s="159" t="s">
        <v>742</v>
      </c>
      <c r="C178" s="160" t="s">
        <v>743</v>
      </c>
      <c r="D178" s="160">
        <v>7251418</v>
      </c>
      <c r="E178" s="160" t="s">
        <v>744</v>
      </c>
      <c r="F178" s="160">
        <v>2016</v>
      </c>
      <c r="G178" s="160" t="s">
        <v>617</v>
      </c>
      <c r="H178" s="85"/>
      <c r="I178" s="85"/>
      <c r="J178" s="85"/>
    </row>
    <row r="179" spans="1:10" x14ac:dyDescent="0.3">
      <c r="A179" s="85"/>
      <c r="B179" s="85"/>
      <c r="C179" s="85"/>
      <c r="D179" s="85"/>
      <c r="E179" s="85"/>
      <c r="F179" s="85"/>
      <c r="G179" s="85"/>
      <c r="H179" s="85"/>
      <c r="I179" s="85"/>
      <c r="J179" s="85"/>
    </row>
    <row r="180" spans="1:10" x14ac:dyDescent="0.3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</row>
    <row r="182" spans="1:10" ht="15" thickBot="1" x14ac:dyDescent="0.35"/>
    <row r="183" spans="1:10" ht="15" thickBot="1" x14ac:dyDescent="0.35">
      <c r="A183" s="178" t="s">
        <v>598</v>
      </c>
      <c r="B183" s="179"/>
      <c r="C183" s="70" t="s">
        <v>599</v>
      </c>
    </row>
    <row r="184" spans="1:10" x14ac:dyDescent="0.3">
      <c r="A184" s="181" t="s">
        <v>13</v>
      </c>
      <c r="B184" s="182"/>
      <c r="C184" s="155">
        <f>'SAF 011'!G10</f>
        <v>700</v>
      </c>
    </row>
    <row r="185" spans="1:10" x14ac:dyDescent="0.3">
      <c r="A185" s="174" t="s">
        <v>745</v>
      </c>
      <c r="B185" s="175"/>
      <c r="C185" s="152">
        <f>'SAF 011'!O10</f>
        <v>250</v>
      </c>
    </row>
    <row r="186" spans="1:10" x14ac:dyDescent="0.3">
      <c r="A186" s="174" t="s">
        <v>600</v>
      </c>
      <c r="B186" s="175"/>
      <c r="C186" s="152">
        <f>'SAF 011'!W10</f>
        <v>21000</v>
      </c>
    </row>
    <row r="187" spans="1:10" x14ac:dyDescent="0.3">
      <c r="A187" s="174" t="s">
        <v>601</v>
      </c>
      <c r="B187" s="175"/>
      <c r="C187" s="152">
        <f>'SAF 011'!AC10</f>
        <v>16000</v>
      </c>
    </row>
    <row r="188" spans="1:10" x14ac:dyDescent="0.3">
      <c r="A188" s="174" t="s">
        <v>602</v>
      </c>
      <c r="B188" s="175"/>
      <c r="C188" s="152">
        <f>'SAF 011'!AE10</f>
        <v>1500</v>
      </c>
    </row>
    <row r="189" spans="1:10" x14ac:dyDescent="0.3">
      <c r="A189" s="174" t="s">
        <v>603</v>
      </c>
      <c r="B189" s="175"/>
      <c r="C189" s="152">
        <f>'SAF 011'!AG10</f>
        <v>700</v>
      </c>
    </row>
    <row r="190" spans="1:10" x14ac:dyDescent="0.3">
      <c r="A190" s="174" t="s">
        <v>604</v>
      </c>
      <c r="B190" s="175"/>
      <c r="C190" s="152">
        <f>'SAF 011'!AI10</f>
        <v>550</v>
      </c>
    </row>
    <row r="191" spans="1:10" x14ac:dyDescent="0.3">
      <c r="A191" s="174" t="s">
        <v>605</v>
      </c>
      <c r="B191" s="175"/>
      <c r="C191" s="152">
        <f>'SAF 011'!AQ10</f>
        <v>31500</v>
      </c>
    </row>
    <row r="192" spans="1:10" x14ac:dyDescent="0.3">
      <c r="A192" s="174" t="s">
        <v>606</v>
      </c>
      <c r="B192" s="175"/>
      <c r="C192" s="152">
        <f>'SAF 011'!AU10</f>
        <v>1700</v>
      </c>
    </row>
    <row r="193" spans="1:3" ht="15" thickBot="1" x14ac:dyDescent="0.35">
      <c r="A193" s="176" t="s">
        <v>746</v>
      </c>
      <c r="B193" s="177"/>
      <c r="C193" s="153">
        <f>'SAF 011'!AW10</f>
        <v>11000</v>
      </c>
    </row>
    <row r="194" spans="1:3" ht="15" thickBot="1" x14ac:dyDescent="0.35">
      <c r="A194" s="178" t="s">
        <v>607</v>
      </c>
      <c r="B194" s="179"/>
      <c r="C194" s="154">
        <f>SUM(C184:C193)</f>
        <v>84900</v>
      </c>
    </row>
  </sheetData>
  <mergeCells count="13">
    <mergeCell ref="A191:B191"/>
    <mergeCell ref="A192:B192"/>
    <mergeCell ref="A193:B193"/>
    <mergeCell ref="A194:B194"/>
    <mergeCell ref="A1:G1"/>
    <mergeCell ref="A183:B183"/>
    <mergeCell ref="A184:B184"/>
    <mergeCell ref="A185:B185"/>
    <mergeCell ref="A186:B186"/>
    <mergeCell ref="A187:B187"/>
    <mergeCell ref="A188:B188"/>
    <mergeCell ref="A189:B189"/>
    <mergeCell ref="A190:B19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10" workbookViewId="0">
      <selection activeCell="J14" sqref="J14:K14"/>
    </sheetView>
  </sheetViews>
  <sheetFormatPr baseColWidth="10" defaultRowHeight="14.4" x14ac:dyDescent="0.3"/>
  <cols>
    <col min="1" max="1" width="5.5546875" customWidth="1"/>
    <col min="2" max="2" width="15.109375" customWidth="1"/>
    <col min="3" max="3" width="14.109375" customWidth="1"/>
    <col min="4" max="4" width="26" customWidth="1"/>
    <col min="5" max="5" width="8" customWidth="1"/>
    <col min="6" max="6" width="7.88671875" customWidth="1"/>
    <col min="7" max="7" width="74.88671875" customWidth="1"/>
    <col min="8" max="8" width="9.33203125" customWidth="1"/>
    <col min="9" max="9" width="15.5546875" customWidth="1"/>
    <col min="10" max="10" width="14.6640625" style="149" customWidth="1"/>
    <col min="11" max="11" width="15.5546875" customWidth="1"/>
  </cols>
  <sheetData>
    <row r="1" spans="1:11" ht="30.6" thickBot="1" x14ac:dyDescent="0.35">
      <c r="A1" s="185" t="s">
        <v>556</v>
      </c>
      <c r="B1" s="185"/>
      <c r="C1" s="185"/>
      <c r="D1" s="185"/>
      <c r="E1" s="185"/>
      <c r="F1" s="185"/>
      <c r="G1" s="185"/>
      <c r="H1" s="185"/>
      <c r="I1" s="185"/>
      <c r="J1" s="144" t="s">
        <v>557</v>
      </c>
      <c r="K1" s="86" t="s">
        <v>593</v>
      </c>
    </row>
    <row r="2" spans="1:11" ht="16.2" thickBot="1" x14ac:dyDescent="0.35">
      <c r="A2" s="87"/>
      <c r="B2" s="88"/>
      <c r="C2" s="88"/>
      <c r="D2" s="89"/>
      <c r="E2" s="89"/>
      <c r="F2" s="89"/>
      <c r="G2" s="89"/>
      <c r="H2" s="89"/>
      <c r="I2" s="89"/>
      <c r="J2" s="145"/>
      <c r="K2" s="90"/>
    </row>
    <row r="3" spans="1:11" ht="16.2" thickBot="1" x14ac:dyDescent="0.35">
      <c r="A3" s="186" t="s">
        <v>558</v>
      </c>
      <c r="B3" s="186"/>
      <c r="C3" s="186"/>
      <c r="D3" s="184" t="str">
        <f>'SAF 011'!C4</f>
        <v>040 - MINISTERIO DE SALUD</v>
      </c>
      <c r="E3" s="184"/>
      <c r="F3" s="184"/>
      <c r="G3" s="184"/>
      <c r="H3" s="184"/>
      <c r="I3" s="184"/>
      <c r="J3" s="184"/>
      <c r="K3" s="184"/>
    </row>
    <row r="4" spans="1:11" ht="16.2" thickBot="1" x14ac:dyDescent="0.35">
      <c r="A4" s="183" t="s">
        <v>559</v>
      </c>
      <c r="B4" s="183"/>
      <c r="C4" s="183"/>
      <c r="D4" s="184" t="str">
        <f>'SAF 011'!C5</f>
        <v>011 - DIRECCION PROVINCIAL DE ADMINISTRACION - MINISTERIO DE SALUD</v>
      </c>
      <c r="E4" s="184"/>
      <c r="F4" s="184"/>
      <c r="G4" s="184"/>
      <c r="H4" s="184"/>
      <c r="I4" s="184"/>
      <c r="J4" s="184"/>
      <c r="K4" s="184"/>
    </row>
    <row r="5" spans="1:11" ht="16.2" thickBot="1" x14ac:dyDescent="0.35">
      <c r="A5" s="183" t="s">
        <v>560</v>
      </c>
      <c r="B5" s="183"/>
      <c r="C5" s="183"/>
      <c r="D5" s="184" t="s">
        <v>609</v>
      </c>
      <c r="E5" s="184"/>
      <c r="F5" s="184"/>
      <c r="G5" s="184"/>
      <c r="H5" s="184"/>
      <c r="I5" s="184"/>
      <c r="J5" s="184"/>
      <c r="K5" s="184"/>
    </row>
    <row r="6" spans="1:11" ht="16.2" thickBot="1" x14ac:dyDescent="0.35">
      <c r="A6" s="186" t="s">
        <v>561</v>
      </c>
      <c r="B6" s="186"/>
      <c r="C6" s="186"/>
      <c r="D6" s="184" t="s">
        <v>609</v>
      </c>
      <c r="E6" s="184"/>
      <c r="F6" s="184"/>
      <c r="G6" s="184"/>
      <c r="H6" s="184"/>
      <c r="I6" s="184"/>
      <c r="J6" s="184"/>
      <c r="K6" s="184"/>
    </row>
    <row r="7" spans="1:11" ht="16.2" thickBot="1" x14ac:dyDescent="0.35">
      <c r="A7" s="183" t="s">
        <v>562</v>
      </c>
      <c r="B7" s="183"/>
      <c r="C7" s="183"/>
      <c r="D7" s="184" t="s">
        <v>612</v>
      </c>
      <c r="E7" s="184"/>
      <c r="F7" s="184"/>
      <c r="G7" s="184"/>
      <c r="H7" s="184"/>
      <c r="I7" s="184"/>
      <c r="J7" s="184"/>
      <c r="K7" s="184"/>
    </row>
    <row r="8" spans="1:11" ht="16.2" thickBot="1" x14ac:dyDescent="0.35">
      <c r="A8" s="187" t="s">
        <v>563</v>
      </c>
      <c r="B8" s="187"/>
      <c r="C8" s="187"/>
      <c r="D8" s="188" t="s">
        <v>610</v>
      </c>
      <c r="E8" s="188"/>
      <c r="F8" s="188"/>
      <c r="G8" s="188"/>
      <c r="H8" s="188"/>
      <c r="I8" s="188"/>
      <c r="J8" s="188"/>
      <c r="K8" s="188"/>
    </row>
    <row r="9" spans="1:11" ht="16.2" thickBot="1" x14ac:dyDescent="0.35">
      <c r="A9" s="91"/>
      <c r="B9" s="92"/>
      <c r="C9" s="92"/>
      <c r="D9" s="93"/>
      <c r="E9" s="93"/>
      <c r="F9" s="93"/>
      <c r="G9" s="93"/>
      <c r="H9" s="93"/>
      <c r="I9" s="93"/>
      <c r="J9" s="146"/>
      <c r="K9" s="94"/>
    </row>
    <row r="10" spans="1:11" ht="15" thickBot="1" x14ac:dyDescent="0.35">
      <c r="A10" s="195" t="s">
        <v>564</v>
      </c>
      <c r="B10" s="196" t="s">
        <v>565</v>
      </c>
      <c r="C10" s="196" t="s">
        <v>566</v>
      </c>
      <c r="D10" s="196"/>
      <c r="E10" s="196"/>
      <c r="F10" s="196"/>
      <c r="G10" s="196"/>
      <c r="H10" s="196" t="s">
        <v>567</v>
      </c>
      <c r="I10" s="196" t="s">
        <v>568</v>
      </c>
      <c r="J10" s="197" t="s">
        <v>569</v>
      </c>
      <c r="K10" s="193" t="s">
        <v>570</v>
      </c>
    </row>
    <row r="11" spans="1:11" ht="46.5" customHeight="1" thickBot="1" x14ac:dyDescent="0.35">
      <c r="A11" s="195"/>
      <c r="B11" s="196"/>
      <c r="C11" s="196"/>
      <c r="D11" s="196"/>
      <c r="E11" s="196"/>
      <c r="F11" s="196"/>
      <c r="G11" s="196"/>
      <c r="H11" s="196"/>
      <c r="I11" s="196"/>
      <c r="J11" s="197"/>
      <c r="K11" s="193"/>
    </row>
    <row r="12" spans="1:11" ht="40.5" customHeight="1" x14ac:dyDescent="0.3">
      <c r="A12" s="95">
        <v>1</v>
      </c>
      <c r="B12" s="143" t="str">
        <f>'SAF 011'!B10</f>
        <v>2.5.6-793.31</v>
      </c>
      <c r="C12" s="194" t="str">
        <f>'SAF 011'!E10</f>
        <v>GAS OIL; PRESENTACION: POR LITRO, USO: MOTORES DIESEL,COMERCIALIZACION: GRADO 3, DESTINO: DPTO. S.F.V. DE CATAMARCA</v>
      </c>
      <c r="D12" s="194"/>
      <c r="E12" s="194"/>
      <c r="F12" s="194"/>
      <c r="G12" s="194"/>
      <c r="H12" s="96" t="s">
        <v>596</v>
      </c>
      <c r="I12" s="97" t="str">
        <f>'SAF 011'!F10</f>
        <v>LITROS</v>
      </c>
      <c r="J12" s="147">
        <f>'SAF 011'!AZ10</f>
        <v>237.2</v>
      </c>
      <c r="K12" s="98">
        <f>'SAF 011'!AY10</f>
        <v>84900</v>
      </c>
    </row>
    <row r="13" spans="1:11" ht="15.6" x14ac:dyDescent="0.3">
      <c r="A13" s="99"/>
      <c r="B13" s="100"/>
      <c r="C13" s="192"/>
      <c r="D13" s="192"/>
      <c r="E13" s="192"/>
      <c r="F13" s="192"/>
      <c r="G13" s="192"/>
      <c r="H13" s="101"/>
      <c r="I13" s="102"/>
      <c r="J13" s="148"/>
      <c r="K13" s="103"/>
    </row>
    <row r="14" spans="1:11" ht="18" thickBot="1" x14ac:dyDescent="0.35">
      <c r="A14" s="189" t="s">
        <v>747</v>
      </c>
      <c r="B14" s="189"/>
      <c r="C14" s="189"/>
      <c r="D14" s="189"/>
      <c r="E14" s="189"/>
      <c r="F14" s="189"/>
      <c r="G14" s="189"/>
      <c r="H14" s="189"/>
      <c r="I14" s="189"/>
      <c r="J14" s="190">
        <f>+J12*K12</f>
        <v>20138280</v>
      </c>
      <c r="K14" s="191"/>
    </row>
  </sheetData>
  <mergeCells count="24">
    <mergeCell ref="A14:I14"/>
    <mergeCell ref="J14:K14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A4" workbookViewId="0">
      <selection activeCell="J20" sqref="J20"/>
    </sheetView>
  </sheetViews>
  <sheetFormatPr baseColWidth="10" defaultRowHeight="14.4" x14ac:dyDescent="0.3"/>
  <cols>
    <col min="1" max="5" width="4.44140625" customWidth="1"/>
    <col min="6" max="6" width="6.88671875" customWidth="1"/>
    <col min="7" max="14" width="4.44140625" customWidth="1"/>
    <col min="15" max="16" width="14.88671875" customWidth="1"/>
    <col min="17" max="17" width="14.6640625" customWidth="1"/>
  </cols>
  <sheetData>
    <row r="1" spans="1:17" ht="15" thickBot="1" x14ac:dyDescent="0.35">
      <c r="A1" s="199" t="s">
        <v>5</v>
      </c>
      <c r="B1" s="199"/>
      <c r="C1" s="199"/>
      <c r="D1" s="200">
        <v>2022</v>
      </c>
      <c r="E1" s="200"/>
      <c r="F1" s="104"/>
      <c r="G1" s="104"/>
      <c r="H1" s="105"/>
      <c r="I1" s="105"/>
      <c r="J1" s="105"/>
      <c r="K1" s="105"/>
      <c r="L1" s="105"/>
      <c r="M1" s="105"/>
      <c r="N1" s="105"/>
      <c r="O1" s="106"/>
      <c r="P1" s="201" t="s">
        <v>571</v>
      </c>
      <c r="Q1" s="201"/>
    </row>
    <row r="2" spans="1:17" ht="15" thickBot="1" x14ac:dyDescent="0.35">
      <c r="A2" s="107"/>
      <c r="B2" s="108"/>
      <c r="C2" s="108"/>
      <c r="D2" s="108"/>
      <c r="E2" s="108"/>
      <c r="F2" s="108"/>
      <c r="G2" s="109"/>
      <c r="H2" s="110"/>
      <c r="I2" s="110"/>
      <c r="J2" s="110"/>
      <c r="K2" s="110"/>
      <c r="L2" s="110"/>
      <c r="M2" s="110"/>
      <c r="N2" s="110"/>
      <c r="O2" s="108"/>
      <c r="P2" s="201"/>
      <c r="Q2" s="201"/>
    </row>
    <row r="3" spans="1:17" ht="15" thickBot="1" x14ac:dyDescent="0.35">
      <c r="A3" s="107"/>
      <c r="B3" s="108"/>
      <c r="C3" s="108"/>
      <c r="D3" s="108"/>
      <c r="E3" s="108"/>
      <c r="F3" s="108"/>
      <c r="G3" s="109"/>
      <c r="H3" s="108"/>
      <c r="I3" s="108"/>
      <c r="J3" s="108"/>
      <c r="K3" s="108"/>
      <c r="L3" s="108"/>
      <c r="M3" s="108"/>
      <c r="N3" s="108"/>
      <c r="O3" s="108"/>
      <c r="P3" s="108"/>
      <c r="Q3" s="111"/>
    </row>
    <row r="4" spans="1:17" ht="15" thickBot="1" x14ac:dyDescent="0.35">
      <c r="A4" s="202" t="s">
        <v>572</v>
      </c>
      <c r="B4" s="202"/>
      <c r="C4" s="202"/>
      <c r="D4" s="202"/>
      <c r="E4" s="202"/>
      <c r="F4" s="202"/>
      <c r="G4" s="203" t="str">
        <f>NP!D3</f>
        <v>040 - MINISTERIO DE SALUD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</row>
    <row r="5" spans="1:17" ht="15" thickBot="1" x14ac:dyDescent="0.35">
      <c r="A5" s="204" t="s">
        <v>559</v>
      </c>
      <c r="B5" s="204"/>
      <c r="C5" s="204"/>
      <c r="D5" s="204"/>
      <c r="E5" s="204"/>
      <c r="F5" s="204"/>
      <c r="G5" s="203" t="str">
        <f>NP!D4</f>
        <v>011 - DIRECCION PROVINCIAL DE ADMINISTRACION - MINISTERIO DE SALUD</v>
      </c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15" thickBot="1" x14ac:dyDescent="0.35">
      <c r="A6" s="204" t="s">
        <v>560</v>
      </c>
      <c r="B6" s="204"/>
      <c r="C6" s="204"/>
      <c r="D6" s="204"/>
      <c r="E6" s="204"/>
      <c r="F6" s="204"/>
      <c r="G6" s="203" t="str">
        <f>NP!D5</f>
        <v>352 - MINISTERIO DE SALUD</v>
      </c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ht="15" thickBot="1" x14ac:dyDescent="0.35">
      <c r="A7" s="204" t="s">
        <v>561</v>
      </c>
      <c r="B7" s="204"/>
      <c r="C7" s="204"/>
      <c r="D7" s="204"/>
      <c r="E7" s="204"/>
      <c r="F7" s="204"/>
      <c r="G7" s="203" t="str">
        <f>NP!D6</f>
        <v>352 - MINISTERIO DE SALUD</v>
      </c>
      <c r="H7" s="203"/>
      <c r="I7" s="203"/>
      <c r="J7" s="203"/>
      <c r="K7" s="203"/>
      <c r="L7" s="203"/>
      <c r="M7" s="203"/>
      <c r="N7" s="203"/>
      <c r="O7" s="203"/>
      <c r="P7" s="203"/>
      <c r="Q7" s="203"/>
    </row>
    <row r="8" spans="1:17" ht="15" thickBot="1" x14ac:dyDescent="0.35">
      <c r="A8" s="205" t="s">
        <v>573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</row>
    <row r="9" spans="1:17" x14ac:dyDescent="0.3">
      <c r="A9" s="198" t="s">
        <v>574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</row>
    <row r="10" spans="1:17" ht="59.25" customHeight="1" x14ac:dyDescent="0.3">
      <c r="A10" s="207" t="s">
        <v>595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</row>
    <row r="11" spans="1:17" ht="15" thickBot="1" x14ac:dyDescent="0.35">
      <c r="A11" s="112"/>
      <c r="B11" s="113"/>
      <c r="C11" s="113"/>
      <c r="D11" s="113"/>
      <c r="E11" s="113"/>
      <c r="F11" s="113"/>
      <c r="G11" s="114"/>
      <c r="H11" s="113"/>
      <c r="I11" s="113"/>
      <c r="J11" s="113"/>
      <c r="K11" s="113"/>
      <c r="L11" s="113"/>
      <c r="M11" s="113"/>
      <c r="N11" s="113"/>
      <c r="O11" s="113"/>
      <c r="P11" s="113"/>
      <c r="Q11" s="115"/>
    </row>
    <row r="12" spans="1:17" ht="15" thickBot="1" x14ac:dyDescent="0.35">
      <c r="A12" s="208" t="s">
        <v>575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</row>
    <row r="13" spans="1:17" ht="15" thickBot="1" x14ac:dyDescent="0.35">
      <c r="A13" s="209" t="s">
        <v>576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10" t="s">
        <v>577</v>
      </c>
      <c r="P13" s="210"/>
      <c r="Q13" s="211" t="s">
        <v>578</v>
      </c>
    </row>
    <row r="14" spans="1:17" ht="15" thickBot="1" x14ac:dyDescent="0.35">
      <c r="A14" s="116" t="s">
        <v>579</v>
      </c>
      <c r="B14" s="117" t="s">
        <v>580</v>
      </c>
      <c r="C14" s="117" t="s">
        <v>581</v>
      </c>
      <c r="D14" s="117" t="s">
        <v>582</v>
      </c>
      <c r="E14" s="117" t="s">
        <v>583</v>
      </c>
      <c r="F14" s="117" t="s">
        <v>584</v>
      </c>
      <c r="G14" s="118" t="s">
        <v>585</v>
      </c>
      <c r="H14" s="117" t="s">
        <v>586</v>
      </c>
      <c r="I14" s="117" t="s">
        <v>587</v>
      </c>
      <c r="J14" s="117" t="s">
        <v>588</v>
      </c>
      <c r="K14" s="117" t="s">
        <v>588</v>
      </c>
      <c r="L14" s="117" t="s">
        <v>589</v>
      </c>
      <c r="M14" s="119" t="s">
        <v>590</v>
      </c>
      <c r="N14" s="120" t="s">
        <v>591</v>
      </c>
      <c r="O14" s="210"/>
      <c r="P14" s="210"/>
      <c r="Q14" s="211"/>
    </row>
    <row r="15" spans="1:17" x14ac:dyDescent="0.3">
      <c r="A15" s="121">
        <v>1</v>
      </c>
      <c r="B15" s="122"/>
      <c r="C15" s="122"/>
      <c r="D15" s="122">
        <v>1</v>
      </c>
      <c r="E15" s="122"/>
      <c r="F15" s="122">
        <v>4901</v>
      </c>
      <c r="G15" s="122">
        <v>3</v>
      </c>
      <c r="H15" s="122">
        <v>1</v>
      </c>
      <c r="I15" s="122">
        <v>2</v>
      </c>
      <c r="J15" s="122">
        <v>5</v>
      </c>
      <c r="K15" s="122">
        <v>6</v>
      </c>
      <c r="L15" s="122"/>
      <c r="M15" s="123">
        <v>1</v>
      </c>
      <c r="N15" s="122" t="s">
        <v>594</v>
      </c>
      <c r="O15" s="212" t="s">
        <v>48</v>
      </c>
      <c r="P15" s="212"/>
      <c r="Q15" s="124">
        <f>NP!J14</f>
        <v>20138280</v>
      </c>
    </row>
    <row r="16" spans="1:17" x14ac:dyDescent="0.3">
      <c r="A16" s="125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7"/>
      <c r="N16" s="128"/>
      <c r="O16" s="213"/>
      <c r="P16" s="213"/>
      <c r="Q16" s="129"/>
    </row>
    <row r="17" spans="1:17" x14ac:dyDescent="0.3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7"/>
      <c r="N17" s="128"/>
      <c r="O17" s="214"/>
      <c r="P17" s="214"/>
      <c r="Q17" s="129"/>
    </row>
    <row r="18" spans="1:17" x14ac:dyDescent="0.3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7"/>
      <c r="N18" s="128"/>
      <c r="O18" s="206"/>
      <c r="P18" s="206"/>
      <c r="Q18" s="129"/>
    </row>
    <row r="19" spans="1:17" x14ac:dyDescent="0.3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7"/>
      <c r="N19" s="128"/>
      <c r="O19" s="206"/>
      <c r="P19" s="206"/>
      <c r="Q19" s="129"/>
    </row>
    <row r="20" spans="1:17" x14ac:dyDescent="0.3">
      <c r="A20" s="125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7"/>
      <c r="N20" s="128"/>
      <c r="O20" s="206"/>
      <c r="P20" s="206"/>
      <c r="Q20" s="129"/>
    </row>
    <row r="21" spans="1:17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7"/>
      <c r="N21" s="128"/>
      <c r="O21" s="206"/>
      <c r="P21" s="206"/>
      <c r="Q21" s="129"/>
    </row>
    <row r="22" spans="1:17" x14ac:dyDescent="0.3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7"/>
      <c r="N22" s="128"/>
      <c r="O22" s="206"/>
      <c r="P22" s="206"/>
      <c r="Q22" s="129"/>
    </row>
    <row r="23" spans="1:17" x14ac:dyDescent="0.3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7"/>
      <c r="N23" s="128"/>
      <c r="O23" s="206"/>
      <c r="P23" s="206"/>
      <c r="Q23" s="129"/>
    </row>
    <row r="24" spans="1:17" x14ac:dyDescent="0.3">
      <c r="A24" s="125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7"/>
      <c r="N24" s="128"/>
      <c r="O24" s="206"/>
      <c r="P24" s="206"/>
      <c r="Q24" s="129"/>
    </row>
    <row r="25" spans="1:17" x14ac:dyDescent="0.3">
      <c r="A25" s="125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7"/>
      <c r="N25" s="128"/>
      <c r="O25" s="206"/>
      <c r="P25" s="206"/>
      <c r="Q25" s="129"/>
    </row>
    <row r="26" spans="1:17" x14ac:dyDescent="0.3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7"/>
      <c r="N26" s="128"/>
      <c r="O26" s="206"/>
      <c r="P26" s="206"/>
      <c r="Q26" s="129"/>
    </row>
    <row r="27" spans="1:17" x14ac:dyDescent="0.3">
      <c r="A27" s="125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7"/>
      <c r="N27" s="128"/>
      <c r="O27" s="206"/>
      <c r="P27" s="206"/>
      <c r="Q27" s="129"/>
    </row>
    <row r="28" spans="1:17" x14ac:dyDescent="0.3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7"/>
      <c r="N28" s="128"/>
      <c r="O28" s="206"/>
      <c r="P28" s="206"/>
      <c r="Q28" s="129"/>
    </row>
    <row r="29" spans="1:17" x14ac:dyDescent="0.3">
      <c r="A29" s="125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7"/>
      <c r="N29" s="128"/>
      <c r="O29" s="206"/>
      <c r="P29" s="206"/>
      <c r="Q29" s="129"/>
    </row>
    <row r="30" spans="1:17" x14ac:dyDescent="0.3">
      <c r="A30" s="125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7"/>
      <c r="N30" s="128"/>
      <c r="O30" s="206"/>
      <c r="P30" s="206"/>
      <c r="Q30" s="129"/>
    </row>
    <row r="31" spans="1:17" x14ac:dyDescent="0.3">
      <c r="A31" s="125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7"/>
      <c r="N31" s="128"/>
      <c r="O31" s="206"/>
      <c r="P31" s="206"/>
      <c r="Q31" s="129"/>
    </row>
    <row r="32" spans="1:17" x14ac:dyDescent="0.3">
      <c r="A32" s="125"/>
      <c r="B32" s="126"/>
      <c r="C32" s="126"/>
      <c r="D32" s="126"/>
      <c r="E32" s="126"/>
      <c r="F32" s="128"/>
      <c r="G32" s="126"/>
      <c r="H32" s="126"/>
      <c r="I32" s="126"/>
      <c r="J32" s="126"/>
      <c r="K32" s="126"/>
      <c r="L32" s="126"/>
      <c r="M32" s="127"/>
      <c r="N32" s="128"/>
      <c r="O32" s="213"/>
      <c r="P32" s="213"/>
      <c r="Q32" s="129"/>
    </row>
    <row r="33" spans="1:17" x14ac:dyDescent="0.3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7"/>
      <c r="N33" s="128"/>
      <c r="O33" s="213"/>
      <c r="P33" s="213"/>
      <c r="Q33" s="129"/>
    </row>
    <row r="34" spans="1:17" x14ac:dyDescent="0.3">
      <c r="A34" s="125"/>
      <c r="B34" s="126"/>
      <c r="C34" s="126"/>
      <c r="D34" s="126"/>
      <c r="E34" s="126"/>
      <c r="F34" s="128"/>
      <c r="G34" s="126"/>
      <c r="H34" s="126"/>
      <c r="I34" s="126"/>
      <c r="J34" s="126"/>
      <c r="K34" s="126"/>
      <c r="L34" s="126"/>
      <c r="M34" s="127"/>
      <c r="N34" s="128"/>
      <c r="O34" s="213"/>
      <c r="P34" s="213"/>
      <c r="Q34" s="129"/>
    </row>
    <row r="35" spans="1:17" x14ac:dyDescent="0.3">
      <c r="A35" s="125"/>
      <c r="B35" s="126"/>
      <c r="C35" s="126"/>
      <c r="D35" s="126"/>
      <c r="E35" s="126"/>
      <c r="F35" s="128"/>
      <c r="G35" s="126"/>
      <c r="H35" s="126"/>
      <c r="I35" s="126"/>
      <c r="J35" s="126"/>
      <c r="K35" s="126"/>
      <c r="L35" s="126"/>
      <c r="M35" s="127"/>
      <c r="N35" s="128"/>
      <c r="O35" s="213"/>
      <c r="P35" s="213"/>
      <c r="Q35" s="129"/>
    </row>
    <row r="36" spans="1:17" x14ac:dyDescent="0.3">
      <c r="A36" s="130"/>
      <c r="B36" s="131"/>
      <c r="C36" s="131"/>
      <c r="D36" s="131"/>
      <c r="E36" s="131"/>
      <c r="F36" s="132"/>
      <c r="G36" s="131"/>
      <c r="H36" s="131"/>
      <c r="I36" s="131"/>
      <c r="J36" s="131"/>
      <c r="K36" s="131"/>
      <c r="L36" s="131"/>
      <c r="M36" s="133"/>
      <c r="N36" s="134"/>
      <c r="O36" s="218"/>
      <c r="P36" s="218"/>
      <c r="Q36" s="129"/>
    </row>
    <row r="37" spans="1:17" ht="15" thickBot="1" x14ac:dyDescent="0.35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7"/>
      <c r="N37" s="136"/>
      <c r="O37" s="219"/>
      <c r="P37" s="219"/>
      <c r="Q37" s="138"/>
    </row>
    <row r="38" spans="1:17" ht="42.75" customHeight="1" thickBot="1" x14ac:dyDescent="0.35">
      <c r="A38" s="220" t="s">
        <v>608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39">
        <f>SUM(Q15:Q37)</f>
        <v>20138280</v>
      </c>
    </row>
    <row r="39" spans="1:17" ht="15" thickBot="1" x14ac:dyDescent="0.35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</row>
    <row r="40" spans="1:17" ht="15" thickBot="1" x14ac:dyDescent="0.35">
      <c r="A40" s="215" t="s">
        <v>592</v>
      </c>
      <c r="B40" s="215"/>
      <c r="C40" s="215"/>
      <c r="D40" s="215"/>
      <c r="E40" s="215"/>
      <c r="F40" s="215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</row>
    <row r="41" spans="1:17" ht="15" thickBot="1" x14ac:dyDescent="0.35">
      <c r="A41" s="217" t="str">
        <f>NP!D8</f>
        <v>ADQ. DEL RUBRO COMBUSTIBLE (GAS OIL) PARA LAS DEPENDENCIAS DEL MINISTERIO DE SALUD</v>
      </c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</row>
    <row r="42" spans="1:17" ht="15" thickBot="1" x14ac:dyDescent="0.35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ANEXO</vt:lpstr>
      <vt:lpstr>NP</vt:lpstr>
      <vt:lpstr>APG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GABY</cp:lastModifiedBy>
  <dcterms:created xsi:type="dcterms:W3CDTF">2021-11-12T17:27:33Z</dcterms:created>
  <dcterms:modified xsi:type="dcterms:W3CDTF">2022-11-16T12:36:18Z</dcterms:modified>
</cp:coreProperties>
</file>