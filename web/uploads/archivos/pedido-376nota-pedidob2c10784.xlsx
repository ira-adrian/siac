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CONSOLIDADOS\POLLO\final\"/>
    </mc:Choice>
  </mc:AlternateContent>
  <xr:revisionPtr revIDLastSave="0" documentId="8_{29DE346C-1E3F-448C-8DF2-2B77A7392F3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0">'Necesidades Trimestrales'!$A$2:$I$13</definedName>
    <definedName name="_xlnm.Print_Area" localSheetId="1">NotaPedido!$A$1:$K$14</definedName>
  </definedNames>
  <calcPr calcId="181029" iterateDelta="1E-4"/>
</workbook>
</file>

<file path=xl/calcChain.xml><?xml version="1.0" encoding="utf-8"?>
<calcChain xmlns="http://schemas.openxmlformats.org/spreadsheetml/2006/main">
  <c r="Q22" i="3" l="1"/>
  <c r="K12" i="2" l="1"/>
  <c r="K13" i="2"/>
  <c r="J12" i="2"/>
  <c r="J13" i="2"/>
  <c r="I12" i="2"/>
  <c r="I13" i="2"/>
  <c r="I10" i="1" l="1"/>
  <c r="I11" i="1"/>
  <c r="C12" i="2"/>
  <c r="C13" i="2"/>
  <c r="A25" i="3" l="1"/>
  <c r="D10" i="1" l="1"/>
  <c r="D11" i="1"/>
  <c r="B13" i="2"/>
  <c r="A10" i="3"/>
  <c r="B12" i="2"/>
  <c r="J14" i="2" l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<sst xmlns="http://schemas.openxmlformats.org/spreadsheetml/2006/main" count="101" uniqueCount="85">
  <si>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</si>
  <si>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</si>
  <si>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</si>
  <si>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</si>
  <si>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</si>
  <si>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</si>
  <si>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</si>
  <si>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</si>
  <si>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</si>
  <si>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</si>
  <si>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</si>
  <si>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</si>
  <si>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</si>
  <si>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</si>
  <si>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</si>
  <si>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</si>
  <si>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</si>
  <si>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</si>
  <si>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</si>
  <si>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</si>
  <si>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</si>
  <si>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</si>
  <si>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</si>
  <si>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</si>
  <si>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</si>
  <si>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</si>
  <si>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</si>
  <si>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</si>
  <si>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</si>
  <si>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</si>
  <si>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</si>
  <si>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</si>
  <si>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</si>
  <si>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</si>
  <si>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</si>
  <si>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</si>
  <si>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</si>
  <si>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</si>
  <si>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</si>
  <si>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</si>
  <si>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</si>
  <si>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</si>
  <si>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</si>
  <si>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</si>
  <si>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</si>
  <si>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</si>
  <si>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</si>
  <si>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</si>
  <si>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</si>
  <si>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</si>
  <si>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</si>
  <si>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</si>
  <si>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</si>
  <si>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3.1</t>
  </si>
  <si>
    <t>1.1</t>
  </si>
  <si>
    <t>ALIMENTOS</t>
  </si>
  <si>
    <t>2.1.1-621.20</t>
  </si>
  <si>
    <t>AVES; TIPO: POLLO, PRESENTACION: CAJA X 22 Kg, EVISCERADO: SI, ELEM. TRANSPORTE: SIN, MATERIAL ELEM. TRANSPORTE: SIN, LIBRE DE GLUTEN: SIN VALOR</t>
  </si>
  <si>
    <t>2.1.1-621.11</t>
  </si>
  <si>
    <t>AVES; ESPECIE: PECHUGA DE POLLO, PRESENTACION: BOLSA X 2 Kg, EVISCERADO: SIN VALOR, TIPO: PECHUGA DE POLLO</t>
  </si>
  <si>
    <t>MANTENIMIENTO DE OFERTA: 45 DIAS HABILES</t>
  </si>
  <si>
    <t>Servicio de Nutricion</t>
  </si>
  <si>
    <t>Alimentos para Personas</t>
  </si>
  <si>
    <t>CAJA</t>
  </si>
  <si>
    <t>Descripción técnica</t>
  </si>
  <si>
    <t>Calidad Minima esperada</t>
  </si>
  <si>
    <t>Mantenimiento</t>
  </si>
  <si>
    <t>Garantia</t>
  </si>
  <si>
    <t>PLAZO DE ENTREGA: SEGÚN NECESIDAD DEL SERVICIO - LUGAR DE ENTREGA: SERVICIO DE NUTRICION - HOSPITAL INTERZONAL SAN JUAN BAUTISTA - AV. ILLIA ESQ. MARIANO MORENO</t>
  </si>
  <si>
    <t>Especificidades Item N° 01:</t>
  </si>
  <si>
    <t>Plazos, lugares y formas de entrega</t>
  </si>
  <si>
    <t>Las entregas se realizaran en el Servicio de Nutricion -Avda. Illia y Mariano Moreno- los días lunes, miercoles y viernes de 07:00 a 08:30 horas.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</si>
  <si>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</si>
  <si>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 xml:space="preserve">45 días habiles </t>
  </si>
  <si>
    <t>Especificidades Item N° 02:</t>
  </si>
  <si>
    <t xml:space="preserve">POLLO CAJA X 22 Kg, EVISCERADO - UNIDAD = CAJA DE 22 KG - TRANSPORTADA EN VEHICULO AUTORIZADO POR SENASA PARA TAL FIN, EL PROVEEDOR DEBERA EXHIBIR TAL DOCUMENTACION </t>
  </si>
  <si>
    <t>Ver nota adjunta respecto de la calidad de los productos y otras caracteristicas.</t>
  </si>
  <si>
    <t xml:space="preserve">PECHUGAS DE POLLO, PRESENTACION: BOLSA X 2 Kg APROXIMADAMENTE CADA UNA - TRANSPORTADA EN VEHICULO AUTORIZADO POR SENASA PARA TAL FIN, EL PROVEEDOR DEBERA EXHIBIR TAL DOCUMENTACION </t>
  </si>
  <si>
    <t xml:space="preserve">BOLSA </t>
  </si>
  <si>
    <t xml:space="preserve">SI </t>
  </si>
  <si>
    <t>Adquisición de Alimentos Perecederos (pollo)</t>
  </si>
  <si>
    <t>Costo total estimado:  UN MILLON OCHOCIENTOS CON 00/100.-</t>
  </si>
  <si>
    <t>TOTAL DE PESOS: UN MILLON OCHOCIENTOS CON 00/100.---</t>
  </si>
  <si>
    <t>NOTA DE PEDIDO N° 89</t>
  </si>
  <si>
    <t>DOCFI-2022-01256851-CAT-DASIS#HSJB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</si>
</sst>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15" fillId="0" borderId="0" xfId="5" applyFont="1"/>
    <xf numFmtId="0" fontId="26" fillId="0" borderId="43" xfId="5" applyFont="1" applyBorder="1"/>
    <xf numFmtId="0" fontId="15" fillId="0" borderId="44" xfId="5" applyFont="1" applyBorder="1"/>
    <xf numFmtId="0" fontId="15" fillId="0" borderId="45" xfId="5" applyFont="1" applyBorder="1"/>
    <xf numFmtId="0" fontId="15" fillId="0" borderId="46" xfId="5" applyFont="1" applyBorder="1"/>
    <xf numFmtId="0" fontId="15" fillId="0" borderId="0" xfId="5" applyFont="1" applyBorder="1"/>
    <xf numFmtId="0" fontId="15" fillId="0" borderId="47" xfId="5" applyFont="1" applyBorder="1"/>
    <xf numFmtId="0" fontId="26" fillId="0" borderId="46" xfId="5" applyFont="1" applyBorder="1" applyAlignment="1">
      <alignment horizontal="left" indent="3"/>
    </xf>
    <xf numFmtId="0" fontId="15" fillId="0" borderId="46" xfId="5" applyFont="1" applyBorder="1" applyAlignment="1">
      <alignment horizontal="left" indent="3"/>
    </xf>
    <xf numFmtId="0" fontId="15" fillId="0" borderId="0" xfId="5" applyFont="1" applyBorder="1" applyAlignment="1">
      <alignment horizontal="center" wrapText="1"/>
    </xf>
    <xf numFmtId="0" fontId="15" fillId="0" borderId="47" xfId="5" applyFont="1" applyBorder="1" applyAlignment="1">
      <alignment horizontal="center" wrapText="1"/>
    </xf>
    <xf numFmtId="0" fontId="26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46" xfId="0" applyFont="1" applyBorder="1"/>
    <xf numFmtId="0" fontId="15" fillId="0" borderId="0" xfId="0" applyFont="1" applyBorder="1"/>
    <xf numFmtId="0" fontId="15" fillId="0" borderId="47" xfId="0" applyFont="1" applyBorder="1"/>
    <xf numFmtId="0" fontId="26" fillId="0" borderId="46" xfId="0" applyFont="1" applyBorder="1" applyAlignment="1">
      <alignment horizontal="left" indent="3"/>
    </xf>
    <xf numFmtId="0" fontId="15" fillId="0" borderId="46" xfId="0" applyFont="1" applyBorder="1" applyAlignment="1">
      <alignment horizontal="left" indent="3"/>
    </xf>
    <xf numFmtId="0" fontId="15" fillId="0" borderId="48" xfId="0" applyFont="1" applyBorder="1" applyAlignment="1">
      <alignment horizontal="left" indent="3"/>
    </xf>
    <xf numFmtId="0" fontId="15" fillId="0" borderId="49" xfId="0" applyFont="1" applyBorder="1"/>
    <xf numFmtId="0" fontId="15" fillId="0" borderId="50" xfId="0" applyFont="1" applyBorder="1"/>
    <xf numFmtId="0" fontId="15" fillId="4" borderId="0" xfId="0" applyFont="1" applyFill="1" applyBorder="1"/>
    <xf numFmtId="0" fontId="15" fillId="4" borderId="47" xfId="0" applyFont="1" applyFill="1" applyBorder="1"/>
    <xf numFmtId="0" fontId="15" fillId="4" borderId="0" xfId="0" applyFont="1" applyFill="1" applyBorder="1" applyAlignment="1">
      <alignment horizontal="center" wrapText="1"/>
    </xf>
    <xf numFmtId="0" fontId="15" fillId="4" borderId="47" xfId="0" applyFont="1" applyFill="1" applyBorder="1" applyAlignment="1">
      <alignment horizontal="center" wrapText="1"/>
    </xf>
    <xf numFmtId="0" fontId="26" fillId="0" borderId="48" xfId="5" applyFont="1" applyBorder="1" applyAlignment="1">
      <alignment horizontal="left" indent="3"/>
    </xf>
    <xf numFmtId="0" fontId="6" fillId="3" borderId="3" xfId="0" applyFont="1" applyFill="1" applyBorder="1" applyAlignment="1">
      <alignment horizontal="center" vertical="center"/>
    </xf>
    <xf numFmtId="0" fontId="15" fillId="4" borderId="0" xfId="0" applyFont="1" applyFill="1"/>
    <xf numFmtId="0" fontId="20" fillId="4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166" fontId="0" fillId="4" borderId="26" xfId="3" applyNumberFormat="1" applyFont="1" applyFill="1" applyBorder="1" applyAlignment="1" applyProtection="1">
      <alignment horizontal="center" vertical="center"/>
    </xf>
    <xf numFmtId="166" fontId="13" fillId="4" borderId="36" xfId="0" applyNumberFormat="1" applyFont="1" applyFill="1" applyBorder="1" applyAlignment="1">
      <alignment horizontal="center" vertical="center"/>
    </xf>
    <xf numFmtId="0" fontId="15" fillId="5" borderId="50" xfId="5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 vertical="center" wrapText="1"/>
    </xf>
    <xf numFmtId="0" fontId="15" fillId="5" borderId="47" xfId="0" applyFont="1" applyFill="1" applyBorder="1" applyAlignment="1">
      <alignment horizontal="center" vertical="center" wrapText="1"/>
    </xf>
    <xf numFmtId="0" fontId="15" fillId="5" borderId="0" xfId="5" applyFont="1" applyFill="1" applyBorder="1" applyAlignment="1">
      <alignment horizontal="center" vertical="center" wrapText="1"/>
    </xf>
    <xf numFmtId="0" fontId="15" fillId="5" borderId="47" xfId="5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left" vertical="center" wrapText="1"/>
    </xf>
    <xf numFmtId="0" fontId="15" fillId="6" borderId="47" xfId="0" applyFont="1" applyFill="1" applyBorder="1" applyAlignment="1">
      <alignment horizontal="left" vertical="center" wrapText="1"/>
    </xf>
    <xf numFmtId="0" fontId="15" fillId="5" borderId="47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/>
    </xf>
    <xf numFmtId="0" fontId="25" fillId="0" borderId="4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8" fillId="0" borderId="9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7" fillId="4" borderId="36" xfId="0" applyFont="1" applyFill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8"/>
  <sheetViews>
    <sheetView tabSelected="1" zoomScale="80" zoomScaleNormal="80" workbookViewId="0">
      <selection activeCell="C24" sqref="C24:E24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12.42578125" style="37" customWidth="1"/>
    <col min="4" max="4" width="8.42578125" style="37" customWidth="1"/>
    <col min="5" max="5" width="99.42578125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0" width="14.140625" style="37" customWidth="1"/>
    <col min="11" max="11" width="30.28515625" style="37" customWidth="1"/>
    <col min="12" max="12" width="58.7109375" style="37" customWidth="1"/>
    <col min="13" max="13" width="44.140625" style="37" customWidth="1"/>
    <col min="14" max="16384" width="11" style="37"/>
  </cols>
  <sheetData>
    <row r="2" spans="1:9" ht="27" x14ac:dyDescent="0.35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 x14ac:dyDescent="0.25">
      <c r="A4" s="106" t="s">
        <v>1</v>
      </c>
      <c r="B4" s="106"/>
      <c r="C4" s="108" t="s">
        <v>50</v>
      </c>
      <c r="D4" s="108"/>
      <c r="E4" s="108"/>
      <c r="F4" s="38"/>
      <c r="G4" s="39"/>
      <c r="H4" s="38"/>
    </row>
    <row r="5" spans="1:9" ht="18" customHeight="1" x14ac:dyDescent="0.25">
      <c r="A5" s="106" t="s">
        <v>2</v>
      </c>
      <c r="B5" s="106"/>
      <c r="C5" s="108" t="s">
        <v>51</v>
      </c>
      <c r="D5" s="108"/>
      <c r="E5" s="108"/>
      <c r="F5" s="38"/>
      <c r="G5" s="39"/>
      <c r="H5" s="38"/>
    </row>
    <row r="6" spans="1:9" ht="16.5" customHeight="1" x14ac:dyDescent="0.25">
      <c r="A6" s="106" t="s">
        <v>3</v>
      </c>
      <c r="B6" s="106"/>
      <c r="C6" s="41">
        <v>2022</v>
      </c>
      <c r="D6" s="42"/>
      <c r="E6" s="42"/>
      <c r="F6" s="38"/>
      <c r="G6" s="39"/>
      <c r="H6" s="38"/>
    </row>
    <row r="7" spans="1:9" ht="16.5" customHeight="1" x14ac:dyDescent="0.25">
      <c r="A7" s="106" t="s">
        <v>4</v>
      </c>
      <c r="B7" s="106"/>
      <c r="C7" s="41">
        <v>3</v>
      </c>
      <c r="D7" s="42"/>
      <c r="E7" s="42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0" t="s">
        <v>5</v>
      </c>
      <c r="B9" s="40" t="s">
        <v>6</v>
      </c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</row>
    <row r="10" spans="1:9" s="84" customFormat="1" ht="56.25" customHeight="1" thickBot="1" x14ac:dyDescent="0.25">
      <c r="A10" s="85">
        <v>1</v>
      </c>
      <c r="B10" s="86" t="s">
        <v>56</v>
      </c>
      <c r="C10" s="87" t="s">
        <v>55</v>
      </c>
      <c r="D10" s="88" t="str">
        <f t="shared" ref="D10:D11" si="0">LEFT(B10,5)</f>
        <v>2.1.1</v>
      </c>
      <c r="E10" s="89" t="s">
        <v>57</v>
      </c>
      <c r="F10" s="86" t="s">
        <v>63</v>
      </c>
      <c r="G10" s="86">
        <v>150</v>
      </c>
      <c r="H10" s="90">
        <v>6000</v>
      </c>
      <c r="I10" s="91">
        <f t="shared" ref="I10:I11" si="1">+G10*H10</f>
        <v>900000</v>
      </c>
    </row>
    <row r="11" spans="1:9" s="84" customFormat="1" ht="43.5" customHeight="1" thickBot="1" x14ac:dyDescent="0.25">
      <c r="A11" s="85">
        <v>2</v>
      </c>
      <c r="B11" s="86" t="s">
        <v>58</v>
      </c>
      <c r="C11" s="87" t="s">
        <v>55</v>
      </c>
      <c r="D11" s="88" t="str">
        <f t="shared" si="0"/>
        <v>2.1.1</v>
      </c>
      <c r="E11" s="89" t="s">
        <v>59</v>
      </c>
      <c r="F11" s="86" t="s">
        <v>78</v>
      </c>
      <c r="G11" s="86">
        <v>600</v>
      </c>
      <c r="H11" s="90">
        <v>1500</v>
      </c>
      <c r="I11" s="91">
        <f t="shared" si="1"/>
        <v>900000</v>
      </c>
    </row>
    <row r="12" spans="1:9" ht="13.5" thickBot="1" x14ac:dyDescent="0.25"/>
    <row r="13" spans="1:9" ht="38.25" customHeight="1" thickTop="1" thickBot="1" x14ac:dyDescent="0.25">
      <c r="B13" s="103" t="s">
        <v>68</v>
      </c>
      <c r="C13" s="104"/>
      <c r="D13" s="104"/>
      <c r="E13" s="105"/>
    </row>
    <row r="14" spans="1:9" ht="33.6" customHeight="1" thickTop="1" thickBot="1" x14ac:dyDescent="0.25">
      <c r="B14" s="103" t="s">
        <v>60</v>
      </c>
      <c r="C14" s="104"/>
      <c r="D14" s="104"/>
      <c r="E14" s="105"/>
    </row>
    <row r="15" spans="1:9" ht="13.5" thickTop="1" x14ac:dyDescent="0.2"/>
    <row r="17" spans="2:5" s="56" customFormat="1" x14ac:dyDescent="0.2">
      <c r="B17" s="37"/>
      <c r="C17" s="37"/>
      <c r="D17" s="37"/>
      <c r="E17" s="37"/>
    </row>
    <row r="18" spans="2:5" ht="13.5" thickBot="1" x14ac:dyDescent="0.25"/>
    <row r="19" spans="2:5" x14ac:dyDescent="0.2">
      <c r="B19" s="67" t="s">
        <v>69</v>
      </c>
      <c r="C19" s="68"/>
      <c r="D19" s="68"/>
      <c r="E19" s="69"/>
    </row>
    <row r="20" spans="2:5" x14ac:dyDescent="0.2">
      <c r="B20" s="70"/>
      <c r="C20" s="71"/>
      <c r="D20" s="71"/>
      <c r="E20" s="72"/>
    </row>
    <row r="21" spans="2:5" ht="14.25" customHeight="1" x14ac:dyDescent="0.2">
      <c r="B21" s="73" t="s">
        <v>64</v>
      </c>
      <c r="C21" s="71"/>
      <c r="D21" s="71"/>
      <c r="E21" s="72"/>
    </row>
    <row r="22" spans="2:5" ht="44.25" customHeight="1" x14ac:dyDescent="0.2">
      <c r="B22" s="73"/>
      <c r="C22" s="95" t="s">
        <v>75</v>
      </c>
      <c r="D22" s="95"/>
      <c r="E22" s="96"/>
    </row>
    <row r="23" spans="2:5" x14ac:dyDescent="0.2">
      <c r="B23" s="73" t="s">
        <v>70</v>
      </c>
      <c r="C23" s="78"/>
      <c r="D23" s="78"/>
      <c r="E23" s="79"/>
    </row>
    <row r="24" spans="2:5" ht="24.75" customHeight="1" x14ac:dyDescent="0.2">
      <c r="B24" s="74"/>
      <c r="C24" s="101" t="s">
        <v>71</v>
      </c>
      <c r="D24" s="101"/>
      <c r="E24" s="101"/>
    </row>
    <row r="25" spans="2:5" ht="96" customHeight="1" x14ac:dyDescent="0.2">
      <c r="B25" s="74"/>
      <c r="C25" s="99" t="s">
        <v>72</v>
      </c>
      <c r="D25" s="99"/>
      <c r="E25" s="100"/>
    </row>
    <row r="26" spans="2:5" x14ac:dyDescent="0.2">
      <c r="B26" s="73" t="s">
        <v>65</v>
      </c>
      <c r="C26" s="78"/>
      <c r="D26" s="78"/>
      <c r="E26" s="79"/>
    </row>
    <row r="27" spans="2:5" ht="21.75" customHeight="1" x14ac:dyDescent="0.2">
      <c r="B27" s="74"/>
      <c r="C27" s="96" t="s">
        <v>76</v>
      </c>
      <c r="D27" s="96"/>
      <c r="E27" s="96"/>
    </row>
    <row r="28" spans="2:5" ht="13.5" customHeight="1" x14ac:dyDescent="0.2">
      <c r="B28" s="73" t="s">
        <v>66</v>
      </c>
      <c r="C28" s="80"/>
      <c r="D28" s="80"/>
      <c r="E28" s="81"/>
    </row>
    <row r="29" spans="2:5" x14ac:dyDescent="0.2">
      <c r="B29" s="74"/>
      <c r="C29" s="96" t="s">
        <v>73</v>
      </c>
      <c r="D29" s="96"/>
      <c r="E29" s="96"/>
    </row>
    <row r="30" spans="2:5" x14ac:dyDescent="0.2">
      <c r="B30" s="73" t="s">
        <v>67</v>
      </c>
      <c r="C30" s="78"/>
      <c r="D30" s="78"/>
      <c r="E30" s="79"/>
    </row>
    <row r="31" spans="2:5" x14ac:dyDescent="0.2">
      <c r="B31" s="73"/>
      <c r="C31" s="102"/>
      <c r="D31" s="102"/>
      <c r="E31" s="102"/>
    </row>
    <row r="32" spans="2:5" ht="13.5" thickBot="1" x14ac:dyDescent="0.25">
      <c r="B32" s="75"/>
      <c r="C32" s="76"/>
      <c r="D32" s="76"/>
      <c r="E32" s="77"/>
    </row>
    <row r="35" spans="2:5" ht="13.5" thickBot="1" x14ac:dyDescent="0.25"/>
    <row r="36" spans="2:5" x14ac:dyDescent="0.2">
      <c r="B36" s="57" t="s">
        <v>74</v>
      </c>
      <c r="C36" s="58"/>
      <c r="D36" s="58"/>
      <c r="E36" s="59"/>
    </row>
    <row r="37" spans="2:5" ht="12.75" customHeight="1" x14ac:dyDescent="0.2">
      <c r="B37" s="60"/>
      <c r="C37" s="61"/>
      <c r="D37" s="61"/>
      <c r="E37" s="62"/>
    </row>
    <row r="38" spans="2:5" x14ac:dyDescent="0.2">
      <c r="B38" s="63" t="s">
        <v>64</v>
      </c>
      <c r="C38" s="61"/>
      <c r="D38" s="61"/>
      <c r="E38" s="62"/>
    </row>
    <row r="39" spans="2:5" ht="42" customHeight="1" x14ac:dyDescent="0.2">
      <c r="B39" s="63"/>
      <c r="C39" s="97" t="s">
        <v>77</v>
      </c>
      <c r="D39" s="97"/>
      <c r="E39" s="98"/>
    </row>
    <row r="40" spans="2:5" x14ac:dyDescent="0.2">
      <c r="B40" s="63" t="s">
        <v>70</v>
      </c>
      <c r="C40" s="61"/>
      <c r="D40" s="61"/>
      <c r="E40" s="62"/>
    </row>
    <row r="41" spans="2:5" ht="21.75" customHeight="1" x14ac:dyDescent="0.2">
      <c r="B41" s="64"/>
      <c r="C41" s="101" t="s">
        <v>71</v>
      </c>
      <c r="D41" s="101"/>
      <c r="E41" s="101"/>
    </row>
    <row r="42" spans="2:5" ht="100.5" customHeight="1" x14ac:dyDescent="0.2">
      <c r="B42" s="64"/>
      <c r="C42" s="99" t="s">
        <v>72</v>
      </c>
      <c r="D42" s="99"/>
      <c r="E42" s="100"/>
    </row>
    <row r="43" spans="2:5" x14ac:dyDescent="0.2">
      <c r="B43" s="63" t="s">
        <v>65</v>
      </c>
      <c r="C43" s="61"/>
      <c r="D43" s="61"/>
      <c r="E43" s="62"/>
    </row>
    <row r="44" spans="2:5" x14ac:dyDescent="0.2">
      <c r="B44" s="64"/>
      <c r="C44" s="96" t="s">
        <v>76</v>
      </c>
      <c r="D44" s="96"/>
      <c r="E44" s="96"/>
    </row>
    <row r="45" spans="2:5" x14ac:dyDescent="0.2">
      <c r="B45" s="63" t="s">
        <v>66</v>
      </c>
      <c r="C45" s="65"/>
      <c r="D45" s="65"/>
      <c r="E45" s="66"/>
    </row>
    <row r="46" spans="2:5" x14ac:dyDescent="0.2">
      <c r="B46" s="64"/>
      <c r="C46" s="96" t="s">
        <v>73</v>
      </c>
      <c r="D46" s="96"/>
      <c r="E46" s="96"/>
    </row>
    <row r="47" spans="2:5" x14ac:dyDescent="0.2">
      <c r="B47" s="63" t="s">
        <v>67</v>
      </c>
      <c r="C47" s="61"/>
      <c r="D47" s="61"/>
      <c r="E47" s="62"/>
    </row>
    <row r="48" spans="2:5" ht="13.5" thickBot="1" x14ac:dyDescent="0.25">
      <c r="B48" s="82"/>
      <c r="C48" s="94"/>
      <c r="D48" s="94"/>
      <c r="E48" s="94"/>
    </row>
  </sheetData>
  <mergeCells count="21">
    <mergeCell ref="B13:E13"/>
    <mergeCell ref="B14:E14"/>
    <mergeCell ref="A6:B6"/>
    <mergeCell ref="A7:B7"/>
    <mergeCell ref="B2:H2"/>
    <mergeCell ref="A4:B4"/>
    <mergeCell ref="C4:E4"/>
    <mergeCell ref="A5:B5"/>
    <mergeCell ref="C5:E5"/>
    <mergeCell ref="C48:E48"/>
    <mergeCell ref="C22:E22"/>
    <mergeCell ref="C39:E39"/>
    <mergeCell ref="C42:E42"/>
    <mergeCell ref="C44:E44"/>
    <mergeCell ref="C46:E46"/>
    <mergeCell ref="C41:E41"/>
    <mergeCell ref="C24:E24"/>
    <mergeCell ref="C25:E25"/>
    <mergeCell ref="C27:E27"/>
    <mergeCell ref="C29:E29"/>
    <mergeCell ref="C31:E31"/>
  </mergeCells>
  <pageMargins left="0.31496062992125984" right="0.11811023622047245" top="0.15748031496062992" bottom="0.15748031496062992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70" zoomScaleNormal="70" workbookViewId="0">
      <selection activeCell="I26" sqref="I2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3.28515625" style="2" customWidth="1"/>
    <col min="10" max="10" width="11.5703125" style="2" customWidth="1"/>
    <col min="11" max="11" width="46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13" t="s">
        <v>83</v>
      </c>
      <c r="B1" s="113"/>
      <c r="C1" s="113"/>
      <c r="D1" s="113"/>
      <c r="E1" s="113"/>
      <c r="F1" s="113"/>
      <c r="G1" s="113"/>
      <c r="H1" s="113"/>
      <c r="I1" s="113"/>
      <c r="J1" s="3" t="s">
        <v>14</v>
      </c>
      <c r="K1" s="83" t="s">
        <v>84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114" t="s">
        <v>47</v>
      </c>
      <c r="B3" s="114"/>
      <c r="C3" s="114"/>
      <c r="D3" s="112" t="str">
        <f>'Necesidades Trimestrales'!C4</f>
        <v>40 - Ministerio de Salud</v>
      </c>
      <c r="E3" s="112"/>
      <c r="F3" s="112"/>
      <c r="G3" s="112"/>
      <c r="H3" s="112"/>
      <c r="I3" s="112"/>
      <c r="J3" s="112"/>
      <c r="K3" s="112"/>
    </row>
    <row r="4" spans="1:1024" ht="18.75" customHeight="1" thickBot="1" x14ac:dyDescent="0.25">
      <c r="A4" s="115" t="s">
        <v>48</v>
      </c>
      <c r="B4" s="115"/>
      <c r="C4" s="115"/>
      <c r="D4" s="112" t="str">
        <f>'Necesidades Trimestrales'!C5</f>
        <v>23 - Hospital Interzonal San Juan Bautista</v>
      </c>
      <c r="E4" s="112"/>
      <c r="F4" s="112"/>
      <c r="G4" s="112"/>
      <c r="H4" s="112"/>
      <c r="I4" s="112"/>
      <c r="J4" s="112"/>
      <c r="K4" s="112"/>
    </row>
    <row r="5" spans="1:1024" ht="18.75" customHeight="1" thickBot="1" x14ac:dyDescent="0.25">
      <c r="A5" s="115" t="s">
        <v>26</v>
      </c>
      <c r="B5" s="115"/>
      <c r="C5" s="115"/>
      <c r="D5" s="112" t="s">
        <v>52</v>
      </c>
      <c r="E5" s="112"/>
      <c r="F5" s="112"/>
      <c r="G5" s="112"/>
      <c r="H5" s="112"/>
      <c r="I5" s="112"/>
      <c r="J5" s="112"/>
      <c r="K5" s="112"/>
    </row>
    <row r="6" spans="1:1024" ht="16.5" customHeight="1" thickBot="1" x14ac:dyDescent="0.25">
      <c r="A6" s="114" t="s">
        <v>49</v>
      </c>
      <c r="B6" s="114"/>
      <c r="C6" s="114"/>
      <c r="D6" s="112" t="s">
        <v>61</v>
      </c>
      <c r="E6" s="112"/>
      <c r="F6" s="112"/>
      <c r="G6" s="112"/>
      <c r="H6" s="112"/>
      <c r="I6" s="112"/>
      <c r="J6" s="112"/>
      <c r="K6" s="112"/>
    </row>
    <row r="7" spans="1:1024" ht="16.5" customHeight="1" x14ac:dyDescent="0.2">
      <c r="A7" s="115" t="s">
        <v>15</v>
      </c>
      <c r="B7" s="115"/>
      <c r="C7" s="115"/>
      <c r="D7" s="112" t="str">
        <f>'Necesidades Trimestrales'!C7 &amp; "° Trimestre - Año " &amp; 'Necesidades Trimestrales'!C6</f>
        <v>3° Trimestre - Año 2022</v>
      </c>
      <c r="E7" s="112"/>
      <c r="F7" s="112"/>
      <c r="G7" s="112"/>
      <c r="H7" s="112"/>
      <c r="I7" s="112"/>
      <c r="J7" s="112"/>
      <c r="K7" s="112"/>
    </row>
    <row r="8" spans="1:1024" ht="16.5" customHeight="1" x14ac:dyDescent="0.2">
      <c r="A8" s="117" t="s">
        <v>16</v>
      </c>
      <c r="B8" s="117"/>
      <c r="C8" s="117"/>
      <c r="D8" s="118" t="s">
        <v>80</v>
      </c>
      <c r="E8" s="118"/>
      <c r="F8" s="118"/>
      <c r="G8" s="118"/>
      <c r="H8" s="118"/>
      <c r="I8" s="118"/>
      <c r="J8" s="118"/>
      <c r="K8" s="118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19" t="s">
        <v>17</v>
      </c>
      <c r="B10" s="111" t="s">
        <v>18</v>
      </c>
      <c r="C10" s="111" t="s">
        <v>19</v>
      </c>
      <c r="D10" s="111"/>
      <c r="E10" s="111"/>
      <c r="F10" s="111"/>
      <c r="G10" s="111"/>
      <c r="H10" s="111" t="s">
        <v>20</v>
      </c>
      <c r="I10" s="111" t="s">
        <v>21</v>
      </c>
      <c r="J10" s="111" t="s">
        <v>22</v>
      </c>
      <c r="K10" s="109" t="s">
        <v>23</v>
      </c>
    </row>
    <row r="11" spans="1:1024" ht="24" customHeight="1" thickBot="1" x14ac:dyDescent="0.25">
      <c r="A11" s="119"/>
      <c r="B11" s="111"/>
      <c r="C11" s="111"/>
      <c r="D11" s="111"/>
      <c r="E11" s="111"/>
      <c r="F11" s="111"/>
      <c r="G11" s="111"/>
      <c r="H11" s="111"/>
      <c r="I11" s="111"/>
      <c r="J11" s="111"/>
      <c r="K11" s="109"/>
    </row>
    <row r="12" spans="1:1024" ht="36" customHeight="1" thickBot="1" x14ac:dyDescent="0.25">
      <c r="A12" s="8">
        <v>1</v>
      </c>
      <c r="B12" s="43" t="str">
        <f>'Necesidades Trimestrales'!B10</f>
        <v>2.1.1-621.20</v>
      </c>
      <c r="C12" s="110" t="str">
        <f>'Necesidades Trimestrales'!E10</f>
        <v>AVES; TIPO: POLLO, PRESENTACION: CAJA X 22 Kg, EVISCERADO: SI, ELEM. TRANSPORTE: SIN, MATERIAL ELEM. TRANSPORTE: SIN, LIBRE DE GLUTEN: SIN VALOR</v>
      </c>
      <c r="D12" s="110"/>
      <c r="E12" s="110"/>
      <c r="F12" s="110"/>
      <c r="G12" s="110"/>
      <c r="H12" s="44" t="s">
        <v>79</v>
      </c>
      <c r="I12" s="45" t="str">
        <f>'Necesidades Trimestrales'!F10</f>
        <v>CAJA</v>
      </c>
      <c r="J12" s="55">
        <f>'Necesidades Trimestrales'!H10</f>
        <v>6000</v>
      </c>
      <c r="K12" s="46">
        <f>'Necesidades Trimestrales'!G10</f>
        <v>150</v>
      </c>
    </row>
    <row r="13" spans="1:1024" ht="36" customHeight="1" thickBot="1" x14ac:dyDescent="0.25">
      <c r="A13" s="8">
        <v>2</v>
      </c>
      <c r="B13" s="43" t="str">
        <f>'Necesidades Trimestrales'!B11</f>
        <v>2.1.1-621.11</v>
      </c>
      <c r="C13" s="110" t="str">
        <f>'Necesidades Trimestrales'!E11</f>
        <v>AVES; ESPECIE: PECHUGA DE POLLO, PRESENTACION: BOLSA X 2 Kg, EVISCERADO: SIN VALOR, TIPO: PECHUGA DE POLLO</v>
      </c>
      <c r="D13" s="110"/>
      <c r="E13" s="110"/>
      <c r="F13" s="110"/>
      <c r="G13" s="110"/>
      <c r="H13" s="44" t="s">
        <v>79</v>
      </c>
      <c r="I13" s="45" t="str">
        <f>'Necesidades Trimestrales'!F11</f>
        <v xml:space="preserve">BOLSA </v>
      </c>
      <c r="J13" s="55">
        <f>'Necesidades Trimestrales'!H11</f>
        <v>1500</v>
      </c>
      <c r="K13" s="46">
        <f>'Necesidades Trimestrales'!G11</f>
        <v>600</v>
      </c>
    </row>
    <row r="14" spans="1:1024" ht="30" customHeight="1" thickBot="1" x14ac:dyDescent="0.25">
      <c r="A14" s="112" t="s">
        <v>81</v>
      </c>
      <c r="B14" s="112"/>
      <c r="C14" s="112"/>
      <c r="D14" s="112"/>
      <c r="E14" s="112"/>
      <c r="F14" s="112"/>
      <c r="G14" s="112"/>
      <c r="H14" s="112"/>
      <c r="I14" s="112"/>
      <c r="J14" s="116">
        <f>SUMPRODUCT(J12:J13,K12:K13)</f>
        <v>1800000</v>
      </c>
      <c r="K14" s="116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</sheetData>
  <mergeCells count="24">
    <mergeCell ref="A14:I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4:K14"/>
    <mergeCell ref="A8:C8"/>
    <mergeCell ref="D8:K8"/>
    <mergeCell ref="A10:A11"/>
    <mergeCell ref="K10:K11"/>
    <mergeCell ref="C12:G12"/>
    <mergeCell ref="C13:G13"/>
    <mergeCell ref="B10:B11"/>
    <mergeCell ref="C10:G11"/>
    <mergeCell ref="H10:H11"/>
    <mergeCell ref="I10:I11"/>
    <mergeCell ref="J10:J11"/>
  </mergeCells>
  <printOptions horizontalCentered="1"/>
  <pageMargins left="0.19685039370078741" right="0.19685039370078741" top="0.6" bottom="0.61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13" zoomScale="130" zoomScaleNormal="130" workbookViewId="0">
      <selection activeCell="S14" sqref="S1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2022</v>
      </c>
      <c r="E1" s="144"/>
      <c r="F1" s="10"/>
      <c r="G1" s="10"/>
      <c r="H1" s="11"/>
      <c r="I1" s="11"/>
      <c r="J1" s="11"/>
      <c r="K1" s="11"/>
      <c r="L1" s="11"/>
      <c r="M1" s="11"/>
      <c r="N1" s="11"/>
      <c r="P1" s="145" t="s">
        <v>24</v>
      </c>
      <c r="Q1" s="14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5"/>
      <c r="Q2" s="145"/>
    </row>
    <row r="4" spans="1:17" s="12" customFormat="1" ht="18" customHeight="1" thickBot="1" x14ac:dyDescent="0.25">
      <c r="A4" s="146" t="s">
        <v>25</v>
      </c>
      <c r="B4" s="146"/>
      <c r="C4" s="146"/>
      <c r="D4" s="146"/>
      <c r="E4" s="146"/>
      <c r="F4" s="146"/>
      <c r="G4" s="141" t="str">
        <f>NotaPedido!D3</f>
        <v>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12" customFormat="1" ht="18" customHeight="1" thickBot="1" x14ac:dyDescent="0.25">
      <c r="A5" s="138" t="s">
        <v>48</v>
      </c>
      <c r="B5" s="139"/>
      <c r="C5" s="139"/>
      <c r="D5" s="139"/>
      <c r="E5" s="139"/>
      <c r="F5" s="140"/>
      <c r="G5" s="141" t="str">
        <f>NotaPedido!D4</f>
        <v>23 - Hospital Interzonal San Juan Bautista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12" customFormat="1" ht="18" customHeight="1" thickBot="1" x14ac:dyDescent="0.25">
      <c r="A6" s="138" t="s">
        <v>26</v>
      </c>
      <c r="B6" s="139"/>
      <c r="C6" s="139"/>
      <c r="D6" s="139"/>
      <c r="E6" s="139"/>
      <c r="F6" s="140"/>
      <c r="G6" s="141" t="str">
        <f>NotaPedido!D5</f>
        <v>168 - Direccion Asistencial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12" customFormat="1" ht="18" customHeight="1" thickBot="1" x14ac:dyDescent="0.25">
      <c r="A7" s="138" t="s">
        <v>49</v>
      </c>
      <c r="B7" s="139"/>
      <c r="C7" s="139"/>
      <c r="D7" s="139"/>
      <c r="E7" s="139"/>
      <c r="F7" s="140"/>
      <c r="G7" s="141" t="str">
        <f>NotaPedido!D6</f>
        <v>Servicio de Nutricion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27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32" t="s">
        <v>28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13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DOCFI-2022-01256851-CAT-DASIS#HSJB,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4" t="s">
        <v>29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x14ac:dyDescent="0.2">
      <c r="A13" s="135" t="s">
        <v>30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31</v>
      </c>
      <c r="P13" s="136"/>
      <c r="Q13" s="137" t="s">
        <v>32</v>
      </c>
    </row>
    <row r="14" spans="1:17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36"/>
      <c r="P14" s="136"/>
      <c r="Q14" s="137"/>
    </row>
    <row r="15" spans="1:17" ht="17.25" customHeight="1" x14ac:dyDescent="0.2">
      <c r="A15" s="49">
        <v>33</v>
      </c>
      <c r="B15" s="50"/>
      <c r="C15" s="50"/>
      <c r="D15" s="50">
        <v>2</v>
      </c>
      <c r="E15" s="50"/>
      <c r="F15" s="50">
        <v>4901</v>
      </c>
      <c r="G15" s="50">
        <v>3</v>
      </c>
      <c r="H15" s="51" t="s">
        <v>53</v>
      </c>
      <c r="I15" s="52">
        <v>2</v>
      </c>
      <c r="J15" s="52">
        <v>1</v>
      </c>
      <c r="K15" s="52">
        <v>1</v>
      </c>
      <c r="L15" s="50"/>
      <c r="M15" s="53">
        <v>1</v>
      </c>
      <c r="N15" s="51" t="s">
        <v>54</v>
      </c>
      <c r="O15" s="126" t="s">
        <v>62</v>
      </c>
      <c r="P15" s="126"/>
      <c r="Q15" s="92">
        <v>1800000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47"/>
      <c r="I16" s="24"/>
      <c r="J16" s="24"/>
      <c r="K16" s="24"/>
      <c r="L16" s="24"/>
      <c r="M16" s="25"/>
      <c r="N16" s="48"/>
      <c r="O16" s="127"/>
      <c r="P16" s="127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47"/>
      <c r="I17" s="24"/>
      <c r="J17" s="24"/>
      <c r="K17" s="24"/>
      <c r="L17" s="24"/>
      <c r="M17" s="25"/>
      <c r="N17" s="48"/>
      <c r="O17" s="127"/>
      <c r="P17" s="127"/>
      <c r="Q17" s="27"/>
      <c r="S17" s="54"/>
    </row>
    <row r="18" spans="1:19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21"/>
      <c r="P18" s="121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1"/>
      <c r="P19" s="121"/>
      <c r="Q19" s="27"/>
    </row>
    <row r="20" spans="1:19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22"/>
      <c r="P20" s="122"/>
      <c r="Q20" s="27"/>
      <c r="R20" s="1"/>
    </row>
    <row r="21" spans="1:19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23"/>
      <c r="P21" s="123"/>
      <c r="Q21" s="36"/>
    </row>
    <row r="22" spans="1:19" ht="31.9" customHeight="1" x14ac:dyDescent="0.2">
      <c r="A22" s="124" t="s">
        <v>82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93">
        <f>+Q15</f>
        <v>1800000</v>
      </c>
    </row>
    <row r="23" spans="1:19" ht="18" customHeight="1" thickBot="1" x14ac:dyDescent="0.2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</row>
    <row r="24" spans="1:19" ht="17.25" customHeight="1" thickBot="1" x14ac:dyDescent="0.25">
      <c r="A24" s="128" t="s">
        <v>46</v>
      </c>
      <c r="B24" s="129"/>
      <c r="C24" s="129"/>
      <c r="D24" s="129"/>
      <c r="E24" s="129"/>
      <c r="F24" s="130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9" ht="18" customHeight="1" thickBot="1" x14ac:dyDescent="0.25">
      <c r="A25" s="120" t="str">
        <f>"Para la "&amp; NotaPedido!D8 &amp;" para ser destinados al " &amp; NotaPedido!D6 &amp;" del HISJB del Ministerio de Salud."</f>
        <v>Para la Adquisición de Alimentos Perecederos (pollo) para ser destinados al Servicio de Nutricion del HISJB del Ministerio de Salud.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9" ht="15" customHeight="1" x14ac:dyDescent="0.2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2022-06-16T11:09:21Z</cp:lastPrinted>
  <dcterms:created xsi:type="dcterms:W3CDTF">2020-07-17T23:44:49Z</dcterms:created>
  <dcterms:modified xsi:type="dcterms:W3CDTF">2022-07-19T14:53:48Z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