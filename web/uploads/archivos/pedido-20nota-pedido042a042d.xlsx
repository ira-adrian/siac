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0937-CAT-DPPR#MHP\"/>
    </mc:Choice>
  </mc:AlternateContent>
  <xr:revisionPtr revIDLastSave="0" documentId="8_{23FBD675-FF62-4AC7-AC6E-A0BDC8A547E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ntrol ítems" sheetId="1" r:id="rId1"/>
  </sheets>
  <definedNames>
    <definedName name="_xlnm.Print_Area" localSheetId="0">'Control ítems'!$A$1:$K$53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I48" i="1" l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50" i="1" l="1"/>
</calcChain>
</file>

<file path=xl/sharedStrings.xml><?xml version="1.0" encoding="utf-8"?>
<sst xmlns="http://schemas.openxmlformats.org/spreadsheetml/2006/main" count="325" uniqueCount="200">
  <si>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</si>
  <si>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</si>
  <si>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</si>
  <si>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</si>
  <si>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</si>
  <si>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</si>
  <si>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</si>
  <si>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</si>
  <si>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2.1.1-438.37</t>
  </si>
  <si>
    <t>ALIMENTOS</t>
  </si>
  <si>
    <t>2.1.1</t>
  </si>
  <si>
    <t>UNIDAD</t>
  </si>
  <si>
    <t>2.1.1-621.20</t>
  </si>
  <si>
    <t>CAJA</t>
  </si>
  <si>
    <t>2.1.1-621.11</t>
  </si>
  <si>
    <t>2.1.1-590.27</t>
  </si>
  <si>
    <t>2.1.1-669.27</t>
  </si>
  <si>
    <t>PANES; TIPO: MIÑON, PRESENTACION: GRANEL</t>
  </si>
  <si>
    <t>KG</t>
  </si>
  <si>
    <t>2.1.1-669.51</t>
  </si>
  <si>
    <t>PANES; TIPO: FRANCES, PRESENTACION: UNIDAD</t>
  </si>
  <si>
    <t>2.1.1-669.1</t>
  </si>
  <si>
    <t>PANES; PRESENTACION: UNIDAD, TIPO: SALVADO</t>
  </si>
  <si>
    <t>2.1.1-669.37</t>
  </si>
  <si>
    <t>2.1.1-2430.1</t>
  </si>
  <si>
    <t>2.1.1-518.32</t>
  </si>
  <si>
    <t>2.1.1-6546.34</t>
  </si>
  <si>
    <t>2.1.1-6546.403</t>
  </si>
  <si>
    <t>2.1.1-6546.151</t>
  </si>
  <si>
    <t>CAJON</t>
  </si>
  <si>
    <t>2.1.1-6546.335</t>
  </si>
  <si>
    <t>2.1.1-6546.49</t>
  </si>
  <si>
    <t>2.1.1-6546.390</t>
  </si>
  <si>
    <t>2.1.1-6546.39</t>
  </si>
  <si>
    <t>2.1.1-6546.377</t>
  </si>
  <si>
    <t>2.1.1-6546.124</t>
  </si>
  <si>
    <t>2.1.1-6546.231</t>
  </si>
  <si>
    <t>2.1.1-6546.162</t>
  </si>
  <si>
    <t>2.1.1-6546.133</t>
  </si>
  <si>
    <t>2.1.1-6546.95</t>
  </si>
  <si>
    <t>2.1.1-6546.82</t>
  </si>
  <si>
    <t>2.1.1-6539.20</t>
  </si>
  <si>
    <t>2.1.1-6539.30</t>
  </si>
  <si>
    <t>2.1.1-6539.8</t>
  </si>
  <si>
    <t>2.1.1-6539.32</t>
  </si>
  <si>
    <t>2.1.1-6539.187</t>
  </si>
  <si>
    <t>2.1.1-541.27</t>
  </si>
  <si>
    <t>2.1.1-541.49</t>
  </si>
  <si>
    <t>2.1.1-541.7</t>
  </si>
  <si>
    <t>2.1.1-541.70</t>
  </si>
  <si>
    <t>2.1.1-541.164</t>
  </si>
  <si>
    <t>2.1.1-542.212</t>
  </si>
  <si>
    <t>2.1.1-542.225</t>
  </si>
  <si>
    <t>2.1.1-542.207</t>
  </si>
  <si>
    <t>2.1.1-969.35</t>
  </si>
  <si>
    <t>FIAMBRES; TIPO: JAMON COCIDO ITALIANO, PRESENTACION: AL PESO</t>
  </si>
  <si>
    <t>2.1.1-4975.2</t>
  </si>
  <si>
    <t>2.1.1-707.35</t>
  </si>
  <si>
    <t>2.1.1-2429.1</t>
  </si>
  <si>
    <t>2.1.1-2610.1</t>
  </si>
  <si>
    <t>2.1.1-456.79</t>
  </si>
  <si>
    <t>OBJETO:</t>
  </si>
  <si>
    <r>
      <rPr>
        <b/>
        <u/>
        <sz val="11"/>
        <color theme="1"/>
        <rFont val="Calibri"/>
        <family val="2"/>
        <scheme val="minor"/>
      </rPr>
      <t>MANTENIMIENTO DE OFERTA:</t>
    </r>
    <r>
      <rPr>
        <sz val="11"/>
        <color theme="1"/>
        <rFont val="Calibri"/>
        <family val="2"/>
        <scheme val="minor"/>
      </rPr>
      <t xml:space="preserve"> 45 DIAS HABILES</t>
    </r>
  </si>
  <si>
    <t>Especificidades Item N° 12:</t>
  </si>
  <si>
    <t>Especificidades Item N° 13:</t>
  </si>
  <si>
    <t>Especificidades Item N° 14:</t>
  </si>
  <si>
    <t>Especificidades Item N° 17: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</si>
  <si>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</si>
  <si>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</si>
  <si>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</si>
  <si>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</si>
  <si>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</si>
  <si>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</si>
  <si>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DESCRIPCION S/NEC.TRIM. Y Npe N° 57-2021</t>
  </si>
  <si>
    <r>
      <t xml:space="preserve">ADEREZOS; TIPO: MAYONESA, ENVASE: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CONTENIDO: 2,9 Kg, PRESENTACION: </t>
    </r>
    <r>
      <rPr>
        <b/>
        <sz val="11"/>
        <color theme="1"/>
        <rFont val="Calibri"/>
        <family val="2"/>
        <scheme val="minor"/>
      </rPr>
      <t>ENVASE X 2,9 Kg</t>
    </r>
  </si>
  <si>
    <r>
      <t xml:space="preserve">AVES; TIPO: POLLO, PRESENTACION: </t>
    </r>
    <r>
      <rPr>
        <b/>
        <sz val="11"/>
        <color theme="1"/>
        <rFont val="Calibri"/>
        <family val="2"/>
        <scheme val="minor"/>
      </rPr>
      <t>CAJA X 22 Kg</t>
    </r>
    <r>
      <rPr>
        <sz val="11"/>
        <color theme="1"/>
        <rFont val="Calibri"/>
        <family val="2"/>
        <scheme val="minor"/>
      </rPr>
      <t>, EVISCERADO: SI, ELEM. TRANSPORTE: SIN, MATERIAL ELEM. TRANSPORTE: SIN, LIBRE DE GLUTEN: SIN VALOR</t>
    </r>
  </si>
  <si>
    <r>
      <t>AVES; ESPECIE: PECHUGA DE POLLO, PRESENTACION:</t>
    </r>
    <r>
      <rPr>
        <b/>
        <sz val="11"/>
        <color theme="1"/>
        <rFont val="Calibri"/>
        <family val="2"/>
        <scheme val="minor"/>
      </rPr>
      <t xml:space="preserve"> BOLSA X 2 Kg</t>
    </r>
    <r>
      <rPr>
        <sz val="11"/>
        <color theme="1"/>
        <rFont val="Calibri"/>
        <family val="2"/>
        <scheme val="minor"/>
      </rPr>
      <t>, EVISCERADO: SIN VALOR, TIPO: PECHUGA DE POLLO</t>
    </r>
  </si>
  <si>
    <r>
      <t xml:space="preserve">PESCADOS Y FRUTOS CONGELADOS; TIPO: FILET DE MERLUZA, ENVASE: POLIESTIRENO, PRESENTACION: </t>
    </r>
    <r>
      <rPr>
        <b/>
        <sz val="11"/>
        <color theme="1"/>
        <rFont val="Calibri"/>
        <family val="2"/>
        <scheme val="minor"/>
      </rPr>
      <t>ENVASE X 1 Kg</t>
    </r>
    <r>
      <rPr>
        <sz val="11"/>
        <color theme="1"/>
        <rFont val="Calibri"/>
        <family val="2"/>
        <scheme val="minor"/>
      </rPr>
      <t>, ELEM. TRANSPORTE: SIN, MATERIAL ELEM. TRANSPORTE: SIN</t>
    </r>
  </si>
  <si>
    <r>
      <t xml:space="preserve">PANES; TIPO: RALLADO, PRESENTACION: </t>
    </r>
    <r>
      <rPr>
        <b/>
        <sz val="11"/>
        <color theme="1"/>
        <rFont val="Calibri"/>
        <family val="2"/>
        <scheme val="minor"/>
      </rPr>
      <t>BOLSA X 5 Kg</t>
    </r>
  </si>
  <si>
    <r>
      <t xml:space="preserve">TORTAS; TIPO: PIONONO, </t>
    </r>
    <r>
      <rPr>
        <b/>
        <sz val="11"/>
        <color theme="1"/>
        <rFont val="Calibri"/>
        <family val="2"/>
        <scheme val="minor"/>
      </rPr>
      <t>PESO: 180 GR</t>
    </r>
  </si>
  <si>
    <r>
      <t xml:space="preserve">VERDURAS Y HORTALIZAS; VARIEDAD: ACELGA, ESTADO: EN HOJA, PRESENTACION: </t>
    </r>
    <r>
      <rPr>
        <b/>
        <sz val="11"/>
        <color theme="1"/>
        <rFont val="Calibri"/>
        <family val="2"/>
        <scheme val="minor"/>
      </rPr>
      <t>ATADO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</si>
  <si>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VARIEDAD: ZANAHORIA, ESTADO: NATURAL,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>, PESO: NO CORRESPONDE, ELEM. TRANSPORTE: SIN, MATERIAL ELEM. TRANSPORTE: SIN, LIBRE DE GLUTEN: SI, ORGANICO: NO</t>
    </r>
  </si>
  <si>
    <r>
      <t>VERDURAS Y HORTALIZAS; VARIEDAD: ZAPALLITO REDONDO, ESTADO: NATURAL, PRESENTACION:</t>
    </r>
    <r>
      <rPr>
        <b/>
        <sz val="11"/>
        <color theme="1"/>
        <rFont val="Calibri"/>
        <family val="2"/>
        <scheme val="minor"/>
      </rPr>
      <t xml:space="preserve"> 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</si>
  <si>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VARIEDAD: PAPA BLANCA, ESTADO: NATURAL,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25 Kg</t>
    </r>
  </si>
  <si>
    <r>
      <t xml:space="preserve">VERDURAS Y HORTALIZAS; VARIEDAD: CHAUCHA, PRESENTACION: </t>
    </r>
    <r>
      <rPr>
        <b/>
        <sz val="11"/>
        <color theme="1"/>
        <rFont val="Calibri"/>
        <family val="2"/>
        <scheme val="minor"/>
      </rPr>
      <t>GRANEL</t>
    </r>
    <r>
      <rPr>
        <sz val="11"/>
        <color theme="1"/>
        <rFont val="Calibri"/>
        <family val="2"/>
        <scheme val="minor"/>
      </rPr>
      <t>, ESTADO: NATURAL, PESO: SIN VALOR</t>
    </r>
  </si>
  <si>
    <r>
      <t xml:space="preserve">VERDURAS Y HORTALIZAS; VARIEDAD: TOMATE REDONDO, ESTADO: NATURAL, PRESENTACION: </t>
    </r>
    <r>
      <rPr>
        <b/>
        <sz val="11"/>
        <color theme="1"/>
        <rFont val="Calibri"/>
        <family val="2"/>
        <scheme val="minor"/>
      </rPr>
      <t>CAJON, PESO: 17 A 22 Kg,</t>
    </r>
    <r>
      <rPr>
        <sz val="11"/>
        <color theme="1"/>
        <rFont val="Calibri"/>
        <family val="2"/>
        <scheme val="minor"/>
      </rPr>
      <t xml:space="preserve"> ELEM. TRANSPORTE: SIN, MATERIAL ELEM. TRANSPORTE: SIN, LIBRE DE GLUTEN: SI, ORGANICO: NO</t>
    </r>
  </si>
  <si>
    <r>
      <t xml:space="preserve">VERDURAS Y HORTALIZAS; VARIEDAD: CEBOLLA, ESTADO: NATURAL,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25 Kg</t>
    </r>
  </si>
  <si>
    <r>
      <t xml:space="preserve">VERDURAS Y HORTALIZAS; VARIEDAD: CEBOLLA DE VERDEO, ESTADO: NATURAL,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10 Kg</t>
    </r>
    <r>
      <rPr>
        <sz val="11"/>
        <color theme="1"/>
        <rFont val="Calibri"/>
        <family val="2"/>
        <scheme val="minor"/>
      </rPr>
      <t>, ELEM. TRANSPORTE: CAJON, MATERIAL ELEM. TRANSPORTE: CARTON, LIBRE DE GLUTEN: NO</t>
    </r>
  </si>
  <si>
    <r>
      <t xml:space="preserve">VERDURAS Y HORTALIZAS; PESO: SIN VALOR, VARIEDAD: REMOLACHA, ESTADO: NATURAL, PRESENTACION: </t>
    </r>
    <r>
      <rPr>
        <b/>
        <sz val="11"/>
        <color theme="1"/>
        <rFont val="Calibri"/>
        <family val="2"/>
        <scheme val="minor"/>
      </rPr>
      <t>GRANEL</t>
    </r>
  </si>
  <si>
    <r>
      <t xml:space="preserve">VERDURAS Y HORTALIZAS; VARIEDAD: ZAPALLO ANCO, ESTADO: NATURAL, PRESENTACION: </t>
    </r>
    <r>
      <rPr>
        <b/>
        <sz val="11"/>
        <color theme="1"/>
        <rFont val="Calibri"/>
        <family val="2"/>
        <scheme val="minor"/>
      </rPr>
      <t>BOLSA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20 Kg</t>
    </r>
  </si>
  <si>
    <r>
      <t xml:space="preserve">VERDURAS Y HORTALIZAS; VARIEDAD: PEREJIL, ESTADO: NATURAL, PRESENTACION: </t>
    </r>
    <r>
      <rPr>
        <b/>
        <sz val="11"/>
        <color theme="1"/>
        <rFont val="Calibri"/>
        <family val="2"/>
        <scheme val="minor"/>
      </rPr>
      <t>ATADO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1 Kg</t>
    </r>
  </si>
  <si>
    <r>
      <t xml:space="preserve">VERDURAS Y HORTALIZAS; VARIEDAD: MORRON VERDE, ESTADO: NATURAL, PRESENTACION: </t>
    </r>
    <r>
      <rPr>
        <b/>
        <sz val="11"/>
        <color theme="1"/>
        <rFont val="Calibri"/>
        <family val="2"/>
        <scheme val="minor"/>
      </rPr>
      <t>GRANEL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</si>
  <si>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HORTALIZAS: VARIEDAD, LECHUGA CRIOLLA, ESTADO: NATURAL,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</si>
  <si>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FRUTAS; ESTADO: NATURAL, VARIEDAD: MANZANA RED DELICIOSA,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</si>
  <si>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FRUTAS; VARIEDAD: BANANA,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ESTADO: NATURAL, PESO: SIN VALOR</t>
    </r>
  </si>
  <si>
    <r>
      <t xml:space="preserve">FRUTAS; VARIEDAD: NARANJA ESPECIAL, ESTADO: NATURAL,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PESO: SIN VALOR</t>
    </r>
  </si>
  <si>
    <r>
      <t>FRUTAS; VARIEDAD: PERA AMARILLA, ESTADO: NATURAL, PRESENTACION:</t>
    </r>
    <r>
      <rPr>
        <b/>
        <sz val="11"/>
        <color theme="1"/>
        <rFont val="Calibri"/>
        <family val="2"/>
        <scheme val="minor"/>
      </rPr>
      <t xml:space="preserve"> 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</si>
  <si>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FRUTAS; VARIEDAD: LIMON, ESTADO: NATURAL, PRESENTACION: </t>
    </r>
    <r>
      <rPr>
        <b/>
        <sz val="11"/>
        <color theme="1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ELEM. TRANSPORTE: SIN, MATERIAL ELEM. TRANSPORTE: SIN, ORGANICO: NO</t>
    </r>
  </si>
  <si>
    <r>
      <t xml:space="preserve">QUESOS; TIPO: TYBO, PRESENTACION: </t>
    </r>
    <r>
      <rPr>
        <b/>
        <sz val="11"/>
        <color theme="1"/>
        <rFont val="Calibri"/>
        <family val="2"/>
        <scheme val="minor"/>
      </rPr>
      <t>ENVASE X 1 Kg,</t>
    </r>
    <r>
      <rPr>
        <sz val="11"/>
        <color theme="1"/>
        <rFont val="Calibri"/>
        <family val="2"/>
        <scheme val="minor"/>
      </rPr>
      <t xml:space="preserve"> ELEM. TRANSPORTE: SIN, MATERIAL ELEM. TRANSPORTE: SIN, MATERIAL ENVASE: POLIESTIRENO, CERTIFICADO FORESTAL (GFS): SIN, LIBRE DE GLUTEN: SI</t>
    </r>
  </si>
  <si>
    <r>
      <t xml:space="preserve">QUESOS; TIPO: SARDO, PRESENTACION: </t>
    </r>
    <r>
      <rPr>
        <b/>
        <sz val="11"/>
        <color theme="1"/>
        <rFont val="Calibri"/>
        <family val="2"/>
        <scheme val="minor"/>
      </rPr>
      <t>HORMA X 3 Kg</t>
    </r>
    <r>
      <rPr>
        <sz val="11"/>
        <color theme="1"/>
        <rFont val="Calibri"/>
        <family val="2"/>
        <scheme val="minor"/>
      </rPr>
      <t>, ELEM. TRANSPORTE: SIN, MATERIAL ELEM. TRANSPORTE: SIN, MATERIAL ENVASE: SIN, CERTIFICADO FORESTAL (GFS): SIN, LIBRE DE GLUTEN: NO</t>
    </r>
  </si>
  <si>
    <r>
      <t xml:space="preserve">RICOTA; ENVASE: </t>
    </r>
    <r>
      <rPr>
        <b/>
        <sz val="11"/>
        <color theme="1"/>
        <rFont val="Calibri"/>
        <family val="2"/>
        <scheme val="minor"/>
      </rPr>
      <t>PAQUETE</t>
    </r>
    <r>
      <rPr>
        <sz val="11"/>
        <color theme="1"/>
        <rFont val="Calibri"/>
        <family val="2"/>
        <scheme val="minor"/>
      </rPr>
      <t xml:space="preserve">, PESO: </t>
    </r>
    <r>
      <rPr>
        <b/>
        <sz val="11"/>
        <color theme="1"/>
        <rFont val="Calibri"/>
        <family val="2"/>
        <scheme val="minor"/>
      </rPr>
      <t>1 Kg</t>
    </r>
    <r>
      <rPr>
        <sz val="11"/>
        <color theme="1"/>
        <rFont val="Calibri"/>
        <family val="2"/>
        <scheme val="minor"/>
      </rPr>
      <t>, SABOR: SIN</t>
    </r>
  </si>
  <si>
    <r>
      <t>TAPAS P/TARTAS; TIPO: REDONDA, MASA: CASERA, PRESENTACION:</t>
    </r>
    <r>
      <rPr>
        <b/>
        <sz val="11"/>
        <color theme="1"/>
        <rFont val="Calibri"/>
        <family val="2"/>
        <scheme val="minor"/>
      </rPr>
      <t xml:space="preserve"> BOLSA</t>
    </r>
  </si>
  <si>
    <r>
      <t xml:space="preserve">TAPAS P/EMPANADAS; TIPO: </t>
    </r>
    <r>
      <rPr>
        <b/>
        <sz val="11"/>
        <color theme="1"/>
        <rFont val="Calibri"/>
        <family val="2"/>
        <scheme val="minor"/>
      </rPr>
      <t>P/HORNO</t>
    </r>
    <r>
      <rPr>
        <sz val="11"/>
        <color theme="1"/>
        <rFont val="Calibri"/>
        <family val="2"/>
        <scheme val="minor"/>
      </rPr>
      <t xml:space="preserve">, PRESENTACION: </t>
    </r>
    <r>
      <rPr>
        <b/>
        <sz val="11"/>
        <color theme="1"/>
        <rFont val="Calibri"/>
        <family val="2"/>
        <scheme val="minor"/>
      </rPr>
      <t>BOLSA X 12</t>
    </r>
  </si>
  <si>
    <t xml:space="preserve">KG </t>
  </si>
  <si>
    <t>2.1.1-483.37</t>
  </si>
  <si>
    <r>
      <t xml:space="preserve">HUEVO DE GALLINA; TAMAÑO: GRANDE, COLOR: COLOR, </t>
    </r>
    <r>
      <rPr>
        <b/>
        <sz val="11"/>
        <rFont val="Calibri"/>
        <family val="2"/>
        <scheme val="minor"/>
      </rPr>
      <t>PRESENTACION: 30 UN</t>
    </r>
  </si>
  <si>
    <t xml:space="preserve">HUEVO DE GALLINA; TAMAÑO: GRANDE, PRESENTACION EN CARTON POR 30 UNIDADES - ENTIENDASE POR UNIDAD = 30 UNIDADES </t>
  </si>
  <si>
    <t>Especificidades Item N° 22:</t>
  </si>
  <si>
    <r>
      <t xml:space="preserve">VERDURAS Y HORTALIZAS; VARIEDAD: </t>
    </r>
    <r>
      <rPr>
        <b/>
        <sz val="11"/>
        <rFont val="Calibri"/>
        <family val="2"/>
        <scheme val="minor"/>
      </rPr>
      <t>ZAPALLO CRIOLLO</t>
    </r>
    <r>
      <rPr>
        <sz val="11"/>
        <rFont val="Calibri"/>
        <family val="2"/>
        <scheme val="minor"/>
      </rPr>
      <t xml:space="preserve">, ESTADO: NATURAL, PRESENTACION: </t>
    </r>
    <r>
      <rPr>
        <b/>
        <sz val="11"/>
        <rFont val="Calibri"/>
        <family val="2"/>
        <scheme val="minor"/>
      </rPr>
      <t>UNIDAD</t>
    </r>
    <r>
      <rPr>
        <sz val="11"/>
        <rFont val="Calibri"/>
        <family val="2"/>
        <scheme val="minor"/>
      </rPr>
      <t>, PESO: SIN VALOR</t>
    </r>
  </si>
  <si>
    <t>Especificidades Item N° 36:</t>
  </si>
  <si>
    <r>
      <t xml:space="preserve">QUESOS; TIPO: CUARTIROLO, PRESENTACION: </t>
    </r>
    <r>
      <rPr>
        <b/>
        <sz val="11"/>
        <rFont val="Calibri"/>
        <family val="2"/>
        <scheme val="minor"/>
      </rPr>
      <t>HORMA</t>
    </r>
    <r>
      <rPr>
        <sz val="11"/>
        <rFont val="Calibri"/>
        <family val="2"/>
        <scheme val="minor"/>
      </rPr>
      <t>, ELEM. TRANSPORTE: SIN, MATERIAL ELEM. TRANSPORTE: SIN, MATERIAL ENVASE: SIN, CERTIFICADO FORESTAL (GFS): SIN, LIBRE DE GLUTEN: SI</t>
    </r>
  </si>
  <si>
    <t>Especificidades Item N° 41:</t>
  </si>
  <si>
    <r>
      <t xml:space="preserve">PASTAS FRESCAS; VARIEDAD: RAVIOL, RELLENO: RICOTA Y POLLO, PRESENTACION: </t>
    </r>
    <r>
      <rPr>
        <b/>
        <sz val="11"/>
        <rFont val="Calibri"/>
        <family val="2"/>
        <scheme val="minor"/>
      </rPr>
      <t>ENVASE X 2 PLANCHAS</t>
    </r>
  </si>
  <si>
    <t>Control suma</t>
  </si>
  <si>
    <t>Especificidades Item N° 01:</t>
  </si>
  <si>
    <t xml:space="preserve">MAYONESA EN ENVASE DE 2,9 Kg APROXIMADAMENTE </t>
  </si>
  <si>
    <t>Especificidades Item N° 02:</t>
  </si>
  <si>
    <t xml:space="preserve">POLLO CAJA X 22 Kg, EVISCERADO - UNIDAD = CAJA DE 22 KG - TRANSPORTADA EN VEHICULO AUTORIZADO POR SENASA PARA TAL FIN, EL PROVEEDOR DEBERA EXHIBIR TAL DOCUMENTACION </t>
  </si>
  <si>
    <t>Especificidades Item N° 03:</t>
  </si>
  <si>
    <t>Especificidades Item N° 04:</t>
  </si>
  <si>
    <t xml:space="preserve">PECHUGAS DE POLLO, PRESENTACION: BOLSA X 2 Kg APROXIMADAMENTE CADA UNA - TRANSPORTADA EN VEHICULO AUTORIZADO POR SENASA PARA TAL FIN, EL PROVEEDOR DEBERA EXHIBIR TAL DOCUMENTACION </t>
  </si>
  <si>
    <t>Especificidades Item N° 05:</t>
  </si>
  <si>
    <t xml:space="preserve">FILET DE MERLUZA, ENVASE X 1 Kg APROXIMADAMENTE - TRANSPORTADA EN VEHICULO AUTORIZADO POR SENASA PARA TAL FIN, EL PROVEEDOR DEBERA EXHIBIR TAL DOCUMENTACION </t>
  </si>
  <si>
    <t>Especificidades Item N° 06:</t>
  </si>
  <si>
    <t xml:space="preserve">PAN TIPO MIÑON - PRIMERA CALIDAD - TRANSPORTADO EN VEHICULO AUTORIZADO Y EQUIPADO PARA TALES FINES </t>
  </si>
  <si>
    <t>Especificidades Item N° 07:</t>
  </si>
  <si>
    <t xml:space="preserve">ROSETAS SIN SAL DE 60 GRS APROXIMADAMENTE CADA UNA - TRANSPORTADO EN VEHICULO AUTORIZADO Y EQUIPADO PARA TALES FINES </t>
  </si>
  <si>
    <t>Especificidades Item N° 08:</t>
  </si>
  <si>
    <t xml:space="preserve">PAN TIPO: SALVADO DE 60 GRAMOS  - PRIMERA CALIDAD - TRANSPORTADO EN VEHICULO AUTORIZADO Y EQUIPADO PARA TALES FINES </t>
  </si>
  <si>
    <t>Especificidades Item N° 09:</t>
  </si>
  <si>
    <t xml:space="preserve">PANES; TIPO: RALLADO, PRESENTACION: BOLSA X 5 Kg - TRANSPORTADO EN VEHICULO AUTORIZADO Y EQUIPADO PARA TALES FINES  </t>
  </si>
  <si>
    <t>Especificidades Item N° 10:</t>
  </si>
  <si>
    <t xml:space="preserve">PREPIZZAS DE PRIMERA CALIDAD - TRANSPORTADO EN VEHICULO AUTORIZADO Y EQUIPADO PARA TALES FINES </t>
  </si>
  <si>
    <t>Especificidades Item N° 11:</t>
  </si>
  <si>
    <t xml:space="preserve">PIONONO DE 180 GRAMOS DE PESO APROXIMADAMENTE CADA UNO SABOR A VAINILLA </t>
  </si>
  <si>
    <t xml:space="preserve">ACELGA FRESCA EN HOJA - PRESENTACION: ATADO X 8 KG APROXIMADAMENTE </t>
  </si>
  <si>
    <t xml:space="preserve">ZANAHORIA FRESCA NATURAL BOLSA X 25 KG APROXIMADAMENTE CADA UNA </t>
  </si>
  <si>
    <t>ZAPALLITO REDONDO VERDE FRESCO (CAJON X 15 KG)</t>
  </si>
  <si>
    <t>Especificidades Item N° 15:</t>
  </si>
  <si>
    <t xml:space="preserve"> PAPA BLANCA EN BOLSA DE 25 Kg APROXIMADAMENTE CADA UNA </t>
  </si>
  <si>
    <t>Especificidades Item N° 16:</t>
  </si>
  <si>
    <t>TOMATE AL NATURAL REDONDO FRESCO (CAJON X 17 KG)</t>
  </si>
  <si>
    <t>Especificidades Item N° 18:</t>
  </si>
  <si>
    <t>Especificidades Item N° 19:</t>
  </si>
  <si>
    <t>Especificidades Item N° 20:</t>
  </si>
  <si>
    <t>Especificidades Item N° 21:</t>
  </si>
  <si>
    <t xml:space="preserve">ZAPALLO ANCO EN BOLSA DE PESO APROXIMADAMENTE DE 20 Kg CADA BOLSA </t>
  </si>
  <si>
    <t>ZAPALLO CRIOLLO PRESENTACION POR KG</t>
  </si>
  <si>
    <t>Especificidades Item N° 23:</t>
  </si>
  <si>
    <t xml:space="preserve"> PEREJIL FRESCO ATADOS DE APROXIMADAMENTE DE 1 Kg</t>
  </si>
  <si>
    <t>Especificidades Item N° 24:</t>
  </si>
  <si>
    <t>MORRON VERDE FRESCO ENTEROS EN BUEN ESTADO</t>
  </si>
  <si>
    <t>LECHUGA CRIOLLA HOJAS FRESCAS  (CAJON X 18 KG APROXIMADAMENTE)</t>
  </si>
  <si>
    <t>MANZANA DELICIOSA AL NATURAL TAMAÑO MEDIANO (CAJON X 20 KG APROXIMADAMENTE)</t>
  </si>
  <si>
    <t>BANANA TIPO ECUATORIANA AL NATURAL (CAJON X 25 KG APROXIMADAMENTE)</t>
  </si>
  <si>
    <t>NARANJA CRIOLLA AL NATURAL (CAJON X 20 KG APROXIMADAMENTE)</t>
  </si>
  <si>
    <t>PERAS DE AGUA TIERNA AL NATURAL (CAJON X 17 KG APROXIMADAMENTE)</t>
  </si>
  <si>
    <t>LIMÓN AL NATURAL FRESCO PARA JUGO (CAJON X 12 KG APROXIMADAMENTE)</t>
  </si>
  <si>
    <t>Especificidades Item N° 31:</t>
  </si>
  <si>
    <t xml:space="preserve">CARNES VACUNA, CUADRIL  FETEADO DE 180 A 250  GRAMOS CADA BIFE - TRANSPORTADA EN VEHICULO AUTORIZADO POR SENASA PARA TAL FIN, EL PROVEEDOR DEBERA EXHIBIR TAL DOCUMENTACION </t>
  </si>
  <si>
    <t>Especificidades Item N° 32:</t>
  </si>
  <si>
    <t xml:space="preserve">CARNE VACUNA, NALGA FETEADA DE 180 A 250 GRAMOS - TRANSPORTADA EN VEHICULO AUTORIZADO POR SENASA PARA TAL FIN, EL PROVEEDOR DEBERA EXHIBIR TAL DOCUMENTACION </t>
  </si>
  <si>
    <t>Especificidades Item N° 33:</t>
  </si>
  <si>
    <t xml:space="preserve">CARNE VACUNA PICADA ESPECIAL SIN GRASA - TRANSPORTADA EN VEHICULO AUTORIZADO POR SENASA PARA TAL FIN, EL PROVEEDOR DEBERA EXHIBIR TAL DOCUMENTACION </t>
  </si>
  <si>
    <t>Especificidades Item N° 34:</t>
  </si>
  <si>
    <t xml:space="preserve">CARRE CON LOMO DE CERDO EN UN SOLO PEDAZO - TRANSPORTADA EN VEHICULO AUTORIZADO POR SENASA PARA TAL FIN, EL PROVEEDOR DEBERA EXHIBIR TAL DOCUMENTACION </t>
  </si>
  <si>
    <t>Especificidades Item N° 35:</t>
  </si>
  <si>
    <t xml:space="preserve">COSTELETAS DE CERDO DE 200 a 300 GRAMOS APROXIMADAMENTE CADA UNA, TRANSPORTADA EN VEHICULO AUTORIZADO POR SENASA PARA TAL FIN, EL PROVEEDOR DEBERA EXHIBIR TAL DOCUMENTACION  </t>
  </si>
  <si>
    <t>QUESOS CUARTIROLO HORMA X 3,800 KG APROXIMADAMENTE -PRIMERA CALIDAD-.</t>
  </si>
  <si>
    <t>Especificidades Item N° 37:</t>
  </si>
  <si>
    <t>QUESOS TIPO: TYBO ENVASE X 1 Kg - PRIMERA CALIDAD</t>
  </si>
  <si>
    <t>Especificidades Item N° 38:</t>
  </si>
  <si>
    <t xml:space="preserve">QUESOS TIPO SARDO HORMA X 3 Kg APROXIMADAMENTE - PRIMERA CALIDAD -. </t>
  </si>
  <si>
    <t>Especificidades Item N° 39:</t>
  </si>
  <si>
    <t xml:space="preserve">JAMON COCIDO DE PRIMERA CALIDAD - UNIDAD DE MEDIDA KG </t>
  </si>
  <si>
    <t>Especificidades Item N° 40:</t>
  </si>
  <si>
    <t>RICOTA SIN SABOR  PAQUETE X 1 Kg - PRIMERA CALIDAD.-</t>
  </si>
  <si>
    <t xml:space="preserve">RAVIOLES, RELLENO: RICOTA Y POLLO, PRESENTACION UNIDAD: ENVASE  X 2 PLANCHAS DE 48 RAVIOLES CADA PLANCHA, TOTAL POR UNIDAD 96 RAVIOLES </t>
  </si>
  <si>
    <t>Especificidades Item N° 42:</t>
  </si>
  <si>
    <t xml:space="preserve">TAPAS PARA TARTA CON SEPARADORES HOJALDRADAS O CRIOLLAS PARA HORNO - PRIMERA CALIDAD </t>
  </si>
  <si>
    <t>Especificidades Item N° 43:</t>
  </si>
  <si>
    <t>TAPAS PARA EMPANADAS CON SEPARADORES HOJALDRADAS O CRIOLLAS PARA HORNO  - PRIMERA CALIDAD</t>
  </si>
  <si>
    <t>Especificidades Item N° 44:</t>
  </si>
  <si>
    <t xml:space="preserve">YOGURT DESCREMADO SABOR VAINILLA EN POTE DE PLASTICO INDIVIDUAL DE APROXIMADAMENTE 200 GRS CADA UNO </t>
  </si>
  <si>
    <r>
      <t>NO-2021-00677168-CAT-HSJB#MS</t>
    </r>
    <r>
      <rPr>
        <b/>
        <sz val="14"/>
        <color theme="1"/>
        <rFont val="Calibri"/>
        <family val="2"/>
        <scheme val="minor"/>
      </rPr>
      <t xml:space="preserve"> (Adq.de Alimentos Perecederos-Hospital San Juan Bautista)</t>
    </r>
  </si>
  <si>
    <r>
      <rPr>
        <b/>
        <u/>
        <sz val="11"/>
        <color theme="1"/>
        <rFont val="Calibri"/>
        <family val="2"/>
        <scheme val="minor"/>
      </rPr>
      <t>Calidad Minima esperada:</t>
    </r>
    <r>
      <rPr>
        <sz val="11"/>
        <color theme="1"/>
        <rFont val="Calibri"/>
        <family val="2"/>
        <scheme val="minor"/>
      </rPr>
      <t xml:space="preserve"> Ver nota adjunta respecto de la calidad de los productos y otras caracteristicas . </t>
    </r>
  </si>
  <si>
    <r>
      <rPr>
        <b/>
        <u/>
        <sz val="11"/>
        <color theme="1"/>
        <rFont val="Calibri"/>
        <family val="2"/>
        <scheme val="minor"/>
      </rPr>
      <t>Plazos, lugares y formas de entrega:</t>
    </r>
    <r>
      <rPr>
        <sz val="11"/>
        <color theme="1"/>
        <rFont val="Calibri"/>
        <family val="2"/>
        <scheme val="minor"/>
      </rPr>
      <t xml:space="preserve"> Las entregas se realizaran en el Servicio de Nutricion -Avda. Illia y Mariano Moreno- los días lunes, miercoles o viernes de 07:00 a 08:30 horas -dos veces a convenir con quien resulte adjudicado en estos items-.</t>
    </r>
  </si>
  <si>
    <r>
      <t xml:space="preserve">PREPIZZA; GUSTO: TOMATE, TAMAÑO: </t>
    </r>
    <r>
      <rPr>
        <b/>
        <sz val="11"/>
        <color theme="1"/>
        <rFont val="Calibri"/>
        <family val="2"/>
        <scheme val="minor"/>
      </rPr>
      <t>MEDIANO</t>
    </r>
  </si>
  <si>
    <r>
      <t xml:space="preserve">CARNES; ESPECIE: VACUNA, CORTE: </t>
    </r>
    <r>
      <rPr>
        <b/>
        <sz val="11"/>
        <color theme="1"/>
        <rFont val="Calibri"/>
        <family val="2"/>
        <scheme val="minor"/>
      </rPr>
      <t>CUADRIL</t>
    </r>
    <r>
      <rPr>
        <sz val="11"/>
        <color theme="1"/>
        <rFont val="Calibri"/>
        <family val="2"/>
        <scheme val="minor"/>
      </rPr>
      <t>, TIPO: VACUNA</t>
    </r>
  </si>
  <si>
    <r>
      <t xml:space="preserve">CARNES; ESPECIE: VACUNA, CORTE: </t>
    </r>
    <r>
      <rPr>
        <b/>
        <sz val="11"/>
        <color theme="1"/>
        <rFont val="Calibri"/>
        <family val="2"/>
        <scheme val="minor"/>
      </rPr>
      <t>NALGA</t>
    </r>
    <r>
      <rPr>
        <sz val="11"/>
        <color theme="1"/>
        <rFont val="Calibri"/>
        <family val="2"/>
        <scheme val="minor"/>
      </rPr>
      <t>, TIPO: VACUNA</t>
    </r>
  </si>
  <si>
    <r>
      <t xml:space="preserve">CARNES; ESPECIE: VACUNA, CORTE: </t>
    </r>
    <r>
      <rPr>
        <b/>
        <sz val="11"/>
        <color theme="1"/>
        <rFont val="Calibri"/>
        <family val="2"/>
        <scheme val="minor"/>
      </rPr>
      <t>PICADA ESPECIAL</t>
    </r>
    <r>
      <rPr>
        <sz val="11"/>
        <color theme="1"/>
        <rFont val="Calibri"/>
        <family val="2"/>
        <scheme val="minor"/>
      </rPr>
      <t xml:space="preserve">, TIPO: </t>
    </r>
    <r>
      <rPr>
        <b/>
        <sz val="11"/>
        <color theme="1"/>
        <rFont val="Calibri"/>
        <family val="2"/>
        <scheme val="minor"/>
      </rPr>
      <t>VACUNA</t>
    </r>
  </si>
  <si>
    <r>
      <t xml:space="preserve">CARNES; CORTE: </t>
    </r>
    <r>
      <rPr>
        <b/>
        <sz val="11"/>
        <color theme="1"/>
        <rFont val="Calibri"/>
        <family val="2"/>
        <scheme val="minor"/>
      </rPr>
      <t>CARRE CON LOMO,</t>
    </r>
    <r>
      <rPr>
        <sz val="11"/>
        <color theme="1"/>
        <rFont val="Calibri"/>
        <family val="2"/>
        <scheme val="minor"/>
      </rPr>
      <t xml:space="preserve"> TIPO: PORCINA, ESPECIE: </t>
    </r>
    <r>
      <rPr>
        <b/>
        <sz val="11"/>
        <color theme="1"/>
        <rFont val="Calibri"/>
        <family val="2"/>
        <scheme val="minor"/>
      </rPr>
      <t>PORCINA</t>
    </r>
  </si>
  <si>
    <r>
      <t xml:space="preserve">CARNES; TIPO: </t>
    </r>
    <r>
      <rPr>
        <b/>
        <sz val="11"/>
        <color theme="1"/>
        <rFont val="Calibri"/>
        <family val="2"/>
        <scheme val="minor"/>
      </rPr>
      <t>PORCINA</t>
    </r>
    <r>
      <rPr>
        <sz val="11"/>
        <color theme="1"/>
        <rFont val="Calibri"/>
        <family val="2"/>
        <scheme val="minor"/>
      </rPr>
      <t xml:space="preserve">, CORTE: </t>
    </r>
    <r>
      <rPr>
        <b/>
        <sz val="11"/>
        <color theme="1"/>
        <rFont val="Calibri"/>
        <family val="2"/>
        <scheme val="minor"/>
      </rPr>
      <t>COSTELETA</t>
    </r>
  </si>
  <si>
    <r>
      <t xml:space="preserve">YOGHURT; TIPO: </t>
    </r>
    <r>
      <rPr>
        <b/>
        <sz val="11"/>
        <color theme="1"/>
        <rFont val="Calibri"/>
        <family val="2"/>
        <scheme val="minor"/>
      </rPr>
      <t>DESCREMADO</t>
    </r>
    <r>
      <rPr>
        <sz val="11"/>
        <color theme="1"/>
        <rFont val="Calibri"/>
        <family val="2"/>
        <scheme val="minor"/>
      </rPr>
      <t xml:space="preserve">, AGREGADO: SIN, CONSISTENCIA: FIRME, SABOR: VAINILLA, PRESENTACION: </t>
    </r>
    <r>
      <rPr>
        <b/>
        <sz val="11"/>
        <color theme="1"/>
        <rFont val="Calibri"/>
        <family val="2"/>
        <scheme val="minor"/>
      </rPr>
      <t>POTE PLASTICO X 200 GR</t>
    </r>
  </si>
  <si>
    <r>
      <t xml:space="preserve">Las entregas se realizarán a requerimiento de acuerdo, a las Solicitudes de Provisión que se realicen. Se estima emitir una cantidad aproximada de 3 (Tres) </t>
    </r>
    <r>
      <rPr>
        <u/>
        <sz val="11"/>
        <color theme="1"/>
        <rFont val="Calibri"/>
        <family val="2"/>
        <scheme val="minor"/>
      </rPr>
      <t>Solicitudes de Provisión de (1/3 aprox.) de la cantidad solicitada</t>
    </r>
    <r>
      <rPr>
        <sz val="11"/>
        <color theme="1"/>
        <rFont val="Calibri"/>
        <family val="2"/>
        <scheme val="minor"/>
      </rPr>
      <t xml:space="preserve">, en un plazo de 3 (Tres) meses: </t>
    </r>
    <r>
      <rPr>
        <u/>
        <sz val="11"/>
        <color theme="1"/>
        <rFont val="Calibri"/>
        <family val="2"/>
        <scheme val="minor"/>
      </rPr>
      <t>1° Solic.de Provisión:</t>
    </r>
    <r>
      <rPr>
        <sz val="11"/>
        <color theme="1"/>
        <rFont val="Calibri"/>
        <family val="2"/>
        <scheme val="minor"/>
      </rPr>
      <t xml:space="preserve"> aprox.a los 3 dias hábiles de la firma del instrumento contractual. </t>
    </r>
    <r>
      <rPr>
        <u/>
        <sz val="11"/>
        <color theme="1"/>
        <rFont val="Calibri"/>
        <family val="2"/>
        <scheme val="minor"/>
      </rPr>
      <t>2° Solic.de Provisión</t>
    </r>
    <r>
      <rPr>
        <sz val="11"/>
        <color theme="1"/>
        <rFont val="Calibri"/>
        <family val="2"/>
        <scheme val="minor"/>
      </rPr>
      <t>: al mes de la firma del instrumento contractual. Y</t>
    </r>
    <r>
      <rPr>
        <u/>
        <sz val="11"/>
        <color theme="1"/>
        <rFont val="Calibri"/>
        <family val="2"/>
        <scheme val="minor"/>
      </rPr>
      <t xml:space="preserve"> 3° Solic.de Provisión:</t>
    </r>
    <r>
      <rPr>
        <sz val="11"/>
        <color theme="1"/>
        <rFont val="Calibri"/>
        <family val="2"/>
        <scheme val="minor"/>
      </rPr>
      <t xml:space="preserve"> a los dos meses de la firma del instrumento contractual. Plazo de cumplimiento de cada Solicitud de Provisión: desde los 2 días hábiles de notificada la misma, según necesidades del Organismo solicitante. </t>
    </r>
    <r>
      <rPr>
        <b/>
        <u/>
        <sz val="11"/>
        <color theme="1"/>
        <rFont val="Calibri"/>
        <family val="2"/>
        <scheme val="minor"/>
      </rPr>
      <t>Forma de Pago:</t>
    </r>
    <r>
      <rPr>
        <sz val="11"/>
        <color theme="1"/>
        <rFont val="Calibri"/>
        <family val="2"/>
        <scheme val="minor"/>
      </rPr>
      <t xml:space="preserve"> Se solicita Pagos parciales por cada Solicitud de Provisión emitida, una vez finalizada la entrega de las cantidades contenidas en la misma.</t>
    </r>
  </si>
  <si>
    <t>Adquisición de Alimentos Perecederos para ser destinados al Servicio de Nutrición del HISJB del Ministerio de Salud.-</t>
  </si>
  <si>
    <t xml:space="preserve">CHAUCHA FRESCA EN BUEN ESTADO PRESENTACION POR KG </t>
  </si>
  <si>
    <r>
      <t xml:space="preserve"> CEBOLLA DE VERDEO FRESCA EN CAJON DE APROXIMADAMENTE 10 Kg CADA UNO  </t>
    </r>
    <r>
      <rPr>
        <b/>
        <sz val="9"/>
        <rFont val="Calibri"/>
        <family val="2"/>
        <scheme val="minor"/>
      </rPr>
      <t>(se refiere al ítem 19)</t>
    </r>
  </si>
  <si>
    <r>
      <t xml:space="preserve"> CEBOLLA EN CABEZA BOLSA DE APROXIMADAMENTE 25 Kg CADA UNA </t>
    </r>
    <r>
      <rPr>
        <b/>
        <sz val="9"/>
        <rFont val="Calibri"/>
        <family val="2"/>
        <scheme val="minor"/>
      </rPr>
      <t>(se refiere al ítem 18)</t>
    </r>
  </si>
  <si>
    <t xml:space="preserve"> REMOLACHA FRESCA EN BUEN ESTADO PRESENTACION POR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</si>
</sst>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44" fontId="2" fillId="2" borderId="4" xfId="0" applyNumberFormat="1" applyFont="1" applyFill="1" applyBorder="1"/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4" fontId="2" fillId="2" borderId="4" xfId="1" applyFont="1" applyFill="1" applyBorder="1"/>
    <xf numFmtId="0" fontId="2" fillId="0" borderId="0" xfId="0" applyFont="1" applyAlignment="1">
      <alignment horizontal="center"/>
    </xf>
    <xf numFmtId="0" fontId="6" fillId="3" borderId="5" xfId="0" applyFont="1" applyFill="1" applyBorder="1" applyAlignment="1">
      <alignment vertical="center" wrapText="1"/>
    </xf>
    <xf numFmtId="44" fontId="0" fillId="0" borderId="6" xfId="1" applyFon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3" fontId="0" fillId="0" borderId="16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vertical="center"/>
    </xf>
    <xf numFmtId="44" fontId="2" fillId="0" borderId="0" xfId="0" applyNumberFormat="1" applyFont="1" applyAlignment="1">
      <alignment vertical="center"/>
    </xf>
    <xf numFmtId="44" fontId="0" fillId="0" borderId="0" xfId="1" applyFont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27" xfId="0" applyFill="1" applyBorder="1" applyAlignment="1">
      <alignment horizontal="left" vertical="top" wrapText="1"/>
    </xf>
    <xf numFmtId="0" fontId="0" fillId="4" borderId="25" xfId="0" applyFill="1" applyBorder="1" applyAlignment="1">
      <alignment horizontal="left" vertical="top" wrapText="1"/>
    </xf>
    <xf numFmtId="0" fontId="0" fillId="4" borderId="28" xfId="0" applyFill="1" applyBorder="1" applyAlignment="1">
      <alignment horizontal="left" vertical="top" wrapText="1"/>
    </xf>
    <xf numFmtId="0" fontId="0" fillId="4" borderId="29" xfId="0" applyFill="1" applyBorder="1" applyAlignment="1">
      <alignment horizontal="left" vertical="top" wrapText="1"/>
    </xf>
    <xf numFmtId="0" fontId="0" fillId="4" borderId="0" xfId="0" applyFill="1" applyBorder="1" applyAlignment="1">
      <alignment horizontal="left" vertical="top" wrapText="1"/>
    </xf>
    <xf numFmtId="0" fontId="0" fillId="4" borderId="30" xfId="0" applyFill="1" applyBorder="1" applyAlignment="1">
      <alignment horizontal="left" vertical="top" wrapText="1"/>
    </xf>
    <xf numFmtId="0" fontId="0" fillId="4" borderId="31" xfId="0" applyFill="1" applyBorder="1" applyAlignment="1">
      <alignment horizontal="left" vertical="top" wrapText="1"/>
    </xf>
    <xf numFmtId="0" fontId="0" fillId="4" borderId="26" xfId="0" applyFill="1" applyBorder="1" applyAlignment="1">
      <alignment horizontal="left" vertical="top" wrapText="1"/>
    </xf>
    <xf numFmtId="0" fontId="0" fillId="4" borderId="32" xfId="0" applyFill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zoomScaleNormal="100" workbookViewId="0">
      <selection activeCell="B7" sqref="B7"/>
    </sheetView>
  </sheetViews>
  <sheetFormatPr baseColWidth="10" defaultRowHeight="15" x14ac:dyDescent="0.25"/>
  <cols>
    <col min="1" max="1" width="3" bestFit="1" customWidth="1"/>
    <col min="4" max="4" width="6.7109375" customWidth="1"/>
    <col min="5" max="5" width="73.5703125" customWidth="1"/>
    <col min="6" max="6" width="10.42578125" bestFit="1" customWidth="1"/>
    <col min="7" max="7" width="9.5703125" bestFit="1" customWidth="1"/>
    <col min="8" max="8" width="10.85546875" customWidth="1"/>
    <col min="9" max="9" width="14.140625" customWidth="1"/>
    <col min="10" max="10" width="11.5703125" customWidth="1"/>
    <col min="11" max="11" width="37.140625" customWidth="1"/>
    <col min="12" max="12" width="10.85546875" customWidth="1"/>
    <col min="13" max="14" width="10.85546875" style="43" customWidth="1"/>
    <col min="15" max="15" width="69" style="42" customWidth="1"/>
    <col min="16" max="16" width="10.85546875" style="43"/>
    <col min="17" max="17" width="10.85546875" style="43" customWidth="1"/>
    <col min="18" max="18" width="10.85546875" style="44" customWidth="1"/>
    <col min="19" max="19" width="14.140625" style="6" customWidth="1"/>
    <col min="20" max="20" width="10.85546875" customWidth="1"/>
    <col min="21" max="21" width="68.85546875" customWidth="1"/>
    <col min="22" max="23" width="10.85546875" style="43"/>
    <col min="24" max="24" width="10.85546875" style="44"/>
  </cols>
  <sheetData>
    <row r="1" spans="1:24" x14ac:dyDescent="0.25">
      <c r="B1" s="4" t="s">
        <v>61</v>
      </c>
      <c r="C1" t="s">
        <v>195</v>
      </c>
    </row>
    <row r="2" spans="1:24" ht="18.75" x14ac:dyDescent="0.3">
      <c r="B2" s="3" t="s">
        <v>184</v>
      </c>
    </row>
    <row r="3" spans="1:24" ht="15.75" thickBot="1" x14ac:dyDescent="0.3"/>
    <row r="4" spans="1:24" ht="45.75" thickBot="1" x14ac:dyDescent="0.3">
      <c r="A4" s="23" t="s">
        <v>0</v>
      </c>
      <c r="B4" s="19" t="s">
        <v>1</v>
      </c>
      <c r="C4" s="18" t="s">
        <v>2</v>
      </c>
      <c r="D4" s="23" t="s">
        <v>3</v>
      </c>
      <c r="E4" s="30" t="s">
        <v>73</v>
      </c>
      <c r="F4" s="23" t="s">
        <v>4</v>
      </c>
      <c r="G4" s="19" t="s">
        <v>5</v>
      </c>
      <c r="H4" s="7" t="s">
        <v>6</v>
      </c>
      <c r="I4" s="8" t="s">
        <v>7</v>
      </c>
      <c r="J4" s="1"/>
    </row>
    <row r="5" spans="1:24" ht="30" x14ac:dyDescent="0.25">
      <c r="A5" s="48">
        <v>1</v>
      </c>
      <c r="B5" s="38" t="s">
        <v>8</v>
      </c>
      <c r="C5" s="27" t="s">
        <v>9</v>
      </c>
      <c r="D5" s="35" t="s">
        <v>10</v>
      </c>
      <c r="E5" s="31" t="s">
        <v>74</v>
      </c>
      <c r="F5" s="24" t="s">
        <v>11</v>
      </c>
      <c r="G5" s="20">
        <v>15</v>
      </c>
      <c r="H5" s="13">
        <v>588</v>
      </c>
      <c r="I5" s="14">
        <f>G5*H5</f>
        <v>8820</v>
      </c>
      <c r="J5" s="12" t="s">
        <v>114</v>
      </c>
      <c r="K5" s="9" t="s">
        <v>115</v>
      </c>
      <c r="S5" s="45"/>
      <c r="U5" s="42"/>
      <c r="V5" s="1"/>
      <c r="W5" s="1"/>
      <c r="X5" s="47"/>
    </row>
    <row r="6" spans="1:24" ht="46.5" customHeight="1" x14ac:dyDescent="0.25">
      <c r="A6" s="41">
        <v>2</v>
      </c>
      <c r="B6" s="39" t="s">
        <v>12</v>
      </c>
      <c r="C6" s="28" t="s">
        <v>9</v>
      </c>
      <c r="D6" s="36" t="s">
        <v>10</v>
      </c>
      <c r="E6" s="32" t="s">
        <v>75</v>
      </c>
      <c r="F6" s="25" t="s">
        <v>13</v>
      </c>
      <c r="G6" s="21">
        <v>120</v>
      </c>
      <c r="H6" s="2">
        <v>3000</v>
      </c>
      <c r="I6" s="15">
        <f t="shared" ref="I6:I48" si="0">G6*H6</f>
        <v>360000</v>
      </c>
      <c r="J6" s="12" t="s">
        <v>116</v>
      </c>
      <c r="K6" s="9" t="s">
        <v>117</v>
      </c>
      <c r="S6" s="45"/>
      <c r="U6" s="42"/>
      <c r="V6" s="1"/>
      <c r="W6" s="1"/>
      <c r="X6" s="47"/>
    </row>
    <row r="7" spans="1:24" ht="62.25" customHeight="1" x14ac:dyDescent="0.25">
      <c r="A7" s="41">
        <v>3</v>
      </c>
      <c r="B7" s="39" t="s">
        <v>104</v>
      </c>
      <c r="C7" s="28" t="s">
        <v>9</v>
      </c>
      <c r="D7" s="36" t="s">
        <v>10</v>
      </c>
      <c r="E7" s="32" t="s">
        <v>105</v>
      </c>
      <c r="F7" s="25" t="s">
        <v>11</v>
      </c>
      <c r="G7" s="21">
        <v>960</v>
      </c>
      <c r="H7" s="2">
        <v>250</v>
      </c>
      <c r="I7" s="15">
        <f t="shared" si="0"/>
        <v>240000</v>
      </c>
      <c r="J7" s="12" t="s">
        <v>118</v>
      </c>
      <c r="K7" s="9" t="s">
        <v>106</v>
      </c>
      <c r="S7" s="45"/>
      <c r="U7" s="42"/>
      <c r="V7" s="1"/>
      <c r="W7" s="1"/>
      <c r="X7" s="47"/>
    </row>
    <row r="8" spans="1:24" ht="60" x14ac:dyDescent="0.25">
      <c r="A8" s="41">
        <v>4</v>
      </c>
      <c r="B8" s="39" t="s">
        <v>14</v>
      </c>
      <c r="C8" s="28" t="s">
        <v>9</v>
      </c>
      <c r="D8" s="36" t="s">
        <v>10</v>
      </c>
      <c r="E8" s="32" t="s">
        <v>76</v>
      </c>
      <c r="F8" s="25" t="s">
        <v>11</v>
      </c>
      <c r="G8" s="21">
        <v>210</v>
      </c>
      <c r="H8" s="2">
        <v>936</v>
      </c>
      <c r="I8" s="15">
        <f t="shared" si="0"/>
        <v>196560</v>
      </c>
      <c r="J8" s="12" t="s">
        <v>119</v>
      </c>
      <c r="K8" s="9" t="s">
        <v>120</v>
      </c>
      <c r="S8" s="45"/>
      <c r="U8" s="42"/>
      <c r="V8" s="1"/>
      <c r="W8" s="1"/>
      <c r="X8" s="47"/>
    </row>
    <row r="9" spans="1:24" ht="60" x14ac:dyDescent="0.25">
      <c r="A9" s="41">
        <v>5</v>
      </c>
      <c r="B9" s="39" t="s">
        <v>15</v>
      </c>
      <c r="C9" s="28" t="s">
        <v>9</v>
      </c>
      <c r="D9" s="36" t="s">
        <v>10</v>
      </c>
      <c r="E9" s="32" t="s">
        <v>77</v>
      </c>
      <c r="F9" s="25" t="s">
        <v>11</v>
      </c>
      <c r="G9" s="21">
        <v>300</v>
      </c>
      <c r="H9" s="2">
        <v>468</v>
      </c>
      <c r="I9" s="15">
        <f t="shared" si="0"/>
        <v>140400</v>
      </c>
      <c r="J9" s="12" t="s">
        <v>121</v>
      </c>
      <c r="K9" s="9" t="s">
        <v>122</v>
      </c>
      <c r="S9" s="45"/>
      <c r="U9" s="42"/>
      <c r="V9" s="1"/>
      <c r="W9" s="1"/>
      <c r="X9" s="47"/>
    </row>
    <row r="10" spans="1:24" ht="36" x14ac:dyDescent="0.25">
      <c r="A10" s="41">
        <v>6</v>
      </c>
      <c r="B10" s="39" t="s">
        <v>16</v>
      </c>
      <c r="C10" s="28" t="s">
        <v>9</v>
      </c>
      <c r="D10" s="36" t="s">
        <v>10</v>
      </c>
      <c r="E10" s="32" t="s">
        <v>17</v>
      </c>
      <c r="F10" s="25" t="s">
        <v>18</v>
      </c>
      <c r="G10" s="21">
        <v>2000</v>
      </c>
      <c r="H10" s="2">
        <v>250</v>
      </c>
      <c r="I10" s="15">
        <f t="shared" si="0"/>
        <v>500000</v>
      </c>
      <c r="J10" s="12" t="s">
        <v>123</v>
      </c>
      <c r="K10" s="9" t="s">
        <v>124</v>
      </c>
      <c r="S10" s="45"/>
      <c r="U10" s="42"/>
      <c r="V10" s="1"/>
      <c r="W10" s="1"/>
      <c r="X10" s="47"/>
    </row>
    <row r="11" spans="1:24" ht="48" x14ac:dyDescent="0.25">
      <c r="A11" s="41">
        <v>7</v>
      </c>
      <c r="B11" s="39" t="s">
        <v>19</v>
      </c>
      <c r="C11" s="28" t="s">
        <v>9</v>
      </c>
      <c r="D11" s="36" t="s">
        <v>10</v>
      </c>
      <c r="E11" s="32" t="s">
        <v>20</v>
      </c>
      <c r="F11" s="25" t="s">
        <v>11</v>
      </c>
      <c r="G11" s="21">
        <v>4500</v>
      </c>
      <c r="H11" s="2">
        <v>50</v>
      </c>
      <c r="I11" s="15">
        <f t="shared" si="0"/>
        <v>225000</v>
      </c>
      <c r="J11" s="12" t="s">
        <v>125</v>
      </c>
      <c r="K11" s="9" t="s">
        <v>126</v>
      </c>
      <c r="S11" s="45"/>
      <c r="U11" s="42"/>
      <c r="V11" s="1"/>
      <c r="W11" s="1"/>
      <c r="X11" s="47"/>
    </row>
    <row r="12" spans="1:24" ht="36" x14ac:dyDescent="0.25">
      <c r="A12" s="41">
        <v>8</v>
      </c>
      <c r="B12" s="39" t="s">
        <v>21</v>
      </c>
      <c r="C12" s="28" t="s">
        <v>9</v>
      </c>
      <c r="D12" s="36" t="s">
        <v>10</v>
      </c>
      <c r="E12" s="32" t="s">
        <v>22</v>
      </c>
      <c r="F12" s="25" t="s">
        <v>11</v>
      </c>
      <c r="G12" s="21">
        <v>5400</v>
      </c>
      <c r="H12" s="2">
        <v>50</v>
      </c>
      <c r="I12" s="15">
        <f t="shared" si="0"/>
        <v>270000</v>
      </c>
      <c r="J12" s="12" t="s">
        <v>127</v>
      </c>
      <c r="K12" s="9" t="s">
        <v>128</v>
      </c>
      <c r="S12" s="45"/>
      <c r="U12" s="42"/>
      <c r="V12" s="1"/>
      <c r="W12" s="1"/>
      <c r="X12" s="47"/>
    </row>
    <row r="13" spans="1:24" ht="36" x14ac:dyDescent="0.25">
      <c r="A13" s="41">
        <v>9</v>
      </c>
      <c r="B13" s="39" t="s">
        <v>23</v>
      </c>
      <c r="C13" s="28" t="s">
        <v>9</v>
      </c>
      <c r="D13" s="36" t="s">
        <v>10</v>
      </c>
      <c r="E13" s="32" t="s">
        <v>78</v>
      </c>
      <c r="F13" s="25" t="s">
        <v>11</v>
      </c>
      <c r="G13" s="21">
        <v>40</v>
      </c>
      <c r="H13" s="2">
        <v>1250</v>
      </c>
      <c r="I13" s="15">
        <f t="shared" si="0"/>
        <v>50000</v>
      </c>
      <c r="J13" s="12" t="s">
        <v>129</v>
      </c>
      <c r="K13" s="9" t="s">
        <v>130</v>
      </c>
      <c r="S13" s="45"/>
      <c r="U13" s="42"/>
      <c r="V13" s="1"/>
      <c r="W13" s="1"/>
      <c r="X13" s="47"/>
    </row>
    <row r="14" spans="1:24" ht="36" x14ac:dyDescent="0.25">
      <c r="A14" s="41">
        <v>10</v>
      </c>
      <c r="B14" s="39" t="s">
        <v>24</v>
      </c>
      <c r="C14" s="28" t="s">
        <v>9</v>
      </c>
      <c r="D14" s="36" t="s">
        <v>10</v>
      </c>
      <c r="E14" s="32" t="s">
        <v>187</v>
      </c>
      <c r="F14" s="25" t="s">
        <v>11</v>
      </c>
      <c r="G14" s="21">
        <v>300</v>
      </c>
      <c r="H14" s="2">
        <v>110</v>
      </c>
      <c r="I14" s="15">
        <f t="shared" si="0"/>
        <v>33000</v>
      </c>
      <c r="J14" s="12" t="s">
        <v>131</v>
      </c>
      <c r="K14" s="9" t="s">
        <v>132</v>
      </c>
      <c r="S14" s="45"/>
      <c r="U14" s="42"/>
      <c r="V14" s="1"/>
      <c r="W14" s="1"/>
      <c r="X14" s="47"/>
    </row>
    <row r="15" spans="1:24" ht="36" x14ac:dyDescent="0.25">
      <c r="A15" s="41">
        <v>11</v>
      </c>
      <c r="B15" s="39" t="s">
        <v>25</v>
      </c>
      <c r="C15" s="28" t="s">
        <v>9</v>
      </c>
      <c r="D15" s="36" t="s">
        <v>10</v>
      </c>
      <c r="E15" s="32" t="s">
        <v>79</v>
      </c>
      <c r="F15" s="25" t="s">
        <v>11</v>
      </c>
      <c r="G15" s="21">
        <v>30</v>
      </c>
      <c r="H15" s="2">
        <v>500</v>
      </c>
      <c r="I15" s="15">
        <f t="shared" si="0"/>
        <v>15000</v>
      </c>
      <c r="J15" s="12" t="s">
        <v>133</v>
      </c>
      <c r="K15" s="9" t="s">
        <v>134</v>
      </c>
      <c r="S15" s="45"/>
      <c r="U15" s="42"/>
      <c r="V15" s="1"/>
      <c r="W15" s="1"/>
      <c r="X15" s="47"/>
    </row>
    <row r="16" spans="1:24" ht="30" x14ac:dyDescent="0.25">
      <c r="A16" s="41">
        <v>12</v>
      </c>
      <c r="B16" s="39" t="s">
        <v>26</v>
      </c>
      <c r="C16" s="28" t="s">
        <v>9</v>
      </c>
      <c r="D16" s="36" t="s">
        <v>10</v>
      </c>
      <c r="E16" s="32" t="s">
        <v>80</v>
      </c>
      <c r="F16" s="25" t="s">
        <v>11</v>
      </c>
      <c r="G16" s="21">
        <v>510</v>
      </c>
      <c r="H16" s="2">
        <v>650</v>
      </c>
      <c r="I16" s="15">
        <f t="shared" si="0"/>
        <v>331500</v>
      </c>
      <c r="J16" s="12" t="s">
        <v>63</v>
      </c>
      <c r="K16" s="9" t="s">
        <v>135</v>
      </c>
      <c r="S16" s="45"/>
      <c r="U16" s="42"/>
      <c r="V16" s="1"/>
      <c r="W16" s="1"/>
      <c r="X16" s="47"/>
    </row>
    <row r="17" spans="1:24" ht="45" x14ac:dyDescent="0.25">
      <c r="A17" s="41">
        <v>13</v>
      </c>
      <c r="B17" s="39" t="s">
        <v>27</v>
      </c>
      <c r="C17" s="28" t="s">
        <v>9</v>
      </c>
      <c r="D17" s="36" t="s">
        <v>10</v>
      </c>
      <c r="E17" s="32" t="s">
        <v>81</v>
      </c>
      <c r="F17" s="25" t="s">
        <v>11</v>
      </c>
      <c r="G17" s="21">
        <v>90</v>
      </c>
      <c r="H17" s="2">
        <v>1700</v>
      </c>
      <c r="I17" s="15">
        <f t="shared" si="0"/>
        <v>153000</v>
      </c>
      <c r="J17" s="12" t="s">
        <v>64</v>
      </c>
      <c r="K17" s="9" t="s">
        <v>136</v>
      </c>
      <c r="S17" s="45"/>
      <c r="U17" s="42"/>
      <c r="V17" s="1"/>
      <c r="W17" s="1"/>
      <c r="X17" s="47"/>
    </row>
    <row r="18" spans="1:24" ht="30" x14ac:dyDescent="0.25">
      <c r="A18" s="41">
        <v>14</v>
      </c>
      <c r="B18" s="39" t="s">
        <v>28</v>
      </c>
      <c r="C18" s="28" t="s">
        <v>9</v>
      </c>
      <c r="D18" s="36" t="s">
        <v>10</v>
      </c>
      <c r="E18" s="32" t="s">
        <v>82</v>
      </c>
      <c r="F18" s="25" t="s">
        <v>29</v>
      </c>
      <c r="G18" s="21">
        <v>90</v>
      </c>
      <c r="H18" s="2">
        <v>1500</v>
      </c>
      <c r="I18" s="15">
        <f t="shared" si="0"/>
        <v>135000</v>
      </c>
      <c r="J18" s="12" t="s">
        <v>65</v>
      </c>
      <c r="K18" s="9" t="s">
        <v>137</v>
      </c>
      <c r="S18" s="45"/>
      <c r="U18" s="42"/>
      <c r="V18" s="1"/>
      <c r="W18" s="1"/>
      <c r="X18" s="47"/>
    </row>
    <row r="19" spans="1:24" ht="30" x14ac:dyDescent="0.25">
      <c r="A19" s="41">
        <v>15</v>
      </c>
      <c r="B19" s="39" t="s">
        <v>30</v>
      </c>
      <c r="C19" s="28" t="s">
        <v>9</v>
      </c>
      <c r="D19" s="36" t="s">
        <v>10</v>
      </c>
      <c r="E19" s="32" t="s">
        <v>83</v>
      </c>
      <c r="F19" s="25" t="s">
        <v>11</v>
      </c>
      <c r="G19" s="21">
        <v>90</v>
      </c>
      <c r="H19" s="2">
        <v>1100</v>
      </c>
      <c r="I19" s="15">
        <f t="shared" si="0"/>
        <v>99000</v>
      </c>
      <c r="J19" s="12" t="s">
        <v>138</v>
      </c>
      <c r="K19" s="9" t="s">
        <v>139</v>
      </c>
      <c r="S19" s="45"/>
      <c r="U19" s="42"/>
      <c r="V19" s="1"/>
      <c r="W19" s="1"/>
      <c r="X19" s="47"/>
    </row>
    <row r="20" spans="1:24" ht="30" x14ac:dyDescent="0.25">
      <c r="A20" s="41">
        <v>16</v>
      </c>
      <c r="B20" s="39" t="s">
        <v>31</v>
      </c>
      <c r="C20" s="28" t="s">
        <v>9</v>
      </c>
      <c r="D20" s="36" t="s">
        <v>10</v>
      </c>
      <c r="E20" s="32" t="s">
        <v>84</v>
      </c>
      <c r="F20" s="25" t="s">
        <v>18</v>
      </c>
      <c r="G20" s="21">
        <v>300</v>
      </c>
      <c r="H20" s="2">
        <v>290</v>
      </c>
      <c r="I20" s="15">
        <f t="shared" si="0"/>
        <v>87000</v>
      </c>
      <c r="J20" s="12" t="s">
        <v>140</v>
      </c>
      <c r="K20" s="9" t="s">
        <v>196</v>
      </c>
      <c r="S20" s="45"/>
      <c r="U20" s="42"/>
      <c r="V20" s="1"/>
      <c r="W20" s="1"/>
      <c r="X20" s="47"/>
    </row>
    <row r="21" spans="1:24" ht="45" x14ac:dyDescent="0.25">
      <c r="A21" s="41">
        <v>17</v>
      </c>
      <c r="B21" s="39" t="s">
        <v>32</v>
      </c>
      <c r="C21" s="28" t="s">
        <v>9</v>
      </c>
      <c r="D21" s="36" t="s">
        <v>10</v>
      </c>
      <c r="E21" s="32" t="s">
        <v>85</v>
      </c>
      <c r="F21" s="25" t="s">
        <v>29</v>
      </c>
      <c r="G21" s="21">
        <v>90</v>
      </c>
      <c r="H21" s="2">
        <v>1600</v>
      </c>
      <c r="I21" s="15">
        <f t="shared" si="0"/>
        <v>144000</v>
      </c>
      <c r="J21" s="12" t="s">
        <v>66</v>
      </c>
      <c r="K21" s="9" t="s">
        <v>141</v>
      </c>
      <c r="S21" s="45"/>
      <c r="U21" s="42"/>
      <c r="V21" s="1"/>
      <c r="W21" s="1"/>
      <c r="X21" s="47"/>
    </row>
    <row r="22" spans="1:24" ht="36" x14ac:dyDescent="0.25">
      <c r="A22" s="51">
        <v>18</v>
      </c>
      <c r="B22" s="39" t="s">
        <v>33</v>
      </c>
      <c r="C22" s="28" t="s">
        <v>9</v>
      </c>
      <c r="D22" s="36" t="s">
        <v>10</v>
      </c>
      <c r="E22" s="32" t="s">
        <v>86</v>
      </c>
      <c r="F22" s="25" t="s">
        <v>11</v>
      </c>
      <c r="G22" s="21">
        <v>60</v>
      </c>
      <c r="H22" s="2">
        <v>1100</v>
      </c>
      <c r="I22" s="15">
        <f t="shared" si="0"/>
        <v>66000</v>
      </c>
      <c r="J22" s="50" t="s">
        <v>142</v>
      </c>
      <c r="K22" s="9" t="s">
        <v>197</v>
      </c>
      <c r="S22" s="45"/>
      <c r="U22" s="42"/>
      <c r="V22" s="1"/>
      <c r="W22" s="1"/>
      <c r="X22" s="47"/>
    </row>
    <row r="23" spans="1:24" ht="45" x14ac:dyDescent="0.25">
      <c r="A23" s="51">
        <v>19</v>
      </c>
      <c r="B23" s="39" t="s">
        <v>34</v>
      </c>
      <c r="C23" s="28" t="s">
        <v>9</v>
      </c>
      <c r="D23" s="36" t="s">
        <v>10</v>
      </c>
      <c r="E23" s="32" t="s">
        <v>87</v>
      </c>
      <c r="F23" s="25" t="s">
        <v>11</v>
      </c>
      <c r="G23" s="21">
        <v>15</v>
      </c>
      <c r="H23" s="2">
        <v>1000</v>
      </c>
      <c r="I23" s="15">
        <f t="shared" si="0"/>
        <v>15000</v>
      </c>
      <c r="J23" s="50" t="s">
        <v>143</v>
      </c>
      <c r="K23" s="9" t="s">
        <v>198</v>
      </c>
      <c r="S23" s="45"/>
      <c r="U23" s="42"/>
      <c r="V23" s="1"/>
      <c r="W23" s="1"/>
      <c r="X23" s="47"/>
    </row>
    <row r="24" spans="1:24" ht="30" x14ac:dyDescent="0.25">
      <c r="A24" s="41">
        <v>20</v>
      </c>
      <c r="B24" s="39" t="s">
        <v>35</v>
      </c>
      <c r="C24" s="28" t="s">
        <v>9</v>
      </c>
      <c r="D24" s="36" t="s">
        <v>10</v>
      </c>
      <c r="E24" s="32" t="s">
        <v>88</v>
      </c>
      <c r="F24" s="25" t="s">
        <v>18</v>
      </c>
      <c r="G24" s="21">
        <v>720</v>
      </c>
      <c r="H24" s="2">
        <v>90</v>
      </c>
      <c r="I24" s="15">
        <f t="shared" si="0"/>
        <v>64800</v>
      </c>
      <c r="J24" s="12" t="s">
        <v>144</v>
      </c>
      <c r="K24" s="9" t="s">
        <v>199</v>
      </c>
      <c r="S24" s="45"/>
      <c r="U24" s="42"/>
      <c r="V24" s="1"/>
      <c r="W24" s="1"/>
      <c r="X24" s="47"/>
    </row>
    <row r="25" spans="1:24" ht="30" x14ac:dyDescent="0.25">
      <c r="A25" s="41">
        <v>21</v>
      </c>
      <c r="B25" s="39" t="s">
        <v>36</v>
      </c>
      <c r="C25" s="28" t="s">
        <v>9</v>
      </c>
      <c r="D25" s="36" t="s">
        <v>10</v>
      </c>
      <c r="E25" s="32" t="s">
        <v>89</v>
      </c>
      <c r="F25" s="25" t="s">
        <v>11</v>
      </c>
      <c r="G25" s="21">
        <v>180</v>
      </c>
      <c r="H25" s="2">
        <v>950</v>
      </c>
      <c r="I25" s="15">
        <f t="shared" si="0"/>
        <v>171000</v>
      </c>
      <c r="J25" s="12" t="s">
        <v>145</v>
      </c>
      <c r="K25" s="9" t="s">
        <v>146</v>
      </c>
      <c r="S25" s="45"/>
      <c r="U25" s="42"/>
      <c r="V25" s="1"/>
      <c r="W25" s="1"/>
      <c r="X25" s="47"/>
    </row>
    <row r="26" spans="1:24" ht="30" x14ac:dyDescent="0.25">
      <c r="A26" s="41">
        <v>22</v>
      </c>
      <c r="B26" s="39" t="s">
        <v>37</v>
      </c>
      <c r="C26" s="28" t="s">
        <v>9</v>
      </c>
      <c r="D26" s="36" t="s">
        <v>10</v>
      </c>
      <c r="E26" s="33" t="s">
        <v>108</v>
      </c>
      <c r="F26" s="25" t="s">
        <v>103</v>
      </c>
      <c r="G26" s="21">
        <v>600</v>
      </c>
      <c r="H26" s="2">
        <v>68</v>
      </c>
      <c r="I26" s="15">
        <f t="shared" si="0"/>
        <v>40800</v>
      </c>
      <c r="J26" s="12" t="s">
        <v>107</v>
      </c>
      <c r="K26" s="9" t="s">
        <v>147</v>
      </c>
      <c r="S26" s="45"/>
      <c r="U26" s="42"/>
      <c r="V26" s="1"/>
      <c r="W26" s="1"/>
      <c r="X26" s="47"/>
    </row>
    <row r="27" spans="1:24" ht="30" x14ac:dyDescent="0.25">
      <c r="A27" s="41">
        <v>23</v>
      </c>
      <c r="B27" s="39" t="s">
        <v>38</v>
      </c>
      <c r="C27" s="28" t="s">
        <v>9</v>
      </c>
      <c r="D27" s="36" t="s">
        <v>10</v>
      </c>
      <c r="E27" s="32" t="s">
        <v>90</v>
      </c>
      <c r="F27" s="25" t="s">
        <v>18</v>
      </c>
      <c r="G27" s="21">
        <v>60</v>
      </c>
      <c r="H27" s="2">
        <v>110</v>
      </c>
      <c r="I27" s="15">
        <f t="shared" si="0"/>
        <v>6600</v>
      </c>
      <c r="J27" s="12" t="s">
        <v>148</v>
      </c>
      <c r="K27" s="9" t="s">
        <v>149</v>
      </c>
      <c r="S27" s="45"/>
      <c r="U27" s="42"/>
      <c r="V27" s="1"/>
      <c r="W27" s="1"/>
      <c r="X27" s="47"/>
    </row>
    <row r="28" spans="1:24" ht="30" x14ac:dyDescent="0.25">
      <c r="A28" s="41">
        <v>24</v>
      </c>
      <c r="B28" s="39" t="s">
        <v>39</v>
      </c>
      <c r="C28" s="28" t="s">
        <v>9</v>
      </c>
      <c r="D28" s="36" t="s">
        <v>10</v>
      </c>
      <c r="E28" s="32" t="s">
        <v>91</v>
      </c>
      <c r="F28" s="25" t="s">
        <v>18</v>
      </c>
      <c r="G28" s="21">
        <v>600</v>
      </c>
      <c r="H28" s="2">
        <v>200</v>
      </c>
      <c r="I28" s="15">
        <f t="shared" si="0"/>
        <v>120000</v>
      </c>
      <c r="J28" s="12" t="s">
        <v>150</v>
      </c>
      <c r="K28" s="9" t="s">
        <v>151</v>
      </c>
      <c r="S28" s="45"/>
      <c r="U28" s="42"/>
      <c r="V28" s="1"/>
      <c r="W28" s="1"/>
      <c r="X28" s="47"/>
    </row>
    <row r="29" spans="1:24" ht="30" x14ac:dyDescent="0.25">
      <c r="A29" s="41">
        <v>25</v>
      </c>
      <c r="B29" s="39" t="s">
        <v>40</v>
      </c>
      <c r="C29" s="28" t="s">
        <v>9</v>
      </c>
      <c r="D29" s="36" t="s">
        <v>10</v>
      </c>
      <c r="E29" s="32" t="s">
        <v>92</v>
      </c>
      <c r="F29" s="25" t="s">
        <v>29</v>
      </c>
      <c r="G29" s="21">
        <v>5</v>
      </c>
      <c r="H29" s="2">
        <v>420</v>
      </c>
      <c r="I29" s="15">
        <f t="shared" si="0"/>
        <v>2100</v>
      </c>
      <c r="J29" s="12" t="s">
        <v>67</v>
      </c>
      <c r="K29" s="9" t="s">
        <v>152</v>
      </c>
      <c r="S29" s="45"/>
      <c r="U29" s="42"/>
      <c r="V29" s="1"/>
      <c r="W29" s="1"/>
      <c r="X29" s="47"/>
    </row>
    <row r="30" spans="1:24" ht="30" x14ac:dyDescent="0.25">
      <c r="A30" s="41">
        <v>26</v>
      </c>
      <c r="B30" s="39" t="s">
        <v>41</v>
      </c>
      <c r="C30" s="28" t="s">
        <v>9</v>
      </c>
      <c r="D30" s="36" t="s">
        <v>10</v>
      </c>
      <c r="E30" s="32" t="s">
        <v>93</v>
      </c>
      <c r="F30" s="25" t="s">
        <v>29</v>
      </c>
      <c r="G30" s="21">
        <v>120</v>
      </c>
      <c r="H30" s="2">
        <v>3300</v>
      </c>
      <c r="I30" s="15">
        <f t="shared" si="0"/>
        <v>396000</v>
      </c>
      <c r="J30" s="12" t="s">
        <v>68</v>
      </c>
      <c r="K30" s="9" t="s">
        <v>153</v>
      </c>
      <c r="S30" s="45"/>
      <c r="U30" s="42"/>
      <c r="V30" s="1"/>
      <c r="W30" s="1"/>
      <c r="X30" s="47"/>
    </row>
    <row r="31" spans="1:24" ht="30" x14ac:dyDescent="0.25">
      <c r="A31" s="41">
        <v>27</v>
      </c>
      <c r="B31" s="39" t="s">
        <v>42</v>
      </c>
      <c r="C31" s="28" t="s">
        <v>9</v>
      </c>
      <c r="D31" s="36" t="s">
        <v>10</v>
      </c>
      <c r="E31" s="32" t="s">
        <v>94</v>
      </c>
      <c r="F31" s="25" t="s">
        <v>29</v>
      </c>
      <c r="G31" s="21">
        <v>120</v>
      </c>
      <c r="H31" s="2">
        <v>2690</v>
      </c>
      <c r="I31" s="15">
        <f t="shared" si="0"/>
        <v>322800</v>
      </c>
      <c r="J31" s="12" t="s">
        <v>69</v>
      </c>
      <c r="K31" s="9" t="s">
        <v>154</v>
      </c>
      <c r="S31" s="45"/>
      <c r="U31" s="42"/>
      <c r="V31" s="1"/>
      <c r="W31" s="1"/>
      <c r="X31" s="47"/>
    </row>
    <row r="32" spans="1:24" ht="30" x14ac:dyDescent="0.25">
      <c r="A32" s="41">
        <v>28</v>
      </c>
      <c r="B32" s="39" t="s">
        <v>43</v>
      </c>
      <c r="C32" s="28" t="s">
        <v>9</v>
      </c>
      <c r="D32" s="36" t="s">
        <v>10</v>
      </c>
      <c r="E32" s="32" t="s">
        <v>95</v>
      </c>
      <c r="F32" s="25" t="s">
        <v>29</v>
      </c>
      <c r="G32" s="21">
        <v>90</v>
      </c>
      <c r="H32" s="2">
        <v>890</v>
      </c>
      <c r="I32" s="15">
        <f t="shared" si="0"/>
        <v>80100</v>
      </c>
      <c r="J32" s="12" t="s">
        <v>70</v>
      </c>
      <c r="K32" s="9" t="s">
        <v>155</v>
      </c>
      <c r="S32" s="45"/>
      <c r="U32" s="42"/>
      <c r="V32" s="1"/>
      <c r="W32" s="1"/>
      <c r="X32" s="47"/>
    </row>
    <row r="33" spans="1:24" ht="30" x14ac:dyDescent="0.25">
      <c r="A33" s="41">
        <v>29</v>
      </c>
      <c r="B33" s="39" t="s">
        <v>44</v>
      </c>
      <c r="C33" s="28" t="s">
        <v>9</v>
      </c>
      <c r="D33" s="36" t="s">
        <v>10</v>
      </c>
      <c r="E33" s="32" t="s">
        <v>96</v>
      </c>
      <c r="F33" s="25" t="s">
        <v>29</v>
      </c>
      <c r="G33" s="21">
        <v>90</v>
      </c>
      <c r="H33" s="2">
        <v>2150</v>
      </c>
      <c r="I33" s="15">
        <f t="shared" si="0"/>
        <v>193500</v>
      </c>
      <c r="J33" s="12" t="s">
        <v>71</v>
      </c>
      <c r="K33" s="9" t="s">
        <v>156</v>
      </c>
      <c r="S33" s="45"/>
      <c r="U33" s="42"/>
      <c r="V33" s="1"/>
      <c r="W33" s="1"/>
      <c r="X33" s="47"/>
    </row>
    <row r="34" spans="1:24" ht="30" x14ac:dyDescent="0.25">
      <c r="A34" s="41">
        <v>30</v>
      </c>
      <c r="B34" s="39" t="s">
        <v>45</v>
      </c>
      <c r="C34" s="28" t="s">
        <v>9</v>
      </c>
      <c r="D34" s="36" t="s">
        <v>10</v>
      </c>
      <c r="E34" s="32" t="s">
        <v>97</v>
      </c>
      <c r="F34" s="25" t="s">
        <v>29</v>
      </c>
      <c r="G34" s="21">
        <v>60</v>
      </c>
      <c r="H34" s="2">
        <v>900</v>
      </c>
      <c r="I34" s="15">
        <f t="shared" si="0"/>
        <v>54000</v>
      </c>
      <c r="J34" s="12" t="s">
        <v>72</v>
      </c>
      <c r="K34" s="9" t="s">
        <v>157</v>
      </c>
      <c r="S34" s="45"/>
      <c r="U34" s="42"/>
      <c r="V34" s="1"/>
      <c r="W34" s="1"/>
      <c r="X34" s="47"/>
    </row>
    <row r="35" spans="1:24" ht="60" x14ac:dyDescent="0.25">
      <c r="A35" s="41">
        <v>31</v>
      </c>
      <c r="B35" s="39" t="s">
        <v>46</v>
      </c>
      <c r="C35" s="28" t="s">
        <v>9</v>
      </c>
      <c r="D35" s="36" t="s">
        <v>10</v>
      </c>
      <c r="E35" s="32" t="s">
        <v>188</v>
      </c>
      <c r="F35" s="25" t="s">
        <v>18</v>
      </c>
      <c r="G35" s="21">
        <v>600</v>
      </c>
      <c r="H35" s="2">
        <v>700</v>
      </c>
      <c r="I35" s="15">
        <f t="shared" si="0"/>
        <v>420000</v>
      </c>
      <c r="J35" s="12" t="s">
        <v>158</v>
      </c>
      <c r="K35" s="9" t="s">
        <v>159</v>
      </c>
      <c r="S35" s="45"/>
      <c r="U35" s="42"/>
      <c r="V35" s="1"/>
      <c r="W35" s="1"/>
      <c r="X35" s="47"/>
    </row>
    <row r="36" spans="1:24" ht="60" x14ac:dyDescent="0.25">
      <c r="A36" s="41">
        <v>32</v>
      </c>
      <c r="B36" s="39" t="s">
        <v>47</v>
      </c>
      <c r="C36" s="28" t="s">
        <v>9</v>
      </c>
      <c r="D36" s="36" t="s">
        <v>10</v>
      </c>
      <c r="E36" s="32" t="s">
        <v>189</v>
      </c>
      <c r="F36" s="25" t="s">
        <v>18</v>
      </c>
      <c r="G36" s="21">
        <v>300</v>
      </c>
      <c r="H36" s="2">
        <v>790</v>
      </c>
      <c r="I36" s="15">
        <f t="shared" si="0"/>
        <v>237000</v>
      </c>
      <c r="J36" s="12" t="s">
        <v>160</v>
      </c>
      <c r="K36" s="9" t="s">
        <v>161</v>
      </c>
      <c r="S36" s="45"/>
      <c r="U36" s="42"/>
      <c r="V36" s="1"/>
      <c r="W36" s="1"/>
      <c r="X36" s="47"/>
    </row>
    <row r="37" spans="1:24" ht="48" x14ac:dyDescent="0.25">
      <c r="A37" s="41">
        <v>33</v>
      </c>
      <c r="B37" s="39" t="s">
        <v>48</v>
      </c>
      <c r="C37" s="28" t="s">
        <v>9</v>
      </c>
      <c r="D37" s="36" t="s">
        <v>10</v>
      </c>
      <c r="E37" s="32" t="s">
        <v>190</v>
      </c>
      <c r="F37" s="25" t="s">
        <v>18</v>
      </c>
      <c r="G37" s="21">
        <v>600</v>
      </c>
      <c r="H37" s="2">
        <v>520</v>
      </c>
      <c r="I37" s="15">
        <f t="shared" si="0"/>
        <v>312000</v>
      </c>
      <c r="J37" s="12" t="s">
        <v>162</v>
      </c>
      <c r="K37" s="9" t="s">
        <v>163</v>
      </c>
      <c r="S37" s="45"/>
      <c r="U37" s="42"/>
      <c r="V37" s="1"/>
      <c r="W37" s="1"/>
      <c r="X37" s="47"/>
    </row>
    <row r="38" spans="1:24" ht="60" x14ac:dyDescent="0.25">
      <c r="A38" s="41">
        <v>34</v>
      </c>
      <c r="B38" s="39" t="s">
        <v>49</v>
      </c>
      <c r="C38" s="28" t="s">
        <v>9</v>
      </c>
      <c r="D38" s="36" t="s">
        <v>10</v>
      </c>
      <c r="E38" s="32" t="s">
        <v>191</v>
      </c>
      <c r="F38" s="25" t="s">
        <v>18</v>
      </c>
      <c r="G38" s="21">
        <v>100</v>
      </c>
      <c r="H38" s="2">
        <v>513</v>
      </c>
      <c r="I38" s="15">
        <f t="shared" si="0"/>
        <v>51300</v>
      </c>
      <c r="J38" s="12" t="s">
        <v>164</v>
      </c>
      <c r="K38" s="9" t="s">
        <v>165</v>
      </c>
      <c r="S38" s="45"/>
      <c r="U38" s="42"/>
      <c r="V38" s="1"/>
      <c r="W38" s="1"/>
      <c r="X38" s="47"/>
    </row>
    <row r="39" spans="1:24" ht="60" x14ac:dyDescent="0.25">
      <c r="A39" s="41">
        <v>35</v>
      </c>
      <c r="B39" s="39" t="s">
        <v>50</v>
      </c>
      <c r="C39" s="28" t="s">
        <v>9</v>
      </c>
      <c r="D39" s="36" t="s">
        <v>10</v>
      </c>
      <c r="E39" s="32" t="s">
        <v>192</v>
      </c>
      <c r="F39" s="25" t="s">
        <v>18</v>
      </c>
      <c r="G39" s="21">
        <v>60</v>
      </c>
      <c r="H39" s="2">
        <v>513</v>
      </c>
      <c r="I39" s="15">
        <f t="shared" si="0"/>
        <v>30780</v>
      </c>
      <c r="J39" s="12" t="s">
        <v>166</v>
      </c>
      <c r="K39" s="9" t="s">
        <v>167</v>
      </c>
      <c r="S39" s="45"/>
      <c r="U39" s="42"/>
      <c r="V39" s="1"/>
      <c r="W39" s="1"/>
      <c r="X39" s="47"/>
    </row>
    <row r="40" spans="1:24" ht="45" x14ac:dyDescent="0.25">
      <c r="A40" s="41">
        <v>36</v>
      </c>
      <c r="B40" s="39" t="s">
        <v>51</v>
      </c>
      <c r="C40" s="28" t="s">
        <v>9</v>
      </c>
      <c r="D40" s="36" t="s">
        <v>10</v>
      </c>
      <c r="E40" s="33" t="s">
        <v>110</v>
      </c>
      <c r="F40" s="25" t="s">
        <v>11</v>
      </c>
      <c r="G40" s="21">
        <v>210</v>
      </c>
      <c r="H40" s="2">
        <v>344.4</v>
      </c>
      <c r="I40" s="15">
        <f t="shared" si="0"/>
        <v>72324</v>
      </c>
      <c r="J40" s="12" t="s">
        <v>109</v>
      </c>
      <c r="K40" s="9" t="s">
        <v>168</v>
      </c>
      <c r="S40" s="45"/>
      <c r="U40" s="42"/>
      <c r="V40" s="1"/>
      <c r="W40" s="1"/>
      <c r="X40" s="47"/>
    </row>
    <row r="41" spans="1:24" ht="45" x14ac:dyDescent="0.25">
      <c r="A41" s="41">
        <v>37</v>
      </c>
      <c r="B41" s="39" t="s">
        <v>52</v>
      </c>
      <c r="C41" s="28" t="s">
        <v>9</v>
      </c>
      <c r="D41" s="36" t="s">
        <v>10</v>
      </c>
      <c r="E41" s="32" t="s">
        <v>98</v>
      </c>
      <c r="F41" s="25" t="s">
        <v>11</v>
      </c>
      <c r="G41" s="21">
        <v>90</v>
      </c>
      <c r="H41" s="2">
        <v>490</v>
      </c>
      <c r="I41" s="15">
        <f t="shared" si="0"/>
        <v>44100</v>
      </c>
      <c r="J41" s="12" t="s">
        <v>169</v>
      </c>
      <c r="K41" s="9" t="s">
        <v>170</v>
      </c>
      <c r="S41" s="45"/>
      <c r="U41" s="42"/>
      <c r="V41" s="1"/>
      <c r="W41" s="1"/>
      <c r="X41" s="47"/>
    </row>
    <row r="42" spans="1:24" ht="45" x14ac:dyDescent="0.25">
      <c r="A42" s="41">
        <v>38</v>
      </c>
      <c r="B42" s="39" t="s">
        <v>53</v>
      </c>
      <c r="C42" s="28" t="s">
        <v>9</v>
      </c>
      <c r="D42" s="36" t="s">
        <v>10</v>
      </c>
      <c r="E42" s="32" t="s">
        <v>99</v>
      </c>
      <c r="F42" s="25" t="s">
        <v>11</v>
      </c>
      <c r="G42" s="21">
        <v>75</v>
      </c>
      <c r="H42" s="2">
        <v>810</v>
      </c>
      <c r="I42" s="15">
        <f t="shared" si="0"/>
        <v>60750</v>
      </c>
      <c r="J42" s="12" t="s">
        <v>171</v>
      </c>
      <c r="K42" s="9" t="s">
        <v>172</v>
      </c>
      <c r="S42" s="45"/>
      <c r="U42" s="42"/>
      <c r="V42" s="1"/>
      <c r="W42" s="1"/>
      <c r="X42" s="47"/>
    </row>
    <row r="43" spans="1:24" ht="24" x14ac:dyDescent="0.25">
      <c r="A43" s="41">
        <v>39</v>
      </c>
      <c r="B43" s="39" t="s">
        <v>54</v>
      </c>
      <c r="C43" s="28" t="s">
        <v>9</v>
      </c>
      <c r="D43" s="36" t="s">
        <v>10</v>
      </c>
      <c r="E43" s="32" t="s">
        <v>55</v>
      </c>
      <c r="F43" s="25" t="s">
        <v>18</v>
      </c>
      <c r="G43" s="21">
        <v>105</v>
      </c>
      <c r="H43" s="2">
        <v>499.87</v>
      </c>
      <c r="I43" s="15">
        <f t="shared" si="0"/>
        <v>52486.35</v>
      </c>
      <c r="J43" s="12" t="s">
        <v>173</v>
      </c>
      <c r="K43" s="9" t="s">
        <v>174</v>
      </c>
      <c r="S43" s="45"/>
      <c r="U43" s="42"/>
      <c r="V43" s="1"/>
      <c r="W43" s="1"/>
      <c r="X43" s="47"/>
    </row>
    <row r="44" spans="1:24" ht="24" x14ac:dyDescent="0.25">
      <c r="A44" s="41">
        <v>40</v>
      </c>
      <c r="B44" s="39" t="s">
        <v>56</v>
      </c>
      <c r="C44" s="28" t="s">
        <v>9</v>
      </c>
      <c r="D44" s="36" t="s">
        <v>10</v>
      </c>
      <c r="E44" s="32" t="s">
        <v>100</v>
      </c>
      <c r="F44" s="25" t="s">
        <v>11</v>
      </c>
      <c r="G44" s="21">
        <v>30</v>
      </c>
      <c r="H44" s="2">
        <v>391.2</v>
      </c>
      <c r="I44" s="15">
        <f t="shared" si="0"/>
        <v>11736</v>
      </c>
      <c r="J44" s="12" t="s">
        <v>175</v>
      </c>
      <c r="K44" s="9" t="s">
        <v>176</v>
      </c>
      <c r="S44" s="45"/>
      <c r="U44" s="42"/>
      <c r="V44" s="1"/>
      <c r="W44" s="1"/>
      <c r="X44" s="47"/>
    </row>
    <row r="45" spans="1:24" ht="48" x14ac:dyDescent="0.25">
      <c r="A45" s="41">
        <v>41</v>
      </c>
      <c r="B45" s="39" t="s">
        <v>57</v>
      </c>
      <c r="C45" s="28" t="s">
        <v>9</v>
      </c>
      <c r="D45" s="36" t="s">
        <v>10</v>
      </c>
      <c r="E45" s="33" t="s">
        <v>112</v>
      </c>
      <c r="F45" s="25" t="s">
        <v>11</v>
      </c>
      <c r="G45" s="21">
        <v>400</v>
      </c>
      <c r="H45" s="2">
        <v>96.18</v>
      </c>
      <c r="I45" s="15">
        <f t="shared" si="0"/>
        <v>38472</v>
      </c>
      <c r="J45" s="12" t="s">
        <v>111</v>
      </c>
      <c r="K45" s="9" t="s">
        <v>177</v>
      </c>
      <c r="S45" s="45"/>
      <c r="U45" s="42"/>
      <c r="V45" s="1"/>
      <c r="W45" s="1"/>
      <c r="X45" s="47"/>
    </row>
    <row r="46" spans="1:24" ht="36" x14ac:dyDescent="0.25">
      <c r="A46" s="41">
        <v>42</v>
      </c>
      <c r="B46" s="39" t="s">
        <v>58</v>
      </c>
      <c r="C46" s="28" t="s">
        <v>9</v>
      </c>
      <c r="D46" s="36" t="s">
        <v>10</v>
      </c>
      <c r="E46" s="32" t="s">
        <v>101</v>
      </c>
      <c r="F46" s="25" t="s">
        <v>11</v>
      </c>
      <c r="G46" s="21">
        <v>360</v>
      </c>
      <c r="H46" s="2">
        <v>73.63</v>
      </c>
      <c r="I46" s="15">
        <f t="shared" si="0"/>
        <v>26506.799999999999</v>
      </c>
      <c r="J46" s="12" t="s">
        <v>178</v>
      </c>
      <c r="K46" s="9" t="s">
        <v>179</v>
      </c>
      <c r="S46" s="45"/>
      <c r="U46" s="42"/>
      <c r="V46" s="1"/>
      <c r="W46" s="1"/>
      <c r="X46" s="47"/>
    </row>
    <row r="47" spans="1:24" ht="36" x14ac:dyDescent="0.25">
      <c r="A47" s="41">
        <v>43</v>
      </c>
      <c r="B47" s="39" t="s">
        <v>59</v>
      </c>
      <c r="C47" s="28" t="s">
        <v>9</v>
      </c>
      <c r="D47" s="36" t="s">
        <v>10</v>
      </c>
      <c r="E47" s="32" t="s">
        <v>102</v>
      </c>
      <c r="F47" s="25" t="s">
        <v>11</v>
      </c>
      <c r="G47" s="21">
        <v>240</v>
      </c>
      <c r="H47" s="2">
        <v>38.4</v>
      </c>
      <c r="I47" s="15">
        <f t="shared" si="0"/>
        <v>9216</v>
      </c>
      <c r="J47" s="12" t="s">
        <v>180</v>
      </c>
      <c r="K47" s="9" t="s">
        <v>181</v>
      </c>
      <c r="S47" s="45"/>
      <c r="U47" s="42"/>
      <c r="V47" s="1"/>
      <c r="W47" s="1"/>
      <c r="X47" s="47"/>
    </row>
    <row r="48" spans="1:24" ht="36.75" thickBot="1" x14ac:dyDescent="0.3">
      <c r="A48" s="49">
        <v>44</v>
      </c>
      <c r="B48" s="40" t="s">
        <v>60</v>
      </c>
      <c r="C48" s="29" t="s">
        <v>9</v>
      </c>
      <c r="D48" s="37" t="s">
        <v>10</v>
      </c>
      <c r="E48" s="34" t="s">
        <v>193</v>
      </c>
      <c r="F48" s="26" t="s">
        <v>11</v>
      </c>
      <c r="G48" s="22">
        <v>1200</v>
      </c>
      <c r="H48" s="16">
        <v>120</v>
      </c>
      <c r="I48" s="17">
        <f t="shared" si="0"/>
        <v>144000</v>
      </c>
      <c r="J48" s="12" t="s">
        <v>182</v>
      </c>
      <c r="K48" s="9" t="s">
        <v>183</v>
      </c>
      <c r="S48" s="45"/>
      <c r="U48" s="42"/>
      <c r="V48" s="1"/>
      <c r="W48" s="1"/>
      <c r="X48" s="47"/>
    </row>
    <row r="49" spans="2:19" ht="15.75" thickBot="1" x14ac:dyDescent="0.3">
      <c r="S49" s="46"/>
    </row>
    <row r="50" spans="2:19" ht="15.75" customHeight="1" thickBot="1" x14ac:dyDescent="0.3">
      <c r="B50" s="54" t="s">
        <v>186</v>
      </c>
      <c r="C50" s="55"/>
      <c r="D50" s="55"/>
      <c r="E50" s="55"/>
      <c r="F50" s="55"/>
      <c r="G50" s="56"/>
      <c r="I50" s="5">
        <f>SUM(I5:I49)</f>
        <v>6031651.1499999994</v>
      </c>
    </row>
    <row r="51" spans="2:19" ht="15.75" thickBot="1" x14ac:dyDescent="0.3">
      <c r="B51" s="57"/>
      <c r="C51" s="58"/>
      <c r="D51" s="58"/>
      <c r="E51" s="58"/>
      <c r="F51" s="58"/>
      <c r="G51" s="59"/>
    </row>
    <row r="52" spans="2:19" ht="15.75" thickBot="1" x14ac:dyDescent="0.3">
      <c r="B52" s="57" t="s">
        <v>194</v>
      </c>
      <c r="C52" s="58"/>
      <c r="D52" s="58"/>
      <c r="E52" s="58"/>
      <c r="F52" s="58"/>
      <c r="G52" s="59"/>
      <c r="I52" s="10">
        <f>SUMPRODUCT(G5:G48*H5:H48)</f>
        <v>6031651.1499999994</v>
      </c>
      <c r="J52" s="11" t="s">
        <v>113</v>
      </c>
    </row>
    <row r="53" spans="2:19" x14ac:dyDescent="0.25">
      <c r="B53" s="57"/>
      <c r="C53" s="58"/>
      <c r="D53" s="58"/>
      <c r="E53" s="58"/>
      <c r="F53" s="58"/>
      <c r="G53" s="59"/>
    </row>
    <row r="54" spans="2:19" x14ac:dyDescent="0.25">
      <c r="B54" s="57"/>
      <c r="C54" s="58"/>
      <c r="D54" s="58"/>
      <c r="E54" s="58"/>
      <c r="F54" s="58"/>
      <c r="G54" s="59"/>
    </row>
    <row r="55" spans="2:19" x14ac:dyDescent="0.25">
      <c r="B55" s="57"/>
      <c r="C55" s="58"/>
      <c r="D55" s="58"/>
      <c r="E55" s="58"/>
      <c r="F55" s="58"/>
      <c r="G55" s="59"/>
    </row>
    <row r="56" spans="2:19" x14ac:dyDescent="0.25">
      <c r="B56" s="57"/>
      <c r="C56" s="58"/>
      <c r="D56" s="58"/>
      <c r="E56" s="58"/>
      <c r="F56" s="58"/>
      <c r="G56" s="59"/>
    </row>
    <row r="57" spans="2:19" x14ac:dyDescent="0.25">
      <c r="B57" s="60"/>
      <c r="C57" s="61"/>
      <c r="D57" s="61"/>
      <c r="E57" s="61"/>
      <c r="F57" s="61"/>
      <c r="G57" s="62"/>
    </row>
    <row r="58" spans="2:19" x14ac:dyDescent="0.25">
      <c r="B58" s="52" t="s">
        <v>62</v>
      </c>
      <c r="C58" s="52"/>
      <c r="D58" s="52"/>
      <c r="E58" s="52"/>
      <c r="F58" s="52"/>
      <c r="G58" s="52"/>
    </row>
    <row r="59" spans="2:19" x14ac:dyDescent="0.25">
      <c r="B59" s="53" t="s">
        <v>185</v>
      </c>
      <c r="C59" s="53"/>
      <c r="D59" s="53"/>
      <c r="E59" s="53"/>
      <c r="F59" s="53"/>
      <c r="G59" s="53"/>
    </row>
  </sheetData>
  <mergeCells count="4">
    <mergeCell ref="B58:G58"/>
    <mergeCell ref="B59:G59"/>
    <mergeCell ref="B50:G51"/>
    <mergeCell ref="B52:G57"/>
  </mergeCells>
  <pageMargins left="0.7" right="0.7" top="0.75" bottom="0.75" header="0.3" footer="0.3"/>
  <pageSetup paperSize="5" scale="4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ítems</vt:lpstr>
      <vt:lpstr>'Control ítems'!Área_de_impresión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2021-06-23T16:29:08Z</cp:lastPrinted>
  <dcterms:created xsi:type="dcterms:W3CDTF">2021-06-22T14:04:20Z</dcterms:created>
  <dcterms:modified xsi:type="dcterms:W3CDTF">2021-08-04T13:44:35Z</dcterms:modified>
</cp:coreProperties>
</file>