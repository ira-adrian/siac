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B0B19D6A-78DF-4C18-A26C-267F0FA87068}" xr6:coauthVersionLast="47" xr6:coauthVersionMax="47" xr10:uidLastSave="{00000000-0000-0000-0000-000000000000}"/>
  <bookViews>
    <workbookView xWindow="-120" yWindow="-120" windowWidth="29040" windowHeight="15840" tabRatio="488" xr2:uid="{00000000-000D-0000-FFFF-FFFF00000000}"/>
  </bookViews>
  <sheets>
    <sheet name="Necesidades Trimestrales" sheetId="1" r:id="rId1"/>
  </sheets>
  <definedNames>
    <definedName name="_xlnm._FilterDatabase" localSheetId="0" hidden="1">'Necesidades Trimestrales'!$A$9:$I$65</definedName>
    <definedName name="_xlnm.Print_Area" localSheetId="0">'Necesidades Trimestrales'!$E$9:$E$65</definedName>
  </definedNames>
  <calcPr calcId="181029"/>
</workbook>
</file>

<file path=xl/calcChain.xml><?xml version="1.0" encoding="utf-8"?>
<calcChain xmlns="http://schemas.openxmlformats.org/spreadsheetml/2006/main">
  <c r="I10" i="1" l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</calcChain>
</file>

<file path=xl/sharedStrings.xml><?xml version="1.0" encoding="utf-8"?>
<sst xmlns="http://schemas.openxmlformats.org/spreadsheetml/2006/main" count="264" uniqueCount="150">
  <si>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</si>
  <si>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</si>
  <si>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</si>
  <si>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</si>
  <si>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</si>
  <si>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</si>
  <si>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</si>
  <si>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</si>
  <si>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</si>
  <si>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</si>
  <si>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</si>
  <si>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</si>
  <si>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</si>
  <si>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</si>
  <si>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024 - Hospital Interzonal de Niños</t>
  </si>
  <si>
    <t>040 - Ministerio de Salud</t>
  </si>
  <si>
    <t xml:space="preserve"> </t>
  </si>
  <si>
    <t>UNIDAD</t>
  </si>
  <si>
    <t>Plazos y lugares de entrega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</si>
  <si>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10 días corridos de notificada la Orden de Compra</t>
    </r>
  </si>
  <si>
    <r>
      <t>Mantenimiento</t>
    </r>
    <r>
      <rPr>
        <sz val="10"/>
        <rFont val="Times New Roman"/>
        <family val="1"/>
      </rPr>
      <t xml:space="preserve">: 45 dias habiles </t>
    </r>
  </si>
  <si>
    <t>2.9.2-261.5</t>
  </si>
  <si>
    <t>LIBRERIA,PAP. Y UTILES OFICINA</t>
  </si>
  <si>
    <t>ABROCHADORAS DE PAPEL; P/BROCHES: 50, TIPO: PINZA, MATERIAL: METALICA, MEDIDA: 50</t>
  </si>
  <si>
    <t>2.9.2-291.3</t>
  </si>
  <si>
    <t>ALMOHADILLAS P/SELLOS; MEDIDA: 8 X 12 Cm, MATERIAL: PLASTICO</t>
  </si>
  <si>
    <t>2.3.1-928.18</t>
  </si>
  <si>
    <t>ARANDELAS DE CARTON; DIAMETRO: 25 mm, PRESENTACION: CAJA X 500, CERTIFICADO FORESTAL (GFS): SIN, PORC. FIBRAS RECICLADAS: 0 %</t>
  </si>
  <si>
    <t>CAJA</t>
  </si>
  <si>
    <t>2.9.2-852.5</t>
  </si>
  <si>
    <t>BROCHES DORADOS; N° PATAS: 2, N°: 10, PRESENTACION: CAJA X 100 UNIDADES, CANTIDAD PATAS: 2, NUMERO: 10</t>
  </si>
  <si>
    <t>2.9.2-700.28</t>
  </si>
  <si>
    <t>BROCHES P/ABROCHADORA; NUMERO: 10/50, PRESENTACION: CAJA X 1000 UNIDADES</t>
  </si>
  <si>
    <t>2.9.2-852.4</t>
  </si>
  <si>
    <t>BROCHES DORADOS; PRESENTACION: CAJA X 100 UNIDADES, N° PATAS: 2, N°: 8, CANTIDAD PATAS: 2, NUMERO: 8</t>
  </si>
  <si>
    <t>2.9.2-852.6</t>
  </si>
  <si>
    <t>BROCHES DORADOS; N°: 12, PRESENTACION: CAJA X 100 UNIDADES, N° PATAS: 2, CANTIDAD PATAS: 2, NUMERO: 12</t>
  </si>
  <si>
    <t>2.9.2-660.10</t>
  </si>
  <si>
    <t>CLIPS P/PAPEL; CANT. X CAJA: 50, NUMERO: 6, MATERIAL: METAL, PRESENTACION: CAJA X 50</t>
  </si>
  <si>
    <t>2.9.2-850.4</t>
  </si>
  <si>
    <t>CAJAS DE ARCHIVO; MATERIAL: PLASTICO CORRUGADO, COLOR: SIN VALOR, DIMENSION: 26 X 36 X 12 Cm</t>
  </si>
  <si>
    <t>2.9.2-1358.379</t>
  </si>
  <si>
    <t>CARPETAS; MATERIAL: CARTON FORRADO C/PLASTICO, TAMAÑO: OFICIO</t>
  </si>
  <si>
    <t>2.9.2-1358.278</t>
  </si>
  <si>
    <t>CARPETAS; MATERIAL: PLASTICO, COLOR: SIN VALOR, TAMAÑO: 27,5 X 31 Cm, TIPO: PORTACARATULA, PRESENTACION: POR UNIDAD, SUJECION: 3 GANCHOS, MEMBRETE: SIN, LENGÜETA: SIN</t>
  </si>
  <si>
    <t>2.9.2-1358.121</t>
  </si>
  <si>
    <t>CARPETAS; MATERIAL: POLIPROPILENO, COLOR: MARRON, TAMAÑO: OFICIO, TIPO: TRES SOLAPAS Y BANDA ELASTICA, PRESENTACION: SIN VALOR, MEMBRETE: SIN, LENGÜETA: SIN, SUJECION: SIN VALOR</t>
  </si>
  <si>
    <t>2.9.2-1358.34</t>
  </si>
  <si>
    <t>CARPETAS; MATERIAL PVC - TAMAÑO OFICIO</t>
  </si>
  <si>
    <t>2.9.2-1358.35</t>
  </si>
  <si>
    <t>CARPETAS; MATERIAL PVC - TAMAÑO A4</t>
  </si>
  <si>
    <t>2.3.1-6563.882</t>
  </si>
  <si>
    <t>PAPELES EN HOJA; TIPO DE PAPEL: CARTULINA, DIMENSION: 45 X 63 Cm, GRAMAJE: 115/125 GR/M2, PRESENTACION: UNIDAD, CERTIFICADO FORESTAL (GFS): SIN, PORC. FIBRAS RECICLADAS: SIN, CERT. FIBRA ALTERNATIVA (FCA): SIN</t>
  </si>
  <si>
    <t>2.9.2-1153.239</t>
  </si>
  <si>
    <t>CINTAS ADHESIVAS; TIPO: P/EMBALAR, ANCHO: 48 mm, LARGO: 40 M, MATERIAL: POLIPROPILENO, ACCESORIO: SIN</t>
  </si>
  <si>
    <t>2.9.2-1153.241</t>
  </si>
  <si>
    <t>CINTAS ADHESIVAS; TIPO: TRANSPARENTE, ANCHO: 12 mm, LARGO: 30 M, MATERIAL: POLIPROPILENO, ACCESORIO: SIN</t>
  </si>
  <si>
    <t>2.3.1-6587.292</t>
  </si>
  <si>
    <t>PAPELES ENCUADERNADOS; CANT. DE HOJAS: 196, TAMAÑO: 21 X 16 Cm, TIPO: CUADERNO, CERTIFICADO FORESTAL (GFS): SIN, PORC. FIBRAS RECICLADAS: 0 %, CERT. FIBRA ALTERNATIVA (FCA): SIN</t>
  </si>
  <si>
    <t>2.3.1-6587.283</t>
  </si>
  <si>
    <t>PAPELES ENCUADERNADOS; CANT. DE HOJAS: 84, TAMAÑO: 21 X 16 Cm, TIPO: CUADERNO, CERTIFICADO FORESTAL (GFS): SIN, PORC. FIBRAS RECICLADAS: 0 %, CERT. FIBRA ALTERNATIVA (FCA): SIN</t>
  </si>
  <si>
    <t>2.9.2-1611.18</t>
  </si>
  <si>
    <t>FOLIOS TRANSPARENTES; TAMAÑO: OFICIO, PERFORACIONES: 5, MATERIAL: PLASTICO (POLIETILENO)</t>
  </si>
  <si>
    <t>2.9.2-1611.19</t>
  </si>
  <si>
    <t>FOLIOS TRANSPARENTES; TAMAÑO: A4, PERFORACIONES: 5, MATERIAL: PLASTICO (POLIETILENO)</t>
  </si>
  <si>
    <t>2.9.2-661.50</t>
  </si>
  <si>
    <t>GOMAS DE BORRAR; USO: LAPIZ, DIMENSION: 1 X 1 X 5 Cm, MATERIAL: CAUCHO, PRESENTACION: CAJA X 36</t>
  </si>
  <si>
    <t>2.9.2-262.65</t>
  </si>
  <si>
    <t>ADHESIVOS P/PAPEL; PRESENTACION: ENVASE X 100 GR, TIPO: COLA VINILICA</t>
  </si>
  <si>
    <t>2.9.2-317.31</t>
  </si>
  <si>
    <t>BOLIGRAFOS; TRAZO: MEDIO</t>
  </si>
  <si>
    <t>2.9.2-848.20</t>
  </si>
  <si>
    <t>LAPIZ; TIPO: 2HB, COLOR: NEGRO</t>
  </si>
  <si>
    <t>2.9.2-3283.2</t>
  </si>
  <si>
    <t>JUEGO DE LAPICES; TIPO: SIN VALOR, COLOR: COLORES, PRESENTACION: CAJA X 6 UN</t>
  </si>
  <si>
    <t>2.3.1-6587.361</t>
  </si>
  <si>
    <t>PAPELES ENCUADERNADOS; CANT. DE HOJAS: 200, TAMAÑO: 22,5 X 34,5 Cm, TIPO: LIBRO DE ACTAS, CERTIFICADO FORESTAL (GFS): SIN, PORC. FIBRAS RECICLADAS: 0 %, CERT. FIBRA ALTERNATIVA (FCA): SIN</t>
  </si>
  <si>
    <t>2.3.1-6587.293</t>
  </si>
  <si>
    <t>PAPELES ENCUADERNADOS; CANT. DE HOJAS: 100 HOJAS, TAMAÑO: 34,5 X 22,5 Cm, TIPO: LIBRO INDICE, CERTIFICADO FORESTAL (GFS): CON, PORC. FIBRAS RECICLADAS: 0 %, CERT. FIBRA ALTERNATIVA (FCA): SIN</t>
  </si>
  <si>
    <t>2.3.1-6563.938</t>
  </si>
  <si>
    <t>PAPELES EN HOJA; TIPO DE PAPEL: P/FORRAR, DIMENSION: 48 X 80 Cm, GRAMAJE: NO CORRESPONDE, PRESENTACION: UNIDAD, CERTIFICADO FORESTAL (GFS): SIN, PORC. FIBRAS RECICLADAS: 0 %, CERT. FIBRA ALTERNATIVA (FCA): SIN</t>
  </si>
  <si>
    <t>2.3.1-6563.1027</t>
  </si>
  <si>
    <t>PAPELES EN HOJA; TIPO DE PAPEL: CARTULINA, DIMENSION: 45 X 63 Cm, GRAMAJE: 115/130 GR/M2, PRESENTACION: UNIDAD, CERTIFICADO FORESTAL (GFS): SIN, PORC. FIBRAS RECICLADAS: 0 %, CERT. FIBRA ALTERNATIVA (FCA): SIN</t>
  </si>
  <si>
    <t>2.9.2-323.4</t>
  </si>
  <si>
    <t>CORRECTORES DE ESCRITURA; CAPACIDAD: 7 mL, ENVASE: LAPIZ (PUNTA METAL), PRESENTACION: LAPIZ (PUNTA METAL) X 7 mL</t>
  </si>
  <si>
    <t>2.9.2-1616.147</t>
  </si>
  <si>
    <t>MARCADORES; TIPO P/PIZARRA - TRAZO FINO - PUNTA REDONDA - RECARGABLE NO</t>
  </si>
  <si>
    <t>2.9.2-1616.117</t>
  </si>
  <si>
    <t>MARCADORES; TIPO: AL ALCOHOL, TRAZO: 5 mm, PUNTA: BISELADA, COLOR: NEGRO, RECARGABLE: NO</t>
  </si>
  <si>
    <t>2.9.2-1616.142</t>
  </si>
  <si>
    <t>MARCADORES; TIPO: AL AGUA, TRAZO: GRUESO, PUNTA: BISELADA, COLOR: SIN VALOR, RECARGABLE: NO</t>
  </si>
  <si>
    <t>2.3.1-6563.109</t>
  </si>
  <si>
    <t>PAPELES EN HOJA; TIPO PAPEL: PAPEL CARBONICO, DIMENSION: OFICIO, GRAMAJE: SIN VALOR, PRESENTACION: CAJA X 100 HOJAS, TIPO DE PAPEL: PAPEL CARBONICO</t>
  </si>
  <si>
    <t>2.3.1-6563.1068</t>
  </si>
  <si>
    <t>PAPELES EN HOJA; TIPO DE PAPEL: AFICHE, DIMENSION: 70 X 100 Cm, GRAMAJE: 65 GR/M2, PRESENTACION: UNIDAD, CERTIFICADO FORESTAL (GFS): SIN, PORC. FIBRAS RECICLADAS: 0 %, CERT. FIBRA ALTERNATIVA (FCA): SIN</t>
  </si>
  <si>
    <t>2.3.1-6563.131</t>
  </si>
  <si>
    <t>PAPELES EN HOJA; TIPO PAPEL: PAPEL OBRA, DIMENSION: 21,59 X 35,56 Cm, GRAMAJE: 80 GR/M2, PRESENTACION: RESMA X 500 HOJAS, TIPO DE PAPEL: PAPEL OBRA</t>
  </si>
  <si>
    <t>RESMA</t>
  </si>
  <si>
    <t>2.3.1-6563.307</t>
  </si>
  <si>
    <t>PAPELES EN HOJA; TIPO PAPEL: PAPEL OBRA, DIMENSION: 21 X 29,7 Cm, GRAMAJE: 75 GR, PRESENTACION: RESMA X 500, TIPO DE PAPEL: PAPEL OBRA</t>
  </si>
  <si>
    <t>2.9.2-858.7</t>
  </si>
  <si>
    <t>PERFORADORAS; DIST. ENTRE AGUJ.: FIJO, N° PERFORACIONES: 2, MATERIAL ESTRUCTURA: FUNDICION HIERRO BASE MADERA, GUIA POSICION PAPEL: CON, TAMAÑO: GRANDE, MATERIAL: FUNDICION HIERRO BASE MADERA</t>
  </si>
  <si>
    <t>2.9.2-5600.2</t>
  </si>
  <si>
    <t>MASAS P/MODELAR; PRESENTACION: UNIDAD, C0LOR: SURTIDO, TIPO: PLASTILINA</t>
  </si>
  <si>
    <t>2.9.2-674.10</t>
  </si>
  <si>
    <t>REGLAS GRADUADAS; TIPO: PLANA, MATERIAL: PLASTICO, LONG.DE CUERPO: 40 Cm</t>
  </si>
  <si>
    <t>2.9.2-1354.21</t>
  </si>
  <si>
    <t>RESALTADORES; PUNTA: BISELADA, ACCESORIO: SIN, COLOR: SIN VALOR, TIPO PUNTA: BISELADA</t>
  </si>
  <si>
    <t>2.9.2-758.18</t>
  </si>
  <si>
    <t>TIJERAS P/CORTAR PAPELES; LONG.DE CUERPO: 17 Cm, MATERIAL: ACERO INOXIDABLE, CUCHILLA: REDONDEADAS, MANGO: PLASTICO</t>
  </si>
  <si>
    <t>2.9.2-1062.12</t>
  </si>
  <si>
    <t>PAPELES ANOTADOR AUTOADHESIVOS; PRESENTACION: 100 HOJAS, LARGO X ANCHO: 76 X 76 mm</t>
  </si>
  <si>
    <t>2.3.1-6590.422</t>
  </si>
  <si>
    <t>SOBRES DE PAPEL; TIPO: BOLSA EN PAPEL MANILA, TAMAÑO: 27 X 37 Cm, GRAMAJE: 80 GR/CM2, PRESENTACION: PAQUETE X 250, CERTIFICADO FORESTAL (GFS): SIN</t>
  </si>
  <si>
    <t>PAQUETE</t>
  </si>
  <si>
    <t>2.3.1-6590.524</t>
  </si>
  <si>
    <t>SOBRES DE PAPEL; TIPO: BOLSA DE PAPEL MANILA, TAMAÑO: 20,5 X 28 Cm, GRAMAJE: 80 GR/M2, PRESENTACION: UNIDAD, CERTIFICADO FORESTAL (GFS): SIN, PORC. FIBRAS RECICLADAS: 0 %, CERT. FIBRA ALTERNATIVA (FCA): SIN</t>
  </si>
  <si>
    <t>2.9.2-274.3</t>
  </si>
  <si>
    <t>BIBLIORATOS; ANCHO 80mm - ANILLO 2 Y PALANCA - TAMAÑO OFICIO - MATERIAL CARTON</t>
  </si>
  <si>
    <t>2.3.1-6587.313</t>
  </si>
  <si>
    <t>PAPELES ENCUADERNADOS; CANT. DE HOJAS: 48, TAMAÑO: 16 X 21 Cm, TIPO: CUADERNO, CERTIFICADO FORESTAL (GFS): SIN, PORC. FIBRAS RECICLADAS: 0 %, CERT. FIBRA ALTERNATIVA (FCA): SIN</t>
  </si>
  <si>
    <t>2.9.2-1450.30</t>
  </si>
  <si>
    <t>TINTAS P/SELLOS; TIPO DE SELLO: DE GOMA, ENVASE: 60 CM3, COLOR: AZUL, PRESENTACION: ENVASE X 60 CM3</t>
  </si>
  <si>
    <t>2.9.2-1450.27</t>
  </si>
  <si>
    <t>TINTAS P/SELLOS; TIPO DE SELLO: AUTOMATICO, ENVASE: 50 CM3, COLOR: NEGRO, PRESENTACION: ENVASE X 50 CM3</t>
  </si>
  <si>
    <t>2.9.2-6873.7</t>
  </si>
  <si>
    <t>BROCHES PLASTICOS; TIPO: NEPACO, TAMAÑO: Nº 2L, PRESENTACION: CAJA X 50 UN</t>
  </si>
  <si>
    <t>2.9.2-754.15</t>
  </si>
  <si>
    <t>CHINCHES; MATERIAL: METAL, CANTIDAD PATAS: 1, DIAMETRO: 1 Cm, LONG.DE CUERPO: 8 mm, PRESENTACION: CAJA X 50 UN</t>
  </si>
  <si>
    <t>2.9.2-790.11</t>
  </si>
  <si>
    <t>CUTER; TIPO HOJA: MOVIL SECCIONABLE, MATERIAL MANGO: PLASTICO, ANCHO HOJA: 9 mm, TIPO DE HOJA: MOVIL SECCIONABLE, ANCHO DE HOJA: 9 mm</t>
  </si>
  <si>
    <t>Especificidades Item N° 10:</t>
  </si>
  <si>
    <t>Especificidades Item N° 13 Y 14:</t>
  </si>
  <si>
    <t>Especificidades Item N° 15:</t>
  </si>
  <si>
    <t>Especificidades Item N° 18:</t>
  </si>
  <si>
    <t>Especificidades Item N° 24:</t>
  </si>
  <si>
    <t>Especificidades Item N° 25:</t>
  </si>
  <si>
    <t>Especificidades Item N° 26:</t>
  </si>
  <si>
    <r>
      <t>Descripción técnica</t>
    </r>
    <r>
      <rPr>
        <sz val="10"/>
        <rFont val="Times New Roman"/>
        <family val="1"/>
      </rPr>
      <t>: CON DOS GANCHOS</t>
    </r>
  </si>
  <si>
    <r>
      <t>Descripción técnica</t>
    </r>
    <r>
      <rPr>
        <sz val="10"/>
        <rFont val="Times New Roman"/>
        <family val="1"/>
      </rPr>
      <t>: TAPA TRANSPARENTE 1 MM.</t>
    </r>
  </si>
  <si>
    <r>
      <t>Descripción técnica</t>
    </r>
    <r>
      <rPr>
        <sz val="10"/>
        <rFont val="Times New Roman"/>
        <family val="1"/>
      </rPr>
      <t>: COLORES CLAROS</t>
    </r>
  </si>
  <si>
    <r>
      <t>Descripción técnica</t>
    </r>
    <r>
      <rPr>
        <sz val="10"/>
        <rFont val="Times New Roman"/>
        <family val="1"/>
      </rPr>
      <t>: TAPA DURA</t>
    </r>
  </si>
  <si>
    <r>
      <t>Descripción técnica</t>
    </r>
    <r>
      <rPr>
        <sz val="10"/>
        <rFont val="Times New Roman"/>
        <family val="1"/>
      </rPr>
      <t>: COLOR AZUL TIPO BIROME</t>
    </r>
  </si>
  <si>
    <r>
      <t>Descripción técnica</t>
    </r>
    <r>
      <rPr>
        <sz val="10"/>
        <rFont val="Times New Roman"/>
        <family val="1"/>
      </rPr>
      <t>: COLOR NEGRO TIPO BIROME</t>
    </r>
  </si>
  <si>
    <r>
      <t>Descripción técnica</t>
    </r>
    <r>
      <rPr>
        <sz val="10"/>
        <rFont val="Times New Roman"/>
        <family val="1"/>
      </rPr>
      <t>: COLOR VERDE TIPO BIROME</t>
    </r>
  </si>
  <si>
    <r>
      <t>Descripción técnica</t>
    </r>
    <r>
      <rPr>
        <sz val="10"/>
        <rFont val="Times New Roman"/>
        <family val="1"/>
      </rPr>
      <t>: COLOR ROJO TIPO BIROME</t>
    </r>
  </si>
  <si>
    <r>
      <t>Descripción técnica</t>
    </r>
    <r>
      <rPr>
        <sz val="10"/>
        <rFont val="Times New Roman"/>
        <family val="1"/>
      </rPr>
      <t>: DISTINTOS COLORES</t>
    </r>
  </si>
  <si>
    <t>Especificidades Item N° 27:</t>
  </si>
  <si>
    <t>Especificidades Item N° 46: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</si>
  <si>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ECONOMATO -HOSPITAL INT. DE NIÑOS – AV. VIRGEN DEL VALLE N° 1050-CATAMARCA DE 8:00 A 12:00HS., DEBIENDO CORRER LOS GASTOS DE FLETES, ACARREO, CARGA, DESCARGA Y SEGURO A CARGO DEL ADJUDICATARIO.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</si>
</sst>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9" formatCode="&quot;$&quot;\ #,##0.00"/>
  </numFmts>
  <fonts count="17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1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8">
    <xf numFmtId="0" fontId="0" fillId="0" borderId="0"/>
    <xf numFmtId="165" fontId="6" fillId="0" borderId="0" applyBorder="0" applyProtection="0"/>
    <xf numFmtId="0" fontId="3" fillId="0" borderId="1" applyProtection="0"/>
    <xf numFmtId="0" fontId="5" fillId="2" borderId="0" applyBorder="0" applyProtection="0"/>
    <xf numFmtId="0" fontId="6" fillId="0" borderId="0"/>
    <xf numFmtId="43" fontId="2" fillId="0" borderId="0" applyFont="0" applyFill="0" applyBorder="0" applyAlignment="0" applyProtection="0"/>
    <xf numFmtId="0" fontId="1" fillId="0" borderId="0"/>
    <xf numFmtId="0" fontId="6" fillId="0" borderId="0"/>
  </cellStyleXfs>
  <cellXfs count="64">
    <xf numFmtId="0" fontId="0" fillId="0" borderId="0" xfId="0"/>
    <xf numFmtId="0" fontId="7" fillId="0" borderId="0" xfId="0" applyFont="1"/>
    <xf numFmtId="0" fontId="10" fillId="0" borderId="0" xfId="0" applyFont="1" applyAlignment="1">
      <alignment horizontal="left" wrapText="1"/>
    </xf>
    <xf numFmtId="0" fontId="10" fillId="0" borderId="0" xfId="0" applyFont="1" applyAlignment="1">
      <alignment horizontal="center" wrapText="1"/>
    </xf>
    <xf numFmtId="0" fontId="14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0" xfId="0" applyFont="1" applyBorder="1"/>
    <xf numFmtId="0" fontId="7" fillId="0" borderId="8" xfId="0" applyFont="1" applyBorder="1"/>
    <xf numFmtId="166" fontId="7" fillId="0" borderId="0" xfId="0" applyNumberFormat="1" applyFont="1"/>
    <xf numFmtId="0" fontId="15" fillId="4" borderId="0" xfId="0" applyFont="1" applyFill="1" applyAlignment="1">
      <alignment horizontal="left" wrapText="1" indent="1"/>
    </xf>
    <xf numFmtId="0" fontId="11" fillId="3" borderId="0" xfId="0" applyFont="1" applyFill="1" applyAlignment="1">
      <alignment horizontal="left" wrapText="1"/>
    </xf>
    <xf numFmtId="167" fontId="7" fillId="0" borderId="0" xfId="0" applyNumberFormat="1" applyFont="1"/>
    <xf numFmtId="169" fontId="12" fillId="0" borderId="0" xfId="0" applyNumberFormat="1" applyFont="1"/>
    <xf numFmtId="169" fontId="13" fillId="0" borderId="0" xfId="0" applyNumberFormat="1" applyFont="1" applyAlignment="1">
      <alignment horizontal="left" wrapText="1"/>
    </xf>
    <xf numFmtId="166" fontId="12" fillId="4" borderId="15" xfId="1" applyNumberFormat="1" applyFont="1" applyFill="1" applyBorder="1" applyAlignment="1" applyProtection="1">
      <alignment horizontal="right" vertical="center" wrapText="1"/>
    </xf>
    <xf numFmtId="0" fontId="11" fillId="0" borderId="12" xfId="0" applyFont="1" applyBorder="1" applyAlignment="1">
      <alignment horizontal="center" vertical="center" wrapText="1"/>
    </xf>
    <xf numFmtId="169" fontId="16" fillId="0" borderId="12" xfId="0" applyNumberFormat="1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166" fontId="12" fillId="4" borderId="3" xfId="1" applyNumberFormat="1" applyFont="1" applyFill="1" applyBorder="1" applyAlignment="1" applyProtection="1">
      <alignment horizontal="right" vertical="center" wrapText="1"/>
    </xf>
    <xf numFmtId="0" fontId="14" fillId="0" borderId="4" xfId="0" applyFont="1" applyBorder="1" applyAlignment="1">
      <alignment horizontal="left" indent="3"/>
    </xf>
    <xf numFmtId="0" fontId="14" fillId="0" borderId="7" xfId="0" applyFont="1" applyBorder="1" applyAlignment="1"/>
    <xf numFmtId="0" fontId="7" fillId="0" borderId="0" xfId="0" applyFont="1" applyBorder="1" applyAlignment="1">
      <alignment horizontal="center" wrapText="1"/>
    </xf>
    <xf numFmtId="0" fontId="7" fillId="0" borderId="0" xfId="0" applyFont="1" applyFill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0" fillId="0" borderId="2" xfId="0" applyBorder="1" applyAlignment="1">
      <alignment wrapText="1"/>
    </xf>
    <xf numFmtId="0" fontId="13" fillId="0" borderId="2" xfId="0" applyFont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166" fontId="12" fillId="4" borderId="2" xfId="1" applyNumberFormat="1" applyFont="1" applyFill="1" applyBorder="1" applyAlignment="1" applyProtection="1">
      <alignment horizontal="right" vertical="center" wrapText="1"/>
    </xf>
    <xf numFmtId="0" fontId="0" fillId="0" borderId="14" xfId="0" applyBorder="1" applyAlignment="1">
      <alignment wrapText="1"/>
    </xf>
    <xf numFmtId="0" fontId="13" fillId="0" borderId="14" xfId="0" applyFont="1" applyBorder="1" applyAlignment="1">
      <alignment horizontal="center" vertical="center" wrapText="1"/>
    </xf>
    <xf numFmtId="0" fontId="13" fillId="4" borderId="14" xfId="0" applyFont="1" applyFill="1" applyBorder="1" applyAlignment="1">
      <alignment horizontal="center" vertical="center" wrapText="1"/>
    </xf>
    <xf numFmtId="166" fontId="12" fillId="4" borderId="14" xfId="1" applyNumberFormat="1" applyFont="1" applyFill="1" applyBorder="1" applyAlignment="1" applyProtection="1">
      <alignment horizontal="right" vertical="center" wrapText="1"/>
    </xf>
    <xf numFmtId="0" fontId="0" fillId="0" borderId="14" xfId="0" applyBorder="1" applyAlignment="1">
      <alignment vertical="center" wrapText="1"/>
    </xf>
    <xf numFmtId="0" fontId="0" fillId="0" borderId="14" xfId="0" applyBorder="1" applyAlignment="1">
      <alignment vertical="center"/>
    </xf>
    <xf numFmtId="0" fontId="6" fillId="0" borderId="14" xfId="0" applyFont="1" applyBorder="1" applyAlignment="1">
      <alignment wrapText="1"/>
    </xf>
    <xf numFmtId="0" fontId="13" fillId="0" borderId="16" xfId="0" applyFont="1" applyBorder="1" applyAlignment="1">
      <alignment horizontal="center" vertical="center" wrapText="1"/>
    </xf>
    <xf numFmtId="0" fontId="13" fillId="4" borderId="16" xfId="0" applyFont="1" applyFill="1" applyBorder="1" applyAlignment="1">
      <alignment horizontal="center" vertical="center" wrapText="1"/>
    </xf>
    <xf numFmtId="166" fontId="12" fillId="4" borderId="16" xfId="1" applyNumberFormat="1" applyFont="1" applyFill="1" applyBorder="1" applyAlignment="1" applyProtection="1">
      <alignment horizontal="right" vertical="center" wrapText="1"/>
    </xf>
    <xf numFmtId="0" fontId="6" fillId="0" borderId="17" xfId="0" applyFont="1" applyBorder="1" applyAlignment="1">
      <alignment wrapText="1"/>
    </xf>
    <xf numFmtId="0" fontId="13" fillId="0" borderId="17" xfId="0" applyFont="1" applyBorder="1" applyAlignment="1">
      <alignment horizontal="center" vertical="center" wrapText="1"/>
    </xf>
    <xf numFmtId="0" fontId="0" fillId="0" borderId="17" xfId="0" applyBorder="1" applyAlignment="1">
      <alignment wrapText="1"/>
    </xf>
    <xf numFmtId="0" fontId="13" fillId="4" borderId="17" xfId="0" applyFont="1" applyFill="1" applyBorder="1" applyAlignment="1">
      <alignment horizontal="center" vertical="center" wrapText="1"/>
    </xf>
    <xf numFmtId="166" fontId="12" fillId="4" borderId="17" xfId="1" applyNumberFormat="1" applyFont="1" applyFill="1" applyBorder="1" applyAlignment="1" applyProtection="1">
      <alignment horizontal="right" vertical="center" wrapText="1"/>
    </xf>
    <xf numFmtId="166" fontId="12" fillId="4" borderId="18" xfId="1" applyNumberFormat="1" applyFont="1" applyFill="1" applyBorder="1" applyAlignment="1" applyProtection="1">
      <alignment horizontal="right" vertical="center" wrapText="1"/>
    </xf>
    <xf numFmtId="0" fontId="7" fillId="0" borderId="10" xfId="0" applyFont="1" applyBorder="1"/>
    <xf numFmtId="0" fontId="7" fillId="0" borderId="11" xfId="0" applyFont="1" applyBorder="1"/>
    <xf numFmtId="0" fontId="14" fillId="0" borderId="9" xfId="0" applyFont="1" applyBorder="1" applyAlignment="1"/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4" xfId="0" applyFill="1" applyBorder="1" applyAlignment="1">
      <alignment vertical="center"/>
    </xf>
    <xf numFmtId="0" fontId="0" fillId="0" borderId="14" xfId="0" applyFill="1" applyBorder="1" applyAlignment="1">
      <alignment wrapText="1"/>
    </xf>
    <xf numFmtId="0" fontId="13" fillId="0" borderId="14" xfId="0" applyFont="1" applyFill="1" applyBorder="1" applyAlignment="1">
      <alignment horizontal="center" vertical="center" wrapText="1"/>
    </xf>
    <xf numFmtId="166" fontId="12" fillId="0" borderId="14" xfId="1" applyNumberFormat="1" applyFont="1" applyFill="1" applyBorder="1" applyAlignment="1" applyProtection="1">
      <alignment horizontal="right" vertical="center" wrapText="1"/>
    </xf>
    <xf numFmtId="166" fontId="12" fillId="0" borderId="15" xfId="1" applyNumberFormat="1" applyFont="1" applyFill="1" applyBorder="1" applyAlignment="1" applyProtection="1">
      <alignment horizontal="right" vertical="center" wrapText="1"/>
    </xf>
    <xf numFmtId="0" fontId="7" fillId="0" borderId="0" xfId="0" applyFont="1" applyFill="1"/>
    <xf numFmtId="0" fontId="9" fillId="0" borderId="0" xfId="0" applyFont="1" applyBorder="1" applyAlignment="1">
      <alignment horizontal="left" vertical="center" wrapText="1"/>
    </xf>
    <xf numFmtId="0" fontId="7" fillId="4" borderId="7" xfId="4" applyFont="1" applyFill="1" applyBorder="1" applyAlignment="1">
      <alignment horizontal="left" wrapText="1"/>
    </xf>
    <xf numFmtId="0" fontId="7" fillId="4" borderId="0" xfId="4" applyFont="1" applyFill="1" applyBorder="1" applyAlignment="1">
      <alignment horizontal="left" wrapText="1"/>
    </xf>
    <xf numFmtId="0" fontId="7" fillId="4" borderId="8" xfId="4" applyFont="1" applyFill="1" applyBorder="1" applyAlignment="1">
      <alignment horizontal="left" wrapText="1"/>
    </xf>
    <xf numFmtId="0" fontId="8" fillId="0" borderId="0" xfId="0" applyFont="1" applyBorder="1" applyAlignment="1">
      <alignment horizontal="center"/>
    </xf>
    <xf numFmtId="0" fontId="15" fillId="4" borderId="0" xfId="0" applyFont="1" applyFill="1" applyBorder="1" applyAlignment="1">
      <alignment horizontal="left" wrapText="1" indent="1"/>
    </xf>
  </cellXfs>
  <cellStyles count="8">
    <cellStyle name="Encabezado 1" xfId="2" xr:uid="{00000000-0005-0000-0000-000000000000}"/>
    <cellStyle name="Millares 2" xfId="5" xr:uid="{00000000-0005-0000-0000-000001000000}"/>
    <cellStyle name="Moneda" xfId="1" builtinId="4"/>
    <cellStyle name="Neutral 1" xfId="3" xr:uid="{00000000-0005-0000-0000-000004000000}"/>
    <cellStyle name="Normal" xfId="0" builtinId="0"/>
    <cellStyle name="Normal 2 2" xfId="7" xr:uid="{00000000-0005-0000-0000-000006000000}"/>
    <cellStyle name="Normal 2 3" xfId="4" xr:uid="{00000000-0005-0000-0000-000007000000}"/>
    <cellStyle name="Normal 3" xfId="6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2:K98"/>
  <sheetViews>
    <sheetView tabSelected="1" topLeftCell="A42" zoomScale="93" zoomScaleNormal="93" workbookViewId="0">
      <selection activeCell="I12" sqref="I12:I60"/>
    </sheetView>
  </sheetViews>
  <sheetFormatPr baseColWidth="10" defaultColWidth="11" defaultRowHeight="12.75" x14ac:dyDescent="0.2"/>
  <cols>
    <col min="1" max="1" width="6.42578125" style="1" customWidth="1"/>
    <col min="2" max="2" width="11.140625" style="1" customWidth="1"/>
    <col min="3" max="3" width="28.42578125" style="1" customWidth="1"/>
    <col min="4" max="4" width="8.42578125" style="1" customWidth="1"/>
    <col min="5" max="5" width="57.7109375" style="1" customWidth="1"/>
    <col min="6" max="6" width="11" style="1"/>
    <col min="7" max="7" width="10.42578125" style="1" bestFit="1" customWidth="1"/>
    <col min="8" max="8" width="13.85546875" style="14" customWidth="1"/>
    <col min="9" max="9" width="18.5703125" style="1" customWidth="1"/>
    <col min="10" max="11" width="11" style="1"/>
    <col min="12" max="12" width="13.140625" style="1" customWidth="1"/>
    <col min="13" max="16384" width="11" style="1"/>
  </cols>
  <sheetData>
    <row r="2" spans="1:11" ht="27" x14ac:dyDescent="0.35">
      <c r="B2" s="62" t="s">
        <v>0</v>
      </c>
      <c r="C2" s="62"/>
      <c r="D2" s="62"/>
      <c r="E2" s="62"/>
      <c r="F2" s="62"/>
      <c r="G2" s="62"/>
      <c r="H2" s="62"/>
    </row>
    <row r="3" spans="1:11" ht="12" customHeight="1" x14ac:dyDescent="0.2"/>
    <row r="4" spans="1:11" ht="16.5" customHeight="1" x14ac:dyDescent="0.25">
      <c r="A4" s="58" t="s">
        <v>1</v>
      </c>
      <c r="B4" s="58"/>
      <c r="C4" s="63" t="s">
        <v>15</v>
      </c>
      <c r="D4" s="63"/>
      <c r="E4" s="63"/>
      <c r="F4" s="2"/>
      <c r="G4" s="3"/>
      <c r="H4" s="15"/>
    </row>
    <row r="5" spans="1:11" ht="18" customHeight="1" x14ac:dyDescent="0.25">
      <c r="A5" s="58" t="s">
        <v>2</v>
      </c>
      <c r="B5" s="58"/>
      <c r="C5" s="63" t="s">
        <v>14</v>
      </c>
      <c r="D5" s="63"/>
      <c r="E5" s="63"/>
      <c r="F5" s="2"/>
      <c r="G5" s="3" t="s">
        <v>16</v>
      </c>
      <c r="H5" s="15"/>
    </row>
    <row r="6" spans="1:11" ht="16.5" customHeight="1" x14ac:dyDescent="0.25">
      <c r="A6" s="58" t="s">
        <v>3</v>
      </c>
      <c r="B6" s="58"/>
      <c r="C6" s="11">
        <v>2021</v>
      </c>
      <c r="D6" s="12"/>
      <c r="E6" s="12"/>
      <c r="F6" s="2"/>
      <c r="G6" s="3"/>
      <c r="H6" s="15"/>
    </row>
    <row r="7" spans="1:11" ht="16.5" customHeight="1" x14ac:dyDescent="0.25">
      <c r="A7" s="58" t="s">
        <v>4</v>
      </c>
      <c r="B7" s="58"/>
      <c r="C7" s="11">
        <v>3</v>
      </c>
      <c r="D7" s="12"/>
      <c r="E7" s="12"/>
      <c r="F7" s="2"/>
      <c r="G7" s="3"/>
      <c r="H7" s="15"/>
    </row>
    <row r="8" spans="1:11" ht="13.5" thickBot="1" x14ac:dyDescent="0.25">
      <c r="B8" s="2"/>
      <c r="C8" s="3"/>
      <c r="D8" s="2"/>
      <c r="E8" s="2"/>
      <c r="F8" s="2"/>
      <c r="G8" s="3"/>
      <c r="H8" s="15"/>
      <c r="J8" s="13"/>
    </row>
    <row r="9" spans="1:11" ht="36.75" thickBot="1" x14ac:dyDescent="0.25">
      <c r="A9" s="17" t="s">
        <v>5</v>
      </c>
      <c r="B9" s="17" t="s">
        <v>6</v>
      </c>
      <c r="C9" s="17" t="s">
        <v>7</v>
      </c>
      <c r="D9" s="17" t="s">
        <v>8</v>
      </c>
      <c r="E9" s="17" t="s">
        <v>9</v>
      </c>
      <c r="F9" s="17" t="s">
        <v>10</v>
      </c>
      <c r="G9" s="17" t="s">
        <v>11</v>
      </c>
      <c r="H9" s="18" t="s">
        <v>12</v>
      </c>
      <c r="I9" s="17" t="s">
        <v>13</v>
      </c>
    </row>
    <row r="10" spans="1:11" ht="26.25" hidden="1" thickBot="1" x14ac:dyDescent="0.25">
      <c r="A10" s="19">
        <v>1</v>
      </c>
      <c r="B10" s="50" t="s">
        <v>21</v>
      </c>
      <c r="C10" s="26" t="s">
        <v>22</v>
      </c>
      <c r="D10" s="27">
        <v>292</v>
      </c>
      <c r="E10" s="26" t="s">
        <v>23</v>
      </c>
      <c r="F10" s="28" t="s">
        <v>17</v>
      </c>
      <c r="G10" s="28">
        <v>10</v>
      </c>
      <c r="H10" s="29">
        <v>510</v>
      </c>
      <c r="I10" s="20">
        <f>+G10*H10</f>
        <v>5100</v>
      </c>
      <c r="K10" s="10"/>
    </row>
    <row r="11" spans="1:11" ht="26.25" hidden="1" thickBot="1" x14ac:dyDescent="0.25">
      <c r="A11" s="19">
        <v>2</v>
      </c>
      <c r="B11" s="35" t="s">
        <v>24</v>
      </c>
      <c r="C11" s="30" t="s">
        <v>22</v>
      </c>
      <c r="D11" s="31">
        <v>292</v>
      </c>
      <c r="E11" s="30" t="s">
        <v>25</v>
      </c>
      <c r="F11" s="32" t="s">
        <v>17</v>
      </c>
      <c r="G11" s="32">
        <v>10</v>
      </c>
      <c r="H11" s="33">
        <v>325</v>
      </c>
      <c r="I11" s="16">
        <f t="shared" ref="I11:I65" si="0">+G11*H11</f>
        <v>3250</v>
      </c>
      <c r="K11" s="10"/>
    </row>
    <row r="12" spans="1:11" ht="39" thickBot="1" x14ac:dyDescent="0.25">
      <c r="A12" s="19">
        <v>3</v>
      </c>
      <c r="B12" s="35" t="s">
        <v>26</v>
      </c>
      <c r="C12" s="30" t="s">
        <v>22</v>
      </c>
      <c r="D12" s="31">
        <v>231</v>
      </c>
      <c r="E12" s="30" t="s">
        <v>27</v>
      </c>
      <c r="F12" s="32" t="s">
        <v>28</v>
      </c>
      <c r="G12" s="32">
        <v>60</v>
      </c>
      <c r="H12" s="33">
        <v>155</v>
      </c>
      <c r="I12" s="16">
        <f t="shared" si="0"/>
        <v>9300</v>
      </c>
      <c r="K12" s="10"/>
    </row>
    <row r="13" spans="1:11" ht="26.25" hidden="1" thickBot="1" x14ac:dyDescent="0.25">
      <c r="A13" s="19">
        <v>4</v>
      </c>
      <c r="B13" s="35" t="s">
        <v>29</v>
      </c>
      <c r="C13" s="30" t="s">
        <v>22</v>
      </c>
      <c r="D13" s="31">
        <v>292</v>
      </c>
      <c r="E13" s="30" t="s">
        <v>30</v>
      </c>
      <c r="F13" s="32" t="s">
        <v>28</v>
      </c>
      <c r="G13" s="32">
        <v>80</v>
      </c>
      <c r="H13" s="33">
        <v>121</v>
      </c>
      <c r="I13" s="16">
        <f t="shared" si="0"/>
        <v>9680</v>
      </c>
    </row>
    <row r="14" spans="1:11" ht="26.25" hidden="1" thickBot="1" x14ac:dyDescent="0.25">
      <c r="A14" s="19">
        <v>5</v>
      </c>
      <c r="B14" s="35" t="s">
        <v>31</v>
      </c>
      <c r="C14" s="30" t="s">
        <v>22</v>
      </c>
      <c r="D14" s="31">
        <v>292</v>
      </c>
      <c r="E14" s="30" t="s">
        <v>32</v>
      </c>
      <c r="F14" s="32" t="s">
        <v>28</v>
      </c>
      <c r="G14" s="32">
        <v>100</v>
      </c>
      <c r="H14" s="33">
        <v>145</v>
      </c>
      <c r="I14" s="16">
        <f t="shared" si="0"/>
        <v>14500</v>
      </c>
    </row>
    <row r="15" spans="1:11" ht="39" hidden="1" thickBot="1" x14ac:dyDescent="0.25">
      <c r="A15" s="19">
        <v>6</v>
      </c>
      <c r="B15" s="35" t="s">
        <v>33</v>
      </c>
      <c r="C15" s="30" t="s">
        <v>22</v>
      </c>
      <c r="D15" s="31">
        <v>292</v>
      </c>
      <c r="E15" s="30" t="s">
        <v>34</v>
      </c>
      <c r="F15" s="32" t="s">
        <v>28</v>
      </c>
      <c r="G15" s="32">
        <v>100</v>
      </c>
      <c r="H15" s="33">
        <v>99</v>
      </c>
      <c r="I15" s="16">
        <f t="shared" si="0"/>
        <v>9900</v>
      </c>
    </row>
    <row r="16" spans="1:11" ht="26.25" hidden="1" thickBot="1" x14ac:dyDescent="0.25">
      <c r="A16" s="19">
        <v>7</v>
      </c>
      <c r="B16" s="35" t="s">
        <v>35</v>
      </c>
      <c r="C16" s="30" t="s">
        <v>22</v>
      </c>
      <c r="D16" s="31">
        <v>292</v>
      </c>
      <c r="E16" s="30" t="s">
        <v>36</v>
      </c>
      <c r="F16" s="32" t="s">
        <v>28</v>
      </c>
      <c r="G16" s="32">
        <v>100</v>
      </c>
      <c r="H16" s="33">
        <v>195</v>
      </c>
      <c r="I16" s="16">
        <f t="shared" si="0"/>
        <v>19500</v>
      </c>
    </row>
    <row r="17" spans="1:11" ht="26.25" hidden="1" thickBot="1" x14ac:dyDescent="0.25">
      <c r="A17" s="19">
        <v>8</v>
      </c>
      <c r="B17" s="35" t="s">
        <v>37</v>
      </c>
      <c r="C17" s="30" t="s">
        <v>22</v>
      </c>
      <c r="D17" s="31">
        <v>292</v>
      </c>
      <c r="E17" s="30" t="s">
        <v>38</v>
      </c>
      <c r="F17" s="32" t="s">
        <v>28</v>
      </c>
      <c r="G17" s="32">
        <v>80</v>
      </c>
      <c r="H17" s="33">
        <v>42</v>
      </c>
      <c r="I17" s="16">
        <f t="shared" si="0"/>
        <v>3360</v>
      </c>
    </row>
    <row r="18" spans="1:11" ht="26.25" hidden="1" thickBot="1" x14ac:dyDescent="0.25">
      <c r="A18" s="19">
        <v>9</v>
      </c>
      <c r="B18" s="35" t="s">
        <v>39</v>
      </c>
      <c r="C18" s="30" t="s">
        <v>22</v>
      </c>
      <c r="D18" s="31">
        <v>292</v>
      </c>
      <c r="E18" s="30" t="s">
        <v>40</v>
      </c>
      <c r="F18" s="32" t="s">
        <v>17</v>
      </c>
      <c r="G18" s="32">
        <v>30</v>
      </c>
      <c r="H18" s="33">
        <v>120</v>
      </c>
      <c r="I18" s="16">
        <f t="shared" si="0"/>
        <v>3600</v>
      </c>
    </row>
    <row r="19" spans="1:11" ht="26.25" hidden="1" thickBot="1" x14ac:dyDescent="0.25">
      <c r="A19" s="19">
        <v>10</v>
      </c>
      <c r="B19" s="35" t="s">
        <v>41</v>
      </c>
      <c r="C19" s="30" t="s">
        <v>22</v>
      </c>
      <c r="D19" s="31">
        <v>292</v>
      </c>
      <c r="E19" s="34" t="s">
        <v>42</v>
      </c>
      <c r="F19" s="32" t="s">
        <v>17</v>
      </c>
      <c r="G19" s="32">
        <v>60</v>
      </c>
      <c r="H19" s="33">
        <v>95</v>
      </c>
      <c r="I19" s="16">
        <f t="shared" si="0"/>
        <v>5700</v>
      </c>
    </row>
    <row r="20" spans="1:11" ht="51.75" hidden="1" thickBot="1" x14ac:dyDescent="0.25">
      <c r="A20" s="19">
        <v>11</v>
      </c>
      <c r="B20" s="35" t="s">
        <v>43</v>
      </c>
      <c r="C20" s="34" t="s">
        <v>22</v>
      </c>
      <c r="D20" s="31">
        <v>292</v>
      </c>
      <c r="E20" s="34" t="s">
        <v>44</v>
      </c>
      <c r="F20" s="32" t="s">
        <v>17</v>
      </c>
      <c r="G20" s="32">
        <v>100</v>
      </c>
      <c r="H20" s="33">
        <v>210</v>
      </c>
      <c r="I20" s="16">
        <f t="shared" si="0"/>
        <v>21000</v>
      </c>
    </row>
    <row r="21" spans="1:11" ht="51.75" hidden="1" thickBot="1" x14ac:dyDescent="0.25">
      <c r="A21" s="19">
        <v>12</v>
      </c>
      <c r="B21" s="49" t="s">
        <v>45</v>
      </c>
      <c r="C21" s="30" t="s">
        <v>22</v>
      </c>
      <c r="D21" s="31">
        <v>292</v>
      </c>
      <c r="E21" s="30" t="s">
        <v>46</v>
      </c>
      <c r="F21" s="32" t="s">
        <v>17</v>
      </c>
      <c r="G21" s="32">
        <v>200</v>
      </c>
      <c r="H21" s="33">
        <v>98</v>
      </c>
      <c r="I21" s="16">
        <f t="shared" si="0"/>
        <v>19600</v>
      </c>
    </row>
    <row r="22" spans="1:11" ht="26.25" hidden="1" thickBot="1" x14ac:dyDescent="0.25">
      <c r="A22" s="19">
        <v>13</v>
      </c>
      <c r="B22" s="35" t="s">
        <v>47</v>
      </c>
      <c r="C22" s="30" t="s">
        <v>22</v>
      </c>
      <c r="D22" s="31">
        <v>292</v>
      </c>
      <c r="E22" s="30" t="s">
        <v>48</v>
      </c>
      <c r="F22" s="32" t="s">
        <v>17</v>
      </c>
      <c r="G22" s="32">
        <v>100</v>
      </c>
      <c r="H22" s="33">
        <v>25</v>
      </c>
      <c r="I22" s="16">
        <f t="shared" si="0"/>
        <v>2500</v>
      </c>
      <c r="K22" s="1" t="s">
        <v>16</v>
      </c>
    </row>
    <row r="23" spans="1:11" ht="26.25" hidden="1" thickBot="1" x14ac:dyDescent="0.25">
      <c r="A23" s="19">
        <v>14</v>
      </c>
      <c r="B23" s="35" t="s">
        <v>49</v>
      </c>
      <c r="C23" s="30" t="s">
        <v>22</v>
      </c>
      <c r="D23" s="31">
        <v>292</v>
      </c>
      <c r="E23" s="30" t="s">
        <v>50</v>
      </c>
      <c r="F23" s="32" t="s">
        <v>17</v>
      </c>
      <c r="G23" s="32">
        <v>100</v>
      </c>
      <c r="H23" s="33">
        <v>20</v>
      </c>
      <c r="I23" s="16">
        <f t="shared" si="0"/>
        <v>2000</v>
      </c>
    </row>
    <row r="24" spans="1:11" ht="64.5" thickBot="1" x14ac:dyDescent="0.25">
      <c r="A24" s="19">
        <v>15</v>
      </c>
      <c r="B24" s="35" t="s">
        <v>51</v>
      </c>
      <c r="C24" s="30" t="s">
        <v>22</v>
      </c>
      <c r="D24" s="31">
        <v>231</v>
      </c>
      <c r="E24" s="30" t="s">
        <v>52</v>
      </c>
      <c r="F24" s="32" t="s">
        <v>17</v>
      </c>
      <c r="G24" s="32">
        <v>200</v>
      </c>
      <c r="H24" s="33">
        <v>20</v>
      </c>
      <c r="I24" s="16">
        <f t="shared" si="0"/>
        <v>4000</v>
      </c>
    </row>
    <row r="25" spans="1:11" ht="26.25" hidden="1" thickBot="1" x14ac:dyDescent="0.25">
      <c r="A25" s="19">
        <v>16</v>
      </c>
      <c r="B25" s="35" t="s">
        <v>53</v>
      </c>
      <c r="C25" s="30" t="s">
        <v>22</v>
      </c>
      <c r="D25" s="31">
        <v>292</v>
      </c>
      <c r="E25" s="30" t="s">
        <v>54</v>
      </c>
      <c r="F25" s="32" t="s">
        <v>17</v>
      </c>
      <c r="G25" s="32">
        <v>30</v>
      </c>
      <c r="H25" s="33">
        <v>75</v>
      </c>
      <c r="I25" s="16">
        <f t="shared" si="0"/>
        <v>2250</v>
      </c>
    </row>
    <row r="26" spans="1:11" ht="26.25" hidden="1" thickBot="1" x14ac:dyDescent="0.25">
      <c r="A26" s="19">
        <v>17</v>
      </c>
      <c r="B26" s="35" t="s">
        <v>55</v>
      </c>
      <c r="C26" s="30" t="s">
        <v>22</v>
      </c>
      <c r="D26" s="31">
        <v>292</v>
      </c>
      <c r="E26" s="30" t="s">
        <v>56</v>
      </c>
      <c r="F26" s="32" t="s">
        <v>17</v>
      </c>
      <c r="G26" s="32">
        <v>50</v>
      </c>
      <c r="H26" s="33">
        <v>45</v>
      </c>
      <c r="I26" s="16">
        <f t="shared" si="0"/>
        <v>2250</v>
      </c>
    </row>
    <row r="27" spans="1:11" ht="51.75" thickBot="1" x14ac:dyDescent="0.25">
      <c r="A27" s="19">
        <v>18</v>
      </c>
      <c r="B27" s="35" t="s">
        <v>57</v>
      </c>
      <c r="C27" s="30" t="s">
        <v>22</v>
      </c>
      <c r="D27" s="31">
        <v>231</v>
      </c>
      <c r="E27" s="30" t="s">
        <v>58</v>
      </c>
      <c r="F27" s="32" t="s">
        <v>17</v>
      </c>
      <c r="G27" s="32">
        <v>150</v>
      </c>
      <c r="H27" s="33">
        <v>240</v>
      </c>
      <c r="I27" s="16">
        <f t="shared" si="0"/>
        <v>36000</v>
      </c>
    </row>
    <row r="28" spans="1:11" ht="51.75" thickBot="1" x14ac:dyDescent="0.25">
      <c r="A28" s="19">
        <v>19</v>
      </c>
      <c r="B28" s="49" t="s">
        <v>59</v>
      </c>
      <c r="C28" s="30" t="s">
        <v>22</v>
      </c>
      <c r="D28" s="31">
        <v>231</v>
      </c>
      <c r="E28" s="30" t="s">
        <v>60</v>
      </c>
      <c r="F28" s="32" t="s">
        <v>17</v>
      </c>
      <c r="G28" s="32">
        <v>150</v>
      </c>
      <c r="H28" s="33">
        <v>200</v>
      </c>
      <c r="I28" s="16">
        <f t="shared" si="0"/>
        <v>30000</v>
      </c>
    </row>
    <row r="29" spans="1:11" ht="26.25" hidden="1" thickBot="1" x14ac:dyDescent="0.25">
      <c r="A29" s="19">
        <v>20</v>
      </c>
      <c r="B29" s="35" t="s">
        <v>61</v>
      </c>
      <c r="C29" s="30" t="s">
        <v>22</v>
      </c>
      <c r="D29" s="31">
        <v>292</v>
      </c>
      <c r="E29" s="30" t="s">
        <v>62</v>
      </c>
      <c r="F29" s="32" t="s">
        <v>17</v>
      </c>
      <c r="G29" s="32">
        <v>250</v>
      </c>
      <c r="H29" s="33">
        <v>8</v>
      </c>
      <c r="I29" s="16">
        <f t="shared" si="0"/>
        <v>2000</v>
      </c>
    </row>
    <row r="30" spans="1:11" ht="26.25" hidden="1" thickBot="1" x14ac:dyDescent="0.25">
      <c r="A30" s="19">
        <v>21</v>
      </c>
      <c r="B30" s="35" t="s">
        <v>63</v>
      </c>
      <c r="C30" s="30" t="s">
        <v>22</v>
      </c>
      <c r="D30" s="31">
        <v>292</v>
      </c>
      <c r="E30" s="30" t="s">
        <v>64</v>
      </c>
      <c r="F30" s="32" t="s">
        <v>17</v>
      </c>
      <c r="G30" s="32">
        <v>250</v>
      </c>
      <c r="H30" s="33">
        <v>6</v>
      </c>
      <c r="I30" s="16">
        <f t="shared" si="0"/>
        <v>1500</v>
      </c>
    </row>
    <row r="31" spans="1:11" ht="26.25" hidden="1" thickBot="1" x14ac:dyDescent="0.25">
      <c r="A31" s="19">
        <v>22</v>
      </c>
      <c r="B31" s="35" t="s">
        <v>65</v>
      </c>
      <c r="C31" s="30" t="s">
        <v>22</v>
      </c>
      <c r="D31" s="31">
        <v>292</v>
      </c>
      <c r="E31" s="30" t="s">
        <v>66</v>
      </c>
      <c r="F31" s="32" t="s">
        <v>28</v>
      </c>
      <c r="G31" s="32">
        <v>3</v>
      </c>
      <c r="H31" s="33">
        <v>720</v>
      </c>
      <c r="I31" s="16">
        <f t="shared" si="0"/>
        <v>2160</v>
      </c>
    </row>
    <row r="32" spans="1:11" ht="26.25" hidden="1" thickBot="1" x14ac:dyDescent="0.25">
      <c r="A32" s="19">
        <v>23</v>
      </c>
      <c r="B32" s="35" t="s">
        <v>67</v>
      </c>
      <c r="C32" s="30" t="s">
        <v>22</v>
      </c>
      <c r="D32" s="31">
        <v>292</v>
      </c>
      <c r="E32" s="30" t="s">
        <v>68</v>
      </c>
      <c r="F32" s="32" t="s">
        <v>17</v>
      </c>
      <c r="G32" s="32">
        <v>200</v>
      </c>
      <c r="H32" s="33">
        <v>40</v>
      </c>
      <c r="I32" s="16">
        <f t="shared" si="0"/>
        <v>8000</v>
      </c>
    </row>
    <row r="33" spans="1:9" ht="26.25" hidden="1" thickBot="1" x14ac:dyDescent="0.25">
      <c r="A33" s="19">
        <v>24</v>
      </c>
      <c r="B33" s="35" t="s">
        <v>69</v>
      </c>
      <c r="C33" s="30" t="s">
        <v>22</v>
      </c>
      <c r="D33" s="31">
        <v>292</v>
      </c>
      <c r="E33" s="30" t="s">
        <v>70</v>
      </c>
      <c r="F33" s="32" t="s">
        <v>17</v>
      </c>
      <c r="G33" s="32">
        <v>700</v>
      </c>
      <c r="H33" s="33">
        <v>25</v>
      </c>
      <c r="I33" s="16">
        <f t="shared" si="0"/>
        <v>17500</v>
      </c>
    </row>
    <row r="34" spans="1:9" ht="26.25" hidden="1" thickBot="1" x14ac:dyDescent="0.25">
      <c r="A34" s="19">
        <v>25</v>
      </c>
      <c r="B34" s="35" t="s">
        <v>69</v>
      </c>
      <c r="C34" s="30" t="s">
        <v>22</v>
      </c>
      <c r="D34" s="31">
        <v>292</v>
      </c>
      <c r="E34" s="30" t="s">
        <v>70</v>
      </c>
      <c r="F34" s="32" t="s">
        <v>17</v>
      </c>
      <c r="G34" s="32">
        <v>300</v>
      </c>
      <c r="H34" s="33">
        <v>25</v>
      </c>
      <c r="I34" s="16">
        <f t="shared" si="0"/>
        <v>7500</v>
      </c>
    </row>
    <row r="35" spans="1:9" ht="26.25" hidden="1" thickBot="1" x14ac:dyDescent="0.25">
      <c r="A35" s="19">
        <v>26</v>
      </c>
      <c r="B35" s="35" t="s">
        <v>69</v>
      </c>
      <c r="C35" s="30" t="s">
        <v>22</v>
      </c>
      <c r="D35" s="31">
        <v>292</v>
      </c>
      <c r="E35" s="30" t="s">
        <v>70</v>
      </c>
      <c r="F35" s="32" t="s">
        <v>17</v>
      </c>
      <c r="G35" s="32">
        <v>50</v>
      </c>
      <c r="H35" s="33">
        <v>25</v>
      </c>
      <c r="I35" s="16">
        <f t="shared" si="0"/>
        <v>1250</v>
      </c>
    </row>
    <row r="36" spans="1:9" ht="26.25" hidden="1" thickBot="1" x14ac:dyDescent="0.25">
      <c r="A36" s="19">
        <v>27</v>
      </c>
      <c r="B36" s="35" t="s">
        <v>69</v>
      </c>
      <c r="C36" s="30" t="s">
        <v>22</v>
      </c>
      <c r="D36" s="31">
        <v>292</v>
      </c>
      <c r="E36" s="30" t="s">
        <v>70</v>
      </c>
      <c r="F36" s="32" t="s">
        <v>17</v>
      </c>
      <c r="G36" s="32">
        <v>50</v>
      </c>
      <c r="H36" s="33">
        <v>25</v>
      </c>
      <c r="I36" s="16">
        <f t="shared" si="0"/>
        <v>1250</v>
      </c>
    </row>
    <row r="37" spans="1:9" ht="26.25" hidden="1" thickBot="1" x14ac:dyDescent="0.25">
      <c r="A37" s="19">
        <v>28</v>
      </c>
      <c r="B37" s="35" t="s">
        <v>71</v>
      </c>
      <c r="C37" s="30" t="s">
        <v>22</v>
      </c>
      <c r="D37" s="31">
        <v>292</v>
      </c>
      <c r="E37" s="30" t="s">
        <v>72</v>
      </c>
      <c r="F37" s="32" t="s">
        <v>17</v>
      </c>
      <c r="G37" s="32">
        <v>100</v>
      </c>
      <c r="H37" s="33">
        <v>15</v>
      </c>
      <c r="I37" s="16">
        <f t="shared" si="0"/>
        <v>1500</v>
      </c>
    </row>
    <row r="38" spans="1:9" ht="26.25" hidden="1" thickBot="1" x14ac:dyDescent="0.25">
      <c r="A38" s="19">
        <v>29</v>
      </c>
      <c r="B38" s="35" t="s">
        <v>73</v>
      </c>
      <c r="C38" s="30" t="s">
        <v>22</v>
      </c>
      <c r="D38" s="31">
        <v>292</v>
      </c>
      <c r="E38" s="30" t="s">
        <v>74</v>
      </c>
      <c r="F38" s="32" t="s">
        <v>28</v>
      </c>
      <c r="G38" s="32">
        <v>30</v>
      </c>
      <c r="H38" s="33">
        <v>40</v>
      </c>
      <c r="I38" s="16">
        <f t="shared" si="0"/>
        <v>1200</v>
      </c>
    </row>
    <row r="39" spans="1:9" ht="51.75" thickBot="1" x14ac:dyDescent="0.25">
      <c r="A39" s="19">
        <v>30</v>
      </c>
      <c r="B39" s="35" t="s">
        <v>75</v>
      </c>
      <c r="C39" s="30" t="s">
        <v>22</v>
      </c>
      <c r="D39" s="31">
        <v>231</v>
      </c>
      <c r="E39" s="30" t="s">
        <v>76</v>
      </c>
      <c r="F39" s="32" t="s">
        <v>17</v>
      </c>
      <c r="G39" s="32">
        <v>60</v>
      </c>
      <c r="H39" s="33">
        <v>290</v>
      </c>
      <c r="I39" s="16">
        <f t="shared" si="0"/>
        <v>17400</v>
      </c>
    </row>
    <row r="40" spans="1:9" ht="51.75" thickBot="1" x14ac:dyDescent="0.25">
      <c r="A40" s="19">
        <v>31</v>
      </c>
      <c r="B40" s="35" t="s">
        <v>77</v>
      </c>
      <c r="C40" s="30" t="s">
        <v>22</v>
      </c>
      <c r="D40" s="31">
        <v>231</v>
      </c>
      <c r="E40" s="30" t="s">
        <v>78</v>
      </c>
      <c r="F40" s="32" t="s">
        <v>17</v>
      </c>
      <c r="G40" s="32">
        <v>5</v>
      </c>
      <c r="H40" s="33">
        <v>550</v>
      </c>
      <c r="I40" s="16">
        <f t="shared" si="0"/>
        <v>2750</v>
      </c>
    </row>
    <row r="41" spans="1:9" s="57" customFormat="1" ht="51.75" thickBot="1" x14ac:dyDescent="0.25">
      <c r="A41" s="19">
        <v>32</v>
      </c>
      <c r="B41" s="52" t="s">
        <v>79</v>
      </c>
      <c r="C41" s="53" t="s">
        <v>22</v>
      </c>
      <c r="D41" s="54">
        <v>231</v>
      </c>
      <c r="E41" s="53" t="s">
        <v>80</v>
      </c>
      <c r="F41" s="54" t="s">
        <v>17</v>
      </c>
      <c r="G41" s="54">
        <v>100</v>
      </c>
      <c r="H41" s="55">
        <v>45</v>
      </c>
      <c r="I41" s="56">
        <f t="shared" si="0"/>
        <v>4500</v>
      </c>
    </row>
    <row r="42" spans="1:9" ht="64.5" thickBot="1" x14ac:dyDescent="0.25">
      <c r="A42" s="19">
        <v>33</v>
      </c>
      <c r="B42" s="49" t="s">
        <v>81</v>
      </c>
      <c r="C42" s="30" t="s">
        <v>22</v>
      </c>
      <c r="D42" s="31">
        <v>231</v>
      </c>
      <c r="E42" s="30" t="s">
        <v>82</v>
      </c>
      <c r="F42" s="32" t="s">
        <v>17</v>
      </c>
      <c r="G42" s="32">
        <v>150</v>
      </c>
      <c r="H42" s="33">
        <v>30</v>
      </c>
      <c r="I42" s="16">
        <f t="shared" si="0"/>
        <v>4500</v>
      </c>
    </row>
    <row r="43" spans="1:9" ht="39" hidden="1" thickBot="1" x14ac:dyDescent="0.25">
      <c r="A43" s="19">
        <v>34</v>
      </c>
      <c r="B43" s="35" t="s">
        <v>83</v>
      </c>
      <c r="C43" s="30" t="s">
        <v>22</v>
      </c>
      <c r="D43" s="31">
        <v>292</v>
      </c>
      <c r="E43" s="30" t="s">
        <v>84</v>
      </c>
      <c r="F43" s="32" t="s">
        <v>17</v>
      </c>
      <c r="G43" s="32">
        <v>200</v>
      </c>
      <c r="H43" s="33">
        <v>45</v>
      </c>
      <c r="I43" s="16">
        <f t="shared" si="0"/>
        <v>9000</v>
      </c>
    </row>
    <row r="44" spans="1:9" ht="26.25" hidden="1" thickBot="1" x14ac:dyDescent="0.25">
      <c r="A44" s="19">
        <v>35</v>
      </c>
      <c r="B44" s="35" t="s">
        <v>85</v>
      </c>
      <c r="C44" s="30" t="s">
        <v>22</v>
      </c>
      <c r="D44" s="31">
        <v>292</v>
      </c>
      <c r="E44" s="30" t="s">
        <v>86</v>
      </c>
      <c r="F44" s="32" t="s">
        <v>17</v>
      </c>
      <c r="G44" s="32">
        <v>250</v>
      </c>
      <c r="H44" s="33">
        <v>55</v>
      </c>
      <c r="I44" s="16">
        <f t="shared" si="0"/>
        <v>13750</v>
      </c>
    </row>
    <row r="45" spans="1:9" ht="26.25" hidden="1" thickBot="1" x14ac:dyDescent="0.25">
      <c r="A45" s="19">
        <v>36</v>
      </c>
      <c r="B45" s="35" t="s">
        <v>87</v>
      </c>
      <c r="C45" s="30" t="s">
        <v>22</v>
      </c>
      <c r="D45" s="31">
        <v>292</v>
      </c>
      <c r="E45" s="30" t="s">
        <v>88</v>
      </c>
      <c r="F45" s="32" t="s">
        <v>17</v>
      </c>
      <c r="G45" s="32">
        <v>250</v>
      </c>
      <c r="H45" s="33">
        <v>72</v>
      </c>
      <c r="I45" s="16">
        <f t="shared" si="0"/>
        <v>18000</v>
      </c>
    </row>
    <row r="46" spans="1:9" ht="26.25" hidden="1" thickBot="1" x14ac:dyDescent="0.25">
      <c r="A46" s="19">
        <v>37</v>
      </c>
      <c r="B46" s="35" t="s">
        <v>89</v>
      </c>
      <c r="C46" s="30" t="s">
        <v>22</v>
      </c>
      <c r="D46" s="31">
        <v>292</v>
      </c>
      <c r="E46" s="30" t="s">
        <v>90</v>
      </c>
      <c r="F46" s="32" t="s">
        <v>17</v>
      </c>
      <c r="G46" s="32">
        <v>150</v>
      </c>
      <c r="H46" s="33">
        <v>79</v>
      </c>
      <c r="I46" s="16">
        <f t="shared" si="0"/>
        <v>11850</v>
      </c>
    </row>
    <row r="47" spans="1:9" ht="39" thickBot="1" x14ac:dyDescent="0.25">
      <c r="A47" s="19">
        <v>38</v>
      </c>
      <c r="B47" s="35" t="s">
        <v>91</v>
      </c>
      <c r="C47" s="30" t="s">
        <v>22</v>
      </c>
      <c r="D47" s="31">
        <v>231</v>
      </c>
      <c r="E47" s="30" t="s">
        <v>92</v>
      </c>
      <c r="F47" s="32" t="s">
        <v>28</v>
      </c>
      <c r="G47" s="32">
        <v>1</v>
      </c>
      <c r="H47" s="33">
        <v>1950</v>
      </c>
      <c r="I47" s="16">
        <f t="shared" si="0"/>
        <v>1950</v>
      </c>
    </row>
    <row r="48" spans="1:9" ht="51.75" thickBot="1" x14ac:dyDescent="0.25">
      <c r="A48" s="19">
        <v>39</v>
      </c>
      <c r="B48" s="35" t="s">
        <v>93</v>
      </c>
      <c r="C48" s="30" t="s">
        <v>22</v>
      </c>
      <c r="D48" s="31">
        <v>231</v>
      </c>
      <c r="E48" s="30" t="s">
        <v>94</v>
      </c>
      <c r="F48" s="32" t="s">
        <v>17</v>
      </c>
      <c r="G48" s="32">
        <v>200</v>
      </c>
      <c r="H48" s="33">
        <v>20</v>
      </c>
      <c r="I48" s="16">
        <f t="shared" si="0"/>
        <v>4000</v>
      </c>
    </row>
    <row r="49" spans="1:9" ht="39" thickBot="1" x14ac:dyDescent="0.25">
      <c r="A49" s="19">
        <v>40</v>
      </c>
      <c r="B49" s="35" t="s">
        <v>95</v>
      </c>
      <c r="C49" s="30" t="s">
        <v>22</v>
      </c>
      <c r="D49" s="31">
        <v>231</v>
      </c>
      <c r="E49" s="30" t="s">
        <v>96</v>
      </c>
      <c r="F49" s="32" t="s">
        <v>97</v>
      </c>
      <c r="G49" s="32">
        <v>300</v>
      </c>
      <c r="H49" s="33">
        <v>900</v>
      </c>
      <c r="I49" s="16">
        <f t="shared" si="0"/>
        <v>270000</v>
      </c>
    </row>
    <row r="50" spans="1:9" ht="39" thickBot="1" x14ac:dyDescent="0.25">
      <c r="A50" s="19">
        <v>41</v>
      </c>
      <c r="B50" s="35" t="s">
        <v>98</v>
      </c>
      <c r="C50" s="30" t="s">
        <v>22</v>
      </c>
      <c r="D50" s="31">
        <v>231</v>
      </c>
      <c r="E50" s="30" t="s">
        <v>99</v>
      </c>
      <c r="F50" s="32" t="s">
        <v>97</v>
      </c>
      <c r="G50" s="32">
        <v>300</v>
      </c>
      <c r="H50" s="33">
        <v>700</v>
      </c>
      <c r="I50" s="16">
        <f t="shared" si="0"/>
        <v>210000</v>
      </c>
    </row>
    <row r="51" spans="1:9" ht="64.5" hidden="1" thickBot="1" x14ac:dyDescent="0.25">
      <c r="A51" s="19">
        <v>42</v>
      </c>
      <c r="B51" s="35" t="s">
        <v>100</v>
      </c>
      <c r="C51" s="30" t="s">
        <v>22</v>
      </c>
      <c r="D51" s="31">
        <v>292</v>
      </c>
      <c r="E51" s="30" t="s">
        <v>101</v>
      </c>
      <c r="F51" s="32" t="s">
        <v>17</v>
      </c>
      <c r="G51" s="32">
        <v>5</v>
      </c>
      <c r="H51" s="33">
        <v>1200</v>
      </c>
      <c r="I51" s="16">
        <f t="shared" si="0"/>
        <v>6000</v>
      </c>
    </row>
    <row r="52" spans="1:9" ht="26.25" hidden="1" thickBot="1" x14ac:dyDescent="0.25">
      <c r="A52" s="19">
        <v>43</v>
      </c>
      <c r="B52" s="35" t="s">
        <v>102</v>
      </c>
      <c r="C52" s="30" t="s">
        <v>22</v>
      </c>
      <c r="D52" s="31">
        <v>292</v>
      </c>
      <c r="E52" s="30" t="s">
        <v>103</v>
      </c>
      <c r="F52" s="32" t="s">
        <v>17</v>
      </c>
      <c r="G52" s="32">
        <v>50</v>
      </c>
      <c r="H52" s="33">
        <v>20</v>
      </c>
      <c r="I52" s="16">
        <f t="shared" si="0"/>
        <v>1000</v>
      </c>
    </row>
    <row r="53" spans="1:9" ht="26.25" hidden="1" thickBot="1" x14ac:dyDescent="0.25">
      <c r="A53" s="19">
        <v>44</v>
      </c>
      <c r="B53" s="35" t="s">
        <v>104</v>
      </c>
      <c r="C53" s="30" t="s">
        <v>22</v>
      </c>
      <c r="D53" s="31">
        <v>292</v>
      </c>
      <c r="E53" s="30" t="s">
        <v>105</v>
      </c>
      <c r="F53" s="32" t="s">
        <v>17</v>
      </c>
      <c r="G53" s="32">
        <v>20</v>
      </c>
      <c r="H53" s="33">
        <v>130</v>
      </c>
      <c r="I53" s="16">
        <f t="shared" si="0"/>
        <v>2600</v>
      </c>
    </row>
    <row r="54" spans="1:9" ht="26.25" hidden="1" thickBot="1" x14ac:dyDescent="0.25">
      <c r="A54" s="19">
        <v>45</v>
      </c>
      <c r="B54" s="35" t="s">
        <v>106</v>
      </c>
      <c r="C54" s="30" t="s">
        <v>22</v>
      </c>
      <c r="D54" s="31">
        <v>292</v>
      </c>
      <c r="E54" s="30" t="s">
        <v>107</v>
      </c>
      <c r="F54" s="32" t="s">
        <v>17</v>
      </c>
      <c r="G54" s="32">
        <v>150</v>
      </c>
      <c r="H54" s="33">
        <v>35</v>
      </c>
      <c r="I54" s="16">
        <f t="shared" si="0"/>
        <v>5250</v>
      </c>
    </row>
    <row r="55" spans="1:9" ht="39" hidden="1" thickBot="1" x14ac:dyDescent="0.25">
      <c r="A55" s="19">
        <v>46</v>
      </c>
      <c r="B55" s="35" t="s">
        <v>108</v>
      </c>
      <c r="C55" s="30" t="s">
        <v>22</v>
      </c>
      <c r="D55" s="31">
        <v>292</v>
      </c>
      <c r="E55" s="30" t="s">
        <v>109</v>
      </c>
      <c r="F55" s="32" t="s">
        <v>17</v>
      </c>
      <c r="G55" s="32">
        <v>50</v>
      </c>
      <c r="H55" s="33">
        <v>75</v>
      </c>
      <c r="I55" s="16">
        <f t="shared" si="0"/>
        <v>3750</v>
      </c>
    </row>
    <row r="56" spans="1:9" ht="26.25" hidden="1" thickBot="1" x14ac:dyDescent="0.25">
      <c r="A56" s="19">
        <v>47</v>
      </c>
      <c r="B56" s="49" t="s">
        <v>110</v>
      </c>
      <c r="C56" s="30" t="s">
        <v>22</v>
      </c>
      <c r="D56" s="31">
        <v>292</v>
      </c>
      <c r="E56" s="30" t="s">
        <v>111</v>
      </c>
      <c r="F56" s="32" t="s">
        <v>17</v>
      </c>
      <c r="G56" s="32">
        <v>50</v>
      </c>
      <c r="H56" s="33">
        <v>185</v>
      </c>
      <c r="I56" s="16">
        <f t="shared" si="0"/>
        <v>9250</v>
      </c>
    </row>
    <row r="57" spans="1:9" ht="51.75" thickBot="1" x14ac:dyDescent="0.25">
      <c r="A57" s="19">
        <v>48</v>
      </c>
      <c r="B57" s="35" t="s">
        <v>112</v>
      </c>
      <c r="C57" s="30" t="s">
        <v>22</v>
      </c>
      <c r="D57" s="31">
        <v>231</v>
      </c>
      <c r="E57" s="30" t="s">
        <v>113</v>
      </c>
      <c r="F57" s="32" t="s">
        <v>114</v>
      </c>
      <c r="G57" s="32">
        <v>10</v>
      </c>
      <c r="H57" s="33">
        <v>2475</v>
      </c>
      <c r="I57" s="16">
        <f t="shared" si="0"/>
        <v>24750</v>
      </c>
    </row>
    <row r="58" spans="1:9" ht="64.5" thickBot="1" x14ac:dyDescent="0.25">
      <c r="A58" s="19">
        <v>49</v>
      </c>
      <c r="B58" s="49" t="s">
        <v>115</v>
      </c>
      <c r="C58" s="30" t="s">
        <v>22</v>
      </c>
      <c r="D58" s="31">
        <v>231</v>
      </c>
      <c r="E58" s="30" t="s">
        <v>116</v>
      </c>
      <c r="F58" s="32" t="s">
        <v>17</v>
      </c>
      <c r="G58" s="32">
        <v>500</v>
      </c>
      <c r="H58" s="33">
        <v>12</v>
      </c>
      <c r="I58" s="16">
        <f t="shared" si="0"/>
        <v>6000</v>
      </c>
    </row>
    <row r="59" spans="1:9" ht="26.25" hidden="1" thickBot="1" x14ac:dyDescent="0.25">
      <c r="A59" s="19">
        <v>50</v>
      </c>
      <c r="B59" s="35" t="s">
        <v>117</v>
      </c>
      <c r="C59" s="30" t="s">
        <v>22</v>
      </c>
      <c r="D59" s="31">
        <v>292</v>
      </c>
      <c r="E59" s="34" t="s">
        <v>118</v>
      </c>
      <c r="F59" s="32" t="s">
        <v>17</v>
      </c>
      <c r="G59" s="32">
        <v>50</v>
      </c>
      <c r="H59" s="33">
        <v>90</v>
      </c>
      <c r="I59" s="16">
        <f t="shared" si="0"/>
        <v>4500</v>
      </c>
    </row>
    <row r="60" spans="1:9" ht="51" x14ac:dyDescent="0.2">
      <c r="A60" s="19">
        <v>51</v>
      </c>
      <c r="B60" s="35" t="s">
        <v>119</v>
      </c>
      <c r="C60" s="36" t="s">
        <v>22</v>
      </c>
      <c r="D60" s="31">
        <v>231</v>
      </c>
      <c r="E60" s="30" t="s">
        <v>120</v>
      </c>
      <c r="F60" s="32" t="s">
        <v>17</v>
      </c>
      <c r="G60" s="32">
        <v>100</v>
      </c>
      <c r="H60" s="33">
        <v>150</v>
      </c>
      <c r="I60" s="16">
        <f t="shared" si="0"/>
        <v>15000</v>
      </c>
    </row>
    <row r="61" spans="1:9" ht="25.5" hidden="1" x14ac:dyDescent="0.2">
      <c r="A61" s="19">
        <v>52</v>
      </c>
      <c r="B61" s="35" t="s">
        <v>121</v>
      </c>
      <c r="C61" s="36" t="s">
        <v>22</v>
      </c>
      <c r="D61" s="31">
        <v>292</v>
      </c>
      <c r="E61" s="30" t="s">
        <v>122</v>
      </c>
      <c r="F61" s="32" t="s">
        <v>17</v>
      </c>
      <c r="G61" s="32">
        <v>30</v>
      </c>
      <c r="H61" s="33">
        <v>150</v>
      </c>
      <c r="I61" s="16">
        <f t="shared" si="0"/>
        <v>4500</v>
      </c>
    </row>
    <row r="62" spans="1:9" ht="25.5" hidden="1" x14ac:dyDescent="0.2">
      <c r="A62" s="19">
        <v>53</v>
      </c>
      <c r="B62" s="35" t="s">
        <v>123</v>
      </c>
      <c r="C62" s="36" t="s">
        <v>22</v>
      </c>
      <c r="D62" s="31">
        <v>292</v>
      </c>
      <c r="E62" s="30" t="s">
        <v>124</v>
      </c>
      <c r="F62" s="32" t="s">
        <v>17</v>
      </c>
      <c r="G62" s="32">
        <v>30</v>
      </c>
      <c r="H62" s="33">
        <v>150</v>
      </c>
      <c r="I62" s="16">
        <f t="shared" si="0"/>
        <v>4500</v>
      </c>
    </row>
    <row r="63" spans="1:9" ht="25.5" hidden="1" x14ac:dyDescent="0.2">
      <c r="A63" s="19">
        <v>54</v>
      </c>
      <c r="B63" s="35" t="s">
        <v>125</v>
      </c>
      <c r="C63" s="36" t="s">
        <v>22</v>
      </c>
      <c r="D63" s="37">
        <v>292</v>
      </c>
      <c r="E63" s="30" t="s">
        <v>126</v>
      </c>
      <c r="F63" s="38" t="s">
        <v>28</v>
      </c>
      <c r="G63" s="38">
        <v>15</v>
      </c>
      <c r="H63" s="39">
        <v>190</v>
      </c>
      <c r="I63" s="16">
        <f t="shared" si="0"/>
        <v>2850</v>
      </c>
    </row>
    <row r="64" spans="1:9" ht="38.25" hidden="1" x14ac:dyDescent="0.2">
      <c r="A64" s="19">
        <v>55</v>
      </c>
      <c r="B64" s="49" t="s">
        <v>127</v>
      </c>
      <c r="C64" s="36" t="s">
        <v>22</v>
      </c>
      <c r="D64" s="37">
        <v>292</v>
      </c>
      <c r="E64" s="30" t="s">
        <v>128</v>
      </c>
      <c r="F64" s="38" t="s">
        <v>28</v>
      </c>
      <c r="G64" s="38">
        <v>50</v>
      </c>
      <c r="H64" s="39">
        <v>60</v>
      </c>
      <c r="I64" s="16">
        <f t="shared" si="0"/>
        <v>3000</v>
      </c>
    </row>
    <row r="65" spans="1:9" ht="39" hidden="1" thickBot="1" x14ac:dyDescent="0.25">
      <c r="A65" s="19">
        <v>56</v>
      </c>
      <c r="B65" s="51" t="s">
        <v>129</v>
      </c>
      <c r="C65" s="40" t="s">
        <v>22</v>
      </c>
      <c r="D65" s="41">
        <v>292</v>
      </c>
      <c r="E65" s="42" t="s">
        <v>130</v>
      </c>
      <c r="F65" s="43" t="s">
        <v>17</v>
      </c>
      <c r="G65" s="43">
        <v>30</v>
      </c>
      <c r="H65" s="44">
        <v>300</v>
      </c>
      <c r="I65" s="45">
        <f t="shared" si="0"/>
        <v>9000</v>
      </c>
    </row>
    <row r="66" spans="1:9" ht="13.5" thickBot="1" x14ac:dyDescent="0.25">
      <c r="I66" s="10"/>
    </row>
    <row r="67" spans="1:9" x14ac:dyDescent="0.2">
      <c r="B67" s="21" t="s">
        <v>18</v>
      </c>
      <c r="C67" s="5"/>
      <c r="D67" s="5"/>
      <c r="E67" s="6"/>
      <c r="I67" s="10"/>
    </row>
    <row r="68" spans="1:9" ht="13.5" customHeight="1" x14ac:dyDescent="0.2">
      <c r="B68" s="59" t="s">
        <v>149</v>
      </c>
      <c r="C68" s="60"/>
      <c r="D68" s="60"/>
      <c r="E68" s="61"/>
    </row>
    <row r="69" spans="1:9" ht="25.5" customHeight="1" x14ac:dyDescent="0.2">
      <c r="B69" s="59"/>
      <c r="C69" s="60"/>
      <c r="D69" s="60"/>
      <c r="E69" s="61"/>
      <c r="F69" s="7"/>
      <c r="G69" s="8"/>
    </row>
    <row r="70" spans="1:9" ht="13.5" customHeight="1" x14ac:dyDescent="0.2">
      <c r="B70" s="59" t="s">
        <v>19</v>
      </c>
      <c r="C70" s="60"/>
      <c r="D70" s="60"/>
      <c r="E70" s="61"/>
      <c r="F70" s="7"/>
      <c r="G70" s="8"/>
    </row>
    <row r="71" spans="1:9" x14ac:dyDescent="0.2">
      <c r="B71" s="22" t="s">
        <v>20</v>
      </c>
      <c r="C71" s="23"/>
      <c r="D71" s="24"/>
      <c r="E71" s="25"/>
      <c r="F71" s="7"/>
      <c r="G71" s="8"/>
    </row>
    <row r="72" spans="1:9" ht="12" customHeight="1" thickBot="1" x14ac:dyDescent="0.25"/>
    <row r="73" spans="1:9" x14ac:dyDescent="0.2">
      <c r="B73" s="4" t="s">
        <v>131</v>
      </c>
      <c r="C73" s="5"/>
      <c r="D73" s="5"/>
      <c r="E73" s="6"/>
    </row>
    <row r="74" spans="1:9" ht="13.5" customHeight="1" thickBot="1" x14ac:dyDescent="0.25">
      <c r="B74" s="48" t="s">
        <v>138</v>
      </c>
      <c r="C74" s="46"/>
      <c r="D74" s="46"/>
      <c r="E74" s="47"/>
    </row>
    <row r="75" spans="1:9" ht="13.5" thickBot="1" x14ac:dyDescent="0.25"/>
    <row r="76" spans="1:9" ht="13.5" customHeight="1" x14ac:dyDescent="0.2">
      <c r="B76" s="4" t="s">
        <v>132</v>
      </c>
      <c r="C76" s="5"/>
      <c r="D76" s="5"/>
      <c r="E76" s="6"/>
    </row>
    <row r="77" spans="1:9" ht="13.5" thickBot="1" x14ac:dyDescent="0.25">
      <c r="B77" s="48" t="s">
        <v>139</v>
      </c>
      <c r="C77" s="46"/>
      <c r="D77" s="46"/>
      <c r="E77" s="47"/>
    </row>
    <row r="78" spans="1:9" ht="13.5" thickBot="1" x14ac:dyDescent="0.25"/>
    <row r="79" spans="1:9" x14ac:dyDescent="0.2">
      <c r="B79" s="4" t="s">
        <v>133</v>
      </c>
      <c r="C79" s="5"/>
      <c r="D79" s="5"/>
      <c r="E79" s="6"/>
    </row>
    <row r="80" spans="1:9" ht="13.5" thickBot="1" x14ac:dyDescent="0.25">
      <c r="B80" s="48" t="s">
        <v>140</v>
      </c>
      <c r="C80" s="46"/>
      <c r="D80" s="46"/>
      <c r="E80" s="47"/>
    </row>
    <row r="81" spans="2:5" ht="13.5" thickBot="1" x14ac:dyDescent="0.25"/>
    <row r="82" spans="2:5" x14ac:dyDescent="0.2">
      <c r="B82" s="4" t="s">
        <v>134</v>
      </c>
      <c r="C82" s="5"/>
      <c r="D82" s="5"/>
      <c r="E82" s="6"/>
    </row>
    <row r="83" spans="2:5" ht="13.5" thickBot="1" x14ac:dyDescent="0.25">
      <c r="B83" s="48" t="s">
        <v>141</v>
      </c>
      <c r="C83" s="46"/>
      <c r="D83" s="46"/>
      <c r="E83" s="47"/>
    </row>
    <row r="84" spans="2:5" ht="13.5" thickBot="1" x14ac:dyDescent="0.25"/>
    <row r="85" spans="2:5" x14ac:dyDescent="0.2">
      <c r="B85" s="4" t="s">
        <v>135</v>
      </c>
      <c r="C85" s="5"/>
      <c r="D85" s="5"/>
      <c r="E85" s="6"/>
    </row>
    <row r="86" spans="2:5" ht="13.5" thickBot="1" x14ac:dyDescent="0.25">
      <c r="B86" s="48" t="s">
        <v>142</v>
      </c>
      <c r="C86" s="46"/>
      <c r="D86" s="46"/>
      <c r="E86" s="47"/>
    </row>
    <row r="87" spans="2:5" ht="13.5" thickBot="1" x14ac:dyDescent="0.25"/>
    <row r="88" spans="2:5" x14ac:dyDescent="0.2">
      <c r="B88" s="4" t="s">
        <v>136</v>
      </c>
      <c r="C88" s="5"/>
      <c r="D88" s="5"/>
      <c r="E88" s="6"/>
    </row>
    <row r="89" spans="2:5" ht="13.5" thickBot="1" x14ac:dyDescent="0.25">
      <c r="B89" s="48" t="s">
        <v>143</v>
      </c>
      <c r="C89" s="46"/>
      <c r="D89" s="46"/>
      <c r="E89" s="47"/>
    </row>
    <row r="90" spans="2:5" ht="13.5" thickBot="1" x14ac:dyDescent="0.25"/>
    <row r="91" spans="2:5" x14ac:dyDescent="0.2">
      <c r="B91" s="4" t="s">
        <v>137</v>
      </c>
      <c r="C91" s="5"/>
      <c r="D91" s="5"/>
      <c r="E91" s="6"/>
    </row>
    <row r="92" spans="2:5" ht="13.5" thickBot="1" x14ac:dyDescent="0.25">
      <c r="B92" s="48" t="s">
        <v>144</v>
      </c>
      <c r="C92" s="46"/>
      <c r="D92" s="46"/>
      <c r="E92" s="47"/>
    </row>
    <row r="93" spans="2:5" ht="13.5" thickBot="1" x14ac:dyDescent="0.25"/>
    <row r="94" spans="2:5" x14ac:dyDescent="0.2">
      <c r="B94" s="4" t="s">
        <v>147</v>
      </c>
      <c r="C94" s="5"/>
      <c r="D94" s="5"/>
      <c r="E94" s="6"/>
    </row>
    <row r="95" spans="2:5" ht="13.5" thickBot="1" x14ac:dyDescent="0.25">
      <c r="B95" s="22" t="s">
        <v>145</v>
      </c>
      <c r="C95" s="8"/>
      <c r="D95" s="8"/>
      <c r="E95" s="9"/>
    </row>
    <row r="96" spans="2:5" ht="13.5" thickBot="1" x14ac:dyDescent="0.25">
      <c r="B96" s="5"/>
      <c r="C96" s="5"/>
      <c r="D96" s="5"/>
      <c r="E96" s="5"/>
    </row>
    <row r="97" spans="2:5" x14ac:dyDescent="0.2">
      <c r="B97" s="4" t="s">
        <v>148</v>
      </c>
      <c r="C97" s="5"/>
      <c r="D97" s="5"/>
      <c r="E97" s="6"/>
    </row>
    <row r="98" spans="2:5" ht="13.5" thickBot="1" x14ac:dyDescent="0.25">
      <c r="B98" s="48" t="s">
        <v>146</v>
      </c>
      <c r="C98" s="46"/>
      <c r="D98" s="46"/>
      <c r="E98" s="47"/>
    </row>
  </sheetData>
  <autoFilter ref="A9:I65" xr:uid="{00000000-0009-0000-0000-000000000000}">
    <filterColumn colId="3">
      <filters>
        <filter val="231"/>
      </filters>
    </filterColumn>
  </autoFilter>
  <mergeCells count="9">
    <mergeCell ref="A6:B6"/>
    <mergeCell ref="A7:B7"/>
    <mergeCell ref="B68:E69"/>
    <mergeCell ref="B70:E70"/>
    <mergeCell ref="B2:H2"/>
    <mergeCell ref="A4:B4"/>
    <mergeCell ref="C4:E4"/>
    <mergeCell ref="A5:B5"/>
    <mergeCell ref="C5:E5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Necesidades Trimestrales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ELIAS QUINTAR</cp:lastModifiedBy>
  <cp:revision>2</cp:revision>
  <cp:lastPrinted>2021-06-16T15:26:00Z</cp:lastPrinted>
  <dcterms:created xsi:type="dcterms:W3CDTF">2020-07-17T23:44:49Z</dcterms:created>
  <dcterms:modified xsi:type="dcterms:W3CDTF">2021-08-10T13:36:28Z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