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76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Trimestrales'!$A$9:$I$30</definedName>
    <definedName name="_xlnm.Print_Area" localSheetId="2">'Autor Gastar'!$A$1:$Q$26</definedName>
    <definedName name="_xlnm.Print_Area" localSheetId="1">NotaPedido!$A$1:$K$33</definedName>
  </definedNames>
  <calcPr calcId="144525"/>
</workbook>
</file>

<file path=xl/calcChain.xml><?xml version="1.0" encoding="utf-8"?>
<calcChain xmlns="http://schemas.openxmlformats.org/spreadsheetml/2006/main">
  <c r="C26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7" i="2"/>
  <c r="C28" i="2"/>
  <c r="C29" i="2"/>
  <c r="C30" i="2"/>
  <c r="C31" i="2"/>
  <c r="C32" i="2"/>
  <c r="A25" i="3" l="1"/>
  <c r="A10" i="3"/>
  <c r="K12" i="2"/>
  <c r="J12" i="2"/>
  <c r="I12" i="2"/>
  <c r="C12" i="2"/>
  <c r="B12" i="2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33" i="2" l="1"/>
  <c r="G6" i="3" l="1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<sst xmlns="http://schemas.openxmlformats.org/spreadsheetml/2006/main" count="186" uniqueCount="103">
  <si>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</si>
  <si>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</si>
  <si>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</si>
  <si>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</si>
  <si>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</si>
  <si>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</si>
  <si>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</si>
  <si>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</si>
  <si>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</si>
  <si>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</si>
  <si>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</si>
  <si>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</si>
  <si>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</si>
  <si>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</si>
  <si>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</si>
  <si>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</si>
  <si>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</si>
  <si>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</si>
  <si>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</si>
  <si>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</si>
  <si>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</si>
  <si>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</si>
  <si>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</si>
  <si>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</si>
  <si>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</si>
  <si>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</si>
  <si>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</si>
  <si>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</si>
  <si>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</si>
  <si>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</si>
  <si>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</si>
  <si>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</si>
  <si>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</si>
  <si>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</si>
  <si>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</si>
  <si>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</si>
  <si>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</si>
  <si>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</si>
  <si>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</si>
  <si>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</si>
  <si>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</si>
  <si>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</si>
  <si>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</si>
  <si>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</si>
  <si>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</si>
  <si>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</si>
  <si>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</si>
  <si>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</si>
  <si>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</si>
  <si>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</si>
  <si>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</si>
  <si>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</si>
  <si>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</si>
  <si>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</si>
  <si>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</si>
  <si>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</si>
  <si>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</si>
  <si>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</si>
  <si>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</si>
  <si>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</si>
  <si>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 xml:space="preserve">45 dias habiles </t>
  </si>
  <si>
    <t>3.1</t>
  </si>
  <si>
    <t>1.1</t>
  </si>
  <si>
    <t>Utiles Menores Med. Quir. y de Lab.</t>
  </si>
  <si>
    <t>2010 ASSAY CUP 60 X 60</t>
  </si>
  <si>
    <t xml:space="preserve">CAJA </t>
  </si>
  <si>
    <t>2010 ASSAY TIP 30 X 120</t>
  </si>
  <si>
    <t>2.9.5</t>
  </si>
  <si>
    <t xml:space="preserve">UNIDAD </t>
  </si>
  <si>
    <t xml:space="preserve">BOLSA </t>
  </si>
  <si>
    <t>ROLLO</t>
  </si>
  <si>
    <t>Descartador de Agujas x 1Ltrs. Boca ancha</t>
  </si>
  <si>
    <t>Eppendorft 1,5 ul tipo Deltalab X 1000 UNIDADES</t>
  </si>
  <si>
    <t>2.3.4</t>
  </si>
  <si>
    <t>PORTAOBJETOS P/LABORATORIO; PRESENTACION: CAJA X 50 UN, MEDIDA: 2,5 X 7,5 Cm, USO: LABORATORIO, MATERIAL: VIDRIO</t>
  </si>
  <si>
    <t>Tips amarillos 5-200 ml ul con corona tipo Deltalab BOLSA X 1000</t>
  </si>
  <si>
    <t>Tips azules con corona 5- 1000 ul tipo Deltalab BOLSA X 1000</t>
  </si>
  <si>
    <t>TUBOS CON CITRATO AL VACIO 3,2% X 2,7 ML, TIPO BD , TAPA CELESTE</t>
  </si>
  <si>
    <t xml:space="preserve">TUBOS CON EDTA AL VACIO X 2 MLTIPO BD  TAPA LILA </t>
  </si>
  <si>
    <t xml:space="preserve">TUBOS CON GEL AL VACIO 3,5 ML, TIPO BD , TAPA AMARILLA </t>
  </si>
  <si>
    <t>Cepillos de cerda chicos para limpieza de tubos de khan</t>
  </si>
  <si>
    <t>Tubos de ensayo largos de vidrio</t>
  </si>
  <si>
    <t xml:space="preserve">AMPOULER PARA COBAS B221 - caja x 150 unidades </t>
  </si>
  <si>
    <t>CLOT CATCHER P COBAS B221 CAJA X 250 UNIDADES</t>
  </si>
  <si>
    <t xml:space="preserve">CONTENEDOR DE RESIDUOS X 2 UNIDADES P/COBAS B221 WASTE CONTAINER </t>
  </si>
  <si>
    <t xml:space="preserve">CUBETAS DE REACCION P/COAGULOMETRO CUATRON X 500 UNIDADES </t>
  </si>
  <si>
    <t xml:space="preserve">HISOPOS DE MADERA BOLSA X 100 UNIDADES </t>
  </si>
  <si>
    <t>MICROCOPAS DE MUESTRA P/COBAS C311 2 BOLSA X 450 UNIDADES</t>
  </si>
  <si>
    <t xml:space="preserve">Frascos Hemocultivo BD BACTEC Plus/Aerobic/F culture vials x 30ml CAJA X 50 unidades </t>
  </si>
  <si>
    <t>Especificidades Item N°: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</si>
  <si>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INSUMOS: UN PLAZO NO MENOR A LOS 06 MESES DE LA FECHA DE RECEPCION</t>
  </si>
  <si>
    <t>LUGAR Y PLAZO DE ENTREGA:  Servicio de Laboratorio Central del HISJB - Avda. Illia y Mariano Moreno - Lunes a Viernes de 08:00 a 12:00 horas  - 15 días habiles</t>
  </si>
  <si>
    <t xml:space="preserve">PLAZO DE MANTENIMIENTO: 45 DIAS HABILES </t>
  </si>
  <si>
    <t>Servicio de Laboratorio Central del HISJB - Avda. Illia y Mariano Moreno - Lunes a Viernes de 08:00 a 12:00 horas</t>
  </si>
  <si>
    <t xml:space="preserve">Prodcutos de Papel y Cartón </t>
  </si>
  <si>
    <t>045 - 2022</t>
  </si>
  <si>
    <t>Servicio de Laboratorio Central y Bacteriologia</t>
  </si>
  <si>
    <t xml:space="preserve">Productos y Cartón </t>
  </si>
  <si>
    <t xml:space="preserve">Adquisición de Descartables para Laboratorios </t>
  </si>
  <si>
    <t>Etiquetas Rollo tipo Itecrap 8 cm x 2,5 cm con estampilla</t>
  </si>
  <si>
    <t>PAPEL TERMICO P/COBAS U411 (11 cm x 30 mts)</t>
  </si>
  <si>
    <t>Costo total estimado: CINCO MILLONES DOSCIENTOS DIECISEIS MIL SETENTA Y CUATRO CON 00/100.---</t>
  </si>
  <si>
    <t>TOTAL DE PESOS: CINCO MILLONES DOSCIENTOS DIECISEIS MIL SETENTA Y CUATRO CON 00/100.---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</si>
</sst>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name val="Times New Roman"/>
      <family val="1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6" fillId="5" borderId="14" xfId="0" applyFont="1" applyFill="1" applyBorder="1" applyAlignment="1">
      <alignment horizontal="left" vertical="center" wrapText="1"/>
    </xf>
    <xf numFmtId="0" fontId="27" fillId="5" borderId="14" xfId="0" applyFont="1" applyFill="1" applyBorder="1" applyAlignment="1">
      <alignment vertical="center" wrapText="1"/>
    </xf>
    <xf numFmtId="0" fontId="26" fillId="5" borderId="14" xfId="0" applyFont="1" applyFill="1" applyBorder="1"/>
    <xf numFmtId="0" fontId="26" fillId="5" borderId="48" xfId="0" applyFont="1" applyFill="1" applyBorder="1" applyAlignment="1">
      <alignment horizontal="left" vertical="center" wrapText="1"/>
    </xf>
    <xf numFmtId="0" fontId="26" fillId="5" borderId="14" xfId="0" applyFont="1" applyFill="1" applyBorder="1" applyAlignment="1">
      <alignment vertical="center" wrapText="1"/>
    </xf>
    <xf numFmtId="0" fontId="26" fillId="5" borderId="14" xfId="0" applyFont="1" applyFill="1" applyBorder="1" applyAlignment="1">
      <alignment vertical="center"/>
    </xf>
    <xf numFmtId="0" fontId="20" fillId="5" borderId="14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vertical="center" wrapText="1"/>
    </xf>
    <xf numFmtId="0" fontId="15" fillId="5" borderId="0" xfId="0" applyFont="1" applyFill="1"/>
    <xf numFmtId="0" fontId="29" fillId="0" borderId="0" xfId="0" applyFont="1"/>
    <xf numFmtId="0" fontId="21" fillId="0" borderId="14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center" vertical="center" wrapText="1"/>
    </xf>
    <xf numFmtId="166" fontId="20" fillId="0" borderId="14" xfId="1" applyNumberFormat="1" applyFont="1" applyFill="1" applyBorder="1" applyAlignment="1" applyProtection="1">
      <alignment horizontal="center" vertical="center" wrapText="1"/>
    </xf>
    <xf numFmtId="166" fontId="20" fillId="0" borderId="14" xfId="1" applyNumberFormat="1" applyFont="1" applyFill="1" applyBorder="1" applyAlignment="1" applyProtection="1">
      <alignment horizontal="right" vertical="center" wrapText="1"/>
    </xf>
    <xf numFmtId="0" fontId="29" fillId="0" borderId="0" xfId="0" applyFont="1" applyFill="1" applyAlignment="1">
      <alignment wrapText="1"/>
    </xf>
    <xf numFmtId="0" fontId="26" fillId="0" borderId="49" xfId="0" applyFont="1" applyFill="1" applyBorder="1" applyAlignment="1">
      <alignment horizontal="left" vertical="center" wrapText="1"/>
    </xf>
    <xf numFmtId="0" fontId="29" fillId="0" borderId="0" xfId="0" applyFont="1" applyFill="1"/>
    <xf numFmtId="0" fontId="26" fillId="0" borderId="14" xfId="0" applyFont="1" applyFill="1" applyBorder="1" applyAlignment="1">
      <alignment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6" fillId="0" borderId="14" xfId="0" applyFont="1" applyFill="1" applyBorder="1"/>
    <xf numFmtId="0" fontId="27" fillId="0" borderId="14" xfId="0" applyFont="1" applyFill="1" applyBorder="1"/>
    <xf numFmtId="0" fontId="29" fillId="0" borderId="0" xfId="0" applyFont="1" applyFill="1" applyAlignment="1">
      <alignment horizontal="center" vertical="center" wrapText="1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29" fillId="3" borderId="14" xfId="0" applyFont="1" applyFill="1" applyBorder="1" applyAlignment="1">
      <alignment horizontal="center" vertical="center" wrapText="1"/>
    </xf>
    <xf numFmtId="0" fontId="29" fillId="3" borderId="21" xfId="0" applyFont="1" applyFill="1" applyBorder="1" applyAlignment="1">
      <alignment horizontal="center" vertical="center" wrapText="1"/>
    </xf>
    <xf numFmtId="0" fontId="29" fillId="3" borderId="20" xfId="0" applyFont="1" applyFill="1" applyBorder="1" applyAlignment="1">
      <alignment horizontal="center" vertical="center" wrapText="1"/>
    </xf>
    <xf numFmtId="0" fontId="29" fillId="3" borderId="50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30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2"/>
  <sheetViews>
    <sheetView topLeftCell="A20" zoomScale="80" zoomScaleNormal="80" workbookViewId="0">
      <selection activeCell="I10" sqref="I10:I30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0" width="17" style="39" customWidth="1"/>
    <col min="11" max="16384" width="11" style="39"/>
  </cols>
  <sheetData>
    <row r="2" spans="1:13" ht="27" x14ac:dyDescent="0.35">
      <c r="B2" s="115" t="s">
        <v>0</v>
      </c>
      <c r="C2" s="115"/>
      <c r="D2" s="115"/>
      <c r="E2" s="115"/>
      <c r="F2" s="115"/>
      <c r="G2" s="115"/>
      <c r="H2" s="115"/>
    </row>
    <row r="4" spans="1:13" ht="18" customHeight="1" x14ac:dyDescent="0.25">
      <c r="A4" s="107" t="s">
        <v>1</v>
      </c>
      <c r="B4" s="107"/>
      <c r="C4" s="116" t="s">
        <v>57</v>
      </c>
      <c r="D4" s="116"/>
      <c r="E4" s="116"/>
      <c r="F4" s="40"/>
      <c r="G4" s="41"/>
      <c r="H4" s="40"/>
    </row>
    <row r="5" spans="1:13" ht="18" customHeight="1" x14ac:dyDescent="0.25">
      <c r="A5" s="107" t="s">
        <v>2</v>
      </c>
      <c r="B5" s="107"/>
      <c r="C5" s="116" t="s">
        <v>58</v>
      </c>
      <c r="D5" s="116"/>
      <c r="E5" s="116"/>
      <c r="F5" s="40"/>
      <c r="G5" s="41"/>
      <c r="H5" s="40"/>
    </row>
    <row r="6" spans="1:13" ht="16.5" customHeight="1" x14ac:dyDescent="0.25">
      <c r="A6" s="107" t="s">
        <v>3</v>
      </c>
      <c r="B6" s="107"/>
      <c r="C6" s="63">
        <v>2022</v>
      </c>
      <c r="D6" s="64"/>
      <c r="E6" s="64"/>
      <c r="F6" s="40"/>
      <c r="G6" s="41"/>
      <c r="H6" s="40"/>
    </row>
    <row r="7" spans="1:13" ht="16.5" customHeight="1" x14ac:dyDescent="0.25">
      <c r="A7" s="107" t="s">
        <v>4</v>
      </c>
      <c r="B7" s="107"/>
      <c r="C7" s="63">
        <v>2</v>
      </c>
      <c r="D7" s="64"/>
      <c r="E7" s="64"/>
      <c r="F7" s="40"/>
      <c r="G7" s="41"/>
      <c r="H7" s="40"/>
    </row>
    <row r="8" spans="1:13" ht="13.5" thickBot="1" x14ac:dyDescent="0.25">
      <c r="B8" s="40"/>
      <c r="C8" s="41"/>
      <c r="D8" s="40"/>
      <c r="E8" s="40"/>
      <c r="F8" s="40"/>
      <c r="G8" s="41"/>
      <c r="H8" s="40"/>
    </row>
    <row r="9" spans="1:13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13" ht="31.9" customHeight="1" thickBot="1" x14ac:dyDescent="0.25">
      <c r="A10" s="56">
        <v>1</v>
      </c>
      <c r="B10" s="60"/>
      <c r="C10" s="57" t="s">
        <v>63</v>
      </c>
      <c r="D10" s="58" t="s">
        <v>67</v>
      </c>
      <c r="E10" s="59" t="s">
        <v>64</v>
      </c>
      <c r="F10" s="60" t="s">
        <v>65</v>
      </c>
      <c r="G10" s="60">
        <v>6</v>
      </c>
      <c r="H10" s="61">
        <v>33494</v>
      </c>
      <c r="I10" s="62">
        <f t="shared" ref="I10:I30" si="0">G10*H10</f>
        <v>200964</v>
      </c>
    </row>
    <row r="11" spans="1:13" ht="31.9" customHeight="1" thickBot="1" x14ac:dyDescent="0.25">
      <c r="A11" s="56">
        <v>2</v>
      </c>
      <c r="B11" s="60"/>
      <c r="C11" s="57" t="s">
        <v>63</v>
      </c>
      <c r="D11" s="58" t="s">
        <v>67</v>
      </c>
      <c r="E11" s="59" t="s">
        <v>66</v>
      </c>
      <c r="F11" s="60" t="s">
        <v>65</v>
      </c>
      <c r="G11" s="60">
        <v>3</v>
      </c>
      <c r="H11" s="61">
        <v>24885</v>
      </c>
      <c r="I11" s="62">
        <f t="shared" si="0"/>
        <v>74655</v>
      </c>
    </row>
    <row r="12" spans="1:13" ht="31.9" customHeight="1" thickBot="1" x14ac:dyDescent="0.3">
      <c r="A12" s="56">
        <v>3</v>
      </c>
      <c r="B12" s="60"/>
      <c r="C12" s="57" t="s">
        <v>63</v>
      </c>
      <c r="D12" s="58" t="s">
        <v>67</v>
      </c>
      <c r="E12" s="59" t="s">
        <v>82</v>
      </c>
      <c r="F12" s="60" t="s">
        <v>65</v>
      </c>
      <c r="G12" s="60">
        <v>4</v>
      </c>
      <c r="H12" s="61">
        <v>7577</v>
      </c>
      <c r="I12" s="62">
        <f t="shared" si="0"/>
        <v>30308</v>
      </c>
      <c r="J12" s="90"/>
      <c r="K12" s="90"/>
      <c r="L12" s="90"/>
      <c r="M12" s="90"/>
    </row>
    <row r="13" spans="1:13" ht="31.9" customHeight="1" thickBot="1" x14ac:dyDescent="0.3">
      <c r="A13" s="85">
        <v>4</v>
      </c>
      <c r="B13" s="60"/>
      <c r="C13" s="57" t="s">
        <v>63</v>
      </c>
      <c r="D13" s="58" t="s">
        <v>67</v>
      </c>
      <c r="E13" s="80" t="s">
        <v>83</v>
      </c>
      <c r="F13" s="60" t="s">
        <v>65</v>
      </c>
      <c r="G13" s="60">
        <v>26</v>
      </c>
      <c r="H13" s="61">
        <v>2121</v>
      </c>
      <c r="I13" s="62">
        <f t="shared" si="0"/>
        <v>55146</v>
      </c>
      <c r="J13" s="90"/>
      <c r="K13" s="90"/>
      <c r="L13" s="90"/>
      <c r="M13" s="90"/>
    </row>
    <row r="14" spans="1:13" ht="31.9" customHeight="1" thickBot="1" x14ac:dyDescent="0.3">
      <c r="A14" s="56">
        <v>5</v>
      </c>
      <c r="B14" s="60"/>
      <c r="C14" s="57" t="s">
        <v>63</v>
      </c>
      <c r="D14" s="58" t="s">
        <v>67</v>
      </c>
      <c r="E14" s="84" t="s">
        <v>84</v>
      </c>
      <c r="F14" s="60" t="s">
        <v>65</v>
      </c>
      <c r="G14" s="60">
        <v>2</v>
      </c>
      <c r="H14" s="61">
        <v>8147</v>
      </c>
      <c r="I14" s="62">
        <f t="shared" si="0"/>
        <v>16294</v>
      </c>
      <c r="J14" s="90"/>
      <c r="K14" s="90"/>
      <c r="L14" s="90"/>
      <c r="M14" s="90"/>
    </row>
    <row r="15" spans="1:13" ht="31.9" customHeight="1" thickBot="1" x14ac:dyDescent="0.3">
      <c r="A15" s="56">
        <v>6</v>
      </c>
      <c r="B15" s="60"/>
      <c r="C15" s="57" t="s">
        <v>63</v>
      </c>
      <c r="D15" s="58" t="s">
        <v>67</v>
      </c>
      <c r="E15" s="59" t="s">
        <v>85</v>
      </c>
      <c r="F15" s="60" t="s">
        <v>65</v>
      </c>
      <c r="G15" s="60">
        <v>30</v>
      </c>
      <c r="H15" s="61">
        <v>14000</v>
      </c>
      <c r="I15" s="62">
        <f t="shared" si="0"/>
        <v>420000</v>
      </c>
      <c r="J15" s="90"/>
      <c r="K15" s="90"/>
      <c r="L15" s="90"/>
      <c r="M15" s="90"/>
    </row>
    <row r="16" spans="1:13" ht="31.9" customHeight="1" thickBot="1" x14ac:dyDescent="0.3">
      <c r="A16" s="85">
        <v>7</v>
      </c>
      <c r="B16" s="60"/>
      <c r="C16" s="57" t="s">
        <v>63</v>
      </c>
      <c r="D16" s="58" t="s">
        <v>67</v>
      </c>
      <c r="E16" s="82" t="s">
        <v>71</v>
      </c>
      <c r="F16" s="60" t="s">
        <v>68</v>
      </c>
      <c r="G16" s="60">
        <v>100</v>
      </c>
      <c r="H16" s="61">
        <v>180</v>
      </c>
      <c r="I16" s="62">
        <f t="shared" si="0"/>
        <v>18000</v>
      </c>
      <c r="J16" s="90"/>
      <c r="K16" s="90"/>
      <c r="L16" s="90"/>
      <c r="M16" s="90"/>
    </row>
    <row r="17" spans="1:13" ht="31.9" customHeight="1" thickBot="1" x14ac:dyDescent="0.3">
      <c r="A17" s="56">
        <v>8</v>
      </c>
      <c r="B17" s="60"/>
      <c r="C17" s="57" t="s">
        <v>63</v>
      </c>
      <c r="D17" s="58" t="s">
        <v>67</v>
      </c>
      <c r="E17" s="79" t="s">
        <v>72</v>
      </c>
      <c r="F17" s="60" t="s">
        <v>69</v>
      </c>
      <c r="G17" s="60">
        <v>12</v>
      </c>
      <c r="H17" s="61">
        <v>4237</v>
      </c>
      <c r="I17" s="62">
        <f t="shared" si="0"/>
        <v>50844</v>
      </c>
      <c r="J17" s="90"/>
      <c r="K17" s="90"/>
      <c r="L17" s="90"/>
      <c r="M17" s="90"/>
    </row>
    <row r="18" spans="1:13" ht="31.9" customHeight="1" thickBot="1" x14ac:dyDescent="0.3">
      <c r="A18" s="56">
        <v>9</v>
      </c>
      <c r="B18" s="60"/>
      <c r="C18" s="91" t="s">
        <v>94</v>
      </c>
      <c r="D18" s="92" t="s">
        <v>73</v>
      </c>
      <c r="E18" s="96" t="s">
        <v>99</v>
      </c>
      <c r="F18" s="92" t="s">
        <v>70</v>
      </c>
      <c r="G18" s="92">
        <v>40</v>
      </c>
      <c r="H18" s="93">
        <v>1300</v>
      </c>
      <c r="I18" s="94">
        <f t="shared" si="0"/>
        <v>52000</v>
      </c>
      <c r="J18" s="95"/>
      <c r="K18" s="90"/>
      <c r="L18" s="90"/>
      <c r="M18" s="90"/>
    </row>
    <row r="19" spans="1:13" ht="31.9" customHeight="1" thickBot="1" x14ac:dyDescent="0.3">
      <c r="A19" s="85">
        <v>10</v>
      </c>
      <c r="B19" s="60"/>
      <c r="C19" s="57" t="s">
        <v>63</v>
      </c>
      <c r="D19" s="58" t="s">
        <v>67</v>
      </c>
      <c r="E19" s="83" t="s">
        <v>86</v>
      </c>
      <c r="F19" s="60" t="s">
        <v>69</v>
      </c>
      <c r="G19" s="60">
        <v>4</v>
      </c>
      <c r="H19" s="61">
        <v>163</v>
      </c>
      <c r="I19" s="62">
        <f t="shared" si="0"/>
        <v>652</v>
      </c>
      <c r="J19" s="90"/>
      <c r="K19" s="90"/>
      <c r="L19" s="90"/>
      <c r="M19" s="90"/>
    </row>
    <row r="20" spans="1:13" ht="31.9" customHeight="1" thickBot="1" x14ac:dyDescent="0.3">
      <c r="A20" s="85">
        <v>11</v>
      </c>
      <c r="B20" s="60"/>
      <c r="C20" s="57" t="s">
        <v>63</v>
      </c>
      <c r="D20" s="58" t="s">
        <v>67</v>
      </c>
      <c r="E20" s="80" t="s">
        <v>87</v>
      </c>
      <c r="F20" s="60" t="s">
        <v>69</v>
      </c>
      <c r="G20" s="60">
        <v>5</v>
      </c>
      <c r="H20" s="61">
        <v>8651</v>
      </c>
      <c r="I20" s="62">
        <f t="shared" si="0"/>
        <v>43255</v>
      </c>
      <c r="J20" s="90"/>
      <c r="K20" s="90"/>
      <c r="L20" s="90"/>
      <c r="M20" s="90"/>
    </row>
    <row r="21" spans="1:13" ht="31.9" customHeight="1" thickBot="1" x14ac:dyDescent="0.3">
      <c r="A21" s="56">
        <v>12</v>
      </c>
      <c r="B21" s="60"/>
      <c r="C21" s="91" t="s">
        <v>63</v>
      </c>
      <c r="D21" s="92" t="s">
        <v>67</v>
      </c>
      <c r="E21" s="98" t="s">
        <v>100</v>
      </c>
      <c r="F21" s="92" t="s">
        <v>70</v>
      </c>
      <c r="G21" s="92">
        <v>40</v>
      </c>
      <c r="H21" s="93">
        <v>410</v>
      </c>
      <c r="I21" s="94">
        <f t="shared" si="0"/>
        <v>16400</v>
      </c>
      <c r="J21" s="95"/>
      <c r="K21" s="90"/>
      <c r="L21" s="90"/>
      <c r="M21" s="90"/>
    </row>
    <row r="22" spans="1:13" ht="36" customHeight="1" thickBot="1" x14ac:dyDescent="0.3">
      <c r="A22" s="56">
        <v>13</v>
      </c>
      <c r="B22" s="60"/>
      <c r="C22" s="91" t="s">
        <v>63</v>
      </c>
      <c r="D22" s="92" t="s">
        <v>67</v>
      </c>
      <c r="E22" s="99" t="s">
        <v>74</v>
      </c>
      <c r="F22" s="92" t="s">
        <v>65</v>
      </c>
      <c r="G22" s="92">
        <v>300</v>
      </c>
      <c r="H22" s="93">
        <v>172</v>
      </c>
      <c r="I22" s="94">
        <f t="shared" si="0"/>
        <v>51600</v>
      </c>
      <c r="J22" s="97"/>
      <c r="K22" s="90"/>
      <c r="L22" s="90"/>
      <c r="M22" s="90"/>
    </row>
    <row r="23" spans="1:13" ht="31.9" customHeight="1" thickBot="1" x14ac:dyDescent="0.3">
      <c r="A23" s="85">
        <v>14</v>
      </c>
      <c r="B23" s="60"/>
      <c r="C23" s="57" t="s">
        <v>63</v>
      </c>
      <c r="D23" s="58" t="s">
        <v>67</v>
      </c>
      <c r="E23" s="79" t="s">
        <v>75</v>
      </c>
      <c r="F23" s="60" t="s">
        <v>69</v>
      </c>
      <c r="G23" s="60">
        <v>6</v>
      </c>
      <c r="H23" s="61">
        <v>1843</v>
      </c>
      <c r="I23" s="62">
        <f t="shared" si="0"/>
        <v>11058</v>
      </c>
      <c r="J23" s="90"/>
      <c r="K23" s="90"/>
      <c r="L23" s="90"/>
      <c r="M23" s="90"/>
    </row>
    <row r="24" spans="1:13" ht="31.9" customHeight="1" thickBot="1" x14ac:dyDescent="0.3">
      <c r="A24" s="56">
        <v>15</v>
      </c>
      <c r="B24" s="60"/>
      <c r="C24" s="57" t="s">
        <v>63</v>
      </c>
      <c r="D24" s="58" t="s">
        <v>67</v>
      </c>
      <c r="E24" s="79" t="s">
        <v>76</v>
      </c>
      <c r="F24" s="60" t="s">
        <v>69</v>
      </c>
      <c r="G24" s="60">
        <v>3</v>
      </c>
      <c r="H24" s="61">
        <v>2641</v>
      </c>
      <c r="I24" s="62">
        <f t="shared" si="0"/>
        <v>7923</v>
      </c>
      <c r="J24" s="90"/>
      <c r="K24" s="90"/>
      <c r="L24" s="90"/>
      <c r="M24" s="90"/>
    </row>
    <row r="25" spans="1:13" ht="31.9" customHeight="1" thickBot="1" x14ac:dyDescent="0.3">
      <c r="A25" s="56">
        <v>16</v>
      </c>
      <c r="B25" s="60"/>
      <c r="C25" s="57" t="s">
        <v>63</v>
      </c>
      <c r="D25" s="58" t="s">
        <v>67</v>
      </c>
      <c r="E25" s="81" t="s">
        <v>77</v>
      </c>
      <c r="F25" s="60" t="s">
        <v>68</v>
      </c>
      <c r="G25" s="60">
        <v>6000</v>
      </c>
      <c r="H25" s="61">
        <v>23</v>
      </c>
      <c r="I25" s="62">
        <f t="shared" si="0"/>
        <v>138000</v>
      </c>
      <c r="J25" s="97"/>
      <c r="K25" s="102"/>
      <c r="L25" s="102"/>
      <c r="M25" s="102"/>
    </row>
    <row r="26" spans="1:13" ht="31.9" customHeight="1" thickBot="1" x14ac:dyDescent="0.3">
      <c r="A26" s="85">
        <v>17</v>
      </c>
      <c r="B26" s="60"/>
      <c r="C26" s="91" t="s">
        <v>63</v>
      </c>
      <c r="D26" s="92" t="s">
        <v>67</v>
      </c>
      <c r="E26" s="100" t="s">
        <v>78</v>
      </c>
      <c r="F26" s="92" t="s">
        <v>68</v>
      </c>
      <c r="G26" s="92">
        <v>36000</v>
      </c>
      <c r="H26" s="93">
        <v>24.2</v>
      </c>
      <c r="I26" s="94">
        <f t="shared" si="0"/>
        <v>871200</v>
      </c>
      <c r="J26" s="97"/>
      <c r="K26" s="102"/>
      <c r="L26" s="102"/>
      <c r="M26" s="102"/>
    </row>
    <row r="27" spans="1:13" ht="31.9" customHeight="1" thickBot="1" x14ac:dyDescent="0.3">
      <c r="A27" s="56">
        <v>18</v>
      </c>
      <c r="B27" s="60"/>
      <c r="C27" s="91" t="s">
        <v>63</v>
      </c>
      <c r="D27" s="92" t="s">
        <v>67</v>
      </c>
      <c r="E27" s="101" t="s">
        <v>79</v>
      </c>
      <c r="F27" s="92" t="s">
        <v>68</v>
      </c>
      <c r="G27" s="92">
        <v>60000</v>
      </c>
      <c r="H27" s="93">
        <v>36</v>
      </c>
      <c r="I27" s="94">
        <f t="shared" si="0"/>
        <v>2160000</v>
      </c>
      <c r="J27" s="97"/>
      <c r="K27" s="102"/>
      <c r="L27" s="102"/>
      <c r="M27" s="102"/>
    </row>
    <row r="28" spans="1:13" ht="31.9" customHeight="1" thickBot="1" x14ac:dyDescent="0.3">
      <c r="A28" s="56">
        <v>19</v>
      </c>
      <c r="B28" s="60"/>
      <c r="C28" s="57" t="s">
        <v>63</v>
      </c>
      <c r="D28" s="58" t="s">
        <v>67</v>
      </c>
      <c r="E28" s="59" t="s">
        <v>80</v>
      </c>
      <c r="F28" s="60" t="s">
        <v>68</v>
      </c>
      <c r="G28" s="60">
        <v>10</v>
      </c>
      <c r="H28" s="61">
        <v>200</v>
      </c>
      <c r="I28" s="62">
        <f t="shared" si="0"/>
        <v>2000</v>
      </c>
      <c r="J28" s="90"/>
      <c r="K28" s="90"/>
      <c r="L28" s="90"/>
      <c r="M28" s="90"/>
    </row>
    <row r="29" spans="1:13" ht="31.9" customHeight="1" thickBot="1" x14ac:dyDescent="0.3">
      <c r="A29" s="85">
        <v>20</v>
      </c>
      <c r="B29" s="60"/>
      <c r="C29" s="57" t="s">
        <v>63</v>
      </c>
      <c r="D29" s="58" t="s">
        <v>67</v>
      </c>
      <c r="E29" s="59" t="s">
        <v>81</v>
      </c>
      <c r="F29" s="60" t="s">
        <v>68</v>
      </c>
      <c r="G29" s="60">
        <v>200</v>
      </c>
      <c r="H29" s="61">
        <v>60</v>
      </c>
      <c r="I29" s="62">
        <f t="shared" si="0"/>
        <v>12000</v>
      </c>
      <c r="J29" s="90"/>
      <c r="K29" s="90"/>
      <c r="L29" s="90"/>
      <c r="M29" s="90"/>
    </row>
    <row r="30" spans="1:13" s="89" customFormat="1" ht="39.75" customHeight="1" thickBot="1" x14ac:dyDescent="0.25">
      <c r="A30" s="56">
        <v>21</v>
      </c>
      <c r="B30" s="60"/>
      <c r="C30" s="86" t="s">
        <v>63</v>
      </c>
      <c r="D30" s="87" t="s">
        <v>67</v>
      </c>
      <c r="E30" s="88" t="s">
        <v>88</v>
      </c>
      <c r="F30" s="60" t="s">
        <v>65</v>
      </c>
      <c r="G30" s="60">
        <v>15</v>
      </c>
      <c r="H30" s="61">
        <v>65585</v>
      </c>
      <c r="I30" s="62">
        <f t="shared" si="0"/>
        <v>983775</v>
      </c>
      <c r="J30" s="39"/>
    </row>
    <row r="31" spans="1:13" ht="13.5" thickBot="1" x14ac:dyDescent="0.25"/>
    <row r="32" spans="1:13" ht="96.75" customHeight="1" thickBot="1" x14ac:dyDescent="0.25">
      <c r="C32" s="111" t="s">
        <v>90</v>
      </c>
      <c r="D32" s="112"/>
      <c r="E32" s="112"/>
    </row>
    <row r="33" spans="2:5" ht="32.25" customHeight="1" thickBot="1" x14ac:dyDescent="0.25">
      <c r="C33" s="113" t="s">
        <v>91</v>
      </c>
      <c r="D33" s="114"/>
      <c r="E33" s="112"/>
    </row>
    <row r="34" spans="2:5" ht="30" customHeight="1" thickBot="1" x14ac:dyDescent="0.25">
      <c r="C34" s="113" t="s">
        <v>92</v>
      </c>
      <c r="D34" s="114"/>
      <c r="E34" s="112"/>
    </row>
    <row r="38" spans="2:5" ht="13.5" thickBot="1" x14ac:dyDescent="0.25"/>
    <row r="39" spans="2:5" x14ac:dyDescent="0.2">
      <c r="B39" s="42" t="s">
        <v>89</v>
      </c>
      <c r="C39" s="43"/>
      <c r="D39" s="43"/>
      <c r="E39" s="44"/>
    </row>
    <row r="40" spans="2:5" ht="5.25" customHeight="1" x14ac:dyDescent="0.2">
      <c r="B40" s="45"/>
      <c r="C40" s="46"/>
      <c r="D40" s="46"/>
      <c r="E40" s="47"/>
    </row>
    <row r="41" spans="2:5" x14ac:dyDescent="0.2">
      <c r="B41" s="48" t="s">
        <v>14</v>
      </c>
      <c r="C41" s="46"/>
      <c r="D41" s="46"/>
      <c r="E41" s="47"/>
    </row>
    <row r="42" spans="2:5" ht="41.25" customHeight="1" x14ac:dyDescent="0.2">
      <c r="B42" s="48"/>
      <c r="C42" s="103"/>
      <c r="D42" s="103"/>
      <c r="E42" s="103"/>
    </row>
    <row r="43" spans="2:5" x14ac:dyDescent="0.2">
      <c r="B43" s="48" t="s">
        <v>15</v>
      </c>
      <c r="C43" s="46"/>
      <c r="D43" s="46"/>
      <c r="E43" s="47"/>
    </row>
    <row r="44" spans="2:5" ht="21" customHeight="1" x14ac:dyDescent="0.2">
      <c r="B44" s="49"/>
      <c r="C44" s="108" t="s">
        <v>93</v>
      </c>
      <c r="D44" s="108"/>
      <c r="E44" s="109"/>
    </row>
    <row r="45" spans="2:5" x14ac:dyDescent="0.2">
      <c r="B45" s="49"/>
      <c r="C45" s="110"/>
      <c r="D45" s="110"/>
      <c r="E45" s="110"/>
    </row>
    <row r="46" spans="2:5" x14ac:dyDescent="0.2">
      <c r="B46" s="48" t="s">
        <v>16</v>
      </c>
      <c r="C46" s="46"/>
      <c r="D46" s="46"/>
      <c r="E46" s="47"/>
    </row>
    <row r="47" spans="2:5" ht="26.25" customHeight="1" x14ac:dyDescent="0.2">
      <c r="B47" s="49"/>
      <c r="C47" s="103"/>
      <c r="D47" s="103"/>
      <c r="E47" s="103"/>
    </row>
    <row r="48" spans="2:5" x14ac:dyDescent="0.2">
      <c r="B48" s="48" t="s">
        <v>17</v>
      </c>
      <c r="C48" s="50"/>
      <c r="D48" s="50"/>
      <c r="E48" s="51"/>
    </row>
    <row r="49" spans="2:5" ht="26.25" customHeight="1" x14ac:dyDescent="0.2">
      <c r="B49" s="49"/>
      <c r="C49" s="104" t="s">
        <v>60</v>
      </c>
      <c r="D49" s="104"/>
      <c r="E49" s="105"/>
    </row>
    <row r="50" spans="2:5" x14ac:dyDescent="0.2">
      <c r="B50" s="48" t="s">
        <v>18</v>
      </c>
      <c r="C50" s="46"/>
      <c r="D50" s="46"/>
      <c r="E50" s="47"/>
    </row>
    <row r="51" spans="2:5" ht="23.25" customHeight="1" x14ac:dyDescent="0.2">
      <c r="B51" s="48"/>
      <c r="C51" s="106"/>
      <c r="D51" s="106"/>
      <c r="E51" s="106"/>
    </row>
    <row r="52" spans="2:5" x14ac:dyDescent="0.2">
      <c r="B52" s="52"/>
      <c r="C52" s="53"/>
      <c r="D52" s="53"/>
      <c r="E52" s="54"/>
    </row>
  </sheetData>
  <autoFilter ref="A9:I30"/>
  <mergeCells count="17">
    <mergeCell ref="B2:H2"/>
    <mergeCell ref="A4:B4"/>
    <mergeCell ref="C4:E4"/>
    <mergeCell ref="A5:B5"/>
    <mergeCell ref="C5:E5"/>
    <mergeCell ref="K25:M27"/>
    <mergeCell ref="C47:E47"/>
    <mergeCell ref="C49:E49"/>
    <mergeCell ref="C51:E51"/>
    <mergeCell ref="A6:B6"/>
    <mergeCell ref="A7:B7"/>
    <mergeCell ref="C42:E42"/>
    <mergeCell ref="C44:E44"/>
    <mergeCell ref="C45:E45"/>
    <mergeCell ref="C32:E32"/>
    <mergeCell ref="C33:E33"/>
    <mergeCell ref="C34:E34"/>
  </mergeCells>
  <conditionalFormatting sqref="E16">
    <cfRule type="cellIs" dxfId="5" priority="6" operator="equal">
      <formula>"duplicar"</formula>
    </cfRule>
  </conditionalFormatting>
  <conditionalFormatting sqref="E16">
    <cfRule type="duplicateValues" dxfId="4" priority="3"/>
    <cfRule type="duplicateValues" dxfId="3" priority="4"/>
    <cfRule type="cellIs" dxfId="2" priority="5" operator="equal">
      <formula>"calibra"</formula>
    </cfRule>
  </conditionalFormatting>
  <conditionalFormatting sqref="E27 E22:E25">
    <cfRule type="cellIs" dxfId="1" priority="2" operator="equal">
      <formula>"calibra"</formula>
    </cfRule>
  </conditionalFormatting>
  <conditionalFormatting sqref="E27 E22:E25">
    <cfRule type="cellIs" dxfId="0" priority="1" operator="equal">
      <formula>"duplicado"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3"/>
  <sheetViews>
    <sheetView topLeftCell="A11" zoomScale="70" zoomScaleNormal="70" workbookViewId="0">
      <selection activeCell="P26" sqref="P2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5" t="s">
        <v>19</v>
      </c>
      <c r="B1" s="125"/>
      <c r="C1" s="125"/>
      <c r="D1" s="125"/>
      <c r="E1" s="125"/>
      <c r="F1" s="125"/>
      <c r="G1" s="125"/>
      <c r="H1" s="125"/>
      <c r="I1" s="125"/>
      <c r="J1" s="3" t="s">
        <v>20</v>
      </c>
      <c r="K1" s="65" t="s">
        <v>95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6" t="s">
        <v>53</v>
      </c>
      <c r="B3" s="126"/>
      <c r="C3" s="126"/>
      <c r="D3" s="127" t="str">
        <f>'Necesidades Trimestrales'!C4</f>
        <v>40 - Ministerio de Salud</v>
      </c>
      <c r="E3" s="127"/>
      <c r="F3" s="127"/>
      <c r="G3" s="127"/>
      <c r="H3" s="127"/>
      <c r="I3" s="127"/>
      <c r="J3" s="127"/>
      <c r="K3" s="127"/>
    </row>
    <row r="4" spans="1:11" ht="18.75" customHeight="1" thickBot="1" x14ac:dyDescent="0.25">
      <c r="A4" s="128" t="s">
        <v>54</v>
      </c>
      <c r="B4" s="128"/>
      <c r="C4" s="128"/>
      <c r="D4" s="127" t="str">
        <f>'Necesidades Trimestrales'!C5</f>
        <v>23 - Hospital Interzonal San Juan Bautista</v>
      </c>
      <c r="E4" s="127"/>
      <c r="F4" s="127"/>
      <c r="G4" s="127"/>
      <c r="H4" s="127"/>
      <c r="I4" s="127"/>
      <c r="J4" s="127"/>
      <c r="K4" s="127"/>
    </row>
    <row r="5" spans="1:11" ht="18.75" customHeight="1" thickBot="1" x14ac:dyDescent="0.25">
      <c r="A5" s="128" t="s">
        <v>32</v>
      </c>
      <c r="B5" s="128"/>
      <c r="C5" s="128"/>
      <c r="D5" s="127" t="s">
        <v>59</v>
      </c>
      <c r="E5" s="127"/>
      <c r="F5" s="127"/>
      <c r="G5" s="127"/>
      <c r="H5" s="127"/>
      <c r="I5" s="127"/>
      <c r="J5" s="127"/>
      <c r="K5" s="127"/>
    </row>
    <row r="6" spans="1:11" ht="16.5" customHeight="1" thickBot="1" x14ac:dyDescent="0.25">
      <c r="A6" s="126" t="s">
        <v>55</v>
      </c>
      <c r="B6" s="126"/>
      <c r="C6" s="126"/>
      <c r="D6" s="127" t="s">
        <v>96</v>
      </c>
      <c r="E6" s="127"/>
      <c r="F6" s="127"/>
      <c r="G6" s="127"/>
      <c r="H6" s="127"/>
      <c r="I6" s="127"/>
      <c r="J6" s="127"/>
      <c r="K6" s="127"/>
    </row>
    <row r="7" spans="1:11" ht="16.5" customHeight="1" x14ac:dyDescent="0.2">
      <c r="A7" s="128" t="s">
        <v>21</v>
      </c>
      <c r="B7" s="128"/>
      <c r="C7" s="128"/>
      <c r="D7" s="127" t="str">
        <f>'Necesidades Trimestrales'!C7 &amp; "° Trimestre - Año " &amp; 'Necesidades Trimestrales'!C6</f>
        <v>2° Trimestre - Año 2022</v>
      </c>
      <c r="E7" s="127"/>
      <c r="F7" s="127"/>
      <c r="G7" s="127"/>
      <c r="H7" s="127"/>
      <c r="I7" s="127"/>
      <c r="J7" s="127"/>
      <c r="K7" s="127"/>
    </row>
    <row r="8" spans="1:11" ht="16.5" customHeight="1" x14ac:dyDescent="0.2">
      <c r="A8" s="120" t="s">
        <v>22</v>
      </c>
      <c r="B8" s="120"/>
      <c r="C8" s="120"/>
      <c r="D8" s="121" t="s">
        <v>98</v>
      </c>
      <c r="E8" s="121"/>
      <c r="F8" s="121"/>
      <c r="G8" s="121"/>
      <c r="H8" s="121"/>
      <c r="I8" s="121"/>
      <c r="J8" s="121"/>
      <c r="K8" s="121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22" t="s">
        <v>23</v>
      </c>
      <c r="B10" s="123" t="s">
        <v>24</v>
      </c>
      <c r="C10" s="123" t="s">
        <v>25</v>
      </c>
      <c r="D10" s="123"/>
      <c r="E10" s="123"/>
      <c r="F10" s="123"/>
      <c r="G10" s="123"/>
      <c r="H10" s="123" t="s">
        <v>26</v>
      </c>
      <c r="I10" s="123" t="s">
        <v>27</v>
      </c>
      <c r="J10" s="123" t="s">
        <v>28</v>
      </c>
      <c r="K10" s="124" t="s">
        <v>29</v>
      </c>
    </row>
    <row r="11" spans="1:11" ht="24" customHeight="1" thickBot="1" x14ac:dyDescent="0.25">
      <c r="A11" s="122"/>
      <c r="B11" s="123"/>
      <c r="C11" s="123"/>
      <c r="D11" s="123"/>
      <c r="E11" s="123"/>
      <c r="F11" s="123"/>
      <c r="G11" s="123"/>
      <c r="H11" s="123"/>
      <c r="I11" s="123"/>
      <c r="J11" s="123"/>
      <c r="K11" s="124"/>
    </row>
    <row r="12" spans="1:11" ht="20.25" customHeight="1" thickBot="1" x14ac:dyDescent="0.25">
      <c r="A12" s="8">
        <v>1</v>
      </c>
      <c r="B12" s="66">
        <f>'Necesidades Trimestrales'!B10</f>
        <v>0</v>
      </c>
      <c r="C12" s="117" t="str">
        <f>'Necesidades Trimestrales'!E10</f>
        <v>2010 ASSAY CUP 60 X 60</v>
      </c>
      <c r="D12" s="117"/>
      <c r="E12" s="117"/>
      <c r="F12" s="117"/>
      <c r="G12" s="117"/>
      <c r="H12" s="67" t="s">
        <v>56</v>
      </c>
      <c r="I12" s="68" t="str">
        <f>'Necesidades Trimestrales'!F10</f>
        <v xml:space="preserve">CAJA </v>
      </c>
      <c r="J12" s="69">
        <f>'Necesidades Trimestrales'!H10</f>
        <v>33494</v>
      </c>
      <c r="K12" s="70">
        <f>'Necesidades Trimestrales'!G10</f>
        <v>6</v>
      </c>
    </row>
    <row r="13" spans="1:11" ht="20.25" customHeight="1" thickBot="1" x14ac:dyDescent="0.25">
      <c r="A13" s="8">
        <v>2</v>
      </c>
      <c r="B13" s="66">
        <f>'Necesidades Trimestrales'!B11</f>
        <v>0</v>
      </c>
      <c r="C13" s="117" t="str">
        <f>'Necesidades Trimestrales'!E11</f>
        <v>2010 ASSAY TIP 30 X 120</v>
      </c>
      <c r="D13" s="117"/>
      <c r="E13" s="117"/>
      <c r="F13" s="117"/>
      <c r="G13" s="117"/>
      <c r="H13" s="67" t="s">
        <v>56</v>
      </c>
      <c r="I13" s="68" t="str">
        <f>'Necesidades Trimestrales'!F11</f>
        <v xml:space="preserve">CAJA </v>
      </c>
      <c r="J13" s="69">
        <f>'Necesidades Trimestrales'!H11</f>
        <v>24885</v>
      </c>
      <c r="K13" s="70">
        <f>'Necesidades Trimestrales'!G11</f>
        <v>3</v>
      </c>
    </row>
    <row r="14" spans="1:11" ht="20.25" customHeight="1" thickBot="1" x14ac:dyDescent="0.25">
      <c r="A14" s="8">
        <v>3</v>
      </c>
      <c r="B14" s="66">
        <f>'Necesidades Trimestrales'!B12</f>
        <v>0</v>
      </c>
      <c r="C14" s="117" t="str">
        <f>'Necesidades Trimestrales'!E12</f>
        <v xml:space="preserve">AMPOULER PARA COBAS B221 - caja x 150 unidades </v>
      </c>
      <c r="D14" s="117"/>
      <c r="E14" s="117"/>
      <c r="F14" s="117"/>
      <c r="G14" s="117"/>
      <c r="H14" s="67" t="s">
        <v>56</v>
      </c>
      <c r="I14" s="68" t="str">
        <f>'Necesidades Trimestrales'!F12</f>
        <v xml:space="preserve">CAJA </v>
      </c>
      <c r="J14" s="69">
        <f>'Necesidades Trimestrales'!H12</f>
        <v>7577</v>
      </c>
      <c r="K14" s="70">
        <f>'Necesidades Trimestrales'!G12</f>
        <v>4</v>
      </c>
    </row>
    <row r="15" spans="1:11" ht="20.25" customHeight="1" thickBot="1" x14ac:dyDescent="0.25">
      <c r="A15" s="8">
        <v>4</v>
      </c>
      <c r="B15" s="66">
        <f>'Necesidades Trimestrales'!B13</f>
        <v>0</v>
      </c>
      <c r="C15" s="117" t="str">
        <f>'Necesidades Trimestrales'!E13</f>
        <v>CLOT CATCHER P COBAS B221 CAJA X 250 UNIDADES</v>
      </c>
      <c r="D15" s="117"/>
      <c r="E15" s="117"/>
      <c r="F15" s="117"/>
      <c r="G15" s="117"/>
      <c r="H15" s="67" t="s">
        <v>56</v>
      </c>
      <c r="I15" s="68" t="str">
        <f>'Necesidades Trimestrales'!F13</f>
        <v xml:space="preserve">CAJA </v>
      </c>
      <c r="J15" s="69">
        <f>'Necesidades Trimestrales'!H13</f>
        <v>2121</v>
      </c>
      <c r="K15" s="70">
        <f>'Necesidades Trimestrales'!G13</f>
        <v>26</v>
      </c>
    </row>
    <row r="16" spans="1:11" ht="20.25" customHeight="1" thickBot="1" x14ac:dyDescent="0.25">
      <c r="A16" s="8">
        <v>5</v>
      </c>
      <c r="B16" s="66">
        <f>'Necesidades Trimestrales'!B14</f>
        <v>0</v>
      </c>
      <c r="C16" s="117" t="str">
        <f>'Necesidades Trimestrales'!E14</f>
        <v xml:space="preserve">CONTENEDOR DE RESIDUOS X 2 UNIDADES P/COBAS B221 WASTE CONTAINER </v>
      </c>
      <c r="D16" s="117"/>
      <c r="E16" s="117"/>
      <c r="F16" s="117"/>
      <c r="G16" s="117"/>
      <c r="H16" s="67" t="s">
        <v>56</v>
      </c>
      <c r="I16" s="68" t="str">
        <f>'Necesidades Trimestrales'!F14</f>
        <v xml:space="preserve">CAJA </v>
      </c>
      <c r="J16" s="69">
        <f>'Necesidades Trimestrales'!H14</f>
        <v>8147</v>
      </c>
      <c r="K16" s="70">
        <f>'Necesidades Trimestrales'!G14</f>
        <v>2</v>
      </c>
    </row>
    <row r="17" spans="1:11" ht="20.25" customHeight="1" thickBot="1" x14ac:dyDescent="0.25">
      <c r="A17" s="8">
        <v>6</v>
      </c>
      <c r="B17" s="66">
        <f>'Necesidades Trimestrales'!B15</f>
        <v>0</v>
      </c>
      <c r="C17" s="117" t="str">
        <f>'Necesidades Trimestrales'!E15</f>
        <v xml:space="preserve">CUBETAS DE REACCION P/COAGULOMETRO CUATRON X 500 UNIDADES </v>
      </c>
      <c r="D17" s="117"/>
      <c r="E17" s="117"/>
      <c r="F17" s="117"/>
      <c r="G17" s="117"/>
      <c r="H17" s="67" t="s">
        <v>56</v>
      </c>
      <c r="I17" s="68" t="str">
        <f>'Necesidades Trimestrales'!F15</f>
        <v xml:space="preserve">CAJA </v>
      </c>
      <c r="J17" s="69">
        <f>'Necesidades Trimestrales'!H15</f>
        <v>14000</v>
      </c>
      <c r="K17" s="70">
        <f>'Necesidades Trimestrales'!G15</f>
        <v>30</v>
      </c>
    </row>
    <row r="18" spans="1:11" ht="20.25" customHeight="1" thickBot="1" x14ac:dyDescent="0.25">
      <c r="A18" s="8">
        <v>7</v>
      </c>
      <c r="B18" s="66">
        <f>'Necesidades Trimestrales'!B16</f>
        <v>0</v>
      </c>
      <c r="C18" s="117" t="str">
        <f>'Necesidades Trimestrales'!E16</f>
        <v>Descartador de Agujas x 1Ltrs. Boca ancha</v>
      </c>
      <c r="D18" s="117"/>
      <c r="E18" s="117"/>
      <c r="F18" s="117"/>
      <c r="G18" s="117"/>
      <c r="H18" s="67" t="s">
        <v>56</v>
      </c>
      <c r="I18" s="68" t="str">
        <f>'Necesidades Trimestrales'!F16</f>
        <v xml:space="preserve">UNIDAD </v>
      </c>
      <c r="J18" s="69">
        <f>'Necesidades Trimestrales'!H16</f>
        <v>180</v>
      </c>
      <c r="K18" s="70">
        <f>'Necesidades Trimestrales'!G16</f>
        <v>100</v>
      </c>
    </row>
    <row r="19" spans="1:11" ht="20.25" customHeight="1" thickBot="1" x14ac:dyDescent="0.25">
      <c r="A19" s="8">
        <v>8</v>
      </c>
      <c r="B19" s="66">
        <f>'Necesidades Trimestrales'!B17</f>
        <v>0</v>
      </c>
      <c r="C19" s="117" t="str">
        <f>'Necesidades Trimestrales'!E17</f>
        <v>Eppendorft 1,5 ul tipo Deltalab X 1000 UNIDADES</v>
      </c>
      <c r="D19" s="117"/>
      <c r="E19" s="117"/>
      <c r="F19" s="117"/>
      <c r="G19" s="117"/>
      <c r="H19" s="67" t="s">
        <v>56</v>
      </c>
      <c r="I19" s="68" t="str">
        <f>'Necesidades Trimestrales'!F17</f>
        <v xml:space="preserve">BOLSA </v>
      </c>
      <c r="J19" s="69">
        <f>'Necesidades Trimestrales'!H17</f>
        <v>4237</v>
      </c>
      <c r="K19" s="70">
        <f>'Necesidades Trimestrales'!G17</f>
        <v>12</v>
      </c>
    </row>
    <row r="20" spans="1:11" ht="20.25" customHeight="1" thickBot="1" x14ac:dyDescent="0.25">
      <c r="A20" s="8">
        <v>9</v>
      </c>
      <c r="B20" s="66">
        <f>'Necesidades Trimestrales'!B18</f>
        <v>0</v>
      </c>
      <c r="C20" s="117" t="str">
        <f>'Necesidades Trimestrales'!E18</f>
        <v>Etiquetas Rollo tipo Itecrap 8 cm x 2,5 cm con estampilla</v>
      </c>
      <c r="D20" s="117"/>
      <c r="E20" s="117"/>
      <c r="F20" s="117"/>
      <c r="G20" s="117"/>
      <c r="H20" s="67" t="s">
        <v>56</v>
      </c>
      <c r="I20" s="68" t="str">
        <f>'Necesidades Trimestrales'!F18</f>
        <v>ROLLO</v>
      </c>
      <c r="J20" s="69">
        <f>'Necesidades Trimestrales'!H18</f>
        <v>1300</v>
      </c>
      <c r="K20" s="70">
        <f>'Necesidades Trimestrales'!G18</f>
        <v>40</v>
      </c>
    </row>
    <row r="21" spans="1:11" ht="20.25" customHeight="1" thickBot="1" x14ac:dyDescent="0.25">
      <c r="A21" s="8">
        <v>10</v>
      </c>
      <c r="B21" s="66">
        <f>'Necesidades Trimestrales'!B19</f>
        <v>0</v>
      </c>
      <c r="C21" s="117" t="str">
        <f>'Necesidades Trimestrales'!E19</f>
        <v xml:space="preserve">HISOPOS DE MADERA BOLSA X 100 UNIDADES </v>
      </c>
      <c r="D21" s="117"/>
      <c r="E21" s="117"/>
      <c r="F21" s="117"/>
      <c r="G21" s="117"/>
      <c r="H21" s="67" t="s">
        <v>56</v>
      </c>
      <c r="I21" s="68" t="str">
        <f>'Necesidades Trimestrales'!F19</f>
        <v xml:space="preserve">BOLSA </v>
      </c>
      <c r="J21" s="69">
        <f>'Necesidades Trimestrales'!H19</f>
        <v>163</v>
      </c>
      <c r="K21" s="70">
        <f>'Necesidades Trimestrales'!G19</f>
        <v>4</v>
      </c>
    </row>
    <row r="22" spans="1:11" ht="20.25" customHeight="1" thickBot="1" x14ac:dyDescent="0.25">
      <c r="A22" s="8">
        <v>11</v>
      </c>
      <c r="B22" s="66">
        <f>'Necesidades Trimestrales'!B20</f>
        <v>0</v>
      </c>
      <c r="C22" s="117" t="str">
        <f>'Necesidades Trimestrales'!E20</f>
        <v>MICROCOPAS DE MUESTRA P/COBAS C311 2 BOLSA X 450 UNIDADES</v>
      </c>
      <c r="D22" s="117"/>
      <c r="E22" s="117"/>
      <c r="F22" s="117"/>
      <c r="G22" s="117"/>
      <c r="H22" s="67" t="s">
        <v>56</v>
      </c>
      <c r="I22" s="68" t="str">
        <f>'Necesidades Trimestrales'!F20</f>
        <v xml:space="preserve">BOLSA </v>
      </c>
      <c r="J22" s="69">
        <f>'Necesidades Trimestrales'!H20</f>
        <v>8651</v>
      </c>
      <c r="K22" s="70">
        <f>'Necesidades Trimestrales'!G20</f>
        <v>5</v>
      </c>
    </row>
    <row r="23" spans="1:11" ht="20.25" customHeight="1" thickBot="1" x14ac:dyDescent="0.25">
      <c r="A23" s="8">
        <v>12</v>
      </c>
      <c r="B23" s="66">
        <f>'Necesidades Trimestrales'!B21</f>
        <v>0</v>
      </c>
      <c r="C23" s="117" t="str">
        <f>'Necesidades Trimestrales'!E21</f>
        <v>PAPEL TERMICO P/COBAS U411 (11 cm x 30 mts)</v>
      </c>
      <c r="D23" s="117"/>
      <c r="E23" s="117"/>
      <c r="F23" s="117"/>
      <c r="G23" s="117"/>
      <c r="H23" s="67" t="s">
        <v>56</v>
      </c>
      <c r="I23" s="68" t="str">
        <f>'Necesidades Trimestrales'!F21</f>
        <v>ROLLO</v>
      </c>
      <c r="J23" s="69">
        <f>'Necesidades Trimestrales'!H21</f>
        <v>410</v>
      </c>
      <c r="K23" s="70">
        <f>'Necesidades Trimestrales'!G21</f>
        <v>40</v>
      </c>
    </row>
    <row r="24" spans="1:11" ht="42" customHeight="1" thickBot="1" x14ac:dyDescent="0.25">
      <c r="A24" s="8">
        <v>13</v>
      </c>
      <c r="B24" s="66">
        <f>'Necesidades Trimestrales'!B22</f>
        <v>0</v>
      </c>
      <c r="C24" s="117" t="str">
        <f>'Necesidades Trimestrales'!E22</f>
        <v>PORTAOBJETOS P/LABORATORIO; PRESENTACION: CAJA X 50 UN, MEDIDA: 2,5 X 7,5 Cm, USO: LABORATORIO, MATERIAL: VIDRIO</v>
      </c>
      <c r="D24" s="117"/>
      <c r="E24" s="117"/>
      <c r="F24" s="117"/>
      <c r="G24" s="117"/>
      <c r="H24" s="67" t="s">
        <v>56</v>
      </c>
      <c r="I24" s="68" t="str">
        <f>'Necesidades Trimestrales'!F22</f>
        <v xml:space="preserve">CAJA </v>
      </c>
      <c r="J24" s="69">
        <f>'Necesidades Trimestrales'!H22</f>
        <v>172</v>
      </c>
      <c r="K24" s="70">
        <f>'Necesidades Trimestrales'!G22</f>
        <v>300</v>
      </c>
    </row>
    <row r="25" spans="1:11" ht="28.5" customHeight="1" thickBot="1" x14ac:dyDescent="0.25">
      <c r="A25" s="8">
        <v>14</v>
      </c>
      <c r="B25" s="66">
        <f>'Necesidades Trimestrales'!B23</f>
        <v>0</v>
      </c>
      <c r="C25" s="117" t="str">
        <f>'Necesidades Trimestrales'!E23</f>
        <v>Tips amarillos 5-200 ml ul con corona tipo Deltalab BOLSA X 1000</v>
      </c>
      <c r="D25" s="117"/>
      <c r="E25" s="117"/>
      <c r="F25" s="117"/>
      <c r="G25" s="117"/>
      <c r="H25" s="67" t="s">
        <v>56</v>
      </c>
      <c r="I25" s="68" t="str">
        <f>'Necesidades Trimestrales'!F23</f>
        <v xml:space="preserve">BOLSA </v>
      </c>
      <c r="J25" s="69">
        <f>'Necesidades Trimestrales'!H23</f>
        <v>1843</v>
      </c>
      <c r="K25" s="70">
        <f>'Necesidades Trimestrales'!G23</f>
        <v>6</v>
      </c>
    </row>
    <row r="26" spans="1:11" ht="42" customHeight="1" thickBot="1" x14ac:dyDescent="0.25">
      <c r="A26" s="8">
        <v>15</v>
      </c>
      <c r="B26" s="66">
        <f>'Necesidades Trimestrales'!B24</f>
        <v>0</v>
      </c>
      <c r="C26" s="117" t="str">
        <f>'Necesidades Trimestrales'!E24</f>
        <v>Tips azules con corona 5- 1000 ul tipo Deltalab BOLSA X 1000</v>
      </c>
      <c r="D26" s="117"/>
      <c r="E26" s="117"/>
      <c r="F26" s="117"/>
      <c r="G26" s="117"/>
      <c r="H26" s="67" t="s">
        <v>56</v>
      </c>
      <c r="I26" s="68" t="str">
        <f>'Necesidades Trimestrales'!F24</f>
        <v xml:space="preserve">BOLSA </v>
      </c>
      <c r="J26" s="69">
        <f>'Necesidades Trimestrales'!H24</f>
        <v>2641</v>
      </c>
      <c r="K26" s="70">
        <f>'Necesidades Trimestrales'!G24</f>
        <v>3</v>
      </c>
    </row>
    <row r="27" spans="1:11" ht="20.25" customHeight="1" thickBot="1" x14ac:dyDescent="0.25">
      <c r="A27" s="8">
        <v>16</v>
      </c>
      <c r="B27" s="66">
        <f>'Necesidades Trimestrales'!B25</f>
        <v>0</v>
      </c>
      <c r="C27" s="117" t="str">
        <f>'Necesidades Trimestrales'!E25</f>
        <v>TUBOS CON CITRATO AL VACIO 3,2% X 2,7 ML, TIPO BD , TAPA CELESTE</v>
      </c>
      <c r="D27" s="117"/>
      <c r="E27" s="117"/>
      <c r="F27" s="117"/>
      <c r="G27" s="117"/>
      <c r="H27" s="67" t="s">
        <v>56</v>
      </c>
      <c r="I27" s="68" t="str">
        <f>'Necesidades Trimestrales'!F25</f>
        <v xml:space="preserve">UNIDAD </v>
      </c>
      <c r="J27" s="69">
        <f>'Necesidades Trimestrales'!H25</f>
        <v>23</v>
      </c>
      <c r="K27" s="70">
        <f>'Necesidades Trimestrales'!G25</f>
        <v>6000</v>
      </c>
    </row>
    <row r="28" spans="1:11" ht="20.25" customHeight="1" thickBot="1" x14ac:dyDescent="0.25">
      <c r="A28" s="8">
        <v>17</v>
      </c>
      <c r="B28" s="66">
        <f>'Necesidades Trimestrales'!B26</f>
        <v>0</v>
      </c>
      <c r="C28" s="117" t="str">
        <f>'Necesidades Trimestrales'!E26</f>
        <v xml:space="preserve">TUBOS CON EDTA AL VACIO X 2 MLTIPO BD  TAPA LILA </v>
      </c>
      <c r="D28" s="117"/>
      <c r="E28" s="117"/>
      <c r="F28" s="117"/>
      <c r="G28" s="117"/>
      <c r="H28" s="67" t="s">
        <v>56</v>
      </c>
      <c r="I28" s="68" t="str">
        <f>'Necesidades Trimestrales'!F26</f>
        <v xml:space="preserve">UNIDAD </v>
      </c>
      <c r="J28" s="69">
        <f>'Necesidades Trimestrales'!H26</f>
        <v>24.2</v>
      </c>
      <c r="K28" s="70">
        <f>'Necesidades Trimestrales'!G26</f>
        <v>36000</v>
      </c>
    </row>
    <row r="29" spans="1:11" ht="20.25" customHeight="1" thickBot="1" x14ac:dyDescent="0.25">
      <c r="A29" s="8">
        <v>18</v>
      </c>
      <c r="B29" s="66">
        <f>'Necesidades Trimestrales'!B27</f>
        <v>0</v>
      </c>
      <c r="C29" s="117" t="str">
        <f>'Necesidades Trimestrales'!E27</f>
        <v xml:space="preserve">TUBOS CON GEL AL VACIO 3,5 ML, TIPO BD , TAPA AMARILLA </v>
      </c>
      <c r="D29" s="117"/>
      <c r="E29" s="117"/>
      <c r="F29" s="117"/>
      <c r="G29" s="117"/>
      <c r="H29" s="67" t="s">
        <v>56</v>
      </c>
      <c r="I29" s="68" t="str">
        <f>'Necesidades Trimestrales'!F27</f>
        <v xml:space="preserve">UNIDAD </v>
      </c>
      <c r="J29" s="69">
        <f>'Necesidades Trimestrales'!H27</f>
        <v>36</v>
      </c>
      <c r="K29" s="70">
        <f>'Necesidades Trimestrales'!G27</f>
        <v>60000</v>
      </c>
    </row>
    <row r="30" spans="1:11" ht="20.25" customHeight="1" thickBot="1" x14ac:dyDescent="0.25">
      <c r="A30" s="8">
        <v>19</v>
      </c>
      <c r="B30" s="66">
        <f>'Necesidades Trimestrales'!B28</f>
        <v>0</v>
      </c>
      <c r="C30" s="117" t="str">
        <f>'Necesidades Trimestrales'!E28</f>
        <v>Cepillos de cerda chicos para limpieza de tubos de khan</v>
      </c>
      <c r="D30" s="117"/>
      <c r="E30" s="117"/>
      <c r="F30" s="117"/>
      <c r="G30" s="117"/>
      <c r="H30" s="67" t="s">
        <v>56</v>
      </c>
      <c r="I30" s="68" t="str">
        <f>'Necesidades Trimestrales'!F28</f>
        <v xml:space="preserve">UNIDAD </v>
      </c>
      <c r="J30" s="69">
        <f>'Necesidades Trimestrales'!H28</f>
        <v>200</v>
      </c>
      <c r="K30" s="70">
        <f>'Necesidades Trimestrales'!G28</f>
        <v>10</v>
      </c>
    </row>
    <row r="31" spans="1:11" ht="20.25" customHeight="1" thickBot="1" x14ac:dyDescent="0.25">
      <c r="A31" s="8">
        <v>20</v>
      </c>
      <c r="B31" s="66">
        <f>'Necesidades Trimestrales'!B29</f>
        <v>0</v>
      </c>
      <c r="C31" s="117" t="str">
        <f>'Necesidades Trimestrales'!E29</f>
        <v>Tubos de ensayo largos de vidrio</v>
      </c>
      <c r="D31" s="117"/>
      <c r="E31" s="117"/>
      <c r="F31" s="117"/>
      <c r="G31" s="117"/>
      <c r="H31" s="67" t="s">
        <v>56</v>
      </c>
      <c r="I31" s="68" t="str">
        <f>'Necesidades Trimestrales'!F29</f>
        <v xml:space="preserve">UNIDAD </v>
      </c>
      <c r="J31" s="69">
        <f>'Necesidades Trimestrales'!H29</f>
        <v>60</v>
      </c>
      <c r="K31" s="70">
        <f>'Necesidades Trimestrales'!G29</f>
        <v>200</v>
      </c>
    </row>
    <row r="32" spans="1:11" ht="24.75" customHeight="1" thickBot="1" x14ac:dyDescent="0.25">
      <c r="A32" s="8">
        <v>21</v>
      </c>
      <c r="B32" s="66">
        <f>'Necesidades Trimestrales'!B30</f>
        <v>0</v>
      </c>
      <c r="C32" s="117" t="str">
        <f>'Necesidades Trimestrales'!E30</f>
        <v xml:space="preserve">Frascos Hemocultivo BD BACTEC Plus/Aerobic/F culture vials x 30ml CAJA X 50 unidades </v>
      </c>
      <c r="D32" s="117"/>
      <c r="E32" s="117"/>
      <c r="F32" s="117"/>
      <c r="G32" s="117"/>
      <c r="H32" s="67" t="s">
        <v>56</v>
      </c>
      <c r="I32" s="68" t="str">
        <f>'Necesidades Trimestrales'!F30</f>
        <v xml:space="preserve">CAJA </v>
      </c>
      <c r="J32" s="69">
        <f>'Necesidades Trimestrales'!H30</f>
        <v>65585</v>
      </c>
      <c r="K32" s="70">
        <f>'Necesidades Trimestrales'!G30</f>
        <v>15</v>
      </c>
    </row>
    <row r="33" spans="1:1024" ht="28.5" customHeight="1" thickBot="1" x14ac:dyDescent="0.25">
      <c r="A33" s="118" t="s">
        <v>101</v>
      </c>
      <c r="B33" s="118"/>
      <c r="C33" s="118"/>
      <c r="D33" s="118"/>
      <c r="E33" s="118"/>
      <c r="F33" s="118"/>
      <c r="G33" s="118"/>
      <c r="H33" s="118"/>
      <c r="I33" s="118"/>
      <c r="J33" s="119">
        <f>SUMPRODUCT(J12:J32,K12:K32)</f>
        <v>5216074</v>
      </c>
      <c r="K33" s="119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</sheetData>
  <mergeCells count="4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3:I33"/>
    <mergeCell ref="J33:K33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32:G32"/>
    <mergeCell ref="C27:G27"/>
    <mergeCell ref="C28:G28"/>
    <mergeCell ref="C29:G29"/>
    <mergeCell ref="C30:G30"/>
    <mergeCell ref="C31:G3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topLeftCell="A10" zoomScale="130" zoomScaleNormal="130" workbookViewId="0">
      <selection activeCell="S5" sqref="S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53" t="s">
        <v>3</v>
      </c>
      <c r="B1" s="153"/>
      <c r="C1" s="153"/>
      <c r="D1" s="154">
        <f>'Necesidades Trimestrales'!C6</f>
        <v>2022</v>
      </c>
      <c r="E1" s="154"/>
      <c r="F1" s="10"/>
      <c r="G1" s="10"/>
      <c r="H1" s="11"/>
      <c r="I1" s="11"/>
      <c r="J1" s="11"/>
      <c r="K1" s="11"/>
      <c r="L1" s="11"/>
      <c r="M1" s="11"/>
      <c r="N1" s="11"/>
      <c r="P1" s="155" t="s">
        <v>30</v>
      </c>
      <c r="Q1" s="155"/>
    </row>
    <row r="2" spans="1:19" ht="15.75" customHeight="1" x14ac:dyDescent="0.2">
      <c r="H2" s="11"/>
      <c r="I2" s="11"/>
      <c r="J2" s="11"/>
      <c r="K2" s="11"/>
      <c r="L2" s="11"/>
      <c r="M2" s="11"/>
      <c r="N2" s="11"/>
      <c r="P2" s="155"/>
      <c r="Q2" s="155"/>
    </row>
    <row r="4" spans="1:19" s="12" customFormat="1" ht="18" customHeight="1" thickBot="1" x14ac:dyDescent="0.25">
      <c r="A4" s="156" t="s">
        <v>31</v>
      </c>
      <c r="B4" s="156"/>
      <c r="C4" s="156"/>
      <c r="D4" s="156"/>
      <c r="E4" s="156"/>
      <c r="F4" s="156"/>
      <c r="G4" s="151" t="str">
        <f>NotaPedido!D3</f>
        <v>40 - Ministerio de Salud</v>
      </c>
      <c r="H4" s="151"/>
      <c r="I4" s="151"/>
      <c r="J4" s="151"/>
      <c r="K4" s="151"/>
      <c r="L4" s="151"/>
      <c r="M4" s="151"/>
      <c r="N4" s="151"/>
      <c r="O4" s="151"/>
      <c r="P4" s="151"/>
      <c r="Q4" s="151"/>
    </row>
    <row r="5" spans="1:19" s="12" customFormat="1" ht="18" customHeight="1" thickBot="1" x14ac:dyDescent="0.25">
      <c r="A5" s="148" t="s">
        <v>54</v>
      </c>
      <c r="B5" s="149"/>
      <c r="C5" s="149"/>
      <c r="D5" s="149"/>
      <c r="E5" s="149"/>
      <c r="F5" s="150"/>
      <c r="G5" s="151" t="str">
        <f>NotaPedido!D4</f>
        <v>23 - Hospital Interzonal San Juan Bautista</v>
      </c>
      <c r="H5" s="151"/>
      <c r="I5" s="151"/>
      <c r="J5" s="151"/>
      <c r="K5" s="151"/>
      <c r="L5" s="151"/>
      <c r="M5" s="151"/>
      <c r="N5" s="151"/>
      <c r="O5" s="151"/>
      <c r="P5" s="151"/>
      <c r="Q5" s="151"/>
    </row>
    <row r="6" spans="1:19" s="12" customFormat="1" ht="18" customHeight="1" thickBot="1" x14ac:dyDescent="0.25">
      <c r="A6" s="148" t="s">
        <v>32</v>
      </c>
      <c r="B6" s="149"/>
      <c r="C6" s="149"/>
      <c r="D6" s="149"/>
      <c r="E6" s="149"/>
      <c r="F6" s="150"/>
      <c r="G6" s="151" t="str">
        <f>NotaPedido!D5</f>
        <v>168 - Direccion Asistencial</v>
      </c>
      <c r="H6" s="151"/>
      <c r="I6" s="151"/>
      <c r="J6" s="151"/>
      <c r="K6" s="151"/>
      <c r="L6" s="151"/>
      <c r="M6" s="151"/>
      <c r="N6" s="151"/>
      <c r="O6" s="151"/>
      <c r="P6" s="151"/>
      <c r="Q6" s="151"/>
    </row>
    <row r="7" spans="1:19" s="12" customFormat="1" ht="18" customHeight="1" thickBot="1" x14ac:dyDescent="0.25">
      <c r="A7" s="148" t="s">
        <v>55</v>
      </c>
      <c r="B7" s="149"/>
      <c r="C7" s="149"/>
      <c r="D7" s="149"/>
      <c r="E7" s="149"/>
      <c r="F7" s="150"/>
      <c r="G7" s="151" t="str">
        <f>NotaPedido!D6</f>
        <v>Servicio de Laboratorio Central y Bacteriologia</v>
      </c>
      <c r="H7" s="151"/>
      <c r="I7" s="151"/>
      <c r="J7" s="151"/>
      <c r="K7" s="151"/>
      <c r="L7" s="151"/>
      <c r="M7" s="151"/>
      <c r="N7" s="151"/>
      <c r="O7" s="151"/>
      <c r="P7" s="151"/>
      <c r="Q7" s="151"/>
    </row>
    <row r="8" spans="1:19" ht="18" customHeight="1" thickBot="1" x14ac:dyDescent="0.25">
      <c r="A8" s="152" t="s">
        <v>33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9" ht="18" customHeight="1" x14ac:dyDescent="0.2">
      <c r="A9" s="142" t="s">
        <v>34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"/>
      <c r="P9" s="1"/>
      <c r="Q9" s="13"/>
    </row>
    <row r="10" spans="1:19" ht="54.75" customHeight="1" x14ac:dyDescent="0.2">
      <c r="A10" s="14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045 - 2022,  afectando la erogación resultante a los créditos presupuestarios aprobados a favor de esta Unidad Ejecutora, conforme al siguiente detalle: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9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9" ht="15.75" customHeight="1" x14ac:dyDescent="0.2">
      <c r="A12" s="144" t="s">
        <v>35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9" ht="15.75" customHeight="1" x14ac:dyDescent="0.2">
      <c r="A13" s="145" t="s">
        <v>36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37</v>
      </c>
      <c r="P13" s="146"/>
      <c r="Q13" s="147" t="s">
        <v>38</v>
      </c>
    </row>
    <row r="14" spans="1:19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46"/>
      <c r="P14" s="146"/>
      <c r="Q14" s="147"/>
    </row>
    <row r="15" spans="1:19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61</v>
      </c>
      <c r="I15" s="76">
        <v>2</v>
      </c>
      <c r="J15" s="76">
        <v>3</v>
      </c>
      <c r="K15" s="76">
        <v>4</v>
      </c>
      <c r="L15" s="74"/>
      <c r="M15" s="77">
        <v>1</v>
      </c>
      <c r="N15" s="75" t="s">
        <v>62</v>
      </c>
      <c r="O15" s="135" t="s">
        <v>97</v>
      </c>
      <c r="P15" s="135"/>
      <c r="Q15" s="23">
        <v>52000</v>
      </c>
    </row>
    <row r="16" spans="1:19" ht="17.25" customHeight="1" x14ac:dyDescent="0.2">
      <c r="A16" s="24">
        <v>33</v>
      </c>
      <c r="B16" s="25"/>
      <c r="C16" s="25"/>
      <c r="D16" s="25">
        <v>2</v>
      </c>
      <c r="E16" s="25"/>
      <c r="F16" s="27">
        <v>4901</v>
      </c>
      <c r="G16" s="25">
        <v>3</v>
      </c>
      <c r="H16" s="71" t="s">
        <v>61</v>
      </c>
      <c r="I16" s="25">
        <v>2</v>
      </c>
      <c r="J16" s="25">
        <v>9</v>
      </c>
      <c r="K16" s="25">
        <v>5</v>
      </c>
      <c r="L16" s="25"/>
      <c r="M16" s="26">
        <v>1</v>
      </c>
      <c r="N16" s="72" t="s">
        <v>62</v>
      </c>
      <c r="O16" s="136" t="s">
        <v>63</v>
      </c>
      <c r="P16" s="136"/>
      <c r="Q16" s="28">
        <v>5164074</v>
      </c>
      <c r="S16" s="78"/>
    </row>
    <row r="17" spans="1:18" ht="17.25" customHeight="1" x14ac:dyDescent="0.2">
      <c r="A17" s="24"/>
      <c r="B17" s="25"/>
      <c r="C17" s="25"/>
      <c r="D17" s="25"/>
      <c r="E17" s="25"/>
      <c r="F17" s="25"/>
      <c r="G17" s="25"/>
      <c r="H17" s="71"/>
      <c r="I17" s="25"/>
      <c r="J17" s="25"/>
      <c r="K17" s="25"/>
      <c r="L17" s="25"/>
      <c r="M17" s="26"/>
      <c r="N17" s="72"/>
      <c r="O17" s="137"/>
      <c r="P17" s="130"/>
      <c r="Q17" s="28"/>
    </row>
    <row r="18" spans="1:18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30"/>
      <c r="P18" s="130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30"/>
      <c r="P19" s="130"/>
      <c r="Q19" s="28"/>
    </row>
    <row r="20" spans="1:18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31"/>
      <c r="P20" s="131"/>
      <c r="Q20" s="28"/>
      <c r="R20" s="1"/>
    </row>
    <row r="21" spans="1:18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32"/>
      <c r="P21" s="132"/>
      <c r="Q21" s="37"/>
    </row>
    <row r="22" spans="1:18" ht="20.25" customHeight="1" x14ac:dyDescent="0.2">
      <c r="A22" s="133" t="s">
        <v>102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38">
        <f>SUM(Q15:Q21)</f>
        <v>5216074</v>
      </c>
    </row>
    <row r="23" spans="1:18" ht="18" customHeight="1" thickBot="1" x14ac:dyDescent="0.25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</row>
    <row r="24" spans="1:18" ht="17.25" customHeight="1" thickBot="1" x14ac:dyDescent="0.25">
      <c r="A24" s="138" t="s">
        <v>52</v>
      </c>
      <c r="B24" s="139"/>
      <c r="C24" s="139"/>
      <c r="D24" s="139"/>
      <c r="E24" s="139"/>
      <c r="F24" s="140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</row>
    <row r="25" spans="1:18" ht="18" customHeight="1" thickBot="1" x14ac:dyDescent="0.25">
      <c r="A25" s="129" t="str">
        <f>"Para la "&amp; NotaPedido!D8 &amp;" para ser destinados al " &amp; NotaPedido!D6 &amp;"  del HISJB del Ministerio de Salud."</f>
        <v>Para la Adquisición de Descartables para Laboratorios  para ser destinados al Servicio de Laboratorio Central y Bacteriologia  del HISJB del Ministerio de Salud.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</row>
    <row r="26" spans="1:18" ht="15" customHeight="1" x14ac:dyDescent="0.2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2022-04-18T16:01:52Z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