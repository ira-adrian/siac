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NotaPedido!$A$1:$K$50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5" i="2" l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A26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J50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<sst xmlns="http://schemas.openxmlformats.org/spreadsheetml/2006/main" count="268" uniqueCount="118">
  <si>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</si>
  <si>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</si>
  <si>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</si>
  <si>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</si>
  <si>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</si>
  <si>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</si>
  <si>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</si>
  <si>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</si>
  <si>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</si>
  <si>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</si>
  <si>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</si>
  <si>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</si>
  <si>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</si>
  <si>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</si>
  <si>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</si>
  <si>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</si>
  <si>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</si>
  <si>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</si>
  <si>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</si>
  <si>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</si>
  <si>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</si>
  <si>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</si>
  <si>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</si>
  <si>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</si>
  <si>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</si>
  <si>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</si>
  <si>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</si>
  <si>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</si>
  <si>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</si>
  <si>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</si>
  <si>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</si>
  <si>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</si>
  <si>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</si>
  <si>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</si>
  <si>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</si>
  <si>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</si>
  <si>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</si>
  <si>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</si>
  <si>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</si>
  <si>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</si>
  <si>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</si>
  <si>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</si>
  <si>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</si>
  <si>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</si>
  <si>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</si>
  <si>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</si>
  <si>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</si>
  <si>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</si>
  <si>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</si>
  <si>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</si>
  <si>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</si>
  <si>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</si>
  <si>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</si>
  <si>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</si>
  <si>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</si>
  <si>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</si>
  <si>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</si>
  <si>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</si>
  <si>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</si>
  <si>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</si>
  <si>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</si>
  <si>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>Productos Farmaceuticos y Medicinales</t>
  </si>
  <si>
    <t xml:space="preserve">45 dias habiles </t>
  </si>
  <si>
    <t>3.1</t>
  </si>
  <si>
    <t>1.1</t>
  </si>
  <si>
    <t>ACENOCUMAROL 4MG COMPRIMIDO</t>
  </si>
  <si>
    <t>ACIDO AMINOCAPROICO 2G AMPOLLA</t>
  </si>
  <si>
    <t>ACIDO FOLICO 5 MG COMPRIMIDOS</t>
  </si>
  <si>
    <t>ADENOSINA 6 MG AMPOLLA</t>
  </si>
  <si>
    <t>ADRENALINA AMPOLLA 1 ML</t>
  </si>
  <si>
    <t>ALPROSTADILO 500 MG ( PROSTAGLANDINA ) AMPOLLA x 1 ml</t>
  </si>
  <si>
    <t>AMIODARONA 150 MG AMPOLLA X 3ML</t>
  </si>
  <si>
    <t>AMIODARONA 200 MG COMPRIMIDO</t>
  </si>
  <si>
    <t>AMLODIPINA 10 MG COMPRIMIDO</t>
  </si>
  <si>
    <t>ATENOLOL 50MG COMPRIMIDO</t>
  </si>
  <si>
    <t>ATORVASTATINA 10 MG COMPRIMIDO</t>
  </si>
  <si>
    <t>BISOPROLOL 5 MG COMPRIMIDO</t>
  </si>
  <si>
    <t>CARVEDILOL 12,5 MG COMPRIMIDO</t>
  </si>
  <si>
    <t>CLOPIDOGREL 75 MG COMPRIMIDO</t>
  </si>
  <si>
    <t>CLONIDINA AMPOLLAS x 1 ml</t>
  </si>
  <si>
    <t>DIGOXINA 0,25 MG AMPOLLA</t>
  </si>
  <si>
    <t>DIGOXINA 0,25 MG COMPRIDO</t>
  </si>
  <si>
    <t>DOBUTAMINA AMPOLLA x 20 ml</t>
  </si>
  <si>
    <t>DOPAMINA 200 MG  AMPOLLA</t>
  </si>
  <si>
    <t>ENALAPRIL 10 MG COMPRIMIDO</t>
  </si>
  <si>
    <t>ERITROPOYETINA JER 3000 UI 0,3 ML</t>
  </si>
  <si>
    <t>ESPIRONOLACTONA 100 MG COMPRIMIDO</t>
  </si>
  <si>
    <t>FILGRASTIN 300 MCG AMPOLLA</t>
  </si>
  <si>
    <t>FUROSEMIDA 40 MG COMPRIMIDO</t>
  </si>
  <si>
    <t>FUROSEMIDA AMPOLLAS</t>
  </si>
  <si>
    <t>HIDROCLOROTIAZIDA 25 MG COMPRIMIDO</t>
  </si>
  <si>
    <t>HIERRO DEXTRAN AMPOLLAS 100MG X 2ML</t>
  </si>
  <si>
    <t>HIERRO+ACIDO FOLICO+B12 AMPOLLAS TIPO YECTAFER COMPLEX X 5 AMPOLLAS</t>
  </si>
  <si>
    <t>ISOPROTERONOL 1 MG AMPOLLA X 5 ML</t>
  </si>
  <si>
    <t>ISOSORVIDE DINITRATO SUBLINGUAL 5 MG COMPRIMIDOS SUBLINGUALES COMPRIMIDO X 30</t>
  </si>
  <si>
    <t>LOSARTAN 50 MG COMPRIMIDO</t>
  </si>
  <si>
    <t>NIFEDIPINA 30MG COMPRIMIDO</t>
  </si>
  <si>
    <t>NITROGLICERINA 25 MG AMPOLLA</t>
  </si>
  <si>
    <t>NITROPRUSIATO SODIO 50 MG VIAL</t>
  </si>
  <si>
    <t>NORADRENALINA 4 MG/ML AMPOLLA</t>
  </si>
  <si>
    <t>PROPRANOLOL 40MG COMPRIMIDO</t>
  </si>
  <si>
    <t>SULFATO FERROSO 200 MG COMPRIMIDO</t>
  </si>
  <si>
    <t>VITAMINA K 10 MG AMPOLLA</t>
  </si>
  <si>
    <t>2.5.2</t>
  </si>
  <si>
    <t>COMPRIMIDO</t>
  </si>
  <si>
    <t>AMPOLLA</t>
  </si>
  <si>
    <t>UNIDAD</t>
  </si>
  <si>
    <t>CAJA</t>
  </si>
  <si>
    <t>FRASCO</t>
  </si>
  <si>
    <t>006 - 2022</t>
  </si>
  <si>
    <t>Costo total estimado: CUATRO MILLONES CUATROCIENTOS VEINTICUATRO MIL OCHOCIENTOS SESENTA Y OCHO CON 00/100.-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</si>
  <si>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ítem.VENCIMIENTO DE MEDICAMENTOS: UN PLAZO NO MENOR A 24 MESES DE LA FECHA DE RECEPCION.</t>
  </si>
  <si>
    <t xml:space="preserve">PLAZO DE MANTENIMIENTO DE OFERTA: 45 DIAS HABILES </t>
  </si>
  <si>
    <t>Especificidades Item N° :</t>
  </si>
  <si>
    <t xml:space="preserve">Adquisición de MEDICAMENTOS PARA SANGRE Y ORGANOS HEMATOPOYETICOS/SISTEMA CARDIOVASCULAR </t>
  </si>
  <si>
    <t>TOTAL DE PESOS: CUATRO MILLONES CUATROCIENTOS VEINTICUATRO MIL OCHOCIENTOS SESENTA Y OCHO CON 00/100.-</t>
  </si>
  <si>
    <t xml:space="preserve">PLAZO DE ENTREGA: 15 DIAS HABILES EN EL SERVICIO DE FARMACIA - AVDA. ILLIA Y MARIANO MORENO - DE LUNES A VIERNES EN EL HORARIO DE 08 A 11 HORAS </t>
  </si>
  <si>
    <t>15 dias habiles - Servicio de Farmacia del HISJB - Avda. Illia y Mariano Moreno de Lunes a Viernes en el horario de 08 a 11 horas.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</si>
</sst>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30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20"/>
      <name val="Times New Roman"/>
      <family val="1"/>
    </font>
    <font>
      <sz val="8"/>
      <name val="Arial"/>
      <family val="2"/>
    </font>
    <font>
      <b/>
      <sz val="8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49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25" fillId="0" borderId="14" xfId="0" applyFont="1" applyBorder="1" applyAlignment="1">
      <alignment horizontal="center" vertical="center" wrapText="1"/>
    </xf>
    <xf numFmtId="0" fontId="14" fillId="0" borderId="14" xfId="0" applyFont="1" applyFill="1" applyBorder="1" applyAlignment="1">
      <alignment horizontal="left" vertical="center"/>
    </xf>
    <xf numFmtId="0" fontId="14" fillId="0" borderId="14" xfId="0" applyFont="1" applyFill="1" applyBorder="1" applyAlignment="1">
      <alignment horizontal="center" vertical="center"/>
    </xf>
    <xf numFmtId="3" fontId="14" fillId="0" borderId="14" xfId="0" applyNumberFormat="1" applyFont="1" applyFill="1" applyBorder="1" applyAlignment="1">
      <alignment horizontal="center" vertical="center"/>
    </xf>
    <xf numFmtId="44" fontId="14" fillId="0" borderId="14" xfId="1" applyNumberFormat="1" applyFont="1" applyFill="1" applyBorder="1" applyAlignment="1">
      <alignment horizontal="center"/>
    </xf>
    <xf numFmtId="0" fontId="26" fillId="0" borderId="14" xfId="0" applyFont="1" applyFill="1" applyBorder="1" applyAlignment="1">
      <alignment horizontal="left"/>
    </xf>
    <xf numFmtId="0" fontId="14" fillId="0" borderId="14" xfId="0" applyFont="1" applyFill="1" applyBorder="1" applyAlignment="1">
      <alignment horizontal="left" vertical="center" wrapText="1"/>
    </xf>
    <xf numFmtId="0" fontId="26" fillId="0" borderId="14" xfId="0" applyFont="1" applyFill="1" applyBorder="1" applyAlignment="1">
      <alignment horizontal="left" vertical="center"/>
    </xf>
    <xf numFmtId="0" fontId="26" fillId="0" borderId="14" xfId="0" applyFont="1" applyFill="1" applyBorder="1" applyAlignment="1"/>
    <xf numFmtId="0" fontId="26" fillId="0" borderId="14" xfId="0" applyFont="1" applyFill="1" applyBorder="1" applyAlignment="1">
      <alignment horizontal="left" wrapText="1"/>
    </xf>
    <xf numFmtId="0" fontId="0" fillId="0" borderId="14" xfId="0" applyFill="1" applyBorder="1"/>
    <xf numFmtId="0" fontId="14" fillId="0" borderId="14" xfId="0" applyFont="1" applyFill="1" applyBorder="1" applyAlignment="1">
      <alignment horizontal="left" wrapText="1"/>
    </xf>
    <xf numFmtId="3" fontId="14" fillId="0" borderId="14" xfId="5" applyNumberFormat="1" applyFont="1" applyFill="1" applyBorder="1" applyAlignment="1">
      <alignment horizontal="center" vertical="center"/>
    </xf>
    <xf numFmtId="44" fontId="14" fillId="0" borderId="14" xfId="1" applyNumberFormat="1" applyFont="1" applyFill="1" applyBorder="1" applyAlignment="1">
      <alignment horizontal="right" vertical="center" indent="2"/>
    </xf>
    <xf numFmtId="0" fontId="26" fillId="0" borderId="14" xfId="0" applyFont="1" applyFill="1" applyBorder="1"/>
    <xf numFmtId="0" fontId="15" fillId="3" borderId="6" xfId="0" applyFont="1" applyFill="1" applyBorder="1" applyAlignment="1">
      <alignment horizontal="center" wrapText="1"/>
    </xf>
    <xf numFmtId="0" fontId="15" fillId="3" borderId="0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15" fillId="3" borderId="0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0" fontId="15" fillId="4" borderId="6" xfId="0" applyFont="1" applyFill="1" applyBorder="1" applyAlignment="1">
      <alignment horizontal="center"/>
    </xf>
    <xf numFmtId="0" fontId="15" fillId="3" borderId="14" xfId="0" applyFont="1" applyFill="1" applyBorder="1" applyAlignment="1">
      <alignment horizontal="center" vertical="center" wrapText="1"/>
    </xf>
    <xf numFmtId="0" fontId="27" fillId="3" borderId="21" xfId="0" applyFont="1" applyFill="1" applyBorder="1" applyAlignment="1">
      <alignment horizontal="center" vertical="center" wrapText="1"/>
    </xf>
    <xf numFmtId="0" fontId="15" fillId="6" borderId="20" xfId="0" applyFont="1" applyFill="1" applyBorder="1" applyAlignment="1">
      <alignment horizontal="center" vertical="center"/>
    </xf>
    <xf numFmtId="0" fontId="15" fillId="6" borderId="48" xfId="0" applyFont="1" applyFill="1" applyBorder="1" applyAlignment="1">
      <alignment horizontal="center" vertical="center"/>
    </xf>
    <xf numFmtId="0" fontId="15" fillId="6" borderId="21" xfId="0" applyFont="1" applyFill="1" applyBorder="1" applyAlignment="1">
      <alignment horizontal="center" vertical="center"/>
    </xf>
    <xf numFmtId="0" fontId="15" fillId="6" borderId="20" xfId="0" applyFont="1" applyFill="1" applyBorder="1" applyAlignment="1">
      <alignment horizontal="center" vertical="center" wrapText="1"/>
    </xf>
    <xf numFmtId="0" fontId="15" fillId="6" borderId="48" xfId="0" applyFont="1" applyFill="1" applyBorder="1" applyAlignment="1">
      <alignment horizontal="center" vertical="center" wrapText="1"/>
    </xf>
    <xf numFmtId="0" fontId="15" fillId="6" borderId="21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9" fillId="0" borderId="44" xfId="0" applyFont="1" applyBorder="1" applyAlignment="1">
      <alignment horizontal="left" vertical="center" wrapText="1"/>
    </xf>
    <xf numFmtId="0" fontId="0" fillId="0" borderId="22" xfId="0" applyBorder="1"/>
    <xf numFmtId="0" fontId="28" fillId="0" borderId="32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2" fillId="4" borderId="44" xfId="0" applyFont="1" applyFill="1" applyBorder="1" applyAlignment="1">
      <alignment horizontal="left" vertical="center" wrapText="1" indent="1"/>
    </xf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 3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66"/>
  <sheetViews>
    <sheetView tabSelected="1" zoomScale="85" zoomScaleNormal="85" workbookViewId="0">
      <selection activeCell="H64" sqref="H64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6.42578125" style="39" customWidth="1"/>
    <col min="6" max="6" width="12.140625" style="39" customWidth="1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107" t="s">
        <v>0</v>
      </c>
      <c r="C2" s="107"/>
      <c r="D2" s="107"/>
      <c r="E2" s="107"/>
      <c r="F2" s="107"/>
      <c r="G2" s="107"/>
      <c r="H2" s="107"/>
    </row>
    <row r="4" spans="1:9" ht="18" customHeight="1" x14ac:dyDescent="0.25">
      <c r="A4" s="95" t="s">
        <v>1</v>
      </c>
      <c r="B4" s="95"/>
      <c r="C4" s="108" t="s">
        <v>57</v>
      </c>
      <c r="D4" s="108"/>
      <c r="E4" s="108"/>
      <c r="F4" s="40"/>
      <c r="G4" s="41"/>
      <c r="H4" s="40"/>
    </row>
    <row r="5" spans="1:9" ht="18" customHeight="1" x14ac:dyDescent="0.25">
      <c r="A5" s="95" t="s">
        <v>2</v>
      </c>
      <c r="B5" s="95"/>
      <c r="C5" s="108" t="s">
        <v>58</v>
      </c>
      <c r="D5" s="108"/>
      <c r="E5" s="108"/>
      <c r="F5" s="40"/>
      <c r="G5" s="41"/>
      <c r="H5" s="40"/>
    </row>
    <row r="6" spans="1:9" ht="16.5" customHeight="1" x14ac:dyDescent="0.25">
      <c r="A6" s="95" t="s">
        <v>3</v>
      </c>
      <c r="B6" s="95"/>
      <c r="C6" s="60">
        <v>2022</v>
      </c>
      <c r="D6" s="61"/>
      <c r="E6" s="61"/>
      <c r="F6" s="40"/>
      <c r="G6" s="41"/>
      <c r="H6" s="40"/>
    </row>
    <row r="7" spans="1:9" ht="16.5" customHeight="1" x14ac:dyDescent="0.25">
      <c r="A7" s="95" t="s">
        <v>4</v>
      </c>
      <c r="B7" s="95"/>
      <c r="C7" s="60">
        <v>1</v>
      </c>
      <c r="D7" s="61"/>
      <c r="E7" s="61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31.9" customHeight="1" thickBot="1" x14ac:dyDescent="0.25">
      <c r="A10" s="56">
        <v>1</v>
      </c>
      <c r="B10" s="58"/>
      <c r="C10" s="57" t="s">
        <v>61</v>
      </c>
      <c r="D10" s="76" t="s">
        <v>103</v>
      </c>
      <c r="E10" s="77" t="s">
        <v>65</v>
      </c>
      <c r="F10" s="78" t="s">
        <v>104</v>
      </c>
      <c r="G10" s="79">
        <v>300</v>
      </c>
      <c r="H10" s="80">
        <v>11.5</v>
      </c>
      <c r="I10" s="59">
        <f t="shared" ref="I10:I47" si="0">G10*H10</f>
        <v>3450</v>
      </c>
    </row>
    <row r="11" spans="1:9" ht="31.9" customHeight="1" thickBot="1" x14ac:dyDescent="0.25">
      <c r="A11" s="56">
        <v>2</v>
      </c>
      <c r="B11" s="58"/>
      <c r="C11" s="57" t="s">
        <v>61</v>
      </c>
      <c r="D11" s="76" t="s">
        <v>103</v>
      </c>
      <c r="E11" s="77" t="s">
        <v>66</v>
      </c>
      <c r="F11" s="78" t="s">
        <v>105</v>
      </c>
      <c r="G11" s="79">
        <v>400</v>
      </c>
      <c r="H11" s="80">
        <v>193</v>
      </c>
      <c r="I11" s="59">
        <f t="shared" si="0"/>
        <v>77200</v>
      </c>
    </row>
    <row r="12" spans="1:9" ht="31.9" customHeight="1" thickBot="1" x14ac:dyDescent="0.25">
      <c r="A12" s="56">
        <v>3</v>
      </c>
      <c r="B12" s="58"/>
      <c r="C12" s="57" t="s">
        <v>61</v>
      </c>
      <c r="D12" s="76" t="s">
        <v>103</v>
      </c>
      <c r="E12" s="77" t="s">
        <v>67</v>
      </c>
      <c r="F12" s="78" t="s">
        <v>104</v>
      </c>
      <c r="G12" s="79">
        <v>6000</v>
      </c>
      <c r="H12" s="80">
        <v>3.49</v>
      </c>
      <c r="I12" s="59">
        <f t="shared" si="0"/>
        <v>20940</v>
      </c>
    </row>
    <row r="13" spans="1:9" ht="31.9" customHeight="1" thickBot="1" x14ac:dyDescent="0.25">
      <c r="A13" s="56">
        <v>4</v>
      </c>
      <c r="B13" s="58"/>
      <c r="C13" s="57" t="s">
        <v>61</v>
      </c>
      <c r="D13" s="76" t="s">
        <v>103</v>
      </c>
      <c r="E13" s="81" t="s">
        <v>68</v>
      </c>
      <c r="F13" s="78" t="s">
        <v>105</v>
      </c>
      <c r="G13" s="79">
        <v>100</v>
      </c>
      <c r="H13" s="80">
        <v>133</v>
      </c>
      <c r="I13" s="59">
        <f t="shared" si="0"/>
        <v>13300</v>
      </c>
    </row>
    <row r="14" spans="1:9" ht="31.9" customHeight="1" thickBot="1" x14ac:dyDescent="0.25">
      <c r="A14" s="56">
        <v>5</v>
      </c>
      <c r="B14" s="58"/>
      <c r="C14" s="57" t="s">
        <v>61</v>
      </c>
      <c r="D14" s="76" t="s">
        <v>103</v>
      </c>
      <c r="E14" s="82" t="s">
        <v>69</v>
      </c>
      <c r="F14" s="78" t="s">
        <v>105</v>
      </c>
      <c r="G14" s="79">
        <v>1200</v>
      </c>
      <c r="H14" s="80">
        <v>45</v>
      </c>
      <c r="I14" s="59">
        <f t="shared" si="0"/>
        <v>54000</v>
      </c>
    </row>
    <row r="15" spans="1:9" ht="31.9" customHeight="1" thickBot="1" x14ac:dyDescent="0.25">
      <c r="A15" s="56">
        <v>6</v>
      </c>
      <c r="B15" s="58"/>
      <c r="C15" s="57" t="s">
        <v>61</v>
      </c>
      <c r="D15" s="76" t="s">
        <v>103</v>
      </c>
      <c r="E15" s="83" t="s">
        <v>70</v>
      </c>
      <c r="F15" s="78" t="s">
        <v>105</v>
      </c>
      <c r="G15" s="79">
        <v>4</v>
      </c>
      <c r="H15" s="80">
        <v>1450</v>
      </c>
      <c r="I15" s="59">
        <f t="shared" si="0"/>
        <v>5800</v>
      </c>
    </row>
    <row r="16" spans="1:9" ht="31.9" customHeight="1" thickBot="1" x14ac:dyDescent="0.25">
      <c r="A16" s="56">
        <v>7</v>
      </c>
      <c r="B16" s="58"/>
      <c r="C16" s="57" t="s">
        <v>61</v>
      </c>
      <c r="D16" s="76" t="s">
        <v>103</v>
      </c>
      <c r="E16" s="77" t="s">
        <v>71</v>
      </c>
      <c r="F16" s="78" t="s">
        <v>105</v>
      </c>
      <c r="G16" s="79">
        <v>1000</v>
      </c>
      <c r="H16" s="80">
        <v>88</v>
      </c>
      <c r="I16" s="59">
        <f t="shared" si="0"/>
        <v>88000</v>
      </c>
    </row>
    <row r="17" spans="1:9" ht="31.9" customHeight="1" thickBot="1" x14ac:dyDescent="0.25">
      <c r="A17" s="56">
        <v>8</v>
      </c>
      <c r="B17" s="58"/>
      <c r="C17" s="57" t="s">
        <v>61</v>
      </c>
      <c r="D17" s="76" t="s">
        <v>103</v>
      </c>
      <c r="E17" s="82" t="s">
        <v>72</v>
      </c>
      <c r="F17" s="78" t="s">
        <v>104</v>
      </c>
      <c r="G17" s="79">
        <v>300</v>
      </c>
      <c r="H17" s="80">
        <v>18.899999999999999</v>
      </c>
      <c r="I17" s="59">
        <f t="shared" si="0"/>
        <v>5670</v>
      </c>
    </row>
    <row r="18" spans="1:9" ht="31.9" customHeight="1" thickBot="1" x14ac:dyDescent="0.25">
      <c r="A18" s="56">
        <v>9</v>
      </c>
      <c r="B18" s="58"/>
      <c r="C18" s="57" t="s">
        <v>61</v>
      </c>
      <c r="D18" s="76" t="s">
        <v>103</v>
      </c>
      <c r="E18" s="82" t="s">
        <v>73</v>
      </c>
      <c r="F18" s="78" t="s">
        <v>104</v>
      </c>
      <c r="G18" s="79">
        <v>2000</v>
      </c>
      <c r="H18" s="80">
        <v>4.0999999999999996</v>
      </c>
      <c r="I18" s="59">
        <f t="shared" si="0"/>
        <v>8200</v>
      </c>
    </row>
    <row r="19" spans="1:9" ht="31.9" customHeight="1" thickBot="1" x14ac:dyDescent="0.25">
      <c r="A19" s="56">
        <v>10</v>
      </c>
      <c r="B19" s="58"/>
      <c r="C19" s="57" t="s">
        <v>61</v>
      </c>
      <c r="D19" s="76" t="s">
        <v>103</v>
      </c>
      <c r="E19" s="84" t="s">
        <v>74</v>
      </c>
      <c r="F19" s="78" t="s">
        <v>104</v>
      </c>
      <c r="G19" s="79">
        <v>100</v>
      </c>
      <c r="H19" s="80">
        <v>23</v>
      </c>
      <c r="I19" s="59">
        <f t="shared" si="0"/>
        <v>2300</v>
      </c>
    </row>
    <row r="20" spans="1:9" ht="31.9" customHeight="1" thickBot="1" x14ac:dyDescent="0.25">
      <c r="A20" s="56">
        <v>11</v>
      </c>
      <c r="B20" s="58"/>
      <c r="C20" s="57" t="s">
        <v>61</v>
      </c>
      <c r="D20" s="76" t="s">
        <v>103</v>
      </c>
      <c r="E20" s="77" t="s">
        <v>75</v>
      </c>
      <c r="F20" s="78" t="s">
        <v>104</v>
      </c>
      <c r="G20" s="79">
        <v>2000</v>
      </c>
      <c r="H20" s="80">
        <v>5.9</v>
      </c>
      <c r="I20" s="59">
        <f t="shared" si="0"/>
        <v>11800</v>
      </c>
    </row>
    <row r="21" spans="1:9" ht="31.9" customHeight="1" thickBot="1" x14ac:dyDescent="0.25">
      <c r="A21" s="56">
        <v>12</v>
      </c>
      <c r="B21" s="58"/>
      <c r="C21" s="57" t="s">
        <v>61</v>
      </c>
      <c r="D21" s="76" t="s">
        <v>103</v>
      </c>
      <c r="E21" s="81" t="s">
        <v>76</v>
      </c>
      <c r="F21" s="78" t="s">
        <v>104</v>
      </c>
      <c r="G21" s="79">
        <v>300</v>
      </c>
      <c r="H21" s="80">
        <v>9.5</v>
      </c>
      <c r="I21" s="59">
        <f t="shared" si="0"/>
        <v>2850</v>
      </c>
    </row>
    <row r="22" spans="1:9" ht="31.9" customHeight="1" thickBot="1" x14ac:dyDescent="0.25">
      <c r="A22" s="56">
        <v>13</v>
      </c>
      <c r="B22" s="58"/>
      <c r="C22" s="57" t="s">
        <v>61</v>
      </c>
      <c r="D22" s="76" t="s">
        <v>103</v>
      </c>
      <c r="E22" s="81" t="s">
        <v>77</v>
      </c>
      <c r="F22" s="78" t="s">
        <v>104</v>
      </c>
      <c r="G22" s="79">
        <v>600</v>
      </c>
      <c r="H22" s="80">
        <v>5.98</v>
      </c>
      <c r="I22" s="59">
        <f t="shared" si="0"/>
        <v>3588.0000000000005</v>
      </c>
    </row>
    <row r="23" spans="1:9" ht="31.9" customHeight="1" thickBot="1" x14ac:dyDescent="0.25">
      <c r="A23" s="56">
        <v>14</v>
      </c>
      <c r="B23" s="58"/>
      <c r="C23" s="57" t="s">
        <v>61</v>
      </c>
      <c r="D23" s="76" t="s">
        <v>103</v>
      </c>
      <c r="E23" s="85" t="s">
        <v>78</v>
      </c>
      <c r="F23" s="78" t="s">
        <v>104</v>
      </c>
      <c r="G23" s="79">
        <v>700</v>
      </c>
      <c r="H23" s="80">
        <v>18</v>
      </c>
      <c r="I23" s="59">
        <f t="shared" si="0"/>
        <v>12600</v>
      </c>
    </row>
    <row r="24" spans="1:9" ht="31.9" customHeight="1" thickBot="1" x14ac:dyDescent="0.25">
      <c r="A24" s="56">
        <v>15</v>
      </c>
      <c r="B24" s="58"/>
      <c r="C24" s="57" t="s">
        <v>61</v>
      </c>
      <c r="D24" s="76" t="s">
        <v>103</v>
      </c>
      <c r="E24" s="82" t="s">
        <v>79</v>
      </c>
      <c r="F24" s="78" t="s">
        <v>105</v>
      </c>
      <c r="G24" s="79">
        <v>100</v>
      </c>
      <c r="H24" s="80">
        <v>225</v>
      </c>
      <c r="I24" s="59">
        <f t="shared" si="0"/>
        <v>22500</v>
      </c>
    </row>
    <row r="25" spans="1:9" ht="31.9" customHeight="1" thickBot="1" x14ac:dyDescent="0.25">
      <c r="A25" s="56">
        <v>16</v>
      </c>
      <c r="B25" s="58"/>
      <c r="C25" s="57" t="s">
        <v>61</v>
      </c>
      <c r="D25" s="76" t="s">
        <v>103</v>
      </c>
      <c r="E25" s="82" t="s">
        <v>80</v>
      </c>
      <c r="F25" s="78" t="s">
        <v>105</v>
      </c>
      <c r="G25" s="79">
        <v>200</v>
      </c>
      <c r="H25" s="80">
        <v>89</v>
      </c>
      <c r="I25" s="59">
        <f t="shared" si="0"/>
        <v>17800</v>
      </c>
    </row>
    <row r="26" spans="1:9" ht="31.9" customHeight="1" thickBot="1" x14ac:dyDescent="0.25">
      <c r="A26" s="56">
        <v>17</v>
      </c>
      <c r="B26" s="58"/>
      <c r="C26" s="57" t="s">
        <v>61</v>
      </c>
      <c r="D26" s="76" t="s">
        <v>103</v>
      </c>
      <c r="E26" s="82" t="s">
        <v>81</v>
      </c>
      <c r="F26" s="78" t="s">
        <v>104</v>
      </c>
      <c r="G26" s="79">
        <v>60</v>
      </c>
      <c r="H26" s="80">
        <v>15</v>
      </c>
      <c r="I26" s="59">
        <f t="shared" si="0"/>
        <v>900</v>
      </c>
    </row>
    <row r="27" spans="1:9" ht="31.9" customHeight="1" thickBot="1" x14ac:dyDescent="0.25">
      <c r="A27" s="56">
        <v>18</v>
      </c>
      <c r="B27" s="58"/>
      <c r="C27" s="57" t="s">
        <v>61</v>
      </c>
      <c r="D27" s="76" t="s">
        <v>103</v>
      </c>
      <c r="E27" s="82" t="s">
        <v>82</v>
      </c>
      <c r="F27" s="78" t="s">
        <v>105</v>
      </c>
      <c r="G27" s="79">
        <v>200</v>
      </c>
      <c r="H27" s="80">
        <v>695</v>
      </c>
      <c r="I27" s="59">
        <f t="shared" si="0"/>
        <v>139000</v>
      </c>
    </row>
    <row r="28" spans="1:9" ht="31.9" customHeight="1" thickBot="1" x14ac:dyDescent="0.25">
      <c r="A28" s="56">
        <v>19</v>
      </c>
      <c r="B28" s="58"/>
      <c r="C28" s="57" t="s">
        <v>61</v>
      </c>
      <c r="D28" s="76" t="s">
        <v>103</v>
      </c>
      <c r="E28" s="82" t="s">
        <v>83</v>
      </c>
      <c r="F28" s="78" t="s">
        <v>105</v>
      </c>
      <c r="G28" s="79">
        <v>500</v>
      </c>
      <c r="H28" s="80">
        <v>230</v>
      </c>
      <c r="I28" s="59">
        <f t="shared" si="0"/>
        <v>115000</v>
      </c>
    </row>
    <row r="29" spans="1:9" ht="31.9" customHeight="1" thickBot="1" x14ac:dyDescent="0.25">
      <c r="A29" s="56">
        <v>20</v>
      </c>
      <c r="B29" s="58"/>
      <c r="C29" s="57" t="s">
        <v>61</v>
      </c>
      <c r="D29" s="76" t="s">
        <v>103</v>
      </c>
      <c r="E29" s="86" t="s">
        <v>84</v>
      </c>
      <c r="F29" s="78" t="s">
        <v>104</v>
      </c>
      <c r="G29" s="79">
        <v>2000</v>
      </c>
      <c r="H29" s="80">
        <v>4.9000000000000004</v>
      </c>
      <c r="I29" s="59">
        <f t="shared" si="0"/>
        <v>9800</v>
      </c>
    </row>
    <row r="30" spans="1:9" ht="31.9" customHeight="1" thickBot="1" x14ac:dyDescent="0.25">
      <c r="A30" s="56">
        <v>21</v>
      </c>
      <c r="B30" s="58"/>
      <c r="C30" s="57" t="s">
        <v>61</v>
      </c>
      <c r="D30" s="76" t="s">
        <v>103</v>
      </c>
      <c r="E30" s="77" t="s">
        <v>85</v>
      </c>
      <c r="F30" s="78" t="s">
        <v>106</v>
      </c>
      <c r="G30" s="79">
        <v>1500</v>
      </c>
      <c r="H30" s="80">
        <v>415</v>
      </c>
      <c r="I30" s="59">
        <f t="shared" si="0"/>
        <v>622500</v>
      </c>
    </row>
    <row r="31" spans="1:9" ht="31.9" customHeight="1" thickBot="1" x14ac:dyDescent="0.25">
      <c r="A31" s="56">
        <v>22</v>
      </c>
      <c r="B31" s="58"/>
      <c r="C31" s="57" t="s">
        <v>61</v>
      </c>
      <c r="D31" s="76" t="s">
        <v>103</v>
      </c>
      <c r="E31" s="86" t="s">
        <v>86</v>
      </c>
      <c r="F31" s="78" t="s">
        <v>104</v>
      </c>
      <c r="G31" s="79">
        <v>2000</v>
      </c>
      <c r="H31" s="80">
        <v>4.25</v>
      </c>
      <c r="I31" s="59">
        <f t="shared" si="0"/>
        <v>8500</v>
      </c>
    </row>
    <row r="32" spans="1:9" ht="31.9" customHeight="1" thickBot="1" x14ac:dyDescent="0.25">
      <c r="A32" s="56">
        <v>23</v>
      </c>
      <c r="B32" s="58"/>
      <c r="C32" s="57" t="s">
        <v>61</v>
      </c>
      <c r="D32" s="76" t="s">
        <v>103</v>
      </c>
      <c r="E32" s="77" t="s">
        <v>87</v>
      </c>
      <c r="F32" s="78" t="s">
        <v>105</v>
      </c>
      <c r="G32" s="79">
        <v>350</v>
      </c>
      <c r="H32" s="80">
        <v>1680</v>
      </c>
      <c r="I32" s="59">
        <f t="shared" si="0"/>
        <v>588000</v>
      </c>
    </row>
    <row r="33" spans="1:9" ht="31.9" customHeight="1" thickBot="1" x14ac:dyDescent="0.25">
      <c r="A33" s="56">
        <v>24</v>
      </c>
      <c r="B33" s="58"/>
      <c r="C33" s="57" t="s">
        <v>61</v>
      </c>
      <c r="D33" s="76" t="s">
        <v>103</v>
      </c>
      <c r="E33" s="81" t="s">
        <v>88</v>
      </c>
      <c r="F33" s="78" t="s">
        <v>104</v>
      </c>
      <c r="G33" s="79">
        <v>300</v>
      </c>
      <c r="H33" s="80">
        <v>6.3</v>
      </c>
      <c r="I33" s="59">
        <f t="shared" si="0"/>
        <v>1890</v>
      </c>
    </row>
    <row r="34" spans="1:9" ht="31.9" customHeight="1" thickBot="1" x14ac:dyDescent="0.25">
      <c r="A34" s="56">
        <v>25</v>
      </c>
      <c r="B34" s="58"/>
      <c r="C34" s="57" t="s">
        <v>61</v>
      </c>
      <c r="D34" s="76" t="s">
        <v>103</v>
      </c>
      <c r="E34" s="77" t="s">
        <v>89</v>
      </c>
      <c r="F34" s="78" t="s">
        <v>105</v>
      </c>
      <c r="G34" s="79">
        <v>6000</v>
      </c>
      <c r="H34" s="80">
        <v>45</v>
      </c>
      <c r="I34" s="59">
        <f t="shared" si="0"/>
        <v>270000</v>
      </c>
    </row>
    <row r="35" spans="1:9" ht="31.9" customHeight="1" thickBot="1" x14ac:dyDescent="0.25">
      <c r="A35" s="56">
        <v>26</v>
      </c>
      <c r="B35" s="58"/>
      <c r="C35" s="57" t="s">
        <v>61</v>
      </c>
      <c r="D35" s="76" t="s">
        <v>103</v>
      </c>
      <c r="E35" s="81" t="s">
        <v>90</v>
      </c>
      <c r="F35" s="78" t="s">
        <v>104</v>
      </c>
      <c r="G35" s="79">
        <v>150</v>
      </c>
      <c r="H35" s="80">
        <v>6.4</v>
      </c>
      <c r="I35" s="59">
        <f t="shared" si="0"/>
        <v>960</v>
      </c>
    </row>
    <row r="36" spans="1:9" ht="31.9" customHeight="1" thickBot="1" x14ac:dyDescent="0.25">
      <c r="A36" s="56">
        <v>27</v>
      </c>
      <c r="B36" s="58"/>
      <c r="C36" s="57" t="s">
        <v>61</v>
      </c>
      <c r="D36" s="76" t="s">
        <v>103</v>
      </c>
      <c r="E36" s="77" t="s">
        <v>91</v>
      </c>
      <c r="F36" s="78" t="s">
        <v>105</v>
      </c>
      <c r="G36" s="79">
        <v>600</v>
      </c>
      <c r="H36" s="80">
        <v>396</v>
      </c>
      <c r="I36" s="59">
        <f t="shared" si="0"/>
        <v>237600</v>
      </c>
    </row>
    <row r="37" spans="1:9" ht="31.9" customHeight="1" thickBot="1" x14ac:dyDescent="0.25">
      <c r="A37" s="56">
        <v>28</v>
      </c>
      <c r="B37" s="58"/>
      <c r="C37" s="57" t="s">
        <v>61</v>
      </c>
      <c r="D37" s="76" t="s">
        <v>103</v>
      </c>
      <c r="E37" s="77" t="s">
        <v>92</v>
      </c>
      <c r="F37" s="78" t="s">
        <v>107</v>
      </c>
      <c r="G37" s="79">
        <v>120</v>
      </c>
      <c r="H37" s="80">
        <v>6830</v>
      </c>
      <c r="I37" s="59">
        <f t="shared" si="0"/>
        <v>819600</v>
      </c>
    </row>
    <row r="38" spans="1:9" ht="31.9" customHeight="1" thickBot="1" x14ac:dyDescent="0.25">
      <c r="A38" s="56">
        <v>29</v>
      </c>
      <c r="B38" s="58"/>
      <c r="C38" s="57" t="s">
        <v>61</v>
      </c>
      <c r="D38" s="76" t="s">
        <v>103</v>
      </c>
      <c r="E38" s="87" t="s">
        <v>93</v>
      </c>
      <c r="F38" s="78" t="s">
        <v>105</v>
      </c>
      <c r="G38" s="79">
        <v>100</v>
      </c>
      <c r="H38" s="80">
        <v>358</v>
      </c>
      <c r="I38" s="59">
        <f t="shared" si="0"/>
        <v>35800</v>
      </c>
    </row>
    <row r="39" spans="1:9" ht="31.9" customHeight="1" thickBot="1" x14ac:dyDescent="0.25">
      <c r="A39" s="56">
        <v>30</v>
      </c>
      <c r="B39" s="58"/>
      <c r="C39" s="57" t="s">
        <v>61</v>
      </c>
      <c r="D39" s="76" t="s">
        <v>103</v>
      </c>
      <c r="E39" s="82" t="s">
        <v>94</v>
      </c>
      <c r="F39" s="78" t="s">
        <v>107</v>
      </c>
      <c r="G39" s="79">
        <v>30</v>
      </c>
      <c r="H39" s="80">
        <v>991</v>
      </c>
      <c r="I39" s="59">
        <f t="shared" si="0"/>
        <v>29730</v>
      </c>
    </row>
    <row r="40" spans="1:9" ht="31.9" customHeight="1" thickBot="1" x14ac:dyDescent="0.25">
      <c r="A40" s="56">
        <v>31</v>
      </c>
      <c r="B40" s="58"/>
      <c r="C40" s="57" t="s">
        <v>61</v>
      </c>
      <c r="D40" s="76" t="s">
        <v>103</v>
      </c>
      <c r="E40" s="82" t="s">
        <v>95</v>
      </c>
      <c r="F40" s="78" t="s">
        <v>104</v>
      </c>
      <c r="G40" s="88">
        <v>8000</v>
      </c>
      <c r="H40" s="89">
        <v>6.5</v>
      </c>
      <c r="I40" s="59">
        <f t="shared" si="0"/>
        <v>52000</v>
      </c>
    </row>
    <row r="41" spans="1:9" ht="31.9" customHeight="1" thickBot="1" x14ac:dyDescent="0.25">
      <c r="A41" s="56">
        <v>32</v>
      </c>
      <c r="B41" s="58"/>
      <c r="C41" s="57" t="s">
        <v>61</v>
      </c>
      <c r="D41" s="76" t="s">
        <v>103</v>
      </c>
      <c r="E41" s="82" t="s">
        <v>96</v>
      </c>
      <c r="F41" s="78" t="s">
        <v>104</v>
      </c>
      <c r="G41" s="88">
        <v>30</v>
      </c>
      <c r="H41" s="89">
        <v>23</v>
      </c>
      <c r="I41" s="59">
        <f t="shared" si="0"/>
        <v>690</v>
      </c>
    </row>
    <row r="42" spans="1:9" ht="31.9" customHeight="1" thickBot="1" x14ac:dyDescent="0.25">
      <c r="A42" s="56">
        <v>33</v>
      </c>
      <c r="B42" s="58"/>
      <c r="C42" s="57" t="s">
        <v>61</v>
      </c>
      <c r="D42" s="76" t="s">
        <v>103</v>
      </c>
      <c r="E42" s="77" t="s">
        <v>97</v>
      </c>
      <c r="F42" s="78" t="s">
        <v>105</v>
      </c>
      <c r="G42" s="88">
        <v>1000</v>
      </c>
      <c r="H42" s="89">
        <v>430</v>
      </c>
      <c r="I42" s="59">
        <f t="shared" si="0"/>
        <v>430000</v>
      </c>
    </row>
    <row r="43" spans="1:9" ht="31.9" customHeight="1" thickBot="1" x14ac:dyDescent="0.25">
      <c r="A43" s="56">
        <v>34</v>
      </c>
      <c r="B43" s="58"/>
      <c r="C43" s="57" t="s">
        <v>61</v>
      </c>
      <c r="D43" s="76" t="s">
        <v>103</v>
      </c>
      <c r="E43" s="77" t="s">
        <v>98</v>
      </c>
      <c r="F43" s="78" t="s">
        <v>108</v>
      </c>
      <c r="G43" s="88">
        <v>50</v>
      </c>
      <c r="H43" s="89">
        <v>790</v>
      </c>
      <c r="I43" s="59">
        <f t="shared" si="0"/>
        <v>39500</v>
      </c>
    </row>
    <row r="44" spans="1:9" ht="31.9" customHeight="1" thickBot="1" x14ac:dyDescent="0.25">
      <c r="A44" s="56">
        <v>35</v>
      </c>
      <c r="B44" s="58"/>
      <c r="C44" s="57" t="s">
        <v>61</v>
      </c>
      <c r="D44" s="76" t="s">
        <v>103</v>
      </c>
      <c r="E44" s="77" t="s">
        <v>99</v>
      </c>
      <c r="F44" s="78" t="s">
        <v>105</v>
      </c>
      <c r="G44" s="88">
        <v>2500</v>
      </c>
      <c r="H44" s="89">
        <v>250</v>
      </c>
      <c r="I44" s="59">
        <f t="shared" si="0"/>
        <v>625000</v>
      </c>
    </row>
    <row r="45" spans="1:9" ht="31.9" customHeight="1" thickBot="1" x14ac:dyDescent="0.25">
      <c r="A45" s="56">
        <v>36</v>
      </c>
      <c r="B45" s="58"/>
      <c r="C45" s="57" t="s">
        <v>61</v>
      </c>
      <c r="D45" s="76" t="s">
        <v>103</v>
      </c>
      <c r="E45" s="90" t="s">
        <v>100</v>
      </c>
      <c r="F45" s="78" t="s">
        <v>104</v>
      </c>
      <c r="G45" s="88">
        <v>600</v>
      </c>
      <c r="H45" s="89">
        <v>18</v>
      </c>
      <c r="I45" s="59">
        <f t="shared" si="0"/>
        <v>10800</v>
      </c>
    </row>
    <row r="46" spans="1:9" ht="31.9" customHeight="1" thickBot="1" x14ac:dyDescent="0.25">
      <c r="A46" s="56">
        <v>37</v>
      </c>
      <c r="B46" s="58"/>
      <c r="C46" s="57" t="s">
        <v>61</v>
      </c>
      <c r="D46" s="76" t="s">
        <v>103</v>
      </c>
      <c r="E46" s="77" t="s">
        <v>101</v>
      </c>
      <c r="F46" s="78" t="s">
        <v>104</v>
      </c>
      <c r="G46" s="88">
        <v>1200</v>
      </c>
      <c r="H46" s="89">
        <v>12</v>
      </c>
      <c r="I46" s="59">
        <f t="shared" si="0"/>
        <v>14400</v>
      </c>
    </row>
    <row r="47" spans="1:9" ht="31.9" customHeight="1" thickBot="1" x14ac:dyDescent="0.25">
      <c r="A47" s="56">
        <v>38</v>
      </c>
      <c r="B47" s="58"/>
      <c r="C47" s="57" t="s">
        <v>61</v>
      </c>
      <c r="D47" s="76" t="s">
        <v>103</v>
      </c>
      <c r="E47" s="77" t="s">
        <v>102</v>
      </c>
      <c r="F47" s="78" t="s">
        <v>105</v>
      </c>
      <c r="G47" s="88">
        <v>400</v>
      </c>
      <c r="H47" s="89">
        <v>58</v>
      </c>
      <c r="I47" s="59">
        <f t="shared" si="0"/>
        <v>23200</v>
      </c>
    </row>
    <row r="48" spans="1:9" ht="13.5" thickBot="1" x14ac:dyDescent="0.25"/>
    <row r="49" spans="2:5" ht="57" customHeight="1" thickBot="1" x14ac:dyDescent="0.25">
      <c r="C49" s="99" t="s">
        <v>111</v>
      </c>
      <c r="D49" s="100"/>
      <c r="E49" s="100"/>
    </row>
    <row r="50" spans="2:5" ht="38.25" customHeight="1" thickBot="1" x14ac:dyDescent="0.25">
      <c r="C50" s="101" t="s">
        <v>112</v>
      </c>
      <c r="D50" s="102"/>
      <c r="E50" s="103"/>
    </row>
    <row r="51" spans="2:5" ht="36" customHeight="1" thickBot="1" x14ac:dyDescent="0.25">
      <c r="C51" s="104" t="s">
        <v>116</v>
      </c>
      <c r="D51" s="105"/>
      <c r="E51" s="106"/>
    </row>
    <row r="52" spans="2:5" ht="13.5" thickBot="1" x14ac:dyDescent="0.25"/>
    <row r="53" spans="2:5" x14ac:dyDescent="0.2">
      <c r="B53" s="42" t="s">
        <v>113</v>
      </c>
      <c r="C53" s="43"/>
      <c r="D53" s="43"/>
      <c r="E53" s="44"/>
    </row>
    <row r="54" spans="2:5" ht="5.25" customHeight="1" x14ac:dyDescent="0.2">
      <c r="B54" s="45"/>
      <c r="C54" s="46"/>
      <c r="D54" s="46"/>
      <c r="E54" s="47"/>
    </row>
    <row r="55" spans="2:5" x14ac:dyDescent="0.2">
      <c r="B55" s="48" t="s">
        <v>14</v>
      </c>
      <c r="C55" s="46"/>
      <c r="D55" s="46"/>
      <c r="E55" s="47"/>
    </row>
    <row r="56" spans="2:5" ht="41.25" customHeight="1" x14ac:dyDescent="0.2">
      <c r="B56" s="48"/>
      <c r="C56" s="91"/>
      <c r="D56" s="91"/>
      <c r="E56" s="91"/>
    </row>
    <row r="57" spans="2:5" x14ac:dyDescent="0.2">
      <c r="B57" s="48" t="s">
        <v>15</v>
      </c>
      <c r="C57" s="46"/>
      <c r="D57" s="46"/>
      <c r="E57" s="47"/>
    </row>
    <row r="58" spans="2:5" ht="24" customHeight="1" x14ac:dyDescent="0.2">
      <c r="B58" s="49"/>
      <c r="C58" s="96" t="s">
        <v>117</v>
      </c>
      <c r="D58" s="96"/>
      <c r="E58" s="97"/>
    </row>
    <row r="59" spans="2:5" x14ac:dyDescent="0.2">
      <c r="B59" s="49"/>
      <c r="C59" s="98"/>
      <c r="D59" s="98"/>
      <c r="E59" s="98"/>
    </row>
    <row r="60" spans="2:5" x14ac:dyDescent="0.2">
      <c r="B60" s="48" t="s">
        <v>16</v>
      </c>
      <c r="C60" s="46"/>
      <c r="D60" s="46"/>
      <c r="E60" s="47"/>
    </row>
    <row r="61" spans="2:5" ht="26.25" customHeight="1" x14ac:dyDescent="0.2">
      <c r="B61" s="49"/>
      <c r="C61" s="91"/>
      <c r="D61" s="91"/>
      <c r="E61" s="91"/>
    </row>
    <row r="62" spans="2:5" x14ac:dyDescent="0.2">
      <c r="B62" s="48" t="s">
        <v>17</v>
      </c>
      <c r="C62" s="50"/>
      <c r="D62" s="50"/>
      <c r="E62" s="51"/>
    </row>
    <row r="63" spans="2:5" ht="26.25" customHeight="1" x14ac:dyDescent="0.2">
      <c r="B63" s="49"/>
      <c r="C63" s="92" t="s">
        <v>62</v>
      </c>
      <c r="D63" s="92"/>
      <c r="E63" s="93"/>
    </row>
    <row r="64" spans="2:5" x14ac:dyDescent="0.2">
      <c r="B64" s="48" t="s">
        <v>18</v>
      </c>
      <c r="C64" s="46"/>
      <c r="D64" s="46"/>
      <c r="E64" s="47"/>
    </row>
    <row r="65" spans="2:5" ht="23.25" customHeight="1" x14ac:dyDescent="0.2">
      <c r="B65" s="48"/>
      <c r="C65" s="94"/>
      <c r="D65" s="94"/>
      <c r="E65" s="94"/>
    </row>
    <row r="66" spans="2:5" x14ac:dyDescent="0.2">
      <c r="B66" s="52"/>
      <c r="C66" s="53"/>
      <c r="D66" s="53"/>
      <c r="E66" s="54"/>
    </row>
  </sheetData>
  <mergeCells count="16">
    <mergeCell ref="B2:H2"/>
    <mergeCell ref="A4:B4"/>
    <mergeCell ref="C4:E4"/>
    <mergeCell ref="A5:B5"/>
    <mergeCell ref="C5:E5"/>
    <mergeCell ref="C61:E61"/>
    <mergeCell ref="C63:E63"/>
    <mergeCell ref="C65:E65"/>
    <mergeCell ref="A6:B6"/>
    <mergeCell ref="A7:B7"/>
    <mergeCell ref="C56:E56"/>
    <mergeCell ref="C58:E58"/>
    <mergeCell ref="C59:E59"/>
    <mergeCell ref="C49:E49"/>
    <mergeCell ref="C50:E50"/>
    <mergeCell ref="C51:E51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50"/>
  <sheetViews>
    <sheetView topLeftCell="A7" zoomScale="70" zoomScaleNormal="70" workbookViewId="0">
      <selection activeCell="D8" sqref="D8:K8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7" t="s">
        <v>19</v>
      </c>
      <c r="B1" s="117"/>
      <c r="C1" s="117"/>
      <c r="D1" s="117"/>
      <c r="E1" s="117"/>
      <c r="F1" s="117"/>
      <c r="G1" s="117"/>
      <c r="H1" s="117"/>
      <c r="I1" s="117"/>
      <c r="J1" s="3" t="s">
        <v>20</v>
      </c>
      <c r="K1" s="62" t="s">
        <v>109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18" t="s">
        <v>53</v>
      </c>
      <c r="B3" s="118"/>
      <c r="C3" s="118"/>
      <c r="D3" s="119" t="str">
        <f>'Necesidades Trimestrales'!C4</f>
        <v>40 - Ministerio de Salud</v>
      </c>
      <c r="E3" s="119"/>
      <c r="F3" s="119"/>
      <c r="G3" s="119"/>
      <c r="H3" s="119"/>
      <c r="I3" s="119"/>
      <c r="J3" s="119"/>
      <c r="K3" s="119"/>
    </row>
    <row r="4" spans="1:11" ht="18.75" customHeight="1" thickBot="1" x14ac:dyDescent="0.25">
      <c r="A4" s="120" t="s">
        <v>54</v>
      </c>
      <c r="B4" s="120"/>
      <c r="C4" s="120"/>
      <c r="D4" s="119" t="str">
        <f>'Necesidades Trimestrales'!C5</f>
        <v>23 - Hospital Interzonal San Juan Bautista</v>
      </c>
      <c r="E4" s="119"/>
      <c r="F4" s="119"/>
      <c r="G4" s="119"/>
      <c r="H4" s="119"/>
      <c r="I4" s="119"/>
      <c r="J4" s="119"/>
      <c r="K4" s="119"/>
    </row>
    <row r="5" spans="1:11" ht="18.75" customHeight="1" thickBot="1" x14ac:dyDescent="0.25">
      <c r="A5" s="120" t="s">
        <v>32</v>
      </c>
      <c r="B5" s="120"/>
      <c r="C5" s="120"/>
      <c r="D5" s="119" t="s">
        <v>59</v>
      </c>
      <c r="E5" s="119"/>
      <c r="F5" s="119"/>
      <c r="G5" s="119"/>
      <c r="H5" s="119"/>
      <c r="I5" s="119"/>
      <c r="J5" s="119"/>
      <c r="K5" s="119"/>
    </row>
    <row r="6" spans="1:11" ht="16.5" customHeight="1" thickBot="1" x14ac:dyDescent="0.25">
      <c r="A6" s="118" t="s">
        <v>55</v>
      </c>
      <c r="B6" s="118"/>
      <c r="C6" s="118"/>
      <c r="D6" s="119" t="s">
        <v>60</v>
      </c>
      <c r="E6" s="119"/>
      <c r="F6" s="119"/>
      <c r="G6" s="119"/>
      <c r="H6" s="119"/>
      <c r="I6" s="119"/>
      <c r="J6" s="119"/>
      <c r="K6" s="119"/>
    </row>
    <row r="7" spans="1:11" ht="16.5" customHeight="1" x14ac:dyDescent="0.2">
      <c r="A7" s="120" t="s">
        <v>21</v>
      </c>
      <c r="B7" s="120"/>
      <c r="C7" s="120"/>
      <c r="D7" s="119" t="str">
        <f>'Necesidades Trimestrales'!C7 &amp; "° Trimestre - Año " &amp; 'Necesidades Trimestrales'!C6</f>
        <v>1° Trimestre - Año 2022</v>
      </c>
      <c r="E7" s="119"/>
      <c r="F7" s="119"/>
      <c r="G7" s="119"/>
      <c r="H7" s="119"/>
      <c r="I7" s="119"/>
      <c r="J7" s="119"/>
      <c r="K7" s="119"/>
    </row>
    <row r="8" spans="1:11" ht="16.5" customHeight="1" x14ac:dyDescent="0.2">
      <c r="A8" s="112" t="s">
        <v>22</v>
      </c>
      <c r="B8" s="112"/>
      <c r="C8" s="112"/>
      <c r="D8" s="113" t="s">
        <v>114</v>
      </c>
      <c r="E8" s="113"/>
      <c r="F8" s="113"/>
      <c r="G8" s="113"/>
      <c r="H8" s="113"/>
      <c r="I8" s="113"/>
      <c r="J8" s="113"/>
      <c r="K8" s="113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14" t="s">
        <v>23</v>
      </c>
      <c r="B10" s="115" t="s">
        <v>24</v>
      </c>
      <c r="C10" s="115" t="s">
        <v>25</v>
      </c>
      <c r="D10" s="115"/>
      <c r="E10" s="115"/>
      <c r="F10" s="115"/>
      <c r="G10" s="115"/>
      <c r="H10" s="115" t="s">
        <v>26</v>
      </c>
      <c r="I10" s="115" t="s">
        <v>27</v>
      </c>
      <c r="J10" s="115" t="s">
        <v>28</v>
      </c>
      <c r="K10" s="116" t="s">
        <v>29</v>
      </c>
    </row>
    <row r="11" spans="1:11" ht="24" customHeight="1" thickBot="1" x14ac:dyDescent="0.25">
      <c r="A11" s="114"/>
      <c r="B11" s="115"/>
      <c r="C11" s="115"/>
      <c r="D11" s="115"/>
      <c r="E11" s="115"/>
      <c r="F11" s="115"/>
      <c r="G11" s="115"/>
      <c r="H11" s="115"/>
      <c r="I11" s="115"/>
      <c r="J11" s="115"/>
      <c r="K11" s="116"/>
    </row>
    <row r="12" spans="1:11" ht="20.25" customHeight="1" thickBot="1" x14ac:dyDescent="0.25">
      <c r="A12" s="8">
        <v>1</v>
      </c>
      <c r="B12" s="63">
        <f>'Necesidades Trimestrales'!B10</f>
        <v>0</v>
      </c>
      <c r="C12" s="109" t="str">
        <f>'Necesidades Trimestrales'!E10</f>
        <v>ACENOCUMAROL 4MG COMPRIMIDO</v>
      </c>
      <c r="D12" s="109"/>
      <c r="E12" s="109"/>
      <c r="F12" s="109"/>
      <c r="G12" s="109"/>
      <c r="H12" s="64" t="s">
        <v>56</v>
      </c>
      <c r="I12" s="65" t="str">
        <f>'Necesidades Trimestrales'!F10</f>
        <v>COMPRIMIDO</v>
      </c>
      <c r="J12" s="66">
        <f>'Necesidades Trimestrales'!H10</f>
        <v>11.5</v>
      </c>
      <c r="K12" s="67">
        <f>'Necesidades Trimestrales'!G10</f>
        <v>300</v>
      </c>
    </row>
    <row r="13" spans="1:11" ht="20.25" customHeight="1" thickBot="1" x14ac:dyDescent="0.25">
      <c r="A13" s="8">
        <v>2</v>
      </c>
      <c r="B13" s="63">
        <f>'Necesidades Trimestrales'!B11</f>
        <v>0</v>
      </c>
      <c r="C13" s="109" t="str">
        <f>'Necesidades Trimestrales'!E11</f>
        <v>ACIDO AMINOCAPROICO 2G AMPOLLA</v>
      </c>
      <c r="D13" s="109"/>
      <c r="E13" s="109"/>
      <c r="F13" s="109"/>
      <c r="G13" s="109"/>
      <c r="H13" s="64" t="s">
        <v>56</v>
      </c>
      <c r="I13" s="65" t="str">
        <f>'Necesidades Trimestrales'!F11</f>
        <v>AMPOLLA</v>
      </c>
      <c r="J13" s="66">
        <f>'Necesidades Trimestrales'!H11</f>
        <v>193</v>
      </c>
      <c r="K13" s="67">
        <f>'Necesidades Trimestrales'!G11</f>
        <v>400</v>
      </c>
    </row>
    <row r="14" spans="1:11" ht="20.25" customHeight="1" thickBot="1" x14ac:dyDescent="0.25">
      <c r="A14" s="8">
        <v>3</v>
      </c>
      <c r="B14" s="63">
        <f>'Necesidades Trimestrales'!B12</f>
        <v>0</v>
      </c>
      <c r="C14" s="109" t="str">
        <f>'Necesidades Trimestrales'!E12</f>
        <v>ACIDO FOLICO 5 MG COMPRIMIDOS</v>
      </c>
      <c r="D14" s="109"/>
      <c r="E14" s="109"/>
      <c r="F14" s="109"/>
      <c r="G14" s="109"/>
      <c r="H14" s="64" t="s">
        <v>56</v>
      </c>
      <c r="I14" s="65" t="str">
        <f>'Necesidades Trimestrales'!F12</f>
        <v>COMPRIMIDO</v>
      </c>
      <c r="J14" s="66">
        <f>'Necesidades Trimestrales'!H12</f>
        <v>3.49</v>
      </c>
      <c r="K14" s="67">
        <f>'Necesidades Trimestrales'!G12</f>
        <v>6000</v>
      </c>
    </row>
    <row r="15" spans="1:11" ht="20.25" customHeight="1" thickBot="1" x14ac:dyDescent="0.25">
      <c r="A15" s="8">
        <v>4</v>
      </c>
      <c r="B15" s="63">
        <f>'Necesidades Trimestrales'!B13</f>
        <v>0</v>
      </c>
      <c r="C15" s="109" t="str">
        <f>'Necesidades Trimestrales'!E13</f>
        <v>ADENOSINA 6 MG AMPOLLA</v>
      </c>
      <c r="D15" s="109"/>
      <c r="E15" s="109"/>
      <c r="F15" s="109"/>
      <c r="G15" s="109"/>
      <c r="H15" s="64" t="s">
        <v>56</v>
      </c>
      <c r="I15" s="65" t="str">
        <f>'Necesidades Trimestrales'!F13</f>
        <v>AMPOLLA</v>
      </c>
      <c r="J15" s="66">
        <f>'Necesidades Trimestrales'!H13</f>
        <v>133</v>
      </c>
      <c r="K15" s="67">
        <f>'Necesidades Trimestrales'!G13</f>
        <v>100</v>
      </c>
    </row>
    <row r="16" spans="1:11" ht="20.25" customHeight="1" thickBot="1" x14ac:dyDescent="0.25">
      <c r="A16" s="8">
        <v>5</v>
      </c>
      <c r="B16" s="63">
        <f>'Necesidades Trimestrales'!B14</f>
        <v>0</v>
      </c>
      <c r="C16" s="109" t="str">
        <f>'Necesidades Trimestrales'!E14</f>
        <v>ADRENALINA AMPOLLA 1 ML</v>
      </c>
      <c r="D16" s="109"/>
      <c r="E16" s="109"/>
      <c r="F16" s="109"/>
      <c r="G16" s="109"/>
      <c r="H16" s="64" t="s">
        <v>56</v>
      </c>
      <c r="I16" s="65" t="str">
        <f>'Necesidades Trimestrales'!F14</f>
        <v>AMPOLLA</v>
      </c>
      <c r="J16" s="66">
        <f>'Necesidades Trimestrales'!H14</f>
        <v>45</v>
      </c>
      <c r="K16" s="67">
        <f>'Necesidades Trimestrales'!G14</f>
        <v>1200</v>
      </c>
    </row>
    <row r="17" spans="1:11" ht="20.25" customHeight="1" thickBot="1" x14ac:dyDescent="0.25">
      <c r="A17" s="8">
        <v>6</v>
      </c>
      <c r="B17" s="63">
        <f>'Necesidades Trimestrales'!B15</f>
        <v>0</v>
      </c>
      <c r="C17" s="109" t="str">
        <f>'Necesidades Trimestrales'!E15</f>
        <v>ALPROSTADILO 500 MG ( PROSTAGLANDINA ) AMPOLLA x 1 ml</v>
      </c>
      <c r="D17" s="109"/>
      <c r="E17" s="109"/>
      <c r="F17" s="109"/>
      <c r="G17" s="109"/>
      <c r="H17" s="64" t="s">
        <v>56</v>
      </c>
      <c r="I17" s="65" t="str">
        <f>'Necesidades Trimestrales'!F15</f>
        <v>AMPOLLA</v>
      </c>
      <c r="J17" s="66">
        <f>'Necesidades Trimestrales'!H15</f>
        <v>1450</v>
      </c>
      <c r="K17" s="67">
        <f>'Necesidades Trimestrales'!G15</f>
        <v>4</v>
      </c>
    </row>
    <row r="18" spans="1:11" ht="20.25" customHeight="1" thickBot="1" x14ac:dyDescent="0.25">
      <c r="A18" s="8">
        <v>7</v>
      </c>
      <c r="B18" s="63">
        <f>'Necesidades Trimestrales'!B16</f>
        <v>0</v>
      </c>
      <c r="C18" s="109" t="str">
        <f>'Necesidades Trimestrales'!E16</f>
        <v>AMIODARONA 150 MG AMPOLLA X 3ML</v>
      </c>
      <c r="D18" s="109"/>
      <c r="E18" s="109"/>
      <c r="F18" s="109"/>
      <c r="G18" s="109"/>
      <c r="H18" s="64" t="s">
        <v>56</v>
      </c>
      <c r="I18" s="65" t="str">
        <f>'Necesidades Trimestrales'!F16</f>
        <v>AMPOLLA</v>
      </c>
      <c r="J18" s="66">
        <f>'Necesidades Trimestrales'!H16</f>
        <v>88</v>
      </c>
      <c r="K18" s="67">
        <f>'Necesidades Trimestrales'!G16</f>
        <v>1000</v>
      </c>
    </row>
    <row r="19" spans="1:11" ht="20.25" customHeight="1" thickBot="1" x14ac:dyDescent="0.25">
      <c r="A19" s="8">
        <v>8</v>
      </c>
      <c r="B19" s="63">
        <f>'Necesidades Trimestrales'!B17</f>
        <v>0</v>
      </c>
      <c r="C19" s="109" t="str">
        <f>'Necesidades Trimestrales'!E17</f>
        <v>AMIODARONA 200 MG COMPRIMIDO</v>
      </c>
      <c r="D19" s="109"/>
      <c r="E19" s="109"/>
      <c r="F19" s="109"/>
      <c r="G19" s="109"/>
      <c r="H19" s="64" t="s">
        <v>56</v>
      </c>
      <c r="I19" s="65" t="str">
        <f>'Necesidades Trimestrales'!F17</f>
        <v>COMPRIMIDO</v>
      </c>
      <c r="J19" s="66">
        <f>'Necesidades Trimestrales'!H17</f>
        <v>18.899999999999999</v>
      </c>
      <c r="K19" s="67">
        <f>'Necesidades Trimestrales'!G17</f>
        <v>300</v>
      </c>
    </row>
    <row r="20" spans="1:11" ht="20.25" customHeight="1" thickBot="1" x14ac:dyDescent="0.25">
      <c r="A20" s="8">
        <v>9</v>
      </c>
      <c r="B20" s="63">
        <f>'Necesidades Trimestrales'!B18</f>
        <v>0</v>
      </c>
      <c r="C20" s="109" t="str">
        <f>'Necesidades Trimestrales'!E18</f>
        <v>AMLODIPINA 10 MG COMPRIMIDO</v>
      </c>
      <c r="D20" s="109"/>
      <c r="E20" s="109"/>
      <c r="F20" s="109"/>
      <c r="G20" s="109"/>
      <c r="H20" s="64" t="s">
        <v>56</v>
      </c>
      <c r="I20" s="65" t="str">
        <f>'Necesidades Trimestrales'!F18</f>
        <v>COMPRIMIDO</v>
      </c>
      <c r="J20" s="66">
        <f>'Necesidades Trimestrales'!H18</f>
        <v>4.0999999999999996</v>
      </c>
      <c r="K20" s="67">
        <f>'Necesidades Trimestrales'!G18</f>
        <v>2000</v>
      </c>
    </row>
    <row r="21" spans="1:11" ht="20.25" customHeight="1" thickBot="1" x14ac:dyDescent="0.25">
      <c r="A21" s="8">
        <v>10</v>
      </c>
      <c r="B21" s="63">
        <f>'Necesidades Trimestrales'!B19</f>
        <v>0</v>
      </c>
      <c r="C21" s="109" t="str">
        <f>'Necesidades Trimestrales'!E19</f>
        <v>ATENOLOL 50MG COMPRIMIDO</v>
      </c>
      <c r="D21" s="109"/>
      <c r="E21" s="109"/>
      <c r="F21" s="109"/>
      <c r="G21" s="109"/>
      <c r="H21" s="64" t="s">
        <v>56</v>
      </c>
      <c r="I21" s="65" t="str">
        <f>'Necesidades Trimestrales'!F19</f>
        <v>COMPRIMIDO</v>
      </c>
      <c r="J21" s="66">
        <f>'Necesidades Trimestrales'!H19</f>
        <v>23</v>
      </c>
      <c r="K21" s="67">
        <f>'Necesidades Trimestrales'!G19</f>
        <v>100</v>
      </c>
    </row>
    <row r="22" spans="1:11" ht="20.25" customHeight="1" thickBot="1" x14ac:dyDescent="0.25">
      <c r="A22" s="8">
        <v>11</v>
      </c>
      <c r="B22" s="63">
        <f>'Necesidades Trimestrales'!B20</f>
        <v>0</v>
      </c>
      <c r="C22" s="109" t="str">
        <f>'Necesidades Trimestrales'!E20</f>
        <v>ATORVASTATINA 10 MG COMPRIMIDO</v>
      </c>
      <c r="D22" s="109"/>
      <c r="E22" s="109"/>
      <c r="F22" s="109"/>
      <c r="G22" s="109"/>
      <c r="H22" s="64" t="s">
        <v>56</v>
      </c>
      <c r="I22" s="65" t="str">
        <f>'Necesidades Trimestrales'!F20</f>
        <v>COMPRIMIDO</v>
      </c>
      <c r="J22" s="66">
        <f>'Necesidades Trimestrales'!H20</f>
        <v>5.9</v>
      </c>
      <c r="K22" s="67">
        <f>'Necesidades Trimestrales'!G20</f>
        <v>2000</v>
      </c>
    </row>
    <row r="23" spans="1:11" ht="20.25" customHeight="1" thickBot="1" x14ac:dyDescent="0.25">
      <c r="A23" s="8">
        <v>12</v>
      </c>
      <c r="B23" s="63">
        <f>'Necesidades Trimestrales'!B21</f>
        <v>0</v>
      </c>
      <c r="C23" s="109" t="str">
        <f>'Necesidades Trimestrales'!E21</f>
        <v>BISOPROLOL 5 MG COMPRIMIDO</v>
      </c>
      <c r="D23" s="109"/>
      <c r="E23" s="109"/>
      <c r="F23" s="109"/>
      <c r="G23" s="109"/>
      <c r="H23" s="64" t="s">
        <v>56</v>
      </c>
      <c r="I23" s="65" t="str">
        <f>'Necesidades Trimestrales'!F21</f>
        <v>COMPRIMIDO</v>
      </c>
      <c r="J23" s="66">
        <f>'Necesidades Trimestrales'!H21</f>
        <v>9.5</v>
      </c>
      <c r="K23" s="67">
        <f>'Necesidades Trimestrales'!G21</f>
        <v>300</v>
      </c>
    </row>
    <row r="24" spans="1:11" ht="20.25" customHeight="1" thickBot="1" x14ac:dyDescent="0.25">
      <c r="A24" s="8">
        <v>13</v>
      </c>
      <c r="B24" s="63">
        <f>'Necesidades Trimestrales'!B22</f>
        <v>0</v>
      </c>
      <c r="C24" s="109" t="str">
        <f>'Necesidades Trimestrales'!E22</f>
        <v>CARVEDILOL 12,5 MG COMPRIMIDO</v>
      </c>
      <c r="D24" s="109"/>
      <c r="E24" s="109"/>
      <c r="F24" s="109"/>
      <c r="G24" s="109"/>
      <c r="H24" s="64" t="s">
        <v>56</v>
      </c>
      <c r="I24" s="65" t="str">
        <f>'Necesidades Trimestrales'!F22</f>
        <v>COMPRIMIDO</v>
      </c>
      <c r="J24" s="66">
        <f>'Necesidades Trimestrales'!H22</f>
        <v>5.98</v>
      </c>
      <c r="K24" s="67">
        <f>'Necesidades Trimestrales'!G22</f>
        <v>600</v>
      </c>
    </row>
    <row r="25" spans="1:11" ht="20.25" customHeight="1" thickBot="1" x14ac:dyDescent="0.25">
      <c r="A25" s="8">
        <v>14</v>
      </c>
      <c r="B25" s="63">
        <f>'Necesidades Trimestrales'!B23</f>
        <v>0</v>
      </c>
      <c r="C25" s="109" t="str">
        <f>'Necesidades Trimestrales'!E23</f>
        <v>CLOPIDOGREL 75 MG COMPRIMIDO</v>
      </c>
      <c r="D25" s="109"/>
      <c r="E25" s="109"/>
      <c r="F25" s="109"/>
      <c r="G25" s="109"/>
      <c r="H25" s="64" t="s">
        <v>56</v>
      </c>
      <c r="I25" s="65" t="str">
        <f>'Necesidades Trimestrales'!F23</f>
        <v>COMPRIMIDO</v>
      </c>
      <c r="J25" s="66">
        <f>'Necesidades Trimestrales'!H23</f>
        <v>18</v>
      </c>
      <c r="K25" s="67">
        <f>'Necesidades Trimestrales'!G23</f>
        <v>700</v>
      </c>
    </row>
    <row r="26" spans="1:11" ht="20.25" customHeight="1" thickBot="1" x14ac:dyDescent="0.25">
      <c r="A26" s="8">
        <v>15</v>
      </c>
      <c r="B26" s="63">
        <f>'Necesidades Trimestrales'!B24</f>
        <v>0</v>
      </c>
      <c r="C26" s="109" t="str">
        <f>'Necesidades Trimestrales'!E24</f>
        <v>CLONIDINA AMPOLLAS x 1 ml</v>
      </c>
      <c r="D26" s="109"/>
      <c r="E26" s="109"/>
      <c r="F26" s="109"/>
      <c r="G26" s="109"/>
      <c r="H26" s="64" t="s">
        <v>56</v>
      </c>
      <c r="I26" s="65" t="str">
        <f>'Necesidades Trimestrales'!F24</f>
        <v>AMPOLLA</v>
      </c>
      <c r="J26" s="66">
        <f>'Necesidades Trimestrales'!H24</f>
        <v>225</v>
      </c>
      <c r="K26" s="67">
        <f>'Necesidades Trimestrales'!G24</f>
        <v>100</v>
      </c>
    </row>
    <row r="27" spans="1:11" ht="20.25" customHeight="1" thickBot="1" x14ac:dyDescent="0.25">
      <c r="A27" s="8">
        <v>16</v>
      </c>
      <c r="B27" s="63">
        <f>'Necesidades Trimestrales'!B25</f>
        <v>0</v>
      </c>
      <c r="C27" s="109" t="str">
        <f>'Necesidades Trimestrales'!E25</f>
        <v>DIGOXINA 0,25 MG AMPOLLA</v>
      </c>
      <c r="D27" s="109"/>
      <c r="E27" s="109"/>
      <c r="F27" s="109"/>
      <c r="G27" s="109"/>
      <c r="H27" s="64" t="s">
        <v>56</v>
      </c>
      <c r="I27" s="65" t="str">
        <f>'Necesidades Trimestrales'!F25</f>
        <v>AMPOLLA</v>
      </c>
      <c r="J27" s="66">
        <f>'Necesidades Trimestrales'!H25</f>
        <v>89</v>
      </c>
      <c r="K27" s="67">
        <f>'Necesidades Trimestrales'!G25</f>
        <v>200</v>
      </c>
    </row>
    <row r="28" spans="1:11" ht="20.25" customHeight="1" thickBot="1" x14ac:dyDescent="0.25">
      <c r="A28" s="8">
        <v>17</v>
      </c>
      <c r="B28" s="63">
        <f>'Necesidades Trimestrales'!B26</f>
        <v>0</v>
      </c>
      <c r="C28" s="109" t="str">
        <f>'Necesidades Trimestrales'!E26</f>
        <v>DIGOXINA 0,25 MG COMPRIDO</v>
      </c>
      <c r="D28" s="109"/>
      <c r="E28" s="109"/>
      <c r="F28" s="109"/>
      <c r="G28" s="109"/>
      <c r="H28" s="64" t="s">
        <v>56</v>
      </c>
      <c r="I28" s="65" t="str">
        <f>'Necesidades Trimestrales'!F26</f>
        <v>COMPRIMIDO</v>
      </c>
      <c r="J28" s="66">
        <f>'Necesidades Trimestrales'!H26</f>
        <v>15</v>
      </c>
      <c r="K28" s="67">
        <f>'Necesidades Trimestrales'!G26</f>
        <v>60</v>
      </c>
    </row>
    <row r="29" spans="1:11" ht="20.25" customHeight="1" thickBot="1" x14ac:dyDescent="0.25">
      <c r="A29" s="8">
        <v>18</v>
      </c>
      <c r="B29" s="63">
        <f>'Necesidades Trimestrales'!B27</f>
        <v>0</v>
      </c>
      <c r="C29" s="109" t="str">
        <f>'Necesidades Trimestrales'!E27</f>
        <v>DOBUTAMINA AMPOLLA x 20 ml</v>
      </c>
      <c r="D29" s="109"/>
      <c r="E29" s="109"/>
      <c r="F29" s="109"/>
      <c r="G29" s="109"/>
      <c r="H29" s="64" t="s">
        <v>56</v>
      </c>
      <c r="I29" s="65" t="str">
        <f>'Necesidades Trimestrales'!F27</f>
        <v>AMPOLLA</v>
      </c>
      <c r="J29" s="66">
        <f>'Necesidades Trimestrales'!H27</f>
        <v>695</v>
      </c>
      <c r="K29" s="67">
        <f>'Necesidades Trimestrales'!G27</f>
        <v>200</v>
      </c>
    </row>
    <row r="30" spans="1:11" ht="20.25" customHeight="1" thickBot="1" x14ac:dyDescent="0.25">
      <c r="A30" s="8">
        <v>19</v>
      </c>
      <c r="B30" s="63">
        <f>'Necesidades Trimestrales'!B28</f>
        <v>0</v>
      </c>
      <c r="C30" s="109" t="str">
        <f>'Necesidades Trimestrales'!E28</f>
        <v>DOPAMINA 200 MG  AMPOLLA</v>
      </c>
      <c r="D30" s="109"/>
      <c r="E30" s="109"/>
      <c r="F30" s="109"/>
      <c r="G30" s="109"/>
      <c r="H30" s="64" t="s">
        <v>56</v>
      </c>
      <c r="I30" s="65" t="str">
        <f>'Necesidades Trimestrales'!F28</f>
        <v>AMPOLLA</v>
      </c>
      <c r="J30" s="66">
        <f>'Necesidades Trimestrales'!H28</f>
        <v>230</v>
      </c>
      <c r="K30" s="67">
        <f>'Necesidades Trimestrales'!G28</f>
        <v>500</v>
      </c>
    </row>
    <row r="31" spans="1:11" ht="20.25" customHeight="1" thickBot="1" x14ac:dyDescent="0.25">
      <c r="A31" s="8">
        <v>20</v>
      </c>
      <c r="B31" s="63">
        <f>'Necesidades Trimestrales'!B29</f>
        <v>0</v>
      </c>
      <c r="C31" s="109" t="str">
        <f>'Necesidades Trimestrales'!E29</f>
        <v>ENALAPRIL 10 MG COMPRIMIDO</v>
      </c>
      <c r="D31" s="109"/>
      <c r="E31" s="109"/>
      <c r="F31" s="109"/>
      <c r="G31" s="109"/>
      <c r="H31" s="64" t="s">
        <v>56</v>
      </c>
      <c r="I31" s="65" t="str">
        <f>'Necesidades Trimestrales'!F29</f>
        <v>COMPRIMIDO</v>
      </c>
      <c r="J31" s="66">
        <f>'Necesidades Trimestrales'!H29</f>
        <v>4.9000000000000004</v>
      </c>
      <c r="K31" s="67">
        <f>'Necesidades Trimestrales'!G29</f>
        <v>2000</v>
      </c>
    </row>
    <row r="32" spans="1:11" ht="20.25" customHeight="1" thickBot="1" x14ac:dyDescent="0.25">
      <c r="A32" s="8">
        <v>21</v>
      </c>
      <c r="B32" s="63">
        <f>'Necesidades Trimestrales'!B30</f>
        <v>0</v>
      </c>
      <c r="C32" s="109" t="str">
        <f>'Necesidades Trimestrales'!E30</f>
        <v>ERITROPOYETINA JER 3000 UI 0,3 ML</v>
      </c>
      <c r="D32" s="109"/>
      <c r="E32" s="109"/>
      <c r="F32" s="109"/>
      <c r="G32" s="109"/>
      <c r="H32" s="64" t="s">
        <v>56</v>
      </c>
      <c r="I32" s="65" t="str">
        <f>'Necesidades Trimestrales'!F30</f>
        <v>UNIDAD</v>
      </c>
      <c r="J32" s="66">
        <f>'Necesidades Trimestrales'!H30</f>
        <v>415</v>
      </c>
      <c r="K32" s="67">
        <f>'Necesidades Trimestrales'!G30</f>
        <v>1500</v>
      </c>
    </row>
    <row r="33" spans="1:11" ht="20.25" customHeight="1" thickBot="1" x14ac:dyDescent="0.25">
      <c r="A33" s="8">
        <v>22</v>
      </c>
      <c r="B33" s="63">
        <f>'Necesidades Trimestrales'!B31</f>
        <v>0</v>
      </c>
      <c r="C33" s="109" t="str">
        <f>'Necesidades Trimestrales'!E31</f>
        <v>ESPIRONOLACTONA 100 MG COMPRIMIDO</v>
      </c>
      <c r="D33" s="109"/>
      <c r="E33" s="109"/>
      <c r="F33" s="109"/>
      <c r="G33" s="109"/>
      <c r="H33" s="64" t="s">
        <v>56</v>
      </c>
      <c r="I33" s="65" t="str">
        <f>'Necesidades Trimestrales'!F31</f>
        <v>COMPRIMIDO</v>
      </c>
      <c r="J33" s="66">
        <f>'Necesidades Trimestrales'!H31</f>
        <v>4.25</v>
      </c>
      <c r="K33" s="67">
        <f>'Necesidades Trimestrales'!G31</f>
        <v>2000</v>
      </c>
    </row>
    <row r="34" spans="1:11" ht="20.25" customHeight="1" thickBot="1" x14ac:dyDescent="0.25">
      <c r="A34" s="8">
        <v>23</v>
      </c>
      <c r="B34" s="63">
        <f>'Necesidades Trimestrales'!B32</f>
        <v>0</v>
      </c>
      <c r="C34" s="109" t="str">
        <f>'Necesidades Trimestrales'!E32</f>
        <v>FILGRASTIN 300 MCG AMPOLLA</v>
      </c>
      <c r="D34" s="109"/>
      <c r="E34" s="109"/>
      <c r="F34" s="109"/>
      <c r="G34" s="109"/>
      <c r="H34" s="64" t="s">
        <v>56</v>
      </c>
      <c r="I34" s="65" t="str">
        <f>'Necesidades Trimestrales'!F32</f>
        <v>AMPOLLA</v>
      </c>
      <c r="J34" s="66">
        <f>'Necesidades Trimestrales'!H32</f>
        <v>1680</v>
      </c>
      <c r="K34" s="67">
        <f>'Necesidades Trimestrales'!G32</f>
        <v>350</v>
      </c>
    </row>
    <row r="35" spans="1:11" ht="20.25" customHeight="1" thickBot="1" x14ac:dyDescent="0.25">
      <c r="A35" s="8">
        <v>24</v>
      </c>
      <c r="B35" s="63">
        <f>'Necesidades Trimestrales'!B33</f>
        <v>0</v>
      </c>
      <c r="C35" s="109" t="str">
        <f>'Necesidades Trimestrales'!E33</f>
        <v>FUROSEMIDA 40 MG COMPRIMIDO</v>
      </c>
      <c r="D35" s="109"/>
      <c r="E35" s="109"/>
      <c r="F35" s="109"/>
      <c r="G35" s="109"/>
      <c r="H35" s="64" t="s">
        <v>56</v>
      </c>
      <c r="I35" s="65" t="str">
        <f>'Necesidades Trimestrales'!F33</f>
        <v>COMPRIMIDO</v>
      </c>
      <c r="J35" s="66">
        <f>'Necesidades Trimestrales'!H33</f>
        <v>6.3</v>
      </c>
      <c r="K35" s="67">
        <f>'Necesidades Trimestrales'!G33</f>
        <v>300</v>
      </c>
    </row>
    <row r="36" spans="1:11" ht="20.25" customHeight="1" thickBot="1" x14ac:dyDescent="0.25">
      <c r="A36" s="8">
        <v>25</v>
      </c>
      <c r="B36" s="63">
        <f>'Necesidades Trimestrales'!B34</f>
        <v>0</v>
      </c>
      <c r="C36" s="109" t="str">
        <f>'Necesidades Trimestrales'!E34</f>
        <v>FUROSEMIDA AMPOLLAS</v>
      </c>
      <c r="D36" s="109"/>
      <c r="E36" s="109"/>
      <c r="F36" s="109"/>
      <c r="G36" s="109"/>
      <c r="H36" s="64" t="s">
        <v>56</v>
      </c>
      <c r="I36" s="65" t="str">
        <f>'Necesidades Trimestrales'!F34</f>
        <v>AMPOLLA</v>
      </c>
      <c r="J36" s="66">
        <f>'Necesidades Trimestrales'!H34</f>
        <v>45</v>
      </c>
      <c r="K36" s="67">
        <f>'Necesidades Trimestrales'!G34</f>
        <v>6000</v>
      </c>
    </row>
    <row r="37" spans="1:11" ht="20.25" customHeight="1" thickBot="1" x14ac:dyDescent="0.25">
      <c r="A37" s="8">
        <v>26</v>
      </c>
      <c r="B37" s="63">
        <f>'Necesidades Trimestrales'!B35</f>
        <v>0</v>
      </c>
      <c r="C37" s="109" t="str">
        <f>'Necesidades Trimestrales'!E35</f>
        <v>HIDROCLOROTIAZIDA 25 MG COMPRIMIDO</v>
      </c>
      <c r="D37" s="109"/>
      <c r="E37" s="109"/>
      <c r="F37" s="109"/>
      <c r="G37" s="109"/>
      <c r="H37" s="64" t="s">
        <v>56</v>
      </c>
      <c r="I37" s="65" t="str">
        <f>'Necesidades Trimestrales'!F35</f>
        <v>COMPRIMIDO</v>
      </c>
      <c r="J37" s="66">
        <f>'Necesidades Trimestrales'!H35</f>
        <v>6.4</v>
      </c>
      <c r="K37" s="67">
        <f>'Necesidades Trimestrales'!G35</f>
        <v>150</v>
      </c>
    </row>
    <row r="38" spans="1:11" ht="20.25" customHeight="1" thickBot="1" x14ac:dyDescent="0.25">
      <c r="A38" s="8">
        <v>27</v>
      </c>
      <c r="B38" s="63">
        <f>'Necesidades Trimestrales'!B36</f>
        <v>0</v>
      </c>
      <c r="C38" s="109" t="str">
        <f>'Necesidades Trimestrales'!E36</f>
        <v>HIERRO DEXTRAN AMPOLLAS 100MG X 2ML</v>
      </c>
      <c r="D38" s="109"/>
      <c r="E38" s="109"/>
      <c r="F38" s="109"/>
      <c r="G38" s="109"/>
      <c r="H38" s="64" t="s">
        <v>56</v>
      </c>
      <c r="I38" s="65" t="str">
        <f>'Necesidades Trimestrales'!F36</f>
        <v>AMPOLLA</v>
      </c>
      <c r="J38" s="66">
        <f>'Necesidades Trimestrales'!H36</f>
        <v>396</v>
      </c>
      <c r="K38" s="67">
        <f>'Necesidades Trimestrales'!G36</f>
        <v>600</v>
      </c>
    </row>
    <row r="39" spans="1:11" ht="20.25" customHeight="1" thickBot="1" x14ac:dyDescent="0.25">
      <c r="A39" s="8">
        <v>28</v>
      </c>
      <c r="B39" s="63">
        <f>'Necesidades Trimestrales'!B37</f>
        <v>0</v>
      </c>
      <c r="C39" s="109" t="str">
        <f>'Necesidades Trimestrales'!E37</f>
        <v>HIERRO+ACIDO FOLICO+B12 AMPOLLAS TIPO YECTAFER COMPLEX X 5 AMPOLLAS</v>
      </c>
      <c r="D39" s="109"/>
      <c r="E39" s="109"/>
      <c r="F39" s="109"/>
      <c r="G39" s="109"/>
      <c r="H39" s="64" t="s">
        <v>56</v>
      </c>
      <c r="I39" s="65" t="str">
        <f>'Necesidades Trimestrales'!F37</f>
        <v>CAJA</v>
      </c>
      <c r="J39" s="66">
        <f>'Necesidades Trimestrales'!H37</f>
        <v>6830</v>
      </c>
      <c r="K39" s="67">
        <f>'Necesidades Trimestrales'!G37</f>
        <v>120</v>
      </c>
    </row>
    <row r="40" spans="1:11" ht="20.25" customHeight="1" thickBot="1" x14ac:dyDescent="0.25">
      <c r="A40" s="8">
        <v>29</v>
      </c>
      <c r="B40" s="63">
        <f>'Necesidades Trimestrales'!B38</f>
        <v>0</v>
      </c>
      <c r="C40" s="109" t="str">
        <f>'Necesidades Trimestrales'!E38</f>
        <v>ISOPROTERONOL 1 MG AMPOLLA X 5 ML</v>
      </c>
      <c r="D40" s="109"/>
      <c r="E40" s="109"/>
      <c r="F40" s="109"/>
      <c r="G40" s="109"/>
      <c r="H40" s="64" t="s">
        <v>56</v>
      </c>
      <c r="I40" s="65" t="str">
        <f>'Necesidades Trimestrales'!F38</f>
        <v>AMPOLLA</v>
      </c>
      <c r="J40" s="66">
        <f>'Necesidades Trimestrales'!H38</f>
        <v>358</v>
      </c>
      <c r="K40" s="67">
        <f>'Necesidades Trimestrales'!G38</f>
        <v>100</v>
      </c>
    </row>
    <row r="41" spans="1:11" ht="20.25" customHeight="1" thickBot="1" x14ac:dyDescent="0.25">
      <c r="A41" s="8">
        <v>30</v>
      </c>
      <c r="B41" s="63">
        <f>'Necesidades Trimestrales'!B39</f>
        <v>0</v>
      </c>
      <c r="C41" s="109" t="str">
        <f>'Necesidades Trimestrales'!E39</f>
        <v>ISOSORVIDE DINITRATO SUBLINGUAL 5 MG COMPRIMIDOS SUBLINGUALES COMPRIMIDO X 30</v>
      </c>
      <c r="D41" s="109"/>
      <c r="E41" s="109"/>
      <c r="F41" s="109"/>
      <c r="G41" s="109"/>
      <c r="H41" s="64" t="s">
        <v>56</v>
      </c>
      <c r="I41" s="65" t="str">
        <f>'Necesidades Trimestrales'!F39</f>
        <v>CAJA</v>
      </c>
      <c r="J41" s="66">
        <f>'Necesidades Trimestrales'!H39</f>
        <v>991</v>
      </c>
      <c r="K41" s="67">
        <f>'Necesidades Trimestrales'!G39</f>
        <v>30</v>
      </c>
    </row>
    <row r="42" spans="1:11" ht="20.25" customHeight="1" thickBot="1" x14ac:dyDescent="0.25">
      <c r="A42" s="8">
        <v>31</v>
      </c>
      <c r="B42" s="63">
        <f>'Necesidades Trimestrales'!B40</f>
        <v>0</v>
      </c>
      <c r="C42" s="109" t="str">
        <f>'Necesidades Trimestrales'!E40</f>
        <v>LOSARTAN 50 MG COMPRIMIDO</v>
      </c>
      <c r="D42" s="109"/>
      <c r="E42" s="109"/>
      <c r="F42" s="109"/>
      <c r="G42" s="109"/>
      <c r="H42" s="64" t="s">
        <v>56</v>
      </c>
      <c r="I42" s="65" t="str">
        <f>'Necesidades Trimestrales'!F40</f>
        <v>COMPRIMIDO</v>
      </c>
      <c r="J42" s="66">
        <f>'Necesidades Trimestrales'!H40</f>
        <v>6.5</v>
      </c>
      <c r="K42" s="67">
        <f>'Necesidades Trimestrales'!G40</f>
        <v>8000</v>
      </c>
    </row>
    <row r="43" spans="1:11" ht="20.25" customHeight="1" thickBot="1" x14ac:dyDescent="0.25">
      <c r="A43" s="8">
        <v>32</v>
      </c>
      <c r="B43" s="63">
        <f>'Necesidades Trimestrales'!B41</f>
        <v>0</v>
      </c>
      <c r="C43" s="109" t="str">
        <f>'Necesidades Trimestrales'!E41</f>
        <v>NIFEDIPINA 30MG COMPRIMIDO</v>
      </c>
      <c r="D43" s="109"/>
      <c r="E43" s="109"/>
      <c r="F43" s="109"/>
      <c r="G43" s="109"/>
      <c r="H43" s="64" t="s">
        <v>56</v>
      </c>
      <c r="I43" s="65" t="str">
        <f>'Necesidades Trimestrales'!F41</f>
        <v>COMPRIMIDO</v>
      </c>
      <c r="J43" s="66">
        <f>'Necesidades Trimestrales'!H41</f>
        <v>23</v>
      </c>
      <c r="K43" s="67">
        <f>'Necesidades Trimestrales'!G41</f>
        <v>30</v>
      </c>
    </row>
    <row r="44" spans="1:11" ht="20.25" customHeight="1" thickBot="1" x14ac:dyDescent="0.25">
      <c r="A44" s="8">
        <v>33</v>
      </c>
      <c r="B44" s="63">
        <f>'Necesidades Trimestrales'!B42</f>
        <v>0</v>
      </c>
      <c r="C44" s="109" t="str">
        <f>'Necesidades Trimestrales'!E42</f>
        <v>NITROGLICERINA 25 MG AMPOLLA</v>
      </c>
      <c r="D44" s="109"/>
      <c r="E44" s="109"/>
      <c r="F44" s="109"/>
      <c r="G44" s="109"/>
      <c r="H44" s="64" t="s">
        <v>56</v>
      </c>
      <c r="I44" s="65" t="str">
        <f>'Necesidades Trimestrales'!F42</f>
        <v>AMPOLLA</v>
      </c>
      <c r="J44" s="66">
        <f>'Necesidades Trimestrales'!H42</f>
        <v>430</v>
      </c>
      <c r="K44" s="67">
        <f>'Necesidades Trimestrales'!G42</f>
        <v>1000</v>
      </c>
    </row>
    <row r="45" spans="1:11" ht="20.25" customHeight="1" thickBot="1" x14ac:dyDescent="0.25">
      <c r="A45" s="8">
        <v>34</v>
      </c>
      <c r="B45" s="63">
        <f>'Necesidades Trimestrales'!B43</f>
        <v>0</v>
      </c>
      <c r="C45" s="109" t="str">
        <f>'Necesidades Trimestrales'!E43</f>
        <v>NITROPRUSIATO SODIO 50 MG VIAL</v>
      </c>
      <c r="D45" s="109"/>
      <c r="E45" s="109"/>
      <c r="F45" s="109"/>
      <c r="G45" s="109"/>
      <c r="H45" s="64" t="s">
        <v>56</v>
      </c>
      <c r="I45" s="65" t="str">
        <f>'Necesidades Trimestrales'!F43</f>
        <v>FRASCO</v>
      </c>
      <c r="J45" s="66">
        <f>'Necesidades Trimestrales'!H43</f>
        <v>790</v>
      </c>
      <c r="K45" s="67">
        <f>'Necesidades Trimestrales'!G43</f>
        <v>50</v>
      </c>
    </row>
    <row r="46" spans="1:11" ht="20.25" customHeight="1" thickBot="1" x14ac:dyDescent="0.25">
      <c r="A46" s="8">
        <v>35</v>
      </c>
      <c r="B46" s="63">
        <f>'Necesidades Trimestrales'!B44</f>
        <v>0</v>
      </c>
      <c r="C46" s="109" t="str">
        <f>'Necesidades Trimestrales'!E44</f>
        <v>NORADRENALINA 4 MG/ML AMPOLLA</v>
      </c>
      <c r="D46" s="109"/>
      <c r="E46" s="109"/>
      <c r="F46" s="109"/>
      <c r="G46" s="109"/>
      <c r="H46" s="64" t="s">
        <v>56</v>
      </c>
      <c r="I46" s="65" t="str">
        <f>'Necesidades Trimestrales'!F44</f>
        <v>AMPOLLA</v>
      </c>
      <c r="J46" s="66">
        <f>'Necesidades Trimestrales'!H44</f>
        <v>250</v>
      </c>
      <c r="K46" s="67">
        <f>'Necesidades Trimestrales'!G44</f>
        <v>2500</v>
      </c>
    </row>
    <row r="47" spans="1:11" ht="20.25" customHeight="1" thickBot="1" x14ac:dyDescent="0.25">
      <c r="A47" s="8">
        <v>36</v>
      </c>
      <c r="B47" s="63">
        <f>'Necesidades Trimestrales'!B45</f>
        <v>0</v>
      </c>
      <c r="C47" s="109" t="str">
        <f>'Necesidades Trimestrales'!E45</f>
        <v>PROPRANOLOL 40MG COMPRIMIDO</v>
      </c>
      <c r="D47" s="109"/>
      <c r="E47" s="109"/>
      <c r="F47" s="109"/>
      <c r="G47" s="109"/>
      <c r="H47" s="64" t="s">
        <v>56</v>
      </c>
      <c r="I47" s="65" t="str">
        <f>'Necesidades Trimestrales'!F45</f>
        <v>COMPRIMIDO</v>
      </c>
      <c r="J47" s="66">
        <f>'Necesidades Trimestrales'!H45</f>
        <v>18</v>
      </c>
      <c r="K47" s="67">
        <f>'Necesidades Trimestrales'!G45</f>
        <v>600</v>
      </c>
    </row>
    <row r="48" spans="1:11" ht="20.25" customHeight="1" thickBot="1" x14ac:dyDescent="0.25">
      <c r="A48" s="8">
        <v>37</v>
      </c>
      <c r="B48" s="63">
        <f>'Necesidades Trimestrales'!B46</f>
        <v>0</v>
      </c>
      <c r="C48" s="109" t="str">
        <f>'Necesidades Trimestrales'!E46</f>
        <v>SULFATO FERROSO 200 MG COMPRIMIDO</v>
      </c>
      <c r="D48" s="109"/>
      <c r="E48" s="109"/>
      <c r="F48" s="109"/>
      <c r="G48" s="109"/>
      <c r="H48" s="64" t="s">
        <v>56</v>
      </c>
      <c r="I48" s="65" t="str">
        <f>'Necesidades Trimestrales'!F46</f>
        <v>COMPRIMIDO</v>
      </c>
      <c r="J48" s="66">
        <f>'Necesidades Trimestrales'!H46</f>
        <v>12</v>
      </c>
      <c r="K48" s="67">
        <f>'Necesidades Trimestrales'!G46</f>
        <v>1200</v>
      </c>
    </row>
    <row r="49" spans="1:1024" ht="20.25" customHeight="1" thickBot="1" x14ac:dyDescent="0.25">
      <c r="A49" s="8">
        <v>38</v>
      </c>
      <c r="B49" s="63">
        <f>'Necesidades Trimestrales'!B47</f>
        <v>0</v>
      </c>
      <c r="C49" s="109" t="str">
        <f>'Necesidades Trimestrales'!E47</f>
        <v>VITAMINA K 10 MG AMPOLLA</v>
      </c>
      <c r="D49" s="109"/>
      <c r="E49" s="109"/>
      <c r="F49" s="109"/>
      <c r="G49" s="109"/>
      <c r="H49" s="64" t="s">
        <v>56</v>
      </c>
      <c r="I49" s="65" t="str">
        <f>'Necesidades Trimestrales'!F47</f>
        <v>AMPOLLA</v>
      </c>
      <c r="J49" s="66">
        <f>'Necesidades Trimestrales'!H47</f>
        <v>58</v>
      </c>
      <c r="K49" s="67">
        <f>'Necesidades Trimestrales'!G47</f>
        <v>400</v>
      </c>
    </row>
    <row r="50" spans="1:1024" ht="27.75" customHeight="1" thickBot="1" x14ac:dyDescent="0.25">
      <c r="A50" s="110" t="s">
        <v>110</v>
      </c>
      <c r="B50" s="110"/>
      <c r="C50" s="110"/>
      <c r="D50" s="110"/>
      <c r="E50" s="110"/>
      <c r="F50" s="110"/>
      <c r="G50" s="110"/>
      <c r="H50" s="110"/>
      <c r="I50" s="110"/>
      <c r="J50" s="111">
        <f>SUMPRODUCT(J12:J49,K12:K49)</f>
        <v>4424868</v>
      </c>
      <c r="K50" s="111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</row>
  </sheetData>
  <mergeCells count="60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J50:K50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7:G17"/>
    <mergeCell ref="C18:G18"/>
    <mergeCell ref="C19:G19"/>
    <mergeCell ref="C20:G20"/>
    <mergeCell ref="A50:I50"/>
    <mergeCell ref="C12:G12"/>
    <mergeCell ref="C13:G13"/>
    <mergeCell ref="C14:G14"/>
    <mergeCell ref="C15:G15"/>
    <mergeCell ref="C16:G16"/>
    <mergeCell ref="C35:G35"/>
    <mergeCell ref="C36:G36"/>
    <mergeCell ref="C37:G37"/>
    <mergeCell ref="C38:G38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  <mergeCell ref="C48:G48"/>
    <mergeCell ref="C49:G49"/>
    <mergeCell ref="C39:G39"/>
    <mergeCell ref="C40:G40"/>
    <mergeCell ref="C41:G41"/>
    <mergeCell ref="C42:G42"/>
    <mergeCell ref="C43:G43"/>
    <mergeCell ref="C44:G44"/>
    <mergeCell ref="C45:G45"/>
    <mergeCell ref="C46:G46"/>
    <mergeCell ref="C47:G47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opLeftCell="A4" zoomScale="130" zoomScaleNormal="130" workbookViewId="0">
      <selection activeCell="Q32" sqref="Q32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44" t="s">
        <v>3</v>
      </c>
      <c r="B1" s="144"/>
      <c r="C1" s="144"/>
      <c r="D1" s="145">
        <f>'Necesidades Trimestrales'!C6</f>
        <v>2022</v>
      </c>
      <c r="E1" s="145"/>
      <c r="F1" s="10"/>
      <c r="G1" s="10"/>
      <c r="H1" s="11"/>
      <c r="I1" s="11"/>
      <c r="J1" s="11"/>
      <c r="K1" s="11"/>
      <c r="L1" s="11"/>
      <c r="M1" s="11"/>
      <c r="N1" s="11"/>
      <c r="P1" s="146" t="s">
        <v>30</v>
      </c>
      <c r="Q1" s="146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46"/>
      <c r="Q2" s="146"/>
    </row>
    <row r="4" spans="1:17" s="12" customFormat="1" ht="18" customHeight="1" thickBot="1" x14ac:dyDescent="0.25">
      <c r="A4" s="147" t="s">
        <v>31</v>
      </c>
      <c r="B4" s="147"/>
      <c r="C4" s="147"/>
      <c r="D4" s="147"/>
      <c r="E4" s="147"/>
      <c r="F4" s="147"/>
      <c r="G4" s="142" t="str">
        <f>NotaPedido!D3</f>
        <v>40 - Ministerio de Salud</v>
      </c>
      <c r="H4" s="142"/>
      <c r="I4" s="142"/>
      <c r="J4" s="142"/>
      <c r="K4" s="142"/>
      <c r="L4" s="142"/>
      <c r="M4" s="142"/>
      <c r="N4" s="142"/>
      <c r="O4" s="142"/>
      <c r="P4" s="142"/>
      <c r="Q4" s="142"/>
    </row>
    <row r="5" spans="1:17" s="12" customFormat="1" ht="18" customHeight="1" thickBot="1" x14ac:dyDescent="0.25">
      <c r="A5" s="139" t="s">
        <v>54</v>
      </c>
      <c r="B5" s="140"/>
      <c r="C5" s="140"/>
      <c r="D5" s="140"/>
      <c r="E5" s="140"/>
      <c r="F5" s="141"/>
      <c r="G5" s="142" t="str">
        <f>NotaPedido!D4</f>
        <v>23 - Hospital Interzonal San Juan Bautista</v>
      </c>
      <c r="H5" s="142"/>
      <c r="I5" s="142"/>
      <c r="J5" s="142"/>
      <c r="K5" s="142"/>
      <c r="L5" s="142"/>
      <c r="M5" s="142"/>
      <c r="N5" s="142"/>
      <c r="O5" s="142"/>
      <c r="P5" s="142"/>
      <c r="Q5" s="142"/>
    </row>
    <row r="6" spans="1:17" s="12" customFormat="1" ht="18" customHeight="1" thickBot="1" x14ac:dyDescent="0.25">
      <c r="A6" s="139" t="s">
        <v>32</v>
      </c>
      <c r="B6" s="140"/>
      <c r="C6" s="140"/>
      <c r="D6" s="140"/>
      <c r="E6" s="140"/>
      <c r="F6" s="141"/>
      <c r="G6" s="142" t="str">
        <f>NotaPedido!D5</f>
        <v>168 - Direccion Asistencial</v>
      </c>
      <c r="H6" s="142"/>
      <c r="I6" s="142"/>
      <c r="J6" s="142"/>
      <c r="K6" s="142"/>
      <c r="L6" s="142"/>
      <c r="M6" s="142"/>
      <c r="N6" s="142"/>
      <c r="O6" s="142"/>
      <c r="P6" s="142"/>
      <c r="Q6" s="142"/>
    </row>
    <row r="7" spans="1:17" s="12" customFormat="1" ht="18" customHeight="1" thickBot="1" x14ac:dyDescent="0.25">
      <c r="A7" s="139" t="s">
        <v>55</v>
      </c>
      <c r="B7" s="140"/>
      <c r="C7" s="140"/>
      <c r="D7" s="140"/>
      <c r="E7" s="140"/>
      <c r="F7" s="141"/>
      <c r="G7" s="142" t="str">
        <f>NotaPedido!D6</f>
        <v>Servicio de Farmacia</v>
      </c>
      <c r="H7" s="142"/>
      <c r="I7" s="142"/>
      <c r="J7" s="142"/>
      <c r="K7" s="142"/>
      <c r="L7" s="142"/>
      <c r="M7" s="142"/>
      <c r="N7" s="142"/>
      <c r="O7" s="142"/>
      <c r="P7" s="142"/>
      <c r="Q7" s="142"/>
    </row>
    <row r="8" spans="1:17" ht="18" customHeight="1" thickBot="1" x14ac:dyDescent="0.25">
      <c r="A8" s="143" t="s">
        <v>33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</row>
    <row r="9" spans="1:17" ht="18" customHeight="1" x14ac:dyDescent="0.2">
      <c r="A9" s="133" t="s">
        <v>34</v>
      </c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"/>
      <c r="P9" s="1"/>
      <c r="Q9" s="13"/>
    </row>
    <row r="10" spans="1:17" ht="54.75" customHeight="1" x14ac:dyDescent="0.2">
      <c r="A10" s="134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006 - 2022,  afectando la erogación resultante a los créditos presupuestarios aprobados a favor de esta Unidad Ejecutora, conforme al siguiente detalle:</v>
      </c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35" t="s">
        <v>35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</row>
    <row r="13" spans="1:17" ht="15.75" customHeight="1" x14ac:dyDescent="0.2">
      <c r="A13" s="136" t="s">
        <v>36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7" t="s">
        <v>37</v>
      </c>
      <c r="P13" s="137"/>
      <c r="Q13" s="138" t="s">
        <v>38</v>
      </c>
    </row>
    <row r="14" spans="1:17" ht="15.75" customHeight="1" x14ac:dyDescent="0.2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37"/>
      <c r="P14" s="137"/>
      <c r="Q14" s="138"/>
    </row>
    <row r="15" spans="1:17" ht="17.25" customHeight="1" x14ac:dyDescent="0.2">
      <c r="A15" s="70">
        <v>33</v>
      </c>
      <c r="B15" s="71"/>
      <c r="C15" s="71"/>
      <c r="D15" s="71">
        <v>2</v>
      </c>
      <c r="E15" s="71"/>
      <c r="F15" s="71">
        <v>4901</v>
      </c>
      <c r="G15" s="71">
        <v>3</v>
      </c>
      <c r="H15" s="72" t="s">
        <v>63</v>
      </c>
      <c r="I15" s="73">
        <v>2</v>
      </c>
      <c r="J15" s="73">
        <v>5</v>
      </c>
      <c r="K15" s="73">
        <v>2</v>
      </c>
      <c r="L15" s="71"/>
      <c r="M15" s="74">
        <v>1</v>
      </c>
      <c r="N15" s="72" t="s">
        <v>64</v>
      </c>
      <c r="O15" s="130" t="s">
        <v>61</v>
      </c>
      <c r="P15" s="130"/>
      <c r="Q15" s="23">
        <v>4424868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68"/>
      <c r="I16" s="25"/>
      <c r="J16" s="25"/>
      <c r="K16" s="25"/>
      <c r="L16" s="25"/>
      <c r="M16" s="26"/>
      <c r="N16" s="69"/>
      <c r="O16" s="131"/>
      <c r="P16" s="131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68"/>
      <c r="I17" s="25"/>
      <c r="J17" s="25"/>
      <c r="K17" s="25"/>
      <c r="L17" s="25"/>
      <c r="M17" s="26"/>
      <c r="N17" s="69"/>
      <c r="O17" s="131"/>
      <c r="P17" s="131"/>
      <c r="Q17" s="28"/>
      <c r="S17" s="75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68"/>
      <c r="I18" s="25"/>
      <c r="J18" s="25"/>
      <c r="K18" s="25"/>
      <c r="L18" s="25"/>
      <c r="M18" s="26"/>
      <c r="N18" s="69"/>
      <c r="O18" s="132"/>
      <c r="P18" s="125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25"/>
      <c r="P19" s="125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25"/>
      <c r="P20" s="125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26"/>
      <c r="P21" s="126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27"/>
      <c r="P22" s="127"/>
      <c r="Q22" s="37"/>
    </row>
    <row r="23" spans="1:19" ht="24.75" customHeight="1" x14ac:dyDescent="0.2">
      <c r="A23" s="128" t="s">
        <v>115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38">
        <f>SUM(Q15:Q22)</f>
        <v>4424868</v>
      </c>
    </row>
    <row r="24" spans="1:19" ht="18" customHeight="1" thickBot="1" x14ac:dyDescent="0.25">
      <c r="A24" s="129"/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</row>
    <row r="25" spans="1:19" ht="17.25" customHeight="1" thickBot="1" x14ac:dyDescent="0.25">
      <c r="A25" s="121" t="s">
        <v>52</v>
      </c>
      <c r="B25" s="122"/>
      <c r="C25" s="122"/>
      <c r="D25" s="122"/>
      <c r="E25" s="122"/>
      <c r="F25" s="123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</row>
    <row r="26" spans="1:19" ht="18" customHeight="1" thickBot="1" x14ac:dyDescent="0.25">
      <c r="A26" s="148" t="str">
        <f>"Para la "&amp; NotaPedido!D8 &amp;" para ser destinados al " &amp; NotaPedido!D6 &amp;"  del HISJB del Ministerio de Salud."</f>
        <v>Para la Adquisición de MEDICAMENTOS PARA SANGRE Y ORGANOS HEMATOPOYETICOS/SISTEMA CARDIOVASCULAR  para ser destinados al Servicio de Farmacia  del HISJB del Ministerio de Salud.</v>
      </c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</row>
    <row r="27" spans="1:19" ht="15" customHeight="1" x14ac:dyDescent="0.2">
      <c r="A27" s="148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8"/>
      <c r="N27" s="148"/>
      <c r="O27" s="148"/>
      <c r="P27" s="148"/>
      <c r="Q27" s="148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2020-07-17T22:18:48Z</cp:lastPrinted>
  <dcterms:created xsi:type="dcterms:W3CDTF">2020-07-17T23:44:49Z</dcterms:created>
  <dcterms:modified xsi:type="dcterms:W3CDTF">2022-01-11T12:29:33Z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