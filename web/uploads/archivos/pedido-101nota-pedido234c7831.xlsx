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368182-CAT-DPPR#MHP\"/>
    </mc:Choice>
  </mc:AlternateContent>
  <xr:revisionPtr revIDLastSave="0" documentId="8_{40B9B906-7E0F-46B3-B990-92C78865238C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Trimestral" sheetId="3" r:id="rId1"/>
    <sheet name="ANEXO I" sheetId="4" r:id="rId2"/>
    <sheet name=" NotaPedido" sheetId="1" r:id="rId3"/>
    <sheet name="APG" sheetId="2" r:id="rId4"/>
  </sheets>
  <definedNames>
    <definedName name="_xlnm.Print_Area" localSheetId="2">' NotaPedido'!$A$1:$K$19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9" i="3" l="1"/>
  <c r="J18" i="3"/>
  <c r="J17" i="3"/>
  <c r="J16" i="3"/>
  <c r="J15" i="3"/>
  <c r="J14" i="3"/>
  <c r="J13" i="3"/>
  <c r="J20" i="3" l="1"/>
  <c r="O13" i="1"/>
  <c r="O14" i="1"/>
  <c r="O15" i="1"/>
  <c r="O16" i="1"/>
  <c r="O17" i="1"/>
  <c r="O18" i="1"/>
  <c r="O12" i="1"/>
  <c r="O19" i="1" l="1"/>
  <c r="J19" i="1" s="1"/>
  <c r="Q38" i="2" l="1"/>
</calcChain>
</file>

<file path=xl/sharedStrings.xml><?xml version="1.0" encoding="utf-8"?>
<sst xmlns="http://schemas.openxmlformats.org/spreadsheetml/2006/main" count="161" uniqueCount="90">
  <si>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</si>
  <si>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</si>
  <si>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</si>
  <si>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</si>
  <si>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</si>
  <si>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</si>
  <si>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</si>
  <si>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</si>
  <si>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</si>
  <si>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</si>
  <si>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</si>
  <si>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</si>
  <si>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</si>
  <si>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</si>
  <si>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</si>
  <si>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 2021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</si>
  <si>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</si>
  <si>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</si>
  <si>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</si>
  <si>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</si>
  <si>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</si>
  <si>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</si>
  <si>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</si>
  <si>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</si>
  <si>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</si>
  <si>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</si>
  <si>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</si>
  <si>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</si>
  <si>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</si>
  <si>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</si>
  <si>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</si>
  <si>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</si>
  <si>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</si>
  <si>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</si>
  <si>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</si>
  <si>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</si>
  <si>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</si>
  <si>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</si>
  <si>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HOSPITAL MONOVALENTE CARLOS MALBRAN</t>
  </si>
  <si>
    <t>OTROS N.E.P.</t>
  </si>
  <si>
    <t>CONTRATACION SERVICIO DE LAVANDERIA Y DESINFECCION DE TEXTILES (REFUERZO)</t>
  </si>
  <si>
    <t>PEDIDO DE NECESIDADES TRIMESTRALES</t>
  </si>
  <si>
    <t>JURISDICCION:</t>
  </si>
  <si>
    <t>040 - MINISTERIO DE SALUD</t>
  </si>
  <si>
    <t xml:space="preserve">SAF N°: </t>
  </si>
  <si>
    <t>011 - DIRECCION PROVINCIAL DE ADMINISTRACION - MS</t>
  </si>
  <si>
    <t>EJERCICIO:</t>
  </si>
  <si>
    <t>ID</t>
  </si>
  <si>
    <t>CODIGO DEL ITEM</t>
  </si>
  <si>
    <t>RUBRO DE COMPRA</t>
  </si>
  <si>
    <t xml:space="preserve">PERIODO DE UTILIZACION </t>
  </si>
  <si>
    <t xml:space="preserve">I.P.P.  </t>
  </si>
  <si>
    <t xml:space="preserve"> DESCRIPCION</t>
  </si>
  <si>
    <t>UNIDAD DE MEDIDA</t>
  </si>
  <si>
    <t>CANTIDAD</t>
  </si>
  <si>
    <t>PRECIO UNITARIO ESTIMADO</t>
  </si>
  <si>
    <t xml:space="preserve">IMPORTE TOTAL ESTIMADO </t>
  </si>
  <si>
    <t>TRIMESTRE:</t>
  </si>
  <si>
    <t>3.3.9-5924.1</t>
  </si>
  <si>
    <t>SERV. PROFESIONAL Y COMERCIAL</t>
  </si>
  <si>
    <t>LAVADO Y PLANCHADO DE PRENDAS; DESCRIPCION: LAVADO Y PLANCHADO PRENDAS</t>
  </si>
  <si>
    <t>3.3.9.</t>
  </si>
  <si>
    <t>PRENDA</t>
  </si>
  <si>
    <t>40 - MINISTERIO DE SALUD</t>
  </si>
  <si>
    <t>011 - DIRECCION PROVINCIAL DE ADMINISTRACION - M.S.</t>
  </si>
  <si>
    <t>752 - HOSPITAL MONOVALENTE CARLOS MALBRAN</t>
  </si>
  <si>
    <t>SI</t>
  </si>
  <si>
    <t>Especificidades Item N° 1 al 7:</t>
  </si>
  <si>
    <t>CUARENTA Y CINCO (45) DIAS</t>
  </si>
  <si>
    <t>011 - DIRECCION PROVINCIAL DE ADMINISTRACION DEL MINISTERIO DE SALUD</t>
  </si>
  <si>
    <r>
      <t xml:space="preserve">JUSTIFICACIÓN: </t>
    </r>
    <r>
      <rPr>
        <sz val="11"/>
        <rFont val="Arial"/>
        <family val="2"/>
      </rPr>
      <t>CONTRATACION DE SERVICIO DE LAVANDERIA (REFUERZO) PARA EL HOSPITAL MONOVALENTE CARLOS MALBRAN.</t>
    </r>
  </si>
  <si>
    <t>SEGUNDO</t>
  </si>
  <si>
    <t>TRES (3) MESES</t>
  </si>
  <si>
    <t>3 meses</t>
  </si>
  <si>
    <t>Lugar de entrega:</t>
  </si>
  <si>
    <t>Calidad Minima esperada:</t>
  </si>
  <si>
    <t>Mantenimiento:</t>
  </si>
  <si>
    <t>Descripción técnica:</t>
  </si>
  <si>
    <t>Garantia:</t>
  </si>
  <si>
    <t>TOTAL RUBRO DE COMPRA:  PESOS CUATRO MILLONES SETECIENTOS CINCUENTA Y UN MIL CUATROCIENTOS CINCUENTA CON 00/100.-</t>
  </si>
  <si>
    <t>Costo total estimado: PESOS CUATRO MILLONES SETECIENTOS CINCUENTA Y UN MIL CUATROCIENTOS CINCUENTA CON 00/100.-</t>
  </si>
  <si>
    <t>TOTAL DE PESOS: CUATRO MILLONES SETECIENTOS CINCUENTA Y UN MIL CUATROCIENTOS CINCUENTA CON 00/100.-</t>
  </si>
  <si>
    <t>Autorizo la realización de los  trámites correspondientes, a fin de proveer a  este Organismo los bienes que se detallan en Nota  de Pedido N°  19/2021 ,afectando la erogación resultante a los créditos presupuestarios aprobados a favor de esta Unidad Ejecutora, conforme al siguiente detalle:</t>
  </si>
  <si>
    <t xml:space="preserve"> 19/2021</t>
  </si>
  <si>
    <r>
      <t xml:space="preserve">A partir de la notificacion de la </t>
    </r>
    <r>
      <rPr>
        <b/>
        <sz val="10"/>
        <rFont val="Times New Roman"/>
        <family val="1"/>
      </rPr>
      <t>ORDEN DE COMPRA ABIERTA</t>
    </r>
    <r>
      <rPr>
        <sz val="10"/>
        <rFont val="Times New Roman"/>
        <family val="1"/>
      </rPr>
      <t>. Se realizaran pedidos a requerimiento de acuerdo a las necesidades del Hospital Monovalente Carlos Malbran durante el lapso de duracion del contrato y al precio unitario adjudicado, hasta el limite del monto adjudicado.</t>
    </r>
  </si>
  <si>
    <t>Modalidad de Entrega:</t>
  </si>
  <si>
    <t>Duracion de la Prestacion del Servicio:</t>
  </si>
  <si>
    <t>noventa (90) dias corridos con opcion de prorroga por igual plazo</t>
  </si>
  <si>
    <r>
      <rPr>
        <b/>
        <u/>
        <sz val="10"/>
        <rFont val="Arial"/>
        <family val="2"/>
      </rPr>
      <t>ANEXO I – Detalle de Servicios para el “Hospital Carlos Malbrán”</t>
    </r>
    <r>
      <rPr>
        <sz val="10"/>
        <rFont val="Arial"/>
        <charset val="1"/>
      </rPr>
      <t xml:space="preserve">
•	ITEM 1: SERVICIO DE LAVADO Y PLANCHADO DE FUNDAS
•	ITEM 2: SERVICIO DE LAVADO Y PLANCHADO DE  SABANAS
•	ITEM 3: SERVICIO DE LAVADO Y PLANCHADO DE ALMOHADAS
•	ITEM 4: SERVICIO DE LAVADO Y PLANCHADO DE FRAZADAS
•	ITEM 5: SERVICIO DE LAVADO Y PLANCHADO DE CUBRECAMAS
•	ITEM 6: SERVICIO DE LAVADO Y PLANCHADO DE CORTINAS
•	ITEM 7: SERVICIO DE LAVADO Y PLANCHADO DE IMPERMEABLES
</t>
    </r>
    <r>
      <rPr>
        <b/>
        <u/>
        <sz val="10"/>
        <rFont val="Arial"/>
        <family val="2"/>
      </rPr>
      <t>CONDICIONES GENERALES</t>
    </r>
    <r>
      <rPr>
        <sz val="10"/>
        <rFont val="Arial"/>
        <charset val="1"/>
      </rPr>
      <t xml:space="preserve">
•	Provisión de dos (2) lavadoras trifásicas automáticas de alta revolución y alto rendimiento con capacidad de desinfectar, bomba con hidroesfera, dos (2) carros para ropa sucia, un (1) carro de ropa limpia y los insumos necesarios para el correcto tratamiento de la ropería y sus desechos (dispense de detergentes, dispenses de toalleros de papel y bolsas patógenas).
•	Deberán fumigarse las bolsas de traslado y el salón de lavado del “Hospital Monovalente Carlos Malbrán”.
•	Lavado de mínimo 70° con hipoclorito para desinfección de las prendas.
•	Capacidad de carga: 15 kgs mínimo.
•	Planchado: temperatura de 150° mínimo para sábanas y 90° para almohadas y frazadas.
•	La manipulación de las prendas y su traslado serán competencia del proveedor y sus trabajadores. El personal llevará: Ambo de trabajo, delantal impermeable, guantes, barbijos, y todo otro elemento que considere adecuado para la taréa.
•	Ingreso y clasificación de ropa sucia. Carga de ropa sucia a lavadora. Depósito de ropa limpia.</t>
    </r>
  </si>
  <si>
    <t>SE ADJUNTA EN  ANEXO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</si>
</sst>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[$$-2C0A]\ #,##0.00"/>
    <numFmt numFmtId="165" formatCode="_-* #,##0.00&quot; €&quot;_-;\-* #,##0.00&quot; €&quot;_-;_-* \-??&quot; €&quot;_-;_-@_-"/>
    <numFmt numFmtId="166" formatCode="[$$-2C0A]\ #,##0.00;[$$-2C0A]&quot; -&quot;#,##0.00"/>
    <numFmt numFmtId="167" formatCode="_(\$* #,##0.00_);_(\$* \(#,##0.00\);_(\$* \-??_);_(@_)"/>
    <numFmt numFmtId="168" formatCode="dd\-mm\-yy;@"/>
    <numFmt numFmtId="169" formatCode="&quot;$&quot;\ #,##0.00"/>
  </numFmts>
  <fonts count="40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Arial"/>
      <family val="2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Arial"/>
      <family val="2"/>
    </font>
    <font>
      <sz val="12"/>
      <name val="Times New Roman"/>
      <family val="1"/>
    </font>
    <font>
      <sz val="12"/>
      <name val="Arial"/>
      <family val="2"/>
    </font>
    <font>
      <sz val="10"/>
      <color theme="0"/>
      <name val="Arial"/>
      <family val="2"/>
      <charset val="1"/>
    </font>
    <font>
      <b/>
      <sz val="10"/>
      <name val="Arial"/>
      <family val="2"/>
    </font>
    <font>
      <sz val="11"/>
      <color theme="1"/>
      <name val="Bookman Old Style"/>
      <family val="1"/>
    </font>
    <font>
      <b/>
      <sz val="14"/>
      <color theme="1"/>
      <name val="Bookman Old Style"/>
      <family val="1"/>
    </font>
    <font>
      <b/>
      <u/>
      <sz val="14"/>
      <color theme="1"/>
      <name val="Bookman Old Style"/>
      <family val="1"/>
    </font>
    <font>
      <sz val="12"/>
      <color theme="1"/>
      <name val="Bookman Old Style"/>
      <family val="1"/>
    </font>
    <font>
      <sz val="14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11"/>
      <color rgb="FF000000"/>
      <name val="Bookman Old Style"/>
      <family val="1"/>
    </font>
    <font>
      <b/>
      <sz val="12"/>
      <color theme="1"/>
      <name val="Bookman Old Style"/>
      <family val="1"/>
    </font>
    <font>
      <u/>
      <sz val="1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7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auto="1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3D3D3D"/>
      </bottom>
      <diagonal/>
    </border>
    <border>
      <left/>
      <right/>
      <top style="medium">
        <color indexed="64"/>
      </top>
      <bottom style="medium">
        <color rgb="FF3D3D3D"/>
      </bottom>
      <diagonal/>
    </border>
    <border>
      <left/>
      <right style="medium">
        <color auto="1"/>
      </right>
      <top style="medium">
        <color indexed="64"/>
      </top>
      <bottom style="medium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4">
    <xf numFmtId="0" fontId="0" fillId="0" borderId="0"/>
    <xf numFmtId="0" fontId="6" fillId="0" borderId="1" applyProtection="0"/>
    <xf numFmtId="0" fontId="8" fillId="2" borderId="0" applyBorder="0" applyProtection="0"/>
    <xf numFmtId="0" fontId="5" fillId="0" borderId="0"/>
    <xf numFmtId="43" fontId="5" fillId="0" borderId="0" applyFont="0" applyFill="0" applyBorder="0" applyAlignment="0" applyProtection="0"/>
    <xf numFmtId="165" fontId="17" fillId="0" borderId="0" applyBorder="0" applyProtection="0"/>
    <xf numFmtId="0" fontId="17" fillId="0" borderId="0"/>
    <xf numFmtId="167" fontId="7" fillId="0" borderId="0" applyBorder="0" applyProtection="0"/>
    <xf numFmtId="0" fontId="17" fillId="0" borderId="0"/>
    <xf numFmtId="0" fontId="17" fillId="0" borderId="0"/>
    <xf numFmtId="0" fontId="17" fillId="0" borderId="0"/>
    <xf numFmtId="0" fontId="4" fillId="0" borderId="0"/>
    <xf numFmtId="0" fontId="3" fillId="0" borderId="0"/>
    <xf numFmtId="43" fontId="2" fillId="0" borderId="0" applyFont="0" applyFill="0" applyBorder="0" applyAlignment="0" applyProtection="0"/>
  </cellStyleXfs>
  <cellXfs count="166">
    <xf numFmtId="0" fontId="0" fillId="0" borderId="0" xfId="0"/>
    <xf numFmtId="0" fontId="7" fillId="0" borderId="0" xfId="0" applyFont="1" applyBorder="1" applyAlignment="1">
      <alignment vertical="center"/>
    </xf>
    <xf numFmtId="0" fontId="10" fillId="0" borderId="3" xfId="0" applyFont="1" applyBorder="1" applyAlignment="1">
      <alignment horizontal="right" vertical="center"/>
    </xf>
    <xf numFmtId="0" fontId="11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 wrapText="1" indent="1"/>
    </xf>
    <xf numFmtId="0" fontId="11" fillId="0" borderId="7" xfId="0" applyFont="1" applyBorder="1" applyAlignment="1">
      <alignment horizontal="left" vertical="center" wrapText="1" indent="1"/>
    </xf>
    <xf numFmtId="3" fontId="18" fillId="0" borderId="18" xfId="8" applyNumberFormat="1" applyFont="1" applyBorder="1" applyAlignment="1"/>
    <xf numFmtId="168" fontId="17" fillId="0" borderId="18" xfId="8" applyNumberFormat="1" applyBorder="1" applyAlignment="1">
      <alignment horizontal="left"/>
    </xf>
    <xf numFmtId="0" fontId="17" fillId="0" borderId="18" xfId="8" applyBorder="1"/>
    <xf numFmtId="0" fontId="17" fillId="0" borderId="13" xfId="8" applyBorder="1"/>
    <xf numFmtId="0" fontId="17" fillId="0" borderId="0" xfId="8" applyBorder="1"/>
    <xf numFmtId="0" fontId="17" fillId="0" borderId="0" xfId="8" applyBorder="1" applyAlignment="1">
      <alignment horizontal="left"/>
    </xf>
    <xf numFmtId="168" fontId="17" fillId="0" borderId="0" xfId="8" applyNumberFormat="1" applyBorder="1" applyAlignment="1">
      <alignment horizontal="left"/>
    </xf>
    <xf numFmtId="0" fontId="17" fillId="0" borderId="7" xfId="8" applyBorder="1"/>
    <xf numFmtId="0" fontId="17" fillId="0" borderId="5" xfId="8" applyBorder="1"/>
    <xf numFmtId="0" fontId="17" fillId="0" borderId="6" xfId="8" applyBorder="1"/>
    <xf numFmtId="0" fontId="17" fillId="0" borderId="6" xfId="8" applyBorder="1" applyAlignment="1">
      <alignment horizontal="left"/>
    </xf>
    <xf numFmtId="0" fontId="17" fillId="0" borderId="29" xfId="8" applyBorder="1"/>
    <xf numFmtId="0" fontId="22" fillId="0" borderId="32" xfId="8" applyFont="1" applyBorder="1" applyAlignment="1">
      <alignment horizontal="center" vertical="center"/>
    </xf>
    <xf numFmtId="0" fontId="22" fillId="0" borderId="33" xfId="8" applyFont="1" applyBorder="1" applyAlignment="1">
      <alignment horizontal="center" vertical="center"/>
    </xf>
    <xf numFmtId="0" fontId="22" fillId="0" borderId="33" xfId="8" applyFont="1" applyBorder="1" applyAlignment="1">
      <alignment horizontal="left" vertical="center"/>
    </xf>
    <xf numFmtId="0" fontId="22" fillId="0" borderId="34" xfId="8" applyFont="1" applyBorder="1" applyAlignment="1">
      <alignment horizontal="center" vertical="center"/>
    </xf>
    <xf numFmtId="0" fontId="22" fillId="0" borderId="35" xfId="8" applyFont="1" applyBorder="1" applyAlignment="1">
      <alignment horizontal="center" vertical="center"/>
    </xf>
    <xf numFmtId="0" fontId="17" fillId="0" borderId="36" xfId="8" applyFont="1" applyBorder="1" applyAlignment="1">
      <alignment horizontal="center" vertical="center"/>
    </xf>
    <xf numFmtId="0" fontId="17" fillId="0" borderId="37" xfId="8" applyFont="1" applyBorder="1" applyAlignment="1">
      <alignment horizontal="center" vertical="center"/>
    </xf>
    <xf numFmtId="0" fontId="17" fillId="0" borderId="38" xfId="8" applyFont="1" applyBorder="1" applyAlignment="1">
      <alignment horizontal="center" vertical="center"/>
    </xf>
    <xf numFmtId="166" fontId="0" fillId="0" borderId="40" xfId="7" applyNumberFormat="1" applyFont="1" applyBorder="1" applyAlignment="1" applyProtection="1">
      <alignment horizontal="center" vertical="center"/>
    </xf>
    <xf numFmtId="0" fontId="17" fillId="0" borderId="41" xfId="8" applyFont="1" applyBorder="1" applyAlignment="1">
      <alignment horizontal="center" vertical="center"/>
    </xf>
    <xf numFmtId="0" fontId="17" fillId="0" borderId="42" xfId="8" applyFont="1" applyBorder="1" applyAlignment="1">
      <alignment horizontal="center" vertical="center"/>
    </xf>
    <xf numFmtId="0" fontId="17" fillId="0" borderId="43" xfId="8" applyFont="1" applyBorder="1" applyAlignment="1">
      <alignment horizontal="center" vertical="center"/>
    </xf>
    <xf numFmtId="0" fontId="17" fillId="0" borderId="44" xfId="8" applyFont="1" applyBorder="1" applyAlignment="1">
      <alignment horizontal="center" vertical="center"/>
    </xf>
    <xf numFmtId="166" fontId="0" fillId="0" borderId="45" xfId="7" applyNumberFormat="1" applyFont="1" applyBorder="1" applyAlignment="1" applyProtection="1">
      <alignment horizontal="center" vertical="center"/>
    </xf>
    <xf numFmtId="0" fontId="20" fillId="0" borderId="41" xfId="8" applyFont="1" applyBorder="1" applyAlignment="1">
      <alignment horizontal="center" vertical="center"/>
    </xf>
    <xf numFmtId="0" fontId="20" fillId="0" borderId="42" xfId="8" applyFont="1" applyBorder="1" applyAlignment="1">
      <alignment horizontal="center" vertical="center"/>
    </xf>
    <xf numFmtId="0" fontId="17" fillId="0" borderId="44" xfId="8" applyBorder="1" applyAlignment="1">
      <alignment horizontal="center" vertical="center"/>
    </xf>
    <xf numFmtId="0" fontId="20" fillId="0" borderId="43" xfId="8" applyFont="1" applyBorder="1" applyAlignment="1">
      <alignment horizontal="center" vertical="center"/>
    </xf>
    <xf numFmtId="0" fontId="20" fillId="0" borderId="44" xfId="8" applyFont="1" applyBorder="1" applyAlignment="1">
      <alignment horizontal="center" vertical="center"/>
    </xf>
    <xf numFmtId="0" fontId="17" fillId="0" borderId="46" xfId="8" applyBorder="1" applyAlignment="1">
      <alignment horizontal="center" vertical="center"/>
    </xf>
    <xf numFmtId="0" fontId="17" fillId="0" borderId="47" xfId="8" applyBorder="1" applyAlignment="1">
      <alignment horizontal="center" vertical="center"/>
    </xf>
    <xf numFmtId="0" fontId="17" fillId="0" borderId="48" xfId="8" applyBorder="1" applyAlignment="1">
      <alignment horizontal="center" vertical="center"/>
    </xf>
    <xf numFmtId="166" fontId="0" fillId="0" borderId="49" xfId="7" applyNumberFormat="1" applyFont="1" applyBorder="1" applyAlignment="1" applyProtection="1">
      <alignment horizontal="center" vertical="center"/>
    </xf>
    <xf numFmtId="166" fontId="22" fillId="0" borderId="51" xfId="8" applyNumberFormat="1" applyFont="1" applyBorder="1" applyAlignment="1">
      <alignment horizontal="center" vertical="center"/>
    </xf>
    <xf numFmtId="0" fontId="24" fillId="0" borderId="57" xfId="0" applyFont="1" applyBorder="1" applyAlignment="1">
      <alignment horizontal="center" vertical="center"/>
    </xf>
    <xf numFmtId="0" fontId="24" fillId="0" borderId="58" xfId="0" applyFont="1" applyBorder="1" applyAlignment="1">
      <alignment horizontal="center" vertical="center" wrapText="1"/>
    </xf>
    <xf numFmtId="0" fontId="24" fillId="0" borderId="62" xfId="0" applyFont="1" applyBorder="1" applyAlignment="1">
      <alignment horizontal="center" vertical="center" wrapText="1"/>
    </xf>
    <xf numFmtId="0" fontId="26" fillId="0" borderId="0" xfId="0" applyFont="1" applyBorder="1" applyAlignment="1">
      <alignment vertical="center"/>
    </xf>
    <xf numFmtId="44" fontId="24" fillId="0" borderId="58" xfId="0" applyNumberFormat="1" applyFont="1" applyBorder="1" applyAlignment="1">
      <alignment horizontal="center" vertical="center" wrapText="1"/>
    </xf>
    <xf numFmtId="0" fontId="24" fillId="0" borderId="66" xfId="0" applyFont="1" applyBorder="1" applyAlignment="1">
      <alignment horizontal="center" vertical="center" wrapText="1"/>
    </xf>
    <xf numFmtId="44" fontId="24" fillId="0" borderId="66" xfId="0" applyNumberFormat="1" applyFont="1" applyBorder="1" applyAlignment="1">
      <alignment horizontal="center" vertical="center" wrapText="1"/>
    </xf>
    <xf numFmtId="0" fontId="24" fillId="0" borderId="67" xfId="0" applyFont="1" applyBorder="1" applyAlignment="1">
      <alignment horizontal="center" vertical="center"/>
    </xf>
    <xf numFmtId="0" fontId="24" fillId="0" borderId="68" xfId="0" applyFont="1" applyBorder="1" applyAlignment="1">
      <alignment horizontal="center" vertical="center" wrapText="1"/>
    </xf>
    <xf numFmtId="0" fontId="28" fillId="0" borderId="0" xfId="8" applyFont="1"/>
    <xf numFmtId="0" fontId="28" fillId="0" borderId="0" xfId="8" applyFont="1" applyAlignment="1">
      <alignment horizontal="center"/>
    </xf>
    <xf numFmtId="0" fontId="29" fillId="0" borderId="0" xfId="8" applyFont="1" applyAlignment="1">
      <alignment horizontal="center" vertical="center"/>
    </xf>
    <xf numFmtId="0" fontId="30" fillId="0" borderId="0" xfId="8" applyFont="1" applyAlignment="1">
      <alignment horizontal="center" vertical="center"/>
    </xf>
    <xf numFmtId="0" fontId="29" fillId="0" borderId="0" xfId="8" applyFont="1"/>
    <xf numFmtId="0" fontId="31" fillId="0" borderId="0" xfId="8" applyFont="1"/>
    <xf numFmtId="0" fontId="31" fillId="0" borderId="0" xfId="8" applyFont="1" applyAlignment="1">
      <alignment horizontal="center"/>
    </xf>
    <xf numFmtId="0" fontId="31" fillId="0" borderId="0" xfId="8" applyFont="1" applyAlignment="1">
      <alignment horizontal="left"/>
    </xf>
    <xf numFmtId="0" fontId="29" fillId="0" borderId="0" xfId="8" applyFont="1" applyAlignment="1">
      <alignment horizontal="left"/>
    </xf>
    <xf numFmtId="0" fontId="32" fillId="0" borderId="0" xfId="8" applyFont="1"/>
    <xf numFmtId="0" fontId="32" fillId="0" borderId="0" xfId="8" applyFont="1" applyAlignment="1">
      <alignment horizontal="center"/>
    </xf>
    <xf numFmtId="0" fontId="33" fillId="0" borderId="19" xfId="8" applyFont="1" applyBorder="1" applyAlignment="1">
      <alignment horizontal="center" vertical="center"/>
    </xf>
    <xf numFmtId="0" fontId="33" fillId="0" borderId="19" xfId="8" applyFont="1" applyBorder="1" applyAlignment="1">
      <alignment horizontal="center" vertical="center" wrapText="1"/>
    </xf>
    <xf numFmtId="0" fontId="17" fillId="0" borderId="69" xfId="8" applyBorder="1" applyAlignment="1">
      <alignment horizontal="center" vertical="center"/>
    </xf>
    <xf numFmtId="0" fontId="2" fillId="0" borderId="69" xfId="8" applyFont="1" applyBorder="1" applyAlignment="1">
      <alignment horizontal="center" vertical="center"/>
    </xf>
    <xf numFmtId="0" fontId="28" fillId="0" borderId="9" xfId="8" applyFont="1" applyBorder="1" applyAlignment="1">
      <alignment horizontal="center" vertical="center"/>
    </xf>
    <xf numFmtId="0" fontId="2" fillId="0" borderId="9" xfId="8" applyFont="1" applyBorder="1" applyAlignment="1">
      <alignment horizontal="left" vertical="top" wrapText="1"/>
    </xf>
    <xf numFmtId="169" fontId="28" fillId="0" borderId="9" xfId="8" applyNumberFormat="1" applyFont="1" applyBorder="1" applyAlignment="1">
      <alignment horizontal="center" vertical="center"/>
    </xf>
    <xf numFmtId="0" fontId="2" fillId="0" borderId="0" xfId="8" applyFont="1"/>
    <xf numFmtId="0" fontId="28" fillId="0" borderId="0" xfId="8" applyFont="1" applyBorder="1"/>
    <xf numFmtId="0" fontId="17" fillId="0" borderId="9" xfId="8" applyBorder="1" applyAlignment="1">
      <alignment horizontal="center" vertical="center" wrapText="1"/>
    </xf>
    <xf numFmtId="169" fontId="28" fillId="0" borderId="0" xfId="8" applyNumberFormat="1" applyFont="1"/>
    <xf numFmtId="169" fontId="35" fillId="0" borderId="23" xfId="13" applyNumberFormat="1" applyFont="1" applyBorder="1" applyAlignment="1">
      <alignment vertical="center"/>
    </xf>
    <xf numFmtId="0" fontId="36" fillId="0" borderId="13" xfId="0" applyFont="1" applyFill="1" applyBorder="1" applyAlignment="1">
      <alignment horizontal="left" vertical="center"/>
    </xf>
    <xf numFmtId="0" fontId="37" fillId="0" borderId="13" xfId="0" applyFont="1" applyFill="1" applyBorder="1" applyAlignment="1">
      <alignment horizontal="left" vertical="center"/>
    </xf>
    <xf numFmtId="0" fontId="37" fillId="0" borderId="21" xfId="0" applyFont="1" applyBorder="1" applyAlignment="1">
      <alignment horizontal="left" vertical="center"/>
    </xf>
    <xf numFmtId="0" fontId="36" fillId="0" borderId="2" xfId="0" applyFont="1" applyFill="1" applyBorder="1" applyAlignment="1">
      <alignment horizontal="left" vertical="center"/>
    </xf>
    <xf numFmtId="0" fontId="37" fillId="0" borderId="18" xfId="0" applyFont="1" applyFill="1" applyBorder="1" applyAlignment="1">
      <alignment horizontal="left" vertical="center"/>
    </xf>
    <xf numFmtId="0" fontId="37" fillId="0" borderId="70" xfId="0" applyFont="1" applyFill="1" applyBorder="1" applyAlignment="1">
      <alignment horizontal="left" vertical="center"/>
    </xf>
    <xf numFmtId="0" fontId="37" fillId="0" borderId="0" xfId="0" applyFont="1" applyFill="1" applyBorder="1" applyAlignment="1">
      <alignment horizontal="left" vertical="center"/>
    </xf>
    <xf numFmtId="0" fontId="37" fillId="0" borderId="7" xfId="0" applyFont="1" applyFill="1" applyBorder="1" applyAlignment="1">
      <alignment horizontal="left" vertical="center"/>
    </xf>
    <xf numFmtId="0" fontId="37" fillId="0" borderId="22" xfId="0" applyFont="1" applyBorder="1" applyAlignment="1">
      <alignment horizontal="left" vertical="center"/>
    </xf>
    <xf numFmtId="0" fontId="37" fillId="0" borderId="23" xfId="0" applyFont="1" applyBorder="1" applyAlignment="1">
      <alignment horizontal="left" vertical="center"/>
    </xf>
    <xf numFmtId="0" fontId="37" fillId="0" borderId="7" xfId="0" applyFont="1" applyFill="1" applyBorder="1" applyAlignment="1">
      <alignment horizontal="left" vertical="center"/>
    </xf>
    <xf numFmtId="0" fontId="37" fillId="0" borderId="0" xfId="0" applyFont="1" applyFill="1" applyBorder="1" applyAlignment="1">
      <alignment horizontal="left" vertical="center"/>
    </xf>
    <xf numFmtId="0" fontId="1" fillId="0" borderId="9" xfId="8" applyFont="1" applyBorder="1" applyAlignment="1">
      <alignment horizontal="left" vertical="top" wrapText="1"/>
    </xf>
    <xf numFmtId="0" fontId="37" fillId="0" borderId="0" xfId="0" applyFont="1" applyFill="1" applyBorder="1" applyAlignment="1">
      <alignment vertical="center" wrapText="1"/>
    </xf>
    <xf numFmtId="0" fontId="37" fillId="0" borderId="7" xfId="0" applyFont="1" applyFill="1" applyBorder="1" applyAlignment="1">
      <alignment vertical="center" wrapText="1"/>
    </xf>
    <xf numFmtId="0" fontId="17" fillId="0" borderId="0" xfId="0" applyFont="1" applyAlignment="1">
      <alignment wrapText="1"/>
    </xf>
    <xf numFmtId="0" fontId="37" fillId="0" borderId="7" xfId="0" applyFont="1" applyFill="1" applyBorder="1" applyAlignment="1">
      <alignment horizontal="left" vertical="center"/>
    </xf>
    <xf numFmtId="0" fontId="34" fillId="0" borderId="20" xfId="8" applyFont="1" applyBorder="1" applyAlignment="1">
      <alignment horizontal="center" vertical="center"/>
    </xf>
    <xf numFmtId="0" fontId="34" fillId="0" borderId="17" xfId="8" applyFont="1" applyBorder="1" applyAlignment="1">
      <alignment horizontal="center" vertical="center"/>
    </xf>
    <xf numFmtId="0" fontId="37" fillId="0" borderId="0" xfId="0" applyFont="1" applyFill="1" applyBorder="1" applyAlignment="1">
      <alignment horizontal="left" vertical="center" wrapText="1"/>
    </xf>
    <xf numFmtId="0" fontId="37" fillId="0" borderId="7" xfId="0" applyFont="1" applyFill="1" applyBorder="1" applyAlignment="1">
      <alignment horizontal="left" vertical="center" wrapText="1"/>
    </xf>
    <xf numFmtId="0" fontId="29" fillId="0" borderId="0" xfId="8" applyFont="1" applyAlignment="1">
      <alignment horizontal="left"/>
    </xf>
    <xf numFmtId="0" fontId="37" fillId="0" borderId="0" xfId="0" applyFont="1" applyFill="1" applyBorder="1" applyAlignment="1">
      <alignment horizontal="left" vertical="center"/>
    </xf>
    <xf numFmtId="0" fontId="16" fillId="0" borderId="16" xfId="0" applyFont="1" applyBorder="1" applyAlignment="1">
      <alignment horizontal="left" vertical="center" wrapText="1"/>
    </xf>
    <xf numFmtId="0" fontId="16" fillId="0" borderId="20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left" vertical="center" wrapText="1"/>
    </xf>
    <xf numFmtId="0" fontId="25" fillId="0" borderId="11" xfId="0" applyFont="1" applyBorder="1" applyAlignment="1">
      <alignment horizontal="left" vertical="center"/>
    </xf>
    <xf numFmtId="0" fontId="23" fillId="0" borderId="12" xfId="0" applyFont="1" applyBorder="1" applyAlignment="1">
      <alignment horizontal="left" vertical="center" wrapText="1" indent="1"/>
    </xf>
    <xf numFmtId="0" fontId="13" fillId="0" borderId="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55" xfId="0" applyFont="1" applyBorder="1" applyAlignment="1">
      <alignment horizontal="center" vertical="center" wrapText="1"/>
    </xf>
    <xf numFmtId="0" fontId="13" fillId="0" borderId="56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24" fillId="0" borderId="59" xfId="0" applyFont="1" applyBorder="1" applyAlignment="1">
      <alignment vertical="center" wrapText="1"/>
    </xf>
    <xf numFmtId="0" fontId="24" fillId="0" borderId="60" xfId="0" applyFont="1" applyBorder="1" applyAlignment="1">
      <alignment vertical="center" wrapText="1"/>
    </xf>
    <xf numFmtId="0" fontId="24" fillId="0" borderId="61" xfId="0" applyFont="1" applyBorder="1" applyAlignment="1">
      <alignment vertical="center" wrapText="1"/>
    </xf>
    <xf numFmtId="164" fontId="15" fillId="0" borderId="16" xfId="0" applyNumberFormat="1" applyFont="1" applyBorder="1" applyAlignment="1">
      <alignment horizontal="center" vertical="center"/>
    </xf>
    <xf numFmtId="164" fontId="15" fillId="0" borderId="17" xfId="0" applyNumberFormat="1" applyFont="1" applyBorder="1" applyAlignment="1">
      <alignment horizontal="center" vertical="center"/>
    </xf>
    <xf numFmtId="0" fontId="24" fillId="0" borderId="66" xfId="0" applyFont="1" applyBorder="1" applyAlignment="1">
      <alignment vertical="center" wrapText="1"/>
    </xf>
    <xf numFmtId="0" fontId="9" fillId="0" borderId="2" xfId="0" applyFont="1" applyBorder="1" applyAlignment="1">
      <alignment horizontal="center" vertical="center"/>
    </xf>
    <xf numFmtId="0" fontId="25" fillId="0" borderId="8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left" vertical="center" wrapText="1"/>
    </xf>
    <xf numFmtId="0" fontId="23" fillId="0" borderId="63" xfId="8" applyFont="1" applyBorder="1" applyAlignment="1">
      <alignment horizontal="left" wrapText="1" indent="1"/>
    </xf>
    <xf numFmtId="0" fontId="23" fillId="0" borderId="64" xfId="8" applyFont="1" applyBorder="1" applyAlignment="1">
      <alignment horizontal="left" wrapText="1" indent="1"/>
    </xf>
    <xf numFmtId="0" fontId="23" fillId="0" borderId="65" xfId="8" applyFont="1" applyBorder="1" applyAlignment="1">
      <alignment horizontal="left" wrapText="1" indent="1"/>
    </xf>
    <xf numFmtId="0" fontId="23" fillId="0" borderId="8" xfId="8" applyFont="1" applyBorder="1" applyAlignment="1">
      <alignment horizontal="left" wrapText="1" indent="1"/>
    </xf>
    <xf numFmtId="0" fontId="23" fillId="0" borderId="53" xfId="8" applyFont="1" applyBorder="1" applyAlignment="1">
      <alignment horizontal="left" wrapText="1" indent="1"/>
    </xf>
    <xf numFmtId="0" fontId="23" fillId="0" borderId="54" xfId="8" applyFont="1" applyBorder="1" applyAlignment="1">
      <alignment horizontal="left" wrapText="1" indent="1"/>
    </xf>
    <xf numFmtId="0" fontId="23" fillId="0" borderId="9" xfId="0" applyFont="1" applyBorder="1" applyAlignment="1">
      <alignment horizontal="left" vertical="center" wrapText="1" indent="1"/>
    </xf>
    <xf numFmtId="0" fontId="18" fillId="0" borderId="13" xfId="8" applyFont="1" applyBorder="1" applyAlignment="1">
      <alignment vertical="top" wrapText="1"/>
    </xf>
    <xf numFmtId="0" fontId="18" fillId="0" borderId="0" xfId="8" applyFont="1" applyBorder="1" applyAlignment="1">
      <alignment vertical="top" wrapText="1"/>
    </xf>
    <xf numFmtId="0" fontId="18" fillId="0" borderId="7" xfId="8" applyFont="1" applyBorder="1" applyAlignment="1">
      <alignment vertical="top" wrapText="1"/>
    </xf>
    <xf numFmtId="0" fontId="18" fillId="0" borderId="21" xfId="8" applyFont="1" applyBorder="1" applyAlignment="1">
      <alignment vertical="top" wrapText="1"/>
    </xf>
    <xf numFmtId="0" fontId="18" fillId="0" borderId="22" xfId="8" applyFont="1" applyBorder="1" applyAlignment="1">
      <alignment vertical="top" wrapText="1"/>
    </xf>
    <xf numFmtId="0" fontId="18" fillId="0" borderId="23" xfId="8" applyFont="1" applyBorder="1" applyAlignment="1">
      <alignment vertical="top" wrapText="1"/>
    </xf>
    <xf numFmtId="0" fontId="17" fillId="0" borderId="44" xfId="8" applyFont="1" applyBorder="1" applyAlignment="1">
      <alignment horizontal="left" vertical="center"/>
    </xf>
    <xf numFmtId="0" fontId="17" fillId="0" borderId="44" xfId="8" applyBorder="1" applyAlignment="1">
      <alignment horizontal="left" vertical="center"/>
    </xf>
    <xf numFmtId="0" fontId="17" fillId="0" borderId="47" xfId="8" applyBorder="1" applyAlignment="1">
      <alignment horizontal="left" vertical="center"/>
    </xf>
    <xf numFmtId="0" fontId="18" fillId="0" borderId="50" xfId="8" applyFont="1" applyBorder="1" applyAlignment="1">
      <alignment horizontal="left" vertical="center" wrapText="1"/>
    </xf>
    <xf numFmtId="0" fontId="17" fillId="0" borderId="28" xfId="8" applyBorder="1"/>
    <xf numFmtId="0" fontId="17" fillId="0" borderId="44" xfId="8" applyFont="1" applyBorder="1" applyAlignment="1">
      <alignment horizontal="center" vertical="center"/>
    </xf>
    <xf numFmtId="49" fontId="20" fillId="0" borderId="24" xfId="8" applyNumberFormat="1" applyFont="1" applyBorder="1" applyAlignment="1">
      <alignment horizontal="justify" vertical="center" wrapText="1"/>
    </xf>
    <xf numFmtId="0" fontId="22" fillId="0" borderId="28" xfId="8" applyFont="1" applyBorder="1" applyAlignment="1">
      <alignment horizontal="center" vertical="center"/>
    </xf>
    <xf numFmtId="0" fontId="22" fillId="0" borderId="25" xfId="8" applyFont="1" applyBorder="1" applyAlignment="1">
      <alignment horizontal="center" vertical="center"/>
    </xf>
    <xf numFmtId="0" fontId="22" fillId="0" borderId="30" xfId="8" applyFont="1" applyBorder="1" applyAlignment="1">
      <alignment horizontal="center" vertical="center" wrapText="1"/>
    </xf>
    <xf numFmtId="0" fontId="22" fillId="0" borderId="31" xfId="8" applyFont="1" applyBorder="1" applyAlignment="1">
      <alignment horizontal="center" vertical="center"/>
    </xf>
    <xf numFmtId="0" fontId="17" fillId="0" borderId="38" xfId="8" applyFont="1" applyBorder="1" applyAlignment="1">
      <alignment horizontal="center" vertical="center" wrapText="1"/>
    </xf>
    <xf numFmtId="0" fontId="17" fillId="0" borderId="39" xfId="8" applyFont="1" applyBorder="1" applyAlignment="1">
      <alignment horizontal="center" vertical="center" wrapText="1"/>
    </xf>
    <xf numFmtId="0" fontId="17" fillId="0" borderId="44" xfId="8" applyBorder="1" applyAlignment="1">
      <alignment horizontal="center"/>
    </xf>
    <xf numFmtId="0" fontId="20" fillId="0" borderId="28" xfId="8" applyFont="1" applyBorder="1" applyAlignment="1">
      <alignment horizontal="left"/>
    </xf>
    <xf numFmtId="0" fontId="19" fillId="0" borderId="4" xfId="8" applyFont="1" applyBorder="1" applyAlignment="1">
      <alignment horizontal="center" vertical="center" wrapText="1"/>
    </xf>
    <xf numFmtId="0" fontId="7" fillId="0" borderId="25" xfId="8" applyFont="1" applyBorder="1"/>
    <xf numFmtId="0" fontId="20" fillId="0" borderId="26" xfId="8" applyFont="1" applyBorder="1" applyAlignment="1">
      <alignment horizontal="left" indent="1"/>
    </xf>
    <xf numFmtId="0" fontId="14" fillId="0" borderId="25" xfId="8" applyFont="1" applyBorder="1" applyAlignment="1">
      <alignment horizontal="left" vertical="center" wrapText="1"/>
    </xf>
    <xf numFmtId="0" fontId="20" fillId="0" borderId="52" xfId="8" applyFont="1" applyBorder="1" applyAlignment="1">
      <alignment horizontal="left" wrapText="1" indent="1"/>
    </xf>
    <xf numFmtId="0" fontId="20" fillId="0" borderId="53" xfId="8" applyFont="1" applyBorder="1" applyAlignment="1">
      <alignment horizontal="left" wrapText="1" indent="1"/>
    </xf>
    <xf numFmtId="0" fontId="20" fillId="0" borderId="54" xfId="8" applyFont="1" applyBorder="1" applyAlignment="1">
      <alignment horizontal="left" wrapText="1" indent="1"/>
    </xf>
    <xf numFmtId="0" fontId="21" fillId="0" borderId="27" xfId="8" applyFont="1" applyBorder="1" applyAlignment="1">
      <alignment horizontal="left"/>
    </xf>
    <xf numFmtId="0" fontId="27" fillId="0" borderId="16" xfId="8" applyFont="1" applyBorder="1" applyAlignment="1">
      <alignment horizontal="center"/>
    </xf>
    <xf numFmtId="0" fontId="27" fillId="0" borderId="20" xfId="8" applyFont="1" applyBorder="1" applyAlignment="1">
      <alignment horizontal="center"/>
    </xf>
    <xf numFmtId="0" fontId="27" fillId="0" borderId="17" xfId="8" applyFont="1" applyBorder="1" applyAlignment="1">
      <alignment horizontal="center"/>
    </xf>
  </cellXfs>
  <cellStyles count="14">
    <cellStyle name="Encabezado 1" xfId="1" xr:uid="{00000000-0005-0000-0000-000000000000}"/>
    <cellStyle name="Millares 2" xfId="4" xr:uid="{00000000-0005-0000-0000-000001000000}"/>
    <cellStyle name="Millares 2 2" xfId="13" xr:uid="{00000000-0005-0000-0000-000002000000}"/>
    <cellStyle name="Moneda 2" xfId="5" xr:uid="{00000000-0005-0000-0000-000003000000}"/>
    <cellStyle name="Moneda_AUTORIZACION Y NOTA DE PEDIDO" xfId="7" xr:uid="{00000000-0005-0000-0000-000004000000}"/>
    <cellStyle name="Neutral 1" xfId="2" xr:uid="{00000000-0005-0000-0000-000005000000}"/>
    <cellStyle name="Normal" xfId="0" builtinId="0"/>
    <cellStyle name="Normal 2" xfId="3" xr:uid="{00000000-0005-0000-0000-000007000000}"/>
    <cellStyle name="Normal 2 2" xfId="8" xr:uid="{00000000-0005-0000-0000-000008000000}"/>
    <cellStyle name="Normal 3" xfId="6" xr:uid="{00000000-0005-0000-0000-000009000000}"/>
    <cellStyle name="Normal 3 2" xfId="9" xr:uid="{00000000-0005-0000-0000-00000A000000}"/>
    <cellStyle name="Normal 4" xfId="10" xr:uid="{00000000-0005-0000-0000-00000B000000}"/>
    <cellStyle name="Normal 5" xfId="11" xr:uid="{00000000-0005-0000-0000-00000C000000}"/>
    <cellStyle name="Normal 5 2" xfId="12" xr:uid="{00000000-0005-0000-0000-00000D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topLeftCell="A4" workbookViewId="0">
      <selection activeCell="C27" sqref="C27"/>
    </sheetView>
  </sheetViews>
  <sheetFormatPr baseColWidth="10" defaultRowHeight="12.75" x14ac:dyDescent="0.2"/>
  <cols>
    <col min="2" max="2" width="20.85546875" customWidth="1"/>
    <col min="3" max="3" width="30.7109375" customWidth="1"/>
    <col min="4" max="4" width="16.5703125" customWidth="1"/>
    <col min="6" max="6" width="51.85546875" customWidth="1"/>
    <col min="8" max="8" width="17.28515625" customWidth="1"/>
    <col min="9" max="9" width="14.28515625" customWidth="1"/>
    <col min="10" max="10" width="21.28515625" bestFit="1" customWidth="1"/>
  </cols>
  <sheetData>
    <row r="1" spans="1:10" ht="18" x14ac:dyDescent="0.25">
      <c r="A1" s="57"/>
      <c r="B1" s="57"/>
      <c r="C1" s="57"/>
      <c r="D1" s="57"/>
      <c r="E1" s="58"/>
      <c r="F1" s="59"/>
      <c r="G1" s="57"/>
      <c r="H1" s="57"/>
      <c r="I1" s="58"/>
      <c r="J1" s="57"/>
    </row>
    <row r="2" spans="1:10" ht="18" x14ac:dyDescent="0.25">
      <c r="A2" s="57"/>
      <c r="B2" s="57"/>
      <c r="C2" s="57"/>
      <c r="D2" s="57"/>
      <c r="E2" s="58"/>
      <c r="F2" s="60" t="s">
        <v>41</v>
      </c>
      <c r="G2" s="57"/>
      <c r="H2" s="57"/>
      <c r="I2" s="58"/>
      <c r="J2" s="57"/>
    </row>
    <row r="3" spans="1:10" ht="15" x14ac:dyDescent="0.25">
      <c r="A3" s="57"/>
      <c r="B3" s="57"/>
      <c r="C3" s="57"/>
      <c r="D3" s="57"/>
      <c r="E3" s="58"/>
      <c r="F3" s="57"/>
      <c r="G3" s="57"/>
      <c r="H3" s="57"/>
      <c r="I3" s="58"/>
      <c r="J3" s="57"/>
    </row>
    <row r="4" spans="1:10" ht="15" x14ac:dyDescent="0.25">
      <c r="A4" s="57"/>
      <c r="B4" s="57"/>
      <c r="C4" s="57"/>
      <c r="D4" s="57"/>
      <c r="E4" s="58"/>
      <c r="F4" s="57"/>
      <c r="G4" s="57"/>
      <c r="H4" s="57"/>
      <c r="I4" s="58"/>
      <c r="J4" s="57"/>
    </row>
    <row r="5" spans="1:10" ht="18" x14ac:dyDescent="0.25">
      <c r="A5" s="101" t="s">
        <v>42</v>
      </c>
      <c r="B5" s="101"/>
      <c r="C5" s="61" t="s">
        <v>43</v>
      </c>
      <c r="D5" s="62"/>
      <c r="E5" s="63"/>
      <c r="F5" s="57"/>
      <c r="G5" s="57"/>
      <c r="H5" s="57"/>
      <c r="I5" s="58"/>
      <c r="J5" s="57"/>
    </row>
    <row r="6" spans="1:10" ht="18" x14ac:dyDescent="0.25">
      <c r="A6" s="61" t="s">
        <v>44</v>
      </c>
      <c r="B6" s="61"/>
      <c r="C6" s="61" t="s">
        <v>45</v>
      </c>
      <c r="D6" s="64"/>
      <c r="E6" s="63"/>
      <c r="F6" s="57"/>
      <c r="G6" s="57"/>
      <c r="H6" s="57"/>
      <c r="I6" s="58"/>
      <c r="J6" s="57"/>
    </row>
    <row r="7" spans="1:10" ht="18" x14ac:dyDescent="0.25">
      <c r="A7" s="61" t="s">
        <v>46</v>
      </c>
      <c r="B7" s="65"/>
      <c r="C7" s="65">
        <v>2021</v>
      </c>
      <c r="D7" s="64"/>
      <c r="E7" s="63"/>
      <c r="F7" s="57"/>
      <c r="G7" s="57"/>
      <c r="H7" s="57"/>
      <c r="I7" s="58"/>
      <c r="J7" s="57"/>
    </row>
    <row r="8" spans="1:10" ht="18" x14ac:dyDescent="0.25">
      <c r="A8" s="61" t="s">
        <v>57</v>
      </c>
      <c r="B8" s="65"/>
      <c r="C8" s="65" t="s">
        <v>71</v>
      </c>
      <c r="D8" s="64"/>
      <c r="E8" s="63"/>
      <c r="F8" s="57"/>
      <c r="G8" s="57"/>
      <c r="H8" s="57"/>
      <c r="I8" s="58"/>
      <c r="J8" s="57"/>
    </row>
    <row r="9" spans="1:10" ht="18" x14ac:dyDescent="0.25">
      <c r="A9" s="66"/>
      <c r="B9" s="66"/>
      <c r="C9" s="66"/>
      <c r="D9" s="66"/>
      <c r="E9" s="67"/>
      <c r="F9" s="62"/>
      <c r="G9" s="57"/>
      <c r="H9" s="57"/>
      <c r="I9" s="58"/>
      <c r="J9" s="57"/>
    </row>
    <row r="10" spans="1:10" ht="15" x14ac:dyDescent="0.25">
      <c r="A10" s="57"/>
      <c r="B10" s="57"/>
      <c r="C10" s="57"/>
      <c r="D10" s="57"/>
      <c r="E10" s="58"/>
      <c r="F10" s="57"/>
      <c r="G10" s="57"/>
      <c r="H10" s="57"/>
      <c r="I10" s="58"/>
      <c r="J10" s="57"/>
    </row>
    <row r="11" spans="1:10" ht="15.75" thickBot="1" x14ac:dyDescent="0.3">
      <c r="A11" s="57"/>
      <c r="B11" s="57"/>
      <c r="C11" s="57"/>
      <c r="D11" s="57"/>
      <c r="E11" s="58"/>
      <c r="F11" s="57"/>
      <c r="G11" s="57"/>
      <c r="H11" s="57"/>
      <c r="I11" s="58"/>
      <c r="J11" s="57"/>
    </row>
    <row r="12" spans="1:10" ht="45.75" thickBot="1" x14ac:dyDescent="0.25">
      <c r="A12" s="68" t="s">
        <v>47</v>
      </c>
      <c r="B12" s="68" t="s">
        <v>48</v>
      </c>
      <c r="C12" s="69" t="s">
        <v>49</v>
      </c>
      <c r="D12" s="69" t="s">
        <v>50</v>
      </c>
      <c r="E12" s="69" t="s">
        <v>51</v>
      </c>
      <c r="F12" s="69" t="s">
        <v>52</v>
      </c>
      <c r="G12" s="69" t="s">
        <v>53</v>
      </c>
      <c r="H12" s="69" t="s">
        <v>54</v>
      </c>
      <c r="I12" s="69" t="s">
        <v>55</v>
      </c>
      <c r="J12" s="69" t="s">
        <v>56</v>
      </c>
    </row>
    <row r="13" spans="1:10" ht="30.75" thickBot="1" x14ac:dyDescent="0.25">
      <c r="A13" s="70">
        <v>1</v>
      </c>
      <c r="B13" s="71" t="s">
        <v>58</v>
      </c>
      <c r="C13" s="77" t="s">
        <v>59</v>
      </c>
      <c r="D13" s="72" t="s">
        <v>73</v>
      </c>
      <c r="E13" s="72" t="s">
        <v>61</v>
      </c>
      <c r="F13" s="92" t="s">
        <v>60</v>
      </c>
      <c r="G13" s="72" t="s">
        <v>62</v>
      </c>
      <c r="H13" s="72">
        <v>6000</v>
      </c>
      <c r="I13" s="74">
        <v>91.3</v>
      </c>
      <c r="J13" s="74">
        <f t="shared" ref="J13:J19" si="0">+H13*I13</f>
        <v>547800</v>
      </c>
    </row>
    <row r="14" spans="1:10" ht="30.75" thickBot="1" x14ac:dyDescent="0.25">
      <c r="A14" s="70">
        <v>2</v>
      </c>
      <c r="B14" s="71" t="s">
        <v>58</v>
      </c>
      <c r="C14" s="77" t="s">
        <v>59</v>
      </c>
      <c r="D14" s="72" t="s">
        <v>73</v>
      </c>
      <c r="E14" s="72" t="s">
        <v>61</v>
      </c>
      <c r="F14" s="73" t="s">
        <v>60</v>
      </c>
      <c r="G14" s="72" t="s">
        <v>62</v>
      </c>
      <c r="H14" s="72">
        <v>11500</v>
      </c>
      <c r="I14" s="74">
        <v>91.3</v>
      </c>
      <c r="J14" s="74">
        <f t="shared" si="0"/>
        <v>1049950</v>
      </c>
    </row>
    <row r="15" spans="1:10" ht="30.75" thickBot="1" x14ac:dyDescent="0.25">
      <c r="A15" s="70">
        <v>3</v>
      </c>
      <c r="B15" s="71" t="s">
        <v>58</v>
      </c>
      <c r="C15" s="77" t="s">
        <v>59</v>
      </c>
      <c r="D15" s="72" t="s">
        <v>73</v>
      </c>
      <c r="E15" s="72" t="s">
        <v>61</v>
      </c>
      <c r="F15" s="73" t="s">
        <v>60</v>
      </c>
      <c r="G15" s="72" t="s">
        <v>62</v>
      </c>
      <c r="H15" s="72">
        <v>2600</v>
      </c>
      <c r="I15" s="74">
        <v>503.8</v>
      </c>
      <c r="J15" s="74">
        <f t="shared" si="0"/>
        <v>1309880</v>
      </c>
    </row>
    <row r="16" spans="1:10" ht="30.75" thickBot="1" x14ac:dyDescent="0.25">
      <c r="A16" s="70">
        <v>4</v>
      </c>
      <c r="B16" s="71" t="s">
        <v>58</v>
      </c>
      <c r="C16" s="77" t="s">
        <v>59</v>
      </c>
      <c r="D16" s="72" t="s">
        <v>73</v>
      </c>
      <c r="E16" s="72" t="s">
        <v>61</v>
      </c>
      <c r="F16" s="73" t="s">
        <v>60</v>
      </c>
      <c r="G16" s="72" t="s">
        <v>62</v>
      </c>
      <c r="H16" s="72">
        <v>1900</v>
      </c>
      <c r="I16" s="74">
        <v>503.8</v>
      </c>
      <c r="J16" s="74">
        <f t="shared" si="0"/>
        <v>957220</v>
      </c>
    </row>
    <row r="17" spans="1:10" ht="30.75" thickBot="1" x14ac:dyDescent="0.25">
      <c r="A17" s="70">
        <v>5</v>
      </c>
      <c r="B17" s="71" t="s">
        <v>58</v>
      </c>
      <c r="C17" s="77" t="s">
        <v>59</v>
      </c>
      <c r="D17" s="72" t="s">
        <v>73</v>
      </c>
      <c r="E17" s="72" t="s">
        <v>61</v>
      </c>
      <c r="F17" s="73" t="s">
        <v>60</v>
      </c>
      <c r="G17" s="72" t="s">
        <v>62</v>
      </c>
      <c r="H17" s="72">
        <v>1700</v>
      </c>
      <c r="I17" s="74">
        <v>503.8</v>
      </c>
      <c r="J17" s="74">
        <f t="shared" si="0"/>
        <v>856460</v>
      </c>
    </row>
    <row r="18" spans="1:10" ht="30.75" thickBot="1" x14ac:dyDescent="0.25">
      <c r="A18" s="70">
        <v>6</v>
      </c>
      <c r="B18" s="71" t="s">
        <v>58</v>
      </c>
      <c r="C18" s="77" t="s">
        <v>59</v>
      </c>
      <c r="D18" s="72" t="s">
        <v>73</v>
      </c>
      <c r="E18" s="72" t="s">
        <v>61</v>
      </c>
      <c r="F18" s="73" t="s">
        <v>60</v>
      </c>
      <c r="G18" s="72" t="s">
        <v>62</v>
      </c>
      <c r="H18" s="72">
        <v>50</v>
      </c>
      <c r="I18" s="74">
        <v>503.8</v>
      </c>
      <c r="J18" s="74">
        <f t="shared" si="0"/>
        <v>25190</v>
      </c>
    </row>
    <row r="19" spans="1:10" ht="30.75" thickBot="1" x14ac:dyDescent="0.25">
      <c r="A19" s="70">
        <v>7</v>
      </c>
      <c r="B19" s="71" t="s">
        <v>58</v>
      </c>
      <c r="C19" s="77" t="s">
        <v>59</v>
      </c>
      <c r="D19" s="72" t="s">
        <v>73</v>
      </c>
      <c r="E19" s="72" t="s">
        <v>61</v>
      </c>
      <c r="F19" s="73" t="s">
        <v>60</v>
      </c>
      <c r="G19" s="72" t="s">
        <v>62</v>
      </c>
      <c r="H19" s="72">
        <v>30</v>
      </c>
      <c r="I19" s="74">
        <v>165</v>
      </c>
      <c r="J19" s="74">
        <f t="shared" si="0"/>
        <v>4950</v>
      </c>
    </row>
    <row r="20" spans="1:10" ht="33.75" customHeight="1" thickBot="1" x14ac:dyDescent="0.25">
      <c r="A20" s="97" t="s">
        <v>79</v>
      </c>
      <c r="B20" s="97"/>
      <c r="C20" s="97"/>
      <c r="D20" s="97"/>
      <c r="E20" s="97"/>
      <c r="F20" s="97"/>
      <c r="G20" s="97"/>
      <c r="H20" s="97"/>
      <c r="I20" s="98"/>
      <c r="J20" s="79">
        <f>SUM(J13:J19)</f>
        <v>4751450</v>
      </c>
    </row>
    <row r="21" spans="1:10" ht="15" x14ac:dyDescent="0.25">
      <c r="A21" s="57"/>
      <c r="B21" s="57"/>
      <c r="C21" s="57"/>
      <c r="D21" s="57"/>
      <c r="E21" s="58"/>
      <c r="F21" s="57"/>
      <c r="G21" s="57"/>
      <c r="H21" s="57"/>
      <c r="I21" s="58"/>
      <c r="J21" s="78"/>
    </row>
    <row r="22" spans="1:10" ht="15.75" thickBot="1" x14ac:dyDescent="0.3">
      <c r="A22" s="57"/>
      <c r="B22" s="57"/>
      <c r="C22" s="57"/>
      <c r="D22" s="57"/>
      <c r="E22" s="58"/>
      <c r="F22" s="57"/>
      <c r="G22" s="57"/>
      <c r="H22" s="57"/>
      <c r="I22" s="58"/>
      <c r="J22" s="57"/>
    </row>
    <row r="23" spans="1:10" ht="15" x14ac:dyDescent="0.25">
      <c r="A23" s="57"/>
      <c r="B23" s="57"/>
      <c r="C23" s="83" t="s">
        <v>67</v>
      </c>
      <c r="D23" s="84" t="s">
        <v>89</v>
      </c>
      <c r="E23" s="84"/>
      <c r="F23" s="85"/>
      <c r="G23" s="57"/>
      <c r="H23" s="57"/>
      <c r="I23" s="58"/>
      <c r="J23" s="57"/>
    </row>
    <row r="24" spans="1:10" ht="15" x14ac:dyDescent="0.25">
      <c r="A24" s="57"/>
      <c r="B24" s="57"/>
      <c r="C24" s="81"/>
      <c r="D24" s="86"/>
      <c r="E24" s="86"/>
      <c r="F24" s="87"/>
      <c r="G24" s="57"/>
      <c r="H24" s="57"/>
      <c r="I24" s="58"/>
      <c r="J24" s="57"/>
    </row>
    <row r="25" spans="1:10" ht="15" x14ac:dyDescent="0.25">
      <c r="C25" s="80" t="s">
        <v>77</v>
      </c>
      <c r="D25" s="86"/>
      <c r="E25" s="86"/>
      <c r="F25" s="87"/>
      <c r="H25" s="75"/>
    </row>
    <row r="26" spans="1:10" x14ac:dyDescent="0.2">
      <c r="C26" s="80"/>
      <c r="D26" s="99"/>
      <c r="E26" s="99"/>
      <c r="F26" s="100"/>
    </row>
    <row r="27" spans="1:10" ht="45" customHeight="1" x14ac:dyDescent="0.25">
      <c r="C27" s="80" t="s">
        <v>85</v>
      </c>
      <c r="D27" s="99" t="s">
        <v>84</v>
      </c>
      <c r="E27" s="99"/>
      <c r="F27" s="100"/>
      <c r="J27" s="76"/>
    </row>
    <row r="28" spans="1:10" ht="45" customHeight="1" x14ac:dyDescent="0.25">
      <c r="C28" s="80" t="s">
        <v>86</v>
      </c>
      <c r="D28" s="99" t="s">
        <v>87</v>
      </c>
      <c r="E28" s="99"/>
      <c r="F28" s="100"/>
      <c r="J28" s="76"/>
    </row>
    <row r="29" spans="1:10" ht="15" customHeight="1" x14ac:dyDescent="0.25">
      <c r="C29" s="81"/>
      <c r="D29" s="93"/>
      <c r="E29" s="93"/>
      <c r="F29" s="94"/>
      <c r="J29" s="76"/>
    </row>
    <row r="30" spans="1:10" ht="15" x14ac:dyDescent="0.25">
      <c r="C30" s="80" t="s">
        <v>74</v>
      </c>
      <c r="D30" s="102" t="s">
        <v>38</v>
      </c>
      <c r="E30" s="102"/>
      <c r="F30" s="96"/>
      <c r="J30" s="76"/>
    </row>
    <row r="31" spans="1:10" ht="15" x14ac:dyDescent="0.25">
      <c r="C31" s="81"/>
      <c r="D31" s="91"/>
      <c r="E31" s="91"/>
      <c r="F31" s="90"/>
      <c r="J31" s="76"/>
    </row>
    <row r="32" spans="1:10" x14ac:dyDescent="0.2">
      <c r="C32" s="80" t="s">
        <v>75</v>
      </c>
      <c r="D32" s="86"/>
      <c r="E32" s="86"/>
      <c r="F32" s="87"/>
    </row>
    <row r="33" spans="3:6" x14ac:dyDescent="0.2">
      <c r="C33" s="81"/>
      <c r="D33" s="99"/>
      <c r="E33" s="99"/>
      <c r="F33" s="100"/>
    </row>
    <row r="34" spans="3:6" ht="15" customHeight="1" x14ac:dyDescent="0.2">
      <c r="C34" s="80" t="s">
        <v>76</v>
      </c>
      <c r="D34" s="99" t="s">
        <v>68</v>
      </c>
      <c r="E34" s="99"/>
      <c r="F34" s="100"/>
    </row>
    <row r="35" spans="3:6" x14ac:dyDescent="0.2">
      <c r="C35" s="81"/>
      <c r="D35" s="100"/>
      <c r="E35" s="100"/>
      <c r="F35" s="100"/>
    </row>
    <row r="36" spans="3:6" x14ac:dyDescent="0.2">
      <c r="C36" s="80" t="s">
        <v>78</v>
      </c>
      <c r="D36" s="86"/>
      <c r="E36" s="86"/>
      <c r="F36" s="87"/>
    </row>
    <row r="37" spans="3:6" x14ac:dyDescent="0.2">
      <c r="C37" s="80"/>
      <c r="D37" s="96"/>
      <c r="E37" s="96"/>
      <c r="F37" s="96"/>
    </row>
    <row r="38" spans="3:6" ht="13.5" thickBot="1" x14ac:dyDescent="0.25">
      <c r="C38" s="82"/>
      <c r="D38" s="88"/>
      <c r="E38" s="88"/>
      <c r="F38" s="89"/>
    </row>
  </sheetData>
  <mergeCells count="10">
    <mergeCell ref="D37:F37"/>
    <mergeCell ref="A20:I20"/>
    <mergeCell ref="D34:F34"/>
    <mergeCell ref="A5:B5"/>
    <mergeCell ref="D26:F26"/>
    <mergeCell ref="D30:F30"/>
    <mergeCell ref="D33:F33"/>
    <mergeCell ref="D35:F35"/>
    <mergeCell ref="D27:F27"/>
    <mergeCell ref="D28:F28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CEB3B-56DE-4F15-AF7A-6807E37C95A8}">
  <dimension ref="A1"/>
  <sheetViews>
    <sheetView workbookViewId="0">
      <selection activeCell="D1" sqref="D1"/>
    </sheetView>
  </sheetViews>
  <sheetFormatPr baseColWidth="10" defaultRowHeight="12.75" x14ac:dyDescent="0.2"/>
  <cols>
    <col min="1" max="1" width="118.42578125" customWidth="1"/>
  </cols>
  <sheetData>
    <row r="1" spans="1:1" ht="288.95" customHeight="1" x14ac:dyDescent="0.2">
      <c r="A1" s="95" t="s">
        <v>88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9"/>
  <sheetViews>
    <sheetView zoomScale="115" zoomScaleNormal="115" workbookViewId="0">
      <selection activeCell="K2" sqref="K2"/>
    </sheetView>
  </sheetViews>
  <sheetFormatPr baseColWidth="10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19.140625" style="1" customWidth="1"/>
    <col min="8" max="8" width="9.28515625" style="1" customWidth="1"/>
    <col min="9" max="9" width="15.5703125" style="1" customWidth="1"/>
    <col min="10" max="10" width="16.42578125" style="1" customWidth="1"/>
    <col min="11" max="11" width="15.5703125" style="1" customWidth="1"/>
    <col min="12" max="14" width="5.85546875" style="1" customWidth="1"/>
    <col min="15" max="15" width="12.5703125" style="1" customWidth="1"/>
    <col min="16" max="1024" width="11.42578125" style="1"/>
  </cols>
  <sheetData>
    <row r="1" spans="1:15" ht="27" customHeight="1" x14ac:dyDescent="0.2">
      <c r="A1" s="124" t="s">
        <v>0</v>
      </c>
      <c r="B1" s="124"/>
      <c r="C1" s="124"/>
      <c r="D1" s="124"/>
      <c r="E1" s="124"/>
      <c r="F1" s="124"/>
      <c r="G1" s="124"/>
      <c r="H1" s="124"/>
      <c r="I1" s="124"/>
      <c r="J1" s="2" t="s">
        <v>1</v>
      </c>
      <c r="K1" s="3" t="s">
        <v>83</v>
      </c>
    </row>
    <row r="2" spans="1:15" ht="18.75" customHeight="1" thickBot="1" x14ac:dyDescent="0.25">
      <c r="A2" s="4"/>
      <c r="B2" s="5"/>
      <c r="C2" s="5"/>
      <c r="D2" s="6"/>
      <c r="E2" s="6"/>
      <c r="F2" s="6"/>
      <c r="G2" s="6"/>
      <c r="H2" s="6"/>
      <c r="I2" s="6"/>
      <c r="J2" s="6"/>
      <c r="K2" s="7"/>
    </row>
    <row r="3" spans="1:15" ht="18.75" customHeight="1" thickBot="1" x14ac:dyDescent="0.25">
      <c r="A3" s="125" t="s">
        <v>2</v>
      </c>
      <c r="B3" s="125"/>
      <c r="C3" s="125"/>
      <c r="D3" s="127" t="s">
        <v>63</v>
      </c>
      <c r="E3" s="128"/>
      <c r="F3" s="128"/>
      <c r="G3" s="128"/>
      <c r="H3" s="128"/>
      <c r="I3" s="128"/>
      <c r="J3" s="128"/>
      <c r="K3" s="129"/>
    </row>
    <row r="4" spans="1:15" ht="18.75" customHeight="1" thickBot="1" x14ac:dyDescent="0.25">
      <c r="A4" s="126" t="s">
        <v>3</v>
      </c>
      <c r="B4" s="126"/>
      <c r="C4" s="126"/>
      <c r="D4" s="130" t="s">
        <v>64</v>
      </c>
      <c r="E4" s="131"/>
      <c r="F4" s="131"/>
      <c r="G4" s="131"/>
      <c r="H4" s="131"/>
      <c r="I4" s="131"/>
      <c r="J4" s="131"/>
      <c r="K4" s="132"/>
    </row>
    <row r="5" spans="1:15" ht="18.75" customHeight="1" thickBot="1" x14ac:dyDescent="0.25">
      <c r="A5" s="126" t="s">
        <v>4</v>
      </c>
      <c r="B5" s="126"/>
      <c r="C5" s="126"/>
      <c r="D5" s="130" t="s">
        <v>65</v>
      </c>
      <c r="E5" s="131"/>
      <c r="F5" s="131"/>
      <c r="G5" s="131"/>
      <c r="H5" s="131"/>
      <c r="I5" s="131"/>
      <c r="J5" s="131"/>
      <c r="K5" s="132"/>
    </row>
    <row r="6" spans="1:15" ht="16.5" customHeight="1" thickBot="1" x14ac:dyDescent="0.25">
      <c r="A6" s="125" t="s">
        <v>5</v>
      </c>
      <c r="B6" s="125"/>
      <c r="C6" s="125"/>
      <c r="D6" s="133" t="s">
        <v>65</v>
      </c>
      <c r="E6" s="133"/>
      <c r="F6" s="133"/>
      <c r="G6" s="133"/>
      <c r="H6" s="133"/>
      <c r="I6" s="133"/>
      <c r="J6" s="133"/>
      <c r="K6" s="133"/>
    </row>
    <row r="7" spans="1:15" ht="16.5" customHeight="1" thickBot="1" x14ac:dyDescent="0.25">
      <c r="A7" s="126" t="s">
        <v>6</v>
      </c>
      <c r="B7" s="126"/>
      <c r="C7" s="126"/>
      <c r="D7" s="133" t="s">
        <v>72</v>
      </c>
      <c r="E7" s="133"/>
      <c r="F7" s="133"/>
      <c r="G7" s="133"/>
      <c r="H7" s="133"/>
      <c r="I7" s="133"/>
      <c r="J7" s="133"/>
      <c r="K7" s="133"/>
    </row>
    <row r="8" spans="1:15" ht="16.5" customHeight="1" x14ac:dyDescent="0.2">
      <c r="A8" s="106" t="s">
        <v>7</v>
      </c>
      <c r="B8" s="106"/>
      <c r="C8" s="106"/>
      <c r="D8" s="107" t="s">
        <v>40</v>
      </c>
      <c r="E8" s="107"/>
      <c r="F8" s="107"/>
      <c r="G8" s="107"/>
      <c r="H8" s="107"/>
      <c r="I8" s="107"/>
      <c r="J8" s="107"/>
      <c r="K8" s="107"/>
    </row>
    <row r="9" spans="1:15" ht="16.5" thickBot="1" x14ac:dyDescent="0.25">
      <c r="A9" s="8"/>
      <c r="B9" s="9"/>
      <c r="C9" s="9"/>
      <c r="D9" s="10"/>
      <c r="E9" s="10"/>
      <c r="F9" s="10"/>
      <c r="G9" s="10"/>
      <c r="H9" s="10"/>
      <c r="I9" s="10"/>
      <c r="J9" s="10"/>
      <c r="K9" s="11"/>
    </row>
    <row r="10" spans="1:15" ht="18.75" customHeight="1" thickBot="1" x14ac:dyDescent="0.25">
      <c r="A10" s="108" t="s">
        <v>8</v>
      </c>
      <c r="B10" s="110" t="s">
        <v>9</v>
      </c>
      <c r="C10" s="112" t="s">
        <v>10</v>
      </c>
      <c r="D10" s="113"/>
      <c r="E10" s="113"/>
      <c r="F10" s="113"/>
      <c r="G10" s="113"/>
      <c r="H10" s="113" t="s">
        <v>11</v>
      </c>
      <c r="I10" s="113" t="s">
        <v>12</v>
      </c>
      <c r="J10" s="113" t="s">
        <v>13</v>
      </c>
      <c r="K10" s="116" t="s">
        <v>14</v>
      </c>
    </row>
    <row r="11" spans="1:15" ht="24" customHeight="1" thickBot="1" x14ac:dyDescent="0.25">
      <c r="A11" s="109"/>
      <c r="B11" s="111"/>
      <c r="C11" s="114"/>
      <c r="D11" s="115"/>
      <c r="E11" s="115"/>
      <c r="F11" s="115"/>
      <c r="G11" s="115"/>
      <c r="H11" s="115"/>
      <c r="I11" s="115"/>
      <c r="J11" s="115"/>
      <c r="K11" s="117"/>
    </row>
    <row r="12" spans="1:15" ht="33.75" customHeight="1" x14ac:dyDescent="0.2">
      <c r="A12" s="48">
        <v>1</v>
      </c>
      <c r="B12" s="49" t="s">
        <v>58</v>
      </c>
      <c r="C12" s="118" t="s">
        <v>60</v>
      </c>
      <c r="D12" s="119"/>
      <c r="E12" s="119"/>
      <c r="F12" s="119"/>
      <c r="G12" s="120"/>
      <c r="H12" s="49" t="s">
        <v>66</v>
      </c>
      <c r="I12" s="49" t="s">
        <v>62</v>
      </c>
      <c r="J12" s="52">
        <v>91.3</v>
      </c>
      <c r="K12" s="50">
        <v>6000</v>
      </c>
      <c r="O12" s="51">
        <f>+J12*K12</f>
        <v>547800</v>
      </c>
    </row>
    <row r="13" spans="1:15" ht="33.75" customHeight="1" x14ac:dyDescent="0.2">
      <c r="A13" s="55">
        <v>2</v>
      </c>
      <c r="B13" s="53" t="s">
        <v>58</v>
      </c>
      <c r="C13" s="123" t="s">
        <v>60</v>
      </c>
      <c r="D13" s="123"/>
      <c r="E13" s="123"/>
      <c r="F13" s="123"/>
      <c r="G13" s="123"/>
      <c r="H13" s="53" t="s">
        <v>66</v>
      </c>
      <c r="I13" s="53" t="s">
        <v>62</v>
      </c>
      <c r="J13" s="54">
        <v>91.3</v>
      </c>
      <c r="K13" s="56">
        <v>11500</v>
      </c>
      <c r="O13" s="51">
        <f t="shared" ref="O13:O18" si="0">+J13*K13</f>
        <v>1049950</v>
      </c>
    </row>
    <row r="14" spans="1:15" ht="33.75" customHeight="1" x14ac:dyDescent="0.2">
      <c r="A14" s="55">
        <v>3</v>
      </c>
      <c r="B14" s="53" t="s">
        <v>58</v>
      </c>
      <c r="C14" s="123" t="s">
        <v>60</v>
      </c>
      <c r="D14" s="123"/>
      <c r="E14" s="123"/>
      <c r="F14" s="123"/>
      <c r="G14" s="123"/>
      <c r="H14" s="53" t="s">
        <v>66</v>
      </c>
      <c r="I14" s="53" t="s">
        <v>62</v>
      </c>
      <c r="J14" s="54">
        <v>503.8</v>
      </c>
      <c r="K14" s="56">
        <v>2600</v>
      </c>
      <c r="O14" s="51">
        <f t="shared" si="0"/>
        <v>1309880</v>
      </c>
    </row>
    <row r="15" spans="1:15" ht="33.75" customHeight="1" x14ac:dyDescent="0.2">
      <c r="A15" s="55">
        <v>4</v>
      </c>
      <c r="B15" s="53" t="s">
        <v>58</v>
      </c>
      <c r="C15" s="123" t="s">
        <v>60</v>
      </c>
      <c r="D15" s="123"/>
      <c r="E15" s="123"/>
      <c r="F15" s="123"/>
      <c r="G15" s="123"/>
      <c r="H15" s="53" t="s">
        <v>66</v>
      </c>
      <c r="I15" s="53" t="s">
        <v>62</v>
      </c>
      <c r="J15" s="54">
        <v>503.8</v>
      </c>
      <c r="K15" s="56">
        <v>1900</v>
      </c>
      <c r="O15" s="51">
        <f t="shared" si="0"/>
        <v>957220</v>
      </c>
    </row>
    <row r="16" spans="1:15" ht="33.75" customHeight="1" x14ac:dyDescent="0.2">
      <c r="A16" s="55">
        <v>5</v>
      </c>
      <c r="B16" s="53" t="s">
        <v>58</v>
      </c>
      <c r="C16" s="123" t="s">
        <v>60</v>
      </c>
      <c r="D16" s="123"/>
      <c r="E16" s="123"/>
      <c r="F16" s="123"/>
      <c r="G16" s="123"/>
      <c r="H16" s="53" t="s">
        <v>66</v>
      </c>
      <c r="I16" s="53" t="s">
        <v>62</v>
      </c>
      <c r="J16" s="54">
        <v>503.8</v>
      </c>
      <c r="K16" s="56">
        <v>1700</v>
      </c>
      <c r="O16" s="51">
        <f t="shared" si="0"/>
        <v>856460</v>
      </c>
    </row>
    <row r="17" spans="1:15" ht="33.75" customHeight="1" x14ac:dyDescent="0.2">
      <c r="A17" s="55">
        <v>6</v>
      </c>
      <c r="B17" s="53" t="s">
        <v>58</v>
      </c>
      <c r="C17" s="123" t="s">
        <v>60</v>
      </c>
      <c r="D17" s="123"/>
      <c r="E17" s="123"/>
      <c r="F17" s="123"/>
      <c r="G17" s="123"/>
      <c r="H17" s="53" t="s">
        <v>66</v>
      </c>
      <c r="I17" s="53" t="s">
        <v>62</v>
      </c>
      <c r="J17" s="54">
        <v>503.8</v>
      </c>
      <c r="K17" s="56">
        <v>50</v>
      </c>
      <c r="O17" s="51">
        <f t="shared" si="0"/>
        <v>25190</v>
      </c>
    </row>
    <row r="18" spans="1:15" ht="33.75" customHeight="1" thickBot="1" x14ac:dyDescent="0.25">
      <c r="A18" s="55">
        <v>7</v>
      </c>
      <c r="B18" s="53" t="s">
        <v>58</v>
      </c>
      <c r="C18" s="123" t="s">
        <v>60</v>
      </c>
      <c r="D18" s="123"/>
      <c r="E18" s="123"/>
      <c r="F18" s="123"/>
      <c r="G18" s="123"/>
      <c r="H18" s="53" t="s">
        <v>66</v>
      </c>
      <c r="I18" s="53" t="s">
        <v>62</v>
      </c>
      <c r="J18" s="54">
        <v>165</v>
      </c>
      <c r="K18" s="56">
        <v>30</v>
      </c>
      <c r="O18" s="51">
        <f t="shared" si="0"/>
        <v>4950</v>
      </c>
    </row>
    <row r="19" spans="1:15" ht="45.75" customHeight="1" thickBot="1" x14ac:dyDescent="0.25">
      <c r="A19" s="103" t="s">
        <v>80</v>
      </c>
      <c r="B19" s="104"/>
      <c r="C19" s="104"/>
      <c r="D19" s="104"/>
      <c r="E19" s="104"/>
      <c r="F19" s="104"/>
      <c r="G19" s="104"/>
      <c r="H19" s="104"/>
      <c r="I19" s="105"/>
      <c r="J19" s="121">
        <f>+O19</f>
        <v>4751450</v>
      </c>
      <c r="K19" s="122"/>
      <c r="O19" s="51">
        <f>SUM(O12:O18)</f>
        <v>4751450</v>
      </c>
    </row>
  </sheetData>
  <mergeCells count="29">
    <mergeCell ref="C18:G18"/>
    <mergeCell ref="C17:G17"/>
    <mergeCell ref="A1:I1"/>
    <mergeCell ref="A3:C3"/>
    <mergeCell ref="A4:C4"/>
    <mergeCell ref="D3:K3"/>
    <mergeCell ref="D4:K4"/>
    <mergeCell ref="A5:C5"/>
    <mergeCell ref="A6:C6"/>
    <mergeCell ref="D6:K6"/>
    <mergeCell ref="A7:C7"/>
    <mergeCell ref="D7:K7"/>
    <mergeCell ref="D5:K5"/>
    <mergeCell ref="A19:I19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J19:K19"/>
    <mergeCell ref="C13:G13"/>
    <mergeCell ref="C14:G14"/>
    <mergeCell ref="C15:G15"/>
    <mergeCell ref="C16:G16"/>
  </mergeCells>
  <printOptions horizontalCentered="1"/>
  <pageMargins left="0.25" right="0.25" top="0.75" bottom="0.75" header="0.3" footer="0.3"/>
  <pageSetup paperSize="190" scale="90" firstPageNumber="0" orientation="landscape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42"/>
  <sheetViews>
    <sheetView topLeftCell="A7" zoomScale="120" zoomScaleNormal="120" workbookViewId="0">
      <selection activeCell="A10" sqref="A10:Q10"/>
    </sheetView>
  </sheetViews>
  <sheetFormatPr baseColWidth="10" defaultRowHeight="12.75" x14ac:dyDescent="0.2"/>
  <cols>
    <col min="1" max="5" width="5" customWidth="1"/>
    <col min="6" max="6" width="6.42578125" customWidth="1"/>
    <col min="7" max="14" width="5" customWidth="1"/>
    <col min="17" max="17" width="13.7109375" bestFit="1" customWidth="1"/>
  </cols>
  <sheetData>
    <row r="1" spans="1:17" ht="15.75" thickBot="1" x14ac:dyDescent="0.3">
      <c r="A1" s="163" t="s">
        <v>15</v>
      </c>
      <c r="B1" s="164"/>
      <c r="C1" s="164"/>
      <c r="D1" s="164"/>
      <c r="E1" s="165"/>
      <c r="F1" s="12"/>
      <c r="G1" s="12"/>
      <c r="H1" s="13"/>
      <c r="I1" s="13"/>
      <c r="J1" s="13"/>
      <c r="K1" s="13"/>
      <c r="L1" s="13"/>
      <c r="M1" s="13"/>
      <c r="N1" s="13"/>
      <c r="O1" s="14"/>
      <c r="P1" s="155" t="s">
        <v>16</v>
      </c>
      <c r="Q1" s="155"/>
    </row>
    <row r="2" spans="1:17" ht="13.5" thickBot="1" x14ac:dyDescent="0.25">
      <c r="A2" s="15"/>
      <c r="B2" s="16"/>
      <c r="C2" s="16"/>
      <c r="D2" s="16"/>
      <c r="E2" s="16"/>
      <c r="F2" s="16"/>
      <c r="G2" s="17"/>
      <c r="H2" s="18"/>
      <c r="I2" s="18"/>
      <c r="J2" s="18"/>
      <c r="K2" s="18"/>
      <c r="L2" s="18"/>
      <c r="M2" s="18"/>
      <c r="N2" s="18"/>
      <c r="O2" s="16"/>
      <c r="P2" s="155"/>
      <c r="Q2" s="155"/>
    </row>
    <row r="3" spans="1:17" ht="13.5" thickBot="1" x14ac:dyDescent="0.25">
      <c r="A3" s="15"/>
      <c r="B3" s="16"/>
      <c r="C3" s="16"/>
      <c r="D3" s="16"/>
      <c r="E3" s="16"/>
      <c r="F3" s="16"/>
      <c r="G3" s="17"/>
      <c r="H3" s="16"/>
      <c r="I3" s="16"/>
      <c r="J3" s="16"/>
      <c r="K3" s="16"/>
      <c r="L3" s="16"/>
      <c r="M3" s="16"/>
      <c r="N3" s="16"/>
      <c r="O3" s="16"/>
      <c r="P3" s="16"/>
      <c r="Q3" s="19"/>
    </row>
    <row r="4" spans="1:17" ht="15" thickBot="1" x14ac:dyDescent="0.25">
      <c r="A4" s="156" t="s">
        <v>17</v>
      </c>
      <c r="B4" s="156"/>
      <c r="C4" s="156"/>
      <c r="D4" s="156"/>
      <c r="E4" s="156"/>
      <c r="F4" s="156"/>
      <c r="G4" s="157" t="s">
        <v>43</v>
      </c>
      <c r="H4" s="157"/>
      <c r="I4" s="157"/>
      <c r="J4" s="157"/>
      <c r="K4" s="157"/>
      <c r="L4" s="157"/>
      <c r="M4" s="157"/>
      <c r="N4" s="157"/>
      <c r="O4" s="157"/>
      <c r="P4" s="157"/>
      <c r="Q4" s="157"/>
    </row>
    <row r="5" spans="1:17" ht="30" customHeight="1" thickBot="1" x14ac:dyDescent="0.25">
      <c r="A5" s="158" t="s">
        <v>3</v>
      </c>
      <c r="B5" s="158"/>
      <c r="C5" s="158"/>
      <c r="D5" s="158"/>
      <c r="E5" s="158"/>
      <c r="F5" s="158"/>
      <c r="G5" s="159" t="s">
        <v>69</v>
      </c>
      <c r="H5" s="160"/>
      <c r="I5" s="160"/>
      <c r="J5" s="160"/>
      <c r="K5" s="160"/>
      <c r="L5" s="160"/>
      <c r="M5" s="160"/>
      <c r="N5" s="160"/>
      <c r="O5" s="160"/>
      <c r="P5" s="160"/>
      <c r="Q5" s="161"/>
    </row>
    <row r="6" spans="1:17" ht="15" thickBot="1" x14ac:dyDescent="0.25">
      <c r="A6" s="158" t="s">
        <v>4</v>
      </c>
      <c r="B6" s="158"/>
      <c r="C6" s="158"/>
      <c r="D6" s="158"/>
      <c r="E6" s="158"/>
      <c r="F6" s="158"/>
      <c r="G6" s="157" t="s">
        <v>65</v>
      </c>
      <c r="H6" s="157"/>
      <c r="I6" s="157"/>
      <c r="J6" s="157"/>
      <c r="K6" s="157"/>
      <c r="L6" s="157"/>
      <c r="M6" s="157"/>
      <c r="N6" s="157"/>
      <c r="O6" s="157"/>
      <c r="P6" s="157"/>
      <c r="Q6" s="157"/>
    </row>
    <row r="7" spans="1:17" ht="15" thickBot="1" x14ac:dyDescent="0.25">
      <c r="A7" s="158" t="s">
        <v>5</v>
      </c>
      <c r="B7" s="158"/>
      <c r="C7" s="158"/>
      <c r="D7" s="158"/>
      <c r="E7" s="158"/>
      <c r="F7" s="158"/>
      <c r="G7" s="157" t="s">
        <v>65</v>
      </c>
      <c r="H7" s="157"/>
      <c r="I7" s="157"/>
      <c r="J7" s="157"/>
      <c r="K7" s="157"/>
      <c r="L7" s="157"/>
      <c r="M7" s="157"/>
      <c r="N7" s="157"/>
      <c r="O7" s="157"/>
      <c r="P7" s="157"/>
      <c r="Q7" s="157"/>
    </row>
    <row r="8" spans="1:17" ht="13.5" thickBot="1" x14ac:dyDescent="0.25">
      <c r="A8" s="162" t="s">
        <v>18</v>
      </c>
      <c r="B8" s="162"/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</row>
    <row r="9" spans="1:17" ht="14.25" x14ac:dyDescent="0.2">
      <c r="A9" s="154" t="s">
        <v>19</v>
      </c>
      <c r="B9" s="154"/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</row>
    <row r="10" spans="1:17" ht="51.75" customHeight="1" x14ac:dyDescent="0.2">
      <c r="A10" s="146" t="s">
        <v>82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</row>
    <row r="11" spans="1:17" ht="13.5" thickBot="1" x14ac:dyDescent="0.25">
      <c r="A11" s="20"/>
      <c r="B11" s="21"/>
      <c r="C11" s="21"/>
      <c r="D11" s="21"/>
      <c r="E11" s="21"/>
      <c r="F11" s="21"/>
      <c r="G11" s="22"/>
      <c r="H11" s="21"/>
      <c r="I11" s="21"/>
      <c r="J11" s="21"/>
      <c r="K11" s="21"/>
      <c r="L11" s="21"/>
      <c r="M11" s="21"/>
      <c r="N11" s="21"/>
      <c r="O11" s="21"/>
      <c r="P11" s="21"/>
      <c r="Q11" s="23"/>
    </row>
    <row r="12" spans="1:17" ht="13.5" thickBot="1" x14ac:dyDescent="0.25">
      <c r="A12" s="147" t="s">
        <v>20</v>
      </c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</row>
    <row r="13" spans="1:17" ht="18" customHeight="1" thickBot="1" x14ac:dyDescent="0.25">
      <c r="A13" s="148" t="s">
        <v>21</v>
      </c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9" t="s">
        <v>22</v>
      </c>
      <c r="P13" s="149"/>
      <c r="Q13" s="150" t="s">
        <v>23</v>
      </c>
    </row>
    <row r="14" spans="1:17" ht="18" customHeight="1" thickBot="1" x14ac:dyDescent="0.25">
      <c r="A14" s="24" t="s">
        <v>24</v>
      </c>
      <c r="B14" s="25" t="s">
        <v>25</v>
      </c>
      <c r="C14" s="25" t="s">
        <v>26</v>
      </c>
      <c r="D14" s="25" t="s">
        <v>27</v>
      </c>
      <c r="E14" s="25" t="s">
        <v>28</v>
      </c>
      <c r="F14" s="25" t="s">
        <v>29</v>
      </c>
      <c r="G14" s="26" t="s">
        <v>30</v>
      </c>
      <c r="H14" s="25" t="s">
        <v>31</v>
      </c>
      <c r="I14" s="25" t="s">
        <v>32</v>
      </c>
      <c r="J14" s="25" t="s">
        <v>33</v>
      </c>
      <c r="K14" s="25" t="s">
        <v>33</v>
      </c>
      <c r="L14" s="25" t="s">
        <v>34</v>
      </c>
      <c r="M14" s="27" t="s">
        <v>35</v>
      </c>
      <c r="N14" s="28" t="s">
        <v>36</v>
      </c>
      <c r="O14" s="149"/>
      <c r="P14" s="149"/>
      <c r="Q14" s="150"/>
    </row>
    <row r="15" spans="1:17" ht="36.75" customHeight="1" x14ac:dyDescent="0.2">
      <c r="A15" s="29">
        <v>53</v>
      </c>
      <c r="B15" s="30"/>
      <c r="C15" s="30"/>
      <c r="D15" s="30">
        <v>1</v>
      </c>
      <c r="E15" s="30"/>
      <c r="F15" s="30">
        <v>4901</v>
      </c>
      <c r="G15" s="30">
        <v>3</v>
      </c>
      <c r="H15" s="30">
        <v>1</v>
      </c>
      <c r="I15" s="30">
        <v>3</v>
      </c>
      <c r="J15" s="30">
        <v>3</v>
      </c>
      <c r="K15" s="30">
        <v>9</v>
      </c>
      <c r="L15" s="30"/>
      <c r="M15" s="31">
        <v>1</v>
      </c>
      <c r="N15" s="30" t="s">
        <v>37</v>
      </c>
      <c r="O15" s="151" t="s">
        <v>39</v>
      </c>
      <c r="P15" s="152"/>
      <c r="Q15" s="32">
        <v>4751450</v>
      </c>
    </row>
    <row r="16" spans="1:17" x14ac:dyDescent="0.2">
      <c r="A16" s="33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5"/>
      <c r="N16" s="36"/>
      <c r="O16" s="140"/>
      <c r="P16" s="140"/>
      <c r="Q16" s="37"/>
    </row>
    <row r="17" spans="1:17" x14ac:dyDescent="0.2">
      <c r="A17" s="33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5"/>
      <c r="N17" s="36"/>
      <c r="O17" s="153"/>
      <c r="P17" s="153"/>
      <c r="Q17" s="37"/>
    </row>
    <row r="18" spans="1:17" x14ac:dyDescent="0.2">
      <c r="A18" s="33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5"/>
      <c r="N18" s="36"/>
      <c r="O18" s="145"/>
      <c r="P18" s="145"/>
      <c r="Q18" s="37"/>
    </row>
    <row r="19" spans="1:17" x14ac:dyDescent="0.2">
      <c r="A19" s="33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5"/>
      <c r="N19" s="36"/>
      <c r="O19" s="145"/>
      <c r="P19" s="145"/>
      <c r="Q19" s="37"/>
    </row>
    <row r="20" spans="1:17" x14ac:dyDescent="0.2">
      <c r="A20" s="33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5"/>
      <c r="N20" s="36"/>
      <c r="O20" s="145"/>
      <c r="P20" s="145"/>
      <c r="Q20" s="37"/>
    </row>
    <row r="21" spans="1:17" x14ac:dyDescent="0.2">
      <c r="A21" s="33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5"/>
      <c r="N21" s="36"/>
      <c r="O21" s="145"/>
      <c r="P21" s="145"/>
      <c r="Q21" s="37"/>
    </row>
    <row r="22" spans="1:17" x14ac:dyDescent="0.2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5"/>
      <c r="N22" s="36"/>
      <c r="O22" s="145"/>
      <c r="P22" s="145"/>
      <c r="Q22" s="37"/>
    </row>
    <row r="23" spans="1:17" x14ac:dyDescent="0.2">
      <c r="A23" s="33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5"/>
      <c r="N23" s="36"/>
      <c r="O23" s="145"/>
      <c r="P23" s="145"/>
      <c r="Q23" s="37"/>
    </row>
    <row r="24" spans="1:17" x14ac:dyDescent="0.2">
      <c r="A24" s="33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5"/>
      <c r="N24" s="36"/>
      <c r="O24" s="145"/>
      <c r="P24" s="145"/>
      <c r="Q24" s="37"/>
    </row>
    <row r="25" spans="1:17" x14ac:dyDescent="0.2">
      <c r="A25" s="33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5"/>
      <c r="N25" s="36"/>
      <c r="O25" s="145"/>
      <c r="P25" s="145"/>
      <c r="Q25" s="37"/>
    </row>
    <row r="26" spans="1:17" x14ac:dyDescent="0.2">
      <c r="A26" s="33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5"/>
      <c r="N26" s="36"/>
      <c r="O26" s="145"/>
      <c r="P26" s="145"/>
      <c r="Q26" s="37"/>
    </row>
    <row r="27" spans="1:17" x14ac:dyDescent="0.2">
      <c r="A27" s="33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5"/>
      <c r="N27" s="36"/>
      <c r="O27" s="145"/>
      <c r="P27" s="145"/>
      <c r="Q27" s="37"/>
    </row>
    <row r="28" spans="1:17" x14ac:dyDescent="0.2">
      <c r="A28" s="33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5"/>
      <c r="N28" s="36"/>
      <c r="O28" s="145"/>
      <c r="P28" s="145"/>
      <c r="Q28" s="37"/>
    </row>
    <row r="29" spans="1:17" x14ac:dyDescent="0.2">
      <c r="A29" s="33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5"/>
      <c r="N29" s="36"/>
      <c r="O29" s="145"/>
      <c r="P29" s="145"/>
      <c r="Q29" s="37"/>
    </row>
    <row r="30" spans="1:17" x14ac:dyDescent="0.2">
      <c r="A30" s="33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5"/>
      <c r="N30" s="36"/>
      <c r="O30" s="145"/>
      <c r="P30" s="145"/>
      <c r="Q30" s="37"/>
    </row>
    <row r="31" spans="1:17" x14ac:dyDescent="0.2">
      <c r="A31" s="33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5"/>
      <c r="N31" s="36"/>
      <c r="O31" s="145"/>
      <c r="P31" s="145"/>
      <c r="Q31" s="37"/>
    </row>
    <row r="32" spans="1:17" x14ac:dyDescent="0.2">
      <c r="A32" s="33"/>
      <c r="B32" s="34"/>
      <c r="C32" s="34"/>
      <c r="D32" s="34"/>
      <c r="E32" s="34"/>
      <c r="F32" s="36"/>
      <c r="G32" s="34"/>
      <c r="H32" s="34"/>
      <c r="I32" s="34"/>
      <c r="J32" s="34"/>
      <c r="K32" s="34"/>
      <c r="L32" s="34"/>
      <c r="M32" s="35"/>
      <c r="N32" s="36"/>
      <c r="O32" s="140"/>
      <c r="P32" s="140"/>
      <c r="Q32" s="37"/>
    </row>
    <row r="33" spans="1:17" x14ac:dyDescent="0.2">
      <c r="A33" s="33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5"/>
      <c r="N33" s="36"/>
      <c r="O33" s="140"/>
      <c r="P33" s="140"/>
      <c r="Q33" s="37"/>
    </row>
    <row r="34" spans="1:17" x14ac:dyDescent="0.2">
      <c r="A34" s="33"/>
      <c r="B34" s="34"/>
      <c r="C34" s="34"/>
      <c r="D34" s="34"/>
      <c r="E34" s="34"/>
      <c r="F34" s="36"/>
      <c r="G34" s="34"/>
      <c r="H34" s="34"/>
      <c r="I34" s="34"/>
      <c r="J34" s="34"/>
      <c r="K34" s="34"/>
      <c r="L34" s="34"/>
      <c r="M34" s="35"/>
      <c r="N34" s="36"/>
      <c r="O34" s="140"/>
      <c r="P34" s="140"/>
      <c r="Q34" s="37"/>
    </row>
    <row r="35" spans="1:17" x14ac:dyDescent="0.2">
      <c r="A35" s="33"/>
      <c r="B35" s="34"/>
      <c r="C35" s="34"/>
      <c r="D35" s="34"/>
      <c r="E35" s="34"/>
      <c r="F35" s="36"/>
      <c r="G35" s="34"/>
      <c r="H35" s="34"/>
      <c r="I35" s="34"/>
      <c r="J35" s="34"/>
      <c r="K35" s="34"/>
      <c r="L35" s="34"/>
      <c r="M35" s="35"/>
      <c r="N35" s="36"/>
      <c r="O35" s="140"/>
      <c r="P35" s="140"/>
      <c r="Q35" s="37"/>
    </row>
    <row r="36" spans="1:17" ht="14.25" x14ac:dyDescent="0.2">
      <c r="A36" s="38"/>
      <c r="B36" s="39"/>
      <c r="C36" s="39"/>
      <c r="D36" s="39"/>
      <c r="E36" s="39"/>
      <c r="F36" s="40"/>
      <c r="G36" s="39"/>
      <c r="H36" s="39"/>
      <c r="I36" s="39"/>
      <c r="J36" s="39"/>
      <c r="K36" s="39"/>
      <c r="L36" s="39"/>
      <c r="M36" s="41"/>
      <c r="N36" s="42"/>
      <c r="O36" s="141"/>
      <c r="P36" s="141"/>
      <c r="Q36" s="37"/>
    </row>
    <row r="37" spans="1:17" ht="13.5" thickBot="1" x14ac:dyDescent="0.25">
      <c r="A37" s="43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5"/>
      <c r="N37" s="44"/>
      <c r="O37" s="142"/>
      <c r="P37" s="142"/>
      <c r="Q37" s="46"/>
    </row>
    <row r="38" spans="1:17" ht="38.25" customHeight="1" thickBot="1" x14ac:dyDescent="0.25">
      <c r="A38" s="143" t="s">
        <v>81</v>
      </c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47">
        <f>+Q15</f>
        <v>4751450</v>
      </c>
    </row>
    <row r="39" spans="1:17" x14ac:dyDescent="0.2">
      <c r="A39" s="144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</row>
    <row r="40" spans="1:17" x14ac:dyDescent="0.2">
      <c r="A40" s="134" t="s">
        <v>70</v>
      </c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6"/>
    </row>
    <row r="41" spans="1:17" x14ac:dyDescent="0.2">
      <c r="A41" s="134"/>
      <c r="B41" s="135"/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6"/>
    </row>
    <row r="42" spans="1:17" ht="27" customHeight="1" thickBot="1" x14ac:dyDescent="0.25">
      <c r="A42" s="137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9"/>
    </row>
  </sheetData>
  <mergeCells count="43">
    <mergeCell ref="A9:Q9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A1:E1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pageSetup paperSize="190" scale="85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Trimestral</vt:lpstr>
      <vt:lpstr>ANEXO I</vt:lpstr>
      <vt:lpstr> NotaPedido</vt:lpstr>
      <vt:lpstr>APG</vt:lpstr>
      <vt:lpstr>' NotaPedido'!Área_de_impresión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COMPRAS</cp:lastModifiedBy>
  <cp:revision>3</cp:revision>
  <cp:lastPrinted>2021-04-28T12:23:49Z</cp:lastPrinted>
  <dcterms:created xsi:type="dcterms:W3CDTF">2020-07-17T23:44:49Z</dcterms:created>
  <dcterms:modified xsi:type="dcterms:W3CDTF">2021-08-11T13:49:33Z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