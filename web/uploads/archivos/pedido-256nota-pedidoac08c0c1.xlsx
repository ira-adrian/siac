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sistema genitourinario y hormonas\"/>
    </mc:Choice>
  </mc:AlternateContent>
  <xr:revisionPtr revIDLastSave="0" documentId="13_ncr:1_{43DF3674-2CF4-4545-9170-48129E48308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  <sheet name="Hoja1" sheetId="4" r:id="rId4"/>
  </sheets>
  <definedNames>
    <definedName name="_xlnm._FilterDatabase" localSheetId="1" hidden="1">' NotaPedido'!$A$10:$AMK$32</definedName>
    <definedName name="_xlnm._FilterDatabase" localSheetId="0" hidden="1">'Necesidades Trimestrales'!$A$9:$J$29</definedName>
    <definedName name="_xlnm.Print_Area" localSheetId="1">' NotaPedido'!$A$1:$L$32</definedName>
    <definedName name="_xlnm.Print_Area" localSheetId="2">'Autor Gastar'!$A$1:$Q$27</definedName>
    <definedName name="_xlnm.Print_Area" localSheetId="0">'Necesidades Trimestrales'!#REF!</definedName>
  </definedNames>
  <calcPr calcId="181029"/>
</workbook>
</file>

<file path=xl/calcChain.xml><?xml version="1.0" encoding="utf-8"?>
<calcChain xmlns="http://schemas.openxmlformats.org/spreadsheetml/2006/main">
  <c r="E22" i="4" l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" i="4"/>
  <c r="A13" i="2" l="1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12" i="2"/>
  <c r="K12" i="2"/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9" i="2"/>
  <c r="K30" i="2"/>
  <c r="K3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12" i="2"/>
  <c r="I14" i="2"/>
  <c r="I15" i="2"/>
  <c r="I16" i="2"/>
  <c r="I17" i="2"/>
  <c r="I18" i="2"/>
  <c r="I19" i="2"/>
  <c r="I20" i="2"/>
  <c r="I21" i="2"/>
  <c r="I23" i="2"/>
  <c r="I24" i="2"/>
  <c r="I26" i="2"/>
  <c r="I27" i="2"/>
  <c r="I28" i="2"/>
  <c r="I29" i="2"/>
  <c r="I30" i="2"/>
  <c r="I3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13" i="2"/>
  <c r="I22" i="2"/>
  <c r="I25" i="2"/>
  <c r="J32" i="2" l="1"/>
  <c r="Q23" i="3"/>
  <c r="A10" i="3" l="1"/>
  <c r="G6" i="3" l="1"/>
  <c r="G7" i="3"/>
  <c r="C3" i="2"/>
  <c r="G4" i="3" s="1"/>
  <c r="G5" i="3"/>
  <c r="D1" i="3" l="1"/>
</calcChain>
</file>

<file path=xl/sharedStrings.xml><?xml version="1.0" encoding="utf-8"?>
<sst xmlns="http://schemas.openxmlformats.org/spreadsheetml/2006/main" count="175" uniqueCount="118">
  <si>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</si>
  <si>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</si>
  <si>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</si>
  <si>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</si>
  <si>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</si>
  <si>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</si>
  <si>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</si>
  <si>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</si>
  <si>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</si>
  <si>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</si>
  <si>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</si>
  <si>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</si>
  <si>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</si>
  <si>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</si>
  <si>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</si>
  <si>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</si>
  <si>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</si>
  <si>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</si>
  <si>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</si>
  <si>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</si>
  <si>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</si>
  <si>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</si>
  <si>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</si>
  <si>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</si>
  <si>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</si>
  <si>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</si>
  <si>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</si>
  <si>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</si>
  <si>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</si>
  <si>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</si>
  <si>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</si>
  <si>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</si>
  <si>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</si>
  <si>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</si>
  <si>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</si>
  <si>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</si>
  <si>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</si>
  <si>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</si>
  <si>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</si>
  <si>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</si>
  <si>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</si>
  <si>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</si>
  <si>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</si>
  <si>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</si>
  <si>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</si>
  <si>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</si>
  <si>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</si>
  <si>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</si>
  <si>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</si>
  <si>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</si>
  <si>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</si>
  <si>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</si>
  <si>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</t>
    </r>
  </si>
  <si>
    <t>Cuatrimestral</t>
  </si>
  <si>
    <t>COMPRIMIDO</t>
  </si>
  <si>
    <t>FRASCO</t>
  </si>
  <si>
    <t>ENVASE</t>
  </si>
  <si>
    <t>AMPOLLA</t>
  </si>
  <si>
    <t>UNIDAD</t>
  </si>
  <si>
    <t>GOTERO</t>
  </si>
  <si>
    <t>CAPSULA</t>
  </si>
  <si>
    <t>Adquisición de TERAPIA DERMATOLOGICA/SISTEMA GENITOURINARIO Y HORMONAS SEXUALES /HORMONAS SISTEMICAS /CORTICOIDES SISTEMICOS/RESPIRATORIO/ANTIHISTAMINICOS</t>
  </si>
  <si>
    <t>2.5.2-5661.11</t>
  </si>
  <si>
    <t>2.5.2-5661.8</t>
  </si>
  <si>
    <t>2.5.2-1855.83</t>
  </si>
  <si>
    <t>2.5.2-1902.14</t>
  </si>
  <si>
    <t>2.5.2-2198.3</t>
  </si>
  <si>
    <t>2.5.2-1855.7</t>
  </si>
  <si>
    <t>2.5.2-2476.36</t>
  </si>
  <si>
    <t>2.5.2-2476.44</t>
  </si>
  <si>
    <t>2.5.2-1895.8</t>
  </si>
  <si>
    <t>2.5.2-1875.9</t>
  </si>
  <si>
    <t>2.5.2-1902.10</t>
  </si>
  <si>
    <t>2.5.2-1821.487</t>
  </si>
  <si>
    <t>2.5.2-1853.2</t>
  </si>
  <si>
    <t>REGULADORES HORMONALES; TIPO: MONODROGA, DROGA GENERICA: ATOSIBAN, FORMA FARMACEUTICA: AMPOLLA, PRESENTACION: ENVASE X 5 mL</t>
  </si>
  <si>
    <t>REGULADORES HORMONALES; TIPO: MONODROGA, DROGA GENERICA: ATOSIBAN, FORMA FARMACEUTICA: AMPOLLA, PRESENTACION: ENVASE X 0,9 mL</t>
  </si>
  <si>
    <t>CORTICOESTEROIDES; TIPO: ASOCIACION, DROGA GENERICA: BETAMETASONA ACETATO+FOSFATO, FORMA FARMACEUTICA: AMPOLLA, PRESENTACION: ENVASE X 2 mL</t>
  </si>
  <si>
    <t>ANTIDIURETICOS; DROGA GENERICA: DESMOPRESINA, FORMA FARMACEUTICA: AMPOLLA, PRESENTACION: 1 mL, TIPO: MONODROGA</t>
  </si>
  <si>
    <t>CORTICOESTEROIDES; TIPO: MONODROGA, DROGA GENERICA: DEXAMETASONA, FORMA FARMACEUTICA: AMPOLLA, PRESENTACION: 8 mGr</t>
  </si>
  <si>
    <t>ANTIALERGICOS-ANTIHISTAMINICOS; TIPO: MONODROGA, DROGA GENERICA: DIFENHIDRAMINA, FORMA FARMACEUTICA: COMPRIMIDO, PRESENTACION: 50 mGr</t>
  </si>
  <si>
    <t>ANTIALERGICOS-ANTIHISTAMINICOS; TIPO: MONODROGA, DROGA GENERICA: DIFENHIDRAMINA, FORMA FARMACEUTICA: AMPOLLA, PRESENTACION: 10 mGr</t>
  </si>
  <si>
    <t>HORMONAS MEDICINALES; TIPO: MONODROGA, DROGA GENERICA: GONADOTROFINA CORIONICA, FORMA FARMACEUTICA: AMPOLLA, PRESENTACION: 5000 UI, USO: SEXUAL</t>
  </si>
  <si>
    <t>ANTIASMATICO BRONCODILATADOR; TIPO: MONODROGA, DROGA GENERICA: BROMURO DE IPRATROPIO, FORMA FARMACEUTICA: SOLUCION, PRESENTACION: 20 mL</t>
  </si>
  <si>
    <t>DROGAS UTERINAS; TIPO: MONODROGA, DROGA GENERICA: ISOXUPRINA 10 mGr, FORMA FARMACEUTICA: AMPOLLA, PRESENTACION: UNIDAD</t>
  </si>
  <si>
    <t>ANTIBIOTICOS P/PERSONAS; TIPO: MONODROGA, DROGA GENERICA: METRONIDAZOL, FORMA FARMACEUTICA: OVULO, PRESENTACION: UNIDAD</t>
  </si>
  <si>
    <t>OCITOCICOS; TIPO: MONODROGA, DROGA GENERICA: OXITOCINA SINTÉTICA, PRESENTACION: 10 UI, FORMA FARMACEUTICA: AMPOLLA</t>
  </si>
  <si>
    <t>PROD. MEDICO/FARMACEUTICOS/LAB</t>
  </si>
  <si>
    <t>APOSITOS; TIPO: HIDROCOLOIDE, TAMAÑO: 10 X 10 Cm</t>
  </si>
  <si>
    <t>2.9.5-427.39</t>
  </si>
  <si>
    <t>2.5.2-9500.2</t>
  </si>
  <si>
    <t>2.5.2-1875.55</t>
  </si>
  <si>
    <t>ANTIASMATICO BRONCODILATADOR; TIPO: MONODROGA, DROGA GENERICA: SALBUTAMOL, FORMA FARMACEUTICA: AEROSOL, PRESENTACION: 250 DOSIS</t>
  </si>
  <si>
    <t>APOSITOS; TIPO: HIDROCOLOIDE, TAMAÑO: 15 X 17,5 Cm</t>
  </si>
  <si>
    <t>2.9.5-427.33</t>
  </si>
  <si>
    <t>DROGAS UTERINAS; TIPO: MONODROGA, DROGA GENERICA: CARBETOCIN 100 MCG, FORMA FARMACEUTICA: AMPOLLA, PRESENTACION: UNIDAD</t>
  </si>
  <si>
    <t>GENITOURINARIO; TIPO: MONODROGA, DROGA GENÉRICA: NISTATINA, FORMA FARMACEÚTICA: COMPRIMIDO VAGINAL, PRESENTACIÓN: 100000 UI</t>
  </si>
  <si>
    <t>2.5.2-1851.29</t>
  </si>
  <si>
    <t>HORMONAS MEDICINALES; TIPO: MONODROGA, DROGA GENÉRICA: PROGESTERONA MICRONIZADA 200 MG, FORMA FARMACEÚTICA: CÁPSULAS, USO: SEXUAL</t>
  </si>
  <si>
    <t>2.5.2-1895.88</t>
  </si>
  <si>
    <t>ANESTÉSICOS LOCALES; TIPO: ANALGÉSICO LOCAL Y ANTIBACTERIANO, DROGA GENÉRICA: LIDOCAÍNA + SULFADIAZINA + VITAMINA A, FORMA FARMACEÚTICA: CREMA, PRESENTACIÓN: ENVASE X 100 GR</t>
  </si>
  <si>
    <t>2.5.2-1883.189</t>
  </si>
  <si>
    <t>INDUCTOR DEL PARTO; TIPO: MONODROGA, DROGA GENÉRICA: MISOPROSTOL 200 MGR, FORMA FARMACEÚTICA: COMPRIMIDO VAGINAL, PRESENTACION: UNIDAD</t>
  </si>
  <si>
    <t>SI</t>
  </si>
  <si>
    <t>Calidad Minima esperada:</t>
  </si>
  <si>
    <t>DESCRIPCION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</si>
  <si>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                           10 (DIEZ) DIAS HABILES</t>
    </r>
  </si>
  <si>
    <r>
      <t>Mantenimiento</t>
    </r>
    <r>
      <rPr>
        <sz val="10"/>
        <rFont val="Times New Roman"/>
        <family val="1"/>
      </rPr>
      <t>:                               45(CUARENTA Y CINCO) DIAS HABILES</t>
    </r>
  </si>
  <si>
    <r>
      <rPr>
        <u/>
        <sz val="10"/>
        <rFont val="Times New Roman"/>
        <family val="1"/>
      </rPr>
      <t>Lugar de Entrega</t>
    </r>
    <r>
      <rPr>
        <sz val="10"/>
        <rFont val="Times New Roman"/>
        <family val="1"/>
      </rPr>
      <t xml:space="preserve"> :                          SERVICIO DE FARMACIA  DE 08:00 A 13:00 HS., DEBIENDO CORRER LOS GASTOS DE FLETES, ACARREO, CARGA, DESCARGA Y SEGURO A CARGO DEL ADJUDICATARIO.</t>
    </r>
  </si>
  <si>
    <t>28-Maternidad Provincial 25 de Mayo</t>
  </si>
  <si>
    <t>169- Direccion Asistencial</t>
  </si>
  <si>
    <t>Servicio de Farmacia</t>
  </si>
  <si>
    <t>58/2022</t>
  </si>
  <si>
    <t>PRODUCTOS FARMACEUTICOS Y MEDICINALES</t>
  </si>
  <si>
    <t>Para la adquisición de  TERAPIA DERMATOLOGICA/SISTEMA GENITOURINARIO Y HORMONAS SEXUALES /HORMONAS SISTEMICAS /CORTICOIDES SISTEMICOS/RESPIRATORIO/ANTIHISTAMINICOS destinados a la Maternidad Provincial 25 de Mayo.</t>
  </si>
  <si>
    <t>Ítem 19: Con AEROCAMARA</t>
  </si>
  <si>
    <t>Costo total estimado: TRES MILLONES SETECIENTOS CUARENTA Y SEIS MIL TREINTA Y NUEVE CON 50/100,</t>
  </si>
  <si>
    <t>TOTAL DE PESOS: TRES MILLONES SETECIENTOS CUARENTA Y SEIS MIL TREINTA Y NUEVE CON 50/100.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</si>
</sst>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3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Times New Roman"/>
      <family val="1"/>
    </font>
    <font>
      <u/>
      <sz val="11"/>
      <name val="Times New Roman"/>
      <family val="1"/>
    </font>
    <font>
      <sz val="10"/>
      <color theme="1"/>
      <name val="Arial"/>
      <family val="2"/>
    </font>
    <font>
      <b/>
      <u/>
      <sz val="10"/>
      <name val="Times New Roman"/>
      <family val="1"/>
      <charset val="1"/>
    </font>
    <font>
      <b/>
      <sz val="10"/>
      <name val="Times New Roman"/>
      <family val="1"/>
      <charset val="1"/>
    </font>
    <font>
      <sz val="8"/>
      <name val="Arial"/>
      <family val="2"/>
      <charset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4">
    <xf numFmtId="0" fontId="0" fillId="0" borderId="0"/>
    <xf numFmtId="166" fontId="17" fillId="0" borderId="0" applyBorder="0" applyProtection="0"/>
    <xf numFmtId="0" fontId="4" fillId="0" borderId="1" applyProtection="0"/>
    <xf numFmtId="165" fontId="5" fillId="0" borderId="0" applyBorder="0" applyProtection="0"/>
    <xf numFmtId="0" fontId="6" fillId="2" borderId="0" applyBorder="0" applyProtection="0"/>
    <xf numFmtId="0" fontId="17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43" fontId="3" fillId="0" borderId="0" applyFont="0" applyFill="0" applyBorder="0" applyAlignment="0" applyProtection="0"/>
    <xf numFmtId="0" fontId="17" fillId="0" borderId="0"/>
    <xf numFmtId="0" fontId="2" fillId="0" borderId="0"/>
    <xf numFmtId="0" fontId="1" fillId="0" borderId="0"/>
  </cellStyleXfs>
  <cellXfs count="164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5" fillId="0" borderId="0" xfId="0" applyFont="1"/>
    <xf numFmtId="0" fontId="0" fillId="0" borderId="21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2" xfId="0" applyBorder="1"/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5" xfId="0" applyFont="1" applyBorder="1" applyAlignment="1">
      <alignment horizontal="left" vertical="center"/>
    </xf>
    <xf numFmtId="0" fontId="16" fillId="0" borderId="26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167" fontId="0" fillId="0" borderId="35" xfId="3" applyNumberFormat="1" applyFont="1" applyBorder="1" applyAlignment="1" applyProtection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7" fontId="0" fillId="0" borderId="39" xfId="3" applyNumberFormat="1" applyFont="1" applyBorder="1" applyAlignment="1" applyProtection="1">
      <alignment horizontal="center" vertical="center"/>
    </xf>
    <xf numFmtId="0" fontId="8" fillId="3" borderId="10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5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0" fontId="0" fillId="4" borderId="28" xfId="0" applyFont="1" applyFill="1" applyBorder="1" applyAlignment="1">
      <alignment horizontal="center" vertical="center"/>
    </xf>
    <xf numFmtId="0" fontId="0" fillId="4" borderId="29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18" fillId="3" borderId="0" xfId="0" applyFont="1" applyFill="1"/>
    <xf numFmtId="0" fontId="21" fillId="3" borderId="0" xfId="0" applyFont="1" applyFill="1" applyAlignment="1">
      <alignment horizontal="left" wrapText="1"/>
    </xf>
    <xf numFmtId="0" fontId="21" fillId="3" borderId="0" xfId="0" applyFont="1" applyFill="1" applyAlignment="1">
      <alignment horizontal="center" wrapText="1"/>
    </xf>
    <xf numFmtId="0" fontId="18" fillId="3" borderId="3" xfId="0" applyFont="1" applyFill="1" applyBorder="1"/>
    <xf numFmtId="0" fontId="18" fillId="3" borderId="0" xfId="0" applyFont="1" applyFill="1" applyAlignment="1">
      <alignment horizontal="center" vertical="center"/>
    </xf>
    <xf numFmtId="170" fontId="23" fillId="3" borderId="0" xfId="0" applyNumberFormat="1" applyFont="1" applyFill="1"/>
    <xf numFmtId="0" fontId="18" fillId="3" borderId="0" xfId="0" applyFont="1" applyFill="1" applyBorder="1" applyAlignment="1">
      <alignment horizontal="center" vertical="center"/>
    </xf>
    <xf numFmtId="0" fontId="24" fillId="3" borderId="7" xfId="0" applyFont="1" applyFill="1" applyBorder="1" applyAlignment="1"/>
    <xf numFmtId="164" fontId="18" fillId="3" borderId="0" xfId="0" applyNumberFormat="1" applyFont="1" applyFill="1"/>
    <xf numFmtId="0" fontId="18" fillId="3" borderId="0" xfId="0" applyFont="1" applyFill="1" applyBorder="1" applyAlignment="1">
      <alignment horizontal="center" wrapText="1"/>
    </xf>
    <xf numFmtId="0" fontId="18" fillId="3" borderId="8" xfId="0" applyFont="1" applyFill="1" applyBorder="1"/>
    <xf numFmtId="0" fontId="18" fillId="3" borderId="9" xfId="0" applyFont="1" applyFill="1" applyBorder="1"/>
    <xf numFmtId="0" fontId="18" fillId="3" borderId="3" xfId="0" applyFont="1" applyFill="1" applyBorder="1" applyAlignment="1"/>
    <xf numFmtId="0" fontId="18" fillId="3" borderId="2" xfId="0" applyFont="1" applyFill="1" applyBorder="1" applyAlignment="1"/>
    <xf numFmtId="0" fontId="31" fillId="3" borderId="0" xfId="0" applyFont="1" applyFill="1" applyBorder="1" applyAlignment="1">
      <alignment vertical="center"/>
    </xf>
    <xf numFmtId="0" fontId="32" fillId="3" borderId="0" xfId="0" applyFont="1" applyFill="1" applyBorder="1" applyAlignment="1">
      <alignment horizontal="left" vertical="center" wrapText="1" indent="1"/>
    </xf>
    <xf numFmtId="0" fontId="26" fillId="3" borderId="14" xfId="0" applyFont="1" applyFill="1" applyBorder="1" applyAlignment="1">
      <alignment horizontal="center" vertical="center" wrapText="1"/>
    </xf>
    <xf numFmtId="164" fontId="26" fillId="3" borderId="14" xfId="0" applyNumberFormat="1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 wrapText="1"/>
    </xf>
    <xf numFmtId="0" fontId="27" fillId="3" borderId="14" xfId="0" applyFont="1" applyFill="1" applyBorder="1" applyAlignment="1">
      <alignment horizontal="left" vertical="center" wrapText="1"/>
    </xf>
    <xf numFmtId="3" fontId="17" fillId="3" borderId="14" xfId="0" applyNumberFormat="1" applyFont="1" applyFill="1" applyBorder="1" applyAlignment="1">
      <alignment horizontal="center" vertical="center"/>
    </xf>
    <xf numFmtId="44" fontId="30" fillId="3" borderId="14" xfId="8" applyNumberFormat="1" applyFont="1" applyFill="1" applyBorder="1" applyAlignment="1">
      <alignment horizontal="left" vertical="center"/>
    </xf>
    <xf numFmtId="3" fontId="17" fillId="3" borderId="14" xfId="6" applyNumberFormat="1" applyFont="1" applyFill="1" applyBorder="1" applyAlignment="1">
      <alignment horizontal="center" vertical="center"/>
    </xf>
    <xf numFmtId="44" fontId="17" fillId="3" borderId="14" xfId="1" applyNumberFormat="1" applyFont="1" applyFill="1" applyBorder="1" applyAlignment="1">
      <alignment horizontal="center" vertical="center"/>
    </xf>
    <xf numFmtId="44" fontId="17" fillId="3" borderId="14" xfId="1" applyNumberFormat="1" applyFont="1" applyFill="1" applyBorder="1" applyAlignment="1">
      <alignment horizontal="right" vertical="center"/>
    </xf>
    <xf numFmtId="0" fontId="18" fillId="3" borderId="0" xfId="0" applyFont="1" applyFill="1" applyAlignment="1">
      <alignment horizontal="left" vertical="center"/>
    </xf>
    <xf numFmtId="44" fontId="30" fillId="0" borderId="14" xfId="8" applyNumberFormat="1" applyFont="1" applyFill="1" applyBorder="1" applyAlignment="1">
      <alignment horizontal="left" vertical="center"/>
    </xf>
    <xf numFmtId="0" fontId="18" fillId="3" borderId="0" xfId="0" applyFont="1" applyFill="1" applyBorder="1" applyAlignment="1"/>
    <xf numFmtId="0" fontId="18" fillId="3" borderId="0" xfId="0" applyFont="1" applyFill="1" applyBorder="1"/>
    <xf numFmtId="0" fontId="22" fillId="3" borderId="0" xfId="0" applyFont="1" applyFill="1" applyAlignment="1">
      <alignment horizontal="left" vertical="center" wrapText="1"/>
    </xf>
    <xf numFmtId="0" fontId="21" fillId="3" borderId="0" xfId="0" applyFont="1" applyFill="1" applyAlignment="1">
      <alignment horizontal="left" vertical="center" wrapText="1"/>
    </xf>
    <xf numFmtId="0" fontId="18" fillId="3" borderId="3" xfId="0" applyFont="1" applyFill="1" applyBorder="1" applyAlignment="1">
      <alignment horizontal="left" vertical="center"/>
    </xf>
    <xf numFmtId="0" fontId="18" fillId="3" borderId="0" xfId="0" applyFont="1" applyFill="1" applyBorder="1" applyAlignment="1">
      <alignment horizontal="left" vertical="center"/>
    </xf>
    <xf numFmtId="0" fontId="18" fillId="3" borderId="0" xfId="0" applyFont="1" applyFill="1" applyBorder="1" applyAlignment="1">
      <alignment horizontal="left" vertical="center" wrapText="1"/>
    </xf>
    <xf numFmtId="0" fontId="18" fillId="3" borderId="8" xfId="0" applyFont="1" applyFill="1" applyBorder="1" applyAlignment="1">
      <alignment horizontal="left" vertical="center"/>
    </xf>
    <xf numFmtId="0" fontId="18" fillId="3" borderId="5" xfId="0" applyFont="1" applyFill="1" applyBorder="1" applyAlignment="1"/>
    <xf numFmtId="0" fontId="18" fillId="3" borderId="0" xfId="0" applyFont="1" applyFill="1" applyAlignment="1">
      <alignment horizontal="center"/>
    </xf>
    <xf numFmtId="0" fontId="5" fillId="0" borderId="0" xfId="0" applyFont="1" applyFill="1" applyBorder="1" applyAlignment="1">
      <alignment vertical="center"/>
    </xf>
    <xf numFmtId="0" fontId="7" fillId="0" borderId="14" xfId="0" applyFont="1" applyFill="1" applyBorder="1" applyAlignment="1">
      <alignment horizontal="center" vertical="center" wrapText="1"/>
    </xf>
    <xf numFmtId="167" fontId="7" fillId="0" borderId="14" xfId="1" applyNumberFormat="1" applyFont="1" applyFill="1" applyBorder="1" applyAlignment="1" applyProtection="1">
      <alignment horizontal="right" vertical="center" wrapText="1"/>
    </xf>
    <xf numFmtId="3" fontId="7" fillId="0" borderId="14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vertical="center"/>
    </xf>
    <xf numFmtId="0" fontId="7" fillId="0" borderId="14" xfId="0" applyFont="1" applyFill="1" applyBorder="1" applyAlignment="1">
      <alignment horizontal="center" vertical="center"/>
    </xf>
    <xf numFmtId="0" fontId="2" fillId="0" borderId="14" xfId="12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34" fillId="3" borderId="5" xfId="0" applyFont="1" applyFill="1" applyBorder="1" applyAlignment="1"/>
    <xf numFmtId="0" fontId="34" fillId="3" borderId="0" xfId="0" applyFont="1" applyFill="1" applyBorder="1" applyAlignment="1"/>
    <xf numFmtId="0" fontId="9" fillId="3" borderId="11" xfId="0" applyFont="1" applyFill="1" applyBorder="1" applyAlignment="1">
      <alignment horizontal="center" vertical="center"/>
    </xf>
    <xf numFmtId="0" fontId="0" fillId="3" borderId="0" xfId="0" applyFill="1" applyBorder="1"/>
    <xf numFmtId="0" fontId="0" fillId="3" borderId="10" xfId="0" applyFill="1" applyBorder="1"/>
    <xf numFmtId="0" fontId="0" fillId="4" borderId="27" xfId="0" applyFont="1" applyFill="1" applyBorder="1" applyAlignment="1">
      <alignment horizontal="center" vertical="center"/>
    </xf>
    <xf numFmtId="0" fontId="0" fillId="3" borderId="28" xfId="0" applyFont="1" applyFill="1" applyBorder="1" applyAlignment="1">
      <alignment horizontal="center" vertical="center"/>
    </xf>
    <xf numFmtId="167" fontId="0" fillId="3" borderId="30" xfId="3" applyNumberFormat="1" applyFont="1" applyFill="1" applyBorder="1" applyAlignment="1" applyProtection="1">
      <alignment horizontal="center" vertical="center"/>
    </xf>
    <xf numFmtId="167" fontId="16" fillId="3" borderId="40" xfId="0" applyNumberFormat="1" applyFont="1" applyFill="1" applyBorder="1" applyAlignment="1">
      <alignment horizontal="center" vertical="center"/>
    </xf>
    <xf numFmtId="0" fontId="19" fillId="3" borderId="0" xfId="0" applyFont="1" applyFill="1" applyBorder="1" applyAlignment="1">
      <alignment horizontal="center"/>
    </xf>
    <xf numFmtId="0" fontId="20" fillId="3" borderId="0" xfId="0" applyFont="1" applyFill="1" applyBorder="1" applyAlignment="1">
      <alignment horizontal="left" vertical="center" wrapText="1"/>
    </xf>
    <xf numFmtId="0" fontId="25" fillId="4" borderId="0" xfId="0" applyFont="1" applyFill="1" applyBorder="1" applyAlignment="1">
      <alignment horizontal="left" wrapText="1" indent="1"/>
    </xf>
    <xf numFmtId="0" fontId="29" fillId="0" borderId="5" xfId="7" applyFont="1" applyBorder="1" applyAlignment="1">
      <alignment horizontal="left" vertical="center" wrapText="1"/>
    </xf>
    <xf numFmtId="0" fontId="28" fillId="0" borderId="0" xfId="7" applyFont="1" applyBorder="1" applyAlignment="1">
      <alignment horizontal="left" vertical="center" wrapText="1"/>
    </xf>
    <xf numFmtId="0" fontId="18" fillId="3" borderId="5" xfId="6" applyFont="1" applyFill="1" applyBorder="1" applyAlignment="1">
      <alignment horizontal="left" vertical="center" wrapText="1"/>
    </xf>
    <xf numFmtId="0" fontId="18" fillId="3" borderId="0" xfId="6" applyFont="1" applyFill="1" applyBorder="1" applyAlignment="1">
      <alignment horizontal="left" vertical="center" wrapText="1"/>
    </xf>
    <xf numFmtId="0" fontId="18" fillId="3" borderId="6" xfId="6" applyFont="1" applyFill="1" applyBorder="1" applyAlignment="1">
      <alignment horizontal="left" vertical="center" wrapText="1"/>
    </xf>
    <xf numFmtId="0" fontId="18" fillId="3" borderId="5" xfId="6" applyFont="1" applyFill="1" applyBorder="1" applyAlignment="1">
      <alignment horizontal="left" wrapText="1"/>
    </xf>
    <xf numFmtId="0" fontId="18" fillId="3" borderId="0" xfId="6" applyFont="1" applyFill="1" applyBorder="1" applyAlignment="1">
      <alignment horizontal="left" wrapText="1"/>
    </xf>
    <xf numFmtId="0" fontId="10" fillId="3" borderId="46" xfId="0" applyFont="1" applyFill="1" applyBorder="1" applyAlignment="1">
      <alignment horizontal="left" vertical="center" wrapText="1"/>
    </xf>
    <xf numFmtId="0" fontId="10" fillId="3" borderId="4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/>
    </xf>
    <xf numFmtId="0" fontId="10" fillId="3" borderId="44" xfId="0" applyFont="1" applyFill="1" applyBorder="1" applyAlignment="1">
      <alignment horizontal="left" vertical="center"/>
    </xf>
    <xf numFmtId="0" fontId="9" fillId="3" borderId="14" xfId="0" applyFont="1" applyFill="1" applyBorder="1" applyAlignment="1">
      <alignment horizontal="left" vertical="center" wrapText="1" indent="1"/>
    </xf>
    <xf numFmtId="0" fontId="9" fillId="4" borderId="15" xfId="0" applyFont="1" applyFill="1" applyBorder="1" applyAlignment="1">
      <alignment horizontal="left" vertical="center" wrapText="1" indent="1"/>
    </xf>
    <xf numFmtId="0" fontId="8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10" fillId="3" borderId="45" xfId="0" applyFont="1" applyFill="1" applyBorder="1" applyAlignment="1">
      <alignment horizontal="left" vertical="center" wrapText="1"/>
    </xf>
    <xf numFmtId="0" fontId="11" fillId="3" borderId="14" xfId="0" applyFont="1" applyFill="1" applyBorder="1" applyAlignment="1">
      <alignment horizontal="center" vertical="center" wrapText="1"/>
    </xf>
    <xf numFmtId="168" fontId="10" fillId="0" borderId="14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left" vertical="center" wrapText="1"/>
    </xf>
    <xf numFmtId="0" fontId="11" fillId="3" borderId="14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3" fillId="0" borderId="5" xfId="0" applyFont="1" applyFill="1" applyBorder="1" applyAlignment="1">
      <alignment horizontal="center" vertical="center" wrapText="1"/>
    </xf>
    <xf numFmtId="0" fontId="33" fillId="0" borderId="0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center"/>
    </xf>
    <xf numFmtId="3" fontId="12" fillId="0" borderId="17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3" borderId="11" xfId="0" applyFont="1" applyFill="1" applyBorder="1"/>
    <xf numFmtId="0" fontId="14" fillId="3" borderId="11" xfId="0" applyFont="1" applyFill="1" applyBorder="1" applyAlignment="1">
      <alignment horizontal="left" indent="1"/>
    </xf>
    <xf numFmtId="0" fontId="7" fillId="3" borderId="13" xfId="0" applyFont="1" applyFill="1" applyBorder="1" applyAlignment="1">
      <alignment horizontal="left" vertical="center" wrapText="1"/>
    </xf>
    <xf numFmtId="0" fontId="7" fillId="3" borderId="42" xfId="0" applyFont="1" applyFill="1" applyBorder="1" applyAlignment="1">
      <alignment horizontal="left" vertical="center" wrapText="1"/>
    </xf>
    <xf numFmtId="0" fontId="7" fillId="3" borderId="43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/>
    </xf>
    <xf numFmtId="0" fontId="14" fillId="3" borderId="19" xfId="0" applyFont="1" applyFill="1" applyBorder="1"/>
    <xf numFmtId="0" fontId="14" fillId="3" borderId="20" xfId="0" applyFont="1" applyFill="1" applyBorder="1" applyAlignment="1">
      <alignment horizontal="left" vertical="center" wrapText="1" indent="1"/>
    </xf>
    <xf numFmtId="0" fontId="16" fillId="0" borderId="1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/>
    </xf>
    <xf numFmtId="0" fontId="17" fillId="3" borderId="28" xfId="0" applyFont="1" applyFill="1" applyBorder="1" applyAlignment="1">
      <alignment horizontal="left" vertical="center" wrapText="1"/>
    </xf>
    <xf numFmtId="0" fontId="0" fillId="3" borderId="28" xfId="0" applyFont="1" applyFill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/>
    </xf>
    <xf numFmtId="0" fontId="12" fillId="3" borderId="16" xfId="0" applyFont="1" applyFill="1" applyBorder="1" applyAlignment="1">
      <alignment vertical="center" wrapText="1"/>
    </xf>
    <xf numFmtId="0" fontId="12" fillId="3" borderId="41" xfId="0" applyFont="1" applyFill="1" applyBorder="1" applyAlignment="1">
      <alignment vertical="center" wrapText="1"/>
    </xf>
    <xf numFmtId="0" fontId="12" fillId="3" borderId="15" xfId="0" applyFont="1" applyFill="1" applyBorder="1" applyAlignment="1">
      <alignment vertical="center" wrapText="1"/>
    </xf>
    <xf numFmtId="0" fontId="14" fillId="3" borderId="23" xfId="0" applyFont="1" applyFill="1" applyBorder="1" applyAlignment="1">
      <alignment vertical="center" wrapText="1"/>
    </xf>
    <xf numFmtId="0" fontId="5" fillId="4" borderId="40" xfId="0" applyFont="1" applyFill="1" applyBorder="1" applyAlignment="1">
      <alignment horizontal="left" vertical="center" wrapText="1" indent="1"/>
    </xf>
    <xf numFmtId="0" fontId="0" fillId="0" borderId="34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12" fillId="3" borderId="40" xfId="0" applyFont="1" applyFill="1" applyBorder="1" applyAlignment="1">
      <alignment horizontal="left" vertical="center" wrapText="1"/>
    </xf>
    <xf numFmtId="0" fontId="0" fillId="3" borderId="18" xfId="0" applyFill="1" applyBorder="1"/>
    <xf numFmtId="0" fontId="17" fillId="3" borderId="16" xfId="0" applyFont="1" applyFill="1" applyBorder="1" applyAlignment="1">
      <alignment horizontal="center" vertical="center"/>
    </xf>
    <xf numFmtId="0" fontId="17" fillId="3" borderId="50" xfId="0" applyFont="1" applyFill="1" applyBorder="1" applyAlignment="1">
      <alignment horizontal="center" vertical="center"/>
    </xf>
    <xf numFmtId="0" fontId="17" fillId="3" borderId="48" xfId="0" applyFont="1" applyFill="1" applyBorder="1" applyAlignment="1">
      <alignment horizontal="center" vertical="center"/>
    </xf>
    <xf numFmtId="0" fontId="0" fillId="3" borderId="14" xfId="0" applyFill="1" applyBorder="1" applyAlignment="1">
      <alignment vertical="center" wrapText="1"/>
    </xf>
    <xf numFmtId="0" fontId="17" fillId="3" borderId="14" xfId="0" applyFont="1" applyFill="1" applyBorder="1" applyAlignment="1">
      <alignment horizontal="left" vertical="center"/>
    </xf>
    <xf numFmtId="0" fontId="17" fillId="3" borderId="49" xfId="0" applyFont="1" applyFill="1" applyBorder="1" applyAlignment="1">
      <alignment horizontal="center" vertical="center"/>
    </xf>
    <xf numFmtId="0" fontId="0" fillId="3" borderId="17" xfId="0" applyFill="1" applyBorder="1" applyAlignment="1">
      <alignment vertical="center" wrapText="1"/>
    </xf>
    <xf numFmtId="0" fontId="17" fillId="3" borderId="14" xfId="0" applyFont="1" applyFill="1" applyBorder="1" applyAlignment="1">
      <alignment vertical="center" wrapText="1"/>
    </xf>
    <xf numFmtId="0" fontId="17" fillId="3" borderId="14" xfId="0" applyFont="1" applyFill="1" applyBorder="1" applyAlignment="1">
      <alignment horizontal="left" vertical="center" wrapText="1"/>
    </xf>
    <xf numFmtId="3" fontId="17" fillId="3" borderId="14" xfId="1" applyNumberFormat="1" applyFont="1" applyFill="1" applyBorder="1" applyAlignment="1">
      <alignment horizontal="center" vertical="center"/>
    </xf>
  </cellXfs>
  <cellStyles count="14">
    <cellStyle name="Encabezado 1" xfId="2" xr:uid="{00000000-0005-0000-0000-000000000000}"/>
    <cellStyle name="Millares 2" xfId="10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" xfId="5" xr:uid="{00000000-0005-0000-0000-000006000000}"/>
    <cellStyle name="Normal 2 2" xfId="7" xr:uid="{00000000-0005-0000-0000-000007000000}"/>
    <cellStyle name="Normal 2 3" xfId="6" xr:uid="{00000000-0005-0000-0000-000008000000}"/>
    <cellStyle name="Normal 3" xfId="11" xr:uid="{00000000-0005-0000-0000-000009000000}"/>
    <cellStyle name="Normal 4" xfId="9" xr:uid="{00000000-0005-0000-0000-00000A000000}"/>
    <cellStyle name="Normal 5" xfId="8" xr:uid="{00000000-0005-0000-0000-00000B000000}"/>
    <cellStyle name="Normal 6" xfId="12" xr:uid="{00000000-0005-0000-0000-00000C000000}"/>
    <cellStyle name="Normal 7" xfId="13" xr:uid="{00000000-0005-0000-0000-00000D000000}"/>
  </cellStyles>
  <dxfs count="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39"/>
  <sheetViews>
    <sheetView tabSelected="1" topLeftCell="A28" zoomScale="82" zoomScaleNormal="82" workbookViewId="0">
      <selection activeCell="I59" sqref="I59"/>
    </sheetView>
  </sheetViews>
  <sheetFormatPr baseColWidth="10" defaultColWidth="11" defaultRowHeight="12.75" x14ac:dyDescent="0.2"/>
  <cols>
    <col min="1" max="1" width="4.5703125" style="41" customWidth="1"/>
    <col min="2" max="2" width="14" style="41" customWidth="1"/>
    <col min="3" max="3" width="35.85546875" style="41" bestFit="1" customWidth="1"/>
    <col min="4" max="4" width="8.42578125" style="41" customWidth="1"/>
    <col min="5" max="5" width="69.42578125" style="67" customWidth="1"/>
    <col min="6" max="6" width="15.28515625" style="41" customWidth="1"/>
    <col min="7" max="7" width="15" style="41" bestFit="1" customWidth="1"/>
    <col min="8" max="8" width="14.42578125" style="41" bestFit="1" customWidth="1"/>
    <col min="9" max="9" width="17" style="41" customWidth="1"/>
    <col min="10" max="10" width="17.28515625" style="49" customWidth="1"/>
    <col min="11" max="11" width="100.7109375" style="67" bestFit="1" customWidth="1"/>
    <col min="12" max="16384" width="11" style="41"/>
  </cols>
  <sheetData>
    <row r="2" spans="1:11" ht="27" x14ac:dyDescent="0.35">
      <c r="B2" s="97" t="s">
        <v>0</v>
      </c>
      <c r="C2" s="97"/>
      <c r="D2" s="97"/>
      <c r="E2" s="97"/>
      <c r="F2" s="97"/>
      <c r="G2" s="97"/>
      <c r="H2" s="97"/>
      <c r="I2" s="97"/>
    </row>
    <row r="4" spans="1:11" ht="15.75" x14ac:dyDescent="0.25">
      <c r="A4" s="98" t="s">
        <v>1</v>
      </c>
      <c r="B4" s="98"/>
      <c r="C4" s="99" t="s">
        <v>49</v>
      </c>
      <c r="D4" s="99"/>
      <c r="E4" s="99"/>
      <c r="F4" s="99"/>
      <c r="G4" s="42"/>
      <c r="H4" s="43"/>
      <c r="I4" s="42"/>
    </row>
    <row r="5" spans="1:11" ht="15.75" x14ac:dyDescent="0.25">
      <c r="A5" s="98" t="s">
        <v>2</v>
      </c>
      <c r="B5" s="98"/>
      <c r="C5" s="99" t="s">
        <v>109</v>
      </c>
      <c r="D5" s="99"/>
      <c r="E5" s="99"/>
      <c r="F5" s="99"/>
      <c r="G5" s="42"/>
      <c r="H5" s="43"/>
      <c r="I5" s="42"/>
    </row>
    <row r="6" spans="1:11" ht="15.75" x14ac:dyDescent="0.25">
      <c r="A6" s="98" t="s">
        <v>3</v>
      </c>
      <c r="B6" s="98"/>
      <c r="C6" s="36">
        <v>2022</v>
      </c>
      <c r="D6" s="37"/>
      <c r="E6" s="71"/>
      <c r="F6" s="37"/>
      <c r="G6" s="42"/>
      <c r="H6" s="43"/>
      <c r="I6" s="42"/>
    </row>
    <row r="7" spans="1:11" ht="15.75" x14ac:dyDescent="0.25">
      <c r="A7" s="98" t="s">
        <v>4</v>
      </c>
      <c r="B7" s="98"/>
      <c r="C7" s="36">
        <v>2</v>
      </c>
      <c r="D7" s="37"/>
      <c r="E7" s="71"/>
      <c r="F7" s="37"/>
      <c r="G7" s="42"/>
      <c r="H7" s="43"/>
      <c r="I7" s="42"/>
    </row>
    <row r="8" spans="1:11" ht="13.5" thickBot="1" x14ac:dyDescent="0.25">
      <c r="B8" s="42"/>
      <c r="C8" s="43"/>
      <c r="D8" s="42"/>
      <c r="E8" s="72"/>
      <c r="F8" s="42"/>
      <c r="G8" s="42"/>
      <c r="H8" s="43"/>
      <c r="I8" s="42"/>
    </row>
    <row r="9" spans="1:11" s="78" customFormat="1" ht="39" thickBot="1" x14ac:dyDescent="0.25">
      <c r="A9" s="57" t="s">
        <v>5</v>
      </c>
      <c r="B9" s="57" t="s">
        <v>6</v>
      </c>
      <c r="C9" s="57" t="s">
        <v>7</v>
      </c>
      <c r="D9" s="57" t="s">
        <v>8</v>
      </c>
      <c r="E9" s="57" t="s">
        <v>105</v>
      </c>
      <c r="F9" s="57" t="s">
        <v>9</v>
      </c>
      <c r="G9" s="57" t="s">
        <v>10</v>
      </c>
      <c r="H9" s="57" t="s">
        <v>11</v>
      </c>
      <c r="I9" s="58" t="s">
        <v>12</v>
      </c>
      <c r="J9" s="45"/>
    </row>
    <row r="10" spans="1:11" ht="45.75" customHeight="1" thickBot="1" x14ac:dyDescent="0.25">
      <c r="A10" s="59">
        <v>1</v>
      </c>
      <c r="B10" s="59" t="s">
        <v>94</v>
      </c>
      <c r="C10" s="157" t="s">
        <v>87</v>
      </c>
      <c r="D10" s="60">
        <v>252</v>
      </c>
      <c r="E10" s="158" t="s">
        <v>93</v>
      </c>
      <c r="F10" s="59" t="s">
        <v>58</v>
      </c>
      <c r="G10" s="62">
        <v>10</v>
      </c>
      <c r="H10" s="65">
        <v>998</v>
      </c>
      <c r="I10" s="63">
        <f t="shared" ref="I10:I17" si="0">+G10*H10</f>
        <v>9980</v>
      </c>
      <c r="J10" s="41"/>
      <c r="K10"/>
    </row>
    <row r="11" spans="1:11" ht="45.75" customHeight="1" thickBot="1" x14ac:dyDescent="0.25">
      <c r="A11" s="59">
        <v>2</v>
      </c>
      <c r="B11" s="159" t="s">
        <v>89</v>
      </c>
      <c r="C11" s="157" t="s">
        <v>87</v>
      </c>
      <c r="D11" s="60">
        <v>252</v>
      </c>
      <c r="E11" s="61" t="s">
        <v>88</v>
      </c>
      <c r="F11" s="59" t="s">
        <v>58</v>
      </c>
      <c r="G11" s="62">
        <v>10</v>
      </c>
      <c r="H11" s="65">
        <v>380</v>
      </c>
      <c r="I11" s="63">
        <f t="shared" si="0"/>
        <v>3800</v>
      </c>
      <c r="J11" s="41"/>
      <c r="K11"/>
    </row>
    <row r="12" spans="1:11" ht="45.75" customHeight="1" thickBot="1" x14ac:dyDescent="0.25">
      <c r="A12" s="154">
        <v>3</v>
      </c>
      <c r="B12" s="156" t="s">
        <v>63</v>
      </c>
      <c r="C12" s="160" t="s">
        <v>87</v>
      </c>
      <c r="D12" s="60">
        <v>252</v>
      </c>
      <c r="E12" s="61" t="s">
        <v>75</v>
      </c>
      <c r="F12" s="59" t="s">
        <v>55</v>
      </c>
      <c r="G12" s="62">
        <v>45</v>
      </c>
      <c r="H12" s="65">
        <v>25800</v>
      </c>
      <c r="I12" s="63">
        <f t="shared" si="0"/>
        <v>1161000</v>
      </c>
      <c r="J12" s="41"/>
      <c r="K12"/>
    </row>
    <row r="13" spans="1:11" ht="45.75" customHeight="1" thickBot="1" x14ac:dyDescent="0.25">
      <c r="A13" s="59">
        <v>4</v>
      </c>
      <c r="B13" s="155" t="s">
        <v>62</v>
      </c>
      <c r="C13" s="157" t="s">
        <v>87</v>
      </c>
      <c r="D13" s="60">
        <v>252</v>
      </c>
      <c r="E13" s="61" t="s">
        <v>76</v>
      </c>
      <c r="F13" s="59" t="s">
        <v>55</v>
      </c>
      <c r="G13" s="62">
        <v>5</v>
      </c>
      <c r="H13" s="65">
        <v>13500</v>
      </c>
      <c r="I13" s="63">
        <f t="shared" si="0"/>
        <v>67500</v>
      </c>
      <c r="J13" s="41"/>
      <c r="K13"/>
    </row>
    <row r="14" spans="1:11" ht="45.75" customHeight="1" thickBot="1" x14ac:dyDescent="0.25">
      <c r="A14" s="59">
        <v>5</v>
      </c>
      <c r="B14" s="59" t="s">
        <v>64</v>
      </c>
      <c r="C14" s="157" t="s">
        <v>87</v>
      </c>
      <c r="D14" s="60">
        <v>252</v>
      </c>
      <c r="E14" s="61" t="s">
        <v>77</v>
      </c>
      <c r="F14" s="59" t="s">
        <v>57</v>
      </c>
      <c r="G14" s="62">
        <v>1000</v>
      </c>
      <c r="H14" s="65">
        <v>447</v>
      </c>
      <c r="I14" s="63">
        <f t="shared" si="0"/>
        <v>447000</v>
      </c>
      <c r="J14" s="41"/>
      <c r="K14"/>
    </row>
    <row r="15" spans="1:11" ht="45.75" customHeight="1" thickBot="1" x14ac:dyDescent="0.25">
      <c r="A15" s="59">
        <v>6</v>
      </c>
      <c r="B15" s="59" t="s">
        <v>65</v>
      </c>
      <c r="C15" s="161" t="s">
        <v>87</v>
      </c>
      <c r="D15" s="60">
        <v>252</v>
      </c>
      <c r="E15" s="162" t="s">
        <v>95</v>
      </c>
      <c r="F15" s="59" t="s">
        <v>57</v>
      </c>
      <c r="G15" s="62">
        <v>10</v>
      </c>
      <c r="H15" s="65">
        <v>5090</v>
      </c>
      <c r="I15" s="68">
        <f t="shared" si="0"/>
        <v>50900</v>
      </c>
      <c r="J15" s="41"/>
      <c r="K15"/>
    </row>
    <row r="16" spans="1:11" ht="45.75" customHeight="1" thickBot="1" x14ac:dyDescent="0.25">
      <c r="A16" s="59">
        <v>7</v>
      </c>
      <c r="B16" s="59" t="s">
        <v>66</v>
      </c>
      <c r="C16" s="157" t="s">
        <v>87</v>
      </c>
      <c r="D16" s="60">
        <v>252</v>
      </c>
      <c r="E16" s="61" t="s">
        <v>78</v>
      </c>
      <c r="F16" s="59" t="s">
        <v>57</v>
      </c>
      <c r="G16" s="62">
        <v>100</v>
      </c>
      <c r="H16" s="65">
        <v>1125.7</v>
      </c>
      <c r="I16" s="63">
        <f t="shared" si="0"/>
        <v>112570</v>
      </c>
      <c r="J16" s="41"/>
      <c r="K16"/>
    </row>
    <row r="17" spans="1:11" ht="45.75" customHeight="1" thickBot="1" x14ac:dyDescent="0.25">
      <c r="A17" s="59">
        <v>8</v>
      </c>
      <c r="B17" s="59" t="s">
        <v>67</v>
      </c>
      <c r="C17" s="157" t="s">
        <v>87</v>
      </c>
      <c r="D17" s="60">
        <v>252</v>
      </c>
      <c r="E17" s="61" t="s">
        <v>79</v>
      </c>
      <c r="F17" s="59" t="s">
        <v>57</v>
      </c>
      <c r="G17" s="62">
        <v>900</v>
      </c>
      <c r="H17" s="65">
        <v>45</v>
      </c>
      <c r="I17" s="63">
        <f t="shared" si="0"/>
        <v>40500</v>
      </c>
      <c r="J17" s="41"/>
      <c r="K17"/>
    </row>
    <row r="18" spans="1:11" ht="45.75" customHeight="1" thickBot="1" x14ac:dyDescent="0.25">
      <c r="A18" s="59">
        <v>9</v>
      </c>
      <c r="B18" s="59" t="s">
        <v>68</v>
      </c>
      <c r="C18" s="157" t="s">
        <v>87</v>
      </c>
      <c r="D18" s="60">
        <v>252</v>
      </c>
      <c r="E18" s="61" t="s">
        <v>80</v>
      </c>
      <c r="F18" s="59" t="s">
        <v>54</v>
      </c>
      <c r="G18" s="62">
        <v>50</v>
      </c>
      <c r="H18" s="65">
        <v>4.6500000000000004</v>
      </c>
      <c r="I18" s="63">
        <f t="shared" ref="I18:I29" si="1">+G18*H18</f>
        <v>232.50000000000003</v>
      </c>
      <c r="J18" s="41"/>
      <c r="K18"/>
    </row>
    <row r="19" spans="1:11" ht="45.75" customHeight="1" thickBot="1" x14ac:dyDescent="0.25">
      <c r="A19" s="59">
        <v>10</v>
      </c>
      <c r="B19" s="59" t="s">
        <v>69</v>
      </c>
      <c r="C19" s="157" t="s">
        <v>87</v>
      </c>
      <c r="D19" s="60">
        <v>252</v>
      </c>
      <c r="E19" s="61" t="s">
        <v>81</v>
      </c>
      <c r="F19" s="59" t="s">
        <v>57</v>
      </c>
      <c r="G19" s="62">
        <v>200</v>
      </c>
      <c r="H19" s="65">
        <v>55</v>
      </c>
      <c r="I19" s="63">
        <f t="shared" si="1"/>
        <v>11000</v>
      </c>
      <c r="J19" s="41"/>
      <c r="K19"/>
    </row>
    <row r="20" spans="1:11" ht="45.75" customHeight="1" thickBot="1" x14ac:dyDescent="0.25">
      <c r="A20" s="59">
        <v>11</v>
      </c>
      <c r="B20" s="59" t="s">
        <v>70</v>
      </c>
      <c r="C20" s="157" t="s">
        <v>87</v>
      </c>
      <c r="D20" s="60">
        <v>252</v>
      </c>
      <c r="E20" s="61" t="s">
        <v>82</v>
      </c>
      <c r="F20" s="59" t="s">
        <v>58</v>
      </c>
      <c r="G20" s="62">
        <v>40</v>
      </c>
      <c r="H20" s="65">
        <v>6450</v>
      </c>
      <c r="I20" s="63">
        <f t="shared" si="1"/>
        <v>258000</v>
      </c>
      <c r="J20" s="41"/>
      <c r="K20"/>
    </row>
    <row r="21" spans="1:11" ht="45.75" customHeight="1" thickBot="1" x14ac:dyDescent="0.25">
      <c r="A21" s="59">
        <v>12</v>
      </c>
      <c r="B21" s="59" t="s">
        <v>71</v>
      </c>
      <c r="C21" s="157" t="s">
        <v>87</v>
      </c>
      <c r="D21" s="60">
        <v>252</v>
      </c>
      <c r="E21" s="61" t="s">
        <v>83</v>
      </c>
      <c r="F21" s="59" t="s">
        <v>59</v>
      </c>
      <c r="G21" s="62">
        <v>10</v>
      </c>
      <c r="H21" s="65">
        <v>98</v>
      </c>
      <c r="I21" s="63">
        <f t="shared" si="1"/>
        <v>980</v>
      </c>
      <c r="J21" s="41"/>
      <c r="K21"/>
    </row>
    <row r="22" spans="1:11" ht="45.75" customHeight="1" thickBot="1" x14ac:dyDescent="0.25">
      <c r="A22" s="59">
        <v>13</v>
      </c>
      <c r="B22" s="59" t="s">
        <v>72</v>
      </c>
      <c r="C22" s="157" t="s">
        <v>87</v>
      </c>
      <c r="D22" s="60">
        <v>252</v>
      </c>
      <c r="E22" s="61" t="s">
        <v>84</v>
      </c>
      <c r="F22" s="59" t="s">
        <v>57</v>
      </c>
      <c r="G22" s="62">
        <v>1000</v>
      </c>
      <c r="H22" s="65">
        <v>45</v>
      </c>
      <c r="I22" s="63">
        <f t="shared" si="1"/>
        <v>45000</v>
      </c>
      <c r="J22" s="41"/>
      <c r="K22"/>
    </row>
    <row r="23" spans="1:11" ht="45.75" customHeight="1" thickBot="1" x14ac:dyDescent="0.25">
      <c r="A23" s="59">
        <v>14</v>
      </c>
      <c r="B23" s="59" t="s">
        <v>73</v>
      </c>
      <c r="C23" s="157" t="s">
        <v>87</v>
      </c>
      <c r="D23" s="60">
        <v>252</v>
      </c>
      <c r="E23" s="61" t="s">
        <v>85</v>
      </c>
      <c r="F23" s="59" t="s">
        <v>58</v>
      </c>
      <c r="G23" s="62">
        <v>300</v>
      </c>
      <c r="H23" s="66">
        <v>47.24</v>
      </c>
      <c r="I23" s="63">
        <f t="shared" si="1"/>
        <v>14172</v>
      </c>
      <c r="J23" s="41"/>
      <c r="K23"/>
    </row>
    <row r="24" spans="1:11" ht="45.75" customHeight="1" thickBot="1" x14ac:dyDescent="0.25">
      <c r="A24" s="59">
        <v>15</v>
      </c>
      <c r="B24" s="59" t="s">
        <v>90</v>
      </c>
      <c r="C24" s="161" t="s">
        <v>87</v>
      </c>
      <c r="D24" s="60">
        <v>252</v>
      </c>
      <c r="E24" s="162" t="s">
        <v>102</v>
      </c>
      <c r="F24" s="59" t="s">
        <v>54</v>
      </c>
      <c r="G24" s="62">
        <v>2400</v>
      </c>
      <c r="H24" s="65">
        <v>520</v>
      </c>
      <c r="I24" s="68">
        <f t="shared" si="1"/>
        <v>1248000</v>
      </c>
      <c r="J24" s="41"/>
      <c r="K24"/>
    </row>
    <row r="25" spans="1:11" ht="45.75" customHeight="1" thickBot="1" x14ac:dyDescent="0.25">
      <c r="A25" s="59">
        <v>16</v>
      </c>
      <c r="B25" s="59" t="s">
        <v>97</v>
      </c>
      <c r="C25" s="157" t="s">
        <v>87</v>
      </c>
      <c r="D25" s="60">
        <v>252</v>
      </c>
      <c r="E25" s="61" t="s">
        <v>96</v>
      </c>
      <c r="F25" s="59" t="s">
        <v>54</v>
      </c>
      <c r="G25" s="64">
        <v>150</v>
      </c>
      <c r="H25" s="66">
        <v>22.7</v>
      </c>
      <c r="I25" s="68">
        <f t="shared" si="1"/>
        <v>3405</v>
      </c>
      <c r="J25" s="41"/>
      <c r="K25"/>
    </row>
    <row r="26" spans="1:11" ht="45.75" customHeight="1" thickBot="1" x14ac:dyDescent="0.25">
      <c r="A26" s="59">
        <v>17</v>
      </c>
      <c r="B26" s="59" t="s">
        <v>74</v>
      </c>
      <c r="C26" s="157" t="s">
        <v>87</v>
      </c>
      <c r="D26" s="60">
        <v>252</v>
      </c>
      <c r="E26" s="61" t="s">
        <v>86</v>
      </c>
      <c r="F26" s="59" t="s">
        <v>57</v>
      </c>
      <c r="G26" s="64">
        <v>3000</v>
      </c>
      <c r="H26" s="66">
        <v>45</v>
      </c>
      <c r="I26" s="63">
        <f t="shared" si="1"/>
        <v>135000</v>
      </c>
      <c r="J26" s="41"/>
      <c r="K26"/>
    </row>
    <row r="27" spans="1:11" ht="45.75" customHeight="1" thickBot="1" x14ac:dyDescent="0.25">
      <c r="A27" s="59">
        <v>18</v>
      </c>
      <c r="B27" s="59" t="s">
        <v>99</v>
      </c>
      <c r="C27" s="157" t="s">
        <v>87</v>
      </c>
      <c r="D27" s="60">
        <v>252</v>
      </c>
      <c r="E27" s="162" t="s">
        <v>98</v>
      </c>
      <c r="F27" s="59" t="s">
        <v>60</v>
      </c>
      <c r="G27" s="163">
        <v>200</v>
      </c>
      <c r="H27" s="66">
        <v>194</v>
      </c>
      <c r="I27" s="68">
        <f t="shared" si="1"/>
        <v>38800</v>
      </c>
      <c r="J27" s="41"/>
      <c r="K27"/>
    </row>
    <row r="28" spans="1:11" ht="45.75" customHeight="1" thickBot="1" x14ac:dyDescent="0.25">
      <c r="A28" s="59">
        <v>19</v>
      </c>
      <c r="B28" s="59" t="s">
        <v>91</v>
      </c>
      <c r="C28" s="161" t="s">
        <v>87</v>
      </c>
      <c r="D28" s="60">
        <v>252</v>
      </c>
      <c r="E28" s="61" t="s">
        <v>92</v>
      </c>
      <c r="F28" s="59" t="s">
        <v>58</v>
      </c>
      <c r="G28" s="163">
        <v>150</v>
      </c>
      <c r="H28" s="66">
        <v>580</v>
      </c>
      <c r="I28" s="68">
        <f t="shared" si="1"/>
        <v>87000</v>
      </c>
      <c r="J28" s="41"/>
      <c r="K28"/>
    </row>
    <row r="29" spans="1:11" ht="45.75" customHeight="1" thickBot="1" x14ac:dyDescent="0.25">
      <c r="A29" s="59">
        <v>20</v>
      </c>
      <c r="B29" s="59" t="s">
        <v>101</v>
      </c>
      <c r="C29" s="157" t="s">
        <v>87</v>
      </c>
      <c r="D29" s="60">
        <v>252</v>
      </c>
      <c r="E29" s="162" t="s">
        <v>100</v>
      </c>
      <c r="F29" s="59" t="s">
        <v>56</v>
      </c>
      <c r="G29" s="163">
        <v>10</v>
      </c>
      <c r="H29" s="66">
        <v>1120</v>
      </c>
      <c r="I29" s="68">
        <f t="shared" si="1"/>
        <v>11200</v>
      </c>
      <c r="J29" s="41"/>
      <c r="K29"/>
    </row>
    <row r="31" spans="1:11" ht="13.5" thickBot="1" x14ac:dyDescent="0.25"/>
    <row r="32" spans="1:11" x14ac:dyDescent="0.2">
      <c r="B32" s="54" t="s">
        <v>52</v>
      </c>
      <c r="C32" s="53"/>
      <c r="D32" s="44"/>
      <c r="E32" s="73"/>
      <c r="F32" s="44"/>
      <c r="G32" s="86"/>
      <c r="H32" s="45"/>
      <c r="I32" s="46"/>
    </row>
    <row r="33" spans="2:9" x14ac:dyDescent="0.2">
      <c r="B33" s="77"/>
      <c r="C33" s="69"/>
      <c r="D33" s="70"/>
      <c r="E33" s="74"/>
      <c r="F33" s="70"/>
      <c r="G33" s="87"/>
      <c r="H33" s="45"/>
      <c r="I33" s="46"/>
    </row>
    <row r="34" spans="2:9" x14ac:dyDescent="0.2">
      <c r="B34" s="88" t="s">
        <v>115</v>
      </c>
      <c r="C34" s="89"/>
      <c r="D34" s="70"/>
      <c r="E34" s="74"/>
      <c r="F34" s="70"/>
      <c r="G34" s="87"/>
      <c r="H34" s="45"/>
      <c r="I34" s="46"/>
    </row>
    <row r="35" spans="2:9" x14ac:dyDescent="0.2">
      <c r="B35" s="77"/>
      <c r="C35" s="69"/>
      <c r="D35" s="70"/>
      <c r="E35" s="74"/>
      <c r="F35" s="70"/>
      <c r="G35" s="87"/>
      <c r="H35" s="45"/>
      <c r="I35" s="46"/>
    </row>
    <row r="36" spans="2:9" ht="34.5" customHeight="1" x14ac:dyDescent="0.2">
      <c r="B36" s="102" t="s">
        <v>108</v>
      </c>
      <c r="C36" s="103"/>
      <c r="D36" s="103"/>
      <c r="E36" s="103"/>
      <c r="F36" s="103"/>
      <c r="G36" s="104"/>
      <c r="H36" s="47"/>
      <c r="I36" s="46"/>
    </row>
    <row r="37" spans="2:9" x14ac:dyDescent="0.2">
      <c r="B37" s="105" t="s">
        <v>106</v>
      </c>
      <c r="C37" s="106"/>
      <c r="D37" s="106"/>
      <c r="E37" s="106"/>
      <c r="F37" s="106"/>
      <c r="G37" s="87"/>
      <c r="H37" s="47"/>
      <c r="I37" s="46"/>
    </row>
    <row r="38" spans="2:9" ht="15" x14ac:dyDescent="0.2">
      <c r="B38" s="100" t="s">
        <v>104</v>
      </c>
      <c r="C38" s="101"/>
      <c r="D38" s="50"/>
      <c r="E38" s="75"/>
      <c r="F38" s="50"/>
      <c r="G38" s="87"/>
      <c r="H38" s="47"/>
      <c r="I38" s="46"/>
    </row>
    <row r="39" spans="2:9" ht="13.5" thickBot="1" x14ac:dyDescent="0.25">
      <c r="B39" s="48" t="s">
        <v>107</v>
      </c>
      <c r="C39" s="51"/>
      <c r="D39" s="51"/>
      <c r="E39" s="76"/>
      <c r="F39" s="51"/>
      <c r="G39" s="52"/>
    </row>
  </sheetData>
  <mergeCells count="10">
    <mergeCell ref="B38:C38"/>
    <mergeCell ref="B36:G36"/>
    <mergeCell ref="B37:F37"/>
    <mergeCell ref="A6:B6"/>
    <mergeCell ref="A7:B7"/>
    <mergeCell ref="B2:I2"/>
    <mergeCell ref="A4:B4"/>
    <mergeCell ref="C4:F4"/>
    <mergeCell ref="A5:B5"/>
    <mergeCell ref="C5:F5"/>
  </mergeCells>
  <conditionalFormatting sqref="B38">
    <cfRule type="duplicateValues" dxfId="1" priority="5"/>
  </conditionalFormatting>
  <conditionalFormatting sqref="B38">
    <cfRule type="duplicateValues" dxfId="0" priority="6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32"/>
  <sheetViews>
    <sheetView topLeftCell="A7" zoomScale="85" zoomScaleNormal="85" workbookViewId="0">
      <selection activeCell="L12" sqref="L12"/>
    </sheetView>
  </sheetViews>
  <sheetFormatPr baseColWidth="10" defaultColWidth="9.140625" defaultRowHeight="12.75" x14ac:dyDescent="0.2"/>
  <cols>
    <col min="1" max="1" width="5.5703125" style="30" customWidth="1"/>
    <col min="2" max="2" width="16.5703125" style="30" bestFit="1" customWidth="1"/>
    <col min="3" max="3" width="14.140625" style="30" customWidth="1"/>
    <col min="4" max="4" width="26" style="30" customWidth="1"/>
    <col min="5" max="5" width="8" style="30" customWidth="1"/>
    <col min="6" max="6" width="7.85546875" style="30" customWidth="1"/>
    <col min="7" max="7" width="55" style="30" customWidth="1"/>
    <col min="8" max="8" width="13.42578125" style="30" customWidth="1"/>
    <col min="9" max="9" width="16" style="30" customWidth="1"/>
    <col min="10" max="10" width="15.5703125" style="30" customWidth="1"/>
    <col min="11" max="11" width="14" style="30" customWidth="1"/>
    <col min="12" max="12" width="15.5703125" style="30" customWidth="1"/>
    <col min="13" max="13" width="5.85546875" style="30" customWidth="1"/>
    <col min="14" max="14" width="9.42578125" style="30" customWidth="1"/>
    <col min="15" max="15" width="5.85546875" style="30" customWidth="1"/>
    <col min="16" max="16" width="12.5703125" style="30" customWidth="1"/>
    <col min="17" max="1025" width="9.140625" style="30"/>
    <col min="1026" max="16384" width="9.140625" style="31"/>
  </cols>
  <sheetData>
    <row r="1" spans="1:13 1025:1025" ht="16.5" thickBot="1" x14ac:dyDescent="0.25">
      <c r="A1" s="113" t="s">
        <v>13</v>
      </c>
      <c r="B1" s="113"/>
      <c r="C1" s="113"/>
      <c r="D1" s="113"/>
      <c r="E1" s="113"/>
      <c r="F1" s="113"/>
      <c r="G1" s="113"/>
      <c r="H1" s="113"/>
      <c r="I1" s="113"/>
      <c r="J1" s="29" t="s">
        <v>14</v>
      </c>
      <c r="K1" s="90" t="s">
        <v>112</v>
      </c>
      <c r="AMK1" s="31"/>
    </row>
    <row r="2" spans="1:13 1025:1025" ht="16.5" thickBot="1" x14ac:dyDescent="0.25">
      <c r="A2" s="32"/>
      <c r="B2" s="32"/>
      <c r="C2" s="32"/>
      <c r="D2" s="33"/>
      <c r="E2" s="33"/>
      <c r="F2" s="33"/>
      <c r="G2" s="33"/>
      <c r="H2" s="55"/>
      <c r="I2" s="33"/>
      <c r="J2" s="33"/>
      <c r="K2" s="33"/>
      <c r="L2" s="33"/>
    </row>
    <row r="3" spans="1:13 1025:1025" ht="16.5" customHeight="1" thickBot="1" x14ac:dyDescent="0.25">
      <c r="A3" s="114" t="s">
        <v>46</v>
      </c>
      <c r="B3" s="115"/>
      <c r="C3" s="111" t="str">
        <f>'Necesidades Trimestrales'!C4</f>
        <v>040 - Ministerio de Salud</v>
      </c>
      <c r="D3" s="111"/>
      <c r="E3" s="111"/>
      <c r="F3" s="111"/>
      <c r="G3" s="111"/>
      <c r="H3" s="111"/>
      <c r="I3" s="111"/>
      <c r="J3" s="111"/>
      <c r="K3" s="111"/>
      <c r="AMK3" s="31"/>
    </row>
    <row r="4" spans="1:13 1025:1025" ht="16.5" thickBot="1" x14ac:dyDescent="0.25">
      <c r="A4" s="114" t="s">
        <v>47</v>
      </c>
      <c r="B4" s="115"/>
      <c r="C4" s="111" t="s">
        <v>109</v>
      </c>
      <c r="D4" s="111"/>
      <c r="E4" s="111"/>
      <c r="F4" s="111"/>
      <c r="G4" s="111"/>
      <c r="H4" s="111"/>
      <c r="I4" s="111"/>
      <c r="J4" s="111"/>
      <c r="K4" s="111"/>
      <c r="AMK4" s="31"/>
    </row>
    <row r="5" spans="1:13 1025:1025" ht="16.5" customHeight="1" thickBot="1" x14ac:dyDescent="0.25">
      <c r="A5" s="114" t="s">
        <v>25</v>
      </c>
      <c r="B5" s="115"/>
      <c r="C5" s="111" t="s">
        <v>110</v>
      </c>
      <c r="D5" s="111"/>
      <c r="E5" s="111"/>
      <c r="F5" s="111"/>
      <c r="G5" s="111"/>
      <c r="H5" s="111"/>
      <c r="I5" s="111"/>
      <c r="J5" s="111"/>
      <c r="K5" s="111"/>
      <c r="AMK5" s="31"/>
    </row>
    <row r="6" spans="1:13 1025:1025" ht="16.5" customHeight="1" thickBot="1" x14ac:dyDescent="0.25">
      <c r="A6" s="114" t="s">
        <v>48</v>
      </c>
      <c r="B6" s="115"/>
      <c r="C6" s="111" t="s">
        <v>111</v>
      </c>
      <c r="D6" s="111"/>
      <c r="E6" s="111"/>
      <c r="F6" s="111"/>
      <c r="G6" s="111"/>
      <c r="H6" s="111"/>
      <c r="I6" s="111"/>
      <c r="J6" s="111"/>
      <c r="K6" s="111"/>
      <c r="AMK6" s="31"/>
    </row>
    <row r="7" spans="1:13 1025:1025" ht="16.5" customHeight="1" thickBot="1" x14ac:dyDescent="0.25">
      <c r="A7" s="107" t="s">
        <v>15</v>
      </c>
      <c r="B7" s="108"/>
      <c r="C7" s="111" t="s">
        <v>53</v>
      </c>
      <c r="D7" s="111"/>
      <c r="E7" s="111"/>
      <c r="F7" s="111"/>
      <c r="G7" s="111"/>
      <c r="H7" s="111"/>
      <c r="I7" s="111"/>
      <c r="J7" s="111"/>
      <c r="K7" s="111"/>
      <c r="AMK7" s="31"/>
    </row>
    <row r="8" spans="1:13 1025:1025" ht="41.25" customHeight="1" thickBot="1" x14ac:dyDescent="0.25">
      <c r="A8" s="109" t="s">
        <v>16</v>
      </c>
      <c r="B8" s="110"/>
      <c r="C8" s="112" t="s">
        <v>61</v>
      </c>
      <c r="D8" s="112"/>
      <c r="E8" s="112"/>
      <c r="F8" s="112"/>
      <c r="G8" s="112"/>
      <c r="H8" s="112"/>
      <c r="I8" s="112"/>
      <c r="J8" s="112"/>
      <c r="K8" s="112"/>
      <c r="AMK8" s="31"/>
    </row>
    <row r="9" spans="1:13 1025:1025" ht="16.5" thickBot="1" x14ac:dyDescent="0.25">
      <c r="A9" s="34"/>
      <c r="B9" s="34"/>
      <c r="C9" s="34"/>
      <c r="D9" s="35"/>
      <c r="E9" s="35"/>
      <c r="F9" s="35"/>
      <c r="G9" s="35"/>
      <c r="H9" s="56"/>
      <c r="I9" s="35"/>
      <c r="J9" s="35"/>
      <c r="K9" s="35"/>
      <c r="L9" s="35"/>
    </row>
    <row r="10" spans="1:13 1025:1025" ht="13.5" thickBot="1" x14ac:dyDescent="0.25">
      <c r="A10" s="119" t="s">
        <v>17</v>
      </c>
      <c r="B10" s="119" t="s">
        <v>6</v>
      </c>
      <c r="C10" s="116" t="s">
        <v>18</v>
      </c>
      <c r="D10" s="116"/>
      <c r="E10" s="116"/>
      <c r="F10" s="116"/>
      <c r="G10" s="116"/>
      <c r="H10" s="116" t="s">
        <v>19</v>
      </c>
      <c r="I10" s="116" t="s">
        <v>20</v>
      </c>
      <c r="J10" s="116" t="s">
        <v>21</v>
      </c>
      <c r="K10" s="116" t="s">
        <v>22</v>
      </c>
      <c r="AMK10" s="31"/>
    </row>
    <row r="11" spans="1:13 1025:1025" ht="35.25" customHeight="1" thickBot="1" x14ac:dyDescent="0.25">
      <c r="A11" s="119"/>
      <c r="B11" s="119"/>
      <c r="C11" s="116"/>
      <c r="D11" s="116"/>
      <c r="E11" s="116"/>
      <c r="F11" s="116"/>
      <c r="G11" s="116"/>
      <c r="H11" s="116"/>
      <c r="I11" s="116"/>
      <c r="J11" s="116"/>
      <c r="K11" s="116"/>
      <c r="AMK11" s="31"/>
    </row>
    <row r="12" spans="1:13 1025:1025" ht="46.5" customHeight="1" thickBot="1" x14ac:dyDescent="0.25">
      <c r="A12" s="84">
        <f>+'Necesidades Trimestrales'!A10</f>
        <v>1</v>
      </c>
      <c r="B12" s="85" t="str">
        <f>+'Necesidades Trimestrales'!B10</f>
        <v>2.9.5-427.33</v>
      </c>
      <c r="C12" s="120" t="str">
        <f>+'Necesidades Trimestrales'!E10</f>
        <v>APOSITOS; TIPO: HIDROCOLOIDE, TAMAÑO: 15 X 17,5 Cm</v>
      </c>
      <c r="D12" s="120"/>
      <c r="E12" s="120"/>
      <c r="F12" s="120"/>
      <c r="G12" s="120"/>
      <c r="H12" s="84" t="s">
        <v>51</v>
      </c>
      <c r="I12" s="80" t="str">
        <f>+'Necesidades Trimestrales'!F10</f>
        <v>UNIDAD</v>
      </c>
      <c r="J12" s="81">
        <f>+'Necesidades Trimestrales'!H10</f>
        <v>998</v>
      </c>
      <c r="K12" s="82">
        <f>+'Necesidades Trimestrales'!G10</f>
        <v>10</v>
      </c>
      <c r="L12" s="79"/>
      <c r="M12" s="79"/>
      <c r="AMK12" s="31"/>
    </row>
    <row r="13" spans="1:13 1025:1025" ht="46.5" customHeight="1" thickBot="1" x14ac:dyDescent="0.25">
      <c r="A13" s="84">
        <f>+'Necesidades Trimestrales'!A11</f>
        <v>2</v>
      </c>
      <c r="B13" s="85" t="str">
        <f>+'Necesidades Trimestrales'!B11</f>
        <v>2.9.5-427.39</v>
      </c>
      <c r="C13" s="120" t="str">
        <f>+'Necesidades Trimestrales'!E11</f>
        <v>APOSITOS; TIPO: HIDROCOLOIDE, TAMAÑO: 10 X 10 Cm</v>
      </c>
      <c r="D13" s="120"/>
      <c r="E13" s="120"/>
      <c r="F13" s="120"/>
      <c r="G13" s="120"/>
      <c r="H13" s="84" t="s">
        <v>51</v>
      </c>
      <c r="I13" s="80" t="str">
        <f>+'Necesidades Trimestrales'!F11</f>
        <v>UNIDAD</v>
      </c>
      <c r="J13" s="81">
        <f>+'Necesidades Trimestrales'!H11</f>
        <v>380</v>
      </c>
      <c r="K13" s="82">
        <f>+'Necesidades Trimestrales'!G11</f>
        <v>10</v>
      </c>
      <c r="L13" s="79"/>
      <c r="M13" s="79"/>
      <c r="AMK13" s="31"/>
    </row>
    <row r="14" spans="1:13 1025:1025" ht="46.5" customHeight="1" thickBot="1" x14ac:dyDescent="0.25">
      <c r="A14" s="84">
        <f>+'Necesidades Trimestrales'!A12</f>
        <v>3</v>
      </c>
      <c r="B14" s="85" t="str">
        <f>+'Necesidades Trimestrales'!B12</f>
        <v>2.5.2-5661.8</v>
      </c>
      <c r="C14" s="120" t="str">
        <f>+'Necesidades Trimestrales'!E12</f>
        <v>REGULADORES HORMONALES; TIPO: MONODROGA, DROGA GENERICA: ATOSIBAN, FORMA FARMACEUTICA: AMPOLLA, PRESENTACION: ENVASE X 5 mL</v>
      </c>
      <c r="D14" s="120"/>
      <c r="E14" s="120"/>
      <c r="F14" s="120"/>
      <c r="G14" s="120"/>
      <c r="H14" s="84" t="s">
        <v>51</v>
      </c>
      <c r="I14" s="80" t="str">
        <f>+'Necesidades Trimestrales'!F12</f>
        <v>FRASCO</v>
      </c>
      <c r="J14" s="81">
        <f>+'Necesidades Trimestrales'!H12</f>
        <v>25800</v>
      </c>
      <c r="K14" s="82">
        <f>+'Necesidades Trimestrales'!G12</f>
        <v>45</v>
      </c>
      <c r="L14" s="79"/>
      <c r="M14" s="79"/>
      <c r="AMK14" s="31"/>
    </row>
    <row r="15" spans="1:13 1025:1025" ht="46.5" customHeight="1" thickBot="1" x14ac:dyDescent="0.25">
      <c r="A15" s="84">
        <f>+'Necesidades Trimestrales'!A13</f>
        <v>4</v>
      </c>
      <c r="B15" s="85" t="str">
        <f>+'Necesidades Trimestrales'!B13</f>
        <v>2.5.2-5661.11</v>
      </c>
      <c r="C15" s="120" t="str">
        <f>+'Necesidades Trimestrales'!E13</f>
        <v>REGULADORES HORMONALES; TIPO: MONODROGA, DROGA GENERICA: ATOSIBAN, FORMA FARMACEUTICA: AMPOLLA, PRESENTACION: ENVASE X 0,9 mL</v>
      </c>
      <c r="D15" s="120"/>
      <c r="E15" s="120"/>
      <c r="F15" s="120"/>
      <c r="G15" s="120"/>
      <c r="H15" s="84" t="s">
        <v>51</v>
      </c>
      <c r="I15" s="80" t="str">
        <f>+'Necesidades Trimestrales'!F13</f>
        <v>FRASCO</v>
      </c>
      <c r="J15" s="81">
        <f>+'Necesidades Trimestrales'!H13</f>
        <v>13500</v>
      </c>
      <c r="K15" s="82">
        <f>+'Necesidades Trimestrales'!G13</f>
        <v>5</v>
      </c>
      <c r="L15" s="79"/>
      <c r="M15" s="79"/>
      <c r="AMK15" s="31"/>
    </row>
    <row r="16" spans="1:13 1025:1025" ht="46.5" customHeight="1" thickBot="1" x14ac:dyDescent="0.25">
      <c r="A16" s="84">
        <f>+'Necesidades Trimestrales'!A14</f>
        <v>5</v>
      </c>
      <c r="B16" s="85" t="str">
        <f>+'Necesidades Trimestrales'!B14</f>
        <v>2.5.2-1855.83</v>
      </c>
      <c r="C16" s="120" t="str">
        <f>+'Necesidades Trimestrales'!E14</f>
        <v>CORTICOESTEROIDES; TIPO: ASOCIACION, DROGA GENERICA: BETAMETASONA ACETATO+FOSFATO, FORMA FARMACEUTICA: AMPOLLA, PRESENTACION: ENVASE X 2 mL</v>
      </c>
      <c r="D16" s="120"/>
      <c r="E16" s="120"/>
      <c r="F16" s="120"/>
      <c r="G16" s="120"/>
      <c r="H16" s="84" t="s">
        <v>51</v>
      </c>
      <c r="I16" s="80" t="str">
        <f>+'Necesidades Trimestrales'!F14</f>
        <v>AMPOLLA</v>
      </c>
      <c r="J16" s="81">
        <f>+'Necesidades Trimestrales'!H14</f>
        <v>447</v>
      </c>
      <c r="K16" s="82">
        <f>+'Necesidades Trimestrales'!G14</f>
        <v>1000</v>
      </c>
      <c r="L16" s="79"/>
      <c r="M16" s="79"/>
      <c r="AMK16" s="31"/>
    </row>
    <row r="17" spans="1:13 1025:1025" ht="46.5" customHeight="1" thickBot="1" x14ac:dyDescent="0.25">
      <c r="A17" s="84">
        <f>+'Necesidades Trimestrales'!A15</f>
        <v>6</v>
      </c>
      <c r="B17" s="85" t="str">
        <f>+'Necesidades Trimestrales'!B15</f>
        <v>2.5.2-1902.14</v>
      </c>
      <c r="C17" s="120" t="str">
        <f>+'Necesidades Trimestrales'!E15</f>
        <v>DROGAS UTERINAS; TIPO: MONODROGA, DROGA GENERICA: CARBETOCIN 100 MCG, FORMA FARMACEUTICA: AMPOLLA, PRESENTACION: UNIDAD</v>
      </c>
      <c r="D17" s="120"/>
      <c r="E17" s="120"/>
      <c r="F17" s="120"/>
      <c r="G17" s="120"/>
      <c r="H17" s="84" t="s">
        <v>51</v>
      </c>
      <c r="I17" s="80" t="str">
        <f>+'Necesidades Trimestrales'!F15</f>
        <v>AMPOLLA</v>
      </c>
      <c r="J17" s="81">
        <f>+'Necesidades Trimestrales'!H15</f>
        <v>5090</v>
      </c>
      <c r="K17" s="82">
        <f>+'Necesidades Trimestrales'!G15</f>
        <v>10</v>
      </c>
      <c r="L17" s="79"/>
      <c r="M17" s="79"/>
      <c r="AMK17" s="31"/>
    </row>
    <row r="18" spans="1:13 1025:1025" ht="46.5" customHeight="1" thickBot="1" x14ac:dyDescent="0.25">
      <c r="A18" s="84">
        <f>+'Necesidades Trimestrales'!A16</f>
        <v>7</v>
      </c>
      <c r="B18" s="85" t="str">
        <f>+'Necesidades Trimestrales'!B16</f>
        <v>2.5.2-2198.3</v>
      </c>
      <c r="C18" s="120" t="str">
        <f>+'Necesidades Trimestrales'!E16</f>
        <v>ANTIDIURETICOS; DROGA GENERICA: DESMOPRESINA, FORMA FARMACEUTICA: AMPOLLA, PRESENTACION: 1 mL, TIPO: MONODROGA</v>
      </c>
      <c r="D18" s="120"/>
      <c r="E18" s="120"/>
      <c r="F18" s="120"/>
      <c r="G18" s="120"/>
      <c r="H18" s="84" t="s">
        <v>51</v>
      </c>
      <c r="I18" s="80" t="str">
        <f>+'Necesidades Trimestrales'!F16</f>
        <v>AMPOLLA</v>
      </c>
      <c r="J18" s="81">
        <f>+'Necesidades Trimestrales'!H16</f>
        <v>1125.7</v>
      </c>
      <c r="K18" s="82">
        <f>+'Necesidades Trimestrales'!G16</f>
        <v>100</v>
      </c>
      <c r="L18" s="123"/>
      <c r="M18" s="124"/>
      <c r="AMK18" s="31"/>
    </row>
    <row r="19" spans="1:13 1025:1025" ht="46.5" customHeight="1" thickBot="1" x14ac:dyDescent="0.25">
      <c r="A19" s="84">
        <f>+'Necesidades Trimestrales'!A17</f>
        <v>8</v>
      </c>
      <c r="B19" s="85" t="str">
        <f>+'Necesidades Trimestrales'!B17</f>
        <v>2.5.2-1855.7</v>
      </c>
      <c r="C19" s="120" t="str">
        <f>+'Necesidades Trimestrales'!E17</f>
        <v>CORTICOESTEROIDES; TIPO: MONODROGA, DROGA GENERICA: DEXAMETASONA, FORMA FARMACEUTICA: AMPOLLA, PRESENTACION: 8 mGr</v>
      </c>
      <c r="D19" s="120"/>
      <c r="E19" s="120"/>
      <c r="F19" s="120"/>
      <c r="G19" s="120"/>
      <c r="H19" s="84" t="s">
        <v>51</v>
      </c>
      <c r="I19" s="80" t="str">
        <f>+'Necesidades Trimestrales'!F17</f>
        <v>AMPOLLA</v>
      </c>
      <c r="J19" s="81">
        <f>+'Necesidades Trimestrales'!H17</f>
        <v>45</v>
      </c>
      <c r="K19" s="82">
        <f>+'Necesidades Trimestrales'!G17</f>
        <v>900</v>
      </c>
      <c r="L19" s="79"/>
      <c r="M19" s="79"/>
      <c r="AMK19" s="31"/>
    </row>
    <row r="20" spans="1:13 1025:1025" ht="46.5" customHeight="1" thickBot="1" x14ac:dyDescent="0.25">
      <c r="A20" s="84">
        <f>+'Necesidades Trimestrales'!A18</f>
        <v>9</v>
      </c>
      <c r="B20" s="85" t="str">
        <f>+'Necesidades Trimestrales'!B18</f>
        <v>2.5.2-2476.36</v>
      </c>
      <c r="C20" s="120" t="str">
        <f>+'Necesidades Trimestrales'!E18</f>
        <v>ANTIALERGICOS-ANTIHISTAMINICOS; TIPO: MONODROGA, DROGA GENERICA: DIFENHIDRAMINA, FORMA FARMACEUTICA: COMPRIMIDO, PRESENTACION: 50 mGr</v>
      </c>
      <c r="D20" s="120"/>
      <c r="E20" s="120"/>
      <c r="F20" s="120"/>
      <c r="G20" s="120"/>
      <c r="H20" s="84" t="s">
        <v>51</v>
      </c>
      <c r="I20" s="80" t="str">
        <f>+'Necesidades Trimestrales'!F18</f>
        <v>COMPRIMIDO</v>
      </c>
      <c r="J20" s="81">
        <f>+'Necesidades Trimestrales'!H18</f>
        <v>4.6500000000000004</v>
      </c>
      <c r="K20" s="82">
        <f>+'Necesidades Trimestrales'!G18</f>
        <v>50</v>
      </c>
      <c r="L20" s="79"/>
      <c r="M20" s="79"/>
      <c r="AMK20" s="31"/>
    </row>
    <row r="21" spans="1:13 1025:1025" ht="46.5" customHeight="1" thickBot="1" x14ac:dyDescent="0.25">
      <c r="A21" s="84">
        <f>+'Necesidades Trimestrales'!A19</f>
        <v>10</v>
      </c>
      <c r="B21" s="85" t="str">
        <f>+'Necesidades Trimestrales'!B19</f>
        <v>2.5.2-2476.44</v>
      </c>
      <c r="C21" s="120" t="str">
        <f>+'Necesidades Trimestrales'!E19</f>
        <v>ANTIALERGICOS-ANTIHISTAMINICOS; TIPO: MONODROGA, DROGA GENERICA: DIFENHIDRAMINA, FORMA FARMACEUTICA: AMPOLLA, PRESENTACION: 10 mGr</v>
      </c>
      <c r="D21" s="120"/>
      <c r="E21" s="120"/>
      <c r="F21" s="120"/>
      <c r="G21" s="120"/>
      <c r="H21" s="84" t="s">
        <v>51</v>
      </c>
      <c r="I21" s="80" t="str">
        <f>+'Necesidades Trimestrales'!F19</f>
        <v>AMPOLLA</v>
      </c>
      <c r="J21" s="81">
        <f>+'Necesidades Trimestrales'!H19</f>
        <v>55</v>
      </c>
      <c r="K21" s="82">
        <f>+'Necesidades Trimestrales'!G19</f>
        <v>200</v>
      </c>
      <c r="L21" s="79"/>
      <c r="M21" s="79"/>
      <c r="AMK21" s="31"/>
    </row>
    <row r="22" spans="1:13 1025:1025" ht="46.5" customHeight="1" thickBot="1" x14ac:dyDescent="0.25">
      <c r="A22" s="84">
        <f>+'Necesidades Trimestrales'!A20</f>
        <v>11</v>
      </c>
      <c r="B22" s="85" t="str">
        <f>+'Necesidades Trimestrales'!B20</f>
        <v>2.5.2-1895.8</v>
      </c>
      <c r="C22" s="120" t="str">
        <f>+'Necesidades Trimestrales'!E20</f>
        <v>HORMONAS MEDICINALES; TIPO: MONODROGA, DROGA GENERICA: GONADOTROFINA CORIONICA, FORMA FARMACEUTICA: AMPOLLA, PRESENTACION: 5000 UI, USO: SEXUAL</v>
      </c>
      <c r="D22" s="120"/>
      <c r="E22" s="120"/>
      <c r="F22" s="120"/>
      <c r="G22" s="120"/>
      <c r="H22" s="84" t="s">
        <v>51</v>
      </c>
      <c r="I22" s="80" t="str">
        <f>+'Necesidades Trimestrales'!F20</f>
        <v>UNIDAD</v>
      </c>
      <c r="J22" s="81">
        <f>+'Necesidades Trimestrales'!H20</f>
        <v>6450</v>
      </c>
      <c r="K22" s="82">
        <f>+'Necesidades Trimestrales'!G20</f>
        <v>40</v>
      </c>
      <c r="L22" s="79"/>
      <c r="M22" s="79"/>
      <c r="AMK22" s="31"/>
    </row>
    <row r="23" spans="1:13 1025:1025" ht="46.5" customHeight="1" thickBot="1" x14ac:dyDescent="0.25">
      <c r="A23" s="84">
        <f>+'Necesidades Trimestrales'!A21</f>
        <v>12</v>
      </c>
      <c r="B23" s="85" t="str">
        <f>+'Necesidades Trimestrales'!B21</f>
        <v>2.5.2-1875.9</v>
      </c>
      <c r="C23" s="120" t="str">
        <f>+'Necesidades Trimestrales'!E21</f>
        <v>ANTIASMATICO BRONCODILATADOR; TIPO: MONODROGA, DROGA GENERICA: BROMURO DE IPRATROPIO, FORMA FARMACEUTICA: SOLUCION, PRESENTACION: 20 mL</v>
      </c>
      <c r="D23" s="120"/>
      <c r="E23" s="120"/>
      <c r="F23" s="120"/>
      <c r="G23" s="120"/>
      <c r="H23" s="84" t="s">
        <v>51</v>
      </c>
      <c r="I23" s="80" t="str">
        <f>+'Necesidades Trimestrales'!F21</f>
        <v>GOTERO</v>
      </c>
      <c r="J23" s="81">
        <f>+'Necesidades Trimestrales'!H21</f>
        <v>98</v>
      </c>
      <c r="K23" s="82">
        <f>+'Necesidades Trimestrales'!G21</f>
        <v>10</v>
      </c>
      <c r="L23" s="121"/>
      <c r="M23" s="122"/>
      <c r="AMK23" s="31"/>
    </row>
    <row r="24" spans="1:13 1025:1025" ht="46.5" customHeight="1" thickBot="1" x14ac:dyDescent="0.25">
      <c r="A24" s="84">
        <f>+'Necesidades Trimestrales'!A22</f>
        <v>13</v>
      </c>
      <c r="B24" s="85" t="str">
        <f>+'Necesidades Trimestrales'!B22</f>
        <v>2.5.2-1902.10</v>
      </c>
      <c r="C24" s="120" t="str">
        <f>+'Necesidades Trimestrales'!E22</f>
        <v>DROGAS UTERINAS; TIPO: MONODROGA, DROGA GENERICA: ISOXUPRINA 10 mGr, FORMA FARMACEUTICA: AMPOLLA, PRESENTACION: UNIDAD</v>
      </c>
      <c r="D24" s="120"/>
      <c r="E24" s="120"/>
      <c r="F24" s="120"/>
      <c r="G24" s="120"/>
      <c r="H24" s="84" t="s">
        <v>51</v>
      </c>
      <c r="I24" s="80" t="str">
        <f>+'Necesidades Trimestrales'!F22</f>
        <v>AMPOLLA</v>
      </c>
      <c r="J24" s="81">
        <f>+'Necesidades Trimestrales'!H22</f>
        <v>45</v>
      </c>
      <c r="K24" s="82">
        <f>+'Necesidades Trimestrales'!G22</f>
        <v>1000</v>
      </c>
      <c r="L24" s="79"/>
      <c r="M24" s="79"/>
      <c r="AMK24" s="31"/>
    </row>
    <row r="25" spans="1:13 1025:1025" ht="46.5" customHeight="1" thickBot="1" x14ac:dyDescent="0.25">
      <c r="A25" s="84">
        <f>+'Necesidades Trimestrales'!A23</f>
        <v>14</v>
      </c>
      <c r="B25" s="85" t="str">
        <f>+'Necesidades Trimestrales'!B23</f>
        <v>2.5.2-1821.487</v>
      </c>
      <c r="C25" s="120" t="str">
        <f>+'Necesidades Trimestrales'!E23</f>
        <v>ANTIBIOTICOS P/PERSONAS; TIPO: MONODROGA, DROGA GENERICA: METRONIDAZOL, FORMA FARMACEUTICA: OVULO, PRESENTACION: UNIDAD</v>
      </c>
      <c r="D25" s="120"/>
      <c r="E25" s="120"/>
      <c r="F25" s="120"/>
      <c r="G25" s="120"/>
      <c r="H25" s="84" t="s">
        <v>51</v>
      </c>
      <c r="I25" s="80" t="str">
        <f>+'Necesidades Trimestrales'!F23</f>
        <v>UNIDAD</v>
      </c>
      <c r="J25" s="81">
        <f>+'Necesidades Trimestrales'!H23</f>
        <v>47.24</v>
      </c>
      <c r="K25" s="82">
        <f>+'Necesidades Trimestrales'!G23</f>
        <v>300</v>
      </c>
      <c r="L25" s="79"/>
      <c r="M25" s="79"/>
      <c r="AMK25" s="31"/>
    </row>
    <row r="26" spans="1:13 1025:1025" ht="46.5" customHeight="1" thickBot="1" x14ac:dyDescent="0.25">
      <c r="A26" s="84">
        <f>+'Necesidades Trimestrales'!A24</f>
        <v>15</v>
      </c>
      <c r="B26" s="85" t="str">
        <f>+'Necesidades Trimestrales'!B24</f>
        <v>2.5.2-9500.2</v>
      </c>
      <c r="C26" s="120" t="str">
        <f>+'Necesidades Trimestrales'!E24</f>
        <v>INDUCTOR DEL PARTO; TIPO: MONODROGA, DROGA GENÉRICA: MISOPROSTOL 200 MGR, FORMA FARMACEÚTICA: COMPRIMIDO VAGINAL, PRESENTACION: UNIDAD</v>
      </c>
      <c r="D26" s="120"/>
      <c r="E26" s="120"/>
      <c r="F26" s="120"/>
      <c r="G26" s="120"/>
      <c r="H26" s="84" t="s">
        <v>51</v>
      </c>
      <c r="I26" s="80" t="str">
        <f>+'Necesidades Trimestrales'!F24</f>
        <v>COMPRIMIDO</v>
      </c>
      <c r="J26" s="81">
        <f>+'Necesidades Trimestrales'!H24</f>
        <v>520</v>
      </c>
      <c r="K26" s="82">
        <f>+'Necesidades Trimestrales'!G24</f>
        <v>2400</v>
      </c>
      <c r="L26" s="79"/>
      <c r="M26" s="79"/>
      <c r="AMK26" s="31"/>
    </row>
    <row r="27" spans="1:13 1025:1025" ht="46.5" customHeight="1" thickBot="1" x14ac:dyDescent="0.25">
      <c r="A27" s="84">
        <f>+'Necesidades Trimestrales'!A25</f>
        <v>16</v>
      </c>
      <c r="B27" s="85" t="str">
        <f>+'Necesidades Trimestrales'!B25</f>
        <v>2.5.2-1851.29</v>
      </c>
      <c r="C27" s="120" t="str">
        <f>+'Necesidades Trimestrales'!E25</f>
        <v>GENITOURINARIO; TIPO: MONODROGA, DROGA GENÉRICA: NISTATINA, FORMA FARMACEÚTICA: COMPRIMIDO VAGINAL, PRESENTACIÓN: 100000 UI</v>
      </c>
      <c r="D27" s="120"/>
      <c r="E27" s="120"/>
      <c r="F27" s="120"/>
      <c r="G27" s="120"/>
      <c r="H27" s="84" t="s">
        <v>51</v>
      </c>
      <c r="I27" s="80" t="str">
        <f>+'Necesidades Trimestrales'!F25</f>
        <v>COMPRIMIDO</v>
      </c>
      <c r="J27" s="81">
        <f>+'Necesidades Trimestrales'!H25</f>
        <v>22.7</v>
      </c>
      <c r="K27" s="82">
        <f>+'Necesidades Trimestrales'!G25</f>
        <v>150</v>
      </c>
      <c r="L27" s="125"/>
      <c r="M27" s="126"/>
      <c r="AMK27" s="31"/>
    </row>
    <row r="28" spans="1:13 1025:1025" ht="46.5" customHeight="1" thickBot="1" x14ac:dyDescent="0.25">
      <c r="A28" s="84">
        <f>+'Necesidades Trimestrales'!A26</f>
        <v>17</v>
      </c>
      <c r="B28" s="85" t="str">
        <f>+'Necesidades Trimestrales'!B26</f>
        <v>2.5.2-1853.2</v>
      </c>
      <c r="C28" s="120" t="str">
        <f>+'Necesidades Trimestrales'!E26</f>
        <v>OCITOCICOS; TIPO: MONODROGA, DROGA GENERICA: OXITOCINA SINTÉTICA, PRESENTACION: 10 UI, FORMA FARMACEUTICA: AMPOLLA</v>
      </c>
      <c r="D28" s="120"/>
      <c r="E28" s="120"/>
      <c r="F28" s="120"/>
      <c r="G28" s="120"/>
      <c r="H28" s="84" t="s">
        <v>51</v>
      </c>
      <c r="I28" s="80" t="str">
        <f>+'Necesidades Trimestrales'!F26</f>
        <v>AMPOLLA</v>
      </c>
      <c r="J28" s="81">
        <f>+'Necesidades Trimestrales'!H26</f>
        <v>45</v>
      </c>
      <c r="K28" s="82">
        <v>3000</v>
      </c>
      <c r="L28" s="79"/>
      <c r="M28" s="79"/>
      <c r="AMK28" s="31"/>
    </row>
    <row r="29" spans="1:13 1025:1025" ht="46.5" customHeight="1" thickBot="1" x14ac:dyDescent="0.25">
      <c r="A29" s="84">
        <f>+'Necesidades Trimestrales'!A27</f>
        <v>18</v>
      </c>
      <c r="B29" s="85" t="str">
        <f>+'Necesidades Trimestrales'!B27</f>
        <v>2.5.2-1895.88</v>
      </c>
      <c r="C29" s="120" t="str">
        <f>+'Necesidades Trimestrales'!E27</f>
        <v>HORMONAS MEDICINALES; TIPO: MONODROGA, DROGA GENÉRICA: PROGESTERONA MICRONIZADA 200 MG, FORMA FARMACEÚTICA: CÁPSULAS, USO: SEXUAL</v>
      </c>
      <c r="D29" s="120"/>
      <c r="E29" s="120"/>
      <c r="F29" s="120"/>
      <c r="G29" s="120"/>
      <c r="H29" s="84" t="s">
        <v>51</v>
      </c>
      <c r="I29" s="80" t="str">
        <f>+'Necesidades Trimestrales'!F27</f>
        <v>CAPSULA</v>
      </c>
      <c r="J29" s="81">
        <f>+'Necesidades Trimestrales'!H27</f>
        <v>194</v>
      </c>
      <c r="K29" s="82">
        <f>+'Necesidades Trimestrales'!G27</f>
        <v>200</v>
      </c>
      <c r="L29" s="79"/>
      <c r="M29" s="79"/>
      <c r="AMK29" s="31"/>
    </row>
    <row r="30" spans="1:13 1025:1025" ht="46.5" customHeight="1" thickBot="1" x14ac:dyDescent="0.25">
      <c r="A30" s="84">
        <f>+'Necesidades Trimestrales'!A28</f>
        <v>19</v>
      </c>
      <c r="B30" s="85" t="str">
        <f>+'Necesidades Trimestrales'!B28</f>
        <v>2.5.2-1875.55</v>
      </c>
      <c r="C30" s="120" t="str">
        <f>+'Necesidades Trimestrales'!E28</f>
        <v>ANTIASMATICO BRONCODILATADOR; TIPO: MONODROGA, DROGA GENERICA: SALBUTAMOL, FORMA FARMACEUTICA: AEROSOL, PRESENTACION: 250 DOSIS</v>
      </c>
      <c r="D30" s="120"/>
      <c r="E30" s="120"/>
      <c r="F30" s="120"/>
      <c r="G30" s="120"/>
      <c r="H30" s="84" t="s">
        <v>103</v>
      </c>
      <c r="I30" s="80" t="str">
        <f>+'Necesidades Trimestrales'!F28</f>
        <v>UNIDAD</v>
      </c>
      <c r="J30" s="81">
        <f>+'Necesidades Trimestrales'!H28</f>
        <v>580</v>
      </c>
      <c r="K30" s="82">
        <f>+'Necesidades Trimestrales'!G28</f>
        <v>150</v>
      </c>
      <c r="L30" s="79"/>
      <c r="M30" s="79"/>
      <c r="AMK30" s="31"/>
    </row>
    <row r="31" spans="1:13 1025:1025" ht="46.5" customHeight="1" thickBot="1" x14ac:dyDescent="0.25">
      <c r="A31" s="84">
        <f>+'Necesidades Trimestrales'!A29</f>
        <v>20</v>
      </c>
      <c r="B31" s="85" t="str">
        <f>+'Necesidades Trimestrales'!B29</f>
        <v>2.5.2-1883.189</v>
      </c>
      <c r="C31" s="120" t="str">
        <f>+'Necesidades Trimestrales'!E29</f>
        <v>ANESTÉSICOS LOCALES; TIPO: ANALGÉSICO LOCAL Y ANTIBACTERIANO, DROGA GENÉRICA: LIDOCAÍNA + SULFADIAZINA + VITAMINA A, FORMA FARMACEÚTICA: CREMA, PRESENTACIÓN: ENVASE X 100 GR</v>
      </c>
      <c r="D31" s="120"/>
      <c r="E31" s="120"/>
      <c r="F31" s="120"/>
      <c r="G31" s="120"/>
      <c r="H31" s="84" t="s">
        <v>51</v>
      </c>
      <c r="I31" s="80" t="str">
        <f>+'Necesidades Trimestrales'!F29</f>
        <v>ENVASE</v>
      </c>
      <c r="J31" s="81">
        <f>+'Necesidades Trimestrales'!H29</f>
        <v>1120</v>
      </c>
      <c r="K31" s="82">
        <f>+'Necesidades Trimestrales'!G29</f>
        <v>10</v>
      </c>
      <c r="L31" s="79"/>
      <c r="M31" s="79"/>
      <c r="AMK31" s="31"/>
    </row>
    <row r="32" spans="1:13 1025:1025" ht="45" customHeight="1" thickBot="1" x14ac:dyDescent="0.25">
      <c r="A32" s="118" t="s">
        <v>116</v>
      </c>
      <c r="B32" s="118"/>
      <c r="C32" s="118"/>
      <c r="D32" s="118"/>
      <c r="E32" s="118"/>
      <c r="F32" s="118"/>
      <c r="G32" s="118"/>
      <c r="H32" s="118"/>
      <c r="I32" s="118"/>
      <c r="J32" s="117">
        <f>SUMPRODUCT(J12:J31,K12:K31)</f>
        <v>3746039.5</v>
      </c>
      <c r="K32" s="117"/>
      <c r="L32" s="83"/>
      <c r="M32" s="79"/>
    </row>
  </sheetData>
  <mergeCells count="45">
    <mergeCell ref="L23:M23"/>
    <mergeCell ref="L18:M18"/>
    <mergeCell ref="L27:M27"/>
    <mergeCell ref="C23:G23"/>
    <mergeCell ref="C24:G24"/>
    <mergeCell ref="C20:G20"/>
    <mergeCell ref="C21:G21"/>
    <mergeCell ref="C22:G22"/>
    <mergeCell ref="C13:G13"/>
    <mergeCell ref="C14:G14"/>
    <mergeCell ref="C31:G31"/>
    <mergeCell ref="C25:G25"/>
    <mergeCell ref="C29:G29"/>
    <mergeCell ref="C30:G30"/>
    <mergeCell ref="C26:G26"/>
    <mergeCell ref="C27:G27"/>
    <mergeCell ref="H10:H11"/>
    <mergeCell ref="I10:I11"/>
    <mergeCell ref="J10:J11"/>
    <mergeCell ref="K10:K11"/>
    <mergeCell ref="J32:K32"/>
    <mergeCell ref="A32:I32"/>
    <mergeCell ref="A10:A11"/>
    <mergeCell ref="C28:G28"/>
    <mergeCell ref="B10:B11"/>
    <mergeCell ref="C15:G15"/>
    <mergeCell ref="C16:G16"/>
    <mergeCell ref="C10:G11"/>
    <mergeCell ref="C17:G17"/>
    <mergeCell ref="C18:G18"/>
    <mergeCell ref="C12:G12"/>
    <mergeCell ref="C19:G19"/>
    <mergeCell ref="A1:I1"/>
    <mergeCell ref="A3:B3"/>
    <mergeCell ref="A4:B4"/>
    <mergeCell ref="A5:B5"/>
    <mergeCell ref="A6:B6"/>
    <mergeCell ref="A7:B7"/>
    <mergeCell ref="A8:B8"/>
    <mergeCell ref="C6:K6"/>
    <mergeCell ref="C7:K7"/>
    <mergeCell ref="C3:K3"/>
    <mergeCell ref="C4:K4"/>
    <mergeCell ref="C5:K5"/>
    <mergeCell ref="C8:K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activeCell="R17" sqref="R17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7" t="s">
        <v>3</v>
      </c>
      <c r="B1" s="127"/>
      <c r="C1" s="127"/>
      <c r="D1" s="128">
        <f>'Necesidades Trimestrales'!C6</f>
        <v>2022</v>
      </c>
      <c r="E1" s="128"/>
      <c r="F1" s="3"/>
      <c r="G1" s="3"/>
      <c r="H1" s="4"/>
      <c r="I1" s="4"/>
      <c r="J1" s="4"/>
      <c r="K1" s="4"/>
      <c r="L1" s="4"/>
      <c r="M1" s="4"/>
      <c r="N1" s="4"/>
      <c r="P1" s="129" t="s">
        <v>23</v>
      </c>
      <c r="Q1" s="129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9"/>
      <c r="Q2" s="129"/>
    </row>
    <row r="4" spans="1:17" s="5" customFormat="1" ht="18" customHeight="1" thickBot="1" x14ac:dyDescent="0.25">
      <c r="A4" s="130" t="s">
        <v>24</v>
      </c>
      <c r="B4" s="130"/>
      <c r="C4" s="130"/>
      <c r="D4" s="130"/>
      <c r="E4" s="130"/>
      <c r="F4" s="130"/>
      <c r="G4" s="131" t="str">
        <f>' NotaPedido'!C3</f>
        <v>040 - Ministerio de Salud</v>
      </c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s="5" customFormat="1" ht="18" customHeight="1" thickBot="1" x14ac:dyDescent="0.25">
      <c r="A5" s="132" t="s">
        <v>47</v>
      </c>
      <c r="B5" s="133"/>
      <c r="C5" s="133"/>
      <c r="D5" s="133"/>
      <c r="E5" s="133"/>
      <c r="F5" s="134"/>
      <c r="G5" s="131" t="str">
        <f>' NotaPedido'!C4</f>
        <v>28-Maternidad Provincial 25 de Mayo</v>
      </c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s="5" customFormat="1" ht="18" customHeight="1" thickBot="1" x14ac:dyDescent="0.25">
      <c r="A6" s="132" t="s">
        <v>25</v>
      </c>
      <c r="B6" s="133"/>
      <c r="C6" s="133"/>
      <c r="D6" s="133"/>
      <c r="E6" s="133"/>
      <c r="F6" s="134"/>
      <c r="G6" s="131" t="str">
        <f>' NotaPedido'!C5</f>
        <v>169- Direccion Asistencial</v>
      </c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s="5" customFormat="1" ht="18" customHeight="1" thickBot="1" x14ac:dyDescent="0.25">
      <c r="A7" s="132" t="s">
        <v>48</v>
      </c>
      <c r="B7" s="133"/>
      <c r="C7" s="133"/>
      <c r="D7" s="133"/>
      <c r="E7" s="133"/>
      <c r="F7" s="134"/>
      <c r="G7" s="131" t="str">
        <f>' NotaPedido'!C6</f>
        <v>Servicio de Farmacia</v>
      </c>
      <c r="H7" s="131"/>
      <c r="I7" s="131"/>
      <c r="J7" s="131"/>
      <c r="K7" s="131"/>
      <c r="L7" s="131"/>
      <c r="M7" s="131"/>
      <c r="N7" s="131"/>
      <c r="O7" s="131"/>
      <c r="P7" s="131"/>
      <c r="Q7" s="131"/>
    </row>
    <row r="8" spans="1:17" ht="18" customHeight="1" thickBot="1" x14ac:dyDescent="0.25">
      <c r="A8" s="135" t="s">
        <v>26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</row>
    <row r="9" spans="1:17" ht="18" customHeight="1" x14ac:dyDescent="0.2">
      <c r="A9" s="136" t="s">
        <v>27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91"/>
      <c r="P9" s="91"/>
      <c r="Q9" s="92"/>
    </row>
    <row r="10" spans="1:17" ht="54.75" customHeight="1" x14ac:dyDescent="0.2">
      <c r="A10" s="13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58/2022,  afectando la erogación resultante a los créditos presupuestarios aprobados a favor de esta Unidad Ejecutora, conforme al siguiente detalle: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9" customHeight="1" x14ac:dyDescent="0.2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7" ht="15.75" customHeight="1" x14ac:dyDescent="0.2">
      <c r="A12" s="138" t="s">
        <v>28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</row>
    <row r="13" spans="1:17" ht="15.75" customHeight="1" x14ac:dyDescent="0.2">
      <c r="A13" s="139" t="s">
        <v>29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40" t="s">
        <v>30</v>
      </c>
      <c r="P13" s="140"/>
      <c r="Q13" s="141" t="s">
        <v>31</v>
      </c>
    </row>
    <row r="14" spans="1:17" ht="15.75" customHeight="1" x14ac:dyDescent="0.2">
      <c r="A14" s="10" t="s">
        <v>32</v>
      </c>
      <c r="B14" s="11" t="s">
        <v>33</v>
      </c>
      <c r="C14" s="11" t="s">
        <v>34</v>
      </c>
      <c r="D14" s="11" t="s">
        <v>35</v>
      </c>
      <c r="E14" s="11" t="s">
        <v>36</v>
      </c>
      <c r="F14" s="11" t="s">
        <v>37</v>
      </c>
      <c r="G14" s="12" t="s">
        <v>38</v>
      </c>
      <c r="H14" s="11" t="s">
        <v>39</v>
      </c>
      <c r="I14" s="11" t="s">
        <v>40</v>
      </c>
      <c r="J14" s="11" t="s">
        <v>41</v>
      </c>
      <c r="K14" s="11" t="s">
        <v>41</v>
      </c>
      <c r="L14" s="11" t="s">
        <v>42</v>
      </c>
      <c r="M14" s="13" t="s">
        <v>43</v>
      </c>
      <c r="N14" s="14" t="s">
        <v>44</v>
      </c>
      <c r="O14" s="140"/>
      <c r="P14" s="140"/>
      <c r="Q14" s="141"/>
    </row>
    <row r="15" spans="1:17" ht="31.5" customHeight="1" x14ac:dyDescent="0.2">
      <c r="A15" s="93">
        <v>42</v>
      </c>
      <c r="B15" s="38"/>
      <c r="C15" s="38"/>
      <c r="D15" s="38">
        <v>2</v>
      </c>
      <c r="E15" s="38"/>
      <c r="F15" s="38">
        <v>4901</v>
      </c>
      <c r="G15" s="38">
        <v>3</v>
      </c>
      <c r="H15" s="38">
        <v>310</v>
      </c>
      <c r="I15" s="94">
        <v>2</v>
      </c>
      <c r="J15" s="94">
        <v>5</v>
      </c>
      <c r="K15" s="94">
        <v>2</v>
      </c>
      <c r="L15" s="38"/>
      <c r="M15" s="39">
        <v>1</v>
      </c>
      <c r="N15" s="40" t="s">
        <v>50</v>
      </c>
      <c r="O15" s="142" t="s">
        <v>113</v>
      </c>
      <c r="P15" s="143"/>
      <c r="Q15" s="95">
        <v>3746039.5</v>
      </c>
    </row>
    <row r="16" spans="1:17" ht="17.25" customHeight="1" x14ac:dyDescent="0.2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7"/>
      <c r="N16" s="18"/>
      <c r="O16" s="144"/>
      <c r="P16" s="144"/>
      <c r="Q16" s="19"/>
    </row>
    <row r="17" spans="1:18" ht="17.25" customHeight="1" x14ac:dyDescent="0.2">
      <c r="A17" s="15"/>
      <c r="B17" s="16"/>
      <c r="C17" s="16"/>
      <c r="D17" s="16"/>
      <c r="E17" s="16"/>
      <c r="F17" s="18"/>
      <c r="G17" s="16"/>
      <c r="H17" s="16"/>
      <c r="I17" s="16"/>
      <c r="J17" s="16"/>
      <c r="K17" s="16"/>
      <c r="L17" s="16"/>
      <c r="M17" s="17"/>
      <c r="N17" s="18"/>
      <c r="O17" s="144"/>
      <c r="P17" s="144"/>
      <c r="Q17" s="19"/>
    </row>
    <row r="18" spans="1:18" ht="17.25" customHeight="1" x14ac:dyDescent="0.2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7"/>
      <c r="N18" s="18"/>
      <c r="O18" s="144"/>
      <c r="P18" s="144"/>
      <c r="Q18" s="19"/>
    </row>
    <row r="19" spans="1:18" ht="17.25" customHeight="1" x14ac:dyDescent="0.2">
      <c r="A19" s="15"/>
      <c r="B19" s="16"/>
      <c r="C19" s="16"/>
      <c r="D19" s="16"/>
      <c r="E19" s="16"/>
      <c r="F19" s="18"/>
      <c r="G19" s="16"/>
      <c r="H19" s="16"/>
      <c r="I19" s="16"/>
      <c r="J19" s="16"/>
      <c r="K19" s="16"/>
      <c r="L19" s="16"/>
      <c r="M19" s="17"/>
      <c r="N19" s="18"/>
      <c r="O19" s="144"/>
      <c r="P19" s="144"/>
      <c r="Q19" s="19"/>
    </row>
    <row r="20" spans="1:18" ht="17.25" customHeight="1" x14ac:dyDescent="0.2">
      <c r="A20" s="15"/>
      <c r="B20" s="16"/>
      <c r="C20" s="16"/>
      <c r="D20" s="16"/>
      <c r="E20" s="16"/>
      <c r="F20" s="18"/>
      <c r="G20" s="16"/>
      <c r="H20" s="16"/>
      <c r="I20" s="16"/>
      <c r="J20" s="16"/>
      <c r="K20" s="16"/>
      <c r="L20" s="16"/>
      <c r="M20" s="17"/>
      <c r="N20" s="18"/>
      <c r="O20" s="144"/>
      <c r="P20" s="144"/>
      <c r="Q20" s="19"/>
    </row>
    <row r="21" spans="1:18" ht="17.25" customHeight="1" x14ac:dyDescent="0.2">
      <c r="A21" s="20"/>
      <c r="B21" s="21"/>
      <c r="C21" s="21"/>
      <c r="D21" s="21"/>
      <c r="E21" s="21"/>
      <c r="F21" s="22"/>
      <c r="G21" s="21"/>
      <c r="H21" s="21"/>
      <c r="I21" s="21"/>
      <c r="J21" s="21"/>
      <c r="K21" s="21"/>
      <c r="L21" s="21"/>
      <c r="M21" s="23"/>
      <c r="N21" s="24"/>
      <c r="O21" s="150"/>
      <c r="P21" s="150"/>
      <c r="Q21" s="19"/>
      <c r="R21" s="1"/>
    </row>
    <row r="22" spans="1:18" ht="17.25" customHeight="1" x14ac:dyDescent="0.2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7"/>
      <c r="N22" s="26"/>
      <c r="O22" s="151"/>
      <c r="P22" s="151"/>
      <c r="Q22" s="28"/>
    </row>
    <row r="23" spans="1:18" ht="29.25" customHeight="1" x14ac:dyDescent="0.2">
      <c r="A23" s="152" t="s">
        <v>117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96">
        <f>SUM(Q15:Q22)</f>
        <v>3746039.5</v>
      </c>
    </row>
    <row r="24" spans="1:18" ht="18" customHeight="1" thickBot="1" x14ac:dyDescent="0.25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</row>
    <row r="25" spans="1:18" ht="17.25" customHeight="1" thickBot="1" x14ac:dyDescent="0.25">
      <c r="A25" s="145" t="s">
        <v>45</v>
      </c>
      <c r="B25" s="146"/>
      <c r="C25" s="146"/>
      <c r="D25" s="146"/>
      <c r="E25" s="146"/>
      <c r="F25" s="147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</row>
    <row r="26" spans="1:18" ht="18" customHeight="1" thickBot="1" x14ac:dyDescent="0.25">
      <c r="A26" s="149" t="s">
        <v>114</v>
      </c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</row>
    <row r="27" spans="1:18" ht="36" customHeight="1" x14ac:dyDescent="0.2">
      <c r="A27" s="149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E8BD-F862-4065-ACFA-0A437B2E4A03}">
  <dimension ref="B2:E22"/>
  <sheetViews>
    <sheetView workbookViewId="0">
      <selection activeCell="E2" sqref="E2:E21"/>
    </sheetView>
  </sheetViews>
  <sheetFormatPr baseColWidth="10" defaultRowHeight="12.75" x14ac:dyDescent="0.2"/>
  <sheetData>
    <row r="2" spans="2:5" x14ac:dyDescent="0.2">
      <c r="B2">
        <v>10</v>
      </c>
      <c r="C2">
        <v>998</v>
      </c>
      <c r="E2">
        <f>+B2*C2</f>
        <v>9980</v>
      </c>
    </row>
    <row r="3" spans="2:5" x14ac:dyDescent="0.2">
      <c r="B3">
        <v>10</v>
      </c>
      <c r="C3">
        <v>380</v>
      </c>
      <c r="E3">
        <f t="shared" ref="E3:E21" si="0">+B3*C3</f>
        <v>3800</v>
      </c>
    </row>
    <row r="4" spans="2:5" x14ac:dyDescent="0.2">
      <c r="B4">
        <v>45</v>
      </c>
      <c r="C4">
        <v>25800</v>
      </c>
      <c r="E4">
        <f t="shared" si="0"/>
        <v>1161000</v>
      </c>
    </row>
    <row r="5" spans="2:5" x14ac:dyDescent="0.2">
      <c r="B5">
        <v>5</v>
      </c>
      <c r="C5">
        <v>13500</v>
      </c>
      <c r="E5">
        <f t="shared" si="0"/>
        <v>67500</v>
      </c>
    </row>
    <row r="6" spans="2:5" x14ac:dyDescent="0.2">
      <c r="B6">
        <v>1000</v>
      </c>
      <c r="C6">
        <v>447</v>
      </c>
      <c r="E6">
        <f t="shared" si="0"/>
        <v>447000</v>
      </c>
    </row>
    <row r="7" spans="2:5" x14ac:dyDescent="0.2">
      <c r="B7">
        <v>10</v>
      </c>
      <c r="C7">
        <v>5090</v>
      </c>
      <c r="E7">
        <f t="shared" si="0"/>
        <v>50900</v>
      </c>
    </row>
    <row r="8" spans="2:5" x14ac:dyDescent="0.2">
      <c r="B8">
        <v>100</v>
      </c>
      <c r="C8">
        <v>1125.7</v>
      </c>
      <c r="E8">
        <f t="shared" si="0"/>
        <v>112570</v>
      </c>
    </row>
    <row r="9" spans="2:5" x14ac:dyDescent="0.2">
      <c r="B9">
        <v>900</v>
      </c>
      <c r="C9">
        <v>45</v>
      </c>
      <c r="E9">
        <f t="shared" si="0"/>
        <v>40500</v>
      </c>
    </row>
    <row r="10" spans="2:5" x14ac:dyDescent="0.2">
      <c r="B10">
        <v>50</v>
      </c>
      <c r="C10">
        <v>4.6500000000000004</v>
      </c>
      <c r="E10">
        <f t="shared" si="0"/>
        <v>232.50000000000003</v>
      </c>
    </row>
    <row r="11" spans="2:5" x14ac:dyDescent="0.2">
      <c r="B11">
        <v>200</v>
      </c>
      <c r="C11">
        <v>55</v>
      </c>
      <c r="E11">
        <f t="shared" si="0"/>
        <v>11000</v>
      </c>
    </row>
    <row r="12" spans="2:5" x14ac:dyDescent="0.2">
      <c r="B12">
        <v>40</v>
      </c>
      <c r="C12">
        <v>6450</v>
      </c>
      <c r="E12">
        <f t="shared" si="0"/>
        <v>258000</v>
      </c>
    </row>
    <row r="13" spans="2:5" x14ac:dyDescent="0.2">
      <c r="B13">
        <v>10</v>
      </c>
      <c r="C13">
        <v>98</v>
      </c>
      <c r="E13">
        <f t="shared" si="0"/>
        <v>980</v>
      </c>
    </row>
    <row r="14" spans="2:5" x14ac:dyDescent="0.2">
      <c r="B14">
        <v>1000</v>
      </c>
      <c r="C14">
        <v>45</v>
      </c>
      <c r="E14">
        <f t="shared" si="0"/>
        <v>45000</v>
      </c>
    </row>
    <row r="15" spans="2:5" x14ac:dyDescent="0.2">
      <c r="B15">
        <v>300</v>
      </c>
      <c r="C15">
        <v>47.24</v>
      </c>
      <c r="E15">
        <f t="shared" si="0"/>
        <v>14172</v>
      </c>
    </row>
    <row r="16" spans="2:5" x14ac:dyDescent="0.2">
      <c r="B16">
        <v>2400</v>
      </c>
      <c r="C16">
        <v>520</v>
      </c>
      <c r="E16">
        <f t="shared" si="0"/>
        <v>1248000</v>
      </c>
    </row>
    <row r="17" spans="2:5" x14ac:dyDescent="0.2">
      <c r="B17">
        <v>150</v>
      </c>
      <c r="C17">
        <v>22.7</v>
      </c>
      <c r="E17">
        <f t="shared" si="0"/>
        <v>3405</v>
      </c>
    </row>
    <row r="18" spans="2:5" x14ac:dyDescent="0.2">
      <c r="B18">
        <v>3000</v>
      </c>
      <c r="C18">
        <v>45</v>
      </c>
      <c r="E18">
        <f t="shared" si="0"/>
        <v>135000</v>
      </c>
    </row>
    <row r="19" spans="2:5" x14ac:dyDescent="0.2">
      <c r="B19">
        <v>200</v>
      </c>
      <c r="C19">
        <v>194</v>
      </c>
      <c r="E19">
        <f t="shared" si="0"/>
        <v>38800</v>
      </c>
    </row>
    <row r="20" spans="2:5" x14ac:dyDescent="0.2">
      <c r="B20">
        <v>150</v>
      </c>
      <c r="C20">
        <v>580</v>
      </c>
      <c r="E20">
        <f t="shared" si="0"/>
        <v>87000</v>
      </c>
    </row>
    <row r="21" spans="2:5" x14ac:dyDescent="0.2">
      <c r="B21">
        <v>10</v>
      </c>
      <c r="C21">
        <v>1120</v>
      </c>
      <c r="E21">
        <f t="shared" si="0"/>
        <v>11200</v>
      </c>
    </row>
    <row r="22" spans="2:5" x14ac:dyDescent="0.2">
      <c r="E22">
        <f>SUM(E2:E21)</f>
        <v>3746039.5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Necesidades Trimestrales</vt:lpstr>
      <vt:lpstr> NotaPedido</vt:lpstr>
      <vt:lpstr>Autor Gastar</vt:lpstr>
      <vt:lpstr>Hoja1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2022-05-09T13:41:43Z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