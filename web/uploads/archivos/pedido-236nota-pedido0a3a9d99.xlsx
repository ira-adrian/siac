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CBE249E-DCE0-43A0-9165-5578281950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NotaPedido'!$A$1:$K$28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K24" i="2" l="1"/>
  <c r="J24" i="2"/>
  <c r="C24" i="2"/>
  <c r="B24" i="2"/>
  <c r="B25" i="2"/>
  <c r="I22" i="1" l="1"/>
  <c r="J25" i="2" l="1"/>
  <c r="J20" i="2"/>
  <c r="J22" i="2"/>
  <c r="K20" i="2"/>
  <c r="K21" i="2"/>
  <c r="K22" i="2"/>
  <c r="K23" i="2"/>
  <c r="K25" i="2"/>
  <c r="J21" i="2"/>
  <c r="J23" i="2"/>
  <c r="D12" i="1"/>
  <c r="C20" i="2" l="1"/>
  <c r="C21" i="2"/>
  <c r="C22" i="2"/>
  <c r="C23" i="2"/>
  <c r="C25" i="2"/>
  <c r="B20" i="2"/>
  <c r="B21" i="2"/>
  <c r="B22" i="2"/>
  <c r="B23" i="2"/>
  <c r="I18" i="1"/>
  <c r="I19" i="1"/>
  <c r="I20" i="1"/>
  <c r="I21" i="1"/>
  <c r="I23" i="1"/>
  <c r="I12" i="1" l="1"/>
  <c r="I13" i="1"/>
  <c r="I14" i="1"/>
  <c r="I15" i="1"/>
  <c r="I16" i="1"/>
  <c r="I17" i="1"/>
  <c r="I11" i="1"/>
  <c r="I10" i="1"/>
  <c r="K19" i="2" l="1"/>
  <c r="K18" i="2"/>
  <c r="K17" i="2"/>
  <c r="J19" i="2"/>
  <c r="J18" i="2"/>
  <c r="J17" i="2"/>
  <c r="C19" i="2"/>
  <c r="C18" i="2"/>
  <c r="C17" i="2"/>
  <c r="B19" i="2"/>
  <c r="B18" i="2"/>
  <c r="B17" i="2"/>
  <c r="I15" i="3" l="1"/>
  <c r="Q23" i="3" l="1"/>
  <c r="K13" i="2"/>
  <c r="K14" i="2"/>
  <c r="K15" i="2"/>
  <c r="K16" i="2"/>
  <c r="J13" i="2"/>
  <c r="J14" i="2"/>
  <c r="J15" i="2"/>
  <c r="J16" i="2"/>
  <c r="I13" i="2"/>
  <c r="I14" i="2"/>
  <c r="I15" i="2"/>
  <c r="I16" i="2"/>
  <c r="I17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K12" i="2"/>
  <c r="J12" i="2"/>
  <c r="J26" i="2" s="1"/>
  <c r="I12" i="2"/>
  <c r="C12" i="2"/>
  <c r="B12" i="2"/>
</calcChain>
</file>

<file path=xl/sharedStrings.xml><?xml version="1.0" encoding="utf-8"?>
<sst xmlns="http://schemas.openxmlformats.org/spreadsheetml/2006/main" count="312" uniqueCount="116">
  <si>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</si>
  <si>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</si>
  <si>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</si>
  <si>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</si>
  <si>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</si>
  <si>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</si>
  <si>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</si>
  <si>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</si>
  <si>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</si>
  <si>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</si>
  <si>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</si>
  <si>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</si>
  <si>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</si>
  <si>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</si>
  <si>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</si>
  <si>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</si>
  <si>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</si>
  <si>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</si>
  <si>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</si>
  <si>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</si>
  <si>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</si>
  <si>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</si>
  <si>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</si>
  <si>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</si>
  <si>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</si>
  <si>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</si>
  <si>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</si>
  <si>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</si>
  <si>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</si>
  <si>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</si>
  <si>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</si>
  <si>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</si>
  <si>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</si>
  <si>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</si>
  <si>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</si>
  <si>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</si>
  <si>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</si>
  <si>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</si>
  <si>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</si>
  <si>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</si>
  <si>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</si>
  <si>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</si>
  <si>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</si>
  <si>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</si>
  <si>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</si>
  <si>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</si>
  <si>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</si>
  <si>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</si>
  <si>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</si>
  <si>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</si>
  <si>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</si>
  <si>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</si>
  <si>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</si>
  <si>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</si>
  <si>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</si>
  <si>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</si>
  <si>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</si>
  <si>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</si>
  <si>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</si>
  <si>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</si>
  <si>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</si>
  <si>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</si>
  <si>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</si>
  <si>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Especificidades Item N° 3:</t>
  </si>
  <si>
    <t>Especificidades Item N°4:</t>
  </si>
  <si>
    <t>Especificidades Item N°5:</t>
  </si>
  <si>
    <t>Especificidades Item N°6:</t>
  </si>
  <si>
    <t>MEDIA</t>
  </si>
  <si>
    <t>45- Ministerio de Desarrollo Social y Deporte.-</t>
  </si>
  <si>
    <t>2.1.1</t>
  </si>
  <si>
    <t>NO</t>
  </si>
  <si>
    <t>Especificidades Item N°7:</t>
  </si>
  <si>
    <t>Especificidades Item N°8:</t>
  </si>
  <si>
    <t>Especificidades Item N°9: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</si>
  <si>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</si>
  <si>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</si>
  <si>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</si>
  <si>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</si>
  <si>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CONSERVAS PESCADO Y FRUTOS MAR; TIPO: ATUN, ESTADO: AL NATURAL, PESO: 170 GR, ENVASE: LATA, ELEM. TRANSPORTE: SIN, MATERIAL ELEM. TRANSPORTE: SIN</t>
  </si>
  <si>
    <t>2.1.1-708.43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</si>
  <si>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</si>
  <si>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</si>
  <si>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HARINAS; TIPO: DE TRIGO 0000, PRESENTACION: ENVASE X 1 Kg, MATERIAL ENVASE: PAPEL, CERTICADO FORESTAL (GFS): SIN, ELEM. TRANSPORTE: SIN, MATERIAL ELEM. TRANSPORTE: SIN, LIBRE DE GLUTEN: NO</t>
  </si>
  <si>
    <t>2.1.1-482.77</t>
  </si>
  <si>
    <t>AZUCARES; TIPO: "A" COMUN, ESTADO: MOLIDA, PESO: 1 Kg, MATERIAL ENVASE: PLASTICO, CERTIFICADO FORESTAL (GFS): SIN, ELEM. TRANSPORTE: SIN, MATERIAL ELEM. TRANSPORTE: SIN</t>
  </si>
  <si>
    <t>2.1.1-481.38</t>
  </si>
  <si>
    <t>LEGUMBRES; VARIEDAD: ARVEJA, ESTADO: REMOJADO EN CONSERVA, PRESENTACION: LATA, PESO: 350 GR</t>
  </si>
  <si>
    <t>2.1.1-6547.17</t>
  </si>
  <si>
    <t xml:space="preserve">05 CINCO DIAS </t>
  </si>
  <si>
    <t>DEPOSITO MINISTERIO DE DESARROLLO SOCIAL Y DEPORTE AREA EL PANTANILLO SAN FERNANDO DEL VALLE DE CATAMARCA</t>
  </si>
  <si>
    <t>60DIAS</t>
  </si>
  <si>
    <t>Especificidades Item N° 10:</t>
  </si>
  <si>
    <t>Especificidades Item N° 11:</t>
  </si>
  <si>
    <t>Especificidades Item N° 12:</t>
  </si>
  <si>
    <t>Especificidades Item N° 13: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</si>
  <si>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</si>
  <si>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</si>
  <si>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</si>
  <si>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</si>
  <si>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</si>
  <si>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</si>
  <si>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</si>
  <si>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</si>
  <si>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</si>
  <si>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</si>
  <si>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</si>
  <si>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</si>
  <si>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</si>
  <si>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2.1.1-731.13</t>
  </si>
  <si>
    <t>CONSERVAS DE CARNE; TIPO: PICADILLO, PESO: 90 GR, VARIEDAD: SIN VALOR, ENVASE: LATA</t>
  </si>
  <si>
    <r>
      <t xml:space="preserve">Costo total estimado:  </t>
    </r>
    <r>
      <rPr>
        <b/>
        <sz val="10"/>
        <rFont val="Times New Roman"/>
        <family val="1"/>
      </rPr>
      <t>SETENTA Y DOS MILLONES CIENTO CINCUENTA MIL CON 00/100.-</t>
    </r>
  </si>
  <si>
    <t>101/2021</t>
  </si>
  <si>
    <t>TOTAL DE PESOS: SETENTA Y DOS MILLONES CIENTO CINCUENTA MIL CON 00/100.-</t>
  </si>
  <si>
    <t>16- Direccion Provincial de Accion Social Directa</t>
  </si>
  <si>
    <t>01- Programa Vivir Mejor PRO.VI.ME.</t>
  </si>
  <si>
    <t>02- PRO.VI.ME. Programa Vivir Mejor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</si>
</sst>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4" fillId="0" borderId="47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4" xfId="0" applyBorder="1"/>
    <xf numFmtId="0" fontId="20" fillId="0" borderId="20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7" xfId="0" applyBorder="1"/>
    <xf numFmtId="0" fontId="22" fillId="3" borderId="59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0" fillId="0" borderId="61" xfId="3" applyNumberFormat="1" applyFont="1" applyBorder="1" applyAlignment="1" applyProtection="1">
      <alignment horizontal="center" vertical="center"/>
    </xf>
    <xf numFmtId="166" fontId="0" fillId="0" borderId="65" xfId="3" applyNumberFormat="1" applyFont="1" applyBorder="1" applyAlignment="1" applyProtection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0" fillId="0" borderId="52" xfId="0" applyFill="1" applyBorder="1"/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/>
    </xf>
    <xf numFmtId="0" fontId="0" fillId="0" borderId="51" xfId="0" applyBorder="1"/>
    <xf numFmtId="0" fontId="22" fillId="4" borderId="51" xfId="0" applyFont="1" applyFill="1" applyBorder="1" applyAlignment="1">
      <alignment horizontal="center" vertical="center" wrapText="1"/>
    </xf>
    <xf numFmtId="0" fontId="26" fillId="0" borderId="0" xfId="0" applyFont="1" applyFill="1"/>
    <xf numFmtId="0" fontId="26" fillId="0" borderId="52" xfId="0" applyFont="1" applyFill="1" applyBorder="1"/>
    <xf numFmtId="0" fontId="26" fillId="0" borderId="53" xfId="0" applyFont="1" applyBorder="1"/>
    <xf numFmtId="0" fontId="26" fillId="0" borderId="4" xfId="0" applyFont="1" applyBorder="1"/>
    <xf numFmtId="0" fontId="26" fillId="0" borderId="0" xfId="0" applyFont="1"/>
    <xf numFmtId="0" fontId="26" fillId="0" borderId="51" xfId="0" applyFont="1" applyBorder="1"/>
    <xf numFmtId="0" fontId="26" fillId="0" borderId="68" xfId="0" applyFont="1" applyBorder="1"/>
    <xf numFmtId="0" fontId="19" fillId="0" borderId="5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166" fontId="21" fillId="3" borderId="71" xfId="1" applyNumberFormat="1" applyFont="1" applyFill="1" applyBorder="1" applyAlignment="1" applyProtection="1">
      <alignment horizontal="right" vertical="center" wrapText="1"/>
    </xf>
    <xf numFmtId="0" fontId="0" fillId="0" borderId="72" xfId="0" applyBorder="1"/>
    <xf numFmtId="0" fontId="19" fillId="0" borderId="73" xfId="0" applyFont="1" applyBorder="1" applyAlignment="1">
      <alignment horizontal="center" vertical="center" wrapText="1"/>
    </xf>
    <xf numFmtId="0" fontId="26" fillId="0" borderId="52" xfId="0" applyFont="1" applyBorder="1"/>
    <xf numFmtId="0" fontId="19" fillId="0" borderId="52" xfId="0" applyFont="1" applyBorder="1" applyAlignment="1">
      <alignment horizontal="center" vertical="center" wrapText="1"/>
    </xf>
    <xf numFmtId="0" fontId="22" fillId="4" borderId="55" xfId="0" applyFont="1" applyFill="1" applyBorder="1" applyAlignment="1">
      <alignment horizontal="center" vertical="center" wrapText="1"/>
    </xf>
    <xf numFmtId="0" fontId="0" fillId="0" borderId="55" xfId="0" applyBorder="1"/>
    <xf numFmtId="0" fontId="0" fillId="0" borderId="69" xfId="0" applyBorder="1"/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72" xfId="1" applyNumberFormat="1" applyFont="1" applyFill="1" applyBorder="1" applyAlignment="1" applyProtection="1">
      <alignment horizontal="right" vertical="center" wrapText="1"/>
    </xf>
    <xf numFmtId="166" fontId="21" fillId="0" borderId="7" xfId="1" applyNumberFormat="1" applyFont="1" applyFill="1" applyBorder="1" applyAlignment="1" applyProtection="1">
      <alignment horizontal="right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166" fontId="21" fillId="0" borderId="59" xfId="1" applyNumberFormat="1" applyFont="1" applyFill="1" applyBorder="1" applyAlignment="1" applyProtection="1">
      <alignment horizontal="right" vertical="center" wrapText="1"/>
    </xf>
    <xf numFmtId="0" fontId="0" fillId="0" borderId="62" xfId="0" applyFont="1" applyFill="1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right" vertical="center"/>
    </xf>
    <xf numFmtId="0" fontId="6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center" vertical="center" wrapText="1"/>
    </xf>
    <xf numFmtId="166" fontId="4" fillId="0" borderId="25" xfId="1" applyNumberFormat="1" applyFont="1" applyFill="1" applyBorder="1" applyAlignment="1" applyProtection="1">
      <alignment horizontal="right" vertical="center" wrapText="1"/>
    </xf>
    <xf numFmtId="3" fontId="4" fillId="0" borderId="25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0" xfId="0" applyFont="1" applyFill="1" applyBorder="1" applyAlignment="1">
      <alignment horizontal="left" vertical="center" wrapText="1" indent="1"/>
    </xf>
    <xf numFmtId="167" fontId="25" fillId="0" borderId="20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 wrapText="1" indent="1"/>
    </xf>
    <xf numFmtId="0" fontId="8" fillId="0" borderId="22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47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8" fillId="0" borderId="47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0" fillId="0" borderId="29" xfId="0" applyBorder="1"/>
    <xf numFmtId="0" fontId="26" fillId="0" borderId="63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12" fillId="0" borderId="30" xfId="0" applyFont="1" applyBorder="1"/>
    <xf numFmtId="0" fontId="12" fillId="0" borderId="31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50000%20sec.%20compra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7"/>
  <sheetViews>
    <sheetView tabSelected="1" zoomScaleNormal="100" workbookViewId="0">
      <selection activeCell="C7" sqref="C7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customWidth="1"/>
    <col min="4" max="4" width="8.42578125" style="32" customWidth="1"/>
    <col min="5" max="5" width="174.28515625" style="32" customWidth="1"/>
    <col min="6" max="6" width="10.5703125" style="32" bestFit="1" customWidth="1"/>
    <col min="7" max="8" width="10.42578125" style="32" bestFit="1" customWidth="1"/>
    <col min="9" max="9" width="15.7109375" style="32" bestFit="1" customWidth="1"/>
    <col min="10" max="16384" width="11" style="32"/>
  </cols>
  <sheetData>
    <row r="2" spans="1:9" ht="27" x14ac:dyDescent="0.35">
      <c r="B2" s="120" t="s">
        <v>0</v>
      </c>
      <c r="C2" s="120"/>
      <c r="D2" s="120"/>
      <c r="E2" s="120"/>
      <c r="F2" s="120"/>
      <c r="G2" s="120"/>
      <c r="H2" s="120"/>
    </row>
    <row r="4" spans="1:9" ht="18" customHeight="1" x14ac:dyDescent="0.25">
      <c r="A4" s="119" t="s">
        <v>1</v>
      </c>
      <c r="B4" s="119"/>
      <c r="C4" s="121" t="s">
        <v>68</v>
      </c>
      <c r="D4" s="121"/>
      <c r="E4" s="121"/>
      <c r="F4" s="33"/>
      <c r="G4" s="34"/>
      <c r="H4" s="33"/>
    </row>
    <row r="5" spans="1:9" ht="18" customHeight="1" x14ac:dyDescent="0.25">
      <c r="A5" s="119" t="s">
        <v>2</v>
      </c>
      <c r="B5" s="119"/>
      <c r="C5" s="121" t="s">
        <v>61</v>
      </c>
      <c r="D5" s="121"/>
      <c r="E5" s="121"/>
      <c r="F5" s="33"/>
      <c r="G5" s="34"/>
      <c r="H5" s="33"/>
    </row>
    <row r="6" spans="1:9" ht="16.5" customHeight="1" x14ac:dyDescent="0.25">
      <c r="A6" s="119" t="s">
        <v>3</v>
      </c>
      <c r="B6" s="119"/>
      <c r="C6" s="51">
        <v>2021</v>
      </c>
      <c r="D6" s="52"/>
      <c r="E6" s="52"/>
      <c r="F6" s="33"/>
      <c r="G6" s="34"/>
      <c r="H6" s="33"/>
    </row>
    <row r="7" spans="1:9" ht="16.5" customHeight="1" x14ac:dyDescent="0.25">
      <c r="A7" s="119" t="s">
        <v>4</v>
      </c>
      <c r="B7" s="119"/>
      <c r="C7" s="51">
        <v>1</v>
      </c>
      <c r="D7" s="52"/>
      <c r="E7" s="52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" thickBot="1" x14ac:dyDescent="0.25">
      <c r="A9" s="68" t="s">
        <v>5</v>
      </c>
      <c r="B9" s="54" t="s">
        <v>6</v>
      </c>
      <c r="C9" s="54" t="s">
        <v>7</v>
      </c>
      <c r="D9" s="69" t="s">
        <v>8</v>
      </c>
      <c r="E9" s="54" t="s">
        <v>9</v>
      </c>
      <c r="F9" s="55" t="s">
        <v>10</v>
      </c>
      <c r="G9" s="56" t="s">
        <v>11</v>
      </c>
      <c r="H9" s="56" t="s">
        <v>12</v>
      </c>
      <c r="I9" s="57" t="s">
        <v>13</v>
      </c>
    </row>
    <row r="10" spans="1:9" x14ac:dyDescent="0.2">
      <c r="A10" s="66">
        <v>1</v>
      </c>
      <c r="B10" s="74" t="s">
        <v>77</v>
      </c>
      <c r="C10" s="67" t="s">
        <v>59</v>
      </c>
      <c r="D10" s="80" t="s">
        <v>69</v>
      </c>
      <c r="E10" s="73" t="s">
        <v>76</v>
      </c>
      <c r="F10" s="59" t="s">
        <v>14</v>
      </c>
      <c r="G10" s="35">
        <v>50000</v>
      </c>
      <c r="H10" s="98">
        <v>420</v>
      </c>
      <c r="I10" s="62">
        <f>+H10*G10</f>
        <v>21000000</v>
      </c>
    </row>
    <row r="11" spans="1:9" x14ac:dyDescent="0.2">
      <c r="A11" s="36">
        <v>2</v>
      </c>
      <c r="B11" s="1" t="s">
        <v>74</v>
      </c>
      <c r="C11" s="87" t="s">
        <v>59</v>
      </c>
      <c r="D11" s="88" t="str">
        <f t="shared" ref="D11:D12" si="0">LEFT(B11,5)</f>
        <v>2.1.1</v>
      </c>
      <c r="E11" s="71" t="s">
        <v>75</v>
      </c>
      <c r="F11" s="60" t="s">
        <v>14</v>
      </c>
      <c r="G11" s="61">
        <v>50000</v>
      </c>
      <c r="H11" s="94">
        <v>145</v>
      </c>
      <c r="I11" s="63">
        <f>+H11*G11</f>
        <v>7250000</v>
      </c>
    </row>
    <row r="12" spans="1:9" x14ac:dyDescent="0.2">
      <c r="A12" s="36">
        <v>3</v>
      </c>
      <c r="B12" s="53" t="s">
        <v>101</v>
      </c>
      <c r="C12" s="53" t="s">
        <v>59</v>
      </c>
      <c r="D12" s="81" t="str">
        <f t="shared" si="0"/>
        <v>2.1.1</v>
      </c>
      <c r="E12" s="53" t="s">
        <v>102</v>
      </c>
      <c r="F12" s="60" t="s">
        <v>14</v>
      </c>
      <c r="G12" s="61">
        <v>50000</v>
      </c>
      <c r="H12" s="94">
        <v>250</v>
      </c>
      <c r="I12" s="63">
        <f t="shared" ref="I12:I23" si="1">+H12*G12</f>
        <v>12500000</v>
      </c>
    </row>
    <row r="13" spans="1:9" x14ac:dyDescent="0.2">
      <c r="A13" s="36">
        <v>4</v>
      </c>
      <c r="B13" s="89" t="s">
        <v>79</v>
      </c>
      <c r="C13" t="s">
        <v>59</v>
      </c>
      <c r="D13" s="90" t="s">
        <v>69</v>
      </c>
      <c r="E13" s="77" t="s">
        <v>78</v>
      </c>
      <c r="F13" s="60" t="s">
        <v>14</v>
      </c>
      <c r="G13" s="61">
        <v>50000</v>
      </c>
      <c r="H13" s="94">
        <v>89</v>
      </c>
      <c r="I13" s="63">
        <f t="shared" si="1"/>
        <v>4450000</v>
      </c>
    </row>
    <row r="14" spans="1:9" x14ac:dyDescent="0.2">
      <c r="A14" s="36">
        <v>5</v>
      </c>
      <c r="B14" s="75" t="s">
        <v>81</v>
      </c>
      <c r="C14" s="53" t="s">
        <v>59</v>
      </c>
      <c r="D14" s="80" t="s">
        <v>69</v>
      </c>
      <c r="E14" s="76" t="s">
        <v>80</v>
      </c>
      <c r="F14" s="60" t="s">
        <v>14</v>
      </c>
      <c r="G14" s="61">
        <v>50000</v>
      </c>
      <c r="H14" s="94">
        <v>85</v>
      </c>
      <c r="I14" s="63">
        <f t="shared" si="1"/>
        <v>4250000</v>
      </c>
    </row>
    <row r="15" spans="1:9" x14ac:dyDescent="0.2">
      <c r="A15" s="70">
        <v>6</v>
      </c>
      <c r="B15" s="79" t="s">
        <v>83</v>
      </c>
      <c r="C15" s="71" t="s">
        <v>59</v>
      </c>
      <c r="D15" s="82" t="s">
        <v>69</v>
      </c>
      <c r="E15" s="78" t="s">
        <v>82</v>
      </c>
      <c r="F15" s="72" t="s">
        <v>14</v>
      </c>
      <c r="G15" s="61">
        <v>50000</v>
      </c>
      <c r="H15" s="94">
        <v>53</v>
      </c>
      <c r="I15" s="63">
        <f t="shared" si="1"/>
        <v>2650000</v>
      </c>
    </row>
    <row r="16" spans="1:9" x14ac:dyDescent="0.2">
      <c r="A16" s="70">
        <v>7</v>
      </c>
      <c r="B16" s="53" t="s">
        <v>103</v>
      </c>
      <c r="C16" s="53" t="s">
        <v>59</v>
      </c>
      <c r="D16" s="81" t="s">
        <v>69</v>
      </c>
      <c r="E16" s="53" t="s">
        <v>104</v>
      </c>
      <c r="F16" s="72" t="s">
        <v>14</v>
      </c>
      <c r="G16" s="61">
        <v>50000</v>
      </c>
      <c r="H16" s="94">
        <v>49</v>
      </c>
      <c r="I16" s="63">
        <f t="shared" si="1"/>
        <v>2450000</v>
      </c>
    </row>
    <row r="17" spans="1:10" x14ac:dyDescent="0.2">
      <c r="A17" s="70">
        <v>8</v>
      </c>
      <c r="B17" s="79" t="s">
        <v>85</v>
      </c>
      <c r="C17" s="71" t="s">
        <v>59</v>
      </c>
      <c r="D17" s="82" t="s">
        <v>69</v>
      </c>
      <c r="E17" s="78" t="s">
        <v>84</v>
      </c>
      <c r="F17" s="72" t="s">
        <v>14</v>
      </c>
      <c r="G17" s="61">
        <v>50000</v>
      </c>
      <c r="H17" s="94">
        <v>62</v>
      </c>
      <c r="I17" s="63">
        <f t="shared" si="1"/>
        <v>3100000</v>
      </c>
    </row>
    <row r="18" spans="1:10" x14ac:dyDescent="0.2">
      <c r="A18" s="70">
        <v>9</v>
      </c>
      <c r="B18" s="79" t="s">
        <v>87</v>
      </c>
      <c r="C18" s="71" t="s">
        <v>59</v>
      </c>
      <c r="D18" s="82" t="s">
        <v>69</v>
      </c>
      <c r="E18" s="78" t="s">
        <v>86</v>
      </c>
      <c r="F18" s="72" t="s">
        <v>14</v>
      </c>
      <c r="G18" s="61">
        <v>50000</v>
      </c>
      <c r="H18" s="95">
        <v>39</v>
      </c>
      <c r="I18" s="63">
        <f t="shared" si="1"/>
        <v>1950000</v>
      </c>
    </row>
    <row r="19" spans="1:10" x14ac:dyDescent="0.2">
      <c r="A19" s="70">
        <v>10</v>
      </c>
      <c r="B19" s="53" t="s">
        <v>95</v>
      </c>
      <c r="C19" s="53" t="s">
        <v>59</v>
      </c>
      <c r="D19" s="82" t="s">
        <v>69</v>
      </c>
      <c r="E19" s="53" t="s">
        <v>96</v>
      </c>
      <c r="F19" s="72" t="s">
        <v>14</v>
      </c>
      <c r="G19" s="61">
        <v>50000</v>
      </c>
      <c r="H19" s="94">
        <v>39</v>
      </c>
      <c r="I19" s="63">
        <f t="shared" si="1"/>
        <v>1950000</v>
      </c>
    </row>
    <row r="20" spans="1:10" x14ac:dyDescent="0.2">
      <c r="A20" s="70">
        <v>11</v>
      </c>
      <c r="B20" s="53" t="s">
        <v>97</v>
      </c>
      <c r="C20" s="53" t="s">
        <v>59</v>
      </c>
      <c r="D20" s="82" t="s">
        <v>69</v>
      </c>
      <c r="E20" s="53" t="s">
        <v>98</v>
      </c>
      <c r="F20" s="72" t="s">
        <v>14</v>
      </c>
      <c r="G20" s="61">
        <v>50000</v>
      </c>
      <c r="H20" s="94">
        <v>39</v>
      </c>
      <c r="I20" s="63">
        <f t="shared" si="1"/>
        <v>1950000</v>
      </c>
    </row>
    <row r="21" spans="1:10" x14ac:dyDescent="0.2">
      <c r="A21" s="70">
        <v>12</v>
      </c>
      <c r="B21" s="71" t="s">
        <v>99</v>
      </c>
      <c r="C21" s="71" t="s">
        <v>59</v>
      </c>
      <c r="D21" s="82" t="s">
        <v>69</v>
      </c>
      <c r="E21" s="71" t="s">
        <v>100</v>
      </c>
      <c r="F21" s="72" t="s">
        <v>14</v>
      </c>
      <c r="G21" s="61">
        <v>50000</v>
      </c>
      <c r="H21" s="94">
        <v>39</v>
      </c>
      <c r="I21" s="63">
        <f t="shared" si="1"/>
        <v>1950000</v>
      </c>
    </row>
    <row r="22" spans="1:10" x14ac:dyDescent="0.2">
      <c r="A22" s="70">
        <v>13</v>
      </c>
      <c r="B22" s="71" t="s">
        <v>108</v>
      </c>
      <c r="C22" s="93" t="s">
        <v>59</v>
      </c>
      <c r="D22" s="82" t="s">
        <v>69</v>
      </c>
      <c r="E22" s="93" t="s">
        <v>109</v>
      </c>
      <c r="F22" s="72" t="s">
        <v>14</v>
      </c>
      <c r="G22" s="61">
        <v>50000</v>
      </c>
      <c r="H22" s="97">
        <v>45</v>
      </c>
      <c r="I22" s="63">
        <f t="shared" si="1"/>
        <v>2250000</v>
      </c>
    </row>
    <row r="23" spans="1:10" ht="13.5" thickBot="1" x14ac:dyDescent="0.25">
      <c r="A23" s="37">
        <v>14</v>
      </c>
      <c r="B23" s="58" t="s">
        <v>105</v>
      </c>
      <c r="C23" s="92" t="s">
        <v>59</v>
      </c>
      <c r="D23" s="83" t="s">
        <v>69</v>
      </c>
      <c r="E23" s="92" t="s">
        <v>106</v>
      </c>
      <c r="F23" s="91" t="s">
        <v>14</v>
      </c>
      <c r="G23" s="61">
        <v>50000</v>
      </c>
      <c r="H23" s="96">
        <v>89</v>
      </c>
      <c r="I23" s="86">
        <f t="shared" si="1"/>
        <v>4450000</v>
      </c>
    </row>
    <row r="24" spans="1:10" x14ac:dyDescent="0.2">
      <c r="I24" s="85"/>
      <c r="J24" s="85"/>
    </row>
    <row r="26" spans="1:10" x14ac:dyDescent="0.2">
      <c r="B26" s="38" t="s">
        <v>15</v>
      </c>
      <c r="C26" s="39"/>
      <c r="D26" s="39"/>
      <c r="E26" s="40"/>
    </row>
    <row r="27" spans="1:10" ht="5.25" customHeight="1" x14ac:dyDescent="0.2">
      <c r="B27" s="41"/>
      <c r="C27" s="42"/>
      <c r="D27" s="42"/>
      <c r="E27" s="43"/>
    </row>
    <row r="28" spans="1:10" x14ac:dyDescent="0.2">
      <c r="B28" s="44" t="s">
        <v>16</v>
      </c>
      <c r="C28" s="42"/>
      <c r="D28" s="42"/>
      <c r="E28" s="43"/>
    </row>
    <row r="29" spans="1:10" ht="41.25" customHeight="1" x14ac:dyDescent="0.2">
      <c r="B29" s="44"/>
      <c r="C29" s="117"/>
      <c r="D29" s="117"/>
      <c r="E29" s="117"/>
    </row>
    <row r="30" spans="1:10" x14ac:dyDescent="0.2">
      <c r="B30" s="44" t="s">
        <v>17</v>
      </c>
      <c r="C30" s="42"/>
      <c r="D30" s="42"/>
      <c r="E30" s="43"/>
    </row>
    <row r="31" spans="1:10" x14ac:dyDescent="0.2">
      <c r="B31" s="45"/>
      <c r="C31" s="116" t="s">
        <v>88</v>
      </c>
      <c r="D31" s="116"/>
      <c r="E31" s="116"/>
    </row>
    <row r="32" spans="1:10" x14ac:dyDescent="0.2">
      <c r="B32" s="45"/>
      <c r="C32" s="116" t="s">
        <v>89</v>
      </c>
      <c r="D32" s="116"/>
      <c r="E32" s="116"/>
    </row>
    <row r="33" spans="2:5" x14ac:dyDescent="0.2">
      <c r="B33" s="44" t="s">
        <v>18</v>
      </c>
      <c r="C33" s="42"/>
      <c r="D33" s="42"/>
      <c r="E33" s="43"/>
    </row>
    <row r="34" spans="2:5" ht="26.25" customHeight="1" x14ac:dyDescent="0.2">
      <c r="B34" s="45"/>
      <c r="C34" s="117" t="s">
        <v>67</v>
      </c>
      <c r="D34" s="117"/>
      <c r="E34" s="117"/>
    </row>
    <row r="35" spans="2:5" x14ac:dyDescent="0.2">
      <c r="B35" s="44" t="s">
        <v>19</v>
      </c>
      <c r="C35" s="46"/>
      <c r="D35" s="46"/>
      <c r="E35" s="47"/>
    </row>
    <row r="36" spans="2:5" ht="26.25" customHeight="1" x14ac:dyDescent="0.2">
      <c r="B36" s="45"/>
      <c r="C36" s="117" t="s">
        <v>90</v>
      </c>
      <c r="D36" s="117"/>
      <c r="E36" s="117"/>
    </row>
    <row r="37" spans="2:5" x14ac:dyDescent="0.2">
      <c r="B37" s="44" t="s">
        <v>20</v>
      </c>
      <c r="C37" s="42"/>
      <c r="D37" s="42"/>
      <c r="E37" s="43"/>
    </row>
    <row r="38" spans="2:5" ht="23.25" customHeight="1" x14ac:dyDescent="0.2">
      <c r="B38" s="44"/>
      <c r="C38" s="116" t="s">
        <v>62</v>
      </c>
      <c r="D38" s="116"/>
      <c r="E38" s="116"/>
    </row>
    <row r="39" spans="2:5" x14ac:dyDescent="0.2">
      <c r="B39" s="48"/>
      <c r="C39" s="49"/>
      <c r="D39" s="49"/>
      <c r="E39" s="50"/>
    </row>
    <row r="41" spans="2:5" x14ac:dyDescent="0.2">
      <c r="B41" s="38" t="s">
        <v>21</v>
      </c>
      <c r="C41" s="39"/>
      <c r="D41" s="39"/>
      <c r="E41" s="40"/>
    </row>
    <row r="42" spans="2:5" ht="7.5" customHeight="1" x14ac:dyDescent="0.2">
      <c r="B42" s="41"/>
      <c r="C42" s="42"/>
      <c r="D42" s="42"/>
      <c r="E42" s="43"/>
    </row>
    <row r="43" spans="2:5" x14ac:dyDescent="0.2">
      <c r="B43" s="44" t="s">
        <v>16</v>
      </c>
      <c r="C43" s="42"/>
      <c r="D43" s="42"/>
      <c r="E43" s="43"/>
    </row>
    <row r="44" spans="2:5" ht="39" customHeight="1" x14ac:dyDescent="0.2">
      <c r="B44" s="44"/>
      <c r="C44" s="118"/>
      <c r="D44" s="118"/>
      <c r="E44" s="117"/>
    </row>
    <row r="45" spans="2:5" x14ac:dyDescent="0.2">
      <c r="B45" s="44" t="s">
        <v>17</v>
      </c>
      <c r="C45" s="42"/>
      <c r="D45" s="42"/>
      <c r="E45" s="43"/>
    </row>
    <row r="46" spans="2:5" x14ac:dyDescent="0.2">
      <c r="B46" s="45"/>
      <c r="C46" s="116" t="s">
        <v>88</v>
      </c>
      <c r="D46" s="116"/>
      <c r="E46" s="116"/>
    </row>
    <row r="47" spans="2:5" x14ac:dyDescent="0.2">
      <c r="B47" s="45"/>
      <c r="C47" s="116" t="s">
        <v>89</v>
      </c>
      <c r="D47" s="116"/>
      <c r="E47" s="116"/>
    </row>
    <row r="48" spans="2:5" x14ac:dyDescent="0.2">
      <c r="B48" s="44" t="s">
        <v>18</v>
      </c>
      <c r="C48" s="42"/>
      <c r="D48" s="42"/>
      <c r="E48" s="43"/>
    </row>
    <row r="49" spans="2:5" x14ac:dyDescent="0.2">
      <c r="B49" s="45"/>
      <c r="C49" s="117" t="s">
        <v>67</v>
      </c>
      <c r="D49" s="117"/>
      <c r="E49" s="117"/>
    </row>
    <row r="50" spans="2:5" x14ac:dyDescent="0.2">
      <c r="B50" s="44" t="s">
        <v>19</v>
      </c>
      <c r="C50" s="46"/>
      <c r="D50" s="46"/>
      <c r="E50" s="47"/>
    </row>
    <row r="51" spans="2:5" x14ac:dyDescent="0.2">
      <c r="B51" s="45"/>
      <c r="C51" s="117" t="s">
        <v>90</v>
      </c>
      <c r="D51" s="117"/>
      <c r="E51" s="117"/>
    </row>
    <row r="52" spans="2:5" x14ac:dyDescent="0.2">
      <c r="B52" s="44" t="s">
        <v>20</v>
      </c>
      <c r="C52" s="42"/>
      <c r="D52" s="42"/>
      <c r="E52" s="43"/>
    </row>
    <row r="53" spans="2:5" x14ac:dyDescent="0.2">
      <c r="B53" s="44"/>
      <c r="C53" s="116" t="s">
        <v>62</v>
      </c>
      <c r="D53" s="116"/>
      <c r="E53" s="116"/>
    </row>
    <row r="54" spans="2:5" ht="13.5" thickBot="1" x14ac:dyDescent="0.25">
      <c r="B54" s="48"/>
      <c r="C54" s="49"/>
      <c r="D54" s="49"/>
      <c r="E54" s="50"/>
    </row>
    <row r="55" spans="2:5" ht="13.5" thickBot="1" x14ac:dyDescent="0.25"/>
    <row r="56" spans="2:5" x14ac:dyDescent="0.2">
      <c r="B56" s="38" t="s">
        <v>63</v>
      </c>
      <c r="C56" s="39"/>
      <c r="D56" s="39"/>
      <c r="E56" s="40"/>
    </row>
    <row r="57" spans="2:5" x14ac:dyDescent="0.2">
      <c r="B57" s="41"/>
      <c r="C57" s="42"/>
      <c r="D57" s="42"/>
      <c r="E57" s="43"/>
    </row>
    <row r="58" spans="2:5" x14ac:dyDescent="0.2">
      <c r="B58" s="44" t="s">
        <v>16</v>
      </c>
      <c r="C58" s="42"/>
      <c r="D58" s="42"/>
      <c r="E58" s="43"/>
    </row>
    <row r="59" spans="2:5" x14ac:dyDescent="0.2">
      <c r="B59" s="44"/>
      <c r="C59" s="117"/>
      <c r="D59" s="117"/>
      <c r="E59" s="117"/>
    </row>
    <row r="60" spans="2:5" x14ac:dyDescent="0.2">
      <c r="B60" s="44" t="s">
        <v>17</v>
      </c>
      <c r="C60" s="42"/>
      <c r="D60" s="42"/>
      <c r="E60" s="43"/>
    </row>
    <row r="61" spans="2:5" x14ac:dyDescent="0.2">
      <c r="B61" s="45"/>
      <c r="C61" s="116" t="s">
        <v>88</v>
      </c>
      <c r="D61" s="116"/>
      <c r="E61" s="116"/>
    </row>
    <row r="62" spans="2:5" x14ac:dyDescent="0.2">
      <c r="B62" s="45"/>
      <c r="C62" s="116" t="s">
        <v>89</v>
      </c>
      <c r="D62" s="116"/>
      <c r="E62" s="116"/>
    </row>
    <row r="63" spans="2:5" x14ac:dyDescent="0.2">
      <c r="B63" s="44" t="s">
        <v>18</v>
      </c>
      <c r="C63" s="42"/>
      <c r="D63" s="42"/>
      <c r="E63" s="43"/>
    </row>
    <row r="64" spans="2:5" x14ac:dyDescent="0.2">
      <c r="B64" s="45"/>
      <c r="C64" s="117" t="s">
        <v>67</v>
      </c>
      <c r="D64" s="117"/>
      <c r="E64" s="117"/>
    </row>
    <row r="65" spans="2:5" x14ac:dyDescent="0.2">
      <c r="B65" s="44" t="s">
        <v>19</v>
      </c>
      <c r="C65" s="46"/>
      <c r="D65" s="46"/>
      <c r="E65" s="47"/>
    </row>
    <row r="66" spans="2:5" x14ac:dyDescent="0.2">
      <c r="B66" s="45"/>
      <c r="C66" s="117" t="s">
        <v>90</v>
      </c>
      <c r="D66" s="117"/>
      <c r="E66" s="117"/>
    </row>
    <row r="67" spans="2:5" x14ac:dyDescent="0.2">
      <c r="B67" s="44" t="s">
        <v>20</v>
      </c>
      <c r="C67" s="42"/>
      <c r="D67" s="42"/>
      <c r="E67" s="43"/>
    </row>
    <row r="68" spans="2:5" x14ac:dyDescent="0.2">
      <c r="B68" s="44"/>
      <c r="C68" s="116" t="s">
        <v>62</v>
      </c>
      <c r="D68" s="116"/>
      <c r="E68" s="116"/>
    </row>
    <row r="69" spans="2:5" ht="13.5" thickBot="1" x14ac:dyDescent="0.25">
      <c r="B69" s="48"/>
      <c r="C69" s="49"/>
      <c r="D69" s="49"/>
      <c r="E69" s="50"/>
    </row>
    <row r="70" spans="2:5" ht="13.5" thickBot="1" x14ac:dyDescent="0.25"/>
    <row r="71" spans="2:5" x14ac:dyDescent="0.2">
      <c r="B71" s="38" t="s">
        <v>64</v>
      </c>
      <c r="C71" s="39"/>
      <c r="D71" s="39"/>
      <c r="E71" s="40"/>
    </row>
    <row r="72" spans="2:5" x14ac:dyDescent="0.2">
      <c r="B72" s="41"/>
      <c r="C72" s="42"/>
      <c r="D72" s="42"/>
      <c r="E72" s="43"/>
    </row>
    <row r="73" spans="2:5" x14ac:dyDescent="0.2">
      <c r="B73" s="44" t="s">
        <v>16</v>
      </c>
      <c r="C73" s="42"/>
      <c r="D73" s="42"/>
      <c r="E73" s="43"/>
    </row>
    <row r="74" spans="2:5" x14ac:dyDescent="0.2">
      <c r="B74" s="44"/>
      <c r="C74" s="117"/>
      <c r="D74" s="117"/>
      <c r="E74" s="117"/>
    </row>
    <row r="75" spans="2:5" x14ac:dyDescent="0.2">
      <c r="B75" s="44" t="s">
        <v>17</v>
      </c>
      <c r="C75" s="42"/>
      <c r="D75" s="42"/>
      <c r="E75" s="43"/>
    </row>
    <row r="76" spans="2:5" x14ac:dyDescent="0.2">
      <c r="B76" s="45"/>
      <c r="C76" s="116" t="s">
        <v>88</v>
      </c>
      <c r="D76" s="116"/>
      <c r="E76" s="116"/>
    </row>
    <row r="77" spans="2:5" x14ac:dyDescent="0.2">
      <c r="B77" s="45"/>
      <c r="C77" s="116" t="s">
        <v>89</v>
      </c>
      <c r="D77" s="116"/>
      <c r="E77" s="116"/>
    </row>
    <row r="78" spans="2:5" x14ac:dyDescent="0.2">
      <c r="B78" s="44" t="s">
        <v>18</v>
      </c>
      <c r="C78" s="42"/>
      <c r="D78" s="42"/>
      <c r="E78" s="43"/>
    </row>
    <row r="79" spans="2:5" x14ac:dyDescent="0.2">
      <c r="B79" s="45"/>
      <c r="C79" s="117" t="s">
        <v>67</v>
      </c>
      <c r="D79" s="117"/>
      <c r="E79" s="117"/>
    </row>
    <row r="80" spans="2:5" x14ac:dyDescent="0.2">
      <c r="B80" s="44" t="s">
        <v>19</v>
      </c>
      <c r="C80" s="46"/>
      <c r="D80" s="46"/>
      <c r="E80" s="47"/>
    </row>
    <row r="81" spans="2:5" x14ac:dyDescent="0.2">
      <c r="B81" s="45"/>
      <c r="C81" s="117" t="s">
        <v>90</v>
      </c>
      <c r="D81" s="117"/>
      <c r="E81" s="117"/>
    </row>
    <row r="82" spans="2:5" x14ac:dyDescent="0.2">
      <c r="B82" s="44" t="s">
        <v>20</v>
      </c>
      <c r="C82" s="42"/>
      <c r="D82" s="42"/>
      <c r="E82" s="43"/>
    </row>
    <row r="83" spans="2:5" x14ac:dyDescent="0.2">
      <c r="B83" s="44"/>
      <c r="C83" s="116" t="s">
        <v>62</v>
      </c>
      <c r="D83" s="116"/>
      <c r="E83" s="116"/>
    </row>
    <row r="84" spans="2:5" ht="13.5" thickBot="1" x14ac:dyDescent="0.25">
      <c r="B84" s="48"/>
      <c r="C84" s="49"/>
      <c r="D84" s="49"/>
      <c r="E84" s="50"/>
    </row>
    <row r="85" spans="2:5" ht="13.5" thickBot="1" x14ac:dyDescent="0.25"/>
    <row r="86" spans="2:5" x14ac:dyDescent="0.2">
      <c r="B86" s="38" t="s">
        <v>65</v>
      </c>
      <c r="C86" s="39"/>
      <c r="D86" s="39"/>
      <c r="E86" s="40"/>
    </row>
    <row r="87" spans="2:5" x14ac:dyDescent="0.2">
      <c r="B87" s="41"/>
      <c r="C87" s="42"/>
      <c r="D87" s="42"/>
      <c r="E87" s="43"/>
    </row>
    <row r="88" spans="2:5" x14ac:dyDescent="0.2">
      <c r="B88" s="44" t="s">
        <v>16</v>
      </c>
      <c r="C88" s="42"/>
      <c r="D88" s="42"/>
      <c r="E88" s="43"/>
    </row>
    <row r="89" spans="2:5" x14ac:dyDescent="0.2">
      <c r="B89" s="44"/>
      <c r="C89" s="117"/>
      <c r="D89" s="117"/>
      <c r="E89" s="117"/>
    </row>
    <row r="90" spans="2:5" x14ac:dyDescent="0.2">
      <c r="B90" s="44" t="s">
        <v>17</v>
      </c>
      <c r="C90" s="42"/>
      <c r="D90" s="42"/>
      <c r="E90" s="43"/>
    </row>
    <row r="91" spans="2:5" x14ac:dyDescent="0.2">
      <c r="B91" s="45"/>
      <c r="C91" s="116" t="s">
        <v>88</v>
      </c>
      <c r="D91" s="116"/>
      <c r="E91" s="116"/>
    </row>
    <row r="92" spans="2:5" x14ac:dyDescent="0.2">
      <c r="B92" s="45"/>
      <c r="C92" s="116" t="s">
        <v>89</v>
      </c>
      <c r="D92" s="116"/>
      <c r="E92" s="116"/>
    </row>
    <row r="93" spans="2:5" x14ac:dyDescent="0.2">
      <c r="B93" s="44" t="s">
        <v>18</v>
      </c>
      <c r="C93" s="42"/>
      <c r="D93" s="42"/>
      <c r="E93" s="43"/>
    </row>
    <row r="94" spans="2:5" x14ac:dyDescent="0.2">
      <c r="B94" s="45"/>
      <c r="C94" s="117" t="s">
        <v>67</v>
      </c>
      <c r="D94" s="117"/>
      <c r="E94" s="117"/>
    </row>
    <row r="95" spans="2:5" x14ac:dyDescent="0.2">
      <c r="B95" s="44" t="s">
        <v>19</v>
      </c>
      <c r="C95" s="46"/>
      <c r="D95" s="46"/>
      <c r="E95" s="47"/>
    </row>
    <row r="96" spans="2:5" x14ac:dyDescent="0.2">
      <c r="B96" s="45"/>
      <c r="C96" s="117" t="s">
        <v>90</v>
      </c>
      <c r="D96" s="117"/>
      <c r="E96" s="117"/>
    </row>
    <row r="97" spans="2:5" x14ac:dyDescent="0.2">
      <c r="B97" s="44" t="s">
        <v>20</v>
      </c>
      <c r="C97" s="42"/>
      <c r="D97" s="42"/>
      <c r="E97" s="43"/>
    </row>
    <row r="98" spans="2:5" x14ac:dyDescent="0.2">
      <c r="B98" s="44"/>
      <c r="C98" s="116" t="s">
        <v>62</v>
      </c>
      <c r="D98" s="116"/>
      <c r="E98" s="116"/>
    </row>
    <row r="99" spans="2:5" ht="13.5" thickBot="1" x14ac:dyDescent="0.25">
      <c r="B99" s="48"/>
      <c r="C99" s="49"/>
      <c r="D99" s="49"/>
      <c r="E99" s="50"/>
    </row>
    <row r="100" spans="2:5" ht="13.5" thickBot="1" x14ac:dyDescent="0.25"/>
    <row r="101" spans="2:5" x14ac:dyDescent="0.2">
      <c r="B101" s="38" t="s">
        <v>66</v>
      </c>
      <c r="C101" s="39"/>
      <c r="D101" s="39"/>
      <c r="E101" s="40"/>
    </row>
    <row r="102" spans="2:5" x14ac:dyDescent="0.2">
      <c r="B102" s="41"/>
      <c r="C102" s="42"/>
      <c r="D102" s="42"/>
      <c r="E102" s="43"/>
    </row>
    <row r="103" spans="2:5" x14ac:dyDescent="0.2">
      <c r="B103" s="44" t="s">
        <v>16</v>
      </c>
      <c r="C103" s="42"/>
      <c r="D103" s="42"/>
      <c r="E103" s="43"/>
    </row>
    <row r="104" spans="2:5" x14ac:dyDescent="0.2">
      <c r="B104" s="44"/>
      <c r="C104" s="117"/>
      <c r="D104" s="117"/>
      <c r="E104" s="117"/>
    </row>
    <row r="105" spans="2:5" x14ac:dyDescent="0.2">
      <c r="B105" s="44" t="s">
        <v>17</v>
      </c>
      <c r="C105" s="42"/>
      <c r="D105" s="42"/>
      <c r="E105" s="43"/>
    </row>
    <row r="106" spans="2:5" x14ac:dyDescent="0.2">
      <c r="B106" s="45"/>
      <c r="C106" s="116" t="s">
        <v>88</v>
      </c>
      <c r="D106" s="116"/>
      <c r="E106" s="116"/>
    </row>
    <row r="107" spans="2:5" x14ac:dyDescent="0.2">
      <c r="B107" s="45"/>
      <c r="C107" s="116" t="s">
        <v>89</v>
      </c>
      <c r="D107" s="116"/>
      <c r="E107" s="116"/>
    </row>
    <row r="108" spans="2:5" x14ac:dyDescent="0.2">
      <c r="B108" s="44" t="s">
        <v>18</v>
      </c>
      <c r="C108" s="42"/>
      <c r="D108" s="42"/>
      <c r="E108" s="43"/>
    </row>
    <row r="109" spans="2:5" x14ac:dyDescent="0.2">
      <c r="B109" s="45"/>
      <c r="C109" s="117" t="s">
        <v>67</v>
      </c>
      <c r="D109" s="117"/>
      <c r="E109" s="117"/>
    </row>
    <row r="110" spans="2:5" x14ac:dyDescent="0.2">
      <c r="B110" s="44" t="s">
        <v>19</v>
      </c>
      <c r="C110" s="46"/>
      <c r="D110" s="46"/>
      <c r="E110" s="47"/>
    </row>
    <row r="111" spans="2:5" x14ac:dyDescent="0.2">
      <c r="B111" s="45"/>
      <c r="C111" s="117" t="s">
        <v>90</v>
      </c>
      <c r="D111" s="117"/>
      <c r="E111" s="117"/>
    </row>
    <row r="112" spans="2:5" x14ac:dyDescent="0.2">
      <c r="B112" s="44" t="s">
        <v>20</v>
      </c>
      <c r="C112" s="42"/>
      <c r="D112" s="42"/>
      <c r="E112" s="43"/>
    </row>
    <row r="113" spans="2:5" x14ac:dyDescent="0.2">
      <c r="B113" s="44"/>
      <c r="C113" s="116" t="s">
        <v>62</v>
      </c>
      <c r="D113" s="116"/>
      <c r="E113" s="116"/>
    </row>
    <row r="114" spans="2:5" ht="13.5" thickBot="1" x14ac:dyDescent="0.25">
      <c r="B114" s="48"/>
      <c r="C114" s="49"/>
      <c r="D114" s="49"/>
      <c r="E114" s="50"/>
    </row>
    <row r="115" spans="2:5" ht="13.5" thickBot="1" x14ac:dyDescent="0.25"/>
    <row r="116" spans="2:5" x14ac:dyDescent="0.2">
      <c r="B116" s="38" t="s">
        <v>71</v>
      </c>
      <c r="C116" s="39"/>
      <c r="D116" s="39"/>
      <c r="E116" s="40"/>
    </row>
    <row r="117" spans="2:5" x14ac:dyDescent="0.2">
      <c r="B117" s="41"/>
      <c r="C117" s="42"/>
      <c r="D117" s="42"/>
      <c r="E117" s="43"/>
    </row>
    <row r="118" spans="2:5" x14ac:dyDescent="0.2">
      <c r="B118" s="44" t="s">
        <v>16</v>
      </c>
      <c r="C118" s="42"/>
      <c r="D118" s="42"/>
      <c r="E118" s="43"/>
    </row>
    <row r="119" spans="2:5" x14ac:dyDescent="0.2">
      <c r="B119" s="44"/>
      <c r="C119" s="117"/>
      <c r="D119" s="117"/>
      <c r="E119" s="117"/>
    </row>
    <row r="120" spans="2:5" x14ac:dyDescent="0.2">
      <c r="B120" s="44" t="s">
        <v>17</v>
      </c>
      <c r="C120" s="42"/>
      <c r="D120" s="42"/>
      <c r="E120" s="43"/>
    </row>
    <row r="121" spans="2:5" x14ac:dyDescent="0.2">
      <c r="B121" s="45"/>
      <c r="C121" s="116" t="s">
        <v>88</v>
      </c>
      <c r="D121" s="116"/>
      <c r="E121" s="116"/>
    </row>
    <row r="122" spans="2:5" x14ac:dyDescent="0.2">
      <c r="B122" s="45"/>
      <c r="C122" s="116" t="s">
        <v>89</v>
      </c>
      <c r="D122" s="116"/>
      <c r="E122" s="116"/>
    </row>
    <row r="123" spans="2:5" x14ac:dyDescent="0.2">
      <c r="B123" s="44" t="s">
        <v>18</v>
      </c>
      <c r="C123" s="42"/>
      <c r="D123" s="42"/>
      <c r="E123" s="43"/>
    </row>
    <row r="124" spans="2:5" x14ac:dyDescent="0.2">
      <c r="B124" s="45"/>
      <c r="C124" s="117" t="s">
        <v>67</v>
      </c>
      <c r="D124" s="117"/>
      <c r="E124" s="117"/>
    </row>
    <row r="125" spans="2:5" x14ac:dyDescent="0.2">
      <c r="B125" s="44" t="s">
        <v>19</v>
      </c>
      <c r="C125" s="46"/>
      <c r="D125" s="46"/>
      <c r="E125" s="47"/>
    </row>
    <row r="126" spans="2:5" x14ac:dyDescent="0.2">
      <c r="B126" s="45"/>
      <c r="C126" s="117" t="s">
        <v>90</v>
      </c>
      <c r="D126" s="117"/>
      <c r="E126" s="117"/>
    </row>
    <row r="127" spans="2:5" x14ac:dyDescent="0.2">
      <c r="B127" s="44" t="s">
        <v>20</v>
      </c>
      <c r="C127" s="42"/>
      <c r="D127" s="42"/>
      <c r="E127" s="43"/>
    </row>
    <row r="128" spans="2:5" x14ac:dyDescent="0.2">
      <c r="B128" s="44"/>
      <c r="C128" s="116" t="s">
        <v>62</v>
      </c>
      <c r="D128" s="116"/>
      <c r="E128" s="116"/>
    </row>
    <row r="129" spans="2:5" ht="13.5" thickBot="1" x14ac:dyDescent="0.25">
      <c r="B129" s="48"/>
      <c r="C129" s="49"/>
      <c r="D129" s="49"/>
      <c r="E129" s="50"/>
    </row>
    <row r="130" spans="2:5" ht="13.5" thickBot="1" x14ac:dyDescent="0.25"/>
    <row r="131" spans="2:5" x14ac:dyDescent="0.2">
      <c r="B131" s="38" t="s">
        <v>72</v>
      </c>
      <c r="C131" s="39"/>
      <c r="D131" s="39"/>
      <c r="E131" s="40"/>
    </row>
    <row r="132" spans="2:5" x14ac:dyDescent="0.2">
      <c r="B132" s="41"/>
      <c r="C132" s="42"/>
      <c r="D132" s="42"/>
      <c r="E132" s="43"/>
    </row>
    <row r="133" spans="2:5" x14ac:dyDescent="0.2">
      <c r="B133" s="44" t="s">
        <v>16</v>
      </c>
      <c r="C133" s="42"/>
      <c r="D133" s="42"/>
      <c r="E133" s="43"/>
    </row>
    <row r="134" spans="2:5" x14ac:dyDescent="0.2">
      <c r="B134" s="44"/>
      <c r="C134" s="117"/>
      <c r="D134" s="117"/>
      <c r="E134" s="117"/>
    </row>
    <row r="135" spans="2:5" x14ac:dyDescent="0.2">
      <c r="B135" s="44" t="s">
        <v>17</v>
      </c>
      <c r="C135" s="42"/>
      <c r="D135" s="42"/>
      <c r="E135" s="43"/>
    </row>
    <row r="136" spans="2:5" x14ac:dyDescent="0.2">
      <c r="B136" s="45"/>
      <c r="C136" s="116" t="s">
        <v>88</v>
      </c>
      <c r="D136" s="116"/>
      <c r="E136" s="116"/>
    </row>
    <row r="137" spans="2:5" x14ac:dyDescent="0.2">
      <c r="B137" s="45"/>
      <c r="C137" s="116" t="s">
        <v>89</v>
      </c>
      <c r="D137" s="116"/>
      <c r="E137" s="116"/>
    </row>
    <row r="138" spans="2:5" x14ac:dyDescent="0.2">
      <c r="B138" s="44" t="s">
        <v>18</v>
      </c>
      <c r="C138" s="42"/>
      <c r="D138" s="42"/>
      <c r="E138" s="43"/>
    </row>
    <row r="139" spans="2:5" x14ac:dyDescent="0.2">
      <c r="B139" s="45"/>
      <c r="C139" s="117" t="s">
        <v>67</v>
      </c>
      <c r="D139" s="117"/>
      <c r="E139" s="117"/>
    </row>
    <row r="140" spans="2:5" x14ac:dyDescent="0.2">
      <c r="B140" s="44" t="s">
        <v>19</v>
      </c>
      <c r="C140" s="46"/>
      <c r="D140" s="46"/>
      <c r="E140" s="47"/>
    </row>
    <row r="141" spans="2:5" x14ac:dyDescent="0.2">
      <c r="B141" s="45"/>
      <c r="C141" s="117" t="s">
        <v>90</v>
      </c>
      <c r="D141" s="117"/>
      <c r="E141" s="117"/>
    </row>
    <row r="142" spans="2:5" x14ac:dyDescent="0.2">
      <c r="B142" s="44" t="s">
        <v>20</v>
      </c>
      <c r="C142" s="42"/>
      <c r="D142" s="42"/>
      <c r="E142" s="43"/>
    </row>
    <row r="143" spans="2:5" x14ac:dyDescent="0.2">
      <c r="B143" s="44"/>
      <c r="C143" s="116" t="s">
        <v>62</v>
      </c>
      <c r="D143" s="116"/>
      <c r="E143" s="116"/>
    </row>
    <row r="144" spans="2:5" ht="13.5" thickBot="1" x14ac:dyDescent="0.25">
      <c r="B144" s="48"/>
      <c r="C144" s="49"/>
      <c r="D144" s="49"/>
      <c r="E144" s="50"/>
    </row>
    <row r="145" spans="2:5" ht="13.5" thickBot="1" x14ac:dyDescent="0.25"/>
    <row r="146" spans="2:5" x14ac:dyDescent="0.2">
      <c r="B146" s="38" t="s">
        <v>73</v>
      </c>
      <c r="C146" s="39"/>
      <c r="D146" s="39"/>
      <c r="E146" s="40"/>
    </row>
    <row r="147" spans="2:5" x14ac:dyDescent="0.2">
      <c r="B147" s="41"/>
      <c r="C147" s="42"/>
      <c r="D147" s="42"/>
      <c r="E147" s="43"/>
    </row>
    <row r="148" spans="2:5" x14ac:dyDescent="0.2">
      <c r="B148" s="44" t="s">
        <v>16</v>
      </c>
      <c r="C148" s="42"/>
      <c r="D148" s="42"/>
      <c r="E148" s="43"/>
    </row>
    <row r="149" spans="2:5" x14ac:dyDescent="0.2">
      <c r="B149" s="44"/>
      <c r="C149" s="117"/>
      <c r="D149" s="117"/>
      <c r="E149" s="117"/>
    </row>
    <row r="150" spans="2:5" x14ac:dyDescent="0.2">
      <c r="B150" s="44" t="s">
        <v>17</v>
      </c>
      <c r="C150" s="42"/>
      <c r="D150" s="42"/>
      <c r="E150" s="43"/>
    </row>
    <row r="151" spans="2:5" x14ac:dyDescent="0.2">
      <c r="B151" s="45"/>
      <c r="C151" s="116" t="s">
        <v>88</v>
      </c>
      <c r="D151" s="116"/>
      <c r="E151" s="116"/>
    </row>
    <row r="152" spans="2:5" x14ac:dyDescent="0.2">
      <c r="B152" s="45"/>
      <c r="C152" s="116" t="s">
        <v>89</v>
      </c>
      <c r="D152" s="116"/>
      <c r="E152" s="116"/>
    </row>
    <row r="153" spans="2:5" x14ac:dyDescent="0.2">
      <c r="B153" s="44" t="s">
        <v>18</v>
      </c>
      <c r="C153" s="42"/>
      <c r="D153" s="42"/>
      <c r="E153" s="43"/>
    </row>
    <row r="154" spans="2:5" x14ac:dyDescent="0.2">
      <c r="B154" s="45"/>
      <c r="C154" s="117" t="s">
        <v>67</v>
      </c>
      <c r="D154" s="117"/>
      <c r="E154" s="117"/>
    </row>
    <row r="155" spans="2:5" x14ac:dyDescent="0.2">
      <c r="B155" s="44" t="s">
        <v>19</v>
      </c>
      <c r="C155" s="46"/>
      <c r="D155" s="46"/>
      <c r="E155" s="47"/>
    </row>
    <row r="156" spans="2:5" x14ac:dyDescent="0.2">
      <c r="B156" s="45"/>
      <c r="C156" s="117" t="s">
        <v>90</v>
      </c>
      <c r="D156" s="117"/>
      <c r="E156" s="117"/>
    </row>
    <row r="157" spans="2:5" x14ac:dyDescent="0.2">
      <c r="B157" s="44" t="s">
        <v>20</v>
      </c>
      <c r="C157" s="42"/>
      <c r="D157" s="42"/>
      <c r="E157" s="43"/>
    </row>
    <row r="158" spans="2:5" x14ac:dyDescent="0.2">
      <c r="B158" s="44"/>
      <c r="C158" s="116" t="s">
        <v>62</v>
      </c>
      <c r="D158" s="116"/>
      <c r="E158" s="116"/>
    </row>
    <row r="159" spans="2:5" ht="13.5" thickBot="1" x14ac:dyDescent="0.25">
      <c r="B159" s="48"/>
      <c r="C159" s="49"/>
      <c r="D159" s="49"/>
      <c r="E159" s="50"/>
    </row>
    <row r="160" spans="2:5" ht="13.5" thickBot="1" x14ac:dyDescent="0.25"/>
    <row r="161" spans="2:5" x14ac:dyDescent="0.2">
      <c r="B161" s="38" t="s">
        <v>91</v>
      </c>
      <c r="C161" s="39"/>
      <c r="D161" s="39"/>
      <c r="E161" s="40"/>
    </row>
    <row r="162" spans="2:5" x14ac:dyDescent="0.2">
      <c r="B162" s="41"/>
      <c r="C162" s="42"/>
      <c r="D162" s="42"/>
      <c r="E162" s="43"/>
    </row>
    <row r="163" spans="2:5" x14ac:dyDescent="0.2">
      <c r="B163" s="44" t="s">
        <v>16</v>
      </c>
      <c r="C163" s="42"/>
      <c r="D163" s="42"/>
      <c r="E163" s="43"/>
    </row>
    <row r="164" spans="2:5" x14ac:dyDescent="0.2">
      <c r="B164" s="44"/>
      <c r="C164" s="117"/>
      <c r="D164" s="117"/>
      <c r="E164" s="117"/>
    </row>
    <row r="165" spans="2:5" x14ac:dyDescent="0.2">
      <c r="B165" s="44" t="s">
        <v>17</v>
      </c>
      <c r="C165" s="42"/>
      <c r="D165" s="42"/>
      <c r="E165" s="43"/>
    </row>
    <row r="166" spans="2:5" x14ac:dyDescent="0.2">
      <c r="B166" s="45"/>
      <c r="C166" s="116" t="s">
        <v>88</v>
      </c>
      <c r="D166" s="116"/>
      <c r="E166" s="116"/>
    </row>
    <row r="167" spans="2:5" x14ac:dyDescent="0.2">
      <c r="B167" s="45"/>
      <c r="C167" s="116" t="s">
        <v>89</v>
      </c>
      <c r="D167" s="116"/>
      <c r="E167" s="116"/>
    </row>
    <row r="168" spans="2:5" x14ac:dyDescent="0.2">
      <c r="B168" s="44" t="s">
        <v>18</v>
      </c>
      <c r="C168" s="42"/>
      <c r="D168" s="42"/>
      <c r="E168" s="43"/>
    </row>
    <row r="169" spans="2:5" x14ac:dyDescent="0.2">
      <c r="B169" s="45"/>
      <c r="C169" s="117" t="s">
        <v>67</v>
      </c>
      <c r="D169" s="117"/>
      <c r="E169" s="117"/>
    </row>
    <row r="170" spans="2:5" x14ac:dyDescent="0.2">
      <c r="B170" s="44" t="s">
        <v>19</v>
      </c>
      <c r="C170" s="46"/>
      <c r="D170" s="46"/>
      <c r="E170" s="47"/>
    </row>
    <row r="171" spans="2:5" x14ac:dyDescent="0.2">
      <c r="B171" s="45"/>
      <c r="C171" s="117" t="s">
        <v>90</v>
      </c>
      <c r="D171" s="117"/>
      <c r="E171" s="117"/>
    </row>
    <row r="172" spans="2:5" x14ac:dyDescent="0.2">
      <c r="B172" s="44" t="s">
        <v>20</v>
      </c>
      <c r="C172" s="42"/>
      <c r="D172" s="42"/>
      <c r="E172" s="43"/>
    </row>
    <row r="173" spans="2:5" x14ac:dyDescent="0.2">
      <c r="B173" s="44"/>
      <c r="C173" s="116" t="s">
        <v>62</v>
      </c>
      <c r="D173" s="116"/>
      <c r="E173" s="116"/>
    </row>
    <row r="174" spans="2:5" ht="13.5" thickBot="1" x14ac:dyDescent="0.25">
      <c r="B174" s="48"/>
      <c r="C174" s="49"/>
      <c r="D174" s="49"/>
      <c r="E174" s="50"/>
    </row>
    <row r="175" spans="2:5" ht="13.5" thickBot="1" x14ac:dyDescent="0.25"/>
    <row r="176" spans="2:5" x14ac:dyDescent="0.2">
      <c r="B176" s="38" t="s">
        <v>92</v>
      </c>
      <c r="C176" s="39"/>
      <c r="D176" s="39"/>
      <c r="E176" s="40"/>
    </row>
    <row r="177" spans="2:5" x14ac:dyDescent="0.2">
      <c r="B177" s="41"/>
      <c r="C177" s="42"/>
      <c r="D177" s="42"/>
      <c r="E177" s="43"/>
    </row>
    <row r="178" spans="2:5" x14ac:dyDescent="0.2">
      <c r="B178" s="44" t="s">
        <v>16</v>
      </c>
      <c r="C178" s="42"/>
      <c r="D178" s="42"/>
      <c r="E178" s="43"/>
    </row>
    <row r="179" spans="2:5" x14ac:dyDescent="0.2">
      <c r="B179" s="44"/>
      <c r="C179" s="117"/>
      <c r="D179" s="117"/>
      <c r="E179" s="117"/>
    </row>
    <row r="180" spans="2:5" x14ac:dyDescent="0.2">
      <c r="B180" s="44" t="s">
        <v>17</v>
      </c>
      <c r="C180" s="42"/>
      <c r="D180" s="42"/>
      <c r="E180" s="43"/>
    </row>
    <row r="181" spans="2:5" x14ac:dyDescent="0.2">
      <c r="B181" s="45"/>
      <c r="C181" s="116" t="s">
        <v>88</v>
      </c>
      <c r="D181" s="116"/>
      <c r="E181" s="116"/>
    </row>
    <row r="182" spans="2:5" x14ac:dyDescent="0.2">
      <c r="B182" s="45"/>
      <c r="C182" s="116" t="s">
        <v>89</v>
      </c>
      <c r="D182" s="116"/>
      <c r="E182" s="116"/>
    </row>
    <row r="183" spans="2:5" x14ac:dyDescent="0.2">
      <c r="B183" s="44" t="s">
        <v>18</v>
      </c>
      <c r="C183" s="42"/>
      <c r="D183" s="42"/>
      <c r="E183" s="43"/>
    </row>
    <row r="184" spans="2:5" x14ac:dyDescent="0.2">
      <c r="B184" s="45"/>
      <c r="C184" s="117" t="s">
        <v>67</v>
      </c>
      <c r="D184" s="117"/>
      <c r="E184" s="117"/>
    </row>
    <row r="185" spans="2:5" x14ac:dyDescent="0.2">
      <c r="B185" s="44" t="s">
        <v>19</v>
      </c>
      <c r="C185" s="46"/>
      <c r="D185" s="46"/>
      <c r="E185" s="47"/>
    </row>
    <row r="186" spans="2:5" x14ac:dyDescent="0.2">
      <c r="B186" s="45"/>
      <c r="C186" s="117" t="s">
        <v>90</v>
      </c>
      <c r="D186" s="117"/>
      <c r="E186" s="117"/>
    </row>
    <row r="187" spans="2:5" x14ac:dyDescent="0.2">
      <c r="B187" s="44" t="s">
        <v>20</v>
      </c>
      <c r="C187" s="42"/>
      <c r="D187" s="42"/>
      <c r="E187" s="43"/>
    </row>
    <row r="188" spans="2:5" x14ac:dyDescent="0.2">
      <c r="B188" s="44"/>
      <c r="C188" s="116" t="s">
        <v>62</v>
      </c>
      <c r="D188" s="116"/>
      <c r="E188" s="116"/>
    </row>
    <row r="189" spans="2:5" ht="13.5" thickBot="1" x14ac:dyDescent="0.25">
      <c r="B189" s="48"/>
      <c r="C189" s="49"/>
      <c r="D189" s="49"/>
      <c r="E189" s="50"/>
    </row>
    <row r="191" spans="2:5" ht="13.5" thickBot="1" x14ac:dyDescent="0.25"/>
    <row r="192" spans="2:5" x14ac:dyDescent="0.2">
      <c r="B192" s="38" t="s">
        <v>93</v>
      </c>
      <c r="C192" s="39"/>
      <c r="D192" s="39"/>
      <c r="E192" s="40"/>
    </row>
    <row r="193" spans="2:5" x14ac:dyDescent="0.2">
      <c r="B193" s="41"/>
      <c r="C193" s="42"/>
      <c r="D193" s="42"/>
      <c r="E193" s="43"/>
    </row>
    <row r="194" spans="2:5" x14ac:dyDescent="0.2">
      <c r="B194" s="44" t="s">
        <v>16</v>
      </c>
      <c r="C194" s="42"/>
      <c r="D194" s="42"/>
      <c r="E194" s="43"/>
    </row>
    <row r="195" spans="2:5" x14ac:dyDescent="0.2">
      <c r="B195" s="44"/>
      <c r="C195" s="117"/>
      <c r="D195" s="117"/>
      <c r="E195" s="117"/>
    </row>
    <row r="196" spans="2:5" x14ac:dyDescent="0.2">
      <c r="B196" s="44" t="s">
        <v>17</v>
      </c>
      <c r="C196" s="42"/>
      <c r="D196" s="42"/>
      <c r="E196" s="43"/>
    </row>
    <row r="197" spans="2:5" x14ac:dyDescent="0.2">
      <c r="B197" s="45"/>
      <c r="C197" s="116" t="s">
        <v>88</v>
      </c>
      <c r="D197" s="116"/>
      <c r="E197" s="116"/>
    </row>
    <row r="198" spans="2:5" x14ac:dyDescent="0.2">
      <c r="B198" s="45"/>
      <c r="C198" s="116" t="s">
        <v>89</v>
      </c>
      <c r="D198" s="116"/>
      <c r="E198" s="116"/>
    </row>
    <row r="199" spans="2:5" x14ac:dyDescent="0.2">
      <c r="B199" s="44" t="s">
        <v>18</v>
      </c>
      <c r="C199" s="42"/>
      <c r="D199" s="42"/>
      <c r="E199" s="43"/>
    </row>
    <row r="200" spans="2:5" x14ac:dyDescent="0.2">
      <c r="B200" s="45"/>
      <c r="C200" s="117" t="s">
        <v>67</v>
      </c>
      <c r="D200" s="117"/>
      <c r="E200" s="117"/>
    </row>
    <row r="201" spans="2:5" x14ac:dyDescent="0.2">
      <c r="B201" s="44" t="s">
        <v>19</v>
      </c>
      <c r="C201" s="46"/>
      <c r="D201" s="46"/>
      <c r="E201" s="47"/>
    </row>
    <row r="202" spans="2:5" x14ac:dyDescent="0.2">
      <c r="B202" s="45"/>
      <c r="C202" s="117" t="s">
        <v>90</v>
      </c>
      <c r="D202" s="117"/>
      <c r="E202" s="117"/>
    </row>
    <row r="203" spans="2:5" x14ac:dyDescent="0.2">
      <c r="B203" s="44" t="s">
        <v>20</v>
      </c>
      <c r="C203" s="42"/>
      <c r="D203" s="42"/>
      <c r="E203" s="43"/>
    </row>
    <row r="204" spans="2:5" x14ac:dyDescent="0.2">
      <c r="B204" s="44"/>
      <c r="C204" s="116" t="s">
        <v>62</v>
      </c>
      <c r="D204" s="116"/>
      <c r="E204" s="116"/>
    </row>
    <row r="205" spans="2:5" ht="13.5" thickBot="1" x14ac:dyDescent="0.25">
      <c r="B205" s="48"/>
      <c r="C205" s="49"/>
      <c r="D205" s="49"/>
      <c r="E205" s="50"/>
    </row>
    <row r="207" spans="2:5" ht="13.5" thickBot="1" x14ac:dyDescent="0.25"/>
    <row r="208" spans="2:5" x14ac:dyDescent="0.2">
      <c r="B208" s="38" t="s">
        <v>94</v>
      </c>
      <c r="C208" s="39"/>
      <c r="D208" s="39"/>
      <c r="E208" s="40"/>
    </row>
    <row r="209" spans="2:5" x14ac:dyDescent="0.2">
      <c r="B209" s="41"/>
      <c r="C209" s="42"/>
      <c r="D209" s="42"/>
      <c r="E209" s="43"/>
    </row>
    <row r="210" spans="2:5" x14ac:dyDescent="0.2">
      <c r="B210" s="44" t="s">
        <v>16</v>
      </c>
      <c r="C210" s="42"/>
      <c r="D210" s="42"/>
      <c r="E210" s="43"/>
    </row>
    <row r="211" spans="2:5" x14ac:dyDescent="0.2">
      <c r="B211" s="44"/>
      <c r="C211" s="117"/>
      <c r="D211" s="117"/>
      <c r="E211" s="117"/>
    </row>
    <row r="212" spans="2:5" x14ac:dyDescent="0.2">
      <c r="B212" s="44" t="s">
        <v>17</v>
      </c>
      <c r="C212" s="42"/>
      <c r="D212" s="42"/>
      <c r="E212" s="43"/>
    </row>
    <row r="213" spans="2:5" x14ac:dyDescent="0.2">
      <c r="B213" s="45"/>
      <c r="C213" s="116" t="s">
        <v>88</v>
      </c>
      <c r="D213" s="116"/>
      <c r="E213" s="116"/>
    </row>
    <row r="214" spans="2:5" x14ac:dyDescent="0.2">
      <c r="B214" s="45"/>
      <c r="C214" s="116" t="s">
        <v>89</v>
      </c>
      <c r="D214" s="116"/>
      <c r="E214" s="116"/>
    </row>
    <row r="215" spans="2:5" x14ac:dyDescent="0.2">
      <c r="B215" s="44" t="s">
        <v>18</v>
      </c>
      <c r="C215" s="42"/>
      <c r="D215" s="42"/>
      <c r="E215" s="43"/>
    </row>
    <row r="216" spans="2:5" x14ac:dyDescent="0.2">
      <c r="B216" s="45"/>
      <c r="C216" s="117" t="s">
        <v>67</v>
      </c>
      <c r="D216" s="117"/>
      <c r="E216" s="117"/>
    </row>
    <row r="217" spans="2:5" x14ac:dyDescent="0.2">
      <c r="B217" s="44" t="s">
        <v>19</v>
      </c>
      <c r="C217" s="46"/>
      <c r="D217" s="46"/>
      <c r="E217" s="47"/>
    </row>
    <row r="218" spans="2:5" x14ac:dyDescent="0.2">
      <c r="B218" s="45"/>
      <c r="C218" s="117" t="s">
        <v>90</v>
      </c>
      <c r="D218" s="117"/>
      <c r="E218" s="117"/>
    </row>
    <row r="219" spans="2:5" x14ac:dyDescent="0.2">
      <c r="B219" s="44" t="s">
        <v>20</v>
      </c>
      <c r="C219" s="42"/>
      <c r="D219" s="42"/>
      <c r="E219" s="43"/>
    </row>
    <row r="220" spans="2:5" x14ac:dyDescent="0.2">
      <c r="B220" s="44"/>
      <c r="C220" s="116" t="s">
        <v>62</v>
      </c>
      <c r="D220" s="116"/>
      <c r="E220" s="116"/>
    </row>
    <row r="221" spans="2:5" ht="13.5" thickBot="1" x14ac:dyDescent="0.25">
      <c r="B221" s="48"/>
      <c r="C221" s="49"/>
      <c r="D221" s="49"/>
      <c r="E221" s="50"/>
    </row>
    <row r="223" spans="2:5" ht="13.5" thickBot="1" x14ac:dyDescent="0.25"/>
    <row r="224" spans="2:5" x14ac:dyDescent="0.2">
      <c r="B224" s="38" t="s">
        <v>94</v>
      </c>
      <c r="C224" s="39"/>
      <c r="D224" s="39"/>
      <c r="E224" s="40"/>
    </row>
    <row r="225" spans="2:5" x14ac:dyDescent="0.2">
      <c r="B225" s="41"/>
      <c r="C225" s="42"/>
      <c r="D225" s="42"/>
      <c r="E225" s="43"/>
    </row>
    <row r="226" spans="2:5" x14ac:dyDescent="0.2">
      <c r="B226" s="44" t="s">
        <v>16</v>
      </c>
      <c r="C226" s="42"/>
      <c r="D226" s="42"/>
      <c r="E226" s="43"/>
    </row>
    <row r="227" spans="2:5" x14ac:dyDescent="0.2">
      <c r="B227" s="44"/>
      <c r="C227" s="117"/>
      <c r="D227" s="117"/>
      <c r="E227" s="117"/>
    </row>
    <row r="228" spans="2:5" x14ac:dyDescent="0.2">
      <c r="B228" s="44" t="s">
        <v>17</v>
      </c>
      <c r="C228" s="42"/>
      <c r="D228" s="42"/>
      <c r="E228" s="43"/>
    </row>
    <row r="229" spans="2:5" x14ac:dyDescent="0.2">
      <c r="B229" s="45"/>
      <c r="C229" s="116" t="s">
        <v>88</v>
      </c>
      <c r="D229" s="116"/>
      <c r="E229" s="116"/>
    </row>
    <row r="230" spans="2:5" x14ac:dyDescent="0.2">
      <c r="B230" s="45"/>
      <c r="C230" s="116" t="s">
        <v>89</v>
      </c>
      <c r="D230" s="116"/>
      <c r="E230" s="116"/>
    </row>
    <row r="231" spans="2:5" x14ac:dyDescent="0.2">
      <c r="B231" s="44" t="s">
        <v>18</v>
      </c>
      <c r="C231" s="42"/>
      <c r="D231" s="42"/>
      <c r="E231" s="43"/>
    </row>
    <row r="232" spans="2:5" x14ac:dyDescent="0.2">
      <c r="B232" s="45"/>
      <c r="C232" s="117" t="s">
        <v>67</v>
      </c>
      <c r="D232" s="117"/>
      <c r="E232" s="117"/>
    </row>
    <row r="233" spans="2:5" x14ac:dyDescent="0.2">
      <c r="B233" s="44" t="s">
        <v>19</v>
      </c>
      <c r="C233" s="46"/>
      <c r="D233" s="46"/>
      <c r="E233" s="47"/>
    </row>
    <row r="234" spans="2:5" x14ac:dyDescent="0.2">
      <c r="B234" s="45"/>
      <c r="C234" s="117" t="s">
        <v>90</v>
      </c>
      <c r="D234" s="117"/>
      <c r="E234" s="117"/>
    </row>
    <row r="235" spans="2:5" x14ac:dyDescent="0.2">
      <c r="B235" s="44" t="s">
        <v>20</v>
      </c>
      <c r="C235" s="42"/>
      <c r="D235" s="42"/>
      <c r="E235" s="43"/>
    </row>
    <row r="236" spans="2:5" x14ac:dyDescent="0.2">
      <c r="B236" s="44"/>
      <c r="C236" s="116" t="s">
        <v>62</v>
      </c>
      <c r="D236" s="116"/>
      <c r="E236" s="116"/>
    </row>
    <row r="237" spans="2:5" ht="13.5" thickBot="1" x14ac:dyDescent="0.25">
      <c r="B237" s="48"/>
      <c r="C237" s="49"/>
      <c r="D237" s="49"/>
      <c r="E237" s="50"/>
    </row>
  </sheetData>
  <mergeCells count="91">
    <mergeCell ref="B2:H2"/>
    <mergeCell ref="A4:B4"/>
    <mergeCell ref="C4:E4"/>
    <mergeCell ref="A5:B5"/>
    <mergeCell ref="C5:E5"/>
    <mergeCell ref="A6:B6"/>
    <mergeCell ref="A7:B7"/>
    <mergeCell ref="C29:E29"/>
    <mergeCell ref="C31:E31"/>
    <mergeCell ref="C32:E32"/>
    <mergeCell ref="C47:E47"/>
    <mergeCell ref="C49:E49"/>
    <mergeCell ref="C51:E51"/>
    <mergeCell ref="C53:E53"/>
    <mergeCell ref="C34:E34"/>
    <mergeCell ref="C36:E36"/>
    <mergeCell ref="C38:E38"/>
    <mergeCell ref="C44:E44"/>
    <mergeCell ref="C46:E46"/>
    <mergeCell ref="C59:E59"/>
    <mergeCell ref="C61:E61"/>
    <mergeCell ref="C62:E62"/>
    <mergeCell ref="C64:E64"/>
    <mergeCell ref="C66:E66"/>
    <mergeCell ref="C68:E68"/>
    <mergeCell ref="C74:E74"/>
    <mergeCell ref="C76:E76"/>
    <mergeCell ref="C77:E77"/>
    <mergeCell ref="C79:E79"/>
    <mergeCell ref="C81:E81"/>
    <mergeCell ref="C83:E83"/>
    <mergeCell ref="C89:E89"/>
    <mergeCell ref="C91:E91"/>
    <mergeCell ref="C92:E92"/>
    <mergeCell ref="C107:E107"/>
    <mergeCell ref="C109:E109"/>
    <mergeCell ref="C111:E111"/>
    <mergeCell ref="C113:E113"/>
    <mergeCell ref="C94:E94"/>
    <mergeCell ref="C96:E96"/>
    <mergeCell ref="C98:E98"/>
    <mergeCell ref="C104:E104"/>
    <mergeCell ref="C106:E106"/>
    <mergeCell ref="C119:E119"/>
    <mergeCell ref="C121:E121"/>
    <mergeCell ref="C122:E122"/>
    <mergeCell ref="C124:E124"/>
    <mergeCell ref="C126:E126"/>
    <mergeCell ref="C128:E128"/>
    <mergeCell ref="C134:E134"/>
    <mergeCell ref="C136:E136"/>
    <mergeCell ref="C137:E137"/>
    <mergeCell ref="C139:E139"/>
    <mergeCell ref="C154:E154"/>
    <mergeCell ref="C156:E156"/>
    <mergeCell ref="C158:E158"/>
    <mergeCell ref="C141:E141"/>
    <mergeCell ref="C143:E143"/>
    <mergeCell ref="C149:E149"/>
    <mergeCell ref="C151:E151"/>
    <mergeCell ref="C152:E152"/>
    <mergeCell ref="C164:E164"/>
    <mergeCell ref="C166:E166"/>
    <mergeCell ref="C167:E167"/>
    <mergeCell ref="C169:E169"/>
    <mergeCell ref="C171:E171"/>
    <mergeCell ref="C173:E173"/>
    <mergeCell ref="C179:E179"/>
    <mergeCell ref="C181:E181"/>
    <mergeCell ref="C182:E182"/>
    <mergeCell ref="C184:E184"/>
    <mergeCell ref="C186:E186"/>
    <mergeCell ref="C188:E188"/>
    <mergeCell ref="C195:E195"/>
    <mergeCell ref="C197:E197"/>
    <mergeCell ref="C198:E198"/>
    <mergeCell ref="C214:E214"/>
    <mergeCell ref="C216:E216"/>
    <mergeCell ref="C218:E218"/>
    <mergeCell ref="C220:E220"/>
    <mergeCell ref="C200:E200"/>
    <mergeCell ref="C202:E202"/>
    <mergeCell ref="C204:E204"/>
    <mergeCell ref="C211:E211"/>
    <mergeCell ref="C213:E213"/>
    <mergeCell ref="C236:E236"/>
    <mergeCell ref="C227:E227"/>
    <mergeCell ref="C229:E229"/>
    <mergeCell ref="C230:E230"/>
    <mergeCell ref="C232:E232"/>
    <mergeCell ref="C234:E234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6"/>
  <sheetViews>
    <sheetView zoomScale="110" zoomScaleNormal="110" workbookViewId="0">
      <selection activeCell="C16" sqref="C16:G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0" t="s">
        <v>22</v>
      </c>
      <c r="B1" s="130"/>
      <c r="C1" s="130"/>
      <c r="D1" s="130"/>
      <c r="E1" s="130"/>
      <c r="F1" s="130"/>
      <c r="G1" s="130"/>
      <c r="H1" s="130"/>
      <c r="I1" s="130"/>
      <c r="J1" s="102" t="s">
        <v>23</v>
      </c>
      <c r="K1" s="103" t="s">
        <v>111</v>
      </c>
    </row>
    <row r="2" spans="1:11" ht="18.75" customHeight="1" thickBot="1" x14ac:dyDescent="0.25">
      <c r="A2" s="104"/>
      <c r="B2" s="104"/>
      <c r="C2" s="104"/>
      <c r="D2" s="105"/>
      <c r="E2" s="105"/>
      <c r="F2" s="105"/>
      <c r="G2" s="105"/>
      <c r="H2" s="105"/>
      <c r="I2" s="105"/>
      <c r="J2" s="105"/>
      <c r="K2" s="105"/>
    </row>
    <row r="3" spans="1:11" ht="18.75" customHeight="1" thickBot="1" x14ac:dyDescent="0.25">
      <c r="A3" s="131" t="s">
        <v>56</v>
      </c>
      <c r="B3" s="131"/>
      <c r="C3" s="131"/>
      <c r="D3" s="122" t="str">
        <f>'Necesidades Trimestrales'!C4</f>
        <v>45- Ministerio de Desarrollo Social y Deporte.-</v>
      </c>
      <c r="E3" s="122"/>
      <c r="F3" s="122"/>
      <c r="G3" s="122"/>
      <c r="H3" s="122"/>
      <c r="I3" s="122"/>
      <c r="J3" s="122"/>
      <c r="K3" s="122"/>
    </row>
    <row r="4" spans="1:11" ht="18.75" customHeight="1" thickBot="1" x14ac:dyDescent="0.25">
      <c r="A4" s="132" t="s">
        <v>57</v>
      </c>
      <c r="B4" s="132"/>
      <c r="C4" s="132"/>
      <c r="D4" s="122" t="str">
        <f>'Necesidades Trimestrales'!C5</f>
        <v>25- Direccion Provincial de Gestion Administracion y RRHH</v>
      </c>
      <c r="E4" s="122"/>
      <c r="F4" s="122"/>
      <c r="G4" s="122"/>
      <c r="H4" s="122"/>
      <c r="I4" s="122"/>
      <c r="J4" s="122"/>
      <c r="K4" s="122"/>
    </row>
    <row r="5" spans="1:11" ht="18.75" customHeight="1" thickBot="1" x14ac:dyDescent="0.25">
      <c r="A5" s="132" t="s">
        <v>35</v>
      </c>
      <c r="B5" s="132"/>
      <c r="C5" s="132"/>
      <c r="D5" s="122" t="s">
        <v>113</v>
      </c>
      <c r="E5" s="122"/>
      <c r="F5" s="122"/>
      <c r="G5" s="122"/>
      <c r="H5" s="122"/>
      <c r="I5" s="122"/>
      <c r="J5" s="122"/>
      <c r="K5" s="122"/>
    </row>
    <row r="6" spans="1:11" ht="16.5" customHeight="1" thickBot="1" x14ac:dyDescent="0.25">
      <c r="A6" s="131" t="s">
        <v>58</v>
      </c>
      <c r="B6" s="131"/>
      <c r="C6" s="131"/>
      <c r="D6" s="122" t="s">
        <v>114</v>
      </c>
      <c r="E6" s="122"/>
      <c r="F6" s="122"/>
      <c r="G6" s="122"/>
      <c r="H6" s="122"/>
      <c r="I6" s="122"/>
      <c r="J6" s="122"/>
      <c r="K6" s="122"/>
    </row>
    <row r="7" spans="1:11" ht="16.5" customHeight="1" x14ac:dyDescent="0.2">
      <c r="A7" s="132" t="s">
        <v>24</v>
      </c>
      <c r="B7" s="132"/>
      <c r="C7" s="132"/>
      <c r="D7" s="122" t="str">
        <f>'Necesidades Trimestrales'!C7 &amp; "° Trimestre - Año " &amp; 'Necesidades Trimestrales'!C6</f>
        <v>1° Trimestre - Año 2021</v>
      </c>
      <c r="E7" s="122"/>
      <c r="F7" s="122"/>
      <c r="G7" s="122"/>
      <c r="H7" s="122"/>
      <c r="I7" s="122"/>
      <c r="J7" s="122"/>
      <c r="K7" s="122"/>
    </row>
    <row r="8" spans="1:11" ht="40.5" customHeight="1" x14ac:dyDescent="0.2">
      <c r="A8" s="125" t="s">
        <v>25</v>
      </c>
      <c r="B8" s="125"/>
      <c r="C8" s="125"/>
      <c r="D8" s="126" t="s">
        <v>107</v>
      </c>
      <c r="E8" s="126"/>
      <c r="F8" s="126"/>
      <c r="G8" s="126"/>
      <c r="H8" s="126"/>
      <c r="I8" s="126"/>
      <c r="J8" s="126"/>
      <c r="K8" s="126"/>
    </row>
    <row r="9" spans="1:11" ht="15.75" x14ac:dyDescent="0.2">
      <c r="A9" s="106"/>
      <c r="B9" s="106"/>
      <c r="C9" s="106"/>
      <c r="D9" s="107"/>
      <c r="E9" s="107"/>
      <c r="F9" s="107"/>
      <c r="G9" s="107"/>
      <c r="H9" s="107"/>
      <c r="I9" s="107"/>
      <c r="J9" s="107"/>
      <c r="K9" s="107"/>
    </row>
    <row r="10" spans="1:11" ht="18.75" customHeight="1" x14ac:dyDescent="0.2">
      <c r="A10" s="127" t="s">
        <v>26</v>
      </c>
      <c r="B10" s="128" t="s">
        <v>27</v>
      </c>
      <c r="C10" s="128" t="s">
        <v>28</v>
      </c>
      <c r="D10" s="128"/>
      <c r="E10" s="128"/>
      <c r="F10" s="128"/>
      <c r="G10" s="128"/>
      <c r="H10" s="128" t="s">
        <v>29</v>
      </c>
      <c r="I10" s="128" t="s">
        <v>30</v>
      </c>
      <c r="J10" s="128" t="s">
        <v>31</v>
      </c>
      <c r="K10" s="129" t="s">
        <v>32</v>
      </c>
    </row>
    <row r="11" spans="1:11" ht="24" customHeight="1" x14ac:dyDescent="0.2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9"/>
    </row>
    <row r="12" spans="1:11" ht="42" customHeight="1" thickBot="1" x14ac:dyDescent="0.25">
      <c r="A12" s="108">
        <v>1</v>
      </c>
      <c r="B12" s="109" t="str">
        <f>'Necesidades Trimestrales'!B10</f>
        <v>2.1.1-705.93</v>
      </c>
      <c r="C12" s="124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24"/>
      <c r="E12" s="124"/>
      <c r="F12" s="124"/>
      <c r="G12" s="124"/>
      <c r="H12" s="108" t="s">
        <v>70</v>
      </c>
      <c r="I12" s="110" t="str">
        <f>'Necesidades Trimestrales'!F10</f>
        <v>UNIDAD</v>
      </c>
      <c r="J12" s="111">
        <f>'Necesidades Trimestrales'!H10</f>
        <v>420</v>
      </c>
      <c r="K12" s="112">
        <f>'Necesidades Trimestrales'!G10</f>
        <v>50000</v>
      </c>
    </row>
    <row r="13" spans="1:11" ht="41.25" customHeight="1" thickBot="1" x14ac:dyDescent="0.25">
      <c r="A13" s="113">
        <v>2</v>
      </c>
      <c r="B13" s="109" t="str">
        <f>'Necesidades Trimestrales'!B11</f>
        <v>2.1.1-439.67</v>
      </c>
      <c r="C13" s="124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24"/>
      <c r="E13" s="124"/>
      <c r="F13" s="124"/>
      <c r="G13" s="124"/>
      <c r="H13" s="108" t="s">
        <v>70</v>
      </c>
      <c r="I13" s="110" t="str">
        <f>'Necesidades Trimestrales'!F11</f>
        <v>UNIDAD</v>
      </c>
      <c r="J13" s="111">
        <f>'Necesidades Trimestrales'!H11</f>
        <v>145</v>
      </c>
      <c r="K13" s="112">
        <f>'Necesidades Trimestrales'!G11</f>
        <v>50000</v>
      </c>
    </row>
    <row r="14" spans="1:11" ht="29.25" customHeight="1" thickBot="1" x14ac:dyDescent="0.25">
      <c r="A14" s="113">
        <v>3</v>
      </c>
      <c r="B14" s="109" t="str">
        <f>'Necesidades Trimestrales'!B12</f>
        <v>2.1.1-454.25</v>
      </c>
      <c r="C14" s="124" t="str">
        <f>'Necesidades Trimestrales'!E12</f>
        <v>YERBAS; PALO: CON, PESO: 1 Kg, MATERIAL ENVASE : PAPEL, CERTIFICADO FORESTAL (GFS): CON, ELEM. TRANSPORTE: SIN, MATERIAL ELEM. TRANSPORTE: SIN, LIBRE DE GLUTEN: SI</v>
      </c>
      <c r="D14" s="124"/>
      <c r="E14" s="124"/>
      <c r="F14" s="124"/>
      <c r="G14" s="124"/>
      <c r="H14" s="108" t="s">
        <v>70</v>
      </c>
      <c r="I14" s="110" t="str">
        <f>'Necesidades Trimestrales'!F12</f>
        <v>UNIDAD</v>
      </c>
      <c r="J14" s="111">
        <f>'Necesidades Trimestrales'!H12</f>
        <v>250</v>
      </c>
      <c r="K14" s="112">
        <f>'Necesidades Trimestrales'!G12</f>
        <v>50000</v>
      </c>
    </row>
    <row r="15" spans="1:11" ht="32.25" customHeight="1" thickBot="1" x14ac:dyDescent="0.25">
      <c r="A15" s="113">
        <v>4</v>
      </c>
      <c r="B15" s="109" t="str">
        <f>'Necesidades Trimestrales'!B13</f>
        <v>2.1.1-708.43</v>
      </c>
      <c r="C15" s="124" t="str">
        <f>'Necesidades Trimestrales'!E13</f>
        <v>CONSERVAS PESCADO Y FRUTOS MAR; TIPO: ATUN, ESTADO: AL NATURAL, PESO: 170 GR, ENVASE: LATA, ELEM. TRANSPORTE: SIN, MATERIAL ELEM. TRANSPORTE: SIN</v>
      </c>
      <c r="D15" s="124"/>
      <c r="E15" s="124"/>
      <c r="F15" s="124"/>
      <c r="G15" s="124"/>
      <c r="H15" s="108" t="s">
        <v>70</v>
      </c>
      <c r="I15" s="110" t="str">
        <f>'Necesidades Trimestrales'!F13</f>
        <v>UNIDAD</v>
      </c>
      <c r="J15" s="111">
        <f>'Necesidades Trimestrales'!H13</f>
        <v>89</v>
      </c>
      <c r="K15" s="112">
        <f>'Necesidades Trimestrales'!G13</f>
        <v>50000</v>
      </c>
    </row>
    <row r="16" spans="1:11" ht="36.75" customHeight="1" thickBot="1" x14ac:dyDescent="0.25">
      <c r="A16" s="113">
        <v>5</v>
      </c>
      <c r="B16" s="109" t="str">
        <f>'Necesidades Trimestrales'!B14</f>
        <v>2.1.1-435.60</v>
      </c>
      <c r="C16" s="124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24"/>
      <c r="E16" s="124"/>
      <c r="F16" s="124"/>
      <c r="G16" s="124"/>
      <c r="H16" s="108" t="s">
        <v>70</v>
      </c>
      <c r="I16" s="110" t="str">
        <f>'Necesidades Trimestrales'!F14</f>
        <v>UNIDAD</v>
      </c>
      <c r="J16" s="111">
        <f>'Necesidades Trimestrales'!H14</f>
        <v>85</v>
      </c>
      <c r="K16" s="112">
        <f>'Necesidades Trimestrales'!G14</f>
        <v>50000</v>
      </c>
    </row>
    <row r="17" spans="1:1024" ht="38.25" customHeight="1" thickBot="1" x14ac:dyDescent="0.25">
      <c r="A17" s="113">
        <v>6</v>
      </c>
      <c r="B17" s="109" t="str">
        <f>'Necesidades Trimestrales'!B15</f>
        <v>2.1.1-482.77</v>
      </c>
      <c r="C17" s="124" t="str">
        <f>'Necesidades Trimestrales'!E15</f>
        <v>HARINAS; TIPO: DE TRIGO 0000, PRESENTACION: ENVASE X 1 Kg, MATERIAL ENVASE: PAPEL, CERTICADO FORESTAL (GFS): SIN, ELEM. TRANSPORTE: SIN, MATERIAL ELEM. TRANSPORTE: SIN, LIBRE DE GLUTEN: NO</v>
      </c>
      <c r="D17" s="124"/>
      <c r="E17" s="124"/>
      <c r="F17" s="124"/>
      <c r="G17" s="124"/>
      <c r="H17" s="108" t="s">
        <v>70</v>
      </c>
      <c r="I17" s="110" t="str">
        <f>'Necesidades Trimestrales'!F23</f>
        <v>UNIDAD</v>
      </c>
      <c r="J17" s="111">
        <f>'Necesidades Trimestrales'!H15</f>
        <v>53</v>
      </c>
      <c r="K17" s="112">
        <f>'Necesidades Trimestrales'!G15</f>
        <v>50000</v>
      </c>
    </row>
    <row r="18" spans="1:1024" ht="27.75" customHeight="1" thickBot="1" x14ac:dyDescent="0.25">
      <c r="A18" s="113">
        <v>7</v>
      </c>
      <c r="B18" s="109" t="str">
        <f>'Necesidades Trimestrales'!B16</f>
        <v>2.1.1-6546.260</v>
      </c>
      <c r="C18" s="124" t="str">
        <f>'Necesidades Trimestrales'!E16</f>
        <v>VERDURAS Y HORTALIZAS; VARIEDAD: TOMATE, ESTADO: PURE, PRESENTACION: TETRABRIK, PESO: 520 GR</v>
      </c>
      <c r="D18" s="124"/>
      <c r="E18" s="124"/>
      <c r="F18" s="124"/>
      <c r="G18" s="124"/>
      <c r="H18" s="114" t="s">
        <v>70</v>
      </c>
      <c r="I18" s="115" t="s">
        <v>14</v>
      </c>
      <c r="J18" s="111">
        <f>'Necesidades Trimestrales'!H16</f>
        <v>49</v>
      </c>
      <c r="K18" s="112">
        <f>'Necesidades Trimestrales'!G16</f>
        <v>50000</v>
      </c>
    </row>
    <row r="19" spans="1:1024" ht="27.75" customHeight="1" thickBot="1" x14ac:dyDescent="0.25">
      <c r="A19" s="113">
        <v>8</v>
      </c>
      <c r="B19" s="109" t="str">
        <f>'Necesidades Trimestrales'!B17</f>
        <v>2.1.1-481.38</v>
      </c>
      <c r="C19" s="124" t="str">
        <f>'Necesidades Trimestrales'!E17</f>
        <v>AZUCARES; TIPO: "A" COMUN, ESTADO: MOLIDA, PESO: 1 Kg, MATERIAL ENVASE: PLASTICO, CERTIFICADO FORESTAL (GFS): SIN, ELEM. TRANSPORTE: SIN, MATERIAL ELEM. TRANSPORTE: SIN</v>
      </c>
      <c r="D19" s="124"/>
      <c r="E19" s="124"/>
      <c r="F19" s="124"/>
      <c r="G19" s="124"/>
      <c r="H19" s="114" t="s">
        <v>70</v>
      </c>
      <c r="I19" s="115" t="s">
        <v>14</v>
      </c>
      <c r="J19" s="111">
        <f>'Necesidades Trimestrales'!H17</f>
        <v>62</v>
      </c>
      <c r="K19" s="112">
        <f>'Necesidades Trimestrales'!G17</f>
        <v>50000</v>
      </c>
    </row>
    <row r="20" spans="1:1024" ht="30.75" customHeight="1" thickBot="1" x14ac:dyDescent="0.25">
      <c r="A20" s="113">
        <v>9</v>
      </c>
      <c r="B20" s="109" t="str">
        <f>'Necesidades Trimestrales'!B18</f>
        <v>2.1.1-6547.17</v>
      </c>
      <c r="C20" s="124" t="str">
        <f>'Necesidades Trimestrales'!E18</f>
        <v>LEGUMBRES; VARIEDAD: ARVEJA, ESTADO: REMOJADO EN CONSERVA, PRESENTACION: LATA, PESO: 350 GR</v>
      </c>
      <c r="D20" s="124"/>
      <c r="E20" s="124"/>
      <c r="F20" s="124"/>
      <c r="G20" s="124"/>
      <c r="H20" s="114" t="s">
        <v>70</v>
      </c>
      <c r="I20" s="115" t="s">
        <v>14</v>
      </c>
      <c r="J20" s="111">
        <f>'Necesidades Trimestrales'!H18</f>
        <v>39</v>
      </c>
      <c r="K20" s="112">
        <f>'Necesidades Trimestrales'!G18</f>
        <v>50000</v>
      </c>
    </row>
    <row r="21" spans="1:1024" s="84" customFormat="1" ht="49.5" customHeight="1" thickBot="1" x14ac:dyDescent="0.25">
      <c r="A21" s="113">
        <v>10</v>
      </c>
      <c r="B21" s="109" t="str">
        <f>'Necesidades Trimestrales'!B19</f>
        <v>2.1.1-2868.54</v>
      </c>
      <c r="C21" s="124" t="str">
        <f>'Necesidades Trimestrales'!E19</f>
        <v>FIDEOS SECOS; VARIEDAD: SOPERO, RELLENO: SIN, PRESENTACION: ENVASE X 500 GR, MATERIAL ENVASE: PLASTICO 1 (PET), ELEM. TRANSPORTE: SIN, MATERIAL ELEM. TRANSPORTE: SIN, CERTIFICADO FORESTAL (GFS): SIN, LIBRE DE GLUTEN: NO</v>
      </c>
      <c r="D21" s="124"/>
      <c r="E21" s="124"/>
      <c r="F21" s="124"/>
      <c r="G21" s="124"/>
      <c r="H21" s="114" t="s">
        <v>70</v>
      </c>
      <c r="I21" s="115" t="s">
        <v>14</v>
      </c>
      <c r="J21" s="111">
        <f>'Necesidades Trimestrales'!H19</f>
        <v>39</v>
      </c>
      <c r="K21" s="112">
        <f>'Necesidades Trimestrales'!G19</f>
        <v>50000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84" customFormat="1" ht="47.25" customHeight="1" thickBot="1" x14ac:dyDescent="0.25">
      <c r="A22" s="113">
        <v>11</v>
      </c>
      <c r="B22" s="109" t="str">
        <f>'Necesidades Trimestrales'!B20</f>
        <v>2.1.1-2868.55</v>
      </c>
      <c r="C22" s="124" t="str">
        <f>'Necesidades Trimestrales'!E20</f>
        <v>FIDEOS SECOS; VARIEDAD: TALLARIN, RELLENO: SIN, PRESENTACION: ENVASE X 500 GR, MATERIAL ENVASE: PLASTICO 1 (PET), ELEM. TRANSPORTE: SIN, MATERIAL ELEM. TRANSPORTE: SIN, CERTIFICADO FORESTAL (GFS): SIN, LIBRE DE GLUTEN: NO</v>
      </c>
      <c r="D22" s="124"/>
      <c r="E22" s="124"/>
      <c r="F22" s="124"/>
      <c r="G22" s="124"/>
      <c r="H22" s="114" t="s">
        <v>70</v>
      </c>
      <c r="I22" s="115" t="s">
        <v>14</v>
      </c>
      <c r="J22" s="111">
        <f>+'Necesidades Trimestrales'!H20</f>
        <v>39</v>
      </c>
      <c r="K22" s="112">
        <f>'Necesidades Trimestrales'!G20</f>
        <v>50000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84" customFormat="1" ht="51.75" customHeight="1" thickBot="1" x14ac:dyDescent="0.25">
      <c r="A23" s="113">
        <v>12</v>
      </c>
      <c r="B23" s="109" t="str">
        <f>'Necesidades Trimestrales'!B21</f>
        <v>2.1.1-2868.71</v>
      </c>
      <c r="C23" s="124" t="str">
        <f>'Necesidades Trimestrales'!E21</f>
        <v>FIDEOS SECOS; VARIEDAD: GUISERO, RELLENO: SIN, PRESENTACION: ENVASE X 500 GR, MATERIAL ENVASE: PLASTICO 1 (PET), ELEM. TRANSPORTE: SIN, MATERIAL ELEM. TRANSPORTE: SIN, CERTIFICADO FORESTAL (GFS): SIN, LIBRE DE GLUTEN: NO</v>
      </c>
      <c r="D23" s="124"/>
      <c r="E23" s="124"/>
      <c r="F23" s="124"/>
      <c r="G23" s="124"/>
      <c r="H23" s="114" t="s">
        <v>70</v>
      </c>
      <c r="I23" s="115" t="s">
        <v>14</v>
      </c>
      <c r="J23" s="111">
        <f>'Necesidades Trimestrales'!H21</f>
        <v>39</v>
      </c>
      <c r="K23" s="112">
        <f>'Necesidades Trimestrales'!G21</f>
        <v>50000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84" customFormat="1" ht="51.75" customHeight="1" thickBot="1" x14ac:dyDescent="0.25">
      <c r="A24" s="113">
        <v>13</v>
      </c>
      <c r="B24" s="109" t="str">
        <f>'Necesidades Trimestrales'!B22</f>
        <v>2.1.1-731.13</v>
      </c>
      <c r="C24" s="124" t="str">
        <f>'Necesidades Trimestrales'!E22</f>
        <v>CONSERVAS DE CARNE; TIPO: PICADILLO, PESO: 90 GR, VARIEDAD: SIN VALOR, ENVASE: LATA</v>
      </c>
      <c r="D24" s="124"/>
      <c r="E24" s="124"/>
      <c r="F24" s="124"/>
      <c r="G24" s="124"/>
      <c r="H24" s="114" t="s">
        <v>70</v>
      </c>
      <c r="I24" s="115" t="s">
        <v>14</v>
      </c>
      <c r="J24" s="111">
        <f>'Necesidades Trimestrales'!H22</f>
        <v>45</v>
      </c>
      <c r="K24" s="112">
        <f>'Necesidades Trimestrales'!G22</f>
        <v>50000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s="84" customFormat="1" ht="30.75" customHeight="1" thickBot="1" x14ac:dyDescent="0.25">
      <c r="A25" s="113">
        <v>14</v>
      </c>
      <c r="B25" s="109" t="str">
        <f>'Necesidades Trimestrales'!B23</f>
        <v>2.1.1-6547.80</v>
      </c>
      <c r="C25" s="124" t="str">
        <f>'Necesidades Trimestrales'!E23</f>
        <v>LEGUMBRES; VARIEDAD: LENTEJA, ESTADO: SECO, PRESENTACION: SIN VALOR, PESO: ENVASE X 400 GR</v>
      </c>
      <c r="D25" s="124"/>
      <c r="E25" s="124"/>
      <c r="F25" s="124"/>
      <c r="G25" s="124"/>
      <c r="H25" s="114" t="s">
        <v>70</v>
      </c>
      <c r="I25" s="115" t="s">
        <v>14</v>
      </c>
      <c r="J25" s="111">
        <f>'Necesidades Trimestrales'!H23</f>
        <v>89</v>
      </c>
      <c r="K25" s="112">
        <f>'Necesidades Trimestrales'!G23</f>
        <v>50000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spans="1:1024" ht="26.25" customHeight="1" thickBot="1" x14ac:dyDescent="0.25">
      <c r="A26" s="122" t="s">
        <v>110</v>
      </c>
      <c r="B26" s="122"/>
      <c r="C26" s="122"/>
      <c r="D26" s="122"/>
      <c r="E26" s="122"/>
      <c r="F26" s="122"/>
      <c r="G26" s="122"/>
      <c r="H26" s="122"/>
      <c r="I26" s="122"/>
      <c r="J26" s="123">
        <f>+J12*K12+J13*K13+J14*K14+J15*K15+J16*K16+J17*K17+J18*K18+J19*K19+J20*K20+J21*K21+J22*K22+J23*K23+J25*K25+J24*K24</f>
        <v>72150000</v>
      </c>
      <c r="K26" s="123"/>
    </row>
  </sheetData>
  <mergeCells count="3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6:I26"/>
    <mergeCell ref="J26:K2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5:G25"/>
    <mergeCell ref="C24:G24"/>
  </mergeCells>
  <printOptions horizontalCentered="1"/>
  <pageMargins left="0.19685039370078741" right="0.19685039370078741" top="0" bottom="0" header="0.51181102362204722" footer="0.51181102362204722"/>
  <pageSetup paperSize="5" scale="7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8" t="s">
        <v>3</v>
      </c>
      <c r="B1" s="158"/>
      <c r="C1" s="158"/>
      <c r="D1" s="159">
        <f>'Necesidades Trimestrales'!C6</f>
        <v>2021</v>
      </c>
      <c r="E1" s="159"/>
      <c r="F1" s="4"/>
      <c r="G1" s="4"/>
      <c r="H1" s="5"/>
      <c r="I1" s="5"/>
      <c r="J1" s="5"/>
      <c r="K1" s="5"/>
      <c r="L1" s="5"/>
      <c r="M1" s="5"/>
      <c r="N1" s="5"/>
      <c r="P1" s="160" t="s">
        <v>33</v>
      </c>
      <c r="Q1" s="160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0"/>
      <c r="Q2" s="160"/>
    </row>
    <row r="4" spans="1:17" s="6" customFormat="1" ht="18" customHeight="1" thickBot="1" x14ac:dyDescent="0.25">
      <c r="A4" s="161" t="s">
        <v>34</v>
      </c>
      <c r="B4" s="161"/>
      <c r="C4" s="161"/>
      <c r="D4" s="161"/>
      <c r="E4" s="161"/>
      <c r="F4" s="161"/>
      <c r="G4" s="156" t="str">
        <f>' NotaPedido'!D3</f>
        <v>45- Ministerio de Desarrollo Social y Deporte.-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6" customFormat="1" ht="18" customHeight="1" thickBot="1" x14ac:dyDescent="0.25">
      <c r="A5" s="153" t="s">
        <v>57</v>
      </c>
      <c r="B5" s="154"/>
      <c r="C5" s="154"/>
      <c r="D5" s="154"/>
      <c r="E5" s="154"/>
      <c r="F5" s="155"/>
      <c r="G5" s="156" t="str">
        <f>' NotaPedido'!D4</f>
        <v>25- Direccion Provincial de Gestion Administracion y RRHH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6" customFormat="1" ht="18" customHeight="1" thickBot="1" x14ac:dyDescent="0.25">
      <c r="A6" s="153" t="s">
        <v>35</v>
      </c>
      <c r="B6" s="154"/>
      <c r="C6" s="154"/>
      <c r="D6" s="154"/>
      <c r="E6" s="154"/>
      <c r="F6" s="155"/>
      <c r="G6" s="156" t="s">
        <v>113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6" customFormat="1" ht="18" customHeight="1" thickBot="1" x14ac:dyDescent="0.25">
      <c r="A7" s="153" t="s">
        <v>58</v>
      </c>
      <c r="B7" s="154"/>
      <c r="C7" s="154"/>
      <c r="D7" s="154"/>
      <c r="E7" s="154"/>
      <c r="F7" s="155"/>
      <c r="G7" s="156" t="s">
        <v>115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25">
      <c r="A8" s="157" t="s">
        <v>36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2">
      <c r="A9" s="147" t="s">
        <v>37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7"/>
    </row>
    <row r="10" spans="1:17" ht="54.75" customHeight="1" x14ac:dyDescent="0.2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101/2021,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49" t="s">
        <v>38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">
      <c r="A13" s="150" t="s">
        <v>39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40</v>
      </c>
      <c r="P13" s="151"/>
      <c r="Q13" s="152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51"/>
      <c r="P14" s="151"/>
      <c r="Q14" s="152"/>
    </row>
    <row r="15" spans="1:17" ht="17.25" customHeight="1" x14ac:dyDescent="0.2">
      <c r="A15" s="99">
        <v>16</v>
      </c>
      <c r="B15" s="100"/>
      <c r="C15" s="100"/>
      <c r="D15" s="100">
        <v>2</v>
      </c>
      <c r="E15" s="100"/>
      <c r="F15" s="100">
        <v>4901</v>
      </c>
      <c r="G15" s="100">
        <v>1</v>
      </c>
      <c r="H15" s="100">
        <v>4</v>
      </c>
      <c r="I15" s="100" t="str">
        <f>LEFT('[1]Necesidades Trimestrales'!D10,1)</f>
        <v>2</v>
      </c>
      <c r="J15" s="100">
        <v>1</v>
      </c>
      <c r="K15" s="100">
        <v>1</v>
      </c>
      <c r="L15" s="100"/>
      <c r="M15" s="101">
        <v>1</v>
      </c>
      <c r="N15" s="100">
        <v>1.1000000000000001</v>
      </c>
      <c r="O15" s="144" t="s">
        <v>60</v>
      </c>
      <c r="P15" s="145"/>
      <c r="Q15" s="65">
        <v>72150000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46"/>
      <c r="P16" s="146"/>
      <c r="Q16" s="64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8"/>
      <c r="P17" s="138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8"/>
      <c r="P18" s="138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8"/>
      <c r="P19" s="138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8"/>
      <c r="P20" s="138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9"/>
      <c r="P21" s="139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0"/>
      <c r="P22" s="140"/>
      <c r="Q22" s="30"/>
    </row>
    <row r="23" spans="1:18" ht="32.25" customHeight="1" x14ac:dyDescent="0.2">
      <c r="A23" s="141" t="s">
        <v>112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31">
        <f>SUM(Q15:Q22)</f>
        <v>72150000</v>
      </c>
    </row>
    <row r="24" spans="1:18" ht="18" customHeight="1" thickBot="1" x14ac:dyDescent="0.25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  <row r="25" spans="1:18" ht="17.25" customHeight="1" thickBot="1" x14ac:dyDescent="0.25">
      <c r="A25" s="133" t="s">
        <v>55</v>
      </c>
      <c r="B25" s="134"/>
      <c r="C25" s="134"/>
      <c r="D25" s="134"/>
      <c r="E25" s="134"/>
      <c r="F25" s="135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8" ht="18" customHeight="1" thickBot="1" x14ac:dyDescent="0.25">
      <c r="A26" s="137" t="s">
        <v>107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8" ht="15" customHeight="1" x14ac:dyDescent="0.2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2021-02-01T14:14:50Z</cp:lastPrinted>
  <dcterms:created xsi:type="dcterms:W3CDTF">2020-07-17T23:44:49Z</dcterms:created>
  <dcterms:modified xsi:type="dcterms:W3CDTF">2021-08-13T11:44:49Z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