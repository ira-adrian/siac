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D:\RUIZ 2021\TRAMITES COMPRAR\COMBUSTIBLE\"/>
    </mc:Choice>
  </mc:AlternateContent>
  <xr:revisionPtr revIDLastSave="0" documentId="13_ncr:1_{458D874F-CCBB-44BF-BDBF-D6874922522B}" xr6:coauthVersionLast="46" xr6:coauthVersionMax="46" xr10:uidLastSave="{00000000-0000-0000-0000-000000000000}"/>
  <bookViews>
    <workbookView xWindow="-120" yWindow="-120" windowWidth="20730" windowHeight="11160" tabRatio="500" xr2:uid="{00000000-000D-0000-FFFF-FFFF00000000}"/>
  </bookViews>
  <sheets>
    <sheet name="Necesidades Trimestrales (2)" sheetId="4" r:id="rId1"/>
  </sheets>
  <definedNames>
    <definedName name="_xlnm.Print_Area" localSheetId="0">'Necesidades Trimestrales (2)'!$A$1:$I$12</definedName>
  </definedNames>
  <calcPr calcId="191029"/>
</workbook>
</file>

<file path=xl/calcChain.xml><?xml version="1.0" encoding="utf-8"?>
<calcChain xmlns="http://schemas.openxmlformats.org/spreadsheetml/2006/main">
  <c r="D10" i="4" l="1"/>
  <c r="I10" i="4" l="1"/>
  <c r="I11" i="4" l="1"/>
</calcChain>
</file>

<file path=xl/sharedStrings.xml><?xml version="1.0" encoding="utf-8"?>
<sst xmlns="http://schemas.openxmlformats.org/spreadsheetml/2006/main" count="30" uniqueCount="30">
  <si>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</si>
  <si>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</si>
  <si>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</si>
  <si>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</si>
  <si>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</si>
  <si>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</si>
  <si>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</si>
  <si>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</si>
  <si>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</si>
  <si>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</si>
  <si>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</si>
  <si>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</si>
  <si>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</si>
  <si>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</si>
  <si>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</si>
  <si>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</si>
  <si>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</si>
  <si>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</si>
  <si>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Garantia</t>
  </si>
  <si>
    <t>70 - MINISTERIO DE CIENCIA E INNOVACION TECNOLOGICA</t>
  </si>
  <si>
    <t>20 - MINISTERIO DE CIENCIA E INNOVACION TECNOLOGICA</t>
  </si>
  <si>
    <r>
      <t xml:space="preserve">Mantenimiento: </t>
    </r>
    <r>
      <rPr>
        <sz val="10"/>
        <rFont val="Times New Roman"/>
        <family val="1"/>
      </rPr>
      <t>treinta (30) dias corridos</t>
    </r>
  </si>
  <si>
    <t>COMBUSTIBLES Y LUBRICANTES</t>
  </si>
  <si>
    <t>Máxima calidad</t>
  </si>
  <si>
    <t>LITROS</t>
  </si>
  <si>
    <t>Costo total estimado: COMBUSTIBLES Y LUBRICANTES</t>
  </si>
  <si>
    <t>GAS OIL; PRESENTACION: POR LITRO, USO: MOTORES DIESEL, COMERCIALIZACION: GRADO 3, DESTINO: DPTO. S.F.V. DE CATAMARCA</t>
  </si>
  <si>
    <t>2.5.6-793.31</t>
  </si>
  <si>
    <t>El plazo de entrega  no podrá ser superior a los diez (10) días hábiles a partir de la fecha de recepción de la respectiva Orden de Compra en el domicilio especial electrónico constituido, en virtud del método de contratación. La entrega se realizará en  el Ministerio de Ciencia e Innovación Tecnologica  en el horario de 08 a 13 horas, sito en Avenida  Belgrano N° 1494 - CAPE- Pabellón N° 26 San Fernando del Valle de Catamarca.  Se presentará Remito que deberá cumplimentar lo dispuesto por la R.G. AFIP  1415/03, sin excepción.</t>
  </si>
  <si>
    <t xml:space="preserve">GAS OIL - 50 CETANOS MINIMO. Forma de entrega: Cuatrocientos (400) vales de Veinte (20) litros cada uno.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</si>
</sst>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2C0A]\ #,##0.00"/>
    <numFmt numFmtId="169" formatCode="_-[$$-2C0A]\ * #,##0.00_-;\-[$$-2C0A]\ * #,##0.00_-;_-[$$-2C0A]\ * &quot;-&quot;??_-;_-@_-"/>
    <numFmt numFmtId="170" formatCode="&quot;$&quot;\ #,##0.00"/>
    <numFmt numFmtId="171" formatCode="_-[$$-2C0A]\ * #,##0.00_-;\-[$$-2C0A]\ * #,##0.00_-;_-[$$-2C0A]\ * &quot;-&quot;??_-;_-@"/>
  </numFmts>
  <fonts count="14"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0C0C0"/>
      </patternFill>
    </fill>
  </fills>
  <borders count="15">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1" applyProtection="0"/>
    <xf numFmtId="0" fontId="2" fillId="2" borderId="0" applyBorder="0" applyProtection="0"/>
  </cellStyleXfs>
  <cellXfs count="60">
    <xf numFmtId="0" fontId="0" fillId="0" borderId="0" xfId="0"/>
    <xf numFmtId="0" fontId="4" fillId="0" borderId="0" xfId="0" applyFont="1"/>
    <xf numFmtId="0" fontId="6"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6" fillId="0" borderId="5" xfId="0" applyFont="1" applyBorder="1" applyAlignment="1">
      <alignment horizontal="left" indent="3"/>
    </xf>
    <xf numFmtId="0" fontId="4" fillId="0" borderId="5" xfId="0" applyFont="1" applyBorder="1" applyAlignment="1">
      <alignment horizontal="left" indent="3"/>
    </xf>
    <xf numFmtId="0" fontId="4" fillId="0" borderId="0" xfId="0" applyFont="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left" indent="3"/>
    </xf>
    <xf numFmtId="0" fontId="4" fillId="0" borderId="8" xfId="0" applyFont="1" applyBorder="1"/>
    <xf numFmtId="0" fontId="4" fillId="0" borderId="9" xfId="0" applyFont="1" applyBorder="1"/>
    <xf numFmtId="167" fontId="7" fillId="0" borderId="0" xfId="0" applyNumberFormat="1" applyFont="1"/>
    <xf numFmtId="0" fontId="4" fillId="0" borderId="0" xfId="0" applyFont="1" applyAlignment="1">
      <alignment horizontal="center" vertical="center"/>
    </xf>
    <xf numFmtId="0" fontId="4" fillId="0" borderId="0" xfId="0" applyFont="1" applyAlignment="1">
      <alignment horizontal="center"/>
    </xf>
    <xf numFmtId="0" fontId="8" fillId="0" borderId="0" xfId="0" applyFont="1" applyAlignment="1">
      <alignment horizontal="left" vertical="top"/>
    </xf>
    <xf numFmtId="170" fontId="4" fillId="0" borderId="0" xfId="0" applyNumberFormat="1" applyFont="1" applyAlignment="1">
      <alignment horizontal="center"/>
    </xf>
    <xf numFmtId="0" fontId="10" fillId="0" borderId="0" xfId="0" applyFont="1" applyAlignment="1">
      <alignment horizontal="left" wrapText="1"/>
    </xf>
    <xf numFmtId="0" fontId="10" fillId="0" borderId="0" xfId="0" applyFont="1" applyAlignment="1">
      <alignment horizontal="center" wrapText="1"/>
    </xf>
    <xf numFmtId="170" fontId="10" fillId="0" borderId="0" xfId="0" applyNumberFormat="1" applyFont="1" applyAlignment="1">
      <alignment horizontal="center" wrapText="1"/>
    </xf>
    <xf numFmtId="0" fontId="11" fillId="0" borderId="0" xfId="0" applyFont="1"/>
    <xf numFmtId="0" fontId="9" fillId="4" borderId="0" xfId="0" applyFont="1" applyFill="1" applyAlignment="1">
      <alignment horizontal="left" wrapText="1"/>
    </xf>
    <xf numFmtId="0" fontId="9" fillId="4" borderId="0" xfId="0" applyFont="1" applyFill="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left" vertical="top" wrapText="1"/>
    </xf>
    <xf numFmtId="0" fontId="9" fillId="5" borderId="10" xfId="0" applyFont="1" applyFill="1" applyBorder="1" applyAlignment="1">
      <alignment horizontal="center" vertical="center" wrapText="1"/>
    </xf>
    <xf numFmtId="0" fontId="12" fillId="5" borderId="10" xfId="0" applyFont="1" applyFill="1" applyBorder="1" applyAlignment="1">
      <alignment horizontal="center" vertical="center" wrapText="1"/>
    </xf>
    <xf numFmtId="170" fontId="9" fillId="5" borderId="10" xfId="0" applyNumberFormat="1" applyFont="1" applyFill="1" applyBorder="1" applyAlignment="1">
      <alignment horizontal="center" vertical="center" wrapText="1"/>
    </xf>
    <xf numFmtId="0" fontId="11" fillId="0" borderId="11" xfId="0" applyFont="1" applyBorder="1" applyAlignment="1">
      <alignment horizontal="center" vertical="center"/>
    </xf>
    <xf numFmtId="170" fontId="11" fillId="0" borderId="11" xfId="0" applyNumberFormat="1" applyFont="1" applyBorder="1" applyAlignment="1">
      <alignment horizontal="center" vertical="center"/>
    </xf>
    <xf numFmtId="171" fontId="11" fillId="0" borderId="11" xfId="0" applyNumberFormat="1" applyFont="1" applyBorder="1" applyAlignment="1">
      <alignment vertical="center"/>
    </xf>
    <xf numFmtId="0" fontId="4" fillId="0" borderId="0" xfId="0" applyFont="1" applyAlignment="1">
      <alignment vertical="center"/>
    </xf>
    <xf numFmtId="0" fontId="11" fillId="0" borderId="11" xfId="0" applyFont="1" applyBorder="1" applyAlignment="1">
      <alignment horizontal="center" vertical="center" wrapText="1"/>
    </xf>
    <xf numFmtId="0" fontId="11" fillId="5" borderId="12" xfId="0" applyFont="1" applyFill="1" applyBorder="1" applyAlignment="1">
      <alignment vertical="center" wrapText="1"/>
    </xf>
    <xf numFmtId="0" fontId="13" fillId="5" borderId="13" xfId="0" applyFont="1" applyFill="1" applyBorder="1" applyAlignment="1">
      <alignment horizontal="center" vertical="center" wrapText="1"/>
    </xf>
    <xf numFmtId="0" fontId="11" fillId="5" borderId="14" xfId="0" applyFont="1" applyFill="1" applyBorder="1" applyAlignment="1">
      <alignment vertical="center" wrapText="1"/>
    </xf>
    <xf numFmtId="171" fontId="13" fillId="5" borderId="11" xfId="0" applyNumberFormat="1" applyFont="1" applyFill="1" applyBorder="1"/>
    <xf numFmtId="167" fontId="4" fillId="0" borderId="0" xfId="0" applyNumberFormat="1" applyFont="1" applyAlignment="1">
      <alignment horizontal="center" vertical="center"/>
    </xf>
    <xf numFmtId="0" fontId="11" fillId="0" borderId="13"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4" xfId="0" applyFont="1" applyBorder="1" applyAlignment="1">
      <alignment horizontal="center" vertical="center" wrapText="1"/>
    </xf>
    <xf numFmtId="171" fontId="11" fillId="0" borderId="11" xfId="0" applyNumberFormat="1" applyFont="1" applyBorder="1"/>
    <xf numFmtId="0" fontId="11" fillId="6" borderId="11" xfId="0" applyFont="1" applyFill="1" applyBorder="1" applyAlignment="1">
      <alignment horizontal="left" vertical="center" wrapText="1"/>
    </xf>
    <xf numFmtId="169" fontId="4" fillId="0" borderId="0" xfId="0" applyNumberFormat="1" applyFont="1"/>
    <xf numFmtId="0" fontId="11" fillId="5" borderId="12" xfId="0" applyFont="1" applyFill="1" applyBorder="1" applyAlignment="1">
      <alignment horizontal="left" vertical="center" wrapText="1"/>
    </xf>
    <xf numFmtId="0" fontId="11" fillId="0" borderId="12" xfId="0" applyFont="1" applyBorder="1" applyAlignment="1">
      <alignment horizontal="left" vertical="center" wrapText="1"/>
    </xf>
    <xf numFmtId="0" fontId="11" fillId="0" borderId="11" xfId="0" applyFont="1" applyBorder="1" applyAlignment="1">
      <alignment vertical="center"/>
    </xf>
    <xf numFmtId="0" fontId="11" fillId="0" borderId="12" xfId="0" applyFont="1" applyBorder="1" applyAlignment="1">
      <alignment vertical="center" wrapText="1"/>
    </xf>
    <xf numFmtId="0" fontId="11" fillId="5" borderId="0" xfId="0" applyFont="1" applyFill="1" applyAlignment="1">
      <alignment vertical="center"/>
    </xf>
    <xf numFmtId="0" fontId="4" fillId="3" borderId="0" xfId="0" applyFont="1" applyFill="1" applyAlignment="1">
      <alignment horizontal="left" wrapText="1"/>
    </xf>
    <xf numFmtId="0" fontId="4" fillId="3" borderId="6" xfId="0" applyFont="1" applyFill="1" applyBorder="1" applyAlignment="1">
      <alignment horizontal="left" wrapText="1"/>
    </xf>
    <xf numFmtId="0" fontId="4" fillId="3" borderId="0" xfId="0" applyFont="1" applyFill="1" applyAlignment="1">
      <alignment horizontal="left" vertical="center" wrapText="1"/>
    </xf>
    <xf numFmtId="0" fontId="4" fillId="3" borderId="6" xfId="0" applyFont="1" applyFill="1" applyBorder="1" applyAlignment="1">
      <alignment horizontal="left" vertical="center" wrapText="1"/>
    </xf>
    <xf numFmtId="0" fontId="9" fillId="0" borderId="0" xfId="0" applyFont="1" applyAlignment="1">
      <alignment horizontal="left" vertical="center" wrapText="1"/>
    </xf>
    <xf numFmtId="0" fontId="0" fillId="0" borderId="0" xfId="0"/>
    <xf numFmtId="0" fontId="5" fillId="0" borderId="0" xfId="0" applyFont="1" applyAlignment="1">
      <alignment horizontal="center"/>
    </xf>
    <xf numFmtId="0" fontId="9" fillId="4" borderId="0" xfId="0" applyFont="1" applyFill="1" applyAlignment="1">
      <alignment horizontal="left" wrapText="1"/>
    </xf>
    <xf numFmtId="0" fontId="3" fillId="0" borderId="0" xfId="0" applyFont="1"/>
  </cellXfs>
  <cellStyles count="3">
    <cellStyle name="Encabezado 1" xfId="1" xr:uid="{00000000-0005-0000-0000-000000000000}"/>
    <cellStyle name="Neutral 1" xfId="2"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17"/>
  <sheetViews>
    <sheetView tabSelected="1" topLeftCell="A4" zoomScale="96" zoomScaleNormal="96" workbookViewId="0">
      <selection activeCell="G17" sqref="G17"/>
    </sheetView>
  </sheetViews>
  <sheetFormatPr baseColWidth="10" defaultColWidth="11" defaultRowHeight="12.75" x14ac:dyDescent="0.2"/>
  <cols>
    <col min="1" max="1" width="4.5703125" style="1" customWidth="1"/>
    <col min="2" max="2" width="15.7109375" style="1" customWidth="1"/>
    <col min="3" max="3" width="33" style="1" customWidth="1"/>
    <col min="4" max="4" width="7.140625" style="1" customWidth="1"/>
    <col min="5" max="5" width="59.42578125" style="1" customWidth="1"/>
    <col min="6" max="6" width="11" style="1"/>
    <col min="7" max="7" width="12.42578125" style="1" customWidth="1"/>
    <col min="8" max="8" width="13.28515625" style="1" customWidth="1"/>
    <col min="9" max="9" width="18.140625" style="1" customWidth="1"/>
    <col min="10" max="10" width="0" style="1" hidden="1" customWidth="1"/>
    <col min="11" max="11" width="11" style="1"/>
    <col min="12" max="12" width="14.140625" style="1" customWidth="1"/>
    <col min="13" max="16384" width="11" style="1"/>
  </cols>
  <sheetData>
    <row r="2" spans="1:12" ht="27" x14ac:dyDescent="0.35">
      <c r="B2" s="57" t="s">
        <v>0</v>
      </c>
      <c r="C2" s="56"/>
      <c r="D2" s="56"/>
      <c r="E2" s="56"/>
      <c r="F2" s="56"/>
      <c r="G2" s="56"/>
      <c r="H2" s="56"/>
    </row>
    <row r="3" spans="1:12" ht="8.25" customHeight="1" x14ac:dyDescent="0.2">
      <c r="B3" s="15"/>
      <c r="C3" s="16"/>
      <c r="E3" s="17"/>
      <c r="H3" s="18"/>
    </row>
    <row r="4" spans="1:12" ht="27.75" customHeight="1" x14ac:dyDescent="0.25">
      <c r="A4" s="55" t="s">
        <v>1</v>
      </c>
      <c r="B4" s="56"/>
      <c r="C4" s="58" t="s">
        <v>19</v>
      </c>
      <c r="D4" s="59"/>
      <c r="E4" s="59"/>
      <c r="F4" s="19"/>
      <c r="G4" s="20"/>
      <c r="H4" s="21"/>
      <c r="I4" s="22"/>
    </row>
    <row r="5" spans="1:12" ht="18" customHeight="1" x14ac:dyDescent="0.25">
      <c r="A5" s="55" t="s">
        <v>2</v>
      </c>
      <c r="B5" s="56"/>
      <c r="C5" s="58" t="s">
        <v>20</v>
      </c>
      <c r="D5" s="59"/>
      <c r="E5" s="59"/>
      <c r="F5" s="19"/>
      <c r="G5" s="20"/>
      <c r="H5" s="21"/>
      <c r="I5" s="22"/>
    </row>
    <row r="6" spans="1:12" ht="16.5" customHeight="1" x14ac:dyDescent="0.25">
      <c r="A6" s="55" t="s">
        <v>3</v>
      </c>
      <c r="B6" s="56"/>
      <c r="C6" s="23">
        <v>2022</v>
      </c>
      <c r="D6" s="23"/>
      <c r="E6" s="24"/>
      <c r="F6" s="19"/>
      <c r="G6" s="20"/>
      <c r="H6" s="21"/>
      <c r="I6" s="22"/>
    </row>
    <row r="7" spans="1:12" ht="16.5" customHeight="1" x14ac:dyDescent="0.25">
      <c r="A7" s="55" t="s">
        <v>4</v>
      </c>
      <c r="B7" s="56"/>
      <c r="C7" s="23">
        <v>4</v>
      </c>
      <c r="D7" s="23"/>
      <c r="E7" s="24"/>
      <c r="F7" s="19"/>
      <c r="G7" s="20"/>
      <c r="H7" s="21"/>
      <c r="I7" s="22"/>
    </row>
    <row r="8" spans="1:12" ht="15" thickBot="1" x14ac:dyDescent="0.25">
      <c r="A8" s="22"/>
      <c r="B8" s="25"/>
      <c r="C8" s="20"/>
      <c r="D8" s="19"/>
      <c r="E8" s="26"/>
      <c r="F8" s="19"/>
      <c r="G8" s="20"/>
      <c r="H8" s="21"/>
      <c r="I8" s="22"/>
    </row>
    <row r="9" spans="1:12" ht="45.75" thickTop="1" x14ac:dyDescent="0.2">
      <c r="A9" s="27" t="s">
        <v>5</v>
      </c>
      <c r="B9" s="27" t="s">
        <v>6</v>
      </c>
      <c r="C9" s="27" t="s">
        <v>7</v>
      </c>
      <c r="D9" s="27" t="s">
        <v>8</v>
      </c>
      <c r="E9" s="27" t="s">
        <v>9</v>
      </c>
      <c r="F9" s="28" t="s">
        <v>10</v>
      </c>
      <c r="G9" s="27" t="s">
        <v>11</v>
      </c>
      <c r="H9" s="29" t="s">
        <v>12</v>
      </c>
      <c r="I9" s="27" t="s">
        <v>13</v>
      </c>
    </row>
    <row r="10" spans="1:12" ht="51.75" customHeight="1" x14ac:dyDescent="0.2">
      <c r="A10" s="30">
        <v>1</v>
      </c>
      <c r="B10" s="48" t="s">
        <v>27</v>
      </c>
      <c r="C10" s="44" t="s">
        <v>22</v>
      </c>
      <c r="D10" s="34" t="str">
        <f>LEFT(B10,5)</f>
        <v>2.5.6</v>
      </c>
      <c r="E10" s="44" t="s">
        <v>26</v>
      </c>
      <c r="F10" s="30" t="s">
        <v>24</v>
      </c>
      <c r="G10" s="30">
        <v>8000</v>
      </c>
      <c r="H10" s="31">
        <v>237.2</v>
      </c>
      <c r="I10" s="32">
        <f t="shared" ref="I10" si="0">H10*G10</f>
        <v>1897600</v>
      </c>
      <c r="J10" s="33"/>
      <c r="L10" s="14"/>
    </row>
    <row r="11" spans="1:12" ht="15" x14ac:dyDescent="0.25">
      <c r="A11" s="50"/>
      <c r="B11" s="35"/>
      <c r="C11" s="46"/>
      <c r="D11" s="35"/>
      <c r="E11" s="36" t="s">
        <v>25</v>
      </c>
      <c r="F11" s="35"/>
      <c r="G11" s="35"/>
      <c r="H11" s="37"/>
      <c r="I11" s="38">
        <f>SUM(I10:I10)</f>
        <v>1897600</v>
      </c>
      <c r="J11" s="39"/>
    </row>
    <row r="12" spans="1:12" ht="13.5" customHeight="1" x14ac:dyDescent="0.2">
      <c r="A12" s="40"/>
      <c r="B12" s="49"/>
      <c r="C12" s="47"/>
      <c r="D12" s="41"/>
      <c r="E12" s="41"/>
      <c r="F12" s="41"/>
      <c r="G12" s="41"/>
      <c r="H12" s="42"/>
      <c r="I12" s="43"/>
      <c r="J12" s="39"/>
    </row>
    <row r="13" spans="1:12" ht="17.25" customHeight="1" thickBot="1" x14ac:dyDescent="0.25">
      <c r="I13" s="45"/>
    </row>
    <row r="14" spans="1:12" ht="12.75" customHeight="1" x14ac:dyDescent="0.2">
      <c r="B14" s="2" t="s">
        <v>14</v>
      </c>
      <c r="C14" s="3"/>
      <c r="D14" s="3"/>
      <c r="E14" s="4"/>
    </row>
    <row r="15" spans="1:12" ht="13.5" customHeight="1" x14ac:dyDescent="0.2">
      <c r="B15" s="5"/>
      <c r="E15" s="6"/>
    </row>
    <row r="16" spans="1:12" ht="15" customHeight="1" x14ac:dyDescent="0.2">
      <c r="B16" s="7" t="s">
        <v>15</v>
      </c>
      <c r="E16" s="6"/>
    </row>
    <row r="17" spans="2:5" ht="29.25" customHeight="1" x14ac:dyDescent="0.2">
      <c r="B17" s="7"/>
      <c r="C17" s="51" t="s">
        <v>29</v>
      </c>
      <c r="D17" s="51"/>
      <c r="E17" s="52"/>
    </row>
    <row r="18" spans="2:5" x14ac:dyDescent="0.2">
      <c r="B18" s="7" t="s">
        <v>16</v>
      </c>
      <c r="E18" s="6"/>
    </row>
    <row r="19" spans="2:5" ht="61.5" customHeight="1" x14ac:dyDescent="0.2">
      <c r="B19" s="8"/>
      <c r="C19" s="53" t="s">
        <v>28</v>
      </c>
      <c r="D19" s="53"/>
      <c r="E19" s="54"/>
    </row>
    <row r="20" spans="2:5" x14ac:dyDescent="0.2">
      <c r="B20" s="8"/>
      <c r="C20" s="53"/>
      <c r="D20" s="53"/>
      <c r="E20" s="54"/>
    </row>
    <row r="21" spans="2:5" ht="12" customHeight="1" x14ac:dyDescent="0.2">
      <c r="B21" s="7" t="s">
        <v>17</v>
      </c>
      <c r="E21" s="6"/>
    </row>
    <row r="22" spans="2:5" ht="15" customHeight="1" x14ac:dyDescent="0.2">
      <c r="B22" s="8"/>
      <c r="C22" s="53" t="s">
        <v>23</v>
      </c>
      <c r="D22" s="53"/>
      <c r="E22" s="54"/>
    </row>
    <row r="23" spans="2:5" x14ac:dyDescent="0.2">
      <c r="B23" s="7" t="s">
        <v>21</v>
      </c>
      <c r="C23" s="9"/>
      <c r="D23" s="9"/>
      <c r="E23" s="10"/>
    </row>
    <row r="24" spans="2:5" ht="10.5" customHeight="1" x14ac:dyDescent="0.2">
      <c r="B24" s="8"/>
      <c r="C24" s="51"/>
      <c r="D24" s="51"/>
      <c r="E24" s="52"/>
    </row>
    <row r="25" spans="2:5" x14ac:dyDescent="0.2">
      <c r="B25" s="7" t="s">
        <v>18</v>
      </c>
      <c r="E25" s="6"/>
    </row>
    <row r="26" spans="2:5" ht="8.25" customHeight="1" x14ac:dyDescent="0.2">
      <c r="B26" s="7"/>
      <c r="C26" s="51"/>
      <c r="D26" s="51"/>
      <c r="E26" s="52"/>
    </row>
    <row r="27" spans="2:5" ht="5.25" customHeight="1" thickBot="1" x14ac:dyDescent="0.25">
      <c r="B27" s="11"/>
      <c r="C27" s="12"/>
      <c r="D27" s="12"/>
      <c r="E27" s="13"/>
    </row>
    <row r="28" spans="2:5" ht="12.75" customHeight="1" x14ac:dyDescent="0.2"/>
    <row r="32" spans="2:5" ht="62.25" customHeight="1" x14ac:dyDescent="0.2"/>
    <row r="34" ht="62.25" customHeight="1" x14ac:dyDescent="0.2"/>
    <row r="36" ht="12" customHeight="1" x14ac:dyDescent="0.2"/>
    <row r="37" ht="13.5" customHeight="1" x14ac:dyDescent="0.2"/>
    <row r="38" ht="17.25" customHeight="1" x14ac:dyDescent="0.2"/>
    <row r="40" ht="15" customHeight="1" x14ac:dyDescent="0.2"/>
    <row r="41" ht="11.25" customHeight="1" x14ac:dyDescent="0.2"/>
    <row r="43" ht="12.75" customHeight="1" x14ac:dyDescent="0.2"/>
    <row r="47" ht="12.75" customHeight="1" x14ac:dyDescent="0.2"/>
    <row r="48" ht="12.75" customHeight="1" x14ac:dyDescent="0.2"/>
    <row r="49" ht="20.25" customHeight="1" x14ac:dyDescent="0.2"/>
    <row r="50" ht="12.75" customHeight="1" x14ac:dyDescent="0.2"/>
    <row r="51" ht="65.25" customHeight="1" x14ac:dyDescent="0.2"/>
    <row r="52" ht="0.75" hidden="1" customHeight="1" x14ac:dyDescent="0.2"/>
    <row r="53" ht="12.75" hidden="1" customHeight="1" x14ac:dyDescent="0.2"/>
    <row r="56" ht="12.75" customHeight="1" x14ac:dyDescent="0.2"/>
    <row r="57" ht="12.75" customHeight="1" x14ac:dyDescent="0.2"/>
    <row r="58" ht="12.75" customHeight="1" x14ac:dyDescent="0.2"/>
    <row r="62" ht="12.75" customHeight="1" x14ac:dyDescent="0.2"/>
    <row r="64" ht="55.5" customHeight="1" x14ac:dyDescent="0.2"/>
    <row r="66" ht="12.75" customHeight="1" x14ac:dyDescent="0.2"/>
    <row r="67" ht="55.5" customHeight="1" x14ac:dyDescent="0.2"/>
    <row r="71" ht="12.75" customHeight="1" x14ac:dyDescent="0.2"/>
    <row r="72" ht="14.25" customHeight="1" x14ac:dyDescent="0.2"/>
    <row r="73" ht="12.75" customHeight="1" x14ac:dyDescent="0.2"/>
    <row r="77" ht="12.75" customHeight="1" x14ac:dyDescent="0.2"/>
    <row r="79" ht="51.75" customHeight="1" x14ac:dyDescent="0.2"/>
    <row r="81" ht="12.75" customHeight="1" x14ac:dyDescent="0.2"/>
    <row r="82" ht="74.25" customHeight="1" x14ac:dyDescent="0.2"/>
    <row r="86" ht="12.75" customHeight="1" x14ac:dyDescent="0.2"/>
    <row r="88" ht="12.75" customHeight="1" x14ac:dyDescent="0.2"/>
    <row r="92" ht="12.75" customHeight="1" x14ac:dyDescent="0.2"/>
    <row r="94" ht="41.25" customHeight="1" x14ac:dyDescent="0.2"/>
    <row r="96" ht="12.75" customHeight="1" x14ac:dyDescent="0.2"/>
    <row r="97" ht="72.75" customHeight="1" x14ac:dyDescent="0.2"/>
    <row r="99" ht="14.25" customHeight="1" x14ac:dyDescent="0.2"/>
    <row r="101" ht="12.75" customHeight="1" x14ac:dyDescent="0.2"/>
    <row r="103" ht="12.75" customHeight="1" x14ac:dyDescent="0.2"/>
    <row r="106" ht="14.25" customHeight="1" x14ac:dyDescent="0.2"/>
    <row r="107" ht="12.75" customHeight="1" x14ac:dyDescent="0.2"/>
    <row r="109" ht="77.25" customHeight="1" x14ac:dyDescent="0.2"/>
    <row r="111" ht="12.75" customHeight="1" x14ac:dyDescent="0.2"/>
    <row r="112" ht="75.75" customHeight="1" x14ac:dyDescent="0.2"/>
    <row r="116" ht="12.75" customHeight="1" x14ac:dyDescent="0.2"/>
    <row r="118" ht="12.75" customHeight="1" x14ac:dyDescent="0.2"/>
    <row r="122" ht="12.75" customHeight="1" x14ac:dyDescent="0.2"/>
    <row r="124" ht="102" customHeight="1" x14ac:dyDescent="0.2"/>
    <row r="126" ht="79.5" customHeight="1" x14ac:dyDescent="0.2"/>
    <row r="128" ht="12.75" customHeight="1" x14ac:dyDescent="0.2"/>
    <row r="129" ht="22.5" customHeight="1" x14ac:dyDescent="0.2"/>
    <row r="131" ht="12.75" customHeight="1" x14ac:dyDescent="0.2"/>
    <row r="133" ht="12.75" customHeight="1" x14ac:dyDescent="0.2"/>
    <row r="135" ht="12.75" customHeight="1" x14ac:dyDescent="0.2"/>
    <row r="138" ht="12.75" customHeight="1" x14ac:dyDescent="0.2"/>
    <row r="139" ht="107.25" customHeight="1" x14ac:dyDescent="0.2"/>
    <row r="140" ht="12.75" customHeight="1" x14ac:dyDescent="0.2"/>
    <row r="141" ht="56.25" customHeight="1" x14ac:dyDescent="0.2"/>
    <row r="143" ht="12.75" customHeight="1" x14ac:dyDescent="0.2"/>
    <row r="144" ht="22.5" customHeight="1" x14ac:dyDescent="0.2"/>
    <row r="147" ht="12.75" customHeight="1" x14ac:dyDescent="0.2"/>
    <row r="148" ht="12.75" customHeight="1" x14ac:dyDescent="0.2"/>
    <row r="150" ht="12.75" customHeight="1" x14ac:dyDescent="0.2"/>
    <row r="154" ht="132" customHeight="1" x14ac:dyDescent="0.2"/>
    <row r="156" ht="54" customHeight="1" x14ac:dyDescent="0.2"/>
    <row r="158" ht="12.75" customHeight="1" x14ac:dyDescent="0.2"/>
    <row r="159" ht="16.5" customHeight="1" x14ac:dyDescent="0.2"/>
    <row r="163" ht="12.75" customHeight="1" x14ac:dyDescent="0.2"/>
    <row r="165" ht="12.75" customHeight="1" x14ac:dyDescent="0.2"/>
    <row r="169" ht="155.25" customHeight="1" x14ac:dyDescent="0.2"/>
    <row r="171" ht="54" customHeight="1" x14ac:dyDescent="0.2"/>
    <row r="173" ht="12.75" customHeight="1" x14ac:dyDescent="0.2"/>
    <row r="174" ht="19.5" customHeight="1" x14ac:dyDescent="0.2"/>
    <row r="178" ht="12.75" customHeight="1" x14ac:dyDescent="0.2"/>
    <row r="180" ht="12.75" customHeight="1" x14ac:dyDescent="0.2"/>
    <row r="186" ht="166.5" customHeight="1" x14ac:dyDescent="0.2"/>
    <row r="188" ht="12.75" customHeight="1" x14ac:dyDescent="0.2"/>
    <row r="189" ht="65.25" customHeight="1" x14ac:dyDescent="0.2"/>
    <row r="195" ht="12.75" customHeight="1" x14ac:dyDescent="0.2"/>
    <row r="201" ht="120" customHeight="1" x14ac:dyDescent="0.2"/>
    <row r="203" ht="12.75" customHeight="1" x14ac:dyDescent="0.2"/>
    <row r="204" ht="71.25" customHeight="1" x14ac:dyDescent="0.2"/>
    <row r="210" ht="12.75" customHeight="1" x14ac:dyDescent="0.2"/>
    <row r="216" ht="40.5" customHeight="1" x14ac:dyDescent="0.2"/>
    <row r="218" ht="12.75" customHeight="1" x14ac:dyDescent="0.2"/>
    <row r="219" ht="66" customHeight="1" x14ac:dyDescent="0.2"/>
    <row r="225" ht="12.75" customHeight="1" x14ac:dyDescent="0.2"/>
    <row r="231" ht="87" customHeight="1" x14ac:dyDescent="0.2"/>
    <row r="233" ht="12.75" customHeight="1" x14ac:dyDescent="0.2"/>
    <row r="234" ht="72.75" customHeight="1" x14ac:dyDescent="0.2"/>
    <row r="240" ht="12.75" customHeight="1" x14ac:dyDescent="0.2"/>
    <row r="246" ht="80.25" customHeight="1" x14ac:dyDescent="0.2"/>
    <row r="247" ht="19.5" customHeight="1" x14ac:dyDescent="0.2"/>
    <row r="248" ht="12.75" customHeight="1" x14ac:dyDescent="0.2"/>
    <row r="249" ht="60" customHeight="1" x14ac:dyDescent="0.2"/>
    <row r="250" ht="15.75" customHeight="1" x14ac:dyDescent="0.2"/>
    <row r="255" ht="12.75" customHeight="1" x14ac:dyDescent="0.2"/>
    <row r="262" ht="87.75" customHeight="1" x14ac:dyDescent="0.2"/>
    <row r="264" ht="12.75" customHeight="1" x14ac:dyDescent="0.2"/>
    <row r="265" ht="61.5" customHeight="1" x14ac:dyDescent="0.2"/>
    <row r="271" ht="12.75" customHeight="1" x14ac:dyDescent="0.2"/>
    <row r="278" ht="65.25" customHeight="1" x14ac:dyDescent="0.2"/>
    <row r="280" ht="12.75" customHeight="1" x14ac:dyDescent="0.2"/>
    <row r="281" ht="71.25" customHeight="1" x14ac:dyDescent="0.2"/>
    <row r="287" ht="12.75" customHeight="1" x14ac:dyDescent="0.2"/>
    <row r="293" ht="52.5" customHeight="1" x14ac:dyDescent="0.2"/>
    <row r="295" ht="12.75" customHeight="1" x14ac:dyDescent="0.2"/>
    <row r="296" ht="69.75" customHeight="1" x14ac:dyDescent="0.2"/>
    <row r="302" ht="12.75" customHeight="1" x14ac:dyDescent="0.2"/>
    <row r="308" ht="34.5" customHeight="1" x14ac:dyDescent="0.2"/>
    <row r="310" ht="12.75" customHeight="1" x14ac:dyDescent="0.2"/>
    <row r="311" ht="72.75" customHeight="1" x14ac:dyDescent="0.2"/>
    <row r="317" ht="12.75" customHeight="1" x14ac:dyDescent="0.2"/>
  </sheetData>
  <mergeCells count="12">
    <mergeCell ref="A7:B7"/>
    <mergeCell ref="B2:H2"/>
    <mergeCell ref="A4:B4"/>
    <mergeCell ref="C4:E4"/>
    <mergeCell ref="A5:B5"/>
    <mergeCell ref="C5:E5"/>
    <mergeCell ref="A6:B6"/>
    <mergeCell ref="C17:E17"/>
    <mergeCell ref="C19:E20"/>
    <mergeCell ref="C22:E22"/>
    <mergeCell ref="C24:E24"/>
    <mergeCell ref="C26:E26"/>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 (2)</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2021-09-27T12:27:58Z</cp:lastPrinted>
  <dcterms:created xsi:type="dcterms:W3CDTF">2020-07-17T23:44:49Z</dcterms:created>
  <dcterms:modified xsi:type="dcterms:W3CDTF">2022-11-11T15:37:26Z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