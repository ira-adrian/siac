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C0C265BA-FBEC-4D99-BB24-2BB8F4E834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</sheets>
  <definedNames>
    <definedName name="_xlnm.Print_Area" localSheetId="0">'Necesidades Trimestrales'!$A$2:$K$45</definedName>
  </definedNames>
  <calcPr calcId="181029"/>
</workbook>
</file>

<file path=xl/calcChain.xml><?xml version="1.0" encoding="utf-8"?>
<calcChain xmlns="http://schemas.openxmlformats.org/spreadsheetml/2006/main">
  <c r="D11" i="1" l="1"/>
  <c r="I11" i="1"/>
  <c r="I18" i="1" s="1"/>
  <c r="D12" i="1"/>
  <c r="I12" i="1"/>
  <c r="D13" i="1"/>
  <c r="I13" i="1"/>
  <c r="D14" i="1"/>
  <c r="I14" i="1"/>
  <c r="D15" i="1"/>
  <c r="I15" i="1"/>
</calcChain>
</file>

<file path=xl/sharedStrings.xml><?xml version="1.0" encoding="utf-8"?>
<sst xmlns="http://schemas.openxmlformats.org/spreadsheetml/2006/main" count="56" uniqueCount="45">
  <si>
    <t>Garantia:</t>
  </si>
  <si>
    <t>Treinta (30) días hábiles.-</t>
  </si>
  <si>
    <t>Mantenimiento:</t>
  </si>
  <si>
    <t>Calidad Minima esperada:</t>
  </si>
  <si>
    <t xml:space="preserve">El plazo de entrega no podrá ser superior a los Diez (10) días hábiles a partir de la fecha de recepción de la respectiva Orden de Compra. La entrega de dichos bienes se realizará en la Dirección Provincial de Administracion y Recursos Humanos, sito en Avda. Mexico S/N° - Predio Ferial Catamarca, en la ciudad de San Fernando del Valle de Catamarca de 8:00hs. a 13:00hs. debiendo correr los gastos de fletes, acarreo, carga, descarga y seguro a cargo del adjudicatario. Se presentará Remito que deberá cumplimentar lo dispuesto por la R.G. AFIP  1415/03, sin excepción. </t>
  </si>
  <si>
    <t xml:space="preserve"> </t>
  </si>
  <si>
    <t>Plazo y Lugar de entrega:</t>
  </si>
  <si>
    <t>Imprime, escanea y hace copias; Tecnología de impresión: inyección de tinta; Tiene entrada USB; Imprime 15 ppm a color; Capacidad máxima de 100 hojas; Soporta papel amaño A4, A6, Carta, Ejecutivo, Legal, Oficio, Oficio México, 54 x 86 mm - 215 x 1200 mm; Incluye accesorios; Práctica y funcional tanto para uso personal como profesional.</t>
  </si>
  <si>
    <t>Descripción técnica:</t>
  </si>
  <si>
    <t xml:space="preserve">Especificidades Item N° 5 </t>
  </si>
  <si>
    <t>WEBCAM 1920P X 1080P; VELOCIDAD DE MARCO: 30FPS; ROTACIÓN 360 GRADOS; Detalles Rápidos; Angulo de vision: 95° grados (ajustables); Canales: 4; 2 MEGAPÍXELES; Red: bluetooth, wifi, ONVIF, TCP, Ip, SDK; Función: VISION NOCTURNA; Uso: Bajo techo, en exteriores; Número de modelo: B3; Sensor: CCD; Características especiales: VISIÓN NOCTURNA, Impermeable / Resistente a la intemperie; Opciones de almacenamiento de datos: Full HD; Formato de compresión de video: H.265; Nombre del producto: cámara web; Característica: Cámara IP 1080P; Medidas: 8,7 * 6,4 * 5,1 cm; Salida de video: Transmisión de video USB; Resolución de video: 1920 x 1080;</t>
  </si>
  <si>
    <t xml:space="preserve">Especificidades Item N° 4 </t>
  </si>
  <si>
    <t>Procesador AMD ryzen 5600x;  MotherGigabyte b550 o compatible; Memoria 32Gb DDR4; Disco Solido SSD M.2 500gb NVME PCIe o similar; HDD 1tb o superior wdblue; Fuente de alimentación 650w Certificada 80 Plus; Placa de video Geforce GTX 1650 o superior; Gabinete generico; Placa de Wifi incorporada o por usb.</t>
  </si>
  <si>
    <t xml:space="preserve">Especificidades Item N° 2 </t>
  </si>
  <si>
    <t>Tipo: Notebook; Sistema: Operativo Windows 10 Home; Tipo De CPU: AMD; Modelo CPU: AMD Ryzen 3 3250U; Tipo De GPU: Integrada; Modelo GPU: AMD Radeon™ Graphics; Familia Del Procesador: AMD Ryzen; Capacidad: HDD 1 TB; Slot M2: No; Lector De Memoria: Si; Puertos HDMI: Si; Puertos USB 3.1: 2; Puertos USB 2.0: 1; Thunderbolt™ 3: No; Puertos Ethernet: Si; bluetooth: Si; WIFI: Si; Lectora: No; WebCam: Si; Distribucion Del Teclado: Ingles; Pad Numerico: No; Formato De Memorias: SODIMM; Generacion De Memorias: DDR4; RAM Integrada: 8 GB; Slot Adicional De RAM Disponible: No; Tamaño De La Pantalla: 14"; Tipo De Display: HD; Resolucion: 1366x768; Peso: 1.52 Kg; Ancho: 335 Mm; Profundidad: 234 Mm; Alto: 19 Mm.</t>
  </si>
  <si>
    <t xml:space="preserve">Especificidades Item N° 1 </t>
  </si>
  <si>
    <t>UNIDAD</t>
  </si>
  <si>
    <t>IMPRESORAS; TIPO: INYECCION TINTA MULTIFUN.COLOR, CODIGO ETAP: PR-023, VERSION ETAP: INVIERNO 2005 (V 12,0)</t>
  </si>
  <si>
    <t>INFORMATICA</t>
  </si>
  <si>
    <t>4.3.6-6161.90</t>
  </si>
  <si>
    <t>VIDEO CAMARAS P/PC; RESOLUCION: 1920 X 1080 PXL, DEFINICION: FULL HD, TIPO DE CONEXION: USB</t>
  </si>
  <si>
    <t>4.3.6-1372.14</t>
  </si>
  <si>
    <t>MOUSE; TIPO: OPTICO C/RUEDA SCROLL, CANTIDAD DE BOTONES: 2, TIPO DE CONEXION: USB</t>
  </si>
  <si>
    <t>2.9.6-1576.27</t>
  </si>
  <si>
    <t>COMPUTADORAS; TIPO: DE ESCRITORIO, CODIGO ETAP: PC-002, VERSION ETAP: SIN VALOR</t>
  </si>
  <si>
    <t>4.3.6-6160.87</t>
  </si>
  <si>
    <t>COMPUTADORAS; TIPO: NOTEBOOK BASICA, CODIGO ETAP: PC-006, VERSION ETAP: 23.0</t>
  </si>
  <si>
    <t>4.3.6-6160.216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</si>
  <si>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</si>
  <si>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</si>
  <si>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</si>
  <si>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</si>
  <si>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</si>
  <si>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</si>
  <si>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 DE COMPRA</t>
  </si>
  <si>
    <t>CODIGO ITEM</t>
  </si>
  <si>
    <t>ID</t>
  </si>
  <si>
    <t>3do. Trimestre</t>
  </si>
  <si>
    <t>TRIMESTRE:</t>
  </si>
  <si>
    <t>EJERCICIO:</t>
  </si>
  <si>
    <t>18 - Dirección Provincial de Administración y Recursos Humanos.-</t>
  </si>
  <si>
    <t xml:space="preserve">SAF N°: </t>
  </si>
  <si>
    <t>95 - Ministerio de Cultura y Turismo.-</t>
  </si>
  <si>
    <t>JURISDICCION: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</si>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</sst>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Times New Roman"/>
      <family val="1"/>
    </font>
    <font>
      <b/>
      <sz val="18"/>
      <name val="Times New Roman"/>
      <family val="1"/>
    </font>
    <font>
      <sz val="11"/>
      <name val="Times New Roman"/>
      <family val="1"/>
    </font>
    <font>
      <b/>
      <sz val="10"/>
      <color rgb="FFFF0000"/>
      <name val="Times New Roman"/>
      <family val="1"/>
    </font>
    <font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b/>
      <u/>
      <sz val="2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5">
    <xf numFmtId="0" fontId="0" fillId="0" borderId="0" xfId="0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3" fillId="0" borderId="6" xfId="0" applyFont="1" applyBorder="1"/>
    <xf numFmtId="0" fontId="0" fillId="0" borderId="0" xfId="0" applyAlignment="1">
      <alignment vertical="center"/>
    </xf>
    <xf numFmtId="0" fontId="4" fillId="0" borderId="3" xfId="0" applyFont="1" applyBorder="1" applyAlignment="1">
      <alignment vertical="center"/>
    </xf>
    <xf numFmtId="0" fontId="2" fillId="0" borderId="10" xfId="0" applyFont="1" applyBorder="1"/>
    <xf numFmtId="0" fontId="2" fillId="0" borderId="0" xfId="0" applyFont="1" applyBorder="1"/>
    <xf numFmtId="0" fontId="3" fillId="0" borderId="11" xfId="0" applyFont="1" applyBorder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4" fillId="0" borderId="3" xfId="0" applyFont="1" applyBorder="1"/>
    <xf numFmtId="0" fontId="3" fillId="0" borderId="11" xfId="0" applyFont="1" applyBorder="1" applyAlignment="1">
      <alignment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4" fillId="0" borderId="11" xfId="0" applyFont="1" applyBorder="1" applyAlignment="1"/>
    <xf numFmtId="0" fontId="4" fillId="0" borderId="11" xfId="0" applyFont="1" applyBorder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/>
    <xf numFmtId="0" fontId="2" fillId="2" borderId="1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5" fillId="0" borderId="6" xfId="0" applyFont="1" applyBorder="1" applyAlignment="1"/>
    <xf numFmtId="0" fontId="5" fillId="0" borderId="6" xfId="0" applyFont="1" applyBorder="1" applyAlignment="1">
      <alignment vertical="center"/>
    </xf>
    <xf numFmtId="0" fontId="4" fillId="0" borderId="11" xfId="0" applyFont="1" applyBorder="1"/>
    <xf numFmtId="0" fontId="6" fillId="0" borderId="10" xfId="0" applyFont="1" applyBorder="1"/>
    <xf numFmtId="0" fontId="6" fillId="0" borderId="0" xfId="0" applyFont="1" applyBorder="1"/>
    <xf numFmtId="0" fontId="7" fillId="0" borderId="11" xfId="0" applyFont="1" applyBorder="1"/>
    <xf numFmtId="0" fontId="6" fillId="0" borderId="4" xfId="0" applyFont="1" applyBorder="1"/>
    <xf numFmtId="0" fontId="6" fillId="0" borderId="5" xfId="0" applyFont="1" applyBorder="1"/>
    <xf numFmtId="0" fontId="5" fillId="0" borderId="6" xfId="0" applyFont="1" applyBorder="1"/>
    <xf numFmtId="0" fontId="8" fillId="0" borderId="0" xfId="0" applyFont="1"/>
    <xf numFmtId="164" fontId="9" fillId="0" borderId="12" xfId="0" applyNumberFormat="1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horizontal="center"/>
    </xf>
    <xf numFmtId="164" fontId="10" fillId="0" borderId="13" xfId="1" applyNumberFormat="1" applyFont="1" applyBorder="1" applyAlignment="1" applyProtection="1">
      <alignment horizontal="center" vertical="center" wrapText="1"/>
    </xf>
    <xf numFmtId="164" fontId="12" fillId="0" borderId="8" xfId="0" applyNumberFormat="1" applyFont="1" applyFill="1" applyBorder="1" applyAlignment="1">
      <alignment horizontal="center" vertical="center" wrapText="1"/>
    </xf>
    <xf numFmtId="1" fontId="12" fillId="0" borderId="13" xfId="0" applyNumberFormat="1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164" fontId="10" fillId="0" borderId="15" xfId="1" applyNumberFormat="1" applyFont="1" applyBorder="1" applyAlignment="1" applyProtection="1">
      <alignment horizontal="center" vertical="center" wrapText="1"/>
    </xf>
    <xf numFmtId="164" fontId="12" fillId="0" borderId="16" xfId="0" applyNumberFormat="1" applyFont="1" applyFill="1" applyBorder="1" applyAlignment="1">
      <alignment horizontal="center" vertical="center" wrapText="1"/>
    </xf>
    <xf numFmtId="1" fontId="12" fillId="0" borderId="17" xfId="0" applyNumberFormat="1" applyFont="1" applyFill="1" applyBorder="1" applyAlignment="1">
      <alignment horizontal="center" vertical="center" wrapText="1"/>
    </xf>
    <xf numFmtId="0" fontId="12" fillId="0" borderId="16" xfId="0" applyFont="1" applyFill="1" applyBorder="1" applyAlignment="1">
      <alignment horizontal="center" vertical="center" wrapText="1"/>
    </xf>
    <xf numFmtId="0" fontId="8" fillId="0" borderId="18" xfId="0" applyFont="1" applyFill="1" applyBorder="1" applyAlignment="1">
      <alignment horizontal="left" vertical="center" wrapText="1"/>
    </xf>
    <xf numFmtId="0" fontId="12" fillId="0" borderId="19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10" fillId="0" borderId="20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164" fontId="0" fillId="0" borderId="0" xfId="0" applyNumberFormat="1"/>
    <xf numFmtId="164" fontId="10" fillId="0" borderId="21" xfId="1" applyNumberFormat="1" applyFont="1" applyBorder="1" applyAlignment="1" applyProtection="1">
      <alignment horizontal="center" vertical="center" wrapText="1"/>
    </xf>
    <xf numFmtId="164" fontId="12" fillId="0" borderId="22" xfId="0" applyNumberFormat="1" applyFont="1" applyFill="1" applyBorder="1" applyAlignment="1">
      <alignment horizontal="center" vertical="center" wrapText="1"/>
    </xf>
    <xf numFmtId="1" fontId="12" fillId="0" borderId="21" xfId="0" applyNumberFormat="1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vertical="center"/>
    </xf>
    <xf numFmtId="0" fontId="10" fillId="0" borderId="21" xfId="0" applyFont="1" applyFill="1" applyBorder="1" applyAlignment="1">
      <alignment horizontal="center" vertical="center"/>
    </xf>
    <xf numFmtId="0" fontId="13" fillId="0" borderId="26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0" fontId="14" fillId="0" borderId="0" xfId="0" applyFont="1" applyAlignment="1">
      <alignment horizontal="left" wrapText="1"/>
    </xf>
    <xf numFmtId="0" fontId="14" fillId="0" borderId="0" xfId="0" applyFont="1" applyFill="1" applyBorder="1" applyAlignment="1">
      <alignment horizontal="center" wrapText="1"/>
    </xf>
    <xf numFmtId="0" fontId="14" fillId="0" borderId="0" xfId="0" applyFont="1" applyFill="1" applyBorder="1" applyAlignment="1">
      <alignment horizontal="left" wrapText="1"/>
    </xf>
    <xf numFmtId="0" fontId="0" fillId="0" borderId="0" xfId="0" applyFill="1" applyBorder="1"/>
    <xf numFmtId="0" fontId="8" fillId="0" borderId="0" xfId="0" applyFont="1" applyFill="1" applyBorder="1"/>
    <xf numFmtId="0" fontId="0" fillId="2" borderId="0" xfId="0" applyFill="1" applyBorder="1"/>
    <xf numFmtId="0" fontId="16" fillId="0" borderId="0" xfId="0" applyFont="1" applyAlignment="1">
      <alignment horizontal="left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15" fillId="0" borderId="0" xfId="0" applyFont="1" applyFill="1" applyAlignment="1">
      <alignment horizontal="left" wrapText="1"/>
    </xf>
    <xf numFmtId="0" fontId="17" fillId="0" borderId="0" xfId="0" applyFont="1" applyAlignment="1">
      <alignment horizontal="center"/>
    </xf>
    <xf numFmtId="0" fontId="15" fillId="2" borderId="0" xfId="0" applyFont="1" applyFill="1" applyAlignment="1">
      <alignment horizontal="left" wrapText="1"/>
    </xf>
    <xf numFmtId="0" fontId="13" fillId="0" borderId="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zoomScale="64" zoomScaleNormal="64" workbookViewId="0">
      <selection activeCell="C27" sqref="C27:E27"/>
    </sheetView>
  </sheetViews>
  <sheetFormatPr baseColWidth="10" defaultRowHeight="15" x14ac:dyDescent="0.25"/>
  <cols>
    <col min="1" max="1" width="4.5703125" customWidth="1"/>
    <col min="2" max="2" width="16.5703125" customWidth="1"/>
    <col min="3" max="3" width="26.28515625" customWidth="1"/>
    <col min="4" max="4" width="8.42578125" customWidth="1"/>
    <col min="5" max="5" width="77.42578125" customWidth="1"/>
    <col min="7" max="7" width="14.140625" customWidth="1"/>
    <col min="8" max="8" width="13.85546875" customWidth="1"/>
    <col min="9" max="9" width="22.5703125" customWidth="1"/>
    <col min="10" max="10" width="11.7109375" customWidth="1"/>
    <col min="13" max="13" width="13.140625" bestFit="1" customWidth="1"/>
  </cols>
  <sheetData>
    <row r="1" spans="1:13" ht="32.25" customHeight="1" x14ac:dyDescent="0.25">
      <c r="B1" s="76"/>
      <c r="C1" s="79"/>
      <c r="D1" s="79"/>
    </row>
    <row r="2" spans="1:13" ht="27" x14ac:dyDescent="0.35">
      <c r="A2" s="34"/>
      <c r="B2" s="81" t="s">
        <v>44</v>
      </c>
      <c r="C2" s="81"/>
      <c r="D2" s="81"/>
      <c r="E2" s="81"/>
      <c r="F2" s="81"/>
      <c r="G2" s="81"/>
      <c r="H2" s="81"/>
      <c r="I2" s="34"/>
      <c r="J2" s="34"/>
    </row>
    <row r="3" spans="1:13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</row>
    <row r="4" spans="1:13" ht="15.75" customHeight="1" x14ac:dyDescent="0.25">
      <c r="A4" s="77" t="s">
        <v>43</v>
      </c>
      <c r="B4" s="77"/>
      <c r="C4" s="82" t="s">
        <v>42</v>
      </c>
      <c r="D4" s="82"/>
      <c r="E4" s="82"/>
      <c r="F4" s="71"/>
      <c r="G4" s="70"/>
      <c r="H4" s="71"/>
      <c r="I4" s="34"/>
      <c r="J4" s="34"/>
    </row>
    <row r="5" spans="1:13" ht="15.75" customHeight="1" x14ac:dyDescent="0.25">
      <c r="A5" s="77" t="s">
        <v>41</v>
      </c>
      <c r="B5" s="77"/>
      <c r="C5" s="82" t="s">
        <v>40</v>
      </c>
      <c r="D5" s="82"/>
      <c r="E5" s="82"/>
      <c r="F5" s="83"/>
      <c r="G5" s="83"/>
      <c r="H5" s="83"/>
      <c r="I5" s="83"/>
      <c r="J5" s="75"/>
      <c r="K5" s="74"/>
    </row>
    <row r="6" spans="1:13" ht="15.75" x14ac:dyDescent="0.25">
      <c r="A6" s="77" t="s">
        <v>39</v>
      </c>
      <c r="B6" s="77"/>
      <c r="C6" s="80">
        <v>2021</v>
      </c>
      <c r="D6" s="80"/>
      <c r="E6" s="80"/>
      <c r="F6" s="73"/>
      <c r="G6" s="72"/>
      <c r="H6" s="73"/>
      <c r="I6" s="75"/>
      <c r="J6" s="75"/>
      <c r="K6" s="74"/>
    </row>
    <row r="7" spans="1:13" ht="15.75" x14ac:dyDescent="0.25">
      <c r="A7" s="77" t="s">
        <v>38</v>
      </c>
      <c r="B7" s="77"/>
      <c r="C7" s="80" t="s">
        <v>37</v>
      </c>
      <c r="D7" s="80"/>
      <c r="E7" s="80"/>
      <c r="F7" s="73"/>
      <c r="G7" s="72"/>
      <c r="H7" s="78"/>
      <c r="I7" s="78"/>
      <c r="J7" s="78"/>
      <c r="K7" s="78"/>
    </row>
    <row r="8" spans="1:13" x14ac:dyDescent="0.25">
      <c r="A8" s="34"/>
      <c r="B8" s="71"/>
      <c r="C8" s="70"/>
      <c r="D8" s="71"/>
      <c r="E8" s="71"/>
      <c r="F8" s="73"/>
      <c r="G8" s="72"/>
      <c r="H8" s="78"/>
      <c r="I8" s="78"/>
      <c r="J8" s="78"/>
      <c r="K8" s="78"/>
    </row>
    <row r="9" spans="1:13" ht="15.75" thickBot="1" x14ac:dyDescent="0.3">
      <c r="A9" s="34"/>
      <c r="B9" s="71"/>
      <c r="C9" s="70"/>
      <c r="D9" s="71"/>
      <c r="E9" s="71"/>
      <c r="F9" s="71"/>
      <c r="G9" s="70"/>
      <c r="H9" s="69"/>
      <c r="I9" s="69"/>
      <c r="J9" s="69"/>
      <c r="K9" s="69"/>
    </row>
    <row r="10" spans="1:13" ht="39" thickBot="1" x14ac:dyDescent="0.3">
      <c r="A10" s="66" t="s">
        <v>36</v>
      </c>
      <c r="B10" s="67" t="s">
        <v>35</v>
      </c>
      <c r="C10" s="66" t="s">
        <v>34</v>
      </c>
      <c r="D10" s="68" t="s">
        <v>33</v>
      </c>
      <c r="E10" s="66" t="s">
        <v>32</v>
      </c>
      <c r="F10" s="67" t="s">
        <v>31</v>
      </c>
      <c r="G10" s="66" t="s">
        <v>30</v>
      </c>
      <c r="H10" s="67" t="s">
        <v>29</v>
      </c>
      <c r="I10" s="66" t="s">
        <v>28</v>
      </c>
      <c r="J10" s="34"/>
    </row>
    <row r="11" spans="1:13" ht="73.5" customHeight="1" x14ac:dyDescent="0.25">
      <c r="A11" s="65">
        <v>1</v>
      </c>
      <c r="B11" s="64" t="s">
        <v>27</v>
      </c>
      <c r="C11" s="63" t="s">
        <v>18</v>
      </c>
      <c r="D11" s="62" t="str">
        <f>LEFT(B11,5)</f>
        <v>4.3.6</v>
      </c>
      <c r="E11" s="61" t="s">
        <v>26</v>
      </c>
      <c r="F11" s="60" t="s">
        <v>16</v>
      </c>
      <c r="G11" s="59">
        <v>3</v>
      </c>
      <c r="H11" s="58">
        <v>80015</v>
      </c>
      <c r="I11" s="57">
        <f>G11*H11</f>
        <v>240045</v>
      </c>
      <c r="J11" s="34"/>
      <c r="M11" s="56"/>
    </row>
    <row r="12" spans="1:13" ht="46.5" customHeight="1" x14ac:dyDescent="0.25">
      <c r="A12" s="55">
        <v>2</v>
      </c>
      <c r="B12" s="54" t="s">
        <v>25</v>
      </c>
      <c r="C12" s="53" t="s">
        <v>18</v>
      </c>
      <c r="D12" s="52" t="str">
        <f>LEFT(B12,5)</f>
        <v>4.3.6</v>
      </c>
      <c r="E12" s="51" t="s">
        <v>24</v>
      </c>
      <c r="F12" s="50" t="s">
        <v>16</v>
      </c>
      <c r="G12" s="49">
        <v>1</v>
      </c>
      <c r="H12" s="48">
        <v>218000</v>
      </c>
      <c r="I12" s="47">
        <f>G12*H12</f>
        <v>218000</v>
      </c>
      <c r="J12" s="34"/>
    </row>
    <row r="13" spans="1:13" ht="51" customHeight="1" x14ac:dyDescent="0.25">
      <c r="A13" s="55">
        <v>3</v>
      </c>
      <c r="B13" s="54" t="s">
        <v>23</v>
      </c>
      <c r="C13" s="53" t="s">
        <v>18</v>
      </c>
      <c r="D13" s="52" t="str">
        <f>LEFT(B13,5)</f>
        <v>2.9.6</v>
      </c>
      <c r="E13" s="51" t="s">
        <v>22</v>
      </c>
      <c r="F13" s="50" t="s">
        <v>16</v>
      </c>
      <c r="G13" s="49">
        <v>2</v>
      </c>
      <c r="H13" s="48">
        <v>250</v>
      </c>
      <c r="I13" s="47">
        <f>G13*H13</f>
        <v>500</v>
      </c>
      <c r="J13" s="34"/>
    </row>
    <row r="14" spans="1:13" ht="49.5" customHeight="1" x14ac:dyDescent="0.25">
      <c r="A14" s="55">
        <v>4</v>
      </c>
      <c r="B14" s="54" t="s">
        <v>21</v>
      </c>
      <c r="C14" s="53" t="s">
        <v>18</v>
      </c>
      <c r="D14" s="52" t="str">
        <f>LEFT(B14,5)</f>
        <v>4.3.6</v>
      </c>
      <c r="E14" s="51" t="s">
        <v>20</v>
      </c>
      <c r="F14" s="50" t="s">
        <v>16</v>
      </c>
      <c r="G14" s="49">
        <v>4</v>
      </c>
      <c r="H14" s="48">
        <v>3990</v>
      </c>
      <c r="I14" s="47">
        <f>G14*H14</f>
        <v>15960</v>
      </c>
      <c r="J14" s="34"/>
    </row>
    <row r="15" spans="1:13" ht="47.25" customHeight="1" x14ac:dyDescent="0.25">
      <c r="A15" s="55">
        <v>5</v>
      </c>
      <c r="B15" s="54" t="s">
        <v>19</v>
      </c>
      <c r="C15" s="53" t="s">
        <v>18</v>
      </c>
      <c r="D15" s="52" t="str">
        <f>LEFT(B15,5)</f>
        <v>4.3.6</v>
      </c>
      <c r="E15" s="51" t="s">
        <v>17</v>
      </c>
      <c r="F15" s="50" t="s">
        <v>16</v>
      </c>
      <c r="G15" s="49">
        <v>1</v>
      </c>
      <c r="H15" s="48">
        <v>28300</v>
      </c>
      <c r="I15" s="47">
        <f>G15*H15</f>
        <v>28300</v>
      </c>
      <c r="J15" s="34"/>
    </row>
    <row r="16" spans="1:13" ht="30.75" customHeight="1" x14ac:dyDescent="0.25">
      <c r="A16" s="55">
        <v>6</v>
      </c>
      <c r="B16" s="54"/>
      <c r="C16" s="53"/>
      <c r="D16" s="52"/>
      <c r="E16" s="51"/>
      <c r="F16" s="50"/>
      <c r="G16" s="49"/>
      <c r="H16" s="48"/>
      <c r="I16" s="47"/>
      <c r="J16" s="34"/>
    </row>
    <row r="17" spans="1:10" ht="26.25" customHeight="1" thickBot="1" x14ac:dyDescent="0.3">
      <c r="A17" s="46">
        <v>7</v>
      </c>
      <c r="B17" s="45"/>
      <c r="C17" s="44"/>
      <c r="D17" s="43"/>
      <c r="E17" s="42"/>
      <c r="F17" s="41"/>
      <c r="G17" s="40"/>
      <c r="H17" s="39"/>
      <c r="I17" s="38"/>
      <c r="J17" s="34"/>
    </row>
    <row r="18" spans="1:10" ht="25.5" customHeight="1" thickBot="1" x14ac:dyDescent="0.3">
      <c r="A18" s="34"/>
      <c r="B18" s="34"/>
      <c r="C18" s="34"/>
      <c r="D18" s="34"/>
      <c r="E18" s="37"/>
      <c r="F18" s="36"/>
      <c r="G18" s="36"/>
      <c r="H18" s="36"/>
      <c r="I18" s="35">
        <f>SUM(I11:I17)</f>
        <v>502805</v>
      </c>
      <c r="J18" s="34"/>
    </row>
    <row r="19" spans="1:10" ht="15.75" thickBot="1" x14ac:dyDescent="0.3"/>
    <row r="20" spans="1:10" ht="23.25" x14ac:dyDescent="0.35">
      <c r="B20" s="33" t="s">
        <v>15</v>
      </c>
      <c r="C20" s="32"/>
      <c r="D20" s="32"/>
      <c r="E20" s="31"/>
    </row>
    <row r="21" spans="1:10" ht="23.25" x14ac:dyDescent="0.35">
      <c r="B21" s="30"/>
      <c r="C21" s="29"/>
      <c r="D21" s="29"/>
      <c r="E21" s="28"/>
    </row>
    <row r="22" spans="1:10" ht="21" x14ac:dyDescent="0.35">
      <c r="B22" s="27" t="s">
        <v>8</v>
      </c>
      <c r="C22" s="8"/>
      <c r="D22" s="8"/>
      <c r="E22" s="7"/>
    </row>
    <row r="23" spans="1:10" s="5" customFormat="1" ht="207" customHeight="1" thickBot="1" x14ac:dyDescent="0.3">
      <c r="B23" s="6"/>
      <c r="C23" s="84" t="s">
        <v>14</v>
      </c>
      <c r="D23" s="85"/>
      <c r="E23" s="86"/>
    </row>
    <row r="24" spans="1:10" s="5" customFormat="1" ht="25.5" customHeight="1" x14ac:dyDescent="0.25">
      <c r="B24" s="26" t="s">
        <v>13</v>
      </c>
      <c r="C24" s="24"/>
      <c r="D24" s="24"/>
      <c r="E24" s="23"/>
    </row>
    <row r="25" spans="1:10" s="5" customFormat="1" ht="13.5" customHeight="1" x14ac:dyDescent="0.25">
      <c r="B25" s="17"/>
      <c r="C25" s="22"/>
      <c r="D25" s="22"/>
      <c r="E25" s="21"/>
    </row>
    <row r="26" spans="1:10" s="5" customFormat="1" ht="23.25" customHeight="1" x14ac:dyDescent="0.35">
      <c r="B26" s="16" t="s">
        <v>8</v>
      </c>
      <c r="C26" s="22"/>
      <c r="D26" s="22"/>
      <c r="E26" s="21"/>
    </row>
    <row r="27" spans="1:10" s="5" customFormat="1" ht="110.25" customHeight="1" thickBot="1" x14ac:dyDescent="0.3">
      <c r="B27" s="6"/>
      <c r="C27" s="89" t="s">
        <v>12</v>
      </c>
      <c r="D27" s="90"/>
      <c r="E27" s="91"/>
    </row>
    <row r="28" spans="1:10" s="5" customFormat="1" ht="24" customHeight="1" x14ac:dyDescent="0.35">
      <c r="B28" s="25" t="s">
        <v>11</v>
      </c>
      <c r="C28" s="24"/>
      <c r="D28" s="24"/>
      <c r="E28" s="23"/>
    </row>
    <row r="29" spans="1:10" s="5" customFormat="1" ht="18" customHeight="1" x14ac:dyDescent="0.25">
      <c r="B29" s="17"/>
      <c r="C29" s="22"/>
      <c r="D29" s="22"/>
      <c r="E29" s="21"/>
    </row>
    <row r="30" spans="1:10" s="5" customFormat="1" ht="25.5" customHeight="1" x14ac:dyDescent="0.35">
      <c r="B30" s="16" t="s">
        <v>8</v>
      </c>
      <c r="C30" s="22"/>
      <c r="D30" s="22"/>
      <c r="E30" s="21"/>
    </row>
    <row r="31" spans="1:10" s="5" customFormat="1" ht="229.5" customHeight="1" thickBot="1" x14ac:dyDescent="0.3">
      <c r="B31" s="6"/>
      <c r="C31" s="89" t="s">
        <v>10</v>
      </c>
      <c r="D31" s="90"/>
      <c r="E31" s="91"/>
    </row>
    <row r="32" spans="1:10" s="5" customFormat="1" ht="24" customHeight="1" x14ac:dyDescent="0.35">
      <c r="B32" s="20" t="s">
        <v>9</v>
      </c>
      <c r="C32" s="19"/>
      <c r="D32" s="19"/>
      <c r="E32" s="18"/>
    </row>
    <row r="33" spans="2:5" s="5" customFormat="1" ht="21.75" customHeight="1" x14ac:dyDescent="0.25">
      <c r="B33" s="17"/>
      <c r="C33" s="15"/>
      <c r="D33" s="15"/>
      <c r="E33" s="14"/>
    </row>
    <row r="34" spans="2:5" s="5" customFormat="1" ht="20.25" customHeight="1" x14ac:dyDescent="0.35">
      <c r="B34" s="16" t="s">
        <v>8</v>
      </c>
      <c r="C34" s="15"/>
      <c r="D34" s="15"/>
      <c r="E34" s="14"/>
    </row>
    <row r="35" spans="2:5" s="5" customFormat="1" ht="130.5" customHeight="1" thickBot="1" x14ac:dyDescent="0.3">
      <c r="B35" s="6"/>
      <c r="C35" s="89" t="s">
        <v>7</v>
      </c>
      <c r="D35" s="90"/>
      <c r="E35" s="91"/>
    </row>
    <row r="36" spans="2:5" ht="23.25" customHeight="1" x14ac:dyDescent="0.35">
      <c r="B36" s="13" t="s">
        <v>6</v>
      </c>
      <c r="C36" s="8"/>
      <c r="D36" s="8"/>
      <c r="E36" s="7"/>
    </row>
    <row r="37" spans="2:5" ht="168.75" customHeight="1" thickBot="1" x14ac:dyDescent="0.4">
      <c r="B37" s="12" t="s">
        <v>5</v>
      </c>
      <c r="C37" s="89" t="s">
        <v>4</v>
      </c>
      <c r="D37" s="90"/>
      <c r="E37" s="91"/>
    </row>
    <row r="38" spans="2:5" ht="21" x14ac:dyDescent="0.35">
      <c r="B38" s="9" t="s">
        <v>3</v>
      </c>
      <c r="C38" s="8"/>
      <c r="D38" s="8"/>
      <c r="E38" s="7"/>
    </row>
    <row r="39" spans="2:5" ht="21.75" thickBot="1" x14ac:dyDescent="0.4">
      <c r="B39" s="12"/>
      <c r="C39" s="11"/>
      <c r="D39" s="11"/>
      <c r="E39" s="10"/>
    </row>
    <row r="40" spans="2:5" ht="21" x14ac:dyDescent="0.35">
      <c r="B40" s="9" t="s">
        <v>2</v>
      </c>
      <c r="C40" s="8"/>
      <c r="D40" s="8"/>
      <c r="E40" s="7"/>
    </row>
    <row r="41" spans="2:5" s="5" customFormat="1" ht="33.75" customHeight="1" thickBot="1" x14ac:dyDescent="0.3">
      <c r="B41" s="6"/>
      <c r="C41" s="92" t="s">
        <v>1</v>
      </c>
      <c r="D41" s="93"/>
      <c r="E41" s="94"/>
    </row>
    <row r="42" spans="2:5" ht="21" x14ac:dyDescent="0.35">
      <c r="B42" s="4" t="s">
        <v>0</v>
      </c>
      <c r="C42" s="3"/>
      <c r="D42" s="3"/>
      <c r="E42" s="2"/>
    </row>
    <row r="43" spans="2:5" ht="21.75" thickBot="1" x14ac:dyDescent="0.4">
      <c r="B43" s="1"/>
      <c r="C43" s="87"/>
      <c r="D43" s="87"/>
      <c r="E43" s="88"/>
    </row>
  </sheetData>
  <mergeCells count="19">
    <mergeCell ref="C23:E23"/>
    <mergeCell ref="C43:E43"/>
    <mergeCell ref="C37:E37"/>
    <mergeCell ref="C41:E41"/>
    <mergeCell ref="C27:E27"/>
    <mergeCell ref="C31:E31"/>
    <mergeCell ref="C35:E35"/>
    <mergeCell ref="A7:B7"/>
    <mergeCell ref="H7:K8"/>
    <mergeCell ref="C1:D1"/>
    <mergeCell ref="C7:E7"/>
    <mergeCell ref="C6:E6"/>
    <mergeCell ref="B2:H2"/>
    <mergeCell ref="A4:B4"/>
    <mergeCell ref="C4:E4"/>
    <mergeCell ref="A5:B5"/>
    <mergeCell ref="C5:E5"/>
    <mergeCell ref="F5:I5"/>
    <mergeCell ref="A6:B6"/>
  </mergeCells>
  <pageMargins left="0.70866141732283472" right="0.70866141732283472" top="0.74803149606299213" bottom="0.74803149606299213" header="0.31496062992125984" footer="0.31496062992125984"/>
  <pageSetup paperSize="5" scale="4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1</dc:creator>
  <cp:lastModifiedBy>ELIAS QUINTAR</cp:lastModifiedBy>
  <dcterms:created xsi:type="dcterms:W3CDTF">2021-09-15T12:33:05Z</dcterms:created>
  <dcterms:modified xsi:type="dcterms:W3CDTF">2021-09-22T14:09:04Z</dcterms:modified>
</cp:coreProperties>
</file>