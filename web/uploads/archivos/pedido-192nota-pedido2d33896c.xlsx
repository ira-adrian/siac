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9440" windowHeight="7290" activeTab="2"/>
  </bookViews>
  <sheets>
    <sheet name="APG" sheetId="3" r:id="rId1"/>
    <sheet name="Nota de Pedido" sheetId="4" r:id="rId2"/>
    <sheet name="Necesidades Trimestrales" sheetId="5" r:id="rId3"/>
  </sheet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5" l="1"/>
  <c r="Q16" i="3" l="1"/>
</calcChain>
</file>

<file path=xl/sharedStrings.xml><?xml version="1.0" encoding="utf-8"?>
<sst xmlns="http://schemas.openxmlformats.org/spreadsheetml/2006/main" count="95" uniqueCount="84">
  <si>
    <t>EJERCICIO:</t>
  </si>
  <si>
    <t>SAF:</t>
  </si>
  <si>
    <t>UNIDAD EJECUTORA:</t>
  </si>
  <si>
    <t xml:space="preserve">DEPENDENCIA SOLICITANTE: </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</si>
  <si>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</si>
  <si>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</si>
  <si>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</si>
  <si>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</si>
  <si>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</si>
  <si>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</si>
  <si>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</si>
  <si>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</si>
  <si>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</si>
  <si>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</si>
  <si>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</si>
  <si>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</si>
  <si>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</si>
  <si>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</si>
  <si>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</si>
  <si>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</si>
  <si>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</si>
  <si>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</si>
  <si>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</si>
  <si>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</si>
  <si>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</si>
  <si>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</si>
  <si>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</si>
  <si>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 xml:space="preserve">MINISTERIO CE EDUCACION </t>
  </si>
  <si>
    <t xml:space="preserve">26 DIRECCION PROVINCIAL DE ADMINISTRACION </t>
  </si>
  <si>
    <t>COMBUSTIBLES Y LUBRICANTES</t>
  </si>
  <si>
    <t xml:space="preserve">   ADQUISICIÓN DE COMBUSTIBLE PARA VEHICULOS OFICIALES DEL MINISTERIO DE EDUCACION.-</t>
  </si>
  <si>
    <t>DIRECCION PROVINCIAL DE PARQUE AUTOMOTOR</t>
  </si>
  <si>
    <t>Autorizo la realización de los  trámites correspondientes, a fin de proveer a  este Organismo los bienes que se detallan en Nota  de Pedido N°40/22, afectando la erogación resultante a los créditos presupuestarios aprobados a favor de esta Unidad Ejecutora, conforme al siguiente detalle:</t>
  </si>
  <si>
    <t>NOTA DE PEDIDO</t>
  </si>
  <si>
    <t>N°</t>
  </si>
  <si>
    <t>40/2022</t>
  </si>
  <si>
    <t xml:space="preserve">JURISDICCIÓN: </t>
  </si>
  <si>
    <t>50 - Ministerio de Educacion</t>
  </si>
  <si>
    <t>SAF 26 - Direccion Provincial de Administracion de la Secretaria de Administracion</t>
  </si>
  <si>
    <t>Direccion Provincial de Parque Automotor</t>
  </si>
  <si>
    <t>PERIODO DE UTILIZACION:</t>
  </si>
  <si>
    <t xml:space="preserve"> 3 meses</t>
  </si>
  <si>
    <t>OBJETO:</t>
  </si>
  <si>
    <t>Adquisicion de Combustibles para Vehiculos Oficiales</t>
  </si>
  <si>
    <t>Ítem</t>
  </si>
  <si>
    <t>I.P.P.</t>
  </si>
  <si>
    <t>DESCRIPCION</t>
  </si>
  <si>
    <t>Adjunta Detalle Técnico</t>
  </si>
  <si>
    <t>Unidad Medida</t>
  </si>
  <si>
    <t>Precio Unitario Estimado</t>
  </si>
  <si>
    <t>Cantidad Solicitada</t>
  </si>
  <si>
    <t>2.5.6-793.31</t>
  </si>
  <si>
    <t>GAS OIL; PRESENTACION: POR LITRO, USO: MOTORES DIESEL, COMERCIALIZACION: GRADO 3, DESTINO: DPTO. S.F.V. DE CATAMARCA</t>
  </si>
  <si>
    <t>No</t>
  </si>
  <si>
    <t>litro</t>
  </si>
  <si>
    <t>Lugar y Hora de entrega:</t>
  </si>
  <si>
    <t>Plazo de entrega:</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</si>
  <si>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</si>
  <si>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</si>
  <si>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</si>
  <si>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</si>
  <si>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</si>
  <si>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</si>
  <si>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</si>
  <si>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</si>
  <si>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</si>
  <si>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</si>
  <si>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UNIDAD DE MEDIDA</t>
  </si>
  <si>
    <t>CANTIDAD</t>
  </si>
  <si>
    <t>PRECIO UNITARIO ESTIMADO</t>
  </si>
  <si>
    <t xml:space="preserve">IMPORTE TOTAL ESTIMADO </t>
  </si>
  <si>
    <t>2.5.6</t>
  </si>
  <si>
    <t>LITRO</t>
  </si>
  <si>
    <t>Especificidades Items N° 1:</t>
  </si>
  <si>
    <t>Descripción técnica</t>
  </si>
  <si>
    <t>Se entregaran fraccionados bajo la forma de vales de 30 litros cada uno, cuando la cantidad adjudicada no permita la confeccion de dicho vale, se emitira el mismo po una fraccion menor hasta completar la cantidad solicitada. Los mismos se cargaran en Bocas de Expendios de San Fernando del Valle de Catamarca.</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</si>
  <si>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</si>
  <si>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</si>
  <si>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Calidad Minima esperada</t>
  </si>
  <si>
    <r>
      <t>Mantenimiento:</t>
    </r>
    <r>
      <rPr>
        <sz val="10"/>
        <rFont val="Times New Roman"/>
        <family val="1"/>
      </rPr>
      <t xml:space="preserve"> 30 días habiles</t>
    </r>
  </si>
  <si>
    <t xml:space="preserve"> Dirección de Administración del Ministerio de Educación, sito en Avenida Republica de Venezuela S/N° - CAPE- Pabellón N° 15 San Fernando del Valle de Catamarca.</t>
  </si>
  <si>
    <t>10 dias habiles</t>
  </si>
  <si>
    <t>Costo total estimado: Dos Millones Novecientos Cuarenta y Siete Mil Quinientos Ochenta y Siete con 50/100</t>
  </si>
  <si>
    <t xml:space="preserve">TOTAL DE PESOS: DOS MILLONES NOVECIENTOS CUARENTA Y SIETE  MIL QUINIENTOS OCHENTA Y SIETE CON 50/100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</si>
</sst>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 #,##0.00\ &quot;€&quot;_-;\-* #,##0.00\ &quot;€&quot;_-;_-* &quot;-&quot;??\ &quot;€&quot;_-;_-@_-"/>
    <numFmt numFmtId="164" formatCode="[$$-2C0A]\ #,##0.00;[$$-2C0A]&quot; -&quot;#,##0.00"/>
    <numFmt numFmtId="165" formatCode="dd\-mm\-yy;@"/>
    <numFmt numFmtId="166" formatCode="_(\$* #,##0.00_);_(\$* \(#,##0.00\);_(\$* \-??_);_(@_)"/>
    <numFmt numFmtId="167" formatCode="&quot;$&quot;\ #,##0.00"/>
    <numFmt numFmtId="168" formatCode="[$$-2C0A]\ #,##0.00"/>
  </numFmts>
  <fonts count="33" x14ac:knownFonts="1">
    <font>
      <sz val="11"/>
      <color theme="1"/>
      <name val="Calibri"/>
      <family val="2"/>
      <scheme val="minor"/>
    </font>
    <font>
      <sz val="9"/>
      <name val="Times New Roman"/>
      <family val="1"/>
    </font>
    <font>
      <sz val="11"/>
      <name val="Times New Roman"/>
      <family val="1"/>
    </font>
    <font>
      <b/>
      <sz val="11"/>
      <name val="Times New Roman"/>
      <family val="1"/>
    </font>
    <font>
      <b/>
      <u/>
      <sz val="11"/>
      <name val="Times New Roman"/>
      <family val="1"/>
    </font>
    <font>
      <b/>
      <sz val="9"/>
      <name val="Times New Roman"/>
      <family val="1"/>
    </font>
    <font>
      <sz val="10"/>
      <name val="Arial"/>
      <family val="2"/>
      <charset val="1"/>
    </font>
    <font>
      <sz val="11"/>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0"/>
      <name val="Arial"/>
      <family val="2"/>
    </font>
    <font>
      <b/>
      <sz val="12"/>
      <name val="Arial"/>
      <family val="2"/>
    </font>
    <font>
      <b/>
      <sz val="14"/>
      <name val="Times New Roman"/>
      <family val="1"/>
      <charset val="1"/>
    </font>
    <font>
      <b/>
      <sz val="18"/>
      <name val="Calibri"/>
      <family val="2"/>
      <scheme val="minor"/>
    </font>
    <font>
      <b/>
      <u/>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1"/>
      <color rgb="FF000000"/>
      <name val="Times New Roman"/>
      <family val="1"/>
    </font>
    <font>
      <sz val="9"/>
      <color rgb="FF000000"/>
      <name val="Times New Roman"/>
      <family val="1"/>
    </font>
    <font>
      <u/>
      <sz val="10"/>
      <name val="Times New Roman"/>
      <family val="1"/>
    </font>
    <font>
      <sz val="11"/>
      <color rgb="FF333333"/>
      <name val="Arial"/>
      <family val="2"/>
    </font>
    <font>
      <b/>
      <sz val="10"/>
      <name val="Century Gothic"/>
      <family val="2"/>
    </font>
    <font>
      <sz val="10"/>
      <color rgb="FFFF0000"/>
      <name val="Times New Roman"/>
      <family val="1"/>
    </font>
    <font>
      <u/>
      <sz val="10"/>
      <color rgb="FFFF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bgColor rgb="FFFFFF00"/>
      </patternFill>
    </fill>
  </fills>
  <borders count="56">
    <border>
      <left/>
      <right/>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medium">
        <color auto="1"/>
      </left>
      <right/>
      <top style="medium">
        <color auto="1"/>
      </top>
      <bottom/>
      <diagonal/>
    </border>
    <border>
      <left/>
      <right style="medium">
        <color rgb="FF3D3D3D"/>
      </right>
      <top style="medium">
        <color auto="1"/>
      </top>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rgb="FF3D3D3D"/>
      </left>
      <right style="medium">
        <color rgb="FF3D3D3D"/>
      </right>
      <top style="medium">
        <color indexed="64"/>
      </top>
      <bottom/>
      <diagonal/>
    </border>
    <border>
      <left style="medium">
        <color rgb="FF3D3D3D"/>
      </left>
      <right/>
      <top style="medium">
        <color auto="1"/>
      </top>
      <bottom/>
      <diagonal/>
    </border>
    <border>
      <left style="medium">
        <color rgb="FF3D3D3D"/>
      </left>
      <right/>
      <top/>
      <bottom/>
      <diagonal/>
    </border>
    <border>
      <left style="medium">
        <color indexed="64"/>
      </left>
      <right/>
      <top style="medium">
        <color indexed="64"/>
      </top>
      <bottom style="thin">
        <color auto="1"/>
      </bottom>
      <diagonal/>
    </border>
    <border>
      <left style="thin">
        <color auto="1"/>
      </left>
      <right style="thin">
        <color auto="1"/>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auto="1"/>
      </bottom>
      <diagonal/>
    </border>
    <border>
      <left/>
      <right/>
      <top style="medium">
        <color rgb="FFE5E5E5"/>
      </top>
      <bottom/>
      <diagonal/>
    </border>
    <border>
      <left/>
      <right/>
      <top/>
      <bottom style="medium">
        <color auto="1"/>
      </bottom>
      <diagonal/>
    </border>
  </borders>
  <cellStyleXfs count="3">
    <xf numFmtId="0" fontId="0" fillId="0" borderId="0"/>
    <xf numFmtId="166" fontId="6" fillId="0" borderId="0" applyBorder="0" applyProtection="0"/>
    <xf numFmtId="44" fontId="7" fillId="0" borderId="0" applyFont="0" applyFill="0" applyBorder="0" applyAlignment="0" applyProtection="0"/>
  </cellStyleXfs>
  <cellXfs count="143">
    <xf numFmtId="0" fontId="0" fillId="0" borderId="0" xfId="0"/>
    <xf numFmtId="3" fontId="3" fillId="0" borderId="1" xfId="0" applyNumberFormat="1" applyFont="1" applyBorder="1"/>
    <xf numFmtId="165" fontId="2" fillId="0" borderId="1" xfId="0" applyNumberFormat="1" applyFont="1" applyBorder="1" applyAlignment="1">
      <alignment horizontal="left"/>
    </xf>
    <xf numFmtId="0" fontId="2" fillId="0" borderId="1" xfId="0" applyFont="1" applyBorder="1"/>
    <xf numFmtId="0" fontId="2" fillId="0" borderId="2" xfId="0" applyFont="1" applyBorder="1"/>
    <xf numFmtId="0" fontId="2" fillId="0" borderId="0" xfId="0" applyFont="1"/>
    <xf numFmtId="0" fontId="2" fillId="0" borderId="0" xfId="0" applyFont="1" applyAlignment="1">
      <alignment horizontal="left"/>
    </xf>
    <xf numFmtId="165" fontId="2" fillId="0" borderId="0" xfId="0" applyNumberFormat="1" applyFont="1" applyAlignment="1">
      <alignment horizontal="left"/>
    </xf>
    <xf numFmtId="0" fontId="2" fillId="0" borderId="3" xfId="0" applyFont="1" applyBorder="1"/>
    <xf numFmtId="0" fontId="2" fillId="0" borderId="5" xfId="0" applyFont="1" applyBorder="1"/>
    <xf numFmtId="0" fontId="2" fillId="0" borderId="6" xfId="0" applyFont="1" applyBorder="1"/>
    <xf numFmtId="0" fontId="2" fillId="0" borderId="6" xfId="0" applyFont="1" applyBorder="1" applyAlignment="1">
      <alignment horizontal="left"/>
    </xf>
    <xf numFmtId="0" fontId="2" fillId="0" borderId="15" xfId="0" applyFont="1" applyBorder="1"/>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19" xfId="0" applyFont="1" applyBorder="1" applyAlignment="1">
      <alignment horizontal="left"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164" fontId="1" fillId="0" borderId="25" xfId="1" applyNumberFormat="1" applyFont="1" applyBorder="1" applyAlignment="1" applyProtection="1">
      <alignment horizontal="center" vertical="center"/>
    </xf>
    <xf numFmtId="164" fontId="5" fillId="0" borderId="29" xfId="0" applyNumberFormat="1" applyFont="1" applyBorder="1" applyAlignment="1">
      <alignment horizontal="center" vertical="center"/>
    </xf>
    <xf numFmtId="0" fontId="9" fillId="0" borderId="37" xfId="0" applyFont="1" applyBorder="1" applyAlignment="1">
      <alignment horizontal="right" vertical="center"/>
    </xf>
    <xf numFmtId="0" fontId="10" fillId="3" borderId="4" xfId="0" applyFont="1" applyFill="1" applyBorder="1" applyAlignment="1">
      <alignment horizontal="center" vertical="center"/>
    </xf>
    <xf numFmtId="0" fontId="9" fillId="0" borderId="5" xfId="0" applyFont="1" applyBorder="1" applyAlignment="1">
      <alignment vertical="center"/>
    </xf>
    <xf numFmtId="0" fontId="9" fillId="0" borderId="6" xfId="0" applyFont="1" applyBorder="1" applyAlignment="1">
      <alignment vertical="center"/>
    </xf>
    <xf numFmtId="0" fontId="9" fillId="0" borderId="0" xfId="0" applyFont="1" applyAlignment="1">
      <alignment vertical="center"/>
    </xf>
    <xf numFmtId="0" fontId="9" fillId="0" borderId="3" xfId="0" applyFont="1" applyBorder="1" applyAlignment="1">
      <alignment vertical="center"/>
    </xf>
    <xf numFmtId="0" fontId="11" fillId="0" borderId="2" xfId="0"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wrapText="1" indent="1"/>
    </xf>
    <xf numFmtId="0" fontId="10" fillId="0" borderId="3" xfId="0" applyFont="1" applyBorder="1" applyAlignment="1">
      <alignment horizontal="left" vertical="center" wrapText="1" indent="1"/>
    </xf>
    <xf numFmtId="0" fontId="14" fillId="0" borderId="46" xfId="0" applyFont="1" applyBorder="1" applyAlignment="1">
      <alignment horizontal="center" vertical="center"/>
    </xf>
    <xf numFmtId="0" fontId="15" fillId="0" borderId="47" xfId="0" applyFont="1" applyBorder="1" applyAlignment="1">
      <alignment vertical="center" wrapText="1"/>
    </xf>
    <xf numFmtId="0" fontId="16" fillId="0" borderId="47" xfId="0" applyFont="1" applyBorder="1" applyAlignment="1">
      <alignment horizontal="center" vertical="center"/>
    </xf>
    <xf numFmtId="167" fontId="16" fillId="0" borderId="47" xfId="0" applyNumberFormat="1" applyFont="1" applyBorder="1" applyAlignment="1">
      <alignment horizontal="center" vertical="center"/>
    </xf>
    <xf numFmtId="0" fontId="6" fillId="2" borderId="0" xfId="0" applyFont="1" applyFill="1" applyAlignment="1">
      <alignment vertical="center"/>
    </xf>
    <xf numFmtId="0" fontId="19" fillId="2" borderId="0" xfId="0" applyFont="1" applyFill="1" applyAlignment="1">
      <alignment horizontal="right" vertical="center"/>
    </xf>
    <xf numFmtId="0" fontId="20" fillId="0" borderId="0" xfId="0" applyFont="1"/>
    <xf numFmtId="0" fontId="24" fillId="0" borderId="0" xfId="0" applyFont="1" applyAlignment="1">
      <alignment horizontal="left" wrapText="1"/>
    </xf>
    <xf numFmtId="0" fontId="24" fillId="0" borderId="0" xfId="0" applyFont="1" applyAlignment="1">
      <alignment horizontal="center" wrapText="1"/>
    </xf>
    <xf numFmtId="0" fontId="23" fillId="4" borderId="0" xfId="0" applyFont="1" applyFill="1" applyAlignment="1">
      <alignment horizontal="left" wrapText="1" indent="1"/>
    </xf>
    <xf numFmtId="0" fontId="25" fillId="2" borderId="0" xfId="0" applyFont="1" applyFill="1" applyAlignment="1">
      <alignment horizontal="left" wrapText="1"/>
    </xf>
    <xf numFmtId="0" fontId="22" fillId="0" borderId="0" xfId="0" applyFont="1" applyAlignment="1">
      <alignment horizontal="left" vertical="center" wrapText="1"/>
    </xf>
    <xf numFmtId="0" fontId="22" fillId="0" borderId="52" xfId="0" applyFont="1" applyBorder="1" applyAlignment="1">
      <alignment horizontal="center" vertical="center" wrapText="1"/>
    </xf>
    <xf numFmtId="0" fontId="1" fillId="0" borderId="53" xfId="0" applyFont="1" applyBorder="1" applyAlignment="1">
      <alignment horizontal="center" vertical="center"/>
    </xf>
    <xf numFmtId="0" fontId="0" fillId="0" borderId="53" xfId="0" applyBorder="1" applyAlignment="1">
      <alignment horizontal="center" vertical="center"/>
    </xf>
    <xf numFmtId="0" fontId="0" fillId="0" borderId="53" xfId="0" applyBorder="1" applyAlignment="1">
      <alignment vertical="center"/>
    </xf>
    <xf numFmtId="0" fontId="26" fillId="0" borderId="53" xfId="0" applyFont="1" applyBorder="1" applyAlignment="1">
      <alignment horizontal="center" vertical="center" wrapText="1"/>
    </xf>
    <xf numFmtId="0" fontId="20" fillId="0" borderId="53" xfId="0" applyFont="1" applyBorder="1" applyAlignment="1">
      <alignment horizontal="left" vertical="center" wrapText="1"/>
    </xf>
    <xf numFmtId="0" fontId="27" fillId="4" borderId="53" xfId="0" applyFont="1" applyFill="1" applyBorder="1" applyAlignment="1">
      <alignment horizontal="center" vertical="center" wrapText="1"/>
    </xf>
    <xf numFmtId="164" fontId="1" fillId="4" borderId="53" xfId="2" applyNumberFormat="1" applyFont="1" applyFill="1" applyBorder="1" applyAlignment="1" applyProtection="1">
      <alignment horizontal="center" vertical="center" wrapText="1"/>
    </xf>
    <xf numFmtId="0" fontId="1" fillId="0" borderId="0" xfId="0" applyFont="1" applyAlignment="1">
      <alignment horizontal="center" vertical="center"/>
    </xf>
    <xf numFmtId="0" fontId="27" fillId="4" borderId="0" xfId="0" applyFont="1" applyFill="1" applyBorder="1" applyAlignment="1">
      <alignment horizontal="center" vertical="center" wrapText="1"/>
    </xf>
    <xf numFmtId="0" fontId="0" fillId="0" borderId="0" xfId="0" applyAlignment="1">
      <alignment horizontal="center" vertical="center" wrapText="1"/>
    </xf>
    <xf numFmtId="0" fontId="27" fillId="0" borderId="0" xfId="0" applyFont="1" applyFill="1" applyBorder="1" applyAlignment="1">
      <alignment horizontal="center" vertical="center" wrapText="1"/>
    </xf>
    <xf numFmtId="0" fontId="0" fillId="0" borderId="0" xfId="0" applyAlignment="1">
      <alignment horizontal="left" vertical="center" wrapText="1"/>
    </xf>
    <xf numFmtId="0" fontId="27" fillId="4" borderId="0" xfId="0" applyFont="1" applyFill="1" applyAlignment="1">
      <alignment horizontal="center" vertical="center" wrapText="1"/>
    </xf>
    <xf numFmtId="164" fontId="1" fillId="4" borderId="0" xfId="2" applyNumberFormat="1" applyFont="1" applyFill="1" applyBorder="1" applyAlignment="1" applyProtection="1">
      <alignment horizontal="right" vertical="center" wrapText="1"/>
    </xf>
    <xf numFmtId="0" fontId="28" fillId="0" borderId="36" xfId="0" applyFont="1" applyBorder="1"/>
    <xf numFmtId="0" fontId="20" fillId="0" borderId="1" xfId="0" applyFont="1" applyBorder="1"/>
    <xf numFmtId="0" fontId="20" fillId="0" borderId="42" xfId="0" applyFont="1" applyBorder="1"/>
    <xf numFmtId="0" fontId="20" fillId="0" borderId="2" xfId="0" applyFont="1" applyBorder="1"/>
    <xf numFmtId="0" fontId="20" fillId="0" borderId="3" xfId="0" applyFont="1" applyBorder="1"/>
    <xf numFmtId="0" fontId="28" fillId="0" borderId="2" xfId="0" applyFont="1" applyBorder="1" applyAlignment="1">
      <alignment horizontal="left" indent="3"/>
    </xf>
    <xf numFmtId="0" fontId="29" fillId="0" borderId="54" xfId="0" applyFont="1" applyFill="1" applyBorder="1" applyAlignment="1">
      <alignment vertical="center" wrapText="1"/>
    </xf>
    <xf numFmtId="0" fontId="20" fillId="0" borderId="2" xfId="0" applyFont="1" applyBorder="1" applyAlignment="1">
      <alignment horizontal="left" indent="3"/>
    </xf>
    <xf numFmtId="0" fontId="30" fillId="0" borderId="0" xfId="0" applyFont="1" applyFill="1" applyBorder="1" applyAlignment="1">
      <alignment horizontal="center" vertical="center" wrapText="1"/>
    </xf>
    <xf numFmtId="0" fontId="20" fillId="0" borderId="0" xfId="0" applyFont="1" applyAlignment="1">
      <alignment horizontal="center" wrapText="1"/>
    </xf>
    <xf numFmtId="0" fontId="20" fillId="0" borderId="3" xfId="0" applyFont="1" applyBorder="1" applyAlignment="1">
      <alignment horizontal="center" wrapText="1"/>
    </xf>
    <xf numFmtId="0" fontId="31" fillId="0" borderId="2" xfId="0" applyFont="1" applyBorder="1" applyAlignment="1">
      <alignment horizontal="left" indent="3"/>
    </xf>
    <xf numFmtId="0" fontId="32" fillId="0" borderId="2" xfId="0" applyFont="1" applyBorder="1" applyAlignment="1">
      <alignment horizontal="left" indent="3"/>
    </xf>
    <xf numFmtId="0" fontId="31" fillId="0" borderId="0" xfId="0" applyFont="1"/>
    <xf numFmtId="0" fontId="31" fillId="0" borderId="3" xfId="0" applyFont="1" applyBorder="1"/>
    <xf numFmtId="0" fontId="31" fillId="0" borderId="50" xfId="0" applyFont="1" applyBorder="1" applyAlignment="1">
      <alignment horizontal="left" indent="3"/>
    </xf>
    <xf numFmtId="0" fontId="31" fillId="0" borderId="55" xfId="0" applyFont="1" applyBorder="1"/>
    <xf numFmtId="0" fontId="31" fillId="0" borderId="51" xfId="0" applyFont="1" applyBorder="1"/>
    <xf numFmtId="0" fontId="27" fillId="0" borderId="0" xfId="0" applyFont="1" applyBorder="1" applyAlignment="1">
      <alignment horizontal="center" vertical="center" wrapText="1"/>
    </xf>
    <xf numFmtId="0" fontId="2" fillId="0" borderId="8" xfId="0" applyFont="1" applyBorder="1" applyAlignment="1">
      <alignment horizontal="center"/>
    </xf>
    <xf numFmtId="0" fontId="3" fillId="0" borderId="9" xfId="0" applyFont="1" applyBorder="1" applyAlignment="1">
      <alignment horizontal="center"/>
    </xf>
    <xf numFmtId="0" fontId="3" fillId="0" borderId="4" xfId="0" applyFont="1" applyBorder="1" applyAlignment="1">
      <alignment horizontal="center" vertical="center" wrapText="1"/>
    </xf>
    <xf numFmtId="0" fontId="2" fillId="0" borderId="10" xfId="0" applyFont="1" applyFill="1" applyBorder="1"/>
    <xf numFmtId="0" fontId="2" fillId="0" borderId="11" xfId="0" applyFont="1" applyFill="1" applyBorder="1" applyAlignment="1"/>
    <xf numFmtId="0" fontId="5" fillId="0" borderId="28" xfId="0" applyFont="1" applyBorder="1" applyAlignment="1">
      <alignment horizontal="left" vertical="center" wrapText="1"/>
    </xf>
    <xf numFmtId="0" fontId="2" fillId="0" borderId="10" xfId="0" applyFont="1" applyFill="1" applyBorder="1" applyAlignment="1">
      <alignment horizontal="left"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2" fillId="2" borderId="31" xfId="0" applyFont="1" applyFill="1" applyBorder="1" applyAlignment="1">
      <alignment horizontal="left" vertical="center"/>
    </xf>
    <xf numFmtId="0" fontId="2" fillId="2" borderId="32" xfId="0" applyFont="1" applyFill="1" applyBorder="1" applyAlignment="1">
      <alignment horizontal="left" vertical="center"/>
    </xf>
    <xf numFmtId="0" fontId="2" fillId="2" borderId="33" xfId="0" applyFont="1" applyFill="1" applyBorder="1" applyAlignment="1">
      <alignment horizontal="left" vertical="center"/>
    </xf>
    <xf numFmtId="0" fontId="2" fillId="2" borderId="34" xfId="0" applyFont="1" applyFill="1" applyBorder="1" applyAlignment="1">
      <alignment vertical="center" wrapText="1"/>
    </xf>
    <xf numFmtId="0" fontId="2" fillId="2" borderId="32" xfId="0" applyFont="1" applyFill="1" applyBorder="1" applyAlignment="1">
      <alignment vertical="center" wrapText="1"/>
    </xf>
    <xf numFmtId="0" fontId="2" fillId="2" borderId="35" xfId="0" applyFont="1" applyFill="1" applyBorder="1" applyAlignment="1">
      <alignment vertical="center" wrapText="1"/>
    </xf>
    <xf numFmtId="0" fontId="2" fillId="0" borderId="31" xfId="0" applyFont="1" applyBorder="1" applyAlignment="1">
      <alignment horizontal="left" vertical="center"/>
    </xf>
    <xf numFmtId="0" fontId="2" fillId="0" borderId="32" xfId="0" applyFont="1" applyBorder="1" applyAlignment="1">
      <alignment horizontal="left" vertical="center"/>
    </xf>
    <xf numFmtId="0" fontId="2" fillId="0" borderId="33" xfId="0" applyFont="1" applyBorder="1" applyAlignment="1">
      <alignment horizontal="left" vertical="center"/>
    </xf>
    <xf numFmtId="0" fontId="2" fillId="0" borderId="11" xfId="0" applyFont="1" applyBorder="1" applyAlignment="1"/>
    <xf numFmtId="0" fontId="4" fillId="0" borderId="12" xfId="0" applyFont="1" applyBorder="1" applyAlignment="1">
      <alignment horizontal="left"/>
    </xf>
    <xf numFmtId="0" fontId="2" fillId="0" borderId="13" xfId="0" applyFont="1" applyBorder="1" applyAlignment="1">
      <alignment horizontal="left"/>
    </xf>
    <xf numFmtId="49" fontId="2" fillId="0" borderId="14" xfId="0" applyNumberFormat="1" applyFont="1" applyBorder="1" applyAlignment="1">
      <alignment horizontal="justify" vertical="center" wrapText="1"/>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5" fillId="0" borderId="16" xfId="0" applyFont="1" applyBorder="1" applyAlignment="1">
      <alignment horizontal="center" vertical="center" wrapText="1"/>
    </xf>
    <xf numFmtId="0" fontId="5" fillId="0" borderId="17" xfId="0" applyFont="1" applyBorder="1" applyAlignment="1">
      <alignment horizontal="center" vertical="center"/>
    </xf>
    <xf numFmtId="0" fontId="0" fillId="0" borderId="1" xfId="0" applyBorder="1" applyAlignment="1">
      <alignment horizontal="left"/>
    </xf>
    <xf numFmtId="0" fontId="1" fillId="0" borderId="13" xfId="0" applyFont="1" applyBorder="1"/>
    <xf numFmtId="0" fontId="5" fillId="0" borderId="7" xfId="0" applyFont="1" applyBorder="1" applyAlignment="1">
      <alignment vertical="center" wrapText="1"/>
    </xf>
    <xf numFmtId="0" fontId="1" fillId="0" borderId="17" xfId="0" applyFont="1" applyBorder="1" applyAlignment="1">
      <alignment vertical="center" wrapText="1"/>
    </xf>
    <xf numFmtId="0" fontId="1" fillId="0" borderId="30" xfId="0" applyFont="1" applyBorder="1" applyAlignment="1">
      <alignment horizontal="left" vertical="center" wrapText="1" indent="1"/>
    </xf>
    <xf numFmtId="0" fontId="16" fillId="0" borderId="48" xfId="0" applyFont="1" applyBorder="1" applyAlignment="1">
      <alignment horizontal="center" vertical="center"/>
    </xf>
    <xf numFmtId="0" fontId="16" fillId="0" borderId="49" xfId="0" applyFont="1" applyBorder="1" applyAlignment="1">
      <alignment horizontal="center" vertical="center"/>
    </xf>
    <xf numFmtId="0" fontId="17" fillId="0" borderId="30" xfId="0" applyFont="1" applyBorder="1" applyAlignment="1">
      <alignment horizontal="left" vertical="center" wrapText="1" indent="1"/>
    </xf>
    <xf numFmtId="168" fontId="18" fillId="0" borderId="50" xfId="0" applyNumberFormat="1" applyFont="1" applyBorder="1" applyAlignment="1">
      <alignment horizontal="center" vertical="center"/>
    </xf>
    <xf numFmtId="168" fontId="18" fillId="0" borderId="51" xfId="0" applyNumberFormat="1" applyFont="1" applyBorder="1" applyAlignment="1">
      <alignment horizontal="center" vertical="center"/>
    </xf>
    <xf numFmtId="0" fontId="13" fillId="0" borderId="41" xfId="0" applyFont="1" applyBorder="1" applyAlignment="1">
      <alignment horizontal="center" vertical="center"/>
    </xf>
    <xf numFmtId="0" fontId="13" fillId="0" borderId="36"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1" fillId="0" borderId="38" xfId="0" applyFont="1" applyBorder="1" applyAlignment="1">
      <alignment horizontal="left" vertical="center" wrapText="1"/>
    </xf>
    <xf numFmtId="0" fontId="12" fillId="0" borderId="7" xfId="0" applyFont="1" applyBorder="1" applyAlignment="1">
      <alignment horizontal="left" vertical="center" wrapText="1" indent="1"/>
    </xf>
    <xf numFmtId="0" fontId="6" fillId="2" borderId="0" xfId="0" applyFont="1" applyFill="1" applyAlignment="1">
      <alignment horizontal="center" vertical="center" wrapText="1"/>
    </xf>
    <xf numFmtId="0" fontId="8" fillId="0" borderId="36" xfId="0" applyFont="1" applyBorder="1" applyAlignment="1">
      <alignment horizontal="center" vertical="center"/>
    </xf>
    <xf numFmtId="0" fontId="11" fillId="0" borderId="31" xfId="0" applyFont="1" applyBorder="1" applyAlignment="1">
      <alignment horizontal="left" vertical="center" wrapText="1"/>
    </xf>
    <xf numFmtId="0" fontId="11" fillId="0" borderId="39" xfId="0" applyFont="1" applyBorder="1" applyAlignment="1">
      <alignment horizontal="left" vertical="center"/>
    </xf>
    <xf numFmtId="0" fontId="10" fillId="0" borderId="40" xfId="0" applyFont="1" applyBorder="1" applyAlignment="1">
      <alignment horizontal="left" vertical="center" wrapText="1" indent="1"/>
    </xf>
    <xf numFmtId="0" fontId="15" fillId="0" borderId="47" xfId="0" applyFont="1" applyBorder="1" applyAlignment="1">
      <alignment horizontal="center" vertical="center" wrapText="1"/>
    </xf>
    <xf numFmtId="0" fontId="31" fillId="4" borderId="0" xfId="0" applyFont="1" applyFill="1" applyAlignment="1">
      <alignment horizontal="left" wrapText="1"/>
    </xf>
    <xf numFmtId="0" fontId="31" fillId="4" borderId="3" xfId="0" applyFont="1" applyFill="1" applyBorder="1" applyAlignment="1">
      <alignment horizontal="left" wrapText="1"/>
    </xf>
    <xf numFmtId="0" fontId="21" fillId="0" borderId="0" xfId="0" applyFont="1" applyAlignment="1">
      <alignment horizontal="center"/>
    </xf>
    <xf numFmtId="0" fontId="22" fillId="0" borderId="0" xfId="0" applyFont="1" applyAlignment="1">
      <alignment horizontal="left" vertical="center" wrapText="1"/>
    </xf>
    <xf numFmtId="0" fontId="23" fillId="4" borderId="0" xfId="0" applyFont="1" applyFill="1" applyAlignment="1">
      <alignment horizontal="left" wrapText="1" indent="1"/>
    </xf>
    <xf numFmtId="0" fontId="20" fillId="4" borderId="0" xfId="0" applyFont="1" applyFill="1" applyAlignment="1">
      <alignment horizontal="left" wrapText="1"/>
    </xf>
    <xf numFmtId="0" fontId="20" fillId="4" borderId="3" xfId="0" applyFont="1" applyFill="1" applyBorder="1" applyAlignment="1">
      <alignment horizontal="left" wrapText="1"/>
    </xf>
    <xf numFmtId="0" fontId="2" fillId="4" borderId="0" xfId="0" applyFont="1" applyFill="1" applyAlignment="1">
      <alignment horizontal="left" wrapText="1"/>
    </xf>
    <xf numFmtId="0" fontId="2" fillId="4" borderId="3" xfId="0" applyFont="1" applyFill="1" applyBorder="1" applyAlignment="1">
      <alignment horizontal="left" wrapText="1"/>
    </xf>
  </cellXfs>
  <cellStyles count="3">
    <cellStyle name="Moneda" xfId="2" builtinId="4"/>
    <cellStyle name="Moneda_AUTORIZACION Y NOTA DE PEDIDO"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xmlns=""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xmlns=""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xmlns=""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xmlns=""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topLeftCell="A7" workbookViewId="0">
      <selection activeCell="U12" sqref="U12"/>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79" t="s">
        <v>0</v>
      </c>
      <c r="B1" s="79"/>
      <c r="C1" s="79"/>
      <c r="D1" s="80">
        <v>2022</v>
      </c>
      <c r="E1" s="80"/>
      <c r="F1" s="1"/>
      <c r="G1" s="1"/>
      <c r="H1" s="2"/>
      <c r="I1" s="2"/>
      <c r="J1" s="2"/>
      <c r="K1" s="2"/>
      <c r="L1" s="2"/>
      <c r="M1" s="2"/>
      <c r="N1" s="2"/>
      <c r="O1" s="3"/>
      <c r="P1" s="81" t="s">
        <v>4</v>
      </c>
      <c r="Q1" s="81"/>
    </row>
    <row r="2" spans="1:17" ht="15.75" thickBot="1" x14ac:dyDescent="0.3">
      <c r="A2" s="4"/>
      <c r="B2" s="5"/>
      <c r="C2" s="5"/>
      <c r="D2" s="5"/>
      <c r="E2" s="5"/>
      <c r="F2" s="5"/>
      <c r="G2" s="6"/>
      <c r="H2" s="7"/>
      <c r="I2" s="7"/>
      <c r="J2" s="7"/>
      <c r="K2" s="7"/>
      <c r="L2" s="7"/>
      <c r="M2" s="7"/>
      <c r="N2" s="7"/>
      <c r="O2" s="5"/>
      <c r="P2" s="81"/>
      <c r="Q2" s="81"/>
    </row>
    <row r="3" spans="1:17" ht="15.75" thickBot="1" x14ac:dyDescent="0.3">
      <c r="A3" s="4"/>
      <c r="B3" s="5"/>
      <c r="C3" s="5"/>
      <c r="D3" s="5"/>
      <c r="E3" s="5"/>
      <c r="F3" s="5"/>
      <c r="G3" s="6"/>
      <c r="H3" s="5"/>
      <c r="I3" s="5"/>
      <c r="J3" s="5"/>
      <c r="K3" s="5"/>
      <c r="L3" s="5"/>
      <c r="M3" s="5"/>
      <c r="N3" s="5"/>
      <c r="O3" s="5"/>
      <c r="P3" s="5"/>
      <c r="Q3" s="8"/>
    </row>
    <row r="4" spans="1:17" ht="15.75" thickBot="1" x14ac:dyDescent="0.3">
      <c r="A4" s="82" t="s">
        <v>5</v>
      </c>
      <c r="B4" s="82"/>
      <c r="C4" s="82"/>
      <c r="D4" s="82"/>
      <c r="E4" s="82"/>
      <c r="F4" s="82"/>
      <c r="G4" s="83" t="s">
        <v>27</v>
      </c>
      <c r="H4" s="83"/>
      <c r="I4" s="83"/>
      <c r="J4" s="83"/>
      <c r="K4" s="83"/>
      <c r="L4" s="83"/>
      <c r="M4" s="83"/>
      <c r="N4" s="83"/>
      <c r="O4" s="83"/>
      <c r="P4" s="83"/>
      <c r="Q4" s="83"/>
    </row>
    <row r="5" spans="1:17" ht="15.75" thickBot="1" x14ac:dyDescent="0.3">
      <c r="A5" s="85" t="s">
        <v>1</v>
      </c>
      <c r="B5" s="85"/>
      <c r="C5" s="85"/>
      <c r="D5" s="85"/>
      <c r="E5" s="85"/>
      <c r="F5" s="85"/>
      <c r="G5" s="83" t="s">
        <v>28</v>
      </c>
      <c r="H5" s="83"/>
      <c r="I5" s="83"/>
      <c r="J5" s="83"/>
      <c r="K5" s="83"/>
      <c r="L5" s="83"/>
      <c r="M5" s="83"/>
      <c r="N5" s="83"/>
      <c r="O5" s="83"/>
      <c r="P5" s="83"/>
      <c r="Q5" s="83"/>
    </row>
    <row r="6" spans="1:17" ht="26.25" customHeight="1" thickBot="1" x14ac:dyDescent="0.3">
      <c r="A6" s="88" t="s">
        <v>2</v>
      </c>
      <c r="B6" s="89"/>
      <c r="C6" s="89"/>
      <c r="D6" s="89"/>
      <c r="E6" s="89"/>
      <c r="F6" s="90"/>
      <c r="G6" s="91" t="s">
        <v>31</v>
      </c>
      <c r="H6" s="92"/>
      <c r="I6" s="92"/>
      <c r="J6" s="92"/>
      <c r="K6" s="92"/>
      <c r="L6" s="92"/>
      <c r="M6" s="92"/>
      <c r="N6" s="92"/>
      <c r="O6" s="92"/>
      <c r="P6" s="92"/>
      <c r="Q6" s="93"/>
    </row>
    <row r="7" spans="1:17" ht="15.75" thickBot="1" x14ac:dyDescent="0.3">
      <c r="A7" s="94" t="s">
        <v>3</v>
      </c>
      <c r="B7" s="95"/>
      <c r="C7" s="95"/>
      <c r="D7" s="95"/>
      <c r="E7" s="95"/>
      <c r="F7" s="96"/>
      <c r="G7" s="97" t="s">
        <v>31</v>
      </c>
      <c r="H7" s="97"/>
      <c r="I7" s="97"/>
      <c r="J7" s="97"/>
      <c r="K7" s="97"/>
      <c r="L7" s="97"/>
      <c r="M7" s="97"/>
      <c r="N7" s="97"/>
      <c r="O7" s="97"/>
      <c r="P7" s="97"/>
      <c r="Q7" s="97"/>
    </row>
    <row r="8" spans="1:17" ht="15.75" thickBot="1" x14ac:dyDescent="0.3">
      <c r="A8" s="98" t="s">
        <v>6</v>
      </c>
      <c r="B8" s="98"/>
      <c r="C8" s="98"/>
      <c r="D8" s="98"/>
      <c r="E8" s="98"/>
      <c r="F8" s="98"/>
      <c r="G8" s="98"/>
      <c r="H8" s="98"/>
      <c r="I8" s="98"/>
      <c r="J8" s="98"/>
      <c r="K8" s="98"/>
      <c r="L8" s="98"/>
      <c r="M8" s="98"/>
      <c r="N8" s="98"/>
      <c r="O8" s="98"/>
      <c r="P8" s="98"/>
      <c r="Q8" s="98"/>
    </row>
    <row r="9" spans="1:17" ht="19.5" customHeight="1" x14ac:dyDescent="0.25">
      <c r="A9" s="99" t="s">
        <v>7</v>
      </c>
      <c r="B9" s="99"/>
      <c r="C9" s="99"/>
      <c r="D9" s="99"/>
      <c r="E9" s="99"/>
      <c r="F9" s="99"/>
      <c r="G9" s="99"/>
      <c r="H9" s="99"/>
      <c r="I9" s="99"/>
      <c r="J9" s="99"/>
      <c r="K9" s="99"/>
      <c r="L9" s="99"/>
      <c r="M9" s="99"/>
      <c r="N9" s="99"/>
      <c r="O9" s="99"/>
      <c r="P9" s="99"/>
      <c r="Q9" s="99"/>
    </row>
    <row r="10" spans="1:17" ht="52.5" customHeight="1" x14ac:dyDescent="0.25">
      <c r="A10" s="100" t="s">
        <v>32</v>
      </c>
      <c r="B10" s="100"/>
      <c r="C10" s="100"/>
      <c r="D10" s="100"/>
      <c r="E10" s="100"/>
      <c r="F10" s="100"/>
      <c r="G10" s="100"/>
      <c r="H10" s="100"/>
      <c r="I10" s="100"/>
      <c r="J10" s="100"/>
      <c r="K10" s="100"/>
      <c r="L10" s="100"/>
      <c r="M10" s="100"/>
      <c r="N10" s="100"/>
      <c r="O10" s="100"/>
      <c r="P10" s="100"/>
      <c r="Q10" s="100"/>
    </row>
    <row r="11" spans="1:17" ht="5.25" customHeight="1" thickBot="1" x14ac:dyDescent="0.3">
      <c r="A11" s="9"/>
      <c r="B11" s="10"/>
      <c r="C11" s="10"/>
      <c r="D11" s="10"/>
      <c r="E11" s="10"/>
      <c r="F11" s="10"/>
      <c r="G11" s="11"/>
      <c r="H11" s="10"/>
      <c r="I11" s="10"/>
      <c r="J11" s="10"/>
      <c r="K11" s="10"/>
      <c r="L11" s="10"/>
      <c r="M11" s="10"/>
      <c r="N11" s="10"/>
      <c r="O11" s="10"/>
      <c r="P11" s="10"/>
      <c r="Q11" s="12"/>
    </row>
    <row r="12" spans="1:17" ht="15.75" thickBot="1" x14ac:dyDescent="0.3">
      <c r="A12" s="101" t="s">
        <v>8</v>
      </c>
      <c r="B12" s="101"/>
      <c r="C12" s="101"/>
      <c r="D12" s="101"/>
      <c r="E12" s="101"/>
      <c r="F12" s="101"/>
      <c r="G12" s="101"/>
      <c r="H12" s="101"/>
      <c r="I12" s="101"/>
      <c r="J12" s="101"/>
      <c r="K12" s="101"/>
      <c r="L12" s="101"/>
      <c r="M12" s="101"/>
      <c r="N12" s="101"/>
      <c r="O12" s="101"/>
      <c r="P12" s="101"/>
      <c r="Q12" s="101"/>
    </row>
    <row r="13" spans="1:17" ht="15.75" thickBot="1" x14ac:dyDescent="0.3">
      <c r="A13" s="102" t="s">
        <v>9</v>
      </c>
      <c r="B13" s="102"/>
      <c r="C13" s="102"/>
      <c r="D13" s="102"/>
      <c r="E13" s="102"/>
      <c r="F13" s="102"/>
      <c r="G13" s="102"/>
      <c r="H13" s="102"/>
      <c r="I13" s="102"/>
      <c r="J13" s="102"/>
      <c r="K13" s="102"/>
      <c r="L13" s="102"/>
      <c r="M13" s="102"/>
      <c r="N13" s="102"/>
      <c r="O13" s="103" t="s">
        <v>10</v>
      </c>
      <c r="P13" s="103"/>
      <c r="Q13" s="104" t="s">
        <v>11</v>
      </c>
    </row>
    <row r="14" spans="1:17" ht="18.75" customHeight="1" thickBot="1" x14ac:dyDescent="0.3">
      <c r="A14" s="13" t="s">
        <v>12</v>
      </c>
      <c r="B14" s="14" t="s">
        <v>13</v>
      </c>
      <c r="C14" s="14" t="s">
        <v>14</v>
      </c>
      <c r="D14" s="14" t="s">
        <v>15</v>
      </c>
      <c r="E14" s="14" t="s">
        <v>16</v>
      </c>
      <c r="F14" s="14" t="s">
        <v>17</v>
      </c>
      <c r="G14" s="15" t="s">
        <v>18</v>
      </c>
      <c r="H14" s="14" t="s">
        <v>19</v>
      </c>
      <c r="I14" s="14" t="s">
        <v>20</v>
      </c>
      <c r="J14" s="14" t="s">
        <v>21</v>
      </c>
      <c r="K14" s="14" t="s">
        <v>21</v>
      </c>
      <c r="L14" s="14" t="s">
        <v>22</v>
      </c>
      <c r="M14" s="16" t="s">
        <v>23</v>
      </c>
      <c r="N14" s="17" t="s">
        <v>24</v>
      </c>
      <c r="O14" s="103"/>
      <c r="P14" s="103"/>
      <c r="Q14" s="104"/>
    </row>
    <row r="15" spans="1:17" ht="50.25" customHeight="1" x14ac:dyDescent="0.25">
      <c r="A15" s="18">
        <v>34</v>
      </c>
      <c r="B15" s="19">
        <v>0</v>
      </c>
      <c r="C15" s="19">
        <v>0</v>
      </c>
      <c r="D15" s="19">
        <v>2</v>
      </c>
      <c r="E15" s="19">
        <v>0</v>
      </c>
      <c r="F15" s="19">
        <v>4901</v>
      </c>
      <c r="G15" s="19">
        <v>3</v>
      </c>
      <c r="H15" s="19">
        <v>4</v>
      </c>
      <c r="I15" s="19">
        <v>2</v>
      </c>
      <c r="J15" s="19">
        <v>5</v>
      </c>
      <c r="K15" s="19">
        <v>6</v>
      </c>
      <c r="L15" s="19">
        <v>0</v>
      </c>
      <c r="M15" s="20">
        <v>1</v>
      </c>
      <c r="N15" s="19" t="s">
        <v>25</v>
      </c>
      <c r="O15" s="86" t="s">
        <v>29</v>
      </c>
      <c r="P15" s="87"/>
      <c r="Q15" s="21">
        <v>2947587.5</v>
      </c>
    </row>
    <row r="16" spans="1:17" ht="27.75" customHeight="1" thickBot="1" x14ac:dyDescent="0.3">
      <c r="A16" s="84" t="s">
        <v>83</v>
      </c>
      <c r="B16" s="84"/>
      <c r="C16" s="84"/>
      <c r="D16" s="84"/>
      <c r="E16" s="84"/>
      <c r="F16" s="84"/>
      <c r="G16" s="84"/>
      <c r="H16" s="84"/>
      <c r="I16" s="84"/>
      <c r="J16" s="84"/>
      <c r="K16" s="84"/>
      <c r="L16" s="84"/>
      <c r="M16" s="84"/>
      <c r="N16" s="84"/>
      <c r="O16" s="84"/>
      <c r="P16" s="84"/>
      <c r="Q16" s="22">
        <f>SUM(Q15:Q15)</f>
        <v>2947587.5</v>
      </c>
    </row>
    <row r="17" spans="1:17" ht="15.75" thickBot="1" x14ac:dyDescent="0.3">
      <c r="A17" s="106"/>
      <c r="B17" s="106"/>
      <c r="C17" s="106"/>
      <c r="D17" s="106"/>
      <c r="E17" s="106"/>
      <c r="F17" s="106"/>
      <c r="G17" s="106"/>
      <c r="H17" s="106"/>
      <c r="I17" s="106"/>
      <c r="J17" s="106"/>
      <c r="K17" s="106"/>
      <c r="L17" s="106"/>
      <c r="M17" s="106"/>
      <c r="N17" s="106"/>
      <c r="O17" s="106"/>
      <c r="P17" s="106"/>
      <c r="Q17" s="106"/>
    </row>
    <row r="18" spans="1:17" ht="15.75" thickBot="1" x14ac:dyDescent="0.3">
      <c r="A18" s="107" t="s">
        <v>26</v>
      </c>
      <c r="B18" s="107"/>
      <c r="C18" s="107"/>
      <c r="D18" s="107"/>
      <c r="E18" s="107"/>
      <c r="F18" s="107"/>
      <c r="G18" s="108"/>
      <c r="H18" s="108"/>
      <c r="I18" s="108"/>
      <c r="J18" s="108"/>
      <c r="K18" s="108"/>
      <c r="L18" s="108"/>
      <c r="M18" s="108"/>
      <c r="N18" s="108"/>
      <c r="O18" s="108"/>
      <c r="P18" s="108"/>
      <c r="Q18" s="108"/>
    </row>
    <row r="19" spans="1:17" ht="15.75" thickBot="1" x14ac:dyDescent="0.3">
      <c r="A19" s="109" t="s">
        <v>30</v>
      </c>
      <c r="B19" s="109"/>
      <c r="C19" s="109"/>
      <c r="D19" s="109"/>
      <c r="E19" s="109"/>
      <c r="F19" s="109"/>
      <c r="G19" s="109"/>
      <c r="H19" s="109"/>
      <c r="I19" s="109"/>
      <c r="J19" s="109"/>
      <c r="K19" s="109"/>
      <c r="L19" s="109"/>
      <c r="M19" s="109"/>
      <c r="N19" s="109"/>
      <c r="O19" s="109"/>
      <c r="P19" s="109"/>
      <c r="Q19" s="109"/>
    </row>
    <row r="20" spans="1:17" ht="15.75" thickBot="1" x14ac:dyDescent="0.3">
      <c r="A20" s="109"/>
      <c r="B20" s="109"/>
      <c r="C20" s="109"/>
      <c r="D20" s="109"/>
      <c r="E20" s="109"/>
      <c r="F20" s="109"/>
      <c r="G20" s="109"/>
      <c r="H20" s="109"/>
      <c r="I20" s="109"/>
      <c r="J20" s="109"/>
      <c r="K20" s="109"/>
      <c r="L20" s="109"/>
      <c r="M20" s="109"/>
      <c r="N20" s="109"/>
      <c r="O20" s="109"/>
      <c r="P20" s="109"/>
      <c r="Q20" s="109"/>
    </row>
    <row r="21" spans="1:17" x14ac:dyDescent="0.25">
      <c r="A21" s="105"/>
      <c r="B21" s="105"/>
      <c r="C21" s="105"/>
      <c r="D21" s="105"/>
      <c r="E21" s="105"/>
      <c r="F21" s="105"/>
      <c r="G21" s="105"/>
      <c r="H21" s="105"/>
      <c r="I21" s="105"/>
      <c r="J21" s="105"/>
      <c r="K21" s="105"/>
      <c r="L21" s="105"/>
      <c r="M21" s="105"/>
      <c r="N21" s="105"/>
      <c r="O21" s="105"/>
      <c r="P21" s="105"/>
      <c r="Q21" s="105"/>
    </row>
  </sheetData>
  <mergeCells count="25">
    <mergeCell ref="A21:Q21"/>
    <mergeCell ref="A17:Q17"/>
    <mergeCell ref="A18:F18"/>
    <mergeCell ref="G18:Q18"/>
    <mergeCell ref="A19:Q20"/>
    <mergeCell ref="A16:P16"/>
    <mergeCell ref="A5:F5"/>
    <mergeCell ref="G5:Q5"/>
    <mergeCell ref="O15:P15"/>
    <mergeCell ref="A6:F6"/>
    <mergeCell ref="G6:Q6"/>
    <mergeCell ref="A7:F7"/>
    <mergeCell ref="G7:Q7"/>
    <mergeCell ref="A8:Q8"/>
    <mergeCell ref="A9:Q9"/>
    <mergeCell ref="A10:Q10"/>
    <mergeCell ref="A12:Q12"/>
    <mergeCell ref="A13:N13"/>
    <mergeCell ref="O13:P14"/>
    <mergeCell ref="Q13:Q14"/>
    <mergeCell ref="A1:C1"/>
    <mergeCell ref="D1:E1"/>
    <mergeCell ref="P1:Q2"/>
    <mergeCell ref="A4:F4"/>
    <mergeCell ref="G4:Q4"/>
  </mergeCells>
  <pageMargins left="0.7" right="0.7" top="0.75" bottom="0.75" header="0.3" footer="0.3"/>
  <pageSetup paperSize="5"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opLeftCell="A7" workbookViewId="0">
      <selection activeCell="K17" sqref="K17"/>
    </sheetView>
  </sheetViews>
  <sheetFormatPr baseColWidth="10" defaultRowHeight="15" x14ac:dyDescent="0.25"/>
  <sheetData>
    <row r="1" spans="1:10" ht="30.75" thickBot="1" x14ac:dyDescent="0.3">
      <c r="A1" s="129" t="s">
        <v>33</v>
      </c>
      <c r="B1" s="129"/>
      <c r="C1" s="129"/>
      <c r="D1" s="129"/>
      <c r="E1" s="129"/>
      <c r="F1" s="129"/>
      <c r="G1" s="129"/>
      <c r="H1" s="129"/>
      <c r="I1" s="23" t="s">
        <v>34</v>
      </c>
      <c r="J1" s="24" t="s">
        <v>35</v>
      </c>
    </row>
    <row r="2" spans="1:10" ht="16.5" thickBot="1" x14ac:dyDescent="0.3">
      <c r="A2" s="25"/>
      <c r="B2" s="26"/>
      <c r="C2" s="27"/>
      <c r="D2" s="27"/>
      <c r="E2" s="27"/>
      <c r="F2" s="27"/>
      <c r="G2" s="27"/>
      <c r="H2" s="27"/>
      <c r="I2" s="27"/>
      <c r="J2" s="28"/>
    </row>
    <row r="3" spans="1:10" ht="16.5" thickBot="1" x14ac:dyDescent="0.3">
      <c r="A3" s="130" t="s">
        <v>36</v>
      </c>
      <c r="B3" s="130"/>
      <c r="C3" s="127" t="s">
        <v>37</v>
      </c>
      <c r="D3" s="127"/>
      <c r="E3" s="127"/>
      <c r="F3" s="127"/>
      <c r="G3" s="127"/>
      <c r="H3" s="127"/>
      <c r="I3" s="127"/>
      <c r="J3" s="127"/>
    </row>
    <row r="4" spans="1:10" ht="16.5" thickBot="1" x14ac:dyDescent="0.3">
      <c r="A4" s="126" t="s">
        <v>1</v>
      </c>
      <c r="B4" s="126"/>
      <c r="C4" s="127" t="s">
        <v>38</v>
      </c>
      <c r="D4" s="127"/>
      <c r="E4" s="127"/>
      <c r="F4" s="127"/>
      <c r="G4" s="127"/>
      <c r="H4" s="127"/>
      <c r="I4" s="127"/>
      <c r="J4" s="127"/>
    </row>
    <row r="5" spans="1:10" ht="16.5" thickBot="1" x14ac:dyDescent="0.3">
      <c r="A5" s="126" t="s">
        <v>2</v>
      </c>
      <c r="B5" s="126"/>
      <c r="C5" s="127" t="s">
        <v>39</v>
      </c>
      <c r="D5" s="127"/>
      <c r="E5" s="127"/>
      <c r="F5" s="127"/>
      <c r="G5" s="127"/>
      <c r="H5" s="127"/>
      <c r="I5" s="127"/>
      <c r="J5" s="127"/>
    </row>
    <row r="6" spans="1:10" ht="16.5" thickBot="1" x14ac:dyDescent="0.3">
      <c r="A6" s="130" t="s">
        <v>3</v>
      </c>
      <c r="B6" s="130"/>
      <c r="C6" s="127" t="s">
        <v>39</v>
      </c>
      <c r="D6" s="127"/>
      <c r="E6" s="127"/>
      <c r="F6" s="127"/>
      <c r="G6" s="127"/>
      <c r="H6" s="127"/>
      <c r="I6" s="127"/>
      <c r="J6" s="127"/>
    </row>
    <row r="7" spans="1:10" ht="16.5" thickBot="1" x14ac:dyDescent="0.3">
      <c r="A7" s="130" t="s">
        <v>40</v>
      </c>
      <c r="B7" s="130"/>
      <c r="C7" s="127" t="s">
        <v>41</v>
      </c>
      <c r="D7" s="127"/>
      <c r="E7" s="127"/>
      <c r="F7" s="127"/>
      <c r="G7" s="127"/>
      <c r="H7" s="127"/>
      <c r="I7" s="127"/>
      <c r="J7" s="127"/>
    </row>
    <row r="8" spans="1:10" ht="16.5" thickBot="1" x14ac:dyDescent="0.3">
      <c r="A8" s="131" t="s">
        <v>42</v>
      </c>
      <c r="B8" s="131"/>
      <c r="C8" s="132" t="s">
        <v>43</v>
      </c>
      <c r="D8" s="132"/>
      <c r="E8" s="132"/>
      <c r="F8" s="132"/>
      <c r="G8" s="132"/>
      <c r="H8" s="132"/>
      <c r="I8" s="132"/>
      <c r="J8" s="132"/>
    </row>
    <row r="9" spans="1:10" ht="16.5" thickBot="1" x14ac:dyDescent="0.3">
      <c r="A9" s="29"/>
      <c r="B9" s="30"/>
      <c r="C9" s="31"/>
      <c r="D9" s="31"/>
      <c r="E9" s="31"/>
      <c r="F9" s="31"/>
      <c r="G9" s="31"/>
      <c r="H9" s="31"/>
      <c r="I9" s="31"/>
      <c r="J9" s="32"/>
    </row>
    <row r="10" spans="1:10" ht="15.75" thickBot="1" x14ac:dyDescent="0.3">
      <c r="A10" s="115" t="s">
        <v>44</v>
      </c>
      <c r="B10" s="116" t="s">
        <v>45</v>
      </c>
      <c r="C10" s="116" t="s">
        <v>46</v>
      </c>
      <c r="D10" s="118"/>
      <c r="E10" s="119"/>
      <c r="F10" s="122" t="s">
        <v>47</v>
      </c>
      <c r="G10" s="123" t="s">
        <v>48</v>
      </c>
      <c r="H10" s="124" t="s">
        <v>49</v>
      </c>
      <c r="I10" s="116" t="s">
        <v>50</v>
      </c>
      <c r="J10" s="119"/>
    </row>
    <row r="11" spans="1:10" ht="33" customHeight="1" thickBot="1" x14ac:dyDescent="0.3">
      <c r="A11" s="115"/>
      <c r="B11" s="117"/>
      <c r="C11" s="117"/>
      <c r="D11" s="120"/>
      <c r="E11" s="121"/>
      <c r="F11" s="122"/>
      <c r="G11" s="123"/>
      <c r="H11" s="125"/>
      <c r="I11" s="117"/>
      <c r="J11" s="121"/>
    </row>
    <row r="12" spans="1:10" ht="39" customHeight="1" x14ac:dyDescent="0.25">
      <c r="A12" s="33">
        <v>1</v>
      </c>
      <c r="B12" s="34" t="s">
        <v>51</v>
      </c>
      <c r="C12" s="133" t="s">
        <v>52</v>
      </c>
      <c r="D12" s="133"/>
      <c r="E12" s="133"/>
      <c r="F12" s="35" t="s">
        <v>53</v>
      </c>
      <c r="G12" s="35" t="s">
        <v>54</v>
      </c>
      <c r="H12" s="36">
        <v>137.5</v>
      </c>
      <c r="I12" s="110">
        <v>21437</v>
      </c>
      <c r="J12" s="111"/>
    </row>
    <row r="13" spans="1:10" ht="49.5" customHeight="1" thickBot="1" x14ac:dyDescent="0.3">
      <c r="A13" s="112" t="s">
        <v>82</v>
      </c>
      <c r="B13" s="112"/>
      <c r="C13" s="112"/>
      <c r="D13" s="112"/>
      <c r="E13" s="112"/>
      <c r="F13" s="112"/>
      <c r="G13" s="112"/>
      <c r="H13" s="112"/>
      <c r="I13" s="113"/>
      <c r="J13" s="114"/>
    </row>
    <row r="14" spans="1:10" x14ac:dyDescent="0.25">
      <c r="A14" s="37"/>
      <c r="B14" s="37"/>
      <c r="C14" s="37"/>
      <c r="D14" s="37"/>
      <c r="E14" s="37"/>
      <c r="F14" s="37"/>
      <c r="G14" s="37"/>
      <c r="H14" s="37"/>
      <c r="I14" s="37"/>
      <c r="J14" s="37"/>
    </row>
    <row r="15" spans="1:10" x14ac:dyDescent="0.25">
      <c r="A15" s="37"/>
      <c r="B15" s="37"/>
      <c r="C15" s="37"/>
      <c r="D15" s="37"/>
      <c r="E15" s="37"/>
      <c r="F15" s="37"/>
      <c r="G15" s="37"/>
      <c r="H15" s="37"/>
      <c r="I15" s="37"/>
      <c r="J15" s="37"/>
    </row>
    <row r="16" spans="1:10" x14ac:dyDescent="0.25">
      <c r="A16" s="37"/>
      <c r="B16" s="38" t="s">
        <v>55</v>
      </c>
      <c r="C16" s="128" t="s">
        <v>80</v>
      </c>
      <c r="D16" s="128"/>
      <c r="E16" s="128"/>
      <c r="F16" s="128"/>
      <c r="G16" s="128"/>
      <c r="H16" s="128"/>
      <c r="I16" s="128"/>
      <c r="J16" s="128"/>
    </row>
    <row r="17" spans="1:10" ht="34.5" customHeight="1" x14ac:dyDescent="0.25">
      <c r="A17" s="37"/>
      <c r="B17" s="38"/>
      <c r="C17" s="128"/>
      <c r="D17" s="128"/>
      <c r="E17" s="128"/>
      <c r="F17" s="128"/>
      <c r="G17" s="128"/>
      <c r="H17" s="128"/>
      <c r="I17" s="128"/>
      <c r="J17" s="128"/>
    </row>
    <row r="18" spans="1:10" x14ac:dyDescent="0.25">
      <c r="A18" s="37"/>
      <c r="B18" s="38" t="s">
        <v>56</v>
      </c>
      <c r="C18" s="37" t="s">
        <v>81</v>
      </c>
      <c r="D18" s="37"/>
      <c r="E18" s="37"/>
      <c r="F18" s="37"/>
      <c r="G18" s="37"/>
      <c r="H18" s="37"/>
      <c r="I18" s="37"/>
      <c r="J18" s="37"/>
    </row>
    <row r="19" spans="1:10" x14ac:dyDescent="0.25">
      <c r="A19" s="37"/>
      <c r="B19" s="37"/>
      <c r="C19" s="37"/>
      <c r="D19" s="37"/>
      <c r="E19" s="37"/>
      <c r="F19" s="37"/>
      <c r="G19" s="37"/>
      <c r="H19" s="37"/>
      <c r="I19" s="37"/>
      <c r="J19" s="37"/>
    </row>
    <row r="20" spans="1:10" x14ac:dyDescent="0.25">
      <c r="A20" s="37"/>
      <c r="B20" s="37"/>
      <c r="C20" s="37"/>
      <c r="D20" s="37"/>
      <c r="E20" s="37"/>
      <c r="F20" s="37"/>
      <c r="G20" s="37"/>
      <c r="H20" s="37"/>
      <c r="I20" s="37"/>
      <c r="J20" s="37"/>
    </row>
  </sheetData>
  <mergeCells count="25">
    <mergeCell ref="A5:B5"/>
    <mergeCell ref="C5:J5"/>
    <mergeCell ref="C16:J17"/>
    <mergeCell ref="A1:H1"/>
    <mergeCell ref="A3:B3"/>
    <mergeCell ref="C3:J3"/>
    <mergeCell ref="A4:B4"/>
    <mergeCell ref="C4:J4"/>
    <mergeCell ref="A6:B6"/>
    <mergeCell ref="C6:J6"/>
    <mergeCell ref="A7:B7"/>
    <mergeCell ref="C7:J7"/>
    <mergeCell ref="A8:B8"/>
    <mergeCell ref="C8:J8"/>
    <mergeCell ref="I10:J11"/>
    <mergeCell ref="C12:E12"/>
    <mergeCell ref="I12:J12"/>
    <mergeCell ref="A13:H13"/>
    <mergeCell ref="I13:J13"/>
    <mergeCell ref="A10:A11"/>
    <mergeCell ref="B10:B11"/>
    <mergeCell ref="C10:E11"/>
    <mergeCell ref="F10:F11"/>
    <mergeCell ref="G10:G11"/>
    <mergeCell ref="H10:H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abSelected="1" topLeftCell="A13" workbookViewId="0">
      <selection activeCell="G13" sqref="G13"/>
    </sheetView>
  </sheetViews>
  <sheetFormatPr baseColWidth="10" defaultRowHeight="15" x14ac:dyDescent="0.25"/>
  <cols>
    <col min="1" max="1" width="21.42578125" customWidth="1"/>
    <col min="2" max="2" width="14.140625" customWidth="1"/>
    <col min="3" max="3" width="28.42578125" bestFit="1" customWidth="1"/>
    <col min="4" max="4" width="6.140625" bestFit="1" customWidth="1"/>
    <col min="5" max="5" width="32.140625" customWidth="1"/>
  </cols>
  <sheetData>
    <row r="1" spans="1:9" ht="27" x14ac:dyDescent="0.35">
      <c r="A1" s="39"/>
      <c r="B1" s="136" t="s">
        <v>57</v>
      </c>
      <c r="C1" s="136"/>
      <c r="D1" s="136"/>
      <c r="E1" s="136"/>
      <c r="F1" s="136"/>
      <c r="G1" s="136"/>
      <c r="H1" s="136"/>
      <c r="I1" s="39"/>
    </row>
    <row r="2" spans="1:9" x14ac:dyDescent="0.25">
      <c r="A2" s="39"/>
      <c r="B2" s="39"/>
      <c r="C2" s="39"/>
      <c r="D2" s="39"/>
      <c r="E2" s="39"/>
      <c r="F2" s="39"/>
      <c r="G2" s="39"/>
      <c r="H2" s="39"/>
      <c r="I2" s="39"/>
    </row>
    <row r="3" spans="1:9" ht="15.75" x14ac:dyDescent="0.25">
      <c r="A3" s="137" t="s">
        <v>58</v>
      </c>
      <c r="B3" s="137"/>
      <c r="C3" s="138" t="s">
        <v>59</v>
      </c>
      <c r="D3" s="138"/>
      <c r="E3" s="138"/>
      <c r="F3" s="40"/>
      <c r="G3" s="41"/>
      <c r="H3" s="40"/>
      <c r="I3" s="39"/>
    </row>
    <row r="4" spans="1:9" ht="15.75" x14ac:dyDescent="0.25">
      <c r="A4" s="137" t="s">
        <v>60</v>
      </c>
      <c r="B4" s="137"/>
      <c r="C4" s="138" t="s">
        <v>61</v>
      </c>
      <c r="D4" s="138"/>
      <c r="E4" s="138"/>
      <c r="F4" s="40"/>
      <c r="G4" s="41"/>
      <c r="H4" s="40"/>
      <c r="I4" s="39"/>
    </row>
    <row r="5" spans="1:9" ht="15.75" x14ac:dyDescent="0.25">
      <c r="A5" s="137" t="s">
        <v>0</v>
      </c>
      <c r="B5" s="137"/>
      <c r="C5" s="42">
        <v>2022</v>
      </c>
      <c r="D5" s="43"/>
      <c r="E5" s="43"/>
      <c r="F5" s="40"/>
      <c r="G5" s="41"/>
      <c r="H5" s="40"/>
      <c r="I5" s="39"/>
    </row>
    <row r="6" spans="1:9" ht="15.75" x14ac:dyDescent="0.25">
      <c r="A6" s="137" t="s">
        <v>62</v>
      </c>
      <c r="B6" s="137"/>
      <c r="C6" s="42">
        <v>2</v>
      </c>
      <c r="D6" s="43"/>
      <c r="E6" s="43"/>
      <c r="F6" s="40"/>
      <c r="G6" s="41"/>
      <c r="H6" s="40"/>
      <c r="I6" s="39"/>
    </row>
    <row r="7" spans="1:9" ht="15.75" x14ac:dyDescent="0.25">
      <c r="A7" s="44"/>
      <c r="B7" s="44"/>
      <c r="C7" s="42"/>
      <c r="D7" s="43"/>
      <c r="E7" s="43"/>
      <c r="F7" s="40"/>
      <c r="G7" s="41"/>
      <c r="H7" s="40"/>
      <c r="I7" s="39"/>
    </row>
    <row r="8" spans="1:9" ht="15.75" thickBot="1" x14ac:dyDescent="0.3">
      <c r="A8" s="39"/>
      <c r="B8" s="40"/>
      <c r="C8" s="41"/>
      <c r="D8" s="40"/>
      <c r="E8" s="40"/>
      <c r="F8" s="40"/>
      <c r="G8" s="41"/>
      <c r="H8" s="40"/>
      <c r="I8" s="39"/>
    </row>
    <row r="9" spans="1:9" ht="72.75" thickTop="1" thickBot="1" x14ac:dyDescent="0.3">
      <c r="A9" s="45" t="s">
        <v>63</v>
      </c>
      <c r="B9" s="45" t="s">
        <v>64</v>
      </c>
      <c r="C9" s="45" t="s">
        <v>65</v>
      </c>
      <c r="D9" s="45" t="s">
        <v>66</v>
      </c>
      <c r="E9" s="45" t="s">
        <v>46</v>
      </c>
      <c r="F9" s="45" t="s">
        <v>67</v>
      </c>
      <c r="G9" s="45" t="s">
        <v>68</v>
      </c>
      <c r="H9" s="45" t="s">
        <v>69</v>
      </c>
      <c r="I9" s="45" t="s">
        <v>70</v>
      </c>
    </row>
    <row r="10" spans="1:9" ht="69" customHeight="1" thickTop="1" x14ac:dyDescent="0.25">
      <c r="A10" s="46">
        <v>1</v>
      </c>
      <c r="B10" s="47" t="s">
        <v>51</v>
      </c>
      <c r="C10" s="48" t="s">
        <v>29</v>
      </c>
      <c r="D10" s="49" t="s">
        <v>71</v>
      </c>
      <c r="E10" s="50" t="s">
        <v>52</v>
      </c>
      <c r="F10" s="51" t="s">
        <v>72</v>
      </c>
      <c r="G10" s="51">
        <v>21437</v>
      </c>
      <c r="H10" s="52">
        <v>137.5</v>
      </c>
      <c r="I10" s="52">
        <f t="shared" ref="I10" si="0">G10*H10</f>
        <v>2947587.5</v>
      </c>
    </row>
    <row r="11" spans="1:9" ht="15.75" thickBot="1" x14ac:dyDescent="0.3">
      <c r="A11" s="53"/>
      <c r="B11" s="54"/>
      <c r="C11" s="55"/>
      <c r="D11" s="56"/>
      <c r="E11" s="57"/>
      <c r="F11" s="58"/>
      <c r="G11" s="58"/>
      <c r="H11" s="59"/>
      <c r="I11" s="59"/>
    </row>
    <row r="12" spans="1:9" x14ac:dyDescent="0.25">
      <c r="A12" s="39"/>
      <c r="B12" s="60" t="s">
        <v>73</v>
      </c>
      <c r="C12" s="61"/>
      <c r="D12" s="61"/>
      <c r="E12" s="62"/>
      <c r="F12" s="39"/>
      <c r="G12" s="39"/>
      <c r="H12" s="39"/>
      <c r="I12" s="39"/>
    </row>
    <row r="13" spans="1:9" x14ac:dyDescent="0.25">
      <c r="A13" s="39"/>
      <c r="B13" s="63"/>
      <c r="C13" s="39"/>
      <c r="D13" s="39"/>
      <c r="E13" s="64"/>
      <c r="F13" s="39"/>
      <c r="G13" s="39"/>
      <c r="H13" s="39"/>
      <c r="I13" s="39"/>
    </row>
    <row r="14" spans="1:9" x14ac:dyDescent="0.25">
      <c r="A14" s="39"/>
      <c r="B14" s="65" t="s">
        <v>74</v>
      </c>
      <c r="C14" s="39"/>
      <c r="D14" s="39"/>
      <c r="E14" s="64"/>
      <c r="F14" s="39"/>
      <c r="G14" s="39"/>
      <c r="H14" s="39"/>
      <c r="I14" s="39"/>
    </row>
    <row r="15" spans="1:9" ht="63.75" customHeight="1" thickBot="1" x14ac:dyDescent="0.3">
      <c r="A15" s="39"/>
      <c r="B15" s="65"/>
      <c r="C15" s="139" t="s">
        <v>75</v>
      </c>
      <c r="D15" s="139"/>
      <c r="E15" s="140"/>
      <c r="F15" s="39"/>
      <c r="G15" s="39"/>
      <c r="H15" s="39"/>
      <c r="I15" s="39"/>
    </row>
    <row r="16" spans="1:9" x14ac:dyDescent="0.25">
      <c r="A16" s="39"/>
      <c r="B16" s="65" t="s">
        <v>76</v>
      </c>
      <c r="C16" s="39"/>
      <c r="D16" s="39"/>
      <c r="E16" s="64"/>
      <c r="F16" s="39"/>
      <c r="G16" s="66"/>
      <c r="H16" s="66"/>
      <c r="I16" s="66"/>
    </row>
    <row r="17" spans="1:9" ht="112.5" customHeight="1" x14ac:dyDescent="0.25">
      <c r="A17" s="39"/>
      <c r="B17" s="67"/>
      <c r="C17" s="141" t="s">
        <v>77</v>
      </c>
      <c r="D17" s="141"/>
      <c r="E17" s="142"/>
      <c r="F17" s="39"/>
      <c r="G17" s="39"/>
      <c r="H17" s="68"/>
      <c r="I17" s="68"/>
    </row>
    <row r="18" spans="1:9" x14ac:dyDescent="0.25">
      <c r="A18" s="39"/>
      <c r="B18" s="67"/>
      <c r="C18" s="141"/>
      <c r="D18" s="141"/>
      <c r="E18" s="142"/>
      <c r="F18" s="39"/>
      <c r="G18" s="39"/>
      <c r="H18" s="39"/>
      <c r="I18" s="39"/>
    </row>
    <row r="19" spans="1:9" x14ac:dyDescent="0.25">
      <c r="A19" s="39"/>
      <c r="B19" s="65" t="s">
        <v>78</v>
      </c>
      <c r="C19" s="39"/>
      <c r="D19" s="39"/>
      <c r="E19" s="64"/>
      <c r="F19" s="39"/>
      <c r="G19" s="39"/>
      <c r="H19" s="39"/>
      <c r="I19" s="39"/>
    </row>
    <row r="20" spans="1:9" x14ac:dyDescent="0.25">
      <c r="A20" s="39"/>
      <c r="B20" s="67"/>
      <c r="C20" s="139"/>
      <c r="D20" s="139"/>
      <c r="E20" s="140"/>
      <c r="F20" s="39"/>
      <c r="G20" s="39"/>
      <c r="H20" s="39"/>
      <c r="I20" s="39"/>
    </row>
    <row r="21" spans="1:9" x14ac:dyDescent="0.25">
      <c r="A21" s="39"/>
      <c r="B21" s="65" t="s">
        <v>79</v>
      </c>
      <c r="C21" s="69"/>
      <c r="D21" s="69"/>
      <c r="E21" s="70"/>
      <c r="F21" s="39"/>
      <c r="G21" s="39"/>
      <c r="H21" s="39"/>
      <c r="I21" s="39"/>
    </row>
    <row r="22" spans="1:9" x14ac:dyDescent="0.25">
      <c r="A22" s="39"/>
      <c r="B22" s="71"/>
      <c r="C22" s="134"/>
      <c r="D22" s="134"/>
      <c r="E22" s="135"/>
      <c r="F22" s="39"/>
      <c r="G22" s="39"/>
      <c r="H22" s="39"/>
      <c r="I22" s="39"/>
    </row>
    <row r="23" spans="1:9" x14ac:dyDescent="0.25">
      <c r="A23" s="39"/>
      <c r="B23" s="72"/>
      <c r="C23" s="73"/>
      <c r="D23" s="73"/>
      <c r="E23" s="74"/>
      <c r="F23" s="39"/>
      <c r="G23" s="39"/>
      <c r="H23" s="39"/>
      <c r="I23" s="39"/>
    </row>
    <row r="24" spans="1:9" x14ac:dyDescent="0.25">
      <c r="A24" s="39"/>
      <c r="B24" s="72"/>
      <c r="C24" s="134"/>
      <c r="D24" s="134"/>
      <c r="E24" s="135"/>
      <c r="F24" s="39"/>
      <c r="G24" s="39"/>
      <c r="H24" s="39"/>
      <c r="I24" s="39"/>
    </row>
    <row r="25" spans="1:9" ht="15.75" thickBot="1" x14ac:dyDescent="0.3">
      <c r="A25" s="39"/>
      <c r="B25" s="75"/>
      <c r="C25" s="76"/>
      <c r="D25" s="76"/>
      <c r="E25" s="77"/>
      <c r="F25" s="39"/>
      <c r="G25" s="39"/>
      <c r="H25" s="39"/>
      <c r="I25" s="39"/>
    </row>
    <row r="26" spans="1:9" x14ac:dyDescent="0.25">
      <c r="A26" s="53"/>
      <c r="B26" s="54"/>
      <c r="C26" s="55"/>
      <c r="D26" s="78"/>
      <c r="E26" s="57"/>
      <c r="F26" s="58"/>
      <c r="G26" s="58"/>
      <c r="H26" s="59"/>
      <c r="I26" s="59"/>
    </row>
  </sheetData>
  <mergeCells count="12">
    <mergeCell ref="C24:E24"/>
    <mergeCell ref="B1:H1"/>
    <mergeCell ref="A3:B3"/>
    <mergeCell ref="C3:E3"/>
    <mergeCell ref="A4:B4"/>
    <mergeCell ref="C4:E4"/>
    <mergeCell ref="A5:B5"/>
    <mergeCell ref="A6:B6"/>
    <mergeCell ref="C15:E15"/>
    <mergeCell ref="C17:E18"/>
    <mergeCell ref="C20:E20"/>
    <mergeCell ref="C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APG</vt:lpstr>
      <vt:lpstr>Nota de Pedido</vt:lpstr>
      <vt:lpstr>Necesidades Trimestrales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Usuario de Windows</cp:lastModifiedBy>
  <cp:lastPrinted>2022-04-07T15:05:54Z</cp:lastPrinted>
  <dcterms:created xsi:type="dcterms:W3CDTF">2021-02-08T12:06:32Z</dcterms:created>
  <dcterms:modified xsi:type="dcterms:W3CDTF">2022-04-07T15:18:17Z</dcterms:modified>
</cp:coreProperties>
</file>