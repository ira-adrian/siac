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20A1B6A0-FBBF-47EB-8331-F9BD9B2C651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Gastar'!$A$1:$Q$27</definedName>
  </definedNames>
  <calcPr calcId="181029"/>
</workbook>
</file>

<file path=xl/calcChain.xml><?xml version="1.0" encoding="utf-8"?>
<calcChain xmlns="http://schemas.openxmlformats.org/spreadsheetml/2006/main">
  <c r="I10" i="1" l="1"/>
  <c r="A10" i="3" l="1"/>
  <c r="K12" i="2"/>
  <c r="J12" i="2"/>
  <c r="I12" i="2"/>
  <c r="C12" i="2"/>
  <c r="B12" i="2"/>
  <c r="D10" i="1"/>
  <c r="J13" i="2" l="1"/>
  <c r="G6" i="3"/>
  <c r="G7" i="3"/>
  <c r="G4" i="3"/>
  <c r="G5" i="3"/>
  <c r="D1" i="3" l="1"/>
  <c r="Q23" i="3"/>
</calcChain>
</file>

<file path=xl/sharedStrings.xml><?xml version="1.0" encoding="utf-8"?>
<sst xmlns="http://schemas.openxmlformats.org/spreadsheetml/2006/main" count="84" uniqueCount="78">
  <si>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</si>
  <si>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</si>
  <si>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</si>
  <si>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</si>
  <si>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</si>
  <si>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</si>
  <si>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</si>
  <si>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</si>
  <si>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</si>
  <si>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</si>
  <si>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</si>
  <si>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</si>
  <si>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</si>
  <si>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</si>
  <si>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</si>
  <si>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</si>
  <si>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</si>
  <si>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</si>
  <si>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</si>
  <si>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</si>
  <si>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</si>
  <si>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</si>
  <si>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</si>
  <si>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</si>
  <si>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</si>
  <si>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</si>
  <si>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</si>
  <si>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</si>
  <si>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</si>
  <si>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</si>
  <si>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</si>
  <si>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</si>
  <si>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</si>
  <si>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</si>
  <si>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</si>
  <si>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</si>
  <si>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</si>
  <si>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</si>
  <si>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</si>
  <si>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</si>
  <si>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</si>
  <si>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</si>
  <si>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</si>
  <si>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</si>
  <si>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</si>
  <si>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</si>
  <si>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</si>
  <si>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</si>
  <si>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</si>
  <si>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</si>
  <si>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</si>
  <si>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</si>
  <si>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</si>
  <si>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</si>
  <si>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</si>
  <si>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</si>
  <si>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</si>
  <si>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>1.1</t>
  </si>
  <si>
    <t>NO</t>
  </si>
  <si>
    <t>40-Ministerio de Salud</t>
  </si>
  <si>
    <t>1º</t>
  </si>
  <si>
    <t>2.5.2-1903.82</t>
  </si>
  <si>
    <t>PROD. MEDICO/FARMACEUTICOS/LAB</t>
  </si>
  <si>
    <t>RECONSTITUYENTE GENERAL; TIPO: ASOCIACION, DROGA GENERICA: NUTRICION PARENTERAL, FORMA FARMACEUTICA: SOLUCION, PRESENTACION: ENVASE X 500 CM3</t>
  </si>
  <si>
    <t>UNIDAD</t>
  </si>
  <si>
    <t>Especificidades Item N° 1:</t>
  </si>
  <si>
    <t>BOLSA DE NUTRICIÓN PARENTERAL CON LÍPIDOS VOL 0 A 500 mL CON FILTRO</t>
  </si>
  <si>
    <t>10 dias desde la confeccion del instrumento contracctual-SERVICIO DE NEONATOLOGIA-MATERNIDAD PROVINCIAL 25 DE MAYO- H. DE PEDRAZA 1.550-Horario de Entrega : 08:00 am a 12:00 am Hs.</t>
  </si>
  <si>
    <t>40- Ministerio de Salud</t>
  </si>
  <si>
    <t xml:space="preserve">169-Direccion Asistencial </t>
  </si>
  <si>
    <t>Servicio de Neonatología</t>
  </si>
  <si>
    <t>1° TRIMESTRE - AÑO 2021</t>
  </si>
  <si>
    <t>008/2021</t>
  </si>
  <si>
    <t>Adquisicion de Alimentacion Parenteral</t>
  </si>
  <si>
    <t>Costo total estimado: UN MILLON DOSCIENTOS DIECISIETE MIL QUINIENTOS CON 00/100 CENTAVOS.</t>
  </si>
  <si>
    <t>UTILES MENORES MEDICOS, QUIRURGICOS Y DE LABORATORIO</t>
  </si>
  <si>
    <t>TOTAL DE PESOS:UN MILLON DOSCIENTOS DIECISIETE MIL QUINIENTOS CON 00/100 CENTAVOS.</t>
  </si>
  <si>
    <t>Para la adquisición de Alimentacion parenteral, para ser destinados ael Servicio de Neonatología de la Maternidad Provincial "25 de Mayo".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</si>
</sst>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\ #,##0.00;[Red]\-&quot;$&quot;\ #,##0.00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3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u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0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21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4" fillId="0" borderId="19" xfId="0" applyFont="1" applyFill="1" applyBorder="1" applyAlignment="1">
      <alignment horizontal="left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 wrapText="1"/>
    </xf>
    <xf numFmtId="166" fontId="4" fillId="0" borderId="19" xfId="1" applyNumberFormat="1" applyFont="1" applyFill="1" applyBorder="1" applyAlignment="1" applyProtection="1">
      <alignment horizontal="right" vertical="center" wrapText="1"/>
    </xf>
    <xf numFmtId="3" fontId="4" fillId="0" borderId="19" xfId="0" applyNumberFormat="1" applyFont="1" applyFill="1" applyBorder="1" applyAlignment="1">
      <alignment horizontal="center" vertical="center"/>
    </xf>
    <xf numFmtId="49" fontId="6" fillId="0" borderId="11" xfId="0" applyNumberFormat="1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0" fillId="0" borderId="32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19" fillId="0" borderId="48" xfId="0" applyFont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8" fontId="19" fillId="0" borderId="49" xfId="0" applyNumberFormat="1" applyFont="1" applyBorder="1" applyAlignment="1">
      <alignment horizontal="center" vertical="center" wrapText="1"/>
    </xf>
    <xf numFmtId="8" fontId="19" fillId="0" borderId="50" xfId="0" applyNumberFormat="1" applyFont="1" applyBorder="1" applyAlignment="1">
      <alignment horizontal="center" vertical="center" wrapText="1"/>
    </xf>
    <xf numFmtId="0" fontId="22" fillId="0" borderId="3" xfId="0" applyFont="1" applyBorder="1"/>
    <xf numFmtId="0" fontId="2" fillId="0" borderId="6" xfId="0" applyFont="1" applyBorder="1" applyAlignment="1">
      <alignment vertical="center"/>
    </xf>
    <xf numFmtId="0" fontId="22" fillId="0" borderId="5" xfId="0" applyFont="1" applyBorder="1" applyAlignment="1">
      <alignment horizontal="left" indent="3"/>
    </xf>
    <xf numFmtId="0" fontId="15" fillId="0" borderId="0" xfId="0" applyFont="1" applyFill="1" applyBorder="1"/>
    <xf numFmtId="0" fontId="15" fillId="0" borderId="5" xfId="0" applyFont="1" applyBorder="1" applyAlignment="1">
      <alignment horizontal="left" indent="3"/>
    </xf>
    <xf numFmtId="0" fontId="15" fillId="0" borderId="0" xfId="0" applyFont="1" applyFill="1" applyBorder="1" applyAlignment="1">
      <alignment horizontal="center" wrapText="1"/>
    </xf>
    <xf numFmtId="0" fontId="2" fillId="0" borderId="9" xfId="0" applyFont="1" applyBorder="1" applyAlignment="1">
      <alignment vertical="center"/>
    </xf>
    <xf numFmtId="166" fontId="0" fillId="3" borderId="34" xfId="3" applyNumberFormat="1" applyFont="1" applyFill="1" applyBorder="1" applyAlignment="1" applyProtection="1">
      <alignment horizontal="center" vertic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wrapText="1" indent="1"/>
    </xf>
    <xf numFmtId="0" fontId="15" fillId="0" borderId="6" xfId="0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6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4" fillId="0" borderId="19" xfId="0" applyFont="1" applyFill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0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9" fillId="0" borderId="44" xfId="0" applyFont="1" applyBorder="1" applyAlignment="1">
      <alignment horizontal="left" vertical="center" wrapText="1"/>
    </xf>
    <xf numFmtId="0" fontId="0" fillId="0" borderId="22" xfId="0" applyBorder="1"/>
    <xf numFmtId="0" fontId="14" fillId="0" borderId="33" xfId="0" applyFont="1" applyBorder="1" applyAlignment="1">
      <alignment horizontal="center" vertical="center" wrapText="1"/>
    </xf>
    <xf numFmtId="0" fontId="0" fillId="0" borderId="51" xfId="0" applyFont="1" applyBorder="1" applyAlignment="1">
      <alignment horizontal="center" vertical="center" wrapText="1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tabSelected="1" zoomScale="86" zoomScaleNormal="86" workbookViewId="0">
      <selection activeCell="C20" sqref="C20"/>
    </sheetView>
  </sheetViews>
  <sheetFormatPr baseColWidth="10" defaultColWidth="11" defaultRowHeight="12.75" x14ac:dyDescent="0.2"/>
  <cols>
    <col min="1" max="1" width="4.5703125" style="38" customWidth="1"/>
    <col min="2" max="2" width="12.85546875" style="38" customWidth="1"/>
    <col min="3" max="3" width="32.42578125" style="38" customWidth="1"/>
    <col min="4" max="4" width="8.42578125" style="38" customWidth="1"/>
    <col min="5" max="5" width="79" style="38" customWidth="1"/>
    <col min="6" max="6" width="11" style="38"/>
    <col min="7" max="7" width="12.7109375" style="38" customWidth="1"/>
    <col min="8" max="8" width="13.85546875" style="38" customWidth="1"/>
    <col min="9" max="9" width="18.5703125" style="38" customWidth="1"/>
    <col min="10" max="16384" width="11" style="38"/>
  </cols>
  <sheetData>
    <row r="2" spans="1:9" ht="27" x14ac:dyDescent="0.35">
      <c r="B2" s="72" t="s">
        <v>0</v>
      </c>
      <c r="C2" s="72"/>
      <c r="D2" s="72"/>
      <c r="E2" s="72"/>
      <c r="F2" s="72"/>
      <c r="G2" s="72"/>
      <c r="H2" s="72"/>
    </row>
    <row r="4" spans="1:9" ht="18" customHeight="1" x14ac:dyDescent="0.25">
      <c r="A4" s="73" t="s">
        <v>1</v>
      </c>
      <c r="B4" s="73"/>
      <c r="C4" s="74" t="s">
        <v>59</v>
      </c>
      <c r="D4" s="74"/>
      <c r="E4" s="74"/>
      <c r="F4" s="39"/>
      <c r="G4" s="40"/>
      <c r="H4" s="39"/>
    </row>
    <row r="5" spans="1:9" ht="18" customHeight="1" x14ac:dyDescent="0.25">
      <c r="A5" s="73" t="s">
        <v>2</v>
      </c>
      <c r="B5" s="73"/>
      <c r="C5" s="74" t="s">
        <v>56</v>
      </c>
      <c r="D5" s="74"/>
      <c r="E5" s="74"/>
      <c r="F5" s="39"/>
      <c r="G5" s="40"/>
      <c r="H5" s="39"/>
    </row>
    <row r="6" spans="1:9" ht="16.5" customHeight="1" x14ac:dyDescent="0.25">
      <c r="A6" s="73" t="s">
        <v>3</v>
      </c>
      <c r="B6" s="73"/>
      <c r="C6" s="47">
        <v>2021</v>
      </c>
      <c r="D6" s="48"/>
      <c r="E6" s="48"/>
      <c r="F6" s="39"/>
      <c r="G6" s="40"/>
      <c r="H6" s="39"/>
    </row>
    <row r="7" spans="1:9" ht="16.5" customHeight="1" x14ac:dyDescent="0.25">
      <c r="A7" s="73" t="s">
        <v>4</v>
      </c>
      <c r="B7" s="73"/>
      <c r="C7" s="47" t="s">
        <v>60</v>
      </c>
      <c r="D7" s="48"/>
      <c r="E7" s="48"/>
      <c r="F7" s="39"/>
      <c r="G7" s="40"/>
      <c r="H7" s="39"/>
    </row>
    <row r="8" spans="1:9" x14ac:dyDescent="0.2">
      <c r="B8" s="39"/>
      <c r="C8" s="40"/>
      <c r="D8" s="39"/>
      <c r="E8" s="39"/>
      <c r="F8" s="39"/>
      <c r="G8" s="40"/>
      <c r="H8" s="39"/>
    </row>
    <row r="9" spans="1:9" ht="39.75" thickTop="1" thickBot="1" x14ac:dyDescent="0.25">
      <c r="A9" s="41" t="s">
        <v>5</v>
      </c>
      <c r="B9" s="41" t="s">
        <v>6</v>
      </c>
      <c r="C9" s="41" t="s">
        <v>7</v>
      </c>
      <c r="D9" s="41" t="s">
        <v>8</v>
      </c>
      <c r="E9" s="41" t="s">
        <v>9</v>
      </c>
      <c r="F9" s="41" t="s">
        <v>10</v>
      </c>
      <c r="G9" s="41" t="s">
        <v>11</v>
      </c>
      <c r="H9" s="41" t="s">
        <v>12</v>
      </c>
      <c r="I9" s="41" t="s">
        <v>13</v>
      </c>
    </row>
    <row r="10" spans="1:9" ht="39" thickBot="1" x14ac:dyDescent="0.25">
      <c r="A10" s="59">
        <v>1</v>
      </c>
      <c r="B10" s="60" t="s">
        <v>61</v>
      </c>
      <c r="C10" s="60" t="s">
        <v>62</v>
      </c>
      <c r="D10" s="61" t="str">
        <f>LEFT(B10,5)</f>
        <v>2.5.2</v>
      </c>
      <c r="E10" s="60" t="s">
        <v>63</v>
      </c>
      <c r="F10" s="60" t="s">
        <v>64</v>
      </c>
      <c r="G10" s="60">
        <v>250</v>
      </c>
      <c r="H10" s="62">
        <v>4870</v>
      </c>
      <c r="I10" s="63">
        <f>G10*H10</f>
        <v>1217500</v>
      </c>
    </row>
    <row r="12" spans="1:9" ht="13.5" thickBot="1" x14ac:dyDescent="0.25"/>
    <row r="13" spans="1:9" customFormat="1" x14ac:dyDescent="0.2">
      <c r="B13" s="64" t="s">
        <v>65</v>
      </c>
      <c r="C13" s="42"/>
      <c r="D13" s="42"/>
      <c r="E13" s="42"/>
      <c r="F13" s="44"/>
      <c r="G13" s="65"/>
      <c r="H13" s="38"/>
    </row>
    <row r="14" spans="1:9" customFormat="1" x14ac:dyDescent="0.2">
      <c r="B14" s="43"/>
      <c r="C14" s="44"/>
      <c r="D14" s="44"/>
      <c r="E14" s="44"/>
      <c r="F14" s="44"/>
      <c r="G14" s="65"/>
      <c r="H14" s="38"/>
    </row>
    <row r="15" spans="1:9" customFormat="1" x14ac:dyDescent="0.2">
      <c r="B15" s="66" t="s">
        <v>14</v>
      </c>
      <c r="C15" s="44"/>
      <c r="D15" s="44"/>
      <c r="E15" s="44"/>
      <c r="F15" s="44"/>
      <c r="G15" s="65"/>
      <c r="H15" s="38"/>
    </row>
    <row r="16" spans="1:9" customFormat="1" x14ac:dyDescent="0.2">
      <c r="B16" s="66"/>
      <c r="C16" s="79" t="s">
        <v>66</v>
      </c>
      <c r="D16" s="79"/>
      <c r="E16" s="79"/>
      <c r="F16" s="79"/>
      <c r="G16" s="80"/>
      <c r="H16" s="38"/>
    </row>
    <row r="17" spans="2:8" customFormat="1" x14ac:dyDescent="0.2">
      <c r="B17" s="66" t="s">
        <v>15</v>
      </c>
      <c r="C17" s="67"/>
      <c r="D17" s="67"/>
      <c r="E17" s="67"/>
      <c r="F17" s="44"/>
      <c r="G17" s="65"/>
      <c r="H17" s="38"/>
    </row>
    <row r="18" spans="2:8" customFormat="1" ht="27.75" customHeight="1" x14ac:dyDescent="0.2">
      <c r="B18" s="68"/>
      <c r="C18" s="76" t="s">
        <v>67</v>
      </c>
      <c r="D18" s="76"/>
      <c r="E18" s="76"/>
      <c r="F18" s="76"/>
      <c r="G18" s="75"/>
      <c r="H18" s="38"/>
    </row>
    <row r="19" spans="2:8" customFormat="1" x14ac:dyDescent="0.2">
      <c r="B19" s="68"/>
      <c r="C19" s="77"/>
      <c r="D19" s="77"/>
      <c r="E19" s="78"/>
      <c r="F19" s="44"/>
      <c r="G19" s="65"/>
      <c r="H19" s="38"/>
    </row>
    <row r="20" spans="2:8" customFormat="1" x14ac:dyDescent="0.2">
      <c r="B20" s="66" t="s">
        <v>16</v>
      </c>
      <c r="C20" s="67"/>
      <c r="D20" s="67"/>
      <c r="E20" s="67"/>
      <c r="F20" s="44"/>
      <c r="G20" s="65"/>
      <c r="H20" s="38"/>
    </row>
    <row r="21" spans="2:8" customFormat="1" x14ac:dyDescent="0.2">
      <c r="B21" s="68"/>
      <c r="C21" s="75"/>
      <c r="D21" s="75"/>
      <c r="E21" s="76"/>
      <c r="F21" s="44"/>
      <c r="G21" s="65"/>
      <c r="H21" s="38"/>
    </row>
    <row r="22" spans="2:8" customFormat="1" x14ac:dyDescent="0.2">
      <c r="B22" s="66" t="s">
        <v>17</v>
      </c>
      <c r="C22" s="69"/>
      <c r="D22" s="69"/>
      <c r="E22" s="69"/>
      <c r="F22" s="44"/>
      <c r="G22" s="65"/>
      <c r="H22" s="38"/>
    </row>
    <row r="23" spans="2:8" customFormat="1" x14ac:dyDescent="0.2">
      <c r="B23" s="68"/>
      <c r="C23" s="75"/>
      <c r="D23" s="75"/>
      <c r="E23" s="76"/>
      <c r="F23" s="44"/>
      <c r="G23" s="65"/>
      <c r="H23" s="38"/>
    </row>
    <row r="24" spans="2:8" customFormat="1" x14ac:dyDescent="0.2">
      <c r="B24" s="66" t="s">
        <v>18</v>
      </c>
      <c r="C24" s="67"/>
      <c r="D24" s="67"/>
      <c r="E24" s="67"/>
      <c r="F24" s="44"/>
      <c r="G24" s="65"/>
      <c r="H24" s="38"/>
    </row>
    <row r="25" spans="2:8" customFormat="1" x14ac:dyDescent="0.2">
      <c r="B25" s="66"/>
      <c r="C25" s="77"/>
      <c r="D25" s="77"/>
      <c r="E25" s="78"/>
      <c r="F25" s="44"/>
      <c r="G25" s="65"/>
      <c r="H25" s="38"/>
    </row>
    <row r="26" spans="2:8" ht="13.5" thickBot="1" x14ac:dyDescent="0.25">
      <c r="B26" s="45"/>
      <c r="C26" s="46"/>
      <c r="D26" s="46"/>
      <c r="E26" s="46"/>
      <c r="F26" s="46"/>
      <c r="G26" s="70"/>
    </row>
  </sheetData>
  <mergeCells count="13">
    <mergeCell ref="C21:E21"/>
    <mergeCell ref="C23:E23"/>
    <mergeCell ref="C25:E25"/>
    <mergeCell ref="A6:B6"/>
    <mergeCell ref="A7:B7"/>
    <mergeCell ref="C16:G16"/>
    <mergeCell ref="C18:G18"/>
    <mergeCell ref="C19:E19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"/>
  <sheetViews>
    <sheetView zoomScale="75" zoomScaleNormal="75" workbookViewId="0">
      <selection activeCell="A13" sqref="A13:I13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89" t="s">
        <v>19</v>
      </c>
      <c r="B1" s="89"/>
      <c r="C1" s="89"/>
      <c r="D1" s="89"/>
      <c r="E1" s="89"/>
      <c r="F1" s="89"/>
      <c r="G1" s="89"/>
      <c r="H1" s="89"/>
      <c r="I1" s="89"/>
      <c r="J1" s="3" t="s">
        <v>20</v>
      </c>
      <c r="K1" s="54" t="s">
        <v>72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90" t="s">
        <v>53</v>
      </c>
      <c r="B3" s="90"/>
      <c r="C3" s="90"/>
      <c r="D3" s="91" t="s">
        <v>68</v>
      </c>
      <c r="E3" s="91"/>
      <c r="F3" s="91"/>
      <c r="G3" s="91"/>
      <c r="H3" s="91"/>
      <c r="I3" s="91"/>
      <c r="J3" s="91"/>
      <c r="K3" s="91"/>
    </row>
    <row r="4" spans="1:11" ht="18.75" customHeight="1" thickBot="1" x14ac:dyDescent="0.25">
      <c r="A4" s="92" t="s">
        <v>54</v>
      </c>
      <c r="B4" s="92"/>
      <c r="C4" s="92"/>
      <c r="D4" s="91" t="s">
        <v>56</v>
      </c>
      <c r="E4" s="91"/>
      <c r="F4" s="91"/>
      <c r="G4" s="91"/>
      <c r="H4" s="91"/>
      <c r="I4" s="91"/>
      <c r="J4" s="91"/>
      <c r="K4" s="91"/>
    </row>
    <row r="5" spans="1:11" ht="18.75" customHeight="1" thickBot="1" x14ac:dyDescent="0.25">
      <c r="A5" s="92" t="s">
        <v>32</v>
      </c>
      <c r="B5" s="92"/>
      <c r="C5" s="92"/>
      <c r="D5" s="91" t="s">
        <v>69</v>
      </c>
      <c r="E5" s="91"/>
      <c r="F5" s="91"/>
      <c r="G5" s="91"/>
      <c r="H5" s="91"/>
      <c r="I5" s="91"/>
      <c r="J5" s="91"/>
      <c r="K5" s="91"/>
    </row>
    <row r="6" spans="1:11" ht="16.5" customHeight="1" thickBot="1" x14ac:dyDescent="0.25">
      <c r="A6" s="90" t="s">
        <v>55</v>
      </c>
      <c r="B6" s="90"/>
      <c r="C6" s="90"/>
      <c r="D6" s="91" t="s">
        <v>70</v>
      </c>
      <c r="E6" s="91"/>
      <c r="F6" s="91"/>
      <c r="G6" s="91"/>
      <c r="H6" s="91"/>
      <c r="I6" s="91"/>
      <c r="J6" s="91"/>
      <c r="K6" s="91"/>
    </row>
    <row r="7" spans="1:11" ht="16.5" customHeight="1" thickBot="1" x14ac:dyDescent="0.25">
      <c r="A7" s="92" t="s">
        <v>21</v>
      </c>
      <c r="B7" s="92"/>
      <c r="C7" s="92"/>
      <c r="D7" s="91" t="s">
        <v>71</v>
      </c>
      <c r="E7" s="91"/>
      <c r="F7" s="91"/>
      <c r="G7" s="91"/>
      <c r="H7" s="91"/>
      <c r="I7" s="91"/>
      <c r="J7" s="91"/>
      <c r="K7" s="91"/>
    </row>
    <row r="8" spans="1:11" ht="16.5" customHeight="1" thickBot="1" x14ac:dyDescent="0.25">
      <c r="A8" s="84" t="s">
        <v>22</v>
      </c>
      <c r="B8" s="84"/>
      <c r="C8" s="84"/>
      <c r="D8" s="85" t="s">
        <v>73</v>
      </c>
      <c r="E8" s="85"/>
      <c r="F8" s="85"/>
      <c r="G8" s="85"/>
      <c r="H8" s="85"/>
      <c r="I8" s="85"/>
      <c r="J8" s="85"/>
      <c r="K8" s="85"/>
    </row>
    <row r="9" spans="1:11" ht="16.5" thickBot="1" x14ac:dyDescent="0.25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86" t="s">
        <v>23</v>
      </c>
      <c r="B10" s="87" t="s">
        <v>24</v>
      </c>
      <c r="C10" s="87" t="s">
        <v>25</v>
      </c>
      <c r="D10" s="87"/>
      <c r="E10" s="87"/>
      <c r="F10" s="87"/>
      <c r="G10" s="87"/>
      <c r="H10" s="87" t="s">
        <v>26</v>
      </c>
      <c r="I10" s="87" t="s">
        <v>27</v>
      </c>
      <c r="J10" s="87" t="s">
        <v>28</v>
      </c>
      <c r="K10" s="88" t="s">
        <v>29</v>
      </c>
    </row>
    <row r="11" spans="1:11" ht="24" customHeight="1" thickBot="1" x14ac:dyDescent="0.25">
      <c r="A11" s="86"/>
      <c r="B11" s="87"/>
      <c r="C11" s="87"/>
      <c r="D11" s="87"/>
      <c r="E11" s="87"/>
      <c r="F11" s="87"/>
      <c r="G11" s="87"/>
      <c r="H11" s="87"/>
      <c r="I11" s="87"/>
      <c r="J11" s="87"/>
      <c r="K11" s="88"/>
    </row>
    <row r="12" spans="1:11" ht="38.25" customHeight="1" thickBot="1" x14ac:dyDescent="0.25">
      <c r="A12" s="8">
        <v>1</v>
      </c>
      <c r="B12" s="49" t="str">
        <f>'Necesidades Trimestrales'!B10</f>
        <v>2.5.2-1903.82</v>
      </c>
      <c r="C12" s="83" t="str">
        <f>'Necesidades Trimestrales'!E10</f>
        <v>RECONSTITUYENTE GENERAL; TIPO: ASOCIACION, DROGA GENERICA: NUTRICION PARENTERAL, FORMA FARMACEUTICA: SOLUCION, PRESENTACION: ENVASE X 500 CM3</v>
      </c>
      <c r="D12" s="83"/>
      <c r="E12" s="83"/>
      <c r="F12" s="83"/>
      <c r="G12" s="83"/>
      <c r="H12" s="50" t="s">
        <v>58</v>
      </c>
      <c r="I12" s="51" t="str">
        <f>'Necesidades Trimestrales'!F10</f>
        <v>UNIDAD</v>
      </c>
      <c r="J12" s="52">
        <f>'Necesidades Trimestrales'!H10</f>
        <v>4870</v>
      </c>
      <c r="K12" s="53">
        <f>'Necesidades Trimestrales'!G10</f>
        <v>250</v>
      </c>
    </row>
    <row r="13" spans="1:11" ht="20.25" customHeight="1" thickBot="1" x14ac:dyDescent="0.25">
      <c r="A13" s="81" t="s">
        <v>74</v>
      </c>
      <c r="B13" s="81"/>
      <c r="C13" s="81"/>
      <c r="D13" s="81"/>
      <c r="E13" s="81"/>
      <c r="F13" s="81"/>
      <c r="G13" s="81"/>
      <c r="H13" s="81"/>
      <c r="I13" s="81"/>
      <c r="J13" s="82">
        <f>SUMPRODUCT(J12:J12,K12:K12)</f>
        <v>1217500</v>
      </c>
      <c r="K13" s="82"/>
    </row>
  </sheetData>
  <mergeCells count="2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A10" zoomScaleNormal="100" workbookViewId="0">
      <selection activeCell="G19" sqref="G19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16" t="s">
        <v>3</v>
      </c>
      <c r="B1" s="116"/>
      <c r="C1" s="116"/>
      <c r="D1" s="117">
        <f>'Necesidades Trimestrales'!C6</f>
        <v>2021</v>
      </c>
      <c r="E1" s="117"/>
      <c r="F1" s="10"/>
      <c r="G1" s="10"/>
      <c r="H1" s="11"/>
      <c r="I1" s="11"/>
      <c r="J1" s="11"/>
      <c r="K1" s="11"/>
      <c r="L1" s="11"/>
      <c r="M1" s="11"/>
      <c r="N1" s="11"/>
      <c r="P1" s="118" t="s">
        <v>30</v>
      </c>
      <c r="Q1" s="118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18"/>
      <c r="Q2" s="118"/>
    </row>
    <row r="4" spans="1:17" s="12" customFormat="1" ht="18" customHeight="1" thickBot="1" x14ac:dyDescent="0.25">
      <c r="A4" s="119" t="s">
        <v>31</v>
      </c>
      <c r="B4" s="119"/>
      <c r="C4" s="119"/>
      <c r="D4" s="119"/>
      <c r="E4" s="119"/>
      <c r="F4" s="119"/>
      <c r="G4" s="114" t="str">
        <f>' NotaPedido'!D3</f>
        <v>40- Ministerio de Salud</v>
      </c>
      <c r="H4" s="114"/>
      <c r="I4" s="114"/>
      <c r="J4" s="114"/>
      <c r="K4" s="114"/>
      <c r="L4" s="114"/>
      <c r="M4" s="114"/>
      <c r="N4" s="114"/>
      <c r="O4" s="114"/>
      <c r="P4" s="114"/>
      <c r="Q4" s="114"/>
    </row>
    <row r="5" spans="1:17" s="12" customFormat="1" ht="18" customHeight="1" thickBot="1" x14ac:dyDescent="0.25">
      <c r="A5" s="111" t="s">
        <v>54</v>
      </c>
      <c r="B5" s="112"/>
      <c r="C5" s="112"/>
      <c r="D5" s="112"/>
      <c r="E5" s="112"/>
      <c r="F5" s="113"/>
      <c r="G5" s="114" t="str">
        <f>' NotaPedido'!D4</f>
        <v>28- Maternidad Provincial 25 de Mayo</v>
      </c>
      <c r="H5" s="114"/>
      <c r="I5" s="114"/>
      <c r="J5" s="114"/>
      <c r="K5" s="114"/>
      <c r="L5" s="114"/>
      <c r="M5" s="114"/>
      <c r="N5" s="114"/>
      <c r="O5" s="114"/>
      <c r="P5" s="114"/>
      <c r="Q5" s="114"/>
    </row>
    <row r="6" spans="1:17" s="12" customFormat="1" ht="18" customHeight="1" thickBot="1" x14ac:dyDescent="0.25">
      <c r="A6" s="111" t="s">
        <v>32</v>
      </c>
      <c r="B6" s="112"/>
      <c r="C6" s="112"/>
      <c r="D6" s="112"/>
      <c r="E6" s="112"/>
      <c r="F6" s="113"/>
      <c r="G6" s="114" t="str">
        <f>' NotaPedido'!D5</f>
        <v xml:space="preserve">169-Direccion Asistencial </v>
      </c>
      <c r="H6" s="114"/>
      <c r="I6" s="114"/>
      <c r="J6" s="114"/>
      <c r="K6" s="114"/>
      <c r="L6" s="114"/>
      <c r="M6" s="114"/>
      <c r="N6" s="114"/>
      <c r="O6" s="114"/>
      <c r="P6" s="114"/>
      <c r="Q6" s="114"/>
    </row>
    <row r="7" spans="1:17" s="12" customFormat="1" ht="18" customHeight="1" thickBot="1" x14ac:dyDescent="0.25">
      <c r="A7" s="111" t="s">
        <v>55</v>
      </c>
      <c r="B7" s="112"/>
      <c r="C7" s="112"/>
      <c r="D7" s="112"/>
      <c r="E7" s="112"/>
      <c r="F7" s="113"/>
      <c r="G7" s="114" t="str">
        <f>' NotaPedido'!D6</f>
        <v>Servicio de Neonatología</v>
      </c>
      <c r="H7" s="114"/>
      <c r="I7" s="114"/>
      <c r="J7" s="114"/>
      <c r="K7" s="114"/>
      <c r="L7" s="114"/>
      <c r="M7" s="114"/>
      <c r="N7" s="114"/>
      <c r="O7" s="114"/>
      <c r="P7" s="114"/>
      <c r="Q7" s="114"/>
    </row>
    <row r="8" spans="1:17" ht="18" customHeight="1" thickBot="1" x14ac:dyDescent="0.25">
      <c r="A8" s="115" t="s">
        <v>33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</row>
    <row r="9" spans="1:17" ht="18" customHeight="1" x14ac:dyDescent="0.2">
      <c r="A9" s="105" t="s">
        <v>34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"/>
      <c r="P9" s="1"/>
      <c r="Q9" s="13"/>
    </row>
    <row r="10" spans="1:17" ht="54.75" customHeight="1" x14ac:dyDescent="0.2">
      <c r="A10" s="10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008/2021,  afectando la erogación resultante a los créditos presupuestarios aprobados a favor de esta Unidad Ejecutora, conforme al siguiente detalle: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07" t="s">
        <v>35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</row>
    <row r="13" spans="1:17" ht="15.75" customHeight="1" x14ac:dyDescent="0.2">
      <c r="A13" s="108" t="s">
        <v>36</v>
      </c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9" t="s">
        <v>37</v>
      </c>
      <c r="P13" s="109"/>
      <c r="Q13" s="110" t="s">
        <v>38</v>
      </c>
    </row>
    <row r="14" spans="1:17" ht="15.75" customHeight="1" thickBot="1" x14ac:dyDescent="0.25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09"/>
      <c r="P14" s="109"/>
      <c r="Q14" s="110"/>
    </row>
    <row r="15" spans="1:17" ht="40.5" customHeight="1" x14ac:dyDescent="0.2">
      <c r="A15" s="55">
        <v>42</v>
      </c>
      <c r="B15" s="56"/>
      <c r="C15" s="56"/>
      <c r="D15" s="56">
        <v>2</v>
      </c>
      <c r="E15" s="56"/>
      <c r="F15" s="56">
        <v>4901</v>
      </c>
      <c r="G15" s="56">
        <v>3</v>
      </c>
      <c r="H15" s="56">
        <v>1</v>
      </c>
      <c r="I15" s="56">
        <v>2</v>
      </c>
      <c r="J15" s="56">
        <v>9</v>
      </c>
      <c r="K15" s="56">
        <v>5</v>
      </c>
      <c r="L15" s="56"/>
      <c r="M15" s="57">
        <v>1</v>
      </c>
      <c r="N15" s="58" t="s">
        <v>57</v>
      </c>
      <c r="O15" s="103" t="s">
        <v>75</v>
      </c>
      <c r="P15" s="104"/>
      <c r="Q15" s="71">
        <v>1217500</v>
      </c>
    </row>
    <row r="16" spans="1:17" ht="17.25" customHeight="1" x14ac:dyDescent="0.2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5"/>
      <c r="N16" s="26"/>
      <c r="O16" s="98"/>
      <c r="P16" s="98"/>
      <c r="Q16" s="27"/>
    </row>
    <row r="17" spans="1:18" ht="17.25" customHeight="1" x14ac:dyDescent="0.2">
      <c r="A17" s="23"/>
      <c r="B17" s="24"/>
      <c r="C17" s="24"/>
      <c r="D17" s="24"/>
      <c r="E17" s="24"/>
      <c r="F17" s="26"/>
      <c r="G17" s="24"/>
      <c r="H17" s="24"/>
      <c r="I17" s="24"/>
      <c r="J17" s="24"/>
      <c r="K17" s="24"/>
      <c r="L17" s="24"/>
      <c r="M17" s="25"/>
      <c r="N17" s="26"/>
      <c r="O17" s="98"/>
      <c r="P17" s="98"/>
      <c r="Q17" s="27"/>
    </row>
    <row r="18" spans="1:18" ht="17.25" customHeight="1" x14ac:dyDescent="0.2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6"/>
      <c r="O18" s="98"/>
      <c r="P18" s="98"/>
      <c r="Q18" s="27"/>
    </row>
    <row r="19" spans="1:18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98"/>
      <c r="P19" s="98"/>
      <c r="Q19" s="27"/>
    </row>
    <row r="20" spans="1:18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98"/>
      <c r="P20" s="98"/>
      <c r="Q20" s="27"/>
    </row>
    <row r="21" spans="1:18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99"/>
      <c r="P21" s="99"/>
      <c r="Q21" s="27"/>
      <c r="R21" s="1"/>
    </row>
    <row r="22" spans="1:18" ht="17.25" customHeight="1" x14ac:dyDescent="0.2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00"/>
      <c r="P22" s="100"/>
      <c r="Q22" s="36"/>
    </row>
    <row r="23" spans="1:18" ht="27" customHeight="1" x14ac:dyDescent="0.2">
      <c r="A23" s="101" t="s">
        <v>76</v>
      </c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37">
        <f>SUM(Q15:Q22)</f>
        <v>1217500</v>
      </c>
    </row>
    <row r="24" spans="1:18" ht="18" customHeight="1" thickBot="1" x14ac:dyDescent="0.25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</row>
    <row r="25" spans="1:18" ht="17.25" customHeight="1" thickBot="1" x14ac:dyDescent="0.25">
      <c r="A25" s="93" t="s">
        <v>52</v>
      </c>
      <c r="B25" s="94"/>
      <c r="C25" s="94"/>
      <c r="D25" s="94"/>
      <c r="E25" s="94"/>
      <c r="F25" s="95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</row>
    <row r="26" spans="1:18" ht="18" customHeight="1" thickBot="1" x14ac:dyDescent="0.25">
      <c r="A26" s="97" t="s">
        <v>77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</row>
    <row r="27" spans="1:18" ht="15" customHeight="1" x14ac:dyDescent="0.2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ELIAS QUINTAR</cp:lastModifiedBy>
  <cp:revision>2</cp:revision>
  <cp:lastPrinted>2020-07-17T22:18:48Z</cp:lastPrinted>
  <dcterms:created xsi:type="dcterms:W3CDTF">2020-07-17T23:44:49Z</dcterms:created>
  <dcterms:modified xsi:type="dcterms:W3CDTF">2021-08-12T15:51:04Z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