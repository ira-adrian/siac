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DRIAN\CP¨COMPRAR\ALIM CARNE F Y V\CP Feb-2021\"/>
    </mc:Choice>
  </mc:AlternateContent>
  <bookViews>
    <workbookView xWindow="-120" yWindow="-120" windowWidth="20730" windowHeight="11160" tabRatio="500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NotaPedido'!$A$1:$K$53</definedName>
    <definedName name="_xlnm.Print_Area" localSheetId="2">'Autor Gastar'!$A$1:$Q$27</definedName>
    <definedName name="_xlnm.Print_Area" localSheetId="0">'Necesidades Trimestrales'!$A$2:$I$50</definedName>
  </definedNames>
  <calcPr calcId="152511"/>
</workbook>
</file>

<file path=xl/calcChain.xml><?xml version="1.0" encoding="utf-8"?>
<calcChain xmlns="http://schemas.openxmlformats.org/spreadsheetml/2006/main">
  <c r="K52" i="2" l="1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I46" i="1"/>
  <c r="I40" i="1" l="1"/>
  <c r="I39" i="1"/>
  <c r="I38" i="1"/>
  <c r="I37" i="1"/>
  <c r="I36" i="1"/>
  <c r="I34" i="1"/>
  <c r="C13" i="2" l="1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12" i="2"/>
  <c r="J53" i="2" l="1"/>
  <c r="I50" i="1"/>
  <c r="I49" i="1"/>
  <c r="I48" i="1"/>
  <c r="I47" i="1"/>
  <c r="I45" i="1"/>
  <c r="I44" i="1"/>
  <c r="I43" i="1"/>
  <c r="I42" i="1"/>
  <c r="I41" i="1"/>
  <c r="I11" i="1" l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5" i="1"/>
  <c r="G6" i="3" l="1"/>
  <c r="G7" i="3"/>
  <c r="D7" i="2"/>
  <c r="D3" i="2"/>
  <c r="G4" i="3" s="1"/>
  <c r="D4" i="2"/>
  <c r="G5" i="3" s="1"/>
  <c r="A10" i="3" l="1"/>
  <c r="D1" i="3"/>
  <c r="I10" i="1"/>
  <c r="I51" i="1" s="1"/>
  <c r="Q23" i="3" s="1"/>
  <c r="I15" i="3"/>
  <c r="K15" i="3" l="1"/>
  <c r="J15" i="3"/>
</calcChain>
</file>

<file path=xl/sharedStrings.xml><?xml version="1.0" encoding="utf-8"?>
<sst xmlns="http://schemas.openxmlformats.org/spreadsheetml/2006/main" count="356" uniqueCount="178">
  <si>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</si>
  <si>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</si>
  <si>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</si>
  <si>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</si>
  <si>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</si>
  <si>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</si>
  <si>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</si>
  <si>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</si>
  <si>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</si>
  <si>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</si>
  <si>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</si>
  <si>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</si>
  <si>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</si>
  <si>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</si>
  <si>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</si>
  <si>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</si>
  <si>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</si>
  <si>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</si>
  <si>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</si>
  <si>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</si>
  <si>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</si>
  <si>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</si>
  <si>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</si>
  <si>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</si>
  <si>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</si>
  <si>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</si>
  <si>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</si>
  <si>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</si>
  <si>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</si>
  <si>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</si>
  <si>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</si>
  <si>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</si>
  <si>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</si>
  <si>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</si>
  <si>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</si>
  <si>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</si>
  <si>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</si>
  <si>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</si>
  <si>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</si>
  <si>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</si>
  <si>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</si>
  <si>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</si>
  <si>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</si>
  <si>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</si>
  <si>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</si>
  <si>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</si>
  <si>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</si>
  <si>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</si>
  <si>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</si>
  <si>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</si>
  <si>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</si>
  <si>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</si>
  <si>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</si>
  <si>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</si>
  <si>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</si>
  <si>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</si>
  <si>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90 - MINISTERIO DE SEGURIDAD</t>
  </si>
  <si>
    <t>8 - DIRECCION GENERAL SERVICIO PENITENCIARIO PROVINCIAL</t>
  </si>
  <si>
    <t>ALIMENTOS</t>
  </si>
  <si>
    <t>1.1</t>
  </si>
  <si>
    <t>BIDON</t>
  </si>
  <si>
    <t>LATAS</t>
  </si>
  <si>
    <t>BOLSAS</t>
  </si>
  <si>
    <t>CAJAS</t>
  </si>
  <si>
    <t>2.1.1-6547.84</t>
  </si>
  <si>
    <t>LEGUMBRES; VARIEDAD: ARVEJAS, ESTADO: CONSERVA, PRESENTACION: LATA, PESO: 350 GR, MATERIAL ENVASE: METAL, ELEM. TRANSPORTE: SIN, MATERIAL ELEM. TRANSPORTE: SIN, LIBRE DE GLUTEN: NO</t>
  </si>
  <si>
    <t>2.1.1-481.28</t>
  </si>
  <si>
    <t>AZUCARES; TIPO: BLANCA, ESTADO: MOLIDA, PESO: 1 Kg, MATERIAL ENVASE: PAPEL, CERTIFICADO FORESTAL (GFS): SIN, ELEM. TRANSPORTE: SIN, MATERIAL ELEM. TRANSPORTE: SIN</t>
  </si>
  <si>
    <t>2.1.1-509.10</t>
  </si>
  <si>
    <t>PURE; TIPO: DE TOMATE, ENVASE: CAJA DE CARTON, PESO: 530 GR</t>
  </si>
  <si>
    <t>2.1.1-514.17</t>
  </si>
  <si>
    <t>SAL DE MESA; CONSISTENCIA: FINA, ENVASE: BOLSA, PESO: 1 Kg, TIPO: SIN VALOR</t>
  </si>
  <si>
    <t>2.1.1-514.30</t>
  </si>
  <si>
    <t>SAL DE MESA; CONSISTENCIA: GRUESA, ENVASE: CAJA DE CARTON, PESO: 1 Kg, TIPO: COMUN</t>
  </si>
  <si>
    <t>2.1.1-454.28</t>
  </si>
  <si>
    <t>YERBAS; PALO: SIN, PESO: 1 Kg, MATERIAL ENVASE : PAPEL, CERTIFICADO FORESTAL (GFS): CON, ELEM. TRANSPORTE: SIN, MATERIAL ELEM. TRANSPORTE: SIN, LIBRE DE GLUTEN: SI</t>
  </si>
  <si>
    <t>2.1.1-489.67</t>
  </si>
  <si>
    <t>ESPECIAS; TIPO: PIMENTON, PRESENTACION: BOLSA DE 1 Kg</t>
  </si>
  <si>
    <t>2.1.1-489.109</t>
  </si>
  <si>
    <t>ESPECIAS; TIPO: PROVENZAL, PRESENTACION: PAQUETE X 1 Kg</t>
  </si>
  <si>
    <t>Servicio Penitenciario Provincial</t>
  </si>
  <si>
    <t>Logistica</t>
  </si>
  <si>
    <t>NO</t>
  </si>
  <si>
    <t>2.1.1-541.18</t>
  </si>
  <si>
    <t>2.1.1-439.66</t>
  </si>
  <si>
    <t>ACEITES COMESTIBLES; TIPO: PURO DE GIRASOL, PRESENTACION: ENVASE X 5 L, MATERIAL ENVASE: PLASTICO 1 (PET), ELEM. TRANSPORTE: SIN, MATERIAL ELEM. TRANSPORTE : SIN, LIBRE DE GLUTEN: SI</t>
  </si>
  <si>
    <t>2.1.1-435.60</t>
  </si>
  <si>
    <t>ARROZ; TIPO GRANO: LARGO-FINO, TIPO: BLANCO, PROCESO: SIN CASCARA, PRESENTACION: BOLSA X 1 Kg, MATERIAL ENVASE: PLASTICO, CERTIFICADO FORESTAL (GFS): SIN, ELEM. TRANSPORTE: SIN, MATERIAL ELEM. TRANSPORTE: SIN, LIBRE DE GLUTEN: SI</t>
  </si>
  <si>
    <t>2.1.1-595.2</t>
  </si>
  <si>
    <t>EDULCORANTES; PRESENTACION: LIQUIDO, ENVASE: BOTELLA PLASTICA, CONTENIDO: 500 CM3</t>
  </si>
  <si>
    <t>2.1.1-2868.48</t>
  </si>
  <si>
    <t>FIDEOS SECOS; VARIEDAD: GUISERO, RELLENO: SIN, PRESENTACION: ENVASE X 5 Kg, MATERIAL ENVASE: CARTON, ELEM. TRANSPORTE: SIN, MATERIAL ELEM. TRANSPORTE: SIN, CERTIFICADO FORESTAL (GFS): CON, LIBRE DE GLUTEN: NO</t>
  </si>
  <si>
    <t>2.1.1-2868.69</t>
  </si>
  <si>
    <t>FIDEOS SECOS; VARIEDAD: TALLARIN BLANCO, RELLENO: SIN, PRESENTACION: ENVASE X 5 Kg, MATERIAL ENVASE: PLASTICO 1 (PET), ELEM. TRANSPORTE: SIN, MATERIAL ELEM. TRANSPORTE: SIN, CERTIFICADO FORESTAL (GFS): SIN, LIBRE DE GLUTEN: NO</t>
  </si>
  <si>
    <t>2.1.1-705.111</t>
  </si>
  <si>
    <t>LECHE; ESTADO: POLVO, TIPO: ENTERA, PROCESO: PASTEURIZADA, AGREGADO: SIN, PRESENTACION: ENVASE X 1 Kg, MATERIAL ENVASE: ALUMINIO, ELEM. TRANSPORTE: SIN, MATERIAL ELEM. TRANSPORTE: SIN, CERTIFICADO FORESTAL (GFS): CON, LIBRE DE GLUTEN: SI</t>
  </si>
  <si>
    <t>2.1.1-438.37</t>
  </si>
  <si>
    <t>ADEREZOS; TIPO: MAYONESA, ENVASE: BOLSA, CONTENIDO: 2,9 Kg, PRESENTACION: ENVASE X 2,9 Kg</t>
  </si>
  <si>
    <t>SACHET</t>
  </si>
  <si>
    <t>2.1.1-456.1</t>
  </si>
  <si>
    <t>YOGHURT; SABOR: VAINILLA, ENVASE: SACHET, AGREGADO: SIN VALOR, CONSISTENCIA: BEBIBLE, PRESENTACION: SACHET X 1 L, CAPACIDAD: 1 L, TIPO: ENTERO</t>
  </si>
  <si>
    <t>2.1.1-457.2</t>
  </si>
  <si>
    <t>SALCHICHAS; UNIDADES X PAQUETE: 6, TIPO: 100% VACUNA, PRESENTACION: 6</t>
  </si>
  <si>
    <t>2.1.1</t>
  </si>
  <si>
    <t>2.1.1-621.20</t>
  </si>
  <si>
    <t>AVES; TIPO: POLLO, PRESENTACION: CAJA X 22 Kg, EVISCERADO: SI, ELEM. TRANSPORTE: SIN, MATERIAL ELEM. TRANSPORTE: SIN, LIBRE DE GLUTEN: SIN VALOR</t>
  </si>
  <si>
    <t>2.1.1-6546.335</t>
  </si>
  <si>
    <t>VERDURAS Y HORTALIZAS; VARIEDAD: PAPA BLANCA, ESTADO: NATURAL, PRESENTACION: BOLSA, PESO: 25 Kg</t>
  </si>
  <si>
    <t>2.1.1-6546.188</t>
  </si>
  <si>
    <t>VERDURAS Y HORTALIZAS; ESTADO: NATURAL, PRESENTACION: GRANEL, PESO: SIN VALOR, VARIEDAD: ZAPALLO CRIOLLO</t>
  </si>
  <si>
    <t>2.1.1-6546.390</t>
  </si>
  <si>
    <t>VERDURAS Y HORTALIZAS; VARIEDAD: TOMATE REDONDO, ESTADO: NATURAL, PRESENTACION: CAJON, PESO: 17 A 22 Kg, ELEM. TRANSPORTE: SIN, MATERIAL ELEM. TRANSPORTE: SIN, LIBRE DE GLUTEN: SI, ORGANICO: NO</t>
  </si>
  <si>
    <t>2.1.1-6546.153</t>
  </si>
  <si>
    <t>2.1.1-6546.34</t>
  </si>
  <si>
    <t>VERDURAS Y HORTALIZAS; VARIEDAD: ACELGA, ESTADO: EN HOJA, PRESENTACION: ATADO, PESO: SIN VALOR</t>
  </si>
  <si>
    <t>2.1.1-6546.39</t>
  </si>
  <si>
    <t>VERDURAS Y HORTALIZAS; VARIEDAD: CEBOLLA, ESTADO: NATURAL, PRESENTACION: BOLSA, PESO: 25 Kg</t>
  </si>
  <si>
    <t>Alimentos Para Personas</t>
  </si>
  <si>
    <t>Adquisicion de alimentos con destino a la alimentacion de la poblacion penal.</t>
  </si>
  <si>
    <t>Adquisicion de alimentos con destino a la alimentación de la poblacion penal.</t>
  </si>
  <si>
    <t>PANES; TIPO: RALLADO, PRESENTACION: BOLSA DE 1000 GR</t>
  </si>
  <si>
    <t>2.1.1-669.25</t>
  </si>
  <si>
    <t>QUESOS; TIPO: CREMOSO, PRESENTACION: AL PESO, ELEM. TRANSPORTE: SIN, MATERIAL ELEM. TRANSPORTE: SIN, MATERIAL ENVASE: SIN, CERTIFICADO FORESTAL (GFS): SIN, LIBRE DE GLUTEN: A DEFINIR</t>
  </si>
  <si>
    <t>2.1.1-542.236</t>
  </si>
  <si>
    <t>QUESOS; TIPO: PORT SALUT, PRESENTACION: ENVASE X 1 Kg, ELEM. TRANSPORTE: SIN, MATERIAL ELEM. TRANSPORTE: SIN, MATERIAL ENVASE: POLIESTIRENO, CERTIFICADO FORESTAL (GFS): SIN</t>
  </si>
  <si>
    <t>2.1.1-542.158</t>
  </si>
  <si>
    <t>HUEVO DE GALLINA; TAMAÑO: MEDIANOS, COLOR: BLANCOS, PRESENTACION: 30</t>
  </si>
  <si>
    <t>2.1.1-483.33</t>
  </si>
  <si>
    <t>CAJONES</t>
  </si>
  <si>
    <t>Costo total estimado:</t>
  </si>
  <si>
    <t>04-2021</t>
  </si>
  <si>
    <t>2.1.1-6547.70</t>
  </si>
  <si>
    <t>LEGUMBRES: VARIEDAD; LENTEJA, ESTADO: SECO, PRESENTACION: BOLSA, PESO: 1 KG.</t>
  </si>
  <si>
    <t>2.1.1-489.65</t>
  </si>
  <si>
    <t>ESPECIAS: TIPO: COMINO, PRESENTACION: POLVO</t>
  </si>
  <si>
    <t>2.1.1-489.66</t>
  </si>
  <si>
    <t>ESPECIAS: TIPO: OREGANO, PRESENTACION: BOLSA DE 1 KG.</t>
  </si>
  <si>
    <t>CARNES: ESPECIE: VACUNA, CORTE: ROAST BEEF, TIPO: VACUNA</t>
  </si>
  <si>
    <t>2.1.1-482.60</t>
  </si>
  <si>
    <t>2.1.1-2175.1</t>
  </si>
  <si>
    <t>GRASAS COMESTIBLES: TIPO: VACUNA, PRESENTACION: BOLSA X 1 KG. ESTADO: NORMAL, FORMA DE PRESENTACION: NORMAL</t>
  </si>
  <si>
    <t>2.1.1-2116.2</t>
  </si>
  <si>
    <t>LEVADURAS: TIPO: DE CERVEZA, PRESENTACION: PAQUETE, PESO: 1 KG.</t>
  </si>
  <si>
    <t>2.1.1-514.10</t>
  </si>
  <si>
    <t>SALDE MESA: CONSISTENCIA: FINA, ENVASE: BOLSA, PESO 50 KG. TIPO: SIN VALOR</t>
  </si>
  <si>
    <t>2.1.1-2127.1</t>
  </si>
  <si>
    <t>MEJORADOR DE PANIFICACION: ESTADO: NATURAL, PESO: 10 KG. PRESENTACION: BOLSA</t>
  </si>
  <si>
    <t>2.1.1-6546.82</t>
  </si>
  <si>
    <t>VERDURAS Y HORTALIZAS: VARIEDAD, LECHUGA CRIOLLA, ESTADO: NATURAL, PRESENTACION: CAJON, PESO: SIN VALOR</t>
  </si>
  <si>
    <t>2.1.1-6539.19</t>
  </si>
  <si>
    <t>FRUTAS: ESTADO: NATURAL VARIEDAD: MANZANA RED ELEGIDA, PRESENTACION: CAJON PESO: SIN VALOR</t>
  </si>
  <si>
    <t>TOTAL DE PESOS: Catorce Millones Ciento Quince Mil con 00/100.</t>
  </si>
  <si>
    <t>2.1.1-705.105</t>
  </si>
  <si>
    <t>LECHE; ESTADO: LIQUIDO, TIPO: DESCREMADA, PROCESO: ESTERILIZADA, AGREGADO: VITAMINAS Y MINERALES, PRESENTACION: ENVASE X 1 L, MATERIAL ENVASE: CARTON, ELEM. TRANSPORTE: SIN, MATERIAL ELEM. TRANSPORTE: SIN, CERTIFICADO FORESTAL (GFS): SIN, LIBRE DE GLUTEN: SI</t>
  </si>
  <si>
    <t>UNIDAD</t>
  </si>
  <si>
    <t>KG.</t>
  </si>
  <si>
    <t>2.1.1-6546.158</t>
  </si>
  <si>
    <t>VERDURAS Y HORTALIZAS; ESTADO: NATURAL, VARIEDAD: ZAPALLO ANCO, PRESENTACION: GRANEL, PESO: SIN VALOR</t>
  </si>
  <si>
    <t>PAQ.</t>
  </si>
  <si>
    <t>CARTONES</t>
  </si>
  <si>
    <t>ATADOS</t>
  </si>
  <si>
    <t>Especificidades Item N° 35:</t>
  </si>
  <si>
    <t>Servicio Penitenciario Ruta Nacional 38 km 528 Colonia del Valle, Capayan</t>
  </si>
  <si>
    <t>Cajon x 20 kg.</t>
  </si>
  <si>
    <t>10 dias a partir de la recepción de la Orden de Compra</t>
  </si>
  <si>
    <t>Especificidades Item N° 37:</t>
  </si>
  <si>
    <t>Especificidades Item N° 39:</t>
  </si>
  <si>
    <t>Especificidades Item N° 40:</t>
  </si>
  <si>
    <t>HARINAS: TIPO: TRIGO, PRESENTACION: ENVASE X 50 KG. MATERIAL ENVASE: PAPEL, CERTIFICADO FORESTAL (GFS): SIN, ELEM. TRANSPORTE: SIN, MATERIAL ELEM. TRANSPORTE: SIN</t>
  </si>
  <si>
    <t>VERDURAS Y HORTALIZAS; VARIEDAD: AJO, ESTADO: NATURAL, PRESENTACION: RISTRA, PESO: SIN VALOR</t>
  </si>
  <si>
    <t>RISTRAS</t>
  </si>
  <si>
    <t>Atado x 1 Kg aprox.</t>
  </si>
  <si>
    <t>Cajon x 20 KG.</t>
  </si>
  <si>
    <t>Los productos tienen que ser de primera calidad.</t>
  </si>
  <si>
    <t>Los productos tienen que ser de 1° calidad</t>
  </si>
  <si>
    <t>Los productos tienen que ser de 1° calidad.</t>
  </si>
  <si>
    <t>Plazo de entrega total de la mercaderia: 10 dias a partir de la recepción de la Orden de Compra</t>
  </si>
  <si>
    <t>Lugar de entrega: Servicio Penitenciario Ruta Nacional 38 km 528 Colonia del Valle, Capayan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</si>
</sst>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7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charset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8"/>
      <name val="Arial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</fills>
  <borders count="55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medium">
        <color rgb="FF3D3D3D"/>
      </top>
      <bottom/>
      <diagonal/>
    </border>
  </borders>
  <cellStyleXfs count="6">
    <xf numFmtId="0" fontId="0" fillId="0" borderId="0"/>
    <xf numFmtId="165" fontId="15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0" fontId="26" fillId="0" borderId="0"/>
  </cellStyleXfs>
  <cellXfs count="133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4" xfId="0" applyFont="1" applyBorder="1" applyAlignment="1">
      <alignment horizontal="right" vertical="center"/>
    </xf>
    <xf numFmtId="0" fontId="5" fillId="0" borderId="16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4" xfId="0" applyBorder="1"/>
    <xf numFmtId="0" fontId="0" fillId="0" borderId="30" xfId="0" applyBorder="1"/>
    <xf numFmtId="0" fontId="0" fillId="0" borderId="16" xfId="0" applyBorder="1"/>
    <xf numFmtId="0" fontId="0" fillId="0" borderId="16" xfId="0" applyBorder="1" applyAlignment="1">
      <alignment horizontal="left"/>
    </xf>
    <xf numFmtId="0" fontId="0" fillId="0" borderId="31" xfId="0" applyBorder="1"/>
    <xf numFmtId="0" fontId="14" fillId="0" borderId="33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14" fillId="0" borderId="34" xfId="0" applyFont="1" applyBorder="1" applyAlignment="1">
      <alignment horizontal="left" vertical="center"/>
    </xf>
    <xf numFmtId="0" fontId="14" fillId="0" borderId="35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0" fillId="0" borderId="40" xfId="0" applyFont="1" applyBorder="1" applyAlignment="1">
      <alignment horizontal="center" vertical="center"/>
    </xf>
    <xf numFmtId="0" fontId="0" fillId="0" borderId="41" xfId="0" applyFont="1" applyBorder="1" applyAlignment="1">
      <alignment horizontal="center" vertical="center"/>
    </xf>
    <xf numFmtId="0" fontId="0" fillId="0" borderId="42" xfId="0" applyFont="1" applyBorder="1" applyAlignment="1">
      <alignment horizontal="center" vertical="center"/>
    </xf>
    <xf numFmtId="0" fontId="0" fillId="0" borderId="43" xfId="0" applyFont="1" applyBorder="1" applyAlignment="1">
      <alignment horizontal="center" vertical="center"/>
    </xf>
    <xf numFmtId="166" fontId="0" fillId="0" borderId="44" xfId="3" applyNumberFormat="1" applyFont="1" applyBorder="1" applyAlignment="1" applyProtection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12" fillId="0" borderId="43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166" fontId="0" fillId="0" borderId="48" xfId="3" applyNumberFormat="1" applyFont="1" applyBorder="1" applyAlignment="1" applyProtection="1">
      <alignment horizontal="center" vertical="center"/>
    </xf>
    <xf numFmtId="166" fontId="14" fillId="0" borderId="49" xfId="0" applyNumberFormat="1" applyFont="1" applyBorder="1" applyAlignment="1">
      <alignment horizontal="center" vertical="center"/>
    </xf>
    <xf numFmtId="0" fontId="16" fillId="0" borderId="0" xfId="0" applyFont="1"/>
    <xf numFmtId="0" fontId="19" fillId="0" borderId="0" xfId="0" applyFont="1" applyAlignment="1">
      <alignment horizontal="left" wrapText="1"/>
    </xf>
    <xf numFmtId="0" fontId="19" fillId="0" borderId="0" xfId="0" applyFont="1" applyAlignment="1">
      <alignment horizontal="center" wrapText="1"/>
    </xf>
    <xf numFmtId="0" fontId="20" fillId="0" borderId="2" xfId="0" applyFont="1" applyBorder="1" applyAlignment="1">
      <alignment horizontal="center" vertical="center" wrapText="1"/>
    </xf>
    <xf numFmtId="0" fontId="23" fillId="0" borderId="6" xfId="0" applyFont="1" applyBorder="1"/>
    <xf numFmtId="0" fontId="16" fillId="0" borderId="7" xfId="0" applyFont="1" applyBorder="1"/>
    <xf numFmtId="0" fontId="16" fillId="0" borderId="8" xfId="0" applyFont="1" applyBorder="1"/>
    <xf numFmtId="0" fontId="16" fillId="0" borderId="9" xfId="0" applyFont="1" applyBorder="1"/>
    <xf numFmtId="0" fontId="16" fillId="0" borderId="0" xfId="0" applyFont="1" applyBorder="1"/>
    <xf numFmtId="0" fontId="16" fillId="0" borderId="10" xfId="0" applyFont="1" applyBorder="1"/>
    <xf numFmtId="0" fontId="23" fillId="0" borderId="9" xfId="0" applyFont="1" applyBorder="1" applyAlignment="1">
      <alignment horizontal="left" indent="3"/>
    </xf>
    <xf numFmtId="0" fontId="16" fillId="0" borderId="9" xfId="0" applyFont="1" applyBorder="1" applyAlignment="1">
      <alignment horizontal="left" indent="3"/>
    </xf>
    <xf numFmtId="0" fontId="16" fillId="0" borderId="0" xfId="0" applyFont="1" applyBorder="1" applyAlignment="1">
      <alignment horizontal="center" wrapText="1"/>
    </xf>
    <xf numFmtId="0" fontId="16" fillId="0" borderId="10" xfId="0" applyFont="1" applyBorder="1" applyAlignment="1">
      <alignment horizontal="center" wrapText="1"/>
    </xf>
    <xf numFmtId="0" fontId="16" fillId="0" borderId="11" xfId="0" applyFont="1" applyBorder="1" applyAlignment="1">
      <alignment horizontal="left" indent="3"/>
    </xf>
    <xf numFmtId="0" fontId="16" fillId="0" borderId="12" xfId="0" applyFont="1" applyBorder="1"/>
    <xf numFmtId="0" fontId="16" fillId="0" borderId="13" xfId="0" applyFont="1" applyBorder="1"/>
    <xf numFmtId="0" fontId="0" fillId="0" borderId="36" xfId="0" applyFont="1" applyFill="1" applyBorder="1" applyAlignment="1">
      <alignment horizontal="center" vertical="center"/>
    </xf>
    <xf numFmtId="0" fontId="0" fillId="0" borderId="37" xfId="0" applyFont="1" applyFill="1" applyBorder="1" applyAlignment="1">
      <alignment horizontal="center" vertical="center"/>
    </xf>
    <xf numFmtId="0" fontId="0" fillId="0" borderId="38" xfId="0" applyFont="1" applyFill="1" applyBorder="1" applyAlignment="1">
      <alignment horizontal="center" vertical="center"/>
    </xf>
    <xf numFmtId="0" fontId="0" fillId="0" borderId="40" xfId="0" applyFont="1" applyFill="1" applyBorder="1" applyAlignment="1">
      <alignment horizontal="center" vertical="center"/>
    </xf>
    <xf numFmtId="0" fontId="0" fillId="0" borderId="41" xfId="0" applyFont="1" applyFill="1" applyBorder="1" applyAlignment="1">
      <alignment horizontal="center" vertical="center"/>
    </xf>
    <xf numFmtId="0" fontId="0" fillId="0" borderId="42" xfId="0" applyFont="1" applyFill="1" applyBorder="1" applyAlignment="1">
      <alignment horizontal="center" vertical="center"/>
    </xf>
    <xf numFmtId="0" fontId="0" fillId="0" borderId="43" xfId="0" applyFont="1" applyFill="1" applyBorder="1" applyAlignment="1">
      <alignment horizontal="center" vertical="center"/>
    </xf>
    <xf numFmtId="0" fontId="24" fillId="0" borderId="0" xfId="0" applyFont="1" applyFill="1" applyAlignment="1">
      <alignment horizontal="left" wrapText="1" indent="1"/>
    </xf>
    <xf numFmtId="0" fontId="20" fillId="0" borderId="0" xfId="0" applyFont="1" applyFill="1" applyAlignment="1">
      <alignment horizontal="left" wrapText="1"/>
    </xf>
    <xf numFmtId="0" fontId="22" fillId="0" borderId="4" xfId="0" applyFont="1" applyFill="1" applyBorder="1" applyAlignment="1">
      <alignment horizontal="center" vertical="center" wrapText="1"/>
    </xf>
    <xf numFmtId="166" fontId="21" fillId="0" borderId="4" xfId="1" applyNumberFormat="1" applyFont="1" applyFill="1" applyBorder="1" applyAlignment="1" applyProtection="1">
      <alignment horizontal="right" vertical="center" wrapText="1"/>
    </xf>
    <xf numFmtId="166" fontId="21" fillId="0" borderId="5" xfId="1" applyNumberFormat="1" applyFont="1" applyFill="1" applyBorder="1" applyAlignment="1" applyProtection="1">
      <alignment horizontal="right" vertical="center" wrapText="1"/>
    </xf>
    <xf numFmtId="0" fontId="4" fillId="0" borderId="23" xfId="0" applyFont="1" applyFill="1" applyBorder="1" applyAlignment="1">
      <alignment horizontal="left" vertical="center"/>
    </xf>
    <xf numFmtId="0" fontId="4" fillId="0" borderId="23" xfId="0" applyFont="1" applyFill="1" applyBorder="1" applyAlignment="1">
      <alignment horizontal="center" vertical="center"/>
    </xf>
    <xf numFmtId="0" fontId="4" fillId="0" borderId="23" xfId="0" applyFont="1" applyFill="1" applyBorder="1" applyAlignment="1">
      <alignment horizontal="center" vertical="center" wrapText="1"/>
    </xf>
    <xf numFmtId="166" fontId="4" fillId="0" borderId="23" xfId="1" applyNumberFormat="1" applyFont="1" applyFill="1" applyBorder="1" applyAlignment="1" applyProtection="1">
      <alignment horizontal="right" vertical="center" wrapText="1"/>
    </xf>
    <xf numFmtId="3" fontId="4" fillId="0" borderId="23" xfId="0" applyNumberFormat="1" applyFont="1" applyFill="1" applyBorder="1" applyAlignment="1">
      <alignment horizontal="center" vertical="center"/>
    </xf>
    <xf numFmtId="0" fontId="4" fillId="0" borderId="24" xfId="0" applyFont="1" applyFill="1" applyBorder="1" applyAlignment="1">
      <alignment horizontal="center" vertical="center"/>
    </xf>
    <xf numFmtId="0" fontId="21" fillId="0" borderId="3" xfId="0" applyFont="1" applyFill="1" applyBorder="1" applyAlignment="1">
      <alignment horizontal="center" vertical="center"/>
    </xf>
    <xf numFmtId="0" fontId="22" fillId="0" borderId="4" xfId="0" applyFont="1" applyFill="1" applyBorder="1" applyAlignment="1">
      <alignment horizontal="left" vertical="center" wrapText="1"/>
    </xf>
    <xf numFmtId="0" fontId="4" fillId="0" borderId="53" xfId="0" applyFont="1" applyFill="1" applyBorder="1" applyAlignment="1">
      <alignment horizontal="center" vertical="center"/>
    </xf>
    <xf numFmtId="0" fontId="4" fillId="0" borderId="18" xfId="0" applyFont="1" applyFill="1" applyBorder="1" applyAlignment="1">
      <alignment horizontal="center" vertical="center"/>
    </xf>
    <xf numFmtId="166" fontId="16" fillId="0" borderId="0" xfId="0" applyNumberFormat="1" applyFont="1"/>
    <xf numFmtId="0" fontId="0" fillId="0" borderId="32" xfId="0" applyBorder="1" applyAlignment="1"/>
    <xf numFmtId="0" fontId="10" fillId="0" borderId="28" xfId="0" applyFont="1" applyBorder="1" applyAlignment="1">
      <alignment vertical="center" wrapText="1"/>
    </xf>
    <xf numFmtId="0" fontId="10" fillId="0" borderId="0" xfId="0" applyFont="1" applyBorder="1" applyAlignment="1">
      <alignment vertical="center" wrapText="1"/>
    </xf>
    <xf numFmtId="0" fontId="16" fillId="0" borderId="0" xfId="0" applyFont="1" applyFill="1"/>
    <xf numFmtId="0" fontId="23" fillId="0" borderId="9" xfId="0" applyFont="1" applyFill="1" applyBorder="1" applyAlignment="1">
      <alignment horizontal="left" indent="3"/>
    </xf>
    <xf numFmtId="0" fontId="16" fillId="0" borderId="0" xfId="0" applyFont="1" applyFill="1" applyBorder="1"/>
    <xf numFmtId="0" fontId="16" fillId="0" borderId="10" xfId="0" applyFont="1" applyFill="1" applyBorder="1"/>
    <xf numFmtId="49" fontId="6" fillId="0" borderId="15" xfId="0" applyNumberFormat="1" applyFont="1" applyFill="1" applyBorder="1" applyAlignment="1">
      <alignment horizontal="center" vertical="center"/>
    </xf>
    <xf numFmtId="0" fontId="16" fillId="3" borderId="10" xfId="0" applyFont="1" applyFill="1" applyBorder="1" applyAlignment="1">
      <alignment horizontal="center"/>
    </xf>
    <xf numFmtId="0" fontId="16" fillId="3" borderId="10" xfId="0" applyFont="1" applyFill="1" applyBorder="1" applyAlignment="1">
      <alignment horizontal="center" wrapText="1"/>
    </xf>
    <xf numFmtId="0" fontId="18" fillId="0" borderId="0" xfId="0" applyFont="1" applyBorder="1" applyAlignment="1">
      <alignment horizontal="left" vertical="center" wrapText="1"/>
    </xf>
    <xf numFmtId="0" fontId="17" fillId="0" borderId="0" xfId="0" applyFont="1" applyBorder="1" applyAlignment="1">
      <alignment horizontal="center"/>
    </xf>
    <xf numFmtId="0" fontId="24" fillId="0" borderId="0" xfId="0" applyFont="1" applyFill="1" applyBorder="1" applyAlignment="1">
      <alignment horizontal="left" wrapText="1" indent="1"/>
    </xf>
    <xf numFmtId="0" fontId="4" fillId="0" borderId="23" xfId="0" applyFont="1" applyFill="1" applyBorder="1" applyAlignment="1">
      <alignment horizontal="left" vertical="center" wrapText="1"/>
    </xf>
    <xf numFmtId="0" fontId="7" fillId="0" borderId="20" xfId="0" applyFont="1" applyBorder="1" applyAlignment="1">
      <alignment horizontal="left" vertical="center"/>
    </xf>
    <xf numFmtId="0" fontId="6" fillId="0" borderId="21" xfId="0" applyFont="1" applyFill="1" applyBorder="1" applyAlignment="1">
      <alignment horizontal="left" vertical="center" wrapText="1" indent="1"/>
    </xf>
    <xf numFmtId="0" fontId="8" fillId="0" borderId="20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 wrapText="1"/>
    </xf>
    <xf numFmtId="0" fontId="6" fillId="0" borderId="18" xfId="0" applyFont="1" applyFill="1" applyBorder="1" applyAlignment="1">
      <alignment horizontal="left" vertical="center" wrapText="1" indent="1"/>
    </xf>
    <xf numFmtId="0" fontId="7" fillId="0" borderId="19" xfId="0" applyFont="1" applyBorder="1" applyAlignment="1">
      <alignment horizontal="left" vertical="center" wrapText="1"/>
    </xf>
    <xf numFmtId="0" fontId="6" fillId="0" borderId="18" xfId="5" applyFont="1" applyBorder="1" applyAlignment="1">
      <alignment horizontal="left" vertical="center" wrapText="1" indent="1"/>
    </xf>
    <xf numFmtId="167" fontId="4" fillId="0" borderId="25" xfId="0" applyNumberFormat="1" applyFont="1" applyBorder="1" applyAlignment="1">
      <alignment horizontal="center" vertical="center"/>
    </xf>
    <xf numFmtId="167" fontId="4" fillId="0" borderId="26" xfId="0" applyNumberFormat="1" applyFont="1" applyBorder="1" applyAlignment="1">
      <alignment horizontal="center" vertical="center"/>
    </xf>
    <xf numFmtId="0" fontId="10" fillId="0" borderId="25" xfId="0" applyFont="1" applyBorder="1" applyAlignment="1">
      <alignment vertical="center" wrapText="1"/>
    </xf>
    <xf numFmtId="0" fontId="10" fillId="0" borderId="50" xfId="0" applyFont="1" applyBorder="1" applyAlignment="1">
      <alignment vertical="center" wrapText="1"/>
    </xf>
    <xf numFmtId="0" fontId="10" fillId="0" borderId="21" xfId="0" applyFont="1" applyBorder="1" applyAlignment="1">
      <alignment vertical="center" wrapText="1"/>
    </xf>
    <xf numFmtId="0" fontId="12" fillId="0" borderId="32" xfId="0" applyFont="1" applyBorder="1" applyAlignment="1">
      <alignment vertical="center" wrapText="1"/>
    </xf>
    <xf numFmtId="0" fontId="12" fillId="0" borderId="49" xfId="0" applyFont="1" applyFill="1" applyBorder="1" applyAlignment="1">
      <alignment horizontal="left" vertical="center" wrapText="1" indent="1"/>
    </xf>
    <xf numFmtId="0" fontId="0" fillId="0" borderId="43" xfId="0" applyFont="1" applyBorder="1" applyAlignment="1">
      <alignment horizontal="left" vertical="center"/>
    </xf>
    <xf numFmtId="0" fontId="0" fillId="0" borderId="43" xfId="0" applyBorder="1" applyAlignment="1">
      <alignment horizontal="left" vertical="center"/>
    </xf>
    <xf numFmtId="0" fontId="0" fillId="0" borderId="46" xfId="0" applyBorder="1" applyAlignment="1">
      <alignment horizontal="left" vertical="center"/>
    </xf>
    <xf numFmtId="0" fontId="10" fillId="0" borderId="19" xfId="0" applyFont="1" applyBorder="1" applyAlignment="1">
      <alignment horizontal="left" vertical="center" wrapText="1"/>
    </xf>
    <xf numFmtId="0" fontId="10" fillId="0" borderId="54" xfId="0" applyFont="1" applyBorder="1" applyAlignment="1">
      <alignment horizontal="left" vertical="center" wrapText="1"/>
    </xf>
    <xf numFmtId="0" fontId="10" fillId="0" borderId="32" xfId="0" applyFont="1" applyBorder="1" applyAlignment="1">
      <alignment horizontal="left" vertical="center" wrapText="1"/>
    </xf>
    <xf numFmtId="0" fontId="0" fillId="0" borderId="37" xfId="0" applyFont="1" applyFill="1" applyBorder="1" applyAlignment="1">
      <alignment horizontal="left" vertical="center" wrapText="1"/>
    </xf>
    <xf numFmtId="0" fontId="12" fillId="0" borderId="28" xfId="0" applyFont="1" applyBorder="1"/>
    <xf numFmtId="0" fontId="12" fillId="0" borderId="29" xfId="0" applyFont="1" applyBorder="1" applyAlignment="1">
      <alignment horizontal="left" vertical="center" wrapText="1" indent="1"/>
    </xf>
    <xf numFmtId="0" fontId="14" fillId="0" borderId="27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/>
    </xf>
    <xf numFmtId="0" fontId="4" fillId="0" borderId="17" xfId="0" applyFont="1" applyBorder="1" applyAlignment="1">
      <alignment horizontal="left" vertical="center" wrapText="1"/>
    </xf>
    <xf numFmtId="0" fontId="4" fillId="0" borderId="51" xfId="0" applyFont="1" applyBorder="1" applyAlignment="1">
      <alignment horizontal="left" vertical="center" wrapText="1"/>
    </xf>
    <xf numFmtId="0" fontId="4" fillId="0" borderId="52" xfId="0" applyFont="1" applyBorder="1" applyAlignment="1">
      <alignment horizontal="left" vertical="center" wrapText="1"/>
    </xf>
    <xf numFmtId="0" fontId="12" fillId="0" borderId="15" xfId="0" applyFont="1" applyBorder="1" applyAlignment="1">
      <alignment horizontal="left" indent="1"/>
    </xf>
    <xf numFmtId="0" fontId="13" fillId="0" borderId="15" xfId="0" applyFont="1" applyBorder="1" applyAlignment="1">
      <alignment horizontal="left"/>
    </xf>
    <xf numFmtId="0" fontId="0" fillId="0" borderId="25" xfId="0" applyFont="1" applyBorder="1" applyAlignment="1">
      <alignment horizontal="center"/>
    </xf>
    <xf numFmtId="3" fontId="10" fillId="0" borderId="26" xfId="0" applyNumberFormat="1" applyFont="1" applyBorder="1" applyAlignment="1">
      <alignment horizontal="center"/>
    </xf>
    <xf numFmtId="0" fontId="11" fillId="0" borderId="15" xfId="0" applyFont="1" applyBorder="1" applyAlignment="1">
      <alignment horizontal="center" vertical="center" wrapText="1"/>
    </xf>
    <xf numFmtId="0" fontId="2" fillId="0" borderId="15" xfId="0" applyFont="1" applyBorder="1"/>
  </cellXfs>
  <cellStyles count="6">
    <cellStyle name="Encabezado 1" xfId="2"/>
    <cellStyle name="Moneda" xfId="1" builtinId="4"/>
    <cellStyle name="Moneda_AUTORIZACION Y NOTA DE PEDIDO" xfId="3"/>
    <cellStyle name="Neutral 1" xfId="4"/>
    <cellStyle name="Normal" xfId="0" builtinId="0"/>
    <cellStyle name="Normal 2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13"/>
  <sheetViews>
    <sheetView tabSelected="1" topLeftCell="B1" workbookViewId="0">
      <selection activeCell="C105" sqref="C105:E105"/>
    </sheetView>
  </sheetViews>
  <sheetFormatPr baseColWidth="10" defaultColWidth="11" defaultRowHeight="12.75" x14ac:dyDescent="0.2"/>
  <cols>
    <col min="1" max="1" width="4.5703125" style="40" customWidth="1"/>
    <col min="2" max="2" width="12.85546875" style="40" customWidth="1"/>
    <col min="3" max="3" width="32.42578125" style="40" customWidth="1"/>
    <col min="4" max="4" width="8.42578125" style="40" customWidth="1"/>
    <col min="5" max="5" width="79" style="40" customWidth="1"/>
    <col min="6" max="6" width="11" style="40"/>
    <col min="7" max="7" width="12.7109375" style="40" customWidth="1"/>
    <col min="8" max="8" width="13.85546875" style="40" customWidth="1"/>
    <col min="9" max="9" width="18.5703125" style="40" customWidth="1"/>
    <col min="10" max="16384" width="11" style="40"/>
  </cols>
  <sheetData>
    <row r="2" spans="1:9" ht="27" x14ac:dyDescent="0.35">
      <c r="B2" s="91" t="s">
        <v>0</v>
      </c>
      <c r="C2" s="91"/>
      <c r="D2" s="91"/>
      <c r="E2" s="91"/>
      <c r="F2" s="91"/>
      <c r="G2" s="91"/>
      <c r="H2" s="91"/>
    </row>
    <row r="4" spans="1:9" ht="18" customHeight="1" x14ac:dyDescent="0.25">
      <c r="A4" s="90" t="s">
        <v>1</v>
      </c>
      <c r="B4" s="90"/>
      <c r="C4" s="92" t="s">
        <v>56</v>
      </c>
      <c r="D4" s="92"/>
      <c r="E4" s="92"/>
      <c r="F4" s="41"/>
      <c r="G4" s="42"/>
      <c r="H4" s="41"/>
    </row>
    <row r="5" spans="1:9" ht="18" customHeight="1" x14ac:dyDescent="0.25">
      <c r="A5" s="90" t="s">
        <v>2</v>
      </c>
      <c r="B5" s="90"/>
      <c r="C5" s="92" t="s">
        <v>57</v>
      </c>
      <c r="D5" s="92"/>
      <c r="E5" s="92"/>
      <c r="F5" s="41"/>
      <c r="G5" s="42"/>
      <c r="H5" s="41"/>
    </row>
    <row r="6" spans="1:9" ht="16.5" customHeight="1" x14ac:dyDescent="0.25">
      <c r="A6" s="90" t="s">
        <v>3</v>
      </c>
      <c r="B6" s="90"/>
      <c r="C6" s="64">
        <v>2021</v>
      </c>
      <c r="D6" s="65"/>
      <c r="E6" s="65"/>
      <c r="F6" s="41"/>
      <c r="G6" s="42"/>
      <c r="H6" s="41"/>
    </row>
    <row r="7" spans="1:9" ht="16.5" customHeight="1" x14ac:dyDescent="0.25">
      <c r="A7" s="90" t="s">
        <v>4</v>
      </c>
      <c r="B7" s="90"/>
      <c r="C7" s="64">
        <v>1</v>
      </c>
      <c r="D7" s="65"/>
      <c r="E7" s="65"/>
      <c r="F7" s="41"/>
      <c r="G7" s="42"/>
      <c r="H7" s="41"/>
    </row>
    <row r="8" spans="1:9" x14ac:dyDescent="0.2">
      <c r="B8" s="41"/>
      <c r="C8" s="42"/>
      <c r="D8" s="41"/>
      <c r="E8" s="41"/>
      <c r="F8" s="41"/>
      <c r="G8" s="42"/>
      <c r="H8" s="41"/>
    </row>
    <row r="9" spans="1:9" ht="38.25" x14ac:dyDescent="0.2">
      <c r="A9" s="43" t="s">
        <v>5</v>
      </c>
      <c r="B9" s="43" t="s">
        <v>6</v>
      </c>
      <c r="C9" s="43" t="s">
        <v>7</v>
      </c>
      <c r="D9" s="43" t="s">
        <v>8</v>
      </c>
      <c r="E9" s="43" t="s">
        <v>9</v>
      </c>
      <c r="F9" s="43" t="s">
        <v>10</v>
      </c>
      <c r="G9" s="43" t="s">
        <v>11</v>
      </c>
      <c r="H9" s="43" t="s">
        <v>12</v>
      </c>
      <c r="I9" s="43" t="s">
        <v>13</v>
      </c>
    </row>
    <row r="10" spans="1:9" ht="36.75" thickBot="1" x14ac:dyDescent="0.25">
      <c r="A10" s="75">
        <v>1</v>
      </c>
      <c r="B10" s="66" t="s">
        <v>84</v>
      </c>
      <c r="C10" s="76" t="s">
        <v>58</v>
      </c>
      <c r="D10" s="66" t="s">
        <v>103</v>
      </c>
      <c r="E10" s="76" t="s">
        <v>85</v>
      </c>
      <c r="F10" s="66" t="s">
        <v>60</v>
      </c>
      <c r="G10" s="66">
        <v>300</v>
      </c>
      <c r="H10" s="67">
        <v>900</v>
      </c>
      <c r="I10" s="68">
        <f>H10*G10</f>
        <v>270000</v>
      </c>
    </row>
    <row r="11" spans="1:9" ht="38.25" customHeight="1" thickBot="1" x14ac:dyDescent="0.25">
      <c r="A11" s="75">
        <v>2</v>
      </c>
      <c r="B11" s="66" t="s">
        <v>86</v>
      </c>
      <c r="C11" s="76" t="s">
        <v>58</v>
      </c>
      <c r="D11" s="66" t="s">
        <v>103</v>
      </c>
      <c r="E11" s="76" t="s">
        <v>87</v>
      </c>
      <c r="F11" s="66" t="s">
        <v>155</v>
      </c>
      <c r="G11" s="66">
        <v>3000</v>
      </c>
      <c r="H11" s="67">
        <v>130</v>
      </c>
      <c r="I11" s="68">
        <f t="shared" ref="I11:I50" si="0">H11*G11</f>
        <v>390000</v>
      </c>
    </row>
    <row r="12" spans="1:9" ht="36.75" thickBot="1" x14ac:dyDescent="0.25">
      <c r="A12" s="75">
        <v>3</v>
      </c>
      <c r="B12" s="66" t="s">
        <v>64</v>
      </c>
      <c r="C12" s="76" t="s">
        <v>58</v>
      </c>
      <c r="D12" s="66" t="s">
        <v>103</v>
      </c>
      <c r="E12" s="76" t="s">
        <v>65</v>
      </c>
      <c r="F12" s="66" t="s">
        <v>61</v>
      </c>
      <c r="G12" s="66">
        <v>500</v>
      </c>
      <c r="H12" s="67">
        <v>45</v>
      </c>
      <c r="I12" s="68">
        <f t="shared" si="0"/>
        <v>22500</v>
      </c>
    </row>
    <row r="13" spans="1:9" ht="36.75" thickBot="1" x14ac:dyDescent="0.25">
      <c r="A13" s="75">
        <v>4</v>
      </c>
      <c r="B13" s="66" t="s">
        <v>66</v>
      </c>
      <c r="C13" s="76" t="s">
        <v>58</v>
      </c>
      <c r="D13" s="66" t="s">
        <v>103</v>
      </c>
      <c r="E13" s="76" t="s">
        <v>67</v>
      </c>
      <c r="F13" s="66" t="s">
        <v>155</v>
      </c>
      <c r="G13" s="66">
        <v>2000</v>
      </c>
      <c r="H13" s="67">
        <v>70</v>
      </c>
      <c r="I13" s="68">
        <f t="shared" si="0"/>
        <v>140000</v>
      </c>
    </row>
    <row r="14" spans="1:9" ht="24.75" thickBot="1" x14ac:dyDescent="0.25">
      <c r="A14" s="75">
        <v>5</v>
      </c>
      <c r="B14" s="66" t="s">
        <v>88</v>
      </c>
      <c r="C14" s="76" t="s">
        <v>58</v>
      </c>
      <c r="D14" s="66" t="s">
        <v>103</v>
      </c>
      <c r="E14" s="76" t="s">
        <v>89</v>
      </c>
      <c r="F14" s="66" t="s">
        <v>154</v>
      </c>
      <c r="G14" s="66">
        <v>200</v>
      </c>
      <c r="H14" s="67">
        <v>190</v>
      </c>
      <c r="I14" s="68">
        <f t="shared" si="0"/>
        <v>38000</v>
      </c>
    </row>
    <row r="15" spans="1:9" ht="36.75" thickBot="1" x14ac:dyDescent="0.25">
      <c r="A15" s="75">
        <v>6</v>
      </c>
      <c r="B15" s="66" t="s">
        <v>90</v>
      </c>
      <c r="C15" s="76" t="s">
        <v>58</v>
      </c>
      <c r="D15" s="66" t="s">
        <v>103</v>
      </c>
      <c r="E15" s="76" t="s">
        <v>91</v>
      </c>
      <c r="F15" s="66" t="s">
        <v>62</v>
      </c>
      <c r="G15" s="66">
        <v>300</v>
      </c>
      <c r="H15" s="67">
        <v>600</v>
      </c>
      <c r="I15" s="68">
        <f t="shared" si="0"/>
        <v>180000</v>
      </c>
    </row>
    <row r="16" spans="1:9" ht="36.75" thickBot="1" x14ac:dyDescent="0.25">
      <c r="A16" s="75">
        <v>7</v>
      </c>
      <c r="B16" s="66" t="s">
        <v>92</v>
      </c>
      <c r="C16" s="76" t="s">
        <v>58</v>
      </c>
      <c r="D16" s="66" t="s">
        <v>103</v>
      </c>
      <c r="E16" s="76" t="s">
        <v>93</v>
      </c>
      <c r="F16" s="66" t="s">
        <v>62</v>
      </c>
      <c r="G16" s="66">
        <v>400</v>
      </c>
      <c r="H16" s="67">
        <v>600</v>
      </c>
      <c r="I16" s="68">
        <f t="shared" si="0"/>
        <v>240000</v>
      </c>
    </row>
    <row r="17" spans="1:9" ht="48.75" thickBot="1" x14ac:dyDescent="0.25">
      <c r="A17" s="75">
        <v>8</v>
      </c>
      <c r="B17" s="66" t="s">
        <v>152</v>
      </c>
      <c r="C17" s="76" t="s">
        <v>58</v>
      </c>
      <c r="D17" s="66" t="s">
        <v>103</v>
      </c>
      <c r="E17" s="76" t="s">
        <v>153</v>
      </c>
      <c r="F17" s="66" t="s">
        <v>63</v>
      </c>
      <c r="G17" s="66">
        <v>200</v>
      </c>
      <c r="H17" s="67">
        <v>100</v>
      </c>
      <c r="I17" s="68">
        <f t="shared" si="0"/>
        <v>20000</v>
      </c>
    </row>
    <row r="18" spans="1:9" ht="48.75" thickBot="1" x14ac:dyDescent="0.25">
      <c r="A18" s="75">
        <v>9</v>
      </c>
      <c r="B18" s="66" t="s">
        <v>94</v>
      </c>
      <c r="C18" s="76" t="s">
        <v>58</v>
      </c>
      <c r="D18" s="66" t="s">
        <v>103</v>
      </c>
      <c r="E18" s="76" t="s">
        <v>95</v>
      </c>
      <c r="F18" s="66" t="s">
        <v>63</v>
      </c>
      <c r="G18" s="66">
        <v>400</v>
      </c>
      <c r="H18" s="67">
        <v>450</v>
      </c>
      <c r="I18" s="68">
        <f t="shared" si="0"/>
        <v>180000</v>
      </c>
    </row>
    <row r="19" spans="1:9" ht="24.75" thickBot="1" x14ac:dyDescent="0.25">
      <c r="A19" s="75">
        <v>10</v>
      </c>
      <c r="B19" s="66" t="s">
        <v>96</v>
      </c>
      <c r="C19" s="76" t="s">
        <v>58</v>
      </c>
      <c r="D19" s="66" t="s">
        <v>103</v>
      </c>
      <c r="E19" s="76" t="s">
        <v>97</v>
      </c>
      <c r="F19" s="66" t="s">
        <v>98</v>
      </c>
      <c r="G19" s="66">
        <v>12</v>
      </c>
      <c r="H19" s="67">
        <v>500</v>
      </c>
      <c r="I19" s="68">
        <f t="shared" si="0"/>
        <v>6000</v>
      </c>
    </row>
    <row r="20" spans="1:9" ht="13.5" thickBot="1" x14ac:dyDescent="0.25">
      <c r="A20" s="75">
        <v>11</v>
      </c>
      <c r="B20" s="66" t="s">
        <v>121</v>
      </c>
      <c r="C20" s="76" t="s">
        <v>58</v>
      </c>
      <c r="D20" s="66" t="s">
        <v>103</v>
      </c>
      <c r="E20" s="76" t="s">
        <v>120</v>
      </c>
      <c r="F20" s="66" t="s">
        <v>62</v>
      </c>
      <c r="G20" s="66">
        <v>100</v>
      </c>
      <c r="H20" s="67">
        <v>600</v>
      </c>
      <c r="I20" s="68">
        <f t="shared" si="0"/>
        <v>60000</v>
      </c>
    </row>
    <row r="21" spans="1:9" ht="13.5" thickBot="1" x14ac:dyDescent="0.25">
      <c r="A21" s="75">
        <v>12</v>
      </c>
      <c r="B21" s="66" t="s">
        <v>68</v>
      </c>
      <c r="C21" s="76" t="s">
        <v>58</v>
      </c>
      <c r="D21" s="66" t="s">
        <v>103</v>
      </c>
      <c r="E21" s="76" t="s">
        <v>69</v>
      </c>
      <c r="F21" s="66" t="s">
        <v>63</v>
      </c>
      <c r="G21" s="66">
        <v>1800</v>
      </c>
      <c r="H21" s="67">
        <v>65</v>
      </c>
      <c r="I21" s="68">
        <f t="shared" si="0"/>
        <v>117000</v>
      </c>
    </row>
    <row r="22" spans="1:9" ht="13.5" thickBot="1" x14ac:dyDescent="0.25">
      <c r="A22" s="75">
        <v>13</v>
      </c>
      <c r="B22" s="66" t="s">
        <v>70</v>
      </c>
      <c r="C22" s="76" t="s">
        <v>58</v>
      </c>
      <c r="D22" s="66" t="s">
        <v>103</v>
      </c>
      <c r="E22" s="76" t="s">
        <v>71</v>
      </c>
      <c r="F22" s="66" t="s">
        <v>155</v>
      </c>
      <c r="G22" s="66">
        <v>300</v>
      </c>
      <c r="H22" s="67">
        <v>70</v>
      </c>
      <c r="I22" s="68">
        <f t="shared" si="0"/>
        <v>21000</v>
      </c>
    </row>
    <row r="23" spans="1:9" ht="18" customHeight="1" thickBot="1" x14ac:dyDescent="0.25">
      <c r="A23" s="75">
        <v>14</v>
      </c>
      <c r="B23" s="66" t="s">
        <v>72</v>
      </c>
      <c r="C23" s="76" t="s">
        <v>58</v>
      </c>
      <c r="D23" s="66" t="s">
        <v>103</v>
      </c>
      <c r="E23" s="76" t="s">
        <v>73</v>
      </c>
      <c r="F23" s="66" t="s">
        <v>155</v>
      </c>
      <c r="G23" s="66">
        <v>600</v>
      </c>
      <c r="H23" s="67">
        <v>50</v>
      </c>
      <c r="I23" s="68">
        <f t="shared" si="0"/>
        <v>30000</v>
      </c>
    </row>
    <row r="24" spans="1:9" ht="24.75" thickBot="1" x14ac:dyDescent="0.25">
      <c r="A24" s="75">
        <v>15</v>
      </c>
      <c r="B24" s="66" t="s">
        <v>74</v>
      </c>
      <c r="C24" s="76" t="s">
        <v>58</v>
      </c>
      <c r="D24" s="66" t="s">
        <v>103</v>
      </c>
      <c r="E24" s="76" t="s">
        <v>75</v>
      </c>
      <c r="F24" s="66" t="s">
        <v>155</v>
      </c>
      <c r="G24" s="66">
        <v>800</v>
      </c>
      <c r="H24" s="67">
        <v>350</v>
      </c>
      <c r="I24" s="68">
        <f t="shared" si="0"/>
        <v>280000</v>
      </c>
    </row>
    <row r="25" spans="1:9" ht="36.75" thickBot="1" x14ac:dyDescent="0.25">
      <c r="A25" s="75">
        <v>16</v>
      </c>
      <c r="B25" s="66" t="s">
        <v>123</v>
      </c>
      <c r="C25" s="76" t="s">
        <v>58</v>
      </c>
      <c r="D25" s="66" t="s">
        <v>103</v>
      </c>
      <c r="E25" s="76" t="s">
        <v>122</v>
      </c>
      <c r="F25" s="66" t="s">
        <v>155</v>
      </c>
      <c r="G25" s="66">
        <v>200</v>
      </c>
      <c r="H25" s="67">
        <v>450</v>
      </c>
      <c r="I25" s="68">
        <f t="shared" si="0"/>
        <v>90000</v>
      </c>
    </row>
    <row r="26" spans="1:9" ht="36.75" thickBot="1" x14ac:dyDescent="0.25">
      <c r="A26" s="75">
        <v>17</v>
      </c>
      <c r="B26" s="66" t="s">
        <v>125</v>
      </c>
      <c r="C26" s="76" t="s">
        <v>58</v>
      </c>
      <c r="D26" s="66" t="s">
        <v>103</v>
      </c>
      <c r="E26" s="76" t="s">
        <v>124</v>
      </c>
      <c r="F26" s="66" t="s">
        <v>155</v>
      </c>
      <c r="G26" s="66">
        <v>200</v>
      </c>
      <c r="H26" s="67">
        <v>450</v>
      </c>
      <c r="I26" s="68">
        <f t="shared" si="0"/>
        <v>90000</v>
      </c>
    </row>
    <row r="27" spans="1:9" ht="24.75" thickBot="1" x14ac:dyDescent="0.25">
      <c r="A27" s="75">
        <v>18</v>
      </c>
      <c r="B27" s="66" t="s">
        <v>99</v>
      </c>
      <c r="C27" s="76" t="s">
        <v>58</v>
      </c>
      <c r="D27" s="66" t="s">
        <v>103</v>
      </c>
      <c r="E27" s="76" t="s">
        <v>100</v>
      </c>
      <c r="F27" s="66" t="s">
        <v>98</v>
      </c>
      <c r="G27" s="66">
        <v>250</v>
      </c>
      <c r="H27" s="67">
        <v>120</v>
      </c>
      <c r="I27" s="68">
        <f t="shared" si="0"/>
        <v>30000</v>
      </c>
    </row>
    <row r="28" spans="1:9" ht="13.5" thickBot="1" x14ac:dyDescent="0.25">
      <c r="A28" s="75">
        <v>19</v>
      </c>
      <c r="B28" s="66" t="s">
        <v>76</v>
      </c>
      <c r="C28" s="76" t="s">
        <v>58</v>
      </c>
      <c r="D28" s="66" t="s">
        <v>103</v>
      </c>
      <c r="E28" s="76" t="s">
        <v>77</v>
      </c>
      <c r="F28" s="66" t="s">
        <v>155</v>
      </c>
      <c r="G28" s="66">
        <v>200</v>
      </c>
      <c r="H28" s="67">
        <v>700</v>
      </c>
      <c r="I28" s="68">
        <f t="shared" si="0"/>
        <v>140000</v>
      </c>
    </row>
    <row r="29" spans="1:9" ht="13.5" thickBot="1" x14ac:dyDescent="0.25">
      <c r="A29" s="75">
        <v>20</v>
      </c>
      <c r="B29" s="66" t="s">
        <v>78</v>
      </c>
      <c r="C29" s="76" t="s">
        <v>58</v>
      </c>
      <c r="D29" s="66" t="s">
        <v>103</v>
      </c>
      <c r="E29" s="76" t="s">
        <v>79</v>
      </c>
      <c r="F29" s="66" t="s">
        <v>155</v>
      </c>
      <c r="G29" s="66">
        <v>150</v>
      </c>
      <c r="H29" s="67">
        <v>800</v>
      </c>
      <c r="I29" s="68">
        <f t="shared" si="0"/>
        <v>120000</v>
      </c>
    </row>
    <row r="30" spans="1:9" ht="13.5" thickBot="1" x14ac:dyDescent="0.25">
      <c r="A30" s="75">
        <v>21</v>
      </c>
      <c r="B30" s="66" t="s">
        <v>101</v>
      </c>
      <c r="C30" s="76" t="s">
        <v>58</v>
      </c>
      <c r="D30" s="66" t="s">
        <v>103</v>
      </c>
      <c r="E30" s="76" t="s">
        <v>102</v>
      </c>
      <c r="F30" s="66" t="s">
        <v>158</v>
      </c>
      <c r="G30" s="66">
        <v>200</v>
      </c>
      <c r="H30" s="67">
        <v>50</v>
      </c>
      <c r="I30" s="68">
        <f t="shared" si="0"/>
        <v>10000</v>
      </c>
    </row>
    <row r="31" spans="1:9" ht="13.5" thickBot="1" x14ac:dyDescent="0.25">
      <c r="A31" s="75">
        <v>22</v>
      </c>
      <c r="B31" s="66" t="s">
        <v>131</v>
      </c>
      <c r="C31" s="76" t="s">
        <v>58</v>
      </c>
      <c r="D31" s="66" t="s">
        <v>103</v>
      </c>
      <c r="E31" s="76" t="s">
        <v>132</v>
      </c>
      <c r="F31" s="66" t="s">
        <v>155</v>
      </c>
      <c r="G31" s="66">
        <v>200</v>
      </c>
      <c r="H31" s="67">
        <v>350</v>
      </c>
      <c r="I31" s="68">
        <f t="shared" si="0"/>
        <v>70000</v>
      </c>
    </row>
    <row r="32" spans="1:9" ht="13.5" thickBot="1" x14ac:dyDescent="0.25">
      <c r="A32" s="75">
        <v>23</v>
      </c>
      <c r="B32" s="66" t="s">
        <v>133</v>
      </c>
      <c r="C32" s="76" t="s">
        <v>58</v>
      </c>
      <c r="D32" s="66" t="s">
        <v>103</v>
      </c>
      <c r="E32" s="76" t="s">
        <v>134</v>
      </c>
      <c r="F32" s="66" t="s">
        <v>155</v>
      </c>
      <c r="G32" s="66">
        <v>150</v>
      </c>
      <c r="H32" s="67">
        <v>800</v>
      </c>
      <c r="I32" s="68">
        <f t="shared" si="0"/>
        <v>120000</v>
      </c>
    </row>
    <row r="33" spans="1:9" ht="13.5" thickBot="1" x14ac:dyDescent="0.25">
      <c r="A33" s="75">
        <v>24</v>
      </c>
      <c r="B33" s="66" t="s">
        <v>135</v>
      </c>
      <c r="C33" s="76" t="s">
        <v>58</v>
      </c>
      <c r="D33" s="66" t="s">
        <v>103</v>
      </c>
      <c r="E33" s="76" t="s">
        <v>136</v>
      </c>
      <c r="F33" s="66" t="s">
        <v>155</v>
      </c>
      <c r="G33" s="66">
        <v>150</v>
      </c>
      <c r="H33" s="67">
        <v>700</v>
      </c>
      <c r="I33" s="68">
        <f t="shared" si="0"/>
        <v>105000</v>
      </c>
    </row>
    <row r="34" spans="1:9" ht="13.5" thickBot="1" x14ac:dyDescent="0.25">
      <c r="A34" s="75">
        <v>25</v>
      </c>
      <c r="B34" s="66" t="s">
        <v>83</v>
      </c>
      <c r="C34" s="76" t="s">
        <v>58</v>
      </c>
      <c r="D34" s="66" t="s">
        <v>103</v>
      </c>
      <c r="E34" s="76" t="s">
        <v>137</v>
      </c>
      <c r="F34" s="66" t="s">
        <v>155</v>
      </c>
      <c r="G34" s="66">
        <v>6000</v>
      </c>
      <c r="H34" s="67">
        <v>650</v>
      </c>
      <c r="I34" s="68">
        <f t="shared" si="0"/>
        <v>3900000</v>
      </c>
    </row>
    <row r="35" spans="1:9" ht="24.75" thickBot="1" x14ac:dyDescent="0.25">
      <c r="A35" s="75">
        <v>26</v>
      </c>
      <c r="B35" s="66" t="s">
        <v>104</v>
      </c>
      <c r="C35" s="76" t="s">
        <v>58</v>
      </c>
      <c r="D35" s="66" t="s">
        <v>103</v>
      </c>
      <c r="E35" s="76" t="s">
        <v>105</v>
      </c>
      <c r="F35" s="66" t="s">
        <v>128</v>
      </c>
      <c r="G35" s="66">
        <v>100</v>
      </c>
      <c r="H35" s="67">
        <v>3200</v>
      </c>
      <c r="I35" s="68">
        <f t="shared" si="0"/>
        <v>320000</v>
      </c>
    </row>
    <row r="36" spans="1:9" ht="36.75" thickBot="1" x14ac:dyDescent="0.25">
      <c r="A36" s="75">
        <v>27</v>
      </c>
      <c r="B36" s="66" t="s">
        <v>138</v>
      </c>
      <c r="C36" s="76" t="s">
        <v>58</v>
      </c>
      <c r="D36" s="66" t="s">
        <v>103</v>
      </c>
      <c r="E36" s="76" t="s">
        <v>168</v>
      </c>
      <c r="F36" s="66" t="s">
        <v>62</v>
      </c>
      <c r="G36" s="66">
        <v>750</v>
      </c>
      <c r="H36" s="67">
        <v>2550</v>
      </c>
      <c r="I36" s="68">
        <f t="shared" si="0"/>
        <v>1912500</v>
      </c>
    </row>
    <row r="37" spans="1:9" ht="24.75" thickBot="1" x14ac:dyDescent="0.25">
      <c r="A37" s="75">
        <v>28</v>
      </c>
      <c r="B37" s="66" t="s">
        <v>139</v>
      </c>
      <c r="C37" s="76" t="s">
        <v>58</v>
      </c>
      <c r="D37" s="66" t="s">
        <v>103</v>
      </c>
      <c r="E37" s="76" t="s">
        <v>140</v>
      </c>
      <c r="F37" s="66" t="s">
        <v>155</v>
      </c>
      <c r="G37" s="66">
        <v>2730</v>
      </c>
      <c r="H37" s="67">
        <v>150</v>
      </c>
      <c r="I37" s="68">
        <f t="shared" si="0"/>
        <v>409500</v>
      </c>
    </row>
    <row r="38" spans="1:9" ht="13.5" thickBot="1" x14ac:dyDescent="0.25">
      <c r="A38" s="75">
        <v>29</v>
      </c>
      <c r="B38" s="66" t="s">
        <v>141</v>
      </c>
      <c r="C38" s="76" t="s">
        <v>58</v>
      </c>
      <c r="D38" s="66" t="s">
        <v>103</v>
      </c>
      <c r="E38" s="76" t="s">
        <v>142</v>
      </c>
      <c r="F38" s="66" t="s">
        <v>155</v>
      </c>
      <c r="G38" s="66">
        <v>730</v>
      </c>
      <c r="H38" s="67">
        <v>450</v>
      </c>
      <c r="I38" s="68">
        <f t="shared" si="0"/>
        <v>328500</v>
      </c>
    </row>
    <row r="39" spans="1:9" ht="13.5" thickBot="1" x14ac:dyDescent="0.25">
      <c r="A39" s="75">
        <v>30</v>
      </c>
      <c r="B39" s="66" t="s">
        <v>143</v>
      </c>
      <c r="C39" s="76" t="s">
        <v>58</v>
      </c>
      <c r="D39" s="66" t="s">
        <v>103</v>
      </c>
      <c r="E39" s="76" t="s">
        <v>144</v>
      </c>
      <c r="F39" s="66" t="s">
        <v>62</v>
      </c>
      <c r="G39" s="66">
        <v>45</v>
      </c>
      <c r="H39" s="67">
        <v>1800</v>
      </c>
      <c r="I39" s="68">
        <f t="shared" si="0"/>
        <v>81000</v>
      </c>
    </row>
    <row r="40" spans="1:9" ht="13.5" thickBot="1" x14ac:dyDescent="0.25">
      <c r="A40" s="75">
        <v>31</v>
      </c>
      <c r="B40" s="66" t="s">
        <v>145</v>
      </c>
      <c r="C40" s="76" t="s">
        <v>58</v>
      </c>
      <c r="D40" s="66" t="s">
        <v>103</v>
      </c>
      <c r="E40" s="76" t="s">
        <v>146</v>
      </c>
      <c r="F40" s="66" t="s">
        <v>62</v>
      </c>
      <c r="G40" s="66">
        <v>50</v>
      </c>
      <c r="H40" s="67">
        <v>3200</v>
      </c>
      <c r="I40" s="68">
        <f t="shared" si="0"/>
        <v>160000</v>
      </c>
    </row>
    <row r="41" spans="1:9" ht="24.75" thickBot="1" x14ac:dyDescent="0.25">
      <c r="A41" s="75">
        <v>32</v>
      </c>
      <c r="B41" s="66" t="s">
        <v>106</v>
      </c>
      <c r="C41" s="76" t="s">
        <v>58</v>
      </c>
      <c r="D41" s="66" t="s">
        <v>103</v>
      </c>
      <c r="E41" s="76" t="s">
        <v>107</v>
      </c>
      <c r="F41" s="66" t="s">
        <v>62</v>
      </c>
      <c r="G41" s="66">
        <v>500</v>
      </c>
      <c r="H41" s="67">
        <v>910</v>
      </c>
      <c r="I41" s="68">
        <f t="shared" si="0"/>
        <v>455000</v>
      </c>
    </row>
    <row r="42" spans="1:9" ht="24.75" thickBot="1" x14ac:dyDescent="0.25">
      <c r="A42" s="75">
        <v>33</v>
      </c>
      <c r="B42" s="66" t="s">
        <v>156</v>
      </c>
      <c r="C42" s="76" t="s">
        <v>58</v>
      </c>
      <c r="D42" s="66" t="s">
        <v>103</v>
      </c>
      <c r="E42" s="76" t="s">
        <v>157</v>
      </c>
      <c r="F42" s="66" t="s">
        <v>155</v>
      </c>
      <c r="G42" s="66">
        <v>1700</v>
      </c>
      <c r="H42" s="67">
        <v>85</v>
      </c>
      <c r="I42" s="68">
        <f t="shared" si="0"/>
        <v>144500</v>
      </c>
    </row>
    <row r="43" spans="1:9" ht="24.75" thickBot="1" x14ac:dyDescent="0.25">
      <c r="A43" s="75">
        <v>34</v>
      </c>
      <c r="B43" s="66" t="s">
        <v>108</v>
      </c>
      <c r="C43" s="76" t="s">
        <v>58</v>
      </c>
      <c r="D43" s="66" t="s">
        <v>103</v>
      </c>
      <c r="E43" s="76" t="s">
        <v>109</v>
      </c>
      <c r="F43" s="66" t="s">
        <v>155</v>
      </c>
      <c r="G43" s="66">
        <v>2500</v>
      </c>
      <c r="H43" s="67">
        <v>140</v>
      </c>
      <c r="I43" s="68">
        <f t="shared" si="0"/>
        <v>350000</v>
      </c>
    </row>
    <row r="44" spans="1:9" ht="36.75" thickBot="1" x14ac:dyDescent="0.25">
      <c r="A44" s="75">
        <v>35</v>
      </c>
      <c r="B44" s="66" t="s">
        <v>110</v>
      </c>
      <c r="C44" s="76" t="s">
        <v>58</v>
      </c>
      <c r="D44" s="66" t="s">
        <v>103</v>
      </c>
      <c r="E44" s="76" t="s">
        <v>111</v>
      </c>
      <c r="F44" s="66" t="s">
        <v>128</v>
      </c>
      <c r="G44" s="66">
        <v>600</v>
      </c>
      <c r="H44" s="67">
        <v>950</v>
      </c>
      <c r="I44" s="68">
        <f t="shared" si="0"/>
        <v>570000</v>
      </c>
    </row>
    <row r="45" spans="1:9" ht="19.5" customHeight="1" thickBot="1" x14ac:dyDescent="0.25">
      <c r="A45" s="75">
        <v>36</v>
      </c>
      <c r="B45" s="66" t="s">
        <v>127</v>
      </c>
      <c r="C45" s="76" t="s">
        <v>58</v>
      </c>
      <c r="D45" s="66" t="s">
        <v>103</v>
      </c>
      <c r="E45" s="76" t="s">
        <v>126</v>
      </c>
      <c r="F45" s="66" t="s">
        <v>159</v>
      </c>
      <c r="G45" s="66">
        <v>800</v>
      </c>
      <c r="H45" s="67">
        <v>230</v>
      </c>
      <c r="I45" s="68">
        <f t="shared" si="0"/>
        <v>184000</v>
      </c>
    </row>
    <row r="46" spans="1:9" ht="28.5" customHeight="1" thickBot="1" x14ac:dyDescent="0.25">
      <c r="A46" s="75">
        <v>37</v>
      </c>
      <c r="B46" s="66" t="s">
        <v>147</v>
      </c>
      <c r="C46" s="76" t="s">
        <v>58</v>
      </c>
      <c r="D46" s="66" t="s">
        <v>103</v>
      </c>
      <c r="E46" s="76" t="s">
        <v>148</v>
      </c>
      <c r="F46" s="66" t="s">
        <v>128</v>
      </c>
      <c r="G46" s="66">
        <v>500</v>
      </c>
      <c r="H46" s="67">
        <v>960</v>
      </c>
      <c r="I46" s="68">
        <f t="shared" si="0"/>
        <v>480000</v>
      </c>
    </row>
    <row r="47" spans="1:9" ht="28.5" customHeight="1" thickBot="1" x14ac:dyDescent="0.25">
      <c r="A47" s="75">
        <v>38</v>
      </c>
      <c r="B47" s="66" t="s">
        <v>112</v>
      </c>
      <c r="C47" s="76" t="s">
        <v>58</v>
      </c>
      <c r="D47" s="66" t="s">
        <v>103</v>
      </c>
      <c r="E47" s="76" t="s">
        <v>169</v>
      </c>
      <c r="F47" s="66" t="s">
        <v>170</v>
      </c>
      <c r="G47" s="66">
        <v>50</v>
      </c>
      <c r="H47" s="67">
        <v>2100</v>
      </c>
      <c r="I47" s="68">
        <f t="shared" si="0"/>
        <v>105000</v>
      </c>
    </row>
    <row r="48" spans="1:9" ht="24.75" thickBot="1" x14ac:dyDescent="0.25">
      <c r="A48" s="75">
        <v>39</v>
      </c>
      <c r="B48" s="66" t="s">
        <v>113</v>
      </c>
      <c r="C48" s="76" t="s">
        <v>58</v>
      </c>
      <c r="D48" s="66" t="s">
        <v>103</v>
      </c>
      <c r="E48" s="76" t="s">
        <v>114</v>
      </c>
      <c r="F48" s="66" t="s">
        <v>160</v>
      </c>
      <c r="G48" s="66">
        <v>500</v>
      </c>
      <c r="H48" s="67">
        <v>25</v>
      </c>
      <c r="I48" s="68">
        <f t="shared" si="0"/>
        <v>12500</v>
      </c>
    </row>
    <row r="49" spans="1:9" ht="26.25" customHeight="1" thickBot="1" x14ac:dyDescent="0.25">
      <c r="A49" s="75">
        <v>40</v>
      </c>
      <c r="B49" s="66" t="s">
        <v>149</v>
      </c>
      <c r="C49" s="76" t="s">
        <v>58</v>
      </c>
      <c r="D49" s="66" t="s">
        <v>103</v>
      </c>
      <c r="E49" s="76" t="s">
        <v>150</v>
      </c>
      <c r="F49" s="66" t="s">
        <v>128</v>
      </c>
      <c r="G49" s="66">
        <v>300</v>
      </c>
      <c r="H49" s="67">
        <v>3360</v>
      </c>
      <c r="I49" s="68">
        <f t="shared" si="0"/>
        <v>1008000</v>
      </c>
    </row>
    <row r="50" spans="1:9" ht="24" x14ac:dyDescent="0.2">
      <c r="A50" s="75">
        <v>41</v>
      </c>
      <c r="B50" s="66" t="s">
        <v>115</v>
      </c>
      <c r="C50" s="76" t="s">
        <v>58</v>
      </c>
      <c r="D50" s="66" t="s">
        <v>103</v>
      </c>
      <c r="E50" s="76" t="s">
        <v>116</v>
      </c>
      <c r="F50" s="66" t="s">
        <v>62</v>
      </c>
      <c r="G50" s="66">
        <v>1000</v>
      </c>
      <c r="H50" s="67">
        <v>925</v>
      </c>
      <c r="I50" s="68">
        <f t="shared" si="0"/>
        <v>925000</v>
      </c>
    </row>
    <row r="51" spans="1:9" ht="24.75" customHeight="1" x14ac:dyDescent="0.2">
      <c r="A51" s="83"/>
      <c r="B51" s="84" t="s">
        <v>18</v>
      </c>
      <c r="C51" s="85"/>
      <c r="D51" s="85"/>
      <c r="E51" s="86"/>
      <c r="I51" s="79">
        <f>SUM(I10:I50)</f>
        <v>14115000</v>
      </c>
    </row>
    <row r="52" spans="1:9" ht="23.25" customHeight="1" x14ac:dyDescent="0.2">
      <c r="B52" s="50"/>
      <c r="C52" s="88"/>
      <c r="D52" s="88"/>
      <c r="E52" s="88"/>
    </row>
    <row r="53" spans="1:9" ht="13.5" thickBot="1" x14ac:dyDescent="0.25">
      <c r="B53" s="54"/>
      <c r="C53" s="55"/>
      <c r="D53" s="55"/>
      <c r="E53" s="56"/>
    </row>
    <row r="55" spans="1:9" x14ac:dyDescent="0.2">
      <c r="B55" s="44" t="s">
        <v>161</v>
      </c>
      <c r="C55" s="45"/>
      <c r="D55" s="45"/>
      <c r="E55" s="46"/>
    </row>
    <row r="56" spans="1:9" ht="7.5" customHeight="1" x14ac:dyDescent="0.2">
      <c r="B56" s="47"/>
      <c r="C56" s="48"/>
      <c r="D56" s="48"/>
      <c r="E56" s="49"/>
    </row>
    <row r="57" spans="1:9" x14ac:dyDescent="0.2">
      <c r="B57" s="50" t="s">
        <v>14</v>
      </c>
      <c r="C57" s="48"/>
      <c r="D57" s="48"/>
      <c r="E57" s="49"/>
    </row>
    <row r="58" spans="1:9" ht="39" customHeight="1" x14ac:dyDescent="0.2">
      <c r="B58" s="50"/>
      <c r="C58" s="89" t="s">
        <v>172</v>
      </c>
      <c r="D58" s="89"/>
      <c r="E58" s="89"/>
    </row>
    <row r="59" spans="1:9" x14ac:dyDescent="0.2">
      <c r="B59" s="50" t="s">
        <v>15</v>
      </c>
      <c r="C59" s="48"/>
      <c r="D59" s="48"/>
      <c r="E59" s="49"/>
    </row>
    <row r="60" spans="1:9" x14ac:dyDescent="0.2">
      <c r="B60" s="51"/>
      <c r="C60" s="88" t="s">
        <v>164</v>
      </c>
      <c r="D60" s="88"/>
      <c r="E60" s="88"/>
    </row>
    <row r="61" spans="1:9" x14ac:dyDescent="0.2">
      <c r="B61" s="51"/>
      <c r="C61" s="88" t="s">
        <v>162</v>
      </c>
      <c r="D61" s="88"/>
      <c r="E61" s="88"/>
    </row>
    <row r="62" spans="1:9" x14ac:dyDescent="0.2">
      <c r="B62" s="50" t="s">
        <v>16</v>
      </c>
      <c r="C62" s="48"/>
      <c r="D62" s="48"/>
      <c r="E62" s="49"/>
    </row>
    <row r="63" spans="1:9" x14ac:dyDescent="0.2">
      <c r="B63" s="51"/>
      <c r="C63" s="89" t="s">
        <v>173</v>
      </c>
      <c r="D63" s="89"/>
      <c r="E63" s="89"/>
    </row>
    <row r="64" spans="1:9" x14ac:dyDescent="0.2">
      <c r="B64" s="50" t="s">
        <v>17</v>
      </c>
      <c r="C64" s="52"/>
      <c r="D64" s="52"/>
      <c r="E64" s="53"/>
    </row>
    <row r="65" spans="2:5" x14ac:dyDescent="0.2">
      <c r="B65" s="51"/>
      <c r="C65" s="89"/>
      <c r="D65" s="89"/>
      <c r="E65" s="89"/>
    </row>
    <row r="66" spans="2:5" x14ac:dyDescent="0.2">
      <c r="B66" s="50" t="s">
        <v>18</v>
      </c>
      <c r="C66" s="48"/>
      <c r="D66" s="48"/>
      <c r="E66" s="49"/>
    </row>
    <row r="67" spans="2:5" x14ac:dyDescent="0.2">
      <c r="B67" s="50"/>
      <c r="C67" s="88"/>
      <c r="D67" s="88"/>
      <c r="E67" s="88"/>
    </row>
    <row r="68" spans="2:5" x14ac:dyDescent="0.2">
      <c r="B68" s="54"/>
      <c r="C68" s="55"/>
      <c r="D68" s="55"/>
      <c r="E68" s="56"/>
    </row>
    <row r="69" spans="2:5" ht="13.5" thickBot="1" x14ac:dyDescent="0.25"/>
    <row r="70" spans="2:5" x14ac:dyDescent="0.2">
      <c r="B70" s="44" t="s">
        <v>165</v>
      </c>
      <c r="C70" s="45"/>
      <c r="D70" s="45"/>
      <c r="E70" s="46"/>
    </row>
    <row r="71" spans="2:5" x14ac:dyDescent="0.2">
      <c r="B71" s="47"/>
      <c r="C71" s="48"/>
      <c r="D71" s="48"/>
      <c r="E71" s="49"/>
    </row>
    <row r="72" spans="2:5" x14ac:dyDescent="0.2">
      <c r="B72" s="50" t="s">
        <v>14</v>
      </c>
      <c r="C72" s="48"/>
      <c r="D72" s="48"/>
      <c r="E72" s="49"/>
    </row>
    <row r="73" spans="2:5" ht="12.75" customHeight="1" x14ac:dyDescent="0.2">
      <c r="B73" s="50"/>
      <c r="C73" s="89" t="s">
        <v>163</v>
      </c>
      <c r="D73" s="89"/>
      <c r="E73" s="89"/>
    </row>
    <row r="74" spans="2:5" x14ac:dyDescent="0.2">
      <c r="B74" s="50" t="s">
        <v>15</v>
      </c>
      <c r="C74" s="48"/>
      <c r="D74" s="48"/>
      <c r="E74" s="49"/>
    </row>
    <row r="75" spans="2:5" x14ac:dyDescent="0.2">
      <c r="B75" s="51"/>
      <c r="C75" s="88" t="s">
        <v>164</v>
      </c>
      <c r="D75" s="88"/>
      <c r="E75" s="88"/>
    </row>
    <row r="76" spans="2:5" x14ac:dyDescent="0.2">
      <c r="B76" s="51"/>
      <c r="C76" s="88" t="s">
        <v>162</v>
      </c>
      <c r="D76" s="88"/>
      <c r="E76" s="88"/>
    </row>
    <row r="77" spans="2:5" x14ac:dyDescent="0.2">
      <c r="B77" s="50" t="s">
        <v>16</v>
      </c>
      <c r="C77" s="48"/>
      <c r="D77" s="48"/>
      <c r="E77" s="49"/>
    </row>
    <row r="78" spans="2:5" x14ac:dyDescent="0.2">
      <c r="B78" s="51"/>
      <c r="C78" s="89" t="s">
        <v>174</v>
      </c>
      <c r="D78" s="89"/>
      <c r="E78" s="89"/>
    </row>
    <row r="79" spans="2:5" x14ac:dyDescent="0.2">
      <c r="B79" s="50" t="s">
        <v>17</v>
      </c>
      <c r="C79" s="52"/>
      <c r="D79" s="52"/>
      <c r="E79" s="53"/>
    </row>
    <row r="80" spans="2:5" x14ac:dyDescent="0.2">
      <c r="B80" s="51"/>
      <c r="C80" s="89"/>
      <c r="D80" s="89"/>
      <c r="E80" s="89"/>
    </row>
    <row r="81" spans="2:5" x14ac:dyDescent="0.2">
      <c r="B81" s="50" t="s">
        <v>18</v>
      </c>
      <c r="C81" s="48"/>
      <c r="D81" s="48"/>
      <c r="E81" s="49"/>
    </row>
    <row r="82" spans="2:5" x14ac:dyDescent="0.2">
      <c r="B82" s="50"/>
      <c r="C82" s="88"/>
      <c r="D82" s="88"/>
      <c r="E82" s="88"/>
    </row>
    <row r="83" spans="2:5" ht="13.5" thickBot="1" x14ac:dyDescent="0.25">
      <c r="B83" s="54"/>
      <c r="C83" s="55"/>
      <c r="D83" s="55"/>
      <c r="E83" s="56"/>
    </row>
    <row r="84" spans="2:5" ht="13.5" thickBot="1" x14ac:dyDescent="0.25"/>
    <row r="85" spans="2:5" x14ac:dyDescent="0.2">
      <c r="B85" s="44" t="s">
        <v>166</v>
      </c>
      <c r="C85" s="45"/>
      <c r="D85" s="45"/>
      <c r="E85" s="46"/>
    </row>
    <row r="86" spans="2:5" x14ac:dyDescent="0.2">
      <c r="B86" s="47"/>
      <c r="C86" s="48"/>
      <c r="D86" s="48"/>
      <c r="E86" s="49"/>
    </row>
    <row r="87" spans="2:5" x14ac:dyDescent="0.2">
      <c r="B87" s="50" t="s">
        <v>14</v>
      </c>
      <c r="C87" s="48"/>
      <c r="D87" s="48"/>
      <c r="E87" s="49"/>
    </row>
    <row r="88" spans="2:5" x14ac:dyDescent="0.2">
      <c r="B88" s="50"/>
      <c r="C88" s="89" t="s">
        <v>171</v>
      </c>
      <c r="D88" s="89"/>
      <c r="E88" s="89"/>
    </row>
    <row r="89" spans="2:5" x14ac:dyDescent="0.2">
      <c r="B89" s="50" t="s">
        <v>15</v>
      </c>
      <c r="C89" s="48"/>
      <c r="D89" s="48"/>
      <c r="E89" s="49"/>
    </row>
    <row r="90" spans="2:5" x14ac:dyDescent="0.2">
      <c r="B90" s="51"/>
      <c r="C90" s="88" t="s">
        <v>164</v>
      </c>
      <c r="D90" s="88"/>
      <c r="E90" s="88"/>
    </row>
    <row r="91" spans="2:5" x14ac:dyDescent="0.2">
      <c r="B91" s="51"/>
      <c r="C91" s="88" t="s">
        <v>162</v>
      </c>
      <c r="D91" s="88"/>
      <c r="E91" s="88"/>
    </row>
    <row r="92" spans="2:5" x14ac:dyDescent="0.2">
      <c r="B92" s="50" t="s">
        <v>16</v>
      </c>
      <c r="C92" s="48"/>
      <c r="D92" s="48"/>
      <c r="E92" s="49"/>
    </row>
    <row r="93" spans="2:5" x14ac:dyDescent="0.2">
      <c r="B93" s="51"/>
      <c r="C93" s="89" t="s">
        <v>175</v>
      </c>
      <c r="D93" s="89"/>
      <c r="E93" s="89"/>
    </row>
    <row r="94" spans="2:5" x14ac:dyDescent="0.2">
      <c r="B94" s="50" t="s">
        <v>17</v>
      </c>
      <c r="C94" s="52"/>
      <c r="D94" s="52"/>
      <c r="E94" s="53"/>
    </row>
    <row r="95" spans="2:5" x14ac:dyDescent="0.2">
      <c r="B95" s="51"/>
      <c r="C95" s="89"/>
      <c r="D95" s="89"/>
      <c r="E95" s="89"/>
    </row>
    <row r="96" spans="2:5" x14ac:dyDescent="0.2">
      <c r="B96" s="50" t="s">
        <v>18</v>
      </c>
      <c r="C96" s="48"/>
      <c r="D96" s="48"/>
      <c r="E96" s="49"/>
    </row>
    <row r="97" spans="2:5" x14ac:dyDescent="0.2">
      <c r="B97" s="50"/>
      <c r="C97" s="88"/>
      <c r="D97" s="88"/>
      <c r="E97" s="88"/>
    </row>
    <row r="98" spans="2:5" ht="13.5" thickBot="1" x14ac:dyDescent="0.25">
      <c r="B98" s="54"/>
      <c r="C98" s="55"/>
      <c r="D98" s="55"/>
      <c r="E98" s="56"/>
    </row>
    <row r="99" spans="2:5" ht="13.5" thickBot="1" x14ac:dyDescent="0.25"/>
    <row r="100" spans="2:5" x14ac:dyDescent="0.2">
      <c r="B100" s="44" t="s">
        <v>167</v>
      </c>
      <c r="C100" s="45"/>
      <c r="D100" s="45"/>
      <c r="E100" s="46"/>
    </row>
    <row r="101" spans="2:5" x14ac:dyDescent="0.2">
      <c r="B101" s="47"/>
      <c r="C101" s="48"/>
      <c r="D101" s="48"/>
      <c r="E101" s="49"/>
    </row>
    <row r="102" spans="2:5" x14ac:dyDescent="0.2">
      <c r="B102" s="50" t="s">
        <v>14</v>
      </c>
      <c r="C102" s="48"/>
      <c r="D102" s="48"/>
      <c r="E102" s="49"/>
    </row>
    <row r="103" spans="2:5" x14ac:dyDescent="0.2">
      <c r="B103" s="50"/>
      <c r="C103" s="89" t="s">
        <v>163</v>
      </c>
      <c r="D103" s="89"/>
      <c r="E103" s="89"/>
    </row>
    <row r="104" spans="2:5" x14ac:dyDescent="0.2">
      <c r="B104" s="50" t="s">
        <v>15</v>
      </c>
      <c r="C104" s="48"/>
      <c r="D104" s="48"/>
      <c r="E104" s="49"/>
    </row>
    <row r="105" spans="2:5" x14ac:dyDescent="0.2">
      <c r="B105" s="51"/>
      <c r="C105" s="88" t="s">
        <v>176</v>
      </c>
      <c r="D105" s="88"/>
      <c r="E105" s="88"/>
    </row>
    <row r="106" spans="2:5" x14ac:dyDescent="0.2">
      <c r="B106" s="51"/>
      <c r="C106" s="88" t="s">
        <v>177</v>
      </c>
      <c r="D106" s="88"/>
      <c r="E106" s="88"/>
    </row>
    <row r="107" spans="2:5" x14ac:dyDescent="0.2">
      <c r="B107" s="50" t="s">
        <v>16</v>
      </c>
      <c r="C107" s="48"/>
      <c r="D107" s="48"/>
      <c r="E107" s="49"/>
    </row>
    <row r="108" spans="2:5" x14ac:dyDescent="0.2">
      <c r="B108" s="51"/>
      <c r="C108" s="89" t="s">
        <v>175</v>
      </c>
      <c r="D108" s="89"/>
      <c r="E108" s="89"/>
    </row>
    <row r="109" spans="2:5" x14ac:dyDescent="0.2">
      <c r="B109" s="50" t="s">
        <v>17</v>
      </c>
      <c r="C109" s="52"/>
      <c r="D109" s="52"/>
      <c r="E109" s="53"/>
    </row>
    <row r="110" spans="2:5" x14ac:dyDescent="0.2">
      <c r="B110" s="51"/>
      <c r="C110" s="89"/>
      <c r="D110" s="89"/>
      <c r="E110" s="89"/>
    </row>
    <row r="111" spans="2:5" x14ac:dyDescent="0.2">
      <c r="B111" s="50" t="s">
        <v>18</v>
      </c>
      <c r="C111" s="48"/>
      <c r="D111" s="48"/>
      <c r="E111" s="49"/>
    </row>
    <row r="112" spans="2:5" x14ac:dyDescent="0.2">
      <c r="B112" s="50"/>
      <c r="C112" s="88"/>
      <c r="D112" s="88"/>
      <c r="E112" s="88"/>
    </row>
    <row r="113" spans="2:5" ht="13.5" thickBot="1" x14ac:dyDescent="0.25">
      <c r="B113" s="54"/>
      <c r="C113" s="55"/>
      <c r="D113" s="55"/>
      <c r="E113" s="56"/>
    </row>
  </sheetData>
  <mergeCells count="32">
    <mergeCell ref="C108:E108"/>
    <mergeCell ref="C110:E110"/>
    <mergeCell ref="C112:E112"/>
    <mergeCell ref="C95:E95"/>
    <mergeCell ref="C97:E97"/>
    <mergeCell ref="C103:E103"/>
    <mergeCell ref="C105:E105"/>
    <mergeCell ref="C106:E106"/>
    <mergeCell ref="C82:E82"/>
    <mergeCell ref="C88:E88"/>
    <mergeCell ref="C90:E90"/>
    <mergeCell ref="C91:E91"/>
    <mergeCell ref="C93:E93"/>
    <mergeCell ref="C73:E73"/>
    <mergeCell ref="C75:E75"/>
    <mergeCell ref="C76:E76"/>
    <mergeCell ref="C78:E78"/>
    <mergeCell ref="C80:E80"/>
    <mergeCell ref="A6:B6"/>
    <mergeCell ref="A7:B7"/>
    <mergeCell ref="B2:H2"/>
    <mergeCell ref="A4:B4"/>
    <mergeCell ref="C4:E4"/>
    <mergeCell ref="A5:B5"/>
    <mergeCell ref="C5:E5"/>
    <mergeCell ref="C61:E61"/>
    <mergeCell ref="C63:E63"/>
    <mergeCell ref="C65:E65"/>
    <mergeCell ref="C67:E67"/>
    <mergeCell ref="C52:E52"/>
    <mergeCell ref="C58:E58"/>
    <mergeCell ref="C60:E60"/>
  </mergeCells>
  <phoneticPr fontId="25" type="noConversion"/>
  <pageMargins left="0.7" right="0.7" top="0.75" bottom="0.75" header="0.51180555555555496" footer="0.51180555555555496"/>
  <pageSetup paperSize="9" scale="46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J54"/>
  <sheetViews>
    <sheetView topLeftCell="A25" zoomScale="80" zoomScaleNormal="80" workbookViewId="0">
      <selection activeCell="C19" sqref="C19:G19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99" t="s">
        <v>19</v>
      </c>
      <c r="B1" s="99"/>
      <c r="C1" s="99"/>
      <c r="D1" s="99"/>
      <c r="E1" s="99"/>
      <c r="F1" s="99"/>
      <c r="G1" s="99"/>
      <c r="H1" s="99"/>
      <c r="I1" s="99"/>
      <c r="J1" s="3" t="s">
        <v>20</v>
      </c>
      <c r="K1" s="87" t="s">
        <v>130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100" t="s">
        <v>53</v>
      </c>
      <c r="B3" s="100"/>
      <c r="C3" s="100"/>
      <c r="D3" s="101" t="str">
        <f>'Necesidades Trimestrales'!C4</f>
        <v>90 - MINISTERIO DE SEGURIDAD</v>
      </c>
      <c r="E3" s="101"/>
      <c r="F3" s="101"/>
      <c r="G3" s="101"/>
      <c r="H3" s="101"/>
      <c r="I3" s="101"/>
      <c r="J3" s="101"/>
      <c r="K3" s="101"/>
    </row>
    <row r="4" spans="1:11" ht="18.75" customHeight="1" thickBot="1" x14ac:dyDescent="0.25">
      <c r="A4" s="102" t="s">
        <v>54</v>
      </c>
      <c r="B4" s="102"/>
      <c r="C4" s="102"/>
      <c r="D4" s="101" t="str">
        <f>'Necesidades Trimestrales'!C5</f>
        <v>8 - DIRECCION GENERAL SERVICIO PENITENCIARIO PROVINCIAL</v>
      </c>
      <c r="E4" s="101"/>
      <c r="F4" s="101"/>
      <c r="G4" s="101"/>
      <c r="H4" s="101"/>
      <c r="I4" s="101"/>
      <c r="J4" s="101"/>
      <c r="K4" s="101"/>
    </row>
    <row r="5" spans="1:11" ht="18.75" customHeight="1" thickBot="1" x14ac:dyDescent="0.25">
      <c r="A5" s="102" t="s">
        <v>32</v>
      </c>
      <c r="B5" s="102"/>
      <c r="C5" s="102"/>
      <c r="D5" s="101" t="s">
        <v>80</v>
      </c>
      <c r="E5" s="101"/>
      <c r="F5" s="101"/>
      <c r="G5" s="101"/>
      <c r="H5" s="101"/>
      <c r="I5" s="101"/>
      <c r="J5" s="101"/>
      <c r="K5" s="101"/>
    </row>
    <row r="6" spans="1:11" ht="16.5" customHeight="1" thickBot="1" x14ac:dyDescent="0.25">
      <c r="A6" s="100" t="s">
        <v>55</v>
      </c>
      <c r="B6" s="100"/>
      <c r="C6" s="100"/>
      <c r="D6" s="101" t="s">
        <v>81</v>
      </c>
      <c r="E6" s="101"/>
      <c r="F6" s="101"/>
      <c r="G6" s="101"/>
      <c r="H6" s="101"/>
      <c r="I6" s="101"/>
      <c r="J6" s="101"/>
      <c r="K6" s="101"/>
    </row>
    <row r="7" spans="1:11" ht="16.5" customHeight="1" x14ac:dyDescent="0.2">
      <c r="A7" s="102" t="s">
        <v>21</v>
      </c>
      <c r="B7" s="102"/>
      <c r="C7" s="102"/>
      <c r="D7" s="101" t="str">
        <f>'Necesidades Trimestrales'!C7 &amp; "° Trimestre - Año " &amp; 'Necesidades Trimestrales'!C6</f>
        <v>1° Trimestre - Año 2021</v>
      </c>
      <c r="E7" s="101"/>
      <c r="F7" s="101"/>
      <c r="G7" s="101"/>
      <c r="H7" s="101"/>
      <c r="I7" s="101"/>
      <c r="J7" s="101"/>
      <c r="K7" s="101"/>
    </row>
    <row r="8" spans="1:11" ht="16.5" customHeight="1" x14ac:dyDescent="0.2">
      <c r="A8" s="94" t="s">
        <v>22</v>
      </c>
      <c r="B8" s="94"/>
      <c r="C8" s="94"/>
      <c r="D8" s="95" t="s">
        <v>118</v>
      </c>
      <c r="E8" s="95"/>
      <c r="F8" s="95"/>
      <c r="G8" s="95"/>
      <c r="H8" s="95"/>
      <c r="I8" s="95"/>
      <c r="J8" s="95"/>
      <c r="K8" s="95"/>
    </row>
    <row r="9" spans="1:11" ht="18" customHeight="1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21.75" customHeight="1" x14ac:dyDescent="0.2">
      <c r="A10" s="96" t="s">
        <v>23</v>
      </c>
      <c r="B10" s="97" t="s">
        <v>24</v>
      </c>
      <c r="C10" s="97" t="s">
        <v>25</v>
      </c>
      <c r="D10" s="97"/>
      <c r="E10" s="97"/>
      <c r="F10" s="97"/>
      <c r="G10" s="97"/>
      <c r="H10" s="97" t="s">
        <v>26</v>
      </c>
      <c r="I10" s="97" t="s">
        <v>27</v>
      </c>
      <c r="J10" s="97" t="s">
        <v>28</v>
      </c>
      <c r="K10" s="98" t="s">
        <v>29</v>
      </c>
    </row>
    <row r="11" spans="1:11" ht="24" customHeight="1" x14ac:dyDescent="0.2">
      <c r="A11" s="96"/>
      <c r="B11" s="97"/>
      <c r="C11" s="97"/>
      <c r="D11" s="97"/>
      <c r="E11" s="97"/>
      <c r="F11" s="97"/>
      <c r="G11" s="97"/>
      <c r="H11" s="97"/>
      <c r="I11" s="97"/>
      <c r="J11" s="97"/>
      <c r="K11" s="98"/>
    </row>
    <row r="12" spans="1:11" ht="42.75" customHeight="1" thickBot="1" x14ac:dyDescent="0.25">
      <c r="A12" s="8">
        <v>1</v>
      </c>
      <c r="B12" s="69" t="str">
        <f>'Necesidades Trimestrales'!B10</f>
        <v>2.1.1-439.66</v>
      </c>
      <c r="C12" s="93" t="str">
        <f>'Necesidades Trimestrales'!E10</f>
        <v>ACEITES COMESTIBLES; TIPO: PURO DE GIRASOL, PRESENTACION: ENVASE X 5 L, MATERIAL ENVASE: PLASTICO 1 (PET), ELEM. TRANSPORTE: SIN, MATERIAL ELEM. TRANSPORTE : SIN, LIBRE DE GLUTEN: SI</v>
      </c>
      <c r="D12" s="93"/>
      <c r="E12" s="93"/>
      <c r="F12" s="93"/>
      <c r="G12" s="93"/>
      <c r="H12" s="70" t="s">
        <v>82</v>
      </c>
      <c r="I12" s="71" t="str">
        <f>'Necesidades Trimestrales'!F10</f>
        <v>BIDON</v>
      </c>
      <c r="J12" s="72">
        <f>'Necesidades Trimestrales'!H10</f>
        <v>900</v>
      </c>
      <c r="K12" s="73">
        <f>'Necesidades Trimestrales'!G10</f>
        <v>300</v>
      </c>
    </row>
    <row r="13" spans="1:11" ht="42" customHeight="1" thickBot="1" x14ac:dyDescent="0.25">
      <c r="A13" s="9">
        <v>2</v>
      </c>
      <c r="B13" s="69" t="str">
        <f>'Necesidades Trimestrales'!B11</f>
        <v>2.1.1-435.60</v>
      </c>
      <c r="C13" s="93" t="str">
        <f>'Necesidades Trimestrales'!E11</f>
        <v>ARROZ; TIPO GRANO: LARGO-FINO, TIPO: BLANCO, PROCESO: SIN CASCARA, PRESENTACION: BOLSA X 1 Kg, MATERIAL ENVASE: PLASTICO, CERTIFICADO FORESTAL (GFS): SIN, ELEM. TRANSPORTE: SIN, MATERIAL ELEM. TRANSPORTE: SIN, LIBRE DE GLUTEN: SI</v>
      </c>
      <c r="D13" s="93"/>
      <c r="E13" s="93"/>
      <c r="F13" s="93"/>
      <c r="G13" s="93"/>
      <c r="H13" s="74" t="s">
        <v>82</v>
      </c>
      <c r="I13" s="71" t="str">
        <f>'Necesidades Trimestrales'!F11</f>
        <v>KG.</v>
      </c>
      <c r="J13" s="72">
        <f>'Necesidades Trimestrales'!H11</f>
        <v>130</v>
      </c>
      <c r="K13" s="73">
        <f>'Necesidades Trimestrales'!G11</f>
        <v>3000</v>
      </c>
    </row>
    <row r="14" spans="1:11" ht="42.75" customHeight="1" thickBot="1" x14ac:dyDescent="0.25">
      <c r="A14" s="8">
        <v>3</v>
      </c>
      <c r="B14" s="69" t="str">
        <f>'Necesidades Trimestrales'!B12</f>
        <v>2.1.1-6547.84</v>
      </c>
      <c r="C14" s="93" t="str">
        <f>'Necesidades Trimestrales'!E12</f>
        <v>LEGUMBRES; VARIEDAD: ARVEJAS, ESTADO: CONSERVA, PRESENTACION: LATA, PESO: 350 GR, MATERIAL ENVASE: METAL, ELEM. TRANSPORTE: SIN, MATERIAL ELEM. TRANSPORTE: SIN, LIBRE DE GLUTEN: NO</v>
      </c>
      <c r="D14" s="93"/>
      <c r="E14" s="93"/>
      <c r="F14" s="93"/>
      <c r="G14" s="93"/>
      <c r="H14" s="74" t="s">
        <v>82</v>
      </c>
      <c r="I14" s="71" t="str">
        <f>'Necesidades Trimestrales'!F12</f>
        <v>LATAS</v>
      </c>
      <c r="J14" s="72">
        <f>'Necesidades Trimestrales'!H12</f>
        <v>45</v>
      </c>
      <c r="K14" s="73">
        <f>'Necesidades Trimestrales'!G12</f>
        <v>500</v>
      </c>
    </row>
    <row r="15" spans="1:11" ht="27.75" customHeight="1" thickBot="1" x14ac:dyDescent="0.25">
      <c r="A15" s="9">
        <v>4</v>
      </c>
      <c r="B15" s="69" t="str">
        <f>'Necesidades Trimestrales'!B13</f>
        <v>2.1.1-481.28</v>
      </c>
      <c r="C15" s="93" t="str">
        <f>'Necesidades Trimestrales'!E13</f>
        <v>AZUCARES; TIPO: BLANCA, ESTADO: MOLIDA, PESO: 1 Kg, MATERIAL ENVASE: PAPEL, CERTIFICADO FORESTAL (GFS): SIN, ELEM. TRANSPORTE: SIN, MATERIAL ELEM. TRANSPORTE: SIN</v>
      </c>
      <c r="D15" s="93"/>
      <c r="E15" s="93"/>
      <c r="F15" s="93"/>
      <c r="G15" s="93"/>
      <c r="H15" s="70" t="s">
        <v>82</v>
      </c>
      <c r="I15" s="71" t="str">
        <f>'Necesidades Trimestrales'!F13</f>
        <v>KG.</v>
      </c>
      <c r="J15" s="72">
        <f>'Necesidades Trimestrales'!H13</f>
        <v>70</v>
      </c>
      <c r="K15" s="73">
        <f>'Necesidades Trimestrales'!G13</f>
        <v>2000</v>
      </c>
    </row>
    <row r="16" spans="1:11" ht="27" customHeight="1" thickBot="1" x14ac:dyDescent="0.25">
      <c r="A16" s="8">
        <v>5</v>
      </c>
      <c r="B16" s="69" t="str">
        <f>'Necesidades Trimestrales'!B14</f>
        <v>2.1.1-595.2</v>
      </c>
      <c r="C16" s="93" t="str">
        <f>'Necesidades Trimestrales'!E14</f>
        <v>EDULCORANTES; PRESENTACION: LIQUIDO, ENVASE: BOTELLA PLASTICA, CONTENIDO: 500 CM3</v>
      </c>
      <c r="D16" s="93"/>
      <c r="E16" s="93"/>
      <c r="F16" s="93"/>
      <c r="G16" s="93"/>
      <c r="H16" s="74" t="s">
        <v>82</v>
      </c>
      <c r="I16" s="71" t="str">
        <f>'Necesidades Trimestrales'!F14</f>
        <v>UNIDAD</v>
      </c>
      <c r="J16" s="72">
        <f>'Necesidades Trimestrales'!H14</f>
        <v>190</v>
      </c>
      <c r="K16" s="73">
        <f>'Necesidades Trimestrales'!G14</f>
        <v>200</v>
      </c>
    </row>
    <row r="17" spans="1:11" ht="42.75" customHeight="1" thickBot="1" x14ac:dyDescent="0.25">
      <c r="A17" s="9">
        <v>6</v>
      </c>
      <c r="B17" s="69" t="str">
        <f>'Necesidades Trimestrales'!B15</f>
        <v>2.1.1-2868.48</v>
      </c>
      <c r="C17" s="93" t="str">
        <f>'Necesidades Trimestrales'!E15</f>
        <v>FIDEOS SECOS; VARIEDAD: GUISERO, RELLENO: SIN, PRESENTACION: ENVASE X 5 Kg, MATERIAL ENVASE: CARTON, ELEM. TRANSPORTE: SIN, MATERIAL ELEM. TRANSPORTE: SIN, CERTIFICADO FORESTAL (GFS): CON, LIBRE DE GLUTEN: NO</v>
      </c>
      <c r="D17" s="93"/>
      <c r="E17" s="93"/>
      <c r="F17" s="93"/>
      <c r="G17" s="93"/>
      <c r="H17" s="70" t="s">
        <v>82</v>
      </c>
      <c r="I17" s="71" t="str">
        <f>'Necesidades Trimestrales'!F15</f>
        <v>BOLSAS</v>
      </c>
      <c r="J17" s="72">
        <f>'Necesidades Trimestrales'!H15</f>
        <v>600</v>
      </c>
      <c r="K17" s="73">
        <f>'Necesidades Trimestrales'!G15</f>
        <v>300</v>
      </c>
    </row>
    <row r="18" spans="1:11" ht="42.75" customHeight="1" thickBot="1" x14ac:dyDescent="0.25">
      <c r="A18" s="8">
        <v>7</v>
      </c>
      <c r="B18" s="69" t="str">
        <f>'Necesidades Trimestrales'!B16</f>
        <v>2.1.1-2868.69</v>
      </c>
      <c r="C18" s="93" t="str">
        <f>'Necesidades Trimestrales'!E16</f>
        <v>FIDEOS SECOS; VARIEDAD: TALLARIN BLANCO, RELLENO: SIN, PRESENTACION: ENVASE X 5 Kg, MATERIAL ENVASE: PLASTICO 1 (PET), ELEM. TRANSPORTE: SIN, MATERIAL ELEM. TRANSPORTE: SIN, CERTIFICADO FORESTAL (GFS): SIN, LIBRE DE GLUTEN: NO</v>
      </c>
      <c r="D18" s="93"/>
      <c r="E18" s="93"/>
      <c r="F18" s="93"/>
      <c r="G18" s="93"/>
      <c r="H18" s="74" t="s">
        <v>82</v>
      </c>
      <c r="I18" s="71" t="str">
        <f>'Necesidades Trimestrales'!F16</f>
        <v>BOLSAS</v>
      </c>
      <c r="J18" s="72">
        <f>'Necesidades Trimestrales'!H16</f>
        <v>600</v>
      </c>
      <c r="K18" s="73">
        <f>'Necesidades Trimestrales'!G16</f>
        <v>400</v>
      </c>
    </row>
    <row r="19" spans="1:11" ht="42.75" customHeight="1" thickBot="1" x14ac:dyDescent="0.25">
      <c r="A19" s="9">
        <v>8</v>
      </c>
      <c r="B19" s="69" t="str">
        <f>'Necesidades Trimestrales'!B17</f>
        <v>2.1.1-705.105</v>
      </c>
      <c r="C19" s="93" t="str">
        <f>'Necesidades Trimestrales'!E17</f>
        <v>LECHE; ESTADO: LIQUIDO, TIPO: DESCREMADA, PROCESO: ESTERILIZADA, AGREGADO: VITAMINAS Y MINERALES, PRESENTACION: ENVASE X 1 L, MATERIAL ENVASE: CARTON, ELEM. TRANSPORTE: SIN, MATERIAL ELEM. TRANSPORTE: SIN, CERTIFICADO FORESTAL (GFS): SIN, LIBRE DE GLUTEN: SI</v>
      </c>
      <c r="D19" s="93"/>
      <c r="E19" s="93"/>
      <c r="F19" s="93"/>
      <c r="G19" s="93"/>
      <c r="H19" s="74" t="s">
        <v>82</v>
      </c>
      <c r="I19" s="71" t="str">
        <f>'Necesidades Trimestrales'!F17</f>
        <v>CAJAS</v>
      </c>
      <c r="J19" s="72">
        <f>'Necesidades Trimestrales'!H17</f>
        <v>100</v>
      </c>
      <c r="K19" s="73">
        <f>'Necesidades Trimestrales'!G17</f>
        <v>200</v>
      </c>
    </row>
    <row r="20" spans="1:11" ht="42.75" customHeight="1" thickBot="1" x14ac:dyDescent="0.25">
      <c r="A20" s="8">
        <v>9</v>
      </c>
      <c r="B20" s="69" t="str">
        <f>'Necesidades Trimestrales'!B18</f>
        <v>2.1.1-705.111</v>
      </c>
      <c r="C20" s="93" t="str">
        <f>'Necesidades Trimestrales'!E18</f>
        <v>LECHE; ESTADO: POLVO, TIPO: ENTERA, PROCESO: PASTEURIZADA, AGREGADO: SIN, PRESENTACION: ENVASE X 1 Kg, MATERIAL ENVASE: ALUMINIO, ELEM. TRANSPORTE: SIN, MATERIAL ELEM. TRANSPORTE: SIN, CERTIFICADO FORESTAL (GFS): CON, LIBRE DE GLUTEN: SI</v>
      </c>
      <c r="D20" s="93"/>
      <c r="E20" s="93"/>
      <c r="F20" s="93"/>
      <c r="G20" s="93"/>
      <c r="H20" s="70" t="s">
        <v>82</v>
      </c>
      <c r="I20" s="71" t="str">
        <f>'Necesidades Trimestrales'!F18</f>
        <v>CAJAS</v>
      </c>
      <c r="J20" s="72">
        <f>'Necesidades Trimestrales'!H18</f>
        <v>450</v>
      </c>
      <c r="K20" s="73">
        <f>'Necesidades Trimestrales'!G18</f>
        <v>400</v>
      </c>
    </row>
    <row r="21" spans="1:11" ht="25.5" customHeight="1" thickBot="1" x14ac:dyDescent="0.25">
      <c r="A21" s="9">
        <v>10</v>
      </c>
      <c r="B21" s="69" t="str">
        <f>'Necesidades Trimestrales'!B19</f>
        <v>2.1.1-438.37</v>
      </c>
      <c r="C21" s="93" t="str">
        <f>'Necesidades Trimestrales'!E19</f>
        <v>ADEREZOS; TIPO: MAYONESA, ENVASE: BOLSA, CONTENIDO: 2,9 Kg, PRESENTACION: ENVASE X 2,9 Kg</v>
      </c>
      <c r="D21" s="93"/>
      <c r="E21" s="93"/>
      <c r="F21" s="93"/>
      <c r="G21" s="93"/>
      <c r="H21" s="74" t="s">
        <v>82</v>
      </c>
      <c r="I21" s="71" t="str">
        <f>'Necesidades Trimestrales'!F19</f>
        <v>SACHET</v>
      </c>
      <c r="J21" s="72">
        <f>'Necesidades Trimestrales'!H19</f>
        <v>500</v>
      </c>
      <c r="K21" s="73">
        <f>'Necesidades Trimestrales'!G19</f>
        <v>12</v>
      </c>
    </row>
    <row r="22" spans="1:11" ht="27.75" customHeight="1" thickBot="1" x14ac:dyDescent="0.25">
      <c r="A22" s="8">
        <v>11</v>
      </c>
      <c r="B22" s="69" t="str">
        <f>'Necesidades Trimestrales'!B20</f>
        <v>2.1.1-669.25</v>
      </c>
      <c r="C22" s="93" t="str">
        <f>'Necesidades Trimestrales'!E20</f>
        <v>PANES; TIPO: RALLADO, PRESENTACION: BOLSA DE 1000 GR</v>
      </c>
      <c r="D22" s="93"/>
      <c r="E22" s="93"/>
      <c r="F22" s="93"/>
      <c r="G22" s="93"/>
      <c r="H22" s="74" t="s">
        <v>82</v>
      </c>
      <c r="I22" s="71" t="str">
        <f>'Necesidades Trimestrales'!F20</f>
        <v>BOLSAS</v>
      </c>
      <c r="J22" s="72">
        <f>'Necesidades Trimestrales'!H20</f>
        <v>600</v>
      </c>
      <c r="K22" s="73">
        <f>'Necesidades Trimestrales'!G20</f>
        <v>100</v>
      </c>
    </row>
    <row r="23" spans="1:11" ht="27" customHeight="1" thickBot="1" x14ac:dyDescent="0.25">
      <c r="A23" s="9">
        <v>12</v>
      </c>
      <c r="B23" s="69" t="str">
        <f>'Necesidades Trimestrales'!B21</f>
        <v>2.1.1-509.10</v>
      </c>
      <c r="C23" s="93" t="str">
        <f>'Necesidades Trimestrales'!E21</f>
        <v>PURE; TIPO: DE TOMATE, ENVASE: CAJA DE CARTON, PESO: 530 GR</v>
      </c>
      <c r="D23" s="93"/>
      <c r="E23" s="93"/>
      <c r="F23" s="93"/>
      <c r="G23" s="93"/>
      <c r="H23" s="70" t="s">
        <v>82</v>
      </c>
      <c r="I23" s="71" t="str">
        <f>'Necesidades Trimestrales'!F21</f>
        <v>CAJAS</v>
      </c>
      <c r="J23" s="72">
        <f>'Necesidades Trimestrales'!H21</f>
        <v>65</v>
      </c>
      <c r="K23" s="73">
        <f>'Necesidades Trimestrales'!G21</f>
        <v>1800</v>
      </c>
    </row>
    <row r="24" spans="1:11" ht="27.75" customHeight="1" thickBot="1" x14ac:dyDescent="0.25">
      <c r="A24" s="8">
        <v>13</v>
      </c>
      <c r="B24" s="69" t="str">
        <f>'Necesidades Trimestrales'!B22</f>
        <v>2.1.1-514.17</v>
      </c>
      <c r="C24" s="93" t="str">
        <f>'Necesidades Trimestrales'!E22</f>
        <v>SAL DE MESA; CONSISTENCIA: FINA, ENVASE: BOLSA, PESO: 1 Kg, TIPO: SIN VALOR</v>
      </c>
      <c r="D24" s="93"/>
      <c r="E24" s="93"/>
      <c r="F24" s="93"/>
      <c r="G24" s="93"/>
      <c r="H24" s="74" t="s">
        <v>82</v>
      </c>
      <c r="I24" s="71" t="str">
        <f>'Necesidades Trimestrales'!F22</f>
        <v>KG.</v>
      </c>
      <c r="J24" s="72">
        <f>'Necesidades Trimestrales'!H22</f>
        <v>70</v>
      </c>
      <c r="K24" s="73">
        <f>'Necesidades Trimestrales'!G22</f>
        <v>300</v>
      </c>
    </row>
    <row r="25" spans="1:11" ht="27" customHeight="1" thickBot="1" x14ac:dyDescent="0.25">
      <c r="A25" s="9">
        <v>14</v>
      </c>
      <c r="B25" s="69" t="str">
        <f>'Necesidades Trimestrales'!B23</f>
        <v>2.1.1-514.30</v>
      </c>
      <c r="C25" s="93" t="str">
        <f>'Necesidades Trimestrales'!E23</f>
        <v>SAL DE MESA; CONSISTENCIA: GRUESA, ENVASE: CAJA DE CARTON, PESO: 1 Kg, TIPO: COMUN</v>
      </c>
      <c r="D25" s="93"/>
      <c r="E25" s="93"/>
      <c r="F25" s="93"/>
      <c r="G25" s="93"/>
      <c r="H25" s="74" t="s">
        <v>82</v>
      </c>
      <c r="I25" s="71" t="str">
        <f>'Necesidades Trimestrales'!F23</f>
        <v>KG.</v>
      </c>
      <c r="J25" s="72">
        <f>'Necesidades Trimestrales'!H23</f>
        <v>50</v>
      </c>
      <c r="K25" s="73">
        <f>'Necesidades Trimestrales'!G23</f>
        <v>600</v>
      </c>
    </row>
    <row r="26" spans="1:11" ht="30.75" customHeight="1" thickBot="1" x14ac:dyDescent="0.25">
      <c r="A26" s="8">
        <v>15</v>
      </c>
      <c r="B26" s="69" t="str">
        <f>'Necesidades Trimestrales'!B24</f>
        <v>2.1.1-454.28</v>
      </c>
      <c r="C26" s="93" t="str">
        <f>'Necesidades Trimestrales'!E24</f>
        <v>YERBAS; PALO: SIN, PESO: 1 Kg, MATERIAL ENVASE : PAPEL, CERTIFICADO FORESTAL (GFS): CON, ELEM. TRANSPORTE: SIN, MATERIAL ELEM. TRANSPORTE: SIN, LIBRE DE GLUTEN: SI</v>
      </c>
      <c r="D26" s="93"/>
      <c r="E26" s="93"/>
      <c r="F26" s="93"/>
      <c r="G26" s="93"/>
      <c r="H26" s="70" t="s">
        <v>82</v>
      </c>
      <c r="I26" s="71" t="str">
        <f>'Necesidades Trimestrales'!F24</f>
        <v>KG.</v>
      </c>
      <c r="J26" s="72">
        <f>'Necesidades Trimestrales'!H24</f>
        <v>350</v>
      </c>
      <c r="K26" s="73">
        <f>'Necesidades Trimestrales'!G24</f>
        <v>800</v>
      </c>
    </row>
    <row r="27" spans="1:11" ht="42.75" customHeight="1" thickBot="1" x14ac:dyDescent="0.25">
      <c r="A27" s="9">
        <v>16</v>
      </c>
      <c r="B27" s="69" t="str">
        <f>'Necesidades Trimestrales'!B25</f>
        <v>2.1.1-542.236</v>
      </c>
      <c r="C27" s="93" t="str">
        <f>'Necesidades Trimestrales'!E25</f>
        <v>QUESOS; TIPO: CREMOSO, PRESENTACION: AL PESO, ELEM. TRANSPORTE: SIN, MATERIAL ELEM. TRANSPORTE: SIN, MATERIAL ENVASE: SIN, CERTIFICADO FORESTAL (GFS): SIN, LIBRE DE GLUTEN: A DEFINIR</v>
      </c>
      <c r="D27" s="93"/>
      <c r="E27" s="93"/>
      <c r="F27" s="93"/>
      <c r="G27" s="93"/>
      <c r="H27" s="74" t="s">
        <v>82</v>
      </c>
      <c r="I27" s="71" t="str">
        <f>'Necesidades Trimestrales'!F25</f>
        <v>KG.</v>
      </c>
      <c r="J27" s="72">
        <f>'Necesidades Trimestrales'!H25</f>
        <v>450</v>
      </c>
      <c r="K27" s="73">
        <f>'Necesidades Trimestrales'!G25</f>
        <v>200</v>
      </c>
    </row>
    <row r="28" spans="1:11" ht="30" customHeight="1" thickBot="1" x14ac:dyDescent="0.25">
      <c r="A28" s="8">
        <v>17</v>
      </c>
      <c r="B28" s="69" t="str">
        <f>'Necesidades Trimestrales'!B26</f>
        <v>2.1.1-542.158</v>
      </c>
      <c r="C28" s="93" t="str">
        <f>'Necesidades Trimestrales'!E26</f>
        <v>QUESOS; TIPO: PORT SALUT, PRESENTACION: ENVASE X 1 Kg, ELEM. TRANSPORTE: SIN, MATERIAL ELEM. TRANSPORTE: SIN, MATERIAL ENVASE: POLIESTIRENO, CERTIFICADO FORESTAL (GFS): SIN</v>
      </c>
      <c r="D28" s="93"/>
      <c r="E28" s="93"/>
      <c r="F28" s="93"/>
      <c r="G28" s="93"/>
      <c r="H28" s="74" t="s">
        <v>82</v>
      </c>
      <c r="I28" s="71" t="str">
        <f>'Necesidades Trimestrales'!F26</f>
        <v>KG.</v>
      </c>
      <c r="J28" s="72">
        <f>'Necesidades Trimestrales'!H26</f>
        <v>450</v>
      </c>
      <c r="K28" s="73">
        <f>'Necesidades Trimestrales'!G26</f>
        <v>200</v>
      </c>
    </row>
    <row r="29" spans="1:11" ht="30" customHeight="1" thickBot="1" x14ac:dyDescent="0.25">
      <c r="A29" s="9">
        <v>18</v>
      </c>
      <c r="B29" s="69" t="str">
        <f>'Necesidades Trimestrales'!B27</f>
        <v>2.1.1-456.1</v>
      </c>
      <c r="C29" s="93" t="str">
        <f>'Necesidades Trimestrales'!E27</f>
        <v>YOGHURT; SABOR: VAINILLA, ENVASE: SACHET, AGREGADO: SIN VALOR, CONSISTENCIA: BEBIBLE, PRESENTACION: SACHET X 1 L, CAPACIDAD: 1 L, TIPO: ENTERO</v>
      </c>
      <c r="D29" s="93"/>
      <c r="E29" s="93"/>
      <c r="F29" s="93"/>
      <c r="G29" s="93"/>
      <c r="H29" s="70" t="s">
        <v>82</v>
      </c>
      <c r="I29" s="71" t="str">
        <f>'Necesidades Trimestrales'!F27</f>
        <v>SACHET</v>
      </c>
      <c r="J29" s="72">
        <f>'Necesidades Trimestrales'!H27</f>
        <v>120</v>
      </c>
      <c r="K29" s="73">
        <f>'Necesidades Trimestrales'!G27</f>
        <v>250</v>
      </c>
    </row>
    <row r="30" spans="1:11" ht="27.75" customHeight="1" thickBot="1" x14ac:dyDescent="0.25">
      <c r="A30" s="8">
        <v>19</v>
      </c>
      <c r="B30" s="69" t="str">
        <f>'Necesidades Trimestrales'!B28</f>
        <v>2.1.1-489.67</v>
      </c>
      <c r="C30" s="93" t="str">
        <f>'Necesidades Trimestrales'!E28</f>
        <v>ESPECIAS; TIPO: PIMENTON, PRESENTACION: BOLSA DE 1 Kg</v>
      </c>
      <c r="D30" s="93"/>
      <c r="E30" s="93"/>
      <c r="F30" s="93"/>
      <c r="G30" s="93"/>
      <c r="H30" s="74" t="s">
        <v>82</v>
      </c>
      <c r="I30" s="71" t="str">
        <f>'Necesidades Trimestrales'!F28</f>
        <v>KG.</v>
      </c>
      <c r="J30" s="72">
        <f>'Necesidades Trimestrales'!H28</f>
        <v>700</v>
      </c>
      <c r="K30" s="73">
        <f>'Necesidades Trimestrales'!G28</f>
        <v>200</v>
      </c>
    </row>
    <row r="31" spans="1:11" ht="27" customHeight="1" thickBot="1" x14ac:dyDescent="0.25">
      <c r="A31" s="9">
        <v>20</v>
      </c>
      <c r="B31" s="69" t="str">
        <f>'Necesidades Trimestrales'!B29</f>
        <v>2.1.1-489.109</v>
      </c>
      <c r="C31" s="93" t="str">
        <f>'Necesidades Trimestrales'!E29</f>
        <v>ESPECIAS; TIPO: PROVENZAL, PRESENTACION: PAQUETE X 1 Kg</v>
      </c>
      <c r="D31" s="93"/>
      <c r="E31" s="93"/>
      <c r="F31" s="93"/>
      <c r="G31" s="93"/>
      <c r="H31" s="74" t="s">
        <v>82</v>
      </c>
      <c r="I31" s="71" t="str">
        <f>'Necesidades Trimestrales'!F29</f>
        <v>KG.</v>
      </c>
      <c r="J31" s="72">
        <f>'Necesidades Trimestrales'!H29</f>
        <v>800</v>
      </c>
      <c r="K31" s="73">
        <f>'Necesidades Trimestrales'!G29</f>
        <v>150</v>
      </c>
    </row>
    <row r="32" spans="1:11" ht="27" customHeight="1" thickBot="1" x14ac:dyDescent="0.25">
      <c r="A32" s="8">
        <v>21</v>
      </c>
      <c r="B32" s="69" t="str">
        <f>'Necesidades Trimestrales'!B30</f>
        <v>2.1.1-457.2</v>
      </c>
      <c r="C32" s="93" t="str">
        <f>'Necesidades Trimestrales'!E30</f>
        <v>SALCHICHAS; UNIDADES X PAQUETE: 6, TIPO: 100% VACUNA, PRESENTACION: 6</v>
      </c>
      <c r="D32" s="93"/>
      <c r="E32" s="93"/>
      <c r="F32" s="93"/>
      <c r="G32" s="93"/>
      <c r="H32" s="74" t="s">
        <v>82</v>
      </c>
      <c r="I32" s="71" t="str">
        <f>'Necesidades Trimestrales'!F30</f>
        <v>PAQ.</v>
      </c>
      <c r="J32" s="72">
        <f>'Necesidades Trimestrales'!H30</f>
        <v>50</v>
      </c>
      <c r="K32" s="73">
        <f>'Necesidades Trimestrales'!G30</f>
        <v>200</v>
      </c>
    </row>
    <row r="33" spans="1:11" ht="33" customHeight="1" thickBot="1" x14ac:dyDescent="0.25">
      <c r="A33" s="9">
        <v>22</v>
      </c>
      <c r="B33" s="69" t="str">
        <f>'Necesidades Trimestrales'!B31</f>
        <v>2.1.1-6547.70</v>
      </c>
      <c r="C33" s="93" t="str">
        <f>'Necesidades Trimestrales'!E31</f>
        <v>LEGUMBRES: VARIEDAD; LENTEJA, ESTADO: SECO, PRESENTACION: BOLSA, PESO: 1 KG.</v>
      </c>
      <c r="D33" s="93"/>
      <c r="E33" s="93"/>
      <c r="F33" s="93"/>
      <c r="G33" s="93"/>
      <c r="H33" s="74" t="s">
        <v>82</v>
      </c>
      <c r="I33" s="71" t="str">
        <f>'Necesidades Trimestrales'!F31</f>
        <v>KG.</v>
      </c>
      <c r="J33" s="72">
        <f>'Necesidades Trimestrales'!H31</f>
        <v>350</v>
      </c>
      <c r="K33" s="73">
        <f>'Necesidades Trimestrales'!G31</f>
        <v>200</v>
      </c>
    </row>
    <row r="34" spans="1:11" ht="31.5" customHeight="1" thickBot="1" x14ac:dyDescent="0.25">
      <c r="A34" s="8">
        <v>23</v>
      </c>
      <c r="B34" s="69" t="str">
        <f>'Necesidades Trimestrales'!B32</f>
        <v>2.1.1-489.65</v>
      </c>
      <c r="C34" s="93" t="str">
        <f>'Necesidades Trimestrales'!E32</f>
        <v>ESPECIAS: TIPO: COMINO, PRESENTACION: POLVO</v>
      </c>
      <c r="D34" s="93"/>
      <c r="E34" s="93"/>
      <c r="F34" s="93"/>
      <c r="G34" s="93"/>
      <c r="H34" s="74" t="s">
        <v>82</v>
      </c>
      <c r="I34" s="71" t="str">
        <f>'Necesidades Trimestrales'!F32</f>
        <v>KG.</v>
      </c>
      <c r="J34" s="72">
        <f>'Necesidades Trimestrales'!H32</f>
        <v>800</v>
      </c>
      <c r="K34" s="73">
        <f>'Necesidades Trimestrales'!G32</f>
        <v>150</v>
      </c>
    </row>
    <row r="35" spans="1:11" ht="27" customHeight="1" thickBot="1" x14ac:dyDescent="0.25">
      <c r="A35" s="9">
        <v>24</v>
      </c>
      <c r="B35" s="69" t="str">
        <f>'Necesidades Trimestrales'!B33</f>
        <v>2.1.1-489.66</v>
      </c>
      <c r="C35" s="93" t="str">
        <f>'Necesidades Trimestrales'!E33</f>
        <v>ESPECIAS: TIPO: OREGANO, PRESENTACION: BOLSA DE 1 KG.</v>
      </c>
      <c r="D35" s="93"/>
      <c r="E35" s="93"/>
      <c r="F35" s="93"/>
      <c r="G35" s="93"/>
      <c r="H35" s="74" t="s">
        <v>82</v>
      </c>
      <c r="I35" s="71" t="str">
        <f>'Necesidades Trimestrales'!F33</f>
        <v>KG.</v>
      </c>
      <c r="J35" s="72">
        <f>'Necesidades Trimestrales'!H33</f>
        <v>700</v>
      </c>
      <c r="K35" s="73">
        <f>'Necesidades Trimestrales'!G33</f>
        <v>150</v>
      </c>
    </row>
    <row r="36" spans="1:11" ht="30.75" customHeight="1" thickBot="1" x14ac:dyDescent="0.25">
      <c r="A36" s="8">
        <v>25</v>
      </c>
      <c r="B36" s="69" t="str">
        <f>'Necesidades Trimestrales'!B34</f>
        <v>2.1.1-541.18</v>
      </c>
      <c r="C36" s="93" t="str">
        <f>'Necesidades Trimestrales'!E34</f>
        <v>CARNES: ESPECIE: VACUNA, CORTE: ROAST BEEF, TIPO: VACUNA</v>
      </c>
      <c r="D36" s="93"/>
      <c r="E36" s="93"/>
      <c r="F36" s="93"/>
      <c r="G36" s="93"/>
      <c r="H36" s="74" t="s">
        <v>82</v>
      </c>
      <c r="I36" s="71" t="str">
        <f>'Necesidades Trimestrales'!F34</f>
        <v>KG.</v>
      </c>
      <c r="J36" s="72">
        <f>'Necesidades Trimestrales'!H34</f>
        <v>650</v>
      </c>
      <c r="K36" s="73">
        <f>'Necesidades Trimestrales'!G34</f>
        <v>6000</v>
      </c>
    </row>
    <row r="37" spans="1:11" ht="30.75" customHeight="1" thickBot="1" x14ac:dyDescent="0.25">
      <c r="A37" s="9">
        <v>26</v>
      </c>
      <c r="B37" s="69" t="str">
        <f>'Necesidades Trimestrales'!B35</f>
        <v>2.1.1-621.20</v>
      </c>
      <c r="C37" s="93" t="str">
        <f>'Necesidades Trimestrales'!E35</f>
        <v>AVES; TIPO: POLLO, PRESENTACION: CAJA X 22 Kg, EVISCERADO: SI, ELEM. TRANSPORTE: SIN, MATERIAL ELEM. TRANSPORTE: SIN, LIBRE DE GLUTEN: SIN VALOR</v>
      </c>
      <c r="D37" s="93"/>
      <c r="E37" s="93"/>
      <c r="F37" s="93"/>
      <c r="G37" s="93"/>
      <c r="H37" s="74" t="s">
        <v>82</v>
      </c>
      <c r="I37" s="71" t="str">
        <f>'Necesidades Trimestrales'!F35</f>
        <v>CAJONES</v>
      </c>
      <c r="J37" s="72">
        <f>'Necesidades Trimestrales'!H35</f>
        <v>3200</v>
      </c>
      <c r="K37" s="73">
        <f>'Necesidades Trimestrales'!G35</f>
        <v>100</v>
      </c>
    </row>
    <row r="38" spans="1:11" ht="30.75" customHeight="1" thickBot="1" x14ac:dyDescent="0.25">
      <c r="A38" s="8">
        <v>27</v>
      </c>
      <c r="B38" s="69" t="str">
        <f>'Necesidades Trimestrales'!B36</f>
        <v>2.1.1-482.60</v>
      </c>
      <c r="C38" s="93" t="str">
        <f>'Necesidades Trimestrales'!E36</f>
        <v>HARINAS: TIPO: TRIGO, PRESENTACION: ENVASE X 50 KG. MATERIAL ENVASE: PAPEL, CERTIFICADO FORESTAL (GFS): SIN, ELEM. TRANSPORTE: SIN, MATERIAL ELEM. TRANSPORTE: SIN</v>
      </c>
      <c r="D38" s="93"/>
      <c r="E38" s="93"/>
      <c r="F38" s="93"/>
      <c r="G38" s="93"/>
      <c r="H38" s="77" t="s">
        <v>82</v>
      </c>
      <c r="I38" s="71" t="str">
        <f>'Necesidades Trimestrales'!F36</f>
        <v>BOLSAS</v>
      </c>
      <c r="J38" s="72">
        <f>'Necesidades Trimestrales'!H36</f>
        <v>2550</v>
      </c>
      <c r="K38" s="73">
        <f>'Necesidades Trimestrales'!G36</f>
        <v>750</v>
      </c>
    </row>
    <row r="39" spans="1:11" ht="30" customHeight="1" thickBot="1" x14ac:dyDescent="0.25">
      <c r="A39" s="9">
        <v>28</v>
      </c>
      <c r="B39" s="69" t="str">
        <f>'Necesidades Trimestrales'!B37</f>
        <v>2.1.1-2175.1</v>
      </c>
      <c r="C39" s="93" t="str">
        <f>'Necesidades Trimestrales'!E37</f>
        <v>GRASAS COMESTIBLES: TIPO: VACUNA, PRESENTACION: BOLSA X 1 KG. ESTADO: NORMAL, FORMA DE PRESENTACION: NORMAL</v>
      </c>
      <c r="D39" s="93"/>
      <c r="E39" s="93"/>
      <c r="F39" s="93"/>
      <c r="G39" s="93"/>
      <c r="H39" s="77" t="s">
        <v>82</v>
      </c>
      <c r="I39" s="71" t="str">
        <f>'Necesidades Trimestrales'!F37</f>
        <v>KG.</v>
      </c>
      <c r="J39" s="72">
        <f>'Necesidades Trimestrales'!H37</f>
        <v>150</v>
      </c>
      <c r="K39" s="73">
        <f>'Necesidades Trimestrales'!G37</f>
        <v>2730</v>
      </c>
    </row>
    <row r="40" spans="1:11" ht="30" customHeight="1" thickBot="1" x14ac:dyDescent="0.25">
      <c r="A40" s="8">
        <v>29</v>
      </c>
      <c r="B40" s="69" t="str">
        <f>'Necesidades Trimestrales'!B38</f>
        <v>2.1.1-2116.2</v>
      </c>
      <c r="C40" s="93" t="str">
        <f>'Necesidades Trimestrales'!E38</f>
        <v>LEVADURAS: TIPO: DE CERVEZA, PRESENTACION: PAQUETE, PESO: 1 KG.</v>
      </c>
      <c r="D40" s="93"/>
      <c r="E40" s="93"/>
      <c r="F40" s="93"/>
      <c r="G40" s="93"/>
      <c r="H40" s="77" t="s">
        <v>82</v>
      </c>
      <c r="I40" s="71" t="str">
        <f>'Necesidades Trimestrales'!F38</f>
        <v>KG.</v>
      </c>
      <c r="J40" s="72">
        <f>'Necesidades Trimestrales'!H38</f>
        <v>450</v>
      </c>
      <c r="K40" s="73">
        <f>'Necesidades Trimestrales'!G38</f>
        <v>730</v>
      </c>
    </row>
    <row r="41" spans="1:11" ht="30" customHeight="1" thickBot="1" x14ac:dyDescent="0.25">
      <c r="A41" s="9">
        <v>30</v>
      </c>
      <c r="B41" s="69" t="str">
        <f>'Necesidades Trimestrales'!B39</f>
        <v>2.1.1-514.10</v>
      </c>
      <c r="C41" s="93" t="str">
        <f>'Necesidades Trimestrales'!E39</f>
        <v>SALDE MESA: CONSISTENCIA: FINA, ENVASE: BOLSA, PESO 50 KG. TIPO: SIN VALOR</v>
      </c>
      <c r="D41" s="93"/>
      <c r="E41" s="93"/>
      <c r="F41" s="93"/>
      <c r="G41" s="93"/>
      <c r="H41" s="77" t="s">
        <v>82</v>
      </c>
      <c r="I41" s="71" t="str">
        <f>'Necesidades Trimestrales'!F39</f>
        <v>BOLSAS</v>
      </c>
      <c r="J41" s="72">
        <f>'Necesidades Trimestrales'!H39</f>
        <v>1800</v>
      </c>
      <c r="K41" s="73">
        <f>'Necesidades Trimestrales'!G39</f>
        <v>45</v>
      </c>
    </row>
    <row r="42" spans="1:11" ht="43.5" customHeight="1" thickBot="1" x14ac:dyDescent="0.25">
      <c r="A42" s="8">
        <v>31</v>
      </c>
      <c r="B42" s="69" t="str">
        <f>'Necesidades Trimestrales'!B40</f>
        <v>2.1.1-2127.1</v>
      </c>
      <c r="C42" s="93" t="str">
        <f>'Necesidades Trimestrales'!E40</f>
        <v>MEJORADOR DE PANIFICACION: ESTADO: NATURAL, PESO: 10 KG. PRESENTACION: BOLSA</v>
      </c>
      <c r="D42" s="93"/>
      <c r="E42" s="93"/>
      <c r="F42" s="93"/>
      <c r="G42" s="93"/>
      <c r="H42" s="77" t="s">
        <v>82</v>
      </c>
      <c r="I42" s="71" t="str">
        <f>'Necesidades Trimestrales'!F40</f>
        <v>BOLSAS</v>
      </c>
      <c r="J42" s="72">
        <f>'Necesidades Trimestrales'!H40</f>
        <v>3200</v>
      </c>
      <c r="K42" s="73">
        <f>'Necesidades Trimestrales'!G40</f>
        <v>50</v>
      </c>
    </row>
    <row r="43" spans="1:11" ht="27" customHeight="1" thickBot="1" x14ac:dyDescent="0.25">
      <c r="A43" s="9">
        <v>32</v>
      </c>
      <c r="B43" s="69" t="str">
        <f>'Necesidades Trimestrales'!B41</f>
        <v>2.1.1-6546.335</v>
      </c>
      <c r="C43" s="93" t="str">
        <f>'Necesidades Trimestrales'!E41</f>
        <v>VERDURAS Y HORTALIZAS; VARIEDAD: PAPA BLANCA, ESTADO: NATURAL, PRESENTACION: BOLSA, PESO: 25 Kg</v>
      </c>
      <c r="D43" s="93"/>
      <c r="E43" s="93"/>
      <c r="F43" s="93"/>
      <c r="G43" s="93"/>
      <c r="H43" s="77" t="s">
        <v>82</v>
      </c>
      <c r="I43" s="71" t="str">
        <f>'Necesidades Trimestrales'!F41</f>
        <v>BOLSAS</v>
      </c>
      <c r="J43" s="72">
        <f>'Necesidades Trimestrales'!H41</f>
        <v>910</v>
      </c>
      <c r="K43" s="73">
        <f>'Necesidades Trimestrales'!G41</f>
        <v>500</v>
      </c>
    </row>
    <row r="44" spans="1:11" ht="30" customHeight="1" thickBot="1" x14ac:dyDescent="0.25">
      <c r="A44" s="8">
        <v>33</v>
      </c>
      <c r="B44" s="69" t="str">
        <f>'Necesidades Trimestrales'!B42</f>
        <v>2.1.1-6546.158</v>
      </c>
      <c r="C44" s="93" t="str">
        <f>'Necesidades Trimestrales'!E42</f>
        <v>VERDURAS Y HORTALIZAS; ESTADO: NATURAL, VARIEDAD: ZAPALLO ANCO, PRESENTACION: GRANEL, PESO: SIN VALOR</v>
      </c>
      <c r="D44" s="93"/>
      <c r="E44" s="93"/>
      <c r="F44" s="93"/>
      <c r="G44" s="93"/>
      <c r="H44" s="77" t="s">
        <v>82</v>
      </c>
      <c r="I44" s="71" t="str">
        <f>'Necesidades Trimestrales'!F42</f>
        <v>KG.</v>
      </c>
      <c r="J44" s="72">
        <f>'Necesidades Trimestrales'!H42</f>
        <v>85</v>
      </c>
      <c r="K44" s="73">
        <f>'Necesidades Trimestrales'!G42</f>
        <v>1700</v>
      </c>
    </row>
    <row r="45" spans="1:11" ht="30" customHeight="1" thickBot="1" x14ac:dyDescent="0.25">
      <c r="A45" s="9">
        <v>34</v>
      </c>
      <c r="B45" s="69" t="str">
        <f>'Necesidades Trimestrales'!B43</f>
        <v>2.1.1-6546.188</v>
      </c>
      <c r="C45" s="93" t="str">
        <f>'Necesidades Trimestrales'!E43</f>
        <v>VERDURAS Y HORTALIZAS; ESTADO: NATURAL, PRESENTACION: GRANEL, PESO: SIN VALOR, VARIEDAD: ZAPALLO CRIOLLO</v>
      </c>
      <c r="D45" s="93"/>
      <c r="E45" s="93"/>
      <c r="F45" s="93"/>
      <c r="G45" s="93"/>
      <c r="H45" s="77" t="s">
        <v>82</v>
      </c>
      <c r="I45" s="71" t="str">
        <f>'Necesidades Trimestrales'!F43</f>
        <v>KG.</v>
      </c>
      <c r="J45" s="72">
        <f>'Necesidades Trimestrales'!H43</f>
        <v>140</v>
      </c>
      <c r="K45" s="73">
        <f>'Necesidades Trimestrales'!G43</f>
        <v>2500</v>
      </c>
    </row>
    <row r="46" spans="1:11" ht="43.5" customHeight="1" thickBot="1" x14ac:dyDescent="0.25">
      <c r="A46" s="8">
        <v>35</v>
      </c>
      <c r="B46" s="69" t="str">
        <f>'Necesidades Trimestrales'!B44</f>
        <v>2.1.1-6546.390</v>
      </c>
      <c r="C46" s="93" t="str">
        <f>'Necesidades Trimestrales'!E44</f>
        <v>VERDURAS Y HORTALIZAS; VARIEDAD: TOMATE REDONDO, ESTADO: NATURAL, PRESENTACION: CAJON, PESO: 17 A 22 Kg, ELEM. TRANSPORTE: SIN, MATERIAL ELEM. TRANSPORTE: SIN, LIBRE DE GLUTEN: SI, ORGANICO: NO</v>
      </c>
      <c r="D46" s="93"/>
      <c r="E46" s="93"/>
      <c r="F46" s="93"/>
      <c r="G46" s="93"/>
      <c r="H46" s="77" t="s">
        <v>82</v>
      </c>
      <c r="I46" s="71" t="str">
        <f>'Necesidades Trimestrales'!F44</f>
        <v>CAJONES</v>
      </c>
      <c r="J46" s="72">
        <f>'Necesidades Trimestrales'!H44</f>
        <v>950</v>
      </c>
      <c r="K46" s="73">
        <f>'Necesidades Trimestrales'!G44</f>
        <v>600</v>
      </c>
    </row>
    <row r="47" spans="1:11" ht="30" customHeight="1" thickBot="1" x14ac:dyDescent="0.25">
      <c r="A47" s="9">
        <v>36</v>
      </c>
      <c r="B47" s="69" t="str">
        <f>'Necesidades Trimestrales'!B45</f>
        <v>2.1.1-483.33</v>
      </c>
      <c r="C47" s="93" t="str">
        <f>'Necesidades Trimestrales'!E45</f>
        <v>HUEVO DE GALLINA; TAMAÑO: MEDIANOS, COLOR: BLANCOS, PRESENTACION: 30</v>
      </c>
      <c r="D47" s="93"/>
      <c r="E47" s="93"/>
      <c r="F47" s="93"/>
      <c r="G47" s="93"/>
      <c r="H47" s="77" t="s">
        <v>82</v>
      </c>
      <c r="I47" s="71" t="str">
        <f>'Necesidades Trimestrales'!F45</f>
        <v>CARTONES</v>
      </c>
      <c r="J47" s="72">
        <f>'Necesidades Trimestrales'!H45</f>
        <v>230</v>
      </c>
      <c r="K47" s="73">
        <f>'Necesidades Trimestrales'!G45</f>
        <v>800</v>
      </c>
    </row>
    <row r="48" spans="1:11" ht="27" customHeight="1" thickBot="1" x14ac:dyDescent="0.25">
      <c r="A48" s="8">
        <v>37</v>
      </c>
      <c r="B48" s="69" t="str">
        <f>'Necesidades Trimestrales'!B46</f>
        <v>2.1.1-6546.82</v>
      </c>
      <c r="C48" s="93" t="str">
        <f>'Necesidades Trimestrales'!E46</f>
        <v>VERDURAS Y HORTALIZAS: VARIEDAD, LECHUGA CRIOLLA, ESTADO: NATURAL, PRESENTACION: CAJON, PESO: SIN VALOR</v>
      </c>
      <c r="D48" s="93"/>
      <c r="E48" s="93"/>
      <c r="F48" s="93"/>
      <c r="G48" s="93"/>
      <c r="H48" s="77" t="s">
        <v>82</v>
      </c>
      <c r="I48" s="71" t="str">
        <f>'Necesidades Trimestrales'!F46</f>
        <v>CAJONES</v>
      </c>
      <c r="J48" s="72">
        <f>'Necesidades Trimestrales'!H46</f>
        <v>960</v>
      </c>
      <c r="K48" s="73">
        <f>'Necesidades Trimestrales'!G46</f>
        <v>500</v>
      </c>
    </row>
    <row r="49" spans="1:11" ht="30" customHeight="1" thickBot="1" x14ac:dyDescent="0.25">
      <c r="A49" s="9">
        <v>38</v>
      </c>
      <c r="B49" s="69" t="str">
        <f>'Necesidades Trimestrales'!B47</f>
        <v>2.1.1-6546.153</v>
      </c>
      <c r="C49" s="93" t="str">
        <f>'Necesidades Trimestrales'!E47</f>
        <v>VERDURAS Y HORTALIZAS; VARIEDAD: AJO, ESTADO: NATURAL, PRESENTACION: RISTRA, PESO: SIN VALOR</v>
      </c>
      <c r="D49" s="93"/>
      <c r="E49" s="93"/>
      <c r="F49" s="93"/>
      <c r="G49" s="93"/>
      <c r="H49" s="77" t="s">
        <v>82</v>
      </c>
      <c r="I49" s="71" t="str">
        <f>'Necesidades Trimestrales'!F47</f>
        <v>RISTRAS</v>
      </c>
      <c r="J49" s="72">
        <f>'Necesidades Trimestrales'!H47</f>
        <v>2100</v>
      </c>
      <c r="K49" s="73">
        <f>'Necesidades Trimestrales'!G47</f>
        <v>50</v>
      </c>
    </row>
    <row r="50" spans="1:11" ht="27" customHeight="1" thickBot="1" x14ac:dyDescent="0.25">
      <c r="A50" s="8">
        <v>39</v>
      </c>
      <c r="B50" s="69" t="str">
        <f>'Necesidades Trimestrales'!B48</f>
        <v>2.1.1-6546.34</v>
      </c>
      <c r="C50" s="93" t="str">
        <f>'Necesidades Trimestrales'!E48</f>
        <v>VERDURAS Y HORTALIZAS; VARIEDAD: ACELGA, ESTADO: EN HOJA, PRESENTACION: ATADO, PESO: SIN VALOR</v>
      </c>
      <c r="D50" s="93"/>
      <c r="E50" s="93"/>
      <c r="F50" s="93"/>
      <c r="G50" s="93"/>
      <c r="H50" s="77" t="s">
        <v>82</v>
      </c>
      <c r="I50" s="71" t="str">
        <f>'Necesidades Trimestrales'!F48</f>
        <v>ATADOS</v>
      </c>
      <c r="J50" s="72">
        <f>'Necesidades Trimestrales'!H48</f>
        <v>25</v>
      </c>
      <c r="K50" s="73">
        <f>'Necesidades Trimestrales'!G48</f>
        <v>500</v>
      </c>
    </row>
    <row r="51" spans="1:11" ht="30" customHeight="1" thickBot="1" x14ac:dyDescent="0.25">
      <c r="A51" s="9">
        <v>40</v>
      </c>
      <c r="B51" s="69" t="str">
        <f>'Necesidades Trimestrales'!B49</f>
        <v>2.1.1-6539.19</v>
      </c>
      <c r="C51" s="93" t="str">
        <f>'Necesidades Trimestrales'!E49</f>
        <v>FRUTAS: ESTADO: NATURAL VARIEDAD: MANZANA RED ELEGIDA, PRESENTACION: CAJON PESO: SIN VALOR</v>
      </c>
      <c r="D51" s="93"/>
      <c r="E51" s="93"/>
      <c r="F51" s="93"/>
      <c r="G51" s="93"/>
      <c r="H51" s="77" t="s">
        <v>82</v>
      </c>
      <c r="I51" s="71" t="str">
        <f>'Necesidades Trimestrales'!F49</f>
        <v>CAJONES</v>
      </c>
      <c r="J51" s="72">
        <f>'Necesidades Trimestrales'!H49</f>
        <v>3360</v>
      </c>
      <c r="K51" s="73">
        <f>'Necesidades Trimestrales'!G49</f>
        <v>300</v>
      </c>
    </row>
    <row r="52" spans="1:11" ht="30" customHeight="1" thickBot="1" x14ac:dyDescent="0.25">
      <c r="A52" s="8">
        <v>41</v>
      </c>
      <c r="B52" s="69" t="str">
        <f>'Necesidades Trimestrales'!B50</f>
        <v>2.1.1-6546.39</v>
      </c>
      <c r="C52" s="93" t="str">
        <f>'Necesidades Trimestrales'!E50</f>
        <v>VERDURAS Y HORTALIZAS; VARIEDAD: CEBOLLA, ESTADO: NATURAL, PRESENTACION: BOLSA, PESO: 25 Kg</v>
      </c>
      <c r="D52" s="93"/>
      <c r="E52" s="93"/>
      <c r="F52" s="93"/>
      <c r="G52" s="93"/>
      <c r="H52" s="78" t="s">
        <v>82</v>
      </c>
      <c r="I52" s="71" t="str">
        <f>'Necesidades Trimestrales'!F50</f>
        <v>BOLSAS</v>
      </c>
      <c r="J52" s="72">
        <f>'Necesidades Trimestrales'!H50</f>
        <v>925</v>
      </c>
      <c r="K52" s="73">
        <f>'Necesidades Trimestrales'!G50</f>
        <v>1000</v>
      </c>
    </row>
    <row r="53" spans="1:11" ht="27" customHeight="1" thickBot="1" x14ac:dyDescent="0.25">
      <c r="A53" s="103" t="s">
        <v>129</v>
      </c>
      <c r="B53" s="103"/>
      <c r="C53" s="103"/>
      <c r="D53" s="103"/>
      <c r="E53" s="103"/>
      <c r="F53" s="103"/>
      <c r="G53" s="103"/>
      <c r="H53" s="103"/>
      <c r="I53" s="103"/>
      <c r="J53" s="104">
        <f>SUMPRODUCT(J12:J52,K12:K52)</f>
        <v>14115000</v>
      </c>
      <c r="K53" s="105"/>
    </row>
    <row r="54" spans="1:11" ht="15.75" x14ac:dyDescent="0.2">
      <c r="B54" s="7"/>
    </row>
  </sheetData>
  <mergeCells count="63">
    <mergeCell ref="A53:I53"/>
    <mergeCell ref="J53:K53"/>
    <mergeCell ref="C36:G36"/>
    <mergeCell ref="C37:G37"/>
    <mergeCell ref="C38:G38"/>
    <mergeCell ref="C40:G40"/>
    <mergeCell ref="C41:G41"/>
    <mergeCell ref="C42:G42"/>
    <mergeCell ref="C43:G43"/>
    <mergeCell ref="C44:G44"/>
    <mergeCell ref="C50:G50"/>
    <mergeCell ref="C51:G51"/>
    <mergeCell ref="C52:G52"/>
    <mergeCell ref="C45:G45"/>
    <mergeCell ref="C46:G46"/>
    <mergeCell ref="C47:G47"/>
    <mergeCell ref="C32:G32"/>
    <mergeCell ref="C33:G33"/>
    <mergeCell ref="C34:G34"/>
    <mergeCell ref="C35:G35"/>
    <mergeCell ref="C27:G27"/>
    <mergeCell ref="C28:G28"/>
    <mergeCell ref="C29:G29"/>
    <mergeCell ref="C30:G30"/>
    <mergeCell ref="C31:G3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C25:G25"/>
    <mergeCell ref="C26:G26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48:G48"/>
    <mergeCell ref="C49:G49"/>
    <mergeCell ref="C12:G12"/>
    <mergeCell ref="C13:G13"/>
    <mergeCell ref="C14:G14"/>
    <mergeCell ref="C15:G15"/>
    <mergeCell ref="C39:G39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</mergeCells>
  <printOptions horizontalCentered="1"/>
  <pageMargins left="0.196527777777778" right="0.196527777777778" top="0.98402777777777795" bottom="0.98402777777777795" header="0.51180555555555496" footer="0.51180555555555496"/>
  <pageSetup paperSize="9" scale="84" firstPageNumber="0" fitToHeight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topLeftCell="A16" zoomScale="130" zoomScaleNormal="130" workbookViewId="0">
      <selection activeCell="A24" sqref="A24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10" customWidth="1"/>
    <col min="8" max="14" width="4.42578125" customWidth="1"/>
    <col min="15" max="17" width="14.85546875" customWidth="1"/>
  </cols>
  <sheetData>
    <row r="1" spans="1:17" ht="15.75" customHeight="1" x14ac:dyDescent="0.25">
      <c r="A1" s="129" t="s">
        <v>3</v>
      </c>
      <c r="B1" s="129"/>
      <c r="C1" s="129"/>
      <c r="D1" s="130">
        <f>'Necesidades Trimestrales'!C6</f>
        <v>2021</v>
      </c>
      <c r="E1" s="130"/>
      <c r="F1" s="11"/>
      <c r="G1" s="11"/>
      <c r="H1" s="12"/>
      <c r="I1" s="12"/>
      <c r="J1" s="12"/>
      <c r="K1" s="12"/>
      <c r="L1" s="12"/>
      <c r="M1" s="12"/>
      <c r="N1" s="12"/>
      <c r="P1" s="131" t="s">
        <v>30</v>
      </c>
      <c r="Q1" s="131"/>
    </row>
    <row r="2" spans="1:17" ht="15.75" customHeight="1" x14ac:dyDescent="0.2">
      <c r="H2" s="12"/>
      <c r="I2" s="12"/>
      <c r="J2" s="12"/>
      <c r="K2" s="12"/>
      <c r="L2" s="12"/>
      <c r="M2" s="12"/>
      <c r="N2" s="12"/>
      <c r="P2" s="131"/>
      <c r="Q2" s="131"/>
    </row>
    <row r="4" spans="1:17" s="13" customFormat="1" ht="18" customHeight="1" thickBot="1" x14ac:dyDescent="0.25">
      <c r="A4" s="132" t="s">
        <v>31</v>
      </c>
      <c r="B4" s="132"/>
      <c r="C4" s="132"/>
      <c r="D4" s="132"/>
      <c r="E4" s="132"/>
      <c r="F4" s="132"/>
      <c r="G4" s="127" t="str">
        <f>' NotaPedido'!D3</f>
        <v>90 - MINISTERIO DE SEGURIDAD</v>
      </c>
      <c r="H4" s="127"/>
      <c r="I4" s="127"/>
      <c r="J4" s="127"/>
      <c r="K4" s="127"/>
      <c r="L4" s="127"/>
      <c r="M4" s="127"/>
      <c r="N4" s="127"/>
      <c r="O4" s="127"/>
      <c r="P4" s="127"/>
      <c r="Q4" s="127"/>
    </row>
    <row r="5" spans="1:17" s="13" customFormat="1" ht="18" customHeight="1" thickBot="1" x14ac:dyDescent="0.25">
      <c r="A5" s="124" t="s">
        <v>54</v>
      </c>
      <c r="B5" s="125"/>
      <c r="C5" s="125"/>
      <c r="D5" s="125"/>
      <c r="E5" s="125"/>
      <c r="F5" s="126"/>
      <c r="G5" s="127" t="str">
        <f>' NotaPedido'!D4</f>
        <v>8 - DIRECCION GENERAL SERVICIO PENITENCIARIO PROVINCIAL</v>
      </c>
      <c r="H5" s="127"/>
      <c r="I5" s="127"/>
      <c r="J5" s="127"/>
      <c r="K5" s="127"/>
      <c r="L5" s="127"/>
      <c r="M5" s="127"/>
      <c r="N5" s="127"/>
      <c r="O5" s="127"/>
      <c r="P5" s="127"/>
      <c r="Q5" s="127"/>
    </row>
    <row r="6" spans="1:17" s="13" customFormat="1" ht="18" customHeight="1" thickBot="1" x14ac:dyDescent="0.25">
      <c r="A6" s="124" t="s">
        <v>32</v>
      </c>
      <c r="B6" s="125"/>
      <c r="C6" s="125"/>
      <c r="D6" s="125"/>
      <c r="E6" s="125"/>
      <c r="F6" s="126"/>
      <c r="G6" s="127" t="str">
        <f>' NotaPedido'!D5</f>
        <v>Servicio Penitenciario Provincial</v>
      </c>
      <c r="H6" s="127"/>
      <c r="I6" s="127"/>
      <c r="J6" s="127"/>
      <c r="K6" s="127"/>
      <c r="L6" s="127"/>
      <c r="M6" s="127"/>
      <c r="N6" s="127"/>
      <c r="O6" s="127"/>
      <c r="P6" s="127"/>
      <c r="Q6" s="127"/>
    </row>
    <row r="7" spans="1:17" s="13" customFormat="1" ht="18" customHeight="1" thickBot="1" x14ac:dyDescent="0.25">
      <c r="A7" s="124" t="s">
        <v>55</v>
      </c>
      <c r="B7" s="125"/>
      <c r="C7" s="125"/>
      <c r="D7" s="125"/>
      <c r="E7" s="125"/>
      <c r="F7" s="126"/>
      <c r="G7" s="127" t="str">
        <f>' NotaPedido'!D6</f>
        <v>Logistica</v>
      </c>
      <c r="H7" s="127"/>
      <c r="I7" s="127"/>
      <c r="J7" s="127"/>
      <c r="K7" s="127"/>
      <c r="L7" s="127"/>
      <c r="M7" s="127"/>
      <c r="N7" s="127"/>
      <c r="O7" s="127"/>
      <c r="P7" s="127"/>
      <c r="Q7" s="127"/>
    </row>
    <row r="8" spans="1:17" ht="18" customHeight="1" thickBot="1" x14ac:dyDescent="0.25">
      <c r="A8" s="128" t="s">
        <v>33</v>
      </c>
      <c r="B8" s="128"/>
      <c r="C8" s="128"/>
      <c r="D8" s="128"/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8"/>
      <c r="P8" s="128"/>
      <c r="Q8" s="128"/>
    </row>
    <row r="9" spans="1:17" ht="18" customHeight="1" x14ac:dyDescent="0.2">
      <c r="A9" s="118" t="s">
        <v>34</v>
      </c>
      <c r="B9" s="118"/>
      <c r="C9" s="118"/>
      <c r="D9" s="118"/>
      <c r="E9" s="118"/>
      <c r="F9" s="118"/>
      <c r="G9" s="118"/>
      <c r="H9" s="118"/>
      <c r="I9" s="118"/>
      <c r="J9" s="118"/>
      <c r="K9" s="118"/>
      <c r="L9" s="118"/>
      <c r="M9" s="118"/>
      <c r="N9" s="118"/>
      <c r="O9" s="1"/>
      <c r="P9" s="1"/>
      <c r="Q9" s="14"/>
    </row>
    <row r="10" spans="1:17" ht="54.75" customHeight="1" x14ac:dyDescent="0.2">
      <c r="A10" s="119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04-2021,  afectando la erogación resultante a los créditos presupuestarios aprobados a favor de esta Unidad Ejecutora, conforme al siguiente detalle:</v>
      </c>
      <c r="B10" s="119"/>
      <c r="C10" s="119"/>
      <c r="D10" s="119"/>
      <c r="E10" s="119"/>
      <c r="F10" s="119"/>
      <c r="G10" s="119"/>
      <c r="H10" s="119"/>
      <c r="I10" s="119"/>
      <c r="J10" s="119"/>
      <c r="K10" s="119"/>
      <c r="L10" s="119"/>
      <c r="M10" s="119"/>
      <c r="N10" s="119"/>
      <c r="O10" s="119"/>
      <c r="P10" s="119"/>
      <c r="Q10" s="119"/>
    </row>
    <row r="11" spans="1:17" ht="9" customHeight="1" x14ac:dyDescent="0.2">
      <c r="A11" s="15"/>
      <c r="B11" s="16"/>
      <c r="C11" s="16"/>
      <c r="D11" s="16"/>
      <c r="E11" s="16"/>
      <c r="F11" s="16"/>
      <c r="G11" s="17"/>
      <c r="H11" s="16"/>
      <c r="I11" s="16"/>
      <c r="J11" s="16"/>
      <c r="K11" s="16"/>
      <c r="L11" s="16"/>
      <c r="M11" s="16"/>
      <c r="N11" s="16"/>
      <c r="O11" s="16"/>
      <c r="P11" s="16"/>
      <c r="Q11" s="18"/>
    </row>
    <row r="12" spans="1:17" ht="15.75" customHeight="1" x14ac:dyDescent="0.2">
      <c r="A12" s="120" t="s">
        <v>35</v>
      </c>
      <c r="B12" s="120"/>
      <c r="C12" s="120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</row>
    <row r="13" spans="1:17" ht="15.75" customHeight="1" x14ac:dyDescent="0.2">
      <c r="A13" s="121" t="s">
        <v>36</v>
      </c>
      <c r="B13" s="121"/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2" t="s">
        <v>37</v>
      </c>
      <c r="P13" s="122"/>
      <c r="Q13" s="123" t="s">
        <v>38</v>
      </c>
    </row>
    <row r="14" spans="1:17" ht="15.75" customHeight="1" x14ac:dyDescent="0.2">
      <c r="A14" s="19" t="s">
        <v>39</v>
      </c>
      <c r="B14" s="20" t="s">
        <v>40</v>
      </c>
      <c r="C14" s="20" t="s">
        <v>41</v>
      </c>
      <c r="D14" s="20" t="s">
        <v>42</v>
      </c>
      <c r="E14" s="20" t="s">
        <v>43</v>
      </c>
      <c r="F14" s="20" t="s">
        <v>44</v>
      </c>
      <c r="G14" s="21" t="s">
        <v>45</v>
      </c>
      <c r="H14" s="20" t="s">
        <v>46</v>
      </c>
      <c r="I14" s="20" t="s">
        <v>47</v>
      </c>
      <c r="J14" s="20" t="s">
        <v>48</v>
      </c>
      <c r="K14" s="20" t="s">
        <v>48</v>
      </c>
      <c r="L14" s="20" t="s">
        <v>49</v>
      </c>
      <c r="M14" s="22" t="s">
        <v>50</v>
      </c>
      <c r="N14" s="23" t="s">
        <v>51</v>
      </c>
      <c r="O14" s="122"/>
      <c r="P14" s="122"/>
      <c r="Q14" s="123"/>
    </row>
    <row r="15" spans="1:17" ht="17.25" customHeight="1" thickBot="1" x14ac:dyDescent="0.25">
      <c r="A15" s="57">
        <v>21</v>
      </c>
      <c r="B15" s="58"/>
      <c r="C15" s="58"/>
      <c r="D15" s="58">
        <v>4</v>
      </c>
      <c r="E15" s="58"/>
      <c r="F15" s="58">
        <v>4201</v>
      </c>
      <c r="G15" s="58">
        <v>2</v>
      </c>
      <c r="H15" s="58">
        <v>220</v>
      </c>
      <c r="I15" s="58" t="str">
        <f>LEFT('Necesidades Trimestrales'!D10,1)</f>
        <v>2</v>
      </c>
      <c r="J15" s="58" t="str">
        <f>MID('Necesidades Trimestrales'!D10,3,1)</f>
        <v>1</v>
      </c>
      <c r="K15" s="58" t="str">
        <f>RIGHT('Necesidades Trimestrales'!D10,1)</f>
        <v>1</v>
      </c>
      <c r="L15" s="58"/>
      <c r="M15" s="59">
        <v>1</v>
      </c>
      <c r="N15" s="58" t="s">
        <v>59</v>
      </c>
      <c r="O15" s="117" t="s">
        <v>117</v>
      </c>
      <c r="P15" s="117"/>
      <c r="Q15" s="24">
        <v>6989500</v>
      </c>
    </row>
    <row r="16" spans="1:17" ht="17.25" customHeight="1" thickBot="1" x14ac:dyDescent="0.25">
      <c r="A16" s="60">
        <v>21</v>
      </c>
      <c r="B16" s="61"/>
      <c r="C16" s="61"/>
      <c r="D16" s="61">
        <v>5</v>
      </c>
      <c r="E16" s="61"/>
      <c r="F16" s="61">
        <v>4201</v>
      </c>
      <c r="G16" s="61">
        <v>2</v>
      </c>
      <c r="H16" s="61">
        <v>22</v>
      </c>
      <c r="I16" s="58">
        <v>2</v>
      </c>
      <c r="J16" s="58">
        <v>1</v>
      </c>
      <c r="K16" s="58">
        <v>1</v>
      </c>
      <c r="L16" s="61"/>
      <c r="M16" s="62">
        <v>1</v>
      </c>
      <c r="N16" s="63" t="s">
        <v>59</v>
      </c>
      <c r="O16" s="117" t="s">
        <v>117</v>
      </c>
      <c r="P16" s="117"/>
      <c r="Q16" s="24">
        <v>7125500</v>
      </c>
    </row>
    <row r="17" spans="1:18" ht="17.25" customHeight="1" thickBot="1" x14ac:dyDescent="0.25">
      <c r="A17" s="60"/>
      <c r="B17" s="61"/>
      <c r="C17" s="61"/>
      <c r="D17" s="61"/>
      <c r="E17" s="61"/>
      <c r="F17" s="63"/>
      <c r="G17" s="61"/>
      <c r="H17" s="61"/>
      <c r="I17" s="58"/>
      <c r="J17" s="58"/>
      <c r="K17" s="58"/>
      <c r="L17" s="61"/>
      <c r="M17" s="62"/>
      <c r="N17" s="58"/>
      <c r="O17" s="117"/>
      <c r="P17" s="117"/>
      <c r="Q17" s="24"/>
    </row>
    <row r="18" spans="1:18" ht="17.25" customHeight="1" x14ac:dyDescent="0.2">
      <c r="A18" s="60"/>
      <c r="B18" s="61"/>
      <c r="C18" s="61"/>
      <c r="D18" s="61"/>
      <c r="E18" s="61"/>
      <c r="F18" s="61"/>
      <c r="G18" s="61"/>
      <c r="H18" s="61"/>
      <c r="I18" s="58"/>
      <c r="J18" s="58"/>
      <c r="K18" s="58"/>
      <c r="L18" s="61"/>
      <c r="M18" s="62"/>
      <c r="N18" s="63"/>
      <c r="O18" s="117"/>
      <c r="P18" s="117"/>
      <c r="Q18" s="24"/>
    </row>
    <row r="19" spans="1:18" ht="17.25" customHeight="1" x14ac:dyDescent="0.2">
      <c r="A19" s="25"/>
      <c r="B19" s="26"/>
      <c r="C19" s="26"/>
      <c r="D19" s="26"/>
      <c r="E19" s="26"/>
      <c r="F19" s="28"/>
      <c r="G19" s="26"/>
      <c r="H19" s="26"/>
      <c r="I19" s="26"/>
      <c r="J19" s="26"/>
      <c r="K19" s="26"/>
      <c r="L19" s="26"/>
      <c r="M19" s="27"/>
      <c r="N19" s="28"/>
      <c r="O19" s="111"/>
      <c r="P19" s="111"/>
      <c r="Q19" s="29"/>
    </row>
    <row r="20" spans="1:18" ht="17.25" customHeight="1" x14ac:dyDescent="0.2">
      <c r="A20" s="25"/>
      <c r="B20" s="26"/>
      <c r="C20" s="26"/>
      <c r="D20" s="26"/>
      <c r="E20" s="26"/>
      <c r="F20" s="28"/>
      <c r="G20" s="26"/>
      <c r="H20" s="26"/>
      <c r="I20" s="26"/>
      <c r="J20" s="26"/>
      <c r="K20" s="26"/>
      <c r="L20" s="26"/>
      <c r="M20" s="27"/>
      <c r="N20" s="28"/>
      <c r="O20" s="111"/>
      <c r="P20" s="111"/>
      <c r="Q20" s="29"/>
    </row>
    <row r="21" spans="1:18" ht="17.25" customHeight="1" x14ac:dyDescent="0.2">
      <c r="A21" s="30"/>
      <c r="B21" s="31"/>
      <c r="C21" s="31"/>
      <c r="D21" s="31"/>
      <c r="E21" s="31"/>
      <c r="F21" s="32"/>
      <c r="G21" s="31"/>
      <c r="H21" s="31"/>
      <c r="I21" s="31"/>
      <c r="J21" s="31"/>
      <c r="K21" s="31"/>
      <c r="L21" s="31"/>
      <c r="M21" s="33"/>
      <c r="N21" s="34"/>
      <c r="O21" s="112"/>
      <c r="P21" s="112"/>
      <c r="Q21" s="29"/>
      <c r="R21" s="1"/>
    </row>
    <row r="22" spans="1:18" ht="17.25" customHeight="1" thickBot="1" x14ac:dyDescent="0.25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7"/>
      <c r="N22" s="36"/>
      <c r="O22" s="113"/>
      <c r="P22" s="113"/>
      <c r="Q22" s="38"/>
    </row>
    <row r="23" spans="1:18" ht="20.25" customHeight="1" thickBot="1" x14ac:dyDescent="0.25">
      <c r="A23" s="114" t="s">
        <v>151</v>
      </c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6"/>
      <c r="Q23" s="39">
        <f>SUM(Q15:Q22)</f>
        <v>14115000</v>
      </c>
    </row>
    <row r="24" spans="1:18" ht="18" customHeight="1" thickBot="1" x14ac:dyDescent="0.25">
      <c r="A24" s="81"/>
      <c r="B24" s="82"/>
      <c r="C24" s="82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0"/>
    </row>
    <row r="25" spans="1:18" ht="17.25" customHeight="1" thickBot="1" x14ac:dyDescent="0.25">
      <c r="A25" s="106" t="s">
        <v>52</v>
      </c>
      <c r="B25" s="107"/>
      <c r="C25" s="107"/>
      <c r="D25" s="107"/>
      <c r="E25" s="107"/>
      <c r="F25" s="108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</row>
    <row r="26" spans="1:18" ht="18" customHeight="1" thickBot="1" x14ac:dyDescent="0.25">
      <c r="A26" s="110" t="s">
        <v>119</v>
      </c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</row>
    <row r="27" spans="1:18" ht="15" customHeight="1" x14ac:dyDescent="0.2">
      <c r="A27" s="110"/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</row>
  </sheetData>
  <mergeCells count="30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</mergeCells>
  <phoneticPr fontId="25" type="noConversion"/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</dc:creator>
  <dc:description/>
  <cp:lastModifiedBy>Usuario</cp:lastModifiedBy>
  <cp:revision>2</cp:revision>
  <cp:lastPrinted>2020-12-14T12:22:25Z</cp:lastPrinted>
  <dcterms:created xsi:type="dcterms:W3CDTF">2020-07-17T23:44:49Z</dcterms:created>
  <dcterms:modified xsi:type="dcterms:W3CDTF">2021-02-23T15:45:45Z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