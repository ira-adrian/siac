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D6D5FA01-8C2C-438D-BABE-49C60F5304FE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NotaPedido'!$A$1:$K$19</definedName>
    <definedName name="_xlnm.Print_Area" localSheetId="2">'Autor Gastar'!$A$1:$Q$27</definedName>
    <definedName name="_xlnm.Print_Area" localSheetId="0">'Necesidades Trimestrales'!$E$9:$E$16</definedName>
  </definedNames>
  <calcPr calcId="181029"/>
</workbook>
</file>

<file path=xl/calcChain.xml><?xml version="1.0" encoding="utf-8"?>
<calcChain xmlns="http://schemas.openxmlformats.org/spreadsheetml/2006/main">
  <c r="A10" i="3" l="1"/>
  <c r="B12" i="2" l="1"/>
  <c r="B13" i="2"/>
  <c r="B14" i="2"/>
  <c r="B15" i="2"/>
  <c r="B16" i="2"/>
  <c r="B17" i="2"/>
  <c r="B18" i="2"/>
  <c r="C18" i="2"/>
  <c r="C17" i="2"/>
  <c r="C16" i="2"/>
  <c r="C12" i="2"/>
  <c r="C13" i="2"/>
  <c r="C14" i="2"/>
  <c r="C15" i="2"/>
  <c r="I12" i="2"/>
  <c r="I13" i="2"/>
  <c r="I14" i="2"/>
  <c r="I15" i="2"/>
  <c r="I16" i="2"/>
  <c r="I17" i="2"/>
  <c r="I18" i="2"/>
  <c r="J12" i="2"/>
  <c r="J13" i="2"/>
  <c r="J14" i="2"/>
  <c r="J15" i="2"/>
  <c r="J16" i="2"/>
  <c r="J17" i="2"/>
  <c r="J18" i="2"/>
  <c r="K12" i="2"/>
  <c r="K13" i="2"/>
  <c r="K14" i="2"/>
  <c r="K15" i="2"/>
  <c r="K16" i="2"/>
  <c r="K17" i="2"/>
  <c r="K18" i="2"/>
  <c r="I10" i="1" l="1"/>
  <c r="I11" i="1"/>
  <c r="I12" i="1"/>
  <c r="I13" i="1"/>
  <c r="I14" i="1"/>
  <c r="I15" i="1"/>
  <c r="I16" i="1"/>
  <c r="G6" i="3" l="1"/>
  <c r="G7" i="3"/>
  <c r="D7" i="2"/>
  <c r="D3" i="2"/>
  <c r="G4" i="3" s="1"/>
  <c r="D4" i="2"/>
  <c r="G5" i="3" s="1"/>
  <c r="D1" i="3" l="1"/>
  <c r="Q23" i="3" l="1"/>
  <c r="J19" i="2"/>
</calcChain>
</file>

<file path=xl/sharedStrings.xml><?xml version="1.0" encoding="utf-8"?>
<sst xmlns="http://schemas.openxmlformats.org/spreadsheetml/2006/main" count="119" uniqueCount="90">
  <si>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</si>
  <si>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</si>
  <si>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</si>
  <si>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</si>
  <si>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</si>
  <si>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</si>
  <si>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</si>
  <si>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</si>
  <si>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</si>
  <si>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</si>
  <si>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</si>
  <si>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</si>
  <si>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</si>
  <si>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</si>
  <si>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</si>
  <si>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</si>
  <si>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</si>
  <si>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</si>
  <si>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</si>
  <si>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</si>
  <si>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</si>
  <si>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</si>
  <si>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</si>
  <si>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</si>
  <si>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</si>
  <si>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</si>
  <si>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</si>
  <si>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</si>
  <si>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</si>
  <si>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</si>
  <si>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</si>
  <si>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</si>
  <si>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</si>
  <si>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</si>
  <si>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</si>
  <si>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</si>
  <si>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</si>
  <si>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</si>
  <si>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</si>
  <si>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</si>
  <si>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</si>
  <si>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</si>
  <si>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</si>
  <si>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</si>
  <si>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</si>
  <si>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</si>
  <si>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</si>
  <si>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</si>
  <si>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</si>
  <si>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</si>
  <si>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</si>
  <si>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</si>
  <si>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2.1.1</t>
  </si>
  <si>
    <t>LATA</t>
  </si>
  <si>
    <t>LECHE; ESTADO: POLVO, TIPO: LACTANTE, PROCESO: PASTEURIZADA, AGREGADO: CASEINATO DE SODIO, PRESENTACION: ENVASE X 400 GR, MATERIAL ENVASE: METAL, ELEM. TRANSPORTE: SIN, MATERIAL ELEM. TRANSPORTE: SIN, CERTIFICADO FORESTAL (GFS): SIN, LIBRE DE GLUTEN: NO</t>
  </si>
  <si>
    <t>2.1.1-705.90</t>
  </si>
  <si>
    <t>LECHE; ESTADO: POLVO, TIPO: LACTANTE, PROCESO: PASTEURIZADA, AGREGADO: HIDROL. EXT. PROTEINA DE SUERO, PRESENTACION: ENVASE X 400 GR, MATERIAL ENVASE: METAL, ELEM. TRANSPORTE: SIN, MATERIAL ELEM. TRANSPORTE: SIN, CERTIFICADO FORESTAL (GFS): SIN, LIBRE DE GLUTEN: NO</t>
  </si>
  <si>
    <t>2.1.1-705.91</t>
  </si>
  <si>
    <t>LECHE; ESTADO: POLVO, TIPO: DESLACTOSADA, PROCESO: PASTEURIZADA, AGREGADO: SIN, PRESENTACION: ENVASE X 400 GR, MATERIAL ENVASE: METAL, ELEM. TRANSPORTE: SIN, MATERIAL ELEM. TRANSPORTE: SIN, CERTIFICADO FORESTAL (GFS): SIN, LIBRE DE GLUTEN: NO</t>
  </si>
  <si>
    <t>2.1.1-705.92</t>
  </si>
  <si>
    <t>LECHE; ESTADO: POLVO, TIPO: MATERNIZADA, PROCESO: ESTERILIZADA, AGREGADO: VITAMINAS Y MINERALES, PRESENTACION: ENVASE X 400 GR, MATERIAL ENVASE: METAL, ELEM. TRANSPORTE: SIN, MATERIAL ELEM. TRANSPORTE: SIN, CERTIFICADO FORESTAL (GFS): SIN, LIBRE DE GLUTEN: SI</t>
  </si>
  <si>
    <t>2.1.1-705.88</t>
  </si>
  <si>
    <t>SUPLEMENTOS DIETARIOS; TIPO: MONODROGA, DROGA GENERICA: POLIMERO DE OMALTODEXTRINA, PRESENTACION: ENVASE X 400 GR</t>
  </si>
  <si>
    <t>2.1.1-4227.39</t>
  </si>
  <si>
    <t>SUPLEMENTOS DIETARIOS; TIPO: ASOCIACION, DROGA GENERICA: CASEINATO DE CALCIO, PRESENTACION: ENVASE X 250 GR</t>
  </si>
  <si>
    <t>2.1.1-4227.11</t>
  </si>
  <si>
    <t>024 - Hospital Interzonal de Niños</t>
  </si>
  <si>
    <t>040 - Ministerio de Salud</t>
  </si>
  <si>
    <t>SUPLEMENTOS DIETARIOS; TIPO: ASOCIACION, DROGA GENERICA: FORMULA LACTEA DE CONTINUACION, PRESENTACION: ENVASE X 900 GR</t>
  </si>
  <si>
    <t>2.1.1-4227.43</t>
  </si>
  <si>
    <t>Servicio de Alimentacion y Dietoterapia</t>
  </si>
  <si>
    <t>1.1</t>
  </si>
  <si>
    <t>Alimentos para Personas</t>
  </si>
  <si>
    <t>NO</t>
  </si>
  <si>
    <t>Para la adquisición de Leches Nutricionales destinados al servico de Alimentacion y Dietoterapia del Hospital Interzonal de Niños Eva Peron, para el normal funcionamiento del organismo.</t>
  </si>
  <si>
    <t>PROD. MEDICO/FARMACEUTICOS/LAB</t>
  </si>
  <si>
    <t xml:space="preserve"> </t>
  </si>
  <si>
    <t>Adquisición de Leches Nutricionales</t>
  </si>
  <si>
    <t>473/2020</t>
  </si>
  <si>
    <t>Costo total estimado: Un Millon Diecisiete Mil Ochocientos Veintitres con 50/100</t>
  </si>
  <si>
    <t>TOTAL DE PESOS: UN MILLON DIECISIETE MIL OCHOCIENTOS VEINTITRES CON 50/100.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</si>
  <si>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</si>
  <si>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</si>
  <si>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>Mantenimiento</t>
  </si>
  <si>
    <t xml:space="preserve">45 dias habiles 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</si>
  <si>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NUTRICIÓN  -HOSPITAL INT. DE NIÑOS – AV. VIRGEN DEL VALLE N° 1050-CATAMARCA DE 8:00 A 12:00HS., DEBIENDO CORRER LOS GASTOS DE FLETES, ACARREO, CARGA, DESCARGA Y SEGURO A CARGO DEL ADJUDICATARIO.</t>
    </r>
  </si>
  <si>
    <t>REQUERIMIENTOS MINIMOS DEL PEDIDO</t>
  </si>
  <si>
    <t>*Las latas no deben presentar abolladuras y estar hermeticamente cerradas</t>
  </si>
  <si>
    <t>* Fecha de vencimiento no menor a 10 meses y la misma debe ser legible.</t>
  </si>
  <si>
    <t>*Rotulado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</si>
</sst>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3" xfId="0" applyBorder="1"/>
    <xf numFmtId="0" fontId="0" fillId="0" borderId="18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19" xfId="0" applyBorder="1"/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left" vertical="center"/>
    </xf>
    <xf numFmtId="0" fontId="13" fillId="0" borderId="2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6" fontId="0" fillId="0" borderId="27" xfId="3" applyNumberFormat="1" applyFont="1" applyBorder="1" applyAlignment="1" applyProtection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166" fontId="0" fillId="0" borderId="32" xfId="3" applyNumberFormat="1" applyFont="1" applyBorder="1" applyAlignment="1" applyProtection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166" fontId="13" fillId="0" borderId="37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/>
    </xf>
    <xf numFmtId="166" fontId="15" fillId="0" borderId="0" xfId="0" applyNumberFormat="1" applyFont="1"/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0" fillId="0" borderId="44" xfId="0" applyBorder="1"/>
    <xf numFmtId="0" fontId="5" fillId="3" borderId="3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4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166" fontId="4" fillId="3" borderId="12" xfId="1" applyNumberFormat="1" applyFont="1" applyFill="1" applyBorder="1" applyAlignment="1" applyProtection="1">
      <alignment horizontal="right" vertical="center" wrapText="1"/>
    </xf>
    <xf numFmtId="3" fontId="4" fillId="3" borderId="12" xfId="0" applyNumberFormat="1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24" xfId="0" applyFont="1" applyFill="1" applyBorder="1" applyAlignment="1">
      <alignment horizontal="center" vertical="center"/>
    </xf>
    <xf numFmtId="0" fontId="0" fillId="4" borderId="25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0" fontId="0" fillId="4" borderId="26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0" fillId="0" borderId="48" xfId="0" applyBorder="1"/>
    <xf numFmtId="0" fontId="0" fillId="0" borderId="49" xfId="0" applyBorder="1"/>
    <xf numFmtId="0" fontId="4" fillId="3" borderId="12" xfId="0" applyFont="1" applyFill="1" applyBorder="1" applyAlignment="1">
      <alignment horizontal="center" vertical="center"/>
    </xf>
    <xf numFmtId="0" fontId="21" fillId="0" borderId="50" xfId="0" applyFont="1" applyBorder="1" applyAlignment="1">
      <alignment horizontal="left" vertical="center" wrapText="1"/>
    </xf>
    <xf numFmtId="0" fontId="21" fillId="0" borderId="51" xfId="0" applyFont="1" applyBorder="1" applyAlignment="1">
      <alignment horizontal="left" vertical="center" wrapText="1"/>
    </xf>
    <xf numFmtId="0" fontId="0" fillId="0" borderId="51" xfId="0" applyBorder="1"/>
    <xf numFmtId="0" fontId="0" fillId="0" borderId="52" xfId="0" applyBorder="1"/>
    <xf numFmtId="0" fontId="21" fillId="0" borderId="53" xfId="0" applyFont="1" applyBorder="1" applyAlignment="1">
      <alignment horizontal="center" vertical="center" wrapText="1"/>
    </xf>
    <xf numFmtId="0" fontId="21" fillId="4" borderId="48" xfId="0" applyFont="1" applyFill="1" applyBorder="1" applyAlignment="1">
      <alignment horizontal="center" vertical="center" wrapText="1"/>
    </xf>
    <xf numFmtId="166" fontId="20" fillId="4" borderId="48" xfId="1" applyNumberFormat="1" applyFont="1" applyFill="1" applyBorder="1" applyAlignment="1" applyProtection="1">
      <alignment horizontal="right" vertical="center" wrapText="1"/>
    </xf>
    <xf numFmtId="166" fontId="20" fillId="4" borderId="54" xfId="1" applyNumberFormat="1" applyFont="1" applyFill="1" applyBorder="1" applyAlignment="1" applyProtection="1">
      <alignment horizontal="right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166" fontId="20" fillId="4" borderId="44" xfId="1" applyNumberFormat="1" applyFont="1" applyFill="1" applyBorder="1" applyAlignment="1" applyProtection="1">
      <alignment horizontal="right" vertical="center" wrapText="1"/>
    </xf>
    <xf numFmtId="166" fontId="20" fillId="4" borderId="56" xfId="1" applyNumberFormat="1" applyFont="1" applyFill="1" applyBorder="1" applyAlignment="1" applyProtection="1">
      <alignment horizontal="right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4" borderId="49" xfId="0" applyFont="1" applyFill="1" applyBorder="1" applyAlignment="1">
      <alignment horizontal="center" vertical="center" wrapText="1"/>
    </xf>
    <xf numFmtId="166" fontId="20" fillId="4" borderId="49" xfId="1" applyNumberFormat="1" applyFont="1" applyFill="1" applyBorder="1" applyAlignment="1" applyProtection="1">
      <alignment horizontal="right" vertical="center" wrapText="1"/>
    </xf>
    <xf numFmtId="166" fontId="20" fillId="4" borderId="58" xfId="1" applyNumberFormat="1" applyFont="1" applyFill="1" applyBorder="1" applyAlignment="1" applyProtection="1">
      <alignment horizontal="right" vertical="center" wrapText="1"/>
    </xf>
    <xf numFmtId="167" fontId="2" fillId="3" borderId="0" xfId="0" applyNumberFormat="1" applyFont="1" applyFill="1" applyBorder="1" applyAlignment="1">
      <alignment vertical="center"/>
    </xf>
    <xf numFmtId="0" fontId="23" fillId="0" borderId="59" xfId="0" applyFont="1" applyBorder="1" applyAlignment="1">
      <alignment horizontal="left" indent="3"/>
    </xf>
    <xf numFmtId="0" fontId="15" fillId="0" borderId="60" xfId="0" applyFont="1" applyBorder="1"/>
    <xf numFmtId="0" fontId="15" fillId="0" borderId="61" xfId="0" applyFont="1" applyBorder="1"/>
    <xf numFmtId="0" fontId="23" fillId="0" borderId="62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63" xfId="0" applyFont="1" applyBorder="1" applyAlignment="1">
      <alignment horizontal="center" wrapText="1"/>
    </xf>
    <xf numFmtId="0" fontId="15" fillId="0" borderId="62" xfId="0" applyFont="1" applyBorder="1" applyAlignment="1">
      <alignment horizontal="left" indent="3"/>
    </xf>
    <xf numFmtId="0" fontId="15" fillId="0" borderId="64" xfId="0" applyFont="1" applyBorder="1"/>
    <xf numFmtId="0" fontId="15" fillId="0" borderId="65" xfId="0" applyFont="1" applyBorder="1"/>
    <xf numFmtId="0" fontId="15" fillId="0" borderId="66" xfId="0" applyFont="1" applyBorder="1"/>
    <xf numFmtId="0" fontId="15" fillId="4" borderId="62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63" xfId="5" applyFont="1" applyFill="1" applyBorder="1" applyAlignment="1">
      <alignment horizontal="left" wrapText="1"/>
    </xf>
    <xf numFmtId="0" fontId="23" fillId="0" borderId="59" xfId="0" applyFont="1" applyBorder="1"/>
    <xf numFmtId="0" fontId="15" fillId="0" borderId="62" xfId="0" applyFont="1" applyBorder="1"/>
    <xf numFmtId="0" fontId="15" fillId="0" borderId="0" xfId="0" applyFont="1" applyBorder="1"/>
    <xf numFmtId="0" fontId="15" fillId="0" borderId="63" xfId="0" applyFont="1" applyBorder="1"/>
    <xf numFmtId="0" fontId="15" fillId="4" borderId="62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63" xfId="5" applyFont="1" applyFill="1" applyBorder="1" applyAlignment="1">
      <alignment horizontal="left" wrapText="1"/>
    </xf>
    <xf numFmtId="0" fontId="15" fillId="4" borderId="63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6" fillId="3" borderId="7" xfId="0" applyFont="1" applyFill="1" applyBorder="1" applyAlignment="1">
      <alignment horizontal="left" vertical="center" wrapText="1" indent="1"/>
    </xf>
    <xf numFmtId="167" fontId="7" fillId="3" borderId="7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 wrapText="1" indent="1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4" borderId="37" xfId="0" applyFont="1" applyFill="1" applyBorder="1" applyAlignment="1">
      <alignment horizontal="left" vertical="center" wrapText="1" indent="1"/>
    </xf>
    <xf numFmtId="0" fontId="0" fillId="0" borderId="31" xfId="0" applyFont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9" fillId="0" borderId="37" xfId="0" applyFont="1" applyBorder="1" applyAlignment="1">
      <alignment horizontal="left" vertical="center" wrapText="1"/>
    </xf>
    <xf numFmtId="0" fontId="0" fillId="0" borderId="15" xfId="0" applyBorder="1"/>
    <xf numFmtId="0" fontId="14" fillId="0" borderId="25" xfId="0" applyFont="1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 wrapText="1"/>
    </xf>
    <xf numFmtId="0" fontId="11" fillId="0" borderId="16" xfId="0" applyFont="1" applyBorder="1"/>
    <xf numFmtId="0" fontId="11" fillId="0" borderId="17" xfId="0" applyFont="1" applyBorder="1" applyAlignment="1">
      <alignment horizontal="left" vertical="center" wrapText="1" indent="1"/>
    </xf>
    <xf numFmtId="0" fontId="13" fillId="0" borderId="1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indent="1"/>
    </xf>
    <xf numFmtId="0" fontId="12" fillId="0" borderId="4" xfId="0" applyFont="1" applyBorder="1" applyAlignment="1">
      <alignment horizontal="left"/>
    </xf>
    <xf numFmtId="0" fontId="0" fillId="0" borderId="13" xfId="0" applyFont="1" applyBorder="1" applyAlignment="1">
      <alignment horizontal="center"/>
    </xf>
    <xf numFmtId="3" fontId="9" fillId="0" borderId="1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2" fillId="0" borderId="4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tabSelected="1" zoomScale="73" zoomScaleNormal="73" workbookViewId="0">
      <selection activeCell="H17" sqref="H17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193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6384" width="11" style="32"/>
  </cols>
  <sheetData>
    <row r="2" spans="1:9" ht="27" x14ac:dyDescent="0.35">
      <c r="B2" s="106" t="s">
        <v>0</v>
      </c>
      <c r="C2" s="106"/>
      <c r="D2" s="106"/>
      <c r="E2" s="106"/>
      <c r="F2" s="106"/>
      <c r="G2" s="106"/>
      <c r="H2" s="106"/>
    </row>
    <row r="3" spans="1:9" ht="12" customHeight="1" x14ac:dyDescent="0.2"/>
    <row r="4" spans="1:9" ht="18" customHeight="1" x14ac:dyDescent="0.25">
      <c r="A4" s="105" t="s">
        <v>1</v>
      </c>
      <c r="B4" s="105"/>
      <c r="C4" s="107" t="s">
        <v>67</v>
      </c>
      <c r="D4" s="107"/>
      <c r="E4" s="107"/>
      <c r="F4" s="33"/>
      <c r="G4" s="34"/>
      <c r="H4" s="33"/>
    </row>
    <row r="5" spans="1:9" ht="18" customHeight="1" x14ac:dyDescent="0.25">
      <c r="A5" s="105" t="s">
        <v>2</v>
      </c>
      <c r="B5" s="105"/>
      <c r="C5" s="107" t="s">
        <v>66</v>
      </c>
      <c r="D5" s="107"/>
      <c r="E5" s="107"/>
      <c r="F5" s="33"/>
      <c r="G5" s="34"/>
      <c r="H5" s="33"/>
    </row>
    <row r="6" spans="1:9" ht="16.5" customHeight="1" x14ac:dyDescent="0.25">
      <c r="A6" s="105" t="s">
        <v>3</v>
      </c>
      <c r="B6" s="105"/>
      <c r="C6" s="54">
        <v>2020</v>
      </c>
      <c r="D6" s="55"/>
      <c r="E6" s="55"/>
      <c r="F6" s="33"/>
      <c r="G6" s="34"/>
      <c r="H6" s="33"/>
    </row>
    <row r="7" spans="1:9" ht="16.5" customHeight="1" x14ac:dyDescent="0.25">
      <c r="A7" s="105" t="s">
        <v>4</v>
      </c>
      <c r="B7" s="105"/>
      <c r="C7" s="54">
        <v>4</v>
      </c>
      <c r="D7" s="55"/>
      <c r="E7" s="55"/>
      <c r="F7" s="33"/>
      <c r="G7" s="34"/>
      <c r="H7" s="33"/>
    </row>
    <row r="8" spans="1:9" ht="13.5" thickBot="1" x14ac:dyDescent="0.25">
      <c r="B8" s="33"/>
      <c r="C8" s="34"/>
      <c r="D8" s="33"/>
      <c r="E8" s="33"/>
      <c r="F8" s="33"/>
      <c r="G8" s="34"/>
      <c r="H8" s="33"/>
    </row>
    <row r="9" spans="1:9" ht="39.75" thickTop="1" thickBot="1" x14ac:dyDescent="0.25">
      <c r="A9" s="38" t="s">
        <v>5</v>
      </c>
      <c r="B9" s="35" t="s">
        <v>6</v>
      </c>
      <c r="C9" s="35" t="s">
        <v>7</v>
      </c>
      <c r="D9" s="61" t="s">
        <v>8</v>
      </c>
      <c r="E9" s="62" t="s">
        <v>9</v>
      </c>
      <c r="F9" s="39" t="s">
        <v>10</v>
      </c>
      <c r="G9" s="35" t="s">
        <v>11</v>
      </c>
      <c r="H9" s="35" t="s">
        <v>12</v>
      </c>
      <c r="I9" s="35" t="s">
        <v>13</v>
      </c>
    </row>
    <row r="10" spans="1:9" ht="13.5" thickTop="1" x14ac:dyDescent="0.2">
      <c r="A10" s="36">
        <v>1</v>
      </c>
      <c r="B10" s="63" t="s">
        <v>55</v>
      </c>
      <c r="C10" s="66" t="s">
        <v>51</v>
      </c>
      <c r="D10" s="70" t="s">
        <v>52</v>
      </c>
      <c r="E10" s="63" t="s">
        <v>54</v>
      </c>
      <c r="F10" s="71" t="s">
        <v>53</v>
      </c>
      <c r="G10" s="71">
        <v>100</v>
      </c>
      <c r="H10" s="72">
        <v>3028</v>
      </c>
      <c r="I10" s="73">
        <f t="shared" ref="I10:I14" si="0">G10*H10</f>
        <v>302800</v>
      </c>
    </row>
    <row r="11" spans="1:9" x14ac:dyDescent="0.2">
      <c r="A11" s="36">
        <v>2</v>
      </c>
      <c r="B11" s="40" t="s">
        <v>57</v>
      </c>
      <c r="C11" s="67" t="s">
        <v>51</v>
      </c>
      <c r="D11" s="74" t="s">
        <v>52</v>
      </c>
      <c r="E11" s="40" t="s">
        <v>56</v>
      </c>
      <c r="F11" s="75" t="s">
        <v>53</v>
      </c>
      <c r="G11" s="75">
        <v>60</v>
      </c>
      <c r="H11" s="76">
        <v>1810</v>
      </c>
      <c r="I11" s="77">
        <f t="shared" si="0"/>
        <v>108600</v>
      </c>
    </row>
    <row r="12" spans="1:9" x14ac:dyDescent="0.2">
      <c r="A12" s="36">
        <v>3</v>
      </c>
      <c r="B12" s="40" t="s">
        <v>69</v>
      </c>
      <c r="C12" s="68" t="s">
        <v>75</v>
      </c>
      <c r="D12" s="74" t="s">
        <v>52</v>
      </c>
      <c r="E12" s="40" t="s">
        <v>68</v>
      </c>
      <c r="F12" s="75" t="s">
        <v>53</v>
      </c>
      <c r="G12" s="75">
        <v>150</v>
      </c>
      <c r="H12" s="76">
        <v>719.97</v>
      </c>
      <c r="I12" s="77">
        <f t="shared" si="0"/>
        <v>107995.5</v>
      </c>
    </row>
    <row r="13" spans="1:9" x14ac:dyDescent="0.2">
      <c r="A13" s="36">
        <v>4</v>
      </c>
      <c r="B13" s="40" t="s">
        <v>61</v>
      </c>
      <c r="C13" s="67" t="s">
        <v>51</v>
      </c>
      <c r="D13" s="74" t="s">
        <v>52</v>
      </c>
      <c r="E13" s="40" t="s">
        <v>60</v>
      </c>
      <c r="F13" s="75" t="s">
        <v>53</v>
      </c>
      <c r="G13" s="75">
        <v>250</v>
      </c>
      <c r="H13" s="76">
        <v>693</v>
      </c>
      <c r="I13" s="77">
        <f t="shared" si="0"/>
        <v>173250</v>
      </c>
    </row>
    <row r="14" spans="1:9" x14ac:dyDescent="0.2">
      <c r="A14" s="36">
        <v>5</v>
      </c>
      <c r="B14" s="40" t="s">
        <v>59</v>
      </c>
      <c r="C14" s="67" t="s">
        <v>51</v>
      </c>
      <c r="D14" s="74" t="s">
        <v>52</v>
      </c>
      <c r="E14" s="40" t="s">
        <v>58</v>
      </c>
      <c r="F14" s="75" t="s">
        <v>53</v>
      </c>
      <c r="G14" s="75">
        <v>100</v>
      </c>
      <c r="H14" s="76">
        <v>276.77999999999997</v>
      </c>
      <c r="I14" s="77">
        <f t="shared" si="0"/>
        <v>27677.999999999996</v>
      </c>
    </row>
    <row r="15" spans="1:9" x14ac:dyDescent="0.2">
      <c r="A15" s="36">
        <v>6</v>
      </c>
      <c r="B15" s="40" t="s">
        <v>63</v>
      </c>
      <c r="C15" s="68" t="s">
        <v>75</v>
      </c>
      <c r="D15" s="74" t="s">
        <v>52</v>
      </c>
      <c r="E15" s="40" t="s">
        <v>62</v>
      </c>
      <c r="F15" s="75" t="s">
        <v>53</v>
      </c>
      <c r="G15" s="75">
        <v>100</v>
      </c>
      <c r="H15" s="76">
        <v>2530</v>
      </c>
      <c r="I15" s="77">
        <f t="shared" ref="I15:I16" si="1">G15*H15</f>
        <v>253000</v>
      </c>
    </row>
    <row r="16" spans="1:9" ht="13.5" thickBot="1" x14ac:dyDescent="0.25">
      <c r="A16" s="36">
        <v>7</v>
      </c>
      <c r="B16" s="64" t="s">
        <v>65</v>
      </c>
      <c r="C16" s="69" t="s">
        <v>75</v>
      </c>
      <c r="D16" s="78" t="s">
        <v>52</v>
      </c>
      <c r="E16" s="64" t="s">
        <v>64</v>
      </c>
      <c r="F16" s="79" t="s">
        <v>53</v>
      </c>
      <c r="G16" s="79">
        <v>50</v>
      </c>
      <c r="H16" s="80">
        <v>890</v>
      </c>
      <c r="I16" s="81">
        <f t="shared" si="1"/>
        <v>44500</v>
      </c>
    </row>
    <row r="17" spans="2:9" x14ac:dyDescent="0.2">
      <c r="C17" s="32" t="s">
        <v>76</v>
      </c>
      <c r="I17" s="37"/>
    </row>
    <row r="18" spans="2:9" ht="13.5" thickBot="1" x14ac:dyDescent="0.25"/>
    <row r="19" spans="2:9" x14ac:dyDescent="0.2">
      <c r="B19" s="83" t="s">
        <v>81</v>
      </c>
      <c r="C19" s="84"/>
      <c r="D19" s="84"/>
      <c r="E19" s="85"/>
    </row>
    <row r="20" spans="2:9" ht="12.75" customHeight="1" x14ac:dyDescent="0.2">
      <c r="B20" s="101" t="s">
        <v>85</v>
      </c>
      <c r="C20" s="102"/>
      <c r="D20" s="102"/>
      <c r="E20" s="103"/>
    </row>
    <row r="21" spans="2:9" ht="26.25" customHeight="1" x14ac:dyDescent="0.2">
      <c r="B21" s="101"/>
      <c r="C21" s="102"/>
      <c r="D21" s="102"/>
      <c r="E21" s="103"/>
    </row>
    <row r="22" spans="2:9" ht="26.25" customHeight="1" x14ac:dyDescent="0.2">
      <c r="B22" s="101" t="s">
        <v>82</v>
      </c>
      <c r="C22" s="102"/>
      <c r="D22" s="102"/>
      <c r="E22" s="103"/>
    </row>
    <row r="23" spans="2:9" ht="26.25" customHeight="1" x14ac:dyDescent="0.2">
      <c r="B23" s="94"/>
      <c r="C23" s="95"/>
      <c r="D23" s="95"/>
      <c r="E23" s="96"/>
    </row>
    <row r="24" spans="2:9" x14ac:dyDescent="0.2">
      <c r="B24" s="86" t="s">
        <v>83</v>
      </c>
      <c r="C24" s="87"/>
      <c r="D24" s="88"/>
      <c r="E24" s="89"/>
    </row>
    <row r="25" spans="2:9" ht="26.25" customHeight="1" x14ac:dyDescent="0.2">
      <c r="B25" s="90"/>
      <c r="C25" s="104" t="s">
        <v>84</v>
      </c>
      <c r="D25" s="104"/>
      <c r="E25" s="104"/>
    </row>
    <row r="26" spans="2:9" ht="13.5" thickBot="1" x14ac:dyDescent="0.25">
      <c r="B26" s="91"/>
      <c r="C26" s="92"/>
      <c r="D26" s="92"/>
      <c r="E26" s="93"/>
    </row>
    <row r="28" spans="2:9" ht="6.75" customHeight="1" thickBot="1" x14ac:dyDescent="0.25"/>
    <row r="29" spans="2:9" ht="24" customHeight="1" x14ac:dyDescent="0.2">
      <c r="B29" s="97" t="s">
        <v>86</v>
      </c>
      <c r="C29" s="84"/>
      <c r="D29" s="84"/>
      <c r="E29" s="85"/>
    </row>
    <row r="30" spans="2:9" x14ac:dyDescent="0.2">
      <c r="B30" s="98"/>
      <c r="C30" s="99"/>
      <c r="D30" s="99"/>
      <c r="E30" s="100"/>
    </row>
    <row r="31" spans="2:9" x14ac:dyDescent="0.2">
      <c r="B31" s="98" t="s">
        <v>88</v>
      </c>
      <c r="C31" s="99"/>
      <c r="D31" s="99"/>
      <c r="E31" s="100"/>
    </row>
    <row r="32" spans="2:9" x14ac:dyDescent="0.2">
      <c r="B32" s="98" t="s">
        <v>87</v>
      </c>
      <c r="C32" s="99"/>
      <c r="D32" s="99"/>
      <c r="E32" s="100"/>
    </row>
    <row r="33" spans="2:5" x14ac:dyDescent="0.2">
      <c r="B33" s="98" t="s">
        <v>89</v>
      </c>
      <c r="C33" s="99"/>
      <c r="D33" s="99"/>
      <c r="E33" s="100"/>
    </row>
    <row r="34" spans="2:5" ht="13.5" thickBot="1" x14ac:dyDescent="0.25">
      <c r="B34" s="91"/>
      <c r="C34" s="92"/>
      <c r="D34" s="92"/>
      <c r="E34" s="93"/>
    </row>
  </sheetData>
  <mergeCells count="10">
    <mergeCell ref="B2:H2"/>
    <mergeCell ref="A4:B4"/>
    <mergeCell ref="C4:E4"/>
    <mergeCell ref="A5:B5"/>
    <mergeCell ref="C5:E5"/>
    <mergeCell ref="B20:E21"/>
    <mergeCell ref="B22:E22"/>
    <mergeCell ref="C25:E25"/>
    <mergeCell ref="A6:B6"/>
    <mergeCell ref="A7:B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1"/>
  <sheetViews>
    <sheetView topLeftCell="A10" zoomScale="110" zoomScaleNormal="110" workbookViewId="0">
      <selection activeCell="I22" sqref="I22"/>
    </sheetView>
  </sheetViews>
  <sheetFormatPr baseColWidth="10" defaultColWidth="9.140625" defaultRowHeight="12.75" x14ac:dyDescent="0.2"/>
  <cols>
    <col min="1" max="1" width="5.5703125" style="43" customWidth="1"/>
    <col min="2" max="2" width="15.140625" style="43" customWidth="1"/>
    <col min="3" max="3" width="14.140625" style="43" customWidth="1"/>
    <col min="4" max="4" width="26" style="43" customWidth="1"/>
    <col min="5" max="5" width="8" style="43" customWidth="1"/>
    <col min="6" max="6" width="7.85546875" style="43" customWidth="1"/>
    <col min="7" max="7" width="48.5703125" style="43" customWidth="1"/>
    <col min="8" max="8" width="8.85546875" style="43" customWidth="1"/>
    <col min="9" max="9" width="15.5703125" style="43" customWidth="1"/>
    <col min="10" max="10" width="14.7109375" style="43" customWidth="1"/>
    <col min="11" max="11" width="15.5703125" style="43" customWidth="1"/>
    <col min="12" max="14" width="5.85546875" style="43" customWidth="1"/>
    <col min="15" max="15" width="12.5703125" style="43" customWidth="1"/>
    <col min="16" max="1024" width="9.140625" style="43"/>
    <col min="1025" max="16384" width="9.140625" style="44"/>
  </cols>
  <sheetData>
    <row r="1" spans="1:11" ht="18" customHeight="1" x14ac:dyDescent="0.2">
      <c r="A1" s="116" t="s">
        <v>14</v>
      </c>
      <c r="B1" s="116"/>
      <c r="C1" s="116"/>
      <c r="D1" s="116"/>
      <c r="E1" s="116"/>
      <c r="F1" s="116"/>
      <c r="G1" s="116"/>
      <c r="H1" s="116"/>
      <c r="I1" s="116"/>
      <c r="J1" s="41" t="s">
        <v>15</v>
      </c>
      <c r="K1" s="42" t="s">
        <v>78</v>
      </c>
    </row>
    <row r="2" spans="1:11" ht="18.75" customHeight="1" thickBot="1" x14ac:dyDescent="0.25">
      <c r="A2" s="45"/>
      <c r="B2" s="45"/>
      <c r="C2" s="45"/>
      <c r="D2" s="46"/>
      <c r="E2" s="46"/>
      <c r="F2" s="46"/>
      <c r="G2" s="46"/>
      <c r="H2" s="46"/>
      <c r="I2" s="46"/>
      <c r="J2" s="46"/>
      <c r="K2" s="46"/>
    </row>
    <row r="3" spans="1:11" ht="18.75" customHeight="1" thickBot="1" x14ac:dyDescent="0.25">
      <c r="A3" s="117" t="s">
        <v>48</v>
      </c>
      <c r="B3" s="117"/>
      <c r="C3" s="117"/>
      <c r="D3" s="108" t="str">
        <f>'Necesidades Trimestrales'!C4</f>
        <v>040 - Ministerio de Salud</v>
      </c>
      <c r="E3" s="108"/>
      <c r="F3" s="108"/>
      <c r="G3" s="108"/>
      <c r="H3" s="108"/>
      <c r="I3" s="108"/>
      <c r="J3" s="108"/>
      <c r="K3" s="108"/>
    </row>
    <row r="4" spans="1:11" ht="18.75" customHeight="1" thickBot="1" x14ac:dyDescent="0.25">
      <c r="A4" s="118" t="s">
        <v>49</v>
      </c>
      <c r="B4" s="118"/>
      <c r="C4" s="118"/>
      <c r="D4" s="108" t="str">
        <f>'Necesidades Trimestrales'!C5</f>
        <v>024 - Hospital Interzonal de Niños</v>
      </c>
      <c r="E4" s="108"/>
      <c r="F4" s="108"/>
      <c r="G4" s="108"/>
      <c r="H4" s="108"/>
      <c r="I4" s="108"/>
      <c r="J4" s="108"/>
      <c r="K4" s="108"/>
    </row>
    <row r="5" spans="1:11" ht="18.75" customHeight="1" thickBot="1" x14ac:dyDescent="0.25">
      <c r="A5" s="118" t="s">
        <v>27</v>
      </c>
      <c r="B5" s="118"/>
      <c r="C5" s="118"/>
      <c r="D5" s="108" t="s">
        <v>66</v>
      </c>
      <c r="E5" s="108"/>
      <c r="F5" s="108"/>
      <c r="G5" s="108"/>
      <c r="H5" s="108"/>
      <c r="I5" s="108"/>
      <c r="J5" s="108"/>
      <c r="K5" s="108"/>
    </row>
    <row r="6" spans="1:11" ht="16.5" customHeight="1" thickBot="1" x14ac:dyDescent="0.25">
      <c r="A6" s="117" t="s">
        <v>50</v>
      </c>
      <c r="B6" s="117"/>
      <c r="C6" s="117"/>
      <c r="D6" s="108" t="s">
        <v>70</v>
      </c>
      <c r="E6" s="108"/>
      <c r="F6" s="108"/>
      <c r="G6" s="108"/>
      <c r="H6" s="108"/>
      <c r="I6" s="108"/>
      <c r="J6" s="108"/>
      <c r="K6" s="108"/>
    </row>
    <row r="7" spans="1:11" ht="16.5" customHeight="1" x14ac:dyDescent="0.2">
      <c r="A7" s="118" t="s">
        <v>16</v>
      </c>
      <c r="B7" s="118"/>
      <c r="C7" s="118"/>
      <c r="D7" s="108" t="str">
        <f>'Necesidades Trimestrales'!C7 &amp; "° Trimestre - Año " &amp; 'Necesidades Trimestrales'!C6</f>
        <v>4° Trimestre - Año 2020</v>
      </c>
      <c r="E7" s="108"/>
      <c r="F7" s="108"/>
      <c r="G7" s="108"/>
      <c r="H7" s="108"/>
      <c r="I7" s="108"/>
      <c r="J7" s="108"/>
      <c r="K7" s="108"/>
    </row>
    <row r="8" spans="1:11" ht="16.5" customHeight="1" x14ac:dyDescent="0.2">
      <c r="A8" s="110" t="s">
        <v>17</v>
      </c>
      <c r="B8" s="110"/>
      <c r="C8" s="110"/>
      <c r="D8" s="111" t="s">
        <v>77</v>
      </c>
      <c r="E8" s="111"/>
      <c r="F8" s="111"/>
      <c r="G8" s="111"/>
      <c r="H8" s="111"/>
      <c r="I8" s="111"/>
      <c r="J8" s="111"/>
      <c r="K8" s="111"/>
    </row>
    <row r="9" spans="1:11" ht="15.75" x14ac:dyDescent="0.2">
      <c r="A9" s="47"/>
      <c r="B9" s="47"/>
      <c r="C9" s="47"/>
      <c r="D9" s="48"/>
      <c r="E9" s="48"/>
      <c r="F9" s="48"/>
      <c r="G9" s="48"/>
      <c r="H9" s="48"/>
      <c r="I9" s="48"/>
      <c r="J9" s="48"/>
      <c r="K9" s="48"/>
    </row>
    <row r="10" spans="1:11" ht="18.75" customHeight="1" x14ac:dyDescent="0.2">
      <c r="A10" s="112" t="s">
        <v>18</v>
      </c>
      <c r="B10" s="113" t="s">
        <v>19</v>
      </c>
      <c r="C10" s="113" t="s">
        <v>20</v>
      </c>
      <c r="D10" s="113"/>
      <c r="E10" s="113"/>
      <c r="F10" s="113"/>
      <c r="G10" s="113"/>
      <c r="H10" s="113" t="s">
        <v>21</v>
      </c>
      <c r="I10" s="113" t="s">
        <v>22</v>
      </c>
      <c r="J10" s="113" t="s">
        <v>23</v>
      </c>
      <c r="K10" s="114" t="s">
        <v>24</v>
      </c>
    </row>
    <row r="11" spans="1:11" ht="24" customHeight="1" thickBot="1" x14ac:dyDescent="0.25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4"/>
    </row>
    <row r="12" spans="1:11" ht="51" customHeight="1" x14ac:dyDescent="0.2">
      <c r="A12" s="53">
        <v>1</v>
      </c>
      <c r="B12" s="65" t="str">
        <f>'Necesidades Trimestrales'!B10</f>
        <v>2.1.1-705.90</v>
      </c>
      <c r="C12" s="115" t="str">
        <f>'Necesidades Trimestrales'!E10</f>
        <v>LECHE; ESTADO: POLVO, TIPO: LACTANTE, PROCESO: PASTEURIZADA, AGREGADO: CASEINATO DE SODIO, PRESENTACION: ENVASE X 400 GR, MATERIAL ENVASE: METAL, ELEM. TRANSPORTE: SIN, MATERIAL ELEM. TRANSPORTE: SIN, CERTIFICADO FORESTAL (GFS): SIN, LIBRE DE GLUTEN: NO</v>
      </c>
      <c r="D12" s="115"/>
      <c r="E12" s="115"/>
      <c r="F12" s="115"/>
      <c r="G12" s="115"/>
      <c r="H12" s="49" t="s">
        <v>73</v>
      </c>
      <c r="I12" s="50" t="str">
        <f>'Necesidades Trimestrales'!F10</f>
        <v>LATA</v>
      </c>
      <c r="J12" s="51">
        <f>'Necesidades Trimestrales'!H10</f>
        <v>3028</v>
      </c>
      <c r="K12" s="52">
        <f>'Necesidades Trimestrales'!G10</f>
        <v>100</v>
      </c>
    </row>
    <row r="13" spans="1:11" ht="44.25" customHeight="1" x14ac:dyDescent="0.2">
      <c r="A13" s="53">
        <v>2</v>
      </c>
      <c r="B13" s="65" t="str">
        <f>'Necesidades Trimestrales'!B11</f>
        <v>2.1.1-705.91</v>
      </c>
      <c r="C13" s="115" t="str">
        <f>'Necesidades Trimestrales'!E11</f>
        <v>LECHE; ESTADO: POLVO, TIPO: LACTANTE, PROCESO: PASTEURIZADA, AGREGADO: HIDROL. EXT. PROTEINA DE SUERO, PRESENTACION: ENVASE X 400 GR, MATERIAL ENVASE: METAL, ELEM. TRANSPORTE: SIN, MATERIAL ELEM. TRANSPORTE: SIN, CERTIFICADO FORESTAL (GFS): SIN, LIBRE DE GLUTEN: NO</v>
      </c>
      <c r="D13" s="115"/>
      <c r="E13" s="115"/>
      <c r="F13" s="115"/>
      <c r="G13" s="115"/>
      <c r="H13" s="49" t="s">
        <v>73</v>
      </c>
      <c r="I13" s="50" t="str">
        <f>'Necesidades Trimestrales'!F11</f>
        <v>LATA</v>
      </c>
      <c r="J13" s="51">
        <f>'Necesidades Trimestrales'!H11</f>
        <v>1810</v>
      </c>
      <c r="K13" s="52">
        <f>'Necesidades Trimestrales'!G11</f>
        <v>60</v>
      </c>
    </row>
    <row r="14" spans="1:11" ht="33.75" customHeight="1" x14ac:dyDescent="0.2">
      <c r="A14" s="53">
        <v>3</v>
      </c>
      <c r="B14" s="65" t="str">
        <f>'Necesidades Trimestrales'!B12</f>
        <v>2.1.1-4227.43</v>
      </c>
      <c r="C14" s="115" t="str">
        <f>'Necesidades Trimestrales'!E12</f>
        <v>SUPLEMENTOS DIETARIOS; TIPO: ASOCIACION, DROGA GENERICA: FORMULA LACTEA DE CONTINUACION, PRESENTACION: ENVASE X 900 GR</v>
      </c>
      <c r="D14" s="115"/>
      <c r="E14" s="115"/>
      <c r="F14" s="115"/>
      <c r="G14" s="115"/>
      <c r="H14" s="49" t="s">
        <v>73</v>
      </c>
      <c r="I14" s="50" t="str">
        <f>'Necesidades Trimestrales'!F12</f>
        <v>LATA</v>
      </c>
      <c r="J14" s="51">
        <f>'Necesidades Trimestrales'!H12</f>
        <v>719.97</v>
      </c>
      <c r="K14" s="52">
        <f>'Necesidades Trimestrales'!G12</f>
        <v>150</v>
      </c>
    </row>
    <row r="15" spans="1:11" ht="51" customHeight="1" x14ac:dyDescent="0.2">
      <c r="A15" s="53">
        <v>4</v>
      </c>
      <c r="B15" s="65" t="str">
        <f>'Necesidades Trimestrales'!B13</f>
        <v>2.1.1-705.88</v>
      </c>
      <c r="C15" s="115" t="str">
        <f>'Necesidades Trimestrales'!E13</f>
        <v>LECHE; ESTADO: POLVO, TIPO: MATERNIZADA, PROCESO: ESTERILIZADA, AGREGADO: VITAMINAS Y MINERALES, PRESENTACION: ENVASE X 400 GR, MATERIAL ENVASE: METAL, ELEM. TRANSPORTE: SIN, MATERIAL ELEM. TRANSPORTE: SIN, CERTIFICADO FORESTAL (GFS): SIN, LIBRE DE GLUTEN: SI</v>
      </c>
      <c r="D15" s="115"/>
      <c r="E15" s="115"/>
      <c r="F15" s="115"/>
      <c r="G15" s="115"/>
      <c r="H15" s="49" t="s">
        <v>73</v>
      </c>
      <c r="I15" s="50" t="str">
        <f>'Necesidades Trimestrales'!F13</f>
        <v>LATA</v>
      </c>
      <c r="J15" s="51">
        <f>'Necesidades Trimestrales'!H13</f>
        <v>693</v>
      </c>
      <c r="K15" s="52">
        <f>'Necesidades Trimestrales'!G13</f>
        <v>250</v>
      </c>
    </row>
    <row r="16" spans="1:11" ht="38.25" customHeight="1" x14ac:dyDescent="0.2">
      <c r="A16" s="53">
        <v>5</v>
      </c>
      <c r="B16" s="65" t="str">
        <f>'Necesidades Trimestrales'!B14</f>
        <v>2.1.1-705.92</v>
      </c>
      <c r="C16" s="115" t="str">
        <f>'Necesidades Trimestrales'!E14</f>
        <v>LECHE; ESTADO: POLVO, TIPO: DESLACTOSADA, PROCESO: PASTEURIZADA, AGREGADO: SIN, PRESENTACION: ENVASE X 400 GR, MATERIAL ENVASE: METAL, ELEM. TRANSPORTE: SIN, MATERIAL ELEM. TRANSPORTE: SIN, CERTIFICADO FORESTAL (GFS): SIN, LIBRE DE GLUTEN: NO</v>
      </c>
      <c r="D16" s="115"/>
      <c r="E16" s="115"/>
      <c r="F16" s="115"/>
      <c r="G16" s="115"/>
      <c r="H16" s="49" t="s">
        <v>73</v>
      </c>
      <c r="I16" s="50" t="str">
        <f>'Necesidades Trimestrales'!F14</f>
        <v>LATA</v>
      </c>
      <c r="J16" s="51">
        <f>'Necesidades Trimestrales'!H14</f>
        <v>276.77999999999997</v>
      </c>
      <c r="K16" s="52">
        <f>'Necesidades Trimestrales'!G14</f>
        <v>100</v>
      </c>
    </row>
    <row r="17" spans="1:11" ht="27" customHeight="1" x14ac:dyDescent="0.2">
      <c r="A17" s="53">
        <v>6</v>
      </c>
      <c r="B17" s="65" t="str">
        <f>'Necesidades Trimestrales'!B15</f>
        <v>2.1.1-4227.39</v>
      </c>
      <c r="C17" s="115" t="str">
        <f>'Necesidades Trimestrales'!E15</f>
        <v>SUPLEMENTOS DIETARIOS; TIPO: MONODROGA, DROGA GENERICA: POLIMERO DE OMALTODEXTRINA, PRESENTACION: ENVASE X 400 GR</v>
      </c>
      <c r="D17" s="115"/>
      <c r="E17" s="115"/>
      <c r="F17" s="115"/>
      <c r="G17" s="115"/>
      <c r="H17" s="49" t="s">
        <v>73</v>
      </c>
      <c r="I17" s="50" t="str">
        <f>'Necesidades Trimestrales'!F15</f>
        <v>LATA</v>
      </c>
      <c r="J17" s="51">
        <f>'Necesidades Trimestrales'!H15</f>
        <v>2530</v>
      </c>
      <c r="K17" s="52">
        <f>'Necesidades Trimestrales'!G15</f>
        <v>100</v>
      </c>
    </row>
    <row r="18" spans="1:11" ht="29.25" customHeight="1" thickBot="1" x14ac:dyDescent="0.25">
      <c r="A18" s="53">
        <v>7</v>
      </c>
      <c r="B18" s="65" t="str">
        <f>'Necesidades Trimestrales'!B16</f>
        <v>2.1.1-4227.11</v>
      </c>
      <c r="C18" s="115" t="str">
        <f>'Necesidades Trimestrales'!E16</f>
        <v>SUPLEMENTOS DIETARIOS; TIPO: ASOCIACION, DROGA GENERICA: CASEINATO DE CALCIO, PRESENTACION: ENVASE X 250 GR</v>
      </c>
      <c r="D18" s="115"/>
      <c r="E18" s="115"/>
      <c r="F18" s="115"/>
      <c r="G18" s="115"/>
      <c r="H18" s="49" t="s">
        <v>73</v>
      </c>
      <c r="I18" s="50" t="str">
        <f>'Necesidades Trimestrales'!F16</f>
        <v>LATA</v>
      </c>
      <c r="J18" s="51">
        <f>'Necesidades Trimestrales'!H16</f>
        <v>890</v>
      </c>
      <c r="K18" s="52">
        <f>'Necesidades Trimestrales'!G16</f>
        <v>50</v>
      </c>
    </row>
    <row r="19" spans="1:11" ht="20.25" customHeight="1" thickBot="1" x14ac:dyDescent="0.25">
      <c r="A19" s="108" t="s">
        <v>79</v>
      </c>
      <c r="B19" s="108"/>
      <c r="C19" s="108"/>
      <c r="D19" s="108"/>
      <c r="E19" s="108"/>
      <c r="F19" s="108"/>
      <c r="G19" s="108"/>
      <c r="H19" s="108"/>
      <c r="I19" s="108"/>
      <c r="J19" s="109">
        <f>SUMPRODUCT(J12:J18,K12:K18)</f>
        <v>1017823.5</v>
      </c>
      <c r="K19" s="109"/>
    </row>
    <row r="21" spans="1:11" x14ac:dyDescent="0.2">
      <c r="H21" s="82"/>
    </row>
  </sheetData>
  <mergeCells count="29">
    <mergeCell ref="C17:G17"/>
    <mergeCell ref="C18:G1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9:I19"/>
    <mergeCell ref="J19:K1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2" t="s">
        <v>3</v>
      </c>
      <c r="B1" s="142"/>
      <c r="C1" s="142"/>
      <c r="D1" s="143">
        <f>'Necesidades Trimestrales'!C6</f>
        <v>2020</v>
      </c>
      <c r="E1" s="143"/>
      <c r="F1" s="3"/>
      <c r="G1" s="3"/>
      <c r="H1" s="4"/>
      <c r="I1" s="4"/>
      <c r="J1" s="4"/>
      <c r="K1" s="4"/>
      <c r="L1" s="4"/>
      <c r="M1" s="4"/>
      <c r="N1" s="4"/>
      <c r="P1" s="144" t="s">
        <v>25</v>
      </c>
      <c r="Q1" s="144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4"/>
      <c r="Q2" s="144"/>
    </row>
    <row r="4" spans="1:17" s="5" customFormat="1" ht="18" customHeight="1" thickBot="1" x14ac:dyDescent="0.25">
      <c r="A4" s="145" t="s">
        <v>26</v>
      </c>
      <c r="B4" s="145"/>
      <c r="C4" s="145"/>
      <c r="D4" s="145"/>
      <c r="E4" s="145"/>
      <c r="F4" s="145"/>
      <c r="G4" s="140" t="str">
        <f>' NotaPedido'!D3</f>
        <v>040 - Ministerio de Salud</v>
      </c>
      <c r="H4" s="140"/>
      <c r="I4" s="140"/>
      <c r="J4" s="140"/>
      <c r="K4" s="140"/>
      <c r="L4" s="140"/>
      <c r="M4" s="140"/>
      <c r="N4" s="140"/>
      <c r="O4" s="140"/>
      <c r="P4" s="140"/>
      <c r="Q4" s="140"/>
    </row>
    <row r="5" spans="1:17" s="5" customFormat="1" ht="18" customHeight="1" thickBot="1" x14ac:dyDescent="0.25">
      <c r="A5" s="137" t="s">
        <v>49</v>
      </c>
      <c r="B5" s="138"/>
      <c r="C5" s="138"/>
      <c r="D5" s="138"/>
      <c r="E5" s="138"/>
      <c r="F5" s="139"/>
      <c r="G5" s="140" t="str">
        <f>' NotaPedido'!D4</f>
        <v>024 - Hospital Interzonal de Niños</v>
      </c>
      <c r="H5" s="140"/>
      <c r="I5" s="140"/>
      <c r="J5" s="140"/>
      <c r="K5" s="140"/>
      <c r="L5" s="140"/>
      <c r="M5" s="140"/>
      <c r="N5" s="140"/>
      <c r="O5" s="140"/>
      <c r="P5" s="140"/>
      <c r="Q5" s="140"/>
    </row>
    <row r="6" spans="1:17" s="5" customFormat="1" ht="18" customHeight="1" thickBot="1" x14ac:dyDescent="0.25">
      <c r="A6" s="137" t="s">
        <v>27</v>
      </c>
      <c r="B6" s="138"/>
      <c r="C6" s="138"/>
      <c r="D6" s="138"/>
      <c r="E6" s="138"/>
      <c r="F6" s="139"/>
      <c r="G6" s="140" t="str">
        <f>' NotaPedido'!D5</f>
        <v>024 - Hospital Interzonal de Niños</v>
      </c>
      <c r="H6" s="140"/>
      <c r="I6" s="140"/>
      <c r="J6" s="140"/>
      <c r="K6" s="140"/>
      <c r="L6" s="140"/>
      <c r="M6" s="140"/>
      <c r="N6" s="140"/>
      <c r="O6" s="140"/>
      <c r="P6" s="140"/>
      <c r="Q6" s="140"/>
    </row>
    <row r="7" spans="1:17" s="5" customFormat="1" ht="18" customHeight="1" thickBot="1" x14ac:dyDescent="0.25">
      <c r="A7" s="137" t="s">
        <v>50</v>
      </c>
      <c r="B7" s="138"/>
      <c r="C7" s="138"/>
      <c r="D7" s="138"/>
      <c r="E7" s="138"/>
      <c r="F7" s="139"/>
      <c r="G7" s="140" t="str">
        <f>' NotaPedido'!D6</f>
        <v>Servicio de Alimentacion y Dietoterapia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</row>
    <row r="8" spans="1:17" ht="18" customHeight="1" thickBot="1" x14ac:dyDescent="0.25">
      <c r="A8" s="141" t="s">
        <v>28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</row>
    <row r="9" spans="1:17" ht="18" customHeight="1" x14ac:dyDescent="0.2">
      <c r="A9" s="131" t="s">
        <v>29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"/>
      <c r="P9" s="1"/>
      <c r="Q9" s="6"/>
    </row>
    <row r="10" spans="1:17" ht="54.75" customHeight="1" x14ac:dyDescent="0.2">
      <c r="A10" s="13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473/2020,  afectando la erogación resultante a los créditos presupuestarios aprobados a favor de esta Unidad Ejecutora, conforme al siguiente detalle: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3" t="s">
        <v>30</v>
      </c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</row>
    <row r="13" spans="1:17" ht="15.75" customHeight="1" x14ac:dyDescent="0.2">
      <c r="A13" s="134" t="s">
        <v>31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5" t="s">
        <v>32</v>
      </c>
      <c r="P13" s="135"/>
      <c r="Q13" s="136" t="s">
        <v>33</v>
      </c>
    </row>
    <row r="14" spans="1:17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35"/>
      <c r="P14" s="135"/>
      <c r="Q14" s="136"/>
    </row>
    <row r="15" spans="1:17" ht="17.25" customHeight="1" x14ac:dyDescent="0.2">
      <c r="A15" s="56">
        <v>36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310</v>
      </c>
      <c r="I15" s="58">
        <v>2</v>
      </c>
      <c r="J15" s="58">
        <v>1</v>
      </c>
      <c r="K15" s="58">
        <v>1</v>
      </c>
      <c r="L15" s="57"/>
      <c r="M15" s="59">
        <v>1</v>
      </c>
      <c r="N15" s="60" t="s">
        <v>71</v>
      </c>
      <c r="O15" s="129" t="s">
        <v>72</v>
      </c>
      <c r="P15" s="130"/>
      <c r="Q15" s="16">
        <v>1017823.5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24"/>
      <c r="P16" s="124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24"/>
      <c r="P17" s="124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24"/>
      <c r="P18" s="124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4"/>
      <c r="P19" s="124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24"/>
      <c r="P20" s="124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25"/>
      <c r="P21" s="125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26"/>
      <c r="P22" s="126"/>
      <c r="Q22" s="30"/>
    </row>
    <row r="23" spans="1:18" ht="29.25" customHeight="1" x14ac:dyDescent="0.2">
      <c r="A23" s="127" t="s">
        <v>80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31">
        <f>SUM(Q15:Q22)</f>
        <v>1017823.5</v>
      </c>
    </row>
    <row r="24" spans="1:18" ht="18" customHeight="1" thickBot="1" x14ac:dyDescent="0.25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</row>
    <row r="25" spans="1:18" ht="17.25" customHeight="1" thickBot="1" x14ac:dyDescent="0.25">
      <c r="A25" s="119" t="s">
        <v>47</v>
      </c>
      <c r="B25" s="120"/>
      <c r="C25" s="120"/>
      <c r="D25" s="120"/>
      <c r="E25" s="120"/>
      <c r="F25" s="121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</row>
    <row r="26" spans="1:18" ht="18" customHeight="1" thickBot="1" x14ac:dyDescent="0.25">
      <c r="A26" s="123" t="s">
        <v>74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</row>
    <row r="27" spans="1:18" ht="15" customHeight="1" x14ac:dyDescent="0.2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2021-08-18T11:46:34Z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