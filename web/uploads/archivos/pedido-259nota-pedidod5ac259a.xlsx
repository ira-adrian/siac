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SILVINA ATENCIO\Downloads\"/>
    </mc:Choice>
  </mc:AlternateContent>
  <xr:revisionPtr revIDLastSave="0" documentId="13_ncr:1_{469CD76C-486F-4A65-B1CF-F9D0ADEA16B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ontrol ítems" sheetId="1" r:id="rId1"/>
    <sheet name="Solic.Gasto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59" i="1" l="1"/>
  <c r="J53" i="1"/>
  <c r="J48" i="1"/>
  <c r="J38" i="1"/>
  <c r="J30" i="1"/>
  <c r="I14" i="1"/>
  <c r="I9" i="1"/>
  <c r="I8" i="1"/>
  <c r="I7" i="1"/>
  <c r="I6" i="1"/>
  <c r="A6" i="1"/>
  <c r="A7" i="1" s="1"/>
  <c r="A8" i="1" s="1"/>
  <c r="A9" i="1" s="1"/>
  <c r="I5" i="1"/>
  <c r="I12" i="1" s="1"/>
</calcChain>
</file>

<file path=xl/sharedStrings.xml><?xml version="1.0" encoding="utf-8"?>
<sst xmlns="http://schemas.openxmlformats.org/spreadsheetml/2006/main" count="73" uniqueCount="48">
  <si>
    <t>ID</t>
  </si>
  <si>
    <t>CODIGO ITEM</t>
  </si>
  <si>
    <t>UNIDAD DE MEDIDA</t>
  </si>
  <si>
    <t>CANTIDAD</t>
  </si>
  <si>
    <t>PRECIO UNITARIO ESTIMADO</t>
  </si>
  <si>
    <t xml:space="preserve">IMPORTE TOTAL ESTIMADO </t>
  </si>
  <si>
    <t>2.2.2-6728.11</t>
  </si>
  <si>
    <t>CALZADO DE SEGURIDAD; SUELA: GOMA, MATERIAL: CUERO, TIPO: BOTIN MODELO FRANCES, PUNTERA: CON</t>
  </si>
  <si>
    <t>PAR</t>
  </si>
  <si>
    <t>2.2.2-6731.95</t>
  </si>
  <si>
    <t>CAMISAS; TIPO: DE TRABAJO, TELA: GRAFA, MANGA: LARGA, COSTURA: DOBLE, BOLSILLO: 2</t>
  </si>
  <si>
    <t>UNIDAD</t>
  </si>
  <si>
    <t>2.2.2-6738.22</t>
  </si>
  <si>
    <t>PANTALONES; TELA: GRAFA, SEXO: MASCULINO, TIPO: DE TRABAJO</t>
  </si>
  <si>
    <t>2.2.2-2859.23</t>
  </si>
  <si>
    <t>REMERAS; MATERIAL PIQUE - MANGA CORTA</t>
  </si>
  <si>
    <t>2.2.2-6734.94</t>
  </si>
  <si>
    <t>CAMPERAS; CIERRE: CON, CAPUCHA: CON, TIPO: TERMICA, MATERIAL: TRUCKER</t>
  </si>
  <si>
    <t>DESCRIPCION S/NEC.TRIMESTRALES Y Npe N° 13/2021</t>
  </si>
  <si>
    <t>DESCRIPCION S/CATALOGO COMPR.AR</t>
  </si>
  <si>
    <t>Especificidades Item N° 1:</t>
  </si>
  <si>
    <t>Especificidades Item N° 2:</t>
  </si>
  <si>
    <t>Especificidades Item N° 3:</t>
  </si>
  <si>
    <t>Especificidades Item N° 4:</t>
  </si>
  <si>
    <t>Especificidades Item N° 5:</t>
  </si>
  <si>
    <t>CAMISAS; TIPO: DE TRABAJO, TELA: GRAFA 100% ALGODON, MANGA: LARGA, COSTURA: REFORZADA, BOLSILLO: 2;  COLOR: BEIGE O VERDE, LOGO: ESTAMPADO DE MINISTERIO DE CULTURA Y TURISMO EN EL BOLSILLO IZQUIERDO, GENERO: MASCULINO, TAMAŃO DE LOGO: 8 CM. DE LARGO X 6 CM. DE ANCHO, VARIOS TALLES.</t>
  </si>
  <si>
    <t>PANTALONES; TELA: GRAFA 100% ALGODÓN, SEXO: MASCULINO, TIPO: DE TRABAJO; COLOR: BEIGE O VERDE, BOLSILLOS: 2 DELANTEROS Y 2 TRASEROS, SIN ESTAMPA.</t>
  </si>
  <si>
    <t>REMERAS; MATERIAL: PIQUE; MANGA: CORTA; LOGO ESTAMPADO DEL MINISTERIO  DE CULTURA Y TURISMO EN SECTOR IZQUIERDO FRENTE DE LA REMERA DE 8 CM. DE LARGO POR 6 CM. DE ANCHO; GENERO: MASCULINO; VARIOS TALLES.</t>
  </si>
  <si>
    <t>CAMPERAS; CIERRE: CON; CAPUCHA: CON; TIPO: TERMICA; MATERIAL: TRUCKER; GENERO: MASCULINO; COLOR: NEGRO; LOGO: ESTAMPADO  DEL MINISTERIO  DE CULTURA Y TURISMO SECTOR IZQUIERDO FRENTE DE LA CAMPERA, VARIOS TALLES.</t>
  </si>
  <si>
    <t>Plazo y Lugar de Entrega:</t>
  </si>
  <si>
    <r>
      <rPr>
        <b/>
        <u/>
        <sz val="11"/>
        <color theme="1"/>
        <rFont val="Calibri"/>
        <family val="2"/>
        <scheme val="minor"/>
      </rPr>
      <t>Entrega:</t>
    </r>
    <r>
      <rPr>
        <sz val="11"/>
        <color theme="1"/>
        <rFont val="Calibri"/>
        <family val="2"/>
        <scheme val="minor"/>
      </rPr>
      <t xml:space="preserve"> dentro de los Treinta (30) días de recepcíonada la Orden de Compra -  </t>
    </r>
    <r>
      <rPr>
        <b/>
        <u/>
        <sz val="11"/>
        <color theme="1"/>
        <rFont val="Calibri"/>
        <family val="2"/>
        <scheme val="minor"/>
      </rPr>
      <t>Lugar:</t>
    </r>
    <r>
      <rPr>
        <sz val="11"/>
        <color theme="1"/>
        <rFont val="Calibri"/>
        <family val="2"/>
        <scheme val="minor"/>
      </rPr>
      <t xml:space="preserve"> Ministerio de Cultura y Turismo sito en  Avda. Mexico S/N- Predio Ferial Catamarca-  Ciudad de San Fernando del Valle de Catamarca.-</t>
    </r>
  </si>
  <si>
    <r>
      <rPr>
        <b/>
        <u/>
        <sz val="14"/>
        <color theme="1"/>
        <rFont val="Calibri"/>
        <family val="2"/>
        <scheme val="minor"/>
      </rPr>
      <t>NO-2021-00254821-CAT-DPARH#MCT</t>
    </r>
    <r>
      <rPr>
        <b/>
        <sz val="14"/>
        <color theme="1"/>
        <rFont val="Calibri"/>
        <family val="2"/>
        <scheme val="minor"/>
      </rPr>
      <t xml:space="preserve"> (ADQ.ROPA DE TRABAJO-Minist.Cultura y Turismo)</t>
    </r>
  </si>
  <si>
    <r>
      <t xml:space="preserve">CALZADO DE SEGURIDAD; SUELA: GOMA, MATERIAL: CUERO, TIPO: BOTÍN MODELO FRANCES, PUNTERA: CON </t>
    </r>
    <r>
      <rPr>
        <b/>
        <sz val="8"/>
        <rFont val="Calibri"/>
        <family val="2"/>
        <scheme val="minor"/>
      </rPr>
      <t>ACERO, GENERO: HOMBRE, VARIOS TALLES</t>
    </r>
    <r>
      <rPr>
        <sz val="8"/>
        <rFont val="Calibri"/>
        <family val="2"/>
        <scheme val="minor"/>
      </rPr>
      <t>.</t>
    </r>
  </si>
  <si>
    <t>control suma</t>
  </si>
  <si>
    <t>TALLES</t>
  </si>
  <si>
    <t>ÍTEM 1</t>
  </si>
  <si>
    <t>ÍTEM 2</t>
  </si>
  <si>
    <t>ÍTEM 3</t>
  </si>
  <si>
    <t>ÍTEM 4</t>
  </si>
  <si>
    <t>L</t>
  </si>
  <si>
    <t>XL</t>
  </si>
  <si>
    <t>XXL</t>
  </si>
  <si>
    <t>ÍTEM 5</t>
  </si>
  <si>
    <t>XXXL</t>
  </si>
  <si>
    <t>RUBRO</t>
  </si>
  <si>
    <t>IPP</t>
  </si>
  <si>
    <t>2.2.2</t>
  </si>
  <si>
    <t xml:space="preserve">PRENDAS DE VESTIR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</si>
</sst>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&quot;$&quot;\ #,##0.0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rgb="FF000000"/>
      <name val="Times New Roman"/>
      <family val="1"/>
    </font>
    <font>
      <sz val="11"/>
      <name val="Calibri"/>
      <family val="2"/>
    </font>
    <font>
      <b/>
      <sz val="11"/>
      <color rgb="FF000000"/>
      <name val="Calibri"/>
      <family val="2"/>
    </font>
    <font>
      <sz val="8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2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2">
    <xf numFmtId="0" fontId="0" fillId="0" borderId="0" xfId="0"/>
    <xf numFmtId="0" fontId="4" fillId="0" borderId="2" xfId="0" applyFont="1" applyFill="1" applyBorder="1" applyAlignment="1">
      <alignment horizontal="center" vertical="center" wrapText="1"/>
    </xf>
    <xf numFmtId="1" fontId="3" fillId="0" borderId="2" xfId="0" applyNumberFormat="1" applyFont="1" applyFill="1" applyBorder="1" applyAlignment="1">
      <alignment horizontal="center" vertical="center" wrapText="1"/>
    </xf>
    <xf numFmtId="164" fontId="3" fillId="0" borderId="2" xfId="1" applyNumberFormat="1" applyFont="1" applyFill="1" applyBorder="1" applyAlignment="1" applyProtection="1">
      <alignment horizontal="center" vertical="center" wrapText="1"/>
    </xf>
    <xf numFmtId="1" fontId="4" fillId="0" borderId="2" xfId="0" applyNumberFormat="1" applyFont="1" applyFill="1" applyBorder="1" applyAlignment="1">
      <alignment horizontal="center" vertical="center" wrapText="1"/>
    </xf>
    <xf numFmtId="164" fontId="4" fillId="0" borderId="2" xfId="0" applyNumberFormat="1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2" xfId="0" applyBorder="1"/>
    <xf numFmtId="0" fontId="0" fillId="0" borderId="2" xfId="0" applyBorder="1" applyAlignment="1">
      <alignment wrapText="1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wrapText="1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left" vertical="center" wrapText="1"/>
    </xf>
    <xf numFmtId="44" fontId="2" fillId="4" borderId="1" xfId="1" applyFont="1" applyFill="1" applyBorder="1"/>
    <xf numFmtId="164" fontId="2" fillId="4" borderId="1" xfId="0" applyNumberFormat="1" applyFont="1" applyFill="1" applyBorder="1"/>
    <xf numFmtId="0" fontId="7" fillId="0" borderId="2" xfId="0" applyFont="1" applyBorder="1" applyAlignment="1">
      <alignment wrapText="1"/>
    </xf>
    <xf numFmtId="0" fontId="9" fillId="0" borderId="0" xfId="0" applyFont="1"/>
    <xf numFmtId="0" fontId="10" fillId="0" borderId="0" xfId="0" applyFont="1"/>
    <xf numFmtId="0" fontId="6" fillId="3" borderId="8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 wrapText="1"/>
    </xf>
    <xf numFmtId="0" fontId="5" fillId="0" borderId="11" xfId="0" applyFont="1" applyFill="1" applyBorder="1" applyAlignment="1">
      <alignment horizontal="center" vertical="center"/>
    </xf>
    <xf numFmtId="164" fontId="3" fillId="0" borderId="12" xfId="1" applyNumberFormat="1" applyFont="1" applyBorder="1" applyAlignment="1" applyProtection="1">
      <alignment horizontal="center" vertical="center" wrapText="1"/>
    </xf>
    <xf numFmtId="0" fontId="5" fillId="0" borderId="13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left" vertical="center" wrapText="1"/>
    </xf>
    <xf numFmtId="0" fontId="4" fillId="0" borderId="14" xfId="0" applyFont="1" applyFill="1" applyBorder="1" applyAlignment="1">
      <alignment horizontal="center" vertical="center" wrapText="1"/>
    </xf>
    <xf numFmtId="1" fontId="4" fillId="0" borderId="14" xfId="0" applyNumberFormat="1" applyFont="1" applyFill="1" applyBorder="1" applyAlignment="1">
      <alignment horizontal="center" vertical="center" wrapText="1"/>
    </xf>
    <xf numFmtId="164" fontId="4" fillId="0" borderId="14" xfId="0" applyNumberFormat="1" applyFont="1" applyFill="1" applyBorder="1" applyAlignment="1">
      <alignment horizontal="center" vertical="center" wrapText="1"/>
    </xf>
    <xf numFmtId="164" fontId="3" fillId="0" borderId="15" xfId="1" applyNumberFormat="1" applyFont="1" applyBorder="1" applyAlignment="1" applyProtection="1">
      <alignment horizontal="center" vertical="center"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8" fillId="6" borderId="7" xfId="0" applyFont="1" applyFill="1" applyBorder="1" applyAlignment="1">
      <alignment vertical="center" wrapText="1"/>
    </xf>
    <xf numFmtId="0" fontId="8" fillId="7" borderId="7" xfId="0" applyFont="1" applyFill="1" applyBorder="1" applyAlignment="1">
      <alignment vertical="center" wrapText="1"/>
    </xf>
    <xf numFmtId="0" fontId="8" fillId="8" borderId="7" xfId="0" applyFont="1" applyFill="1" applyBorder="1" applyAlignment="1">
      <alignment vertical="center" wrapText="1"/>
    </xf>
    <xf numFmtId="0" fontId="8" fillId="9" borderId="7" xfId="0" applyFont="1" applyFill="1" applyBorder="1" applyAlignment="1">
      <alignment vertical="center" wrapText="1"/>
    </xf>
    <xf numFmtId="0" fontId="8" fillId="10" borderId="7" xfId="0" applyFont="1" applyFill="1" applyBorder="1" applyAlignment="1">
      <alignment vertical="center" wrapText="1"/>
    </xf>
    <xf numFmtId="0" fontId="2" fillId="10" borderId="18" xfId="0" applyFont="1" applyFill="1" applyBorder="1" applyAlignment="1">
      <alignment horizontal="center"/>
    </xf>
    <xf numFmtId="0" fontId="2" fillId="10" borderId="19" xfId="0" applyFont="1" applyFill="1" applyBorder="1" applyAlignment="1">
      <alignment horizontal="center"/>
    </xf>
    <xf numFmtId="0" fontId="14" fillId="5" borderId="20" xfId="0" applyFont="1" applyFill="1" applyBorder="1" applyAlignment="1">
      <alignment horizontal="center"/>
    </xf>
    <xf numFmtId="0" fontId="14" fillId="5" borderId="21" xfId="0" applyFont="1" applyFill="1" applyBorder="1" applyAlignment="1">
      <alignment horizontal="center"/>
    </xf>
    <xf numFmtId="0" fontId="14" fillId="5" borderId="22" xfId="0" applyFont="1" applyFill="1" applyBorder="1" applyAlignment="1">
      <alignment horizontal="center"/>
    </xf>
    <xf numFmtId="0" fontId="0" fillId="0" borderId="2" xfId="0" applyBorder="1" applyAlignment="1">
      <alignment horizontal="left" wrapText="1"/>
    </xf>
    <xf numFmtId="0" fontId="2" fillId="6" borderId="8" xfId="0" applyFont="1" applyFill="1" applyBorder="1" applyAlignment="1">
      <alignment horizontal="center"/>
    </xf>
    <xf numFmtId="0" fontId="2" fillId="6" borderId="10" xfId="0" applyFont="1" applyFill="1" applyBorder="1" applyAlignment="1">
      <alignment horizontal="center"/>
    </xf>
    <xf numFmtId="0" fontId="2" fillId="7" borderId="8" xfId="0" applyFont="1" applyFill="1" applyBorder="1" applyAlignment="1">
      <alignment horizontal="center"/>
    </xf>
    <xf numFmtId="0" fontId="2" fillId="7" borderId="10" xfId="0" applyFont="1" applyFill="1" applyBorder="1" applyAlignment="1">
      <alignment horizontal="center"/>
    </xf>
    <xf numFmtId="0" fontId="2" fillId="8" borderId="8" xfId="0" applyFont="1" applyFill="1" applyBorder="1" applyAlignment="1">
      <alignment horizontal="center"/>
    </xf>
    <xf numFmtId="0" fontId="2" fillId="8" borderId="10" xfId="0" applyFont="1" applyFill="1" applyBorder="1" applyAlignment="1">
      <alignment horizontal="center"/>
    </xf>
    <xf numFmtId="0" fontId="2" fillId="9" borderId="18" xfId="0" applyFont="1" applyFill="1" applyBorder="1" applyAlignment="1">
      <alignment horizontal="center"/>
    </xf>
    <xf numFmtId="0" fontId="2" fillId="9" borderId="19" xfId="0" applyFont="1" applyFill="1" applyBorder="1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161925</xdr:colOff>
      <xdr:row>18</xdr:row>
      <xdr:rowOff>47624</xdr:rowOff>
    </xdr:from>
    <xdr:to>
      <xdr:col>5</xdr:col>
      <xdr:colOff>676276</xdr:colOff>
      <xdr:row>57</xdr:row>
      <xdr:rowOff>95250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C02B979-C9F8-4F93-8BAE-33FABCA705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925" y="6515099"/>
          <a:ext cx="8124826" cy="75628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695325</xdr:colOff>
      <xdr:row>66</xdr:row>
      <xdr:rowOff>24654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F4DF130-80CE-4A4E-9DA6-BCDED25CDA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315325" cy="125976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O59"/>
  <sheetViews>
    <sheetView tabSelected="1" workbookViewId="0">
      <selection activeCell="K16" sqref="K16"/>
    </sheetView>
  </sheetViews>
  <sheetFormatPr baseColWidth="10" defaultRowHeight="15" x14ac:dyDescent="0.25"/>
  <cols>
    <col min="1" max="1" width="4.5703125" customWidth="1"/>
    <col min="2" max="2" width="14.5703125" customWidth="1"/>
    <col min="3" max="3" width="18.7109375" customWidth="1"/>
    <col min="4" max="4" width="7.28515625" customWidth="1"/>
    <col min="5" max="5" width="69" customWidth="1"/>
    <col min="6" max="6" width="11.42578125" customWidth="1"/>
    <col min="7" max="7" width="11" customWidth="1"/>
    <col min="8" max="8" width="13.85546875" customWidth="1"/>
    <col min="9" max="9" width="15.7109375" customWidth="1"/>
    <col min="10" max="10" width="14.42578125" customWidth="1"/>
    <col min="11" max="11" width="36.140625" customWidth="1"/>
    <col min="12" max="12" width="5.28515625" customWidth="1"/>
    <col min="13" max="13" width="4.7109375" customWidth="1"/>
    <col min="14" max="14" width="12.5703125" customWidth="1"/>
    <col min="15" max="15" width="69" customWidth="1"/>
  </cols>
  <sheetData>
    <row r="2" spans="1:15" ht="18.75" x14ac:dyDescent="0.3">
      <c r="B2" s="22" t="s">
        <v>31</v>
      </c>
      <c r="C2" s="22"/>
      <c r="D2" s="22"/>
    </row>
    <row r="3" spans="1:15" ht="15.75" thickBot="1" x14ac:dyDescent="0.3"/>
    <row r="4" spans="1:15" ht="45.75" thickBot="1" x14ac:dyDescent="0.3">
      <c r="A4" s="23" t="s">
        <v>0</v>
      </c>
      <c r="B4" s="24" t="s">
        <v>1</v>
      </c>
      <c r="C4" s="24" t="s">
        <v>44</v>
      </c>
      <c r="D4" s="24" t="s">
        <v>45</v>
      </c>
      <c r="E4" s="24" t="s">
        <v>18</v>
      </c>
      <c r="F4" s="24" t="s">
        <v>2</v>
      </c>
      <c r="G4" s="24" t="s">
        <v>3</v>
      </c>
      <c r="H4" s="24" t="s">
        <v>4</v>
      </c>
      <c r="I4" s="25" t="s">
        <v>5</v>
      </c>
      <c r="M4" s="13" t="s">
        <v>0</v>
      </c>
      <c r="N4" s="14" t="s">
        <v>1</v>
      </c>
      <c r="O4" s="15" t="s">
        <v>19</v>
      </c>
    </row>
    <row r="5" spans="1:15" ht="34.5" x14ac:dyDescent="0.25">
      <c r="A5" s="26">
        <v>1</v>
      </c>
      <c r="B5" s="16" t="s">
        <v>6</v>
      </c>
      <c r="C5" s="16" t="s">
        <v>47</v>
      </c>
      <c r="D5" s="16" t="s">
        <v>46</v>
      </c>
      <c r="E5" s="17" t="s">
        <v>7</v>
      </c>
      <c r="F5" s="1" t="s">
        <v>8</v>
      </c>
      <c r="G5" s="2">
        <v>19</v>
      </c>
      <c r="H5" s="3">
        <v>4200</v>
      </c>
      <c r="I5" s="27">
        <f>G5*H5</f>
        <v>79800</v>
      </c>
      <c r="J5" s="43" t="s">
        <v>20</v>
      </c>
      <c r="K5" s="20" t="s">
        <v>32</v>
      </c>
      <c r="M5" s="11">
        <v>1</v>
      </c>
      <c r="N5" s="11" t="s">
        <v>6</v>
      </c>
      <c r="O5" s="12" t="s">
        <v>7</v>
      </c>
    </row>
    <row r="6" spans="1:15" ht="79.5" x14ac:dyDescent="0.25">
      <c r="A6" s="26">
        <f>A5+1</f>
        <v>2</v>
      </c>
      <c r="B6" s="16" t="s">
        <v>9</v>
      </c>
      <c r="C6" s="16" t="s">
        <v>47</v>
      </c>
      <c r="D6" s="16" t="s">
        <v>46</v>
      </c>
      <c r="E6" s="17" t="s">
        <v>10</v>
      </c>
      <c r="F6" s="1" t="s">
        <v>11</v>
      </c>
      <c r="G6" s="4">
        <v>43</v>
      </c>
      <c r="H6" s="5">
        <v>1340</v>
      </c>
      <c r="I6" s="27">
        <f t="shared" ref="I6:I9" si="0">G6*H6</f>
        <v>57620</v>
      </c>
      <c r="J6" s="44" t="s">
        <v>21</v>
      </c>
      <c r="K6" s="20" t="s">
        <v>25</v>
      </c>
      <c r="M6" s="6">
        <v>2</v>
      </c>
      <c r="N6" s="6" t="s">
        <v>9</v>
      </c>
      <c r="O6" s="10" t="s">
        <v>10</v>
      </c>
    </row>
    <row r="7" spans="1:15" ht="45.75" x14ac:dyDescent="0.25">
      <c r="A7" s="26">
        <f>A6+1</f>
        <v>3</v>
      </c>
      <c r="B7" s="16" t="s">
        <v>12</v>
      </c>
      <c r="C7" s="16" t="s">
        <v>47</v>
      </c>
      <c r="D7" s="16" t="s">
        <v>46</v>
      </c>
      <c r="E7" s="17" t="s">
        <v>13</v>
      </c>
      <c r="F7" s="1" t="s">
        <v>11</v>
      </c>
      <c r="G7" s="4">
        <v>43</v>
      </c>
      <c r="H7" s="5">
        <v>1350</v>
      </c>
      <c r="I7" s="27">
        <f t="shared" si="0"/>
        <v>58050</v>
      </c>
      <c r="J7" s="45" t="s">
        <v>22</v>
      </c>
      <c r="K7" s="20" t="s">
        <v>26</v>
      </c>
      <c r="M7" s="6">
        <v>3</v>
      </c>
      <c r="N7" s="6" t="s">
        <v>12</v>
      </c>
      <c r="O7" s="9" t="s">
        <v>13</v>
      </c>
    </row>
    <row r="8" spans="1:15" ht="57" x14ac:dyDescent="0.25">
      <c r="A8" s="26">
        <f t="shared" ref="A8:A9" si="1">A7+1</f>
        <v>4</v>
      </c>
      <c r="B8" s="16" t="s">
        <v>14</v>
      </c>
      <c r="C8" s="16" t="s">
        <v>47</v>
      </c>
      <c r="D8" s="16" t="s">
        <v>46</v>
      </c>
      <c r="E8" s="17" t="s">
        <v>15</v>
      </c>
      <c r="F8" s="1" t="s">
        <v>11</v>
      </c>
      <c r="G8" s="4">
        <v>19</v>
      </c>
      <c r="H8" s="5">
        <v>1590</v>
      </c>
      <c r="I8" s="27">
        <f t="shared" si="0"/>
        <v>30210</v>
      </c>
      <c r="J8" s="46" t="s">
        <v>23</v>
      </c>
      <c r="K8" s="20" t="s">
        <v>27</v>
      </c>
      <c r="M8" s="6">
        <v>4</v>
      </c>
      <c r="N8" s="6" t="s">
        <v>14</v>
      </c>
      <c r="O8" s="7" t="s">
        <v>15</v>
      </c>
    </row>
    <row r="9" spans="1:15" ht="57.75" thickBot="1" x14ac:dyDescent="0.3">
      <c r="A9" s="28">
        <f t="shared" si="1"/>
        <v>5</v>
      </c>
      <c r="B9" s="29" t="s">
        <v>16</v>
      </c>
      <c r="C9" s="16" t="s">
        <v>47</v>
      </c>
      <c r="D9" s="29" t="s">
        <v>46</v>
      </c>
      <c r="E9" s="30" t="s">
        <v>17</v>
      </c>
      <c r="F9" s="31" t="s">
        <v>11</v>
      </c>
      <c r="G9" s="32">
        <v>19</v>
      </c>
      <c r="H9" s="33">
        <v>4590</v>
      </c>
      <c r="I9" s="34">
        <f t="shared" si="0"/>
        <v>87210</v>
      </c>
      <c r="J9" s="47" t="s">
        <v>24</v>
      </c>
      <c r="K9" s="20" t="s">
        <v>28</v>
      </c>
      <c r="M9" s="6">
        <v>5</v>
      </c>
      <c r="N9" s="6" t="s">
        <v>16</v>
      </c>
      <c r="O9" s="8" t="s">
        <v>17</v>
      </c>
    </row>
    <row r="11" spans="1:15" ht="15.75" thickBot="1" x14ac:dyDescent="0.3"/>
    <row r="12" spans="1:15" ht="15.75" thickBot="1" x14ac:dyDescent="0.3">
      <c r="H12" t="s">
        <v>33</v>
      </c>
      <c r="I12" s="19">
        <f>SUM(I5:I11)</f>
        <v>312890</v>
      </c>
    </row>
    <row r="13" spans="1:15" ht="15.75" thickBot="1" x14ac:dyDescent="0.3">
      <c r="B13" s="21" t="s">
        <v>29</v>
      </c>
      <c r="C13" s="21"/>
      <c r="D13" s="21"/>
    </row>
    <row r="14" spans="1:15" ht="15.75" thickBot="1" x14ac:dyDescent="0.3">
      <c r="B14" s="53" t="s">
        <v>30</v>
      </c>
      <c r="C14" s="53"/>
      <c r="D14" s="53"/>
      <c r="E14" s="53"/>
      <c r="F14" s="53"/>
      <c r="G14" s="53"/>
      <c r="I14" s="18">
        <f>SUMPRODUCT(G5:G9*H5:H9)</f>
        <v>312890</v>
      </c>
    </row>
    <row r="15" spans="1:15" x14ac:dyDescent="0.25">
      <c r="B15" s="53"/>
      <c r="C15" s="53"/>
      <c r="D15" s="53"/>
      <c r="E15" s="53"/>
      <c r="F15" s="53"/>
      <c r="G15" s="53"/>
    </row>
    <row r="17" spans="2:10" ht="15.75" thickBot="1" x14ac:dyDescent="0.3"/>
    <row r="18" spans="2:10" ht="21.75" thickBot="1" x14ac:dyDescent="0.4">
      <c r="B18" s="50" t="s">
        <v>34</v>
      </c>
      <c r="C18" s="51"/>
      <c r="D18" s="51"/>
      <c r="E18" s="51"/>
      <c r="F18" s="51"/>
      <c r="G18" s="51"/>
      <c r="H18" s="51"/>
      <c r="I18" s="51"/>
      <c r="J18" s="52"/>
    </row>
    <row r="21" spans="2:10" ht="15.75" thickBot="1" x14ac:dyDescent="0.3"/>
    <row r="22" spans="2:10" x14ac:dyDescent="0.25">
      <c r="I22" s="54" t="s">
        <v>35</v>
      </c>
      <c r="J22" s="55"/>
    </row>
    <row r="23" spans="2:10" x14ac:dyDescent="0.25">
      <c r="I23" s="37">
        <v>35</v>
      </c>
      <c r="J23" s="38">
        <v>1</v>
      </c>
    </row>
    <row r="24" spans="2:10" x14ac:dyDescent="0.25">
      <c r="I24" s="37">
        <v>36</v>
      </c>
      <c r="J24" s="38">
        <v>1</v>
      </c>
    </row>
    <row r="25" spans="2:10" x14ac:dyDescent="0.25">
      <c r="I25" s="37">
        <v>41</v>
      </c>
      <c r="J25" s="38">
        <v>6</v>
      </c>
    </row>
    <row r="26" spans="2:10" x14ac:dyDescent="0.25">
      <c r="I26" s="37">
        <v>42</v>
      </c>
      <c r="J26" s="38">
        <v>5</v>
      </c>
    </row>
    <row r="27" spans="2:10" x14ac:dyDescent="0.25">
      <c r="I27" s="37">
        <v>43</v>
      </c>
      <c r="J27" s="38">
        <v>2</v>
      </c>
    </row>
    <row r="28" spans="2:10" x14ac:dyDescent="0.25">
      <c r="I28" s="37">
        <v>44</v>
      </c>
      <c r="J28" s="38">
        <v>3</v>
      </c>
    </row>
    <row r="29" spans="2:10" ht="15.75" thickBot="1" x14ac:dyDescent="0.3">
      <c r="I29" s="39">
        <v>45</v>
      </c>
      <c r="J29" s="40">
        <v>1</v>
      </c>
    </row>
    <row r="30" spans="2:10" ht="15.75" thickBot="1" x14ac:dyDescent="0.3">
      <c r="I30" s="35"/>
      <c r="J30" s="36">
        <f>SUM(J23:J29)</f>
        <v>19</v>
      </c>
    </row>
    <row r="31" spans="2:10" x14ac:dyDescent="0.25">
      <c r="I31" s="56" t="s">
        <v>36</v>
      </c>
      <c r="J31" s="57"/>
    </row>
    <row r="32" spans="2:10" x14ac:dyDescent="0.25">
      <c r="I32" s="37">
        <v>42</v>
      </c>
      <c r="J32" s="38">
        <v>6</v>
      </c>
    </row>
    <row r="33" spans="9:10" x14ac:dyDescent="0.25">
      <c r="I33" s="37">
        <v>46</v>
      </c>
      <c r="J33" s="38">
        <v>11</v>
      </c>
    </row>
    <row r="34" spans="9:10" x14ac:dyDescent="0.25">
      <c r="I34" s="37">
        <v>48</v>
      </c>
      <c r="J34" s="38">
        <v>3</v>
      </c>
    </row>
    <row r="35" spans="9:10" x14ac:dyDescent="0.25">
      <c r="I35" s="37">
        <v>50</v>
      </c>
      <c r="J35" s="38">
        <v>16</v>
      </c>
    </row>
    <row r="36" spans="9:10" x14ac:dyDescent="0.25">
      <c r="I36" s="37">
        <v>54</v>
      </c>
      <c r="J36" s="38">
        <v>6</v>
      </c>
    </row>
    <row r="37" spans="9:10" ht="15.75" thickBot="1" x14ac:dyDescent="0.3">
      <c r="I37" s="39">
        <v>58</v>
      </c>
      <c r="J37" s="40">
        <v>1</v>
      </c>
    </row>
    <row r="38" spans="9:10" ht="15.75" thickBot="1" x14ac:dyDescent="0.3">
      <c r="I38" s="35"/>
      <c r="J38" s="36">
        <f>SUM(J32:J37)</f>
        <v>43</v>
      </c>
    </row>
    <row r="39" spans="9:10" x14ac:dyDescent="0.25">
      <c r="I39" s="58" t="s">
        <v>37</v>
      </c>
      <c r="J39" s="59"/>
    </row>
    <row r="40" spans="9:10" x14ac:dyDescent="0.25">
      <c r="I40" s="41">
        <v>42</v>
      </c>
      <c r="J40" s="42">
        <v>7</v>
      </c>
    </row>
    <row r="41" spans="9:10" x14ac:dyDescent="0.25">
      <c r="I41" s="37">
        <v>44</v>
      </c>
      <c r="J41" s="38">
        <v>7</v>
      </c>
    </row>
    <row r="42" spans="9:10" x14ac:dyDescent="0.25">
      <c r="I42" s="37">
        <v>46</v>
      </c>
      <c r="J42" s="38">
        <v>6</v>
      </c>
    </row>
    <row r="43" spans="9:10" x14ac:dyDescent="0.25">
      <c r="I43" s="37">
        <v>48</v>
      </c>
      <c r="J43" s="38">
        <v>12</v>
      </c>
    </row>
    <row r="44" spans="9:10" x14ac:dyDescent="0.25">
      <c r="I44" s="37">
        <v>50</v>
      </c>
      <c r="J44" s="38">
        <v>4</v>
      </c>
    </row>
    <row r="45" spans="9:10" x14ac:dyDescent="0.25">
      <c r="I45" s="37">
        <v>52</v>
      </c>
      <c r="J45" s="38">
        <v>4</v>
      </c>
    </row>
    <row r="46" spans="9:10" x14ac:dyDescent="0.25">
      <c r="I46" s="37">
        <v>54</v>
      </c>
      <c r="J46" s="38">
        <v>2</v>
      </c>
    </row>
    <row r="47" spans="9:10" ht="15.75" thickBot="1" x14ac:dyDescent="0.3">
      <c r="I47" s="39">
        <v>56</v>
      </c>
      <c r="J47" s="40">
        <v>1</v>
      </c>
    </row>
    <row r="48" spans="9:10" ht="15.75" thickBot="1" x14ac:dyDescent="0.3">
      <c r="J48" s="36">
        <f>SUM(J40:J47)</f>
        <v>43</v>
      </c>
    </row>
    <row r="49" spans="9:10" x14ac:dyDescent="0.25">
      <c r="I49" s="60" t="s">
        <v>38</v>
      </c>
      <c r="J49" s="61"/>
    </row>
    <row r="50" spans="9:10" x14ac:dyDescent="0.25">
      <c r="I50" s="37" t="s">
        <v>39</v>
      </c>
      <c r="J50" s="38">
        <v>3</v>
      </c>
    </row>
    <row r="51" spans="9:10" x14ac:dyDescent="0.25">
      <c r="I51" s="37" t="s">
        <v>40</v>
      </c>
      <c r="J51" s="38">
        <v>11</v>
      </c>
    </row>
    <row r="52" spans="9:10" ht="15.75" thickBot="1" x14ac:dyDescent="0.3">
      <c r="I52" s="39" t="s">
        <v>41</v>
      </c>
      <c r="J52" s="40">
        <v>5</v>
      </c>
    </row>
    <row r="53" spans="9:10" x14ac:dyDescent="0.25">
      <c r="J53" s="36">
        <f>SUM(J50:J52)</f>
        <v>19</v>
      </c>
    </row>
    <row r="54" spans="9:10" ht="15.75" thickBot="1" x14ac:dyDescent="0.3"/>
    <row r="55" spans="9:10" x14ac:dyDescent="0.25">
      <c r="I55" s="48" t="s">
        <v>42</v>
      </c>
      <c r="J55" s="49"/>
    </row>
    <row r="56" spans="9:10" x14ac:dyDescent="0.25">
      <c r="I56" s="37" t="s">
        <v>40</v>
      </c>
      <c r="J56" s="38">
        <v>3</v>
      </c>
    </row>
    <row r="57" spans="9:10" x14ac:dyDescent="0.25">
      <c r="I57" s="37" t="s">
        <v>41</v>
      </c>
      <c r="J57" s="38">
        <v>10</v>
      </c>
    </row>
    <row r="58" spans="9:10" ht="15.75" thickBot="1" x14ac:dyDescent="0.3">
      <c r="I58" s="39" t="s">
        <v>43</v>
      </c>
      <c r="J58" s="40">
        <v>6</v>
      </c>
    </row>
    <row r="59" spans="9:10" x14ac:dyDescent="0.25">
      <c r="J59" s="36">
        <f>SUM(J56:J58)</f>
        <v>19</v>
      </c>
    </row>
  </sheetData>
  <mergeCells count="7">
    <mergeCell ref="I55:J55"/>
    <mergeCell ref="B18:J18"/>
    <mergeCell ref="B14:G15"/>
    <mergeCell ref="I22:J22"/>
    <mergeCell ref="I31:J31"/>
    <mergeCell ref="I39:J39"/>
    <mergeCell ref="I49:J49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D7D13-319F-4AF0-A636-876B15A051BB}">
  <dimension ref="A1"/>
  <sheetViews>
    <sheetView topLeftCell="A10" workbookViewId="0"/>
  </sheetViews>
  <sheetFormatPr baseColWidth="10"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Control ítems</vt:lpstr>
      <vt:lpstr>Solic.Gasto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Vega</dc:creator>
  <cp:lastModifiedBy>SILVINA ATENCIO</cp:lastModifiedBy>
  <dcterms:created xsi:type="dcterms:W3CDTF">2021-04-03T00:52:23Z</dcterms:created>
  <dcterms:modified xsi:type="dcterms:W3CDTF">2021-08-30T16:03:19Z</dcterms:modified>
</cp:coreProperties>
</file>