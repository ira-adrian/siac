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7F60CEBA-053E-40CA-B859-AE10EF24EAB9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Print_Area" localSheetId="1">' NotaPedido'!$A$1:$K$27</definedName>
    <definedName name="_xlnm.Print_Area" localSheetId="2">'Autor Gastar'!$A$1:$Q$27</definedName>
    <definedName name="_xlnm.Print_Area" localSheetId="0">'Necesidades Trimestrales'!$A$1:$J$39</definedName>
  </definedNames>
  <calcPr calcId="181029"/>
</workbook>
</file>

<file path=xl/calcChain.xml><?xml version="1.0" encoding="utf-8"?>
<calcChain xmlns="http://schemas.openxmlformats.org/spreadsheetml/2006/main">
  <c r="D16" i="1" l="1"/>
  <c r="D17" i="1"/>
  <c r="I11" i="1"/>
  <c r="I12" i="1"/>
  <c r="I13" i="1"/>
  <c r="I14" i="1"/>
  <c r="I15" i="1"/>
  <c r="I16" i="1"/>
  <c r="I17" i="1"/>
  <c r="I18" i="1"/>
  <c r="I19" i="1"/>
  <c r="I20" i="1"/>
  <c r="I21" i="1"/>
  <c r="I10" i="1"/>
  <c r="D15" i="1" l="1"/>
  <c r="I17" i="2" l="1"/>
  <c r="D13" i="1"/>
  <c r="D12" i="1" l="1"/>
  <c r="C20" i="2" l="1"/>
  <c r="C21" i="2"/>
  <c r="C22" i="2"/>
  <c r="C23" i="2"/>
  <c r="B20" i="2"/>
  <c r="B21" i="2"/>
  <c r="B22" i="2"/>
  <c r="B23" i="2"/>
  <c r="C19" i="2" l="1"/>
  <c r="C18" i="2"/>
  <c r="C17" i="2"/>
  <c r="B19" i="2"/>
  <c r="B18" i="2"/>
  <c r="B17" i="2"/>
  <c r="I15" i="3" l="1"/>
  <c r="Q23" i="3" l="1"/>
  <c r="I13" i="2"/>
  <c r="I14" i="2"/>
  <c r="I15" i="2"/>
  <c r="I16" i="2"/>
  <c r="C13" i="2"/>
  <c r="C14" i="2"/>
  <c r="C15" i="2"/>
  <c r="C16" i="2"/>
  <c r="B13" i="2"/>
  <c r="B14" i="2"/>
  <c r="B15" i="2"/>
  <c r="B16" i="2"/>
  <c r="D11" i="1"/>
  <c r="D7" i="2" l="1"/>
  <c r="D3" i="2"/>
  <c r="G4" i="3" s="1"/>
  <c r="D4" i="2"/>
  <c r="G5" i="3" s="1"/>
  <c r="A10" i="3" l="1"/>
  <c r="D1" i="3"/>
  <c r="J25" i="2"/>
  <c r="I12" i="2"/>
  <c r="C12" i="2"/>
  <c r="B12" i="2"/>
</calcChain>
</file>

<file path=xl/sharedStrings.xml><?xml version="1.0" encoding="utf-8"?>
<sst xmlns="http://schemas.openxmlformats.org/spreadsheetml/2006/main" count="273" uniqueCount="113">
  <si>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</si>
  <si>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</si>
  <si>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</si>
  <si>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</si>
  <si>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</si>
  <si>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</si>
  <si>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</si>
  <si>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</si>
  <si>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</si>
  <si>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</si>
  <si>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</si>
  <si>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</si>
  <si>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</si>
  <si>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</si>
  <si>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</si>
  <si>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</si>
  <si>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</si>
  <si>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</si>
  <si>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</si>
  <si>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</si>
  <si>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</si>
  <si>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</si>
  <si>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</si>
  <si>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</si>
  <si>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</si>
  <si>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</si>
  <si>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</si>
  <si>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</si>
  <si>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</si>
  <si>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</si>
  <si>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</si>
  <si>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</si>
  <si>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</si>
  <si>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</si>
  <si>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</si>
  <si>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</si>
  <si>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</si>
  <si>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</si>
  <si>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</si>
  <si>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</si>
  <si>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</si>
  <si>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</si>
  <si>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</si>
  <si>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</si>
  <si>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</si>
  <si>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</si>
  <si>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</si>
  <si>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</si>
  <si>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</si>
  <si>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</si>
  <si>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</si>
  <si>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</si>
  <si>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</si>
  <si>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</si>
  <si>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</si>
  <si>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</si>
  <si>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</si>
  <si>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ALIMENTOS</t>
  </si>
  <si>
    <t>Alimentos para Personas</t>
  </si>
  <si>
    <t>25- Direccion Provincial de Gestion Administracion y RRHH</t>
  </si>
  <si>
    <t>S/E</t>
  </si>
  <si>
    <t>MEDIA</t>
  </si>
  <si>
    <t>45- Ministerio de Desarrollo Social y Deporte.-</t>
  </si>
  <si>
    <t>2.1.1</t>
  </si>
  <si>
    <t>2.1.1-439.67</t>
  </si>
  <si>
    <t>ACEITES COMESTIBLES; TIPO: GIRASOL, PRESENTACION: ENVASE X 900 CM3, MATERIAL ENVASE: PLASTICO 1 (PET), ELEM. TRANSPORTE: SIN, MATERIAL ELEM. TRANSPORTE : SIN, LIBRE DE GLUTEN: NO</t>
  </si>
  <si>
    <t>LECHE; ESTADO: POLVO, TIPO: ENTERA, PROCESO: PASTEURIZADA, AGREGADO: VITAMINAS A Y D, PRESENTACION: ENVASE X 800 GR, MATERIAL ENVASE: CARTON, ELEM. TRANSPORTE: SIN, MATERIAL ELEM. TRANSPORTE: SIN, CERTIFICADO FORESTAL (GFS): SIN, LIBRE DE GLUTEN: SI</t>
  </si>
  <si>
    <t>2.1.1-705.93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</si>
  <si>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</si>
  <si>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2.1.1-435.60</t>
  </si>
  <si>
    <t>AZUCARES; TIPO: "A" COMUN, ESTADO: MOLIDA, PESO: 1 Kg, MATERIAL ENVASE: PLASTICO, CERTIFICADO FORESTAL (GFS): SIN, ELEM. TRANSPORTE: SIN, MATERIAL ELEM. TRANSPORTE: SIN</t>
  </si>
  <si>
    <t>2.1.1-481.38</t>
  </si>
  <si>
    <t>DEPOSITO MINISTERIO DE DESARROLLO SOCIAL Y DEPORTE AREA EL PANTANILLO SAN FERNANDO DEL VALLE DE CATAMARCA</t>
  </si>
  <si>
    <t>60DIAS</t>
  </si>
  <si>
    <t>2.1.1-2868.54</t>
  </si>
  <si>
    <t>FIDEOS SECOS; VARIEDAD: SOPERO, RELLENO: SIN, PRESENTACION: ENVASE X 500 GR, MATERIAL ENVASE: PLASTICO 1 (PET), ELEM. TRANSPORTE: SIN, MATERIAL ELEM. TRANSPORTE: SIN, CERTIFICADO FORESTAL (GFS): SIN, LIBRE DE GLUTEN: NO</t>
  </si>
  <si>
    <t>2.1.1-2868.55</t>
  </si>
  <si>
    <t>FIDEOS SECOS; VARIEDAD: TALLARIN, RELLENO: SIN, PRESENTACION: ENVASE X 500 GR, MATERIAL ENVASE: PLASTICO 1 (PET), ELEM. TRANSPORTE: SIN, MATERIAL ELEM. TRANSPORTE: SIN, CERTIFICADO FORESTAL (GFS): SIN, LIBRE DE GLUTEN: NO</t>
  </si>
  <si>
    <t>2.1.1-2868.71</t>
  </si>
  <si>
    <t>FIDEOS SECOS; VARIEDAD: GUISERO, RELLENO: SIN, PRESENTACION: ENVASE X 500 GR, MATERIAL ENVASE: PLASTICO 1 (PET), ELEM. TRANSPORTE: SIN, MATERIAL ELEM. TRANSPORTE: SIN, CERTIFICADO FORESTAL (GFS): SIN, LIBRE DE GLUTEN: NO</t>
  </si>
  <si>
    <t>2.1.1-454.25</t>
  </si>
  <si>
    <t>YERBAS; PALO: CON, PESO: 1 Kg, MATERIAL ENVASE : PAPEL, CERTIFICADO FORESTAL (GFS): CON, ELEM. TRANSPORTE: SIN, MATERIAL ELEM. TRANSPORTE: SIN, LIBRE DE GLUTEN: SI</t>
  </si>
  <si>
    <t>2.1.1-6546.260</t>
  </si>
  <si>
    <t>VERDURAS Y HORTALIZAS; VARIEDAD: TOMATE, ESTADO: PURE, PRESENTACION: TETRABRIK, PESO: 520 GR</t>
  </si>
  <si>
    <t>2.1.1-6547.80</t>
  </si>
  <si>
    <t>LEGUMBRES; VARIEDAD: LENTEJA, ESTADO: SECO, PRESENTACION: SIN VALOR, PESO: ENVASE X 400 GR</t>
  </si>
  <si>
    <t>Adquisición de Alimentos  que seran destinadas a personas de escasos recursos, en el armado de modulos alimentarios, en el Marco del Programa Vivir Mejor</t>
  </si>
  <si>
    <t>2.1.1-708.23</t>
  </si>
  <si>
    <t>CONSERVAS PESCADO Y FRUTOS MAR; ESTADO: AL NATURAL, PESO: 380 GR, ENVASE: LATA, TIPO: CABALLA, ESPECIE: CABALLA</t>
  </si>
  <si>
    <t>16- Direccion Provincial de Accion Social Directa</t>
  </si>
  <si>
    <t>02- Programa Vivir Mejor PRO.VI.ME.</t>
  </si>
  <si>
    <t>02- PRO.VI.ME. Programa Vivir Mejor</t>
  </si>
  <si>
    <t>2.1.1-482.70</t>
  </si>
  <si>
    <t>HARINAS; TIPO: 000, PRESENTACION: ENVASE X 1 Kg, MATERIAL ENVASE: PAPEL, CERTICADO FORESTAL (GFS): SI, ELEM. TRANSPORTE: SIN, MATERIAL ELEM. TRANSPORTE: SIN, LIBRE DE GLUTEN: NO</t>
  </si>
  <si>
    <t>SI</t>
  </si>
  <si>
    <t>Especificidades Item N° 1:</t>
  </si>
  <si>
    <t>Especificidades Item N° 2:</t>
  </si>
  <si>
    <t>Especificidades Item N° 3:</t>
  </si>
  <si>
    <t>Especificidades Item N° 4:</t>
  </si>
  <si>
    <t>Especificidades Item N° 5:</t>
  </si>
  <si>
    <t>Especificidades Item N° 6:</t>
  </si>
  <si>
    <t>Especificidades Item N° 7:</t>
  </si>
  <si>
    <t>Especificidades Item N° 8:</t>
  </si>
  <si>
    <t>Especificidades Item N° 9:</t>
  </si>
  <si>
    <t>Especificidades Item N° 10:</t>
  </si>
  <si>
    <t>Especificidades Item N° 11:</t>
  </si>
  <si>
    <t>Especificidades Item N° 12:</t>
  </si>
  <si>
    <t>ARROZ GRANO LARGO FINO BLANCO SIN CASCARA 00000 X 1 KG SIN T.A.A.C  EN ENVASE PLASTICO</t>
  </si>
  <si>
    <t>893/2021</t>
  </si>
  <si>
    <t>DENTRO DE LOS 5 (CINCO) DIAS DE LA RECEPCION DE LA ORDEN DE COMPRA.-</t>
  </si>
  <si>
    <t>DENTRO DE LOS 5 (CINCO) DIAS DE LA RECEPCION DE LA ORDEN DE COMPRA.</t>
  </si>
  <si>
    <r>
      <t>Costo total estimado: NOVENTA Y UN</t>
    </r>
    <r>
      <rPr>
        <b/>
        <sz val="12"/>
        <rFont val="Times New Roman"/>
        <family val="1"/>
      </rPr>
      <t xml:space="preserve"> MILLONES DOSCIENTOS SETENTA Y CINCO MIL  CON 00/100.-</t>
    </r>
  </si>
  <si>
    <t>TOTAL DE PESOS: NOVENTA Y UN MILLONES DOSCIENTOS SETENTA Y CINCO MIL  CON 00/100.-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</si>
</sst>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7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71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5" xfId="0" applyBorder="1"/>
    <xf numFmtId="0" fontId="0" fillId="0" borderId="31" xfId="0" applyBorder="1"/>
    <xf numFmtId="0" fontId="0" fillId="0" borderId="17" xfId="0" applyBorder="1"/>
    <xf numFmtId="0" fontId="0" fillId="0" borderId="17" xfId="0" applyBorder="1" applyAlignment="1">
      <alignment horizontal="left"/>
    </xf>
    <xf numFmtId="0" fontId="0" fillId="0" borderId="32" xfId="0" applyBorder="1"/>
    <xf numFmtId="0" fontId="14" fillId="0" borderId="3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5" xfId="0" applyFont="1" applyBorder="1" applyAlignment="1">
      <alignment horizontal="left" vertical="center"/>
    </xf>
    <xf numFmtId="0" fontId="14" fillId="0" borderId="36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166" fontId="0" fillId="0" borderId="41" xfId="3" applyNumberFormat="1" applyFont="1" applyBorder="1" applyAlignment="1" applyProtection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6" fontId="0" fillId="0" borderId="45" xfId="3" applyNumberFormat="1" applyFont="1" applyBorder="1" applyAlignment="1" applyProtection="1">
      <alignment horizontal="center" vertical="center"/>
    </xf>
    <xf numFmtId="166" fontId="14" fillId="0" borderId="46" xfId="0" applyNumberFormat="1" applyFont="1" applyBorder="1" applyAlignment="1">
      <alignment horizontal="center" vertical="center"/>
    </xf>
    <xf numFmtId="0" fontId="16" fillId="0" borderId="0" xfId="0" applyFont="1"/>
    <xf numFmtId="166" fontId="0" fillId="0" borderId="57" xfId="3" applyNumberFormat="1" applyFont="1" applyBorder="1" applyAlignment="1" applyProtection="1">
      <alignment horizontal="center" vertical="center"/>
    </xf>
    <xf numFmtId="166" fontId="0" fillId="0" borderId="61" xfId="3" applyNumberFormat="1" applyFont="1" applyBorder="1" applyAlignment="1" applyProtection="1">
      <alignment horizontal="center" vertical="center"/>
    </xf>
    <xf numFmtId="0" fontId="0" fillId="0" borderId="51" xfId="0" applyFill="1" applyBorder="1"/>
    <xf numFmtId="0" fontId="26" fillId="0" borderId="0" xfId="0" applyFont="1" applyFill="1"/>
    <xf numFmtId="0" fontId="26" fillId="0" borderId="51" xfId="0" applyFont="1" applyFill="1" applyBorder="1"/>
    <xf numFmtId="0" fontId="0" fillId="0" borderId="0" xfId="0"/>
    <xf numFmtId="166" fontId="16" fillId="0" borderId="0" xfId="0" applyNumberFormat="1" applyFont="1"/>
    <xf numFmtId="0" fontId="0" fillId="0" borderId="58" xfId="0" applyFont="1" applyFill="1" applyBorder="1" applyAlignment="1">
      <alignment horizontal="center" vertical="center"/>
    </xf>
    <xf numFmtId="0" fontId="0" fillId="0" borderId="59" xfId="0" applyFont="1" applyFill="1" applyBorder="1" applyAlignment="1">
      <alignment horizontal="center" vertical="center"/>
    </xf>
    <xf numFmtId="0" fontId="26" fillId="0" borderId="59" xfId="0" applyFont="1" applyFill="1" applyBorder="1" applyAlignment="1">
      <alignment horizontal="center" vertical="center"/>
    </xf>
    <xf numFmtId="0" fontId="0" fillId="0" borderId="60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right" vertical="center"/>
    </xf>
    <xf numFmtId="0" fontId="6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4" fillId="0" borderId="24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 wrapText="1"/>
    </xf>
    <xf numFmtId="166" fontId="4" fillId="0" borderId="24" xfId="1" applyNumberFormat="1" applyFont="1" applyFill="1" applyBorder="1" applyAlignment="1" applyProtection="1">
      <alignment horizontal="right" vertical="center" wrapText="1"/>
    </xf>
    <xf numFmtId="3" fontId="4" fillId="0" borderId="24" xfId="0" applyNumberFormat="1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  <xf numFmtId="0" fontId="4" fillId="0" borderId="65" xfId="0" applyFont="1" applyFill="1" applyBorder="1" applyAlignment="1">
      <alignment horizontal="center" vertical="center" wrapText="1"/>
    </xf>
    <xf numFmtId="0" fontId="4" fillId="0" borderId="65" xfId="0" applyFont="1" applyFill="1" applyBorder="1" applyAlignment="1">
      <alignment horizontal="center" vertical="center"/>
    </xf>
    <xf numFmtId="0" fontId="16" fillId="0" borderId="0" xfId="0" applyFont="1" applyFill="1"/>
    <xf numFmtId="0" fontId="19" fillId="0" borderId="0" xfId="0" applyFont="1" applyFill="1" applyAlignment="1">
      <alignment horizontal="left" wrapText="1"/>
    </xf>
    <xf numFmtId="0" fontId="19" fillId="0" borderId="0" xfId="0" applyFont="1" applyFill="1" applyAlignment="1">
      <alignment horizontal="center" wrapText="1"/>
    </xf>
    <xf numFmtId="0" fontId="24" fillId="0" borderId="0" xfId="0" applyFont="1" applyFill="1" applyAlignment="1">
      <alignment horizontal="left" wrapText="1" indent="1"/>
    </xf>
    <xf numFmtId="0" fontId="20" fillId="0" borderId="0" xfId="0" applyFont="1" applyFill="1" applyAlignment="1">
      <alignment horizontal="left" wrapText="1"/>
    </xf>
    <xf numFmtId="0" fontId="20" fillId="0" borderId="26" xfId="0" applyFont="1" applyFill="1" applyBorder="1" applyAlignment="1">
      <alignment horizontal="center" vertical="center" wrapText="1"/>
    </xf>
    <xf numFmtId="0" fontId="20" fillId="0" borderId="19" xfId="0" applyFont="1" applyFill="1" applyBorder="1" applyAlignment="1">
      <alignment horizontal="center" vertical="center" wrapText="1"/>
    </xf>
    <xf numFmtId="0" fontId="20" fillId="0" borderId="27" xfId="0" applyFont="1" applyFill="1" applyBorder="1" applyAlignment="1">
      <alignment horizontal="center" vertical="center" wrapText="1"/>
    </xf>
    <xf numFmtId="0" fontId="20" fillId="0" borderId="55" xfId="0" applyFont="1" applyFill="1" applyBorder="1" applyAlignment="1">
      <alignment horizontal="center" vertical="center" wrapText="1"/>
    </xf>
    <xf numFmtId="0" fontId="21" fillId="0" borderId="62" xfId="0" applyFont="1" applyFill="1" applyBorder="1" applyAlignment="1">
      <alignment horizontal="center" vertical="center"/>
    </xf>
    <xf numFmtId="0" fontId="19" fillId="0" borderId="53" xfId="0" applyFont="1" applyFill="1" applyBorder="1" applyAlignment="1">
      <alignment horizontal="center" vertical="center" wrapText="1"/>
    </xf>
    <xf numFmtId="0" fontId="22" fillId="0" borderId="56" xfId="0" applyFont="1" applyFill="1" applyBorder="1" applyAlignment="1">
      <alignment horizontal="center" vertical="center" wrapText="1"/>
    </xf>
    <xf numFmtId="0" fontId="22" fillId="0" borderId="2" xfId="0" applyFont="1" applyFill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66" xfId="0" applyFill="1" applyBorder="1"/>
    <xf numFmtId="0" fontId="19" fillId="0" borderId="67" xfId="0" applyFont="1" applyFill="1" applyBorder="1" applyAlignment="1">
      <alignment horizontal="center" vertical="center" wrapText="1"/>
    </xf>
    <xf numFmtId="0" fontId="0" fillId="0" borderId="50" xfId="0" applyFill="1" applyBorder="1"/>
    <xf numFmtId="0" fontId="22" fillId="0" borderId="4" xfId="0" applyFont="1" applyFill="1" applyBorder="1" applyAlignment="1">
      <alignment horizontal="center" vertical="center" wrapText="1"/>
    </xf>
    <xf numFmtId="0" fontId="19" fillId="0" borderId="4" xfId="0" applyFont="1" applyFill="1" applyBorder="1" applyAlignment="1">
      <alignment horizontal="center" wrapText="1"/>
    </xf>
    <xf numFmtId="0" fontId="0" fillId="0" borderId="4" xfId="0" applyFill="1" applyBorder="1"/>
    <xf numFmtId="0" fontId="19" fillId="0" borderId="4" xfId="0" applyFont="1" applyFill="1" applyBorder="1" applyAlignment="1">
      <alignment horizontal="center" vertical="center" wrapText="1"/>
    </xf>
    <xf numFmtId="0" fontId="0" fillId="0" borderId="53" xfId="0" applyFill="1" applyBorder="1"/>
    <xf numFmtId="0" fontId="0" fillId="0" borderId="0" xfId="0" applyFill="1"/>
    <xf numFmtId="0" fontId="26" fillId="0" borderId="52" xfId="0" applyFont="1" applyFill="1" applyBorder="1"/>
    <xf numFmtId="0" fontId="26" fillId="0" borderId="4" xfId="0" applyFont="1" applyFill="1" applyBorder="1"/>
    <xf numFmtId="0" fontId="22" fillId="0" borderId="50" xfId="0" applyFont="1" applyFill="1" applyBorder="1" applyAlignment="1">
      <alignment horizontal="center" vertical="center" wrapText="1"/>
    </xf>
    <xf numFmtId="0" fontId="26" fillId="0" borderId="63" xfId="0" applyFont="1" applyFill="1" applyBorder="1"/>
    <xf numFmtId="0" fontId="26" fillId="0" borderId="50" xfId="0" applyFont="1" applyFill="1" applyBorder="1"/>
    <xf numFmtId="0" fontId="19" fillId="0" borderId="64" xfId="0" applyFont="1" applyFill="1" applyBorder="1" applyAlignment="1">
      <alignment horizontal="center" vertical="center" wrapText="1"/>
    </xf>
    <xf numFmtId="0" fontId="0" fillId="0" borderId="6" xfId="0" applyFill="1" applyBorder="1"/>
    <xf numFmtId="0" fontId="0" fillId="0" borderId="54" xfId="0" applyFill="1" applyBorder="1"/>
    <xf numFmtId="0" fontId="19" fillId="0" borderId="54" xfId="0" applyFont="1" applyFill="1" applyBorder="1" applyAlignment="1">
      <alignment horizontal="center" vertical="center" wrapText="1"/>
    </xf>
    <xf numFmtId="0" fontId="22" fillId="0" borderId="54" xfId="0" applyFont="1" applyFill="1" applyBorder="1" applyAlignment="1">
      <alignment horizontal="center" vertical="center" wrapText="1"/>
    </xf>
    <xf numFmtId="0" fontId="21" fillId="0" borderId="5" xfId="0" applyFont="1" applyFill="1" applyBorder="1" applyAlignment="1">
      <alignment horizontal="center" vertical="center"/>
    </xf>
    <xf numFmtId="166" fontId="16" fillId="0" borderId="0" xfId="0" applyNumberFormat="1" applyFont="1" applyFill="1"/>
    <xf numFmtId="0" fontId="23" fillId="0" borderId="7" xfId="0" applyFont="1" applyFill="1" applyBorder="1"/>
    <xf numFmtId="0" fontId="16" fillId="0" borderId="8" xfId="0" applyFont="1" applyFill="1" applyBorder="1"/>
    <xf numFmtId="0" fontId="16" fillId="0" borderId="9" xfId="0" applyFont="1" applyFill="1" applyBorder="1"/>
    <xf numFmtId="0" fontId="16" fillId="0" borderId="10" xfId="0" applyFont="1" applyFill="1" applyBorder="1"/>
    <xf numFmtId="0" fontId="16" fillId="0" borderId="0" xfId="0" applyFont="1" applyFill="1" applyBorder="1"/>
    <xf numFmtId="0" fontId="16" fillId="0" borderId="11" xfId="0" applyFont="1" applyFill="1" applyBorder="1"/>
    <xf numFmtId="0" fontId="23" fillId="0" borderId="10" xfId="0" applyFont="1" applyFill="1" applyBorder="1" applyAlignment="1">
      <alignment horizontal="left" indent="3"/>
    </xf>
    <xf numFmtId="0" fontId="16" fillId="0" borderId="10" xfId="0" applyFont="1" applyFill="1" applyBorder="1" applyAlignment="1">
      <alignment horizontal="left" indent="3"/>
    </xf>
    <xf numFmtId="0" fontId="16" fillId="0" borderId="0" xfId="0" applyFont="1" applyFill="1" applyBorder="1" applyAlignment="1">
      <alignment horizontal="center" wrapText="1"/>
    </xf>
    <xf numFmtId="0" fontId="16" fillId="0" borderId="11" xfId="0" applyFont="1" applyFill="1" applyBorder="1" applyAlignment="1">
      <alignment horizontal="center" wrapText="1"/>
    </xf>
    <xf numFmtId="0" fontId="16" fillId="0" borderId="12" xfId="0" applyFont="1" applyFill="1" applyBorder="1" applyAlignment="1">
      <alignment horizontal="left" indent="3"/>
    </xf>
    <xf numFmtId="0" fontId="16" fillId="0" borderId="13" xfId="0" applyFont="1" applyFill="1" applyBorder="1"/>
    <xf numFmtId="0" fontId="16" fillId="0" borderId="14" xfId="0" applyFont="1" applyFill="1" applyBorder="1"/>
    <xf numFmtId="166" fontId="21" fillId="0" borderId="4" xfId="1" applyNumberFormat="1" applyFont="1" applyFill="1" applyBorder="1" applyAlignment="1" applyProtection="1">
      <alignment horizontal="right" vertical="center" wrapText="1"/>
    </xf>
    <xf numFmtId="166" fontId="21" fillId="0" borderId="50" xfId="1" applyNumberFormat="1" applyFont="1" applyFill="1" applyBorder="1" applyAlignment="1" applyProtection="1">
      <alignment horizontal="right" vertical="center" wrapText="1"/>
    </xf>
    <xf numFmtId="166" fontId="21" fillId="0" borderId="19" xfId="1" applyNumberFormat="1" applyFont="1" applyFill="1" applyBorder="1" applyAlignment="1" applyProtection="1">
      <alignment horizontal="right" vertical="center" wrapText="1"/>
    </xf>
    <xf numFmtId="0" fontId="16" fillId="0" borderId="11" xfId="0" applyFont="1" applyFill="1" applyBorder="1" applyAlignment="1">
      <alignment horizontal="center" wrapText="1"/>
    </xf>
    <xf numFmtId="165" fontId="15" fillId="0" borderId="0" xfId="1" applyBorder="1"/>
    <xf numFmtId="0" fontId="22" fillId="0" borderId="68" xfId="0" applyFont="1" applyFill="1" applyBorder="1" applyAlignment="1">
      <alignment horizontal="center" vertical="center" wrapText="1"/>
    </xf>
    <xf numFmtId="0" fontId="19" fillId="0" borderId="50" xfId="0" applyFont="1" applyFill="1" applyBorder="1" applyAlignment="1">
      <alignment horizontal="center" wrapText="1"/>
    </xf>
    <xf numFmtId="0" fontId="19" fillId="0" borderId="69" xfId="0" applyFont="1" applyFill="1" applyBorder="1" applyAlignment="1">
      <alignment horizontal="center" wrapText="1"/>
    </xf>
    <xf numFmtId="166" fontId="21" fillId="0" borderId="70" xfId="1" applyNumberFormat="1" applyFont="1" applyFill="1" applyBorder="1" applyAlignment="1" applyProtection="1">
      <alignment horizontal="right" vertical="center" wrapText="1"/>
    </xf>
    <xf numFmtId="0" fontId="20" fillId="0" borderId="71" xfId="0" applyFont="1" applyFill="1" applyBorder="1" applyAlignment="1">
      <alignment horizontal="center" vertical="center" wrapText="1"/>
    </xf>
    <xf numFmtId="166" fontId="21" fillId="0" borderId="51" xfId="1" applyNumberFormat="1" applyFont="1" applyFill="1" applyBorder="1" applyAlignment="1" applyProtection="1">
      <alignment horizontal="right" vertical="center" wrapText="1"/>
    </xf>
    <xf numFmtId="0" fontId="20" fillId="0" borderId="72" xfId="0" applyFont="1" applyFill="1" applyBorder="1" applyAlignment="1">
      <alignment horizontal="center" vertical="center" wrapText="1"/>
    </xf>
    <xf numFmtId="0" fontId="20" fillId="0" borderId="73" xfId="0" applyFont="1" applyFill="1" applyBorder="1" applyAlignment="1">
      <alignment horizontal="center" vertical="center" wrapText="1"/>
    </xf>
    <xf numFmtId="166" fontId="4" fillId="0" borderId="24" xfId="1" applyNumberFormat="1" applyFont="1" applyFill="1" applyBorder="1" applyAlignment="1" applyProtection="1">
      <alignment horizontal="center" vertical="center" wrapText="1"/>
    </xf>
    <xf numFmtId="0" fontId="16" fillId="0" borderId="11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 wrapText="1"/>
    </xf>
    <xf numFmtId="0" fontId="16" fillId="0" borderId="11" xfId="0" applyFont="1" applyFill="1" applyBorder="1" applyAlignment="1">
      <alignment horizontal="center" wrapText="1"/>
    </xf>
    <xf numFmtId="0" fontId="16" fillId="0" borderId="0" xfId="0" applyFont="1" applyFill="1" applyBorder="1" applyAlignment="1">
      <alignment horizontal="center" vertical="center" wrapText="1"/>
    </xf>
    <xf numFmtId="0" fontId="16" fillId="0" borderId="11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left" wrapText="1" indent="1"/>
    </xf>
    <xf numFmtId="0" fontId="6" fillId="0" borderId="19" xfId="0" applyFont="1" applyFill="1" applyBorder="1" applyAlignment="1">
      <alignment horizontal="left" vertical="center" wrapText="1" indent="1"/>
    </xf>
    <xf numFmtId="167" fontId="25" fillId="0" borderId="19" xfId="0" applyNumberFormat="1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left" vertical="center" wrapText="1"/>
    </xf>
    <xf numFmtId="0" fontId="7" fillId="0" borderId="21" xfId="0" applyFont="1" applyFill="1" applyBorder="1" applyAlignment="1">
      <alignment horizontal="left" vertical="center"/>
    </xf>
    <xf numFmtId="0" fontId="6" fillId="0" borderId="22" xfId="0" applyFont="1" applyFill="1" applyBorder="1" applyAlignment="1">
      <alignment horizontal="left" vertical="center" wrapText="1" indent="1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 wrapText="1"/>
    </xf>
    <xf numFmtId="0" fontId="8" fillId="0" borderId="2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left" vertical="center" wrapText="1"/>
    </xf>
    <xf numFmtId="0" fontId="7" fillId="0" borderId="20" xfId="0" applyFont="1" applyFill="1" applyBorder="1" applyAlignment="1">
      <alignment horizontal="left" vertical="center" wrapText="1"/>
    </xf>
    <xf numFmtId="0" fontId="10" fillId="0" borderId="26" xfId="0" applyFont="1" applyBorder="1" applyAlignment="1">
      <alignment vertical="center" wrapText="1"/>
    </xf>
    <xf numFmtId="0" fontId="10" fillId="0" borderId="47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12" fillId="0" borderId="33" xfId="0" applyFont="1" applyBorder="1" applyAlignment="1">
      <alignment vertical="center" wrapText="1"/>
    </xf>
    <xf numFmtId="0" fontId="12" fillId="0" borderId="46" xfId="0" applyFont="1" applyFill="1" applyBorder="1" applyAlignment="1">
      <alignment horizontal="left" vertical="center" wrapText="1" indent="1"/>
    </xf>
    <xf numFmtId="0" fontId="0" fillId="0" borderId="40" xfId="0" applyFont="1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27" fillId="0" borderId="46" xfId="0" applyFont="1" applyBorder="1" applyAlignment="1">
      <alignment horizontal="left" vertical="center" wrapText="1"/>
    </xf>
    <xf numFmtId="0" fontId="10" fillId="0" borderId="46" xfId="0" applyFont="1" applyBorder="1" applyAlignment="1">
      <alignment horizontal="left" vertical="center" wrapText="1"/>
    </xf>
    <xf numFmtId="0" fontId="0" fillId="0" borderId="28" xfId="0" applyBorder="1"/>
    <xf numFmtId="0" fontId="26" fillId="0" borderId="59" xfId="0" applyFont="1" applyBorder="1" applyAlignment="1">
      <alignment horizontal="left" vertical="center" wrapText="1"/>
    </xf>
    <xf numFmtId="0" fontId="0" fillId="0" borderId="59" xfId="0" applyFont="1" applyBorder="1" applyAlignment="1">
      <alignment horizontal="left" vertical="center" wrapText="1"/>
    </xf>
    <xf numFmtId="0" fontId="0" fillId="0" borderId="38" xfId="0" applyFont="1" applyBorder="1" applyAlignment="1">
      <alignment horizontal="left" vertical="center"/>
    </xf>
    <xf numFmtId="0" fontId="12" fillId="0" borderId="29" xfId="0" applyFont="1" applyBorder="1"/>
    <xf numFmtId="0" fontId="12" fillId="0" borderId="30" xfId="0" applyFont="1" applyBorder="1" applyAlignment="1">
      <alignment horizontal="left" vertical="center" wrapText="1" indent="1"/>
    </xf>
    <xf numFmtId="0" fontId="14" fillId="0" borderId="28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0" fontId="4" fillId="0" borderId="49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 indent="1"/>
    </xf>
    <xf numFmtId="0" fontId="13" fillId="0" borderId="16" xfId="0" applyFont="1" applyBorder="1" applyAlignment="1">
      <alignment horizontal="left"/>
    </xf>
    <xf numFmtId="0" fontId="0" fillId="0" borderId="26" xfId="0" applyFont="1" applyBorder="1" applyAlignment="1">
      <alignment horizontal="center"/>
    </xf>
    <xf numFmtId="3" fontId="10" fillId="0" borderId="27" xfId="0" applyNumberFormat="1" applyFont="1" applyBorder="1" applyAlignment="1">
      <alignment horizontal="center"/>
    </xf>
    <xf numFmtId="0" fontId="11" fillId="0" borderId="16" xfId="0" applyFont="1" applyBorder="1" applyAlignment="1">
      <alignment horizontal="center" vertical="center" wrapText="1"/>
    </xf>
    <xf numFmtId="0" fontId="2" fillId="0" borderId="16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uario/Downloads/2021%20DESCARGAS/COMBUSTIBLE/NecesidadesTrimestrales-NP-APG%20Combusti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10">
          <cell r="D10" t="str">
            <v>2.5.6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3"/>
  <sheetViews>
    <sheetView zoomScale="90" zoomScaleNormal="90" workbookViewId="0">
      <selection activeCell="E6" sqref="E6"/>
    </sheetView>
  </sheetViews>
  <sheetFormatPr baseColWidth="10" defaultColWidth="11" defaultRowHeight="12.75" x14ac:dyDescent="0.2"/>
  <cols>
    <col min="1" max="1" width="4.5703125" style="32" customWidth="1"/>
    <col min="2" max="2" width="21.7109375" style="32" customWidth="1"/>
    <col min="3" max="3" width="32.42578125" style="32" customWidth="1"/>
    <col min="4" max="4" width="8.42578125" style="32" customWidth="1"/>
    <col min="5" max="5" width="160.28515625" style="32" customWidth="1"/>
    <col min="6" max="6" width="10.5703125" style="32" bestFit="1" customWidth="1"/>
    <col min="7" max="7" width="10.42578125" style="32" bestFit="1" customWidth="1"/>
    <col min="8" max="8" width="11.7109375" style="32" customWidth="1"/>
    <col min="9" max="9" width="15.7109375" style="32" bestFit="1" customWidth="1"/>
    <col min="10" max="16384" width="11" style="32"/>
  </cols>
  <sheetData>
    <row r="1" spans="1:9" x14ac:dyDescent="0.2">
      <c r="A1" s="58"/>
      <c r="B1" s="58"/>
      <c r="C1" s="58"/>
      <c r="D1" s="58"/>
      <c r="E1" s="58"/>
      <c r="F1" s="58"/>
      <c r="G1" s="58"/>
      <c r="H1" s="58"/>
    </row>
    <row r="2" spans="1:9" ht="27" x14ac:dyDescent="0.35">
      <c r="A2" s="58"/>
      <c r="B2" s="129" t="s">
        <v>0</v>
      </c>
      <c r="C2" s="129"/>
      <c r="D2" s="129"/>
      <c r="E2" s="129"/>
      <c r="F2" s="129"/>
      <c r="G2" s="129"/>
      <c r="H2" s="129"/>
    </row>
    <row r="3" spans="1:9" x14ac:dyDescent="0.2">
      <c r="A3" s="58"/>
      <c r="B3" s="58"/>
      <c r="C3" s="58"/>
      <c r="D3" s="58"/>
      <c r="E3" s="58"/>
      <c r="F3" s="58"/>
      <c r="G3" s="58"/>
      <c r="H3" s="58"/>
    </row>
    <row r="4" spans="1:9" ht="18" customHeight="1" x14ac:dyDescent="0.25">
      <c r="A4" s="128" t="s">
        <v>1</v>
      </c>
      <c r="B4" s="128"/>
      <c r="C4" s="130" t="s">
        <v>62</v>
      </c>
      <c r="D4" s="130"/>
      <c r="E4" s="130"/>
      <c r="F4" s="59"/>
      <c r="G4" s="60"/>
      <c r="H4" s="59"/>
    </row>
    <row r="5" spans="1:9" ht="18" customHeight="1" x14ac:dyDescent="0.25">
      <c r="A5" s="128" t="s">
        <v>2</v>
      </c>
      <c r="B5" s="128"/>
      <c r="C5" s="130" t="s">
        <v>59</v>
      </c>
      <c r="D5" s="130"/>
      <c r="E5" s="130"/>
      <c r="F5" s="59"/>
      <c r="G5" s="60"/>
      <c r="H5" s="59"/>
    </row>
    <row r="6" spans="1:9" ht="16.5" customHeight="1" x14ac:dyDescent="0.25">
      <c r="A6" s="128" t="s">
        <v>3</v>
      </c>
      <c r="B6" s="128"/>
      <c r="C6" s="61">
        <v>2021</v>
      </c>
      <c r="D6" s="62"/>
      <c r="E6" s="62"/>
      <c r="F6" s="59"/>
      <c r="G6" s="60"/>
      <c r="H6" s="59"/>
    </row>
    <row r="7" spans="1:9" ht="16.5" customHeight="1" x14ac:dyDescent="0.25">
      <c r="A7" s="128" t="s">
        <v>4</v>
      </c>
      <c r="B7" s="128"/>
      <c r="C7" s="61">
        <v>4</v>
      </c>
      <c r="D7" s="62"/>
      <c r="E7" s="62"/>
      <c r="F7" s="59"/>
      <c r="G7" s="60"/>
      <c r="H7" s="59"/>
    </row>
    <row r="8" spans="1:9" ht="13.5" thickBot="1" x14ac:dyDescent="0.25">
      <c r="A8" s="58"/>
      <c r="B8" s="59"/>
      <c r="C8" s="60"/>
      <c r="D8" s="59"/>
      <c r="E8" s="59"/>
      <c r="F8" s="59"/>
      <c r="G8" s="60"/>
      <c r="H8" s="59"/>
    </row>
    <row r="9" spans="1:9" ht="39" thickBot="1" x14ac:dyDescent="0.25">
      <c r="A9" s="63" t="s">
        <v>5</v>
      </c>
      <c r="B9" s="64" t="s">
        <v>6</v>
      </c>
      <c r="C9" s="64" t="s">
        <v>7</v>
      </c>
      <c r="D9" s="65" t="s">
        <v>8</v>
      </c>
      <c r="E9" s="64" t="s">
        <v>9</v>
      </c>
      <c r="F9" s="66" t="s">
        <v>10</v>
      </c>
      <c r="G9" s="116" t="s">
        <v>11</v>
      </c>
      <c r="H9" s="118" t="s">
        <v>12</v>
      </c>
      <c r="I9" s="119" t="s">
        <v>13</v>
      </c>
    </row>
    <row r="10" spans="1:9" x14ac:dyDescent="0.2">
      <c r="A10" s="67">
        <v>1</v>
      </c>
      <c r="B10" s="37" t="s">
        <v>67</v>
      </c>
      <c r="C10" s="35" t="s">
        <v>57</v>
      </c>
      <c r="D10" s="68" t="s">
        <v>63</v>
      </c>
      <c r="E10" s="36" t="s">
        <v>66</v>
      </c>
      <c r="F10" s="69" t="s">
        <v>14</v>
      </c>
      <c r="G10" s="70">
        <v>50000</v>
      </c>
      <c r="H10" s="117">
        <v>599</v>
      </c>
      <c r="I10" s="117">
        <f>+G10*H10</f>
        <v>29950000</v>
      </c>
    </row>
    <row r="11" spans="1:9" x14ac:dyDescent="0.2">
      <c r="A11" s="71">
        <v>2</v>
      </c>
      <c r="B11" s="72" t="s">
        <v>64</v>
      </c>
      <c r="C11" s="73" t="s">
        <v>57</v>
      </c>
      <c r="D11" s="74" t="str">
        <f t="shared" ref="D11:D17" si="0">LEFT(B11,5)</f>
        <v>2.1.1</v>
      </c>
      <c r="E11" s="75" t="s">
        <v>65</v>
      </c>
      <c r="F11" s="76" t="s">
        <v>14</v>
      </c>
      <c r="G11" s="77">
        <v>50000</v>
      </c>
      <c r="H11" s="107">
        <v>197</v>
      </c>
      <c r="I11" s="107">
        <f t="shared" ref="I11:I21" si="1">+G11*H11</f>
        <v>9850000</v>
      </c>
    </row>
    <row r="12" spans="1:9" x14ac:dyDescent="0.2">
      <c r="A12" s="71">
        <v>3</v>
      </c>
      <c r="B12" s="78" t="s">
        <v>80</v>
      </c>
      <c r="C12" s="78" t="s">
        <v>57</v>
      </c>
      <c r="D12" s="79" t="str">
        <f t="shared" si="0"/>
        <v>2.1.1</v>
      </c>
      <c r="E12" s="78" t="s">
        <v>81</v>
      </c>
      <c r="F12" s="76" t="s">
        <v>14</v>
      </c>
      <c r="G12" s="77">
        <v>50000</v>
      </c>
      <c r="H12" s="107">
        <v>299</v>
      </c>
      <c r="I12" s="107">
        <f t="shared" si="1"/>
        <v>14950000</v>
      </c>
    </row>
    <row r="13" spans="1:9" x14ac:dyDescent="0.2">
      <c r="A13" s="71">
        <v>4</v>
      </c>
      <c r="B13" s="78" t="s">
        <v>87</v>
      </c>
      <c r="C13" s="80" t="s">
        <v>57</v>
      </c>
      <c r="D13" s="74" t="str">
        <f t="shared" si="0"/>
        <v>2.1.1</v>
      </c>
      <c r="E13" s="81" t="s">
        <v>88</v>
      </c>
      <c r="F13" s="76" t="s">
        <v>14</v>
      </c>
      <c r="G13" s="77">
        <v>50000</v>
      </c>
      <c r="H13" s="107">
        <v>190</v>
      </c>
      <c r="I13" s="107">
        <f t="shared" si="1"/>
        <v>9500000</v>
      </c>
    </row>
    <row r="14" spans="1:9" x14ac:dyDescent="0.2">
      <c r="A14" s="67">
        <v>5</v>
      </c>
      <c r="B14" s="82" t="s">
        <v>69</v>
      </c>
      <c r="C14" s="78" t="s">
        <v>57</v>
      </c>
      <c r="D14" s="68" t="s">
        <v>63</v>
      </c>
      <c r="E14" s="83" t="s">
        <v>68</v>
      </c>
      <c r="F14" s="76" t="s">
        <v>14</v>
      </c>
      <c r="G14" s="77">
        <v>50000</v>
      </c>
      <c r="H14" s="107">
        <v>98.5</v>
      </c>
      <c r="I14" s="107">
        <f t="shared" si="1"/>
        <v>4925000</v>
      </c>
    </row>
    <row r="15" spans="1:9" x14ac:dyDescent="0.2">
      <c r="A15" s="71">
        <v>6</v>
      </c>
      <c r="B15" s="78" t="s">
        <v>92</v>
      </c>
      <c r="C15" s="78" t="s">
        <v>57</v>
      </c>
      <c r="D15" s="79" t="str">
        <f t="shared" si="0"/>
        <v>2.1.1</v>
      </c>
      <c r="E15" s="81" t="s">
        <v>93</v>
      </c>
      <c r="F15" s="84" t="s">
        <v>14</v>
      </c>
      <c r="G15" s="77">
        <v>50000</v>
      </c>
      <c r="H15" s="107">
        <v>59</v>
      </c>
      <c r="I15" s="107">
        <f t="shared" si="1"/>
        <v>2950000</v>
      </c>
    </row>
    <row r="16" spans="1:9" x14ac:dyDescent="0.2">
      <c r="A16" s="71">
        <v>7</v>
      </c>
      <c r="B16" s="78" t="s">
        <v>82</v>
      </c>
      <c r="C16" s="78" t="s">
        <v>57</v>
      </c>
      <c r="D16" s="79" t="str">
        <f t="shared" si="0"/>
        <v>2.1.1</v>
      </c>
      <c r="E16" s="78" t="s">
        <v>83</v>
      </c>
      <c r="F16" s="84" t="s">
        <v>14</v>
      </c>
      <c r="G16" s="77">
        <v>50000</v>
      </c>
      <c r="H16" s="107">
        <v>49.5</v>
      </c>
      <c r="I16" s="107">
        <f t="shared" si="1"/>
        <v>2475000</v>
      </c>
    </row>
    <row r="17" spans="1:10" x14ac:dyDescent="0.2">
      <c r="A17" s="71">
        <v>8</v>
      </c>
      <c r="B17" s="85" t="s">
        <v>71</v>
      </c>
      <c r="C17" s="75" t="s">
        <v>57</v>
      </c>
      <c r="D17" s="79" t="str">
        <f t="shared" si="0"/>
        <v>2.1.1</v>
      </c>
      <c r="E17" s="86" t="s">
        <v>70</v>
      </c>
      <c r="F17" s="84" t="s">
        <v>14</v>
      </c>
      <c r="G17" s="77">
        <v>50000</v>
      </c>
      <c r="H17" s="107">
        <v>72.5</v>
      </c>
      <c r="I17" s="107">
        <f t="shared" si="1"/>
        <v>3625000</v>
      </c>
    </row>
    <row r="18" spans="1:10" x14ac:dyDescent="0.2">
      <c r="A18" s="67">
        <v>9</v>
      </c>
      <c r="B18" s="78" t="s">
        <v>74</v>
      </c>
      <c r="C18" s="78" t="s">
        <v>57</v>
      </c>
      <c r="D18" s="87" t="s">
        <v>63</v>
      </c>
      <c r="E18" s="78" t="s">
        <v>75</v>
      </c>
      <c r="F18" s="84" t="s">
        <v>14</v>
      </c>
      <c r="G18" s="77">
        <v>50000</v>
      </c>
      <c r="H18" s="107">
        <v>45</v>
      </c>
      <c r="I18" s="107">
        <f t="shared" si="1"/>
        <v>2250000</v>
      </c>
    </row>
    <row r="19" spans="1:10" x14ac:dyDescent="0.2">
      <c r="A19" s="71">
        <v>10</v>
      </c>
      <c r="B19" s="78" t="s">
        <v>76</v>
      </c>
      <c r="C19" s="78" t="s">
        <v>57</v>
      </c>
      <c r="D19" s="87" t="s">
        <v>63</v>
      </c>
      <c r="E19" s="78" t="s">
        <v>77</v>
      </c>
      <c r="F19" s="84" t="s">
        <v>14</v>
      </c>
      <c r="G19" s="77">
        <v>50000</v>
      </c>
      <c r="H19" s="107">
        <v>45</v>
      </c>
      <c r="I19" s="107">
        <f t="shared" si="1"/>
        <v>2250000</v>
      </c>
    </row>
    <row r="20" spans="1:10" x14ac:dyDescent="0.2">
      <c r="A20" s="71">
        <v>11</v>
      </c>
      <c r="B20" s="75" t="s">
        <v>78</v>
      </c>
      <c r="C20" s="75" t="s">
        <v>57</v>
      </c>
      <c r="D20" s="87" t="s">
        <v>63</v>
      </c>
      <c r="E20" s="75" t="s">
        <v>79</v>
      </c>
      <c r="F20" s="84" t="s">
        <v>14</v>
      </c>
      <c r="G20" s="77">
        <v>50000</v>
      </c>
      <c r="H20" s="107">
        <v>45</v>
      </c>
      <c r="I20" s="107">
        <f t="shared" si="1"/>
        <v>2250000</v>
      </c>
    </row>
    <row r="21" spans="1:10" ht="13.5" thickBot="1" x14ac:dyDescent="0.25">
      <c r="A21" s="71">
        <v>12</v>
      </c>
      <c r="B21" s="88" t="s">
        <v>84</v>
      </c>
      <c r="C21" s="89" t="s">
        <v>57</v>
      </c>
      <c r="D21" s="90" t="s">
        <v>63</v>
      </c>
      <c r="E21" s="89" t="s">
        <v>85</v>
      </c>
      <c r="F21" s="91" t="s">
        <v>14</v>
      </c>
      <c r="G21" s="113">
        <v>50000</v>
      </c>
      <c r="H21" s="107">
        <v>126</v>
      </c>
      <c r="I21" s="108">
        <f t="shared" si="1"/>
        <v>6300000</v>
      </c>
    </row>
    <row r="22" spans="1:10" ht="13.5" thickBot="1" x14ac:dyDescent="0.25">
      <c r="A22" s="92"/>
      <c r="B22" s="88"/>
      <c r="C22" s="89"/>
      <c r="D22" s="90"/>
      <c r="E22" s="89"/>
      <c r="F22" s="112"/>
      <c r="G22" s="114"/>
      <c r="H22" s="115"/>
      <c r="I22" s="109"/>
    </row>
    <row r="23" spans="1:10" x14ac:dyDescent="0.2">
      <c r="A23" s="58"/>
      <c r="B23" s="58"/>
      <c r="C23" s="58"/>
      <c r="D23" s="58"/>
      <c r="E23" s="58"/>
      <c r="F23" s="58"/>
      <c r="G23" s="58"/>
      <c r="H23" s="58"/>
      <c r="I23" s="39"/>
      <c r="J23" s="39"/>
    </row>
    <row r="24" spans="1:10" x14ac:dyDescent="0.2">
      <c r="A24" s="58"/>
      <c r="B24" s="58"/>
      <c r="C24" s="58"/>
      <c r="D24" s="58"/>
      <c r="E24" s="58"/>
      <c r="F24" s="58"/>
      <c r="G24" s="58"/>
      <c r="H24" s="93"/>
      <c r="J24" s="39"/>
    </row>
    <row r="25" spans="1:10" x14ac:dyDescent="0.2">
      <c r="A25" s="58"/>
      <c r="B25" s="94" t="s">
        <v>95</v>
      </c>
      <c r="C25" s="95"/>
      <c r="D25" s="95"/>
      <c r="E25" s="96"/>
      <c r="F25" s="58"/>
      <c r="G25" s="58"/>
      <c r="H25" s="58"/>
    </row>
    <row r="26" spans="1:10" ht="5.25" customHeight="1" x14ac:dyDescent="0.2">
      <c r="A26" s="58"/>
      <c r="B26" s="97"/>
      <c r="C26" s="98"/>
      <c r="D26" s="98"/>
      <c r="E26" s="99"/>
      <c r="F26" s="58"/>
      <c r="G26" s="58"/>
      <c r="H26" s="58"/>
    </row>
    <row r="27" spans="1:10" x14ac:dyDescent="0.2">
      <c r="A27" s="58"/>
      <c r="B27" s="100" t="s">
        <v>15</v>
      </c>
      <c r="C27" s="98"/>
      <c r="D27" s="98"/>
      <c r="E27" s="99"/>
      <c r="F27" s="58"/>
      <c r="G27" s="58"/>
      <c r="H27" s="58"/>
    </row>
    <row r="28" spans="1:10" ht="41.25" customHeight="1" x14ac:dyDescent="0.2">
      <c r="A28" s="58"/>
      <c r="B28" s="100"/>
      <c r="C28" s="125"/>
      <c r="D28" s="125"/>
      <c r="E28" s="125"/>
      <c r="F28" s="58"/>
      <c r="G28" s="58"/>
      <c r="H28" s="58"/>
    </row>
    <row r="29" spans="1:10" x14ac:dyDescent="0.2">
      <c r="A29" s="58"/>
      <c r="B29" s="100" t="s">
        <v>16</v>
      </c>
      <c r="C29" s="98"/>
      <c r="D29" s="98"/>
      <c r="E29" s="99"/>
      <c r="F29" s="58"/>
      <c r="G29" s="58"/>
      <c r="H29" s="58"/>
    </row>
    <row r="30" spans="1:10" ht="31.5" customHeight="1" x14ac:dyDescent="0.2">
      <c r="A30" s="58"/>
      <c r="B30" s="101"/>
      <c r="C30" s="126" t="s">
        <v>109</v>
      </c>
      <c r="D30" s="126"/>
      <c r="E30" s="127"/>
      <c r="F30" s="58"/>
      <c r="G30" s="58"/>
      <c r="H30" s="58"/>
    </row>
    <row r="31" spans="1:10" x14ac:dyDescent="0.2">
      <c r="A31" s="58"/>
      <c r="B31" s="101"/>
      <c r="C31" s="121" t="s">
        <v>72</v>
      </c>
      <c r="D31" s="121"/>
      <c r="E31" s="121"/>
      <c r="F31" s="58"/>
      <c r="G31" s="58"/>
      <c r="H31" s="58"/>
    </row>
    <row r="32" spans="1:10" x14ac:dyDescent="0.2">
      <c r="A32" s="58"/>
      <c r="B32" s="100" t="s">
        <v>17</v>
      </c>
      <c r="C32" s="98"/>
      <c r="D32" s="98"/>
      <c r="E32" s="99"/>
      <c r="F32" s="58"/>
      <c r="G32" s="58"/>
      <c r="H32" s="58"/>
    </row>
    <row r="33" spans="1:8" ht="26.25" customHeight="1" x14ac:dyDescent="0.2">
      <c r="A33" s="58"/>
      <c r="B33" s="101"/>
      <c r="C33" s="125" t="s">
        <v>61</v>
      </c>
      <c r="D33" s="125"/>
      <c r="E33" s="125"/>
      <c r="F33" s="58"/>
      <c r="G33" s="58"/>
      <c r="H33" s="58"/>
    </row>
    <row r="34" spans="1:8" x14ac:dyDescent="0.2">
      <c r="A34" s="58"/>
      <c r="B34" s="100" t="s">
        <v>18</v>
      </c>
      <c r="C34" s="102"/>
      <c r="D34" s="102"/>
      <c r="E34" s="103"/>
      <c r="F34" s="58"/>
      <c r="G34" s="58"/>
      <c r="H34" s="58"/>
    </row>
    <row r="35" spans="1:8" ht="26.25" customHeight="1" x14ac:dyDescent="0.2">
      <c r="A35" s="58"/>
      <c r="B35" s="101"/>
      <c r="C35" s="125" t="s">
        <v>73</v>
      </c>
      <c r="D35" s="125"/>
      <c r="E35" s="125"/>
      <c r="F35" s="58"/>
      <c r="G35" s="58"/>
      <c r="H35" s="58"/>
    </row>
    <row r="36" spans="1:8" x14ac:dyDescent="0.2">
      <c r="A36" s="58"/>
      <c r="B36" s="100" t="s">
        <v>19</v>
      </c>
      <c r="C36" s="98"/>
      <c r="D36" s="98"/>
      <c r="E36" s="99"/>
      <c r="F36" s="58"/>
      <c r="G36" s="58"/>
      <c r="H36" s="58"/>
    </row>
    <row r="37" spans="1:8" ht="23.25" customHeight="1" x14ac:dyDescent="0.2">
      <c r="A37" s="58"/>
      <c r="B37" s="100"/>
      <c r="C37" s="121" t="s">
        <v>60</v>
      </c>
      <c r="D37" s="121"/>
      <c r="E37" s="121"/>
      <c r="F37" s="58"/>
      <c r="G37" s="58"/>
      <c r="H37" s="58"/>
    </row>
    <row r="38" spans="1:8" x14ac:dyDescent="0.2">
      <c r="A38" s="58"/>
      <c r="B38" s="104"/>
      <c r="C38" s="105"/>
      <c r="D38" s="105"/>
      <c r="E38" s="106"/>
      <c r="F38" s="58"/>
      <c r="G38" s="58"/>
      <c r="H38" s="58"/>
    </row>
    <row r="39" spans="1:8" ht="13.5" thickBot="1" x14ac:dyDescent="0.25">
      <c r="A39" s="58"/>
      <c r="B39" s="58"/>
      <c r="C39" s="58"/>
      <c r="D39" s="58"/>
      <c r="E39" s="58"/>
      <c r="F39" s="58"/>
      <c r="G39" s="58"/>
      <c r="H39" s="58"/>
    </row>
    <row r="40" spans="1:8" x14ac:dyDescent="0.2">
      <c r="B40" s="94" t="s">
        <v>96</v>
      </c>
      <c r="C40" s="95"/>
      <c r="D40" s="95"/>
      <c r="E40" s="96"/>
    </row>
    <row r="41" spans="1:8" x14ac:dyDescent="0.2">
      <c r="B41" s="97"/>
      <c r="C41" s="98"/>
      <c r="D41" s="98"/>
      <c r="E41" s="99"/>
    </row>
    <row r="42" spans="1:8" x14ac:dyDescent="0.2">
      <c r="B42" s="100" t="s">
        <v>15</v>
      </c>
      <c r="C42" s="98"/>
      <c r="D42" s="98"/>
      <c r="E42" s="99"/>
    </row>
    <row r="43" spans="1:8" x14ac:dyDescent="0.2">
      <c r="B43" s="100"/>
      <c r="C43" s="125"/>
      <c r="D43" s="125"/>
      <c r="E43" s="125"/>
    </row>
    <row r="44" spans="1:8" x14ac:dyDescent="0.2">
      <c r="B44" s="100" t="s">
        <v>16</v>
      </c>
      <c r="C44" s="98"/>
      <c r="D44" s="98"/>
      <c r="E44" s="99"/>
    </row>
    <row r="45" spans="1:8" x14ac:dyDescent="0.2">
      <c r="B45" s="101"/>
      <c r="C45" s="126" t="s">
        <v>109</v>
      </c>
      <c r="D45" s="126"/>
      <c r="E45" s="127"/>
    </row>
    <row r="46" spans="1:8" x14ac:dyDescent="0.2">
      <c r="B46" s="101"/>
      <c r="C46" s="121" t="s">
        <v>72</v>
      </c>
      <c r="D46" s="121"/>
      <c r="E46" s="121"/>
    </row>
    <row r="47" spans="1:8" x14ac:dyDescent="0.2">
      <c r="B47" s="100" t="s">
        <v>17</v>
      </c>
      <c r="C47" s="98"/>
      <c r="D47" s="98"/>
      <c r="E47" s="99"/>
    </row>
    <row r="48" spans="1:8" x14ac:dyDescent="0.2">
      <c r="B48" s="101"/>
      <c r="C48" s="125" t="s">
        <v>61</v>
      </c>
      <c r="D48" s="125"/>
      <c r="E48" s="125"/>
    </row>
    <row r="49" spans="2:5" x14ac:dyDescent="0.2">
      <c r="B49" s="100" t="s">
        <v>18</v>
      </c>
      <c r="C49" s="102"/>
      <c r="D49" s="102"/>
      <c r="E49" s="110"/>
    </row>
    <row r="50" spans="2:5" x14ac:dyDescent="0.2">
      <c r="B50" s="101"/>
      <c r="C50" s="125" t="s">
        <v>73</v>
      </c>
      <c r="D50" s="125"/>
      <c r="E50" s="125"/>
    </row>
    <row r="51" spans="2:5" x14ac:dyDescent="0.2">
      <c r="B51" s="100" t="s">
        <v>19</v>
      </c>
      <c r="C51" s="98"/>
      <c r="D51" s="98"/>
      <c r="E51" s="99"/>
    </row>
    <row r="52" spans="2:5" x14ac:dyDescent="0.2">
      <c r="B52" s="100"/>
      <c r="C52" s="121" t="s">
        <v>60</v>
      </c>
      <c r="D52" s="121"/>
      <c r="E52" s="121"/>
    </row>
    <row r="53" spans="2:5" ht="13.5" thickBot="1" x14ac:dyDescent="0.25">
      <c r="B53" s="104"/>
      <c r="C53" s="105"/>
      <c r="D53" s="105"/>
      <c r="E53" s="106"/>
    </row>
    <row r="54" spans="2:5" ht="13.5" thickBot="1" x14ac:dyDescent="0.25"/>
    <row r="55" spans="2:5" x14ac:dyDescent="0.2">
      <c r="B55" s="94" t="s">
        <v>97</v>
      </c>
      <c r="C55" s="95"/>
      <c r="D55" s="95"/>
      <c r="E55" s="96"/>
    </row>
    <row r="56" spans="2:5" x14ac:dyDescent="0.2">
      <c r="B56" s="97"/>
      <c r="C56" s="98"/>
      <c r="D56" s="98"/>
      <c r="E56" s="99"/>
    </row>
    <row r="57" spans="2:5" x14ac:dyDescent="0.2">
      <c r="B57" s="100" t="s">
        <v>15</v>
      </c>
      <c r="C57" s="98"/>
      <c r="D57" s="98"/>
      <c r="E57" s="99"/>
    </row>
    <row r="58" spans="2:5" x14ac:dyDescent="0.2">
      <c r="B58" s="100"/>
      <c r="C58" s="125"/>
      <c r="D58" s="125"/>
      <c r="E58" s="125"/>
    </row>
    <row r="59" spans="2:5" x14ac:dyDescent="0.2">
      <c r="B59" s="100" t="s">
        <v>16</v>
      </c>
      <c r="C59" s="98"/>
      <c r="D59" s="98"/>
      <c r="E59" s="99"/>
    </row>
    <row r="60" spans="2:5" x14ac:dyDescent="0.2">
      <c r="B60" s="101"/>
      <c r="C60" s="126" t="s">
        <v>109</v>
      </c>
      <c r="D60" s="126"/>
      <c r="E60" s="127"/>
    </row>
    <row r="61" spans="2:5" x14ac:dyDescent="0.2">
      <c r="B61" s="101"/>
      <c r="C61" s="121" t="s">
        <v>72</v>
      </c>
      <c r="D61" s="121"/>
      <c r="E61" s="121"/>
    </row>
    <row r="62" spans="2:5" x14ac:dyDescent="0.2">
      <c r="B62" s="100" t="s">
        <v>17</v>
      </c>
      <c r="C62" s="98"/>
      <c r="D62" s="98"/>
      <c r="E62" s="99"/>
    </row>
    <row r="63" spans="2:5" x14ac:dyDescent="0.2">
      <c r="B63" s="101"/>
      <c r="C63" s="125" t="s">
        <v>61</v>
      </c>
      <c r="D63" s="125"/>
      <c r="E63" s="125"/>
    </row>
    <row r="64" spans="2:5" x14ac:dyDescent="0.2">
      <c r="B64" s="100" t="s">
        <v>18</v>
      </c>
      <c r="C64" s="102"/>
      <c r="D64" s="102"/>
      <c r="E64" s="110"/>
    </row>
    <row r="65" spans="2:5" x14ac:dyDescent="0.2">
      <c r="B65" s="101"/>
      <c r="C65" s="125" t="s">
        <v>73</v>
      </c>
      <c r="D65" s="125"/>
      <c r="E65" s="125"/>
    </row>
    <row r="66" spans="2:5" x14ac:dyDescent="0.2">
      <c r="B66" s="100" t="s">
        <v>19</v>
      </c>
      <c r="C66" s="98"/>
      <c r="D66" s="98"/>
      <c r="E66" s="99"/>
    </row>
    <row r="67" spans="2:5" x14ac:dyDescent="0.2">
      <c r="B67" s="100"/>
      <c r="C67" s="121" t="s">
        <v>60</v>
      </c>
      <c r="D67" s="121"/>
      <c r="E67" s="121"/>
    </row>
    <row r="68" spans="2:5" ht="13.5" thickBot="1" x14ac:dyDescent="0.25">
      <c r="B68" s="104"/>
      <c r="C68" s="105"/>
      <c r="D68" s="105"/>
      <c r="E68" s="106"/>
    </row>
    <row r="69" spans="2:5" ht="13.5" thickBot="1" x14ac:dyDescent="0.25"/>
    <row r="70" spans="2:5" x14ac:dyDescent="0.2">
      <c r="B70" s="94" t="s">
        <v>98</v>
      </c>
      <c r="C70" s="95"/>
      <c r="D70" s="95"/>
      <c r="E70" s="96"/>
    </row>
    <row r="71" spans="2:5" x14ac:dyDescent="0.2">
      <c r="B71" s="97"/>
      <c r="C71" s="98"/>
      <c r="D71" s="98"/>
      <c r="E71" s="99"/>
    </row>
    <row r="72" spans="2:5" x14ac:dyDescent="0.2">
      <c r="B72" s="100" t="s">
        <v>15</v>
      </c>
      <c r="C72" s="98"/>
      <c r="D72" s="98"/>
      <c r="E72" s="99"/>
    </row>
    <row r="73" spans="2:5" x14ac:dyDescent="0.2">
      <c r="B73" s="100"/>
      <c r="C73" s="125"/>
      <c r="D73" s="125"/>
      <c r="E73" s="125"/>
    </row>
    <row r="74" spans="2:5" x14ac:dyDescent="0.2">
      <c r="B74" s="100" t="s">
        <v>16</v>
      </c>
      <c r="C74" s="98"/>
      <c r="D74" s="98"/>
      <c r="E74" s="99"/>
    </row>
    <row r="75" spans="2:5" x14ac:dyDescent="0.2">
      <c r="B75" s="101"/>
      <c r="C75" s="126" t="s">
        <v>109</v>
      </c>
      <c r="D75" s="126"/>
      <c r="E75" s="127"/>
    </row>
    <row r="76" spans="2:5" x14ac:dyDescent="0.2">
      <c r="B76" s="101"/>
      <c r="C76" s="121" t="s">
        <v>72</v>
      </c>
      <c r="D76" s="121"/>
      <c r="E76" s="121"/>
    </row>
    <row r="77" spans="2:5" x14ac:dyDescent="0.2">
      <c r="B77" s="100" t="s">
        <v>17</v>
      </c>
      <c r="C77" s="98"/>
      <c r="D77" s="98"/>
      <c r="E77" s="99"/>
    </row>
    <row r="78" spans="2:5" x14ac:dyDescent="0.2">
      <c r="B78" s="101"/>
      <c r="C78" s="125" t="s">
        <v>61</v>
      </c>
      <c r="D78" s="125"/>
      <c r="E78" s="125"/>
    </row>
    <row r="79" spans="2:5" x14ac:dyDescent="0.2">
      <c r="B79" s="100" t="s">
        <v>18</v>
      </c>
      <c r="C79" s="102"/>
      <c r="D79" s="102"/>
      <c r="E79" s="110"/>
    </row>
    <row r="80" spans="2:5" x14ac:dyDescent="0.2">
      <c r="B80" s="101"/>
      <c r="C80" s="125" t="s">
        <v>73</v>
      </c>
      <c r="D80" s="125"/>
      <c r="E80" s="125"/>
    </row>
    <row r="81" spans="2:5" x14ac:dyDescent="0.2">
      <c r="B81" s="100" t="s">
        <v>19</v>
      </c>
      <c r="C81" s="98"/>
      <c r="D81" s="98"/>
      <c r="E81" s="99"/>
    </row>
    <row r="82" spans="2:5" x14ac:dyDescent="0.2">
      <c r="B82" s="100"/>
      <c r="C82" s="121" t="s">
        <v>60</v>
      </c>
      <c r="D82" s="121"/>
      <c r="E82" s="121"/>
    </row>
    <row r="83" spans="2:5" ht="13.5" thickBot="1" x14ac:dyDescent="0.25">
      <c r="B83" s="104"/>
      <c r="C83" s="105"/>
      <c r="D83" s="105"/>
      <c r="E83" s="106"/>
    </row>
    <row r="84" spans="2:5" ht="13.5" thickBot="1" x14ac:dyDescent="0.25"/>
    <row r="85" spans="2:5" x14ac:dyDescent="0.2">
      <c r="B85" s="94" t="s">
        <v>99</v>
      </c>
      <c r="C85" s="95"/>
      <c r="D85" s="95"/>
      <c r="E85" s="96"/>
    </row>
    <row r="86" spans="2:5" x14ac:dyDescent="0.2">
      <c r="B86" s="97"/>
      <c r="C86" s="98"/>
      <c r="D86" s="98"/>
      <c r="E86" s="99"/>
    </row>
    <row r="87" spans="2:5" x14ac:dyDescent="0.2">
      <c r="B87" s="100" t="s">
        <v>15</v>
      </c>
      <c r="C87" s="122" t="s">
        <v>107</v>
      </c>
      <c r="D87" s="123"/>
      <c r="E87" s="124"/>
    </row>
    <row r="88" spans="2:5" x14ac:dyDescent="0.2">
      <c r="B88" s="100"/>
      <c r="C88" s="125"/>
      <c r="D88" s="125"/>
      <c r="E88" s="125"/>
    </row>
    <row r="89" spans="2:5" x14ac:dyDescent="0.2">
      <c r="B89" s="100" t="s">
        <v>16</v>
      </c>
      <c r="C89" s="98"/>
      <c r="D89" s="98"/>
      <c r="E89" s="99"/>
    </row>
    <row r="90" spans="2:5" x14ac:dyDescent="0.2">
      <c r="B90" s="101"/>
      <c r="C90" s="126" t="s">
        <v>109</v>
      </c>
      <c r="D90" s="126"/>
      <c r="E90" s="127"/>
    </row>
    <row r="91" spans="2:5" x14ac:dyDescent="0.2">
      <c r="B91" s="101"/>
      <c r="C91" s="121" t="s">
        <v>72</v>
      </c>
      <c r="D91" s="121"/>
      <c r="E91" s="121"/>
    </row>
    <row r="92" spans="2:5" x14ac:dyDescent="0.2">
      <c r="B92" s="100" t="s">
        <v>17</v>
      </c>
      <c r="C92" s="98"/>
      <c r="D92" s="98"/>
      <c r="E92" s="99"/>
    </row>
    <row r="93" spans="2:5" x14ac:dyDescent="0.2">
      <c r="B93" s="101"/>
      <c r="C93" s="125" t="s">
        <v>61</v>
      </c>
      <c r="D93" s="125"/>
      <c r="E93" s="125"/>
    </row>
    <row r="94" spans="2:5" x14ac:dyDescent="0.2">
      <c r="B94" s="100" t="s">
        <v>18</v>
      </c>
      <c r="C94" s="102"/>
      <c r="D94" s="102"/>
      <c r="E94" s="110"/>
    </row>
    <row r="95" spans="2:5" x14ac:dyDescent="0.2">
      <c r="B95" s="101"/>
      <c r="C95" s="125" t="s">
        <v>73</v>
      </c>
      <c r="D95" s="125"/>
      <c r="E95" s="125"/>
    </row>
    <row r="96" spans="2:5" x14ac:dyDescent="0.2">
      <c r="B96" s="100" t="s">
        <v>19</v>
      </c>
      <c r="C96" s="98"/>
      <c r="D96" s="98"/>
      <c r="E96" s="99"/>
    </row>
    <row r="97" spans="2:5" x14ac:dyDescent="0.2">
      <c r="B97" s="100"/>
      <c r="C97" s="121" t="s">
        <v>60</v>
      </c>
      <c r="D97" s="121"/>
      <c r="E97" s="121"/>
    </row>
    <row r="98" spans="2:5" ht="13.5" thickBot="1" x14ac:dyDescent="0.25">
      <c r="B98" s="104"/>
      <c r="C98" s="105"/>
      <c r="D98" s="105"/>
      <c r="E98" s="106"/>
    </row>
    <row r="99" spans="2:5" ht="13.5" thickBot="1" x14ac:dyDescent="0.25"/>
    <row r="100" spans="2:5" x14ac:dyDescent="0.2">
      <c r="B100" s="94" t="s">
        <v>100</v>
      </c>
      <c r="C100" s="95"/>
      <c r="D100" s="95"/>
      <c r="E100" s="96"/>
    </row>
    <row r="101" spans="2:5" x14ac:dyDescent="0.2">
      <c r="B101" s="97"/>
      <c r="C101" s="98"/>
      <c r="D101" s="98"/>
      <c r="E101" s="99"/>
    </row>
    <row r="102" spans="2:5" x14ac:dyDescent="0.2">
      <c r="B102" s="100" t="s">
        <v>15</v>
      </c>
      <c r="C102" s="98"/>
      <c r="D102" s="98"/>
      <c r="E102" s="99"/>
    </row>
    <row r="103" spans="2:5" x14ac:dyDescent="0.2">
      <c r="B103" s="100"/>
      <c r="C103" s="125"/>
      <c r="D103" s="125"/>
      <c r="E103" s="125"/>
    </row>
    <row r="104" spans="2:5" x14ac:dyDescent="0.2">
      <c r="B104" s="100" t="s">
        <v>16</v>
      </c>
      <c r="C104" s="98"/>
      <c r="D104" s="98"/>
      <c r="E104" s="99"/>
    </row>
    <row r="105" spans="2:5" x14ac:dyDescent="0.2">
      <c r="B105" s="101"/>
      <c r="C105" s="126" t="s">
        <v>110</v>
      </c>
      <c r="D105" s="126"/>
      <c r="E105" s="127"/>
    </row>
    <row r="106" spans="2:5" x14ac:dyDescent="0.2">
      <c r="B106" s="101"/>
      <c r="C106" s="121" t="s">
        <v>72</v>
      </c>
      <c r="D106" s="121"/>
      <c r="E106" s="121"/>
    </row>
    <row r="107" spans="2:5" x14ac:dyDescent="0.2">
      <c r="B107" s="100" t="s">
        <v>17</v>
      </c>
      <c r="C107" s="98"/>
      <c r="D107" s="98"/>
      <c r="E107" s="99"/>
    </row>
    <row r="108" spans="2:5" x14ac:dyDescent="0.2">
      <c r="B108" s="101"/>
      <c r="C108" s="125" t="s">
        <v>61</v>
      </c>
      <c r="D108" s="125"/>
      <c r="E108" s="125"/>
    </row>
    <row r="109" spans="2:5" x14ac:dyDescent="0.2">
      <c r="B109" s="100" t="s">
        <v>18</v>
      </c>
      <c r="C109" s="102"/>
      <c r="D109" s="102"/>
      <c r="E109" s="110"/>
    </row>
    <row r="110" spans="2:5" x14ac:dyDescent="0.2">
      <c r="B110" s="101"/>
      <c r="C110" s="125" t="s">
        <v>73</v>
      </c>
      <c r="D110" s="125"/>
      <c r="E110" s="125"/>
    </row>
    <row r="111" spans="2:5" x14ac:dyDescent="0.2">
      <c r="B111" s="100" t="s">
        <v>19</v>
      </c>
      <c r="C111" s="98"/>
      <c r="D111" s="98"/>
      <c r="E111" s="99"/>
    </row>
    <row r="112" spans="2:5" x14ac:dyDescent="0.2">
      <c r="B112" s="100"/>
      <c r="C112" s="121" t="s">
        <v>60</v>
      </c>
      <c r="D112" s="121"/>
      <c r="E112" s="121"/>
    </row>
    <row r="113" spans="2:5" ht="13.5" thickBot="1" x14ac:dyDescent="0.25">
      <c r="B113" s="104"/>
      <c r="C113" s="105"/>
      <c r="D113" s="105"/>
      <c r="E113" s="106"/>
    </row>
    <row r="114" spans="2:5" ht="13.5" thickBot="1" x14ac:dyDescent="0.25"/>
    <row r="115" spans="2:5" x14ac:dyDescent="0.2">
      <c r="B115" s="94" t="s">
        <v>101</v>
      </c>
      <c r="C115" s="95"/>
      <c r="D115" s="95"/>
      <c r="E115" s="96"/>
    </row>
    <row r="116" spans="2:5" x14ac:dyDescent="0.2">
      <c r="B116" s="97"/>
      <c r="C116" s="98"/>
      <c r="D116" s="98"/>
      <c r="E116" s="99"/>
    </row>
    <row r="117" spans="2:5" x14ac:dyDescent="0.2">
      <c r="B117" s="100" t="s">
        <v>15</v>
      </c>
      <c r="C117" s="98"/>
      <c r="D117" s="98"/>
      <c r="E117" s="99"/>
    </row>
    <row r="118" spans="2:5" x14ac:dyDescent="0.2">
      <c r="B118" s="100"/>
      <c r="C118" s="125"/>
      <c r="D118" s="125"/>
      <c r="E118" s="125"/>
    </row>
    <row r="119" spans="2:5" x14ac:dyDescent="0.2">
      <c r="B119" s="100" t="s">
        <v>16</v>
      </c>
      <c r="C119" s="98"/>
      <c r="D119" s="98"/>
      <c r="E119" s="99"/>
    </row>
    <row r="120" spans="2:5" x14ac:dyDescent="0.2">
      <c r="B120" s="101"/>
      <c r="C120" s="126" t="s">
        <v>110</v>
      </c>
      <c r="D120" s="126"/>
      <c r="E120" s="127"/>
    </row>
    <row r="121" spans="2:5" x14ac:dyDescent="0.2">
      <c r="B121" s="101"/>
      <c r="C121" s="121" t="s">
        <v>72</v>
      </c>
      <c r="D121" s="121"/>
      <c r="E121" s="121"/>
    </row>
    <row r="122" spans="2:5" x14ac:dyDescent="0.2">
      <c r="B122" s="100" t="s">
        <v>17</v>
      </c>
      <c r="C122" s="98"/>
      <c r="D122" s="98"/>
      <c r="E122" s="99"/>
    </row>
    <row r="123" spans="2:5" x14ac:dyDescent="0.2">
      <c r="B123" s="101"/>
      <c r="C123" s="125" t="s">
        <v>61</v>
      </c>
      <c r="D123" s="125"/>
      <c r="E123" s="125"/>
    </row>
    <row r="124" spans="2:5" x14ac:dyDescent="0.2">
      <c r="B124" s="100" t="s">
        <v>18</v>
      </c>
      <c r="C124" s="102"/>
      <c r="D124" s="102"/>
      <c r="E124" s="110"/>
    </row>
    <row r="125" spans="2:5" x14ac:dyDescent="0.2">
      <c r="B125" s="101"/>
      <c r="C125" s="125" t="s">
        <v>73</v>
      </c>
      <c r="D125" s="125"/>
      <c r="E125" s="125"/>
    </row>
    <row r="126" spans="2:5" x14ac:dyDescent="0.2">
      <c r="B126" s="100" t="s">
        <v>19</v>
      </c>
      <c r="C126" s="98"/>
      <c r="D126" s="98"/>
      <c r="E126" s="99"/>
    </row>
    <row r="127" spans="2:5" x14ac:dyDescent="0.2">
      <c r="B127" s="100"/>
      <c r="C127" s="121" t="s">
        <v>60</v>
      </c>
      <c r="D127" s="121"/>
      <c r="E127" s="121"/>
    </row>
    <row r="128" spans="2:5" ht="13.5" thickBot="1" x14ac:dyDescent="0.25">
      <c r="B128" s="104"/>
      <c r="C128" s="105"/>
      <c r="D128" s="105"/>
      <c r="E128" s="106"/>
    </row>
    <row r="129" spans="2:5" ht="13.5" thickBot="1" x14ac:dyDescent="0.25"/>
    <row r="130" spans="2:5" x14ac:dyDescent="0.2">
      <c r="B130" s="94" t="s">
        <v>102</v>
      </c>
      <c r="C130" s="95"/>
      <c r="D130" s="95"/>
      <c r="E130" s="96"/>
    </row>
    <row r="131" spans="2:5" x14ac:dyDescent="0.2">
      <c r="B131" s="97"/>
      <c r="C131" s="98"/>
      <c r="D131" s="98"/>
      <c r="E131" s="99"/>
    </row>
    <row r="132" spans="2:5" x14ac:dyDescent="0.2">
      <c r="B132" s="100" t="s">
        <v>15</v>
      </c>
      <c r="C132" s="98"/>
      <c r="D132" s="98"/>
      <c r="E132" s="99"/>
    </row>
    <row r="133" spans="2:5" x14ac:dyDescent="0.2">
      <c r="B133" s="100"/>
      <c r="C133" s="125"/>
      <c r="D133" s="125"/>
      <c r="E133" s="125"/>
    </row>
    <row r="134" spans="2:5" x14ac:dyDescent="0.2">
      <c r="B134" s="100" t="s">
        <v>16</v>
      </c>
      <c r="C134" s="98"/>
      <c r="D134" s="98"/>
      <c r="E134" s="99"/>
    </row>
    <row r="135" spans="2:5" x14ac:dyDescent="0.2">
      <c r="B135" s="101"/>
      <c r="C135" s="126" t="s">
        <v>110</v>
      </c>
      <c r="D135" s="126"/>
      <c r="E135" s="127"/>
    </row>
    <row r="136" spans="2:5" x14ac:dyDescent="0.2">
      <c r="B136" s="101"/>
      <c r="C136" s="121" t="s">
        <v>72</v>
      </c>
      <c r="D136" s="121"/>
      <c r="E136" s="121"/>
    </row>
    <row r="137" spans="2:5" x14ac:dyDescent="0.2">
      <c r="B137" s="100" t="s">
        <v>17</v>
      </c>
      <c r="C137" s="98"/>
      <c r="D137" s="98"/>
      <c r="E137" s="99"/>
    </row>
    <row r="138" spans="2:5" x14ac:dyDescent="0.2">
      <c r="B138" s="101"/>
      <c r="C138" s="125" t="s">
        <v>61</v>
      </c>
      <c r="D138" s="125"/>
      <c r="E138" s="125"/>
    </row>
    <row r="139" spans="2:5" x14ac:dyDescent="0.2">
      <c r="B139" s="100" t="s">
        <v>18</v>
      </c>
      <c r="C139" s="102"/>
      <c r="D139" s="102"/>
      <c r="E139" s="110"/>
    </row>
    <row r="140" spans="2:5" x14ac:dyDescent="0.2">
      <c r="B140" s="101"/>
      <c r="C140" s="125" t="s">
        <v>73</v>
      </c>
      <c r="D140" s="125"/>
      <c r="E140" s="125"/>
    </row>
    <row r="141" spans="2:5" x14ac:dyDescent="0.2">
      <c r="B141" s="100" t="s">
        <v>19</v>
      </c>
      <c r="C141" s="98"/>
      <c r="D141" s="98"/>
      <c r="E141" s="99"/>
    </row>
    <row r="142" spans="2:5" x14ac:dyDescent="0.2">
      <c r="B142" s="100"/>
      <c r="C142" s="121" t="s">
        <v>60</v>
      </c>
      <c r="D142" s="121"/>
      <c r="E142" s="121"/>
    </row>
    <row r="143" spans="2:5" ht="13.5" thickBot="1" x14ac:dyDescent="0.25">
      <c r="B143" s="104"/>
      <c r="C143" s="105"/>
      <c r="D143" s="105"/>
      <c r="E143" s="106"/>
    </row>
    <row r="144" spans="2:5" ht="13.5" thickBot="1" x14ac:dyDescent="0.25"/>
    <row r="145" spans="2:5" x14ac:dyDescent="0.2">
      <c r="B145" s="94" t="s">
        <v>103</v>
      </c>
      <c r="C145" s="95"/>
      <c r="D145" s="95"/>
      <c r="E145" s="96"/>
    </row>
    <row r="146" spans="2:5" x14ac:dyDescent="0.2">
      <c r="B146" s="97"/>
      <c r="C146" s="98"/>
      <c r="D146" s="98"/>
      <c r="E146" s="99"/>
    </row>
    <row r="147" spans="2:5" x14ac:dyDescent="0.2">
      <c r="B147" s="100" t="s">
        <v>15</v>
      </c>
      <c r="C147" s="98"/>
      <c r="D147" s="98"/>
      <c r="E147" s="99"/>
    </row>
    <row r="148" spans="2:5" x14ac:dyDescent="0.2">
      <c r="B148" s="100"/>
      <c r="C148" s="125"/>
      <c r="D148" s="125"/>
      <c r="E148" s="125"/>
    </row>
    <row r="149" spans="2:5" x14ac:dyDescent="0.2">
      <c r="B149" s="100" t="s">
        <v>16</v>
      </c>
      <c r="C149" s="98"/>
      <c r="D149" s="98"/>
      <c r="E149" s="99"/>
    </row>
    <row r="150" spans="2:5" x14ac:dyDescent="0.2">
      <c r="B150" s="101"/>
      <c r="C150" s="126" t="s">
        <v>110</v>
      </c>
      <c r="D150" s="126"/>
      <c r="E150" s="127"/>
    </row>
    <row r="151" spans="2:5" x14ac:dyDescent="0.2">
      <c r="B151" s="101"/>
      <c r="C151" s="121" t="s">
        <v>72</v>
      </c>
      <c r="D151" s="121"/>
      <c r="E151" s="121"/>
    </row>
    <row r="152" spans="2:5" x14ac:dyDescent="0.2">
      <c r="B152" s="100" t="s">
        <v>17</v>
      </c>
      <c r="C152" s="98"/>
      <c r="D152" s="98"/>
      <c r="E152" s="99"/>
    </row>
    <row r="153" spans="2:5" x14ac:dyDescent="0.2">
      <c r="B153" s="101"/>
      <c r="C153" s="125" t="s">
        <v>61</v>
      </c>
      <c r="D153" s="125"/>
      <c r="E153" s="125"/>
    </row>
    <row r="154" spans="2:5" x14ac:dyDescent="0.2">
      <c r="B154" s="100" t="s">
        <v>18</v>
      </c>
      <c r="C154" s="102"/>
      <c r="D154" s="102"/>
      <c r="E154" s="110"/>
    </row>
    <row r="155" spans="2:5" x14ac:dyDescent="0.2">
      <c r="B155" s="101"/>
      <c r="C155" s="125" t="s">
        <v>73</v>
      </c>
      <c r="D155" s="125"/>
      <c r="E155" s="125"/>
    </row>
    <row r="156" spans="2:5" x14ac:dyDescent="0.2">
      <c r="B156" s="100" t="s">
        <v>19</v>
      </c>
      <c r="C156" s="98"/>
      <c r="D156" s="98"/>
      <c r="E156" s="99"/>
    </row>
    <row r="157" spans="2:5" x14ac:dyDescent="0.2">
      <c r="B157" s="100"/>
      <c r="C157" s="121" t="s">
        <v>60</v>
      </c>
      <c r="D157" s="121"/>
      <c r="E157" s="121"/>
    </row>
    <row r="158" spans="2:5" ht="13.5" thickBot="1" x14ac:dyDescent="0.25">
      <c r="B158" s="104"/>
      <c r="C158" s="105"/>
      <c r="D158" s="105"/>
      <c r="E158" s="106"/>
    </row>
    <row r="159" spans="2:5" ht="13.5" thickBot="1" x14ac:dyDescent="0.25"/>
    <row r="160" spans="2:5" x14ac:dyDescent="0.2">
      <c r="B160" s="94" t="s">
        <v>104</v>
      </c>
      <c r="C160" s="95"/>
      <c r="D160" s="95"/>
      <c r="E160" s="96"/>
    </row>
    <row r="161" spans="2:5" x14ac:dyDescent="0.2">
      <c r="B161" s="97"/>
      <c r="C161" s="98"/>
      <c r="D161" s="98"/>
      <c r="E161" s="99"/>
    </row>
    <row r="162" spans="2:5" x14ac:dyDescent="0.2">
      <c r="B162" s="100" t="s">
        <v>15</v>
      </c>
      <c r="C162" s="98"/>
      <c r="D162" s="98"/>
      <c r="E162" s="99"/>
    </row>
    <row r="163" spans="2:5" x14ac:dyDescent="0.2">
      <c r="B163" s="100"/>
      <c r="C163" s="125"/>
      <c r="D163" s="125"/>
      <c r="E163" s="125"/>
    </row>
    <row r="164" spans="2:5" x14ac:dyDescent="0.2">
      <c r="B164" s="100" t="s">
        <v>16</v>
      </c>
      <c r="C164" s="98"/>
      <c r="D164" s="98"/>
      <c r="E164" s="99"/>
    </row>
    <row r="165" spans="2:5" x14ac:dyDescent="0.2">
      <c r="B165" s="101"/>
      <c r="C165" s="126" t="s">
        <v>110</v>
      </c>
      <c r="D165" s="126"/>
      <c r="E165" s="127"/>
    </row>
    <row r="166" spans="2:5" x14ac:dyDescent="0.2">
      <c r="B166" s="101"/>
      <c r="C166" s="121" t="s">
        <v>72</v>
      </c>
      <c r="D166" s="121"/>
      <c r="E166" s="121"/>
    </row>
    <row r="167" spans="2:5" x14ac:dyDescent="0.2">
      <c r="B167" s="100" t="s">
        <v>17</v>
      </c>
      <c r="C167" s="98"/>
      <c r="D167" s="98"/>
      <c r="E167" s="99"/>
    </row>
    <row r="168" spans="2:5" x14ac:dyDescent="0.2">
      <c r="B168" s="101"/>
      <c r="C168" s="125" t="s">
        <v>61</v>
      </c>
      <c r="D168" s="125"/>
      <c r="E168" s="125"/>
    </row>
    <row r="169" spans="2:5" x14ac:dyDescent="0.2">
      <c r="B169" s="100" t="s">
        <v>18</v>
      </c>
      <c r="C169" s="102"/>
      <c r="D169" s="102"/>
      <c r="E169" s="110"/>
    </row>
    <row r="170" spans="2:5" x14ac:dyDescent="0.2">
      <c r="B170" s="101"/>
      <c r="C170" s="125" t="s">
        <v>73</v>
      </c>
      <c r="D170" s="125"/>
      <c r="E170" s="125"/>
    </row>
    <row r="171" spans="2:5" x14ac:dyDescent="0.2">
      <c r="B171" s="100" t="s">
        <v>19</v>
      </c>
      <c r="C171" s="98"/>
      <c r="D171" s="98"/>
      <c r="E171" s="99"/>
    </row>
    <row r="172" spans="2:5" x14ac:dyDescent="0.2">
      <c r="B172" s="100"/>
      <c r="C172" s="121" t="s">
        <v>60</v>
      </c>
      <c r="D172" s="121"/>
      <c r="E172" s="121"/>
    </row>
    <row r="173" spans="2:5" ht="13.5" thickBot="1" x14ac:dyDescent="0.25">
      <c r="B173" s="104"/>
      <c r="C173" s="105"/>
      <c r="D173" s="105"/>
      <c r="E173" s="106"/>
    </row>
    <row r="174" spans="2:5" ht="13.5" thickBot="1" x14ac:dyDescent="0.25"/>
    <row r="175" spans="2:5" x14ac:dyDescent="0.2">
      <c r="B175" s="94" t="s">
        <v>105</v>
      </c>
      <c r="C175" s="95"/>
      <c r="D175" s="95"/>
      <c r="E175" s="96"/>
    </row>
    <row r="176" spans="2:5" x14ac:dyDescent="0.2">
      <c r="B176" s="97"/>
      <c r="C176" s="98"/>
      <c r="D176" s="98"/>
      <c r="E176" s="99"/>
    </row>
    <row r="177" spans="2:5" x14ac:dyDescent="0.2">
      <c r="B177" s="100" t="s">
        <v>15</v>
      </c>
      <c r="C177" s="98"/>
      <c r="D177" s="98"/>
      <c r="E177" s="99"/>
    </row>
    <row r="178" spans="2:5" x14ac:dyDescent="0.2">
      <c r="B178" s="100"/>
      <c r="C178" s="125"/>
      <c r="D178" s="125"/>
      <c r="E178" s="125"/>
    </row>
    <row r="179" spans="2:5" x14ac:dyDescent="0.2">
      <c r="B179" s="100" t="s">
        <v>16</v>
      </c>
      <c r="C179" s="98"/>
      <c r="D179" s="98"/>
      <c r="E179" s="99"/>
    </row>
    <row r="180" spans="2:5" x14ac:dyDescent="0.2">
      <c r="B180" s="101"/>
      <c r="C180" s="126" t="s">
        <v>110</v>
      </c>
      <c r="D180" s="126"/>
      <c r="E180" s="127"/>
    </row>
    <row r="181" spans="2:5" x14ac:dyDescent="0.2">
      <c r="B181" s="101"/>
      <c r="C181" s="121" t="s">
        <v>72</v>
      </c>
      <c r="D181" s="121"/>
      <c r="E181" s="121"/>
    </row>
    <row r="182" spans="2:5" x14ac:dyDescent="0.2">
      <c r="B182" s="100" t="s">
        <v>17</v>
      </c>
      <c r="C182" s="98"/>
      <c r="D182" s="98"/>
      <c r="E182" s="99"/>
    </row>
    <row r="183" spans="2:5" x14ac:dyDescent="0.2">
      <c r="B183" s="101"/>
      <c r="C183" s="125" t="s">
        <v>61</v>
      </c>
      <c r="D183" s="125"/>
      <c r="E183" s="125"/>
    </row>
    <row r="184" spans="2:5" x14ac:dyDescent="0.2">
      <c r="B184" s="100" t="s">
        <v>18</v>
      </c>
      <c r="C184" s="102"/>
      <c r="D184" s="102"/>
      <c r="E184" s="110"/>
    </row>
    <row r="185" spans="2:5" x14ac:dyDescent="0.2">
      <c r="B185" s="101"/>
      <c r="C185" s="125" t="s">
        <v>73</v>
      </c>
      <c r="D185" s="125"/>
      <c r="E185" s="125"/>
    </row>
    <row r="186" spans="2:5" x14ac:dyDescent="0.2">
      <c r="B186" s="100" t="s">
        <v>19</v>
      </c>
      <c r="C186" s="98"/>
      <c r="D186" s="98"/>
      <c r="E186" s="99"/>
    </row>
    <row r="187" spans="2:5" x14ac:dyDescent="0.2">
      <c r="B187" s="100"/>
      <c r="C187" s="121" t="s">
        <v>60</v>
      </c>
      <c r="D187" s="121"/>
      <c r="E187" s="121"/>
    </row>
    <row r="188" spans="2:5" ht="13.5" thickBot="1" x14ac:dyDescent="0.25">
      <c r="B188" s="104"/>
      <c r="C188" s="105"/>
      <c r="D188" s="105"/>
      <c r="E188" s="106"/>
    </row>
    <row r="189" spans="2:5" ht="13.5" thickBot="1" x14ac:dyDescent="0.25"/>
    <row r="190" spans="2:5" x14ac:dyDescent="0.2">
      <c r="B190" s="94" t="s">
        <v>106</v>
      </c>
      <c r="C190" s="95"/>
      <c r="D190" s="95"/>
      <c r="E190" s="96"/>
    </row>
    <row r="191" spans="2:5" x14ac:dyDescent="0.2">
      <c r="B191" s="97"/>
      <c r="C191" s="98"/>
      <c r="D191" s="98"/>
      <c r="E191" s="99"/>
    </row>
    <row r="192" spans="2:5" x14ac:dyDescent="0.2">
      <c r="B192" s="100" t="s">
        <v>15</v>
      </c>
      <c r="C192" s="98"/>
      <c r="D192" s="98"/>
      <c r="E192" s="99"/>
    </row>
    <row r="193" spans="2:5" x14ac:dyDescent="0.2">
      <c r="B193" s="100"/>
      <c r="C193" s="125"/>
      <c r="D193" s="125"/>
      <c r="E193" s="125"/>
    </row>
    <row r="194" spans="2:5" x14ac:dyDescent="0.2">
      <c r="B194" s="100" t="s">
        <v>16</v>
      </c>
      <c r="C194" s="98"/>
      <c r="D194" s="98"/>
      <c r="E194" s="99"/>
    </row>
    <row r="195" spans="2:5" x14ac:dyDescent="0.2">
      <c r="B195" s="101"/>
      <c r="C195" s="126" t="s">
        <v>110</v>
      </c>
      <c r="D195" s="126"/>
      <c r="E195" s="127"/>
    </row>
    <row r="196" spans="2:5" x14ac:dyDescent="0.2">
      <c r="B196" s="101"/>
      <c r="C196" s="121" t="s">
        <v>72</v>
      </c>
      <c r="D196" s="121"/>
      <c r="E196" s="121"/>
    </row>
    <row r="197" spans="2:5" x14ac:dyDescent="0.2">
      <c r="B197" s="100" t="s">
        <v>17</v>
      </c>
      <c r="C197" s="98"/>
      <c r="D197" s="98"/>
      <c r="E197" s="99"/>
    </row>
    <row r="198" spans="2:5" x14ac:dyDescent="0.2">
      <c r="B198" s="101"/>
      <c r="C198" s="125" t="s">
        <v>61</v>
      </c>
      <c r="D198" s="125"/>
      <c r="E198" s="125"/>
    </row>
    <row r="199" spans="2:5" x14ac:dyDescent="0.2">
      <c r="B199" s="100" t="s">
        <v>18</v>
      </c>
      <c r="C199" s="102"/>
      <c r="D199" s="102"/>
      <c r="E199" s="110"/>
    </row>
    <row r="200" spans="2:5" x14ac:dyDescent="0.2">
      <c r="B200" s="101"/>
      <c r="C200" s="125" t="s">
        <v>73</v>
      </c>
      <c r="D200" s="125"/>
      <c r="E200" s="125"/>
    </row>
    <row r="201" spans="2:5" x14ac:dyDescent="0.2">
      <c r="B201" s="100" t="s">
        <v>19</v>
      </c>
      <c r="C201" s="98"/>
      <c r="D201" s="98"/>
      <c r="E201" s="99"/>
    </row>
    <row r="202" spans="2:5" x14ac:dyDescent="0.2">
      <c r="B202" s="100"/>
      <c r="C202" s="121" t="s">
        <v>60</v>
      </c>
      <c r="D202" s="121"/>
      <c r="E202" s="121"/>
    </row>
    <row r="203" spans="2:5" ht="13.5" thickBot="1" x14ac:dyDescent="0.25">
      <c r="B203" s="104"/>
      <c r="C203" s="105"/>
      <c r="D203" s="105"/>
      <c r="E203" s="106"/>
    </row>
  </sheetData>
  <mergeCells count="80">
    <mergeCell ref="B2:H2"/>
    <mergeCell ref="A4:B4"/>
    <mergeCell ref="C4:E4"/>
    <mergeCell ref="A5:B5"/>
    <mergeCell ref="C5:E5"/>
    <mergeCell ref="C33:E33"/>
    <mergeCell ref="C35:E35"/>
    <mergeCell ref="C37:E37"/>
    <mergeCell ref="A6:B6"/>
    <mergeCell ref="A7:B7"/>
    <mergeCell ref="C28:E28"/>
    <mergeCell ref="C31:E31"/>
    <mergeCell ref="C30:E30"/>
    <mergeCell ref="C43:E43"/>
    <mergeCell ref="C45:E45"/>
    <mergeCell ref="C46:E46"/>
    <mergeCell ref="C48:E48"/>
    <mergeCell ref="C50:E50"/>
    <mergeCell ref="C52:E52"/>
    <mergeCell ref="C58:E58"/>
    <mergeCell ref="C60:E60"/>
    <mergeCell ref="C61:E61"/>
    <mergeCell ref="C63:E63"/>
    <mergeCell ref="C65:E65"/>
    <mergeCell ref="C67:E67"/>
    <mergeCell ref="C73:E73"/>
    <mergeCell ref="C75:E75"/>
    <mergeCell ref="C76:E76"/>
    <mergeCell ref="C78:E78"/>
    <mergeCell ref="C80:E80"/>
    <mergeCell ref="C82:E82"/>
    <mergeCell ref="C88:E88"/>
    <mergeCell ref="C90:E90"/>
    <mergeCell ref="C91:E91"/>
    <mergeCell ref="C93:E93"/>
    <mergeCell ref="C95:E95"/>
    <mergeCell ref="C97:E97"/>
    <mergeCell ref="C103:E103"/>
    <mergeCell ref="C105:E105"/>
    <mergeCell ref="C106:E106"/>
    <mergeCell ref="C108:E108"/>
    <mergeCell ref="C110:E110"/>
    <mergeCell ref="C112:E112"/>
    <mergeCell ref="C118:E118"/>
    <mergeCell ref="C120:E120"/>
    <mergeCell ref="C121:E121"/>
    <mergeCell ref="C123:E123"/>
    <mergeCell ref="C125:E125"/>
    <mergeCell ref="C127:E127"/>
    <mergeCell ref="C133:E133"/>
    <mergeCell ref="C135:E135"/>
    <mergeCell ref="C136:E136"/>
    <mergeCell ref="C138:E138"/>
    <mergeCell ref="C140:E140"/>
    <mergeCell ref="C142:E142"/>
    <mergeCell ref="C148:E148"/>
    <mergeCell ref="C150:E150"/>
    <mergeCell ref="C151:E151"/>
    <mergeCell ref="C178:E178"/>
    <mergeCell ref="C153:E153"/>
    <mergeCell ref="C155:E155"/>
    <mergeCell ref="C157:E157"/>
    <mergeCell ref="C163:E163"/>
    <mergeCell ref="C165:E165"/>
    <mergeCell ref="C202:E202"/>
    <mergeCell ref="C87:E87"/>
    <mergeCell ref="C193:E193"/>
    <mergeCell ref="C195:E195"/>
    <mergeCell ref="C196:E196"/>
    <mergeCell ref="C198:E198"/>
    <mergeCell ref="C200:E200"/>
    <mergeCell ref="C180:E180"/>
    <mergeCell ref="C181:E181"/>
    <mergeCell ref="C183:E183"/>
    <mergeCell ref="C185:E185"/>
    <mergeCell ref="C187:E187"/>
    <mergeCell ref="C166:E166"/>
    <mergeCell ref="C168:E168"/>
    <mergeCell ref="C170:E170"/>
    <mergeCell ref="C172:E172"/>
  </mergeCells>
  <pageMargins left="0" right="0" top="0.74803149606299213" bottom="0" header="0.51181102362204722" footer="0.51181102362204722"/>
  <pageSetup paperSize="5" scale="60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G27"/>
  <sheetViews>
    <sheetView zoomScale="90" zoomScaleNormal="90" workbookViewId="0">
      <selection activeCell="J31" sqref="J31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4.42578125" style="2" customWidth="1"/>
    <col min="8" max="8" width="9.28515625" style="2" customWidth="1"/>
    <col min="9" max="9" width="15.5703125" style="2" customWidth="1"/>
    <col min="10" max="10" width="24.7109375" style="2" bestFit="1" customWidth="1"/>
    <col min="11" max="11" width="15.5703125" style="2" customWidth="1"/>
    <col min="12" max="12" width="5.85546875" style="2" customWidth="1"/>
    <col min="13" max="1021" width="9.140625" style="2"/>
  </cols>
  <sheetData>
    <row r="1" spans="1:11" ht="18" customHeight="1" thickBot="1" x14ac:dyDescent="0.25">
      <c r="A1" s="139" t="s">
        <v>20</v>
      </c>
      <c r="B1" s="139"/>
      <c r="C1" s="139"/>
      <c r="D1" s="139"/>
      <c r="E1" s="139"/>
      <c r="F1" s="139"/>
      <c r="G1" s="139"/>
      <c r="H1" s="139"/>
      <c r="I1" s="139"/>
      <c r="J1" s="44" t="s">
        <v>21</v>
      </c>
      <c r="K1" s="45" t="s">
        <v>108</v>
      </c>
    </row>
    <row r="2" spans="1:11" ht="18.75" customHeight="1" thickBot="1" x14ac:dyDescent="0.25">
      <c r="A2" s="46"/>
      <c r="B2" s="46"/>
      <c r="C2" s="46"/>
      <c r="D2" s="47"/>
      <c r="E2" s="47"/>
      <c r="F2" s="47"/>
      <c r="G2" s="47"/>
      <c r="H2" s="47"/>
      <c r="I2" s="47"/>
      <c r="J2" s="47"/>
      <c r="K2" s="47"/>
    </row>
    <row r="3" spans="1:11" ht="18.75" customHeight="1" thickBot="1" x14ac:dyDescent="0.25">
      <c r="A3" s="140" t="s">
        <v>54</v>
      </c>
      <c r="B3" s="140"/>
      <c r="C3" s="140"/>
      <c r="D3" s="131" t="str">
        <f>'Necesidades Trimestrales'!C4</f>
        <v>45- Ministerio de Desarrollo Social y Deporte.-</v>
      </c>
      <c r="E3" s="131"/>
      <c r="F3" s="131"/>
      <c r="G3" s="131"/>
      <c r="H3" s="131"/>
      <c r="I3" s="131"/>
      <c r="J3" s="131"/>
      <c r="K3" s="131"/>
    </row>
    <row r="4" spans="1:11" ht="18.75" customHeight="1" thickBot="1" x14ac:dyDescent="0.25">
      <c r="A4" s="141" t="s">
        <v>55</v>
      </c>
      <c r="B4" s="141"/>
      <c r="C4" s="141"/>
      <c r="D4" s="131" t="str">
        <f>'Necesidades Trimestrales'!C5</f>
        <v>25- Direccion Provincial de Gestion Administracion y RRHH</v>
      </c>
      <c r="E4" s="131"/>
      <c r="F4" s="131"/>
      <c r="G4" s="131"/>
      <c r="H4" s="131"/>
      <c r="I4" s="131"/>
      <c r="J4" s="131"/>
      <c r="K4" s="131"/>
    </row>
    <row r="5" spans="1:11" ht="18.75" customHeight="1" thickBot="1" x14ac:dyDescent="0.25">
      <c r="A5" s="141" t="s">
        <v>33</v>
      </c>
      <c r="B5" s="141"/>
      <c r="C5" s="141"/>
      <c r="D5" s="131" t="s">
        <v>89</v>
      </c>
      <c r="E5" s="131"/>
      <c r="F5" s="131"/>
      <c r="G5" s="131"/>
      <c r="H5" s="131"/>
      <c r="I5" s="131"/>
      <c r="J5" s="131"/>
      <c r="K5" s="131"/>
    </row>
    <row r="6" spans="1:11" ht="16.5" customHeight="1" thickBot="1" x14ac:dyDescent="0.25">
      <c r="A6" s="140" t="s">
        <v>56</v>
      </c>
      <c r="B6" s="140"/>
      <c r="C6" s="140"/>
      <c r="D6" s="131" t="s">
        <v>90</v>
      </c>
      <c r="E6" s="131"/>
      <c r="F6" s="131"/>
      <c r="G6" s="131"/>
      <c r="H6" s="131"/>
      <c r="I6" s="131"/>
      <c r="J6" s="131"/>
      <c r="K6" s="131"/>
    </row>
    <row r="7" spans="1:11" ht="16.5" customHeight="1" thickBot="1" x14ac:dyDescent="0.25">
      <c r="A7" s="141" t="s">
        <v>22</v>
      </c>
      <c r="B7" s="141"/>
      <c r="C7" s="141"/>
      <c r="D7" s="131" t="str">
        <f>'Necesidades Trimestrales'!C7 &amp; "° Trimestre - Año " &amp; 'Necesidades Trimestrales'!C6</f>
        <v>4° Trimestre - Año 2021</v>
      </c>
      <c r="E7" s="131"/>
      <c r="F7" s="131"/>
      <c r="G7" s="131"/>
      <c r="H7" s="131"/>
      <c r="I7" s="131"/>
      <c r="J7" s="131"/>
      <c r="K7" s="131"/>
    </row>
    <row r="8" spans="1:11" ht="40.5" customHeight="1" thickBot="1" x14ac:dyDescent="0.25">
      <c r="A8" s="134" t="s">
        <v>23</v>
      </c>
      <c r="B8" s="134"/>
      <c r="C8" s="134"/>
      <c r="D8" s="135" t="s">
        <v>86</v>
      </c>
      <c r="E8" s="135"/>
      <c r="F8" s="135"/>
      <c r="G8" s="135"/>
      <c r="H8" s="135"/>
      <c r="I8" s="135"/>
      <c r="J8" s="135"/>
      <c r="K8" s="135"/>
    </row>
    <row r="9" spans="1:11" ht="16.5" thickBot="1" x14ac:dyDescent="0.25">
      <c r="A9" s="48"/>
      <c r="B9" s="48"/>
      <c r="C9" s="48"/>
      <c r="D9" s="49"/>
      <c r="E9" s="49"/>
      <c r="F9" s="49"/>
      <c r="G9" s="49"/>
      <c r="H9" s="49"/>
      <c r="I9" s="49"/>
      <c r="J9" s="49"/>
      <c r="K9" s="49"/>
    </row>
    <row r="10" spans="1:11" ht="18.75" customHeight="1" thickBot="1" x14ac:dyDescent="0.25">
      <c r="A10" s="136" t="s">
        <v>24</v>
      </c>
      <c r="B10" s="137" t="s">
        <v>25</v>
      </c>
      <c r="C10" s="137" t="s">
        <v>26</v>
      </c>
      <c r="D10" s="137"/>
      <c r="E10" s="137"/>
      <c r="F10" s="137"/>
      <c r="G10" s="137"/>
      <c r="H10" s="137" t="s">
        <v>27</v>
      </c>
      <c r="I10" s="137" t="s">
        <v>28</v>
      </c>
      <c r="J10" s="137" t="s">
        <v>29</v>
      </c>
      <c r="K10" s="138" t="s">
        <v>30</v>
      </c>
    </row>
    <row r="11" spans="1:11" ht="24" customHeight="1" thickBot="1" x14ac:dyDescent="0.25">
      <c r="A11" s="136"/>
      <c r="B11" s="137"/>
      <c r="C11" s="137"/>
      <c r="D11" s="137"/>
      <c r="E11" s="137"/>
      <c r="F11" s="137"/>
      <c r="G11" s="137"/>
      <c r="H11" s="137"/>
      <c r="I11" s="137"/>
      <c r="J11" s="137"/>
      <c r="K11" s="138"/>
    </row>
    <row r="12" spans="1:11" ht="42" customHeight="1" thickBot="1" x14ac:dyDescent="0.25">
      <c r="A12" s="50">
        <v>1</v>
      </c>
      <c r="B12" s="51" t="str">
        <f>'Necesidades Trimestrales'!B10</f>
        <v>2.1.1-705.93</v>
      </c>
      <c r="C12" s="133" t="str">
        <f>'Necesidades Trimestrales'!E10</f>
        <v>LECHE; ESTADO: POLVO, TIPO: ENTERA, PROCESO: PASTEURIZADA, AGREGADO: VITAMINAS A Y D, PRESENTACION: ENVASE X 800 GR, MATERIAL ENVASE: CARTON, ELEM. TRANSPORTE: SIN, MATERIAL ELEM. TRANSPORTE: SIN, CERTIFICADO FORESTAL (GFS): SIN, LIBRE DE GLUTEN: SI</v>
      </c>
      <c r="D12" s="133"/>
      <c r="E12" s="133"/>
      <c r="F12" s="133"/>
      <c r="G12" s="133"/>
      <c r="H12" s="50" t="s">
        <v>94</v>
      </c>
      <c r="I12" s="52" t="str">
        <f>'Necesidades Trimestrales'!F10</f>
        <v>UNIDAD</v>
      </c>
      <c r="J12" s="120">
        <v>599</v>
      </c>
      <c r="K12" s="54">
        <v>50000</v>
      </c>
    </row>
    <row r="13" spans="1:11" ht="41.25" customHeight="1" thickBot="1" x14ac:dyDescent="0.25">
      <c r="A13" s="55">
        <v>2</v>
      </c>
      <c r="B13" s="51" t="str">
        <f>'Necesidades Trimestrales'!B11</f>
        <v>2.1.1-439.67</v>
      </c>
      <c r="C13" s="133" t="str">
        <f>'Necesidades Trimestrales'!E11</f>
        <v>ACEITES COMESTIBLES; TIPO: GIRASOL, PRESENTACION: ENVASE X 900 CM3, MATERIAL ENVASE: PLASTICO 1 (PET), ELEM. TRANSPORTE: SIN, MATERIAL ELEM. TRANSPORTE : SIN, LIBRE DE GLUTEN: NO</v>
      </c>
      <c r="D13" s="133"/>
      <c r="E13" s="133"/>
      <c r="F13" s="133"/>
      <c r="G13" s="133"/>
      <c r="H13" s="50" t="s">
        <v>94</v>
      </c>
      <c r="I13" s="52" t="str">
        <f>'Necesidades Trimestrales'!F11</f>
        <v>UNIDAD</v>
      </c>
      <c r="J13" s="120">
        <v>197</v>
      </c>
      <c r="K13" s="54">
        <v>50000</v>
      </c>
    </row>
    <row r="14" spans="1:11" ht="29.25" customHeight="1" thickBot="1" x14ac:dyDescent="0.25">
      <c r="A14" s="55">
        <v>3</v>
      </c>
      <c r="B14" s="51" t="str">
        <f>'Necesidades Trimestrales'!B12</f>
        <v>2.1.1-454.25</v>
      </c>
      <c r="C14" s="133" t="str">
        <f>'Necesidades Trimestrales'!E12</f>
        <v>YERBAS; PALO: CON, PESO: 1 Kg, MATERIAL ENVASE : PAPEL, CERTIFICADO FORESTAL (GFS): CON, ELEM. TRANSPORTE: SIN, MATERIAL ELEM. TRANSPORTE: SIN, LIBRE DE GLUTEN: SI</v>
      </c>
      <c r="D14" s="133"/>
      <c r="E14" s="133"/>
      <c r="F14" s="133"/>
      <c r="G14" s="133"/>
      <c r="H14" s="50" t="s">
        <v>94</v>
      </c>
      <c r="I14" s="52" t="str">
        <f>'Necesidades Trimestrales'!F12</f>
        <v>UNIDAD</v>
      </c>
      <c r="J14" s="120">
        <v>299</v>
      </c>
      <c r="K14" s="54">
        <v>50000</v>
      </c>
    </row>
    <row r="15" spans="1:11" ht="32.25" customHeight="1" thickBot="1" x14ac:dyDescent="0.25">
      <c r="A15" s="55">
        <v>4</v>
      </c>
      <c r="B15" s="51" t="str">
        <f>'Necesidades Trimestrales'!B13</f>
        <v>2.1.1-708.23</v>
      </c>
      <c r="C15" s="133" t="str">
        <f>'Necesidades Trimestrales'!E13</f>
        <v>CONSERVAS PESCADO Y FRUTOS MAR; ESTADO: AL NATURAL, PESO: 380 GR, ENVASE: LATA, TIPO: CABALLA, ESPECIE: CABALLA</v>
      </c>
      <c r="D15" s="133"/>
      <c r="E15" s="133"/>
      <c r="F15" s="133"/>
      <c r="G15" s="133"/>
      <c r="H15" s="50" t="s">
        <v>94</v>
      </c>
      <c r="I15" s="52" t="str">
        <f>'Necesidades Trimestrales'!F13</f>
        <v>UNIDAD</v>
      </c>
      <c r="J15" s="120">
        <v>190</v>
      </c>
      <c r="K15" s="54">
        <v>50000</v>
      </c>
    </row>
    <row r="16" spans="1:11" ht="43.5" customHeight="1" thickBot="1" x14ac:dyDescent="0.25">
      <c r="A16" s="55">
        <v>5</v>
      </c>
      <c r="B16" s="51" t="str">
        <f>'Necesidades Trimestrales'!B14</f>
        <v>2.1.1-435.60</v>
      </c>
      <c r="C16" s="133" t="str">
        <f>'Necesidades Trimestrales'!E14</f>
        <v>ARROZ; TIPO GRANO: LARGO-FINO, TIPO: BLANCO, PROCESO: SIN CASCARA, PRESENTACION: BOLSA X 1 Kg, MATERIAL ENVASE: PLASTICO, CERTIFICADO FORESTAL (GFS): SIN, ELEM. TRANSPORTE: SIN, MATERIAL ELEM. TRANSPORTE: SIN, LIBRE DE GLUTEN: SI</v>
      </c>
      <c r="D16" s="133"/>
      <c r="E16" s="133"/>
      <c r="F16" s="133"/>
      <c r="G16" s="133"/>
      <c r="H16" s="50" t="s">
        <v>94</v>
      </c>
      <c r="I16" s="52" t="str">
        <f>'Necesidades Trimestrales'!F14</f>
        <v>UNIDAD</v>
      </c>
      <c r="J16" s="120">
        <v>98.5</v>
      </c>
      <c r="K16" s="54">
        <v>50000</v>
      </c>
    </row>
    <row r="17" spans="1:1021" ht="38.25" customHeight="1" thickBot="1" x14ac:dyDescent="0.25">
      <c r="A17" s="55">
        <v>6</v>
      </c>
      <c r="B17" s="51" t="str">
        <f>'Necesidades Trimestrales'!B15</f>
        <v>2.1.1-482.70</v>
      </c>
      <c r="C17" s="133" t="str">
        <f>'Necesidades Trimestrales'!E15</f>
        <v>HARINAS; TIPO: 000, PRESENTACION: ENVASE X 1 Kg, MATERIAL ENVASE: PAPEL, CERTICADO FORESTAL (GFS): SI, ELEM. TRANSPORTE: SIN, MATERIAL ELEM. TRANSPORTE: SIN, LIBRE DE GLUTEN: NO</v>
      </c>
      <c r="D17" s="133"/>
      <c r="E17" s="133"/>
      <c r="F17" s="133"/>
      <c r="G17" s="133"/>
      <c r="H17" s="50" t="s">
        <v>94</v>
      </c>
      <c r="I17" s="52" t="str">
        <f>'Necesidades Trimestrales'!F15</f>
        <v>UNIDAD</v>
      </c>
      <c r="J17" s="120">
        <v>59</v>
      </c>
      <c r="K17" s="54">
        <v>50000</v>
      </c>
    </row>
    <row r="18" spans="1:1021" ht="27.75" customHeight="1" thickBot="1" x14ac:dyDescent="0.25">
      <c r="A18" s="55">
        <v>7</v>
      </c>
      <c r="B18" s="51" t="str">
        <f>'Necesidades Trimestrales'!B16</f>
        <v>2.1.1-6546.260</v>
      </c>
      <c r="C18" s="133" t="str">
        <f>'Necesidades Trimestrales'!E16</f>
        <v>VERDURAS Y HORTALIZAS; VARIEDAD: TOMATE, ESTADO: PURE, PRESENTACION: TETRABRIK, PESO: 520 GR</v>
      </c>
      <c r="D18" s="133"/>
      <c r="E18" s="133"/>
      <c r="F18" s="133"/>
      <c r="G18" s="133"/>
      <c r="H18" s="50" t="s">
        <v>94</v>
      </c>
      <c r="I18" s="56" t="s">
        <v>14</v>
      </c>
      <c r="J18" s="120">
        <v>49.5</v>
      </c>
      <c r="K18" s="54">
        <v>50000</v>
      </c>
    </row>
    <row r="19" spans="1:1021" ht="37.5" customHeight="1" thickBot="1" x14ac:dyDescent="0.25">
      <c r="A19" s="55">
        <v>8</v>
      </c>
      <c r="B19" s="51" t="str">
        <f>'Necesidades Trimestrales'!B17</f>
        <v>2.1.1-481.38</v>
      </c>
      <c r="C19" s="133" t="str">
        <f>'Necesidades Trimestrales'!E17</f>
        <v>AZUCARES; TIPO: "A" COMUN, ESTADO: MOLIDA, PESO: 1 Kg, MATERIAL ENVASE: PLASTICO, CERTIFICADO FORESTAL (GFS): SIN, ELEM. TRANSPORTE: SIN, MATERIAL ELEM. TRANSPORTE: SIN</v>
      </c>
      <c r="D19" s="133"/>
      <c r="E19" s="133"/>
      <c r="F19" s="133"/>
      <c r="G19" s="133"/>
      <c r="H19" s="50" t="s">
        <v>94</v>
      </c>
      <c r="I19" s="56" t="s">
        <v>14</v>
      </c>
      <c r="J19" s="120">
        <v>72.5</v>
      </c>
      <c r="K19" s="54">
        <v>50000</v>
      </c>
    </row>
    <row r="20" spans="1:1021" ht="49.5" customHeight="1" thickBot="1" x14ac:dyDescent="0.25">
      <c r="A20" s="55">
        <v>9</v>
      </c>
      <c r="B20" s="51" t="str">
        <f>'Necesidades Trimestrales'!B18</f>
        <v>2.1.1-2868.54</v>
      </c>
      <c r="C20" s="133" t="str">
        <f>'Necesidades Trimestrales'!E18</f>
        <v>FIDEOS SECOS; VARIEDAD: SOPERO, RELLENO: SIN, PRESENTACION: ENVASE X 500 GR, MATERIAL ENVASE: PLASTICO 1 (PET), ELEM. TRANSPORTE: SIN, MATERIAL ELEM. TRANSPORTE: SIN, CERTIFICADO FORESTAL (GFS): SIN, LIBRE DE GLUTEN: NO</v>
      </c>
      <c r="D20" s="133"/>
      <c r="E20" s="133"/>
      <c r="F20" s="133"/>
      <c r="G20" s="133"/>
      <c r="H20" s="50" t="s">
        <v>94</v>
      </c>
      <c r="I20" s="56" t="s">
        <v>14</v>
      </c>
      <c r="J20" s="120">
        <v>45</v>
      </c>
      <c r="K20" s="54">
        <v>50000</v>
      </c>
    </row>
    <row r="21" spans="1:1021" s="38" customFormat="1" ht="49.5" customHeight="1" thickBot="1" x14ac:dyDescent="0.25">
      <c r="A21" s="55">
        <v>10</v>
      </c>
      <c r="B21" s="51" t="str">
        <f>'Necesidades Trimestrales'!B19</f>
        <v>2.1.1-2868.55</v>
      </c>
      <c r="C21" s="133" t="str">
        <f>'Necesidades Trimestrales'!E19</f>
        <v>FIDEOS SECOS; VARIEDAD: TALLARIN, RELLENO: SIN, PRESENTACION: ENVASE X 500 GR, MATERIAL ENVASE: PLASTICO 1 (PET), ELEM. TRANSPORTE: SIN, MATERIAL ELEM. TRANSPORTE: SIN, CERTIFICADO FORESTAL (GFS): SIN, LIBRE DE GLUTEN: NO</v>
      </c>
      <c r="D21" s="133"/>
      <c r="E21" s="133"/>
      <c r="F21" s="133"/>
      <c r="G21" s="133"/>
      <c r="H21" s="50" t="s">
        <v>94</v>
      </c>
      <c r="I21" s="56" t="s">
        <v>14</v>
      </c>
      <c r="J21" s="120">
        <v>45</v>
      </c>
      <c r="K21" s="54">
        <v>50000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2"/>
      <c r="WT21" s="2"/>
      <c r="WU21" s="2"/>
      <c r="WV21" s="2"/>
      <c r="WW21" s="2"/>
      <c r="WX21" s="2"/>
      <c r="WY21" s="2"/>
      <c r="WZ21" s="2"/>
      <c r="XA21" s="2"/>
      <c r="XB21" s="2"/>
      <c r="XC21" s="2"/>
      <c r="XD21" s="2"/>
      <c r="XE21" s="2"/>
      <c r="XF21" s="2"/>
      <c r="XG21" s="2"/>
      <c r="XH21" s="2"/>
      <c r="XI21" s="2"/>
      <c r="XJ21" s="2"/>
      <c r="XK21" s="2"/>
      <c r="XL21" s="2"/>
      <c r="XM21" s="2"/>
      <c r="XN21" s="2"/>
      <c r="XO21" s="2"/>
      <c r="XP21" s="2"/>
      <c r="XQ21" s="2"/>
      <c r="XR21" s="2"/>
      <c r="XS21" s="2"/>
      <c r="XT21" s="2"/>
      <c r="XU21" s="2"/>
      <c r="XV21" s="2"/>
      <c r="XW21" s="2"/>
      <c r="XX21" s="2"/>
      <c r="XY21" s="2"/>
      <c r="XZ21" s="2"/>
      <c r="YA21" s="2"/>
      <c r="YB21" s="2"/>
      <c r="YC21" s="2"/>
      <c r="YD21" s="2"/>
      <c r="YE21" s="2"/>
      <c r="YF21" s="2"/>
      <c r="YG21" s="2"/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/>
      <c r="ZG21" s="2"/>
      <c r="ZH21" s="2"/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  <c r="AAD21" s="2"/>
      <c r="AAE21" s="2"/>
      <c r="AAF21" s="2"/>
      <c r="AAG21" s="2"/>
      <c r="AAH21" s="2"/>
      <c r="AAI21" s="2"/>
      <c r="AAJ21" s="2"/>
      <c r="AAK21" s="2"/>
      <c r="AAL21" s="2"/>
      <c r="AAM21" s="2"/>
      <c r="AAN21" s="2"/>
      <c r="AAO21" s="2"/>
      <c r="AAP21" s="2"/>
      <c r="AAQ21" s="2"/>
      <c r="AAR21" s="2"/>
      <c r="AAS21" s="2"/>
      <c r="AAT21" s="2"/>
      <c r="AAU21" s="2"/>
      <c r="AAV21" s="2"/>
      <c r="AAW21" s="2"/>
      <c r="AAX21" s="2"/>
      <c r="AAY21" s="2"/>
      <c r="AAZ21" s="2"/>
      <c r="ABA21" s="2"/>
      <c r="ABB21" s="2"/>
      <c r="ABC21" s="2"/>
      <c r="ABD21" s="2"/>
      <c r="ABE21" s="2"/>
      <c r="ABF21" s="2"/>
      <c r="ABG21" s="2"/>
      <c r="ABH21" s="2"/>
      <c r="ABI21" s="2"/>
      <c r="ABJ21" s="2"/>
      <c r="ABK21" s="2"/>
      <c r="ABL21" s="2"/>
      <c r="ABM21" s="2"/>
      <c r="ABN21" s="2"/>
      <c r="ABO21" s="2"/>
      <c r="ABP21" s="2"/>
      <c r="ABQ21" s="2"/>
      <c r="ABR21" s="2"/>
      <c r="ABS21" s="2"/>
      <c r="ABT21" s="2"/>
      <c r="ABU21" s="2"/>
      <c r="ABV21" s="2"/>
      <c r="ABW21" s="2"/>
      <c r="ABX21" s="2"/>
      <c r="ABY21" s="2"/>
      <c r="ABZ21" s="2"/>
      <c r="ACA21" s="2"/>
      <c r="ACB21" s="2"/>
      <c r="ACC21" s="2"/>
      <c r="ACD21" s="2"/>
      <c r="ACE21" s="2"/>
      <c r="ACF21" s="2"/>
      <c r="ACG21" s="2"/>
      <c r="ACH21" s="2"/>
      <c r="ACI21" s="2"/>
      <c r="ACJ21" s="2"/>
      <c r="ACK21" s="2"/>
      <c r="ACL21" s="2"/>
      <c r="ACM21" s="2"/>
      <c r="ACN21" s="2"/>
      <c r="ACO21" s="2"/>
      <c r="ACP21" s="2"/>
      <c r="ACQ21" s="2"/>
      <c r="ACR21" s="2"/>
      <c r="ACS21" s="2"/>
      <c r="ACT21" s="2"/>
      <c r="ACU21" s="2"/>
      <c r="ACV21" s="2"/>
      <c r="ACW21" s="2"/>
      <c r="ACX21" s="2"/>
      <c r="ACY21" s="2"/>
      <c r="ACZ21" s="2"/>
      <c r="ADA21" s="2"/>
      <c r="ADB21" s="2"/>
      <c r="ADC21" s="2"/>
      <c r="ADD21" s="2"/>
      <c r="ADE21" s="2"/>
      <c r="ADF21" s="2"/>
      <c r="ADG21" s="2"/>
      <c r="ADH21" s="2"/>
      <c r="ADI21" s="2"/>
      <c r="ADJ21" s="2"/>
      <c r="ADK21" s="2"/>
      <c r="ADL21" s="2"/>
      <c r="ADM21" s="2"/>
      <c r="ADN21" s="2"/>
      <c r="ADO21" s="2"/>
      <c r="ADP21" s="2"/>
      <c r="ADQ21" s="2"/>
      <c r="ADR21" s="2"/>
      <c r="ADS21" s="2"/>
      <c r="ADT21" s="2"/>
      <c r="ADU21" s="2"/>
      <c r="ADV21" s="2"/>
      <c r="ADW21" s="2"/>
      <c r="ADX21" s="2"/>
      <c r="ADY21" s="2"/>
      <c r="ADZ21" s="2"/>
      <c r="AEA21" s="2"/>
      <c r="AEB21" s="2"/>
      <c r="AEC21" s="2"/>
      <c r="AED21" s="2"/>
      <c r="AEE21" s="2"/>
      <c r="AEF21" s="2"/>
      <c r="AEG21" s="2"/>
      <c r="AEH21" s="2"/>
      <c r="AEI21" s="2"/>
      <c r="AEJ21" s="2"/>
      <c r="AEK21" s="2"/>
      <c r="AEL21" s="2"/>
      <c r="AEM21" s="2"/>
      <c r="AEN21" s="2"/>
      <c r="AEO21" s="2"/>
      <c r="AEP21" s="2"/>
      <c r="AEQ21" s="2"/>
      <c r="AER21" s="2"/>
      <c r="AES21" s="2"/>
      <c r="AET21" s="2"/>
      <c r="AEU21" s="2"/>
      <c r="AEV21" s="2"/>
      <c r="AEW21" s="2"/>
      <c r="AEX21" s="2"/>
      <c r="AEY21" s="2"/>
      <c r="AEZ21" s="2"/>
      <c r="AFA21" s="2"/>
      <c r="AFB21" s="2"/>
      <c r="AFC21" s="2"/>
      <c r="AFD21" s="2"/>
      <c r="AFE21" s="2"/>
      <c r="AFF21" s="2"/>
      <c r="AFG21" s="2"/>
      <c r="AFH21" s="2"/>
      <c r="AFI21" s="2"/>
      <c r="AFJ21" s="2"/>
      <c r="AFK21" s="2"/>
      <c r="AFL21" s="2"/>
      <c r="AFM21" s="2"/>
      <c r="AFN21" s="2"/>
      <c r="AFO21" s="2"/>
      <c r="AFP21" s="2"/>
      <c r="AFQ21" s="2"/>
      <c r="AFR21" s="2"/>
      <c r="AFS21" s="2"/>
      <c r="AFT21" s="2"/>
      <c r="AFU21" s="2"/>
      <c r="AFV21" s="2"/>
      <c r="AFW21" s="2"/>
      <c r="AFX21" s="2"/>
      <c r="AFY21" s="2"/>
      <c r="AFZ21" s="2"/>
      <c r="AGA21" s="2"/>
      <c r="AGB21" s="2"/>
      <c r="AGC21" s="2"/>
      <c r="AGD21" s="2"/>
      <c r="AGE21" s="2"/>
      <c r="AGF21" s="2"/>
      <c r="AGG21" s="2"/>
      <c r="AGH21" s="2"/>
      <c r="AGI21" s="2"/>
      <c r="AGJ21" s="2"/>
      <c r="AGK21" s="2"/>
      <c r="AGL21" s="2"/>
      <c r="AGM21" s="2"/>
      <c r="AGN21" s="2"/>
      <c r="AGO21" s="2"/>
      <c r="AGP21" s="2"/>
      <c r="AGQ21" s="2"/>
      <c r="AGR21" s="2"/>
      <c r="AGS21" s="2"/>
      <c r="AGT21" s="2"/>
      <c r="AGU21" s="2"/>
      <c r="AGV21" s="2"/>
      <c r="AGW21" s="2"/>
      <c r="AGX21" s="2"/>
      <c r="AGY21" s="2"/>
      <c r="AGZ21" s="2"/>
      <c r="AHA21" s="2"/>
      <c r="AHB21" s="2"/>
      <c r="AHC21" s="2"/>
      <c r="AHD21" s="2"/>
      <c r="AHE21" s="2"/>
      <c r="AHF21" s="2"/>
      <c r="AHG21" s="2"/>
      <c r="AHH21" s="2"/>
      <c r="AHI21" s="2"/>
      <c r="AHJ21" s="2"/>
      <c r="AHK21" s="2"/>
      <c r="AHL21" s="2"/>
      <c r="AHM21" s="2"/>
      <c r="AHN21" s="2"/>
      <c r="AHO21" s="2"/>
      <c r="AHP21" s="2"/>
      <c r="AHQ21" s="2"/>
      <c r="AHR21" s="2"/>
      <c r="AHS21" s="2"/>
      <c r="AHT21" s="2"/>
      <c r="AHU21" s="2"/>
      <c r="AHV21" s="2"/>
      <c r="AHW21" s="2"/>
      <c r="AHX21" s="2"/>
      <c r="AHY21" s="2"/>
      <c r="AHZ21" s="2"/>
      <c r="AIA21" s="2"/>
      <c r="AIB21" s="2"/>
      <c r="AIC21" s="2"/>
      <c r="AID21" s="2"/>
      <c r="AIE21" s="2"/>
      <c r="AIF21" s="2"/>
      <c r="AIG21" s="2"/>
      <c r="AIH21" s="2"/>
      <c r="AII21" s="2"/>
      <c r="AIJ21" s="2"/>
      <c r="AIK21" s="2"/>
      <c r="AIL21" s="2"/>
      <c r="AIM21" s="2"/>
      <c r="AIN21" s="2"/>
      <c r="AIO21" s="2"/>
      <c r="AIP21" s="2"/>
      <c r="AIQ21" s="2"/>
      <c r="AIR21" s="2"/>
      <c r="AIS21" s="2"/>
      <c r="AIT21" s="2"/>
      <c r="AIU21" s="2"/>
      <c r="AIV21" s="2"/>
      <c r="AIW21" s="2"/>
      <c r="AIX21" s="2"/>
      <c r="AIY21" s="2"/>
      <c r="AIZ21" s="2"/>
      <c r="AJA21" s="2"/>
      <c r="AJB21" s="2"/>
      <c r="AJC21" s="2"/>
      <c r="AJD21" s="2"/>
      <c r="AJE21" s="2"/>
      <c r="AJF21" s="2"/>
      <c r="AJG21" s="2"/>
      <c r="AJH21" s="2"/>
      <c r="AJI21" s="2"/>
      <c r="AJJ21" s="2"/>
      <c r="AJK21" s="2"/>
      <c r="AJL21" s="2"/>
      <c r="AJM21" s="2"/>
      <c r="AJN21" s="2"/>
      <c r="AJO21" s="2"/>
      <c r="AJP21" s="2"/>
      <c r="AJQ21" s="2"/>
      <c r="AJR21" s="2"/>
      <c r="AJS21" s="2"/>
      <c r="AJT21" s="2"/>
      <c r="AJU21" s="2"/>
      <c r="AJV21" s="2"/>
      <c r="AJW21" s="2"/>
      <c r="AJX21" s="2"/>
      <c r="AJY21" s="2"/>
      <c r="AJZ21" s="2"/>
      <c r="AKA21" s="2"/>
      <c r="AKB21" s="2"/>
      <c r="AKC21" s="2"/>
      <c r="AKD21" s="2"/>
      <c r="AKE21" s="2"/>
      <c r="AKF21" s="2"/>
      <c r="AKG21" s="2"/>
      <c r="AKH21" s="2"/>
      <c r="AKI21" s="2"/>
      <c r="AKJ21" s="2"/>
      <c r="AKK21" s="2"/>
      <c r="AKL21" s="2"/>
      <c r="AKM21" s="2"/>
      <c r="AKN21" s="2"/>
      <c r="AKO21" s="2"/>
      <c r="AKP21" s="2"/>
      <c r="AKQ21" s="2"/>
      <c r="AKR21" s="2"/>
      <c r="AKS21" s="2"/>
      <c r="AKT21" s="2"/>
      <c r="AKU21" s="2"/>
      <c r="AKV21" s="2"/>
      <c r="AKW21" s="2"/>
      <c r="AKX21" s="2"/>
      <c r="AKY21" s="2"/>
      <c r="AKZ21" s="2"/>
      <c r="ALA21" s="2"/>
      <c r="ALB21" s="2"/>
      <c r="ALC21" s="2"/>
      <c r="ALD21" s="2"/>
      <c r="ALE21" s="2"/>
      <c r="ALF21" s="2"/>
      <c r="ALG21" s="2"/>
      <c r="ALH21" s="2"/>
      <c r="ALI21" s="2"/>
      <c r="ALJ21" s="2"/>
      <c r="ALK21" s="2"/>
      <c r="ALL21" s="2"/>
      <c r="ALM21" s="2"/>
      <c r="ALN21" s="2"/>
      <c r="ALO21" s="2"/>
      <c r="ALP21" s="2"/>
      <c r="ALQ21" s="2"/>
      <c r="ALR21" s="2"/>
      <c r="ALS21" s="2"/>
      <c r="ALT21" s="2"/>
      <c r="ALU21" s="2"/>
      <c r="ALV21" s="2"/>
      <c r="ALW21" s="2"/>
      <c r="ALX21" s="2"/>
      <c r="ALY21" s="2"/>
      <c r="ALZ21" s="2"/>
      <c r="AMA21" s="2"/>
      <c r="AMB21" s="2"/>
      <c r="AMC21" s="2"/>
      <c r="AMD21" s="2"/>
      <c r="AME21" s="2"/>
      <c r="AMF21" s="2"/>
      <c r="AMG21" s="2"/>
    </row>
    <row r="22" spans="1:1021" s="38" customFormat="1" ht="47.25" customHeight="1" thickBot="1" x14ac:dyDescent="0.25">
      <c r="A22" s="55">
        <v>11</v>
      </c>
      <c r="B22" s="51" t="str">
        <f>'Necesidades Trimestrales'!B20</f>
        <v>2.1.1-2868.71</v>
      </c>
      <c r="C22" s="133" t="str">
        <f>'Necesidades Trimestrales'!E20</f>
        <v>FIDEOS SECOS; VARIEDAD: GUISERO, RELLENO: SIN, PRESENTACION: ENVASE X 500 GR, MATERIAL ENVASE: PLASTICO 1 (PET), ELEM. TRANSPORTE: SIN, MATERIAL ELEM. TRANSPORTE: SIN, CERTIFICADO FORESTAL (GFS): SIN, LIBRE DE GLUTEN: NO</v>
      </c>
      <c r="D22" s="133"/>
      <c r="E22" s="133"/>
      <c r="F22" s="133"/>
      <c r="G22" s="133"/>
      <c r="H22" s="50" t="s">
        <v>94</v>
      </c>
      <c r="I22" s="56" t="s">
        <v>14</v>
      </c>
      <c r="J22" s="120">
        <v>45</v>
      </c>
      <c r="K22" s="54">
        <v>50000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2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2"/>
      <c r="ABP22" s="2"/>
      <c r="ABQ22" s="2"/>
      <c r="ABR22" s="2"/>
      <c r="ABS22" s="2"/>
      <c r="ABT22" s="2"/>
      <c r="ABU22" s="2"/>
      <c r="ABV22" s="2"/>
      <c r="ABW22" s="2"/>
      <c r="ABX22" s="2"/>
      <c r="ABY22" s="2"/>
      <c r="ABZ22" s="2"/>
      <c r="ACA22" s="2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2"/>
      <c r="ACO22" s="2"/>
      <c r="ACP22" s="2"/>
      <c r="ACQ22" s="2"/>
      <c r="ACR22" s="2"/>
      <c r="ACS22" s="2"/>
      <c r="ACT22" s="2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2"/>
      <c r="AED22" s="2"/>
      <c r="AEE22" s="2"/>
      <c r="AEF22" s="2"/>
      <c r="AEG22" s="2"/>
      <c r="AEH22" s="2"/>
      <c r="AEI22" s="2"/>
      <c r="AEJ22" s="2"/>
      <c r="AEK22" s="2"/>
      <c r="AEL22" s="2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2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2"/>
      <c r="AFV22" s="2"/>
      <c r="AFW22" s="2"/>
      <c r="AFX22" s="2"/>
      <c r="AFY22" s="2"/>
      <c r="AFZ22" s="2"/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/>
      <c r="AGR22" s="2"/>
      <c r="AGS22" s="2"/>
      <c r="AGT22" s="2"/>
      <c r="AGU22" s="2"/>
      <c r="AGV22" s="2"/>
      <c r="AGW22" s="2"/>
      <c r="AGX22" s="2"/>
      <c r="AGY22" s="2"/>
      <c r="AGZ22" s="2"/>
      <c r="AHA22" s="2"/>
      <c r="AHB22" s="2"/>
      <c r="AHC22" s="2"/>
      <c r="AHD22" s="2"/>
      <c r="AHE22" s="2"/>
      <c r="AHF22" s="2"/>
      <c r="AHG22" s="2"/>
      <c r="AHH22" s="2"/>
      <c r="AHI22" s="2"/>
      <c r="AHJ22" s="2"/>
      <c r="AHK22" s="2"/>
      <c r="AHL22" s="2"/>
      <c r="AHM22" s="2"/>
      <c r="AHN22" s="2"/>
      <c r="AHO22" s="2"/>
      <c r="AHP22" s="2"/>
      <c r="AHQ22" s="2"/>
      <c r="AHR22" s="2"/>
      <c r="AHS22" s="2"/>
      <c r="AHT22" s="2"/>
      <c r="AHU22" s="2"/>
      <c r="AHV22" s="2"/>
      <c r="AHW22" s="2"/>
      <c r="AHX22" s="2"/>
      <c r="AHY22" s="2"/>
      <c r="AHZ22" s="2"/>
      <c r="AIA22" s="2"/>
      <c r="AIB22" s="2"/>
      <c r="AIC22" s="2"/>
      <c r="AID22" s="2"/>
      <c r="AIE22" s="2"/>
      <c r="AIF22" s="2"/>
      <c r="AIG22" s="2"/>
      <c r="AIH22" s="2"/>
      <c r="AII22" s="2"/>
      <c r="AIJ22" s="2"/>
      <c r="AIK22" s="2"/>
      <c r="AIL22" s="2"/>
      <c r="AIM22" s="2"/>
      <c r="AIN22" s="2"/>
      <c r="AIO22" s="2"/>
      <c r="AIP22" s="2"/>
      <c r="AIQ22" s="2"/>
      <c r="AIR22" s="2"/>
      <c r="AIS22" s="2"/>
      <c r="AIT22" s="2"/>
      <c r="AIU22" s="2"/>
      <c r="AIV22" s="2"/>
      <c r="AIW22" s="2"/>
      <c r="AIX22" s="2"/>
      <c r="AIY22" s="2"/>
      <c r="AIZ22" s="2"/>
      <c r="AJA22" s="2"/>
      <c r="AJB22" s="2"/>
      <c r="AJC22" s="2"/>
      <c r="AJD22" s="2"/>
      <c r="AJE22" s="2"/>
      <c r="AJF22" s="2"/>
      <c r="AJG22" s="2"/>
      <c r="AJH22" s="2"/>
      <c r="AJI22" s="2"/>
      <c r="AJJ22" s="2"/>
      <c r="AJK22" s="2"/>
      <c r="AJL22" s="2"/>
      <c r="AJM22" s="2"/>
      <c r="AJN22" s="2"/>
      <c r="AJO22" s="2"/>
      <c r="AJP22" s="2"/>
      <c r="AJQ22" s="2"/>
      <c r="AJR22" s="2"/>
      <c r="AJS22" s="2"/>
      <c r="AJT22" s="2"/>
      <c r="AJU22" s="2"/>
      <c r="AJV22" s="2"/>
      <c r="AJW22" s="2"/>
      <c r="AJX22" s="2"/>
      <c r="AJY22" s="2"/>
      <c r="AJZ22" s="2"/>
      <c r="AKA22" s="2"/>
      <c r="AKB22" s="2"/>
      <c r="AKC22" s="2"/>
      <c r="AKD22" s="2"/>
      <c r="AKE22" s="2"/>
      <c r="AKF22" s="2"/>
      <c r="AKG22" s="2"/>
      <c r="AKH22" s="2"/>
      <c r="AKI22" s="2"/>
      <c r="AKJ22" s="2"/>
      <c r="AKK22" s="2"/>
      <c r="AKL22" s="2"/>
      <c r="AKM22" s="2"/>
      <c r="AKN22" s="2"/>
      <c r="AKO22" s="2"/>
      <c r="AKP22" s="2"/>
      <c r="AKQ22" s="2"/>
      <c r="AKR22" s="2"/>
      <c r="AKS22" s="2"/>
      <c r="AKT22" s="2"/>
      <c r="AKU22" s="2"/>
      <c r="AKV22" s="2"/>
      <c r="AKW22" s="2"/>
      <c r="AKX22" s="2"/>
      <c r="AKY22" s="2"/>
      <c r="AKZ22" s="2"/>
      <c r="ALA22" s="2"/>
      <c r="ALB22" s="2"/>
      <c r="ALC22" s="2"/>
      <c r="ALD22" s="2"/>
      <c r="ALE22" s="2"/>
      <c r="ALF22" s="2"/>
      <c r="ALG22" s="2"/>
      <c r="ALH22" s="2"/>
      <c r="ALI22" s="2"/>
      <c r="ALJ22" s="2"/>
      <c r="ALK22" s="2"/>
      <c r="ALL22" s="2"/>
      <c r="ALM22" s="2"/>
      <c r="ALN22" s="2"/>
      <c r="ALO22" s="2"/>
      <c r="ALP22" s="2"/>
      <c r="ALQ22" s="2"/>
      <c r="ALR22" s="2"/>
      <c r="ALS22" s="2"/>
      <c r="ALT22" s="2"/>
      <c r="ALU22" s="2"/>
      <c r="ALV22" s="2"/>
      <c r="ALW22" s="2"/>
      <c r="ALX22" s="2"/>
      <c r="ALY22" s="2"/>
      <c r="ALZ22" s="2"/>
      <c r="AMA22" s="2"/>
      <c r="AMB22" s="2"/>
      <c r="AMC22" s="2"/>
      <c r="AMD22" s="2"/>
      <c r="AME22" s="2"/>
      <c r="AMF22" s="2"/>
      <c r="AMG22" s="2"/>
    </row>
    <row r="23" spans="1:1021" s="38" customFormat="1" ht="51.75" customHeight="1" thickBot="1" x14ac:dyDescent="0.25">
      <c r="A23" s="55">
        <v>12</v>
      </c>
      <c r="B23" s="51" t="str">
        <f>'Necesidades Trimestrales'!B21</f>
        <v>2.1.1-6547.80</v>
      </c>
      <c r="C23" s="133" t="str">
        <f>'Necesidades Trimestrales'!E21</f>
        <v>LEGUMBRES; VARIEDAD: LENTEJA, ESTADO: SECO, PRESENTACION: SIN VALOR, PESO: ENVASE X 400 GR</v>
      </c>
      <c r="D23" s="133"/>
      <c r="E23" s="133"/>
      <c r="F23" s="133"/>
      <c r="G23" s="133"/>
      <c r="H23" s="50" t="s">
        <v>94</v>
      </c>
      <c r="I23" s="56" t="s">
        <v>14</v>
      </c>
      <c r="J23" s="120">
        <v>126</v>
      </c>
      <c r="K23" s="54">
        <v>50000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2"/>
      <c r="XB23" s="2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2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  <c r="AAL23" s="2"/>
      <c r="AAM23" s="2"/>
      <c r="AAN23" s="2"/>
      <c r="AAO23" s="2"/>
      <c r="AAP23" s="2"/>
      <c r="AAQ23" s="2"/>
      <c r="AAR23" s="2"/>
      <c r="AAS23" s="2"/>
      <c r="AAT23" s="2"/>
      <c r="AAU23" s="2"/>
      <c r="AAV23" s="2"/>
      <c r="AAW23" s="2"/>
      <c r="AAX23" s="2"/>
      <c r="AAY23" s="2"/>
      <c r="AAZ23" s="2"/>
      <c r="ABA23" s="2"/>
      <c r="ABB23" s="2"/>
      <c r="ABC23" s="2"/>
      <c r="ABD23" s="2"/>
      <c r="ABE23" s="2"/>
      <c r="ABF23" s="2"/>
      <c r="ABG23" s="2"/>
      <c r="ABH23" s="2"/>
      <c r="ABI23" s="2"/>
      <c r="ABJ23" s="2"/>
      <c r="ABK23" s="2"/>
      <c r="ABL23" s="2"/>
      <c r="ABM23" s="2"/>
      <c r="ABN23" s="2"/>
      <c r="ABO23" s="2"/>
      <c r="ABP23" s="2"/>
      <c r="ABQ23" s="2"/>
      <c r="ABR23" s="2"/>
      <c r="ABS23" s="2"/>
      <c r="ABT23" s="2"/>
      <c r="ABU23" s="2"/>
      <c r="ABV23" s="2"/>
      <c r="ABW23" s="2"/>
      <c r="ABX23" s="2"/>
      <c r="ABY23" s="2"/>
      <c r="ABZ23" s="2"/>
      <c r="ACA23" s="2"/>
      <c r="ACB23" s="2"/>
      <c r="ACC23" s="2"/>
      <c r="ACD23" s="2"/>
      <c r="ACE23" s="2"/>
      <c r="ACF23" s="2"/>
      <c r="ACG23" s="2"/>
      <c r="ACH23" s="2"/>
      <c r="ACI23" s="2"/>
      <c r="ACJ23" s="2"/>
      <c r="ACK23" s="2"/>
      <c r="ACL23" s="2"/>
      <c r="ACM23" s="2"/>
      <c r="ACN23" s="2"/>
      <c r="ACO23" s="2"/>
      <c r="ACP23" s="2"/>
      <c r="ACQ23" s="2"/>
      <c r="ACR23" s="2"/>
      <c r="ACS23" s="2"/>
      <c r="ACT23" s="2"/>
      <c r="ACU23" s="2"/>
      <c r="ACV23" s="2"/>
      <c r="ACW23" s="2"/>
      <c r="ACX23" s="2"/>
      <c r="ACY23" s="2"/>
      <c r="ACZ23" s="2"/>
      <c r="ADA23" s="2"/>
      <c r="ADB23" s="2"/>
      <c r="ADC23" s="2"/>
      <c r="ADD23" s="2"/>
      <c r="ADE23" s="2"/>
      <c r="ADF23" s="2"/>
      <c r="ADG23" s="2"/>
      <c r="ADH23" s="2"/>
      <c r="ADI23" s="2"/>
      <c r="ADJ23" s="2"/>
      <c r="ADK23" s="2"/>
      <c r="ADL23" s="2"/>
      <c r="ADM23" s="2"/>
      <c r="ADN23" s="2"/>
      <c r="ADO23" s="2"/>
      <c r="ADP23" s="2"/>
      <c r="ADQ23" s="2"/>
      <c r="ADR23" s="2"/>
      <c r="ADS23" s="2"/>
      <c r="ADT23" s="2"/>
      <c r="ADU23" s="2"/>
      <c r="ADV23" s="2"/>
      <c r="ADW23" s="2"/>
      <c r="ADX23" s="2"/>
      <c r="ADY23" s="2"/>
      <c r="ADZ23" s="2"/>
      <c r="AEA23" s="2"/>
      <c r="AEB23" s="2"/>
      <c r="AEC23" s="2"/>
      <c r="AED23" s="2"/>
      <c r="AEE23" s="2"/>
      <c r="AEF23" s="2"/>
      <c r="AEG23" s="2"/>
      <c r="AEH23" s="2"/>
      <c r="AEI23" s="2"/>
      <c r="AEJ23" s="2"/>
      <c r="AEK23" s="2"/>
      <c r="AEL23" s="2"/>
      <c r="AEM23" s="2"/>
      <c r="AEN23" s="2"/>
      <c r="AEO23" s="2"/>
      <c r="AEP23" s="2"/>
      <c r="AEQ23" s="2"/>
      <c r="AER23" s="2"/>
      <c r="AES23" s="2"/>
      <c r="AET23" s="2"/>
      <c r="AEU23" s="2"/>
      <c r="AEV23" s="2"/>
      <c r="AEW23" s="2"/>
      <c r="AEX23" s="2"/>
      <c r="AEY23" s="2"/>
      <c r="AEZ23" s="2"/>
      <c r="AFA23" s="2"/>
      <c r="AFB23" s="2"/>
      <c r="AFC23" s="2"/>
      <c r="AFD23" s="2"/>
      <c r="AFE23" s="2"/>
      <c r="AFF23" s="2"/>
      <c r="AFG23" s="2"/>
      <c r="AFH23" s="2"/>
      <c r="AFI23" s="2"/>
      <c r="AFJ23" s="2"/>
      <c r="AFK23" s="2"/>
      <c r="AFL23" s="2"/>
      <c r="AFM23" s="2"/>
      <c r="AFN23" s="2"/>
      <c r="AFO23" s="2"/>
      <c r="AFP23" s="2"/>
      <c r="AFQ23" s="2"/>
      <c r="AFR23" s="2"/>
      <c r="AFS23" s="2"/>
      <c r="AFT23" s="2"/>
      <c r="AFU23" s="2"/>
      <c r="AFV23" s="2"/>
      <c r="AFW23" s="2"/>
      <c r="AFX23" s="2"/>
      <c r="AFY23" s="2"/>
      <c r="AFZ23" s="2"/>
      <c r="AGA23" s="2"/>
      <c r="AGB23" s="2"/>
      <c r="AGC23" s="2"/>
      <c r="AGD23" s="2"/>
      <c r="AGE23" s="2"/>
      <c r="AGF23" s="2"/>
      <c r="AGG23" s="2"/>
      <c r="AGH23" s="2"/>
      <c r="AGI23" s="2"/>
      <c r="AGJ23" s="2"/>
      <c r="AGK23" s="2"/>
      <c r="AGL23" s="2"/>
      <c r="AGM23" s="2"/>
      <c r="AGN23" s="2"/>
      <c r="AGO23" s="2"/>
      <c r="AGP23" s="2"/>
      <c r="AGQ23" s="2"/>
      <c r="AGR23" s="2"/>
      <c r="AGS23" s="2"/>
      <c r="AGT23" s="2"/>
      <c r="AGU23" s="2"/>
      <c r="AGV23" s="2"/>
      <c r="AGW23" s="2"/>
      <c r="AGX23" s="2"/>
      <c r="AGY23" s="2"/>
      <c r="AGZ23" s="2"/>
      <c r="AHA23" s="2"/>
      <c r="AHB23" s="2"/>
      <c r="AHC23" s="2"/>
      <c r="AHD23" s="2"/>
      <c r="AHE23" s="2"/>
      <c r="AHF23" s="2"/>
      <c r="AHG23" s="2"/>
      <c r="AHH23" s="2"/>
      <c r="AHI23" s="2"/>
      <c r="AHJ23" s="2"/>
      <c r="AHK23" s="2"/>
      <c r="AHL23" s="2"/>
      <c r="AHM23" s="2"/>
      <c r="AHN23" s="2"/>
      <c r="AHO23" s="2"/>
      <c r="AHP23" s="2"/>
      <c r="AHQ23" s="2"/>
      <c r="AHR23" s="2"/>
      <c r="AHS23" s="2"/>
      <c r="AHT23" s="2"/>
      <c r="AHU23" s="2"/>
      <c r="AHV23" s="2"/>
      <c r="AHW23" s="2"/>
      <c r="AHX23" s="2"/>
      <c r="AHY23" s="2"/>
      <c r="AHZ23" s="2"/>
      <c r="AIA23" s="2"/>
      <c r="AIB23" s="2"/>
      <c r="AIC23" s="2"/>
      <c r="AID23" s="2"/>
      <c r="AIE23" s="2"/>
      <c r="AIF23" s="2"/>
      <c r="AIG23" s="2"/>
      <c r="AIH23" s="2"/>
      <c r="AII23" s="2"/>
      <c r="AIJ23" s="2"/>
      <c r="AIK23" s="2"/>
      <c r="AIL23" s="2"/>
      <c r="AIM23" s="2"/>
      <c r="AIN23" s="2"/>
      <c r="AIO23" s="2"/>
      <c r="AIP23" s="2"/>
      <c r="AIQ23" s="2"/>
      <c r="AIR23" s="2"/>
      <c r="AIS23" s="2"/>
      <c r="AIT23" s="2"/>
      <c r="AIU23" s="2"/>
      <c r="AIV23" s="2"/>
      <c r="AIW23" s="2"/>
      <c r="AIX23" s="2"/>
      <c r="AIY23" s="2"/>
      <c r="AIZ23" s="2"/>
      <c r="AJA23" s="2"/>
      <c r="AJB23" s="2"/>
      <c r="AJC23" s="2"/>
      <c r="AJD23" s="2"/>
      <c r="AJE23" s="2"/>
      <c r="AJF23" s="2"/>
      <c r="AJG23" s="2"/>
      <c r="AJH23" s="2"/>
      <c r="AJI23" s="2"/>
      <c r="AJJ23" s="2"/>
      <c r="AJK23" s="2"/>
      <c r="AJL23" s="2"/>
      <c r="AJM23" s="2"/>
      <c r="AJN23" s="2"/>
      <c r="AJO23" s="2"/>
      <c r="AJP23" s="2"/>
      <c r="AJQ23" s="2"/>
      <c r="AJR23" s="2"/>
      <c r="AJS23" s="2"/>
      <c r="AJT23" s="2"/>
      <c r="AJU23" s="2"/>
      <c r="AJV23" s="2"/>
      <c r="AJW23" s="2"/>
      <c r="AJX23" s="2"/>
      <c r="AJY23" s="2"/>
      <c r="AJZ23" s="2"/>
      <c r="AKA23" s="2"/>
      <c r="AKB23" s="2"/>
      <c r="AKC23" s="2"/>
      <c r="AKD23" s="2"/>
      <c r="AKE23" s="2"/>
      <c r="AKF23" s="2"/>
      <c r="AKG23" s="2"/>
      <c r="AKH23" s="2"/>
      <c r="AKI23" s="2"/>
      <c r="AKJ23" s="2"/>
      <c r="AKK23" s="2"/>
      <c r="AKL23" s="2"/>
      <c r="AKM23" s="2"/>
      <c r="AKN23" s="2"/>
      <c r="AKO23" s="2"/>
      <c r="AKP23" s="2"/>
      <c r="AKQ23" s="2"/>
      <c r="AKR23" s="2"/>
      <c r="AKS23" s="2"/>
      <c r="AKT23" s="2"/>
      <c r="AKU23" s="2"/>
      <c r="AKV23" s="2"/>
      <c r="AKW23" s="2"/>
      <c r="AKX23" s="2"/>
      <c r="AKY23" s="2"/>
      <c r="AKZ23" s="2"/>
      <c r="ALA23" s="2"/>
      <c r="ALB23" s="2"/>
      <c r="ALC23" s="2"/>
      <c r="ALD23" s="2"/>
      <c r="ALE23" s="2"/>
      <c r="ALF23" s="2"/>
      <c r="ALG23" s="2"/>
      <c r="ALH23" s="2"/>
      <c r="ALI23" s="2"/>
      <c r="ALJ23" s="2"/>
      <c r="ALK23" s="2"/>
      <c r="ALL23" s="2"/>
      <c r="ALM23" s="2"/>
      <c r="ALN23" s="2"/>
      <c r="ALO23" s="2"/>
      <c r="ALP23" s="2"/>
      <c r="ALQ23" s="2"/>
      <c r="ALR23" s="2"/>
      <c r="ALS23" s="2"/>
      <c r="ALT23" s="2"/>
      <c r="ALU23" s="2"/>
      <c r="ALV23" s="2"/>
      <c r="ALW23" s="2"/>
      <c r="ALX23" s="2"/>
      <c r="ALY23" s="2"/>
      <c r="ALZ23" s="2"/>
      <c r="AMA23" s="2"/>
      <c r="AMB23" s="2"/>
      <c r="AMC23" s="2"/>
      <c r="AMD23" s="2"/>
      <c r="AME23" s="2"/>
      <c r="AMF23" s="2"/>
      <c r="AMG23" s="2"/>
    </row>
    <row r="24" spans="1:1021" s="38" customFormat="1" ht="30.75" customHeight="1" thickBot="1" x14ac:dyDescent="0.25">
      <c r="A24" s="55"/>
      <c r="B24" s="51"/>
      <c r="C24" s="133"/>
      <c r="D24" s="133"/>
      <c r="E24" s="133"/>
      <c r="F24" s="133"/>
      <c r="G24" s="133"/>
      <c r="H24" s="57"/>
      <c r="I24" s="56"/>
      <c r="J24" s="53"/>
      <c r="K24" s="54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/>
      <c r="PG24" s="2"/>
      <c r="PH24" s="2"/>
      <c r="PI24" s="2"/>
      <c r="PJ24" s="2"/>
      <c r="PK24" s="2"/>
      <c r="PL24" s="2"/>
      <c r="PM24" s="2"/>
      <c r="PN24" s="2"/>
      <c r="PO24" s="2"/>
      <c r="PP24" s="2"/>
      <c r="PQ24" s="2"/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/>
      <c r="QC24" s="2"/>
      <c r="QD24" s="2"/>
      <c r="QE24" s="2"/>
      <c r="QF24" s="2"/>
      <c r="QG24" s="2"/>
      <c r="QH24" s="2"/>
      <c r="QI24" s="2"/>
      <c r="QJ24" s="2"/>
      <c r="QK24" s="2"/>
      <c r="QL24" s="2"/>
      <c r="QM24" s="2"/>
      <c r="QN24" s="2"/>
      <c r="QO24" s="2"/>
      <c r="QP24" s="2"/>
      <c r="QQ24" s="2"/>
      <c r="QR24" s="2"/>
      <c r="QS24" s="2"/>
      <c r="QT24" s="2"/>
      <c r="QU24" s="2"/>
      <c r="QV24" s="2"/>
      <c r="QW24" s="2"/>
      <c r="QX24" s="2"/>
      <c r="QY24" s="2"/>
      <c r="QZ24" s="2"/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2"/>
      <c r="RP24" s="2"/>
      <c r="RQ24" s="2"/>
      <c r="RR24" s="2"/>
      <c r="RS24" s="2"/>
      <c r="RT24" s="2"/>
      <c r="RU24" s="2"/>
      <c r="RV24" s="2"/>
      <c r="RW24" s="2"/>
      <c r="RX24" s="2"/>
      <c r="RY24" s="2"/>
      <c r="RZ24" s="2"/>
      <c r="SA24" s="2"/>
      <c r="SB24" s="2"/>
      <c r="SC24" s="2"/>
      <c r="SD24" s="2"/>
      <c r="SE24" s="2"/>
      <c r="SF24" s="2"/>
      <c r="SG24" s="2"/>
      <c r="SH24" s="2"/>
      <c r="SI24" s="2"/>
      <c r="SJ24" s="2"/>
      <c r="SK24" s="2"/>
      <c r="SL24" s="2"/>
      <c r="SM24" s="2"/>
      <c r="SN24" s="2"/>
      <c r="SO24" s="2"/>
      <c r="SP24" s="2"/>
      <c r="SQ24" s="2"/>
      <c r="SR24" s="2"/>
      <c r="SS24" s="2"/>
      <c r="ST24" s="2"/>
      <c r="SU24" s="2"/>
      <c r="SV24" s="2"/>
      <c r="SW24" s="2"/>
      <c r="SX24" s="2"/>
      <c r="SY24" s="2"/>
      <c r="SZ24" s="2"/>
      <c r="TA24" s="2"/>
      <c r="TB24" s="2"/>
      <c r="TC24" s="2"/>
      <c r="TD24" s="2"/>
      <c r="TE24" s="2"/>
      <c r="TF24" s="2"/>
      <c r="TG24" s="2"/>
      <c r="TH24" s="2"/>
      <c r="TI24" s="2"/>
      <c r="TJ24" s="2"/>
      <c r="TK24" s="2"/>
      <c r="TL24" s="2"/>
      <c r="TM24" s="2"/>
      <c r="TN24" s="2"/>
      <c r="TO24" s="2"/>
      <c r="TP24" s="2"/>
      <c r="TQ24" s="2"/>
      <c r="TR24" s="2"/>
      <c r="TS24" s="2"/>
      <c r="TT24" s="2"/>
      <c r="TU24" s="2"/>
      <c r="TV24" s="2"/>
      <c r="TW24" s="2"/>
      <c r="TX24" s="2"/>
      <c r="TY24" s="2"/>
      <c r="TZ24" s="2"/>
      <c r="UA24" s="2"/>
      <c r="UB24" s="2"/>
      <c r="UC24" s="2"/>
      <c r="UD24" s="2"/>
      <c r="UE24" s="2"/>
      <c r="UF24" s="2"/>
      <c r="UG24" s="2"/>
      <c r="UH24" s="2"/>
      <c r="UI24" s="2"/>
      <c r="UJ24" s="2"/>
      <c r="UK24" s="2"/>
      <c r="UL24" s="2"/>
      <c r="UM24" s="2"/>
      <c r="UN24" s="2"/>
      <c r="UO24" s="2"/>
      <c r="UP24" s="2"/>
      <c r="UQ24" s="2"/>
      <c r="UR24" s="2"/>
      <c r="US24" s="2"/>
      <c r="UT24" s="2"/>
      <c r="UU24" s="2"/>
      <c r="UV24" s="2"/>
      <c r="UW24" s="2"/>
      <c r="UX24" s="2"/>
      <c r="UY24" s="2"/>
      <c r="UZ24" s="2"/>
      <c r="VA24" s="2"/>
      <c r="VB24" s="2"/>
      <c r="VC24" s="2"/>
      <c r="VD24" s="2"/>
      <c r="VE24" s="2"/>
      <c r="VF24" s="2"/>
      <c r="VG24" s="2"/>
      <c r="VH24" s="2"/>
      <c r="VI24" s="2"/>
      <c r="VJ24" s="2"/>
      <c r="VK24" s="2"/>
      <c r="VL24" s="2"/>
      <c r="VM24" s="2"/>
      <c r="VN24" s="2"/>
      <c r="VO24" s="2"/>
      <c r="VP24" s="2"/>
      <c r="VQ24" s="2"/>
      <c r="VR24" s="2"/>
      <c r="VS24" s="2"/>
      <c r="VT24" s="2"/>
      <c r="VU24" s="2"/>
      <c r="VV24" s="2"/>
      <c r="VW24" s="2"/>
      <c r="VX24" s="2"/>
      <c r="VY24" s="2"/>
      <c r="VZ24" s="2"/>
      <c r="WA24" s="2"/>
      <c r="WB24" s="2"/>
      <c r="WC24" s="2"/>
      <c r="WD24" s="2"/>
      <c r="WE24" s="2"/>
      <c r="WF24" s="2"/>
      <c r="WG24" s="2"/>
      <c r="WH24" s="2"/>
      <c r="WI24" s="2"/>
      <c r="WJ24" s="2"/>
      <c r="WK24" s="2"/>
      <c r="WL24" s="2"/>
      <c r="WM24" s="2"/>
      <c r="WN24" s="2"/>
      <c r="WO24" s="2"/>
      <c r="WP24" s="2"/>
      <c r="WQ24" s="2"/>
      <c r="WR24" s="2"/>
      <c r="WS24" s="2"/>
      <c r="WT24" s="2"/>
      <c r="WU24" s="2"/>
      <c r="WV24" s="2"/>
      <c r="WW24" s="2"/>
      <c r="WX24" s="2"/>
      <c r="WY24" s="2"/>
      <c r="WZ24" s="2"/>
      <c r="XA24" s="2"/>
      <c r="XB24" s="2"/>
      <c r="XC24" s="2"/>
      <c r="XD24" s="2"/>
      <c r="XE24" s="2"/>
      <c r="XF24" s="2"/>
      <c r="XG24" s="2"/>
      <c r="XH24" s="2"/>
      <c r="XI24" s="2"/>
      <c r="XJ24" s="2"/>
      <c r="XK24" s="2"/>
      <c r="XL24" s="2"/>
      <c r="XM24" s="2"/>
      <c r="XN24" s="2"/>
      <c r="XO24" s="2"/>
      <c r="XP24" s="2"/>
      <c r="XQ24" s="2"/>
      <c r="XR24" s="2"/>
      <c r="XS24" s="2"/>
      <c r="XT24" s="2"/>
      <c r="XU24" s="2"/>
      <c r="XV24" s="2"/>
      <c r="XW24" s="2"/>
      <c r="XX24" s="2"/>
      <c r="XY24" s="2"/>
      <c r="XZ24" s="2"/>
      <c r="YA24" s="2"/>
      <c r="YB24" s="2"/>
      <c r="YC24" s="2"/>
      <c r="YD24" s="2"/>
      <c r="YE24" s="2"/>
      <c r="YF24" s="2"/>
      <c r="YG24" s="2"/>
      <c r="YH24" s="2"/>
      <c r="YI24" s="2"/>
      <c r="YJ24" s="2"/>
      <c r="YK24" s="2"/>
      <c r="YL24" s="2"/>
      <c r="YM24" s="2"/>
      <c r="YN24" s="2"/>
      <c r="YO24" s="2"/>
      <c r="YP24" s="2"/>
      <c r="YQ24" s="2"/>
      <c r="YR24" s="2"/>
      <c r="YS24" s="2"/>
      <c r="YT24" s="2"/>
      <c r="YU24" s="2"/>
      <c r="YV24" s="2"/>
      <c r="YW24" s="2"/>
      <c r="YX24" s="2"/>
      <c r="YY24" s="2"/>
      <c r="YZ24" s="2"/>
      <c r="ZA24" s="2"/>
      <c r="ZB24" s="2"/>
      <c r="ZC24" s="2"/>
      <c r="ZD24" s="2"/>
      <c r="ZE24" s="2"/>
      <c r="ZF24" s="2"/>
      <c r="ZG24" s="2"/>
      <c r="ZH24" s="2"/>
      <c r="ZI24" s="2"/>
      <c r="ZJ24" s="2"/>
      <c r="ZK24" s="2"/>
      <c r="ZL24" s="2"/>
      <c r="ZM24" s="2"/>
      <c r="ZN24" s="2"/>
      <c r="ZO24" s="2"/>
      <c r="ZP24" s="2"/>
      <c r="ZQ24" s="2"/>
      <c r="ZR24" s="2"/>
      <c r="ZS24" s="2"/>
      <c r="ZT24" s="2"/>
      <c r="ZU24" s="2"/>
      <c r="ZV24" s="2"/>
      <c r="ZW24" s="2"/>
      <c r="ZX24" s="2"/>
      <c r="ZY24" s="2"/>
      <c r="ZZ24" s="2"/>
      <c r="AAA24" s="2"/>
      <c r="AAB24" s="2"/>
      <c r="AAC24" s="2"/>
      <c r="AAD24" s="2"/>
      <c r="AAE24" s="2"/>
      <c r="AAF24" s="2"/>
      <c r="AAG24" s="2"/>
      <c r="AAH24" s="2"/>
      <c r="AAI24" s="2"/>
      <c r="AAJ24" s="2"/>
      <c r="AAK24" s="2"/>
      <c r="AAL24" s="2"/>
      <c r="AAM24" s="2"/>
      <c r="AAN24" s="2"/>
      <c r="AAO24" s="2"/>
      <c r="AAP24" s="2"/>
      <c r="AAQ24" s="2"/>
      <c r="AAR24" s="2"/>
      <c r="AAS24" s="2"/>
      <c r="AAT24" s="2"/>
      <c r="AAU24" s="2"/>
      <c r="AAV24" s="2"/>
      <c r="AAW24" s="2"/>
      <c r="AAX24" s="2"/>
      <c r="AAY24" s="2"/>
      <c r="AAZ24" s="2"/>
      <c r="ABA24" s="2"/>
      <c r="ABB24" s="2"/>
      <c r="ABC24" s="2"/>
      <c r="ABD24" s="2"/>
      <c r="ABE24" s="2"/>
      <c r="ABF24" s="2"/>
      <c r="ABG24" s="2"/>
      <c r="ABH24" s="2"/>
      <c r="ABI24" s="2"/>
      <c r="ABJ24" s="2"/>
      <c r="ABK24" s="2"/>
      <c r="ABL24" s="2"/>
      <c r="ABM24" s="2"/>
      <c r="ABN24" s="2"/>
      <c r="ABO24" s="2"/>
      <c r="ABP24" s="2"/>
      <c r="ABQ24" s="2"/>
      <c r="ABR24" s="2"/>
      <c r="ABS24" s="2"/>
      <c r="ABT24" s="2"/>
      <c r="ABU24" s="2"/>
      <c r="ABV24" s="2"/>
      <c r="ABW24" s="2"/>
      <c r="ABX24" s="2"/>
      <c r="ABY24" s="2"/>
      <c r="ABZ24" s="2"/>
      <c r="ACA24" s="2"/>
      <c r="ACB24" s="2"/>
      <c r="ACC24" s="2"/>
      <c r="ACD24" s="2"/>
      <c r="ACE24" s="2"/>
      <c r="ACF24" s="2"/>
      <c r="ACG24" s="2"/>
      <c r="ACH24" s="2"/>
      <c r="ACI24" s="2"/>
      <c r="ACJ24" s="2"/>
      <c r="ACK24" s="2"/>
      <c r="ACL24" s="2"/>
      <c r="ACM24" s="2"/>
      <c r="ACN24" s="2"/>
      <c r="ACO24" s="2"/>
      <c r="ACP24" s="2"/>
      <c r="ACQ24" s="2"/>
      <c r="ACR24" s="2"/>
      <c r="ACS24" s="2"/>
      <c r="ACT24" s="2"/>
      <c r="ACU24" s="2"/>
      <c r="ACV24" s="2"/>
      <c r="ACW24" s="2"/>
      <c r="ACX24" s="2"/>
      <c r="ACY24" s="2"/>
      <c r="ACZ24" s="2"/>
      <c r="ADA24" s="2"/>
      <c r="ADB24" s="2"/>
      <c r="ADC24" s="2"/>
      <c r="ADD24" s="2"/>
      <c r="ADE24" s="2"/>
      <c r="ADF24" s="2"/>
      <c r="ADG24" s="2"/>
      <c r="ADH24" s="2"/>
      <c r="ADI24" s="2"/>
      <c r="ADJ24" s="2"/>
      <c r="ADK24" s="2"/>
      <c r="ADL24" s="2"/>
      <c r="ADM24" s="2"/>
      <c r="ADN24" s="2"/>
      <c r="ADO24" s="2"/>
      <c r="ADP24" s="2"/>
      <c r="ADQ24" s="2"/>
      <c r="ADR24" s="2"/>
      <c r="ADS24" s="2"/>
      <c r="ADT24" s="2"/>
      <c r="ADU24" s="2"/>
      <c r="ADV24" s="2"/>
      <c r="ADW24" s="2"/>
      <c r="ADX24" s="2"/>
      <c r="ADY24" s="2"/>
      <c r="ADZ24" s="2"/>
      <c r="AEA24" s="2"/>
      <c r="AEB24" s="2"/>
      <c r="AEC24" s="2"/>
      <c r="AED24" s="2"/>
      <c r="AEE24" s="2"/>
      <c r="AEF24" s="2"/>
      <c r="AEG24" s="2"/>
      <c r="AEH24" s="2"/>
      <c r="AEI24" s="2"/>
      <c r="AEJ24" s="2"/>
      <c r="AEK24" s="2"/>
      <c r="AEL24" s="2"/>
      <c r="AEM24" s="2"/>
      <c r="AEN24" s="2"/>
      <c r="AEO24" s="2"/>
      <c r="AEP24" s="2"/>
      <c r="AEQ24" s="2"/>
      <c r="AER24" s="2"/>
      <c r="AES24" s="2"/>
      <c r="AET24" s="2"/>
      <c r="AEU24" s="2"/>
      <c r="AEV24" s="2"/>
      <c r="AEW24" s="2"/>
      <c r="AEX24" s="2"/>
      <c r="AEY24" s="2"/>
      <c r="AEZ24" s="2"/>
      <c r="AFA24" s="2"/>
      <c r="AFB24" s="2"/>
      <c r="AFC24" s="2"/>
      <c r="AFD24" s="2"/>
      <c r="AFE24" s="2"/>
      <c r="AFF24" s="2"/>
      <c r="AFG24" s="2"/>
      <c r="AFH24" s="2"/>
      <c r="AFI24" s="2"/>
      <c r="AFJ24" s="2"/>
      <c r="AFK24" s="2"/>
      <c r="AFL24" s="2"/>
      <c r="AFM24" s="2"/>
      <c r="AFN24" s="2"/>
      <c r="AFO24" s="2"/>
      <c r="AFP24" s="2"/>
      <c r="AFQ24" s="2"/>
      <c r="AFR24" s="2"/>
      <c r="AFS24" s="2"/>
      <c r="AFT24" s="2"/>
      <c r="AFU24" s="2"/>
      <c r="AFV24" s="2"/>
      <c r="AFW24" s="2"/>
      <c r="AFX24" s="2"/>
      <c r="AFY24" s="2"/>
      <c r="AFZ24" s="2"/>
      <c r="AGA24" s="2"/>
      <c r="AGB24" s="2"/>
      <c r="AGC24" s="2"/>
      <c r="AGD24" s="2"/>
      <c r="AGE24" s="2"/>
      <c r="AGF24" s="2"/>
      <c r="AGG24" s="2"/>
      <c r="AGH24" s="2"/>
      <c r="AGI24" s="2"/>
      <c r="AGJ24" s="2"/>
      <c r="AGK24" s="2"/>
      <c r="AGL24" s="2"/>
      <c r="AGM24" s="2"/>
      <c r="AGN24" s="2"/>
      <c r="AGO24" s="2"/>
      <c r="AGP24" s="2"/>
      <c r="AGQ24" s="2"/>
      <c r="AGR24" s="2"/>
      <c r="AGS24" s="2"/>
      <c r="AGT24" s="2"/>
      <c r="AGU24" s="2"/>
      <c r="AGV24" s="2"/>
      <c r="AGW24" s="2"/>
      <c r="AGX24" s="2"/>
      <c r="AGY24" s="2"/>
      <c r="AGZ24" s="2"/>
      <c r="AHA24" s="2"/>
      <c r="AHB24" s="2"/>
      <c r="AHC24" s="2"/>
      <c r="AHD24" s="2"/>
      <c r="AHE24" s="2"/>
      <c r="AHF24" s="2"/>
      <c r="AHG24" s="2"/>
      <c r="AHH24" s="2"/>
      <c r="AHI24" s="2"/>
      <c r="AHJ24" s="2"/>
      <c r="AHK24" s="2"/>
      <c r="AHL24" s="2"/>
      <c r="AHM24" s="2"/>
      <c r="AHN24" s="2"/>
      <c r="AHO24" s="2"/>
      <c r="AHP24" s="2"/>
      <c r="AHQ24" s="2"/>
      <c r="AHR24" s="2"/>
      <c r="AHS24" s="2"/>
      <c r="AHT24" s="2"/>
      <c r="AHU24" s="2"/>
      <c r="AHV24" s="2"/>
      <c r="AHW24" s="2"/>
      <c r="AHX24" s="2"/>
      <c r="AHY24" s="2"/>
      <c r="AHZ24" s="2"/>
      <c r="AIA24" s="2"/>
      <c r="AIB24" s="2"/>
      <c r="AIC24" s="2"/>
      <c r="AID24" s="2"/>
      <c r="AIE24" s="2"/>
      <c r="AIF24" s="2"/>
      <c r="AIG24" s="2"/>
      <c r="AIH24" s="2"/>
      <c r="AII24" s="2"/>
      <c r="AIJ24" s="2"/>
      <c r="AIK24" s="2"/>
      <c r="AIL24" s="2"/>
      <c r="AIM24" s="2"/>
      <c r="AIN24" s="2"/>
      <c r="AIO24" s="2"/>
      <c r="AIP24" s="2"/>
      <c r="AIQ24" s="2"/>
      <c r="AIR24" s="2"/>
      <c r="AIS24" s="2"/>
      <c r="AIT24" s="2"/>
      <c r="AIU24" s="2"/>
      <c r="AIV24" s="2"/>
      <c r="AIW24" s="2"/>
      <c r="AIX24" s="2"/>
      <c r="AIY24" s="2"/>
      <c r="AIZ24" s="2"/>
      <c r="AJA24" s="2"/>
      <c r="AJB24" s="2"/>
      <c r="AJC24" s="2"/>
      <c r="AJD24" s="2"/>
      <c r="AJE24" s="2"/>
      <c r="AJF24" s="2"/>
      <c r="AJG24" s="2"/>
      <c r="AJH24" s="2"/>
      <c r="AJI24" s="2"/>
      <c r="AJJ24" s="2"/>
      <c r="AJK24" s="2"/>
      <c r="AJL24" s="2"/>
      <c r="AJM24" s="2"/>
      <c r="AJN24" s="2"/>
      <c r="AJO24" s="2"/>
      <c r="AJP24" s="2"/>
      <c r="AJQ24" s="2"/>
      <c r="AJR24" s="2"/>
      <c r="AJS24" s="2"/>
      <c r="AJT24" s="2"/>
      <c r="AJU24" s="2"/>
      <c r="AJV24" s="2"/>
      <c r="AJW24" s="2"/>
      <c r="AJX24" s="2"/>
      <c r="AJY24" s="2"/>
      <c r="AJZ24" s="2"/>
      <c r="AKA24" s="2"/>
      <c r="AKB24" s="2"/>
      <c r="AKC24" s="2"/>
      <c r="AKD24" s="2"/>
      <c r="AKE24" s="2"/>
      <c r="AKF24" s="2"/>
      <c r="AKG24" s="2"/>
      <c r="AKH24" s="2"/>
      <c r="AKI24" s="2"/>
      <c r="AKJ24" s="2"/>
      <c r="AKK24" s="2"/>
      <c r="AKL24" s="2"/>
      <c r="AKM24" s="2"/>
      <c r="AKN24" s="2"/>
      <c r="AKO24" s="2"/>
      <c r="AKP24" s="2"/>
      <c r="AKQ24" s="2"/>
      <c r="AKR24" s="2"/>
      <c r="AKS24" s="2"/>
      <c r="AKT24" s="2"/>
      <c r="AKU24" s="2"/>
      <c r="AKV24" s="2"/>
      <c r="AKW24" s="2"/>
      <c r="AKX24" s="2"/>
      <c r="AKY24" s="2"/>
      <c r="AKZ24" s="2"/>
      <c r="ALA24" s="2"/>
      <c r="ALB24" s="2"/>
      <c r="ALC24" s="2"/>
      <c r="ALD24" s="2"/>
      <c r="ALE24" s="2"/>
      <c r="ALF24" s="2"/>
      <c r="ALG24" s="2"/>
      <c r="ALH24" s="2"/>
      <c r="ALI24" s="2"/>
      <c r="ALJ24" s="2"/>
      <c r="ALK24" s="2"/>
      <c r="ALL24" s="2"/>
      <c r="ALM24" s="2"/>
      <c r="ALN24" s="2"/>
      <c r="ALO24" s="2"/>
      <c r="ALP24" s="2"/>
      <c r="ALQ24" s="2"/>
      <c r="ALR24" s="2"/>
      <c r="ALS24" s="2"/>
      <c r="ALT24" s="2"/>
      <c r="ALU24" s="2"/>
      <c r="ALV24" s="2"/>
      <c r="ALW24" s="2"/>
      <c r="ALX24" s="2"/>
      <c r="ALY24" s="2"/>
      <c r="ALZ24" s="2"/>
      <c r="AMA24" s="2"/>
      <c r="AMB24" s="2"/>
      <c r="AMC24" s="2"/>
      <c r="AMD24" s="2"/>
      <c r="AME24" s="2"/>
      <c r="AMF24" s="2"/>
      <c r="AMG24" s="2"/>
    </row>
    <row r="25" spans="1:1021" ht="26.25" customHeight="1" thickBot="1" x14ac:dyDescent="0.25">
      <c r="A25" s="131" t="s">
        <v>111</v>
      </c>
      <c r="B25" s="131"/>
      <c r="C25" s="131"/>
      <c r="D25" s="131"/>
      <c r="E25" s="131"/>
      <c r="F25" s="131"/>
      <c r="G25" s="131"/>
      <c r="H25" s="131"/>
      <c r="I25" s="131"/>
      <c r="J25" s="132">
        <f>+J12*K12+J13*K13+J14*K14+J15*K15+J16*K16+J17*K17+J18*K18+J19*K19+J20*K20+J21*K21+J22*K22+J23*K23+J24*K24</f>
        <v>91275000</v>
      </c>
      <c r="K25" s="132"/>
    </row>
    <row r="27" spans="1:1021" x14ac:dyDescent="0.2">
      <c r="J27" s="111"/>
    </row>
  </sheetData>
  <mergeCells count="35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25:I25"/>
    <mergeCell ref="J25:K25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</mergeCells>
  <printOptions horizontalCentered="1"/>
  <pageMargins left="0" right="0" top="1.1399999999999999" bottom="0" header="2.13" footer="0.51181102362204722"/>
  <pageSetup paperSize="5" scale="75" firstPageNumber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tabSelected="1" topLeftCell="A7" zoomScale="130" zoomScaleNormal="130" workbookViewId="0">
      <selection activeCell="S20" sqref="S20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1" width="4.42578125" customWidth="1"/>
    <col min="12" max="12" width="5.42578125" customWidth="1"/>
    <col min="13" max="14" width="4.42578125" customWidth="1"/>
    <col min="15" max="16" width="14.85546875" customWidth="1"/>
    <col min="17" max="17" width="15.28515625" bestFit="1" customWidth="1"/>
  </cols>
  <sheetData>
    <row r="1" spans="1:17" ht="15.75" customHeight="1" x14ac:dyDescent="0.25">
      <c r="A1" s="167" t="s">
        <v>3</v>
      </c>
      <c r="B1" s="167"/>
      <c r="C1" s="167"/>
      <c r="D1" s="168">
        <f>'Necesidades Trimestrales'!C6</f>
        <v>2021</v>
      </c>
      <c r="E1" s="168"/>
      <c r="F1" s="4"/>
      <c r="G1" s="4"/>
      <c r="H1" s="5"/>
      <c r="I1" s="5"/>
      <c r="J1" s="5"/>
      <c r="K1" s="5"/>
      <c r="L1" s="5"/>
      <c r="M1" s="5"/>
      <c r="N1" s="5"/>
      <c r="P1" s="169" t="s">
        <v>31</v>
      </c>
      <c r="Q1" s="169"/>
    </row>
    <row r="2" spans="1:17" ht="15.75" customHeight="1" x14ac:dyDescent="0.2">
      <c r="H2" s="5"/>
      <c r="I2" s="5"/>
      <c r="J2" s="5"/>
      <c r="K2" s="5"/>
      <c r="L2" s="5"/>
      <c r="M2" s="5"/>
      <c r="N2" s="5"/>
      <c r="P2" s="169"/>
      <c r="Q2" s="169"/>
    </row>
    <row r="4" spans="1:17" s="6" customFormat="1" ht="18" customHeight="1" thickBot="1" x14ac:dyDescent="0.25">
      <c r="A4" s="170" t="s">
        <v>32</v>
      </c>
      <c r="B4" s="170"/>
      <c r="C4" s="170"/>
      <c r="D4" s="170"/>
      <c r="E4" s="170"/>
      <c r="F4" s="170"/>
      <c r="G4" s="165" t="str">
        <f>' NotaPedido'!D3</f>
        <v>45- Ministerio de Desarrollo Social y Deporte.-</v>
      </c>
      <c r="H4" s="165"/>
      <c r="I4" s="165"/>
      <c r="J4" s="165"/>
      <c r="K4" s="165"/>
      <c r="L4" s="165"/>
      <c r="M4" s="165"/>
      <c r="N4" s="165"/>
      <c r="O4" s="165"/>
      <c r="P4" s="165"/>
      <c r="Q4" s="165"/>
    </row>
    <row r="5" spans="1:17" s="6" customFormat="1" ht="18" customHeight="1" thickBot="1" x14ac:dyDescent="0.25">
      <c r="A5" s="162" t="s">
        <v>55</v>
      </c>
      <c r="B5" s="163"/>
      <c r="C5" s="163"/>
      <c r="D5" s="163"/>
      <c r="E5" s="163"/>
      <c r="F5" s="164"/>
      <c r="G5" s="165" t="str">
        <f>' NotaPedido'!D4</f>
        <v>25- Direccion Provincial de Gestion Administracion y RRHH</v>
      </c>
      <c r="H5" s="165"/>
      <c r="I5" s="165"/>
      <c r="J5" s="165"/>
      <c r="K5" s="165"/>
      <c r="L5" s="165"/>
      <c r="M5" s="165"/>
      <c r="N5" s="165"/>
      <c r="O5" s="165"/>
      <c r="P5" s="165"/>
      <c r="Q5" s="165"/>
    </row>
    <row r="6" spans="1:17" s="6" customFormat="1" ht="18" customHeight="1" thickBot="1" x14ac:dyDescent="0.25">
      <c r="A6" s="162" t="s">
        <v>33</v>
      </c>
      <c r="B6" s="163"/>
      <c r="C6" s="163"/>
      <c r="D6" s="163"/>
      <c r="E6" s="163"/>
      <c r="F6" s="164"/>
      <c r="G6" s="165" t="s">
        <v>89</v>
      </c>
      <c r="H6" s="165"/>
      <c r="I6" s="165"/>
      <c r="J6" s="165"/>
      <c r="K6" s="165"/>
      <c r="L6" s="165"/>
      <c r="M6" s="165"/>
      <c r="N6" s="165"/>
      <c r="O6" s="165"/>
      <c r="P6" s="165"/>
      <c r="Q6" s="165"/>
    </row>
    <row r="7" spans="1:17" s="6" customFormat="1" ht="18" customHeight="1" thickBot="1" x14ac:dyDescent="0.25">
      <c r="A7" s="162" t="s">
        <v>56</v>
      </c>
      <c r="B7" s="163"/>
      <c r="C7" s="163"/>
      <c r="D7" s="163"/>
      <c r="E7" s="163"/>
      <c r="F7" s="164"/>
      <c r="G7" s="165" t="s">
        <v>91</v>
      </c>
      <c r="H7" s="165"/>
      <c r="I7" s="165"/>
      <c r="J7" s="165"/>
      <c r="K7" s="165"/>
      <c r="L7" s="165"/>
      <c r="M7" s="165"/>
      <c r="N7" s="165"/>
      <c r="O7" s="165"/>
      <c r="P7" s="165"/>
      <c r="Q7" s="165"/>
    </row>
    <row r="8" spans="1:17" ht="18" customHeight="1" thickBot="1" x14ac:dyDescent="0.25">
      <c r="A8" s="166" t="s">
        <v>34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</row>
    <row r="9" spans="1:17" ht="18" customHeight="1" x14ac:dyDescent="0.2">
      <c r="A9" s="156" t="s">
        <v>35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"/>
      <c r="P9" s="1"/>
      <c r="Q9" s="7"/>
    </row>
    <row r="10" spans="1:17" ht="54.75" customHeight="1" x14ac:dyDescent="0.2">
      <c r="A10" s="157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893/2021,  afectando la erogación resultante a los créditos presupuestarios aprobados a favor de esta Unidad Ejecutora, conforme al siguiente detalle:</v>
      </c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</row>
    <row r="11" spans="1:17" ht="9" customHeight="1" x14ac:dyDescent="0.2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x14ac:dyDescent="0.2">
      <c r="A12" s="158" t="s">
        <v>36</v>
      </c>
      <c r="B12" s="158"/>
      <c r="C12" s="158"/>
      <c r="D12" s="158"/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</row>
    <row r="13" spans="1:17" ht="15.75" customHeight="1" x14ac:dyDescent="0.2">
      <c r="A13" s="159" t="s">
        <v>37</v>
      </c>
      <c r="B13" s="159"/>
      <c r="C13" s="159"/>
      <c r="D13" s="159"/>
      <c r="E13" s="159"/>
      <c r="F13" s="159"/>
      <c r="G13" s="159"/>
      <c r="H13" s="159"/>
      <c r="I13" s="159"/>
      <c r="J13" s="159"/>
      <c r="K13" s="159"/>
      <c r="L13" s="159"/>
      <c r="M13" s="159"/>
      <c r="N13" s="159"/>
      <c r="O13" s="160" t="s">
        <v>38</v>
      </c>
      <c r="P13" s="160"/>
      <c r="Q13" s="161" t="s">
        <v>39</v>
      </c>
    </row>
    <row r="14" spans="1:17" ht="15.75" customHeight="1" x14ac:dyDescent="0.2">
      <c r="A14" s="12" t="s">
        <v>40</v>
      </c>
      <c r="B14" s="13" t="s">
        <v>41</v>
      </c>
      <c r="C14" s="13" t="s">
        <v>42</v>
      </c>
      <c r="D14" s="13" t="s">
        <v>43</v>
      </c>
      <c r="E14" s="13" t="s">
        <v>44</v>
      </c>
      <c r="F14" s="13" t="s">
        <v>45</v>
      </c>
      <c r="G14" s="14" t="s">
        <v>46</v>
      </c>
      <c r="H14" s="13" t="s">
        <v>47</v>
      </c>
      <c r="I14" s="13" t="s">
        <v>48</v>
      </c>
      <c r="J14" s="13" t="s">
        <v>49</v>
      </c>
      <c r="K14" s="13" t="s">
        <v>49</v>
      </c>
      <c r="L14" s="13" t="s">
        <v>50</v>
      </c>
      <c r="M14" s="15" t="s">
        <v>51</v>
      </c>
      <c r="N14" s="16" t="s">
        <v>52</v>
      </c>
      <c r="O14" s="160"/>
      <c r="P14" s="160"/>
      <c r="Q14" s="161"/>
    </row>
    <row r="15" spans="1:17" ht="17.25" customHeight="1" x14ac:dyDescent="0.2">
      <c r="A15" s="40">
        <v>16</v>
      </c>
      <c r="B15" s="41"/>
      <c r="C15" s="41"/>
      <c r="D15" s="41">
        <v>2</v>
      </c>
      <c r="E15" s="41"/>
      <c r="F15" s="41">
        <v>4901</v>
      </c>
      <c r="G15" s="42">
        <v>3</v>
      </c>
      <c r="H15" s="42">
        <v>2</v>
      </c>
      <c r="I15" s="41" t="str">
        <f>LEFT('[1]Necesidades Trimestrales'!D10,1)</f>
        <v>2</v>
      </c>
      <c r="J15" s="41">
        <v>1</v>
      </c>
      <c r="K15" s="41">
        <v>1</v>
      </c>
      <c r="L15" s="41"/>
      <c r="M15" s="43">
        <v>1</v>
      </c>
      <c r="N15" s="41">
        <v>1.1000000000000001</v>
      </c>
      <c r="O15" s="153" t="s">
        <v>58</v>
      </c>
      <c r="P15" s="154"/>
      <c r="Q15" s="34">
        <v>91275000</v>
      </c>
    </row>
    <row r="16" spans="1:17" ht="17.25" customHeight="1" x14ac:dyDescent="0.2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9"/>
      <c r="N16" s="18"/>
      <c r="O16" s="155"/>
      <c r="P16" s="155"/>
      <c r="Q16" s="33"/>
    </row>
    <row r="17" spans="1:18" ht="17.25" customHeight="1" x14ac:dyDescent="0.2">
      <c r="A17" s="17"/>
      <c r="B17" s="18"/>
      <c r="C17" s="18"/>
      <c r="D17" s="18"/>
      <c r="E17" s="18"/>
      <c r="F17" s="20"/>
      <c r="G17" s="18"/>
      <c r="H17" s="18"/>
      <c r="I17" s="18"/>
      <c r="J17" s="18"/>
      <c r="K17" s="18"/>
      <c r="L17" s="18"/>
      <c r="M17" s="19"/>
      <c r="N17" s="20"/>
      <c r="O17" s="147"/>
      <c r="P17" s="147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47"/>
      <c r="P18" s="147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47"/>
      <c r="P19" s="147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47"/>
      <c r="P20" s="147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48"/>
      <c r="P21" s="148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49"/>
      <c r="P22" s="149"/>
      <c r="Q22" s="30"/>
    </row>
    <row r="23" spans="1:18" ht="32.25" customHeight="1" x14ac:dyDescent="0.2">
      <c r="A23" s="150" t="s">
        <v>112</v>
      </c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31">
        <f>SUM(Q15:Q22)</f>
        <v>91275000</v>
      </c>
    </row>
    <row r="24" spans="1:18" ht="18" customHeight="1" thickBot="1" x14ac:dyDescent="0.25">
      <c r="A24" s="152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</row>
    <row r="25" spans="1:18" ht="17.25" customHeight="1" thickBot="1" x14ac:dyDescent="0.25">
      <c r="A25" s="142" t="s">
        <v>53</v>
      </c>
      <c r="B25" s="143"/>
      <c r="C25" s="143"/>
      <c r="D25" s="143"/>
      <c r="E25" s="143"/>
      <c r="F25" s="144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</row>
    <row r="26" spans="1:18" ht="18" customHeight="1" thickBot="1" x14ac:dyDescent="0.25">
      <c r="A26" s="146" t="s">
        <v>86</v>
      </c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</row>
    <row r="27" spans="1:18" ht="15" customHeight="1" x14ac:dyDescent="0.2">
      <c r="A27" s="146"/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COMPRAS</cp:lastModifiedBy>
  <cp:revision>2</cp:revision>
  <cp:lastPrinted>2021-09-15T23:03:11Z</cp:lastPrinted>
  <dcterms:created xsi:type="dcterms:W3CDTF">2020-07-17T23:44:49Z</dcterms:created>
  <dcterms:modified xsi:type="dcterms:W3CDTF">2021-10-07T14:05:54Z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