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HSJB\AÑO 2022\Adq.Repuestos para Videoduodenoscopia\"/>
    </mc:Choice>
  </mc:AlternateContent>
  <xr:revisionPtr revIDLastSave="0" documentId="8_{EA3E351E-503A-4483-AEA0-9AF55F5F860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NotaPedido!$A$1:$K$16</definedName>
  </definedNames>
  <calcPr calcId="181029"/>
</workbook>
</file>

<file path=xl/calcChain.xml><?xml version="1.0" encoding="utf-8"?>
<calcChain xmlns="http://schemas.openxmlformats.org/spreadsheetml/2006/main">
  <c r="D11" i="1" l="1"/>
  <c r="D12" i="1"/>
  <c r="D13" i="1"/>
  <c r="D10" i="1"/>
  <c r="B15" i="2"/>
  <c r="A25" i="3"/>
  <c r="A10" i="3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3" i="1"/>
  <c r="I12" i="1"/>
  <c r="I11" i="1"/>
  <c r="I10" i="1"/>
  <c r="J16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<sst xmlns="http://schemas.openxmlformats.org/spreadsheetml/2006/main" count="126" uniqueCount="90">
  <si>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</si>
  <si>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</si>
  <si>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</si>
  <si>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</si>
  <si>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</si>
  <si>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</si>
  <si>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</si>
  <si>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</si>
  <si>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</si>
  <si>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</si>
  <si>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</si>
  <si>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</si>
  <si>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</si>
  <si>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</si>
  <si>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</si>
  <si>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</si>
  <si>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</si>
  <si>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</si>
  <si>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</si>
  <si>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</si>
  <si>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</si>
  <si>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</si>
  <si>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</si>
  <si>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</si>
  <si>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</si>
  <si>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</si>
  <si>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</si>
  <si>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</si>
  <si>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</si>
  <si>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</si>
  <si>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</si>
  <si>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</si>
  <si>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</si>
  <si>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</si>
  <si>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</si>
  <si>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</si>
  <si>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</si>
  <si>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</si>
  <si>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</si>
  <si>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</si>
  <si>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</si>
  <si>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</si>
  <si>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</si>
  <si>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</si>
  <si>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</si>
  <si>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</si>
  <si>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</si>
  <si>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</si>
  <si>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</si>
  <si>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</si>
  <si>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</si>
  <si>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</si>
  <si>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</si>
  <si>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</si>
  <si>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</si>
  <si>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</si>
  <si>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</si>
  <si>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</si>
  <si>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 xml:space="preserve">45 dias habiles </t>
  </si>
  <si>
    <t>3.1</t>
  </si>
  <si>
    <t>1.1</t>
  </si>
  <si>
    <t>3.3.3-2440.85</t>
  </si>
  <si>
    <t>MANT. REPARACION Y LIMPIEZA</t>
  </si>
  <si>
    <t>MANT. Y REP. DE EQ. MEDICOS, CRITERIO SOCIAL: SIN, DESCRIPCION: VIDEODUODENOSCOPIO</t>
  </si>
  <si>
    <t>2.9.6-8875.272</t>
  </si>
  <si>
    <t>REPUESTOS</t>
  </si>
  <si>
    <t>REP. Y ACC. P/EQUIPO MEDICO; USO: VIDEODUODENOSCOPIO, MARCA EQUIPO: PENTAX, ELEMENTO: BIOPSY CHANNEL (CANAL DE BIOPSIA), CARACTERISTICAS: SEGÚN PLIEGO, MODELO EQUIPO: ED3490TK</t>
  </si>
  <si>
    <t>2.9.6-8875.273</t>
  </si>
  <si>
    <t>REP. Y ACC. P/EQUIPO MEDICO; USO: VIDEODUODENOSCOPIO, MARCA EQUIPO: PENTAX, ELEMENTO: BENDING RUBBER (RIENDA DE GOMA), CARACTERISTICAS: SEGÚN PLIEGO, MODELO EQUIPO: ED3490TK</t>
  </si>
  <si>
    <t>2.9.6-8875.274</t>
  </si>
  <si>
    <t>REP. Y ACC. P/EQUIPO MEDICO; USO: VIDEODUODENOSCOPIO, MARCA EQUIPO: PENTAX, ELEMENTO: TUBO DE INSERCION, CARACTERISTICAS: SEGÚN PLIEGO, MODELO EQUIPO: ED3490TK</t>
  </si>
  <si>
    <t>SERVICIO DE REPARACION DE VIDEODUODENOSCOPIO - EQUIPO MARCA PENTAX ED-3490TK A110060</t>
  </si>
  <si>
    <t>Especificidades Item N° 4:</t>
  </si>
  <si>
    <t>Especificidades Item N° 3:</t>
  </si>
  <si>
    <t>RIENDA DE GOMA (BENDING RUBBER) 10,25 MM</t>
  </si>
  <si>
    <t>TUBO DE INSERCION 11,6 MM PENTAX</t>
  </si>
  <si>
    <t>UNIDAD</t>
  </si>
  <si>
    <t>Departamento Electromedicina</t>
  </si>
  <si>
    <t>Adquisición de Reparacion y Repuestos para Videoduodenoscopio</t>
  </si>
  <si>
    <t>SI</t>
  </si>
  <si>
    <t>Repuestos y Accesorios</t>
  </si>
  <si>
    <t>Costo total estimado:  PESOS QUINIENTOS VEINTICINCO MIL DOSCIENTOS CON 00/100.----</t>
  </si>
  <si>
    <t xml:space="preserve">15 dias habiles - Departamento Electromedicina del HISJB - Avda. Illia y Mariano Moreno </t>
  </si>
  <si>
    <t>Mant. y Rep. de Maquinaria y Equipo</t>
  </si>
  <si>
    <t>TOTAL DE PESOS:  QUINIENTOS VEINTICINCO MIL DOSCIENTOS CON 00/100.-------</t>
  </si>
  <si>
    <t>237 - Direccion de Mantenimiento</t>
  </si>
  <si>
    <t>NOTA DE PEDIDO 025</t>
  </si>
  <si>
    <t>DOCFI-2022-01118164-CAT-DMAN#HSJB</t>
  </si>
  <si>
    <t>Especificidades Item N° 2:</t>
  </si>
  <si>
    <t xml:space="preserve"> BIOPSY CHANNEL - CANAL DE BIOPSIA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</si>
</sst>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3" fillId="0" borderId="14" xfId="0" applyFont="1" applyFill="1" applyBorder="1" applyAlignment="1">
      <alignment vertical="center" wrapText="1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8" fillId="4" borderId="14" xfId="0" applyFont="1" applyFill="1" applyBorder="1" applyAlignment="1">
      <alignment horizontal="center" vertical="center" wrapText="1"/>
    </xf>
    <xf numFmtId="166" fontId="15" fillId="4" borderId="14" xfId="1" applyNumberFormat="1" applyFont="1" applyFill="1" applyBorder="1" applyAlignment="1" applyProtection="1">
      <alignment horizontal="center" vertical="center" wrapText="1"/>
    </xf>
    <xf numFmtId="166" fontId="15" fillId="4" borderId="14" xfId="1" applyNumberFormat="1" applyFont="1" applyFill="1" applyBorder="1" applyAlignment="1" applyProtection="1">
      <alignment horizontal="righ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indent="3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48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6"/>
  <sheetViews>
    <sheetView tabSelected="1" zoomScale="85" zoomScaleNormal="85" workbookViewId="0">
      <selection activeCell="I42" sqref="I42"/>
    </sheetView>
  </sheetViews>
  <sheetFormatPr baseColWidth="10" defaultColWidth="11" defaultRowHeight="12.75" x14ac:dyDescent="0.2"/>
  <cols>
    <col min="1" max="1" width="4.5703125" style="39" customWidth="1"/>
    <col min="2" max="2" width="14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0" t="s">
        <v>0</v>
      </c>
      <c r="C2" s="80"/>
      <c r="D2" s="80"/>
      <c r="E2" s="80"/>
      <c r="F2" s="80"/>
      <c r="G2" s="80"/>
      <c r="H2" s="80"/>
    </row>
    <row r="4" spans="1:9" ht="18" customHeight="1" x14ac:dyDescent="0.25">
      <c r="A4" s="81" t="s">
        <v>1</v>
      </c>
      <c r="B4" s="81"/>
      <c r="C4" s="82" t="s">
        <v>56</v>
      </c>
      <c r="D4" s="82"/>
      <c r="E4" s="82"/>
      <c r="F4" s="40"/>
      <c r="G4" s="41"/>
      <c r="H4" s="40"/>
    </row>
    <row r="5" spans="1:9" ht="18" customHeight="1" x14ac:dyDescent="0.25">
      <c r="A5" s="81" t="s">
        <v>2</v>
      </c>
      <c r="B5" s="81"/>
      <c r="C5" s="82" t="s">
        <v>57</v>
      </c>
      <c r="D5" s="82"/>
      <c r="E5" s="82"/>
      <c r="F5" s="40"/>
      <c r="G5" s="41"/>
      <c r="H5" s="40"/>
    </row>
    <row r="6" spans="1:9" ht="16.5" customHeight="1" x14ac:dyDescent="0.25">
      <c r="A6" s="81" t="s">
        <v>3</v>
      </c>
      <c r="B6" s="81"/>
      <c r="C6" s="58">
        <v>2022</v>
      </c>
      <c r="D6" s="59"/>
      <c r="E6" s="59"/>
      <c r="F6" s="40"/>
      <c r="G6" s="41"/>
      <c r="H6" s="40"/>
    </row>
    <row r="7" spans="1:9" ht="16.5" customHeight="1" x14ac:dyDescent="0.25">
      <c r="A7" s="81" t="s">
        <v>4</v>
      </c>
      <c r="B7" s="81"/>
      <c r="C7" s="58">
        <v>3</v>
      </c>
      <c r="D7" s="59"/>
      <c r="E7" s="59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9.15" customHeight="1" thickBot="1" x14ac:dyDescent="0.25">
      <c r="A10" s="56">
        <v>1</v>
      </c>
      <c r="B10" s="73" t="s">
        <v>61</v>
      </c>
      <c r="C10" s="76" t="s">
        <v>62</v>
      </c>
      <c r="D10" s="77" t="str">
        <f>LEFT(B10,5)</f>
        <v>3.3.3</v>
      </c>
      <c r="E10" s="57" t="s">
        <v>63</v>
      </c>
      <c r="F10" s="73" t="s">
        <v>76</v>
      </c>
      <c r="G10" s="73">
        <v>1</v>
      </c>
      <c r="H10" s="74">
        <v>214000</v>
      </c>
      <c r="I10" s="75">
        <f t="shared" ref="I10:I13" si="0">G10*H10</f>
        <v>214000</v>
      </c>
    </row>
    <row r="11" spans="1:9" ht="66.599999999999994" customHeight="1" thickBot="1" x14ac:dyDescent="0.25">
      <c r="A11" s="56">
        <v>2</v>
      </c>
      <c r="B11" s="73" t="s">
        <v>64</v>
      </c>
      <c r="C11" s="76" t="s">
        <v>65</v>
      </c>
      <c r="D11" s="77" t="str">
        <f t="shared" ref="D11:D13" si="1">LEFT(B11,5)</f>
        <v>2.9.6</v>
      </c>
      <c r="E11" s="57" t="s">
        <v>66</v>
      </c>
      <c r="F11" s="73" t="s">
        <v>76</v>
      </c>
      <c r="G11" s="73">
        <v>1</v>
      </c>
      <c r="H11" s="74">
        <v>84000</v>
      </c>
      <c r="I11" s="75">
        <f t="shared" si="0"/>
        <v>84000</v>
      </c>
    </row>
    <row r="12" spans="1:9" ht="66.599999999999994" customHeight="1" thickBot="1" x14ac:dyDescent="0.25">
      <c r="A12" s="56">
        <v>3</v>
      </c>
      <c r="B12" s="73" t="s">
        <v>67</v>
      </c>
      <c r="C12" s="76" t="s">
        <v>65</v>
      </c>
      <c r="D12" s="77" t="str">
        <f t="shared" si="1"/>
        <v>2.9.6</v>
      </c>
      <c r="E12" s="57" t="s">
        <v>68</v>
      </c>
      <c r="F12" s="73" t="s">
        <v>76</v>
      </c>
      <c r="G12" s="73">
        <v>1</v>
      </c>
      <c r="H12" s="74">
        <v>20200</v>
      </c>
      <c r="I12" s="75">
        <f t="shared" si="0"/>
        <v>20200</v>
      </c>
    </row>
    <row r="13" spans="1:9" ht="66.599999999999994" customHeight="1" thickBot="1" x14ac:dyDescent="0.25">
      <c r="A13" s="56">
        <v>4</v>
      </c>
      <c r="B13" s="73" t="s">
        <v>69</v>
      </c>
      <c r="C13" s="76" t="s">
        <v>65</v>
      </c>
      <c r="D13" s="77" t="str">
        <f t="shared" si="1"/>
        <v>2.9.6</v>
      </c>
      <c r="E13" s="57" t="s">
        <v>70</v>
      </c>
      <c r="F13" s="73" t="s">
        <v>76</v>
      </c>
      <c r="G13" s="73">
        <v>1</v>
      </c>
      <c r="H13" s="74">
        <v>207000</v>
      </c>
      <c r="I13" s="75">
        <f t="shared" si="0"/>
        <v>207000</v>
      </c>
    </row>
    <row r="16" spans="1:9" x14ac:dyDescent="0.2">
      <c r="B16" s="42" t="s">
        <v>14</v>
      </c>
      <c r="C16" s="43"/>
      <c r="D16" s="43"/>
      <c r="E16" s="44"/>
    </row>
    <row r="17" spans="2:5" ht="5.25" customHeight="1" x14ac:dyDescent="0.2">
      <c r="B17" s="45"/>
      <c r="C17" s="46"/>
      <c r="D17" s="46"/>
      <c r="E17" s="47"/>
    </row>
    <row r="18" spans="2:5" x14ac:dyDescent="0.2">
      <c r="B18" s="48" t="s">
        <v>15</v>
      </c>
      <c r="C18" s="46"/>
      <c r="D18" s="46"/>
      <c r="E18" s="47"/>
    </row>
    <row r="19" spans="2:5" ht="41.25" customHeight="1" x14ac:dyDescent="0.2">
      <c r="B19" s="48"/>
      <c r="C19" s="83" t="s">
        <v>71</v>
      </c>
      <c r="D19" s="83"/>
      <c r="E19" s="84"/>
    </row>
    <row r="20" spans="2:5" x14ac:dyDescent="0.2">
      <c r="B20" s="48" t="s">
        <v>16</v>
      </c>
      <c r="C20" s="46"/>
      <c r="D20" s="46"/>
      <c r="E20" s="47"/>
    </row>
    <row r="21" spans="2:5" ht="23.25" customHeight="1" x14ac:dyDescent="0.2">
      <c r="B21" s="49"/>
      <c r="C21" s="85" t="s">
        <v>82</v>
      </c>
      <c r="D21" s="85"/>
      <c r="E21" s="85"/>
    </row>
    <row r="22" spans="2:5" x14ac:dyDescent="0.2">
      <c r="B22" s="49"/>
      <c r="C22" s="86"/>
      <c r="D22" s="86"/>
      <c r="E22" s="86"/>
    </row>
    <row r="23" spans="2:5" x14ac:dyDescent="0.2">
      <c r="B23" s="48" t="s">
        <v>17</v>
      </c>
      <c r="C23" s="46"/>
      <c r="D23" s="46"/>
      <c r="E23" s="47"/>
    </row>
    <row r="24" spans="2:5" ht="26.25" customHeight="1" x14ac:dyDescent="0.2">
      <c r="B24" s="49"/>
      <c r="C24" s="88"/>
      <c r="D24" s="88"/>
      <c r="E24" s="88"/>
    </row>
    <row r="25" spans="2:5" x14ac:dyDescent="0.2">
      <c r="B25" s="48" t="s">
        <v>18</v>
      </c>
      <c r="C25" s="50"/>
      <c r="D25" s="50"/>
      <c r="E25" s="51"/>
    </row>
    <row r="26" spans="2:5" ht="26.25" customHeight="1" x14ac:dyDescent="0.2">
      <c r="B26" s="49"/>
      <c r="C26" s="89" t="s">
        <v>58</v>
      </c>
      <c r="D26" s="89"/>
      <c r="E26" s="89"/>
    </row>
    <row r="27" spans="2:5" x14ac:dyDescent="0.2">
      <c r="B27" s="48" t="s">
        <v>19</v>
      </c>
      <c r="C27" s="46"/>
      <c r="D27" s="46"/>
      <c r="E27" s="47"/>
    </row>
    <row r="28" spans="2:5" ht="23.25" customHeight="1" x14ac:dyDescent="0.2">
      <c r="B28" s="48"/>
      <c r="C28" s="90"/>
      <c r="D28" s="90"/>
      <c r="E28" s="90"/>
    </row>
    <row r="29" spans="2:5" ht="13.5" thickBot="1" x14ac:dyDescent="0.25">
      <c r="B29" s="52"/>
      <c r="C29" s="53"/>
      <c r="D29" s="53"/>
      <c r="E29" s="54"/>
    </row>
    <row r="30" spans="2:5" x14ac:dyDescent="0.2">
      <c r="B30" s="79"/>
      <c r="C30" s="46"/>
      <c r="D30" s="46"/>
      <c r="E30" s="46"/>
    </row>
    <row r="31" spans="2:5" ht="13.5" thickBot="1" x14ac:dyDescent="0.25">
      <c r="B31" s="79"/>
      <c r="C31" s="46"/>
      <c r="D31" s="46"/>
      <c r="E31" s="46"/>
    </row>
    <row r="32" spans="2:5" x14ac:dyDescent="0.2">
      <c r="B32" s="42" t="s">
        <v>88</v>
      </c>
      <c r="C32" s="43"/>
      <c r="D32" s="43"/>
      <c r="E32" s="44"/>
    </row>
    <row r="33" spans="2:5" x14ac:dyDescent="0.2">
      <c r="B33" s="45"/>
      <c r="C33" s="46"/>
      <c r="D33" s="46"/>
      <c r="E33" s="47"/>
    </row>
    <row r="34" spans="2:5" x14ac:dyDescent="0.2">
      <c r="B34" s="48" t="s">
        <v>15</v>
      </c>
      <c r="C34" s="46"/>
      <c r="D34" s="46"/>
      <c r="E34" s="47"/>
    </row>
    <row r="35" spans="2:5" ht="21" customHeight="1" x14ac:dyDescent="0.2">
      <c r="B35" s="48"/>
      <c r="C35" s="83" t="s">
        <v>89</v>
      </c>
      <c r="D35" s="83"/>
      <c r="E35" s="84"/>
    </row>
    <row r="36" spans="2:5" x14ac:dyDescent="0.2">
      <c r="B36" s="48" t="s">
        <v>16</v>
      </c>
      <c r="C36" s="46"/>
      <c r="D36" s="46"/>
      <c r="E36" s="47"/>
    </row>
    <row r="37" spans="2:5" ht="26.25" customHeight="1" x14ac:dyDescent="0.2">
      <c r="B37" s="49"/>
      <c r="C37" s="85" t="s">
        <v>82</v>
      </c>
      <c r="D37" s="85"/>
      <c r="E37" s="85"/>
    </row>
    <row r="38" spans="2:5" x14ac:dyDescent="0.2">
      <c r="B38" s="49"/>
      <c r="C38" s="87"/>
      <c r="D38" s="87"/>
      <c r="E38" s="87"/>
    </row>
    <row r="39" spans="2:5" x14ac:dyDescent="0.2">
      <c r="B39" s="48" t="s">
        <v>17</v>
      </c>
      <c r="C39" s="46"/>
      <c r="D39" s="46"/>
      <c r="E39" s="47"/>
    </row>
    <row r="40" spans="2:5" x14ac:dyDescent="0.2">
      <c r="B40" s="49"/>
      <c r="C40" s="88"/>
      <c r="D40" s="88"/>
      <c r="E40" s="88"/>
    </row>
    <row r="41" spans="2:5" x14ac:dyDescent="0.2">
      <c r="B41" s="48" t="s">
        <v>18</v>
      </c>
      <c r="C41" s="50"/>
      <c r="D41" s="50"/>
      <c r="E41" s="51"/>
    </row>
    <row r="42" spans="2:5" x14ac:dyDescent="0.2">
      <c r="B42" s="49"/>
      <c r="C42" s="89" t="s">
        <v>58</v>
      </c>
      <c r="D42" s="89"/>
      <c r="E42" s="89"/>
    </row>
    <row r="43" spans="2:5" x14ac:dyDescent="0.2">
      <c r="B43" s="48" t="s">
        <v>19</v>
      </c>
      <c r="C43" s="46"/>
      <c r="D43" s="46"/>
      <c r="E43" s="47"/>
    </row>
    <row r="44" spans="2:5" x14ac:dyDescent="0.2">
      <c r="B44" s="48"/>
      <c r="C44" s="90"/>
      <c r="D44" s="90"/>
      <c r="E44" s="90"/>
    </row>
    <row r="45" spans="2:5" ht="13.5" thickBot="1" x14ac:dyDescent="0.25">
      <c r="B45" s="52"/>
      <c r="C45" s="53"/>
      <c r="D45" s="53"/>
      <c r="E45" s="54"/>
    </row>
    <row r="46" spans="2:5" x14ac:dyDescent="0.2">
      <c r="B46" s="79"/>
      <c r="C46" s="46"/>
      <c r="D46" s="46"/>
      <c r="E46" s="46"/>
    </row>
    <row r="47" spans="2:5" ht="13.5" thickBot="1" x14ac:dyDescent="0.25"/>
    <row r="48" spans="2:5" x14ac:dyDescent="0.2">
      <c r="B48" s="42" t="s">
        <v>73</v>
      </c>
      <c r="C48" s="43"/>
      <c r="D48" s="43"/>
      <c r="E48" s="44"/>
    </row>
    <row r="49" spans="2:5" ht="7.5" customHeight="1" x14ac:dyDescent="0.2">
      <c r="B49" s="45"/>
      <c r="C49" s="46"/>
      <c r="D49" s="46"/>
      <c r="E49" s="47"/>
    </row>
    <row r="50" spans="2:5" x14ac:dyDescent="0.2">
      <c r="B50" s="48" t="s">
        <v>15</v>
      </c>
      <c r="C50" s="46"/>
      <c r="D50" s="46"/>
      <c r="E50" s="47"/>
    </row>
    <row r="51" spans="2:5" ht="39" customHeight="1" x14ac:dyDescent="0.2">
      <c r="B51" s="48"/>
      <c r="C51" s="83" t="s">
        <v>74</v>
      </c>
      <c r="D51" s="83"/>
      <c r="E51" s="84"/>
    </row>
    <row r="52" spans="2:5" x14ac:dyDescent="0.2">
      <c r="B52" s="48" t="s">
        <v>16</v>
      </c>
      <c r="C52" s="46"/>
      <c r="D52" s="46"/>
      <c r="E52" s="47"/>
    </row>
    <row r="53" spans="2:5" ht="26.25" customHeight="1" x14ac:dyDescent="0.2">
      <c r="B53" s="49"/>
      <c r="C53" s="85" t="s">
        <v>82</v>
      </c>
      <c r="D53" s="85"/>
      <c r="E53" s="85"/>
    </row>
    <row r="54" spans="2:5" x14ac:dyDescent="0.2">
      <c r="B54" s="49"/>
      <c r="C54" s="87"/>
      <c r="D54" s="87"/>
      <c r="E54" s="87"/>
    </row>
    <row r="55" spans="2:5" x14ac:dyDescent="0.2">
      <c r="B55" s="48" t="s">
        <v>17</v>
      </c>
      <c r="C55" s="46"/>
      <c r="D55" s="46"/>
      <c r="E55" s="47"/>
    </row>
    <row r="56" spans="2:5" x14ac:dyDescent="0.2">
      <c r="B56" s="49"/>
      <c r="C56" s="88"/>
      <c r="D56" s="88"/>
      <c r="E56" s="88"/>
    </row>
    <row r="57" spans="2:5" x14ac:dyDescent="0.2">
      <c r="B57" s="48" t="s">
        <v>18</v>
      </c>
      <c r="C57" s="50"/>
      <c r="D57" s="50"/>
      <c r="E57" s="51"/>
    </row>
    <row r="58" spans="2:5" x14ac:dyDescent="0.2">
      <c r="B58" s="49"/>
      <c r="C58" s="89" t="s">
        <v>58</v>
      </c>
      <c r="D58" s="89"/>
      <c r="E58" s="89"/>
    </row>
    <row r="59" spans="2:5" x14ac:dyDescent="0.2">
      <c r="B59" s="48" t="s">
        <v>19</v>
      </c>
      <c r="C59" s="46"/>
      <c r="D59" s="46"/>
      <c r="E59" s="47"/>
    </row>
    <row r="60" spans="2:5" x14ac:dyDescent="0.2">
      <c r="B60" s="48"/>
      <c r="C60" s="90"/>
      <c r="D60" s="90"/>
      <c r="E60" s="90"/>
    </row>
    <row r="61" spans="2:5" x14ac:dyDescent="0.2">
      <c r="B61" s="52"/>
      <c r="C61" s="53"/>
      <c r="D61" s="53"/>
      <c r="E61" s="54"/>
    </row>
    <row r="62" spans="2:5" ht="13.5" thickBot="1" x14ac:dyDescent="0.25"/>
    <row r="63" spans="2:5" x14ac:dyDescent="0.2">
      <c r="B63" s="42" t="s">
        <v>72</v>
      </c>
      <c r="C63" s="43"/>
      <c r="D63" s="43"/>
      <c r="E63" s="44"/>
    </row>
    <row r="64" spans="2:5" ht="7.5" customHeight="1" x14ac:dyDescent="0.2">
      <c r="B64" s="45"/>
      <c r="C64" s="46"/>
      <c r="D64" s="46"/>
      <c r="E64" s="47"/>
    </row>
    <row r="65" spans="2:5" x14ac:dyDescent="0.2">
      <c r="B65" s="48" t="s">
        <v>15</v>
      </c>
      <c r="C65" s="46"/>
      <c r="D65" s="46"/>
      <c r="E65" s="47"/>
    </row>
    <row r="66" spans="2:5" ht="39" customHeight="1" x14ac:dyDescent="0.2">
      <c r="B66" s="48"/>
      <c r="C66" s="83" t="s">
        <v>75</v>
      </c>
      <c r="D66" s="83"/>
      <c r="E66" s="84"/>
    </row>
    <row r="67" spans="2:5" x14ac:dyDescent="0.2">
      <c r="B67" s="48" t="s">
        <v>16</v>
      </c>
      <c r="C67" s="46"/>
      <c r="D67" s="46"/>
      <c r="E67" s="47"/>
    </row>
    <row r="68" spans="2:5" ht="24" customHeight="1" x14ac:dyDescent="0.2">
      <c r="B68" s="49"/>
      <c r="C68" s="85" t="s">
        <v>82</v>
      </c>
      <c r="D68" s="85"/>
      <c r="E68" s="85"/>
    </row>
    <row r="69" spans="2:5" x14ac:dyDescent="0.2">
      <c r="B69" s="49"/>
      <c r="C69" s="87"/>
      <c r="D69" s="87"/>
      <c r="E69" s="87"/>
    </row>
    <row r="70" spans="2:5" x14ac:dyDescent="0.2">
      <c r="B70" s="48" t="s">
        <v>17</v>
      </c>
      <c r="C70" s="46"/>
      <c r="D70" s="46"/>
      <c r="E70" s="47"/>
    </row>
    <row r="71" spans="2:5" x14ac:dyDescent="0.2">
      <c r="B71" s="49"/>
      <c r="C71" s="88"/>
      <c r="D71" s="88"/>
      <c r="E71" s="88"/>
    </row>
    <row r="72" spans="2:5" x14ac:dyDescent="0.2">
      <c r="B72" s="48" t="s">
        <v>18</v>
      </c>
      <c r="C72" s="50"/>
      <c r="D72" s="50"/>
      <c r="E72" s="51"/>
    </row>
    <row r="73" spans="2:5" x14ac:dyDescent="0.2">
      <c r="B73" s="49"/>
      <c r="C73" s="89" t="s">
        <v>58</v>
      </c>
      <c r="D73" s="89"/>
      <c r="E73" s="89"/>
    </row>
    <row r="74" spans="2:5" x14ac:dyDescent="0.2">
      <c r="B74" s="48" t="s">
        <v>19</v>
      </c>
      <c r="C74" s="46"/>
      <c r="D74" s="46"/>
      <c r="E74" s="47"/>
    </row>
    <row r="75" spans="2:5" x14ac:dyDescent="0.2">
      <c r="B75" s="48"/>
      <c r="C75" s="90"/>
      <c r="D75" s="90"/>
      <c r="E75" s="90"/>
    </row>
    <row r="76" spans="2:5" ht="13.5" thickBot="1" x14ac:dyDescent="0.25">
      <c r="B76" s="52"/>
      <c r="C76" s="53"/>
      <c r="D76" s="53"/>
      <c r="E76" s="54"/>
    </row>
  </sheetData>
  <mergeCells count="31">
    <mergeCell ref="C75:E75"/>
    <mergeCell ref="C66:E66"/>
    <mergeCell ref="C68:E68"/>
    <mergeCell ref="C69:E69"/>
    <mergeCell ref="C71:E71"/>
    <mergeCell ref="C73:E73"/>
    <mergeCell ref="C54:E54"/>
    <mergeCell ref="C56:E56"/>
    <mergeCell ref="C58:E58"/>
    <mergeCell ref="C60:E60"/>
    <mergeCell ref="C24:E24"/>
    <mergeCell ref="C26:E26"/>
    <mergeCell ref="C28:E28"/>
    <mergeCell ref="C51:E51"/>
    <mergeCell ref="C53:E53"/>
    <mergeCell ref="C35:E35"/>
    <mergeCell ref="C37:E37"/>
    <mergeCell ref="C38:E38"/>
    <mergeCell ref="C40:E40"/>
    <mergeCell ref="C42:E42"/>
    <mergeCell ref="C44:E44"/>
    <mergeCell ref="A6:B6"/>
    <mergeCell ref="A7:B7"/>
    <mergeCell ref="C19:E19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70" zoomScaleNormal="70" workbookViewId="0">
      <selection activeCell="H13" sqref="H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" style="2" customWidth="1"/>
    <col min="10" max="10" width="13.140625" style="2" customWidth="1"/>
    <col min="11" max="11" width="40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1" t="s">
        <v>86</v>
      </c>
      <c r="B1" s="91"/>
      <c r="C1" s="91"/>
      <c r="D1" s="91"/>
      <c r="E1" s="91"/>
      <c r="F1" s="91"/>
      <c r="G1" s="91"/>
      <c r="H1" s="91"/>
      <c r="I1" s="91"/>
      <c r="J1" s="3" t="s">
        <v>20</v>
      </c>
      <c r="K1" s="78" t="s">
        <v>87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2" t="s">
        <v>53</v>
      </c>
      <c r="B3" s="92"/>
      <c r="C3" s="92"/>
      <c r="D3" s="93" t="str">
        <f>'Necesidades Trimestrales'!C4</f>
        <v>40 - Ministerio de Salud</v>
      </c>
      <c r="E3" s="93"/>
      <c r="F3" s="93"/>
      <c r="G3" s="93"/>
      <c r="H3" s="93"/>
      <c r="I3" s="93"/>
      <c r="J3" s="93"/>
      <c r="K3" s="93"/>
    </row>
    <row r="4" spans="1:1024" ht="18.75" customHeight="1" thickBot="1" x14ac:dyDescent="0.25">
      <c r="A4" s="94" t="s">
        <v>54</v>
      </c>
      <c r="B4" s="94"/>
      <c r="C4" s="94"/>
      <c r="D4" s="93" t="str">
        <f>'Necesidades Trimestrales'!C5</f>
        <v>23 - Hospital Interzonal San Juan Bautista</v>
      </c>
      <c r="E4" s="93"/>
      <c r="F4" s="93"/>
      <c r="G4" s="93"/>
      <c r="H4" s="93"/>
      <c r="I4" s="93"/>
      <c r="J4" s="93"/>
      <c r="K4" s="93"/>
    </row>
    <row r="5" spans="1:1024" ht="18.75" customHeight="1" thickBot="1" x14ac:dyDescent="0.25">
      <c r="A5" s="94" t="s">
        <v>32</v>
      </c>
      <c r="B5" s="94"/>
      <c r="C5" s="94"/>
      <c r="D5" s="93" t="s">
        <v>85</v>
      </c>
      <c r="E5" s="93"/>
      <c r="F5" s="93"/>
      <c r="G5" s="93"/>
      <c r="H5" s="93"/>
      <c r="I5" s="93"/>
      <c r="J5" s="93"/>
      <c r="K5" s="93"/>
    </row>
    <row r="6" spans="1:1024" ht="16.5" customHeight="1" thickBot="1" x14ac:dyDescent="0.25">
      <c r="A6" s="92" t="s">
        <v>55</v>
      </c>
      <c r="B6" s="92"/>
      <c r="C6" s="92"/>
      <c r="D6" s="93" t="s">
        <v>77</v>
      </c>
      <c r="E6" s="93"/>
      <c r="F6" s="93"/>
      <c r="G6" s="93"/>
      <c r="H6" s="93"/>
      <c r="I6" s="93"/>
      <c r="J6" s="93"/>
      <c r="K6" s="93"/>
    </row>
    <row r="7" spans="1:1024" ht="16.5" customHeight="1" x14ac:dyDescent="0.2">
      <c r="A7" s="94" t="s">
        <v>21</v>
      </c>
      <c r="B7" s="94"/>
      <c r="C7" s="94"/>
      <c r="D7" s="93" t="str">
        <f>'Necesidades Trimestrales'!C7 &amp; "° Trimestre - Año " &amp; 'Necesidades Trimestrales'!C6</f>
        <v>3° Trimestre - Año 2022</v>
      </c>
      <c r="E7" s="93"/>
      <c r="F7" s="93"/>
      <c r="G7" s="93"/>
      <c r="H7" s="93"/>
      <c r="I7" s="93"/>
      <c r="J7" s="93"/>
      <c r="K7" s="93"/>
    </row>
    <row r="8" spans="1:1024" ht="16.5" customHeight="1" x14ac:dyDescent="0.2">
      <c r="A8" s="96" t="s">
        <v>22</v>
      </c>
      <c r="B8" s="96"/>
      <c r="C8" s="96"/>
      <c r="D8" s="97" t="s">
        <v>78</v>
      </c>
      <c r="E8" s="97"/>
      <c r="F8" s="97"/>
      <c r="G8" s="97"/>
      <c r="H8" s="97"/>
      <c r="I8" s="97"/>
      <c r="J8" s="97"/>
      <c r="K8" s="97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8" t="s">
        <v>23</v>
      </c>
      <c r="B10" s="99" t="s">
        <v>24</v>
      </c>
      <c r="C10" s="99" t="s">
        <v>25</v>
      </c>
      <c r="D10" s="99"/>
      <c r="E10" s="99"/>
      <c r="F10" s="99"/>
      <c r="G10" s="99"/>
      <c r="H10" s="99" t="s">
        <v>26</v>
      </c>
      <c r="I10" s="99" t="s">
        <v>27</v>
      </c>
      <c r="J10" s="99" t="s">
        <v>28</v>
      </c>
      <c r="K10" s="100" t="s">
        <v>29</v>
      </c>
    </row>
    <row r="11" spans="1:1024" ht="24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024" ht="51" customHeight="1" thickBot="1" x14ac:dyDescent="0.25">
      <c r="A12" s="8">
        <v>1</v>
      </c>
      <c r="B12" s="60" t="str">
        <f>'Necesidades Trimestrales'!B10</f>
        <v>3.3.3-2440.85</v>
      </c>
      <c r="C12" s="101" t="str">
        <f>'Necesidades Trimestrales'!E10</f>
        <v>MANT. Y REP. DE EQ. MEDICOS, CRITERIO SOCIAL: SIN, DESCRIPCION: VIDEODUODENOSCOPIO</v>
      </c>
      <c r="D12" s="101"/>
      <c r="E12" s="101"/>
      <c r="F12" s="101"/>
      <c r="G12" s="101"/>
      <c r="H12" s="61" t="s">
        <v>79</v>
      </c>
      <c r="I12" s="62" t="str">
        <f>'Necesidades Trimestrales'!F10</f>
        <v>UNIDAD</v>
      </c>
      <c r="J12" s="63">
        <f>'Necesidades Trimestrales'!H10</f>
        <v>214000</v>
      </c>
      <c r="K12" s="64">
        <f>'Necesidades Trimestrales'!G10</f>
        <v>1</v>
      </c>
    </row>
    <row r="13" spans="1:1024" ht="51" customHeight="1" thickBot="1" x14ac:dyDescent="0.25">
      <c r="A13" s="8">
        <v>2</v>
      </c>
      <c r="B13" s="60" t="str">
        <f>'Necesidades Trimestrales'!B11</f>
        <v>2.9.6-8875.272</v>
      </c>
      <c r="C13" s="101" t="str">
        <f>'Necesidades Trimestrales'!E11</f>
        <v>REP. Y ACC. P/EQUIPO MEDICO; USO: VIDEODUODENOSCOPIO, MARCA EQUIPO: PENTAX, ELEMENTO: BIOPSY CHANNEL (CANAL DE BIOPSIA), CARACTERISTICAS: SEGÚN PLIEGO, MODELO EQUIPO: ED3490TK</v>
      </c>
      <c r="D13" s="101"/>
      <c r="E13" s="101"/>
      <c r="F13" s="101"/>
      <c r="G13" s="101"/>
      <c r="H13" s="61" t="s">
        <v>79</v>
      </c>
      <c r="I13" s="62" t="str">
        <f>'Necesidades Trimestrales'!F11</f>
        <v>UNIDAD</v>
      </c>
      <c r="J13" s="63">
        <f>'Necesidades Trimestrales'!H11</f>
        <v>84000</v>
      </c>
      <c r="K13" s="64">
        <f>'Necesidades Trimestrales'!G11</f>
        <v>1</v>
      </c>
    </row>
    <row r="14" spans="1:1024" ht="51" customHeight="1" thickBot="1" x14ac:dyDescent="0.25">
      <c r="A14" s="8">
        <v>3</v>
      </c>
      <c r="B14" s="60" t="str">
        <f>'Necesidades Trimestrales'!B12</f>
        <v>2.9.6-8875.273</v>
      </c>
      <c r="C14" s="101" t="str">
        <f>'Necesidades Trimestrales'!E12</f>
        <v>REP. Y ACC. P/EQUIPO MEDICO; USO: VIDEODUODENOSCOPIO, MARCA EQUIPO: PENTAX, ELEMENTO: BENDING RUBBER (RIENDA DE GOMA), CARACTERISTICAS: SEGÚN PLIEGO, MODELO EQUIPO: ED3490TK</v>
      </c>
      <c r="D14" s="101"/>
      <c r="E14" s="101"/>
      <c r="F14" s="101"/>
      <c r="G14" s="101"/>
      <c r="H14" s="61" t="s">
        <v>79</v>
      </c>
      <c r="I14" s="62" t="str">
        <f>'Necesidades Trimestrales'!F12</f>
        <v>UNIDAD</v>
      </c>
      <c r="J14" s="63">
        <f>'Necesidades Trimestrales'!H12</f>
        <v>20200</v>
      </c>
      <c r="K14" s="64">
        <f>'Necesidades Trimestrales'!G12</f>
        <v>1</v>
      </c>
    </row>
    <row r="15" spans="1:1024" ht="51" customHeight="1" thickBot="1" x14ac:dyDescent="0.25">
      <c r="A15" s="8">
        <v>4</v>
      </c>
      <c r="B15" s="60" t="str">
        <f>'Necesidades Trimestrales'!B13</f>
        <v>2.9.6-8875.274</v>
      </c>
      <c r="C15" s="101" t="str">
        <f>'Necesidades Trimestrales'!E13</f>
        <v>REP. Y ACC. P/EQUIPO MEDICO; USO: VIDEODUODENOSCOPIO, MARCA EQUIPO: PENTAX, ELEMENTO: TUBO DE INSERCION, CARACTERISTICAS: SEGÚN PLIEGO, MODELO EQUIPO: ED3490TK</v>
      </c>
      <c r="D15" s="101"/>
      <c r="E15" s="101"/>
      <c r="F15" s="101"/>
      <c r="G15" s="101"/>
      <c r="H15" s="61" t="s">
        <v>79</v>
      </c>
      <c r="I15" s="62" t="str">
        <f>'Necesidades Trimestrales'!F13</f>
        <v>UNIDAD</v>
      </c>
      <c r="J15" s="63">
        <f>'Necesidades Trimestrales'!H13</f>
        <v>207000</v>
      </c>
      <c r="K15" s="64">
        <f>'Necesidades Trimestrales'!G13</f>
        <v>1</v>
      </c>
    </row>
    <row r="16" spans="1:1024" ht="20.25" customHeight="1" thickBot="1" x14ac:dyDescent="0.25">
      <c r="A16" s="102" t="s">
        <v>81</v>
      </c>
      <c r="B16" s="102"/>
      <c r="C16" s="102"/>
      <c r="D16" s="102"/>
      <c r="E16" s="102"/>
      <c r="F16" s="102"/>
      <c r="G16" s="102"/>
      <c r="H16" s="102"/>
      <c r="I16" s="102"/>
      <c r="J16" s="95">
        <f>SUMPRODUCT(J12:J15,K12:K15)</f>
        <v>525200</v>
      </c>
      <c r="K16" s="95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</sheetData>
  <mergeCells count="26">
    <mergeCell ref="J16:K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A16:I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7" zoomScale="130" zoomScaleNormal="130" workbookViewId="0">
      <selection activeCell="O19" sqref="O19:P19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3" t="s">
        <v>3</v>
      </c>
      <c r="B1" s="103"/>
      <c r="C1" s="103"/>
      <c r="D1" s="104">
        <f>'Necesidades Trimestrales'!C6</f>
        <v>2022</v>
      </c>
      <c r="E1" s="104"/>
      <c r="F1" s="10"/>
      <c r="G1" s="10"/>
      <c r="H1" s="11"/>
      <c r="I1" s="11"/>
      <c r="J1" s="11"/>
      <c r="K1" s="11"/>
      <c r="L1" s="11"/>
      <c r="M1" s="11"/>
      <c r="N1" s="11"/>
      <c r="P1" s="105" t="s">
        <v>30</v>
      </c>
      <c r="Q1" s="10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5"/>
      <c r="Q2" s="105"/>
    </row>
    <row r="4" spans="1:17" s="12" customFormat="1" ht="18" customHeight="1" thickBot="1" x14ac:dyDescent="0.25">
      <c r="A4" s="106" t="s">
        <v>31</v>
      </c>
      <c r="B4" s="106"/>
      <c r="C4" s="106"/>
      <c r="D4" s="106"/>
      <c r="E4" s="106"/>
      <c r="F4" s="106"/>
      <c r="G4" s="107" t="str">
        <f>NotaPedido!D3</f>
        <v>40 - Ministerio de Salud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s="12" customFormat="1" ht="18" customHeight="1" thickBot="1" x14ac:dyDescent="0.25">
      <c r="A5" s="108" t="s">
        <v>54</v>
      </c>
      <c r="B5" s="109"/>
      <c r="C5" s="109"/>
      <c r="D5" s="109"/>
      <c r="E5" s="109"/>
      <c r="F5" s="110"/>
      <c r="G5" s="107" t="str">
        <f>NotaPedido!D4</f>
        <v>23 - Hospital Interzonal San Juan Bautista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s="12" customFormat="1" ht="18" customHeight="1" thickBot="1" x14ac:dyDescent="0.25">
      <c r="A6" s="108" t="s">
        <v>32</v>
      </c>
      <c r="B6" s="109"/>
      <c r="C6" s="109"/>
      <c r="D6" s="109"/>
      <c r="E6" s="109"/>
      <c r="F6" s="110"/>
      <c r="G6" s="107" t="str">
        <f>NotaPedido!D5</f>
        <v>237 - Direccion de Mantenimiento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s="12" customFormat="1" ht="18" customHeight="1" thickBot="1" x14ac:dyDescent="0.25">
      <c r="A7" s="108" t="s">
        <v>55</v>
      </c>
      <c r="B7" s="109"/>
      <c r="C7" s="109"/>
      <c r="D7" s="109"/>
      <c r="E7" s="109"/>
      <c r="F7" s="110"/>
      <c r="G7" s="107" t="str">
        <f>NotaPedido!D6</f>
        <v>Departamento Electromedicina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</row>
    <row r="8" spans="1:17" ht="18" customHeight="1" thickBot="1" x14ac:dyDescent="0.25">
      <c r="A8" s="111" t="s">
        <v>33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12" t="s">
        <v>34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DOCFI-2022-01118164-CAT-DMAN#HSJB,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35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36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37</v>
      </c>
      <c r="P13" s="116"/>
      <c r="Q13" s="117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6"/>
      <c r="P14" s="116"/>
      <c r="Q14" s="117"/>
    </row>
    <row r="15" spans="1:17" ht="17.25" customHeight="1" x14ac:dyDescent="0.2">
      <c r="A15" s="67">
        <v>33</v>
      </c>
      <c r="B15" s="68"/>
      <c r="C15" s="68"/>
      <c r="D15" s="68">
        <v>4</v>
      </c>
      <c r="E15" s="68"/>
      <c r="F15" s="68">
        <v>4901</v>
      </c>
      <c r="G15" s="68">
        <v>3</v>
      </c>
      <c r="H15" s="69" t="s">
        <v>59</v>
      </c>
      <c r="I15" s="70">
        <v>2</v>
      </c>
      <c r="J15" s="70">
        <v>9</v>
      </c>
      <c r="K15" s="70">
        <v>6</v>
      </c>
      <c r="L15" s="68"/>
      <c r="M15" s="71">
        <v>1</v>
      </c>
      <c r="N15" s="69" t="s">
        <v>60</v>
      </c>
      <c r="O15" s="118" t="s">
        <v>80</v>
      </c>
      <c r="P15" s="118"/>
      <c r="Q15" s="23">
        <v>311200</v>
      </c>
    </row>
    <row r="16" spans="1:17" ht="17.25" customHeight="1" x14ac:dyDescent="0.2">
      <c r="A16" s="24">
        <v>33</v>
      </c>
      <c r="B16" s="25"/>
      <c r="C16" s="25"/>
      <c r="D16" s="25">
        <v>4</v>
      </c>
      <c r="E16" s="25"/>
      <c r="F16" s="25">
        <v>4901</v>
      </c>
      <c r="G16" s="25">
        <v>3</v>
      </c>
      <c r="H16" s="65" t="s">
        <v>59</v>
      </c>
      <c r="I16" s="25">
        <v>3</v>
      </c>
      <c r="J16" s="25">
        <v>3</v>
      </c>
      <c r="K16" s="25">
        <v>3</v>
      </c>
      <c r="L16" s="25"/>
      <c r="M16" s="26">
        <v>1</v>
      </c>
      <c r="N16" s="66" t="s">
        <v>60</v>
      </c>
      <c r="O16" s="119" t="s">
        <v>83</v>
      </c>
      <c r="P16" s="120"/>
      <c r="Q16" s="28">
        <v>214000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5"/>
      <c r="I17" s="25"/>
      <c r="J17" s="25"/>
      <c r="K17" s="25"/>
      <c r="L17" s="25"/>
      <c r="M17" s="26"/>
      <c r="N17" s="66"/>
      <c r="O17" s="121"/>
      <c r="P17" s="121"/>
      <c r="Q17" s="28"/>
      <c r="S17" s="72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5"/>
      <c r="I18" s="25"/>
      <c r="J18" s="25"/>
      <c r="K18" s="25"/>
      <c r="L18" s="25"/>
      <c r="M18" s="26"/>
      <c r="N18" s="66"/>
      <c r="O18" s="122"/>
      <c r="P18" s="123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3"/>
      <c r="P19" s="123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29"/>
      <c r="P20" s="129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30"/>
      <c r="P21" s="130"/>
      <c r="Q21" s="37"/>
    </row>
    <row r="22" spans="1:19" ht="20.25" customHeight="1" x14ac:dyDescent="0.2">
      <c r="A22" s="131" t="s">
        <v>84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38">
        <f>SUM(Q15:Q21)</f>
        <v>525200</v>
      </c>
    </row>
    <row r="23" spans="1:19" ht="18" customHeight="1" thickBot="1" x14ac:dyDescent="0.25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</row>
    <row r="24" spans="1:19" ht="17.25" customHeight="1" thickBot="1" x14ac:dyDescent="0.25">
      <c r="A24" s="124" t="s">
        <v>52</v>
      </c>
      <c r="B24" s="125"/>
      <c r="C24" s="125"/>
      <c r="D24" s="125"/>
      <c r="E24" s="125"/>
      <c r="F24" s="126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9" ht="18" customHeight="1" thickBot="1" x14ac:dyDescent="0.25">
      <c r="A25" s="128" t="str">
        <f>"Para la "&amp; NotaPedido!D8 &amp;" para ser destinados al " &amp; NotaPedido!D6 &amp;"  del HISJB del Ministerio de Salud."</f>
        <v>Para la Adquisición de Reparacion y Repuestos para Videoduodenoscopio para ser destinados al Departamento Electromedicina  del HISJB del Ministerio de Salud.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1:19" ht="15" customHeight="1" x14ac:dyDescent="0.2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6" right="0.1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2022-05-04T12:30:04Z</cp:lastPrinted>
  <dcterms:created xsi:type="dcterms:W3CDTF">2020-07-17T23:44:49Z</dcterms:created>
  <dcterms:modified xsi:type="dcterms:W3CDTF">2022-07-04T16:07:36Z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