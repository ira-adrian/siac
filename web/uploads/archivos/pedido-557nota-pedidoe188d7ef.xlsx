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NEP\Medicamentos\4to Trim 2022\"/>
    </mc:Choice>
  </mc:AlternateContent>
  <xr:revisionPtr revIDLastSave="0" documentId="13_ncr:1_{7A28DBD4-EF71-4FA3-899F-FA1EA8AD14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Pedido HNEP" sheetId="2" r:id="rId2"/>
    <sheet name="APG HNEP" sheetId="3" r:id="rId3"/>
  </sheets>
  <definedNames>
    <definedName name="_xlnm._FilterDatabase" localSheetId="0" hidden="1">'Necesidades Trimestrales'!$A$9:$J$78</definedName>
    <definedName name="_xlnm.Print_Area" localSheetId="2">'APG HNEP'!$A$1:$Q$24</definedName>
    <definedName name="_xlnm.Print_Area" localSheetId="1">'Nota Pedido HNEP'!$A$1:$G$93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8" i="3" l="1"/>
  <c r="F84" i="2"/>
  <c r="I81" i="1"/>
</calcChain>
</file>

<file path=xl/sharedStrings.xml><?xml version="1.0" encoding="utf-8"?>
<sst xmlns="http://schemas.openxmlformats.org/spreadsheetml/2006/main" count="718" uniqueCount="233">
  <si>
    <t>Pedido de Necesidades Trimestrales</t>
  </si>
  <si>
    <t>JURISDICCION:</t>
  </si>
  <si>
    <t>40 - MINISTERIO DE SALUD</t>
  </si>
  <si>
    <t xml:space="preserve">SAF N°: </t>
  </si>
  <si>
    <t>24 - Direccion de Administracion del Hospital Interzonal De Niños de Eva Peron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</si>
  <si>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</si>
  <si>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</si>
  <si>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</si>
  <si>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</si>
  <si>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</si>
  <si>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</si>
  <si>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</si>
  <si>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</si>
  <si>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</si>
  <si>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</si>
  <si>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</si>
  <si>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</si>
  <si>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</si>
  <si>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2.5.2-1724.16</t>
  </si>
  <si>
    <t>PROD. MEDICO/FARMACEUTICOS/LAB</t>
  </si>
  <si>
    <t>2.5.2</t>
  </si>
  <si>
    <t>ANALGESICOS; TIPO: MONODROGA, DROGA GENERICA: ACIDO ACETILSALICILICO, PRESENTACION: 100 MGR, FORMA FARMACEUTICA: COMPRIMIDO</t>
  </si>
  <si>
    <t>COMPRIMIDO</t>
  </si>
  <si>
    <t>2.5.2-1725.68</t>
  </si>
  <si>
    <t>ANTIINFLAMATORIOS NO ESTEROIDE; TIPO: MONODROGA, DROGA GENERICA: IBUPROFENO, FORMA FARMACEUTICA: COMPRIMIDO, PRESENTACION: 400 MGR</t>
  </si>
  <si>
    <t>2.5.2-1724.245</t>
  </si>
  <si>
    <t>ANALGESICOS ; TIPO: MONODROGA, DROGA GENERICA: PARACETAMOL 500 MGR, FORMA FARMACEUTICA: COMPRIMIDO, PRESENTACION: X UNIDAD</t>
  </si>
  <si>
    <t>2.5.2-1821.76</t>
  </si>
  <si>
    <t>ANTIBIOTICOS P/PERSONAS; TIPO: MONODROGA, FORMA FARMACEUTICA: COMPRIMIDO, PRESENTACION: 500 MGR, DROGA GENERICA: METRONIDAZOL</t>
  </si>
  <si>
    <t>2.5.2-1724.243</t>
  </si>
  <si>
    <t>ANALGESICOS; TIPO: MONODROGA, DROGA GENERICA: PARACETAMOL 1 GR, FORMA FARMACEUTICA: COMPRIMIDO, PRESENTACION: UNIDAD</t>
  </si>
  <si>
    <t>2.5.2-1821.46</t>
  </si>
  <si>
    <t>ANTIBIOTICOS P/PERSONAS; TIPO: MONODROGA, FORMA FARMACEUTICA: COMPRIMIDO, PRESENTACION: 500 MGR, DROGA GENERICA: CIPROFLOXACINA</t>
  </si>
  <si>
    <t>2.5.2-1821.9</t>
  </si>
  <si>
    <t>ANTIBIOTICOS P/PERSONAS; TIPO: MONODROGA, DROGA GENERICA: AMOXICILINA, PRESENTACION: 500 MGR, FORMA FARMACEUTICA: COMPRIMIDOS</t>
  </si>
  <si>
    <t>2.5.2-1821.321</t>
  </si>
  <si>
    <t>ANTIBIOTICOS P/PERSONAS; TIPO: MONODROGA, DROGA GENERICA: CEFALEXINA 500 MGR, FORMA FARMACEUTICA: COMPRIMIDO, PRESENTACION: 1 UN</t>
  </si>
  <si>
    <t>2.5.2-1821.526</t>
  </si>
  <si>
    <t>ANTIBIOTICOS P/PERSONAS; TIPO: MONODROGA, DROGA GENERICA: COTRIMOXAZOL, FORMA FARMACEUTICA: COMPRIMIDO, PRESENTACION: 160 MG/ 800 MG</t>
  </si>
  <si>
    <t>2.5.2-1837.19</t>
  </si>
  <si>
    <t>HIPOTENSORES; TIPO: MONODROGA, DROGA GENERICA: BACLOFENO, FORMA FARMACEUTICA: COMPRIMIDO, PRESENTACION: 10 MGR</t>
  </si>
  <si>
    <t>2.5.2-1725.35</t>
  </si>
  <si>
    <t>ANTIINFLAMATORIOS NO ESTEROIDE; TIPO: MONODROGA, DROGA GENERICA: NAPROXENO, FORMA FARMACEUTICA: COMPRIMIDO, PRESENTACION: 500 MGR</t>
  </si>
  <si>
    <t>2.5.2-1883.186</t>
  </si>
  <si>
    <t>ANESTESICOS LOCALES; TIPO: MONODROGA, DROGA GENERICA: LIDOCAINA 2%S/EPINEFRINA, FORMA FARMACEUTICA: AMPOLLA, PRESENTACION: 5 ML</t>
  </si>
  <si>
    <t>AMPOLLA</t>
  </si>
  <si>
    <t>2.5.2-1821.94</t>
  </si>
  <si>
    <t>ANTIBIOTICOS P/PERSONAS; TIPO: MONODROGA, DROGA GENERICA: AZITROMICINA, FORMA FARMACEUTICA: COMPRIMIDO, PRESENTACION: 500 MGR</t>
  </si>
  <si>
    <t>2.5.2-1821.440</t>
  </si>
  <si>
    <t>ANTIBIOTICOS P/PERSONAS; TIPO: ASOCIACION, DROGA GENERICA: AMOXICIL. 875 MG+CLAVUL.125 MG MGR, FORMA FARMACEUTICA: COMPRIMIDO, PRESENTACION: UNIDAD</t>
  </si>
  <si>
    <t>2.5.2-1724.208</t>
  </si>
  <si>
    <t>ANALGESICOS; TIPO: MONODROGA, DROGA GENERICA: DIPIRONA SODICA 1 GR, FORMA FARMACEUTICA: AMPOLLA, PRESENTACION: 2 ML</t>
  </si>
  <si>
    <t>2.5.2-1864.6</t>
  </si>
  <si>
    <t>HIPOURICEMIANTES; TIPO: MONODROGA, DROGA GENERICA: ALOPURINOL 300 MGR, FORMA FARMACEUTICA: COMPRIMIDO, PRESENTACION: UNIDAD</t>
  </si>
  <si>
    <t>2.5.2-1821.4</t>
  </si>
  <si>
    <t>ANTIBIOTICOS P/PERSONAS; DROGA GENERICA: GENTAMICINA, FORMA FARMACEUTICA: AMPOLLA, PRESENTACION: 80 MGR, TIPO: MONODROGA</t>
  </si>
  <si>
    <t>2.5.2-1724.107</t>
  </si>
  <si>
    <t>ANALGESICOS ; TIPO: MONODROGA, DROGA GENERICA: IBUPROFENO 400, FORMA FARMACEUTICA: AMPOLLA, PRESENTACION: 3 ML</t>
  </si>
  <si>
    <t>2.5.2-1724.23</t>
  </si>
  <si>
    <t>ANALGESICOS; TIPO: MONODROGA, DROGA GENERICA: KETOROLAC, FORMA FARMACEUTICA: AMPOLLA, PRESENTACION: 30 MGR</t>
  </si>
  <si>
    <t>2.5.2-1821.458</t>
  </si>
  <si>
    <t>ANTIBIOTICOS P/PERSONAS; TIPO: MONODROGA, DROGA GENERICA: DOXICICLINA 100 MGR, FORMA FARMACEUTICA: COMPRIMIDO, PRESENTACION: UNIDAD</t>
  </si>
  <si>
    <t>2.5.2-1724.98</t>
  </si>
  <si>
    <t>ANALGESICOS; TIPO: MONODROGA, DROGA GENERICA: MORFINA CLORIDRATO 1%, FORMA FARMACEUTICA: AMPOLLA, PRESENTACION: 1 ML</t>
  </si>
  <si>
    <t>2.5.2-1724.206</t>
  </si>
  <si>
    <t>ANALGESICOS; TIPO: MONODROGA, DROGA GENERICA: NALBUFINA 10 MGR, FORMA FARMACEUTICA: AMPOLLA, PRESENTACION: ENVASE X 1 ML</t>
  </si>
  <si>
    <t>2.5.2-1821.43</t>
  </si>
  <si>
    <t>ANTIBIOTICOS P/PERSONAS; TIPO: MONODROGA, DROGA GENERICA: CLINDAMICINA, FORMA FARMACEUTICA: AMPOLLA, PRESENTACION: 600 MGR</t>
  </si>
  <si>
    <t>2.5.2-1724.29</t>
  </si>
  <si>
    <t>ANALGESICOS; TIPO: MONODROGA, DROGA GENERICA: PARACETAMOL, FORMA FARMACEUTICA: GOTAS, PRESENTACION: 20 ML</t>
  </si>
  <si>
    <t>GOTERO</t>
  </si>
  <si>
    <t>2.5.2-1821.1</t>
  </si>
  <si>
    <t>ANTIBIOTICOS P/PERSONAS; TIPO: MONODROGA, DROGA GENERICA: AMIKACINA, PRESENTACION: 500 MGR, FORMA FARMACEUTICA: AMPOLLA</t>
  </si>
  <si>
    <t>2.5.2-1821.8</t>
  </si>
  <si>
    <t>ANTIBIOTICOS P/PERSONAS; TIPO: MONODROGA, DROGA GENERICA: AMPICILINA, FORMA FARMACEUTICA: AMPOLLA, PRESENTACION: 1 GR</t>
  </si>
  <si>
    <t>2.5.2-1821.214</t>
  </si>
  <si>
    <t>ANTIBIOTICOS P/PERSONAS; TIPO: MONODROGA, DROGA GENERICA: CEFTRIAXONA, FORMA FARMACEUTICA: FRASCO AMPOLLA, PRESENTACION: 1 GR</t>
  </si>
  <si>
    <t>2.5.2-1724.163</t>
  </si>
  <si>
    <t>ANALGESICOS; TIPO: MONODROGA, DROGA GENERICA: IBUPROFENO 2%, FORMA FARMACEUTICA: SUSPENSION, PRESENTACION: ENVASE X 90 ML</t>
  </si>
  <si>
    <t>FRASCO</t>
  </si>
  <si>
    <t>2.5.2-1821.387</t>
  </si>
  <si>
    <t>ANTIBIOTICOS P/PERSONAS; TIPO: MONODROGA, DROGA GENERICA: CIPROFLOXACINA, FORMA FARMACEUTICA: SACHET, PRESENTACION: ENVASE X 200 MGR</t>
  </si>
  <si>
    <t>SACHET</t>
  </si>
  <si>
    <t>2.5.2-1821.400</t>
  </si>
  <si>
    <t>ANTIBIOTICOS P/PERSONAS; TIPO: MONODROGA, DROGA GENERICA: METRONIDAZOL 500 MGR, FORMA FARMACEUTICA: SACHET X 100 ML, PRESENTACION: UNIDAD</t>
  </si>
  <si>
    <t>UNIDAD</t>
  </si>
  <si>
    <t>2.5.2-1821.384</t>
  </si>
  <si>
    <t>ANTIBIOTICOS P/PERSONAS; TIPO: MONODROGA, DROGA GENERICA: CEFTAZIDIMA, FORMA FARMACEUTICA: FRASCO AMPOLLA, PRESENTACION: ENVASE X 1 GR</t>
  </si>
  <si>
    <t>2.5.2-1821.405</t>
  </si>
  <si>
    <t>ANTIBIOTICOS P/PERSONAS; TIPO: MONODROGA, DROGA GENERICA: CEFALOTINA SODICA, FORMA FARMACEUTICA: FRASCO AMPOLLA, PRESENTACION: 1 GR</t>
  </si>
  <si>
    <t>2.5.2-1821.62</t>
  </si>
  <si>
    <t>ANTIBIOTICOS P/PERSONAS; TIPO: MONODROGA, DROGA GENERICA: CEFAZOLINA, FORMA FARMACEUTICA: AMPOLLA, PRESENTACION: 1 GR</t>
  </si>
  <si>
    <t>2.5.2-1821.54</t>
  </si>
  <si>
    <t>ANTIBIOTICOS P/PERSONAS; TIPO: MONODROGA, DROGA GENERICA: PENICILINA G. BENZATINICA, FORMA FARMACEUTICA: AMPOLLA, PRESENTACION: 1.200.000 UI</t>
  </si>
  <si>
    <t>2.5.2-1724.244</t>
  </si>
  <si>
    <t>ANALGESICOS; TIPO: MONODROGA, DROGA GENERICA: PARACETAMOL 2%, 100MG/5ML, FORMA FARMACEUTICA: JARABE, PRESENTACION: 120 ML</t>
  </si>
  <si>
    <t>2.5.2-1821.334</t>
  </si>
  <si>
    <t>ANTIBIOTICOS P/PERSONAS; TIPO: MONODROGA, DROGA GENERICA: METRONIDAZOL 125MG/5ML, FORMA FARMACEUTICA: SUSPENSION ORAL, PRESENTACION: ENVASE X 120 ML</t>
  </si>
  <si>
    <t>2.5.2-1821.220</t>
  </si>
  <si>
    <t>ANTIBIOTICOS P/PERSONAS; TIPO: MONODROGA, DROGA GENERICA: PENICILINA G. BENZATINICA, FORMA FARMACEUTICA: FRASCO AMPOLLA, PRESENTACION: 2.400.000 UI</t>
  </si>
  <si>
    <t>2.5.2-1725.153</t>
  </si>
  <si>
    <t>ANTIINFLAMATORIOS NO ESTEROIDE; TIPO: MONODROGA, DROGA GENERICA: DICLOFENAC POTASICO 500MG/100ML, FORMA FARMACEUTICA: JARABE, PRESENTACION: 120 ML</t>
  </si>
  <si>
    <t>2.5.2-1821.399</t>
  </si>
  <si>
    <t>ANTIBIOTICOS P/PERSONAS; TIPO: MONODROGA, DROGA GENERICA: AMOXICILINA 500 MGR, FORMA FARMACEUTICA: SUSPENSION, PRESENTACION: ENVASE X 90 ML</t>
  </si>
  <si>
    <t>2.5.2-1883.136</t>
  </si>
  <si>
    <t>ANESTESICOS LOCALES; TIPO: MONODROGA, DROGA GENERICA: LIDOCAINA 2% S/EPINEFRINA, FORMA FARMACEUTICA: FRASCO AMPOLLA, PRESENTACION: ENVASE X 20 ML</t>
  </si>
  <si>
    <t>2.5.2-1883.173</t>
  </si>
  <si>
    <t>ANESTESICOS LOCALES; TIPO: MONODROGA, DROGA GENERICA: REMIFENTANILO 5 MGR, FORMA FARMACEUTICA: AMPOLLA, PRESENTACION: UNIDAD</t>
  </si>
  <si>
    <t>2.5.2-1821.235</t>
  </si>
  <si>
    <t>ANTIBIOTICOS P/PERSONAS; TIPO: MONODROGA, DROGA GENERICA: ACICLOVIR 500 MG, FORMA FARMACEUTICA: FRASCO AMPOLLA, PRESENTACION: 500 MGR</t>
  </si>
  <si>
    <t>2.5.2-1821.222</t>
  </si>
  <si>
    <t>ANTIBIOTICOS P/PERSONAS; TIPO: MONODROGA, DROGA GENERICA: CEFUROXIMA, FORMA FARMACEUTICA: FRASCO AMPOLLA, PRESENTACION: 750 MGR</t>
  </si>
  <si>
    <t>2.5.2-1821.421</t>
  </si>
  <si>
    <t>ANTIBIOTICOS P/PERSONAS; TIPO: MONODROGA, DROGA GENERICA: MEROPENEM 500 MGR, FORMA FARMACEUTICA: FRASCO AMPOLLA, PRESENTACION: UNIDAD</t>
  </si>
  <si>
    <t>2.5.2-1821.524</t>
  </si>
  <si>
    <t>ANTIBIOTICOS P/PERSONAS; TIPO: ASOCIACION, DROGA GENERICA: AMOXICILINA + AC.CLAVULANICO 400 MG / 57 MG, FORMA FARMACEUTICA: SUSPENSION, PRESENTACION: ENVASE X 70 ML</t>
  </si>
  <si>
    <t>2.5.2-1883.111</t>
  </si>
  <si>
    <t>ANESTESICOS LOCALES; TIPO: ASOCIACION, DROGA GENERICA: LIDOCAINA 2% C/EPINEFRINA, FORMA FARMACEUTICA: FRASCO AMPOLLA, PRESENTACION: 20 ML</t>
  </si>
  <si>
    <t>2.5.2-1821.502</t>
  </si>
  <si>
    <t>ANTIBIOTICOS P/PERSONAS; TIPO: MONODROGA, DROGA GENERICA: AZITROMICINA 200 MGR, FORMA FARMACEUTICA: SUSPENSION, PRESENTACION: ENVASE X 15 ML</t>
  </si>
  <si>
    <t>2.5.2-1821.463</t>
  </si>
  <si>
    <t>ANTIBIOTICOS P/PERSONAS; TIPO: MONODROGA, DROGA GENERICA: MEROPENEM 1000 MGR, FORMA FARMACEUTICA: AMPOLLA, PRESENTACION: UNIDAD</t>
  </si>
  <si>
    <t>2.5.2-2455.34</t>
  </si>
  <si>
    <t>ANESTESICOS GENERALES; DROGA GENERICA: TIOPENTAL SODICO 1 GR, FORMA FARMACEUTICA: FRASCO AMPOLLA, PRESENTACION: UNIDAD, TIPO: MONODROGA</t>
  </si>
  <si>
    <t>2.5.2-1724.74</t>
  </si>
  <si>
    <t>ANALGESICOS; TIPO: MONODROGA, DROGA GENERICA: DIPIRONA, FORMA FARMACEUTICA: JARABE, PRESENTACION: FRASCO X 120 ML</t>
  </si>
  <si>
    <t>2.5.2-1821.442</t>
  </si>
  <si>
    <t>ANTIBIOTICOS P/PERSONAS; TIPO: MONODROGA, DROGA GENERICA: FLUCONAZOL 200 MG, FORMA FARMACEUTICA: SOLUCION INYECTABLE, PRESENTACION: ENVASE X 100 ML</t>
  </si>
  <si>
    <t>2.5.2-1883.28</t>
  </si>
  <si>
    <t>ANESTESICOS LOCALES; TIPO: MONODROGA, DROGA GENERICA: LIDOCAINA, FORMA FARMACEUTICA: AEROSOL, PRESENTACION: 100 ML</t>
  </si>
  <si>
    <t>2.5.2-1821.201</t>
  </si>
  <si>
    <t>ANTIBIOTICOS P/PERSONAS; TIPO: ANTITUBERCULOSTATICO, DROGA GENERICA: RIFAMPICINA X 2 GR, FORMA FARMACEUTICA: EN SUSPENSION CADA 100 ML, PRESENTACION: FRASCO X 50 ML</t>
  </si>
  <si>
    <t>2.5.2-3097.9</t>
  </si>
  <si>
    <t>PEDICULICIDAS; DROGA GENERICA: PERMETRINA, FORMA FARMACEUTICA: EMULSION, PRESENTACION: 100 ML</t>
  </si>
  <si>
    <t>2.5.2-1829.48</t>
  </si>
  <si>
    <t>ANTIVIRALES; TIPO: MONODROGA, DROGA GENERICA: ACICLOVIR 80 MG/ ML, FORMA FARMACEUTICA: SUSPENSION, PRESENTACION: ENVASE X 200 ML</t>
  </si>
  <si>
    <t>2.5.2-1724.230</t>
  </si>
  <si>
    <t>ANALGESICOS ; PRESENTACION: 100 ML, FORMA FARMACEUTICA: AMPOLLA, DROGA GENERICA: PARACETAMOL 1000 MGR, TIPO: MONODROGA MGR</t>
  </si>
  <si>
    <t>2.5.2-1821.219</t>
  </si>
  <si>
    <t>ANTIBIOTICOS P/PERSONAS; TIPO: MONODROGA, DROGA GENERICA: RIFAMPICINA, FORMA FARMACEUTICA: FRASCO AMPOLLA, PRESENTACION: 600 MGR</t>
  </si>
  <si>
    <t>2.5.2-1821.338</t>
  </si>
  <si>
    <t>ANTIBIOTICOS P/PERSONAS; TIPO: MONODROGA, DROGA GENERICA: CLARITROMICINA 250MG, FORMA FARMACEUTICA: SUSPENSION, PRESENTACION: ENVASE X 90 ML</t>
  </si>
  <si>
    <t>2.5.2-1821.123</t>
  </si>
  <si>
    <t>ANTIBIOTICOS P/PERSONAS; TIPO: MONODROGA, DROGA GENERICA: ORNIDAZOL, PRESENTACION: 1 GR, FORMA FARMACEUTICA: AMPOLLA</t>
  </si>
  <si>
    <t>2.5.2-3603.18</t>
  </si>
  <si>
    <t>EVACUANTES INTESTINALES; TIPO: ASOCIACION, DROGA GENERICA: POLIETILENGLICOL 3350, FORMA FARMACEUTICA: SOBRES, PRESENTACION: SOBRES X 30</t>
  </si>
  <si>
    <t>CAJA</t>
  </si>
  <si>
    <t>Tipo OSTILAX</t>
  </si>
  <si>
    <t>2.5.2-1821.329</t>
  </si>
  <si>
    <t>ANTIBIOTICOS P/PERSONAS; TIPO: MONODROGA, DROGA GENERICA: LINEZOLID, FORMA FARMACEUTICA: SOLUCION, PRESENTACION: ENVASE X 300 ML</t>
  </si>
  <si>
    <t>2.5.2-1726.526</t>
  </si>
  <si>
    <t>SOLUCIONES P/MEDICINA; TIPO: CONTRASTE RADIOLOGICO NO IONICO, PRESENTACION: ENVASE X 50 ML</t>
  </si>
  <si>
    <t>TIPO IOPROMIDA, IOBITRIDOL, IODIXANOL, IOHEXOL, IOVERSOL</t>
  </si>
  <si>
    <t>2.5.2-1823.114</t>
  </si>
  <si>
    <t>ANTIMICOTICOS; DROGA GENERICA: FLUCONAZOL, FORMA FARMACEUTICA: SUSPENSION X 35 ML, PRESENTACION: 50 MGR/5ML, TIPO: MONODROGA</t>
  </si>
  <si>
    <t>2.5.2-1905.96</t>
  </si>
  <si>
    <t>VACUNAS; TIPO: G.GLOBULINA+TOXOIDE ANTITETANICO, PRESENTACION: ENVASE X 250 UI</t>
  </si>
  <si>
    <t>2.5.2-1905.67</t>
  </si>
  <si>
    <t>VACUNAS; TIPO: G.GLOBULINA+TOXOIDE ANTITETANICO, PRESENTACION: ENVASE X 500 UI</t>
  </si>
  <si>
    <t>2.5.2-2455.31</t>
  </si>
  <si>
    <t>ANESTESICOS GENERALES; DROGA GENERICA: SEVOFLUORANO, FORMA FARMACEUTICA: SOLUCION, PRESENTACION: ENVASE X 250 ML, TIPO: MONODROGA</t>
  </si>
  <si>
    <t>2.5.2-1823.113</t>
  </si>
  <si>
    <t>ANTIMICOTICOS; DROGA GENERICA: ANFOTERICINA B LIPOSOMAL, FORMA FARMACEUTICA: AMPOLLA, PRESENTACION: 50 MGR, TIPO: MONODROGA</t>
  </si>
  <si>
    <t>2.5.2-1859.28</t>
  </si>
  <si>
    <t>INMUNOMODULADORES; TIPO: MONODROGA, DROGA GENERICA: INMUNOGLOBULINA G HUMANA, FORMA FARMACEUTICA: VIAL, PRESENTACION: 5 GR</t>
  </si>
  <si>
    <t>2.5.2-1859.29</t>
  </si>
  <si>
    <t>INMUNOMODULADORES; TIPO: MONODROGA, DROGA GENERICA: INMUNOGLOBULINA G HUMANA, FORMA FARMACEUTICA: VIAL, PRESENTACION: 10 GR</t>
  </si>
  <si>
    <t>TRECE MILLONES DOSCIENTOS CATORCE MIL TRESCIENTOS TREINTA CON 20/100 PESOS</t>
  </si>
  <si>
    <t>Total</t>
  </si>
  <si>
    <t>Plazos y lugares de entrega:</t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</si>
  <si>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</si>
  <si>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</si>
  <si>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</si>
  <si>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</si>
  <si>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</si>
  <si>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</si>
  <si>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</si>
  <si>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</si>
  <si>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 xml:space="preserve">JURISDICCIÓN: </t>
  </si>
  <si>
    <t>SAF:</t>
  </si>
  <si>
    <t>UNIDAD EJECUTORA:</t>
  </si>
  <si>
    <t>SAF 24 - HOSPITAL INTERZONAL DE NIÑOS EVA PERON</t>
  </si>
  <si>
    <t xml:space="preserve">DEPENDENCIA SOLICITANTE: </t>
  </si>
  <si>
    <t>PERIODO UTILIZACIÓN:</t>
  </si>
  <si>
    <t>4° TRIMESTRE - 2022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</si>
  <si>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</si>
  <si>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</si>
  <si>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</si>
  <si>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</si>
  <si>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</si>
  <si>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</si>
  <si>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</si>
  <si>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</si>
  <si>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</si>
  <si>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SÍ</t>
  </si>
  <si>
    <t xml:space="preserve">Costo total estimado: </t>
  </si>
  <si>
    <t>DETALLE TECNICO</t>
  </si>
  <si>
    <t>ITEM 25</t>
  </si>
  <si>
    <t>ITEM 64</t>
  </si>
  <si>
    <t>AUTORIZACION PARA GASTAR</t>
  </si>
  <si>
    <t>JURISDICCIÓN:</t>
  </si>
  <si>
    <r>
      <rPr>
        <b/>
        <u/>
        <sz val="10"/>
        <color rgb="FF000000"/>
        <rFont val="Arial"/>
        <family val="2"/>
      </rPr>
      <t>AUTORIZACIÓN</t>
    </r>
    <r>
      <rPr>
        <b/>
        <sz val="10"/>
        <color rgb="FF00000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</si>
  <si>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</si>
  <si>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</si>
  <si>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</si>
  <si>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</si>
  <si>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</si>
  <si>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</si>
  <si>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</si>
  <si>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</si>
  <si>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</si>
  <si>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</si>
  <si>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</si>
  <si>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</si>
  <si>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</si>
  <si>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</si>
  <si>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</si>
  <si>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</si>
  <si>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</si>
  <si>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</si>
  <si>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FARMACÉUTICOS Y MEDICINALES</t>
  </si>
  <si>
    <t xml:space="preserve">TOTAL DE PESOS: </t>
  </si>
  <si>
    <t>JUSTIFICACIÓN:</t>
  </si>
  <si>
    <t>OBSERVACIONES:</t>
  </si>
  <si>
    <t xml:space="preserve">ADQ. DE TERAPIA ANTIINFECCIOSA SISTEMICA/SUEROS INMUNES E INMUNOGLOBINAS Y MEDIOS DE CONSTRASTES/ANALGESICOS ANTINFLAMATORIOS </t>
  </si>
  <si>
    <t>91 / 2022</t>
  </si>
  <si>
    <t xml:space="preserve"> Autorizo la realización de los  trámites correspondientes, a fin de proveer a  este Organismo los bienes y/o servicios que se detallan en Nota  de Pedido N° 91 / 2022,  afectando la erogación resultante a los créditos presupuestarios aprobados a favor de esta Unidad Ejecutora, conforme al siguiente detalle:</t>
  </si>
  <si>
    <t>ANALGÉSICOS ; TIPO: MONODROGA, DROGA GENÉRICA: PARACETAMOL 500 MGR, FORMA FARMACEÚTICA: COMPRIMIDO, PRESENTACIÓN: X UNIDAD</t>
  </si>
  <si>
    <t>ANALGESICOS; TIPO: MONODROGA, DROGA GENERICA: PARACETAMOL 2%, 100MG/5ML, FORMA FARMACEÚTICA: JARABE, PRESENTACION: 120 ML</t>
  </si>
  <si>
    <t>EVACUANTES INTESTINALES; TIPO: ASOCIACION, DROGA GENERICA: POLIETILENGLICOL 3350, FORMA FARMACEÚTICA: SOBRES, PRESENTACION: SOBRES X 30</t>
  </si>
  <si>
    <t>VACUNAS; TIPO: G.GLOBULINA+TOXOIDE ANTITETÁNICO, PRESENTACIÓN: ENVASE X 250 UI</t>
  </si>
  <si>
    <t>VACUNAS; TIPO: G.GLOBULINA+TOXOIDE ANTITETÁNICO, PRESENTACIÓN: ENVASE X 500 UI</t>
  </si>
  <si>
    <r>
      <t>a)</t>
    </r>
    <r>
      <rPr>
        <sz val="11"/>
        <rFont val="Calibri"/>
        <family val="2"/>
      </rPr>
      <t xml:space="preserve"> LUGAR DE ENTREGA:   - De 08 a 12 horas. 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b)</t>
    </r>
    <r>
      <rPr>
        <sz val="11"/>
        <color rgb="FF000000"/>
        <rFont val="Calibri"/>
        <family val="2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color rgb="FF000000"/>
        <rFont val="Calibri"/>
        <family val="2"/>
      </rPr>
      <t>c)</t>
    </r>
    <r>
      <rPr>
        <sz val="11"/>
        <color rgb="FF000000"/>
        <rFont val="Calibri"/>
        <family val="2"/>
      </rPr>
      <t xml:space="preserve">  </t>
    </r>
    <r>
      <rPr>
        <sz val="11"/>
        <rFont val="Calibri"/>
        <family val="2"/>
      </rPr>
      <t xml:space="preserve">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</si>
</sst>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4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0C0C0"/>
      <name val="Times New Roman"/>
      <family val="1"/>
    </font>
    <font>
      <b/>
      <sz val="10"/>
      <color rgb="FF000000"/>
      <name val="Calibri"/>
      <family val="2"/>
    </font>
    <font>
      <b/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Arial"/>
      <family val="2"/>
    </font>
    <font>
      <b/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u/>
      <sz val="11"/>
      <color rgb="FFFF0000"/>
      <name val="Calibri"/>
      <family val="2"/>
    </font>
    <font>
      <b/>
      <sz val="22"/>
      <color rgb="FF000000"/>
      <name val="Times New Roman"/>
      <family val="1"/>
    </font>
    <font>
      <b/>
      <sz val="12"/>
      <color rgb="FF000000"/>
      <name val="Calibri"/>
      <family val="2"/>
    </font>
    <font>
      <b/>
      <u/>
      <sz val="14"/>
      <color rgb="FF000000"/>
      <name val="Times New Roman"/>
      <family val="1"/>
    </font>
    <font>
      <b/>
      <u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  <diagonal/>
    </border>
    <border>
      <left style="medium">
        <color rgb="FF3D3D3D"/>
      </left>
      <right/>
      <top style="thin">
        <color rgb="FF000000"/>
      </top>
      <bottom style="medium">
        <color rgb="FF3D3D3D"/>
      </bottom>
      <diagonal/>
    </border>
    <border>
      <left/>
      <right style="medium">
        <color rgb="FF3D3D3D"/>
      </right>
      <top style="thin">
        <color rgb="FF000000"/>
      </top>
      <bottom style="medium">
        <color rgb="FF3D3D3D"/>
      </bottom>
      <diagonal/>
    </border>
    <border>
      <left/>
      <right/>
      <top style="thin">
        <color rgb="FF000000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</borders>
  <cellStyleXfs count="2">
    <xf numFmtId="0" fontId="0" fillId="0" borderId="0"/>
    <xf numFmtId="0" fontId="22" fillId="0" borderId="0"/>
  </cellStyleXfs>
  <cellXfs count="17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64" fontId="5" fillId="0" borderId="0" xfId="0" applyNumberFormat="1" applyFont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2" xfId="0" applyFont="1" applyBorder="1"/>
    <xf numFmtId="165" fontId="1" fillId="0" borderId="12" xfId="0" applyNumberFormat="1" applyFont="1" applyBorder="1"/>
    <xf numFmtId="0" fontId="7" fillId="0" borderId="0" xfId="0" applyFont="1"/>
    <xf numFmtId="164" fontId="7" fillId="0" borderId="13" xfId="0" applyNumberFormat="1" applyFont="1" applyBorder="1"/>
    <xf numFmtId="0" fontId="1" fillId="0" borderId="12" xfId="0" applyFont="1" applyBorder="1" applyAlignment="1">
      <alignment horizontal="left"/>
    </xf>
    <xf numFmtId="0" fontId="4" fillId="0" borderId="14" xfId="0" applyFont="1" applyBorder="1" applyAlignment="1">
      <alignment horizontal="center" vertical="center"/>
    </xf>
    <xf numFmtId="166" fontId="4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6" fontId="4" fillId="0" borderId="1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18" xfId="0" applyFont="1" applyBorder="1" applyAlignment="1">
      <alignment horizontal="right" vertical="center"/>
    </xf>
    <xf numFmtId="0" fontId="10" fillId="0" borderId="19" xfId="0" applyFont="1" applyBorder="1" applyAlignment="1">
      <alignment vertical="center"/>
    </xf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vertical="center" wrapText="1"/>
    </xf>
    <xf numFmtId="0" fontId="12" fillId="0" borderId="22" xfId="0" applyFont="1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vertical="center" wrapText="1"/>
    </xf>
    <xf numFmtId="3" fontId="10" fillId="0" borderId="0" xfId="0" applyNumberFormat="1" applyFont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0" fillId="0" borderId="35" xfId="0" applyNumberFormat="1" applyBorder="1" applyAlignment="1">
      <alignment vertical="center"/>
    </xf>
    <xf numFmtId="166" fontId="12" fillId="0" borderId="36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1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8" xfId="0" applyFont="1" applyBorder="1" applyAlignment="1">
      <alignment horizontal="left" vertical="center" wrapText="1"/>
    </xf>
    <xf numFmtId="0" fontId="4" fillId="0" borderId="5" xfId="0" applyFont="1" applyBorder="1"/>
    <xf numFmtId="164" fontId="5" fillId="0" borderId="47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1" fillId="0" borderId="4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41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168" fontId="9" fillId="0" borderId="48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" fillId="0" borderId="65" xfId="0" applyFont="1" applyBorder="1" applyAlignment="1">
      <alignment horizontal="left" vertical="center" wrapText="1"/>
    </xf>
    <xf numFmtId="0" fontId="1" fillId="0" borderId="66" xfId="0" applyFont="1" applyBorder="1" applyAlignment="1">
      <alignment horizontal="left" vertical="center" wrapText="1"/>
    </xf>
    <xf numFmtId="0" fontId="1" fillId="0" borderId="67" xfId="0" applyFont="1" applyBorder="1" applyAlignment="1">
      <alignment horizontal="left" vertical="center" wrapText="1"/>
    </xf>
    <xf numFmtId="0" fontId="13" fillId="0" borderId="53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/>
    </xf>
    <xf numFmtId="0" fontId="10" fillId="0" borderId="18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0" fillId="0" borderId="57" xfId="0" applyFont="1" applyBorder="1"/>
    <xf numFmtId="0" fontId="10" fillId="0" borderId="57" xfId="0" applyFont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0" fillId="0" borderId="30" xfId="0" applyFont="1" applyBorder="1" applyAlignment="1">
      <alignment horizontal="left" vertical="center" wrapText="1" inden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left" vertical="center" wrapText="1"/>
    </xf>
    <xf numFmtId="0" fontId="10" fillId="0" borderId="64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0" fontId="21" fillId="0" borderId="53" xfId="0" applyFont="1" applyBorder="1" applyAlignment="1">
      <alignment horizontal="center" vertical="center" wrapText="1"/>
    </xf>
    <xf numFmtId="0" fontId="0" fillId="0" borderId="53" xfId="0" applyBorder="1" applyAlignment="1">
      <alignment horizontal="left" vertical="center"/>
    </xf>
    <xf numFmtId="0" fontId="13" fillId="0" borderId="53" xfId="0" applyFont="1" applyBorder="1" applyAlignment="1">
      <alignment horizontal="left" vertical="center"/>
    </xf>
    <xf numFmtId="0" fontId="13" fillId="0" borderId="68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4" fillId="0" borderId="69" xfId="0" applyFont="1" applyBorder="1" applyAlignment="1">
      <alignment horizontal="left" vertical="center" wrapText="1"/>
    </xf>
    <xf numFmtId="0" fontId="4" fillId="0" borderId="66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left" vertical="center" wrapText="1"/>
    </xf>
    <xf numFmtId="0" fontId="13" fillId="0" borderId="57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7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72" xfId="0" applyFont="1" applyBorder="1" applyAlignment="1">
      <alignment vertical="center" wrapText="1"/>
    </xf>
    <xf numFmtId="0" fontId="0" fillId="0" borderId="70" xfId="0" applyBorder="1"/>
    <xf numFmtId="0" fontId="12" fillId="0" borderId="70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</cellXfs>
  <cellStyles count="2">
    <cellStyle name="Normal" xfId="0" builtinId="0"/>
    <cellStyle name="Normal 3" xfId="1" xr:uid="{979056E4-6DA9-4764-AE42-E715F83C74E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topLeftCell="A82" workbookViewId="0">
      <selection activeCell="B84" sqref="B84:E84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3.85546875" style="79" bestFit="1" customWidth="1"/>
    <col min="4" max="4" width="5.5703125" style="1" bestFit="1" customWidth="1"/>
    <col min="5" max="5" width="69" style="77" customWidth="1"/>
    <col min="6" max="6" width="11.85546875" style="1" customWidth="1"/>
    <col min="7" max="7" width="9.140625" style="1" customWidth="1"/>
    <col min="8" max="8" width="13.85546875" style="1" customWidth="1"/>
    <col min="9" max="9" width="14.5703125" style="1" customWidth="1"/>
    <col min="10" max="10" width="57.85546875" style="1" bestFit="1" customWidth="1"/>
  </cols>
  <sheetData>
    <row r="1" spans="1:10" ht="13.5" thickBot="1" x14ac:dyDescent="0.25"/>
    <row r="2" spans="1:10" ht="27.75" thickBot="1" x14ac:dyDescent="0.4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3"/>
    </row>
    <row r="4" spans="1:10" ht="16.5" thickBot="1" x14ac:dyDescent="0.25">
      <c r="A4" s="95" t="s">
        <v>1</v>
      </c>
      <c r="B4" s="96"/>
      <c r="C4" s="104" t="s">
        <v>2</v>
      </c>
      <c r="D4" s="105"/>
      <c r="E4" s="105"/>
      <c r="F4" s="105"/>
      <c r="G4" s="105"/>
      <c r="H4" s="105"/>
      <c r="I4" s="105"/>
      <c r="J4" s="106"/>
    </row>
    <row r="5" spans="1:10" ht="16.5" thickBot="1" x14ac:dyDescent="0.25">
      <c r="A5" s="97" t="s">
        <v>3</v>
      </c>
      <c r="B5" s="98"/>
      <c r="C5" s="104" t="s">
        <v>4</v>
      </c>
      <c r="D5" s="105"/>
      <c r="E5" s="105"/>
      <c r="F5" s="105"/>
      <c r="G5" s="105"/>
      <c r="H5" s="105"/>
      <c r="I5" s="105"/>
      <c r="J5" s="106"/>
    </row>
    <row r="6" spans="1:10" ht="16.5" thickBot="1" x14ac:dyDescent="0.25">
      <c r="A6" s="97" t="s">
        <v>5</v>
      </c>
      <c r="B6" s="98"/>
      <c r="C6" s="104">
        <v>2022</v>
      </c>
      <c r="D6" s="105"/>
      <c r="E6" s="105"/>
      <c r="F6" s="105"/>
      <c r="G6" s="105"/>
      <c r="H6" s="105"/>
      <c r="I6" s="105"/>
      <c r="J6" s="106"/>
    </row>
    <row r="7" spans="1:10" ht="16.5" thickBot="1" x14ac:dyDescent="0.25">
      <c r="A7" s="99" t="s">
        <v>6</v>
      </c>
      <c r="B7" s="100"/>
      <c r="C7" s="104" t="s">
        <v>7</v>
      </c>
      <c r="D7" s="105"/>
      <c r="E7" s="105"/>
      <c r="F7" s="105"/>
      <c r="G7" s="105"/>
      <c r="H7" s="105"/>
      <c r="I7" s="105"/>
      <c r="J7" s="106"/>
    </row>
    <row r="8" spans="1:10" ht="13.5" thickBot="1" x14ac:dyDescent="0.25">
      <c r="A8" s="4"/>
      <c r="B8" s="2"/>
      <c r="C8" s="2"/>
      <c r="D8" s="2"/>
      <c r="E8" s="2"/>
      <c r="F8" s="2"/>
      <c r="G8" s="3"/>
      <c r="H8" s="2"/>
      <c r="I8" s="4"/>
      <c r="J8" s="4"/>
    </row>
    <row r="9" spans="1:10" ht="38.25" x14ac:dyDescent="0.2">
      <c r="A9" s="12" t="s">
        <v>8</v>
      </c>
      <c r="B9" s="13" t="s">
        <v>9</v>
      </c>
      <c r="C9" s="80" t="s">
        <v>10</v>
      </c>
      <c r="D9" s="14" t="s">
        <v>11</v>
      </c>
      <c r="E9" s="12" t="s">
        <v>12</v>
      </c>
      <c r="F9" s="11" t="s">
        <v>13</v>
      </c>
      <c r="G9" s="15" t="s">
        <v>14</v>
      </c>
      <c r="H9" s="16" t="s">
        <v>15</v>
      </c>
      <c r="I9" s="17" t="s">
        <v>16</v>
      </c>
      <c r="J9" s="17" t="s">
        <v>17</v>
      </c>
    </row>
    <row r="10" spans="1:10" s="1" customFormat="1" ht="45" x14ac:dyDescent="0.2">
      <c r="A10" s="71">
        <v>1</v>
      </c>
      <c r="B10" s="72" t="s">
        <v>18</v>
      </c>
      <c r="C10" s="76" t="s">
        <v>19</v>
      </c>
      <c r="D10" s="71" t="s">
        <v>20</v>
      </c>
      <c r="E10" s="76" t="s">
        <v>21</v>
      </c>
      <c r="F10" s="73" t="s">
        <v>22</v>
      </c>
      <c r="G10" s="73">
        <v>300</v>
      </c>
      <c r="H10" s="74">
        <v>1.88</v>
      </c>
      <c r="I10" s="74">
        <v>564</v>
      </c>
      <c r="J10" s="72"/>
    </row>
    <row r="11" spans="1:10" ht="45" x14ac:dyDescent="0.2">
      <c r="A11" s="71">
        <v>2</v>
      </c>
      <c r="B11" s="72" t="s">
        <v>23</v>
      </c>
      <c r="C11" s="76" t="s">
        <v>19</v>
      </c>
      <c r="D11" s="71" t="s">
        <v>20</v>
      </c>
      <c r="E11" s="76" t="s">
        <v>24</v>
      </c>
      <c r="F11" s="73" t="s">
        <v>22</v>
      </c>
      <c r="G11" s="73">
        <v>3000</v>
      </c>
      <c r="H11" s="74">
        <v>4.8</v>
      </c>
      <c r="I11" s="74">
        <v>14400</v>
      </c>
      <c r="J11" s="72"/>
    </row>
    <row r="12" spans="1:10" ht="30" x14ac:dyDescent="0.2">
      <c r="A12" s="71">
        <v>3</v>
      </c>
      <c r="B12" s="72" t="s">
        <v>25</v>
      </c>
      <c r="C12" s="76" t="s">
        <v>19</v>
      </c>
      <c r="D12" s="71" t="s">
        <v>20</v>
      </c>
      <c r="E12" s="76" t="s">
        <v>227</v>
      </c>
      <c r="F12" s="73" t="s">
        <v>22</v>
      </c>
      <c r="G12" s="73">
        <v>2000</v>
      </c>
      <c r="H12" s="74">
        <v>5.3</v>
      </c>
      <c r="I12" s="74">
        <v>10600</v>
      </c>
      <c r="J12" s="72"/>
    </row>
    <row r="13" spans="1:10" ht="45" x14ac:dyDescent="0.2">
      <c r="A13" s="71">
        <v>4</v>
      </c>
      <c r="B13" s="72" t="s">
        <v>27</v>
      </c>
      <c r="C13" s="76" t="s">
        <v>19</v>
      </c>
      <c r="D13" s="71" t="s">
        <v>20</v>
      </c>
      <c r="E13" s="76" t="s">
        <v>28</v>
      </c>
      <c r="F13" s="73" t="s">
        <v>22</v>
      </c>
      <c r="G13" s="73">
        <v>100</v>
      </c>
      <c r="H13" s="74">
        <v>7.69</v>
      </c>
      <c r="I13" s="74">
        <v>769</v>
      </c>
      <c r="J13" s="72"/>
    </row>
    <row r="14" spans="1:10" ht="30" x14ac:dyDescent="0.2">
      <c r="A14" s="71">
        <v>5</v>
      </c>
      <c r="B14" s="72" t="s">
        <v>29</v>
      </c>
      <c r="C14" s="76" t="s">
        <v>19</v>
      </c>
      <c r="D14" s="71" t="s">
        <v>20</v>
      </c>
      <c r="E14" s="76" t="s">
        <v>30</v>
      </c>
      <c r="F14" s="73" t="s">
        <v>22</v>
      </c>
      <c r="G14" s="73">
        <v>1000</v>
      </c>
      <c r="H14" s="74">
        <v>9.8000000000000007</v>
      </c>
      <c r="I14" s="74">
        <v>9800</v>
      </c>
      <c r="J14" s="72"/>
    </row>
    <row r="15" spans="1:10" ht="45" x14ac:dyDescent="0.2">
      <c r="A15" s="71">
        <v>6</v>
      </c>
      <c r="B15" s="72" t="s">
        <v>31</v>
      </c>
      <c r="C15" s="76" t="s">
        <v>19</v>
      </c>
      <c r="D15" s="71" t="s">
        <v>20</v>
      </c>
      <c r="E15" s="76" t="s">
        <v>32</v>
      </c>
      <c r="F15" s="73" t="s">
        <v>22</v>
      </c>
      <c r="G15" s="73">
        <v>1000</v>
      </c>
      <c r="H15" s="74">
        <v>11.5</v>
      </c>
      <c r="I15" s="74">
        <v>11500</v>
      </c>
      <c r="J15" s="72"/>
    </row>
    <row r="16" spans="1:10" ht="45" x14ac:dyDescent="0.2">
      <c r="A16" s="71">
        <v>7</v>
      </c>
      <c r="B16" s="72" t="s">
        <v>33</v>
      </c>
      <c r="C16" s="76" t="s">
        <v>19</v>
      </c>
      <c r="D16" s="71" t="s">
        <v>20</v>
      </c>
      <c r="E16" s="76" t="s">
        <v>34</v>
      </c>
      <c r="F16" s="73" t="s">
        <v>22</v>
      </c>
      <c r="G16" s="73">
        <v>1000</v>
      </c>
      <c r="H16" s="74">
        <v>15</v>
      </c>
      <c r="I16" s="74">
        <v>15000</v>
      </c>
      <c r="J16" s="72"/>
    </row>
    <row r="17" spans="1:10" ht="45" x14ac:dyDescent="0.2">
      <c r="A17" s="71">
        <v>8</v>
      </c>
      <c r="B17" s="72" t="s">
        <v>35</v>
      </c>
      <c r="C17" s="76" t="s">
        <v>19</v>
      </c>
      <c r="D17" s="71" t="s">
        <v>20</v>
      </c>
      <c r="E17" s="76" t="s">
        <v>36</v>
      </c>
      <c r="F17" s="73" t="s">
        <v>22</v>
      </c>
      <c r="G17" s="73">
        <v>100</v>
      </c>
      <c r="H17" s="74">
        <v>15.3</v>
      </c>
      <c r="I17" s="74">
        <v>1530</v>
      </c>
      <c r="J17" s="72"/>
    </row>
    <row r="18" spans="1:10" ht="45" x14ac:dyDescent="0.2">
      <c r="A18" s="71">
        <v>9</v>
      </c>
      <c r="B18" s="72" t="s">
        <v>37</v>
      </c>
      <c r="C18" s="76" t="s">
        <v>19</v>
      </c>
      <c r="D18" s="71" t="s">
        <v>20</v>
      </c>
      <c r="E18" s="76" t="s">
        <v>38</v>
      </c>
      <c r="F18" s="73" t="s">
        <v>22</v>
      </c>
      <c r="G18" s="73">
        <v>300</v>
      </c>
      <c r="H18" s="74">
        <v>15.8</v>
      </c>
      <c r="I18" s="74">
        <v>4740</v>
      </c>
      <c r="J18" s="72"/>
    </row>
    <row r="19" spans="1:10" ht="30" x14ac:dyDescent="0.2">
      <c r="A19" s="71">
        <v>10</v>
      </c>
      <c r="B19" s="72" t="s">
        <v>39</v>
      </c>
      <c r="C19" s="76" t="s">
        <v>19</v>
      </c>
      <c r="D19" s="71" t="s">
        <v>20</v>
      </c>
      <c r="E19" s="76" t="s">
        <v>40</v>
      </c>
      <c r="F19" s="73" t="s">
        <v>22</v>
      </c>
      <c r="G19" s="73">
        <v>100</v>
      </c>
      <c r="H19" s="74">
        <v>16</v>
      </c>
      <c r="I19" s="74">
        <v>1600</v>
      </c>
      <c r="J19" s="72"/>
    </row>
    <row r="20" spans="1:10" ht="45" x14ac:dyDescent="0.2">
      <c r="A20" s="71">
        <v>11</v>
      </c>
      <c r="B20" s="72" t="s">
        <v>41</v>
      </c>
      <c r="C20" s="76" t="s">
        <v>19</v>
      </c>
      <c r="D20" s="71" t="s">
        <v>20</v>
      </c>
      <c r="E20" s="76" t="s">
        <v>42</v>
      </c>
      <c r="F20" s="73" t="s">
        <v>22</v>
      </c>
      <c r="G20" s="73">
        <v>500</v>
      </c>
      <c r="H20" s="74">
        <v>16.8</v>
      </c>
      <c r="I20" s="74">
        <v>8400</v>
      </c>
      <c r="J20" s="72"/>
    </row>
    <row r="21" spans="1:10" ht="30" x14ac:dyDescent="0.2">
      <c r="A21" s="71">
        <v>12</v>
      </c>
      <c r="B21" s="72" t="s">
        <v>43</v>
      </c>
      <c r="C21" s="76" t="s">
        <v>19</v>
      </c>
      <c r="D21" s="71" t="s">
        <v>20</v>
      </c>
      <c r="E21" s="76" t="s">
        <v>44</v>
      </c>
      <c r="F21" s="73" t="s">
        <v>45</v>
      </c>
      <c r="G21" s="73">
        <v>500</v>
      </c>
      <c r="H21" s="74">
        <v>33</v>
      </c>
      <c r="I21" s="74">
        <v>16500</v>
      </c>
      <c r="J21" s="72"/>
    </row>
    <row r="22" spans="1:10" ht="45" x14ac:dyDescent="0.2">
      <c r="A22" s="71">
        <v>13</v>
      </c>
      <c r="B22" s="72" t="s">
        <v>46</v>
      </c>
      <c r="C22" s="76" t="s">
        <v>19</v>
      </c>
      <c r="D22" s="71" t="s">
        <v>20</v>
      </c>
      <c r="E22" s="76" t="s">
        <v>47</v>
      </c>
      <c r="F22" s="73" t="s">
        <v>22</v>
      </c>
      <c r="G22" s="73">
        <v>500</v>
      </c>
      <c r="H22" s="74">
        <v>37.450000000000003</v>
      </c>
      <c r="I22" s="74">
        <v>18725</v>
      </c>
      <c r="J22" s="72"/>
    </row>
    <row r="23" spans="1:10" ht="45" x14ac:dyDescent="0.2">
      <c r="A23" s="71">
        <v>14</v>
      </c>
      <c r="B23" s="72" t="s">
        <v>48</v>
      </c>
      <c r="C23" s="76" t="s">
        <v>19</v>
      </c>
      <c r="D23" s="71" t="s">
        <v>20</v>
      </c>
      <c r="E23" s="76" t="s">
        <v>49</v>
      </c>
      <c r="F23" s="73" t="s">
        <v>22</v>
      </c>
      <c r="G23" s="73">
        <v>1000</v>
      </c>
      <c r="H23" s="74">
        <v>38</v>
      </c>
      <c r="I23" s="74">
        <v>38000</v>
      </c>
      <c r="J23" s="72"/>
    </row>
    <row r="24" spans="1:10" ht="30" x14ac:dyDescent="0.2">
      <c r="A24" s="71">
        <v>15</v>
      </c>
      <c r="B24" s="72" t="s">
        <v>50</v>
      </c>
      <c r="C24" s="76" t="s">
        <v>19</v>
      </c>
      <c r="D24" s="71" t="s">
        <v>20</v>
      </c>
      <c r="E24" s="76" t="s">
        <v>51</v>
      </c>
      <c r="F24" s="73" t="s">
        <v>45</v>
      </c>
      <c r="G24" s="73">
        <v>6000</v>
      </c>
      <c r="H24" s="74">
        <v>38.5</v>
      </c>
      <c r="I24" s="74">
        <v>231000</v>
      </c>
      <c r="J24" s="72"/>
    </row>
    <row r="25" spans="1:10" ht="30" x14ac:dyDescent="0.2">
      <c r="A25" s="71">
        <v>16</v>
      </c>
      <c r="B25" s="72" t="s">
        <v>52</v>
      </c>
      <c r="C25" s="76" t="s">
        <v>19</v>
      </c>
      <c r="D25" s="71" t="s">
        <v>20</v>
      </c>
      <c r="E25" s="76" t="s">
        <v>53</v>
      </c>
      <c r="F25" s="73" t="s">
        <v>22</v>
      </c>
      <c r="G25" s="73">
        <v>100</v>
      </c>
      <c r="H25" s="74">
        <v>41.3</v>
      </c>
      <c r="I25" s="74">
        <v>4130</v>
      </c>
      <c r="J25" s="72"/>
    </row>
    <row r="26" spans="1:10" ht="30" x14ac:dyDescent="0.2">
      <c r="A26" s="71">
        <v>17</v>
      </c>
      <c r="B26" s="72" t="s">
        <v>54</v>
      </c>
      <c r="C26" s="76" t="s">
        <v>19</v>
      </c>
      <c r="D26" s="71" t="s">
        <v>20</v>
      </c>
      <c r="E26" s="76" t="s">
        <v>55</v>
      </c>
      <c r="F26" s="73" t="s">
        <v>45</v>
      </c>
      <c r="G26" s="73">
        <v>200</v>
      </c>
      <c r="H26" s="74">
        <v>42</v>
      </c>
      <c r="I26" s="74">
        <v>8400</v>
      </c>
      <c r="J26" s="72"/>
    </row>
    <row r="27" spans="1:10" ht="30" x14ac:dyDescent="0.2">
      <c r="A27" s="71">
        <v>18</v>
      </c>
      <c r="B27" s="72" t="s">
        <v>56</v>
      </c>
      <c r="C27" s="76" t="s">
        <v>19</v>
      </c>
      <c r="D27" s="71" t="s">
        <v>20</v>
      </c>
      <c r="E27" s="76" t="s">
        <v>57</v>
      </c>
      <c r="F27" s="73" t="s">
        <v>45</v>
      </c>
      <c r="G27" s="73">
        <v>100</v>
      </c>
      <c r="H27" s="74">
        <v>45</v>
      </c>
      <c r="I27" s="74">
        <v>4500</v>
      </c>
      <c r="J27" s="72"/>
    </row>
    <row r="28" spans="1:10" ht="30" x14ac:dyDescent="0.2">
      <c r="A28" s="71">
        <v>19</v>
      </c>
      <c r="B28" s="72" t="s">
        <v>58</v>
      </c>
      <c r="C28" s="76" t="s">
        <v>19</v>
      </c>
      <c r="D28" s="71" t="s">
        <v>20</v>
      </c>
      <c r="E28" s="76" t="s">
        <v>59</v>
      </c>
      <c r="F28" s="73" t="s">
        <v>45</v>
      </c>
      <c r="G28" s="73">
        <v>200</v>
      </c>
      <c r="H28" s="74">
        <v>59</v>
      </c>
      <c r="I28" s="74">
        <v>11800</v>
      </c>
      <c r="J28" s="72"/>
    </row>
    <row r="29" spans="1:10" ht="45" x14ac:dyDescent="0.2">
      <c r="A29" s="71">
        <v>20</v>
      </c>
      <c r="B29" s="72" t="s">
        <v>60</v>
      </c>
      <c r="C29" s="76" t="s">
        <v>19</v>
      </c>
      <c r="D29" s="71" t="s">
        <v>20</v>
      </c>
      <c r="E29" s="76" t="s">
        <v>61</v>
      </c>
      <c r="F29" s="73" t="s">
        <v>22</v>
      </c>
      <c r="G29" s="73">
        <v>50</v>
      </c>
      <c r="H29" s="74">
        <v>62.17</v>
      </c>
      <c r="I29" s="74">
        <v>3108.5</v>
      </c>
      <c r="J29" s="72"/>
    </row>
    <row r="30" spans="1:10" ht="30" x14ac:dyDescent="0.2">
      <c r="A30" s="71">
        <v>21</v>
      </c>
      <c r="B30" s="72" t="s">
        <v>62</v>
      </c>
      <c r="C30" s="76" t="s">
        <v>19</v>
      </c>
      <c r="D30" s="71" t="s">
        <v>20</v>
      </c>
      <c r="E30" s="76" t="s">
        <v>63</v>
      </c>
      <c r="F30" s="73" t="s">
        <v>45</v>
      </c>
      <c r="G30" s="73">
        <v>500</v>
      </c>
      <c r="H30" s="74">
        <v>66</v>
      </c>
      <c r="I30" s="74">
        <v>33000</v>
      </c>
      <c r="J30" s="72"/>
    </row>
    <row r="31" spans="1:10" ht="30" x14ac:dyDescent="0.2">
      <c r="A31" s="71">
        <v>22</v>
      </c>
      <c r="B31" s="72" t="s">
        <v>64</v>
      </c>
      <c r="C31" s="76" t="s">
        <v>19</v>
      </c>
      <c r="D31" s="71" t="s">
        <v>20</v>
      </c>
      <c r="E31" s="76" t="s">
        <v>65</v>
      </c>
      <c r="F31" s="73" t="s">
        <v>45</v>
      </c>
      <c r="G31" s="73">
        <v>200</v>
      </c>
      <c r="H31" s="74">
        <v>72</v>
      </c>
      <c r="I31" s="74">
        <v>14400</v>
      </c>
      <c r="J31" s="72"/>
    </row>
    <row r="32" spans="1:10" ht="45" x14ac:dyDescent="0.2">
      <c r="A32" s="71">
        <v>23</v>
      </c>
      <c r="B32" s="72" t="s">
        <v>66</v>
      </c>
      <c r="C32" s="76" t="s">
        <v>19</v>
      </c>
      <c r="D32" s="71" t="s">
        <v>20</v>
      </c>
      <c r="E32" s="76" t="s">
        <v>67</v>
      </c>
      <c r="F32" s="73" t="s">
        <v>45</v>
      </c>
      <c r="G32" s="73">
        <v>1000</v>
      </c>
      <c r="H32" s="74">
        <v>85</v>
      </c>
      <c r="I32" s="74">
        <v>85000</v>
      </c>
      <c r="J32" s="72"/>
    </row>
    <row r="33" spans="1:10" ht="30" x14ac:dyDescent="0.2">
      <c r="A33" s="71">
        <v>24</v>
      </c>
      <c r="B33" s="72" t="s">
        <v>68</v>
      </c>
      <c r="C33" s="76" t="s">
        <v>19</v>
      </c>
      <c r="D33" s="71" t="s">
        <v>20</v>
      </c>
      <c r="E33" s="76" t="s">
        <v>69</v>
      </c>
      <c r="F33" s="73" t="s">
        <v>70</v>
      </c>
      <c r="G33" s="73">
        <v>200</v>
      </c>
      <c r="H33" s="74">
        <v>85</v>
      </c>
      <c r="I33" s="74">
        <v>17000</v>
      </c>
      <c r="J33" s="72"/>
    </row>
    <row r="34" spans="1:10" ht="30" x14ac:dyDescent="0.2">
      <c r="A34" s="71">
        <v>25</v>
      </c>
      <c r="B34" s="72" t="s">
        <v>71</v>
      </c>
      <c r="C34" s="76" t="s">
        <v>19</v>
      </c>
      <c r="D34" s="71" t="s">
        <v>20</v>
      </c>
      <c r="E34" s="76" t="s">
        <v>72</v>
      </c>
      <c r="F34" s="73" t="s">
        <v>45</v>
      </c>
      <c r="G34" s="73">
        <v>200</v>
      </c>
      <c r="H34" s="74">
        <v>87.95</v>
      </c>
      <c r="I34" s="74">
        <v>17590</v>
      </c>
      <c r="J34" s="72"/>
    </row>
    <row r="35" spans="1:10" ht="30" x14ac:dyDescent="0.2">
      <c r="A35" s="71">
        <v>26</v>
      </c>
      <c r="B35" s="72" t="s">
        <v>73</v>
      </c>
      <c r="C35" s="76" t="s">
        <v>19</v>
      </c>
      <c r="D35" s="71" t="s">
        <v>20</v>
      </c>
      <c r="E35" s="76" t="s">
        <v>74</v>
      </c>
      <c r="F35" s="73" t="s">
        <v>45</v>
      </c>
      <c r="G35" s="73">
        <v>1000</v>
      </c>
      <c r="H35" s="74">
        <v>99</v>
      </c>
      <c r="I35" s="74">
        <v>99000</v>
      </c>
      <c r="J35" s="72"/>
    </row>
    <row r="36" spans="1:10" ht="45" x14ac:dyDescent="0.2">
      <c r="A36" s="71">
        <v>27</v>
      </c>
      <c r="B36" s="72" t="s">
        <v>75</v>
      </c>
      <c r="C36" s="76" t="s">
        <v>19</v>
      </c>
      <c r="D36" s="71" t="s">
        <v>20</v>
      </c>
      <c r="E36" s="76" t="s">
        <v>76</v>
      </c>
      <c r="F36" s="73" t="s">
        <v>45</v>
      </c>
      <c r="G36" s="73">
        <v>4000</v>
      </c>
      <c r="H36" s="74">
        <v>105</v>
      </c>
      <c r="I36" s="74">
        <v>420000</v>
      </c>
      <c r="J36" s="72"/>
    </row>
    <row r="37" spans="1:10" ht="30" x14ac:dyDescent="0.2">
      <c r="A37" s="71">
        <v>28</v>
      </c>
      <c r="B37" s="72" t="s">
        <v>77</v>
      </c>
      <c r="C37" s="76" t="s">
        <v>19</v>
      </c>
      <c r="D37" s="71" t="s">
        <v>20</v>
      </c>
      <c r="E37" s="76" t="s">
        <v>78</v>
      </c>
      <c r="F37" s="73" t="s">
        <v>79</v>
      </c>
      <c r="G37" s="73">
        <v>3000</v>
      </c>
      <c r="H37" s="74">
        <v>110</v>
      </c>
      <c r="I37" s="74">
        <v>330000</v>
      </c>
      <c r="J37" s="72"/>
    </row>
    <row r="38" spans="1:10" ht="45" x14ac:dyDescent="0.2">
      <c r="A38" s="71">
        <v>29</v>
      </c>
      <c r="B38" s="72" t="s">
        <v>80</v>
      </c>
      <c r="C38" s="76" t="s">
        <v>19</v>
      </c>
      <c r="D38" s="71" t="s">
        <v>20</v>
      </c>
      <c r="E38" s="76" t="s">
        <v>81</v>
      </c>
      <c r="F38" s="73" t="s">
        <v>82</v>
      </c>
      <c r="G38" s="73">
        <v>100</v>
      </c>
      <c r="H38" s="74">
        <v>135</v>
      </c>
      <c r="I38" s="74">
        <v>13500</v>
      </c>
      <c r="J38" s="72"/>
    </row>
    <row r="39" spans="1:10" ht="45" x14ac:dyDescent="0.2">
      <c r="A39" s="71">
        <v>30</v>
      </c>
      <c r="B39" s="72" t="s">
        <v>83</v>
      </c>
      <c r="C39" s="76" t="s">
        <v>19</v>
      </c>
      <c r="D39" s="71" t="s">
        <v>20</v>
      </c>
      <c r="E39" s="76" t="s">
        <v>84</v>
      </c>
      <c r="F39" s="73" t="s">
        <v>85</v>
      </c>
      <c r="G39" s="73">
        <v>1000</v>
      </c>
      <c r="H39" s="74">
        <v>138</v>
      </c>
      <c r="I39" s="74">
        <v>138000</v>
      </c>
      <c r="J39" s="72"/>
    </row>
    <row r="40" spans="1:10" ht="45" x14ac:dyDescent="0.2">
      <c r="A40" s="71">
        <v>31</v>
      </c>
      <c r="B40" s="72" t="s">
        <v>86</v>
      </c>
      <c r="C40" s="76" t="s">
        <v>19</v>
      </c>
      <c r="D40" s="71" t="s">
        <v>20</v>
      </c>
      <c r="E40" s="76" t="s">
        <v>87</v>
      </c>
      <c r="F40" s="73" t="s">
        <v>45</v>
      </c>
      <c r="G40" s="73">
        <v>200</v>
      </c>
      <c r="H40" s="74">
        <v>144</v>
      </c>
      <c r="I40" s="74">
        <v>28800</v>
      </c>
      <c r="J40" s="72"/>
    </row>
    <row r="41" spans="1:10" ht="45" x14ac:dyDescent="0.2">
      <c r="A41" s="71">
        <v>32</v>
      </c>
      <c r="B41" s="72" t="s">
        <v>88</v>
      </c>
      <c r="C41" s="76" t="s">
        <v>19</v>
      </c>
      <c r="D41" s="71" t="s">
        <v>20</v>
      </c>
      <c r="E41" s="76" t="s">
        <v>89</v>
      </c>
      <c r="F41" s="73" t="s">
        <v>45</v>
      </c>
      <c r="G41" s="73">
        <v>600</v>
      </c>
      <c r="H41" s="74">
        <v>145</v>
      </c>
      <c r="I41" s="74">
        <v>87000</v>
      </c>
      <c r="J41" s="72"/>
    </row>
    <row r="42" spans="1:10" ht="30" x14ac:dyDescent="0.2">
      <c r="A42" s="71">
        <v>33</v>
      </c>
      <c r="B42" s="72" t="s">
        <v>90</v>
      </c>
      <c r="C42" s="76" t="s">
        <v>19</v>
      </c>
      <c r="D42" s="71" t="s">
        <v>20</v>
      </c>
      <c r="E42" s="76" t="s">
        <v>91</v>
      </c>
      <c r="F42" s="73" t="s">
        <v>45</v>
      </c>
      <c r="G42" s="73">
        <v>100</v>
      </c>
      <c r="H42" s="74">
        <v>148</v>
      </c>
      <c r="I42" s="74">
        <v>14800</v>
      </c>
      <c r="J42" s="72"/>
    </row>
    <row r="43" spans="1:10" ht="45" x14ac:dyDescent="0.2">
      <c r="A43" s="71">
        <v>34</v>
      </c>
      <c r="B43" s="72" t="s">
        <v>92</v>
      </c>
      <c r="C43" s="76" t="s">
        <v>19</v>
      </c>
      <c r="D43" s="71" t="s">
        <v>20</v>
      </c>
      <c r="E43" s="76" t="s">
        <v>93</v>
      </c>
      <c r="F43" s="73" t="s">
        <v>45</v>
      </c>
      <c r="G43" s="73">
        <v>100</v>
      </c>
      <c r="H43" s="74">
        <v>152</v>
      </c>
      <c r="I43" s="74">
        <v>15200</v>
      </c>
      <c r="J43" s="72"/>
    </row>
    <row r="44" spans="1:10" ht="30" x14ac:dyDescent="0.2">
      <c r="A44" s="71">
        <v>35</v>
      </c>
      <c r="B44" s="72" t="s">
        <v>94</v>
      </c>
      <c r="C44" s="76" t="s">
        <v>19</v>
      </c>
      <c r="D44" s="71" t="s">
        <v>20</v>
      </c>
      <c r="E44" s="76" t="s">
        <v>228</v>
      </c>
      <c r="F44" s="73" t="s">
        <v>79</v>
      </c>
      <c r="G44" s="73">
        <v>200</v>
      </c>
      <c r="H44" s="74">
        <v>165</v>
      </c>
      <c r="I44" s="74">
        <v>33000</v>
      </c>
      <c r="J44" s="72"/>
    </row>
    <row r="45" spans="1:10" ht="45" x14ac:dyDescent="0.2">
      <c r="A45" s="71">
        <v>36</v>
      </c>
      <c r="B45" s="72" t="s">
        <v>96</v>
      </c>
      <c r="C45" s="76" t="s">
        <v>19</v>
      </c>
      <c r="D45" s="71" t="s">
        <v>20</v>
      </c>
      <c r="E45" s="76" t="s">
        <v>97</v>
      </c>
      <c r="F45" s="73" t="s">
        <v>79</v>
      </c>
      <c r="G45" s="73">
        <v>50</v>
      </c>
      <c r="H45" s="74">
        <v>169</v>
      </c>
      <c r="I45" s="74">
        <v>8450</v>
      </c>
      <c r="J45" s="72"/>
    </row>
    <row r="46" spans="1:10" ht="45" x14ac:dyDescent="0.2">
      <c r="A46" s="71">
        <v>37</v>
      </c>
      <c r="B46" s="72" t="s">
        <v>98</v>
      </c>
      <c r="C46" s="76" t="s">
        <v>19</v>
      </c>
      <c r="D46" s="71" t="s">
        <v>20</v>
      </c>
      <c r="E46" s="76" t="s">
        <v>99</v>
      </c>
      <c r="F46" s="73" t="s">
        <v>45</v>
      </c>
      <c r="G46" s="73">
        <v>100</v>
      </c>
      <c r="H46" s="74">
        <v>178</v>
      </c>
      <c r="I46" s="74">
        <v>17800</v>
      </c>
      <c r="J46" s="72"/>
    </row>
    <row r="47" spans="1:10" ht="45" x14ac:dyDescent="0.2">
      <c r="A47" s="71">
        <v>38</v>
      </c>
      <c r="B47" s="72" t="s">
        <v>100</v>
      </c>
      <c r="C47" s="76" t="s">
        <v>19</v>
      </c>
      <c r="D47" s="71" t="s">
        <v>20</v>
      </c>
      <c r="E47" s="76" t="s">
        <v>101</v>
      </c>
      <c r="F47" s="73" t="s">
        <v>79</v>
      </c>
      <c r="G47" s="73">
        <v>50</v>
      </c>
      <c r="H47" s="74">
        <v>275</v>
      </c>
      <c r="I47" s="74">
        <v>13750</v>
      </c>
      <c r="J47" s="72"/>
    </row>
    <row r="48" spans="1:10" ht="45" x14ac:dyDescent="0.2">
      <c r="A48" s="71">
        <v>39</v>
      </c>
      <c r="B48" s="72" t="s">
        <v>102</v>
      </c>
      <c r="C48" s="76" t="s">
        <v>19</v>
      </c>
      <c r="D48" s="71" t="s">
        <v>20</v>
      </c>
      <c r="E48" s="76" t="s">
        <v>103</v>
      </c>
      <c r="F48" s="73" t="s">
        <v>79</v>
      </c>
      <c r="G48" s="73">
        <v>300</v>
      </c>
      <c r="H48" s="74">
        <v>320</v>
      </c>
      <c r="I48" s="74">
        <v>96000</v>
      </c>
      <c r="J48" s="72"/>
    </row>
    <row r="49" spans="1:10" ht="45" x14ac:dyDescent="0.2">
      <c r="A49" s="71">
        <v>40</v>
      </c>
      <c r="B49" s="72" t="s">
        <v>104</v>
      </c>
      <c r="C49" s="76" t="s">
        <v>19</v>
      </c>
      <c r="D49" s="71" t="s">
        <v>20</v>
      </c>
      <c r="E49" s="76" t="s">
        <v>105</v>
      </c>
      <c r="F49" s="73" t="s">
        <v>45</v>
      </c>
      <c r="G49" s="73">
        <v>200</v>
      </c>
      <c r="H49" s="74">
        <v>325</v>
      </c>
      <c r="I49" s="74">
        <v>65000</v>
      </c>
      <c r="J49" s="72"/>
    </row>
    <row r="50" spans="1:10" ht="45" x14ac:dyDescent="0.2">
      <c r="A50" s="71">
        <v>41</v>
      </c>
      <c r="B50" s="72" t="s">
        <v>106</v>
      </c>
      <c r="C50" s="76" t="s">
        <v>19</v>
      </c>
      <c r="D50" s="71" t="s">
        <v>20</v>
      </c>
      <c r="E50" s="76" t="s">
        <v>107</v>
      </c>
      <c r="F50" s="73" t="s">
        <v>45</v>
      </c>
      <c r="G50" s="73">
        <v>100</v>
      </c>
      <c r="H50" s="74">
        <v>345</v>
      </c>
      <c r="I50" s="74">
        <v>34500</v>
      </c>
      <c r="J50" s="72"/>
    </row>
    <row r="51" spans="1:10" ht="45" x14ac:dyDescent="0.2">
      <c r="A51" s="71">
        <v>42</v>
      </c>
      <c r="B51" s="72" t="s">
        <v>108</v>
      </c>
      <c r="C51" s="76" t="s">
        <v>19</v>
      </c>
      <c r="D51" s="71" t="s">
        <v>20</v>
      </c>
      <c r="E51" s="76" t="s">
        <v>109</v>
      </c>
      <c r="F51" s="73" t="s">
        <v>45</v>
      </c>
      <c r="G51" s="73">
        <v>150</v>
      </c>
      <c r="H51" s="74">
        <v>350</v>
      </c>
      <c r="I51" s="74">
        <v>52500</v>
      </c>
      <c r="J51" s="72"/>
    </row>
    <row r="52" spans="1:10" ht="45" x14ac:dyDescent="0.2">
      <c r="A52" s="71">
        <v>43</v>
      </c>
      <c r="B52" s="72" t="s">
        <v>110</v>
      </c>
      <c r="C52" s="76" t="s">
        <v>19</v>
      </c>
      <c r="D52" s="71" t="s">
        <v>20</v>
      </c>
      <c r="E52" s="76" t="s">
        <v>111</v>
      </c>
      <c r="F52" s="73" t="s">
        <v>45</v>
      </c>
      <c r="G52" s="73">
        <v>200</v>
      </c>
      <c r="H52" s="74">
        <v>351</v>
      </c>
      <c r="I52" s="74">
        <v>70200</v>
      </c>
      <c r="J52" s="72"/>
    </row>
    <row r="53" spans="1:10" ht="45" x14ac:dyDescent="0.2">
      <c r="A53" s="71">
        <v>44</v>
      </c>
      <c r="B53" s="72" t="s">
        <v>112</v>
      </c>
      <c r="C53" s="76" t="s">
        <v>19</v>
      </c>
      <c r="D53" s="71" t="s">
        <v>20</v>
      </c>
      <c r="E53" s="76" t="s">
        <v>113</v>
      </c>
      <c r="F53" s="73" t="s">
        <v>45</v>
      </c>
      <c r="G53" s="73">
        <v>200</v>
      </c>
      <c r="H53" s="74">
        <v>380</v>
      </c>
      <c r="I53" s="74">
        <v>76000</v>
      </c>
      <c r="J53" s="72"/>
    </row>
    <row r="54" spans="1:10" ht="45" x14ac:dyDescent="0.2">
      <c r="A54" s="71">
        <v>45</v>
      </c>
      <c r="B54" s="72" t="s">
        <v>114</v>
      </c>
      <c r="C54" s="76" t="s">
        <v>19</v>
      </c>
      <c r="D54" s="71" t="s">
        <v>20</v>
      </c>
      <c r="E54" s="76" t="s">
        <v>115</v>
      </c>
      <c r="F54" s="73" t="s">
        <v>79</v>
      </c>
      <c r="G54" s="73">
        <v>300</v>
      </c>
      <c r="H54" s="74">
        <v>410</v>
      </c>
      <c r="I54" s="74">
        <v>123000</v>
      </c>
      <c r="J54" s="72"/>
    </row>
    <row r="55" spans="1:10" ht="45" x14ac:dyDescent="0.2">
      <c r="A55" s="71">
        <v>46</v>
      </c>
      <c r="B55" s="72" t="s">
        <v>116</v>
      </c>
      <c r="C55" s="76" t="s">
        <v>19</v>
      </c>
      <c r="D55" s="71" t="s">
        <v>20</v>
      </c>
      <c r="E55" s="76" t="s">
        <v>117</v>
      </c>
      <c r="F55" s="73" t="s">
        <v>45</v>
      </c>
      <c r="G55" s="73">
        <v>50</v>
      </c>
      <c r="H55" s="74">
        <v>493</v>
      </c>
      <c r="I55" s="74">
        <v>24650</v>
      </c>
      <c r="J55" s="72"/>
    </row>
    <row r="56" spans="1:10" ht="45" x14ac:dyDescent="0.2">
      <c r="A56" s="71">
        <v>47</v>
      </c>
      <c r="B56" s="72" t="s">
        <v>118</v>
      </c>
      <c r="C56" s="76" t="s">
        <v>19</v>
      </c>
      <c r="D56" s="71" t="s">
        <v>20</v>
      </c>
      <c r="E56" s="76" t="s">
        <v>119</v>
      </c>
      <c r="F56" s="73" t="s">
        <v>79</v>
      </c>
      <c r="G56" s="73">
        <v>300</v>
      </c>
      <c r="H56" s="74">
        <v>562.5</v>
      </c>
      <c r="I56" s="74">
        <v>168750</v>
      </c>
      <c r="J56" s="72"/>
    </row>
    <row r="57" spans="1:10" ht="45" x14ac:dyDescent="0.2">
      <c r="A57" s="71">
        <v>48</v>
      </c>
      <c r="B57" s="72" t="s">
        <v>120</v>
      </c>
      <c r="C57" s="76" t="s">
        <v>19</v>
      </c>
      <c r="D57" s="71" t="s">
        <v>20</v>
      </c>
      <c r="E57" s="76" t="s">
        <v>121</v>
      </c>
      <c r="F57" s="73" t="s">
        <v>45</v>
      </c>
      <c r="G57" s="73">
        <v>200</v>
      </c>
      <c r="H57" s="74">
        <v>590</v>
      </c>
      <c r="I57" s="74">
        <v>118000</v>
      </c>
      <c r="J57" s="72"/>
    </row>
    <row r="58" spans="1:10" ht="45" x14ac:dyDescent="0.2">
      <c r="A58" s="71">
        <v>49</v>
      </c>
      <c r="B58" s="72" t="s">
        <v>122</v>
      </c>
      <c r="C58" s="76" t="s">
        <v>19</v>
      </c>
      <c r="D58" s="71" t="s">
        <v>20</v>
      </c>
      <c r="E58" s="76" t="s">
        <v>123</v>
      </c>
      <c r="F58" s="73" t="s">
        <v>45</v>
      </c>
      <c r="G58" s="73">
        <v>30</v>
      </c>
      <c r="H58" s="74">
        <v>695</v>
      </c>
      <c r="I58" s="74">
        <v>20850</v>
      </c>
      <c r="J58" s="72"/>
    </row>
    <row r="59" spans="1:10" ht="30" x14ac:dyDescent="0.2">
      <c r="A59" s="71">
        <v>50</v>
      </c>
      <c r="B59" s="72" t="s">
        <v>124</v>
      </c>
      <c r="C59" s="76" t="s">
        <v>19</v>
      </c>
      <c r="D59" s="71" t="s">
        <v>20</v>
      </c>
      <c r="E59" s="76" t="s">
        <v>125</v>
      </c>
      <c r="F59" s="73" t="s">
        <v>79</v>
      </c>
      <c r="G59" s="73">
        <v>300</v>
      </c>
      <c r="H59" s="74">
        <v>698</v>
      </c>
      <c r="I59" s="74">
        <v>209400</v>
      </c>
      <c r="J59" s="72"/>
    </row>
    <row r="60" spans="1:10" ht="45" x14ac:dyDescent="0.2">
      <c r="A60" s="71">
        <v>51</v>
      </c>
      <c r="B60" s="72" t="s">
        <v>126</v>
      </c>
      <c r="C60" s="76" t="s">
        <v>19</v>
      </c>
      <c r="D60" s="71" t="s">
        <v>20</v>
      </c>
      <c r="E60" s="76" t="s">
        <v>127</v>
      </c>
      <c r="F60" s="73" t="s">
        <v>85</v>
      </c>
      <c r="G60" s="73">
        <v>100</v>
      </c>
      <c r="H60" s="74">
        <v>750</v>
      </c>
      <c r="I60" s="74">
        <v>75000</v>
      </c>
      <c r="J60" s="72"/>
    </row>
    <row r="61" spans="1:10" ht="30" x14ac:dyDescent="0.2">
      <c r="A61" s="71">
        <v>52</v>
      </c>
      <c r="B61" s="72" t="s">
        <v>128</v>
      </c>
      <c r="C61" s="76" t="s">
        <v>19</v>
      </c>
      <c r="D61" s="71" t="s">
        <v>20</v>
      </c>
      <c r="E61" s="76" t="s">
        <v>129</v>
      </c>
      <c r="F61" s="73" t="s">
        <v>85</v>
      </c>
      <c r="G61" s="73">
        <v>10</v>
      </c>
      <c r="H61" s="74">
        <v>845</v>
      </c>
      <c r="I61" s="74">
        <v>8450</v>
      </c>
      <c r="J61" s="72"/>
    </row>
    <row r="62" spans="1:10" ht="45" x14ac:dyDescent="0.2">
      <c r="A62" s="71">
        <v>53</v>
      </c>
      <c r="B62" s="72" t="s">
        <v>130</v>
      </c>
      <c r="C62" s="76" t="s">
        <v>19</v>
      </c>
      <c r="D62" s="71" t="s">
        <v>20</v>
      </c>
      <c r="E62" s="76" t="s">
        <v>131</v>
      </c>
      <c r="F62" s="73" t="s">
        <v>79</v>
      </c>
      <c r="G62" s="73">
        <v>10</v>
      </c>
      <c r="H62" s="74">
        <v>850</v>
      </c>
      <c r="I62" s="74">
        <v>8500</v>
      </c>
      <c r="J62" s="72"/>
    </row>
    <row r="63" spans="1:10" ht="30" x14ac:dyDescent="0.2">
      <c r="A63" s="71">
        <v>54</v>
      </c>
      <c r="B63" s="72" t="s">
        <v>132</v>
      </c>
      <c r="C63" s="76" t="s">
        <v>19</v>
      </c>
      <c r="D63" s="71" t="s">
        <v>20</v>
      </c>
      <c r="E63" s="76" t="s">
        <v>133</v>
      </c>
      <c r="F63" s="73" t="s">
        <v>85</v>
      </c>
      <c r="G63" s="73">
        <v>20</v>
      </c>
      <c r="H63" s="74">
        <v>958</v>
      </c>
      <c r="I63" s="74">
        <v>19160</v>
      </c>
      <c r="J63" s="72"/>
    </row>
    <row r="64" spans="1:10" ht="45" x14ac:dyDescent="0.2">
      <c r="A64" s="71">
        <v>55</v>
      </c>
      <c r="B64" s="72" t="s">
        <v>134</v>
      </c>
      <c r="C64" s="76" t="s">
        <v>19</v>
      </c>
      <c r="D64" s="71" t="s">
        <v>20</v>
      </c>
      <c r="E64" s="76" t="s">
        <v>135</v>
      </c>
      <c r="F64" s="73" t="s">
        <v>79</v>
      </c>
      <c r="G64" s="73">
        <v>20</v>
      </c>
      <c r="H64" s="74">
        <v>980</v>
      </c>
      <c r="I64" s="74">
        <v>19600</v>
      </c>
      <c r="J64" s="72"/>
    </row>
    <row r="65" spans="1:10" ht="30" x14ac:dyDescent="0.2">
      <c r="A65" s="71">
        <v>56</v>
      </c>
      <c r="B65" s="72" t="s">
        <v>136</v>
      </c>
      <c r="C65" s="76" t="s">
        <v>19</v>
      </c>
      <c r="D65" s="71" t="s">
        <v>20</v>
      </c>
      <c r="E65" s="76" t="s">
        <v>137</v>
      </c>
      <c r="F65" s="73" t="s">
        <v>45</v>
      </c>
      <c r="G65" s="73">
        <v>50</v>
      </c>
      <c r="H65" s="74">
        <v>980</v>
      </c>
      <c r="I65" s="74">
        <v>49000</v>
      </c>
      <c r="J65" s="72"/>
    </row>
    <row r="66" spans="1:10" ht="45" x14ac:dyDescent="0.2">
      <c r="A66" s="71">
        <v>57</v>
      </c>
      <c r="B66" s="72" t="s">
        <v>138</v>
      </c>
      <c r="C66" s="76" t="s">
        <v>19</v>
      </c>
      <c r="D66" s="71" t="s">
        <v>20</v>
      </c>
      <c r="E66" s="76" t="s">
        <v>139</v>
      </c>
      <c r="F66" s="73" t="s">
        <v>45</v>
      </c>
      <c r="G66" s="73">
        <v>20</v>
      </c>
      <c r="H66" s="74">
        <v>1360</v>
      </c>
      <c r="I66" s="74">
        <v>27200</v>
      </c>
      <c r="J66" s="72"/>
    </row>
    <row r="67" spans="1:10" ht="45" x14ac:dyDescent="0.2">
      <c r="A67" s="71">
        <v>58</v>
      </c>
      <c r="B67" s="72" t="s">
        <v>140</v>
      </c>
      <c r="C67" s="76" t="s">
        <v>19</v>
      </c>
      <c r="D67" s="71" t="s">
        <v>20</v>
      </c>
      <c r="E67" s="76" t="s">
        <v>141</v>
      </c>
      <c r="F67" s="73" t="s">
        <v>79</v>
      </c>
      <c r="G67" s="73">
        <v>300</v>
      </c>
      <c r="H67" s="74">
        <v>1500</v>
      </c>
      <c r="I67" s="74">
        <v>450000</v>
      </c>
      <c r="J67" s="72"/>
    </row>
    <row r="68" spans="1:10" ht="30" x14ac:dyDescent="0.2">
      <c r="A68" s="71">
        <v>59</v>
      </c>
      <c r="B68" s="72" t="s">
        <v>142</v>
      </c>
      <c r="C68" s="76" t="s">
        <v>19</v>
      </c>
      <c r="D68" s="71" t="s">
        <v>20</v>
      </c>
      <c r="E68" s="76" t="s">
        <v>143</v>
      </c>
      <c r="F68" s="73" t="s">
        <v>45</v>
      </c>
      <c r="G68" s="73">
        <v>100</v>
      </c>
      <c r="H68" s="74">
        <v>1720</v>
      </c>
      <c r="I68" s="74">
        <v>172000</v>
      </c>
      <c r="J68" s="72"/>
    </row>
    <row r="69" spans="1:10" ht="45" x14ac:dyDescent="0.2">
      <c r="A69" s="71">
        <v>60</v>
      </c>
      <c r="B69" s="72" t="s">
        <v>144</v>
      </c>
      <c r="C69" s="76" t="s">
        <v>19</v>
      </c>
      <c r="D69" s="71" t="s">
        <v>20</v>
      </c>
      <c r="E69" s="76" t="s">
        <v>229</v>
      </c>
      <c r="F69" s="73" t="s">
        <v>146</v>
      </c>
      <c r="G69" s="73">
        <v>10</v>
      </c>
      <c r="H69" s="74">
        <v>1762.5</v>
      </c>
      <c r="I69" s="74">
        <v>17625</v>
      </c>
      <c r="J69" s="72" t="s">
        <v>147</v>
      </c>
    </row>
    <row r="70" spans="1:10" ht="45" x14ac:dyDescent="0.2">
      <c r="A70" s="71">
        <v>61</v>
      </c>
      <c r="B70" s="72" t="s">
        <v>148</v>
      </c>
      <c r="C70" s="76" t="s">
        <v>19</v>
      </c>
      <c r="D70" s="71" t="s">
        <v>20</v>
      </c>
      <c r="E70" s="76" t="s">
        <v>149</v>
      </c>
      <c r="F70" s="73" t="s">
        <v>79</v>
      </c>
      <c r="G70" s="73">
        <v>1</v>
      </c>
      <c r="H70" s="74">
        <v>1815</v>
      </c>
      <c r="I70" s="74">
        <v>1815</v>
      </c>
      <c r="J70" s="72"/>
    </row>
    <row r="71" spans="1:10" ht="30" x14ac:dyDescent="0.2">
      <c r="A71" s="71">
        <v>62</v>
      </c>
      <c r="B71" s="72" t="s">
        <v>150</v>
      </c>
      <c r="C71" s="76" t="s">
        <v>19</v>
      </c>
      <c r="D71" s="71" t="s">
        <v>20</v>
      </c>
      <c r="E71" s="76" t="s">
        <v>151</v>
      </c>
      <c r="F71" s="73" t="s">
        <v>79</v>
      </c>
      <c r="G71" s="73">
        <v>100</v>
      </c>
      <c r="H71" s="74">
        <v>1850</v>
      </c>
      <c r="I71" s="74">
        <v>185000</v>
      </c>
      <c r="J71" s="72" t="s">
        <v>152</v>
      </c>
    </row>
    <row r="72" spans="1:10" ht="30" x14ac:dyDescent="0.2">
      <c r="A72" s="71">
        <v>63</v>
      </c>
      <c r="B72" s="72" t="s">
        <v>153</v>
      </c>
      <c r="C72" s="76" t="s">
        <v>19</v>
      </c>
      <c r="D72" s="71" t="s">
        <v>20</v>
      </c>
      <c r="E72" s="76" t="s">
        <v>154</v>
      </c>
      <c r="F72" s="73" t="s">
        <v>79</v>
      </c>
      <c r="G72" s="73">
        <v>10</v>
      </c>
      <c r="H72" s="74">
        <v>2360</v>
      </c>
      <c r="I72" s="74">
        <v>23600</v>
      </c>
      <c r="J72" s="72"/>
    </row>
    <row r="73" spans="1:10" ht="30" x14ac:dyDescent="0.2">
      <c r="A73" s="71">
        <v>64</v>
      </c>
      <c r="B73" s="72" t="s">
        <v>155</v>
      </c>
      <c r="C73" s="76" t="s">
        <v>19</v>
      </c>
      <c r="D73" s="71" t="s">
        <v>20</v>
      </c>
      <c r="E73" s="76" t="s">
        <v>230</v>
      </c>
      <c r="F73" s="73" t="s">
        <v>45</v>
      </c>
      <c r="G73" s="73">
        <v>10</v>
      </c>
      <c r="H73" s="74">
        <v>4597.9799999999996</v>
      </c>
      <c r="I73" s="74">
        <v>45979.8</v>
      </c>
      <c r="J73" s="72"/>
    </row>
    <row r="74" spans="1:10" ht="30" x14ac:dyDescent="0.2">
      <c r="A74" s="71">
        <v>65</v>
      </c>
      <c r="B74" s="72" t="s">
        <v>157</v>
      </c>
      <c r="C74" s="76" t="s">
        <v>19</v>
      </c>
      <c r="D74" s="71" t="s">
        <v>20</v>
      </c>
      <c r="E74" s="76" t="s">
        <v>231</v>
      </c>
      <c r="F74" s="73" t="s">
        <v>45</v>
      </c>
      <c r="G74" s="73">
        <v>10</v>
      </c>
      <c r="H74" s="74">
        <v>8899.39</v>
      </c>
      <c r="I74" s="74">
        <v>88993.9</v>
      </c>
      <c r="J74" s="72"/>
    </row>
    <row r="75" spans="1:10" ht="45" x14ac:dyDescent="0.2">
      <c r="A75" s="71">
        <v>66</v>
      </c>
      <c r="B75" s="72" t="s">
        <v>159</v>
      </c>
      <c r="C75" s="76" t="s">
        <v>19</v>
      </c>
      <c r="D75" s="71" t="s">
        <v>20</v>
      </c>
      <c r="E75" s="76" t="s">
        <v>160</v>
      </c>
      <c r="F75" s="73" t="s">
        <v>79</v>
      </c>
      <c r="G75" s="73">
        <v>100</v>
      </c>
      <c r="H75" s="74">
        <v>15580</v>
      </c>
      <c r="I75" s="74">
        <v>1558000</v>
      </c>
      <c r="J75" s="72"/>
    </row>
    <row r="76" spans="1:10" ht="30" x14ac:dyDescent="0.2">
      <c r="A76" s="71">
        <v>67</v>
      </c>
      <c r="B76" s="72" t="s">
        <v>161</v>
      </c>
      <c r="C76" s="76" t="s">
        <v>19</v>
      </c>
      <c r="D76" s="71" t="s">
        <v>20</v>
      </c>
      <c r="E76" s="76" t="s">
        <v>162</v>
      </c>
      <c r="F76" s="73" t="s">
        <v>45</v>
      </c>
      <c r="G76" s="73">
        <v>50</v>
      </c>
      <c r="H76" s="74">
        <v>29500</v>
      </c>
      <c r="I76" s="74">
        <v>1475000</v>
      </c>
      <c r="J76" s="72"/>
    </row>
    <row r="77" spans="1:10" ht="45" x14ac:dyDescent="0.2">
      <c r="A77" s="71">
        <v>68</v>
      </c>
      <c r="B77" s="72" t="s">
        <v>163</v>
      </c>
      <c r="C77" s="76" t="s">
        <v>19</v>
      </c>
      <c r="D77" s="71" t="s">
        <v>20</v>
      </c>
      <c r="E77" s="76" t="s">
        <v>164</v>
      </c>
      <c r="F77" s="73" t="s">
        <v>85</v>
      </c>
      <c r="G77" s="73">
        <v>40</v>
      </c>
      <c r="H77" s="74">
        <v>59000</v>
      </c>
      <c r="I77" s="74">
        <v>2360000</v>
      </c>
      <c r="J77" s="72"/>
    </row>
    <row r="78" spans="1:10" ht="45" x14ac:dyDescent="0.2">
      <c r="A78" s="71">
        <v>69</v>
      </c>
      <c r="B78" s="72" t="s">
        <v>165</v>
      </c>
      <c r="C78" s="76" t="s">
        <v>19</v>
      </c>
      <c r="D78" s="71" t="s">
        <v>20</v>
      </c>
      <c r="E78" s="76" t="s">
        <v>166</v>
      </c>
      <c r="F78" s="73" t="s">
        <v>85</v>
      </c>
      <c r="G78" s="73">
        <v>30</v>
      </c>
      <c r="H78" s="74">
        <v>125640</v>
      </c>
      <c r="I78" s="74">
        <v>3769200</v>
      </c>
      <c r="J78" s="72"/>
    </row>
    <row r="79" spans="1:10" ht="15" x14ac:dyDescent="0.2">
      <c r="A79" s="71"/>
      <c r="B79" s="72"/>
      <c r="C79" s="76"/>
      <c r="D79" s="71"/>
      <c r="E79" s="76"/>
      <c r="F79" s="73"/>
      <c r="G79" s="73"/>
      <c r="H79" s="74"/>
      <c r="I79" s="74"/>
      <c r="J79" s="72"/>
    </row>
    <row r="80" spans="1:10" s="1" customFormat="1" ht="15.75" thickBot="1" x14ac:dyDescent="0.25">
      <c r="A80" s="18"/>
      <c r="B80" s="22"/>
      <c r="C80" s="78"/>
      <c r="D80" s="18"/>
      <c r="E80" s="76"/>
      <c r="F80" s="18"/>
      <c r="G80" s="18"/>
      <c r="H80" s="19"/>
      <c r="I80" s="19"/>
      <c r="J80" s="72"/>
    </row>
    <row r="81" spans="2:10" ht="13.5" thickBot="1" x14ac:dyDescent="0.25">
      <c r="C81" s="82" t="s">
        <v>167</v>
      </c>
      <c r="D81" s="82"/>
      <c r="E81" s="82"/>
      <c r="F81" s="82"/>
      <c r="G81" s="82"/>
      <c r="H81" s="20" t="s">
        <v>168</v>
      </c>
      <c r="I81" s="21">
        <f>SUM(I10:I80)</f>
        <v>13214330.199999999</v>
      </c>
      <c r="J81" s="8"/>
    </row>
    <row r="82" spans="2:10" ht="15" x14ac:dyDescent="0.25">
      <c r="B82" s="9"/>
      <c r="C82" s="10"/>
      <c r="D82" s="10"/>
      <c r="E82" s="81"/>
    </row>
    <row r="83" spans="2:10" ht="15" x14ac:dyDescent="0.25">
      <c r="B83" s="86" t="s">
        <v>169</v>
      </c>
      <c r="C83" s="87"/>
      <c r="D83" s="87"/>
      <c r="E83" s="88"/>
    </row>
    <row r="84" spans="2:10" ht="112.5" customHeight="1" x14ac:dyDescent="0.2">
      <c r="B84" s="92" t="s">
        <v>232</v>
      </c>
      <c r="C84" s="93"/>
      <c r="D84" s="93"/>
      <c r="E84" s="94"/>
    </row>
    <row r="85" spans="2:10" ht="15" x14ac:dyDescent="0.25">
      <c r="B85" s="86" t="s">
        <v>170</v>
      </c>
      <c r="C85" s="87"/>
      <c r="D85" s="87"/>
      <c r="E85" s="88"/>
    </row>
    <row r="86" spans="2:10" ht="15" x14ac:dyDescent="0.25">
      <c r="B86" s="89" t="s">
        <v>171</v>
      </c>
      <c r="C86" s="90"/>
      <c r="D86" s="90"/>
      <c r="E86" s="91"/>
    </row>
    <row r="87" spans="2:10" ht="15" x14ac:dyDescent="0.25">
      <c r="B87" s="86" t="s">
        <v>172</v>
      </c>
      <c r="C87" s="87"/>
      <c r="D87" s="87"/>
      <c r="E87" s="88"/>
    </row>
    <row r="88" spans="2:10" ht="15" x14ac:dyDescent="0.25">
      <c r="B88" s="89" t="s">
        <v>173</v>
      </c>
      <c r="C88" s="90"/>
      <c r="D88" s="90"/>
      <c r="E88" s="91"/>
    </row>
    <row r="89" spans="2:10" ht="15" x14ac:dyDescent="0.25">
      <c r="B89" s="86" t="s">
        <v>174</v>
      </c>
      <c r="C89" s="87"/>
      <c r="D89" s="87"/>
      <c r="E89" s="88"/>
    </row>
    <row r="90" spans="2:10" ht="15.75" thickBot="1" x14ac:dyDescent="0.3">
      <c r="B90" s="83" t="s">
        <v>175</v>
      </c>
      <c r="C90" s="84"/>
      <c r="D90" s="84"/>
      <c r="E90" s="85"/>
    </row>
  </sheetData>
  <mergeCells count="18">
    <mergeCell ref="A4:B4"/>
    <mergeCell ref="A5:B5"/>
    <mergeCell ref="A6:B6"/>
    <mergeCell ref="A7:B7"/>
    <mergeCell ref="A2:J2"/>
    <mergeCell ref="C4:J4"/>
    <mergeCell ref="C5:J5"/>
    <mergeCell ref="C6:J6"/>
    <mergeCell ref="C7:J7"/>
    <mergeCell ref="C81:G81"/>
    <mergeCell ref="B90:E90"/>
    <mergeCell ref="B83:E83"/>
    <mergeCell ref="B85:E85"/>
    <mergeCell ref="B87:E87"/>
    <mergeCell ref="B89:E89"/>
    <mergeCell ref="B86:E86"/>
    <mergeCell ref="B84:E84"/>
    <mergeCell ref="B88:E88"/>
  </mergeCells>
  <pageMargins left="0.7" right="0.7" top="0.75" bottom="0.75" header="0.51180555555554996" footer="0.51180555555554996"/>
  <pageSetup paperSize="9"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topLeftCell="A10" workbookViewId="0">
      <selection activeCell="C16" sqref="C16"/>
    </sheetView>
  </sheetViews>
  <sheetFormatPr baseColWidth="10" defaultColWidth="9.140625" defaultRowHeight="12.75" customHeight="1" x14ac:dyDescent="0.2"/>
  <cols>
    <col min="1" max="1" width="7.28515625" style="33" customWidth="1"/>
    <col min="2" max="2" width="20.140625" style="33" customWidth="1"/>
    <col min="3" max="3" width="85.85546875" style="33" customWidth="1"/>
    <col min="4" max="4" width="9.140625" style="33"/>
    <col min="5" max="5" width="11" style="33" customWidth="1"/>
    <col min="6" max="6" width="16" style="33" customWidth="1"/>
    <col min="7" max="7" width="10.5703125" style="33" customWidth="1"/>
  </cols>
  <sheetData>
    <row r="1" spans="1:7" ht="18" customHeight="1" x14ac:dyDescent="0.2">
      <c r="A1" s="131" t="s">
        <v>176</v>
      </c>
      <c r="B1" s="131"/>
      <c r="C1" s="131"/>
      <c r="D1" s="131"/>
      <c r="E1" s="131"/>
      <c r="F1" s="131"/>
      <c r="G1" s="131"/>
    </row>
    <row r="2" spans="1:7" ht="18.75" customHeight="1" x14ac:dyDescent="0.2">
      <c r="A2" s="34"/>
      <c r="B2" s="34"/>
      <c r="C2" s="34"/>
      <c r="D2" s="34"/>
      <c r="E2" s="34"/>
      <c r="F2" s="35" t="s">
        <v>177</v>
      </c>
      <c r="G2" s="36" t="s">
        <v>225</v>
      </c>
    </row>
    <row r="3" spans="1:7" ht="7.5" customHeight="1" x14ac:dyDescent="0.2">
      <c r="A3" s="34"/>
      <c r="B3" s="34"/>
      <c r="C3" s="34"/>
      <c r="D3" s="34"/>
      <c r="E3" s="34"/>
      <c r="F3" s="34"/>
      <c r="G3" s="34"/>
    </row>
    <row r="4" spans="1:7" ht="18.75" customHeight="1" x14ac:dyDescent="0.2">
      <c r="A4" s="95" t="s">
        <v>178</v>
      </c>
      <c r="B4" s="135"/>
      <c r="C4" s="132" t="s">
        <v>2</v>
      </c>
      <c r="D4" s="133"/>
      <c r="E4" s="133"/>
      <c r="F4" s="133"/>
      <c r="G4" s="134"/>
    </row>
    <row r="5" spans="1:7" ht="18.75" customHeight="1" x14ac:dyDescent="0.2">
      <c r="A5" s="97" t="s">
        <v>179</v>
      </c>
      <c r="B5" s="122"/>
      <c r="C5" s="109" t="s">
        <v>4</v>
      </c>
      <c r="D5" s="110"/>
      <c r="E5" s="110"/>
      <c r="F5" s="110"/>
      <c r="G5" s="111"/>
    </row>
    <row r="6" spans="1:7" ht="18.75" customHeight="1" x14ac:dyDescent="0.2">
      <c r="A6" s="97" t="s">
        <v>180</v>
      </c>
      <c r="B6" s="122"/>
      <c r="C6" s="109" t="s">
        <v>181</v>
      </c>
      <c r="D6" s="110"/>
      <c r="E6" s="110"/>
      <c r="F6" s="110"/>
      <c r="G6" s="111"/>
    </row>
    <row r="7" spans="1:7" ht="32.25" customHeight="1" x14ac:dyDescent="0.2">
      <c r="A7" s="97" t="s">
        <v>182</v>
      </c>
      <c r="B7" s="122"/>
      <c r="C7" s="109" t="s">
        <v>181</v>
      </c>
      <c r="D7" s="110"/>
      <c r="E7" s="110"/>
      <c r="F7" s="110"/>
      <c r="G7" s="111"/>
    </row>
    <row r="8" spans="1:7" ht="16.5" customHeight="1" x14ac:dyDescent="0.2">
      <c r="A8" s="97" t="s">
        <v>183</v>
      </c>
      <c r="B8" s="122"/>
      <c r="C8" s="109" t="s">
        <v>184</v>
      </c>
      <c r="D8" s="110"/>
      <c r="E8" s="110"/>
      <c r="F8" s="110"/>
      <c r="G8" s="111"/>
    </row>
    <row r="9" spans="1:7" ht="30.75" customHeight="1" x14ac:dyDescent="0.2">
      <c r="A9" s="112" t="s">
        <v>185</v>
      </c>
      <c r="B9" s="113"/>
      <c r="C9" s="119" t="s">
        <v>224</v>
      </c>
      <c r="D9" s="120"/>
      <c r="E9" s="120"/>
      <c r="F9" s="120"/>
      <c r="G9" s="121"/>
    </row>
    <row r="10" spans="1:7" ht="16.5" customHeight="1" x14ac:dyDescent="0.2">
      <c r="A10" s="37"/>
      <c r="B10" s="38"/>
      <c r="C10" s="6"/>
      <c r="D10" s="6"/>
      <c r="E10" s="5"/>
      <c r="F10" s="5"/>
      <c r="G10" s="7"/>
    </row>
    <row r="11" spans="1:7" ht="18.75" customHeight="1" x14ac:dyDescent="0.2">
      <c r="A11" s="123" t="s">
        <v>186</v>
      </c>
      <c r="B11" s="125" t="s">
        <v>187</v>
      </c>
      <c r="C11" s="114" t="s">
        <v>188</v>
      </c>
      <c r="D11" s="129" t="s">
        <v>189</v>
      </c>
      <c r="E11" s="129" t="s">
        <v>190</v>
      </c>
      <c r="F11" s="129" t="s">
        <v>191</v>
      </c>
      <c r="G11" s="129" t="s">
        <v>192</v>
      </c>
    </row>
    <row r="12" spans="1:7" ht="24" customHeight="1" x14ac:dyDescent="0.2">
      <c r="A12" s="124"/>
      <c r="B12" s="126"/>
      <c r="C12" s="115"/>
      <c r="D12" s="130"/>
      <c r="E12" s="130"/>
      <c r="F12" s="130"/>
      <c r="G12" s="130"/>
    </row>
    <row r="13" spans="1:7" ht="15" customHeight="1" x14ac:dyDescent="0.2">
      <c r="A13" s="39">
        <v>1</v>
      </c>
      <c r="B13" s="29" t="s">
        <v>108</v>
      </c>
      <c r="C13" s="30" t="s">
        <v>109</v>
      </c>
      <c r="D13" s="26" t="s">
        <v>193</v>
      </c>
      <c r="E13" s="26" t="s">
        <v>45</v>
      </c>
      <c r="F13" s="27">
        <v>350</v>
      </c>
      <c r="G13" s="28">
        <v>150</v>
      </c>
    </row>
    <row r="14" spans="1:7" ht="15" customHeight="1" x14ac:dyDescent="0.2">
      <c r="A14" s="39">
        <v>2</v>
      </c>
      <c r="B14" s="29" t="s">
        <v>134</v>
      </c>
      <c r="C14" s="30" t="s">
        <v>135</v>
      </c>
      <c r="D14" s="26" t="s">
        <v>193</v>
      </c>
      <c r="E14" s="26" t="s">
        <v>79</v>
      </c>
      <c r="F14" s="27">
        <v>980</v>
      </c>
      <c r="G14" s="28">
        <v>20</v>
      </c>
    </row>
    <row r="15" spans="1:7" ht="15" customHeight="1" x14ac:dyDescent="0.2">
      <c r="A15" s="39">
        <v>3</v>
      </c>
      <c r="B15" s="29" t="s">
        <v>18</v>
      </c>
      <c r="C15" s="30" t="s">
        <v>21</v>
      </c>
      <c r="D15" s="26" t="s">
        <v>193</v>
      </c>
      <c r="E15" s="26" t="s">
        <v>22</v>
      </c>
      <c r="F15" s="27">
        <v>1.88</v>
      </c>
      <c r="G15" s="28">
        <v>300</v>
      </c>
    </row>
    <row r="16" spans="1:7" ht="15" customHeight="1" x14ac:dyDescent="0.2">
      <c r="A16" s="39">
        <v>4</v>
      </c>
      <c r="B16" s="29" t="s">
        <v>52</v>
      </c>
      <c r="C16" s="30" t="s">
        <v>53</v>
      </c>
      <c r="D16" s="26" t="s">
        <v>193</v>
      </c>
      <c r="E16" s="26" t="s">
        <v>22</v>
      </c>
      <c r="F16" s="27">
        <v>41.3</v>
      </c>
      <c r="G16" s="28">
        <v>100</v>
      </c>
    </row>
    <row r="17" spans="1:7" ht="15" customHeight="1" x14ac:dyDescent="0.2">
      <c r="A17" s="39">
        <v>5</v>
      </c>
      <c r="B17" s="29" t="s">
        <v>71</v>
      </c>
      <c r="C17" s="30" t="s">
        <v>72</v>
      </c>
      <c r="D17" s="26" t="s">
        <v>193</v>
      </c>
      <c r="E17" s="26" t="s">
        <v>45</v>
      </c>
      <c r="F17" s="27">
        <v>87.95</v>
      </c>
      <c r="G17" s="28">
        <v>200</v>
      </c>
    </row>
    <row r="18" spans="1:7" ht="15" customHeight="1" x14ac:dyDescent="0.2">
      <c r="A18" s="39">
        <v>6</v>
      </c>
      <c r="B18" s="29" t="s">
        <v>114</v>
      </c>
      <c r="C18" s="30" t="s">
        <v>115</v>
      </c>
      <c r="D18" s="26" t="s">
        <v>193</v>
      </c>
      <c r="E18" s="26" t="s">
        <v>79</v>
      </c>
      <c r="F18" s="27">
        <v>410</v>
      </c>
      <c r="G18" s="28">
        <v>300</v>
      </c>
    </row>
    <row r="19" spans="1:7" ht="15" customHeight="1" x14ac:dyDescent="0.2">
      <c r="A19" s="39">
        <v>7</v>
      </c>
      <c r="B19" s="29" t="s">
        <v>48</v>
      </c>
      <c r="C19" s="30" t="s">
        <v>49</v>
      </c>
      <c r="D19" s="26" t="s">
        <v>193</v>
      </c>
      <c r="E19" s="26" t="s">
        <v>22</v>
      </c>
      <c r="F19" s="27">
        <v>38</v>
      </c>
      <c r="G19" s="28">
        <v>1000</v>
      </c>
    </row>
    <row r="20" spans="1:7" ht="15" customHeight="1" x14ac:dyDescent="0.2">
      <c r="A20" s="39">
        <v>8</v>
      </c>
      <c r="B20" s="29" t="s">
        <v>33</v>
      </c>
      <c r="C20" s="30" t="s">
        <v>34</v>
      </c>
      <c r="D20" s="26" t="s">
        <v>193</v>
      </c>
      <c r="E20" s="26" t="s">
        <v>22</v>
      </c>
      <c r="F20" s="27">
        <v>15</v>
      </c>
      <c r="G20" s="28">
        <v>1000</v>
      </c>
    </row>
    <row r="21" spans="1:7" ht="15" customHeight="1" x14ac:dyDescent="0.2">
      <c r="A21" s="39">
        <v>9</v>
      </c>
      <c r="B21" s="29" t="s">
        <v>102</v>
      </c>
      <c r="C21" s="30" t="s">
        <v>103</v>
      </c>
      <c r="D21" s="26" t="s">
        <v>193</v>
      </c>
      <c r="E21" s="26" t="s">
        <v>79</v>
      </c>
      <c r="F21" s="27">
        <v>320</v>
      </c>
      <c r="G21" s="28">
        <v>300</v>
      </c>
    </row>
    <row r="22" spans="1:7" ht="15" customHeight="1" x14ac:dyDescent="0.2">
      <c r="A22" s="39">
        <v>10</v>
      </c>
      <c r="B22" s="29" t="s">
        <v>73</v>
      </c>
      <c r="C22" s="30" t="s">
        <v>74</v>
      </c>
      <c r="D22" s="26" t="s">
        <v>193</v>
      </c>
      <c r="E22" s="26" t="s">
        <v>45</v>
      </c>
      <c r="F22" s="27">
        <v>99</v>
      </c>
      <c r="G22" s="28">
        <v>1000</v>
      </c>
    </row>
    <row r="23" spans="1:7" ht="15" customHeight="1" x14ac:dyDescent="0.2">
      <c r="A23" s="39">
        <v>11</v>
      </c>
      <c r="B23" s="29" t="s">
        <v>161</v>
      </c>
      <c r="C23" s="30" t="s">
        <v>162</v>
      </c>
      <c r="D23" s="26" t="s">
        <v>193</v>
      </c>
      <c r="E23" s="26" t="s">
        <v>45</v>
      </c>
      <c r="F23" s="27">
        <v>29500</v>
      </c>
      <c r="G23" s="28">
        <v>50</v>
      </c>
    </row>
    <row r="24" spans="1:7" ht="15" customHeight="1" x14ac:dyDescent="0.2">
      <c r="A24" s="39">
        <v>12</v>
      </c>
      <c r="B24" s="29" t="s">
        <v>118</v>
      </c>
      <c r="C24" s="30" t="s">
        <v>119</v>
      </c>
      <c r="D24" s="26" t="s">
        <v>193</v>
      </c>
      <c r="E24" s="26" t="s">
        <v>79</v>
      </c>
      <c r="F24" s="27">
        <v>562.5</v>
      </c>
      <c r="G24" s="28">
        <v>300</v>
      </c>
    </row>
    <row r="25" spans="1:7" ht="15" customHeight="1" x14ac:dyDescent="0.2">
      <c r="A25" s="39">
        <v>13</v>
      </c>
      <c r="B25" s="29" t="s">
        <v>46</v>
      </c>
      <c r="C25" s="30" t="s">
        <v>47</v>
      </c>
      <c r="D25" s="26" t="s">
        <v>193</v>
      </c>
      <c r="E25" s="26" t="s">
        <v>22</v>
      </c>
      <c r="F25" s="27">
        <v>37.450000000000003</v>
      </c>
      <c r="G25" s="28">
        <v>500</v>
      </c>
    </row>
    <row r="26" spans="1:7" ht="15" customHeight="1" x14ac:dyDescent="0.2">
      <c r="A26" s="39">
        <v>14</v>
      </c>
      <c r="B26" s="29" t="s">
        <v>39</v>
      </c>
      <c r="C26" s="30" t="s">
        <v>40</v>
      </c>
      <c r="D26" s="26" t="s">
        <v>193</v>
      </c>
      <c r="E26" s="26" t="s">
        <v>22</v>
      </c>
      <c r="F26" s="27">
        <v>16</v>
      </c>
      <c r="G26" s="28">
        <v>100</v>
      </c>
    </row>
    <row r="27" spans="1:7" ht="15" customHeight="1" x14ac:dyDescent="0.2">
      <c r="A27" s="39">
        <v>15</v>
      </c>
      <c r="B27" s="29" t="s">
        <v>35</v>
      </c>
      <c r="C27" s="30" t="s">
        <v>36</v>
      </c>
      <c r="D27" s="26" t="s">
        <v>193</v>
      </c>
      <c r="E27" s="26" t="s">
        <v>22</v>
      </c>
      <c r="F27" s="27">
        <v>15.3</v>
      </c>
      <c r="G27" s="28">
        <v>100</v>
      </c>
    </row>
    <row r="28" spans="1:7" ht="15" customHeight="1" x14ac:dyDescent="0.2">
      <c r="A28" s="39">
        <v>16</v>
      </c>
      <c r="B28" s="29" t="s">
        <v>88</v>
      </c>
      <c r="C28" s="30" t="s">
        <v>89</v>
      </c>
      <c r="D28" s="26" t="s">
        <v>193</v>
      </c>
      <c r="E28" s="26" t="s">
        <v>45</v>
      </c>
      <c r="F28" s="27">
        <v>145</v>
      </c>
      <c r="G28" s="28">
        <v>600</v>
      </c>
    </row>
    <row r="29" spans="1:7" ht="15" customHeight="1" x14ac:dyDescent="0.2">
      <c r="A29" s="39">
        <v>17</v>
      </c>
      <c r="B29" s="29" t="s">
        <v>90</v>
      </c>
      <c r="C29" s="30" t="s">
        <v>91</v>
      </c>
      <c r="D29" s="26" t="s">
        <v>193</v>
      </c>
      <c r="E29" s="26" t="s">
        <v>45</v>
      </c>
      <c r="F29" s="27">
        <v>148</v>
      </c>
      <c r="G29" s="28">
        <v>100</v>
      </c>
    </row>
    <row r="30" spans="1:7" ht="15" customHeight="1" x14ac:dyDescent="0.2">
      <c r="A30" s="39">
        <v>18</v>
      </c>
      <c r="B30" s="29" t="s">
        <v>86</v>
      </c>
      <c r="C30" s="30" t="s">
        <v>87</v>
      </c>
      <c r="D30" s="26" t="s">
        <v>193</v>
      </c>
      <c r="E30" s="26" t="s">
        <v>45</v>
      </c>
      <c r="F30" s="27">
        <v>144</v>
      </c>
      <c r="G30" s="28">
        <v>200</v>
      </c>
    </row>
    <row r="31" spans="1:7" ht="15" customHeight="1" x14ac:dyDescent="0.2">
      <c r="A31" s="39">
        <v>19</v>
      </c>
      <c r="B31" s="29" t="s">
        <v>75</v>
      </c>
      <c r="C31" s="30" t="s">
        <v>76</v>
      </c>
      <c r="D31" s="26" t="s">
        <v>193</v>
      </c>
      <c r="E31" s="26" t="s">
        <v>45</v>
      </c>
      <c r="F31" s="27">
        <v>105</v>
      </c>
      <c r="G31" s="28">
        <v>4000</v>
      </c>
    </row>
    <row r="32" spans="1:7" ht="15" customHeight="1" x14ac:dyDescent="0.2">
      <c r="A32" s="39">
        <v>20</v>
      </c>
      <c r="B32" s="29" t="s">
        <v>110</v>
      </c>
      <c r="C32" s="30" t="s">
        <v>111</v>
      </c>
      <c r="D32" s="26" t="s">
        <v>193</v>
      </c>
      <c r="E32" s="26" t="s">
        <v>45</v>
      </c>
      <c r="F32" s="27">
        <v>351</v>
      </c>
      <c r="G32" s="28">
        <v>200</v>
      </c>
    </row>
    <row r="33" spans="1:7" ht="15" customHeight="1" x14ac:dyDescent="0.2">
      <c r="A33" s="39">
        <v>21</v>
      </c>
      <c r="B33" s="29" t="s">
        <v>80</v>
      </c>
      <c r="C33" s="30" t="s">
        <v>81</v>
      </c>
      <c r="D33" s="26" t="s">
        <v>193</v>
      </c>
      <c r="E33" s="26" t="s">
        <v>82</v>
      </c>
      <c r="F33" s="27">
        <v>135</v>
      </c>
      <c r="G33" s="28">
        <v>100</v>
      </c>
    </row>
    <row r="34" spans="1:7" ht="15" customHeight="1" x14ac:dyDescent="0.2">
      <c r="A34" s="39">
        <v>22</v>
      </c>
      <c r="B34" s="29" t="s">
        <v>31</v>
      </c>
      <c r="C34" s="30" t="s">
        <v>32</v>
      </c>
      <c r="D34" s="26" t="s">
        <v>193</v>
      </c>
      <c r="E34" s="26" t="s">
        <v>22</v>
      </c>
      <c r="F34" s="27">
        <v>11.5</v>
      </c>
      <c r="G34" s="28">
        <v>1000</v>
      </c>
    </row>
    <row r="35" spans="1:7" ht="15" customHeight="1" x14ac:dyDescent="0.2">
      <c r="A35" s="39">
        <v>23</v>
      </c>
      <c r="B35" s="29" t="s">
        <v>140</v>
      </c>
      <c r="C35" s="30" t="s">
        <v>141</v>
      </c>
      <c r="D35" s="26" t="s">
        <v>193</v>
      </c>
      <c r="E35" s="26" t="s">
        <v>79</v>
      </c>
      <c r="F35" s="27">
        <v>1500</v>
      </c>
      <c r="G35" s="28">
        <v>300</v>
      </c>
    </row>
    <row r="36" spans="1:7" ht="15" customHeight="1" x14ac:dyDescent="0.2">
      <c r="A36" s="39">
        <v>24</v>
      </c>
      <c r="B36" s="29" t="s">
        <v>66</v>
      </c>
      <c r="C36" s="30" t="s">
        <v>67</v>
      </c>
      <c r="D36" s="26" t="s">
        <v>193</v>
      </c>
      <c r="E36" s="26" t="s">
        <v>45</v>
      </c>
      <c r="F36" s="27">
        <v>85</v>
      </c>
      <c r="G36" s="28">
        <v>1000</v>
      </c>
    </row>
    <row r="37" spans="1:7" ht="15" customHeight="1" x14ac:dyDescent="0.2">
      <c r="A37" s="39">
        <v>25</v>
      </c>
      <c r="B37" s="29" t="s">
        <v>150</v>
      </c>
      <c r="C37" s="30" t="s">
        <v>151</v>
      </c>
      <c r="D37" s="26" t="s">
        <v>194</v>
      </c>
      <c r="E37" s="26" t="s">
        <v>79</v>
      </c>
      <c r="F37" s="27">
        <v>1850</v>
      </c>
      <c r="G37" s="28">
        <v>100</v>
      </c>
    </row>
    <row r="38" spans="1:7" ht="15" customHeight="1" x14ac:dyDescent="0.2">
      <c r="A38" s="39">
        <v>26</v>
      </c>
      <c r="B38" s="29" t="s">
        <v>37</v>
      </c>
      <c r="C38" s="30" t="s">
        <v>38</v>
      </c>
      <c r="D38" s="26" t="s">
        <v>193</v>
      </c>
      <c r="E38" s="26" t="s">
        <v>22</v>
      </c>
      <c r="F38" s="27">
        <v>15.8</v>
      </c>
      <c r="G38" s="28">
        <v>300</v>
      </c>
    </row>
    <row r="39" spans="1:7" ht="15" customHeight="1" x14ac:dyDescent="0.2">
      <c r="A39" s="39">
        <v>27</v>
      </c>
      <c r="B39" s="29" t="s">
        <v>100</v>
      </c>
      <c r="C39" s="30" t="s">
        <v>101</v>
      </c>
      <c r="D39" s="26" t="s">
        <v>193</v>
      </c>
      <c r="E39" s="26" t="s">
        <v>79</v>
      </c>
      <c r="F39" s="27">
        <v>275</v>
      </c>
      <c r="G39" s="28">
        <v>50</v>
      </c>
    </row>
    <row r="40" spans="1:7" ht="15" customHeight="1" x14ac:dyDescent="0.2">
      <c r="A40" s="39">
        <v>28</v>
      </c>
      <c r="B40" s="29" t="s">
        <v>50</v>
      </c>
      <c r="C40" s="30" t="s">
        <v>51</v>
      </c>
      <c r="D40" s="26" t="s">
        <v>193</v>
      </c>
      <c r="E40" s="26" t="s">
        <v>45</v>
      </c>
      <c r="F40" s="27">
        <v>38.5</v>
      </c>
      <c r="G40" s="28">
        <v>6000</v>
      </c>
    </row>
    <row r="41" spans="1:7" ht="15" customHeight="1" x14ac:dyDescent="0.2">
      <c r="A41" s="39">
        <v>29</v>
      </c>
      <c r="B41" s="29" t="s">
        <v>124</v>
      </c>
      <c r="C41" s="30" t="s">
        <v>125</v>
      </c>
      <c r="D41" s="26" t="s">
        <v>193</v>
      </c>
      <c r="E41" s="26" t="s">
        <v>79</v>
      </c>
      <c r="F41" s="27">
        <v>698</v>
      </c>
      <c r="G41" s="28">
        <v>300</v>
      </c>
    </row>
    <row r="42" spans="1:7" ht="15" customHeight="1" x14ac:dyDescent="0.2">
      <c r="A42" s="39">
        <v>30</v>
      </c>
      <c r="B42" s="29" t="s">
        <v>60</v>
      </c>
      <c r="C42" s="30" t="s">
        <v>61</v>
      </c>
      <c r="D42" s="26" t="s">
        <v>193</v>
      </c>
      <c r="E42" s="26" t="s">
        <v>22</v>
      </c>
      <c r="F42" s="27">
        <v>62.17</v>
      </c>
      <c r="G42" s="28">
        <v>50</v>
      </c>
    </row>
    <row r="43" spans="1:7" ht="15" customHeight="1" x14ac:dyDescent="0.2">
      <c r="A43" s="39">
        <v>31</v>
      </c>
      <c r="B43" s="29" t="s">
        <v>126</v>
      </c>
      <c r="C43" s="30" t="s">
        <v>127</v>
      </c>
      <c r="D43" s="26" t="s">
        <v>193</v>
      </c>
      <c r="E43" s="26" t="s">
        <v>85</v>
      </c>
      <c r="F43" s="27">
        <v>750</v>
      </c>
      <c r="G43" s="28">
        <v>100</v>
      </c>
    </row>
    <row r="44" spans="1:7" ht="15" customHeight="1" x14ac:dyDescent="0.2">
      <c r="A44" s="39">
        <v>32</v>
      </c>
      <c r="B44" s="29" t="s">
        <v>153</v>
      </c>
      <c r="C44" s="30" t="s">
        <v>154</v>
      </c>
      <c r="D44" s="26" t="s">
        <v>193</v>
      </c>
      <c r="E44" s="26" t="s">
        <v>79</v>
      </c>
      <c r="F44" s="27">
        <v>2360</v>
      </c>
      <c r="G44" s="28">
        <v>10</v>
      </c>
    </row>
    <row r="45" spans="1:7" ht="15" customHeight="1" x14ac:dyDescent="0.2">
      <c r="A45" s="39">
        <v>33</v>
      </c>
      <c r="B45" s="29" t="s">
        <v>155</v>
      </c>
      <c r="C45" s="30" t="s">
        <v>156</v>
      </c>
      <c r="D45" s="26" t="s">
        <v>193</v>
      </c>
      <c r="E45" s="26" t="s">
        <v>45</v>
      </c>
      <c r="F45" s="27">
        <v>4597.9799999999996</v>
      </c>
      <c r="G45" s="28">
        <v>10</v>
      </c>
    </row>
    <row r="46" spans="1:7" ht="15" customHeight="1" x14ac:dyDescent="0.2">
      <c r="A46" s="39">
        <v>34</v>
      </c>
      <c r="B46" s="29" t="s">
        <v>157</v>
      </c>
      <c r="C46" s="30" t="s">
        <v>158</v>
      </c>
      <c r="D46" s="26" t="s">
        <v>193</v>
      </c>
      <c r="E46" s="26" t="s">
        <v>45</v>
      </c>
      <c r="F46" s="27">
        <v>8899.39</v>
      </c>
      <c r="G46" s="28">
        <v>10</v>
      </c>
    </row>
    <row r="47" spans="1:7" ht="15" customHeight="1" x14ac:dyDescent="0.2">
      <c r="A47" s="39">
        <v>35</v>
      </c>
      <c r="B47" s="29" t="s">
        <v>54</v>
      </c>
      <c r="C47" s="30" t="s">
        <v>55</v>
      </c>
      <c r="D47" s="26" t="s">
        <v>193</v>
      </c>
      <c r="E47" s="26" t="s">
        <v>45</v>
      </c>
      <c r="F47" s="27">
        <v>42</v>
      </c>
      <c r="G47" s="28">
        <v>200</v>
      </c>
    </row>
    <row r="48" spans="1:7" ht="15" customHeight="1" x14ac:dyDescent="0.2">
      <c r="A48" s="39">
        <v>36</v>
      </c>
      <c r="B48" s="29" t="s">
        <v>77</v>
      </c>
      <c r="C48" s="30" t="s">
        <v>78</v>
      </c>
      <c r="D48" s="26" t="s">
        <v>193</v>
      </c>
      <c r="E48" s="26" t="s">
        <v>79</v>
      </c>
      <c r="F48" s="27">
        <v>110</v>
      </c>
      <c r="G48" s="28">
        <v>3000</v>
      </c>
    </row>
    <row r="49" spans="1:7" ht="15" customHeight="1" x14ac:dyDescent="0.2">
      <c r="A49" s="39">
        <v>37</v>
      </c>
      <c r="B49" s="29" t="s">
        <v>56</v>
      </c>
      <c r="C49" s="30" t="s">
        <v>57</v>
      </c>
      <c r="D49" s="26" t="s">
        <v>193</v>
      </c>
      <c r="E49" s="26" t="s">
        <v>45</v>
      </c>
      <c r="F49" s="27">
        <v>45</v>
      </c>
      <c r="G49" s="28">
        <v>100</v>
      </c>
    </row>
    <row r="50" spans="1:7" ht="15" customHeight="1" x14ac:dyDescent="0.2">
      <c r="A50" s="39">
        <v>38</v>
      </c>
      <c r="B50" s="29" t="s">
        <v>23</v>
      </c>
      <c r="C50" s="30" t="s">
        <v>24</v>
      </c>
      <c r="D50" s="26" t="s">
        <v>193</v>
      </c>
      <c r="E50" s="26" t="s">
        <v>22</v>
      </c>
      <c r="F50" s="27">
        <v>4.8</v>
      </c>
      <c r="G50" s="28">
        <v>3000</v>
      </c>
    </row>
    <row r="51" spans="1:7" ht="15" customHeight="1" x14ac:dyDescent="0.2">
      <c r="A51" s="39">
        <v>39</v>
      </c>
      <c r="B51" s="29" t="s">
        <v>165</v>
      </c>
      <c r="C51" s="30" t="s">
        <v>166</v>
      </c>
      <c r="D51" s="26" t="s">
        <v>193</v>
      </c>
      <c r="E51" s="26" t="s">
        <v>85</v>
      </c>
      <c r="F51" s="27">
        <v>125640</v>
      </c>
      <c r="G51" s="28">
        <v>30</v>
      </c>
    </row>
    <row r="52" spans="1:7" ht="15" customHeight="1" x14ac:dyDescent="0.2">
      <c r="A52" s="39">
        <v>40</v>
      </c>
      <c r="B52" s="29" t="s">
        <v>163</v>
      </c>
      <c r="C52" s="30" t="s">
        <v>164</v>
      </c>
      <c r="D52" s="26" t="s">
        <v>193</v>
      </c>
      <c r="E52" s="26" t="s">
        <v>85</v>
      </c>
      <c r="F52" s="27">
        <v>59000</v>
      </c>
      <c r="G52" s="28">
        <v>40</v>
      </c>
    </row>
    <row r="53" spans="1:7" ht="15" customHeight="1" x14ac:dyDescent="0.2">
      <c r="A53" s="39">
        <v>41</v>
      </c>
      <c r="B53" s="29" t="s">
        <v>58</v>
      </c>
      <c r="C53" s="30" t="s">
        <v>59</v>
      </c>
      <c r="D53" s="26" t="s">
        <v>193</v>
      </c>
      <c r="E53" s="26" t="s">
        <v>45</v>
      </c>
      <c r="F53" s="27">
        <v>59</v>
      </c>
      <c r="G53" s="28">
        <v>200</v>
      </c>
    </row>
    <row r="54" spans="1:7" ht="15" customHeight="1" x14ac:dyDescent="0.2">
      <c r="A54" s="39">
        <v>42</v>
      </c>
      <c r="B54" s="29" t="s">
        <v>43</v>
      </c>
      <c r="C54" s="30" t="s">
        <v>44</v>
      </c>
      <c r="D54" s="26" t="s">
        <v>193</v>
      </c>
      <c r="E54" s="26" t="s">
        <v>45</v>
      </c>
      <c r="F54" s="27">
        <v>33</v>
      </c>
      <c r="G54" s="28">
        <v>500</v>
      </c>
    </row>
    <row r="55" spans="1:7" ht="15" customHeight="1" x14ac:dyDescent="0.2">
      <c r="A55" s="39">
        <v>43</v>
      </c>
      <c r="B55" s="29" t="s">
        <v>104</v>
      </c>
      <c r="C55" s="30" t="s">
        <v>105</v>
      </c>
      <c r="D55" s="26" t="s">
        <v>193</v>
      </c>
      <c r="E55" s="26" t="s">
        <v>45</v>
      </c>
      <c r="F55" s="27">
        <v>325</v>
      </c>
      <c r="G55" s="28">
        <v>200</v>
      </c>
    </row>
    <row r="56" spans="1:7" ht="15" customHeight="1" x14ac:dyDescent="0.2">
      <c r="A56" s="39">
        <v>44</v>
      </c>
      <c r="B56" s="29" t="s">
        <v>116</v>
      </c>
      <c r="C56" s="30" t="s">
        <v>117</v>
      </c>
      <c r="D56" s="26" t="s">
        <v>193</v>
      </c>
      <c r="E56" s="26" t="s">
        <v>45</v>
      </c>
      <c r="F56" s="27">
        <v>493</v>
      </c>
      <c r="G56" s="28">
        <v>50</v>
      </c>
    </row>
    <row r="57" spans="1:7" ht="15" customHeight="1" x14ac:dyDescent="0.2">
      <c r="A57" s="39">
        <v>45</v>
      </c>
      <c r="B57" s="29" t="s">
        <v>128</v>
      </c>
      <c r="C57" s="30" t="s">
        <v>129</v>
      </c>
      <c r="D57" s="26" t="s">
        <v>193</v>
      </c>
      <c r="E57" s="26" t="s">
        <v>85</v>
      </c>
      <c r="F57" s="27">
        <v>845</v>
      </c>
      <c r="G57" s="28">
        <v>10</v>
      </c>
    </row>
    <row r="58" spans="1:7" ht="15" customHeight="1" x14ac:dyDescent="0.2">
      <c r="A58" s="39">
        <v>46</v>
      </c>
      <c r="B58" s="29" t="s">
        <v>148</v>
      </c>
      <c r="C58" s="30" t="s">
        <v>149</v>
      </c>
      <c r="D58" s="26" t="s">
        <v>193</v>
      </c>
      <c r="E58" s="26" t="s">
        <v>79</v>
      </c>
      <c r="F58" s="27">
        <v>1815</v>
      </c>
      <c r="G58" s="28">
        <v>1</v>
      </c>
    </row>
    <row r="59" spans="1:7" ht="15" customHeight="1" x14ac:dyDescent="0.2">
      <c r="A59" s="39">
        <v>47</v>
      </c>
      <c r="B59" s="29" t="s">
        <v>120</v>
      </c>
      <c r="C59" s="30" t="s">
        <v>121</v>
      </c>
      <c r="D59" s="26" t="s">
        <v>193</v>
      </c>
      <c r="E59" s="26" t="s">
        <v>45</v>
      </c>
      <c r="F59" s="27">
        <v>590</v>
      </c>
      <c r="G59" s="28">
        <v>200</v>
      </c>
    </row>
    <row r="60" spans="1:7" ht="15" customHeight="1" x14ac:dyDescent="0.2">
      <c r="A60" s="39">
        <v>48</v>
      </c>
      <c r="B60" s="29" t="s">
        <v>112</v>
      </c>
      <c r="C60" s="30" t="s">
        <v>113</v>
      </c>
      <c r="D60" s="26" t="s">
        <v>193</v>
      </c>
      <c r="E60" s="26" t="s">
        <v>45</v>
      </c>
      <c r="F60" s="27">
        <v>380</v>
      </c>
      <c r="G60" s="28">
        <v>200</v>
      </c>
    </row>
    <row r="61" spans="1:7" ht="15" customHeight="1" x14ac:dyDescent="0.2">
      <c r="A61" s="39">
        <v>49</v>
      </c>
      <c r="B61" s="29" t="s">
        <v>96</v>
      </c>
      <c r="C61" s="30" t="s">
        <v>97</v>
      </c>
      <c r="D61" s="26" t="s">
        <v>193</v>
      </c>
      <c r="E61" s="26" t="s">
        <v>79</v>
      </c>
      <c r="F61" s="27">
        <v>169</v>
      </c>
      <c r="G61" s="28">
        <v>50</v>
      </c>
    </row>
    <row r="62" spans="1:7" ht="15" customHeight="1" x14ac:dyDescent="0.2">
      <c r="A62" s="39">
        <v>50</v>
      </c>
      <c r="B62" s="29" t="s">
        <v>27</v>
      </c>
      <c r="C62" s="30" t="s">
        <v>28</v>
      </c>
      <c r="D62" s="26" t="s">
        <v>193</v>
      </c>
      <c r="E62" s="26" t="s">
        <v>22</v>
      </c>
      <c r="F62" s="27">
        <v>7.69</v>
      </c>
      <c r="G62" s="28">
        <v>100</v>
      </c>
    </row>
    <row r="63" spans="1:7" ht="15" customHeight="1" x14ac:dyDescent="0.2">
      <c r="A63" s="39">
        <v>51</v>
      </c>
      <c r="B63" s="29" t="s">
        <v>83</v>
      </c>
      <c r="C63" s="30" t="s">
        <v>84</v>
      </c>
      <c r="D63" s="26" t="s">
        <v>193</v>
      </c>
      <c r="E63" s="26" t="s">
        <v>85</v>
      </c>
      <c r="F63" s="27">
        <v>138</v>
      </c>
      <c r="G63" s="28">
        <v>1000</v>
      </c>
    </row>
    <row r="64" spans="1:7" ht="15" customHeight="1" x14ac:dyDescent="0.2">
      <c r="A64" s="39">
        <v>52</v>
      </c>
      <c r="B64" s="29" t="s">
        <v>62</v>
      </c>
      <c r="C64" s="30" t="s">
        <v>63</v>
      </c>
      <c r="D64" s="26" t="s">
        <v>193</v>
      </c>
      <c r="E64" s="26" t="s">
        <v>45</v>
      </c>
      <c r="F64" s="27">
        <v>66</v>
      </c>
      <c r="G64" s="28">
        <v>500</v>
      </c>
    </row>
    <row r="65" spans="1:7" ht="15" customHeight="1" x14ac:dyDescent="0.2">
      <c r="A65" s="39">
        <v>53</v>
      </c>
      <c r="B65" s="29" t="s">
        <v>64</v>
      </c>
      <c r="C65" s="30" t="s">
        <v>65</v>
      </c>
      <c r="D65" s="26" t="s">
        <v>193</v>
      </c>
      <c r="E65" s="26" t="s">
        <v>45</v>
      </c>
      <c r="F65" s="27">
        <v>72</v>
      </c>
      <c r="G65" s="28">
        <v>200</v>
      </c>
    </row>
    <row r="66" spans="1:7" ht="15" customHeight="1" x14ac:dyDescent="0.2">
      <c r="A66" s="39">
        <v>54</v>
      </c>
      <c r="B66" s="29" t="s">
        <v>41</v>
      </c>
      <c r="C66" s="30" t="s">
        <v>42</v>
      </c>
      <c r="D66" s="26" t="s">
        <v>193</v>
      </c>
      <c r="E66" s="26" t="s">
        <v>22</v>
      </c>
      <c r="F66" s="27">
        <v>16.8</v>
      </c>
      <c r="G66" s="28">
        <v>500</v>
      </c>
    </row>
    <row r="67" spans="1:7" ht="15" customHeight="1" x14ac:dyDescent="0.2">
      <c r="A67" s="39">
        <v>55</v>
      </c>
      <c r="B67" s="29" t="s">
        <v>142</v>
      </c>
      <c r="C67" s="30" t="s">
        <v>143</v>
      </c>
      <c r="D67" s="26" t="s">
        <v>193</v>
      </c>
      <c r="E67" s="26" t="s">
        <v>45</v>
      </c>
      <c r="F67" s="27">
        <v>1720</v>
      </c>
      <c r="G67" s="28">
        <v>100</v>
      </c>
    </row>
    <row r="68" spans="1:7" ht="15" customHeight="1" x14ac:dyDescent="0.2">
      <c r="A68" s="39">
        <v>56</v>
      </c>
      <c r="B68" s="29" t="s">
        <v>29</v>
      </c>
      <c r="C68" s="30" t="s">
        <v>30</v>
      </c>
      <c r="D68" s="26" t="s">
        <v>193</v>
      </c>
      <c r="E68" s="26" t="s">
        <v>22</v>
      </c>
      <c r="F68" s="27">
        <v>9.8000000000000007</v>
      </c>
      <c r="G68" s="28">
        <v>1000</v>
      </c>
    </row>
    <row r="69" spans="1:7" ht="15" customHeight="1" x14ac:dyDescent="0.2">
      <c r="A69" s="39">
        <v>57</v>
      </c>
      <c r="B69" s="29" t="s">
        <v>136</v>
      </c>
      <c r="C69" s="30" t="s">
        <v>137</v>
      </c>
      <c r="D69" s="26" t="s">
        <v>193</v>
      </c>
      <c r="E69" s="26" t="s">
        <v>45</v>
      </c>
      <c r="F69" s="27">
        <v>980</v>
      </c>
      <c r="G69" s="28">
        <v>50</v>
      </c>
    </row>
    <row r="70" spans="1:7" ht="15" customHeight="1" x14ac:dyDescent="0.2">
      <c r="A70" s="39">
        <v>58</v>
      </c>
      <c r="B70" s="29" t="s">
        <v>94</v>
      </c>
      <c r="C70" s="30" t="s">
        <v>95</v>
      </c>
      <c r="D70" s="26" t="s">
        <v>193</v>
      </c>
      <c r="E70" s="26" t="s">
        <v>79</v>
      </c>
      <c r="F70" s="27">
        <v>165</v>
      </c>
      <c r="G70" s="28">
        <v>200</v>
      </c>
    </row>
    <row r="71" spans="1:7" ht="15" customHeight="1" x14ac:dyDescent="0.2">
      <c r="A71" s="39">
        <v>59</v>
      </c>
      <c r="B71" s="29" t="s">
        <v>25</v>
      </c>
      <c r="C71" s="30" t="s">
        <v>26</v>
      </c>
      <c r="D71" s="26" t="s">
        <v>193</v>
      </c>
      <c r="E71" s="26" t="s">
        <v>22</v>
      </c>
      <c r="F71" s="27">
        <v>5.3</v>
      </c>
      <c r="G71" s="28">
        <v>2000</v>
      </c>
    </row>
    <row r="72" spans="1:7" ht="15" customHeight="1" x14ac:dyDescent="0.2">
      <c r="A72" s="39">
        <v>60</v>
      </c>
      <c r="B72" s="29" t="s">
        <v>68</v>
      </c>
      <c r="C72" s="30" t="s">
        <v>69</v>
      </c>
      <c r="D72" s="26" t="s">
        <v>193</v>
      </c>
      <c r="E72" s="26" t="s">
        <v>70</v>
      </c>
      <c r="F72" s="27">
        <v>85</v>
      </c>
      <c r="G72" s="28">
        <v>200</v>
      </c>
    </row>
    <row r="73" spans="1:7" ht="15" customHeight="1" x14ac:dyDescent="0.2">
      <c r="A73" s="39">
        <v>61</v>
      </c>
      <c r="B73" s="29" t="s">
        <v>92</v>
      </c>
      <c r="C73" s="30" t="s">
        <v>93</v>
      </c>
      <c r="D73" s="26" t="s">
        <v>193</v>
      </c>
      <c r="E73" s="26" t="s">
        <v>45</v>
      </c>
      <c r="F73" s="27">
        <v>152</v>
      </c>
      <c r="G73" s="28">
        <v>100</v>
      </c>
    </row>
    <row r="74" spans="1:7" ht="15" customHeight="1" x14ac:dyDescent="0.2">
      <c r="A74" s="39">
        <v>62</v>
      </c>
      <c r="B74" s="29" t="s">
        <v>98</v>
      </c>
      <c r="C74" s="30" t="s">
        <v>99</v>
      </c>
      <c r="D74" s="26" t="s">
        <v>193</v>
      </c>
      <c r="E74" s="26" t="s">
        <v>45</v>
      </c>
      <c r="F74" s="27">
        <v>178</v>
      </c>
      <c r="G74" s="28">
        <v>100</v>
      </c>
    </row>
    <row r="75" spans="1:7" ht="15" customHeight="1" x14ac:dyDescent="0.2">
      <c r="A75" s="39">
        <v>63</v>
      </c>
      <c r="B75" s="29" t="s">
        <v>132</v>
      </c>
      <c r="C75" s="30" t="s">
        <v>133</v>
      </c>
      <c r="D75" s="26" t="s">
        <v>193</v>
      </c>
      <c r="E75" s="26" t="s">
        <v>85</v>
      </c>
      <c r="F75" s="27">
        <v>958</v>
      </c>
      <c r="G75" s="28">
        <v>20</v>
      </c>
    </row>
    <row r="76" spans="1:7" ht="15" customHeight="1" x14ac:dyDescent="0.2">
      <c r="A76" s="39">
        <v>64</v>
      </c>
      <c r="B76" s="29" t="s">
        <v>144</v>
      </c>
      <c r="C76" s="30" t="s">
        <v>145</v>
      </c>
      <c r="D76" s="26" t="s">
        <v>194</v>
      </c>
      <c r="E76" s="26" t="s">
        <v>146</v>
      </c>
      <c r="F76" s="27">
        <v>1762.5</v>
      </c>
      <c r="G76" s="28">
        <v>10</v>
      </c>
    </row>
    <row r="77" spans="1:7" ht="15" customHeight="1" x14ac:dyDescent="0.2">
      <c r="A77" s="39">
        <v>65</v>
      </c>
      <c r="B77" s="29" t="s">
        <v>106</v>
      </c>
      <c r="C77" s="30" t="s">
        <v>107</v>
      </c>
      <c r="D77" s="26" t="s">
        <v>193</v>
      </c>
      <c r="E77" s="26" t="s">
        <v>45</v>
      </c>
      <c r="F77" s="27">
        <v>345</v>
      </c>
      <c r="G77" s="28">
        <v>100</v>
      </c>
    </row>
    <row r="78" spans="1:7" ht="15" customHeight="1" x14ac:dyDescent="0.2">
      <c r="A78" s="39">
        <v>66</v>
      </c>
      <c r="B78" s="29" t="s">
        <v>130</v>
      </c>
      <c r="C78" s="30" t="s">
        <v>131</v>
      </c>
      <c r="D78" s="26" t="s">
        <v>193</v>
      </c>
      <c r="E78" s="26" t="s">
        <v>79</v>
      </c>
      <c r="F78" s="27">
        <v>850</v>
      </c>
      <c r="G78" s="28">
        <v>10</v>
      </c>
    </row>
    <row r="79" spans="1:7" ht="15" customHeight="1" x14ac:dyDescent="0.2">
      <c r="A79" s="39">
        <v>67</v>
      </c>
      <c r="B79" s="29" t="s">
        <v>138</v>
      </c>
      <c r="C79" s="30" t="s">
        <v>139</v>
      </c>
      <c r="D79" s="26" t="s">
        <v>193</v>
      </c>
      <c r="E79" s="26" t="s">
        <v>45</v>
      </c>
      <c r="F79" s="27">
        <v>1360</v>
      </c>
      <c r="G79" s="28">
        <v>20</v>
      </c>
    </row>
    <row r="80" spans="1:7" ht="15" customHeight="1" x14ac:dyDescent="0.2">
      <c r="A80" s="39">
        <v>68</v>
      </c>
      <c r="B80" s="29" t="s">
        <v>159</v>
      </c>
      <c r="C80" s="30" t="s">
        <v>160</v>
      </c>
      <c r="D80" s="26" t="s">
        <v>193</v>
      </c>
      <c r="E80" s="26" t="s">
        <v>79</v>
      </c>
      <c r="F80" s="27">
        <v>15580</v>
      </c>
      <c r="G80" s="28">
        <v>100</v>
      </c>
    </row>
    <row r="81" spans="1:7" ht="15" customHeight="1" x14ac:dyDescent="0.2">
      <c r="A81" s="39">
        <v>69</v>
      </c>
      <c r="B81" s="29" t="s">
        <v>122</v>
      </c>
      <c r="C81" s="30" t="s">
        <v>123</v>
      </c>
      <c r="D81" s="26" t="s">
        <v>193</v>
      </c>
      <c r="E81" s="26" t="s">
        <v>45</v>
      </c>
      <c r="F81" s="27">
        <v>695</v>
      </c>
      <c r="G81" s="28">
        <v>30</v>
      </c>
    </row>
    <row r="82" spans="1:7" ht="15" customHeight="1" x14ac:dyDescent="0.2">
      <c r="A82" s="39"/>
      <c r="B82" s="29"/>
      <c r="C82" s="30"/>
      <c r="D82" s="26"/>
      <c r="E82" s="26"/>
      <c r="F82" s="27"/>
      <c r="G82" s="28"/>
    </row>
    <row r="83" spans="1:7" ht="15.75" customHeight="1" x14ac:dyDescent="0.2">
      <c r="A83" s="40"/>
      <c r="B83" s="31"/>
      <c r="C83" s="32"/>
      <c r="D83" s="23"/>
      <c r="E83" s="23"/>
      <c r="F83" s="24"/>
      <c r="G83" s="25"/>
    </row>
    <row r="84" spans="1:7" ht="20.25" customHeight="1" x14ac:dyDescent="0.2">
      <c r="A84" s="117" t="s">
        <v>195</v>
      </c>
      <c r="B84" s="118"/>
      <c r="C84" s="127" t="s">
        <v>167</v>
      </c>
      <c r="D84" s="127"/>
      <c r="E84" s="128"/>
      <c r="F84" s="116">
        <f>SUMPRODUCT(F13:F83,G13:G83)</f>
        <v>13214330.199999999</v>
      </c>
      <c r="G84" s="116"/>
    </row>
    <row r="88" spans="1:7" ht="13.5" customHeight="1" x14ac:dyDescent="0.2"/>
    <row r="89" spans="1:7" ht="15.75" customHeight="1" x14ac:dyDescent="0.2">
      <c r="A89" s="41"/>
      <c r="B89" s="107" t="s">
        <v>196</v>
      </c>
      <c r="C89" s="107"/>
      <c r="D89" s="108"/>
    </row>
    <row r="90" spans="1:7" ht="18.75" customHeight="1" x14ac:dyDescent="0.2">
      <c r="A90" s="42" t="s">
        <v>197</v>
      </c>
      <c r="B90" s="43" t="s">
        <v>152</v>
      </c>
      <c r="C90" s="44"/>
      <c r="D90" s="45"/>
    </row>
    <row r="91" spans="1:7" ht="18.75" customHeight="1" x14ac:dyDescent="0.2">
      <c r="A91" s="42" t="s">
        <v>198</v>
      </c>
      <c r="B91" s="43" t="s">
        <v>147</v>
      </c>
      <c r="C91" s="44"/>
      <c r="D91" s="45"/>
    </row>
    <row r="92" spans="1:7" ht="18.75" customHeight="1" x14ac:dyDescent="0.2">
      <c r="A92" s="42"/>
      <c r="B92" s="43"/>
      <c r="C92" s="44"/>
      <c r="D92" s="45"/>
    </row>
    <row r="93" spans="1:7" ht="18.75" customHeight="1" x14ac:dyDescent="0.2">
      <c r="A93" s="46"/>
      <c r="B93" s="47"/>
      <c r="C93" s="48"/>
      <c r="D93" s="49"/>
    </row>
  </sheetData>
  <mergeCells count="24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B89:D89"/>
    <mergeCell ref="C8:G8"/>
    <mergeCell ref="A9:B9"/>
    <mergeCell ref="C11:C12"/>
    <mergeCell ref="F84:G84"/>
    <mergeCell ref="A84:B84"/>
    <mergeCell ref="C9:G9"/>
    <mergeCell ref="A8:B8"/>
    <mergeCell ref="A11:A12"/>
    <mergeCell ref="B11:B12"/>
    <mergeCell ref="C84:E84"/>
    <mergeCell ref="F11:F12"/>
    <mergeCell ref="G11:G12"/>
    <mergeCell ref="E11:E12"/>
    <mergeCell ref="D11:D12"/>
  </mergeCells>
  <printOptions horizontalCentered="1"/>
  <pageMargins left="0.19652777777777999" right="0.19652777777777999" top="0.98402777777778005" bottom="0.98402777777778005" header="0.51180555555554996" footer="0.51180555555554996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workbookViewId="0">
      <selection activeCell="A10" sqref="A10:Q10"/>
    </sheetView>
  </sheetViews>
  <sheetFormatPr baseColWidth="10" defaultColWidth="11" defaultRowHeight="12.75" customHeight="1" x14ac:dyDescent="0.2"/>
  <cols>
    <col min="1" max="4" width="4.42578125" customWidth="1"/>
    <col min="5" max="5" width="7.5703125" customWidth="1"/>
    <col min="6" max="6" width="5.85546875" customWidth="1"/>
    <col min="7" max="7" width="4.42578125" style="52" customWidth="1"/>
    <col min="8" max="11" width="4.42578125" customWidth="1"/>
    <col min="12" max="12" width="5" customWidth="1"/>
    <col min="13" max="14" width="4.42578125" customWidth="1"/>
    <col min="15" max="15" width="24.7109375" customWidth="1"/>
    <col min="16" max="16" width="14.85546875" customWidth="1"/>
    <col min="17" max="17" width="14.7109375" customWidth="1"/>
  </cols>
  <sheetData>
    <row r="1" spans="1:17" ht="15.75" customHeight="1" x14ac:dyDescent="0.25">
      <c r="A1" s="160" t="s">
        <v>5</v>
      </c>
      <c r="B1" s="160"/>
      <c r="C1" s="160"/>
      <c r="D1" s="161">
        <v>2022</v>
      </c>
      <c r="E1" s="161"/>
      <c r="F1" s="50"/>
      <c r="G1" s="50"/>
      <c r="H1" s="51"/>
      <c r="I1" s="51"/>
      <c r="J1" s="51"/>
      <c r="K1" s="51"/>
      <c r="L1" s="51"/>
      <c r="M1" s="51"/>
      <c r="N1" s="51"/>
      <c r="P1" s="162" t="s">
        <v>199</v>
      </c>
      <c r="Q1" s="162"/>
    </row>
    <row r="2" spans="1:17" ht="15.75" customHeight="1" x14ac:dyDescent="0.2">
      <c r="H2" s="51"/>
      <c r="I2" s="51"/>
      <c r="J2" s="51"/>
      <c r="K2" s="51"/>
      <c r="L2" s="51"/>
      <c r="M2" s="51"/>
      <c r="N2" s="51"/>
      <c r="P2" s="162"/>
      <c r="Q2" s="162"/>
    </row>
    <row r="4" spans="1:17" ht="18" customHeight="1" x14ac:dyDescent="0.2">
      <c r="A4" s="163" t="s">
        <v>200</v>
      </c>
      <c r="B4" s="163"/>
      <c r="C4" s="163"/>
      <c r="D4" s="163"/>
      <c r="E4" s="163"/>
      <c r="F4" s="163"/>
      <c r="G4" s="164" t="s">
        <v>2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ht="32.25" customHeight="1" x14ac:dyDescent="0.2">
      <c r="A5" s="136" t="s">
        <v>179</v>
      </c>
      <c r="B5" s="137"/>
      <c r="C5" s="137"/>
      <c r="D5" s="137"/>
      <c r="E5" s="137"/>
      <c r="F5" s="138"/>
      <c r="G5" s="139" t="s">
        <v>4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ht="18" customHeight="1" x14ac:dyDescent="0.2">
      <c r="A6" s="136" t="s">
        <v>180</v>
      </c>
      <c r="B6" s="137"/>
      <c r="C6" s="137"/>
      <c r="D6" s="137"/>
      <c r="E6" s="137"/>
      <c r="F6" s="138"/>
      <c r="G6" s="164" t="s">
        <v>181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ht="44.25" customHeight="1" x14ac:dyDescent="0.2">
      <c r="A7" s="136" t="s">
        <v>182</v>
      </c>
      <c r="B7" s="137"/>
      <c r="C7" s="137"/>
      <c r="D7" s="137"/>
      <c r="E7" s="137"/>
      <c r="F7" s="138"/>
      <c r="G7" s="167" t="s">
        <v>181</v>
      </c>
      <c r="H7" s="168"/>
      <c r="I7" s="168"/>
      <c r="J7" s="168"/>
      <c r="K7" s="168"/>
      <c r="L7" s="168"/>
      <c r="M7" s="168"/>
      <c r="N7" s="168"/>
      <c r="O7" s="168"/>
      <c r="P7" s="168"/>
      <c r="Q7" s="169"/>
    </row>
    <row r="8" spans="1:17" ht="18" customHeight="1" x14ac:dyDescent="0.2">
      <c r="A8" s="140" t="s">
        <v>201</v>
      </c>
      <c r="B8" s="140"/>
      <c r="C8" s="140" t="s">
        <v>184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7" ht="18" customHeight="1" x14ac:dyDescent="0.25">
      <c r="A9" s="145" t="s">
        <v>202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53"/>
      <c r="P9" s="53"/>
      <c r="Q9" s="54"/>
    </row>
    <row r="10" spans="1:17" ht="54.75" customHeight="1" x14ac:dyDescent="0.2">
      <c r="A10" s="146" t="s">
        <v>226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8"/>
    </row>
    <row r="11" spans="1:17" ht="9" customHeight="1" x14ac:dyDescent="0.2">
      <c r="A11" s="55"/>
      <c r="B11" s="56"/>
      <c r="C11" s="56"/>
      <c r="D11" s="56"/>
      <c r="E11" s="56"/>
      <c r="F11" s="56"/>
      <c r="G11" s="57"/>
      <c r="H11" s="56"/>
      <c r="I11" s="56"/>
      <c r="J11" s="56"/>
      <c r="K11" s="56"/>
      <c r="L11" s="56"/>
      <c r="M11" s="56"/>
      <c r="N11" s="56"/>
      <c r="O11" s="56"/>
      <c r="P11" s="56"/>
      <c r="Q11" s="58"/>
    </row>
    <row r="12" spans="1:17" ht="15.75" customHeight="1" x14ac:dyDescent="0.2">
      <c r="A12" s="177" t="s">
        <v>203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</row>
    <row r="13" spans="1:17" ht="15.75" customHeight="1" x14ac:dyDescent="0.2">
      <c r="A13" s="177" t="s">
        <v>204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8"/>
      <c r="O13" s="149" t="s">
        <v>205</v>
      </c>
      <c r="P13" s="150"/>
      <c r="Q13" s="153" t="s">
        <v>206</v>
      </c>
    </row>
    <row r="14" spans="1:17" ht="15.75" customHeight="1" x14ac:dyDescent="0.2">
      <c r="A14" s="59" t="s">
        <v>207</v>
      </c>
      <c r="B14" s="59" t="s">
        <v>208</v>
      </c>
      <c r="C14" s="59" t="s">
        <v>209</v>
      </c>
      <c r="D14" s="59" t="s">
        <v>210</v>
      </c>
      <c r="E14" s="59" t="s">
        <v>211</v>
      </c>
      <c r="F14" s="59" t="s">
        <v>212</v>
      </c>
      <c r="G14" s="60" t="s">
        <v>213</v>
      </c>
      <c r="H14" s="59" t="s">
        <v>214</v>
      </c>
      <c r="I14" s="59" t="s">
        <v>215</v>
      </c>
      <c r="J14" s="59" t="s">
        <v>216</v>
      </c>
      <c r="K14" s="59" t="s">
        <v>216</v>
      </c>
      <c r="L14" s="59" t="s">
        <v>217</v>
      </c>
      <c r="M14" s="59" t="s">
        <v>218</v>
      </c>
      <c r="N14" s="59" t="s">
        <v>219</v>
      </c>
      <c r="O14" s="151"/>
      <c r="P14" s="152"/>
      <c r="Q14" s="154"/>
    </row>
    <row r="15" spans="1:17" s="33" customFormat="1" ht="24.75" customHeight="1" x14ac:dyDescent="0.2">
      <c r="A15" s="61">
        <v>36</v>
      </c>
      <c r="B15" s="62">
        <v>0</v>
      </c>
      <c r="C15" s="62">
        <v>0</v>
      </c>
      <c r="D15" s="62">
        <v>1</v>
      </c>
      <c r="E15" s="62"/>
      <c r="F15" s="62">
        <v>4901</v>
      </c>
      <c r="G15" s="62">
        <v>3</v>
      </c>
      <c r="H15" s="62">
        <v>310</v>
      </c>
      <c r="I15" s="62">
        <v>2</v>
      </c>
      <c r="J15" s="62">
        <v>5</v>
      </c>
      <c r="K15" s="62">
        <v>2</v>
      </c>
      <c r="L15" s="62">
        <v>0</v>
      </c>
      <c r="M15" s="63">
        <v>1</v>
      </c>
      <c r="N15" s="75">
        <v>11</v>
      </c>
      <c r="O15" s="70" t="s">
        <v>220</v>
      </c>
      <c r="P15" s="69"/>
      <c r="Q15" s="64">
        <v>13214330.199999999</v>
      </c>
    </row>
    <row r="16" spans="1:17" ht="24.75" customHeight="1" x14ac:dyDescent="0.2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3"/>
      <c r="N16" s="75"/>
      <c r="O16" s="70"/>
      <c r="P16" s="69"/>
      <c r="Q16" s="64"/>
    </row>
    <row r="17" spans="1:17" s="33" customFormat="1" ht="24.75" customHeight="1" x14ac:dyDescent="0.2">
      <c r="A17" s="61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  <c r="N17" s="75"/>
      <c r="O17" s="70"/>
      <c r="P17" s="69"/>
      <c r="Q17" s="64"/>
    </row>
    <row r="18" spans="1:17" ht="33.75" customHeight="1" x14ac:dyDescent="0.2">
      <c r="A18" s="155" t="s">
        <v>221</v>
      </c>
      <c r="B18" s="156"/>
      <c r="C18" s="157" t="s">
        <v>167</v>
      </c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9"/>
      <c r="Q18" s="65">
        <f>SUM(Q15:Q17)</f>
        <v>13214330.199999999</v>
      </c>
    </row>
    <row r="19" spans="1:17" ht="18" customHeight="1" x14ac:dyDescent="0.2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</row>
    <row r="20" spans="1:17" ht="17.25" customHeight="1" thickBot="1" x14ac:dyDescent="0.25">
      <c r="A20" s="141" t="s">
        <v>222</v>
      </c>
      <c r="B20" s="142"/>
      <c r="C20" s="142"/>
      <c r="D20" s="142"/>
      <c r="E20" s="142"/>
      <c r="F20" s="143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</row>
    <row r="21" spans="1:17" ht="18" customHeight="1" x14ac:dyDescent="0.2">
      <c r="A21" s="170" t="s">
        <v>224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2"/>
    </row>
    <row r="22" spans="1:17" ht="28.5" customHeight="1" thickBo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5"/>
    </row>
    <row r="23" spans="1:17" ht="15.75" customHeight="1" thickBot="1" x14ac:dyDescent="0.25">
      <c r="A23" s="141" t="s">
        <v>223</v>
      </c>
      <c r="B23" s="142"/>
      <c r="C23" s="142"/>
      <c r="D23" s="142"/>
      <c r="E23" s="142"/>
      <c r="F23" s="143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6"/>
    </row>
    <row r="24" spans="1:17" ht="13.5" customHeight="1" x14ac:dyDescent="0.2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8"/>
    </row>
  </sheetData>
  <mergeCells count="26"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horizontalCentered="1"/>
  <pageMargins left="0.39374999999999999" right="0.39374999999999999" top="0.98402777777778005" bottom="0.98402777777778005" header="0.51180555555554996" footer="0.51180555555554996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 Pedido HNEP</vt:lpstr>
      <vt:lpstr>APG HNEP</vt:lpstr>
      <vt:lpstr>'APG HNEP'!Área_de_impresión</vt:lpstr>
      <vt:lpstr>'Nota Pedido HNEP'!Área_de_impresión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2022-07-06T14:43:28Z</dcterms:created>
  <dcterms:modified xsi:type="dcterms:W3CDTF">2022-10-28T12:36:49Z</dcterms:modified>
</cp:coreProperties>
</file>